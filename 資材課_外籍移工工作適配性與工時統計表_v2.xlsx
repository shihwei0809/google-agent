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GOOGLE ANGET\"/>
    </mc:Choice>
  </mc:AlternateContent>
  <bookViews>
    <workbookView xWindow="0" yWindow="0" windowWidth="23040" windowHeight="8364"/>
  </bookViews>
  <sheets>
    <sheet name="外勞作業適配與權責劃分" sheetId="1" r:id="rId1"/>
    <sheet name="工時與人力派工統計" sheetId="2" r:id="rId2"/>
  </sheets>
  <calcPr calcId="162913"/>
</workbook>
</file>

<file path=xl/calcChain.xml><?xml version="1.0" encoding="utf-8"?>
<calcChain xmlns="http://schemas.openxmlformats.org/spreadsheetml/2006/main">
  <c r="F14" i="2" l="1"/>
  <c r="E14" i="2"/>
  <c r="G14" i="2" s="1"/>
  <c r="D14" i="2"/>
  <c r="G13" i="2"/>
  <c r="G12" i="2"/>
  <c r="G11" i="2"/>
  <c r="G10" i="2"/>
  <c r="G9" i="2"/>
  <c r="G8" i="2"/>
  <c r="G7" i="2"/>
  <c r="G6" i="2"/>
  <c r="G5" i="2"/>
  <c r="G4" i="2"/>
</calcChain>
</file>

<file path=xl/sharedStrings.xml><?xml version="1.0" encoding="utf-8"?>
<sst xmlns="http://schemas.openxmlformats.org/spreadsheetml/2006/main" count="124" uniqueCount="91">
  <si>
    <t>資材課【槽車洩料與包材出貨】外籍移工工作適配性與權責矩陣表</t>
  </si>
  <si>
    <t>作業大類</t>
  </si>
  <si>
    <t>子作業項目</t>
  </si>
  <si>
    <t>適合外勞獨立</t>
  </si>
  <si>
    <t>外勞適配度</t>
  </si>
  <si>
    <t>本籍資材角色</t>
  </si>
  <si>
    <t>外籍移工角色</t>
  </si>
  <si>
    <t>防呆配套措施與SOP要求</t>
  </si>
  <si>
    <t>包材出貨</t>
  </si>
  <si>
    <t>空桶/鋼桶/IBC 搬運與木棧板堆疊</t>
  </si>
  <si>
    <t>可獨立</t>
  </si>
  <si>
    <t>95%</t>
  </si>
  <si>
    <t>抽檢外觀完整度</t>
  </si>
  <si>
    <t>主要執行體力搬運與排列</t>
  </si>
  <si>
    <t>堆疊限高標示、棧板角位對齊線</t>
  </si>
  <si>
    <t>打包帶捆紮、PE 伸縮膜纏繞固棧</t>
  </si>
  <si>
    <t>90%</t>
  </si>
  <si>
    <t>抽驗拉力與固定牢固度</t>
  </si>
  <si>
    <t>操作自動/手動打包機與裹膜</t>
  </si>
  <si>
    <t>訂定纏繞層數目視標準卡(至少4圈)</t>
  </si>
  <si>
    <t>出貨前外觀檢查 (刮痕/凹陷/破孔)</t>
  </si>
  <si>
    <t>需指導</t>
  </si>
  <si>
    <t>75%</t>
  </si>
  <si>
    <t>不良品複核判定與報廢處理</t>
  </si>
  <si>
    <t>初步篩選明顯破損與髒污</t>
  </si>
  <si>
    <t>製作良品/不良品中越/中英對照圖卡</t>
  </si>
  <si>
    <t>貼繳庫單、核對標籤批號與對刷條碼 (無需貼出貨標籤)</t>
  </si>
  <si>
    <t>需指導/對刷</t>
  </si>
  <si>
    <t>65%</t>
  </si>
  <si>
    <t>複核刷條碼比對結果、簽核繳庫單與異常處置</t>
  </si>
  <si>
    <t>拿條碼槍對刷桶身/棧板條碼、張貼繳庫單</t>
  </si>
  <si>
    <t>條碼槍防呆機制 (綠燈OK/紅燈警示)，嗶錯立即通報本籍處理</t>
  </si>
  <si>
    <t>系統帳務過帳 (ERP扣帳/單據簽收)</t>
  </si>
  <si>
    <t>嚴禁</t>
  </si>
  <si>
    <t>0%</t>
  </si>
  <si>
    <t>完全負責系統操作與司機簽收</t>
  </si>
  <si>
    <t>不可接觸系統帳務</t>
  </si>
  <si>
    <t>ERP 與出貨單嚴禁非本籍權限人員登入</t>
  </si>
  <si>
    <t>槽車洩料</t>
  </si>
  <si>
    <t>洩料前現場引導、輪擋放置、拉警戒線</t>
  </si>
  <si>
    <t>確認槽車靠位與車輛熄火</t>
  </si>
  <si>
    <t>依指示擺放輪擋與防護錐</t>
  </si>
  <si>
    <t>雙輪擋標準就位定點畫線</t>
  </si>
  <si>
    <t>靜電接地夾夾持、集液盤與防溢堤準備</t>
  </si>
  <si>
    <t>85%</t>
  </si>
  <si>
    <t>確認接地儀綠燈導通正常</t>
  </si>
  <si>
    <t>夾持接地夾、鋪設吸液棉/集液盒</t>
  </si>
  <si>
    <t>接地檢測儀聲光蜂鳴警示（綠燈通行）</t>
  </si>
  <si>
    <t>卸料法蘭/快速接頭連接與扳手鎖緊</t>
  </si>
  <si>
    <t>需覆核</t>
  </si>
  <si>
    <t>60%</t>
  </si>
  <si>
    <t>接管前指差確認、確認墊片完整</t>
  </si>
  <si>
    <t>協助搬抬重油管、鎖定安全插銷</t>
  </si>
  <si>
    <t>雙人確認防呆：本籍指差 + 鎖定插銷確認</t>
  </si>
  <si>
    <t>槽體閥門開關、洩料泵浦啟閉操作</t>
  </si>
  <si>
    <t>嚴禁獨立</t>
  </si>
  <si>
    <t>35%</t>
  </si>
  <si>
    <t>核對入料槽號 (如TK-624) 並親自開閥</t>
  </si>
  <si>
    <t>僅在旁監看有無漏液或異常震動</t>
  </si>
  <si>
    <t>閥門上鎖掛牌 (LOTO)，外勞無開鎖鑰匙</t>
  </si>
  <si>
    <t>取樣分析、品檢合格判定、比重/水阻確認</t>
  </si>
  <si>
    <t>負責取樣送驗與判讀品管報告</t>
  </si>
  <si>
    <t>不可代替取樣與數據判定</t>
  </si>
  <si>
    <t>牽涉入錯料整槽污染風險，100%品管/資材把關</t>
  </si>
  <si>
    <t>緊急應變處理 (洩漏、噴濺、緊急遮斷)</t>
  </si>
  <si>
    <t>僅輔助</t>
  </si>
  <si>
    <t>20%</t>
  </si>
  <si>
    <t>指揮現場關閉緊急遮斷閥、通報</t>
  </si>
  <si>
    <t>依母語逃生指示撤離並協助拉封鎖線</t>
  </si>
  <si>
    <t>每季舉辦外勞母語工安疏散與沖淋洗眼器演練</t>
  </si>
  <si>
    <t>資材課【外籍移工 vs 本國人員】每日工時預估與派工比例分析表</t>
  </si>
  <si>
    <t>作業流程大類</t>
  </si>
  <si>
    <t>典型作業項目</t>
  </si>
  <si>
    <t>單次頻率 / 車次</t>
  </si>
  <si>
    <t>單次總耗時(分)</t>
  </si>
  <si>
    <t>外勞工時(分)</t>
  </si>
  <si>
    <t>本籍工時(分)</t>
  </si>
  <si>
    <t>外勞工時佔比</t>
  </si>
  <si>
    <t>出貨棧板集結與搬運堆疊</t>
  </si>
  <si>
    <t>每日約 8 批</t>
  </si>
  <si>
    <t>打包機打包與封膜固定</t>
  </si>
  <si>
    <t>外觀目視檢查與清潔</t>
  </si>
  <si>
    <t>貼繳庫單、核對標籤批號與條碼對刷</t>
  </si>
  <si>
    <t>司機簽核與 ERP 帳務扣帳</t>
  </si>
  <si>
    <t>車輛引導、輪擋警戒與接地夾</t>
  </si>
  <si>
    <t>每日約 3 車</t>
  </si>
  <si>
    <t>入料槽號確認與品管取樣</t>
  </si>
  <si>
    <t>管線連接、安全插銷與指差確認</t>
  </si>
  <si>
    <t>洩料監控與防溢巡檢</t>
  </si>
  <si>
    <t>拆管、殘液回抽與管具清潔5S</t>
  </si>
  <si>
    <t>合計每日工時總量 (分鐘)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</si>
</sst>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%"/>
  </numFmts>
  <fonts count="6">
    <font>
      <sz val="11"/>
      <color theme="1"/>
      <name val="新細明體"/>
      <family val="2"/>
      <scheme val="minor"/>
    </font>
    <font>
      <b/>
      <sz val="16"/>
      <color rgb="FF1E293B"/>
      <name val="微軟正黑體"/>
      <family val="2"/>
      <charset val="136"/>
    </font>
    <font>
      <b/>
      <sz val="11"/>
      <color rgb="FFFFFFFF"/>
      <name val="微軟正黑體"/>
      <family val="2"/>
      <charset val="136"/>
    </font>
    <font>
      <sz val="10"/>
      <name val="微軟正黑體"/>
      <family val="2"/>
      <charset val="136"/>
    </font>
    <font>
      <b/>
      <sz val="10"/>
      <name val="微軟正黑體"/>
      <family val="2"/>
      <charset val="136"/>
    </font>
    <font>
      <sz val="9"/>
      <name val="新細明體"/>
      <family val="3"/>
      <charset val="136"/>
      <scheme val="minor"/>
    </font>
  </fonts>
  <fills count="8">
    <fill>
      <patternFill patternType="none"/>
    </fill>
    <fill>
      <patternFill patternType="gray125"/>
    </fill>
    <fill>
      <patternFill patternType="solid">
        <fgColor rgb="FF1E293B"/>
        <bgColor rgb="FF1E293B"/>
      </patternFill>
    </fill>
    <fill>
      <patternFill patternType="solid">
        <fgColor rgb="FFDCFCE7"/>
        <bgColor rgb="FFDCFCE7"/>
      </patternFill>
    </fill>
    <fill>
      <patternFill patternType="solid">
        <fgColor rgb="FFFEF9C3"/>
        <bgColor rgb="FFFEF9C3"/>
      </patternFill>
    </fill>
    <fill>
      <patternFill patternType="solid">
        <fgColor rgb="FFFFEDD5"/>
        <bgColor rgb="FFFFEDD5"/>
      </patternFill>
    </fill>
    <fill>
      <patternFill patternType="solid">
        <fgColor rgb="FFFEE2E2"/>
        <bgColor rgb="FFFEE2E2"/>
      </patternFill>
    </fill>
    <fill>
      <patternFill patternType="solid">
        <fgColor rgb="FFF1F5F9"/>
        <bgColor rgb="FFF1F5F9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right" vertical="center"/>
    </xf>
    <xf numFmtId="176" fontId="3" fillId="0" borderId="1" xfId="0" applyNumberFormat="1" applyFont="1" applyBorder="1" applyAlignment="1">
      <alignment horizontal="center" vertical="center"/>
    </xf>
    <xf numFmtId="0" fontId="4" fillId="7" borderId="1" xfId="0" applyFont="1" applyFill="1" applyBorder="1"/>
    <xf numFmtId="0" fontId="0" fillId="7" borderId="1" xfId="0" applyFill="1" applyBorder="1"/>
    <xf numFmtId="176" fontId="4" fillId="7" borderId="1" xfId="0" applyNumberFormat="1" applyFont="1" applyFill="1" applyBorder="1"/>
    <xf numFmtId="0" fontId="1" fillId="0" borderId="0" xfId="0" applyFont="1" applyAlignment="1">
      <alignment horizontal="center" vertical="center"/>
    </xf>
    <xf numFmtId="0" fontId="0" fillId="0" borderId="0" xfId="0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"/>
  <sheetViews>
    <sheetView tabSelected="1" workbookViewId="0">
      <selection sqref="A1:G1"/>
    </sheetView>
  </sheetViews>
  <sheetFormatPr defaultRowHeight="15"/>
  <cols>
    <col min="1" max="1" width="63.75" customWidth="1"/>
    <col min="2" max="2" width="41.75" customWidth="1"/>
    <col min="3" max="4" width="14" customWidth="1"/>
    <col min="5" max="5" width="48.375" customWidth="1"/>
    <col min="6" max="6" width="35.25" customWidth="1"/>
    <col min="7" max="7" width="50.625" customWidth="1"/>
  </cols>
  <sheetData>
    <row r="1" spans="1:7" ht="40.049999999999997" customHeight="1">
      <c r="A1" s="15" t="s">
        <v>0</v>
      </c>
      <c r="B1" s="16"/>
      <c r="C1" s="16"/>
      <c r="D1" s="16"/>
      <c r="E1" s="16"/>
      <c r="F1" s="16"/>
      <c r="G1" s="16"/>
    </row>
    <row r="3" spans="1:7" ht="28.05" customHeight="1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</row>
    <row r="4" spans="1:7">
      <c r="A4" s="2" t="s">
        <v>8</v>
      </c>
      <c r="B4" s="3" t="s">
        <v>9</v>
      </c>
      <c r="C4" s="2" t="s">
        <v>10</v>
      </c>
      <c r="D4" s="4" t="s">
        <v>11</v>
      </c>
      <c r="E4" s="3" t="s">
        <v>12</v>
      </c>
      <c r="F4" s="3" t="s">
        <v>13</v>
      </c>
      <c r="G4" s="3" t="s">
        <v>14</v>
      </c>
    </row>
    <row r="5" spans="1:7">
      <c r="A5" s="2" t="s">
        <v>8</v>
      </c>
      <c r="B5" s="3" t="s">
        <v>15</v>
      </c>
      <c r="C5" s="2" t="s">
        <v>10</v>
      </c>
      <c r="D5" s="4" t="s">
        <v>16</v>
      </c>
      <c r="E5" s="3" t="s">
        <v>17</v>
      </c>
      <c r="F5" s="3" t="s">
        <v>18</v>
      </c>
      <c r="G5" s="3" t="s">
        <v>19</v>
      </c>
    </row>
    <row r="6" spans="1:7">
      <c r="A6" s="2" t="s">
        <v>8</v>
      </c>
      <c r="B6" s="3" t="s">
        <v>20</v>
      </c>
      <c r="C6" s="2" t="s">
        <v>21</v>
      </c>
      <c r="D6" s="5" t="s">
        <v>22</v>
      </c>
      <c r="E6" s="3" t="s">
        <v>23</v>
      </c>
      <c r="F6" s="3" t="s">
        <v>24</v>
      </c>
      <c r="G6" s="3" t="s">
        <v>25</v>
      </c>
    </row>
    <row r="7" spans="1:7">
      <c r="A7" s="2" t="s">
        <v>8</v>
      </c>
      <c r="B7" s="3" t="s">
        <v>26</v>
      </c>
      <c r="C7" s="2" t="s">
        <v>27</v>
      </c>
      <c r="D7" s="5" t="s">
        <v>28</v>
      </c>
      <c r="E7" s="3" t="s">
        <v>29</v>
      </c>
      <c r="F7" s="3" t="s">
        <v>30</v>
      </c>
      <c r="G7" s="3" t="s">
        <v>31</v>
      </c>
    </row>
    <row r="8" spans="1:7">
      <c r="A8" s="2" t="s">
        <v>8</v>
      </c>
      <c r="B8" s="3" t="s">
        <v>32</v>
      </c>
      <c r="C8" s="2" t="s">
        <v>33</v>
      </c>
      <c r="D8" s="7" t="s">
        <v>34</v>
      </c>
      <c r="E8" s="3" t="s">
        <v>35</v>
      </c>
      <c r="F8" s="3" t="s">
        <v>36</v>
      </c>
      <c r="G8" s="3" t="s">
        <v>37</v>
      </c>
    </row>
    <row r="9" spans="1:7">
      <c r="A9" s="2" t="s">
        <v>38</v>
      </c>
      <c r="B9" s="3" t="s">
        <v>39</v>
      </c>
      <c r="C9" s="2" t="s">
        <v>10</v>
      </c>
      <c r="D9" s="4" t="s">
        <v>16</v>
      </c>
      <c r="E9" s="3" t="s">
        <v>40</v>
      </c>
      <c r="F9" s="3" t="s">
        <v>41</v>
      </c>
      <c r="G9" s="3" t="s">
        <v>42</v>
      </c>
    </row>
    <row r="10" spans="1:7">
      <c r="A10" s="2" t="s">
        <v>38</v>
      </c>
      <c r="B10" s="3" t="s">
        <v>43</v>
      </c>
      <c r="C10" s="2" t="s">
        <v>10</v>
      </c>
      <c r="D10" s="4" t="s">
        <v>44</v>
      </c>
      <c r="E10" s="3" t="s">
        <v>45</v>
      </c>
      <c r="F10" s="3" t="s">
        <v>46</v>
      </c>
      <c r="G10" s="3" t="s">
        <v>47</v>
      </c>
    </row>
    <row r="11" spans="1:7">
      <c r="A11" s="2" t="s">
        <v>38</v>
      </c>
      <c r="B11" s="3" t="s">
        <v>48</v>
      </c>
      <c r="C11" s="2" t="s">
        <v>49</v>
      </c>
      <c r="D11" s="5" t="s">
        <v>50</v>
      </c>
      <c r="E11" s="3" t="s">
        <v>51</v>
      </c>
      <c r="F11" s="3" t="s">
        <v>52</v>
      </c>
      <c r="G11" s="3" t="s">
        <v>53</v>
      </c>
    </row>
    <row r="12" spans="1:7">
      <c r="A12" s="2" t="s">
        <v>38</v>
      </c>
      <c r="B12" s="3" t="s">
        <v>54</v>
      </c>
      <c r="C12" s="2" t="s">
        <v>55</v>
      </c>
      <c r="D12" s="6" t="s">
        <v>56</v>
      </c>
      <c r="E12" s="3" t="s">
        <v>57</v>
      </c>
      <c r="F12" s="3" t="s">
        <v>58</v>
      </c>
      <c r="G12" s="3" t="s">
        <v>59</v>
      </c>
    </row>
    <row r="13" spans="1:7">
      <c r="A13" s="2" t="s">
        <v>38</v>
      </c>
      <c r="B13" s="3" t="s">
        <v>60</v>
      </c>
      <c r="C13" s="2" t="s">
        <v>33</v>
      </c>
      <c r="D13" s="7" t="s">
        <v>34</v>
      </c>
      <c r="E13" s="3" t="s">
        <v>61</v>
      </c>
      <c r="F13" s="3" t="s">
        <v>62</v>
      </c>
      <c r="G13" s="3" t="s">
        <v>63</v>
      </c>
    </row>
    <row r="14" spans="1:7">
      <c r="A14" s="2" t="s">
        <v>38</v>
      </c>
      <c r="B14" s="3" t="s">
        <v>64</v>
      </c>
      <c r="C14" s="2" t="s">
        <v>65</v>
      </c>
      <c r="D14" s="7" t="s">
        <v>66</v>
      </c>
      <c r="E14" s="3" t="s">
        <v>67</v>
      </c>
      <c r="F14" s="3" t="s">
        <v>68</v>
      </c>
      <c r="G14" s="3" t="s">
        <v>69</v>
      </c>
    </row>
  </sheetData>
  <mergeCells count="1">
    <mergeCell ref="A1:G1"/>
  </mergeCells>
  <phoneticPr fontId="5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"/>
  <sheetViews>
    <sheetView workbookViewId="0"/>
  </sheetViews>
  <sheetFormatPr defaultRowHeight="15"/>
  <cols>
    <col min="1" max="1" width="68.25" customWidth="1"/>
    <col min="2" max="2" width="30.75" customWidth="1"/>
    <col min="3" max="3" width="19.75" customWidth="1"/>
    <col min="4" max="6" width="26.375" customWidth="1"/>
    <col min="7" max="7" width="17.625" customWidth="1"/>
  </cols>
  <sheetData>
    <row r="1" spans="1:7" ht="40.049999999999997" customHeight="1">
      <c r="A1" s="15" t="s">
        <v>70</v>
      </c>
      <c r="B1" s="16"/>
      <c r="C1" s="16"/>
      <c r="D1" s="16"/>
      <c r="E1" s="16"/>
      <c r="F1" s="16"/>
      <c r="G1" s="16"/>
    </row>
    <row r="3" spans="1:7" ht="28.05" customHeight="1">
      <c r="A3" s="8" t="s">
        <v>71</v>
      </c>
      <c r="B3" s="8" t="s">
        <v>72</v>
      </c>
      <c r="C3" s="8" t="s">
        <v>73</v>
      </c>
      <c r="D3" s="8" t="s">
        <v>74</v>
      </c>
      <c r="E3" s="8" t="s">
        <v>75</v>
      </c>
      <c r="F3" s="8" t="s">
        <v>76</v>
      </c>
      <c r="G3" s="8" t="s">
        <v>77</v>
      </c>
    </row>
    <row r="4" spans="1:7">
      <c r="A4" s="9" t="s">
        <v>8</v>
      </c>
      <c r="B4" s="9" t="s">
        <v>78</v>
      </c>
      <c r="C4" s="10" t="s">
        <v>79</v>
      </c>
      <c r="D4" s="10">
        <v>160</v>
      </c>
      <c r="E4" s="10">
        <v>150</v>
      </c>
      <c r="F4" s="10">
        <v>10</v>
      </c>
      <c r="G4" s="11">
        <f t="shared" ref="G4:G14" si="0">E4/D4</f>
        <v>0.9375</v>
      </c>
    </row>
    <row r="5" spans="1:7">
      <c r="A5" s="9" t="s">
        <v>8</v>
      </c>
      <c r="B5" s="9" t="s">
        <v>80</v>
      </c>
      <c r="C5" s="10" t="s">
        <v>79</v>
      </c>
      <c r="D5" s="10">
        <v>120</v>
      </c>
      <c r="E5" s="10">
        <v>110</v>
      </c>
      <c r="F5" s="10">
        <v>10</v>
      </c>
      <c r="G5" s="11">
        <f t="shared" si="0"/>
        <v>0.91666666666666663</v>
      </c>
    </row>
    <row r="6" spans="1:7">
      <c r="A6" s="9" t="s">
        <v>8</v>
      </c>
      <c r="B6" s="9" t="s">
        <v>81</v>
      </c>
      <c r="C6" s="10" t="s">
        <v>79</v>
      </c>
      <c r="D6" s="10">
        <v>60</v>
      </c>
      <c r="E6" s="10">
        <v>45</v>
      </c>
      <c r="F6" s="10">
        <v>15</v>
      </c>
      <c r="G6" s="11">
        <f t="shared" si="0"/>
        <v>0.75</v>
      </c>
    </row>
    <row r="7" spans="1:7">
      <c r="A7" s="9" t="s">
        <v>8</v>
      </c>
      <c r="B7" s="9" t="s">
        <v>82</v>
      </c>
      <c r="C7" s="10" t="s">
        <v>79</v>
      </c>
      <c r="D7" s="10">
        <v>60</v>
      </c>
      <c r="E7" s="10">
        <v>40</v>
      </c>
      <c r="F7" s="10">
        <v>20</v>
      </c>
      <c r="G7" s="11">
        <f t="shared" si="0"/>
        <v>0.66666666666666663</v>
      </c>
    </row>
    <row r="8" spans="1:7">
      <c r="A8" s="9" t="s">
        <v>8</v>
      </c>
      <c r="B8" s="9" t="s">
        <v>83</v>
      </c>
      <c r="C8" s="10" t="s">
        <v>79</v>
      </c>
      <c r="D8" s="10">
        <v>80</v>
      </c>
      <c r="E8" s="10">
        <v>0</v>
      </c>
      <c r="F8" s="10">
        <v>80</v>
      </c>
      <c r="G8" s="11">
        <f t="shared" si="0"/>
        <v>0</v>
      </c>
    </row>
    <row r="9" spans="1:7">
      <c r="A9" s="9" t="s">
        <v>38</v>
      </c>
      <c r="B9" s="9" t="s">
        <v>84</v>
      </c>
      <c r="C9" s="10" t="s">
        <v>85</v>
      </c>
      <c r="D9" s="10">
        <v>45</v>
      </c>
      <c r="E9" s="10">
        <v>35</v>
      </c>
      <c r="F9" s="10">
        <v>10</v>
      </c>
      <c r="G9" s="11">
        <f t="shared" si="0"/>
        <v>0.77777777777777779</v>
      </c>
    </row>
    <row r="10" spans="1:7">
      <c r="A10" s="9" t="s">
        <v>38</v>
      </c>
      <c r="B10" s="9" t="s">
        <v>86</v>
      </c>
      <c r="C10" s="10" t="s">
        <v>85</v>
      </c>
      <c r="D10" s="10">
        <v>60</v>
      </c>
      <c r="E10" s="10">
        <v>0</v>
      </c>
      <c r="F10" s="10">
        <v>60</v>
      </c>
      <c r="G10" s="11">
        <f t="shared" si="0"/>
        <v>0</v>
      </c>
    </row>
    <row r="11" spans="1:7">
      <c r="A11" s="9" t="s">
        <v>38</v>
      </c>
      <c r="B11" s="9" t="s">
        <v>87</v>
      </c>
      <c r="C11" s="10" t="s">
        <v>85</v>
      </c>
      <c r="D11" s="10">
        <v>45</v>
      </c>
      <c r="E11" s="10">
        <v>25</v>
      </c>
      <c r="F11" s="10">
        <v>20</v>
      </c>
      <c r="G11" s="11">
        <f t="shared" si="0"/>
        <v>0.55555555555555558</v>
      </c>
    </row>
    <row r="12" spans="1:7">
      <c r="A12" s="9" t="s">
        <v>38</v>
      </c>
      <c r="B12" s="9" t="s">
        <v>88</v>
      </c>
      <c r="C12" s="10" t="s">
        <v>85</v>
      </c>
      <c r="D12" s="10">
        <v>120</v>
      </c>
      <c r="E12" s="10">
        <v>40</v>
      </c>
      <c r="F12" s="10">
        <v>80</v>
      </c>
      <c r="G12" s="11">
        <f t="shared" si="0"/>
        <v>0.33333333333333331</v>
      </c>
    </row>
    <row r="13" spans="1:7">
      <c r="A13" s="9" t="s">
        <v>38</v>
      </c>
      <c r="B13" s="9" t="s">
        <v>89</v>
      </c>
      <c r="C13" s="10" t="s">
        <v>85</v>
      </c>
      <c r="D13" s="10">
        <v>50</v>
      </c>
      <c r="E13" s="10">
        <v>40</v>
      </c>
      <c r="F13" s="10">
        <v>10</v>
      </c>
      <c r="G13" s="11">
        <f t="shared" si="0"/>
        <v>0.8</v>
      </c>
    </row>
    <row r="14" spans="1:7">
      <c r="A14" s="12" t="s">
        <v>90</v>
      </c>
      <c r="B14" s="13"/>
      <c r="C14" s="13"/>
      <c r="D14" s="12">
        <f>SUM(D4:D13)</f>
        <v>800</v>
      </c>
      <c r="E14" s="12">
        <f>SUM(E4:E13)</f>
        <v>485</v>
      </c>
      <c r="F14" s="12">
        <f>SUM(F4:F13)</f>
        <v>315</v>
      </c>
      <c r="G14" s="14">
        <f t="shared" si="0"/>
        <v>0.60624999999999996</v>
      </c>
    </row>
  </sheetData>
  <mergeCells count="1">
    <mergeCell ref="A1:G1"/>
  </mergeCells>
  <phoneticPr fontId="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外勞作業適配與權責劃分</vt:lpstr>
      <vt:lpstr>工時與人力派工統計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C606</cp:lastModifiedBy>
  <dcterms:created xsi:type="dcterms:W3CDTF">2026-10-19T04:36:55Z</dcterms:created>
  <dcterms:modified xsi:type="dcterms:W3CDTF">2026-10-19T04:48:42Z</dcterms:modified>
</cp:coreProperties>
</file>