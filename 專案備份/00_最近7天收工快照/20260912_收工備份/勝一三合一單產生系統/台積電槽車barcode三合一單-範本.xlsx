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OOGLE ANGET\三合一單自動產生器\"/>
    </mc:Choice>
  </mc:AlternateContent>
  <bookViews>
    <workbookView xWindow="0" yWindow="0" windowWidth="23040" windowHeight="9000" activeTab="1"/>
  </bookViews>
  <sheets>
    <sheet name="barcode" sheetId="1" r:id="rId1"/>
    <sheet name="工作表2" sheetId="2" r:id="rId2"/>
    <sheet name="工作表3" sheetId="3" r:id="rId3"/>
  </sheets>
  <definedNames>
    <definedName name="_xlnm.Print_Area" localSheetId="0">barcode!$A$1:$O$17</definedName>
  </definedNames>
  <calcPr calcId="162913"/>
</workbook>
</file>

<file path=xl/calcChain.xml><?xml version="1.0" encoding="utf-8"?>
<calcChain xmlns="http://schemas.openxmlformats.org/spreadsheetml/2006/main">
  <c r="D11" i="1" l="1"/>
  <c r="E11" i="1" s="1"/>
  <c r="E12" i="1"/>
  <c r="C14" i="1"/>
  <c r="E8" i="1"/>
  <c r="D7" i="1"/>
  <c r="E7" i="1" s="1"/>
  <c r="E18" i="1"/>
  <c r="D5" i="1"/>
  <c r="E5" i="1" s="1"/>
  <c r="E6" i="1"/>
  <c r="E15" i="1" l="1"/>
  <c r="D14" i="1"/>
  <c r="E14" i="1" s="1"/>
  <c r="E10" i="1"/>
  <c r="E4" i="1"/>
  <c r="D3" i="1"/>
  <c r="E3" i="1" s="1"/>
  <c r="D9" i="1"/>
  <c r="E9" i="1" s="1"/>
</calcChain>
</file>

<file path=xl/sharedStrings.xml><?xml version="1.0" encoding="utf-8"?>
<sst xmlns="http://schemas.openxmlformats.org/spreadsheetml/2006/main" count="38" uniqueCount="37">
  <si>
    <t>槽號</t>
    <phoneticPr fontId="1" type="noConversion"/>
  </si>
  <si>
    <t>料號</t>
    <phoneticPr fontId="1" type="noConversion"/>
  </si>
  <si>
    <t>【地磅用】</t>
    <phoneticPr fontId="1" type="noConversion"/>
  </si>
  <si>
    <t>【TGCM用】</t>
    <phoneticPr fontId="1" type="noConversion"/>
  </si>
  <si>
    <t>批號</t>
    <phoneticPr fontId="1" type="noConversion"/>
  </si>
  <si>
    <t xml:space="preserve">CoA 是否符合出貨規格 (SPEC) : ____ (Y/N)
Chemical lorry/Gas trailer CoA上傳資訊裡的BatchID 是否與 出貨單相符: _____(Y/N)
填表人 (supplier) :____________ ; 確認者 (supplier) : ____________
</t>
    <phoneticPr fontId="1" type="noConversion"/>
  </si>
  <si>
    <t>B90-INV-01-01</t>
    <phoneticPr fontId="1" type="noConversion"/>
  </si>
  <si>
    <t>tsmc lorry material barcode</t>
    <phoneticPr fontId="1" type="noConversion"/>
  </si>
  <si>
    <t>QR code</t>
    <phoneticPr fontId="1" type="noConversion"/>
  </si>
  <si>
    <t>||</t>
  </si>
  <si>
    <t>TSMC chemical lorry barcode 三合一單</t>
    <phoneticPr fontId="1" type="noConversion"/>
  </si>
  <si>
    <t>4L12C53161</t>
    <phoneticPr fontId="1" type="noConversion"/>
  </si>
  <si>
    <t>https://qr.calm9.com/tw/</t>
  </si>
  <si>
    <t>批號</t>
    <phoneticPr fontId="1" type="noConversion"/>
  </si>
  <si>
    <t>供應商</t>
    <phoneticPr fontId="1" type="noConversion"/>
  </si>
  <si>
    <t>送達地點</t>
    <phoneticPr fontId="1" type="noConversion"/>
  </si>
  <si>
    <t>E1550156A</t>
    <phoneticPr fontId="1" type="noConversion"/>
  </si>
  <si>
    <t>5E319</t>
    <phoneticPr fontId="1" type="noConversion"/>
  </si>
  <si>
    <r>
      <t>6</t>
    </r>
    <r>
      <rPr>
        <b/>
        <sz val="12"/>
        <color rgb="FFFF0000"/>
        <rFont val="新細明體"/>
        <family val="1"/>
        <charset val="136"/>
        <scheme val="minor"/>
      </rPr>
      <t>26206E3191</t>
    </r>
    <phoneticPr fontId="1" type="noConversion"/>
  </si>
  <si>
    <t>項次</t>
  </si>
  <si>
    <t>槽號</t>
  </si>
  <si>
    <t>批號</t>
  </si>
  <si>
    <t>地點</t>
  </si>
  <si>
    <t>E29</t>
  </si>
  <si>
    <t>15P5</t>
  </si>
  <si>
    <t>E44</t>
  </si>
  <si>
    <t>E318</t>
  </si>
  <si>
    <t>15P6</t>
    <phoneticPr fontId="1" type="noConversion"/>
  </si>
  <si>
    <t>E319</t>
  </si>
  <si>
    <t>15P6</t>
  </si>
  <si>
    <t>E315</t>
  </si>
  <si>
    <t>15P5</t>
    <phoneticPr fontId="1" type="noConversion"/>
  </si>
  <si>
    <t>26826E3181</t>
    <phoneticPr fontId="1" type="noConversion"/>
  </si>
  <si>
    <t>26826E3091</t>
    <phoneticPr fontId="1" type="noConversion"/>
  </si>
  <si>
    <t>26826E3081</t>
    <phoneticPr fontId="1" type="noConversion"/>
  </si>
  <si>
    <t>26826E3051</t>
    <phoneticPr fontId="1" type="noConversion"/>
  </si>
  <si>
    <t>26826E3021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</si>
</sst>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24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36"/>
      <color theme="1"/>
      <name val="Free 3 of 9"/>
      <family val="3"/>
    </font>
    <font>
      <sz val="20"/>
      <color theme="1"/>
      <name val="新細明體"/>
      <family val="1"/>
      <charset val="136"/>
      <scheme val="major"/>
    </font>
    <font>
      <sz val="8"/>
      <color rgb="FF262626"/>
      <name val="Segoe UI"/>
      <family val="2"/>
    </font>
    <font>
      <sz val="7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6" fillId="0" borderId="0" xfId="0" applyFont="1">
      <alignment vertical="center"/>
    </xf>
    <xf numFmtId="0" fontId="11" fillId="0" borderId="0" xfId="1">
      <alignment vertical="center"/>
    </xf>
    <xf numFmtId="0" fontId="12" fillId="0" borderId="4" xfId="0" applyNumberFormat="1" applyFont="1" applyBorder="1" applyAlignment="1">
      <alignment horizontal="center"/>
    </xf>
    <xf numFmtId="0" fontId="13" fillId="0" borderId="5" xfId="0" applyNumberFormat="1" applyFont="1" applyBorder="1" applyAlignment="1">
      <alignment horizontal="center" vertical="top"/>
    </xf>
    <xf numFmtId="0" fontId="8" fillId="0" borderId="0" xfId="0" applyFont="1" applyBorder="1" applyAlignment="1" applyProtection="1">
      <alignment vertical="top" wrapText="1"/>
      <protection locked="0"/>
    </xf>
    <xf numFmtId="0" fontId="14" fillId="0" borderId="0" xfId="0" applyFont="1">
      <alignment vertical="center"/>
    </xf>
    <xf numFmtId="0" fontId="5" fillId="0" borderId="0" xfId="0" applyNumberFormat="1" applyFont="1" applyProtection="1">
      <alignment vertical="center"/>
      <protection locked="0"/>
    </xf>
    <xf numFmtId="49" fontId="13" fillId="0" borderId="5" xfId="0" applyNumberFormat="1" applyFont="1" applyBorder="1" applyAlignment="1">
      <alignment horizontal="center" vertical="top"/>
    </xf>
    <xf numFmtId="0" fontId="15" fillId="0" borderId="0" xfId="0" applyFo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top" wrapText="1"/>
      <protection locked="0"/>
    </xf>
    <xf numFmtId="0" fontId="8" fillId="0" borderId="0" xfId="0" applyFont="1" applyBorder="1" applyAlignment="1" applyProtection="1">
      <alignment horizontal="center" vertical="top" wrapText="1"/>
      <protection locked="0"/>
    </xf>
    <xf numFmtId="0" fontId="10" fillId="0" borderId="0" xfId="0" applyFont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2696625</xdr:colOff>
      <xdr:row>1</xdr:row>
      <xdr:rowOff>0</xdr:rowOff>
    </xdr:to>
    <xdr:pic>
      <xdr:nvPicPr>
        <xdr:cNvPr id="10" name="圖片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20973" cy="8890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307571</xdr:colOff>
      <xdr:row>9</xdr:row>
      <xdr:rowOff>307571</xdr:rowOff>
    </xdr:to>
    <xdr:sp macro="" textlink="">
      <xdr:nvSpPr>
        <xdr:cNvPr id="1025" name="AutoShape 1" descr="data:image/png;base64,iVBORw0KGgoAAAANSUhEUgAAAHsAAAB7CAYAAABUx/9/AAAAAXNSR0IArs4c6QAAAARnQU1BAACxjwv8YQUAAAAJcEhZcwAADsMAAA7DAcdvqGQAAAuCSURBVHhe7Y/RkhzJEcP8/z8td92NtZhaopfp6tGTEIFQNMmsWf3n4tfTEssbeGs2pLvlCfaO5WS6edAYHkksb+Ct2ZDulifYO5aT6eZBY3gksbyBt2ZDulueYO9YTqabB/36OMHemeZPwfdNo9kQ21tObGP5FL5z+fyjZJo/Bd83jWZDbG85sY3lU/jO5fOPkmn+FHzfNJoNsb3lxDaWT+E7l/lR5iZpckpSfypp8kaS+qXRbIjtmZtk66pRlDQ5Jak/lTR5I0n90mg2xPbMTbJ11ShKmpyS1J9KmryRpH5pNBtie+Ym2bpqFCWWN5zcEr7TaDQbwj010nZJmtwkW1eNosTyhpNbwncajWZDuKdG2i5Jk5tk66pRlFjecHJL+E6j0WwI99RI2yVpcpNsXTWKEssN7hsN2zCnDeluSSw3uKeGbZibZOuqUZRYbnDfaNiGOW1Id0tiucE9NWzD3CRbV42ixHKD+0bDNsxpQ7pbEssN7qlhG+Ym2bo8mmLvMG9sSHfLhmZvmyZvbJjuDb5z+fyjhHljQ7pbNjR72zR5Y8N0b/Cdy+cfJcwbG9LdsqHZ26bJGxume4PvXL59PCL5m//LSf6gMTyS/M3/5SR/0BgeSf7m/3KSP+br7Y8Rf/SywfaWE9swp8Z0Q41m8wk+/mv8j9EG21tObMOcGtMNNZrNJ/j4r/E/RhtsbzmxDXNqTDfUaDafQH+Nf5BJmpxOmd7avsmpkbatJPV3Gmn7zdf2G3G8SZqcTpne2r7JqZG2rST1dxpp+83X9htxvEmanE6Z3tq+yamRtq0k9XcaaRv8+iBNThvS3W6D7Zmbhm2eysnJhnkjub61+DGnDelut8H2zE3DNk/l5GTDvJFc31r8mNOGdLfbYHvmpmGbp3JysmHeSN6+bNTw1K1pTDeNJPVLYnnD9Ha6J28XRw89dGsa000jSf2SWN4wvZ3uydvF0UMP3ZrGdNNIUr8kljdMb6d7Ul1Mf8D2zKlhmyanDelu2ZDulg3N3jbj/PXvLXZs2J45NWzT5LQh3S0b0t2yodnbZpy//r3Fjg3bM6eGbZqcNqS7ZUO6WzY0e9v8H3kuCDeUpH5JLCfcUCNt7zSmG2qk7ZKkfkmanJKtyyPCDSWpXxLLCTfUSNs7jemGGmm7JKlfkianZOvyiHBDSeqXxHLCDTXS9k5juqFG2i5J6pekySnZumr0W2K5YXvmU420XZLUL0nqlyT1S2O6aTS2XT5gTonlhu2ZTzXSdklSvySpX5LUL43pptHYdvmAOSWWG7ZnPtVI2yVJ/ZKkfklSvzSmm0bjbffK/oGFYRvLyXRDjbTdNdK2taHZc0ONtF0SzV///oONiG0sJ9MNNdJ210jb1oZmzw010nZJNH/9+w82IraxnEw31EjbXSNtWxuaPTfUSNslucnfj/4nmeak2Ri8NY20XRq2sdz49P6E6ze+foySaU6ajcFb00jbpWEby41P70+4fuPrxyiZ5qTZGLw1jbRdGrax3Pj0/gT9Bf4RJrHc4N400naXpL6VpH5JUr9LUr8kTW6S9y+QDneJ5Qb3ppG2uyT1rST1S5L6XZL6JWlyk7x/gXS4Syw3uDeNtN0lqW8lqV+S1O+S1C9Jk5vk+s4jOsVum7zRSNulkbZLo9k0NO/Ypskpub7ziE6x2yZvNNJ2aaTt0mg2Dc07tmlySq7vPKJT7LbJG420XRppuzSaTUPzjm2anJLqr7Zjwg0llpPphpJpfkLzpm2eyhuqi+YHuKHEcjLdUDLNT2jetM1TeUN10fwAN5RYTqYbSqb5Cc2btnkqb7huZo8ypyT1S5L63SnTW+5NMs0beEuJ5VOu+9kPMKck9UuS+t0p01vuTTLNG3hLieVTrvvZDzCnJPVLkvrdKdNb7k0yzRt4S4nlU6779x9Jkqdywg0lqd8lqV+S1C8bntpbTmzDnBpXlw8oeSon3FCS+l2S+iVJ/bLhqb3lxDbMqXF1+YCSp3LCDSWp3yWpX5LULxue2ltObMOcGleXR8zpCem9U6ekN3YN2zCnJPVLwzbMqbHt8gFzekJ679Qp6Y1dwzbMKUn90rANc2psu3zAnJ6Q3jt1Snpj17ANc0pSvzRsw5wab7tX9g2ODG5McpI/JUn9rpG2u8RyYhvmZoOumoe4MclJ/pQk9btG2u4Sy4ltmJsNumoe4sYkJ/lTktTvGmm7SywntmFuNly7nw+aTYO9w/xEkvo7SZObDeluSVK/a6Tty68Po9k02DvMTySpv5M0udmQ7pYk9btG2r78+jCaTYO9w/xEkvo7SZObDeluSVK/a6Ttyxi+2ZDudknqd0nqd4203W2wPfNGkvolaXJqXF0+oA3pbpekfpekftdI290G2zNvJKlfkianxtXlA9qQ7nZJ6ndJ6neNtN1tsD3zRpL6JWlyamhTHcuGuUmanJLUL4nlU/gOJZaT6WYqeete2Tc4MmzD3CRNTknql8TyKXyHEsvJdDOVvHWv7BscGbZhbpImpyT1S2L5FL5DieVkuplK3rpXVvN2LJImN420PZWkfpekftdI26XRbIzxBX/MJE1uGml7Kkn9Lkn9rpG2S6PZGOML/phJmtw00vZUkvpdkvpdI22XRrMx3i7soZOcNqS7ZUO6u5NYbnBPjbRdkmlu2P7tS0cHOW1Id8uGdHcnsdzgnhppuyTT3LD925eODnLakO6WDenuTmK5wT010nZJprlh++tbiz+mYRvmjST1uw3prpWkfkmanJKtq0Yf1bAN80aS+t2GdNdKUr8kTU7J1lWjj2rYhnkjSf1uQ7prJalfkianZOuq0W+npDd2SeqXJ6T3dknqlyT1y4ZmbxvLDe4v8zFzOiW9sUtSvzwhvbdLUr8kqV82NHvbWG5wf5mPmdMp6Y1dkvrlCem9XZL6JUn9sqHZ28Zyg/vLfMz8RKPZEO4bSeqXhm2anJImpyT1reT61uIRjWZDuG8kqV8atmlySpqcktS3kutbi0c0mg3hvpGkfmnYpskpaXJKUt9Kru9cGNxTkvolSf2ywfbM6ZTpbbOfbiix3OD+8uj4tyT1S5L6ZYPtmdMp09tmP91QYrnB/eXR8W9J6pck9csG2zOnU6a3zX66ocRyg/vLfMzcJKlfNtieuWmk7W5DujuVpP5JyfWtxY+S1C8bbM/cNNJ2tyHdnUpS/6Tk+tbiR0nqlw22Z24aabvbkO5OJal/UtL9jw9If8BuQ7pbEsuJbSwnzYbYnjltONl3Fwe8/ZjYkO6WxHJiG8tJsyG2Z04bTvbdxQFvPyY2pLslsZzYxnLSbIjtmdOGk/3l28cjNqS75Qmffoe5SZqckian5CZ/P3rChnS3POHT7zA3SZNT0uSU3OTvR0/YkO6WJ3z6HeYmaXJKmpySmzwXU07emd5y33iCvdPkJrHc4J6SmzwXU07emd5y33iCvdPkJrHc4J6SmzwXU07emd5y33iCvdPkJrHc4J6Sm/znA5M0OTVsYznhhpLULxvS3Z0N6e5UsnXVKEqanBq2sZxwQ0nqlw3p7s6GdHcq2bpqFCVNTg3bWE64oST1y4Z0d2dDujuVbF01ipImp4ZtLG+Y3nJvTklv7Dac7C/zMXOTNDk1bGN5w/SWe3NKemO34WR/mY+Zm6TJqWEbyxumt9ybU9Ibuw0n+8t8zNwkJzkl09zg3iSp3yV/MjfJTf7zgUlOckqmucG9SVK/S/5kbpKb/OcDk5zklExzg3uTpH6X/MncJDd5LqZM3znZU3KSUyNtd4203SXTnNjm+v75uGH6zsmekpOcGmm7a6TtLpnmxDbX98/HDdN3TvaUnOTUSNtdI213yTQntrm+v4qnNNJ2l1hObMOcGrZp8qmGbZg3GleXD0400naXWE5sw5watmnyqYZtmDcaV5cPTjTSdpdYTmzDnBq2afKphm2YN2Z+/fovg4vjE2rXioQAAAAASUVORK5CYII="/>
        <xdr:cNvSpPr>
          <a:spLocks noChangeAspect="1" noChangeArrowheads="1"/>
        </xdr:cNvSpPr>
      </xdr:nvSpPr>
      <xdr:spPr bwMode="auto">
        <a:xfrm>
          <a:off x="14223076" y="6192982"/>
          <a:ext cx="307571" cy="307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99784</xdr:colOff>
      <xdr:row>4</xdr:row>
      <xdr:rowOff>117708</xdr:rowOff>
    </xdr:from>
    <xdr:to>
      <xdr:col>14</xdr:col>
      <xdr:colOff>2874581</xdr:colOff>
      <xdr:row>9</xdr:row>
      <xdr:rowOff>689428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3998" y="2839137"/>
          <a:ext cx="8244869" cy="410957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304800</xdr:colOff>
      <xdr:row>19</xdr:row>
      <xdr:rowOff>99060</xdr:rowOff>
    </xdr:to>
    <xdr:sp macro="" textlink="">
      <xdr:nvSpPr>
        <xdr:cNvPr id="2" name="AutoShape 1" descr="data:image/png;base64,iVBORw0KGgoAAAANSUhEUgAAAGMAAABjCAYAAACPO76VAAAAAXNSR0IArs4c6QAAAARnQU1BAACxjwv8YQUAAAAJcEhZcwAADsMAAA7DAcdvqGQAAAeVSURBVHhe5Y/RjhtJEgPv/3/a1zWrXcUUGBJT1XpyAAGjSWbJ87+LP3fb0Oy5oVOaW26okbY3GMMjG5o9N3RKc8sNNdL2BmN4ZEOz54ZOaW65oUba3uDz44TmHW6okba7hm2YU8M2lk/hO5f3P2pwQ4203TVsw5watrF8Ct+5vP9RgxtqpO2uYRvm1LCN5VP4zmV+lLlJmryRTHPCDSWWN9gtc5NsXTWKkiZvJNOccEOJ5Q12y9wkW1eNoqTJG8k0J9xQYnmD3TI3ydZVoyhp8qkk9a3EcnKyYW6SratGUdLkU0nqW4nl5GTD3CRbV42ipMmnktS3EsvJyYa5SbauGkVJk1PjZDPNCTcmaXKTbF01ipImp8bJZpoTbkzS5CbZumoUJU1OjZPNNCfcmKTJTbJ1eTTF3rGccHMiaXKTTPMpfOfy/keJ5YSbE0mTm2SaT+E7l/c/Siwn3JxImtwk03wK37n89XGL5G/IbzSGR5K/Ib/RGB5J/ob8Nh9vf434o5vEctJsDN5SYvm3+fqv8Q8zieWk2Ri8pcTyb/P1X+MfZhLLSbMxeEuJ5d/m+r33/6GpDeluaaTtK41m08B3phpXl0fMpzaku6WRtq80mk0D35lqXF0eMZ/akO6WRtq+0mg2DXxnqvGrSYdLwzaWN5zcGvYmc5Okfpc0+S8f/Q9xcGnYxvKGk1vD3mRuktTvkib/5aP/IQ4uDdtY3nBya9ibzE2S+l3S5JvPD+Nkw5yS1C+NtF0Sy0mzIc3eNpaTq6tGH2+YU5L6pZG2S2I5aTak2dvGcnJ11ejjDXNKUr800nZJLCfNhjR721hOfjXVQbEh3FNiOWk2U5o3uWk0qs3j3x+qg2JDuKfEctJspjRvctNoVJvHvz9UB8WGcE+J5aTZTGne5KbRKDe/H/vXKXZrudHsbcOckmk+he/Qhmv3+TGxW8uNZm8b5pRM8yl8hzZcu8+Pid1abjR72zCnZJpP4Tu04drlA+aNxHKj2XPTSJr8Lknq3/j8IMwbieVGs+emkTT5XZLUv/H5QZg3EsuNZs9NI2nyuySpf+nj7hg+akw35gnpvV2S+qVxsjn7y4D9AJluzBPSe7sk9UvjZHP2lwH7ATLdmCek93ZJ6pfGyeb6fhbUSNslSf2STHPD9k1uktQvieWk3DxH1EjbJUn9kkxzw/ZNbpLUL4nlpNw8R9RI2yVJ/ZJMc8P2TW6S1C+J5aTcfP4QczolvbGc0txyY06x2ybffH4YtmFOp6Q3llOaW27MKXbb5JvPD8M2zOmU9MZySnPLjTnFbpt8M4aPs3+Y5sQ2TU5J6pdGsyHcNxpp+8YYPp77h2lObNPklKR+aTQbwn2jkbZvjOHjuX+Y5sQ2TU5J6pdGsyHcNxpp+9LH3Q9xcGmk7a5hG+aUpH7ZkO52SeqXJPVLYjn51fCAGmm7a9iGOSWpXzaku12S+iVJ/ZJYTn41PKBG2u4atmFOSeqXDelul6R+SVK/JJaTq6tGUSNtl1PSG6+cYrffyEufHwY31Ejb5ZT0xiun2O038tLnh8ENNdJ2OSW98copdvuNvPJx90McvJBMc2Kbk5ySaT7F3rGc/Gp40EimObHNSU7JNJ9i71hOfjU8aCTTnNjmJKdkmk+xdywnV/ccNU5pbm3D3CTTnHBzopG2wRiqU5pb2zA3yTQn3JxopG0whuqU5tY2zE0yzQk3JxppG3x+NNieOT0hvbc7Jb2xPMHeYW6S6zsXhu2Z0xPSe7tT0hvLE+wd5ia5vnNh2J45PSG9tzslvbE8wd5hbpLrW4sosZxw00hSv2xo9rZpckpSv0u2rhr9J7GccNNIUr9saPa2aXJKUr9Ltq4a/SexnHDTSFK/bGj2tmlySlK/S7bu/YgwN4nlhBtKmtwkqd8lqf9EY9vlgyY3ieWEG0qa3CSp3yWp/0Rj2+WDJjeJ5YQbSprcJKnfJan/ROPX7pF9Df6YwU3jlOkt97Qh3S1J6n989F+DP2Zw0zhless9bUh3S5L6Hx/91+CPGdw0Tpneck8b0t2SpP5hDI/8Bul3lsRyws1UcldOru45ustvkH5nSSwn3Ewld+Xk6p6ju/wG6XeWxHLCzVRyV06u7v2owd5hbhLLp/AdSiwnzYbYnjkl13cuptg7zE1i+RS+Q4nlpNkQ2zOn5PrOxRR7h7lJLJ/CdyixnDQbYnvmlFzfWryVNDklqV8azcbgrUlS/4nkRf7+wCRNTknql0azMXhrktR/InmRvz8wSZNTkvql0WwM3pok9Z9IXuTvD0wyzQ3uG420XZImpw3pbklS//D5QZibZJob3DcaabskTU4b0t2SpP7h84MwN8k0N7hvNNJ2SZqcNqS7JUn9w+cHYW6SaU64uUsjbZdG2r7SKDd5xNwk05xwc5dG2i6NtH2lUW7yiLlJpjnh5i6NtF0aaftKo9y8HzVM3+G+kVhObMO80ZhuqHF170cN03e4bySWE9swbzSmG2pc3ftRw/Qd7huJ5cQ2zBuN6YYaV5cPTiSWN9gt80YjbZck9UtyY/4s7pJY3mC3zBuNtF2S1C/JjfmzuEtieYPdMm800nZJUr8k9+R//vwfkCUMHuBgm4EAAAAASUVORK5CYII="/>
        <xdr:cNvSpPr>
          <a:spLocks noChangeAspect="1" noChangeArrowheads="1"/>
        </xdr:cNvSpPr>
      </xdr:nvSpPr>
      <xdr:spPr bwMode="auto">
        <a:xfrm>
          <a:off x="9959340" y="103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283028</xdr:colOff>
      <xdr:row>2</xdr:row>
      <xdr:rowOff>293914</xdr:rowOff>
    </xdr:from>
    <xdr:to>
      <xdr:col>7</xdr:col>
      <xdr:colOff>6935</xdr:colOff>
      <xdr:row>3</xdr:row>
      <xdr:rowOff>540336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10942" y="1600200"/>
          <a:ext cx="943107" cy="943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3F5471-674D-4F55-81C0-5D762EF97407}">
  <we:reference id="wa104051163" version="1.2.0.3" store="zh-TW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r.calm9.com/tw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A1:Q19"/>
  <sheetViews>
    <sheetView zoomScale="50" zoomScaleNormal="50" zoomScaleSheetLayoutView="55" workbookViewId="0">
      <selection activeCell="E18" sqref="E18"/>
    </sheetView>
  </sheetViews>
  <sheetFormatPr defaultRowHeight="16.2" x14ac:dyDescent="0.3"/>
  <cols>
    <col min="1" max="1" width="6.6640625" customWidth="1"/>
    <col min="2" max="2" width="13" customWidth="1"/>
    <col min="3" max="3" width="20.109375" customWidth="1"/>
    <col min="4" max="4" width="16.88671875" hidden="1" customWidth="1"/>
    <col min="5" max="5" width="42.21875" customWidth="1"/>
    <col min="15" max="15" width="48.88671875" customWidth="1"/>
    <col min="17" max="17" width="24.44140625" customWidth="1"/>
  </cols>
  <sheetData>
    <row r="1" spans="1:17" ht="69.900000000000006" customHeight="1" x14ac:dyDescent="0.3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7" ht="33.75" customHeight="1" x14ac:dyDescent="0.3">
      <c r="B2" s="1" t="s">
        <v>2</v>
      </c>
      <c r="C2" s="20" t="s">
        <v>7</v>
      </c>
      <c r="D2" s="20"/>
      <c r="E2" s="20"/>
    </row>
    <row r="3" spans="1:17" ht="55.5" customHeight="1" x14ac:dyDescent="0.15">
      <c r="B3" s="10" t="s">
        <v>1</v>
      </c>
      <c r="C3" s="15" t="s">
        <v>11</v>
      </c>
      <c r="D3" s="17" t="str">
        <f>"*"&amp;$C$3&amp;"*"</f>
        <v>*4L12C53161*</v>
      </c>
      <c r="E3" s="3" t="str">
        <f>$D$3</f>
        <v>*4L12C53161*</v>
      </c>
      <c r="F3" s="12"/>
      <c r="G3" s="13"/>
      <c r="H3" s="13"/>
      <c r="I3" s="5"/>
      <c r="J3" s="5"/>
      <c r="K3" s="5"/>
      <c r="L3" s="5"/>
      <c r="M3" s="5"/>
      <c r="N3" s="5"/>
      <c r="O3" s="5"/>
    </row>
    <row r="4" spans="1:17" ht="55.5" customHeight="1" x14ac:dyDescent="0.3">
      <c r="B4" s="11"/>
      <c r="C4" s="16"/>
      <c r="D4" s="18"/>
      <c r="E4" s="4" t="str">
        <f>$C$3</f>
        <v>4L12C53161</v>
      </c>
      <c r="F4" s="12"/>
      <c r="G4" s="13"/>
      <c r="H4" s="13"/>
      <c r="I4" s="5"/>
      <c r="J4" s="5"/>
      <c r="K4" s="5"/>
      <c r="L4" s="5"/>
      <c r="M4" s="5"/>
      <c r="N4" s="5"/>
      <c r="O4" s="5"/>
    </row>
    <row r="5" spans="1:17" ht="55.5" customHeight="1" x14ac:dyDescent="0.15">
      <c r="B5" s="10" t="s">
        <v>0</v>
      </c>
      <c r="C5" s="22" t="s">
        <v>17</v>
      </c>
      <c r="D5" s="17" t="str">
        <f>"*"&amp;$C$5&amp;"*"</f>
        <v>*5E319*</v>
      </c>
      <c r="E5" s="3" t="str">
        <f>$D$5</f>
        <v>*5E319*</v>
      </c>
      <c r="F5" s="12"/>
      <c r="G5" s="13"/>
      <c r="H5" s="13"/>
      <c r="I5" s="13"/>
      <c r="J5" s="13"/>
      <c r="K5" s="13"/>
      <c r="L5" s="13"/>
      <c r="M5" s="13"/>
      <c r="N5" s="13"/>
      <c r="O5" s="13"/>
    </row>
    <row r="6" spans="1:17" ht="55.5" customHeight="1" x14ac:dyDescent="0.3">
      <c r="B6" s="11"/>
      <c r="C6" s="23"/>
      <c r="D6" s="18"/>
      <c r="E6" s="8" t="str">
        <f>$C$5</f>
        <v>5E319</v>
      </c>
      <c r="F6" s="12"/>
      <c r="G6" s="13"/>
      <c r="H6" s="13"/>
      <c r="I6" s="13"/>
      <c r="J6" s="13"/>
      <c r="K6" s="13"/>
      <c r="L6" s="13"/>
      <c r="M6" s="13"/>
      <c r="N6" s="13"/>
      <c r="O6" s="13"/>
    </row>
    <row r="7" spans="1:17" ht="55.5" customHeight="1" x14ac:dyDescent="0.15">
      <c r="B7" s="10" t="s">
        <v>13</v>
      </c>
      <c r="C7" s="24" t="s">
        <v>18</v>
      </c>
      <c r="D7" s="17" t="str">
        <f>"*"&amp;$C$7&amp;"*"</f>
        <v>*626206E3191*</v>
      </c>
      <c r="E7" s="3" t="str">
        <f>$D$7</f>
        <v>*626206E3191*</v>
      </c>
      <c r="F7" s="12"/>
      <c r="G7" s="13"/>
      <c r="H7" s="13"/>
      <c r="I7" s="13"/>
      <c r="J7" s="13"/>
      <c r="K7" s="13"/>
      <c r="L7" s="13"/>
      <c r="M7" s="13"/>
      <c r="N7" s="13"/>
      <c r="O7" s="13"/>
    </row>
    <row r="8" spans="1:17" ht="55.5" customHeight="1" x14ac:dyDescent="0.3">
      <c r="B8" s="11"/>
      <c r="C8" s="25"/>
      <c r="D8" s="18"/>
      <c r="E8" s="4" t="str">
        <f>$C$7</f>
        <v>626206E3191</v>
      </c>
      <c r="F8" s="12"/>
      <c r="G8" s="13"/>
      <c r="H8" s="13"/>
      <c r="I8" s="13"/>
      <c r="J8" s="13"/>
      <c r="K8" s="13"/>
      <c r="L8" s="13"/>
      <c r="M8" s="13"/>
      <c r="N8" s="13"/>
      <c r="O8" s="13"/>
    </row>
    <row r="9" spans="1:17" ht="55.5" customHeight="1" x14ac:dyDescent="0.15">
      <c r="B9" s="10" t="s">
        <v>14</v>
      </c>
      <c r="C9" s="15">
        <v>375970680</v>
      </c>
      <c r="D9" s="17" t="str">
        <f>"*"&amp;$C$9&amp;"*"</f>
        <v>*375970680*</v>
      </c>
      <c r="E9" s="3" t="str">
        <f>$D$9</f>
        <v>*375970680*</v>
      </c>
      <c r="F9" s="12"/>
      <c r="G9" s="13"/>
      <c r="H9" s="13"/>
      <c r="I9" s="13"/>
      <c r="J9" s="13"/>
      <c r="K9" s="13"/>
      <c r="L9" s="13"/>
      <c r="M9" s="13"/>
      <c r="N9" s="13"/>
      <c r="O9" s="13"/>
    </row>
    <row r="10" spans="1:17" ht="55.5" customHeight="1" x14ac:dyDescent="0.3">
      <c r="B10" s="11"/>
      <c r="C10" s="16"/>
      <c r="D10" s="18"/>
      <c r="E10" s="4">
        <f>$C$9</f>
        <v>375970680</v>
      </c>
      <c r="F10" s="12"/>
      <c r="G10" s="13"/>
      <c r="H10" s="13"/>
      <c r="I10" s="13"/>
      <c r="J10" s="13"/>
      <c r="K10" s="13"/>
      <c r="L10" s="13"/>
      <c r="M10" s="13"/>
      <c r="N10" s="13"/>
      <c r="O10" s="13"/>
      <c r="Q10" s="6"/>
    </row>
    <row r="11" spans="1:17" ht="55.5" customHeight="1" x14ac:dyDescent="0.15">
      <c r="B11" s="10" t="s">
        <v>15</v>
      </c>
      <c r="C11" s="15" t="s">
        <v>16</v>
      </c>
      <c r="D11" s="17" t="str">
        <f>"*"&amp;$C$11&amp;"*"</f>
        <v>*E1550156A*</v>
      </c>
      <c r="E11" s="3" t="str">
        <f>$D$11</f>
        <v>*E1550156A*</v>
      </c>
      <c r="F11" s="26" t="s">
        <v>5</v>
      </c>
      <c r="G11" s="27"/>
      <c r="H11" s="27"/>
      <c r="I11" s="27"/>
      <c r="J11" s="27"/>
      <c r="K11" s="27"/>
      <c r="L11" s="27"/>
      <c r="M11" s="27"/>
      <c r="N11" s="27"/>
      <c r="O11" s="27"/>
    </row>
    <row r="12" spans="1:17" ht="55.5" customHeight="1" x14ac:dyDescent="0.3">
      <c r="B12" s="11"/>
      <c r="C12" s="16"/>
      <c r="D12" s="18"/>
      <c r="E12" s="4" t="str">
        <f>$C$11</f>
        <v>E1550156A</v>
      </c>
      <c r="F12" s="26"/>
      <c r="G12" s="27"/>
      <c r="H12" s="27"/>
      <c r="I12" s="27"/>
      <c r="J12" s="27"/>
      <c r="K12" s="27"/>
      <c r="L12" s="27"/>
      <c r="M12" s="27"/>
      <c r="N12" s="27"/>
      <c r="O12" s="27"/>
    </row>
    <row r="13" spans="1:17" ht="35.25" customHeight="1" x14ac:dyDescent="0.3">
      <c r="B13" s="1" t="s">
        <v>3</v>
      </c>
      <c r="C13" s="21"/>
      <c r="D13" s="21"/>
      <c r="E13" s="21"/>
    </row>
    <row r="14" spans="1:17" ht="50.25" customHeight="1" x14ac:dyDescent="0.15">
      <c r="B14" s="10" t="s">
        <v>4</v>
      </c>
      <c r="C14" s="15" t="str">
        <f>RIGHT(C7,13)</f>
        <v>626206E3191</v>
      </c>
      <c r="D14" s="17" t="str">
        <f>"*"&amp;$C$14&amp;"*"</f>
        <v>*626206E3191*</v>
      </c>
      <c r="E14" s="3" t="str">
        <f>$D$14</f>
        <v>*626206E3191*</v>
      </c>
      <c r="I14" s="19" t="s">
        <v>6</v>
      </c>
      <c r="J14" s="19"/>
      <c r="K14" s="19"/>
      <c r="L14" s="19"/>
      <c r="M14" s="19"/>
      <c r="N14" s="19"/>
      <c r="O14" s="19"/>
    </row>
    <row r="15" spans="1:17" ht="28.2" x14ac:dyDescent="0.3">
      <c r="B15" s="11"/>
      <c r="C15" s="16"/>
      <c r="D15" s="18"/>
      <c r="E15" s="4" t="str">
        <f>$C$14</f>
        <v>626206E3191</v>
      </c>
    </row>
    <row r="16" spans="1:17" x14ac:dyDescent="0.3">
      <c r="F16" t="s">
        <v>9</v>
      </c>
    </row>
    <row r="18" spans="2:12" x14ac:dyDescent="0.3">
      <c r="B18" t="s">
        <v>8</v>
      </c>
      <c r="E18" s="7" t="str">
        <f>F16&amp;C3&amp;F16&amp;C5&amp;F16&amp;C7&amp;F16&amp;C9&amp;F16&amp;C11</f>
        <v>||4L12C53161||5E319||626206E3191||375970680||E1550156A</v>
      </c>
    </row>
    <row r="19" spans="2:12" x14ac:dyDescent="0.3">
      <c r="E19" s="2" t="s">
        <v>12</v>
      </c>
      <c r="L19" s="9"/>
    </row>
  </sheetData>
  <sheetProtection selectLockedCells="1"/>
  <mergeCells count="25">
    <mergeCell ref="I14:O14"/>
    <mergeCell ref="C2:E2"/>
    <mergeCell ref="C13:E13"/>
    <mergeCell ref="B3:B4"/>
    <mergeCell ref="C3:C4"/>
    <mergeCell ref="D3:D4"/>
    <mergeCell ref="B5:B6"/>
    <mergeCell ref="C5:C6"/>
    <mergeCell ref="D5:D6"/>
    <mergeCell ref="B7:B8"/>
    <mergeCell ref="C7:C8"/>
    <mergeCell ref="B14:B15"/>
    <mergeCell ref="F11:O12"/>
    <mergeCell ref="C14:C15"/>
    <mergeCell ref="D14:D15"/>
    <mergeCell ref="D7:D8"/>
    <mergeCell ref="B9:B10"/>
    <mergeCell ref="F3:H4"/>
    <mergeCell ref="F5:O10"/>
    <mergeCell ref="A1:O1"/>
    <mergeCell ref="B11:B12"/>
    <mergeCell ref="C11:C12"/>
    <mergeCell ref="D11:D12"/>
    <mergeCell ref="C9:C10"/>
    <mergeCell ref="D9:D10"/>
  </mergeCells>
  <phoneticPr fontId="1" type="noConversion"/>
  <hyperlinks>
    <hyperlink ref="E19" r:id="rId1"/>
  </hyperlinks>
  <pageMargins left="3.937007874015748E-2" right="0.31496062992125984" top="0.39370078740157483" bottom="0.19685039370078741" header="0.31496062992125984" footer="0.31496062992125984"/>
  <pageSetup paperSize="9" scale="6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D6"/>
  <sheetViews>
    <sheetView tabSelected="1" workbookViewId="0">
      <selection activeCell="J16" sqref="J16"/>
    </sheetView>
  </sheetViews>
  <sheetFormatPr defaultRowHeight="16.2" x14ac:dyDescent="0.3"/>
  <cols>
    <col min="3" max="3" width="15.6640625" customWidth="1"/>
  </cols>
  <sheetData>
    <row r="1" spans="1:4" x14ac:dyDescent="0.3">
      <c r="A1" t="s">
        <v>19</v>
      </c>
      <c r="B1" t="s">
        <v>20</v>
      </c>
      <c r="C1" t="s">
        <v>21</v>
      </c>
      <c r="D1" t="s">
        <v>22</v>
      </c>
    </row>
    <row r="2" spans="1:4" x14ac:dyDescent="0.3">
      <c r="A2">
        <v>1</v>
      </c>
      <c r="B2" t="s">
        <v>23</v>
      </c>
      <c r="C2" t="s">
        <v>32</v>
      </c>
      <c r="D2" t="s">
        <v>24</v>
      </c>
    </row>
    <row r="3" spans="1:4" x14ac:dyDescent="0.3">
      <c r="A3">
        <v>2</v>
      </c>
      <c r="B3" t="s">
        <v>25</v>
      </c>
      <c r="C3" t="s">
        <v>33</v>
      </c>
      <c r="D3" t="s">
        <v>24</v>
      </c>
    </row>
    <row r="4" spans="1:4" x14ac:dyDescent="0.3">
      <c r="A4">
        <v>3</v>
      </c>
      <c r="B4" t="s">
        <v>26</v>
      </c>
      <c r="C4" t="s">
        <v>34</v>
      </c>
      <c r="D4" t="s">
        <v>27</v>
      </c>
    </row>
    <row r="5" spans="1:4" x14ac:dyDescent="0.3">
      <c r="A5">
        <v>4</v>
      </c>
      <c r="B5" t="s">
        <v>28</v>
      </c>
      <c r="C5" t="s">
        <v>35</v>
      </c>
      <c r="D5" t="s">
        <v>29</v>
      </c>
    </row>
    <row r="6" spans="1:4" x14ac:dyDescent="0.3">
      <c r="A6">
        <v>5</v>
      </c>
      <c r="B6" t="s">
        <v>30</v>
      </c>
      <c r="C6" t="s">
        <v>36</v>
      </c>
      <c r="D6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barcode</vt:lpstr>
      <vt:lpstr>工作表2</vt:lpstr>
      <vt:lpstr>工作表3</vt:lpstr>
      <vt:lpstr>barcode!Print_Area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C606</cp:lastModifiedBy>
  <cp:lastPrinted>2025-09-01T03:08:01Z</cp:lastPrinted>
  <dcterms:created xsi:type="dcterms:W3CDTF">2015-08-10T09:01:44Z</dcterms:created>
  <dcterms:modified xsi:type="dcterms:W3CDTF">2026-08-27T04:46:19Z</dcterms:modified>
</cp:coreProperties>
</file>