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7927" windowHeight="11622"/>
  </bookViews>
  <sheets>
    <sheet name="2026 NSE-115" sheetId="1" r:id="rId1"/>
    <sheet name="2026 NSE-115A 200L(M76正式出貨)" sheetId="2" r:id="rId2"/>
    <sheet name="2026 NSE-115A-T00 200L" sheetId="4" r:id="rId3"/>
  </sheets>
  <definedNames>
    <definedName name="_xlnm._FilterDatabase" localSheetId="0" hidden="1">'2026 NSE-115'!$A$2:$T$479</definedName>
    <definedName name="_xlnm._FilterDatabase" localSheetId="1" hidden="1">'2026 NSE-115A 200L(M76正式出貨)'!$A$2:$S$360</definedName>
    <definedName name="_xlnm._FilterDatabase" localSheetId="2" hidden="1">'2026 NSE-115A-T00 200L'!$A$2:$R$29</definedName>
    <definedName name="_xlnm.Print_Area" localSheetId="1">'2026 NSE-115A 200L(M76正式出貨)'!$A$1:$R$2</definedName>
    <definedName name="_xlnm.Print_Area" localSheetId="2">'2026 NSE-115A-T00 200L'!$A$1:$Q$2</definedName>
    <definedName name="Z_1294A7F5_7657_482B_891D_C4D15E6A1FDF_.wvu.FilterData" localSheetId="1" hidden="1">'2026 NSE-115A 200L(M76正式出貨)'!$A$2:$S$10</definedName>
    <definedName name="Z_1294A7F5_7657_482B_891D_C4D15E6A1FDF_.wvu.FilterData" localSheetId="2" hidden="1">'2026 NSE-115A-T00 200L'!$A$2:$R$2</definedName>
    <definedName name="Z_1294A7F5_7657_482B_891D_C4D15E6A1FDF_.wvu.PrintArea" localSheetId="1" hidden="1">'2026 NSE-115A 200L(M76正式出貨)'!$A$1:$R$2</definedName>
    <definedName name="Z_1294A7F5_7657_482B_891D_C4D15E6A1FDF_.wvu.PrintArea" localSheetId="2" hidden="1">'2026 NSE-115A-T00 200L'!$A$1:$Q$2</definedName>
    <definedName name="Z_34E441CB_6330_48F0_B097_A4EDB111149A_.wvu.FilterData" localSheetId="1" hidden="1">'2026 NSE-115A 200L(M76正式出貨)'!$A$2:$S$2</definedName>
    <definedName name="Z_34E441CB_6330_48F0_B097_A4EDB111149A_.wvu.FilterData" localSheetId="2" hidden="1">'2026 NSE-115A-T00 200L'!$A$2:$R$2</definedName>
    <definedName name="Z_34E441CB_6330_48F0_B097_A4EDB111149A_.wvu.PrintArea" localSheetId="1" hidden="1">'2026 NSE-115A 200L(M76正式出貨)'!$A$1:$R$2</definedName>
    <definedName name="Z_34E441CB_6330_48F0_B097_A4EDB111149A_.wvu.PrintArea" localSheetId="2" hidden="1">'2026 NSE-115A-T00 200L'!$A$1:$Q$2</definedName>
    <definedName name="Z_672D5AB9_BC7D_4150_A9A0_388212000AF9_.wvu.FilterData" localSheetId="1" hidden="1">'2026 NSE-115A 200L(M76正式出貨)'!$A$2:$S$2</definedName>
    <definedName name="Z_672D5AB9_BC7D_4150_A9A0_388212000AF9_.wvu.FilterData" localSheetId="2" hidden="1">'2026 NSE-115A-T00 200L'!$A$2:$R$2</definedName>
    <definedName name="Z_672D5AB9_BC7D_4150_A9A0_388212000AF9_.wvu.PrintArea" localSheetId="1" hidden="1">'2026 NSE-115A 200L(M76正式出貨)'!$A$1:$R$2</definedName>
    <definedName name="Z_672D5AB9_BC7D_4150_A9A0_388212000AF9_.wvu.PrintArea" localSheetId="2" hidden="1">'2026 NSE-115A-T00 200L'!$A$1:$Q$2</definedName>
    <definedName name="Z_675A23C9_E721_4072_B2B5_8259997EB71D_.wvu.FilterData" localSheetId="1" hidden="1">'2026 NSE-115A 200L(M76正式出貨)'!$A$2:$S$10</definedName>
    <definedName name="Z_675A23C9_E721_4072_B2B5_8259997EB71D_.wvu.FilterData" localSheetId="2" hidden="1">'2026 NSE-115A-T00 200L'!$A$2:$R$2</definedName>
    <definedName name="Z_675A23C9_E721_4072_B2B5_8259997EB71D_.wvu.PrintArea" localSheetId="1" hidden="1">'2026 NSE-115A 200L(M76正式出貨)'!$A$1:$R$2</definedName>
    <definedName name="Z_675A23C9_E721_4072_B2B5_8259997EB71D_.wvu.PrintArea" localSheetId="2" hidden="1">'2026 NSE-115A-T00 200L'!$A$1:$Q$2</definedName>
    <definedName name="Z_BFA25B18_297D_408F_9F99_AB267F448C4D_.wvu.FilterData" localSheetId="1" hidden="1">'2026 NSE-115A 200L(M76正式出貨)'!$A$2:$S$10</definedName>
    <definedName name="Z_BFA25B18_297D_408F_9F99_AB267F448C4D_.wvu.FilterData" localSheetId="2" hidden="1">'2026 NSE-115A-T00 200L'!$A$2:$R$2</definedName>
    <definedName name="Z_BFA25B18_297D_408F_9F99_AB267F448C4D_.wvu.PrintArea" localSheetId="1" hidden="1">'2026 NSE-115A 200L(M76正式出貨)'!$A$1:$R$2</definedName>
    <definedName name="Z_BFA25B18_297D_408F_9F99_AB267F448C4D_.wvu.PrintArea" localSheetId="2" hidden="1">'2026 NSE-115A-T00 200L'!$A$1:$Q$2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4" i="2" l="1"/>
  <c r="Q84" i="2" s="1"/>
  <c r="G84" i="2"/>
  <c r="E84" i="2"/>
  <c r="O83" i="2"/>
  <c r="Q83" i="2" s="1"/>
  <c r="G83" i="2"/>
  <c r="E83" i="2"/>
  <c r="O474" i="1" l="1"/>
  <c r="R474" i="1" s="1"/>
  <c r="P474" i="1" s="1"/>
  <c r="G474" i="1"/>
  <c r="E474" i="1"/>
  <c r="O473" i="1"/>
  <c r="R473" i="1" s="1"/>
  <c r="P473" i="1" s="1"/>
  <c r="O475" i="1"/>
  <c r="R475" i="1" s="1"/>
  <c r="P475" i="1" s="1"/>
  <c r="O476" i="1"/>
  <c r="Q476" i="1" s="1"/>
  <c r="O477" i="1"/>
  <c r="O478" i="1"/>
  <c r="O479" i="1"/>
  <c r="O480" i="1"/>
  <c r="O481" i="1"/>
  <c r="N476" i="1"/>
  <c r="G476" i="1"/>
  <c r="E476" i="1"/>
  <c r="N475" i="1"/>
  <c r="G475" i="1"/>
  <c r="E475" i="1"/>
  <c r="G473" i="1"/>
  <c r="E473" i="1"/>
  <c r="Q474" i="1" l="1"/>
  <c r="R476" i="1"/>
  <c r="P476" i="1" s="1"/>
  <c r="Q475" i="1"/>
  <c r="Q473" i="1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82" i="2"/>
  <c r="O472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471" i="1"/>
  <c r="R472" i="1" l="1"/>
  <c r="P472" i="1" s="1"/>
  <c r="Q472" i="1"/>
  <c r="Q471" i="1"/>
  <c r="R471" i="1"/>
  <c r="P471" i="1" s="1"/>
  <c r="G472" i="1"/>
  <c r="E472" i="1"/>
  <c r="G471" i="1"/>
  <c r="E471" i="1"/>
  <c r="R470" i="1" l="1"/>
  <c r="P470" i="1" s="1"/>
  <c r="Q470" i="1"/>
  <c r="R469" i="1"/>
  <c r="P469" i="1" s="1"/>
  <c r="Q469" i="1"/>
  <c r="G470" i="1"/>
  <c r="E470" i="1"/>
  <c r="G469" i="1"/>
  <c r="E469" i="1"/>
  <c r="M82" i="2"/>
  <c r="M84" i="2" s="1"/>
  <c r="Q82" i="2"/>
  <c r="G82" i="2"/>
  <c r="E82" i="2"/>
  <c r="Q464" i="1" l="1"/>
  <c r="R464" i="1"/>
  <c r="P464" i="1" s="1"/>
  <c r="R465" i="1" l="1"/>
  <c r="P465" i="1" s="1"/>
  <c r="Q465" i="1"/>
  <c r="R463" i="1"/>
  <c r="P463" i="1" s="1"/>
  <c r="Q463" i="1"/>
  <c r="R462" i="1"/>
  <c r="P462" i="1" s="1"/>
  <c r="Q462" i="1"/>
  <c r="G463" i="1"/>
  <c r="E463" i="1"/>
  <c r="G462" i="1"/>
  <c r="E462" i="1"/>
  <c r="N468" i="1" l="1"/>
  <c r="N467" i="1"/>
  <c r="N466" i="1"/>
  <c r="R460" i="1"/>
  <c r="P460" i="1" s="1"/>
  <c r="Q460" i="1"/>
  <c r="R468" i="1"/>
  <c r="P468" i="1" s="1"/>
  <c r="Q468" i="1"/>
  <c r="G468" i="1"/>
  <c r="E468" i="1"/>
  <c r="R467" i="1"/>
  <c r="P467" i="1" s="1"/>
  <c r="Q467" i="1"/>
  <c r="G467" i="1"/>
  <c r="E467" i="1"/>
  <c r="R466" i="1"/>
  <c r="P466" i="1" s="1"/>
  <c r="Q466" i="1"/>
  <c r="G466" i="1"/>
  <c r="E466" i="1"/>
  <c r="G465" i="1"/>
  <c r="E465" i="1"/>
  <c r="G464" i="1"/>
  <c r="E464" i="1"/>
  <c r="R461" i="1" l="1"/>
  <c r="P461" i="1" s="1"/>
  <c r="Q461" i="1"/>
  <c r="G461" i="1"/>
  <c r="E461" i="1"/>
  <c r="G460" i="1"/>
  <c r="E460" i="1"/>
  <c r="R459" i="1" l="1"/>
  <c r="P459" i="1" s="1"/>
  <c r="Q459" i="1"/>
  <c r="R458" i="1" l="1"/>
  <c r="P458" i="1" s="1"/>
  <c r="Q458" i="1"/>
  <c r="R457" i="1"/>
  <c r="P457" i="1" s="1"/>
  <c r="Q457" i="1"/>
  <c r="R456" i="1"/>
  <c r="P456" i="1" s="1"/>
  <c r="Q456" i="1"/>
  <c r="R454" i="1"/>
  <c r="P454" i="1" s="1"/>
  <c r="Q454" i="1"/>
  <c r="R455" i="1" l="1"/>
  <c r="P455" i="1" s="1"/>
  <c r="Q455" i="1"/>
  <c r="G459" i="1"/>
  <c r="E459" i="1"/>
  <c r="I459" i="1" s="1"/>
  <c r="G458" i="1"/>
  <c r="E458" i="1"/>
  <c r="G457" i="1"/>
  <c r="E457" i="1"/>
  <c r="G456" i="1"/>
  <c r="E456" i="1"/>
  <c r="G455" i="1"/>
  <c r="E455" i="1"/>
  <c r="I464" i="1" l="1"/>
  <c r="I465" i="1" s="1"/>
  <c r="I466" i="1" s="1"/>
  <c r="Q81" i="2"/>
  <c r="G81" i="2"/>
  <c r="E81" i="2"/>
  <c r="I81" i="2" s="1"/>
  <c r="I82" i="2" s="1"/>
  <c r="I83" i="2" s="1"/>
  <c r="I84" i="2" s="1"/>
  <c r="I467" i="1" l="1"/>
  <c r="I468" i="1" s="1"/>
  <c r="I473" i="1" s="1"/>
  <c r="I474" i="1" s="1"/>
  <c r="I475" i="1" s="1"/>
  <c r="I476" i="1" s="1"/>
  <c r="Q79" i="2"/>
  <c r="G79" i="2"/>
  <c r="E79" i="2"/>
  <c r="E80" i="2"/>
  <c r="G80" i="2"/>
  <c r="Q80" i="2"/>
  <c r="R452" i="1" l="1"/>
  <c r="P452" i="1" s="1"/>
  <c r="Q452" i="1"/>
  <c r="R445" i="1"/>
  <c r="P445" i="1" s="1"/>
  <c r="Q445" i="1"/>
  <c r="R453" i="1"/>
  <c r="P453" i="1" s="1"/>
  <c r="Q453" i="1"/>
  <c r="G454" i="1"/>
  <c r="E454" i="1"/>
  <c r="I454" i="1" s="1"/>
  <c r="I457" i="1" s="1"/>
  <c r="I462" i="1" s="1"/>
  <c r="G453" i="1"/>
  <c r="E453" i="1"/>
  <c r="G452" i="1"/>
  <c r="E452" i="1"/>
  <c r="I463" i="1" l="1"/>
  <c r="R447" i="1"/>
  <c r="P447" i="1" s="1"/>
  <c r="Q447" i="1"/>
  <c r="R446" i="1"/>
  <c r="P446" i="1" s="1"/>
  <c r="Q446" i="1"/>
  <c r="G445" i="1"/>
  <c r="E445" i="1"/>
  <c r="I469" i="1" l="1"/>
  <c r="R448" i="1"/>
  <c r="P448" i="1" s="1"/>
  <c r="Q448" i="1"/>
  <c r="N448" i="1"/>
  <c r="N461" i="1" s="1"/>
  <c r="N463" i="1" s="1"/>
  <c r="N464" i="1" s="1"/>
  <c r="G448" i="1"/>
  <c r="E448" i="1"/>
  <c r="R451" i="1"/>
  <c r="P451" i="1" s="1"/>
  <c r="Q451" i="1"/>
  <c r="N451" i="1"/>
  <c r="N474" i="1" s="1"/>
  <c r="G451" i="1"/>
  <c r="E451" i="1"/>
  <c r="R450" i="1"/>
  <c r="P450" i="1" s="1"/>
  <c r="Q450" i="1"/>
  <c r="N450" i="1"/>
  <c r="N472" i="1" s="1"/>
  <c r="N473" i="1" s="1"/>
  <c r="G450" i="1"/>
  <c r="E450" i="1"/>
  <c r="R449" i="1"/>
  <c r="P449" i="1" s="1"/>
  <c r="Q449" i="1"/>
  <c r="N449" i="1"/>
  <c r="N465" i="1" s="1"/>
  <c r="N469" i="1" s="1"/>
  <c r="N470" i="1" s="1"/>
  <c r="G449" i="1"/>
  <c r="E449" i="1"/>
  <c r="G447" i="1"/>
  <c r="E447" i="1"/>
  <c r="I447" i="1" s="1"/>
  <c r="G446" i="1"/>
  <c r="E446" i="1"/>
  <c r="N471" i="1" l="1"/>
  <c r="I448" i="1"/>
  <c r="I449" i="1" s="1"/>
  <c r="I450" i="1" s="1"/>
  <c r="R444" i="1"/>
  <c r="P444" i="1" s="1"/>
  <c r="Q444" i="1"/>
  <c r="Q443" i="1"/>
  <c r="R443" i="1"/>
  <c r="P443" i="1" s="1"/>
  <c r="G444" i="1"/>
  <c r="E444" i="1"/>
  <c r="G443" i="1"/>
  <c r="E443" i="1"/>
  <c r="I451" i="1" l="1"/>
  <c r="I458" i="1" s="1"/>
  <c r="Q78" i="2"/>
  <c r="G78" i="2"/>
  <c r="E78" i="2"/>
  <c r="Q442" i="1" l="1"/>
  <c r="R442" i="1"/>
  <c r="P442" i="1" s="1"/>
  <c r="G442" i="1"/>
  <c r="E442" i="1"/>
  <c r="R441" i="1" l="1"/>
  <c r="P441" i="1" s="1"/>
  <c r="Q441" i="1"/>
  <c r="R440" i="1"/>
  <c r="P440" i="1" s="1"/>
  <c r="Q440" i="1"/>
  <c r="G441" i="1"/>
  <c r="E441" i="1"/>
  <c r="G440" i="1"/>
  <c r="E440" i="1"/>
  <c r="R436" i="1" l="1"/>
  <c r="P436" i="1" s="1"/>
  <c r="Q436" i="1"/>
  <c r="N437" i="1"/>
  <c r="N445" i="1" s="1"/>
  <c r="N452" i="1" s="1"/>
  <c r="N455" i="1" s="1"/>
  <c r="R439" i="1"/>
  <c r="P439" i="1" s="1"/>
  <c r="Q439" i="1"/>
  <c r="N439" i="1"/>
  <c r="N459" i="1" s="1"/>
  <c r="G439" i="1"/>
  <c r="E439" i="1"/>
  <c r="R438" i="1"/>
  <c r="P438" i="1" s="1"/>
  <c r="Q438" i="1"/>
  <c r="N438" i="1"/>
  <c r="N453" i="1" s="1"/>
  <c r="N454" i="1" s="1"/>
  <c r="N456" i="1" s="1"/>
  <c r="N457" i="1" s="1"/>
  <c r="G438" i="1"/>
  <c r="E438" i="1"/>
  <c r="R437" i="1"/>
  <c r="P437" i="1" s="1"/>
  <c r="Q437" i="1"/>
  <c r="G437" i="1"/>
  <c r="E437" i="1"/>
  <c r="G436" i="1"/>
  <c r="E436" i="1"/>
  <c r="N460" i="1" l="1"/>
  <c r="N458" i="1"/>
  <c r="Q435" i="1"/>
  <c r="R435" i="1"/>
  <c r="P435" i="1" s="1"/>
  <c r="G435" i="1"/>
  <c r="E435" i="1"/>
  <c r="N462" i="1" l="1"/>
  <c r="M76" i="2"/>
  <c r="M79" i="2" s="1"/>
  <c r="M83" i="2" s="1"/>
  <c r="M77" i="2"/>
  <c r="M78" i="2" s="1"/>
  <c r="M80" i="2" s="1"/>
  <c r="M81" i="2" s="1"/>
  <c r="Q77" i="2"/>
  <c r="G77" i="2"/>
  <c r="E77" i="2"/>
  <c r="Q76" i="2"/>
  <c r="G76" i="2"/>
  <c r="E76" i="2"/>
  <c r="R434" i="1" l="1"/>
  <c r="P434" i="1" s="1"/>
  <c r="Q434" i="1"/>
  <c r="Q433" i="1"/>
  <c r="R433" i="1"/>
  <c r="P433" i="1" s="1"/>
  <c r="G434" i="1" l="1"/>
  <c r="E434" i="1"/>
  <c r="G433" i="1"/>
  <c r="E433" i="1"/>
  <c r="R432" i="1" l="1"/>
  <c r="P432" i="1" s="1"/>
  <c r="Q432" i="1"/>
  <c r="R431" i="1"/>
  <c r="P431" i="1" s="1"/>
  <c r="Q431" i="1"/>
  <c r="G432" i="1"/>
  <c r="E432" i="1"/>
  <c r="G431" i="1"/>
  <c r="E431" i="1"/>
  <c r="R430" i="1" l="1"/>
  <c r="P430" i="1" s="1"/>
  <c r="Q430" i="1"/>
  <c r="R429" i="1"/>
  <c r="P429" i="1" s="1"/>
  <c r="Q429" i="1"/>
  <c r="G430" i="1"/>
  <c r="E430" i="1"/>
  <c r="G429" i="1"/>
  <c r="E429" i="1"/>
  <c r="R426" i="1" l="1"/>
  <c r="P426" i="1" s="1"/>
  <c r="Q426" i="1"/>
  <c r="Q425" i="1"/>
  <c r="R425" i="1"/>
  <c r="P425" i="1" s="1"/>
  <c r="R428" i="1"/>
  <c r="P428" i="1" s="1"/>
  <c r="Q428" i="1"/>
  <c r="N428" i="1"/>
  <c r="N444" i="1" s="1"/>
  <c r="N446" i="1" s="1"/>
  <c r="N447" i="1" s="1"/>
  <c r="G428" i="1"/>
  <c r="E428" i="1"/>
  <c r="R427" i="1"/>
  <c r="P427" i="1" s="1"/>
  <c r="Q427" i="1"/>
  <c r="N427" i="1"/>
  <c r="N441" i="1" s="1"/>
  <c r="G427" i="1"/>
  <c r="E427" i="1"/>
  <c r="G426" i="1"/>
  <c r="E426" i="1"/>
  <c r="G425" i="1"/>
  <c r="E425" i="1"/>
  <c r="N442" i="1" l="1"/>
  <c r="N443" i="1" s="1"/>
  <c r="R424" i="1"/>
  <c r="P424" i="1" s="1"/>
  <c r="Q424" i="1"/>
  <c r="Q422" i="1"/>
  <c r="R422" i="1"/>
  <c r="P422" i="1" s="1"/>
  <c r="Q423" i="1"/>
  <c r="R423" i="1"/>
  <c r="P423" i="1" s="1"/>
  <c r="G424" i="1" l="1"/>
  <c r="E424" i="1"/>
  <c r="G423" i="1"/>
  <c r="E423" i="1"/>
  <c r="Q421" i="1" l="1"/>
  <c r="R421" i="1"/>
  <c r="P421" i="1" s="1"/>
  <c r="Q418" i="1"/>
  <c r="R418" i="1"/>
  <c r="P418" i="1" s="1"/>
  <c r="Q419" i="1"/>
  <c r="R419" i="1"/>
  <c r="P419" i="1" s="1"/>
  <c r="G422" i="1"/>
  <c r="E422" i="1"/>
  <c r="I422" i="1" s="1"/>
  <c r="I425" i="1" s="1"/>
  <c r="I426" i="1" s="1"/>
  <c r="G421" i="1"/>
  <c r="E421" i="1"/>
  <c r="I427" i="1" l="1"/>
  <c r="I428" i="1" s="1"/>
  <c r="I436" i="1" s="1"/>
  <c r="R420" i="1"/>
  <c r="P420" i="1" s="1"/>
  <c r="Q420" i="1"/>
  <c r="G420" i="1"/>
  <c r="E420" i="1"/>
  <c r="G419" i="1"/>
  <c r="E419" i="1"/>
  <c r="I437" i="1" l="1"/>
  <c r="R417" i="1"/>
  <c r="P417" i="1" s="1"/>
  <c r="Q417" i="1"/>
  <c r="N391" i="1"/>
  <c r="N417" i="1" s="1"/>
  <c r="N418" i="1" s="1"/>
  <c r="R416" i="1"/>
  <c r="P416" i="1" s="1"/>
  <c r="Q416" i="1"/>
  <c r="R415" i="1"/>
  <c r="P415" i="1" s="1"/>
  <c r="Q415" i="1"/>
  <c r="I438" i="1" l="1"/>
  <c r="I439" i="1" s="1"/>
  <c r="I446" i="1" s="1"/>
  <c r="N419" i="1"/>
  <c r="G418" i="1"/>
  <c r="E418" i="1"/>
  <c r="I418" i="1" s="1"/>
  <c r="I429" i="1" s="1"/>
  <c r="I430" i="1" s="1"/>
  <c r="I435" i="1" s="1"/>
  <c r="I442" i="1" s="1"/>
  <c r="I452" i="1" s="1"/>
  <c r="I453" i="1" s="1"/>
  <c r="G417" i="1"/>
  <c r="E417" i="1"/>
  <c r="G416" i="1"/>
  <c r="E416" i="1"/>
  <c r="R410" i="1" l="1"/>
  <c r="P410" i="1" s="1"/>
  <c r="Q410" i="1"/>
  <c r="R414" i="1"/>
  <c r="P414" i="1" s="1"/>
  <c r="Q414" i="1"/>
  <c r="R406" i="1"/>
  <c r="P406" i="1" s="1"/>
  <c r="Q406" i="1"/>
  <c r="R413" i="1"/>
  <c r="P413" i="1" s="1"/>
  <c r="Q413" i="1"/>
  <c r="R409" i="1"/>
  <c r="P409" i="1" s="1"/>
  <c r="Q409" i="1"/>
  <c r="G415" i="1"/>
  <c r="E415" i="1"/>
  <c r="G414" i="1"/>
  <c r="E414" i="1"/>
  <c r="G413" i="1"/>
  <c r="E413" i="1"/>
  <c r="R412" i="1"/>
  <c r="P412" i="1" s="1"/>
  <c r="Q412" i="1"/>
  <c r="N412" i="1"/>
  <c r="N436" i="1" s="1"/>
  <c r="N440" i="1" s="1"/>
  <c r="G412" i="1"/>
  <c r="E412" i="1"/>
  <c r="R411" i="1"/>
  <c r="P411" i="1" s="1"/>
  <c r="Q411" i="1"/>
  <c r="N411" i="1"/>
  <c r="N434" i="1" s="1"/>
  <c r="N435" i="1" s="1"/>
  <c r="G411" i="1"/>
  <c r="E411" i="1"/>
  <c r="G410" i="1"/>
  <c r="E410" i="1"/>
  <c r="G409" i="1"/>
  <c r="E409" i="1"/>
  <c r="R408" i="1" l="1"/>
  <c r="P408" i="1" s="1"/>
  <c r="Q408" i="1"/>
  <c r="R407" i="1"/>
  <c r="P407" i="1" s="1"/>
  <c r="Q407" i="1"/>
  <c r="G408" i="1"/>
  <c r="E408" i="1"/>
  <c r="G407" i="1"/>
  <c r="E407" i="1"/>
  <c r="R405" i="1" l="1"/>
  <c r="P405" i="1" s="1"/>
  <c r="Q405" i="1"/>
  <c r="R404" i="1"/>
  <c r="P404" i="1" s="1"/>
  <c r="Q404" i="1"/>
  <c r="R399" i="1"/>
  <c r="P399" i="1" s="1"/>
  <c r="Q399" i="1"/>
  <c r="R403" i="1"/>
  <c r="P403" i="1" s="1"/>
  <c r="Q403" i="1"/>
  <c r="R398" i="1"/>
  <c r="P398" i="1" s="1"/>
  <c r="Q398" i="1"/>
  <c r="G406" i="1"/>
  <c r="E406" i="1"/>
  <c r="G405" i="1"/>
  <c r="E405" i="1"/>
  <c r="G404" i="1"/>
  <c r="E404" i="1"/>
  <c r="G403" i="1"/>
  <c r="E403" i="1"/>
  <c r="R397" i="1" l="1"/>
  <c r="P397" i="1" s="1"/>
  <c r="Q397" i="1"/>
  <c r="Q379" i="1"/>
  <c r="R379" i="1"/>
  <c r="P379" i="1" s="1"/>
  <c r="R396" i="1"/>
  <c r="P396" i="1" s="1"/>
  <c r="Q396" i="1"/>
  <c r="R402" i="1" l="1"/>
  <c r="P402" i="1" s="1"/>
  <c r="Q402" i="1"/>
  <c r="N402" i="1"/>
  <c r="N430" i="1" s="1"/>
  <c r="G402" i="1"/>
  <c r="E402" i="1"/>
  <c r="R401" i="1"/>
  <c r="P401" i="1" s="1"/>
  <c r="Q401" i="1"/>
  <c r="N401" i="1"/>
  <c r="N426" i="1" s="1"/>
  <c r="N429" i="1" s="1"/>
  <c r="G401" i="1"/>
  <c r="E401" i="1"/>
  <c r="R400" i="1"/>
  <c r="P400" i="1" s="1"/>
  <c r="Q400" i="1"/>
  <c r="N400" i="1"/>
  <c r="N424" i="1" s="1"/>
  <c r="N425" i="1" s="1"/>
  <c r="G400" i="1"/>
  <c r="E400" i="1"/>
  <c r="G399" i="1"/>
  <c r="E399" i="1"/>
  <c r="G398" i="1"/>
  <c r="E398" i="1"/>
  <c r="G397" i="1"/>
  <c r="E397" i="1"/>
  <c r="G396" i="1"/>
  <c r="E396" i="1"/>
  <c r="N431" i="1" l="1"/>
  <c r="N432" i="1"/>
  <c r="N433" i="1" s="1"/>
  <c r="R395" i="1"/>
  <c r="P395" i="1" s="1"/>
  <c r="Q395" i="1"/>
  <c r="R394" i="1"/>
  <c r="P394" i="1" s="1"/>
  <c r="Q394" i="1"/>
  <c r="R389" i="1"/>
  <c r="P389" i="1" s="1"/>
  <c r="Q389" i="1"/>
  <c r="G395" i="1"/>
  <c r="E395" i="1"/>
  <c r="G394" i="1"/>
  <c r="E394" i="1"/>
  <c r="R393" i="1" l="1"/>
  <c r="P393" i="1" s="1"/>
  <c r="Q393" i="1"/>
  <c r="G393" i="1"/>
  <c r="E393" i="1"/>
  <c r="R388" i="1" l="1"/>
  <c r="P388" i="1" s="1"/>
  <c r="Q388" i="1"/>
  <c r="R392" i="1"/>
  <c r="P392" i="1" s="1"/>
  <c r="Q392" i="1"/>
  <c r="N392" i="1"/>
  <c r="N420" i="1" s="1"/>
  <c r="N421" i="1" s="1"/>
  <c r="G392" i="1"/>
  <c r="E392" i="1"/>
  <c r="R391" i="1"/>
  <c r="P391" i="1" s="1"/>
  <c r="Q391" i="1"/>
  <c r="G391" i="1"/>
  <c r="E391" i="1"/>
  <c r="R390" i="1"/>
  <c r="P390" i="1" s="1"/>
  <c r="Q390" i="1"/>
  <c r="N390" i="1"/>
  <c r="N410" i="1" s="1"/>
  <c r="N415" i="1" s="1"/>
  <c r="G390" i="1"/>
  <c r="E390" i="1"/>
  <c r="G389" i="1"/>
  <c r="E389" i="1"/>
  <c r="G388" i="1"/>
  <c r="E388" i="1"/>
  <c r="N422" i="1" l="1"/>
  <c r="N423" i="1" s="1"/>
  <c r="N416" i="1"/>
  <c r="R387" i="1"/>
  <c r="P387" i="1" s="1"/>
  <c r="Q387" i="1"/>
  <c r="Q386" i="1"/>
  <c r="R386" i="1"/>
  <c r="P386" i="1" s="1"/>
  <c r="G387" i="1"/>
  <c r="E387" i="1"/>
  <c r="G386" i="1"/>
  <c r="E386" i="1"/>
  <c r="R385" i="1" l="1"/>
  <c r="P385" i="1" s="1"/>
  <c r="Q385" i="1"/>
  <c r="R384" i="1"/>
  <c r="P384" i="1" s="1"/>
  <c r="Q384" i="1"/>
  <c r="R383" i="1"/>
  <c r="P383" i="1" s="1"/>
  <c r="Q383" i="1"/>
  <c r="R382" i="1"/>
  <c r="P382" i="1" s="1"/>
  <c r="Q382" i="1"/>
  <c r="R378" i="1"/>
  <c r="P378" i="1" s="1"/>
  <c r="Q378" i="1"/>
  <c r="G383" i="1"/>
  <c r="E383" i="1"/>
  <c r="G382" i="1"/>
  <c r="E382" i="1"/>
  <c r="G385" i="1" l="1"/>
  <c r="E385" i="1"/>
  <c r="G384" i="1"/>
  <c r="E384" i="1"/>
  <c r="N381" i="1" l="1"/>
  <c r="N393" i="1" s="1"/>
  <c r="N406" i="1" s="1"/>
  <c r="N380" i="1"/>
  <c r="N408" i="1" s="1"/>
  <c r="N379" i="1"/>
  <c r="N397" i="1" s="1"/>
  <c r="N405" i="1" s="1"/>
  <c r="N407" i="1" s="1"/>
  <c r="N409" i="1" l="1"/>
  <c r="N413" i="1" s="1"/>
  <c r="N414" i="1"/>
  <c r="R375" i="1"/>
  <c r="P375" i="1" s="1"/>
  <c r="Q375" i="1"/>
  <c r="R377" i="1"/>
  <c r="P377" i="1" s="1"/>
  <c r="Q377" i="1"/>
  <c r="R374" i="1"/>
  <c r="P374" i="1" s="1"/>
  <c r="Q374" i="1"/>
  <c r="R381" i="1"/>
  <c r="P381" i="1" s="1"/>
  <c r="Q381" i="1"/>
  <c r="G381" i="1"/>
  <c r="E381" i="1"/>
  <c r="R380" i="1"/>
  <c r="P380" i="1" s="1"/>
  <c r="Q380" i="1"/>
  <c r="G380" i="1"/>
  <c r="E380" i="1"/>
  <c r="G379" i="1"/>
  <c r="E379" i="1"/>
  <c r="G378" i="1"/>
  <c r="E378" i="1"/>
  <c r="G377" i="1"/>
  <c r="E377" i="1"/>
  <c r="R376" i="1" l="1"/>
  <c r="P376" i="1" s="1"/>
  <c r="Q376" i="1"/>
  <c r="G376" i="1"/>
  <c r="E376" i="1"/>
  <c r="G375" i="1"/>
  <c r="E375" i="1"/>
  <c r="G374" i="1"/>
  <c r="E374" i="1"/>
  <c r="R373" i="1" l="1"/>
  <c r="P373" i="1" s="1"/>
  <c r="Q373" i="1"/>
  <c r="G373" i="1"/>
  <c r="E373" i="1"/>
  <c r="R372" i="1" l="1"/>
  <c r="P372" i="1" s="1"/>
  <c r="Q372" i="1"/>
  <c r="R371" i="1"/>
  <c r="P371" i="1" s="1"/>
  <c r="Q371" i="1"/>
  <c r="R370" i="1"/>
  <c r="P370" i="1" s="1"/>
  <c r="Q370" i="1"/>
  <c r="R367" i="1"/>
  <c r="P367" i="1" s="1"/>
  <c r="Q367" i="1"/>
  <c r="G372" i="1"/>
  <c r="E372" i="1"/>
  <c r="I372" i="1" s="1"/>
  <c r="I374" i="1" s="1"/>
  <c r="I375" i="1" s="1"/>
  <c r="I376" i="1" s="1"/>
  <c r="I384" i="1" s="1"/>
  <c r="G371" i="1"/>
  <c r="E371" i="1"/>
  <c r="G370" i="1"/>
  <c r="E370" i="1"/>
  <c r="I385" i="1" l="1"/>
  <c r="I386" i="1" s="1"/>
  <c r="I387" i="1" s="1"/>
  <c r="I394" i="1" s="1"/>
  <c r="R369" i="1"/>
  <c r="P369" i="1" s="1"/>
  <c r="Q369" i="1"/>
  <c r="R368" i="1"/>
  <c r="P368" i="1" s="1"/>
  <c r="Q368" i="1"/>
  <c r="G369" i="1"/>
  <c r="E369" i="1"/>
  <c r="G368" i="1"/>
  <c r="E368" i="1"/>
  <c r="G367" i="1"/>
  <c r="E367" i="1"/>
  <c r="I395" i="1" l="1"/>
  <c r="N366" i="1"/>
  <c r="N396" i="1" s="1"/>
  <c r="N365" i="1"/>
  <c r="N395" i="1" s="1"/>
  <c r="N398" i="1" s="1"/>
  <c r="N403" i="1" s="1"/>
  <c r="N364" i="1"/>
  <c r="N387" i="1" s="1"/>
  <c r="R363" i="1"/>
  <c r="P363" i="1" s="1"/>
  <c r="Q363" i="1"/>
  <c r="Q362" i="1"/>
  <c r="R362" i="1"/>
  <c r="P362" i="1" s="1"/>
  <c r="R366" i="1"/>
  <c r="P366" i="1" s="1"/>
  <c r="Q366" i="1"/>
  <c r="G366" i="1"/>
  <c r="E366" i="1"/>
  <c r="R365" i="1"/>
  <c r="P365" i="1" s="1"/>
  <c r="Q365" i="1"/>
  <c r="G365" i="1"/>
  <c r="E365" i="1"/>
  <c r="R364" i="1"/>
  <c r="P364" i="1" s="1"/>
  <c r="Q364" i="1"/>
  <c r="G364" i="1"/>
  <c r="E364" i="1"/>
  <c r="G363" i="1"/>
  <c r="E363" i="1"/>
  <c r="G362" i="1"/>
  <c r="E362" i="1"/>
  <c r="N399" i="1" l="1"/>
  <c r="N404" i="1" s="1"/>
  <c r="N389" i="1"/>
  <c r="N394" i="1" s="1"/>
  <c r="I396" i="1"/>
  <c r="R361" i="1"/>
  <c r="P361" i="1" s="1"/>
  <c r="Q361" i="1"/>
  <c r="R360" i="1"/>
  <c r="P360" i="1" s="1"/>
  <c r="Q360" i="1"/>
  <c r="I397" i="1" l="1"/>
  <c r="I407" i="1" s="1"/>
  <c r="I408" i="1" s="1"/>
  <c r="I413" i="1" s="1"/>
  <c r="I414" i="1" s="1"/>
  <c r="G361" i="1"/>
  <c r="E361" i="1"/>
  <c r="G360" i="1"/>
  <c r="E360" i="1"/>
  <c r="I415" i="1" l="1"/>
  <c r="I419" i="1" s="1"/>
  <c r="R359" i="1"/>
  <c r="P359" i="1" s="1"/>
  <c r="Q359" i="1"/>
  <c r="R358" i="1"/>
  <c r="P358" i="1" s="1"/>
  <c r="Q358" i="1"/>
  <c r="R357" i="1"/>
  <c r="P357" i="1" s="1"/>
  <c r="Q357" i="1"/>
  <c r="R356" i="1"/>
  <c r="P356" i="1" s="1"/>
  <c r="Q356" i="1"/>
  <c r="I420" i="1" l="1"/>
  <c r="I423" i="1" s="1"/>
  <c r="I424" i="1" s="1"/>
  <c r="I431" i="1" s="1"/>
  <c r="I432" i="1" s="1"/>
  <c r="I433" i="1" s="1"/>
  <c r="G357" i="1"/>
  <c r="E357" i="1"/>
  <c r="G356" i="1"/>
  <c r="E356" i="1"/>
  <c r="G359" i="1"/>
  <c r="E359" i="1"/>
  <c r="G358" i="1"/>
  <c r="E358" i="1"/>
  <c r="I434" i="1" l="1"/>
  <c r="I440" i="1" s="1"/>
  <c r="I441" i="1" s="1"/>
  <c r="I443" i="1" s="1"/>
  <c r="I444" i="1" s="1"/>
  <c r="I445" i="1" s="1"/>
  <c r="I455" i="1" s="1"/>
  <c r="I456" i="1" s="1"/>
  <c r="I460" i="1" s="1"/>
  <c r="E351" i="1"/>
  <c r="N354" i="1"/>
  <c r="N355" i="1"/>
  <c r="N385" i="1" s="1"/>
  <c r="N353" i="1"/>
  <c r="N376" i="1" s="1"/>
  <c r="N378" i="1" s="1"/>
  <c r="N382" i="1" s="1"/>
  <c r="N341" i="1"/>
  <c r="N369" i="1" s="1"/>
  <c r="N373" i="1" s="1"/>
  <c r="N375" i="1" s="1"/>
  <c r="N340" i="1"/>
  <c r="N339" i="1"/>
  <c r="N330" i="1"/>
  <c r="N359" i="1" s="1"/>
  <c r="N361" i="1" s="1"/>
  <c r="N362" i="1" s="1"/>
  <c r="N329" i="1"/>
  <c r="N357" i="1" s="1"/>
  <c r="N328" i="1"/>
  <c r="N319" i="1"/>
  <c r="N318" i="1"/>
  <c r="R352" i="1"/>
  <c r="P352" i="1" s="1"/>
  <c r="Q352" i="1"/>
  <c r="R351" i="1"/>
  <c r="P351" i="1" s="1"/>
  <c r="Q351" i="1"/>
  <c r="R350" i="1"/>
  <c r="P350" i="1" s="1"/>
  <c r="Q350" i="1"/>
  <c r="E342" i="1"/>
  <c r="E353" i="1"/>
  <c r="R355" i="1"/>
  <c r="P355" i="1" s="1"/>
  <c r="Q355" i="1"/>
  <c r="G355" i="1"/>
  <c r="E355" i="1"/>
  <c r="R354" i="1"/>
  <c r="P354" i="1" s="1"/>
  <c r="Q354" i="1"/>
  <c r="G354" i="1"/>
  <c r="E354" i="1"/>
  <c r="R353" i="1"/>
  <c r="P353" i="1" s="1"/>
  <c r="Q353" i="1"/>
  <c r="G353" i="1"/>
  <c r="G352" i="1"/>
  <c r="E352" i="1"/>
  <c r="G351" i="1"/>
  <c r="I461" i="1" l="1"/>
  <c r="I470" i="1" s="1"/>
  <c r="I471" i="1" s="1"/>
  <c r="I472" i="1" s="1"/>
  <c r="N386" i="1"/>
  <c r="N358" i="1"/>
  <c r="N360" i="1" s="1"/>
  <c r="N383" i="1"/>
  <c r="N384" i="1" s="1"/>
  <c r="N368" i="1"/>
  <c r="N371" i="1" s="1"/>
  <c r="N372" i="1" s="1"/>
  <c r="N363" i="1"/>
  <c r="N367" i="1" s="1"/>
  <c r="N352" i="1"/>
  <c r="N356" i="1" s="1"/>
  <c r="R349" i="1"/>
  <c r="P349" i="1" s="1"/>
  <c r="Q349" i="1"/>
  <c r="R347" i="1"/>
  <c r="P347" i="1" s="1"/>
  <c r="Q347" i="1"/>
  <c r="G350" i="1"/>
  <c r="E350" i="1"/>
  <c r="G349" i="1"/>
  <c r="E349" i="1"/>
  <c r="N388" i="1" l="1"/>
  <c r="N370" i="1"/>
  <c r="N374" i="1"/>
  <c r="N377" i="1" s="1"/>
  <c r="R348" i="1"/>
  <c r="P348" i="1" s="1"/>
  <c r="Q348" i="1"/>
  <c r="Q346" i="1"/>
  <c r="R346" i="1"/>
  <c r="P346" i="1" s="1"/>
  <c r="R345" i="1" l="1"/>
  <c r="P345" i="1" s="1"/>
  <c r="Q345" i="1"/>
  <c r="R344" i="1"/>
  <c r="P344" i="1" s="1"/>
  <c r="Q344" i="1"/>
  <c r="R343" i="1"/>
  <c r="P343" i="1" s="1"/>
  <c r="Q343" i="1"/>
  <c r="R342" i="1"/>
  <c r="P342" i="1" s="1"/>
  <c r="Q342" i="1"/>
  <c r="G348" i="1"/>
  <c r="E348" i="1"/>
  <c r="G347" i="1"/>
  <c r="E347" i="1"/>
  <c r="I347" i="1" s="1"/>
  <c r="G346" i="1"/>
  <c r="E346" i="1"/>
  <c r="I348" i="1" l="1"/>
  <c r="I358" i="1" s="1"/>
  <c r="I359" i="1" s="1"/>
  <c r="I367" i="1" s="1"/>
  <c r="G345" i="1"/>
  <c r="E345" i="1"/>
  <c r="G344" i="1"/>
  <c r="E344" i="1"/>
  <c r="G343" i="1"/>
  <c r="E343" i="1"/>
  <c r="I343" i="1" s="1"/>
  <c r="I351" i="1" s="1"/>
  <c r="I352" i="1" s="1"/>
  <c r="I353" i="1" s="1"/>
  <c r="I354" i="1" s="1"/>
  <c r="G342" i="1"/>
  <c r="I368" i="1" l="1"/>
  <c r="I369" i="1" s="1"/>
  <c r="I373" i="1" s="1"/>
  <c r="I382" i="1" s="1"/>
  <c r="I383" i="1" s="1"/>
  <c r="I393" i="1" s="1"/>
  <c r="I403" i="1" s="1"/>
  <c r="I355" i="1"/>
  <c r="I362" i="1" s="1"/>
  <c r="I363" i="1" s="1"/>
  <c r="I364" i="1" s="1"/>
  <c r="I365" i="1" s="1"/>
  <c r="I366" i="1" s="1"/>
  <c r="I377" i="1" s="1"/>
  <c r="R338" i="1"/>
  <c r="P338" i="1" s="1"/>
  <c r="Q338" i="1"/>
  <c r="Q336" i="1"/>
  <c r="R336" i="1"/>
  <c r="P336" i="1" s="1"/>
  <c r="Q337" i="1"/>
  <c r="R337" i="1"/>
  <c r="P337" i="1" s="1"/>
  <c r="G338" i="1"/>
  <c r="E338" i="1"/>
  <c r="G337" i="1"/>
  <c r="E337" i="1"/>
  <c r="I337" i="1" s="1"/>
  <c r="R341" i="1"/>
  <c r="P341" i="1" s="1"/>
  <c r="Q341" i="1"/>
  <c r="G341" i="1"/>
  <c r="E341" i="1"/>
  <c r="R340" i="1"/>
  <c r="P340" i="1" s="1"/>
  <c r="Q340" i="1"/>
  <c r="G340" i="1"/>
  <c r="E340" i="1"/>
  <c r="R339" i="1"/>
  <c r="P339" i="1" s="1"/>
  <c r="Q339" i="1"/>
  <c r="G339" i="1"/>
  <c r="E339" i="1"/>
  <c r="G336" i="1"/>
  <c r="E336" i="1"/>
  <c r="I404" i="1" l="1"/>
  <c r="I405" i="1" s="1"/>
  <c r="I406" i="1" s="1"/>
  <c r="I416" i="1" s="1"/>
  <c r="I417" i="1" s="1"/>
  <c r="I378" i="1"/>
  <c r="I379" i="1" s="1"/>
  <c r="I338" i="1"/>
  <c r="I339" i="1" s="1"/>
  <c r="I340" i="1" s="1"/>
  <c r="I380" i="1" l="1"/>
  <c r="I381" i="1" s="1"/>
  <c r="I388" i="1" s="1"/>
  <c r="I389" i="1" s="1"/>
  <c r="R335" i="1"/>
  <c r="P335" i="1" s="1"/>
  <c r="Q335" i="1"/>
  <c r="Q334" i="1"/>
  <c r="R334" i="1"/>
  <c r="P334" i="1" s="1"/>
  <c r="G335" i="1"/>
  <c r="E335" i="1"/>
  <c r="G334" i="1"/>
  <c r="E334" i="1"/>
  <c r="I390" i="1" l="1"/>
  <c r="I391" i="1" s="1"/>
  <c r="Q333" i="1"/>
  <c r="R333" i="1"/>
  <c r="P333" i="1" s="1"/>
  <c r="G333" i="1"/>
  <c r="E333" i="1"/>
  <c r="I392" i="1" l="1"/>
  <c r="I398" i="1" s="1"/>
  <c r="I399" i="1" s="1"/>
  <c r="I400" i="1" s="1"/>
  <c r="I401" i="1" s="1"/>
  <c r="I402" i="1" s="1"/>
  <c r="I409" i="1" s="1"/>
  <c r="I410" i="1" s="1"/>
  <c r="I411" i="1" s="1"/>
  <c r="I412" i="1" s="1"/>
  <c r="I421" i="1" s="1"/>
  <c r="R332" i="1"/>
  <c r="P332" i="1" s="1"/>
  <c r="Q332" i="1"/>
  <c r="R331" i="1"/>
  <c r="P331" i="1" s="1"/>
  <c r="Q331" i="1"/>
  <c r="G332" i="1"/>
  <c r="E332" i="1"/>
  <c r="G331" i="1"/>
  <c r="E331" i="1"/>
  <c r="Q327" i="1" l="1"/>
  <c r="R327" i="1"/>
  <c r="P327" i="1" s="1"/>
  <c r="R330" i="1" l="1"/>
  <c r="P330" i="1" s="1"/>
  <c r="Q330" i="1"/>
  <c r="G330" i="1"/>
  <c r="E330" i="1"/>
  <c r="R329" i="1"/>
  <c r="P329" i="1" s="1"/>
  <c r="Q329" i="1"/>
  <c r="G329" i="1"/>
  <c r="E329" i="1"/>
  <c r="R328" i="1"/>
  <c r="P328" i="1" s="1"/>
  <c r="Q328" i="1"/>
  <c r="G328" i="1"/>
  <c r="E328" i="1"/>
  <c r="G327" i="1"/>
  <c r="E327" i="1"/>
  <c r="R326" i="1" l="1"/>
  <c r="P326" i="1" s="1"/>
  <c r="Q326" i="1"/>
  <c r="R325" i="1"/>
  <c r="P325" i="1" s="1"/>
  <c r="Q325" i="1"/>
  <c r="R324" i="1"/>
  <c r="P324" i="1" s="1"/>
  <c r="Q324" i="1"/>
  <c r="Q323" i="1"/>
  <c r="R323" i="1"/>
  <c r="P323" i="1" s="1"/>
  <c r="G326" i="1"/>
  <c r="E326" i="1"/>
  <c r="G325" i="1"/>
  <c r="E325" i="1"/>
  <c r="G324" i="1" l="1"/>
  <c r="E324" i="1"/>
  <c r="R322" i="1" l="1"/>
  <c r="P322" i="1" s="1"/>
  <c r="Q322" i="1"/>
  <c r="R321" i="1"/>
  <c r="P321" i="1" s="1"/>
  <c r="Q321" i="1"/>
  <c r="G323" i="1"/>
  <c r="E323" i="1"/>
  <c r="R320" i="1" l="1"/>
  <c r="P320" i="1" s="1"/>
  <c r="Q320" i="1"/>
  <c r="G322" i="1"/>
  <c r="E322" i="1"/>
  <c r="G321" i="1"/>
  <c r="E321" i="1"/>
  <c r="G320" i="1"/>
  <c r="E320" i="1"/>
  <c r="R317" i="1" l="1"/>
  <c r="P317" i="1" s="1"/>
  <c r="Q317" i="1"/>
  <c r="R315" i="1"/>
  <c r="P315" i="1" s="1"/>
  <c r="Q315" i="1"/>
  <c r="R316" i="1"/>
  <c r="P316" i="1" s="1"/>
  <c r="Q316" i="1"/>
  <c r="R319" i="1"/>
  <c r="P319" i="1" s="1"/>
  <c r="Q319" i="1"/>
  <c r="N348" i="1"/>
  <c r="N350" i="1" s="1"/>
  <c r="N351" i="1" s="1"/>
  <c r="G319" i="1"/>
  <c r="E319" i="1"/>
  <c r="R318" i="1"/>
  <c r="P318" i="1" s="1"/>
  <c r="Q318" i="1"/>
  <c r="N345" i="1"/>
  <c r="G318" i="1"/>
  <c r="E318" i="1"/>
  <c r="G317" i="1"/>
  <c r="E317" i="1"/>
  <c r="G316" i="1"/>
  <c r="E316" i="1"/>
  <c r="G315" i="1"/>
  <c r="E315" i="1"/>
  <c r="N346" i="1" l="1"/>
  <c r="R314" i="1"/>
  <c r="P314" i="1" s="1"/>
  <c r="Q314" i="1"/>
  <c r="R313" i="1"/>
  <c r="P313" i="1" s="1"/>
  <c r="Q313" i="1"/>
  <c r="Q312" i="1"/>
  <c r="R312" i="1"/>
  <c r="P312" i="1" s="1"/>
  <c r="G314" i="1"/>
  <c r="E314" i="1"/>
  <c r="G313" i="1"/>
  <c r="E313" i="1"/>
  <c r="G312" i="1"/>
  <c r="E312" i="1"/>
  <c r="N347" i="1" l="1"/>
  <c r="N349" i="1" s="1"/>
  <c r="R311" i="1"/>
  <c r="P311" i="1" s="1"/>
  <c r="Q311" i="1"/>
  <c r="R310" i="1"/>
  <c r="P310" i="1" s="1"/>
  <c r="Q310" i="1"/>
  <c r="G311" i="1"/>
  <c r="E311" i="1"/>
  <c r="G310" i="1"/>
  <c r="E310" i="1"/>
  <c r="R309" i="1" l="1"/>
  <c r="P309" i="1" s="1"/>
  <c r="Q309" i="1"/>
  <c r="R308" i="1"/>
  <c r="P308" i="1" s="1"/>
  <c r="Q308" i="1"/>
  <c r="G309" i="1"/>
  <c r="E309" i="1"/>
  <c r="G308" i="1"/>
  <c r="E308" i="1"/>
  <c r="R305" i="1" l="1"/>
  <c r="P305" i="1" s="1"/>
  <c r="Q305" i="1"/>
  <c r="R304" i="1" l="1"/>
  <c r="P304" i="1" s="1"/>
  <c r="Q304" i="1"/>
  <c r="R303" i="1"/>
  <c r="P303" i="1" s="1"/>
  <c r="Q303" i="1"/>
  <c r="R300" i="1"/>
  <c r="P300" i="1" s="1"/>
  <c r="Q300" i="1"/>
  <c r="R307" i="1"/>
  <c r="P307" i="1" s="1"/>
  <c r="Q307" i="1"/>
  <c r="N307" i="1"/>
  <c r="N338" i="1" s="1"/>
  <c r="N342" i="1" s="1"/>
  <c r="G307" i="1"/>
  <c r="E307" i="1"/>
  <c r="R306" i="1"/>
  <c r="P306" i="1" s="1"/>
  <c r="Q306" i="1"/>
  <c r="N306" i="1"/>
  <c r="N335" i="1" s="1"/>
  <c r="N336" i="1" s="1"/>
  <c r="N337" i="1" s="1"/>
  <c r="G306" i="1"/>
  <c r="E306" i="1"/>
  <c r="G305" i="1"/>
  <c r="E305" i="1"/>
  <c r="G304" i="1"/>
  <c r="E304" i="1"/>
  <c r="G303" i="1"/>
  <c r="E303" i="1"/>
  <c r="N343" i="1" l="1"/>
  <c r="N344" i="1" s="1"/>
  <c r="G300" i="1"/>
  <c r="E300" i="1"/>
  <c r="R302" i="1" l="1"/>
  <c r="P302" i="1" s="1"/>
  <c r="Q302" i="1"/>
  <c r="R301" i="1"/>
  <c r="P301" i="1" s="1"/>
  <c r="Q301" i="1"/>
  <c r="R298" i="1"/>
  <c r="P298" i="1" s="1"/>
  <c r="Q298" i="1"/>
  <c r="G302" i="1"/>
  <c r="E302" i="1"/>
  <c r="G301" i="1"/>
  <c r="E301" i="1"/>
  <c r="R299" i="1"/>
  <c r="P299" i="1" s="1"/>
  <c r="Q299" i="1"/>
  <c r="G299" i="1"/>
  <c r="E299" i="1"/>
  <c r="G298" i="1"/>
  <c r="E298" i="1"/>
  <c r="R297" i="1" l="1"/>
  <c r="P297" i="1" s="1"/>
  <c r="Q297" i="1"/>
  <c r="R296" i="1"/>
  <c r="P296" i="1" s="1"/>
  <c r="Q296" i="1"/>
  <c r="G297" i="1"/>
  <c r="E297" i="1"/>
  <c r="G296" i="1"/>
  <c r="E296" i="1"/>
  <c r="R295" i="1" l="1"/>
  <c r="P295" i="1" s="1"/>
  <c r="Q295" i="1"/>
  <c r="R294" i="1"/>
  <c r="P294" i="1" s="1"/>
  <c r="Q294" i="1"/>
  <c r="G295" i="1"/>
  <c r="E295" i="1"/>
  <c r="G294" i="1" l="1"/>
  <c r="E294" i="1"/>
  <c r="Q289" i="1" l="1"/>
  <c r="R289" i="1"/>
  <c r="P289" i="1" s="1"/>
  <c r="R293" i="1"/>
  <c r="P293" i="1" s="1"/>
  <c r="Q293" i="1"/>
  <c r="N293" i="1"/>
  <c r="N332" i="1" s="1"/>
  <c r="N333" i="1" s="1"/>
  <c r="G293" i="1"/>
  <c r="E293" i="1"/>
  <c r="R292" i="1"/>
  <c r="P292" i="1" s="1"/>
  <c r="Q292" i="1"/>
  <c r="N292" i="1"/>
  <c r="N326" i="1" s="1"/>
  <c r="G292" i="1"/>
  <c r="E292" i="1"/>
  <c r="R291" i="1"/>
  <c r="P291" i="1" s="1"/>
  <c r="Q291" i="1"/>
  <c r="N291" i="1"/>
  <c r="N323" i="1" s="1"/>
  <c r="G291" i="1"/>
  <c r="E291" i="1"/>
  <c r="R290" i="1"/>
  <c r="P290" i="1" s="1"/>
  <c r="Q290" i="1"/>
  <c r="N290" i="1"/>
  <c r="N315" i="1" s="1"/>
  <c r="N317" i="1" s="1"/>
  <c r="N321" i="1" s="1"/>
  <c r="G290" i="1"/>
  <c r="E290" i="1"/>
  <c r="G289" i="1"/>
  <c r="E289" i="1"/>
  <c r="N334" i="1" l="1"/>
  <c r="N324" i="1"/>
  <c r="N325" i="1" s="1"/>
  <c r="N327" i="1"/>
  <c r="N331" i="1" s="1"/>
  <c r="N322" i="1"/>
  <c r="R288" i="1"/>
  <c r="P288" i="1" s="1"/>
  <c r="Q288" i="1"/>
  <c r="Q287" i="1"/>
  <c r="R287" i="1"/>
  <c r="P287" i="1" s="1"/>
  <c r="G288" i="1"/>
  <c r="E288" i="1"/>
  <c r="E477" i="1"/>
  <c r="G477" i="1"/>
  <c r="Q477" i="1"/>
  <c r="R477" i="1"/>
  <c r="P477" i="1" s="1"/>
  <c r="G287" i="1"/>
  <c r="E287" i="1"/>
  <c r="R286" i="1" l="1"/>
  <c r="P286" i="1" s="1"/>
  <c r="Q286" i="1"/>
  <c r="R285" i="1"/>
  <c r="P285" i="1" s="1"/>
  <c r="Q285" i="1"/>
  <c r="R284" i="1"/>
  <c r="P284" i="1" s="1"/>
  <c r="Q284" i="1"/>
  <c r="R283" i="1"/>
  <c r="P283" i="1" s="1"/>
  <c r="Q283" i="1"/>
  <c r="R282" i="1"/>
  <c r="P282" i="1" s="1"/>
  <c r="Q282" i="1"/>
  <c r="R281" i="1"/>
  <c r="P281" i="1" s="1"/>
  <c r="Q281" i="1"/>
  <c r="R280" i="1"/>
  <c r="P280" i="1" s="1"/>
  <c r="Q280" i="1"/>
  <c r="G286" i="1"/>
  <c r="E286" i="1"/>
  <c r="G282" i="1"/>
  <c r="E282" i="1"/>
  <c r="I282" i="1" s="1"/>
  <c r="G285" i="1"/>
  <c r="E285" i="1"/>
  <c r="G284" i="1" l="1"/>
  <c r="E284" i="1"/>
  <c r="G283" i="1"/>
  <c r="E283" i="1"/>
  <c r="I283" i="1" s="1"/>
  <c r="I287" i="1" s="1"/>
  <c r="G281" i="1"/>
  <c r="E281" i="1"/>
  <c r="G280" i="1"/>
  <c r="E280" i="1"/>
  <c r="I288" i="1" l="1"/>
  <c r="I296" i="1" s="1"/>
  <c r="I297" i="1" s="1"/>
  <c r="I301" i="1" s="1"/>
  <c r="I302" i="1" s="1"/>
  <c r="I308" i="1" s="1"/>
  <c r="I309" i="1" s="1"/>
  <c r="I312" i="1" s="1"/>
  <c r="I313" i="1" s="1"/>
  <c r="I320" i="1" s="1"/>
  <c r="I321" i="1" s="1"/>
  <c r="I325" i="1" s="1"/>
  <c r="I326" i="1" s="1"/>
  <c r="I331" i="1" s="1"/>
  <c r="I332" i="1" s="1"/>
  <c r="I334" i="1" s="1"/>
  <c r="I335" i="1" s="1"/>
  <c r="I344" i="1" s="1"/>
  <c r="I345" i="1" s="1"/>
  <c r="I349" i="1" s="1"/>
  <c r="I350" i="1" s="1"/>
  <c r="I356" i="1" s="1"/>
  <c r="I357" i="1" s="1"/>
  <c r="R276" i="1"/>
  <c r="P276" i="1" s="1"/>
  <c r="Q276" i="1"/>
  <c r="R275" i="1"/>
  <c r="P275" i="1" s="1"/>
  <c r="Q275" i="1"/>
  <c r="R274" i="1"/>
  <c r="P274" i="1" s="1"/>
  <c r="Q274" i="1"/>
  <c r="N278" i="1"/>
  <c r="N310" i="1" s="1"/>
  <c r="N311" i="1" s="1"/>
  <c r="N312" i="1" s="1"/>
  <c r="N279" i="1"/>
  <c r="N313" i="1" s="1"/>
  <c r="N277" i="1"/>
  <c r="N305" i="1" s="1"/>
  <c r="N309" i="1" s="1"/>
  <c r="I360" i="1" l="1"/>
  <c r="I361" i="1" s="1"/>
  <c r="I370" i="1" s="1"/>
  <c r="N314" i="1"/>
  <c r="N316" i="1" s="1"/>
  <c r="N320" i="1" s="1"/>
  <c r="R279" i="1"/>
  <c r="P279" i="1" s="1"/>
  <c r="Q279" i="1"/>
  <c r="G279" i="1"/>
  <c r="E279" i="1"/>
  <c r="R278" i="1"/>
  <c r="P278" i="1" s="1"/>
  <c r="Q278" i="1"/>
  <c r="G278" i="1"/>
  <c r="E278" i="1"/>
  <c r="R277" i="1"/>
  <c r="P277" i="1" s="1"/>
  <c r="Q277" i="1"/>
  <c r="G277" i="1"/>
  <c r="E277" i="1"/>
  <c r="G276" i="1"/>
  <c r="E276" i="1"/>
  <c r="G275" i="1"/>
  <c r="E275" i="1"/>
  <c r="G274" i="1"/>
  <c r="E274" i="1"/>
  <c r="I371" i="1" l="1"/>
  <c r="R273" i="1"/>
  <c r="P273" i="1" s="1"/>
  <c r="Q273" i="1"/>
  <c r="R271" i="1"/>
  <c r="P271" i="1" s="1"/>
  <c r="Q271" i="1"/>
  <c r="R272" i="1"/>
  <c r="P272" i="1" s="1"/>
  <c r="Q272" i="1"/>
  <c r="R270" i="1"/>
  <c r="P270" i="1" s="1"/>
  <c r="Q270" i="1"/>
  <c r="G273" i="1"/>
  <c r="E273" i="1"/>
  <c r="G272" i="1"/>
  <c r="E272" i="1"/>
  <c r="G271" i="1"/>
  <c r="E271" i="1"/>
  <c r="G270" i="1"/>
  <c r="E270" i="1"/>
  <c r="R269" i="1" l="1"/>
  <c r="P269" i="1" s="1"/>
  <c r="Q269" i="1"/>
  <c r="G269" i="1" l="1"/>
  <c r="E269" i="1"/>
  <c r="R268" i="1" l="1"/>
  <c r="P268" i="1" s="1"/>
  <c r="Q268" i="1"/>
  <c r="R267" i="1"/>
  <c r="P267" i="1" s="1"/>
  <c r="Q267" i="1"/>
  <c r="R266" i="1"/>
  <c r="P266" i="1" s="1"/>
  <c r="Q266" i="1"/>
  <c r="R265" i="1"/>
  <c r="P265" i="1" s="1"/>
  <c r="Q265" i="1"/>
  <c r="R264" i="1"/>
  <c r="P264" i="1" s="1"/>
  <c r="Q264" i="1"/>
  <c r="G268" i="1" l="1"/>
  <c r="E268" i="1"/>
  <c r="I268" i="1" s="1"/>
  <c r="I275" i="1" s="1"/>
  <c r="I276" i="1" s="1"/>
  <c r="I277" i="1" s="1"/>
  <c r="I278" i="1" s="1"/>
  <c r="I279" i="1" s="1"/>
  <c r="G267" i="1" l="1"/>
  <c r="E267" i="1"/>
  <c r="G266" i="1"/>
  <c r="E266" i="1"/>
  <c r="G265" i="1" l="1"/>
  <c r="E265" i="1"/>
  <c r="G264" i="1"/>
  <c r="E264" i="1"/>
  <c r="R260" i="1" l="1"/>
  <c r="P260" i="1" s="1"/>
  <c r="Q260" i="1"/>
  <c r="Q259" i="1"/>
  <c r="R259" i="1"/>
  <c r="P259" i="1" s="1"/>
  <c r="R263" i="1"/>
  <c r="P263" i="1" s="1"/>
  <c r="Q263" i="1"/>
  <c r="N263" i="1"/>
  <c r="N300" i="1" s="1"/>
  <c r="N303" i="1" s="1"/>
  <c r="N304" i="1" s="1"/>
  <c r="N308" i="1" s="1"/>
  <c r="G263" i="1"/>
  <c r="E263" i="1"/>
  <c r="R262" i="1"/>
  <c r="P262" i="1" s="1"/>
  <c r="Q262" i="1"/>
  <c r="N262" i="1"/>
  <c r="N299" i="1" s="1"/>
  <c r="N302" i="1" s="1"/>
  <c r="G262" i="1"/>
  <c r="E262" i="1"/>
  <c r="R261" i="1"/>
  <c r="P261" i="1" s="1"/>
  <c r="Q261" i="1"/>
  <c r="N261" i="1"/>
  <c r="N295" i="1" s="1"/>
  <c r="G261" i="1"/>
  <c r="E261" i="1"/>
  <c r="G260" i="1"/>
  <c r="E260" i="1"/>
  <c r="G259" i="1"/>
  <c r="E259" i="1"/>
  <c r="N297" i="1" l="1"/>
  <c r="N298" i="1" s="1"/>
  <c r="R258" i="1"/>
  <c r="P258" i="1" s="1"/>
  <c r="Q258" i="1"/>
  <c r="G258" i="1"/>
  <c r="E258" i="1"/>
  <c r="N301" i="1" l="1"/>
  <c r="R257" i="1"/>
  <c r="P257" i="1" s="1"/>
  <c r="Q257" i="1"/>
  <c r="R256" i="1"/>
  <c r="P256" i="1" s="1"/>
  <c r="Q256" i="1"/>
  <c r="G257" i="1"/>
  <c r="E257" i="1"/>
  <c r="G256" i="1"/>
  <c r="E256" i="1"/>
  <c r="R255" i="1" l="1"/>
  <c r="P255" i="1" s="1"/>
  <c r="Q255" i="1"/>
  <c r="R254" i="1"/>
  <c r="P254" i="1" s="1"/>
  <c r="Q254" i="1"/>
  <c r="G255" i="1"/>
  <c r="E255" i="1"/>
  <c r="I255" i="1" s="1"/>
  <c r="I258" i="1" s="1"/>
  <c r="I259" i="1" s="1"/>
  <c r="I260" i="1" s="1"/>
  <c r="I269" i="1" s="1"/>
  <c r="I274" i="1" s="1"/>
  <c r="I284" i="1" s="1"/>
  <c r="I285" i="1" s="1"/>
  <c r="I286" i="1" s="1"/>
  <c r="I294" i="1" s="1"/>
  <c r="G254" i="1"/>
  <c r="E254" i="1"/>
  <c r="I295" i="1" l="1"/>
  <c r="I298" i="1" s="1"/>
  <c r="I299" i="1" s="1"/>
  <c r="I300" i="1" s="1"/>
  <c r="R253" i="1"/>
  <c r="P253" i="1" s="1"/>
  <c r="Q253" i="1"/>
  <c r="Q252" i="1"/>
  <c r="R252" i="1"/>
  <c r="P252" i="1" s="1"/>
  <c r="G253" i="1"/>
  <c r="E253" i="1"/>
  <c r="G252" i="1"/>
  <c r="E252" i="1"/>
  <c r="I303" i="1" l="1"/>
  <c r="I310" i="1" s="1"/>
  <c r="I314" i="1" s="1"/>
  <c r="I315" i="1" s="1"/>
  <c r="I322" i="1" s="1"/>
  <c r="I289" i="1"/>
  <c r="I290" i="1" s="1"/>
  <c r="R251" i="1"/>
  <c r="P251" i="1" s="1"/>
  <c r="Q251" i="1"/>
  <c r="I323" i="1" l="1"/>
  <c r="I324" i="1" s="1"/>
  <c r="I333" i="1" s="1"/>
  <c r="I346" i="1" s="1"/>
  <c r="I291" i="1"/>
  <c r="I292" i="1" s="1"/>
  <c r="G251" i="1"/>
  <c r="E251" i="1"/>
  <c r="I293" i="1" l="1"/>
  <c r="I304" i="1" s="1"/>
  <c r="N248" i="1"/>
  <c r="N250" i="1"/>
  <c r="N288" i="1" s="1"/>
  <c r="N289" i="1" s="1"/>
  <c r="N249" i="1"/>
  <c r="N285" i="1" s="1"/>
  <c r="N286" i="1" s="1"/>
  <c r="N287" i="1" s="1"/>
  <c r="R250" i="1"/>
  <c r="P250" i="1" s="1"/>
  <c r="Q250" i="1"/>
  <c r="G250" i="1"/>
  <c r="E250" i="1"/>
  <c r="R249" i="1"/>
  <c r="P249" i="1" s="1"/>
  <c r="Q249" i="1"/>
  <c r="G249" i="1"/>
  <c r="E249" i="1"/>
  <c r="R248" i="1"/>
  <c r="P248" i="1" s="1"/>
  <c r="Q248" i="1"/>
  <c r="G248" i="1"/>
  <c r="E248" i="1"/>
  <c r="R247" i="1"/>
  <c r="P247" i="1" s="1"/>
  <c r="Q247" i="1"/>
  <c r="G247" i="1"/>
  <c r="E247" i="1"/>
  <c r="N294" i="1" l="1"/>
  <c r="N296" i="1" s="1"/>
  <c r="I305" i="1"/>
  <c r="N276" i="1"/>
  <c r="N283" i="1" s="1"/>
  <c r="N284" i="1" s="1"/>
  <c r="R246" i="1"/>
  <c r="P246" i="1" s="1"/>
  <c r="Q246" i="1"/>
  <c r="R245" i="1"/>
  <c r="P245" i="1" s="1"/>
  <c r="Q245" i="1"/>
  <c r="R244" i="1"/>
  <c r="P244" i="1" s="1"/>
  <c r="Q244" i="1"/>
  <c r="R242" i="1"/>
  <c r="P242" i="1" s="1"/>
  <c r="Q242" i="1"/>
  <c r="R243" i="1"/>
  <c r="P243" i="1" s="1"/>
  <c r="Q243" i="1"/>
  <c r="G246" i="1"/>
  <c r="E246" i="1"/>
  <c r="G245" i="1"/>
  <c r="E245" i="1"/>
  <c r="G244" i="1"/>
  <c r="E244" i="1"/>
  <c r="G243" i="1"/>
  <c r="E243" i="1"/>
  <c r="I306" i="1" l="1"/>
  <c r="I307" i="1" s="1"/>
  <c r="G242" i="1"/>
  <c r="E242" i="1"/>
  <c r="I311" i="1" l="1"/>
  <c r="I316" i="1" s="1"/>
  <c r="R241" i="1"/>
  <c r="P241" i="1" s="1"/>
  <c r="Q241" i="1"/>
  <c r="R240" i="1"/>
  <c r="P240" i="1" s="1"/>
  <c r="Q240" i="1"/>
  <c r="G241" i="1"/>
  <c r="E241" i="1"/>
  <c r="G240" i="1"/>
  <c r="E240" i="1"/>
  <c r="I317" i="1" l="1"/>
  <c r="R239" i="1"/>
  <c r="P239" i="1" s="1"/>
  <c r="Q239" i="1"/>
  <c r="R238" i="1"/>
  <c r="P238" i="1" s="1"/>
  <c r="Q238" i="1"/>
  <c r="I318" i="1" l="1"/>
  <c r="I319" i="1" s="1"/>
  <c r="I327" i="1" s="1"/>
  <c r="G239" i="1"/>
  <c r="E239" i="1"/>
  <c r="G238" i="1"/>
  <c r="E238" i="1"/>
  <c r="I328" i="1" l="1"/>
  <c r="R234" i="1"/>
  <c r="P234" i="1" s="1"/>
  <c r="Q234" i="1"/>
  <c r="Q233" i="1"/>
  <c r="R233" i="1"/>
  <c r="P233" i="1" s="1"/>
  <c r="N237" i="1"/>
  <c r="N274" i="1" s="1"/>
  <c r="N275" i="1" s="1"/>
  <c r="N281" i="1" s="1"/>
  <c r="N236" i="1"/>
  <c r="N269" i="1" s="1"/>
  <c r="N235" i="1"/>
  <c r="N260" i="1" s="1"/>
  <c r="N267" i="1" s="1"/>
  <c r="N268" i="1" s="1"/>
  <c r="R237" i="1"/>
  <c r="P237" i="1" s="1"/>
  <c r="Q237" i="1"/>
  <c r="G237" i="1"/>
  <c r="E237" i="1"/>
  <c r="R236" i="1"/>
  <c r="P236" i="1" s="1"/>
  <c r="Q236" i="1"/>
  <c r="G236" i="1"/>
  <c r="E236" i="1"/>
  <c r="R235" i="1"/>
  <c r="P235" i="1" s="1"/>
  <c r="Q235" i="1"/>
  <c r="G235" i="1"/>
  <c r="E235" i="1"/>
  <c r="G234" i="1"/>
  <c r="E234" i="1"/>
  <c r="G233" i="1"/>
  <c r="E233" i="1"/>
  <c r="I329" i="1" l="1"/>
  <c r="I330" i="1" s="1"/>
  <c r="I336" i="1" s="1"/>
  <c r="I341" i="1"/>
  <c r="I342" i="1" s="1"/>
  <c r="N282" i="1"/>
  <c r="N272" i="1"/>
  <c r="N273" i="1"/>
  <c r="N280" i="1" s="1"/>
  <c r="R232" i="1"/>
  <c r="P232" i="1" s="1"/>
  <c r="Q232" i="1"/>
  <c r="R231" i="1"/>
  <c r="P231" i="1" s="1"/>
  <c r="Q231" i="1"/>
  <c r="G232" i="1"/>
  <c r="E232" i="1"/>
  <c r="G231" i="1"/>
  <c r="E231" i="1"/>
  <c r="R230" i="1" l="1"/>
  <c r="P230" i="1" s="1"/>
  <c r="Q230" i="1"/>
  <c r="Q229" i="1"/>
  <c r="R229" i="1"/>
  <c r="P229" i="1" s="1"/>
  <c r="G230" i="1"/>
  <c r="E230" i="1"/>
  <c r="G229" i="1"/>
  <c r="E229" i="1"/>
  <c r="R228" i="1" l="1"/>
  <c r="P228" i="1" s="1"/>
  <c r="Q228" i="1"/>
  <c r="R227" i="1"/>
  <c r="P227" i="1" s="1"/>
  <c r="Q227" i="1"/>
  <c r="G228" i="1"/>
  <c r="E228" i="1"/>
  <c r="G227" i="1"/>
  <c r="E227" i="1"/>
  <c r="R224" i="1" l="1"/>
  <c r="P224" i="1" s="1"/>
  <c r="Q224" i="1"/>
  <c r="Q223" i="1"/>
  <c r="R223" i="1"/>
  <c r="P223" i="1" s="1"/>
  <c r="R226" i="1" l="1"/>
  <c r="P226" i="1" s="1"/>
  <c r="Q226" i="1"/>
  <c r="N226" i="1"/>
  <c r="N255" i="1" s="1"/>
  <c r="N258" i="1" s="1"/>
  <c r="N259" i="1" s="1"/>
  <c r="G226" i="1"/>
  <c r="E226" i="1"/>
  <c r="R225" i="1"/>
  <c r="P225" i="1" s="1"/>
  <c r="Q225" i="1"/>
  <c r="N225" i="1"/>
  <c r="N247" i="1" s="1"/>
  <c r="G225" i="1"/>
  <c r="E225" i="1"/>
  <c r="G224" i="1"/>
  <c r="E224" i="1"/>
  <c r="G223" i="1"/>
  <c r="E223" i="1"/>
  <c r="N266" i="1" l="1"/>
  <c r="N254" i="1"/>
  <c r="N270" i="1" s="1"/>
  <c r="R222" i="1"/>
  <c r="P222" i="1" s="1"/>
  <c r="Q222" i="1"/>
  <c r="Q220" i="1"/>
  <c r="R220" i="1"/>
  <c r="P220" i="1" s="1"/>
  <c r="R221" i="1"/>
  <c r="P221" i="1" s="1"/>
  <c r="Q221" i="1"/>
  <c r="G222" i="1"/>
  <c r="E222" i="1"/>
  <c r="G221" i="1"/>
  <c r="E221" i="1"/>
  <c r="N271" i="1" l="1"/>
  <c r="R219" i="1"/>
  <c r="P219" i="1" s="1"/>
  <c r="Q219" i="1"/>
  <c r="Q218" i="1"/>
  <c r="R218" i="1"/>
  <c r="P218" i="1" s="1"/>
  <c r="G220" i="1"/>
  <c r="E220" i="1"/>
  <c r="G219" i="1"/>
  <c r="E219" i="1"/>
  <c r="G218" i="1"/>
  <c r="E218" i="1"/>
  <c r="R217" i="1" l="1"/>
  <c r="P217" i="1" s="1"/>
  <c r="Q217" i="1"/>
  <c r="G217" i="1"/>
  <c r="E217" i="1"/>
  <c r="N216" i="1" l="1"/>
  <c r="R215" i="1"/>
  <c r="P215" i="1" s="1"/>
  <c r="Q215" i="1"/>
  <c r="Q214" i="1"/>
  <c r="R214" i="1"/>
  <c r="P214" i="1" s="1"/>
  <c r="R216" i="1"/>
  <c r="P216" i="1" s="1"/>
  <c r="Q216" i="1"/>
  <c r="G216" i="1"/>
  <c r="E216" i="1"/>
  <c r="G215" i="1"/>
  <c r="E215" i="1"/>
  <c r="G214" i="1"/>
  <c r="E214" i="1"/>
  <c r="R213" i="1" l="1"/>
  <c r="P213" i="1" s="1"/>
  <c r="Q213" i="1"/>
  <c r="Q212" i="1"/>
  <c r="R212" i="1"/>
  <c r="P212" i="1" s="1"/>
  <c r="G213" i="1"/>
  <c r="E213" i="1"/>
  <c r="G212" i="1"/>
  <c r="E212" i="1"/>
  <c r="Q211" i="1" l="1"/>
  <c r="R211" i="1"/>
  <c r="P211" i="1" s="1"/>
  <c r="G211" i="1"/>
  <c r="E211" i="1"/>
  <c r="R210" i="1" l="1"/>
  <c r="P210" i="1" s="1"/>
  <c r="Q210" i="1"/>
  <c r="Q208" i="1"/>
  <c r="R208" i="1"/>
  <c r="P208" i="1" s="1"/>
  <c r="Q209" i="1"/>
  <c r="R209" i="1"/>
  <c r="P209" i="1" s="1"/>
  <c r="E208" i="1"/>
  <c r="G210" i="1"/>
  <c r="E210" i="1"/>
  <c r="G209" i="1"/>
  <c r="E209" i="1"/>
  <c r="I209" i="1" s="1"/>
  <c r="G208" i="1"/>
  <c r="R207" i="1" l="1"/>
  <c r="P207" i="1" s="1"/>
  <c r="Q207" i="1"/>
  <c r="R206" i="1"/>
  <c r="P206" i="1" s="1"/>
  <c r="Q206" i="1"/>
  <c r="G207" i="1"/>
  <c r="E207" i="1"/>
  <c r="G206" i="1"/>
  <c r="E206" i="1"/>
  <c r="N204" i="1" l="1"/>
  <c r="N257" i="1" s="1"/>
  <c r="N264" i="1" s="1"/>
  <c r="N201" i="1"/>
  <c r="N202" i="1"/>
  <c r="N251" i="1" s="1"/>
  <c r="N252" i="1" s="1"/>
  <c r="N203" i="1"/>
  <c r="N253" i="1" s="1"/>
  <c r="N256" i="1" s="1"/>
  <c r="N205" i="1"/>
  <c r="N265" i="1" s="1"/>
  <c r="N200" i="1"/>
  <c r="Q199" i="1"/>
  <c r="R199" i="1"/>
  <c r="P199" i="1" s="1"/>
  <c r="R205" i="1"/>
  <c r="P205" i="1" s="1"/>
  <c r="Q205" i="1"/>
  <c r="G205" i="1"/>
  <c r="E205" i="1"/>
  <c r="R204" i="1"/>
  <c r="P204" i="1" s="1"/>
  <c r="Q204" i="1"/>
  <c r="G204" i="1"/>
  <c r="E204" i="1"/>
  <c r="R203" i="1"/>
  <c r="P203" i="1" s="1"/>
  <c r="Q203" i="1"/>
  <c r="G203" i="1"/>
  <c r="E203" i="1"/>
  <c r="R202" i="1"/>
  <c r="P202" i="1" s="1"/>
  <c r="Q202" i="1"/>
  <c r="G202" i="1"/>
  <c r="E202" i="1"/>
  <c r="R201" i="1"/>
  <c r="P201" i="1" s="1"/>
  <c r="Q201" i="1"/>
  <c r="G201" i="1"/>
  <c r="E201" i="1"/>
  <c r="R200" i="1"/>
  <c r="P200" i="1" s="1"/>
  <c r="Q200" i="1"/>
  <c r="G200" i="1"/>
  <c r="E200" i="1"/>
  <c r="G199" i="1"/>
  <c r="E199" i="1"/>
  <c r="R198" i="1" l="1"/>
  <c r="P198" i="1" s="1"/>
  <c r="Q198" i="1"/>
  <c r="G198" i="1"/>
  <c r="E198" i="1"/>
  <c r="Q194" i="1" l="1"/>
  <c r="R194" i="1"/>
  <c r="P194" i="1" s="1"/>
  <c r="R197" i="1"/>
  <c r="P197" i="1" s="1"/>
  <c r="Q197" i="1"/>
  <c r="R196" i="1"/>
  <c r="P196" i="1" s="1"/>
  <c r="Q196" i="1"/>
  <c r="R195" i="1"/>
  <c r="P195" i="1" s="1"/>
  <c r="Q195" i="1"/>
  <c r="G196" i="1" l="1"/>
  <c r="E196" i="1"/>
  <c r="I196" i="1" s="1"/>
  <c r="I206" i="1" s="1"/>
  <c r="I207" i="1" s="1"/>
  <c r="G195" i="1"/>
  <c r="E195" i="1"/>
  <c r="G197" i="1"/>
  <c r="E197" i="1"/>
  <c r="G194" i="1"/>
  <c r="E194" i="1"/>
  <c r="I210" i="1" l="1"/>
  <c r="I212" i="1" s="1"/>
  <c r="I213" i="1" s="1"/>
  <c r="I217" i="1" s="1"/>
  <c r="I221" i="1" s="1"/>
  <c r="I222" i="1" s="1"/>
  <c r="I227" i="1" s="1"/>
  <c r="I228" i="1" s="1"/>
  <c r="I211" i="1"/>
  <c r="I218" i="1" s="1"/>
  <c r="R193" i="1"/>
  <c r="P193" i="1" s="1"/>
  <c r="Q193" i="1"/>
  <c r="Q192" i="1"/>
  <c r="R192" i="1"/>
  <c r="P192" i="1" s="1"/>
  <c r="G193" i="1"/>
  <c r="E193" i="1"/>
  <c r="G192" i="1"/>
  <c r="E192" i="1"/>
  <c r="I231" i="1" l="1"/>
  <c r="I219" i="1"/>
  <c r="I220" i="1" s="1"/>
  <c r="I229" i="1" s="1"/>
  <c r="I230" i="1" s="1"/>
  <c r="I240" i="1" s="1"/>
  <c r="I241" i="1" s="1"/>
  <c r="I243" i="1" s="1"/>
  <c r="I244" i="1" s="1"/>
  <c r="I254" i="1" s="1"/>
  <c r="R191" i="1"/>
  <c r="P191" i="1" s="1"/>
  <c r="Q191" i="1"/>
  <c r="Q190" i="1"/>
  <c r="R190" i="1"/>
  <c r="P190" i="1" s="1"/>
  <c r="G191" i="1"/>
  <c r="E191" i="1"/>
  <c r="G190" i="1"/>
  <c r="E190" i="1"/>
  <c r="I232" i="1" l="1"/>
  <c r="I238" i="1" s="1"/>
  <c r="I239" i="1" s="1"/>
  <c r="I242" i="1" s="1"/>
  <c r="Q189" i="1"/>
  <c r="R189" i="1"/>
  <c r="P189" i="1" s="1"/>
  <c r="G189" i="1"/>
  <c r="E189" i="1"/>
  <c r="I245" i="1" l="1"/>
  <c r="I246" i="1" s="1"/>
  <c r="I247" i="1" s="1"/>
  <c r="I251" i="1" s="1"/>
  <c r="I252" i="1" s="1"/>
  <c r="I253" i="1" s="1"/>
  <c r="I256" i="1" s="1"/>
  <c r="R188" i="1"/>
  <c r="P188" i="1" s="1"/>
  <c r="Q188" i="1"/>
  <c r="R187" i="1"/>
  <c r="P187" i="1" s="1"/>
  <c r="Q187" i="1"/>
  <c r="G188" i="1"/>
  <c r="E188" i="1"/>
  <c r="G187" i="1"/>
  <c r="E187" i="1"/>
  <c r="I257" i="1" l="1"/>
  <c r="I264" i="1" s="1"/>
  <c r="I265" i="1" s="1"/>
  <c r="N186" i="1"/>
  <c r="N246" i="1" s="1"/>
  <c r="N185" i="1"/>
  <c r="N239" i="1" s="1"/>
  <c r="N242" i="1" s="1"/>
  <c r="N244" i="1" s="1"/>
  <c r="N245" i="1" s="1"/>
  <c r="N184" i="1"/>
  <c r="N238" i="1" s="1"/>
  <c r="N243" i="1" s="1"/>
  <c r="Q183" i="1"/>
  <c r="R183" i="1"/>
  <c r="P183" i="1" s="1"/>
  <c r="R186" i="1"/>
  <c r="P186" i="1" s="1"/>
  <c r="Q186" i="1"/>
  <c r="G186" i="1"/>
  <c r="E186" i="1"/>
  <c r="R185" i="1"/>
  <c r="P185" i="1" s="1"/>
  <c r="Q185" i="1"/>
  <c r="G185" i="1"/>
  <c r="E185" i="1"/>
  <c r="R184" i="1"/>
  <c r="P184" i="1" s="1"/>
  <c r="Q184" i="1"/>
  <c r="G184" i="1"/>
  <c r="E184" i="1"/>
  <c r="G183" i="1"/>
  <c r="E183" i="1"/>
  <c r="I270" i="1" l="1"/>
  <c r="I271" i="1" s="1"/>
  <c r="I272" i="1" s="1"/>
  <c r="R182" i="1"/>
  <c r="P182" i="1" s="1"/>
  <c r="Q182" i="1"/>
  <c r="R181" i="1"/>
  <c r="P181" i="1" s="1"/>
  <c r="Q181" i="1"/>
  <c r="R180" i="1"/>
  <c r="P180" i="1" s="1"/>
  <c r="Q180" i="1"/>
  <c r="Q179" i="1"/>
  <c r="R179" i="1"/>
  <c r="P179" i="1" s="1"/>
  <c r="G180" i="1"/>
  <c r="E180" i="1"/>
  <c r="G179" i="1"/>
  <c r="E179" i="1"/>
  <c r="G182" i="1"/>
  <c r="E182" i="1"/>
  <c r="G181" i="1"/>
  <c r="E181" i="1"/>
  <c r="I273" i="1" l="1"/>
  <c r="I280" i="1" s="1"/>
  <c r="R178" i="1"/>
  <c r="P178" i="1" s="1"/>
  <c r="Q178" i="1"/>
  <c r="G178" i="1"/>
  <c r="E178" i="1"/>
  <c r="I281" i="1" l="1"/>
  <c r="R177" i="1"/>
  <c r="P177" i="1" s="1"/>
  <c r="Q177" i="1"/>
  <c r="Q176" i="1"/>
  <c r="R176" i="1"/>
  <c r="P176" i="1" s="1"/>
  <c r="G177" i="1"/>
  <c r="E177" i="1"/>
  <c r="G176" i="1"/>
  <c r="E176" i="1"/>
  <c r="R175" i="1" l="1"/>
  <c r="P175" i="1" s="1"/>
  <c r="Q175" i="1"/>
  <c r="Q174" i="1"/>
  <c r="R174" i="1"/>
  <c r="P174" i="1" s="1"/>
  <c r="G175" i="1"/>
  <c r="E175" i="1"/>
  <c r="G174" i="1"/>
  <c r="E174" i="1"/>
  <c r="R173" i="1" l="1"/>
  <c r="P173" i="1" s="1"/>
  <c r="Q173" i="1"/>
  <c r="Q171" i="1"/>
  <c r="R171" i="1"/>
  <c r="P171" i="1" s="1"/>
  <c r="Q172" i="1"/>
  <c r="R172" i="1"/>
  <c r="P172" i="1" s="1"/>
  <c r="G173" i="1"/>
  <c r="E173" i="1"/>
  <c r="G172" i="1"/>
  <c r="E172" i="1"/>
  <c r="G171" i="1"/>
  <c r="E171" i="1"/>
  <c r="R170" i="1" l="1"/>
  <c r="P170" i="1" s="1"/>
  <c r="Q170" i="1"/>
  <c r="R169" i="1"/>
  <c r="P169" i="1" s="1"/>
  <c r="Q169" i="1"/>
  <c r="R168" i="1"/>
  <c r="P168" i="1" s="1"/>
  <c r="Q168" i="1"/>
  <c r="R167" i="1"/>
  <c r="P167" i="1" s="1"/>
  <c r="Q167" i="1"/>
  <c r="G170" i="1"/>
  <c r="E170" i="1"/>
  <c r="G169" i="1"/>
  <c r="E169" i="1"/>
  <c r="G168" i="1"/>
  <c r="E168" i="1"/>
  <c r="G167" i="1"/>
  <c r="E167" i="1"/>
  <c r="R166" i="1" l="1"/>
  <c r="P166" i="1" s="1"/>
  <c r="Q166" i="1"/>
  <c r="R165" i="1"/>
  <c r="P165" i="1" s="1"/>
  <c r="Q165" i="1"/>
  <c r="G166" i="1"/>
  <c r="E166" i="1"/>
  <c r="G165" i="1"/>
  <c r="E165" i="1"/>
  <c r="R159" i="1" l="1"/>
  <c r="P159" i="1" s="1"/>
  <c r="Q159" i="1"/>
  <c r="R160" i="1"/>
  <c r="P160" i="1" s="1"/>
  <c r="Q160" i="1"/>
  <c r="E161" i="1"/>
  <c r="E162" i="1"/>
  <c r="R164" i="1"/>
  <c r="P164" i="1" s="1"/>
  <c r="Q164" i="1"/>
  <c r="N164" i="1"/>
  <c r="G164" i="1"/>
  <c r="E164" i="1"/>
  <c r="R163" i="1"/>
  <c r="P163" i="1" s="1"/>
  <c r="Q163" i="1"/>
  <c r="N163" i="1"/>
  <c r="G163" i="1"/>
  <c r="E163" i="1"/>
  <c r="I163" i="1" s="1"/>
  <c r="R162" i="1"/>
  <c r="P162" i="1" s="1"/>
  <c r="Q162" i="1"/>
  <c r="N162" i="1"/>
  <c r="G162" i="1"/>
  <c r="R161" i="1"/>
  <c r="P161" i="1" s="1"/>
  <c r="Q161" i="1"/>
  <c r="N161" i="1"/>
  <c r="G161" i="1"/>
  <c r="G160" i="1"/>
  <c r="E160" i="1"/>
  <c r="G159" i="1"/>
  <c r="E159" i="1"/>
  <c r="R158" i="1" l="1"/>
  <c r="P158" i="1" s="1"/>
  <c r="Q158" i="1"/>
  <c r="Q157" i="1"/>
  <c r="R157" i="1"/>
  <c r="P157" i="1" s="1"/>
  <c r="G158" i="1"/>
  <c r="E158" i="1"/>
  <c r="G157" i="1"/>
  <c r="E157" i="1"/>
  <c r="R156" i="1" l="1"/>
  <c r="P156" i="1" s="1"/>
  <c r="Q156" i="1"/>
  <c r="Q155" i="1"/>
  <c r="R155" i="1"/>
  <c r="P155" i="1" s="1"/>
  <c r="G156" i="1"/>
  <c r="E156" i="1"/>
  <c r="G155" i="1"/>
  <c r="E155" i="1"/>
  <c r="R154" i="1"/>
  <c r="P154" i="1" s="1"/>
  <c r="Q154" i="1"/>
  <c r="R153" i="1"/>
  <c r="P153" i="1" s="1"/>
  <c r="Q153" i="1"/>
  <c r="G154" i="1"/>
  <c r="E154" i="1"/>
  <c r="G153" i="1"/>
  <c r="E153" i="1"/>
  <c r="Q75" i="2" l="1"/>
  <c r="Q74" i="2"/>
  <c r="G75" i="2"/>
  <c r="E75" i="2"/>
  <c r="G74" i="2"/>
  <c r="E74" i="2"/>
  <c r="I74" i="2" l="1"/>
  <c r="I75" i="2" s="1"/>
  <c r="R150" i="1"/>
  <c r="P150" i="1" s="1"/>
  <c r="Q150" i="1"/>
  <c r="Q149" i="1"/>
  <c r="R149" i="1"/>
  <c r="P149" i="1" s="1"/>
  <c r="G150" i="1"/>
  <c r="E150" i="1"/>
  <c r="R152" i="1"/>
  <c r="P152" i="1" s="1"/>
  <c r="Q152" i="1"/>
  <c r="N152" i="1"/>
  <c r="N241" i="1" s="1"/>
  <c r="G152" i="1"/>
  <c r="E152" i="1"/>
  <c r="R151" i="1"/>
  <c r="P151" i="1" s="1"/>
  <c r="Q151" i="1"/>
  <c r="N151" i="1"/>
  <c r="N234" i="1" s="1"/>
  <c r="N240" i="1" s="1"/>
  <c r="G151" i="1"/>
  <c r="E151" i="1"/>
  <c r="G149" i="1"/>
  <c r="E149" i="1"/>
  <c r="R148" i="1" l="1"/>
  <c r="P148" i="1" s="1"/>
  <c r="Q148" i="1"/>
  <c r="Q147" i="1"/>
  <c r="R147" i="1"/>
  <c r="P147" i="1" s="1"/>
  <c r="G148" i="1"/>
  <c r="E148" i="1"/>
  <c r="G147" i="1"/>
  <c r="E147" i="1"/>
  <c r="Q73" i="2" l="1"/>
  <c r="Q72" i="2"/>
  <c r="G73" i="2" l="1"/>
  <c r="E73" i="2"/>
  <c r="G72" i="2"/>
  <c r="E72" i="2"/>
  <c r="Q146" i="1"/>
  <c r="R146" i="1"/>
  <c r="P146" i="1" s="1"/>
  <c r="G146" i="1"/>
  <c r="E146" i="1"/>
  <c r="R145" i="1" l="1"/>
  <c r="P145" i="1" s="1"/>
  <c r="Q145" i="1"/>
  <c r="R144" i="1"/>
  <c r="P144" i="1" s="1"/>
  <c r="Q144" i="1"/>
  <c r="G145" i="1" l="1"/>
  <c r="E145" i="1"/>
  <c r="G144" i="1"/>
  <c r="E144" i="1"/>
  <c r="R143" i="1" l="1"/>
  <c r="P143" i="1" s="1"/>
  <c r="Q143" i="1"/>
  <c r="N143" i="1"/>
  <c r="N230" i="1" s="1"/>
  <c r="G143" i="1"/>
  <c r="E143" i="1"/>
  <c r="R142" i="1"/>
  <c r="P142" i="1" s="1"/>
  <c r="Q142" i="1"/>
  <c r="N142" i="1"/>
  <c r="G142" i="1"/>
  <c r="E142" i="1"/>
  <c r="R141" i="1"/>
  <c r="P141" i="1" s="1"/>
  <c r="Q141" i="1"/>
  <c r="N141" i="1"/>
  <c r="G141" i="1"/>
  <c r="E141" i="1"/>
  <c r="N232" i="1" l="1"/>
  <c r="N233" i="1" s="1"/>
  <c r="N228" i="1"/>
  <c r="N224" i="1"/>
  <c r="N227" i="1" s="1"/>
  <c r="Q140" i="1"/>
  <c r="R140" i="1"/>
  <c r="P140" i="1" s="1"/>
  <c r="G140" i="1"/>
  <c r="E140" i="1"/>
  <c r="M71" i="2"/>
  <c r="M70" i="2"/>
  <c r="N229" i="1" l="1"/>
  <c r="Q71" i="2"/>
  <c r="G71" i="2"/>
  <c r="E71" i="2"/>
  <c r="Q70" i="2"/>
  <c r="G70" i="2"/>
  <c r="E70" i="2"/>
  <c r="N231" i="1" l="1"/>
  <c r="R139" i="1"/>
  <c r="P139" i="1" s="1"/>
  <c r="Q139" i="1"/>
  <c r="R43" i="1"/>
  <c r="Q138" i="1"/>
  <c r="R138" i="1"/>
  <c r="P138" i="1" s="1"/>
  <c r="G139" i="1"/>
  <c r="E139" i="1"/>
  <c r="G138" i="1"/>
  <c r="E138" i="1"/>
  <c r="R137" i="1" l="1"/>
  <c r="P137" i="1" s="1"/>
  <c r="Q137" i="1"/>
  <c r="R136" i="1"/>
  <c r="P136" i="1" s="1"/>
  <c r="Q136" i="1"/>
  <c r="G137" i="1"/>
  <c r="E137" i="1"/>
  <c r="G136" i="1"/>
  <c r="E136" i="1"/>
  <c r="R135" i="1" l="1"/>
  <c r="P135" i="1" s="1"/>
  <c r="Q135" i="1"/>
  <c r="R134" i="1"/>
  <c r="P134" i="1" s="1"/>
  <c r="Q134" i="1"/>
  <c r="R133" i="1"/>
  <c r="P133" i="1" s="1"/>
  <c r="Q133" i="1"/>
  <c r="G135" i="1"/>
  <c r="E135" i="1"/>
  <c r="G134" i="1"/>
  <c r="E134" i="1"/>
  <c r="I134" i="1" s="1"/>
  <c r="G133" i="1"/>
  <c r="E133" i="1"/>
  <c r="I135" i="1" l="1"/>
  <c r="I138" i="1" s="1"/>
  <c r="I139" i="1" s="1"/>
  <c r="I144" i="1" l="1"/>
  <c r="Q85" i="2"/>
  <c r="Q66" i="2"/>
  <c r="Q67" i="2"/>
  <c r="Q68" i="2"/>
  <c r="Q69" i="2"/>
  <c r="Q65" i="2"/>
  <c r="I145" i="1" l="1"/>
  <c r="I147" i="1" s="1"/>
  <c r="Q126" i="1"/>
  <c r="Q127" i="1"/>
  <c r="Q128" i="1"/>
  <c r="Q129" i="1"/>
  <c r="Q130" i="1"/>
  <c r="Q131" i="1"/>
  <c r="Q132" i="1"/>
  <c r="I148" i="1" l="1"/>
  <c r="I155" i="1" s="1"/>
  <c r="I156" i="1" s="1"/>
  <c r="I157" i="1" s="1"/>
  <c r="I158" i="1" s="1"/>
  <c r="I167" i="1" s="1"/>
  <c r="I168" i="1" s="1"/>
  <c r="I169" i="1" s="1"/>
  <c r="I170" i="1" s="1"/>
  <c r="I174" i="1" s="1"/>
  <c r="N129" i="1"/>
  <c r="N213" i="1" s="1"/>
  <c r="N127" i="1"/>
  <c r="N207" i="1" s="1"/>
  <c r="N128" i="1"/>
  <c r="N210" i="1" s="1"/>
  <c r="N211" i="1" s="1"/>
  <c r="N130" i="1"/>
  <c r="N215" i="1" s="1"/>
  <c r="N217" i="1" s="1"/>
  <c r="N131" i="1"/>
  <c r="N219" i="1" s="1"/>
  <c r="N221" i="1" s="1"/>
  <c r="N132" i="1"/>
  <c r="N220" i="1" s="1"/>
  <c r="N222" i="1" s="1"/>
  <c r="N223" i="1" s="1"/>
  <c r="N126" i="1"/>
  <c r="Q125" i="1"/>
  <c r="R125" i="1"/>
  <c r="P125" i="1" s="1"/>
  <c r="R132" i="1"/>
  <c r="P132" i="1" s="1"/>
  <c r="G132" i="1"/>
  <c r="E132" i="1"/>
  <c r="R131" i="1"/>
  <c r="P131" i="1" s="1"/>
  <c r="G131" i="1"/>
  <c r="E131" i="1"/>
  <c r="R130" i="1"/>
  <c r="P130" i="1" s="1"/>
  <c r="G130" i="1"/>
  <c r="E130" i="1"/>
  <c r="R129" i="1"/>
  <c r="P129" i="1" s="1"/>
  <c r="G129" i="1"/>
  <c r="E129" i="1"/>
  <c r="R128" i="1"/>
  <c r="P128" i="1" s="1"/>
  <c r="G128" i="1"/>
  <c r="E128" i="1"/>
  <c r="R127" i="1"/>
  <c r="P127" i="1" s="1"/>
  <c r="G127" i="1"/>
  <c r="E127" i="1"/>
  <c r="R126" i="1"/>
  <c r="P126" i="1" s="1"/>
  <c r="G126" i="1"/>
  <c r="E126" i="1"/>
  <c r="G125" i="1"/>
  <c r="E125" i="1"/>
  <c r="N214" i="1" l="1"/>
  <c r="N212" i="1"/>
  <c r="N208" i="1"/>
  <c r="N209" i="1" s="1"/>
  <c r="N218" i="1"/>
  <c r="N198" i="1"/>
  <c r="N199" i="1" s="1"/>
  <c r="N206" i="1" s="1"/>
  <c r="I175" i="1"/>
  <c r="Q124" i="1"/>
  <c r="I178" i="1" l="1"/>
  <c r="I179" i="1" s="1"/>
  <c r="I180" i="1" s="1"/>
  <c r="I187" i="1" s="1"/>
  <c r="M69" i="2"/>
  <c r="M73" i="2" s="1"/>
  <c r="M68" i="2"/>
  <c r="M72" i="2" s="1"/>
  <c r="G69" i="2"/>
  <c r="E69" i="2"/>
  <c r="G68" i="2"/>
  <c r="E68" i="2"/>
  <c r="R124" i="1"/>
  <c r="P124" i="1" s="1"/>
  <c r="R123" i="1"/>
  <c r="P123" i="1" s="1"/>
  <c r="Q123" i="1"/>
  <c r="G124" i="1"/>
  <c r="E124" i="1"/>
  <c r="G123" i="1"/>
  <c r="E123" i="1"/>
  <c r="M75" i="2" l="1"/>
  <c r="I188" i="1"/>
  <c r="R121" i="1"/>
  <c r="P121" i="1" s="1"/>
  <c r="Q121" i="1"/>
  <c r="Q120" i="1"/>
  <c r="R120" i="1"/>
  <c r="P120" i="1" s="1"/>
  <c r="G121" i="1"/>
  <c r="E121" i="1"/>
  <c r="R122" i="1"/>
  <c r="P122" i="1" s="1"/>
  <c r="Q122" i="1"/>
  <c r="N122" i="1"/>
  <c r="N195" i="1" s="1"/>
  <c r="N196" i="1" s="1"/>
  <c r="N197" i="1" s="1"/>
  <c r="G122" i="1"/>
  <c r="E122" i="1"/>
  <c r="G120" i="1"/>
  <c r="E120" i="1"/>
  <c r="I190" i="1" l="1"/>
  <c r="I191" i="1" s="1"/>
  <c r="I197" i="1" s="1"/>
  <c r="R119" i="1"/>
  <c r="P119" i="1" s="1"/>
  <c r="Q119" i="1"/>
  <c r="Q116" i="1"/>
  <c r="R116" i="1"/>
  <c r="P116" i="1" s="1"/>
  <c r="R118" i="1"/>
  <c r="P118" i="1" s="1"/>
  <c r="Q118" i="1"/>
  <c r="Q114" i="1"/>
  <c r="R114" i="1"/>
  <c r="P114" i="1" s="1"/>
  <c r="G119" i="1"/>
  <c r="E119" i="1"/>
  <c r="G118" i="1"/>
  <c r="E118" i="1"/>
  <c r="I198" i="1" l="1"/>
  <c r="I208" i="1" s="1"/>
  <c r="N117" i="1"/>
  <c r="N193" i="1" s="1"/>
  <c r="N194" i="1" s="1"/>
  <c r="R117" i="1"/>
  <c r="P117" i="1" s="1"/>
  <c r="Q117" i="1"/>
  <c r="G117" i="1"/>
  <c r="E117" i="1"/>
  <c r="G116" i="1"/>
  <c r="E116" i="1"/>
  <c r="R115" i="1" l="1"/>
  <c r="P115" i="1" s="1"/>
  <c r="Q115" i="1"/>
  <c r="G115" i="1"/>
  <c r="E115" i="1"/>
  <c r="G114" i="1"/>
  <c r="E114" i="1"/>
  <c r="N113" i="1" l="1"/>
  <c r="N191" i="1" s="1"/>
  <c r="N192" i="1" s="1"/>
  <c r="R112" i="1"/>
  <c r="P112" i="1" s="1"/>
  <c r="Q112" i="1"/>
  <c r="R111" i="1"/>
  <c r="P111" i="1" s="1"/>
  <c r="Q111" i="1"/>
  <c r="Q110" i="1"/>
  <c r="R110" i="1"/>
  <c r="P110" i="1" s="1"/>
  <c r="R113" i="1" l="1"/>
  <c r="P113" i="1" s="1"/>
  <c r="Q113" i="1"/>
  <c r="G113" i="1"/>
  <c r="E113" i="1"/>
  <c r="G112" i="1"/>
  <c r="E112" i="1"/>
  <c r="G111" i="1"/>
  <c r="E111" i="1"/>
  <c r="G110" i="1"/>
  <c r="E110" i="1"/>
  <c r="R109" i="1" l="1"/>
  <c r="P109" i="1" s="1"/>
  <c r="Q109" i="1"/>
  <c r="R108" i="1"/>
  <c r="P108" i="1" s="1"/>
  <c r="Q108" i="1"/>
  <c r="G109" i="1"/>
  <c r="E109" i="1"/>
  <c r="G108" i="1"/>
  <c r="E108" i="1"/>
  <c r="N42" i="1" l="1"/>
  <c r="N135" i="1" s="1"/>
  <c r="N137" i="1" s="1"/>
  <c r="N39" i="1"/>
  <c r="N115" i="1" s="1"/>
  <c r="N116" i="1" s="1"/>
  <c r="N119" i="1" s="1"/>
  <c r="N40" i="1"/>
  <c r="N121" i="1" s="1"/>
  <c r="N123" i="1" s="1"/>
  <c r="N41" i="1"/>
  <c r="N133" i="1" s="1"/>
  <c r="N43" i="1"/>
  <c r="N139" i="1" s="1"/>
  <c r="N38" i="1"/>
  <c r="N111" i="1" s="1"/>
  <c r="N107" i="1"/>
  <c r="N188" i="1" s="1"/>
  <c r="R106" i="1"/>
  <c r="P106" i="1" s="1"/>
  <c r="Q106" i="1"/>
  <c r="N37" i="1"/>
  <c r="N106" i="1" s="1"/>
  <c r="N109" i="1" s="1"/>
  <c r="Q105" i="1"/>
  <c r="R105" i="1"/>
  <c r="P105" i="1" s="1"/>
  <c r="G106" i="1"/>
  <c r="E106" i="1"/>
  <c r="R107" i="1"/>
  <c r="P107" i="1" s="1"/>
  <c r="Q107" i="1"/>
  <c r="G107" i="1"/>
  <c r="E107" i="1"/>
  <c r="G105" i="1"/>
  <c r="E105" i="1"/>
  <c r="N189" i="1" l="1"/>
  <c r="N190" i="1" s="1"/>
  <c r="N140" i="1"/>
  <c r="N144" i="1" s="1"/>
  <c r="N138" i="1"/>
  <c r="N134" i="1"/>
  <c r="N136" i="1" s="1"/>
  <c r="N124" i="1"/>
  <c r="N120" i="1"/>
  <c r="N112" i="1"/>
  <c r="N110" i="1"/>
  <c r="E100" i="1"/>
  <c r="N125" i="1" l="1"/>
  <c r="N114" i="1"/>
  <c r="N118" i="1" s="1"/>
  <c r="R104" i="1"/>
  <c r="P104" i="1" s="1"/>
  <c r="Q104" i="1"/>
  <c r="R103" i="1"/>
  <c r="P103" i="1" s="1"/>
  <c r="Q103" i="1"/>
  <c r="Q99" i="1"/>
  <c r="R99" i="1"/>
  <c r="P99" i="1" s="1"/>
  <c r="G104" i="1"/>
  <c r="E104" i="1"/>
  <c r="G103" i="1"/>
  <c r="E103" i="1"/>
  <c r="M67" i="2" l="1"/>
  <c r="M74" i="2" s="1"/>
  <c r="G67" i="2" l="1"/>
  <c r="E67" i="2"/>
  <c r="G85" i="2"/>
  <c r="E85" i="2"/>
  <c r="N102" i="1" l="1"/>
  <c r="N182" i="1" s="1"/>
  <c r="N183" i="1" s="1"/>
  <c r="N187" i="1" s="1"/>
  <c r="Q101" i="1"/>
  <c r="R101" i="1"/>
  <c r="P101" i="1" s="1"/>
  <c r="R102" i="1"/>
  <c r="P102" i="1" s="1"/>
  <c r="Q102" i="1"/>
  <c r="G102" i="1"/>
  <c r="E102" i="1"/>
  <c r="R100" i="1" l="1"/>
  <c r="P100" i="1" s="1"/>
  <c r="Q100" i="1"/>
  <c r="G100" i="1"/>
  <c r="G101" i="1"/>
  <c r="E101" i="1"/>
  <c r="R98" i="1" l="1"/>
  <c r="P98" i="1" s="1"/>
  <c r="Q98" i="1"/>
  <c r="R96" i="1"/>
  <c r="P96" i="1" s="1"/>
  <c r="Q96" i="1"/>
  <c r="R97" i="1"/>
  <c r="P97" i="1" s="1"/>
  <c r="Q97" i="1"/>
  <c r="R95" i="1"/>
  <c r="P95" i="1" s="1"/>
  <c r="Q95" i="1"/>
  <c r="G98" i="1"/>
  <c r="E98" i="1"/>
  <c r="G99" i="1"/>
  <c r="E99" i="1"/>
  <c r="G96" i="1"/>
  <c r="E96" i="1"/>
  <c r="G97" i="1"/>
  <c r="E97" i="1"/>
  <c r="R94" i="1" l="1"/>
  <c r="P94" i="1" s="1"/>
  <c r="Q94" i="1"/>
  <c r="R93" i="1"/>
  <c r="P93" i="1" s="1"/>
  <c r="Q93" i="1"/>
  <c r="G94" i="1"/>
  <c r="E94" i="1"/>
  <c r="G93" i="1"/>
  <c r="E93" i="1"/>
  <c r="M65" i="2" l="1"/>
  <c r="M66" i="2" s="1"/>
  <c r="N92" i="1" l="1"/>
  <c r="N177" i="1" s="1"/>
  <c r="N180" i="1" s="1"/>
  <c r="N181" i="1" s="1"/>
  <c r="R91" i="1"/>
  <c r="P91" i="1" s="1"/>
  <c r="Q91" i="1"/>
  <c r="Q90" i="1"/>
  <c r="R90" i="1"/>
  <c r="P90" i="1" s="1"/>
  <c r="G66" i="2"/>
  <c r="E66" i="2"/>
  <c r="R92" i="1"/>
  <c r="P92" i="1" s="1"/>
  <c r="Q92" i="1"/>
  <c r="G92" i="1"/>
  <c r="E92" i="1"/>
  <c r="G91" i="1"/>
  <c r="E91" i="1"/>
  <c r="G90" i="1"/>
  <c r="E90" i="1"/>
  <c r="R89" i="1" l="1"/>
  <c r="P89" i="1" s="1"/>
  <c r="Q89" i="1"/>
  <c r="Q88" i="1"/>
  <c r="R88" i="1"/>
  <c r="P88" i="1" s="1"/>
  <c r="G89" i="1" l="1"/>
  <c r="E89" i="1"/>
  <c r="G95" i="1"/>
  <c r="E95" i="1"/>
  <c r="R87" i="1"/>
  <c r="P87" i="1" s="1"/>
  <c r="Q87" i="1"/>
  <c r="R85" i="1"/>
  <c r="P85" i="1" s="1"/>
  <c r="Q85" i="1"/>
  <c r="R86" i="1"/>
  <c r="P86" i="1" s="1"/>
  <c r="Q86" i="1"/>
  <c r="R84" i="1"/>
  <c r="P84" i="1" s="1"/>
  <c r="Q84" i="1"/>
  <c r="G87" i="1"/>
  <c r="E87" i="1"/>
  <c r="G88" i="1"/>
  <c r="E88" i="1"/>
  <c r="G85" i="1"/>
  <c r="E85" i="1"/>
  <c r="G86" i="1"/>
  <c r="E86" i="1"/>
  <c r="R83" i="1"/>
  <c r="P83" i="1" s="1"/>
  <c r="Q83" i="1"/>
  <c r="Q82" i="1"/>
  <c r="R82" i="1"/>
  <c r="P82" i="1" s="1"/>
  <c r="G83" i="1"/>
  <c r="E83" i="1"/>
  <c r="N81" i="1" l="1"/>
  <c r="N82" i="1" s="1"/>
  <c r="N84" i="1" s="1"/>
  <c r="N86" i="1" s="1"/>
  <c r="Q80" i="1" l="1"/>
  <c r="R80" i="1"/>
  <c r="P80" i="1" s="1"/>
  <c r="G84" i="1"/>
  <c r="E84" i="1"/>
  <c r="R81" i="1"/>
  <c r="P81" i="1" s="1"/>
  <c r="Q81" i="1"/>
  <c r="G81" i="1"/>
  <c r="E81" i="1"/>
  <c r="G82" i="1"/>
  <c r="E82" i="1"/>
  <c r="Q79" i="1" l="1"/>
  <c r="R79" i="1"/>
  <c r="P79" i="1" s="1"/>
  <c r="G80" i="1"/>
  <c r="E80" i="1"/>
  <c r="N78" i="1" l="1"/>
  <c r="N79" i="1" s="1"/>
  <c r="N80" i="1" l="1"/>
  <c r="R77" i="1"/>
  <c r="P77" i="1" s="1"/>
  <c r="Q77" i="1"/>
  <c r="R78" i="1"/>
  <c r="P78" i="1" s="1"/>
  <c r="Q78" i="1"/>
  <c r="G78" i="1"/>
  <c r="E78" i="1"/>
  <c r="G79" i="1"/>
  <c r="E79" i="1"/>
  <c r="N76" i="1" l="1"/>
  <c r="N175" i="1" s="1"/>
  <c r="N75" i="1"/>
  <c r="N173" i="1" s="1"/>
  <c r="N74" i="1"/>
  <c r="N170" i="1" s="1"/>
  <c r="N171" i="1" s="1"/>
  <c r="N172" i="1" s="1"/>
  <c r="N176" i="1" l="1"/>
  <c r="N178" i="1" s="1"/>
  <c r="N174" i="1"/>
  <c r="N73" i="1"/>
  <c r="Q72" i="1"/>
  <c r="R72" i="1"/>
  <c r="P72" i="1" s="1"/>
  <c r="R76" i="1"/>
  <c r="P76" i="1" s="1"/>
  <c r="Q76" i="1"/>
  <c r="G76" i="1"/>
  <c r="E76" i="1"/>
  <c r="R75" i="1"/>
  <c r="P75" i="1" s="1"/>
  <c r="Q75" i="1"/>
  <c r="G75" i="1"/>
  <c r="E75" i="1"/>
  <c r="R74" i="1"/>
  <c r="P74" i="1" s="1"/>
  <c r="Q74" i="1"/>
  <c r="G74" i="1"/>
  <c r="E74" i="1"/>
  <c r="R73" i="1"/>
  <c r="P73" i="1" s="1"/>
  <c r="Q73" i="1"/>
  <c r="G73" i="1"/>
  <c r="E73" i="1"/>
  <c r="G77" i="1"/>
  <c r="E77" i="1"/>
  <c r="N179" i="1" l="1"/>
  <c r="N77" i="1"/>
  <c r="R71" i="1"/>
  <c r="P71" i="1" s="1"/>
  <c r="Q71" i="1"/>
  <c r="R70" i="1"/>
  <c r="P70" i="1" s="1"/>
  <c r="Q70" i="1"/>
  <c r="G71" i="1"/>
  <c r="E71" i="1"/>
  <c r="G72" i="1"/>
  <c r="E72" i="1"/>
  <c r="N69" i="1" l="1"/>
  <c r="N71" i="1" s="1"/>
  <c r="N72" i="1" l="1"/>
  <c r="Q68" i="1"/>
  <c r="R68" i="1"/>
  <c r="P68" i="1" s="1"/>
  <c r="R69" i="1" l="1"/>
  <c r="P69" i="1" s="1"/>
  <c r="Q69" i="1"/>
  <c r="G69" i="1"/>
  <c r="E69" i="1"/>
  <c r="G68" i="1"/>
  <c r="E68" i="1"/>
  <c r="N67" i="1" l="1"/>
  <c r="N68" i="1" s="1"/>
  <c r="N70" i="1" s="1"/>
  <c r="R66" i="1" l="1"/>
  <c r="P66" i="1" s="1"/>
  <c r="Q66" i="1"/>
  <c r="R65" i="1"/>
  <c r="P65" i="1" s="1"/>
  <c r="Q65" i="1"/>
  <c r="R67" i="1"/>
  <c r="P67" i="1" s="1"/>
  <c r="Q67" i="1"/>
  <c r="G67" i="1"/>
  <c r="E67" i="1"/>
  <c r="G70" i="1"/>
  <c r="E70" i="1"/>
  <c r="G66" i="1"/>
  <c r="E66" i="1"/>
  <c r="N64" i="1" l="1"/>
  <c r="N166" i="1" s="1"/>
  <c r="N63" i="1"/>
  <c r="N158" i="1" s="1"/>
  <c r="N160" i="1" s="1"/>
  <c r="N165" i="1" s="1"/>
  <c r="N167" i="1" s="1"/>
  <c r="N62" i="1"/>
  <c r="N156" i="1" s="1"/>
  <c r="N157" i="1" s="1"/>
  <c r="N159" i="1" s="1"/>
  <c r="N61" i="1"/>
  <c r="N150" i="1" s="1"/>
  <c r="N154" i="1" s="1"/>
  <c r="N60" i="1"/>
  <c r="N148" i="1" s="1"/>
  <c r="N149" i="1" s="1"/>
  <c r="N153" i="1" s="1"/>
  <c r="N59" i="1"/>
  <c r="N145" i="1" s="1"/>
  <c r="N146" i="1" s="1"/>
  <c r="N155" i="1" l="1"/>
  <c r="N147" i="1"/>
  <c r="N168" i="1"/>
  <c r="N169" i="1" s="1"/>
  <c r="R64" i="1"/>
  <c r="P64" i="1" s="1"/>
  <c r="Q64" i="1"/>
  <c r="G64" i="1"/>
  <c r="E64" i="1"/>
  <c r="R63" i="1"/>
  <c r="P63" i="1" s="1"/>
  <c r="Q63" i="1"/>
  <c r="G63" i="1"/>
  <c r="E63" i="1"/>
  <c r="R62" i="1"/>
  <c r="P62" i="1" s="1"/>
  <c r="Q62" i="1"/>
  <c r="G62" i="1"/>
  <c r="E62" i="1"/>
  <c r="R61" i="1"/>
  <c r="P61" i="1" s="1"/>
  <c r="Q61" i="1"/>
  <c r="G61" i="1"/>
  <c r="E61" i="1"/>
  <c r="R60" i="1"/>
  <c r="P60" i="1" s="1"/>
  <c r="Q60" i="1"/>
  <c r="G60" i="1"/>
  <c r="E60" i="1"/>
  <c r="R59" i="1"/>
  <c r="P59" i="1" s="1"/>
  <c r="Q59" i="1"/>
  <c r="G59" i="1"/>
  <c r="E59" i="1"/>
  <c r="M58" i="2" l="1"/>
  <c r="M59" i="2"/>
  <c r="R58" i="1" l="1"/>
  <c r="P58" i="1" s="1"/>
  <c r="Q58" i="1"/>
  <c r="G58" i="1"/>
  <c r="E58" i="1"/>
  <c r="N57" i="1" l="1"/>
  <c r="N65" i="1" s="1"/>
  <c r="N66" i="1" s="1"/>
  <c r="R57" i="1" l="1"/>
  <c r="P57" i="1" s="1"/>
  <c r="Q57" i="1"/>
  <c r="G57" i="1"/>
  <c r="E57" i="1"/>
  <c r="N56" i="1" l="1"/>
  <c r="N58" i="1" l="1"/>
  <c r="Q55" i="1"/>
  <c r="R55" i="1"/>
  <c r="P55" i="1" s="1"/>
  <c r="R56" i="1"/>
  <c r="P56" i="1" s="1"/>
  <c r="Q56" i="1"/>
  <c r="G56" i="1"/>
  <c r="E56" i="1"/>
  <c r="G65" i="1"/>
  <c r="E65" i="1"/>
  <c r="R54" i="1" l="1"/>
  <c r="P54" i="1" s="1"/>
  <c r="Q54" i="1"/>
  <c r="R53" i="1"/>
  <c r="P53" i="1" s="1"/>
  <c r="Q53" i="1"/>
  <c r="G54" i="1"/>
  <c r="E54" i="1"/>
  <c r="G55" i="1" l="1"/>
  <c r="E55" i="1"/>
  <c r="G64" i="2"/>
  <c r="E64" i="2"/>
  <c r="R52" i="1" l="1"/>
  <c r="P52" i="1" s="1"/>
  <c r="Q52" i="1"/>
  <c r="G52" i="1"/>
  <c r="E52" i="1"/>
  <c r="I52" i="1" s="1"/>
  <c r="I59" i="1" s="1"/>
  <c r="I60" i="1" s="1"/>
  <c r="I61" i="1" s="1"/>
  <c r="I62" i="1" s="1"/>
  <c r="I63" i="1" s="1"/>
  <c r="I64" i="1" s="1"/>
  <c r="I72" i="1" s="1"/>
  <c r="I73" i="1" s="1"/>
  <c r="I74" i="1" s="1"/>
  <c r="I75" i="1" s="1"/>
  <c r="I76" i="1" s="1"/>
  <c r="I86" i="1" s="1"/>
  <c r="I87" i="1" s="1"/>
  <c r="I97" i="1" s="1"/>
  <c r="I98" i="1" s="1"/>
  <c r="I108" i="1" s="1"/>
  <c r="I109" i="1" s="1"/>
  <c r="I114" i="1" s="1"/>
  <c r="I115" i="1" s="1"/>
  <c r="I125" i="1" s="1"/>
  <c r="I126" i="1" s="1"/>
  <c r="I127" i="1" s="1"/>
  <c r="I128" i="1" s="1"/>
  <c r="I129" i="1" l="1"/>
  <c r="I130" i="1" s="1"/>
  <c r="R51" i="1"/>
  <c r="P51" i="1" s="1"/>
  <c r="Q51" i="1"/>
  <c r="N51" i="1"/>
  <c r="G51" i="1"/>
  <c r="E51" i="1"/>
  <c r="I131" i="1" l="1"/>
  <c r="N52" i="1"/>
  <c r="Q50" i="1"/>
  <c r="R50" i="1"/>
  <c r="P50" i="1" s="1"/>
  <c r="G53" i="1"/>
  <c r="E53" i="1"/>
  <c r="I132" i="1" l="1"/>
  <c r="I141" i="1" s="1"/>
  <c r="N54" i="1"/>
  <c r="N49" i="1"/>
  <c r="N50" i="1" l="1"/>
  <c r="N53" i="1" s="1"/>
  <c r="I142" i="1"/>
  <c r="I143" i="1" s="1"/>
  <c r="I149" i="1" s="1"/>
  <c r="I150" i="1" s="1"/>
  <c r="N55" i="1"/>
  <c r="Q48" i="1"/>
  <c r="R48" i="1"/>
  <c r="P48" i="1" s="1"/>
  <c r="R49" i="1"/>
  <c r="P49" i="1" s="1"/>
  <c r="Q49" i="1"/>
  <c r="G49" i="1"/>
  <c r="E49" i="1"/>
  <c r="G48" i="1"/>
  <c r="E48" i="1"/>
  <c r="I151" i="1" l="1"/>
  <c r="I152" i="1" s="1"/>
  <c r="I159" i="1" s="1"/>
  <c r="R47" i="1"/>
  <c r="P47" i="1" s="1"/>
  <c r="Q47" i="1"/>
  <c r="R46" i="1"/>
  <c r="P46" i="1" s="1"/>
  <c r="Q46" i="1"/>
  <c r="G47" i="1" l="1"/>
  <c r="E47" i="1"/>
  <c r="G50" i="1" l="1"/>
  <c r="E50" i="1"/>
  <c r="N45" i="1" l="1"/>
  <c r="N47" i="1" s="1"/>
  <c r="N48" i="1" s="1"/>
  <c r="R44" i="1" l="1"/>
  <c r="P44" i="1" s="1"/>
  <c r="Q44" i="1"/>
  <c r="R45" i="1"/>
  <c r="P45" i="1" s="1"/>
  <c r="Q45" i="1"/>
  <c r="G45" i="1"/>
  <c r="E45" i="1"/>
  <c r="G46" i="1"/>
  <c r="E46" i="1"/>
  <c r="Q36" i="1" l="1"/>
  <c r="R36" i="1"/>
  <c r="P36" i="1" s="1"/>
  <c r="P43" i="1"/>
  <c r="Q43" i="1"/>
  <c r="G43" i="1"/>
  <c r="E43" i="1"/>
  <c r="R42" i="1"/>
  <c r="P42" i="1" s="1"/>
  <c r="Q42" i="1"/>
  <c r="G42" i="1"/>
  <c r="E42" i="1"/>
  <c r="R41" i="1"/>
  <c r="P41" i="1" s="1"/>
  <c r="Q41" i="1"/>
  <c r="G41" i="1"/>
  <c r="E41" i="1"/>
  <c r="R40" i="1"/>
  <c r="P40" i="1" s="1"/>
  <c r="Q40" i="1"/>
  <c r="G40" i="1"/>
  <c r="E40" i="1"/>
  <c r="R39" i="1"/>
  <c r="P39" i="1" s="1"/>
  <c r="Q39" i="1"/>
  <c r="G39" i="1"/>
  <c r="E39" i="1"/>
  <c r="R38" i="1"/>
  <c r="P38" i="1" s="1"/>
  <c r="Q38" i="1"/>
  <c r="G38" i="1"/>
  <c r="E38" i="1"/>
  <c r="R37" i="1"/>
  <c r="P37" i="1" s="1"/>
  <c r="Q37" i="1"/>
  <c r="G37" i="1"/>
  <c r="E37" i="1"/>
  <c r="G44" i="1"/>
  <c r="E44" i="1"/>
  <c r="N33" i="1" l="1"/>
  <c r="N35" i="1" s="1"/>
  <c r="N36" i="1" s="1"/>
  <c r="N44" i="1" s="1"/>
  <c r="N46" i="1" s="1"/>
  <c r="R35" i="1"/>
  <c r="P35" i="1" s="1"/>
  <c r="Q35" i="1"/>
  <c r="R34" i="1"/>
  <c r="P34" i="1" s="1"/>
  <c r="Q34" i="1"/>
  <c r="G35" i="1"/>
  <c r="E35" i="1"/>
  <c r="G34" i="1"/>
  <c r="E34" i="1"/>
  <c r="G36" i="1" l="1"/>
  <c r="E36" i="1"/>
  <c r="R32" i="1" l="1"/>
  <c r="P32" i="1" s="1"/>
  <c r="Q32" i="1"/>
  <c r="R31" i="1"/>
  <c r="P31" i="1" s="1"/>
  <c r="Q31" i="1"/>
  <c r="G32" i="1"/>
  <c r="E32" i="1"/>
  <c r="R33" i="1"/>
  <c r="P33" i="1" s="1"/>
  <c r="Q33" i="1"/>
  <c r="G33" i="1"/>
  <c r="E33" i="1"/>
  <c r="I29" i="1" l="1"/>
  <c r="R29" i="1"/>
  <c r="P29" i="1" s="1"/>
  <c r="Q29" i="1"/>
  <c r="G29" i="1"/>
  <c r="R30" i="1" l="1"/>
  <c r="P30" i="1" s="1"/>
  <c r="Q30" i="1"/>
  <c r="Q28" i="1"/>
  <c r="R28" i="1"/>
  <c r="P28" i="1" s="1"/>
  <c r="G30" i="1"/>
  <c r="E30" i="1"/>
  <c r="I30" i="1" s="1"/>
  <c r="I33" i="1" s="1"/>
  <c r="I44" i="1" s="1"/>
  <c r="I45" i="1" s="1"/>
  <c r="I53" i="1" s="1"/>
  <c r="I54" i="1" s="1"/>
  <c r="I58" i="1" s="1"/>
  <c r="I65" i="1" s="1"/>
  <c r="I70" i="1" s="1"/>
  <c r="I71" i="1" s="1"/>
  <c r="I79" i="1" s="1"/>
  <c r="I84" i="1" s="1"/>
  <c r="I85" i="1" s="1"/>
  <c r="I90" i="1" s="1"/>
  <c r="I91" i="1" s="1"/>
  <c r="I92" i="1" s="1"/>
  <c r="I93" i="1" s="1"/>
  <c r="I94" i="1" s="1"/>
  <c r="I101" i="1" s="1"/>
  <c r="I102" i="1" s="1"/>
  <c r="I105" i="1" s="1"/>
  <c r="I106" i="1" s="1"/>
  <c r="I107" i="1" s="1"/>
  <c r="I112" i="1" s="1"/>
  <c r="G65" i="2"/>
  <c r="G63" i="2"/>
  <c r="E65" i="2"/>
  <c r="G28" i="1"/>
  <c r="I113" i="1" l="1"/>
  <c r="I116" i="1" s="1"/>
  <c r="N27" i="1"/>
  <c r="N28" i="1" s="1"/>
  <c r="N29" i="1" s="1"/>
  <c r="N31" i="1" s="1"/>
  <c r="I117" i="1" l="1"/>
  <c r="I120" i="1" s="1"/>
  <c r="R26" i="1"/>
  <c r="P26" i="1" s="1"/>
  <c r="Q26" i="1"/>
  <c r="G26" i="1"/>
  <c r="E26" i="1"/>
  <c r="I26" i="1" s="1"/>
  <c r="I121" i="1" l="1"/>
  <c r="I122" i="1" s="1"/>
  <c r="I124" i="1" s="1"/>
  <c r="I136" i="1" s="1"/>
  <c r="I137" i="1" s="1"/>
  <c r="I140" i="1" s="1"/>
  <c r="N24" i="1"/>
  <c r="N30" i="1" s="1"/>
  <c r="N32" i="1" s="1"/>
  <c r="N34" i="1" s="1"/>
  <c r="R25" i="1"/>
  <c r="P25" i="1" s="1"/>
  <c r="Q25" i="1"/>
  <c r="R23" i="1"/>
  <c r="P23" i="1" s="1"/>
  <c r="Q23" i="1"/>
  <c r="R22" i="1"/>
  <c r="P22" i="1" s="1"/>
  <c r="Q22" i="1"/>
  <c r="G31" i="1"/>
  <c r="E31" i="1"/>
  <c r="R27" i="1"/>
  <c r="P27" i="1" s="1"/>
  <c r="Q27" i="1"/>
  <c r="G27" i="1"/>
  <c r="E27" i="1"/>
  <c r="I27" i="1" s="1"/>
  <c r="R24" i="1"/>
  <c r="P24" i="1" s="1"/>
  <c r="Q24" i="1"/>
  <c r="G24" i="1"/>
  <c r="E24" i="1"/>
  <c r="G23" i="1"/>
  <c r="E23" i="1"/>
  <c r="I146" i="1" l="1"/>
  <c r="I153" i="1" s="1"/>
  <c r="I160" i="1" s="1"/>
  <c r="I31" i="1"/>
  <c r="I32" i="1" s="1"/>
  <c r="I34" i="1" s="1"/>
  <c r="I35" i="1" s="1"/>
  <c r="I46" i="1" s="1"/>
  <c r="I47" i="1" s="1"/>
  <c r="I48" i="1" s="1"/>
  <c r="I49" i="1" s="1"/>
  <c r="I55" i="1" s="1"/>
  <c r="I56" i="1" s="1"/>
  <c r="I57" i="1" s="1"/>
  <c r="I66" i="1" s="1"/>
  <c r="I67" i="1" s="1"/>
  <c r="I68" i="1" s="1"/>
  <c r="I69" i="1" s="1"/>
  <c r="I77" i="1" s="1"/>
  <c r="I78" i="1" s="1"/>
  <c r="I80" i="1" s="1"/>
  <c r="I81" i="1" s="1"/>
  <c r="I82" i="1" s="1"/>
  <c r="I83" i="1" s="1"/>
  <c r="I88" i="1" s="1"/>
  <c r="I89" i="1" s="1"/>
  <c r="I95" i="1" s="1"/>
  <c r="I96" i="1" s="1"/>
  <c r="I99" i="1" s="1"/>
  <c r="G25" i="1"/>
  <c r="E25" i="1"/>
  <c r="I161" i="1" l="1"/>
  <c r="I162" i="1" s="1"/>
  <c r="I164" i="1" s="1"/>
  <c r="I172" i="1" s="1"/>
  <c r="I154" i="1"/>
  <c r="I165" i="1" s="1"/>
  <c r="I100" i="1"/>
  <c r="I103" i="1" s="1"/>
  <c r="I104" i="1" s="1"/>
  <c r="N21" i="1"/>
  <c r="N23" i="1" s="1"/>
  <c r="N25" i="1" s="1"/>
  <c r="N26" i="1" s="1"/>
  <c r="I173" i="1" l="1"/>
  <c r="I183" i="1" s="1"/>
  <c r="I166" i="1"/>
  <c r="I171" i="1" s="1"/>
  <c r="I176" i="1" s="1"/>
  <c r="I177" i="1" s="1"/>
  <c r="I110" i="1"/>
  <c r="I111" i="1" s="1"/>
  <c r="I118" i="1" s="1"/>
  <c r="Q20" i="1"/>
  <c r="R20" i="1"/>
  <c r="P20" i="1" s="1"/>
  <c r="R21" i="1"/>
  <c r="P21" i="1" s="1"/>
  <c r="Q21" i="1"/>
  <c r="G21" i="1"/>
  <c r="E21" i="1"/>
  <c r="G22" i="1"/>
  <c r="E22" i="1"/>
  <c r="I184" i="1" l="1"/>
  <c r="I185" i="1" s="1"/>
  <c r="I186" i="1" s="1"/>
  <c r="I192" i="1" s="1"/>
  <c r="I181" i="1"/>
  <c r="I182" i="1" s="1"/>
  <c r="I119" i="1"/>
  <c r="I123" i="1" s="1"/>
  <c r="I133" i="1" s="1"/>
  <c r="N19" i="1"/>
  <c r="N20" i="1" s="1"/>
  <c r="N22" i="1" s="1"/>
  <c r="N8" i="1"/>
  <c r="N17" i="1" s="1"/>
  <c r="N4" i="1"/>
  <c r="N3" i="1"/>
  <c r="I193" i="1" l="1"/>
  <c r="I199" i="1" s="1"/>
  <c r="I200" i="1" s="1"/>
  <c r="I201" i="1" s="1"/>
  <c r="I189" i="1"/>
  <c r="R19" i="1"/>
  <c r="P19" i="1" s="1"/>
  <c r="Q19" i="1"/>
  <c r="Q18" i="1"/>
  <c r="R18" i="1"/>
  <c r="P18" i="1" s="1"/>
  <c r="G20" i="1"/>
  <c r="E20" i="1"/>
  <c r="G19" i="1"/>
  <c r="E19" i="1"/>
  <c r="I202" i="1" l="1"/>
  <c r="I203" i="1" s="1"/>
  <c r="I204" i="1" s="1"/>
  <c r="I205" i="1" s="1"/>
  <c r="I214" i="1" s="1"/>
  <c r="I194" i="1"/>
  <c r="I195" i="1" s="1"/>
  <c r="R10" i="1"/>
  <c r="P10" i="1" s="1"/>
  <c r="Q10" i="1"/>
  <c r="N10" i="1"/>
  <c r="N11" i="1" s="1"/>
  <c r="N89" i="1" s="1"/>
  <c r="N90" i="1" s="1"/>
  <c r="G10" i="1"/>
  <c r="E10" i="1"/>
  <c r="N15" i="1"/>
  <c r="N104" i="1" s="1"/>
  <c r="N14" i="1"/>
  <c r="N100" i="1" s="1"/>
  <c r="N101" i="1" s="1"/>
  <c r="N103" i="1" s="1"/>
  <c r="N13" i="1"/>
  <c r="N94" i="1" s="1"/>
  <c r="N96" i="1" s="1"/>
  <c r="N98" i="1" s="1"/>
  <c r="N99" i="1" s="1"/>
  <c r="N12" i="1"/>
  <c r="N91" i="1" s="1"/>
  <c r="N93" i="1" s="1"/>
  <c r="N95" i="1" s="1"/>
  <c r="N9" i="1"/>
  <c r="N83" i="1" s="1"/>
  <c r="N85" i="1" s="1"/>
  <c r="N87" i="1" s="1"/>
  <c r="N88" i="1" s="1"/>
  <c r="I215" i="1" l="1"/>
  <c r="N97" i="1"/>
  <c r="N105" i="1"/>
  <c r="N108" i="1" s="1"/>
  <c r="R17" i="1"/>
  <c r="P17" i="1" s="1"/>
  <c r="Q17" i="1"/>
  <c r="R8" i="1"/>
  <c r="P8" i="1" s="1"/>
  <c r="Q8" i="1"/>
  <c r="R16" i="1"/>
  <c r="P16" i="1" s="1"/>
  <c r="Q16" i="1"/>
  <c r="R7" i="1"/>
  <c r="P7" i="1" s="1"/>
  <c r="Q7" i="1"/>
  <c r="G17" i="1"/>
  <c r="E17" i="1"/>
  <c r="G18" i="1"/>
  <c r="E18" i="1"/>
  <c r="R15" i="1"/>
  <c r="P15" i="1" s="1"/>
  <c r="Q15" i="1"/>
  <c r="G15" i="1"/>
  <c r="E15" i="1"/>
  <c r="R14" i="1"/>
  <c r="P14" i="1" s="1"/>
  <c r="Q14" i="1"/>
  <c r="G14" i="1"/>
  <c r="E14" i="1"/>
  <c r="R13" i="1"/>
  <c r="P13" i="1" s="1"/>
  <c r="Q13" i="1"/>
  <c r="G13" i="1"/>
  <c r="E13" i="1"/>
  <c r="R12" i="1"/>
  <c r="P12" i="1" s="1"/>
  <c r="Q12" i="1"/>
  <c r="G12" i="1"/>
  <c r="E12" i="1"/>
  <c r="R11" i="1"/>
  <c r="P11" i="1" s="1"/>
  <c r="Q11" i="1"/>
  <c r="G11" i="1"/>
  <c r="E11" i="1"/>
  <c r="I11" i="1" s="1"/>
  <c r="R9" i="1"/>
  <c r="P9" i="1" s="1"/>
  <c r="Q9" i="1"/>
  <c r="G9" i="1"/>
  <c r="E9" i="1"/>
  <c r="G8" i="1"/>
  <c r="E8" i="1"/>
  <c r="G16" i="1"/>
  <c r="E16" i="1"/>
  <c r="I216" i="1" l="1"/>
  <c r="I223" i="1" s="1"/>
  <c r="I12" i="1"/>
  <c r="I13" i="1" s="1"/>
  <c r="I14" i="1" s="1"/>
  <c r="I15" i="1" s="1"/>
  <c r="I22" i="1" s="1"/>
  <c r="I23" i="1" s="1"/>
  <c r="I24" i="1" s="1"/>
  <c r="I36" i="1" s="1"/>
  <c r="I37" i="1" s="1"/>
  <c r="I38" i="1" s="1"/>
  <c r="I39" i="1" s="1"/>
  <c r="I40" i="1" s="1"/>
  <c r="I41" i="1" s="1"/>
  <c r="I42" i="1" s="1"/>
  <c r="I43" i="1" s="1"/>
  <c r="I50" i="1" s="1"/>
  <c r="I51" i="1" s="1"/>
  <c r="L61" i="2"/>
  <c r="M61" i="2" s="1"/>
  <c r="M62" i="2" s="1"/>
  <c r="M63" i="2" s="1"/>
  <c r="M64" i="2" s="1"/>
  <c r="M60" i="2"/>
  <c r="I224" i="1" l="1"/>
  <c r="I225" i="1" s="1"/>
  <c r="I226" i="1" s="1"/>
  <c r="I233" i="1" s="1"/>
  <c r="R6" i="1"/>
  <c r="P6" i="1" s="1"/>
  <c r="Q6" i="1"/>
  <c r="R4" i="1"/>
  <c r="P4" i="1" s="1"/>
  <c r="Q4" i="1"/>
  <c r="R5" i="1"/>
  <c r="P5" i="1" s="1"/>
  <c r="Q5" i="1"/>
  <c r="R3" i="1"/>
  <c r="P3" i="1" s="1"/>
  <c r="Q3" i="1"/>
  <c r="G6" i="1"/>
  <c r="E6" i="1"/>
  <c r="G5" i="1"/>
  <c r="E5" i="1"/>
  <c r="I5" i="1" s="1"/>
  <c r="G4" i="1"/>
  <c r="E4" i="1"/>
  <c r="G7" i="1"/>
  <c r="E7" i="1"/>
  <c r="I7" i="1" s="1"/>
  <c r="I234" i="1" l="1"/>
  <c r="I235" i="1" s="1"/>
  <c r="I236" i="1" s="1"/>
  <c r="I237" i="1" s="1"/>
  <c r="I248" i="1" s="1"/>
  <c r="G62" i="2"/>
  <c r="G61" i="2"/>
  <c r="G60" i="2"/>
  <c r="G59" i="2"/>
  <c r="G58" i="2"/>
  <c r="E63" i="2"/>
  <c r="E62" i="2"/>
  <c r="E61" i="2"/>
  <c r="E60" i="2"/>
  <c r="E59" i="2"/>
  <c r="E58" i="2"/>
  <c r="I249" i="1" l="1"/>
  <c r="I6" i="1"/>
  <c r="I16" i="1" s="1"/>
  <c r="I17" i="1" s="1"/>
  <c r="I20" i="1" s="1"/>
  <c r="I21" i="1" s="1"/>
  <c r="I25" i="1" s="1"/>
  <c r="G3" i="1"/>
  <c r="E3" i="1"/>
  <c r="I3" i="1" s="1"/>
  <c r="I250" i="1" l="1"/>
  <c r="I261" i="1" s="1"/>
  <c r="G25" i="4"/>
  <c r="E25" i="4"/>
  <c r="I262" i="1" l="1"/>
  <c r="I263" i="1" s="1"/>
  <c r="I4" i="1"/>
  <c r="I18" i="1" s="1"/>
  <c r="I19" i="1" s="1"/>
  <c r="I28" i="1" s="1"/>
  <c r="I266" i="1" l="1"/>
  <c r="I267" i="1" s="1"/>
  <c r="N18" i="1"/>
  <c r="I8" i="1" l="1"/>
  <c r="I9" i="1" s="1"/>
  <c r="I10" i="1" s="1"/>
  <c r="N6" i="1" l="1"/>
  <c r="N7" i="1" s="1"/>
  <c r="N16" i="1" s="1"/>
  <c r="N5" i="1" l="1"/>
  <c r="G24" i="4" l="1"/>
  <c r="E24" i="4"/>
  <c r="G23" i="4"/>
  <c r="E23" i="4"/>
  <c r="G22" i="4" l="1"/>
  <c r="E22" i="4"/>
  <c r="G20" i="4" l="1"/>
  <c r="E20" i="4"/>
  <c r="G21" i="4"/>
  <c r="E21" i="4"/>
  <c r="I21" i="4" s="1"/>
  <c r="I22" i="4" s="1"/>
  <c r="I23" i="4" s="1"/>
  <c r="I24" i="4" s="1"/>
  <c r="I25" i="4" s="1"/>
  <c r="G19" i="4" l="1"/>
  <c r="E19" i="4"/>
  <c r="G18" i="4" l="1"/>
  <c r="E18" i="4"/>
  <c r="L17" i="4" l="1"/>
  <c r="L18" i="4" s="1"/>
  <c r="L19" i="4" s="1"/>
  <c r="L20" i="4" s="1"/>
  <c r="L21" i="4" s="1"/>
  <c r="G17" i="4"/>
  <c r="E17" i="4"/>
  <c r="L16" i="4" l="1"/>
  <c r="L22" i="4" s="1"/>
  <c r="L23" i="4" s="1"/>
  <c r="L24" i="4" s="1"/>
  <c r="L25" i="4" s="1"/>
  <c r="L26" i="4" s="1"/>
  <c r="L27" i="4" s="1"/>
  <c r="G15" i="4" l="1"/>
  <c r="E15" i="4"/>
  <c r="G14" i="4"/>
  <c r="E14" i="4"/>
  <c r="G16" i="4" l="1"/>
  <c r="E16" i="4"/>
  <c r="G13" i="4" l="1"/>
  <c r="E13" i="4"/>
  <c r="L11" i="4" l="1"/>
  <c r="L12" i="4" s="1"/>
  <c r="L13" i="4" s="1"/>
  <c r="L14" i="4" s="1"/>
  <c r="L15" i="4" s="1"/>
  <c r="G11" i="4" l="1"/>
  <c r="E11" i="4"/>
  <c r="G12" i="4"/>
  <c r="E12" i="4"/>
  <c r="I12" i="4" s="1"/>
  <c r="I13" i="4" s="1"/>
  <c r="I14" i="4" s="1"/>
  <c r="I15" i="4" s="1"/>
  <c r="I16" i="4" s="1"/>
  <c r="I17" i="4" s="1"/>
  <c r="I18" i="4" s="1"/>
  <c r="I19" i="4" s="1"/>
  <c r="I20" i="4" l="1"/>
  <c r="M56" i="2" l="1"/>
  <c r="G56" i="2"/>
  <c r="E56" i="2"/>
  <c r="M55" i="2" l="1"/>
  <c r="M54" i="2" l="1"/>
  <c r="M53" i="2"/>
  <c r="M52" i="2" l="1"/>
  <c r="M51" i="2"/>
  <c r="G57" i="2" l="1"/>
  <c r="E57" i="2"/>
  <c r="I57" i="2" s="1"/>
  <c r="I65" i="2" s="1"/>
  <c r="G55" i="2"/>
  <c r="E55" i="2"/>
  <c r="G54" i="2"/>
  <c r="E54" i="2"/>
  <c r="I66" i="2" l="1"/>
  <c r="M50" i="2"/>
  <c r="M49" i="2"/>
  <c r="I67" i="2" l="1"/>
  <c r="G52" i="2"/>
  <c r="E52" i="2"/>
  <c r="G51" i="2"/>
  <c r="E51" i="2"/>
  <c r="G53" i="2"/>
  <c r="E53" i="2"/>
  <c r="G50" i="2"/>
  <c r="E50" i="2"/>
  <c r="M48" i="2" l="1"/>
  <c r="M47" i="2"/>
  <c r="M46" i="2"/>
  <c r="M45" i="2"/>
  <c r="G48" i="2" l="1"/>
  <c r="E48" i="2"/>
  <c r="G47" i="2"/>
  <c r="E47" i="2"/>
  <c r="M44" i="2" l="1"/>
  <c r="M43" i="2"/>
  <c r="M42" i="2" l="1"/>
  <c r="M41" i="2"/>
  <c r="G46" i="2" l="1"/>
  <c r="E46" i="2"/>
  <c r="G45" i="2"/>
  <c r="E45" i="2"/>
  <c r="G44" i="2"/>
  <c r="E44" i="2"/>
  <c r="I44" i="2" s="1"/>
  <c r="G43" i="2"/>
  <c r="E43" i="2"/>
  <c r="G42" i="2"/>
  <c r="E42" i="2"/>
  <c r="I45" i="2" l="1"/>
  <c r="I46" i="2" s="1"/>
  <c r="I47" i="2" s="1"/>
  <c r="I48" i="2" s="1"/>
  <c r="M40" i="2"/>
  <c r="M39" i="2"/>
  <c r="I37" i="2" l="1"/>
  <c r="I38" i="2" s="1"/>
  <c r="I39" i="2" s="1"/>
  <c r="I40" i="2" s="1"/>
  <c r="M38" i="2"/>
  <c r="M37" i="2"/>
  <c r="G40" i="2" l="1"/>
  <c r="E40" i="2"/>
  <c r="G39" i="2"/>
  <c r="E39" i="2"/>
  <c r="M36" i="2" l="1"/>
  <c r="M35" i="2"/>
  <c r="M34" i="2" l="1"/>
  <c r="M33" i="2"/>
  <c r="G41" i="2" l="1"/>
  <c r="E41" i="2"/>
  <c r="G37" i="2"/>
  <c r="E37" i="2"/>
  <c r="G36" i="2"/>
  <c r="E36" i="2"/>
  <c r="G38" i="2"/>
  <c r="E38" i="2"/>
  <c r="G35" i="2"/>
  <c r="E35" i="2"/>
  <c r="M32" i="2" l="1"/>
  <c r="M31" i="2"/>
  <c r="M28" i="2" l="1"/>
  <c r="M27" i="2"/>
  <c r="M29" i="2"/>
  <c r="M30" i="2"/>
  <c r="G34" i="2" l="1"/>
  <c r="E34" i="2"/>
  <c r="G33" i="2"/>
  <c r="E33" i="2"/>
  <c r="G32" i="2"/>
  <c r="E32" i="2"/>
  <c r="G30" i="2" l="1"/>
  <c r="E30" i="2"/>
  <c r="G29" i="2" l="1"/>
  <c r="E29" i="2"/>
  <c r="G49" i="2" l="1"/>
  <c r="E49" i="2"/>
  <c r="I49" i="2" s="1"/>
  <c r="I50" i="2" s="1"/>
  <c r="I51" i="2" s="1"/>
  <c r="I52" i="2" s="1"/>
  <c r="I53" i="2" s="1"/>
  <c r="I54" i="2" s="1"/>
  <c r="I55" i="2" s="1"/>
  <c r="I56" i="2" s="1"/>
  <c r="G28" i="2" l="1"/>
  <c r="E28" i="2"/>
  <c r="G10" i="4" l="1"/>
  <c r="E10" i="4"/>
  <c r="G9" i="4" l="1"/>
  <c r="E9" i="4"/>
  <c r="I9" i="4" s="1"/>
  <c r="I10" i="4" s="1"/>
  <c r="I11" i="4" s="1"/>
  <c r="G8" i="4" l="1"/>
  <c r="E8" i="4"/>
  <c r="G7" i="4" l="1"/>
  <c r="E7" i="4"/>
  <c r="G6" i="4" l="1"/>
  <c r="E6" i="4"/>
  <c r="I6" i="4" s="1"/>
  <c r="I7" i="4" s="1"/>
  <c r="I8" i="4" s="1"/>
  <c r="L5" i="4" l="1"/>
  <c r="L6" i="4" s="1"/>
  <c r="L7" i="4" s="1"/>
  <c r="L8" i="4" s="1"/>
  <c r="L9" i="4" s="1"/>
  <c r="G5" i="4"/>
  <c r="E5" i="4"/>
  <c r="L4" i="4" l="1"/>
  <c r="L10" i="4" s="1"/>
  <c r="L3" i="4" l="1"/>
  <c r="G28" i="4" l="1"/>
  <c r="E28" i="4"/>
  <c r="G4" i="4"/>
  <c r="E4" i="4"/>
  <c r="G3" i="4"/>
  <c r="E3" i="4"/>
  <c r="I3" i="4" s="1"/>
  <c r="I4" i="4" s="1"/>
  <c r="I5" i="4" s="1"/>
  <c r="G27" i="2" l="1"/>
  <c r="E27" i="2"/>
  <c r="G25" i="2" l="1"/>
  <c r="E25" i="2"/>
  <c r="G24" i="2"/>
  <c r="E24" i="2"/>
  <c r="G26" i="2"/>
  <c r="E26" i="2"/>
  <c r="G23" i="2"/>
  <c r="E23" i="2"/>
  <c r="G20" i="2" l="1"/>
  <c r="E20" i="2"/>
  <c r="G19" i="2"/>
  <c r="E19" i="2"/>
  <c r="G18" i="2"/>
  <c r="E18" i="2"/>
  <c r="G21" i="2"/>
  <c r="E21" i="2"/>
  <c r="G17" i="2"/>
  <c r="E17" i="2"/>
  <c r="G16" i="2"/>
  <c r="E16" i="2"/>
  <c r="G22" i="2"/>
  <c r="E22" i="2"/>
  <c r="G15" i="2" l="1"/>
  <c r="E15" i="2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G31" i="2"/>
  <c r="E31" i="2"/>
  <c r="G14" i="2"/>
  <c r="E14" i="2"/>
  <c r="I14" i="2" s="1"/>
  <c r="I58" i="2" s="1"/>
  <c r="I59" i="2" s="1"/>
  <c r="I60" i="2" s="1"/>
  <c r="I61" i="2" s="1"/>
  <c r="I62" i="2" s="1"/>
  <c r="I63" i="2" s="1"/>
  <c r="I64" i="2" s="1"/>
  <c r="I68" i="2" s="1"/>
  <c r="I69" i="2" l="1"/>
  <c r="I70" i="2" s="1"/>
  <c r="I71" i="2" s="1"/>
  <c r="I72" i="2" s="1"/>
  <c r="I73" i="2" s="1"/>
  <c r="I76" i="2" s="1"/>
  <c r="I77" i="2" s="1"/>
  <c r="I78" i="2" s="1"/>
  <c r="I79" i="2" s="1"/>
  <c r="I80" i="2" s="1"/>
  <c r="I31" i="2"/>
  <c r="I32" i="2" s="1"/>
  <c r="I33" i="2" s="1"/>
  <c r="I34" i="2" s="1"/>
  <c r="I35" i="2" s="1"/>
  <c r="I36" i="2" s="1"/>
  <c r="I41" i="2" s="1"/>
  <c r="I42" i="2" s="1"/>
  <c r="I43" i="2" s="1"/>
  <c r="I11" i="2" l="1"/>
  <c r="I12" i="2" s="1"/>
  <c r="I13" i="2" s="1"/>
  <c r="G13" i="2" l="1"/>
  <c r="E13" i="2"/>
  <c r="G12" i="2"/>
  <c r="E12" i="2"/>
  <c r="G11" i="2"/>
  <c r="E11" i="2"/>
  <c r="I8" i="2" l="1"/>
  <c r="I9" i="2" s="1"/>
  <c r="I5" i="2" l="1"/>
  <c r="I6" i="2" s="1"/>
  <c r="I7" i="2" s="1"/>
  <c r="G8" i="2" l="1"/>
  <c r="E8" i="2"/>
  <c r="G7" i="2"/>
  <c r="E7" i="2"/>
  <c r="I3" i="2" l="1"/>
  <c r="I4" i="2" s="1"/>
  <c r="G10" i="2" l="1"/>
  <c r="E10" i="2"/>
  <c r="G9" i="2"/>
  <c r="E9" i="2"/>
  <c r="G6" i="2"/>
  <c r="E6" i="2"/>
  <c r="G5" i="2"/>
  <c r="E5" i="2"/>
  <c r="G4" i="2"/>
  <c r="E4" i="2"/>
  <c r="G3" i="2"/>
  <c r="E3" i="2"/>
</calcChain>
</file>

<file path=xl/comments1.xml><?xml version="1.0" encoding="utf-8"?>
<comments xmlns="http://schemas.openxmlformats.org/spreadsheetml/2006/main">
  <authors>
    <author>C617-PC1</author>
  </authors>
  <commentList>
    <comment ref="H25" authorId="0" shapeId="0">
      <text>
        <r>
          <rPr>
            <b/>
            <sz val="9"/>
            <color indexed="81"/>
            <rFont val="Tahoma"/>
            <family val="2"/>
          </rPr>
          <t>C617-PC1: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此訂單餘量6800L已被台積電</t>
        </r>
        <r>
          <rPr>
            <sz val="9"/>
            <color indexed="81"/>
            <rFont val="Tahoma"/>
            <family val="2"/>
          </rPr>
          <t>close</t>
        </r>
      </text>
    </comment>
  </commentList>
</comments>
</file>

<file path=xl/sharedStrings.xml><?xml version="1.0" encoding="utf-8"?>
<sst xmlns="http://schemas.openxmlformats.org/spreadsheetml/2006/main" count="1961" uniqueCount="653">
  <si>
    <t>Pre Use</t>
    <phoneticPr fontId="3" type="noConversion"/>
  </si>
  <si>
    <r>
      <t>15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P5</t>
    </r>
    <phoneticPr fontId="3" type="noConversion"/>
  </si>
  <si>
    <r>
      <t>15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</si>
  <si>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15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</si>
  <si>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r>
      <rPr>
        <b/>
        <sz val="10"/>
        <rFont val="新細明體"/>
        <family val="1"/>
        <charset val="136"/>
      </rPr>
      <t>備註</t>
    </r>
    <phoneticPr fontId="3" type="noConversion"/>
  </si>
  <si>
    <r>
      <t>remain life time
(</t>
    </r>
    <r>
      <rPr>
        <sz val="10"/>
        <color rgb="FFFF0000"/>
        <rFont val="新細明體"/>
        <family val="2"/>
      </rPr>
      <t>剩餘保存天數</t>
    </r>
    <r>
      <rPr>
        <sz val="10"/>
        <color rgb="FFFF0000"/>
        <rFont val="Arial"/>
        <family val="2"/>
      </rPr>
      <t>)</t>
    </r>
    <phoneticPr fontId="3" type="noConversion"/>
  </si>
  <si>
    <r>
      <rPr>
        <sz val="10"/>
        <color theme="1"/>
        <rFont val="新細明體"/>
        <family val="2"/>
      </rPr>
      <t>製造日期</t>
    </r>
    <phoneticPr fontId="3" type="noConversion"/>
  </si>
  <si>
    <r>
      <rPr>
        <sz val="10"/>
        <color theme="1"/>
        <rFont val="新細明體"/>
        <family val="2"/>
      </rPr>
      <t>相差天數</t>
    </r>
    <phoneticPr fontId="3" type="noConversion"/>
  </si>
  <si>
    <r>
      <rPr>
        <b/>
        <sz val="10"/>
        <rFont val="新細明體"/>
        <family val="1"/>
        <charset val="136"/>
      </rPr>
      <t>出貨日</t>
    </r>
    <phoneticPr fontId="3" type="noConversion"/>
  </si>
  <si>
    <r>
      <rPr>
        <b/>
        <sz val="10"/>
        <rFont val="新細明體"/>
        <family val="1"/>
        <charset val="136"/>
      </rPr>
      <t>到貨日</t>
    </r>
    <phoneticPr fontId="3" type="noConversion"/>
  </si>
  <si>
    <r>
      <rPr>
        <b/>
        <sz val="10"/>
        <rFont val="新細明體"/>
        <family val="1"/>
        <charset val="136"/>
      </rPr>
      <t>批號</t>
    </r>
    <phoneticPr fontId="3" type="noConversion"/>
  </si>
  <si>
    <r>
      <rPr>
        <b/>
        <sz val="10"/>
        <rFont val="新細明體"/>
        <family val="1"/>
        <charset val="136"/>
      </rPr>
      <t>桶數</t>
    </r>
    <phoneticPr fontId="3" type="noConversion"/>
  </si>
  <si>
    <r>
      <rPr>
        <b/>
        <sz val="10"/>
        <rFont val="細明體"/>
        <family val="3"/>
        <charset val="136"/>
      </rPr>
      <t>總重</t>
    </r>
    <r>
      <rPr>
        <b/>
        <sz val="10"/>
        <rFont val="Arial"/>
        <family val="2"/>
      </rPr>
      <t>(L)</t>
    </r>
    <phoneticPr fontId="3" type="noConversion"/>
  </si>
  <si>
    <r>
      <rPr>
        <b/>
        <sz val="10"/>
        <rFont val="新細明體"/>
        <family val="1"/>
        <charset val="136"/>
      </rPr>
      <t>到貨地點</t>
    </r>
    <phoneticPr fontId="3" type="noConversion"/>
  </si>
  <si>
    <r>
      <rPr>
        <b/>
        <sz val="10"/>
        <rFont val="新細明體"/>
        <family val="1"/>
        <charset val="136"/>
      </rPr>
      <t>採購單號</t>
    </r>
    <phoneticPr fontId="3" type="noConversion"/>
  </si>
  <si>
    <r>
      <t>PO</t>
    </r>
    <r>
      <rPr>
        <b/>
        <sz val="10"/>
        <rFont val="新細明體"/>
        <family val="1"/>
        <charset val="136"/>
      </rPr>
      <t>餘數</t>
    </r>
    <phoneticPr fontId="3" type="noConversion"/>
  </si>
  <si>
    <r>
      <rPr>
        <b/>
        <sz val="10"/>
        <rFont val="細明體"/>
        <family val="3"/>
        <charset val="136"/>
      </rPr>
      <t>單號</t>
    </r>
    <phoneticPr fontId="3" type="noConversion"/>
  </si>
  <si>
    <r>
      <rPr>
        <b/>
        <sz val="10"/>
        <rFont val="新細明體"/>
        <family val="1"/>
        <charset val="136"/>
      </rPr>
      <t>剩餘桶數</t>
    </r>
    <phoneticPr fontId="3" type="noConversion"/>
  </si>
  <si>
    <r>
      <rPr>
        <b/>
        <sz val="10"/>
        <color theme="1"/>
        <rFont val="新細明體"/>
        <family val="1"/>
        <charset val="136"/>
      </rPr>
      <t>批號</t>
    </r>
    <phoneticPr fontId="3" type="noConversion"/>
  </si>
  <si>
    <t>桶數</t>
    <phoneticPr fontId="3" type="noConversion"/>
  </si>
  <si>
    <t>總重(L)</t>
    <phoneticPr fontId="3" type="noConversion"/>
  </si>
  <si>
    <r>
      <rPr>
        <b/>
        <sz val="10"/>
        <color theme="1"/>
        <rFont val="新細明體"/>
        <family val="1"/>
        <charset val="136"/>
      </rPr>
      <t>到貨地點</t>
    </r>
    <phoneticPr fontId="3" type="noConversion"/>
  </si>
  <si>
    <t>總重(KG)</t>
    <phoneticPr fontId="3" type="noConversion"/>
  </si>
  <si>
    <r>
      <rPr>
        <b/>
        <sz val="10"/>
        <color theme="1"/>
        <rFont val="新細明體"/>
        <family val="1"/>
        <charset val="136"/>
      </rPr>
      <t>採購單號</t>
    </r>
    <phoneticPr fontId="3" type="noConversion"/>
  </si>
  <si>
    <t>PO餘數</t>
    <phoneticPr fontId="3" type="noConversion"/>
  </si>
  <si>
    <t>單號</t>
    <phoneticPr fontId="3" type="noConversion"/>
  </si>
  <si>
    <r>
      <rPr>
        <b/>
        <sz val="10"/>
        <color theme="1"/>
        <rFont val="新細明體"/>
        <family val="1"/>
        <charset val="136"/>
      </rPr>
      <t>生產桶數</t>
    </r>
    <phoneticPr fontId="3" type="noConversion"/>
  </si>
  <si>
    <r>
      <rPr>
        <b/>
        <sz val="10"/>
        <color theme="1"/>
        <rFont val="新細明體"/>
        <family val="1"/>
        <charset val="136"/>
      </rPr>
      <t>剩餘桶數</t>
    </r>
    <phoneticPr fontId="3" type="noConversion"/>
  </si>
  <si>
    <t>備註</t>
    <phoneticPr fontId="3" type="noConversion"/>
  </si>
  <si>
    <t>製造日期</t>
    <phoneticPr fontId="3" type="noConversion"/>
  </si>
  <si>
    <t>批號到期日</t>
    <phoneticPr fontId="3" type="noConversion"/>
  </si>
  <si>
    <t>相差天數</t>
    <phoneticPr fontId="3" type="noConversion"/>
  </si>
  <si>
    <r>
      <t xml:space="preserve">remain life time
</t>
    </r>
    <r>
      <rPr>
        <sz val="9"/>
        <color rgb="FFFF0000"/>
        <rFont val="Arial"/>
        <family val="2"/>
      </rPr>
      <t>(</t>
    </r>
    <r>
      <rPr>
        <sz val="9"/>
        <color rgb="FFFF0000"/>
        <rFont val="新細明體"/>
        <family val="2"/>
      </rPr>
      <t>剩餘保存天數</t>
    </r>
    <r>
      <rPr>
        <sz val="9"/>
        <color rgb="FFFF0000"/>
        <rFont val="Arial"/>
        <family val="2"/>
      </rPr>
      <t>)</t>
    </r>
    <phoneticPr fontId="3" type="noConversion"/>
  </si>
  <si>
    <t>出貨日</t>
    <phoneticPr fontId="3" type="noConversion"/>
  </si>
  <si>
    <t>到貨日</t>
    <phoneticPr fontId="3" type="noConversion"/>
  </si>
  <si>
    <t>生產桶數</t>
    <phoneticPr fontId="3" type="noConversion"/>
  </si>
  <si>
    <t>4504286677/100</t>
    <phoneticPr fontId="2" type="noConversion"/>
  </si>
  <si>
    <r>
      <rPr>
        <b/>
        <sz val="10"/>
        <rFont val="細明體"/>
        <family val="3"/>
        <charset val="136"/>
      </rPr>
      <t>總重</t>
    </r>
    <r>
      <rPr>
        <b/>
        <sz val="10"/>
        <rFont val="Arial"/>
        <family val="2"/>
      </rPr>
      <t>(KG)</t>
    </r>
    <phoneticPr fontId="3" type="noConversion"/>
  </si>
  <si>
    <t>22C28M8501</t>
    <phoneticPr fontId="2" type="noConversion"/>
  </si>
  <si>
    <t>23103M8501</t>
    <phoneticPr fontId="2" type="noConversion"/>
  </si>
  <si>
    <r>
      <t>15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phoneticPr fontId="2" type="noConversion"/>
  </si>
  <si>
    <t>23420M8501</t>
    <phoneticPr fontId="2" type="noConversion"/>
  </si>
  <si>
    <t>23421M8501</t>
    <phoneticPr fontId="2" type="noConversion"/>
  </si>
  <si>
    <t>23424M8501</t>
    <phoneticPr fontId="2" type="noConversion"/>
  </si>
  <si>
    <t>4504573193/100</t>
    <phoneticPr fontId="2" type="noConversion"/>
  </si>
  <si>
    <r>
      <rPr>
        <sz val="10"/>
        <color theme="1"/>
        <rFont val="細明體"/>
        <family val="3"/>
        <charset val="136"/>
      </rPr>
      <t>原</t>
    </r>
    <r>
      <rPr>
        <sz val="10"/>
        <color theme="1"/>
        <rFont val="Arial"/>
        <family val="2"/>
      </rPr>
      <t>5/3</t>
    </r>
    <r>
      <rPr>
        <sz val="10"/>
        <color theme="1"/>
        <rFont val="細明體"/>
        <family val="3"/>
        <charset val="136"/>
      </rPr>
      <t>出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單號</t>
    </r>
    <r>
      <rPr>
        <sz val="10"/>
        <color theme="1"/>
        <rFont val="Arial"/>
        <family val="2"/>
      </rPr>
      <t>230502005</t>
    </r>
    <phoneticPr fontId="2" type="noConversion"/>
  </si>
  <si>
    <r>
      <rPr>
        <sz val="10"/>
        <color theme="1"/>
        <rFont val="細明體"/>
        <family val="3"/>
        <charset val="136"/>
      </rPr>
      <t>原</t>
    </r>
    <r>
      <rPr>
        <sz val="10"/>
        <color theme="1"/>
        <rFont val="Arial"/>
        <family val="2"/>
      </rPr>
      <t>5/3</t>
    </r>
    <r>
      <rPr>
        <sz val="10"/>
        <color theme="1"/>
        <rFont val="細明體"/>
        <family val="3"/>
        <charset val="136"/>
      </rPr>
      <t>出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單號</t>
    </r>
    <r>
      <rPr>
        <sz val="10"/>
        <color theme="1"/>
        <rFont val="Arial"/>
        <family val="2"/>
      </rPr>
      <t>230502005
23420M8501</t>
    </r>
    <r>
      <rPr>
        <sz val="10"/>
        <color theme="1"/>
        <rFont val="細明體"/>
        <family val="3"/>
        <charset val="136"/>
      </rPr>
      <t>保留樣</t>
    </r>
    <r>
      <rPr>
        <sz val="10"/>
        <color theme="1"/>
        <rFont val="Arial"/>
        <family val="2"/>
      </rPr>
      <t>500cc*6</t>
    </r>
    <r>
      <rPr>
        <sz val="10"/>
        <color theme="1"/>
        <rFont val="細明體"/>
        <family val="3"/>
        <charset val="136"/>
      </rPr>
      <t>瓶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於</t>
    </r>
    <r>
      <rPr>
        <sz val="10"/>
        <color theme="1"/>
        <rFont val="Arial"/>
        <family val="2"/>
      </rPr>
      <t>5/26</t>
    </r>
    <r>
      <rPr>
        <sz val="10"/>
        <color theme="1"/>
        <rFont val="細明體"/>
        <family val="3"/>
        <charset val="136"/>
      </rPr>
      <t>寄竹辦給珈蔚</t>
    </r>
    <phoneticPr fontId="2" type="noConversion"/>
  </si>
  <si>
    <t>23711M8501</t>
    <phoneticPr fontId="2" type="noConversion"/>
  </si>
  <si>
    <t>4504740930/100</t>
    <phoneticPr fontId="2" type="noConversion"/>
  </si>
  <si>
    <t>23717M8501</t>
    <phoneticPr fontId="2" type="noConversion"/>
  </si>
  <si>
    <t>4504740930/100</t>
    <phoneticPr fontId="2" type="noConversion"/>
  </si>
  <si>
    <t>23801M8501</t>
    <phoneticPr fontId="2" type="noConversion"/>
  </si>
  <si>
    <r>
      <t>8/17</t>
    </r>
    <r>
      <rPr>
        <sz val="10"/>
        <color rgb="FFFF0000"/>
        <rFont val="細明體"/>
        <family val="3"/>
        <charset val="136"/>
      </rPr>
      <t>送至百立進行高溫</t>
    </r>
    <r>
      <rPr>
        <sz val="10"/>
        <color rgb="FFFF0000"/>
        <rFont val="Arial"/>
        <family val="2"/>
      </rPr>
      <t>aging test</t>
    </r>
    <r>
      <rPr>
        <sz val="10"/>
        <color rgb="FFFF0000"/>
        <rFont val="細明體"/>
        <family val="3"/>
        <charset val="136"/>
      </rPr>
      <t>測試</t>
    </r>
    <r>
      <rPr>
        <sz val="10"/>
        <color rgb="FFFF0000"/>
        <rFont val="Arial"/>
        <family val="2"/>
      </rPr>
      <t>(</t>
    </r>
    <r>
      <rPr>
        <sz val="10"/>
        <color rgb="FFFF0000"/>
        <rFont val="細明體"/>
        <family val="3"/>
        <charset val="136"/>
      </rPr>
      <t>桶號</t>
    </r>
    <r>
      <rPr>
        <sz val="10"/>
        <color rgb="FFFF0000"/>
        <rFont val="Arial"/>
        <family val="2"/>
      </rPr>
      <t>2</t>
    </r>
    <r>
      <rPr>
        <sz val="10"/>
        <color rgb="FFFF0000"/>
        <rFont val="細明體"/>
        <family val="3"/>
        <charset val="136"/>
      </rPr>
      <t>、</t>
    </r>
    <r>
      <rPr>
        <sz val="10"/>
        <color rgb="FFFF0000"/>
        <rFont val="Arial"/>
        <family val="2"/>
      </rPr>
      <t>3</t>
    </r>
    <r>
      <rPr>
        <sz val="10"/>
        <color rgb="FFFF0000"/>
        <rFont val="細明體"/>
        <family val="3"/>
        <charset val="136"/>
      </rPr>
      <t>、</t>
    </r>
    <r>
      <rPr>
        <sz val="10"/>
        <color rgb="FFFF0000"/>
        <rFont val="Arial"/>
        <family val="2"/>
      </rPr>
      <t>4</t>
    </r>
    <r>
      <rPr>
        <sz val="10"/>
        <color rgb="FFFF0000"/>
        <rFont val="細明體"/>
        <family val="3"/>
        <charset val="136"/>
      </rPr>
      <t>各一板共三板</t>
    </r>
    <r>
      <rPr>
        <sz val="10"/>
        <color rgb="FFFF0000"/>
        <rFont val="Arial"/>
        <family val="2"/>
      </rPr>
      <t>)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Arial"/>
        <family val="2"/>
      </rPr>
      <t>9/18</t>
    </r>
    <r>
      <rPr>
        <sz val="10"/>
        <color rgb="FFFF0000"/>
        <rFont val="細明體"/>
        <family val="3"/>
        <charset val="136"/>
      </rPr>
      <t>、</t>
    </r>
    <r>
      <rPr>
        <sz val="10"/>
        <color rgb="FFFF0000"/>
        <rFont val="Arial"/>
        <family val="2"/>
      </rPr>
      <t>10/17</t>
    </r>
    <r>
      <rPr>
        <sz val="10"/>
        <color rgb="FFFF0000"/>
        <rFont val="細明體"/>
        <family val="3"/>
        <charset val="136"/>
      </rPr>
      <t>、</t>
    </r>
    <r>
      <rPr>
        <sz val="10"/>
        <color rgb="FFFF0000"/>
        <rFont val="Arial"/>
        <family val="2"/>
      </rPr>
      <t>11/17</t>
    </r>
    <r>
      <rPr>
        <sz val="10"/>
        <color rgb="FFFF0000"/>
        <rFont val="細明體"/>
        <family val="3"/>
        <charset val="136"/>
      </rPr>
      <t>各取回一桶一板</t>
    </r>
    <phoneticPr fontId="2" type="noConversion"/>
  </si>
  <si>
    <t>23B06M8501</t>
    <phoneticPr fontId="2" type="noConversion"/>
  </si>
  <si>
    <t>23B09M8501</t>
    <phoneticPr fontId="2" type="noConversion"/>
  </si>
  <si>
    <t>23B13M8501</t>
    <phoneticPr fontId="2" type="noConversion"/>
  </si>
  <si>
    <t>4505005815/100</t>
    <phoneticPr fontId="2" type="noConversion"/>
  </si>
  <si>
    <t>4505005815/100</t>
    <phoneticPr fontId="2" type="noConversion"/>
  </si>
  <si>
    <r>
      <t>ASN</t>
    </r>
    <r>
      <rPr>
        <sz val="10"/>
        <color theme="1"/>
        <rFont val="細明體"/>
        <family val="3"/>
        <charset val="136"/>
      </rPr>
      <t>號碼:20231122009</t>
    </r>
    <phoneticPr fontId="2" type="noConversion"/>
  </si>
  <si>
    <t>23B28M8501</t>
    <phoneticPr fontId="2" type="noConversion"/>
  </si>
  <si>
    <t>1.上傳ASN出現OOS,取消4/23出貨
2.4/25出貨一板有貼Pre Use,4/26彥志和業務確認以後出貨115A不用加貼Pre Use,等量產出貨再貼</t>
    <phoneticPr fontId="2" type="noConversion"/>
  </si>
  <si>
    <t>23C04M8501</t>
    <phoneticPr fontId="2" type="noConversion"/>
  </si>
  <si>
    <t>23C06M8501</t>
    <phoneticPr fontId="2" type="noConversion"/>
  </si>
  <si>
    <t>23C08M8501</t>
    <phoneticPr fontId="2" type="noConversion"/>
  </si>
  <si>
    <t>23C12M8501</t>
    <phoneticPr fontId="2" type="noConversion"/>
  </si>
  <si>
    <t>23C14M8501</t>
    <phoneticPr fontId="2" type="noConversion"/>
  </si>
  <si>
    <t>23C18M8501</t>
    <phoneticPr fontId="2" type="noConversion"/>
  </si>
  <si>
    <t>4505394848/300</t>
    <phoneticPr fontId="2" type="noConversion"/>
  </si>
  <si>
    <t>23C20M8501</t>
    <phoneticPr fontId="2" type="noConversion"/>
  </si>
  <si>
    <t>23C26M8501</t>
    <phoneticPr fontId="2" type="noConversion"/>
  </si>
  <si>
    <t>23C28M8501</t>
    <phoneticPr fontId="2" type="noConversion"/>
  </si>
  <si>
    <t>24103M8501</t>
    <phoneticPr fontId="2" type="noConversion"/>
  </si>
  <si>
    <t>24105M8501</t>
    <phoneticPr fontId="2" type="noConversion"/>
  </si>
  <si>
    <t>24109M8501</t>
    <phoneticPr fontId="2" type="noConversion"/>
  </si>
  <si>
    <t>4505394848/300</t>
    <phoneticPr fontId="2" type="noConversion"/>
  </si>
  <si>
    <t>24506M7601</t>
    <phoneticPr fontId="2" type="noConversion"/>
  </si>
  <si>
    <t>4505394848/300</t>
    <phoneticPr fontId="2" type="noConversion"/>
  </si>
  <si>
    <t>4505472559/100</t>
    <phoneticPr fontId="2" type="noConversion"/>
  </si>
  <si>
    <t>Pre Use</t>
    <phoneticPr fontId="2" type="noConversion"/>
  </si>
  <si>
    <t>4505394848/300</t>
    <phoneticPr fontId="2" type="noConversion"/>
  </si>
  <si>
    <t>4505005815/100</t>
    <phoneticPr fontId="2" type="noConversion"/>
  </si>
  <si>
    <t>24612M7601</t>
    <phoneticPr fontId="2" type="noConversion"/>
  </si>
  <si>
    <t>Pi Run(#9-12)</t>
    <phoneticPr fontId="2" type="noConversion"/>
  </si>
  <si>
    <t>Pi Run(#5-8)</t>
    <phoneticPr fontId="2" type="noConversion"/>
  </si>
  <si>
    <t>24729M7601</t>
    <phoneticPr fontId="2" type="noConversion"/>
  </si>
  <si>
    <t>Pi Run(#17-20)</t>
    <phoneticPr fontId="2" type="noConversion"/>
  </si>
  <si>
    <t>24909M7601</t>
    <phoneticPr fontId="2" type="noConversion"/>
  </si>
  <si>
    <t>4505723827/100</t>
    <phoneticPr fontId="2" type="noConversion"/>
  </si>
  <si>
    <t>餘2板</t>
    <phoneticPr fontId="2" type="noConversion"/>
  </si>
  <si>
    <r>
      <t>PO</t>
    </r>
    <r>
      <rPr>
        <sz val="10"/>
        <color theme="1"/>
        <rFont val="細明體"/>
        <family val="3"/>
        <charset val="136"/>
      </rPr>
      <t>餘數</t>
    </r>
    <phoneticPr fontId="2" type="noConversion"/>
  </si>
  <si>
    <t>餘1板</t>
    <phoneticPr fontId="2" type="noConversion"/>
  </si>
  <si>
    <t>(#5-8)</t>
    <phoneticPr fontId="2" type="noConversion"/>
  </si>
  <si>
    <t>(#9-12)</t>
    <phoneticPr fontId="2" type="noConversion"/>
  </si>
  <si>
    <t>(#13-16)</t>
    <phoneticPr fontId="2" type="noConversion"/>
  </si>
  <si>
    <r>
      <t>10/11</t>
    </r>
    <r>
      <rPr>
        <sz val="10"/>
        <color theme="1"/>
        <rFont val="細明體"/>
        <family val="3"/>
        <charset val="136"/>
      </rPr>
      <t>從</t>
    </r>
    <r>
      <rPr>
        <sz val="10"/>
        <color theme="1"/>
        <rFont val="Arial"/>
        <family val="2"/>
      </rPr>
      <t>15P7</t>
    </r>
    <r>
      <rPr>
        <sz val="10"/>
        <color theme="1"/>
        <rFont val="細明體"/>
        <family val="3"/>
        <charset val="136"/>
      </rPr>
      <t>調撥</t>
    </r>
    <r>
      <rPr>
        <sz val="10"/>
        <color theme="1"/>
        <rFont val="Arial"/>
        <family val="2"/>
      </rPr>
      <t>15P6</t>
    </r>
    <phoneticPr fontId="2" type="noConversion"/>
  </si>
  <si>
    <r>
      <rPr>
        <sz val="10"/>
        <color theme="1"/>
        <rFont val="新細明體"/>
        <family val="1"/>
        <charset val="136"/>
      </rPr>
      <t>接頭異常偏黃退貨一桶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1"/>
        <charset val="136"/>
      </rPr>
      <t>安排</t>
    </r>
    <r>
      <rPr>
        <sz val="10"/>
        <color theme="1"/>
        <rFont val="Arial"/>
        <family val="2"/>
      </rPr>
      <t>10/23</t>
    </r>
    <r>
      <rPr>
        <sz val="10"/>
        <color theme="1"/>
        <rFont val="新細明體"/>
        <family val="1"/>
        <charset val="136"/>
      </rPr>
      <t>載回鴻勝</t>
    </r>
    <phoneticPr fontId="2" type="noConversion"/>
  </si>
  <si>
    <t>24729M7601</t>
    <phoneticPr fontId="2" type="noConversion"/>
  </si>
  <si>
    <t>4800322834/100</t>
    <phoneticPr fontId="2" type="noConversion"/>
  </si>
  <si>
    <r>
      <t>user:</t>
    </r>
    <r>
      <rPr>
        <sz val="10"/>
        <color theme="1"/>
        <rFont val="細明體"/>
        <family val="3"/>
        <charset val="136"/>
      </rPr>
      <t>李冠瑾</t>
    </r>
    <phoneticPr fontId="2" type="noConversion"/>
  </si>
  <si>
    <t>24111M8501</t>
    <phoneticPr fontId="2" type="noConversion"/>
  </si>
  <si>
    <t>4505394848/300</t>
    <phoneticPr fontId="2" type="noConversion"/>
  </si>
  <si>
    <t>24115M8501</t>
    <phoneticPr fontId="2" type="noConversion"/>
  </si>
  <si>
    <t>4505394848/300</t>
    <phoneticPr fontId="2" type="noConversion"/>
  </si>
  <si>
    <t>24117M8501</t>
    <phoneticPr fontId="2" type="noConversion"/>
  </si>
  <si>
    <t>24122M8501</t>
    <phoneticPr fontId="2" type="noConversion"/>
  </si>
  <si>
    <t>4505394848/300</t>
    <phoneticPr fontId="2" type="noConversion"/>
  </si>
  <si>
    <t>24124M8501</t>
    <phoneticPr fontId="2" type="noConversion"/>
  </si>
  <si>
    <t>24129M8501</t>
    <phoneticPr fontId="2" type="noConversion"/>
  </si>
  <si>
    <t>4505394848/300</t>
    <phoneticPr fontId="2" type="noConversion"/>
  </si>
  <si>
    <t>24306M8501</t>
    <phoneticPr fontId="2" type="noConversion"/>
  </si>
  <si>
    <t>24311M8501</t>
    <phoneticPr fontId="2" type="noConversion"/>
  </si>
  <si>
    <t>24313M8501</t>
    <phoneticPr fontId="2" type="noConversion"/>
  </si>
  <si>
    <t>24318M8501</t>
    <phoneticPr fontId="2" type="noConversion"/>
  </si>
  <si>
    <t>24326M8501</t>
    <phoneticPr fontId="2" type="noConversion"/>
  </si>
  <si>
    <t>24328M8501</t>
    <phoneticPr fontId="2" type="noConversion"/>
  </si>
  <si>
    <t>4505394848/300</t>
    <phoneticPr fontId="2" type="noConversion"/>
  </si>
  <si>
    <t>4505394848/300</t>
    <phoneticPr fontId="2" type="noConversion"/>
  </si>
  <si>
    <t>4505394848/300</t>
    <phoneticPr fontId="2" type="noConversion"/>
  </si>
  <si>
    <t>4505394848/300</t>
    <phoneticPr fontId="2" type="noConversion"/>
  </si>
  <si>
    <t>24402M8501</t>
    <phoneticPr fontId="2" type="noConversion"/>
  </si>
  <si>
    <t>24408M8501</t>
    <phoneticPr fontId="2" type="noConversion"/>
  </si>
  <si>
    <t>4506018552/100</t>
    <phoneticPr fontId="2" type="noConversion"/>
  </si>
  <si>
    <t>4506018552/100</t>
    <phoneticPr fontId="2" type="noConversion"/>
  </si>
  <si>
    <t>4506018552/100</t>
    <phoneticPr fontId="2" type="noConversion"/>
  </si>
  <si>
    <t>24410M8501</t>
    <phoneticPr fontId="2" type="noConversion"/>
  </si>
  <si>
    <t>24416M8501</t>
    <phoneticPr fontId="2" type="noConversion"/>
  </si>
  <si>
    <t>24418M8501</t>
    <phoneticPr fontId="2" type="noConversion"/>
  </si>
  <si>
    <t>24422M8501</t>
    <phoneticPr fontId="2" type="noConversion"/>
  </si>
  <si>
    <t>24424M8501</t>
    <phoneticPr fontId="2" type="noConversion"/>
  </si>
  <si>
    <t>24429M8501</t>
    <phoneticPr fontId="2" type="noConversion"/>
  </si>
  <si>
    <r>
      <t>15</t>
    </r>
    <r>
      <rPr>
        <sz val="10"/>
        <color theme="1"/>
        <rFont val="細明體"/>
        <family val="3"/>
        <charset val="136"/>
      </rPr>
      <t>廠</t>
    </r>
    <r>
      <rPr>
        <sz val="10"/>
        <color theme="1"/>
        <rFont val="Arial"/>
        <family val="2"/>
      </rPr>
      <t>P7</t>
    </r>
    <phoneticPr fontId="2" type="noConversion"/>
  </si>
  <si>
    <t>4800329316/100</t>
    <phoneticPr fontId="2" type="noConversion"/>
  </si>
  <si>
    <t>24506M8501</t>
    <phoneticPr fontId="2" type="noConversion"/>
  </si>
  <si>
    <t>24502M8501</t>
    <phoneticPr fontId="2" type="noConversion"/>
  </si>
  <si>
    <t>24508M8501</t>
    <phoneticPr fontId="2" type="noConversion"/>
  </si>
  <si>
    <t>24513M8501</t>
    <phoneticPr fontId="2" type="noConversion"/>
  </si>
  <si>
    <t>24515M8501</t>
    <phoneticPr fontId="2" type="noConversion"/>
  </si>
  <si>
    <t>24519M8501</t>
    <phoneticPr fontId="2" type="noConversion"/>
  </si>
  <si>
    <t>4800329316/100</t>
    <phoneticPr fontId="2" type="noConversion"/>
  </si>
  <si>
    <t>4800329316/100</t>
    <phoneticPr fontId="2" type="noConversion"/>
  </si>
  <si>
    <t>24521M8501</t>
    <phoneticPr fontId="2" type="noConversion"/>
  </si>
  <si>
    <t>24523M8501</t>
    <phoneticPr fontId="2" type="noConversion"/>
  </si>
  <si>
    <t>24527M8501</t>
    <phoneticPr fontId="2" type="noConversion"/>
  </si>
  <si>
    <t>24529M8501</t>
    <phoneticPr fontId="2" type="noConversion"/>
  </si>
  <si>
    <t>4800329316/100</t>
    <phoneticPr fontId="2" type="noConversion"/>
  </si>
  <si>
    <t>4800329316/100</t>
    <phoneticPr fontId="2" type="noConversion"/>
  </si>
  <si>
    <t>4800329316/100</t>
    <phoneticPr fontId="2" type="noConversion"/>
  </si>
  <si>
    <t>4800322834/100</t>
    <phoneticPr fontId="2" type="noConversion"/>
  </si>
  <si>
    <t>(#19-20)</t>
    <phoneticPr fontId="2" type="noConversion"/>
  </si>
  <si>
    <t>(#13-18)</t>
    <phoneticPr fontId="2" type="noConversion"/>
  </si>
  <si>
    <t>4800338616/100</t>
    <phoneticPr fontId="2" type="noConversion"/>
  </si>
  <si>
    <r>
      <t>user:</t>
    </r>
    <r>
      <rPr>
        <sz val="10"/>
        <color theme="1"/>
        <rFont val="細明體"/>
        <family val="3"/>
        <charset val="136"/>
      </rPr>
      <t>李冠瑾</t>
    </r>
    <r>
      <rPr>
        <sz val="10"/>
        <color theme="1"/>
        <rFont val="Arial"/>
        <family val="2"/>
      </rPr>
      <t>(0963-855-419)</t>
    </r>
    <phoneticPr fontId="2" type="noConversion"/>
  </si>
  <si>
    <t>4800338616/100</t>
    <phoneticPr fontId="2" type="noConversion"/>
  </si>
  <si>
    <r>
      <rPr>
        <sz val="10"/>
        <color theme="1"/>
        <rFont val="細明體"/>
        <family val="3"/>
        <charset val="136"/>
      </rPr>
      <t>奇數桶庫房可收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看</t>
    </r>
    <r>
      <rPr>
        <sz val="10"/>
        <color theme="1"/>
        <rFont val="Arial"/>
        <family val="2"/>
      </rPr>
      <t>user</t>
    </r>
    <r>
      <rPr>
        <sz val="10"/>
        <color theme="1"/>
        <rFont val="細明體"/>
        <family val="3"/>
        <charset val="136"/>
      </rPr>
      <t>是否</t>
    </r>
    <r>
      <rPr>
        <sz val="10"/>
        <color theme="1"/>
        <rFont val="Arial"/>
        <family val="2"/>
      </rPr>
      <t>ok,T00</t>
    </r>
    <r>
      <rPr>
        <sz val="10"/>
        <color theme="1"/>
        <rFont val="細明體"/>
        <family val="3"/>
        <charset val="136"/>
      </rPr>
      <t>最大進貨量8桶兩板</t>
    </r>
    <phoneticPr fontId="2" type="noConversion"/>
  </si>
  <si>
    <t>4800338616/100</t>
    <phoneticPr fontId="2" type="noConversion"/>
  </si>
  <si>
    <t>25320M7601</t>
    <phoneticPr fontId="2" type="noConversion"/>
  </si>
  <si>
    <t>4800334702/100</t>
    <phoneticPr fontId="2" type="noConversion"/>
  </si>
  <si>
    <t>L1400251     NSE-115A, 200L/DRUM</t>
    <phoneticPr fontId="3" type="noConversion"/>
  </si>
  <si>
    <t>L1400251-T00     NSE-115A, 200L/DRUM</t>
    <phoneticPr fontId="3" type="noConversion"/>
  </si>
  <si>
    <t>4800338616/100</t>
    <phoneticPr fontId="2" type="noConversion"/>
  </si>
  <si>
    <t>24909M7601</t>
    <phoneticPr fontId="2" type="noConversion"/>
  </si>
  <si>
    <t>25813M7601</t>
    <phoneticPr fontId="2" type="noConversion"/>
  </si>
  <si>
    <t>4800338616/100</t>
    <phoneticPr fontId="2" type="noConversion"/>
  </si>
  <si>
    <t>4800338616/100</t>
    <phoneticPr fontId="2" type="noConversion"/>
  </si>
  <si>
    <r>
      <rPr>
        <sz val="10"/>
        <color rgb="FFFF0000"/>
        <rFont val="細明體"/>
        <family val="3"/>
        <charset val="136"/>
      </rPr>
      <t>指定桶號</t>
    </r>
    <r>
      <rPr>
        <sz val="10"/>
        <color rgb="FFFF0000"/>
        <rFont val="Arial"/>
        <family val="2"/>
      </rPr>
      <t>#5-8</t>
    </r>
    <phoneticPr fontId="2" type="noConversion"/>
  </si>
  <si>
    <r>
      <rPr>
        <sz val="10"/>
        <color rgb="FFFF0000"/>
        <rFont val="細明體"/>
        <family val="3"/>
        <charset val="136"/>
      </rPr>
      <t>指定桶號</t>
    </r>
    <r>
      <rPr>
        <sz val="10"/>
        <color rgb="FFFF0000"/>
        <rFont val="Arial"/>
        <family val="2"/>
      </rPr>
      <t>#17-18</t>
    </r>
    <phoneticPr fontId="2" type="noConversion"/>
  </si>
  <si>
    <r>
      <rPr>
        <sz val="10"/>
        <color rgb="FFFF0000"/>
        <rFont val="細明體"/>
        <family val="3"/>
        <charset val="136"/>
      </rPr>
      <t>指定桶號</t>
    </r>
    <r>
      <rPr>
        <sz val="10"/>
        <color rgb="FFFF0000"/>
        <rFont val="Arial"/>
        <family val="2"/>
      </rPr>
      <t>#19-20</t>
    </r>
    <phoneticPr fontId="2" type="noConversion"/>
  </si>
  <si>
    <t>4800356734/100</t>
    <phoneticPr fontId="2" type="noConversion"/>
  </si>
  <si>
    <r>
      <t>user:</t>
    </r>
    <r>
      <rPr>
        <sz val="10"/>
        <color theme="1"/>
        <rFont val="細明體"/>
        <family val="3"/>
        <charset val="136"/>
      </rPr>
      <t>李冠瑾</t>
    </r>
    <r>
      <rPr>
        <sz val="10"/>
        <color theme="1"/>
        <rFont val="Arial"/>
        <family val="2"/>
      </rPr>
      <t>(0963-855-419)</t>
    </r>
    <phoneticPr fontId="2" type="noConversion"/>
  </si>
  <si>
    <t>4800356734/100</t>
    <phoneticPr fontId="2" type="noConversion"/>
  </si>
  <si>
    <t>4800356734/100</t>
    <phoneticPr fontId="2" type="noConversion"/>
  </si>
  <si>
    <t>25B07M8201</t>
    <phoneticPr fontId="2" type="noConversion"/>
  </si>
  <si>
    <t>25B09M8201</t>
    <phoneticPr fontId="2" type="noConversion"/>
  </si>
  <si>
    <t>4800362253/200</t>
    <phoneticPr fontId="2" type="noConversion"/>
  </si>
  <si>
    <t>25B11M8201</t>
    <phoneticPr fontId="2" type="noConversion"/>
  </si>
  <si>
    <t>25B13M8201</t>
    <phoneticPr fontId="2" type="noConversion"/>
  </si>
  <si>
    <t>4800362693/100</t>
    <phoneticPr fontId="2" type="noConversion"/>
  </si>
  <si>
    <t>欲出貨24506M7601,須請業務通知倉庫換標(因標籤碼數)</t>
    <phoneticPr fontId="2" type="noConversion"/>
  </si>
  <si>
    <r>
      <t>12/19</t>
    </r>
    <r>
      <rPr>
        <sz val="10"/>
        <color theme="1"/>
        <rFont val="細明體"/>
        <family val="3"/>
        <charset val="136"/>
      </rPr>
      <t>修改25813M7601和25818M7601的循環時間3</t>
    </r>
    <phoneticPr fontId="2" type="noConversion"/>
  </si>
  <si>
    <t>退貨一板</t>
    <phoneticPr fontId="2" type="noConversion"/>
  </si>
  <si>
    <t>4505394848/200</t>
    <phoneticPr fontId="2" type="noConversion"/>
  </si>
  <si>
    <t>4505394848/300</t>
    <phoneticPr fontId="2" type="noConversion"/>
  </si>
  <si>
    <t>4800364568/200</t>
    <phoneticPr fontId="2" type="noConversion"/>
  </si>
  <si>
    <t>4800362693/100</t>
    <phoneticPr fontId="2" type="noConversion"/>
  </si>
  <si>
    <t>25320M7601</t>
    <phoneticPr fontId="2" type="noConversion"/>
  </si>
  <si>
    <t>25813M7601</t>
    <phoneticPr fontId="2" type="noConversion"/>
  </si>
  <si>
    <t>25818M7601</t>
    <phoneticPr fontId="2" type="noConversion"/>
  </si>
  <si>
    <t>25B09M8201</t>
    <phoneticPr fontId="2" type="noConversion"/>
  </si>
  <si>
    <t>4800362693/100</t>
    <phoneticPr fontId="2" type="noConversion"/>
  </si>
  <si>
    <t>4505394848/200</t>
    <phoneticPr fontId="2" type="noConversion"/>
  </si>
  <si>
    <t>25B11M8201</t>
    <phoneticPr fontId="2" type="noConversion"/>
  </si>
  <si>
    <t>25C15M8201</t>
    <phoneticPr fontId="2" type="noConversion"/>
  </si>
  <si>
    <t>25C17M8201</t>
    <phoneticPr fontId="2" type="noConversion"/>
  </si>
  <si>
    <t>25C19M8201</t>
    <phoneticPr fontId="2" type="noConversion"/>
  </si>
  <si>
    <t>25C21M8201</t>
    <phoneticPr fontId="2" type="noConversion"/>
  </si>
  <si>
    <t>25C23M8201</t>
    <phoneticPr fontId="2" type="noConversion"/>
  </si>
  <si>
    <t>25C26M8201</t>
    <phoneticPr fontId="2" type="noConversion"/>
  </si>
  <si>
    <t>25B09M8201</t>
    <phoneticPr fontId="2" type="noConversion"/>
  </si>
  <si>
    <t>25B11M8201</t>
    <phoneticPr fontId="2" type="noConversion"/>
  </si>
  <si>
    <t>餘#21-22</t>
    <phoneticPr fontId="2" type="noConversion"/>
  </si>
  <si>
    <t>4800364568/100</t>
    <phoneticPr fontId="2" type="noConversion"/>
  </si>
  <si>
    <t>餘20.75板</t>
    <phoneticPr fontId="2" type="noConversion"/>
  </si>
  <si>
    <t>餘7板</t>
    <phoneticPr fontId="2" type="noConversion"/>
  </si>
  <si>
    <t>4800362253/200</t>
    <phoneticPr fontId="2" type="noConversion"/>
  </si>
  <si>
    <t>4800362253/200</t>
    <phoneticPr fontId="2" type="noConversion"/>
  </si>
  <si>
    <t>4800364568/100</t>
    <phoneticPr fontId="2" type="noConversion"/>
  </si>
  <si>
    <t>4800364568/200</t>
    <phoneticPr fontId="2" type="noConversion"/>
  </si>
  <si>
    <t>25B13M8201</t>
    <phoneticPr fontId="2" type="noConversion"/>
  </si>
  <si>
    <t>25B15M8201</t>
    <phoneticPr fontId="2" type="noConversion"/>
  </si>
  <si>
    <t>4800364568/200</t>
    <phoneticPr fontId="2" type="noConversion"/>
  </si>
  <si>
    <t>25B13M8201</t>
    <phoneticPr fontId="2" type="noConversion"/>
  </si>
  <si>
    <t>25B15M8201</t>
    <phoneticPr fontId="2" type="noConversion"/>
  </si>
  <si>
    <t>25B19M8201</t>
    <phoneticPr fontId="2" type="noConversion"/>
  </si>
  <si>
    <t>25B17M8201</t>
    <phoneticPr fontId="2" type="noConversion"/>
  </si>
  <si>
    <t>4800365866/200</t>
    <phoneticPr fontId="2" type="noConversion"/>
  </si>
  <si>
    <t>4800364568/100</t>
    <phoneticPr fontId="2" type="noConversion"/>
  </si>
  <si>
    <t>4800364568/200</t>
    <phoneticPr fontId="2" type="noConversion"/>
  </si>
  <si>
    <t>4800365866/200</t>
    <phoneticPr fontId="2" type="noConversion"/>
  </si>
  <si>
    <t>25B17M8201</t>
    <phoneticPr fontId="2" type="noConversion"/>
  </si>
  <si>
    <t>25B19M8201</t>
    <phoneticPr fontId="2" type="noConversion"/>
  </si>
  <si>
    <t>4800366334/100</t>
    <phoneticPr fontId="2" type="noConversion"/>
  </si>
  <si>
    <t>4800366334/100</t>
    <phoneticPr fontId="2" type="noConversion"/>
  </si>
  <si>
    <t>4800366334/100</t>
    <phoneticPr fontId="2" type="noConversion"/>
  </si>
  <si>
    <t>4505394848/200</t>
    <phoneticPr fontId="2" type="noConversion"/>
  </si>
  <si>
    <t>25B17M8201</t>
    <phoneticPr fontId="2" type="noConversion"/>
  </si>
  <si>
    <t>25B19M8201</t>
    <phoneticPr fontId="2" type="noConversion"/>
  </si>
  <si>
    <t>25B21M8201</t>
    <phoneticPr fontId="2" type="noConversion"/>
  </si>
  <si>
    <t>25B19M8201</t>
    <phoneticPr fontId="2" type="noConversion"/>
  </si>
  <si>
    <t>4800366334/100</t>
    <phoneticPr fontId="2" type="noConversion"/>
  </si>
  <si>
    <t>25B21M8201</t>
    <phoneticPr fontId="2" type="noConversion"/>
  </si>
  <si>
    <t>25C28M8201</t>
    <phoneticPr fontId="2" type="noConversion"/>
  </si>
  <si>
    <t>25C30M8201</t>
    <phoneticPr fontId="2" type="noConversion"/>
  </si>
  <si>
    <t>26102M8201</t>
    <phoneticPr fontId="2" type="noConversion"/>
  </si>
  <si>
    <t>26104M8201</t>
    <phoneticPr fontId="2" type="noConversion"/>
  </si>
  <si>
    <t>26106M8201</t>
    <phoneticPr fontId="2" type="noConversion"/>
  </si>
  <si>
    <t>26108M8201</t>
    <phoneticPr fontId="2" type="noConversion"/>
  </si>
  <si>
    <t>26110M8201</t>
    <phoneticPr fontId="2" type="noConversion"/>
  </si>
  <si>
    <t>4800364568/100</t>
    <phoneticPr fontId="2" type="noConversion"/>
  </si>
  <si>
    <t>25B21M8201</t>
    <phoneticPr fontId="2" type="noConversion"/>
  </si>
  <si>
    <t>25B25M8201</t>
    <phoneticPr fontId="2" type="noConversion"/>
  </si>
  <si>
    <t>4800366334/100</t>
    <phoneticPr fontId="2" type="noConversion"/>
  </si>
  <si>
    <t>25B21M8201</t>
    <phoneticPr fontId="2" type="noConversion"/>
  </si>
  <si>
    <t>25B25M8201</t>
    <phoneticPr fontId="2" type="noConversion"/>
  </si>
  <si>
    <t>25B27M8201</t>
    <phoneticPr fontId="2" type="noConversion"/>
  </si>
  <si>
    <t>4800365866/200</t>
    <phoneticPr fontId="2" type="noConversion"/>
  </si>
  <si>
    <t>4800364568/100</t>
    <phoneticPr fontId="2" type="noConversion"/>
  </si>
  <si>
    <t>25B29M8201</t>
    <phoneticPr fontId="2" type="noConversion"/>
  </si>
  <si>
    <t>4800366932/100</t>
    <phoneticPr fontId="2" type="noConversion"/>
  </si>
  <si>
    <t>25B27M8201</t>
    <phoneticPr fontId="2" type="noConversion"/>
  </si>
  <si>
    <t>25B29M8201</t>
    <phoneticPr fontId="2" type="noConversion"/>
  </si>
  <si>
    <t>4800366334/100</t>
    <phoneticPr fontId="2" type="noConversion"/>
  </si>
  <si>
    <t>4505394848/200</t>
    <phoneticPr fontId="2" type="noConversion"/>
  </si>
  <si>
    <t>25B29M8201</t>
    <phoneticPr fontId="2" type="noConversion"/>
  </si>
  <si>
    <t>25C01M8201</t>
    <phoneticPr fontId="2" type="noConversion"/>
  </si>
  <si>
    <t>4800365866/200</t>
    <phoneticPr fontId="2" type="noConversion"/>
  </si>
  <si>
    <t>25C03M8201</t>
    <phoneticPr fontId="2" type="noConversion"/>
  </si>
  <si>
    <t>4800365866/200</t>
    <phoneticPr fontId="2" type="noConversion"/>
  </si>
  <si>
    <t>25C01M8201</t>
    <phoneticPr fontId="2" type="noConversion"/>
  </si>
  <si>
    <t>原測試料號改正式料號出貨</t>
    <phoneticPr fontId="2" type="noConversion"/>
  </si>
  <si>
    <t>4505394848/200</t>
    <phoneticPr fontId="2" type="noConversion"/>
  </si>
  <si>
    <t>26112M8201</t>
    <phoneticPr fontId="2" type="noConversion"/>
  </si>
  <si>
    <t>26114M8201</t>
    <phoneticPr fontId="2" type="noConversion"/>
  </si>
  <si>
    <t>26116M8201</t>
    <phoneticPr fontId="2" type="noConversion"/>
  </si>
  <si>
    <t>26118M8201</t>
    <phoneticPr fontId="2" type="noConversion"/>
  </si>
  <si>
    <t>26120M8201</t>
    <phoneticPr fontId="2" type="noConversion"/>
  </si>
  <si>
    <t>26122M8201</t>
    <phoneticPr fontId="2" type="noConversion"/>
  </si>
  <si>
    <t>4800366932/100</t>
    <phoneticPr fontId="2" type="noConversion"/>
  </si>
  <si>
    <t>25C03M8201</t>
    <phoneticPr fontId="2" type="noConversion"/>
  </si>
  <si>
    <t>25C03M8201</t>
    <phoneticPr fontId="2" type="noConversion"/>
  </si>
  <si>
    <t>25C05M8201</t>
    <phoneticPr fontId="2" type="noConversion"/>
  </si>
  <si>
    <t>25C05M8201</t>
    <phoneticPr fontId="2" type="noConversion"/>
  </si>
  <si>
    <t>25C07M8201</t>
    <phoneticPr fontId="2" type="noConversion"/>
  </si>
  <si>
    <t>25C05M8201</t>
    <phoneticPr fontId="2" type="noConversion"/>
  </si>
  <si>
    <t>25C07M8201</t>
    <phoneticPr fontId="2" type="noConversion"/>
  </si>
  <si>
    <t>4800366334/100</t>
    <phoneticPr fontId="2" type="noConversion"/>
  </si>
  <si>
    <t>25C07M8201</t>
    <phoneticPr fontId="2" type="noConversion"/>
  </si>
  <si>
    <t>25C09M8201</t>
    <phoneticPr fontId="2" type="noConversion"/>
  </si>
  <si>
    <t>26126M8201</t>
    <phoneticPr fontId="2" type="noConversion"/>
  </si>
  <si>
    <t>26128M8201</t>
    <phoneticPr fontId="2" type="noConversion"/>
  </si>
  <si>
    <t>26130M8201</t>
    <phoneticPr fontId="2" type="noConversion"/>
  </si>
  <si>
    <t>25C09M8201</t>
    <phoneticPr fontId="2" type="noConversion"/>
  </si>
  <si>
    <t>25C11M8201</t>
    <phoneticPr fontId="2" type="noConversion"/>
  </si>
  <si>
    <t>4800365866/200</t>
    <phoneticPr fontId="2" type="noConversion"/>
  </si>
  <si>
    <t>25C11M8201</t>
    <phoneticPr fontId="2" type="noConversion"/>
  </si>
  <si>
    <t>24529M8501</t>
    <phoneticPr fontId="2" type="noConversion"/>
  </si>
  <si>
    <t>25C11M8201</t>
    <phoneticPr fontId="2" type="noConversion"/>
  </si>
  <si>
    <t>25C13M8201</t>
    <phoneticPr fontId="2" type="noConversion"/>
  </si>
  <si>
    <t>25C13M8201</t>
    <phoneticPr fontId="2" type="noConversion"/>
  </si>
  <si>
    <t>25C15M8201</t>
    <phoneticPr fontId="2" type="noConversion"/>
  </si>
  <si>
    <t>25C15M8201</t>
    <phoneticPr fontId="2" type="noConversion"/>
  </si>
  <si>
    <t>4800365866/200</t>
    <phoneticPr fontId="2" type="noConversion"/>
  </si>
  <si>
    <t>4800365866/200</t>
    <phoneticPr fontId="2" type="noConversion"/>
  </si>
  <si>
    <t>4800365866/200</t>
    <phoneticPr fontId="2" type="noConversion"/>
  </si>
  <si>
    <t>4800366334/100</t>
    <phoneticPr fontId="2" type="noConversion"/>
  </si>
  <si>
    <t>4800366932/100</t>
    <phoneticPr fontId="2" type="noConversion"/>
  </si>
  <si>
    <t>4800365866/200</t>
    <phoneticPr fontId="2" type="noConversion"/>
  </si>
  <si>
    <t>25C17M8201</t>
    <phoneticPr fontId="2" type="noConversion"/>
  </si>
  <si>
    <t>25C19M8201</t>
    <phoneticPr fontId="2" type="noConversion"/>
  </si>
  <si>
    <t>26201M8201</t>
    <phoneticPr fontId="2" type="noConversion"/>
  </si>
  <si>
    <t>25C24M7601</t>
    <phoneticPr fontId="2" type="noConversion"/>
  </si>
  <si>
    <t>4800356734/100</t>
    <phoneticPr fontId="2" type="noConversion"/>
  </si>
  <si>
    <t>4800338616/100</t>
    <phoneticPr fontId="2" type="noConversion"/>
  </si>
  <si>
    <t>4800366334/100</t>
    <phoneticPr fontId="2" type="noConversion"/>
  </si>
  <si>
    <t>4800334702/100</t>
    <phoneticPr fontId="2" type="noConversion"/>
  </si>
  <si>
    <t>25C21M8201</t>
    <phoneticPr fontId="2" type="noConversion"/>
  </si>
  <si>
    <t>25C19M8201</t>
    <phoneticPr fontId="2" type="noConversion"/>
  </si>
  <si>
    <t>4800365866/200</t>
    <phoneticPr fontId="2" type="noConversion"/>
  </si>
  <si>
    <t>26203M8201</t>
    <phoneticPr fontId="2" type="noConversion"/>
  </si>
  <si>
    <t>25C24M7601</t>
    <phoneticPr fontId="2" type="noConversion"/>
  </si>
  <si>
    <t>25C29M7601</t>
    <phoneticPr fontId="2" type="noConversion"/>
  </si>
  <si>
    <t>4800334702/100</t>
    <phoneticPr fontId="2" type="noConversion"/>
  </si>
  <si>
    <t>4800365866/200</t>
    <phoneticPr fontId="2" type="noConversion"/>
  </si>
  <si>
    <t>26205M8201</t>
    <phoneticPr fontId="2" type="noConversion"/>
  </si>
  <si>
    <t>4800366334/100</t>
    <phoneticPr fontId="2" type="noConversion"/>
  </si>
  <si>
    <t>4800366932/100</t>
    <phoneticPr fontId="2" type="noConversion"/>
  </si>
  <si>
    <t>25C30M8201</t>
    <phoneticPr fontId="2" type="noConversion"/>
  </si>
  <si>
    <t>26209M8201</t>
    <phoneticPr fontId="2" type="noConversion"/>
  </si>
  <si>
    <t>4800366334/100</t>
    <phoneticPr fontId="2" type="noConversion"/>
  </si>
  <si>
    <t>26211M8201</t>
    <phoneticPr fontId="2" type="noConversion"/>
  </si>
  <si>
    <t>26102M8201</t>
    <phoneticPr fontId="2" type="noConversion"/>
  </si>
  <si>
    <t>4800365866/200</t>
    <phoneticPr fontId="2" type="noConversion"/>
  </si>
  <si>
    <t>26213M8201</t>
    <phoneticPr fontId="2" type="noConversion"/>
  </si>
  <si>
    <t>Pre Use</t>
  </si>
  <si>
    <t>25C31M7601</t>
    <phoneticPr fontId="2" type="noConversion"/>
  </si>
  <si>
    <t>26105M7601</t>
    <phoneticPr fontId="2" type="noConversion"/>
  </si>
  <si>
    <t>4800365866/200</t>
    <phoneticPr fontId="2" type="noConversion"/>
  </si>
  <si>
    <t>26215M8201</t>
    <phoneticPr fontId="2" type="noConversion"/>
  </si>
  <si>
    <t>26220M8201</t>
    <phoneticPr fontId="2" type="noConversion"/>
  </si>
  <si>
    <t>26223M8201</t>
    <phoneticPr fontId="2" type="noConversion"/>
  </si>
  <si>
    <t>26225M8201</t>
    <phoneticPr fontId="2" type="noConversion"/>
  </si>
  <si>
    <t>26227M8201</t>
    <phoneticPr fontId="2" type="noConversion"/>
  </si>
  <si>
    <t>26302M8201</t>
    <phoneticPr fontId="2" type="noConversion"/>
  </si>
  <si>
    <t>26304M8201</t>
    <phoneticPr fontId="2" type="noConversion"/>
  </si>
  <si>
    <t>26108M8201</t>
    <phoneticPr fontId="2" type="noConversion"/>
  </si>
  <si>
    <t>4800370436/100</t>
  </si>
  <si>
    <t>4800370436/100</t>
    <phoneticPr fontId="2" type="noConversion"/>
  </si>
  <si>
    <t>26106M8201</t>
    <phoneticPr fontId="2" type="noConversion"/>
  </si>
  <si>
    <t>26108M8201</t>
    <phoneticPr fontId="2" type="noConversion"/>
  </si>
  <si>
    <t>4800366334/100</t>
    <phoneticPr fontId="2" type="noConversion"/>
  </si>
  <si>
    <t>4800370436/100</t>
    <phoneticPr fontId="2" type="noConversion"/>
  </si>
  <si>
    <t>26107M7601</t>
    <phoneticPr fontId="2" type="noConversion"/>
  </si>
  <si>
    <t>26109M7601</t>
    <phoneticPr fontId="2" type="noConversion"/>
  </si>
  <si>
    <t>26306M8201</t>
    <phoneticPr fontId="2" type="noConversion"/>
  </si>
  <si>
    <t>26311M8201</t>
    <phoneticPr fontId="2" type="noConversion"/>
  </si>
  <si>
    <t>26313M8201</t>
    <phoneticPr fontId="2" type="noConversion"/>
  </si>
  <si>
    <t>4800366932/100</t>
    <phoneticPr fontId="2" type="noConversion"/>
  </si>
  <si>
    <t>26112M8201</t>
    <phoneticPr fontId="2" type="noConversion"/>
  </si>
  <si>
    <t>4800366334/100</t>
    <phoneticPr fontId="2" type="noConversion"/>
  </si>
  <si>
    <t>4505394848/200</t>
    <phoneticPr fontId="2" type="noConversion"/>
  </si>
  <si>
    <t>26317M8201</t>
    <phoneticPr fontId="2" type="noConversion"/>
  </si>
  <si>
    <t>26319M8201</t>
    <phoneticPr fontId="2" type="noConversion"/>
  </si>
  <si>
    <t>4800366932/100</t>
    <phoneticPr fontId="2" type="noConversion"/>
  </si>
  <si>
    <t>4505394848/100</t>
    <phoneticPr fontId="2" type="noConversion"/>
  </si>
  <si>
    <r>
      <t>15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P5</t>
    </r>
    <phoneticPr fontId="3" type="noConversion"/>
  </si>
  <si>
    <t>4800366334/100</t>
    <phoneticPr fontId="2" type="noConversion"/>
  </si>
  <si>
    <t>4505394848/100</t>
    <phoneticPr fontId="2" type="noConversion"/>
  </si>
  <si>
    <t>4800370436/100</t>
    <phoneticPr fontId="2" type="noConversion"/>
  </si>
  <si>
    <t>26323M8201</t>
    <phoneticPr fontId="2" type="noConversion"/>
  </si>
  <si>
    <t>26325M8201</t>
    <phoneticPr fontId="2" type="noConversion"/>
  </si>
  <si>
    <t>26327M8201</t>
    <phoneticPr fontId="2" type="noConversion"/>
  </si>
  <si>
    <t>4800367140/200</t>
    <phoneticPr fontId="2" type="noConversion"/>
  </si>
  <si>
    <t>4800367140/200</t>
    <phoneticPr fontId="2" type="noConversion"/>
  </si>
  <si>
    <t>4800366932/100</t>
    <phoneticPr fontId="2" type="noConversion"/>
  </si>
  <si>
    <t>26122M8201</t>
    <phoneticPr fontId="2" type="noConversion"/>
  </si>
  <si>
    <t>26126M8201</t>
    <phoneticPr fontId="2" type="noConversion"/>
  </si>
  <si>
    <t>26128M8201</t>
    <phoneticPr fontId="2" type="noConversion"/>
  </si>
  <si>
    <t>4800367140/200</t>
    <phoneticPr fontId="2" type="noConversion"/>
  </si>
  <si>
    <t>4800366334/100</t>
    <phoneticPr fontId="2" type="noConversion"/>
  </si>
  <si>
    <t>4800367140/200</t>
    <phoneticPr fontId="2" type="noConversion"/>
  </si>
  <si>
    <t>26128M8201</t>
    <phoneticPr fontId="2" type="noConversion"/>
  </si>
  <si>
    <t>26130M8201</t>
    <phoneticPr fontId="2" type="noConversion"/>
  </si>
  <si>
    <t>26201M8201</t>
    <phoneticPr fontId="2" type="noConversion"/>
  </si>
  <si>
    <t>4800370436/100</t>
    <phoneticPr fontId="2" type="noConversion"/>
  </si>
  <si>
    <t>4800366334/100</t>
    <phoneticPr fontId="2" type="noConversion"/>
  </si>
  <si>
    <t>26407M8201</t>
    <phoneticPr fontId="2" type="noConversion"/>
  </si>
  <si>
    <t>26409M8201</t>
    <phoneticPr fontId="2" type="noConversion"/>
  </si>
  <si>
    <t>26411M8201</t>
    <phoneticPr fontId="2" type="noConversion"/>
  </si>
  <si>
    <t>4800370436/100</t>
    <phoneticPr fontId="2" type="noConversion"/>
  </si>
  <si>
    <t>26205M8201</t>
    <phoneticPr fontId="2" type="noConversion"/>
  </si>
  <si>
    <t>4800367140/200</t>
    <phoneticPr fontId="2" type="noConversion"/>
  </si>
  <si>
    <t>4800366334/100</t>
    <phoneticPr fontId="2" type="noConversion"/>
  </si>
  <si>
    <t>4800374093/100</t>
    <phoneticPr fontId="2" type="noConversion"/>
  </si>
  <si>
    <t>26215M8201</t>
    <phoneticPr fontId="2" type="noConversion"/>
  </si>
  <si>
    <t>26413M8201</t>
    <phoneticPr fontId="2" type="noConversion"/>
  </si>
  <si>
    <t>26415M8201</t>
    <phoneticPr fontId="2" type="noConversion"/>
  </si>
  <si>
    <t>26417M8201</t>
    <phoneticPr fontId="2" type="noConversion"/>
  </si>
  <si>
    <t>26420M8201</t>
    <phoneticPr fontId="2" type="noConversion"/>
  </si>
  <si>
    <t>26422M8201</t>
    <phoneticPr fontId="2" type="noConversion"/>
  </si>
  <si>
    <t>26424M8201</t>
    <phoneticPr fontId="2" type="noConversion"/>
  </si>
  <si>
    <t>26220M8201</t>
    <phoneticPr fontId="2" type="noConversion"/>
  </si>
  <si>
    <t>4800374093/100</t>
    <phoneticPr fontId="2" type="noConversion"/>
  </si>
  <si>
    <t>4800367140/200</t>
    <phoneticPr fontId="2" type="noConversion"/>
  </si>
  <si>
    <t>4800374743/100</t>
  </si>
  <si>
    <t>4800374743/100</t>
    <phoneticPr fontId="2" type="noConversion"/>
  </si>
  <si>
    <t>26428M8201</t>
    <phoneticPr fontId="2" type="noConversion"/>
  </si>
  <si>
    <t>4800374743/100</t>
    <phoneticPr fontId="2" type="noConversion"/>
  </si>
  <si>
    <t>26227M8201</t>
    <phoneticPr fontId="2" type="noConversion"/>
  </si>
  <si>
    <t>26302M8201</t>
    <phoneticPr fontId="2" type="noConversion"/>
  </si>
  <si>
    <t>26304M8201</t>
    <phoneticPr fontId="2" type="noConversion"/>
  </si>
  <si>
    <t>4800374093/100</t>
    <phoneticPr fontId="2" type="noConversion"/>
  </si>
  <si>
    <t>26302M8201</t>
    <phoneticPr fontId="2" type="noConversion"/>
  </si>
  <si>
    <t>26304M8201</t>
    <phoneticPr fontId="2" type="noConversion"/>
  </si>
  <si>
    <t>4800374743/100</t>
    <phoneticPr fontId="2" type="noConversion"/>
  </si>
  <si>
    <t>26506M8201</t>
    <phoneticPr fontId="2" type="noConversion"/>
  </si>
  <si>
    <t>26508M8201</t>
    <phoneticPr fontId="2" type="noConversion"/>
  </si>
  <si>
    <t>26304M8201</t>
    <phoneticPr fontId="2" type="noConversion"/>
  </si>
  <si>
    <t>26306M8201</t>
    <phoneticPr fontId="2" type="noConversion"/>
  </si>
  <si>
    <t>4800367140/200</t>
    <phoneticPr fontId="2" type="noConversion"/>
  </si>
  <si>
    <t>26311M8201</t>
    <phoneticPr fontId="2" type="noConversion"/>
  </si>
  <si>
    <t>4800374743/100</t>
    <phoneticPr fontId="2" type="noConversion"/>
  </si>
  <si>
    <t>26313M8201</t>
    <phoneticPr fontId="2" type="noConversion"/>
  </si>
  <si>
    <t>4800374093/100</t>
    <phoneticPr fontId="2" type="noConversion"/>
  </si>
  <si>
    <t>26311M8201</t>
    <phoneticPr fontId="2" type="noConversion"/>
  </si>
  <si>
    <t>26313M8201</t>
    <phoneticPr fontId="2" type="noConversion"/>
  </si>
  <si>
    <t>26511M8201</t>
    <phoneticPr fontId="2" type="noConversion"/>
  </si>
  <si>
    <t>26513M8201</t>
    <phoneticPr fontId="2" type="noConversion"/>
  </si>
  <si>
    <t>26515M8201</t>
    <phoneticPr fontId="2" type="noConversion"/>
  </si>
  <si>
    <t>4800374743/100</t>
    <phoneticPr fontId="2" type="noConversion"/>
  </si>
  <si>
    <t>4800374743/100</t>
    <phoneticPr fontId="2" type="noConversion"/>
  </si>
  <si>
    <t>4800374093/100</t>
    <phoneticPr fontId="2" type="noConversion"/>
  </si>
  <si>
    <t>26407M8201</t>
    <phoneticPr fontId="2" type="noConversion"/>
  </si>
  <si>
    <t>26409M8201</t>
    <phoneticPr fontId="2" type="noConversion"/>
  </si>
  <si>
    <t>4800374093/100</t>
    <phoneticPr fontId="2" type="noConversion"/>
  </si>
  <si>
    <t>26518M8201</t>
    <phoneticPr fontId="2" type="noConversion"/>
  </si>
  <si>
    <t>26520M8201</t>
    <phoneticPr fontId="2" type="noConversion"/>
  </si>
  <si>
    <t>26522M8201</t>
    <phoneticPr fontId="2" type="noConversion"/>
  </si>
  <si>
    <t>4800374743/100</t>
    <phoneticPr fontId="2" type="noConversion"/>
  </si>
  <si>
    <t>4800377807/100</t>
    <phoneticPr fontId="2" type="noConversion"/>
  </si>
  <si>
    <t>4800374093/100</t>
    <phoneticPr fontId="2" type="noConversion"/>
  </si>
  <si>
    <t>26420M8201</t>
    <phoneticPr fontId="2" type="noConversion"/>
  </si>
  <si>
    <t>4800374743/100</t>
    <phoneticPr fontId="2" type="noConversion"/>
  </si>
  <si>
    <t>4800377807/100</t>
    <phoneticPr fontId="2" type="noConversion"/>
  </si>
  <si>
    <t>26511M8201</t>
    <phoneticPr fontId="2" type="noConversion"/>
  </si>
  <si>
    <t>26525M8201</t>
    <phoneticPr fontId="2" type="noConversion"/>
  </si>
  <si>
    <t>26527M8201</t>
    <phoneticPr fontId="2" type="noConversion"/>
  </si>
  <si>
    <t>26529M8201</t>
    <phoneticPr fontId="2" type="noConversion"/>
  </si>
  <si>
    <t>26508M8201</t>
    <phoneticPr fontId="2" type="noConversion"/>
  </si>
  <si>
    <t>26511M8201</t>
    <phoneticPr fontId="2" type="noConversion"/>
  </si>
  <si>
    <t>4800378398/100</t>
    <phoneticPr fontId="2" type="noConversion"/>
  </si>
  <si>
    <t>4800367140/200</t>
    <phoneticPr fontId="2" type="noConversion"/>
  </si>
  <si>
    <t>4800377807/100</t>
    <phoneticPr fontId="2" type="noConversion"/>
  </si>
  <si>
    <t>4800374743/100</t>
    <phoneticPr fontId="2" type="noConversion"/>
  </si>
  <si>
    <t>4800374743/100</t>
    <phoneticPr fontId="2" type="noConversion"/>
  </si>
  <si>
    <t>L140025     NSE-115, 200L/drum</t>
    <phoneticPr fontId="3" type="noConversion"/>
  </si>
  <si>
    <t>26515M8201</t>
    <phoneticPr fontId="2" type="noConversion"/>
  </si>
  <si>
    <t>26518M8201</t>
    <phoneticPr fontId="2" type="noConversion"/>
  </si>
  <si>
    <t>26601M8201</t>
    <phoneticPr fontId="2" type="noConversion"/>
  </si>
  <si>
    <t>26603M8201</t>
    <phoneticPr fontId="2" type="noConversion"/>
  </si>
  <si>
    <t>26605M8201</t>
    <phoneticPr fontId="2" type="noConversion"/>
  </si>
  <si>
    <t>4800377807/100</t>
    <phoneticPr fontId="2" type="noConversion"/>
  </si>
  <si>
    <t>4800378398/100</t>
    <phoneticPr fontId="2" type="noConversion"/>
  </si>
  <si>
    <t>4800378987/100</t>
    <phoneticPr fontId="2" type="noConversion"/>
  </si>
  <si>
    <t>4800374743/100</t>
    <phoneticPr fontId="2" type="noConversion"/>
  </si>
  <si>
    <t>4800378987/100</t>
    <phoneticPr fontId="2" type="noConversion"/>
  </si>
  <si>
    <t>4800377807/100</t>
    <phoneticPr fontId="2" type="noConversion"/>
  </si>
  <si>
    <t>26518M8201</t>
    <phoneticPr fontId="2" type="noConversion"/>
  </si>
  <si>
    <t>26608M8201</t>
    <phoneticPr fontId="2" type="noConversion"/>
  </si>
  <si>
    <t>26610M8201</t>
    <phoneticPr fontId="2" type="noConversion"/>
  </si>
  <si>
    <t>26612M8201</t>
    <phoneticPr fontId="2" type="noConversion"/>
  </si>
  <si>
    <t>26614M8201</t>
    <phoneticPr fontId="2" type="noConversion"/>
  </si>
  <si>
    <t>4800378398/100</t>
    <phoneticPr fontId="2" type="noConversion"/>
  </si>
  <si>
    <t>26525M8201</t>
    <phoneticPr fontId="2" type="noConversion"/>
  </si>
  <si>
    <t>4800377807/100</t>
    <phoneticPr fontId="2" type="noConversion"/>
  </si>
  <si>
    <t>4800377807/100</t>
    <phoneticPr fontId="2" type="noConversion"/>
  </si>
  <si>
    <t>26522M8201</t>
    <phoneticPr fontId="2" type="noConversion"/>
  </si>
  <si>
    <t>4800378987/100</t>
    <phoneticPr fontId="2" type="noConversion"/>
  </si>
  <si>
    <t>26522M8201</t>
    <phoneticPr fontId="2" type="noConversion"/>
  </si>
  <si>
    <t>4800377807/100</t>
    <phoneticPr fontId="2" type="noConversion"/>
  </si>
  <si>
    <t>26529M8201</t>
    <phoneticPr fontId="2" type="noConversion"/>
  </si>
  <si>
    <t>26527M8201</t>
    <phoneticPr fontId="2" type="noConversion"/>
  </si>
  <si>
    <t>26616M8201</t>
    <phoneticPr fontId="2" type="noConversion"/>
  </si>
  <si>
    <t>26622M8201</t>
    <phoneticPr fontId="2" type="noConversion"/>
  </si>
  <si>
    <t>4800378398/100</t>
    <phoneticPr fontId="2" type="noConversion"/>
  </si>
  <si>
    <t>26601M8201</t>
    <phoneticPr fontId="2" type="noConversion"/>
  </si>
  <si>
    <t>26529M8201</t>
    <phoneticPr fontId="2" type="noConversion"/>
  </si>
  <si>
    <t>4800377807/100</t>
    <phoneticPr fontId="2" type="noConversion"/>
  </si>
  <si>
    <t>4800378987/100</t>
    <phoneticPr fontId="2" type="noConversion"/>
  </si>
  <si>
    <t>26603M8201</t>
    <phoneticPr fontId="2" type="noConversion"/>
  </si>
  <si>
    <t>26624M8201</t>
    <phoneticPr fontId="2" type="noConversion"/>
  </si>
  <si>
    <t>26626M8201</t>
    <phoneticPr fontId="2" type="noConversion"/>
  </si>
  <si>
    <t>26608M8201</t>
    <phoneticPr fontId="2" type="noConversion"/>
  </si>
  <si>
    <t>4800378398/100</t>
    <phoneticPr fontId="2" type="noConversion"/>
  </si>
  <si>
    <t>4800378398/100</t>
    <phoneticPr fontId="2" type="noConversion"/>
  </si>
  <si>
    <t>4800377807/100</t>
    <phoneticPr fontId="2" type="noConversion"/>
  </si>
  <si>
    <t>4800378398/100</t>
    <phoneticPr fontId="2" type="noConversion"/>
  </si>
  <si>
    <t>4800378398/100</t>
    <phoneticPr fontId="2" type="noConversion"/>
  </si>
  <si>
    <t>4800378987/100</t>
    <phoneticPr fontId="2" type="noConversion"/>
  </si>
  <si>
    <t>26608M8201</t>
    <phoneticPr fontId="2" type="noConversion"/>
  </si>
  <si>
    <t>26610M8201</t>
    <phoneticPr fontId="2" type="noConversion"/>
  </si>
  <si>
    <t>26610M8201</t>
    <phoneticPr fontId="2" type="noConversion"/>
  </si>
  <si>
    <t>26629M8201</t>
    <phoneticPr fontId="2" type="noConversion"/>
  </si>
  <si>
    <t>26701M8201</t>
    <phoneticPr fontId="2" type="noConversion"/>
  </si>
  <si>
    <t>26703M8201</t>
    <phoneticPr fontId="2" type="noConversion"/>
  </si>
  <si>
    <t>26614M8201</t>
    <phoneticPr fontId="2" type="noConversion"/>
  </si>
  <si>
    <t>4800378987/100</t>
    <phoneticPr fontId="2" type="noConversion"/>
  </si>
  <si>
    <t>26708M8201</t>
    <phoneticPr fontId="2" type="noConversion"/>
  </si>
  <si>
    <t>26710M8201</t>
    <phoneticPr fontId="2" type="noConversion"/>
  </si>
  <si>
    <t>4800383893/100</t>
  </si>
  <si>
    <t>4800383893/100</t>
    <phoneticPr fontId="2" type="noConversion"/>
  </si>
  <si>
    <t>4800378398/100</t>
    <phoneticPr fontId="2" type="noConversion"/>
  </si>
  <si>
    <t>26616M8201</t>
    <phoneticPr fontId="2" type="noConversion"/>
  </si>
  <si>
    <t>4800383893/100</t>
    <phoneticPr fontId="2" type="noConversion"/>
  </si>
  <si>
    <t>26616M8201</t>
    <phoneticPr fontId="2" type="noConversion"/>
  </si>
  <si>
    <t>4800383893/100</t>
    <phoneticPr fontId="2" type="noConversion"/>
  </si>
  <si>
    <t>26706M8201</t>
    <phoneticPr fontId="2" type="noConversion"/>
  </si>
  <si>
    <t>4800384028/100</t>
    <phoneticPr fontId="2" type="noConversion"/>
  </si>
  <si>
    <t>26622M8201</t>
    <phoneticPr fontId="2" type="noConversion"/>
  </si>
  <si>
    <t>4800377807/100</t>
    <phoneticPr fontId="2" type="noConversion"/>
  </si>
  <si>
    <t>4800380890/200</t>
    <phoneticPr fontId="2" type="noConversion"/>
  </si>
  <si>
    <t>4800380890/200</t>
    <phoneticPr fontId="2" type="noConversion"/>
  </si>
  <si>
    <t>26624M8201</t>
    <phoneticPr fontId="2" type="noConversion"/>
  </si>
  <si>
    <t>26626M8201</t>
    <phoneticPr fontId="2" type="noConversion"/>
  </si>
  <si>
    <t>26713M8201</t>
    <phoneticPr fontId="2" type="noConversion"/>
  </si>
  <si>
    <t>26715M8201</t>
    <phoneticPr fontId="2" type="noConversion"/>
  </si>
  <si>
    <t>26717M8201</t>
    <phoneticPr fontId="2" type="noConversion"/>
  </si>
  <si>
    <t>26629M8201</t>
    <phoneticPr fontId="2" type="noConversion"/>
  </si>
  <si>
    <t>4800384028/100</t>
    <phoneticPr fontId="2" type="noConversion"/>
  </si>
  <si>
    <t>4800384028/100</t>
    <phoneticPr fontId="2" type="noConversion"/>
  </si>
  <si>
    <t>26626M8201</t>
    <phoneticPr fontId="2" type="noConversion"/>
  </si>
  <si>
    <t>26701M8201</t>
  </si>
  <si>
    <t>4800378987/100</t>
    <phoneticPr fontId="2" type="noConversion"/>
  </si>
  <si>
    <t>26629M8201</t>
    <phoneticPr fontId="2" type="noConversion"/>
  </si>
  <si>
    <t>4800380890/200</t>
    <phoneticPr fontId="2" type="noConversion"/>
  </si>
  <si>
    <t>26701M8201</t>
    <phoneticPr fontId="2" type="noConversion"/>
  </si>
  <si>
    <t>26703M8201</t>
    <phoneticPr fontId="2" type="noConversion"/>
  </si>
  <si>
    <t>26720M8201</t>
    <phoneticPr fontId="2" type="noConversion"/>
  </si>
  <si>
    <t>26722M8201</t>
    <phoneticPr fontId="2" type="noConversion"/>
  </si>
  <si>
    <t>26724M8201</t>
    <phoneticPr fontId="2" type="noConversion"/>
  </si>
  <si>
    <t>4800378987/100</t>
    <phoneticPr fontId="2" type="noConversion"/>
  </si>
  <si>
    <t>4800384596/100</t>
    <phoneticPr fontId="2" type="noConversion"/>
  </si>
  <si>
    <t>4800380890/200</t>
    <phoneticPr fontId="2" type="noConversion"/>
  </si>
  <si>
    <t>26727M8201</t>
    <phoneticPr fontId="2" type="noConversion"/>
  </si>
  <si>
    <t>26729M8201</t>
    <phoneticPr fontId="2" type="noConversion"/>
  </si>
  <si>
    <t>26731M8201</t>
    <phoneticPr fontId="2" type="noConversion"/>
  </si>
  <si>
    <t>26715M8201</t>
  </si>
  <si>
    <t>26717M8201</t>
    <phoneticPr fontId="2" type="noConversion"/>
  </si>
  <si>
    <t>26715M8201</t>
    <phoneticPr fontId="2" type="noConversion"/>
  </si>
  <si>
    <t>4800380890/200</t>
    <phoneticPr fontId="2" type="noConversion"/>
  </si>
  <si>
    <t>4800384596/100</t>
    <phoneticPr fontId="2" type="noConversion"/>
  </si>
  <si>
    <t>4800384596/100</t>
    <phoneticPr fontId="2" type="noConversion"/>
  </si>
  <si>
    <t>26713M8201</t>
    <phoneticPr fontId="2" type="noConversion"/>
  </si>
  <si>
    <t>26717M8201</t>
    <phoneticPr fontId="2" type="noConversion"/>
  </si>
  <si>
    <t>26805M8201</t>
    <phoneticPr fontId="2" type="noConversion"/>
  </si>
  <si>
    <t>26807M8201</t>
    <phoneticPr fontId="2" type="noConversion"/>
  </si>
  <si>
    <t>4800384028/100</t>
    <phoneticPr fontId="2" type="noConversion"/>
  </si>
  <si>
    <t>26803M8201</t>
    <phoneticPr fontId="2" type="noConversion"/>
  </si>
  <si>
    <t>26731M8201</t>
    <phoneticPr fontId="2" type="noConversion"/>
  </si>
  <si>
    <t>26720M8201</t>
    <phoneticPr fontId="2" type="noConversion"/>
  </si>
  <si>
    <t>26722M8201</t>
    <phoneticPr fontId="2" type="noConversion"/>
  </si>
  <si>
    <t>4800384596/100</t>
    <phoneticPr fontId="2" type="noConversion"/>
  </si>
  <si>
    <t>26810M8201</t>
    <phoneticPr fontId="2" type="noConversion"/>
  </si>
  <si>
    <t>26812M8201</t>
    <phoneticPr fontId="2" type="noConversion"/>
  </si>
  <si>
    <t>26814M8201</t>
    <phoneticPr fontId="2" type="noConversion"/>
  </si>
  <si>
    <t>4800384028/100</t>
    <phoneticPr fontId="2" type="noConversion"/>
  </si>
  <si>
    <t>26731M8201</t>
    <phoneticPr fontId="2" type="noConversion"/>
  </si>
  <si>
    <t>4800380890/200</t>
    <phoneticPr fontId="2" type="noConversion"/>
  </si>
  <si>
    <t>26722M8201</t>
    <phoneticPr fontId="2" type="noConversion"/>
  </si>
  <si>
    <t>26729M8201</t>
    <phoneticPr fontId="2" type="noConversion"/>
  </si>
  <si>
    <t>4800384596/100</t>
    <phoneticPr fontId="2" type="noConversion"/>
  </si>
  <si>
    <t>26817M8201</t>
    <phoneticPr fontId="2" type="noConversion"/>
  </si>
  <si>
    <t>26819M8201</t>
    <phoneticPr fontId="2" type="noConversion"/>
  </si>
  <si>
    <t>4800384596/100</t>
    <phoneticPr fontId="2" type="noConversion"/>
  </si>
  <si>
    <t>26803M8201</t>
    <phoneticPr fontId="2" type="noConversion"/>
  </si>
  <si>
    <t>26805M8201</t>
    <phoneticPr fontId="2" type="noConversion"/>
  </si>
  <si>
    <t>4800380890/200</t>
    <phoneticPr fontId="2" type="noConversion"/>
  </si>
  <si>
    <t>4800388104/100</t>
    <phoneticPr fontId="2" type="noConversion"/>
  </si>
  <si>
    <t>4800388123/100</t>
    <phoneticPr fontId="2" type="noConversion"/>
  </si>
  <si>
    <t>26807M8201</t>
    <phoneticPr fontId="2" type="noConversion"/>
  </si>
  <si>
    <t>4800384596/100</t>
    <phoneticPr fontId="2" type="noConversion"/>
  </si>
  <si>
    <t>26810M8201</t>
    <phoneticPr fontId="2" type="noConversion"/>
  </si>
  <si>
    <t>26824M8201</t>
    <phoneticPr fontId="2" type="noConversion"/>
  </si>
  <si>
    <t>26828M8201</t>
    <phoneticPr fontId="2" type="noConversion"/>
  </si>
  <si>
    <t>4800388123/100</t>
    <phoneticPr fontId="2" type="noConversion"/>
  </si>
  <si>
    <t>4800388123/100</t>
    <phoneticPr fontId="2" type="noConversion"/>
  </si>
  <si>
    <t>4800388123/100</t>
    <phoneticPr fontId="2" type="noConversion"/>
  </si>
  <si>
    <t>26812M8201</t>
    <phoneticPr fontId="2" type="noConversion"/>
  </si>
  <si>
    <t>26814M8201</t>
    <phoneticPr fontId="2" type="noConversion"/>
  </si>
  <si>
    <t>4800388104/100</t>
    <phoneticPr fontId="2" type="noConversion"/>
  </si>
  <si>
    <t>4505394848/200</t>
    <phoneticPr fontId="2" type="noConversion"/>
  </si>
  <si>
    <t>26901M7601</t>
    <phoneticPr fontId="2" type="noConversion"/>
  </si>
  <si>
    <r>
      <t>指定</t>
    </r>
    <r>
      <rPr>
        <b/>
        <sz val="10"/>
        <color rgb="FF0000CC"/>
        <rFont val="Arial"/>
        <family val="2"/>
      </rPr>
      <t>#13-20</t>
    </r>
    <phoneticPr fontId="2" type="noConversion"/>
  </si>
  <si>
    <r>
      <t>指定</t>
    </r>
    <r>
      <rPr>
        <b/>
        <sz val="10"/>
        <color rgb="FF0000CC"/>
        <rFont val="Arial"/>
        <family val="2"/>
      </rPr>
      <t>#13-20</t>
    </r>
    <phoneticPr fontId="2" type="noConversion"/>
  </si>
  <si>
    <t>26817M8201</t>
    <phoneticPr fontId="2" type="noConversion"/>
  </si>
  <si>
    <t>4800388104/100</t>
    <phoneticPr fontId="2" type="noConversion"/>
  </si>
  <si>
    <t>4505394848/200</t>
    <phoneticPr fontId="2" type="noConversion"/>
  </si>
  <si>
    <t>4800384596/100</t>
    <phoneticPr fontId="2" type="noConversion"/>
  </si>
  <si>
    <t>26814M8201</t>
    <phoneticPr fontId="2" type="noConversion"/>
  </si>
  <si>
    <t>26817M8201</t>
    <phoneticPr fontId="2" type="noConversion"/>
  </si>
  <si>
    <t>26303M7601</t>
    <phoneticPr fontId="2" type="noConversion"/>
  </si>
  <si>
    <t>26831M8201</t>
    <phoneticPr fontId="2" type="noConversion"/>
  </si>
  <si>
    <t>26902M8201</t>
    <phoneticPr fontId="2" type="noConversion"/>
  </si>
  <si>
    <t>26904M8201</t>
    <phoneticPr fontId="2" type="noConversion"/>
  </si>
  <si>
    <t>4800388123/100</t>
    <phoneticPr fontId="2" type="noConversion"/>
  </si>
  <si>
    <t>26819M8201</t>
    <phoneticPr fontId="2" type="noConversion"/>
  </si>
  <si>
    <t>4800384596/100</t>
    <phoneticPr fontId="2" type="noConversion"/>
  </si>
  <si>
    <t>4800384596/100</t>
    <phoneticPr fontId="2" type="noConversion"/>
  </si>
  <si>
    <t>26819M8201</t>
    <phoneticPr fontId="2" type="noConversion"/>
  </si>
  <si>
    <r>
      <t>指定</t>
    </r>
    <r>
      <rPr>
        <b/>
        <sz val="10"/>
        <color rgb="FF0000CC"/>
        <rFont val="Arial"/>
        <family val="2"/>
      </rPr>
      <t>#5-12</t>
    </r>
    <phoneticPr fontId="2" type="noConversion"/>
  </si>
  <si>
    <t>4505394848/200</t>
    <phoneticPr fontId="2" type="noConversion"/>
  </si>
  <si>
    <t>4800388104/100</t>
    <phoneticPr fontId="2" type="noConversion"/>
  </si>
  <si>
    <t>26824M8201</t>
    <phoneticPr fontId="2" type="noConversion"/>
  </si>
  <si>
    <t>26909M8201</t>
    <phoneticPr fontId="2" type="noConversion"/>
  </si>
  <si>
    <t>26911M8201</t>
    <phoneticPr fontId="2" type="noConversion"/>
  </si>
  <si>
    <t>26913M8201</t>
    <phoneticPr fontId="2" type="noConversion"/>
  </si>
  <si>
    <t>4800389113/100</t>
  </si>
  <si>
    <t>4800384596/100</t>
    <phoneticPr fontId="2" type="noConversion"/>
  </si>
  <si>
    <t>26824M8201</t>
    <phoneticPr fontId="2" type="noConversion"/>
  </si>
  <si>
    <t>26828M8201</t>
    <phoneticPr fontId="2" type="noConversion"/>
  </si>
  <si>
    <t>4800389113/100</t>
    <phoneticPr fontId="2" type="noConversion"/>
  </si>
  <si>
    <t>4800388123/100</t>
    <phoneticPr fontId="2" type="noConversion"/>
  </si>
  <si>
    <t>26901M7601</t>
    <phoneticPr fontId="2" type="noConversion"/>
  </si>
  <si>
    <t>26831M8201</t>
    <phoneticPr fontId="2" type="noConversion"/>
  </si>
  <si>
    <t>26902M8201</t>
    <phoneticPr fontId="2" type="noConversion"/>
  </si>
  <si>
    <t>4800388104/100</t>
    <phoneticPr fontId="2" type="noConversion"/>
  </si>
  <si>
    <t>4800388104/100</t>
    <phoneticPr fontId="2" type="noConversion"/>
  </si>
  <si>
    <t>26828M8201</t>
    <phoneticPr fontId="2" type="noConversion"/>
  </si>
  <si>
    <t>4800389113/100</t>
    <phoneticPr fontId="2" type="noConversion"/>
  </si>
  <si>
    <t>26828M8201</t>
    <phoneticPr fontId="2" type="noConversion"/>
  </si>
  <si>
    <t>4800389113/100</t>
    <phoneticPr fontId="2" type="noConversion"/>
  </si>
  <si>
    <t>26907M8201</t>
    <phoneticPr fontId="2" type="noConversion"/>
  </si>
  <si>
    <t>26901M7601</t>
    <phoneticPr fontId="2" type="noConversion"/>
  </si>
  <si>
    <t>4800389134/100</t>
    <phoneticPr fontId="2" type="noConversion"/>
  </si>
  <si>
    <t>4505394848/200</t>
    <phoneticPr fontId="2" type="noConversion"/>
  </si>
  <si>
    <t>26303M7601</t>
    <phoneticPr fontId="2" type="noConversion"/>
  </si>
  <si>
    <t>4800364561/100</t>
    <phoneticPr fontId="2" type="noConversion"/>
  </si>
  <si>
    <t>4505394848/200</t>
    <phoneticPr fontId="2" type="noConversion"/>
  </si>
  <si>
    <t>26902M8201</t>
    <phoneticPr fontId="2" type="noConversion"/>
  </si>
  <si>
    <t>4800384596/100</t>
    <phoneticPr fontId="2" type="noConversion"/>
  </si>
  <si>
    <t>4800389134/100</t>
    <phoneticPr fontId="2" type="noConversion"/>
  </si>
  <si>
    <t>26902M8201</t>
    <phoneticPr fontId="2" type="noConversion"/>
  </si>
  <si>
    <t>4800389113/100</t>
    <phoneticPr fontId="2" type="noConversion"/>
  </si>
  <si>
    <t>26902M8201</t>
    <phoneticPr fontId="2" type="noConversion"/>
  </si>
  <si>
    <t>4800389146/200</t>
    <phoneticPr fontId="2" type="noConversion"/>
  </si>
  <si>
    <t>4800384596/100</t>
    <phoneticPr fontId="2" type="noConversion"/>
  </si>
  <si>
    <t>26904M8201</t>
    <phoneticPr fontId="2" type="noConversion"/>
  </si>
  <si>
    <t>26907M8201</t>
    <phoneticPr fontId="2" type="noConversion"/>
  </si>
  <si>
    <t>26917M8201</t>
    <phoneticPr fontId="2" type="noConversion"/>
  </si>
  <si>
    <t>26919M8201</t>
    <phoneticPr fontId="2" type="noConversion"/>
  </si>
  <si>
    <t>4800389146/200</t>
  </si>
  <si>
    <t>4800389146/200</t>
    <phoneticPr fontId="2" type="noConversion"/>
  </si>
  <si>
    <t>26915M8201</t>
    <phoneticPr fontId="2" type="noConversion"/>
  </si>
  <si>
    <t>26907M8201</t>
    <phoneticPr fontId="2" type="noConversion"/>
  </si>
  <si>
    <t>26909M8201</t>
    <phoneticPr fontId="2" type="noConversion"/>
  </si>
  <si>
    <t>26922M7601</t>
    <phoneticPr fontId="2" type="noConversion"/>
  </si>
  <si>
    <t>26909M8201</t>
    <phoneticPr fontId="2" type="noConversion"/>
  </si>
  <si>
    <t>26911M8201</t>
    <phoneticPr fontId="2" type="noConversion"/>
  </si>
  <si>
    <t>26921M8201</t>
    <phoneticPr fontId="2" type="noConversion"/>
  </si>
  <si>
    <t>26923M8201</t>
    <phoneticPr fontId="2" type="noConversion"/>
  </si>
  <si>
    <t>4800389146/200</t>
    <phoneticPr fontId="2" type="noConversion"/>
  </si>
  <si>
    <t>4800389146/200</t>
    <phoneticPr fontId="2" type="noConversion"/>
  </si>
  <si>
    <t>26303M7601</t>
  </si>
  <si>
    <t>4800364561/100</t>
    <phoneticPr fontId="2" type="noConversion"/>
  </si>
  <si>
    <t>保存期限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</si>
</sst>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m/d;@"/>
    <numFmt numFmtId="177" formatCode="mm/dd/yyyy"/>
    <numFmt numFmtId="178" formatCode="0_);[Red]\(0\)"/>
    <numFmt numFmtId="179" formatCode="m/d/yyyy"/>
    <numFmt numFmtId="180" formatCode="yyyy/m/d;@"/>
  </numFmts>
  <fonts count="35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0"/>
      <color theme="1"/>
      <name val="新細明體"/>
      <family val="2"/>
      <scheme val="minor"/>
    </font>
    <font>
      <b/>
      <sz val="10"/>
      <color theme="1"/>
      <name val="Arial"/>
      <family val="2"/>
    </font>
    <font>
      <b/>
      <sz val="10"/>
      <name val="新細明體"/>
      <family val="1"/>
      <charset val="136"/>
    </font>
    <font>
      <sz val="10"/>
      <color rgb="FFFF000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0"/>
      <name val="Arial"/>
      <family val="2"/>
    </font>
    <font>
      <sz val="10"/>
      <name val="細明體"/>
      <family val="3"/>
      <charset val="136"/>
    </font>
    <font>
      <b/>
      <sz val="10"/>
      <name val="Arial"/>
      <family val="2"/>
    </font>
    <font>
      <sz val="10"/>
      <color rgb="FFFF0000"/>
      <name val="新細明體"/>
      <family val="2"/>
    </font>
    <font>
      <sz val="10"/>
      <color theme="1"/>
      <name val="新細明體"/>
      <family val="2"/>
    </font>
    <font>
      <sz val="10"/>
      <name val="新細明體"/>
      <family val="1"/>
      <charset val="136"/>
    </font>
    <font>
      <b/>
      <sz val="10"/>
      <name val="細明體"/>
      <family val="3"/>
      <charset val="136"/>
    </font>
    <font>
      <sz val="10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0"/>
      <color rgb="FFFF0000"/>
      <name val="新細明體"/>
      <family val="1"/>
      <charset val="136"/>
    </font>
    <font>
      <b/>
      <sz val="10"/>
      <color rgb="FF0000FF"/>
      <name val="Arial"/>
      <family val="2"/>
    </font>
    <font>
      <sz val="12"/>
      <color theme="1"/>
      <name val="新細明體"/>
      <family val="2"/>
      <scheme val="minor"/>
    </font>
    <font>
      <sz val="10"/>
      <color theme="1"/>
      <name val="細明體"/>
      <family val="3"/>
      <charset val="136"/>
    </font>
    <font>
      <b/>
      <sz val="10"/>
      <color theme="1"/>
      <name val="新細明體"/>
      <family val="1"/>
      <charset val="136"/>
    </font>
    <font>
      <b/>
      <sz val="10"/>
      <color theme="1"/>
      <name val="細明體"/>
      <family val="3"/>
      <charset val="136"/>
    </font>
    <font>
      <sz val="9"/>
      <color rgb="FFFF0000"/>
      <name val="Arial"/>
      <family val="2"/>
    </font>
    <font>
      <sz val="9"/>
      <color rgb="FFFF0000"/>
      <name val="新細明體"/>
      <family val="2"/>
    </font>
    <font>
      <sz val="10"/>
      <color rgb="FFFF0000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CC"/>
      <name val="Arial"/>
      <family val="2"/>
    </font>
    <font>
      <b/>
      <sz val="10"/>
      <color rgb="FF0000CC"/>
      <name val="細明體"/>
      <family val="3"/>
      <charset val="136"/>
    </font>
    <font>
      <b/>
      <sz val="10"/>
      <color rgb="FF0000CC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A9A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F19B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22" fillId="0" borderId="0"/>
    <xf numFmtId="0" fontId="11" fillId="0" borderId="0"/>
  </cellStyleXfs>
  <cellXfs count="418">
    <xf numFmtId="0" fontId="0" fillId="0" borderId="0" xfId="0">
      <alignment vertical="center"/>
    </xf>
    <xf numFmtId="0" fontId="1" fillId="0" borderId="0" xfId="0" applyFont="1" applyAlignment="1">
      <alignment horizontal="center" shrinkToFit="1"/>
    </xf>
    <xf numFmtId="0" fontId="7" fillId="0" borderId="0" xfId="0" applyFont="1" applyAlignment="1">
      <alignment horizontal="center" shrinkToFit="1"/>
    </xf>
    <xf numFmtId="14" fontId="6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177" fontId="10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76" fontId="1" fillId="3" borderId="4" xfId="0" applyNumberFormat="1" applyFont="1" applyFill="1" applyBorder="1" applyAlignment="1">
      <alignment horizontal="center" shrinkToFit="1"/>
    </xf>
    <xf numFmtId="0" fontId="1" fillId="3" borderId="4" xfId="0" applyFont="1" applyFill="1" applyBorder="1" applyAlignment="1">
      <alignment horizontal="center" shrinkToFit="1"/>
    </xf>
    <xf numFmtId="0" fontId="11" fillId="3" borderId="4" xfId="0" applyFont="1" applyFill="1" applyBorder="1" applyAlignment="1">
      <alignment horizontal="center" shrinkToFit="1"/>
    </xf>
    <xf numFmtId="178" fontId="1" fillId="3" borderId="4" xfId="0" applyNumberFormat="1" applyFont="1" applyFill="1" applyBorder="1" applyAlignment="1">
      <alignment horizontal="center" shrinkToFit="1"/>
    </xf>
    <xf numFmtId="178" fontId="4" fillId="3" borderId="4" xfId="0" applyNumberFormat="1" applyFont="1" applyFill="1" applyBorder="1" applyAlignment="1">
      <alignment horizontal="center" shrinkToFit="1"/>
    </xf>
    <xf numFmtId="49" fontId="5" fillId="3" borderId="4" xfId="0" applyNumberFormat="1" applyFont="1" applyFill="1" applyBorder="1" applyAlignment="1">
      <alignment horizontal="center" shrinkToFit="1"/>
    </xf>
    <xf numFmtId="176" fontId="1" fillId="4" borderId="4" xfId="0" applyNumberFormat="1" applyFont="1" applyFill="1" applyBorder="1" applyAlignment="1">
      <alignment horizontal="center" shrinkToFit="1"/>
    </xf>
    <xf numFmtId="0" fontId="1" fillId="4" borderId="4" xfId="0" applyFont="1" applyFill="1" applyBorder="1" applyAlignment="1">
      <alignment horizontal="center" shrinkToFit="1"/>
    </xf>
    <xf numFmtId="0" fontId="11" fillId="4" borderId="4" xfId="0" applyFont="1" applyFill="1" applyBorder="1" applyAlignment="1">
      <alignment horizontal="center" shrinkToFit="1"/>
    </xf>
    <xf numFmtId="178" fontId="1" fillId="4" borderId="4" xfId="0" applyNumberFormat="1" applyFont="1" applyFill="1" applyBorder="1" applyAlignment="1">
      <alignment horizontal="center" shrinkToFit="1"/>
    </xf>
    <xf numFmtId="178" fontId="4" fillId="4" borderId="4" xfId="0" applyNumberFormat="1" applyFont="1" applyFill="1" applyBorder="1" applyAlignment="1">
      <alignment horizontal="center" shrinkToFit="1"/>
    </xf>
    <xf numFmtId="49" fontId="5" fillId="4" borderId="4" xfId="0" applyNumberFormat="1" applyFont="1" applyFill="1" applyBorder="1" applyAlignment="1">
      <alignment horizontal="center" shrinkToFit="1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76" fontId="1" fillId="0" borderId="4" xfId="0" applyNumberFormat="1" applyFont="1" applyFill="1" applyBorder="1" applyAlignment="1">
      <alignment horizontal="center" shrinkToFit="1"/>
    </xf>
    <xf numFmtId="0" fontId="1" fillId="0" borderId="4" xfId="0" applyFont="1" applyFill="1" applyBorder="1" applyAlignment="1">
      <alignment horizontal="center" shrinkToFit="1"/>
    </xf>
    <xf numFmtId="178" fontId="1" fillId="0" borderId="4" xfId="0" applyNumberFormat="1" applyFont="1" applyFill="1" applyBorder="1" applyAlignment="1">
      <alignment horizontal="center" shrinkToFit="1"/>
    </xf>
    <xf numFmtId="178" fontId="4" fillId="0" borderId="4" xfId="0" applyNumberFormat="1" applyFont="1" applyFill="1" applyBorder="1" applyAlignment="1">
      <alignment horizontal="center" shrinkToFit="1"/>
    </xf>
    <xf numFmtId="49" fontId="5" fillId="0" borderId="4" xfId="0" applyNumberFormat="1" applyFont="1" applyFill="1" applyBorder="1" applyAlignment="1">
      <alignment horizontal="center" shrinkToFit="1"/>
    </xf>
    <xf numFmtId="176" fontId="1" fillId="5" borderId="4" xfId="0" applyNumberFormat="1" applyFont="1" applyFill="1" applyBorder="1" applyAlignment="1">
      <alignment horizontal="center" shrinkToFit="1"/>
    </xf>
    <xf numFmtId="0" fontId="1" fillId="5" borderId="4" xfId="0" applyFont="1" applyFill="1" applyBorder="1" applyAlignment="1">
      <alignment horizontal="center" shrinkToFit="1"/>
    </xf>
    <xf numFmtId="0" fontId="11" fillId="5" borderId="4" xfId="0" applyFont="1" applyFill="1" applyBorder="1" applyAlignment="1">
      <alignment horizontal="center" shrinkToFit="1"/>
    </xf>
    <xf numFmtId="178" fontId="1" fillId="5" borderId="4" xfId="0" applyNumberFormat="1" applyFont="1" applyFill="1" applyBorder="1" applyAlignment="1">
      <alignment horizontal="center" shrinkToFit="1"/>
    </xf>
    <xf numFmtId="178" fontId="4" fillId="5" borderId="4" xfId="0" applyNumberFormat="1" applyFont="1" applyFill="1" applyBorder="1" applyAlignment="1">
      <alignment horizontal="center" shrinkToFit="1"/>
    </xf>
    <xf numFmtId="49" fontId="5" fillId="5" borderId="4" xfId="0" applyNumberFormat="1" applyFont="1" applyFill="1" applyBorder="1" applyAlignment="1">
      <alignment horizontal="center" shrinkToFit="1"/>
    </xf>
    <xf numFmtId="176" fontId="1" fillId="6" borderId="4" xfId="0" applyNumberFormat="1" applyFont="1" applyFill="1" applyBorder="1" applyAlignment="1">
      <alignment horizontal="center" shrinkToFit="1"/>
    </xf>
    <xf numFmtId="0" fontId="1" fillId="6" borderId="4" xfId="0" applyFont="1" applyFill="1" applyBorder="1" applyAlignment="1">
      <alignment horizontal="center" shrinkToFit="1"/>
    </xf>
    <xf numFmtId="0" fontId="11" fillId="6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4" fillId="6" borderId="4" xfId="0" applyNumberFormat="1" applyFont="1" applyFill="1" applyBorder="1" applyAlignment="1">
      <alignment horizontal="center" shrinkToFit="1"/>
    </xf>
    <xf numFmtId="49" fontId="5" fillId="6" borderId="4" xfId="0" applyNumberFormat="1" applyFont="1" applyFill="1" applyBorder="1" applyAlignment="1">
      <alignment horizontal="center" shrinkToFit="1"/>
    </xf>
    <xf numFmtId="0" fontId="1" fillId="7" borderId="4" xfId="0" applyFont="1" applyFill="1" applyBorder="1" applyAlignment="1">
      <alignment horizontal="center" shrinkToFit="1"/>
    </xf>
    <xf numFmtId="0" fontId="11" fillId="7" borderId="4" xfId="0" applyFont="1" applyFill="1" applyBorder="1" applyAlignment="1">
      <alignment horizontal="center" shrinkToFit="1"/>
    </xf>
    <xf numFmtId="176" fontId="11" fillId="8" borderId="1" xfId="0" applyNumberFormat="1" applyFont="1" applyFill="1" applyBorder="1" applyAlignment="1">
      <alignment vertical="center"/>
    </xf>
    <xf numFmtId="176" fontId="11" fillId="8" borderId="2" xfId="0" applyNumberFormat="1" applyFont="1" applyFill="1" applyBorder="1" applyAlignment="1">
      <alignment vertical="center"/>
    </xf>
    <xf numFmtId="176" fontId="11" fillId="8" borderId="2" xfId="0" applyNumberFormat="1" applyFont="1" applyFill="1" applyBorder="1" applyAlignment="1">
      <alignment vertical="center" shrinkToFit="1"/>
    </xf>
    <xf numFmtId="176" fontId="11" fillId="8" borderId="3" xfId="0" applyNumberFormat="1" applyFont="1" applyFill="1" applyBorder="1" applyAlignment="1">
      <alignment vertical="center" shrinkToFit="1"/>
    </xf>
    <xf numFmtId="176" fontId="13" fillId="8" borderId="4" xfId="0" applyNumberFormat="1" applyFont="1" applyFill="1" applyBorder="1" applyAlignment="1">
      <alignment horizontal="center" vertical="center" shrinkToFit="1"/>
    </xf>
    <xf numFmtId="0" fontId="13" fillId="8" borderId="4" xfId="0" applyFont="1" applyFill="1" applyBorder="1" applyAlignment="1">
      <alignment horizontal="center" vertical="center" shrinkToFit="1"/>
    </xf>
    <xf numFmtId="178" fontId="13" fillId="8" borderId="4" xfId="0" applyNumberFormat="1" applyFont="1" applyFill="1" applyBorder="1" applyAlignment="1">
      <alignment horizontal="center" vertical="center" shrinkToFit="1"/>
    </xf>
    <xf numFmtId="49" fontId="13" fillId="8" borderId="4" xfId="0" applyNumberFormat="1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shrinkToFit="1"/>
    </xf>
    <xf numFmtId="0" fontId="11" fillId="0" borderId="4" xfId="0" applyFont="1" applyFill="1" applyBorder="1" applyAlignment="1">
      <alignment horizontal="center" shrinkToFit="1"/>
    </xf>
    <xf numFmtId="0" fontId="19" fillId="0" borderId="0" xfId="0" applyFont="1">
      <alignment vertical="center"/>
    </xf>
    <xf numFmtId="49" fontId="20" fillId="0" borderId="4" xfId="0" applyNumberFormat="1" applyFont="1" applyFill="1" applyBorder="1" applyAlignment="1">
      <alignment horizontal="center" shrinkToFit="1"/>
    </xf>
    <xf numFmtId="176" fontId="1" fillId="10" borderId="4" xfId="0" applyNumberFormat="1" applyFont="1" applyFill="1" applyBorder="1" applyAlignment="1">
      <alignment horizontal="center" shrinkToFit="1"/>
    </xf>
    <xf numFmtId="0" fontId="1" fillId="10" borderId="4" xfId="0" applyFont="1" applyFill="1" applyBorder="1" applyAlignment="1">
      <alignment horizontal="center" shrinkToFit="1"/>
    </xf>
    <xf numFmtId="0" fontId="11" fillId="10" borderId="4" xfId="0" applyFont="1" applyFill="1" applyBorder="1" applyAlignment="1">
      <alignment horizontal="center" shrinkToFit="1"/>
    </xf>
    <xf numFmtId="178" fontId="1" fillId="10" borderId="4" xfId="0" applyNumberFormat="1" applyFont="1" applyFill="1" applyBorder="1" applyAlignment="1">
      <alignment horizontal="center" shrinkToFit="1"/>
    </xf>
    <xf numFmtId="178" fontId="4" fillId="10" borderId="4" xfId="0" applyNumberFormat="1" applyFont="1" applyFill="1" applyBorder="1" applyAlignment="1">
      <alignment horizontal="center" shrinkToFit="1"/>
    </xf>
    <xf numFmtId="49" fontId="5" fillId="10" borderId="4" xfId="0" applyNumberFormat="1" applyFont="1" applyFill="1" applyBorder="1" applyAlignment="1">
      <alignment horizontal="center" shrinkToFit="1"/>
    </xf>
    <xf numFmtId="176" fontId="6" fillId="2" borderId="4" xfId="1" applyNumberFormat="1" applyFont="1" applyFill="1" applyBorder="1" applyAlignment="1">
      <alignment horizontal="center" vertical="center"/>
    </xf>
    <xf numFmtId="179" fontId="10" fillId="2" borderId="5" xfId="1" applyNumberFormat="1" applyFont="1" applyFill="1" applyBorder="1" applyAlignment="1">
      <alignment vertical="center" wrapText="1"/>
    </xf>
    <xf numFmtId="0" fontId="6" fillId="2" borderId="4" xfId="1" applyFont="1" applyFill="1" applyBorder="1" applyAlignment="1">
      <alignment horizontal="center" vertical="center"/>
    </xf>
    <xf numFmtId="0" fontId="23" fillId="0" borderId="0" xfId="1" applyFont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Alignment="1">
      <alignment horizontal="center"/>
    </xf>
    <xf numFmtId="179" fontId="10" fillId="2" borderId="6" xfId="1" applyNumberFormat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7" fillId="0" borderId="0" xfId="1" applyFont="1" applyFill="1" applyBorder="1" applyAlignment="1">
      <alignment horizontal="center"/>
    </xf>
    <xf numFmtId="176" fontId="1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79" fontId="11" fillId="0" borderId="0" xfId="1" applyNumberFormat="1" applyFont="1" applyAlignment="1">
      <alignment horizontal="center"/>
    </xf>
    <xf numFmtId="176" fontId="1" fillId="0" borderId="4" xfId="1" applyNumberFormat="1" applyFont="1" applyBorder="1" applyAlignment="1">
      <alignment horizontal="center" shrinkToFit="1"/>
    </xf>
    <xf numFmtId="0" fontId="1" fillId="0" borderId="4" xfId="1" applyFont="1" applyBorder="1" applyAlignment="1">
      <alignment horizontal="center" shrinkToFit="1"/>
    </xf>
    <xf numFmtId="178" fontId="1" fillId="0" borderId="4" xfId="1" applyNumberFormat="1" applyFont="1" applyBorder="1" applyAlignment="1">
      <alignment horizontal="center" shrinkToFit="1"/>
    </xf>
    <xf numFmtId="14" fontId="6" fillId="0" borderId="8" xfId="0" applyNumberFormat="1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177" fontId="10" fillId="0" borderId="8" xfId="0" applyNumberFormat="1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77" fontId="10" fillId="0" borderId="0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 vertical="center" shrinkToFit="1"/>
    </xf>
    <xf numFmtId="176" fontId="1" fillId="9" borderId="1" xfId="1" applyNumberFormat="1" applyFont="1" applyFill="1" applyBorder="1" applyAlignment="1">
      <alignment vertical="center" shrinkToFit="1"/>
    </xf>
    <xf numFmtId="176" fontId="21" fillId="9" borderId="2" xfId="1" applyNumberFormat="1" applyFont="1" applyFill="1" applyBorder="1" applyAlignment="1">
      <alignment vertical="center"/>
    </xf>
    <xf numFmtId="176" fontId="1" fillId="9" borderId="2" xfId="1" applyNumberFormat="1" applyFont="1" applyFill="1" applyBorder="1" applyAlignment="1">
      <alignment vertical="center" shrinkToFit="1"/>
    </xf>
    <xf numFmtId="176" fontId="1" fillId="9" borderId="3" xfId="1" applyNumberFormat="1" applyFont="1" applyFill="1" applyBorder="1" applyAlignment="1">
      <alignment vertical="center" shrinkToFit="1"/>
    </xf>
    <xf numFmtId="176" fontId="24" fillId="9" borderId="4" xfId="1" applyNumberFormat="1" applyFont="1" applyFill="1" applyBorder="1" applyAlignment="1">
      <alignment horizontal="center" vertical="center" shrinkToFit="1"/>
    </xf>
    <xf numFmtId="176" fontId="8" fillId="9" borderId="4" xfId="1" applyNumberFormat="1" applyFont="1" applyFill="1" applyBorder="1" applyAlignment="1">
      <alignment horizontal="center" vertical="center" shrinkToFit="1"/>
    </xf>
    <xf numFmtId="0" fontId="7" fillId="9" borderId="4" xfId="1" applyFont="1" applyFill="1" applyBorder="1" applyAlignment="1">
      <alignment horizontal="center" vertical="center" shrinkToFit="1"/>
    </xf>
    <xf numFmtId="0" fontId="24" fillId="9" borderId="4" xfId="1" applyFont="1" applyFill="1" applyBorder="1" applyAlignment="1">
      <alignment horizontal="center" vertical="center" shrinkToFit="1"/>
    </xf>
    <xf numFmtId="0" fontId="25" fillId="9" borderId="4" xfId="1" applyFont="1" applyFill="1" applyBorder="1" applyAlignment="1">
      <alignment horizontal="center" vertical="center" shrinkToFit="1"/>
    </xf>
    <xf numFmtId="178" fontId="24" fillId="9" borderId="4" xfId="1" applyNumberFormat="1" applyFont="1" applyFill="1" applyBorder="1" applyAlignment="1">
      <alignment horizontal="center" vertical="center" shrinkToFit="1"/>
    </xf>
    <xf numFmtId="0" fontId="23" fillId="0" borderId="4" xfId="0" applyFont="1" applyFill="1" applyBorder="1" applyAlignment="1">
      <alignment horizontal="center" shrinkToFit="1"/>
    </xf>
    <xf numFmtId="0" fontId="23" fillId="0" borderId="0" xfId="0" applyFont="1" applyAlignment="1">
      <alignment horizontal="center" shrinkToFit="1"/>
    </xf>
    <xf numFmtId="0" fontId="1" fillId="3" borderId="4" xfId="0" applyFont="1" applyFill="1" applyBorder="1" applyAlignment="1">
      <alignment horizontal="center" vertical="top" wrapText="1" shrinkToFit="1"/>
    </xf>
    <xf numFmtId="0" fontId="23" fillId="10" borderId="4" xfId="0" applyFont="1" applyFill="1" applyBorder="1" applyAlignment="1">
      <alignment horizont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left" vertical="top" wrapText="1" shrinkToFit="1"/>
    </xf>
    <xf numFmtId="0" fontId="23" fillId="5" borderId="4" xfId="0" applyFont="1" applyFill="1" applyBorder="1" applyAlignment="1">
      <alignment horizontal="center" shrinkToFit="1"/>
    </xf>
    <xf numFmtId="176" fontId="1" fillId="7" borderId="4" xfId="1" applyNumberFormat="1" applyFont="1" applyFill="1" applyBorder="1" applyAlignment="1">
      <alignment horizontal="center" shrinkToFit="1"/>
    </xf>
    <xf numFmtId="0" fontId="1" fillId="7" borderId="4" xfId="1" applyFont="1" applyFill="1" applyBorder="1" applyAlignment="1">
      <alignment horizontal="center" shrinkToFit="1"/>
    </xf>
    <xf numFmtId="178" fontId="1" fillId="7" borderId="4" xfId="1" applyNumberFormat="1" applyFont="1" applyFill="1" applyBorder="1" applyAlignment="1">
      <alignment horizontal="center" shrinkToFit="1"/>
    </xf>
    <xf numFmtId="0" fontId="1" fillId="11" borderId="4" xfId="0" applyFont="1" applyFill="1" applyBorder="1" applyAlignment="1">
      <alignment horizontal="center" shrinkToFit="1"/>
    </xf>
    <xf numFmtId="0" fontId="11" fillId="11" borderId="4" xfId="0" applyFont="1" applyFill="1" applyBorder="1" applyAlignment="1">
      <alignment horizontal="center" shrinkToFit="1"/>
    </xf>
    <xf numFmtId="0" fontId="1" fillId="12" borderId="4" xfId="0" applyFont="1" applyFill="1" applyBorder="1" applyAlignment="1">
      <alignment horizontal="center" shrinkToFit="1"/>
    </xf>
    <xf numFmtId="0" fontId="11" fillId="12" borderId="4" xfId="0" applyFont="1" applyFill="1" applyBorder="1" applyAlignment="1">
      <alignment horizontal="center" shrinkToFit="1"/>
    </xf>
    <xf numFmtId="176" fontId="1" fillId="13" borderId="4" xfId="0" applyNumberFormat="1" applyFont="1" applyFill="1" applyBorder="1" applyAlignment="1">
      <alignment horizontal="center" shrinkToFit="1"/>
    </xf>
    <xf numFmtId="0" fontId="1" fillId="13" borderId="4" xfId="0" applyFont="1" applyFill="1" applyBorder="1" applyAlignment="1">
      <alignment horizontal="center" shrinkToFit="1"/>
    </xf>
    <xf numFmtId="0" fontId="11" fillId="13" borderId="4" xfId="0" applyFont="1" applyFill="1" applyBorder="1" applyAlignment="1">
      <alignment horizontal="center" shrinkToFit="1"/>
    </xf>
    <xf numFmtId="178" fontId="1" fillId="13" borderId="4" xfId="0" applyNumberFormat="1" applyFont="1" applyFill="1" applyBorder="1" applyAlignment="1">
      <alignment horizontal="center" shrinkToFit="1"/>
    </xf>
    <xf numFmtId="178" fontId="4" fillId="13" borderId="4" xfId="0" applyNumberFormat="1" applyFont="1" applyFill="1" applyBorder="1" applyAlignment="1">
      <alignment horizontal="center" shrinkToFit="1"/>
    </xf>
    <xf numFmtId="49" fontId="5" fillId="13" borderId="4" xfId="0" applyNumberFormat="1" applyFont="1" applyFill="1" applyBorder="1" applyAlignment="1">
      <alignment horizontal="center" shrinkToFit="1"/>
    </xf>
    <xf numFmtId="0" fontId="1" fillId="14" borderId="4" xfId="0" applyFont="1" applyFill="1" applyBorder="1" applyAlignment="1">
      <alignment horizontal="center" shrinkToFit="1"/>
    </xf>
    <xf numFmtId="0" fontId="11" fillId="14" borderId="4" xfId="0" applyFont="1" applyFill="1" applyBorder="1" applyAlignment="1">
      <alignment horizontal="center" shrinkToFit="1"/>
    </xf>
    <xf numFmtId="0" fontId="11" fillId="13" borderId="5" xfId="0" applyFont="1" applyFill="1" applyBorder="1" applyAlignment="1">
      <alignment horizontal="center" shrinkToFit="1"/>
    </xf>
    <xf numFmtId="178" fontId="28" fillId="7" borderId="4" xfId="1" applyNumberFormat="1" applyFont="1" applyFill="1" applyBorder="1" applyAlignment="1">
      <alignment horizontal="center" wrapText="1" shrinkToFit="1"/>
    </xf>
    <xf numFmtId="176" fontId="1" fillId="13" borderId="4" xfId="1" applyNumberFormat="1" applyFont="1" applyFill="1" applyBorder="1" applyAlignment="1">
      <alignment horizontal="center" shrinkToFit="1"/>
    </xf>
    <xf numFmtId="0" fontId="1" fillId="13" borderId="4" xfId="1" applyFont="1" applyFill="1" applyBorder="1" applyAlignment="1">
      <alignment horizontal="center" shrinkToFit="1"/>
    </xf>
    <xf numFmtId="178" fontId="1" fillId="13" borderId="4" xfId="1" applyNumberFormat="1" applyFont="1" applyFill="1" applyBorder="1" applyAlignment="1">
      <alignment horizontal="center" shrinkToFit="1"/>
    </xf>
    <xf numFmtId="0" fontId="4" fillId="7" borderId="4" xfId="1" applyFont="1" applyFill="1" applyBorder="1" applyAlignment="1">
      <alignment horizontal="center" shrinkToFit="1"/>
    </xf>
    <xf numFmtId="0" fontId="4" fillId="13" borderId="4" xfId="1" applyFont="1" applyFill="1" applyBorder="1" applyAlignment="1">
      <alignment horizontal="center" shrinkToFit="1"/>
    </xf>
    <xf numFmtId="176" fontId="1" fillId="14" borderId="4" xfId="1" applyNumberFormat="1" applyFont="1" applyFill="1" applyBorder="1" applyAlignment="1">
      <alignment horizontal="center" shrinkToFit="1"/>
    </xf>
    <xf numFmtId="0" fontId="1" fillId="14" borderId="4" xfId="1" applyFont="1" applyFill="1" applyBorder="1" applyAlignment="1">
      <alignment horizontal="center" shrinkToFit="1"/>
    </xf>
    <xf numFmtId="178" fontId="1" fillId="14" borderId="4" xfId="1" applyNumberFormat="1" applyFont="1" applyFill="1" applyBorder="1" applyAlignment="1">
      <alignment horizontal="center" shrinkToFit="1"/>
    </xf>
    <xf numFmtId="176" fontId="1" fillId="10" borderId="4" xfId="1" applyNumberFormat="1" applyFont="1" applyFill="1" applyBorder="1" applyAlignment="1">
      <alignment horizontal="center" shrinkToFit="1"/>
    </xf>
    <xf numFmtId="0" fontId="1" fillId="10" borderId="4" xfId="1" applyFont="1" applyFill="1" applyBorder="1" applyAlignment="1">
      <alignment horizontal="center" shrinkToFit="1"/>
    </xf>
    <xf numFmtId="178" fontId="1" fillId="10" borderId="4" xfId="1" applyNumberFormat="1" applyFont="1" applyFill="1" applyBorder="1" applyAlignment="1">
      <alignment horizontal="center" shrinkToFit="1"/>
    </xf>
    <xf numFmtId="0" fontId="4" fillId="10" borderId="4" xfId="1" applyFont="1" applyFill="1" applyBorder="1" applyAlignment="1">
      <alignment horizontal="center" shrinkToFit="1"/>
    </xf>
    <xf numFmtId="0" fontId="1" fillId="15" borderId="4" xfId="0" applyFont="1" applyFill="1" applyBorder="1" applyAlignment="1">
      <alignment horizontal="center" shrinkToFit="1"/>
    </xf>
    <xf numFmtId="0" fontId="11" fillId="15" borderId="4" xfId="0" applyFont="1" applyFill="1" applyBorder="1" applyAlignment="1">
      <alignment horizontal="center" shrinkToFit="1"/>
    </xf>
    <xf numFmtId="178" fontId="5" fillId="10" borderId="4" xfId="1" applyNumberFormat="1" applyFont="1" applyFill="1" applyBorder="1" applyAlignment="1">
      <alignment horizontal="center" shrinkToFit="1"/>
    </xf>
    <xf numFmtId="178" fontId="23" fillId="16" borderId="4" xfId="1" applyNumberFormat="1" applyFont="1" applyFill="1" applyBorder="1" applyAlignment="1">
      <alignment horizontal="center" wrapText="1" shrinkToFit="1"/>
    </xf>
    <xf numFmtId="0" fontId="1" fillId="17" borderId="4" xfId="0" applyFont="1" applyFill="1" applyBorder="1" applyAlignment="1">
      <alignment horizontal="center" shrinkToFit="1"/>
    </xf>
    <xf numFmtId="0" fontId="11" fillId="17" borderId="4" xfId="0" applyFont="1" applyFill="1" applyBorder="1" applyAlignment="1">
      <alignment horizontal="center" shrinkToFit="1"/>
    </xf>
    <xf numFmtId="176" fontId="23" fillId="0" borderId="4" xfId="0" applyNumberFormat="1" applyFont="1" applyFill="1" applyBorder="1" applyAlignment="1">
      <alignment horizontal="center" shrinkToFit="1"/>
    </xf>
    <xf numFmtId="176" fontId="1" fillId="3" borderId="4" xfId="1" applyNumberFormat="1" applyFont="1" applyFill="1" applyBorder="1" applyAlignment="1">
      <alignment horizontal="center" shrinkToFit="1"/>
    </xf>
    <xf numFmtId="0" fontId="1" fillId="3" borderId="4" xfId="1" applyFont="1" applyFill="1" applyBorder="1" applyAlignment="1">
      <alignment horizontal="center" shrinkToFit="1"/>
    </xf>
    <xf numFmtId="0" fontId="11" fillId="3" borderId="4" xfId="1" applyFont="1" applyFill="1" applyBorder="1" applyAlignment="1">
      <alignment horizontal="center" shrinkToFit="1"/>
    </xf>
    <xf numFmtId="178" fontId="1" fillId="3" borderId="4" xfId="1" applyNumberFormat="1" applyFont="1" applyFill="1" applyBorder="1" applyAlignment="1">
      <alignment horizontal="center" shrinkToFit="1"/>
    </xf>
    <xf numFmtId="178" fontId="5" fillId="3" borderId="4" xfId="1" applyNumberFormat="1" applyFont="1" applyFill="1" applyBorder="1" applyAlignment="1">
      <alignment horizontal="center" shrinkToFit="1"/>
    </xf>
    <xf numFmtId="0" fontId="11" fillId="14" borderId="4" xfId="1" applyFont="1" applyFill="1" applyBorder="1" applyAlignment="1">
      <alignment horizontal="center" shrinkToFit="1"/>
    </xf>
    <xf numFmtId="178" fontId="5" fillId="14" borderId="4" xfId="1" applyNumberFormat="1" applyFont="1" applyFill="1" applyBorder="1" applyAlignment="1">
      <alignment horizontal="center" shrinkToFit="1"/>
    </xf>
    <xf numFmtId="176" fontId="1" fillId="6" borderId="4" xfId="1" applyNumberFormat="1" applyFont="1" applyFill="1" applyBorder="1" applyAlignment="1">
      <alignment horizontal="center" shrinkToFit="1"/>
    </xf>
    <xf numFmtId="0" fontId="1" fillId="6" borderId="4" xfId="1" applyFont="1" applyFill="1" applyBorder="1" applyAlignment="1">
      <alignment horizontal="center" shrinkToFit="1"/>
    </xf>
    <xf numFmtId="178" fontId="1" fillId="6" borderId="4" xfId="1" applyNumberFormat="1" applyFont="1" applyFill="1" applyBorder="1" applyAlignment="1">
      <alignment horizontal="center" shrinkToFit="1"/>
    </xf>
    <xf numFmtId="178" fontId="5" fillId="6" borderId="4" xfId="1" applyNumberFormat="1" applyFont="1" applyFill="1" applyBorder="1" applyAlignment="1">
      <alignment horizontal="center" shrinkToFit="1"/>
    </xf>
    <xf numFmtId="0" fontId="11" fillId="7" borderId="4" xfId="1" applyFont="1" applyFill="1" applyBorder="1" applyAlignment="1">
      <alignment horizontal="center" shrinkToFit="1"/>
    </xf>
    <xf numFmtId="178" fontId="5" fillId="7" borderId="4" xfId="1" applyNumberFormat="1" applyFont="1" applyFill="1" applyBorder="1" applyAlignment="1">
      <alignment horizontal="center" shrinkToFit="1"/>
    </xf>
    <xf numFmtId="176" fontId="1" fillId="11" borderId="4" xfId="1" applyNumberFormat="1" applyFont="1" applyFill="1" applyBorder="1" applyAlignment="1">
      <alignment horizontal="center" shrinkToFit="1"/>
    </xf>
    <xf numFmtId="0" fontId="1" fillId="11" borderId="4" xfId="1" applyFont="1" applyFill="1" applyBorder="1" applyAlignment="1">
      <alignment horizontal="center" shrinkToFit="1"/>
    </xf>
    <xf numFmtId="0" fontId="11" fillId="11" borderId="4" xfId="1" applyFont="1" applyFill="1" applyBorder="1" applyAlignment="1">
      <alignment horizontal="center" shrinkToFit="1"/>
    </xf>
    <xf numFmtId="178" fontId="1" fillId="11" borderId="4" xfId="1" applyNumberFormat="1" applyFont="1" applyFill="1" applyBorder="1" applyAlignment="1">
      <alignment horizontal="center" shrinkToFit="1"/>
    </xf>
    <xf numFmtId="178" fontId="5" fillId="11" borderId="4" xfId="1" applyNumberFormat="1" applyFont="1" applyFill="1" applyBorder="1" applyAlignment="1">
      <alignment horizontal="center" shrinkToFit="1"/>
    </xf>
    <xf numFmtId="0" fontId="1" fillId="0" borderId="0" xfId="0" applyFont="1">
      <alignment vertical="center"/>
    </xf>
    <xf numFmtId="176" fontId="1" fillId="4" borderId="4" xfId="1" applyNumberFormat="1" applyFont="1" applyFill="1" applyBorder="1" applyAlignment="1">
      <alignment horizontal="center" shrinkToFit="1"/>
    </xf>
    <xf numFmtId="0" fontId="1" fillId="4" borderId="4" xfId="1" applyFont="1" applyFill="1" applyBorder="1" applyAlignment="1">
      <alignment horizontal="center" shrinkToFit="1"/>
    </xf>
    <xf numFmtId="178" fontId="1" fillId="4" borderId="4" xfId="1" applyNumberFormat="1" applyFont="1" applyFill="1" applyBorder="1" applyAlignment="1">
      <alignment horizontal="center" shrinkToFit="1"/>
    </xf>
    <xf numFmtId="176" fontId="1" fillId="12" borderId="4" xfId="1" applyNumberFormat="1" applyFont="1" applyFill="1" applyBorder="1" applyAlignment="1">
      <alignment horizontal="center" shrinkToFit="1"/>
    </xf>
    <xf numFmtId="0" fontId="1" fillId="12" borderId="4" xfId="1" applyFont="1" applyFill="1" applyBorder="1" applyAlignment="1">
      <alignment horizontal="center" shrinkToFit="1"/>
    </xf>
    <xf numFmtId="178" fontId="1" fillId="12" borderId="4" xfId="1" applyNumberFormat="1" applyFont="1" applyFill="1" applyBorder="1" applyAlignment="1">
      <alignment horizontal="center" shrinkToFit="1"/>
    </xf>
    <xf numFmtId="176" fontId="1" fillId="5" borderId="4" xfId="1" applyNumberFormat="1" applyFont="1" applyFill="1" applyBorder="1" applyAlignment="1">
      <alignment horizontal="center" shrinkToFit="1"/>
    </xf>
    <xf numFmtId="0" fontId="1" fillId="5" borderId="4" xfId="1" applyFont="1" applyFill="1" applyBorder="1" applyAlignment="1">
      <alignment horizontal="center" shrinkToFit="1"/>
    </xf>
    <xf numFmtId="178" fontId="1" fillId="5" borderId="4" xfId="1" applyNumberFormat="1" applyFont="1" applyFill="1" applyBorder="1" applyAlignment="1">
      <alignment horizontal="center" shrinkToFit="1"/>
    </xf>
    <xf numFmtId="176" fontId="1" fillId="17" borderId="4" xfId="1" applyNumberFormat="1" applyFont="1" applyFill="1" applyBorder="1" applyAlignment="1">
      <alignment horizontal="center" shrinkToFit="1"/>
    </xf>
    <xf numFmtId="0" fontId="1" fillId="17" borderId="4" xfId="1" applyFont="1" applyFill="1" applyBorder="1" applyAlignment="1">
      <alignment horizontal="center" shrinkToFit="1"/>
    </xf>
    <xf numFmtId="178" fontId="1" fillId="17" borderId="4" xfId="1" applyNumberFormat="1" applyFont="1" applyFill="1" applyBorder="1" applyAlignment="1">
      <alignment horizontal="center" shrinkToFit="1"/>
    </xf>
    <xf numFmtId="178" fontId="5" fillId="17" borderId="4" xfId="1" applyNumberFormat="1" applyFont="1" applyFill="1" applyBorder="1" applyAlignment="1">
      <alignment horizontal="center" shrinkToFit="1"/>
    </xf>
    <xf numFmtId="176" fontId="1" fillId="15" borderId="4" xfId="1" applyNumberFormat="1" applyFont="1" applyFill="1" applyBorder="1" applyAlignment="1">
      <alignment horizontal="center" shrinkToFit="1"/>
    </xf>
    <xf numFmtId="0" fontId="1" fillId="15" borderId="4" xfId="1" applyFont="1" applyFill="1" applyBorder="1" applyAlignment="1">
      <alignment horizontal="center" shrinkToFit="1"/>
    </xf>
    <xf numFmtId="178" fontId="1" fillId="15" borderId="4" xfId="1" applyNumberFormat="1" applyFont="1" applyFill="1" applyBorder="1" applyAlignment="1">
      <alignment horizontal="center" shrinkToFit="1"/>
    </xf>
    <xf numFmtId="0" fontId="5" fillId="5" borderId="4" xfId="1" applyFont="1" applyFill="1" applyBorder="1" applyAlignment="1">
      <alignment horizontal="center" shrinkToFit="1"/>
    </xf>
    <xf numFmtId="176" fontId="1" fillId="14" borderId="4" xfId="0" applyNumberFormat="1" applyFont="1" applyFill="1" applyBorder="1" applyAlignment="1">
      <alignment horizontal="center" shrinkToFit="1"/>
    </xf>
    <xf numFmtId="0" fontId="11" fillId="14" borderId="5" xfId="0" applyFont="1" applyFill="1" applyBorder="1" applyAlignment="1">
      <alignment horizontal="center" shrinkToFit="1"/>
    </xf>
    <xf numFmtId="178" fontId="1" fillId="14" borderId="4" xfId="0" applyNumberFormat="1" applyFont="1" applyFill="1" applyBorder="1" applyAlignment="1">
      <alignment horizontal="center" shrinkToFit="1"/>
    </xf>
    <xf numFmtId="178" fontId="4" fillId="14" borderId="4" xfId="0" applyNumberFormat="1" applyFont="1" applyFill="1" applyBorder="1" applyAlignment="1">
      <alignment horizontal="center" shrinkToFit="1"/>
    </xf>
    <xf numFmtId="49" fontId="5" fillId="14" borderId="4" xfId="0" applyNumberFormat="1" applyFont="1" applyFill="1" applyBorder="1" applyAlignment="1">
      <alignment horizontal="center" shrinkToFit="1"/>
    </xf>
    <xf numFmtId="0" fontId="5" fillId="3" borderId="4" xfId="1" applyFont="1" applyFill="1" applyBorder="1" applyAlignment="1">
      <alignment horizontal="center" shrinkToFit="1"/>
    </xf>
    <xf numFmtId="0" fontId="4" fillId="5" borderId="4" xfId="1" applyFont="1" applyFill="1" applyBorder="1" applyAlignment="1">
      <alignment horizontal="center" shrinkToFit="1"/>
    </xf>
    <xf numFmtId="0" fontId="11" fillId="0" borderId="5" xfId="0" applyFont="1" applyFill="1" applyBorder="1" applyAlignment="1">
      <alignment horizontal="center" shrinkToFit="1"/>
    </xf>
    <xf numFmtId="0" fontId="5" fillId="14" borderId="4" xfId="1" applyFont="1" applyFill="1" applyBorder="1" applyAlignment="1">
      <alignment horizontal="center" shrinkToFit="1"/>
    </xf>
    <xf numFmtId="0" fontId="4" fillId="6" borderId="4" xfId="1" applyFont="1" applyFill="1" applyBorder="1" applyAlignment="1">
      <alignment horizontal="center" shrinkToFit="1"/>
    </xf>
    <xf numFmtId="0" fontId="4" fillId="4" borderId="4" xfId="1" applyFont="1" applyFill="1" applyBorder="1" applyAlignment="1">
      <alignment horizontal="center" shrinkToFit="1"/>
    </xf>
    <xf numFmtId="0" fontId="4" fillId="3" borderId="4" xfId="1" applyFont="1" applyFill="1" applyBorder="1" applyAlignment="1">
      <alignment horizontal="center" shrinkToFit="1"/>
    </xf>
    <xf numFmtId="176" fontId="1" fillId="17" borderId="4" xfId="0" applyNumberFormat="1" applyFont="1" applyFill="1" applyBorder="1" applyAlignment="1">
      <alignment horizontal="center" shrinkToFit="1"/>
    </xf>
    <xf numFmtId="178" fontId="1" fillId="17" borderId="4" xfId="0" applyNumberFormat="1" applyFont="1" applyFill="1" applyBorder="1" applyAlignment="1">
      <alignment horizontal="center" shrinkToFit="1"/>
    </xf>
    <xf numFmtId="178" fontId="4" fillId="17" borderId="4" xfId="0" applyNumberFormat="1" applyFont="1" applyFill="1" applyBorder="1" applyAlignment="1">
      <alignment horizontal="center" shrinkToFit="1"/>
    </xf>
    <xf numFmtId="49" fontId="5" fillId="17" borderId="4" xfId="0" applyNumberFormat="1" applyFont="1" applyFill="1" applyBorder="1" applyAlignment="1">
      <alignment horizontal="center" shrinkToFit="1"/>
    </xf>
    <xf numFmtId="0" fontId="11" fillId="5" borderId="4" xfId="1" applyFont="1" applyFill="1" applyBorder="1" applyAlignment="1">
      <alignment horizontal="center" shrinkToFit="1"/>
    </xf>
    <xf numFmtId="176" fontId="13" fillId="8" borderId="2" xfId="0" applyNumberFormat="1" applyFont="1" applyFill="1" applyBorder="1" applyAlignment="1">
      <alignment vertical="center"/>
    </xf>
    <xf numFmtId="0" fontId="11" fillId="17" borderId="4" xfId="1" applyFont="1" applyFill="1" applyBorder="1" applyAlignment="1">
      <alignment horizontal="center" shrinkToFit="1"/>
    </xf>
    <xf numFmtId="178" fontId="5" fillId="5" borderId="4" xfId="1" applyNumberFormat="1" applyFont="1" applyFill="1" applyBorder="1" applyAlignment="1">
      <alignment horizontal="center" shrinkToFit="1"/>
    </xf>
    <xf numFmtId="0" fontId="11" fillId="15" borderId="4" xfId="1" applyFont="1" applyFill="1" applyBorder="1" applyAlignment="1">
      <alignment horizontal="center" shrinkToFit="1"/>
    </xf>
    <xf numFmtId="178" fontId="5" fillId="15" borderId="4" xfId="1" applyNumberFormat="1" applyFont="1" applyFill="1" applyBorder="1" applyAlignment="1">
      <alignment horizontal="center" shrinkToFit="1"/>
    </xf>
    <xf numFmtId="0" fontId="4" fillId="15" borderId="4" xfId="1" applyFont="1" applyFill="1" applyBorder="1" applyAlignment="1">
      <alignment horizontal="center" shrinkToFit="1"/>
    </xf>
    <xf numFmtId="14" fontId="18" fillId="0" borderId="0" xfId="0" applyNumberFormat="1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177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176" fontId="1" fillId="0" borderId="0" xfId="1" applyNumberFormat="1" applyFont="1" applyFill="1" applyAlignment="1">
      <alignment horizontal="center"/>
    </xf>
    <xf numFmtId="0" fontId="5" fillId="0" borderId="0" xfId="1" applyFont="1" applyFill="1" applyAlignment="1">
      <alignment horizontal="center"/>
    </xf>
    <xf numFmtId="179" fontId="11" fillId="0" borderId="0" xfId="1" applyNumberFormat="1" applyFont="1" applyFill="1" applyAlignment="1">
      <alignment horizontal="center"/>
    </xf>
    <xf numFmtId="0" fontId="1" fillId="0" borderId="0" xfId="1" applyFont="1" applyFill="1" applyAlignment="1">
      <alignment horizontal="center"/>
    </xf>
    <xf numFmtId="0" fontId="11" fillId="10" borderId="4" xfId="1" applyFont="1" applyFill="1" applyBorder="1" applyAlignment="1">
      <alignment horizontal="center" shrinkToFit="1"/>
    </xf>
    <xf numFmtId="176" fontId="1" fillId="0" borderId="4" xfId="1" applyNumberFormat="1" applyFont="1" applyFill="1" applyBorder="1" applyAlignment="1">
      <alignment horizontal="center" shrinkToFit="1"/>
    </xf>
    <xf numFmtId="0" fontId="1" fillId="0" borderId="4" xfId="1" applyFont="1" applyFill="1" applyBorder="1" applyAlignment="1">
      <alignment horizontal="center" shrinkToFit="1"/>
    </xf>
    <xf numFmtId="0" fontId="11" fillId="0" borderId="4" xfId="1" applyFont="1" applyFill="1" applyBorder="1" applyAlignment="1">
      <alignment horizontal="center" shrinkToFit="1"/>
    </xf>
    <xf numFmtId="178" fontId="1" fillId="0" borderId="4" xfId="1" applyNumberFormat="1" applyFont="1" applyFill="1" applyBorder="1" applyAlignment="1">
      <alignment horizontal="center" shrinkToFit="1"/>
    </xf>
    <xf numFmtId="178" fontId="23" fillId="0" borderId="4" xfId="1" applyNumberFormat="1" applyFont="1" applyFill="1" applyBorder="1" applyAlignment="1">
      <alignment horizontal="center" shrinkToFit="1"/>
    </xf>
    <xf numFmtId="0" fontId="4" fillId="17" borderId="4" xfId="0" applyFont="1" applyFill="1" applyBorder="1" applyAlignment="1">
      <alignment horizontal="center" shrinkToFit="1"/>
    </xf>
    <xf numFmtId="0" fontId="11" fillId="13" borderId="4" xfId="1" applyFont="1" applyFill="1" applyBorder="1" applyAlignment="1">
      <alignment horizontal="center" shrinkToFit="1"/>
    </xf>
    <xf numFmtId="178" fontId="23" fillId="13" borderId="4" xfId="1" applyNumberFormat="1" applyFont="1" applyFill="1" applyBorder="1" applyAlignment="1">
      <alignment horizontal="center" shrinkToFit="1"/>
    </xf>
    <xf numFmtId="0" fontId="11" fillId="6" borderId="4" xfId="1" applyFont="1" applyFill="1" applyBorder="1" applyAlignment="1">
      <alignment horizontal="center" shrinkToFit="1"/>
    </xf>
    <xf numFmtId="178" fontId="23" fillId="6" borderId="4" xfId="1" applyNumberFormat="1" applyFont="1" applyFill="1" applyBorder="1" applyAlignment="1">
      <alignment horizontal="center" shrinkToFit="1"/>
    </xf>
    <xf numFmtId="0" fontId="11" fillId="4" borderId="4" xfId="1" applyFont="1" applyFill="1" applyBorder="1" applyAlignment="1">
      <alignment horizontal="center" shrinkToFit="1"/>
    </xf>
    <xf numFmtId="178" fontId="23" fillId="4" borderId="4" xfId="1" applyNumberFormat="1" applyFont="1" applyFill="1" applyBorder="1" applyAlignment="1">
      <alignment horizontal="center" shrinkToFit="1"/>
    </xf>
    <xf numFmtId="176" fontId="1" fillId="18" borderId="4" xfId="0" applyNumberFormat="1" applyFont="1" applyFill="1" applyBorder="1" applyAlignment="1">
      <alignment horizontal="center" shrinkToFit="1"/>
    </xf>
    <xf numFmtId="0" fontId="1" fillId="18" borderId="4" xfId="0" applyFont="1" applyFill="1" applyBorder="1" applyAlignment="1">
      <alignment horizontal="center" shrinkToFit="1"/>
    </xf>
    <xf numFmtId="0" fontId="11" fillId="18" borderId="4" xfId="0" applyFont="1" applyFill="1" applyBorder="1" applyAlignment="1">
      <alignment horizontal="center" shrinkToFit="1"/>
    </xf>
    <xf numFmtId="178" fontId="1" fillId="18" borderId="4" xfId="0" applyNumberFormat="1" applyFont="1" applyFill="1" applyBorder="1" applyAlignment="1">
      <alignment horizontal="center" shrinkToFit="1"/>
    </xf>
    <xf numFmtId="178" fontId="4" fillId="18" borderId="4" xfId="0" applyNumberFormat="1" applyFont="1" applyFill="1" applyBorder="1" applyAlignment="1">
      <alignment horizontal="center" shrinkToFit="1"/>
    </xf>
    <xf numFmtId="49" fontId="5" fillId="18" borderId="4" xfId="0" applyNumberFormat="1" applyFont="1" applyFill="1" applyBorder="1" applyAlignment="1">
      <alignment horizontal="center" shrinkToFit="1"/>
    </xf>
    <xf numFmtId="176" fontId="1" fillId="9" borderId="4" xfId="0" applyNumberFormat="1" applyFont="1" applyFill="1" applyBorder="1" applyAlignment="1">
      <alignment horizontal="center" shrinkToFit="1"/>
    </xf>
    <xf numFmtId="0" fontId="1" fillId="9" borderId="4" xfId="0" applyFont="1" applyFill="1" applyBorder="1" applyAlignment="1">
      <alignment horizontal="center" shrinkToFit="1"/>
    </xf>
    <xf numFmtId="0" fontId="11" fillId="9" borderId="4" xfId="0" applyFont="1" applyFill="1" applyBorder="1" applyAlignment="1">
      <alignment horizontal="center" shrinkToFit="1"/>
    </xf>
    <xf numFmtId="178" fontId="1" fillId="9" borderId="4" xfId="0" applyNumberFormat="1" applyFont="1" applyFill="1" applyBorder="1" applyAlignment="1">
      <alignment horizontal="center" shrinkToFit="1"/>
    </xf>
    <xf numFmtId="178" fontId="4" fillId="9" borderId="4" xfId="0" applyNumberFormat="1" applyFont="1" applyFill="1" applyBorder="1" applyAlignment="1">
      <alignment horizontal="center" shrinkToFit="1"/>
    </xf>
    <xf numFmtId="49" fontId="5" fillId="9" borderId="4" xfId="0" applyNumberFormat="1" applyFont="1" applyFill="1" applyBorder="1" applyAlignment="1">
      <alignment horizontal="center" shrinkToFit="1"/>
    </xf>
    <xf numFmtId="176" fontId="1" fillId="12" borderId="4" xfId="0" applyNumberFormat="1" applyFont="1" applyFill="1" applyBorder="1" applyAlignment="1">
      <alignment horizontal="center" shrinkToFit="1"/>
    </xf>
    <xf numFmtId="178" fontId="1" fillId="12" borderId="4" xfId="0" applyNumberFormat="1" applyFont="1" applyFill="1" applyBorder="1" applyAlignment="1">
      <alignment horizontal="center" shrinkToFit="1"/>
    </xf>
    <xf numFmtId="178" fontId="4" fillId="12" borderId="4" xfId="0" applyNumberFormat="1" applyFont="1" applyFill="1" applyBorder="1" applyAlignment="1">
      <alignment horizontal="center" shrinkToFit="1"/>
    </xf>
    <xf numFmtId="49" fontId="5" fillId="12" borderId="4" xfId="0" applyNumberFormat="1" applyFont="1" applyFill="1" applyBorder="1" applyAlignment="1">
      <alignment horizontal="center" shrinkToFit="1"/>
    </xf>
    <xf numFmtId="176" fontId="1" fillId="11" borderId="4" xfId="0" applyNumberFormat="1" applyFont="1" applyFill="1" applyBorder="1" applyAlignment="1">
      <alignment horizontal="center" shrinkToFit="1"/>
    </xf>
    <xf numFmtId="178" fontId="1" fillId="11" borderId="4" xfId="0" applyNumberFormat="1" applyFont="1" applyFill="1" applyBorder="1" applyAlignment="1">
      <alignment horizontal="center" shrinkToFit="1"/>
    </xf>
    <xf numFmtId="178" fontId="4" fillId="11" borderId="4" xfId="0" applyNumberFormat="1" applyFont="1" applyFill="1" applyBorder="1" applyAlignment="1">
      <alignment horizontal="center" shrinkToFit="1"/>
    </xf>
    <xf numFmtId="49" fontId="5" fillId="11" borderId="4" xfId="0" applyNumberFormat="1" applyFont="1" applyFill="1" applyBorder="1" applyAlignment="1">
      <alignment horizontal="center" shrinkToFit="1"/>
    </xf>
    <xf numFmtId="176" fontId="1" fillId="7" borderId="4" xfId="0" applyNumberFormat="1" applyFont="1" applyFill="1" applyBorder="1" applyAlignment="1">
      <alignment horizontal="center" shrinkToFit="1"/>
    </xf>
    <xf numFmtId="178" fontId="1" fillId="7" borderId="4" xfId="0" applyNumberFormat="1" applyFont="1" applyFill="1" applyBorder="1" applyAlignment="1">
      <alignment horizontal="center" shrinkToFit="1"/>
    </xf>
    <xf numFmtId="178" fontId="4" fillId="7" borderId="4" xfId="0" applyNumberFormat="1" applyFont="1" applyFill="1" applyBorder="1" applyAlignment="1">
      <alignment horizontal="center" shrinkToFit="1"/>
    </xf>
    <xf numFmtId="49" fontId="5" fillId="7" borderId="4" xfId="0" applyNumberFormat="1" applyFont="1" applyFill="1" applyBorder="1" applyAlignment="1">
      <alignment horizontal="center" shrinkToFit="1"/>
    </xf>
    <xf numFmtId="0" fontId="4" fillId="9" borderId="4" xfId="0" applyFont="1" applyFill="1" applyBorder="1" applyAlignment="1">
      <alignment horizontal="center" shrinkToFit="1"/>
    </xf>
    <xf numFmtId="0" fontId="11" fillId="12" borderId="4" xfId="1" applyFont="1" applyFill="1" applyBorder="1" applyAlignment="1">
      <alignment horizontal="center" shrinkToFit="1"/>
    </xf>
    <xf numFmtId="0" fontId="11" fillId="12" borderId="5" xfId="0" applyFont="1" applyFill="1" applyBorder="1" applyAlignment="1">
      <alignment horizontal="center" shrinkToFit="1"/>
    </xf>
    <xf numFmtId="0" fontId="4" fillId="12" borderId="4" xfId="0" applyFont="1" applyFill="1" applyBorder="1" applyAlignment="1">
      <alignment horizontal="center" shrinkToFit="1"/>
    </xf>
    <xf numFmtId="0" fontId="11" fillId="5" borderId="5" xfId="0" applyFont="1" applyFill="1" applyBorder="1" applyAlignment="1">
      <alignment horizontal="center" shrinkToFit="1"/>
    </xf>
    <xf numFmtId="0" fontId="11" fillId="11" borderId="5" xfId="0" applyFont="1" applyFill="1" applyBorder="1" applyAlignment="1">
      <alignment horizontal="center" shrinkToFit="1"/>
    </xf>
    <xf numFmtId="176" fontId="1" fillId="19" borderId="4" xfId="0" applyNumberFormat="1" applyFont="1" applyFill="1" applyBorder="1" applyAlignment="1">
      <alignment horizontal="center" shrinkToFit="1"/>
    </xf>
    <xf numFmtId="0" fontId="1" fillId="19" borderId="4" xfId="0" applyFont="1" applyFill="1" applyBorder="1" applyAlignment="1">
      <alignment horizontal="center" shrinkToFit="1"/>
    </xf>
    <xf numFmtId="0" fontId="11" fillId="19" borderId="4" xfId="0" applyFont="1" applyFill="1" applyBorder="1" applyAlignment="1">
      <alignment horizontal="center" shrinkToFit="1"/>
    </xf>
    <xf numFmtId="178" fontId="1" fillId="19" borderId="4" xfId="0" applyNumberFormat="1" applyFont="1" applyFill="1" applyBorder="1" applyAlignment="1">
      <alignment horizontal="center" shrinkToFit="1"/>
    </xf>
    <xf numFmtId="178" fontId="4" fillId="19" borderId="4" xfId="0" applyNumberFormat="1" applyFont="1" applyFill="1" applyBorder="1" applyAlignment="1">
      <alignment horizontal="center" shrinkToFit="1"/>
    </xf>
    <xf numFmtId="49" fontId="5" fillId="19" borderId="4" xfId="0" applyNumberFormat="1" applyFont="1" applyFill="1" applyBorder="1" applyAlignment="1">
      <alignment horizontal="center" shrinkToFit="1"/>
    </xf>
    <xf numFmtId="0" fontId="4" fillId="13" borderId="4" xfId="0" applyFont="1" applyFill="1" applyBorder="1" applyAlignment="1">
      <alignment horizontal="center" shrinkToFit="1"/>
    </xf>
    <xf numFmtId="176" fontId="1" fillId="15" borderId="4" xfId="0" applyNumberFormat="1" applyFont="1" applyFill="1" applyBorder="1" applyAlignment="1">
      <alignment horizontal="center" shrinkToFit="1"/>
    </xf>
    <xf numFmtId="0" fontId="11" fillId="15" borderId="5" xfId="0" applyFont="1" applyFill="1" applyBorder="1" applyAlignment="1">
      <alignment horizontal="center" shrinkToFit="1"/>
    </xf>
    <xf numFmtId="178" fontId="1" fillId="15" borderId="4" xfId="0" applyNumberFormat="1" applyFont="1" applyFill="1" applyBorder="1" applyAlignment="1">
      <alignment horizontal="center" shrinkToFit="1"/>
    </xf>
    <xf numFmtId="178" fontId="4" fillId="15" borderId="4" xfId="0" applyNumberFormat="1" applyFont="1" applyFill="1" applyBorder="1" applyAlignment="1">
      <alignment horizontal="center" shrinkToFit="1"/>
    </xf>
    <xf numFmtId="49" fontId="5" fillId="15" borderId="4" xfId="0" applyNumberFormat="1" applyFont="1" applyFill="1" applyBorder="1" applyAlignment="1">
      <alignment horizontal="center" shrinkToFit="1"/>
    </xf>
    <xf numFmtId="0" fontId="11" fillId="9" borderId="5" xfId="0" applyFont="1" applyFill="1" applyBorder="1" applyAlignment="1">
      <alignment horizontal="center" shrinkToFit="1"/>
    </xf>
    <xf numFmtId="176" fontId="1" fillId="20" borderId="4" xfId="0" applyNumberFormat="1" applyFont="1" applyFill="1" applyBorder="1" applyAlignment="1">
      <alignment horizontal="center" shrinkToFit="1"/>
    </xf>
    <xf numFmtId="0" fontId="1" fillId="20" borderId="4" xfId="0" applyFont="1" applyFill="1" applyBorder="1" applyAlignment="1">
      <alignment horizontal="center" shrinkToFit="1"/>
    </xf>
    <xf numFmtId="0" fontId="11" fillId="20" borderId="4" xfId="0" applyFont="1" applyFill="1" applyBorder="1" applyAlignment="1">
      <alignment horizontal="center" shrinkToFit="1"/>
    </xf>
    <xf numFmtId="178" fontId="1" fillId="20" borderId="4" xfId="0" applyNumberFormat="1" applyFont="1" applyFill="1" applyBorder="1" applyAlignment="1">
      <alignment horizontal="center" shrinkToFit="1"/>
    </xf>
    <xf numFmtId="178" fontId="4" fillId="20" borderId="4" xfId="0" applyNumberFormat="1" applyFont="1" applyFill="1" applyBorder="1" applyAlignment="1">
      <alignment horizontal="center" shrinkToFit="1"/>
    </xf>
    <xf numFmtId="49" fontId="5" fillId="20" borderId="4" xfId="0" applyNumberFormat="1" applyFont="1" applyFill="1" applyBorder="1" applyAlignment="1">
      <alignment horizontal="center" shrinkToFit="1"/>
    </xf>
    <xf numFmtId="176" fontId="1" fillId="21" borderId="4" xfId="0" applyNumberFormat="1" applyFont="1" applyFill="1" applyBorder="1" applyAlignment="1">
      <alignment horizontal="center" shrinkToFit="1"/>
    </xf>
    <xf numFmtId="0" fontId="1" fillId="21" borderId="4" xfId="0" applyFont="1" applyFill="1" applyBorder="1" applyAlignment="1">
      <alignment horizontal="center" shrinkToFit="1"/>
    </xf>
    <xf numFmtId="0" fontId="11" fillId="21" borderId="4" xfId="0" applyFont="1" applyFill="1" applyBorder="1" applyAlignment="1">
      <alignment horizontal="center" shrinkToFit="1"/>
    </xf>
    <xf numFmtId="178" fontId="1" fillId="21" borderId="4" xfId="0" applyNumberFormat="1" applyFont="1" applyFill="1" applyBorder="1" applyAlignment="1">
      <alignment horizontal="center" shrinkToFit="1"/>
    </xf>
    <xf numFmtId="178" fontId="4" fillId="21" borderId="4" xfId="0" applyNumberFormat="1" applyFont="1" applyFill="1" applyBorder="1" applyAlignment="1">
      <alignment horizontal="center" shrinkToFit="1"/>
    </xf>
    <xf numFmtId="49" fontId="5" fillId="21" borderId="4" xfId="0" applyNumberFormat="1" applyFont="1" applyFill="1" applyBorder="1" applyAlignment="1">
      <alignment horizontal="center" shrinkToFit="1"/>
    </xf>
    <xf numFmtId="0" fontId="11" fillId="3" borderId="5" xfId="0" applyFont="1" applyFill="1" applyBorder="1" applyAlignment="1">
      <alignment horizontal="center" shrinkToFit="1"/>
    </xf>
    <xf numFmtId="176" fontId="1" fillId="22" borderId="4" xfId="0" applyNumberFormat="1" applyFont="1" applyFill="1" applyBorder="1" applyAlignment="1">
      <alignment horizontal="center" shrinkToFit="1"/>
    </xf>
    <xf numFmtId="0" fontId="1" fillId="22" borderId="4" xfId="0" applyFont="1" applyFill="1" applyBorder="1" applyAlignment="1">
      <alignment horizontal="center" shrinkToFit="1"/>
    </xf>
    <xf numFmtId="0" fontId="11" fillId="22" borderId="4" xfId="0" applyFont="1" applyFill="1" applyBorder="1" applyAlignment="1">
      <alignment horizontal="center" shrinkToFit="1"/>
    </xf>
    <xf numFmtId="178" fontId="1" fillId="22" borderId="4" xfId="0" applyNumberFormat="1" applyFont="1" applyFill="1" applyBorder="1" applyAlignment="1">
      <alignment horizontal="center" shrinkToFit="1"/>
    </xf>
    <xf numFmtId="178" fontId="4" fillId="22" borderId="4" xfId="0" applyNumberFormat="1" applyFont="1" applyFill="1" applyBorder="1" applyAlignment="1">
      <alignment horizontal="center" shrinkToFit="1"/>
    </xf>
    <xf numFmtId="49" fontId="5" fillId="22" borderId="4" xfId="0" applyNumberFormat="1" applyFont="1" applyFill="1" applyBorder="1" applyAlignment="1">
      <alignment horizontal="center" shrinkToFit="1"/>
    </xf>
    <xf numFmtId="0" fontId="11" fillId="19" borderId="5" xfId="0" applyFont="1" applyFill="1" applyBorder="1" applyAlignment="1">
      <alignment horizontal="center" shrinkToFit="1"/>
    </xf>
    <xf numFmtId="176" fontId="1" fillId="23" borderId="4" xfId="0" applyNumberFormat="1" applyFont="1" applyFill="1" applyBorder="1" applyAlignment="1">
      <alignment horizontal="center" shrinkToFit="1"/>
    </xf>
    <xf numFmtId="0" fontId="1" fillId="23" borderId="4" xfId="0" applyFont="1" applyFill="1" applyBorder="1" applyAlignment="1">
      <alignment horizontal="center" shrinkToFit="1"/>
    </xf>
    <xf numFmtId="0" fontId="11" fillId="23" borderId="5" xfId="0" applyFont="1" applyFill="1" applyBorder="1" applyAlignment="1">
      <alignment horizontal="center" shrinkToFit="1"/>
    </xf>
    <xf numFmtId="0" fontId="11" fillId="23" borderId="4" xfId="0" applyFont="1" applyFill="1" applyBorder="1" applyAlignment="1">
      <alignment horizontal="center" shrinkToFit="1"/>
    </xf>
    <xf numFmtId="178" fontId="1" fillId="23" borderId="4" xfId="0" applyNumberFormat="1" applyFont="1" applyFill="1" applyBorder="1" applyAlignment="1">
      <alignment horizontal="center" shrinkToFit="1"/>
    </xf>
    <xf numFmtId="178" fontId="4" fillId="23" borderId="4" xfId="0" applyNumberFormat="1" applyFont="1" applyFill="1" applyBorder="1" applyAlignment="1">
      <alignment horizontal="center" shrinkToFit="1"/>
    </xf>
    <xf numFmtId="49" fontId="5" fillId="23" borderId="4" xfId="0" applyNumberFormat="1" applyFont="1" applyFill="1" applyBorder="1" applyAlignment="1">
      <alignment horizontal="center" shrinkToFit="1"/>
    </xf>
    <xf numFmtId="176" fontId="1" fillId="24" borderId="4" xfId="0" applyNumberFormat="1" applyFont="1" applyFill="1" applyBorder="1" applyAlignment="1">
      <alignment horizontal="center" shrinkToFit="1"/>
    </xf>
    <xf numFmtId="0" fontId="1" fillId="24" borderId="4" xfId="0" applyFont="1" applyFill="1" applyBorder="1" applyAlignment="1">
      <alignment horizontal="center" shrinkToFit="1"/>
    </xf>
    <xf numFmtId="0" fontId="11" fillId="24" borderId="5" xfId="0" applyFont="1" applyFill="1" applyBorder="1" applyAlignment="1">
      <alignment horizontal="center" shrinkToFit="1"/>
    </xf>
    <xf numFmtId="0" fontId="11" fillId="24" borderId="4" xfId="0" applyFont="1" applyFill="1" applyBorder="1" applyAlignment="1">
      <alignment horizontal="center" shrinkToFit="1"/>
    </xf>
    <xf numFmtId="178" fontId="1" fillId="24" borderId="4" xfId="0" applyNumberFormat="1" applyFont="1" applyFill="1" applyBorder="1" applyAlignment="1">
      <alignment horizontal="center" shrinkToFit="1"/>
    </xf>
    <xf numFmtId="178" fontId="4" fillId="24" borderId="4" xfId="0" applyNumberFormat="1" applyFont="1" applyFill="1" applyBorder="1" applyAlignment="1">
      <alignment horizontal="center" shrinkToFit="1"/>
    </xf>
    <xf numFmtId="49" fontId="5" fillId="24" borderId="4" xfId="0" applyNumberFormat="1" applyFont="1" applyFill="1" applyBorder="1" applyAlignment="1">
      <alignment horizontal="center" shrinkToFit="1"/>
    </xf>
    <xf numFmtId="176" fontId="1" fillId="19" borderId="4" xfId="1" applyNumberFormat="1" applyFont="1" applyFill="1" applyBorder="1" applyAlignment="1">
      <alignment horizontal="center" shrinkToFit="1"/>
    </xf>
    <xf numFmtId="0" fontId="1" fillId="19" borderId="4" xfId="1" applyFont="1" applyFill="1" applyBorder="1" applyAlignment="1">
      <alignment horizontal="center" shrinkToFit="1"/>
    </xf>
    <xf numFmtId="0" fontId="11" fillId="19" borderId="4" xfId="1" applyFont="1" applyFill="1" applyBorder="1" applyAlignment="1">
      <alignment horizontal="center" shrinkToFit="1"/>
    </xf>
    <xf numFmtId="178" fontId="1" fillId="19" borderId="4" xfId="1" applyNumberFormat="1" applyFont="1" applyFill="1" applyBorder="1" applyAlignment="1">
      <alignment horizontal="center" shrinkToFit="1"/>
    </xf>
    <xf numFmtId="178" fontId="32" fillId="19" borderId="4" xfId="1" applyNumberFormat="1" applyFont="1" applyFill="1" applyBorder="1" applyAlignment="1">
      <alignment horizontal="center" shrinkToFit="1"/>
    </xf>
    <xf numFmtId="14" fontId="16" fillId="0" borderId="0" xfId="0" applyNumberFormat="1" applyFont="1" applyFill="1" applyAlignment="1">
      <alignment horizontal="center"/>
    </xf>
    <xf numFmtId="0" fontId="32" fillId="12" borderId="4" xfId="0" applyFont="1" applyFill="1" applyBorder="1" applyAlignment="1">
      <alignment horizontal="center" shrinkToFit="1"/>
    </xf>
    <xf numFmtId="176" fontId="11" fillId="12" borderId="4" xfId="0" applyNumberFormat="1" applyFont="1" applyFill="1" applyBorder="1" applyAlignment="1">
      <alignment horizontal="center" shrinkToFit="1"/>
    </xf>
    <xf numFmtId="176" fontId="1" fillId="2" borderId="4" xfId="0" applyNumberFormat="1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0" fontId="11" fillId="2" borderId="5" xfId="0" applyFont="1" applyFill="1" applyBorder="1" applyAlignment="1">
      <alignment horizontal="center" shrinkToFit="1"/>
    </xf>
    <xf numFmtId="0" fontId="11" fillId="2" borderId="4" xfId="0" applyFont="1" applyFill="1" applyBorder="1" applyAlignment="1">
      <alignment horizontal="center" shrinkToFit="1"/>
    </xf>
    <xf numFmtId="178" fontId="1" fillId="2" borderId="4" xfId="0" applyNumberFormat="1" applyFont="1" applyFill="1" applyBorder="1" applyAlignment="1">
      <alignment horizontal="center" shrinkToFit="1"/>
    </xf>
    <xf numFmtId="178" fontId="4" fillId="2" borderId="4" xfId="0" applyNumberFormat="1" applyFont="1" applyFill="1" applyBorder="1" applyAlignment="1">
      <alignment horizontal="center" shrinkToFit="1"/>
    </xf>
    <xf numFmtId="49" fontId="5" fillId="2" borderId="4" xfId="0" applyNumberFormat="1" applyFont="1" applyFill="1" applyBorder="1" applyAlignment="1">
      <alignment horizontal="center" shrinkToFit="1"/>
    </xf>
    <xf numFmtId="176" fontId="11" fillId="15" borderId="4" xfId="0" applyNumberFormat="1" applyFont="1" applyFill="1" applyBorder="1" applyAlignment="1">
      <alignment horizontal="center" shrinkToFit="1"/>
    </xf>
    <xf numFmtId="176" fontId="1" fillId="25" borderId="4" xfId="1" applyNumberFormat="1" applyFont="1" applyFill="1" applyBorder="1" applyAlignment="1">
      <alignment horizontal="center" shrinkToFit="1"/>
    </xf>
    <xf numFmtId="0" fontId="1" fillId="25" borderId="4" xfId="1" applyFont="1" applyFill="1" applyBorder="1" applyAlignment="1">
      <alignment horizontal="center" shrinkToFit="1"/>
    </xf>
    <xf numFmtId="0" fontId="11" fillId="25" borderId="4" xfId="1" applyFont="1" applyFill="1" applyBorder="1" applyAlignment="1">
      <alignment horizontal="center" shrinkToFit="1"/>
    </xf>
    <xf numFmtId="0" fontId="11" fillId="25" borderId="4" xfId="0" applyFont="1" applyFill="1" applyBorder="1" applyAlignment="1">
      <alignment horizontal="center" shrinkToFit="1"/>
    </xf>
    <xf numFmtId="0" fontId="1" fillId="25" borderId="4" xfId="0" applyFont="1" applyFill="1" applyBorder="1" applyAlignment="1">
      <alignment horizontal="center" shrinkToFit="1"/>
    </xf>
    <xf numFmtId="178" fontId="1" fillId="25" borderId="4" xfId="1" applyNumberFormat="1" applyFont="1" applyFill="1" applyBorder="1" applyAlignment="1">
      <alignment horizontal="center" shrinkToFit="1"/>
    </xf>
    <xf numFmtId="178" fontId="32" fillId="25" borderId="4" xfId="1" applyNumberFormat="1" applyFont="1" applyFill="1" applyBorder="1" applyAlignment="1">
      <alignment horizontal="center" shrinkToFit="1"/>
    </xf>
    <xf numFmtId="0" fontId="11" fillId="10" borderId="5" xfId="0" applyFont="1" applyFill="1" applyBorder="1" applyAlignment="1">
      <alignment horizontal="center" shrinkToFit="1"/>
    </xf>
    <xf numFmtId="176" fontId="11" fillId="19" borderId="4" xfId="0" applyNumberFormat="1" applyFont="1" applyFill="1" applyBorder="1" applyAlignment="1">
      <alignment horizontal="center" shrinkToFit="1"/>
    </xf>
    <xf numFmtId="0" fontId="11" fillId="22" borderId="5" xfId="0" applyFont="1" applyFill="1" applyBorder="1" applyAlignment="1">
      <alignment horizontal="center" shrinkToFit="1"/>
    </xf>
    <xf numFmtId="176" fontId="1" fillId="21" borderId="4" xfId="1" applyNumberFormat="1" applyFont="1" applyFill="1" applyBorder="1" applyAlignment="1">
      <alignment horizontal="center" shrinkToFit="1"/>
    </xf>
    <xf numFmtId="0" fontId="1" fillId="21" borderId="4" xfId="1" applyFont="1" applyFill="1" applyBorder="1" applyAlignment="1">
      <alignment horizontal="center" shrinkToFit="1"/>
    </xf>
    <xf numFmtId="0" fontId="11" fillId="21" borderId="4" xfId="1" applyFont="1" applyFill="1" applyBorder="1" applyAlignment="1">
      <alignment horizontal="center" shrinkToFit="1"/>
    </xf>
    <xf numFmtId="178" fontId="1" fillId="21" borderId="4" xfId="1" applyNumberFormat="1" applyFont="1" applyFill="1" applyBorder="1" applyAlignment="1">
      <alignment horizontal="center" shrinkToFit="1"/>
    </xf>
    <xf numFmtId="178" fontId="32" fillId="21" borderId="4" xfId="1" applyNumberFormat="1" applyFont="1" applyFill="1" applyBorder="1" applyAlignment="1">
      <alignment horizontal="center" shrinkToFit="1"/>
    </xf>
    <xf numFmtId="176" fontId="11" fillId="5" borderId="4" xfId="0" applyNumberFormat="1" applyFont="1" applyFill="1" applyBorder="1" applyAlignment="1">
      <alignment horizontal="center" shrinkToFit="1"/>
    </xf>
    <xf numFmtId="176" fontId="1" fillId="23" borderId="4" xfId="1" applyNumberFormat="1" applyFont="1" applyFill="1" applyBorder="1" applyAlignment="1">
      <alignment horizontal="center" shrinkToFit="1"/>
    </xf>
    <xf numFmtId="0" fontId="1" fillId="23" borderId="4" xfId="1" applyFont="1" applyFill="1" applyBorder="1" applyAlignment="1">
      <alignment horizontal="center" shrinkToFit="1"/>
    </xf>
    <xf numFmtId="0" fontId="11" fillId="23" borderId="4" xfId="1" applyFont="1" applyFill="1" applyBorder="1" applyAlignment="1">
      <alignment horizontal="center" shrinkToFit="1"/>
    </xf>
    <xf numFmtId="178" fontId="1" fillId="23" borderId="4" xfId="1" applyNumberFormat="1" applyFont="1" applyFill="1" applyBorder="1" applyAlignment="1">
      <alignment horizontal="center" shrinkToFit="1"/>
    </xf>
    <xf numFmtId="178" fontId="32" fillId="23" borderId="4" xfId="1" applyNumberFormat="1" applyFont="1" applyFill="1" applyBorder="1" applyAlignment="1">
      <alignment horizontal="center" shrinkToFit="1"/>
    </xf>
    <xf numFmtId="0" fontId="32" fillId="23" borderId="4" xfId="1" applyFont="1" applyFill="1" applyBorder="1" applyAlignment="1">
      <alignment horizontal="center" shrinkToFit="1"/>
    </xf>
    <xf numFmtId="0" fontId="11" fillId="7" borderId="5" xfId="0" applyFont="1" applyFill="1" applyBorder="1" applyAlignment="1">
      <alignment horizontal="center" shrinkToFit="1"/>
    </xf>
    <xf numFmtId="176" fontId="11" fillId="9" borderId="4" xfId="0" applyNumberFormat="1" applyFont="1" applyFill="1" applyBorder="1" applyAlignment="1">
      <alignment horizontal="center" shrinkToFit="1"/>
    </xf>
    <xf numFmtId="176" fontId="11" fillId="11" borderId="4" xfId="0" applyNumberFormat="1" applyFont="1" applyFill="1" applyBorder="1" applyAlignment="1">
      <alignment horizontal="center" shrinkToFit="1"/>
    </xf>
    <xf numFmtId="0" fontId="32" fillId="6" borderId="4" xfId="0" applyFont="1" applyFill="1" applyBorder="1" applyAlignment="1">
      <alignment horizontal="center" shrinkToFit="1"/>
    </xf>
    <xf numFmtId="176" fontId="11" fillId="17" borderId="4" xfId="0" applyNumberFormat="1" applyFont="1" applyFill="1" applyBorder="1" applyAlignment="1">
      <alignment horizontal="center" shrinkToFit="1"/>
    </xf>
    <xf numFmtId="176" fontId="11" fillId="22" borderId="4" xfId="0" applyNumberFormat="1" applyFont="1" applyFill="1" applyBorder="1" applyAlignment="1">
      <alignment horizontal="center" shrinkToFit="1"/>
    </xf>
    <xf numFmtId="176" fontId="11" fillId="21" borderId="4" xfId="0" applyNumberFormat="1" applyFont="1" applyFill="1" applyBorder="1" applyAlignment="1">
      <alignment horizontal="center" shrinkToFit="1"/>
    </xf>
    <xf numFmtId="176" fontId="11" fillId="18" borderId="4" xfId="0" applyNumberFormat="1" applyFont="1" applyFill="1" applyBorder="1" applyAlignment="1">
      <alignment horizontal="center" shrinkToFit="1"/>
    </xf>
    <xf numFmtId="176" fontId="11" fillId="6" borderId="4" xfId="0" applyNumberFormat="1" applyFont="1" applyFill="1" applyBorder="1" applyAlignment="1">
      <alignment horizontal="center" shrinkToFit="1"/>
    </xf>
    <xf numFmtId="0" fontId="32" fillId="14" borderId="4" xfId="0" applyFont="1" applyFill="1" applyBorder="1" applyAlignment="1">
      <alignment horizontal="center" shrinkToFit="1"/>
    </xf>
    <xf numFmtId="176" fontId="11" fillId="26" borderId="4" xfId="0" applyNumberFormat="1" applyFont="1" applyFill="1" applyBorder="1" applyAlignment="1">
      <alignment horizontal="center" shrinkToFit="1"/>
    </xf>
    <xf numFmtId="176" fontId="1" fillId="26" borderId="4" xfId="0" applyNumberFormat="1" applyFont="1" applyFill="1" applyBorder="1" applyAlignment="1">
      <alignment horizontal="center" shrinkToFit="1"/>
    </xf>
    <xf numFmtId="0" fontId="1" fillId="26" borderId="4" xfId="0" applyFont="1" applyFill="1" applyBorder="1" applyAlignment="1">
      <alignment horizontal="center" shrinkToFit="1"/>
    </xf>
    <xf numFmtId="0" fontId="11" fillId="26" borderId="4" xfId="0" applyFont="1" applyFill="1" applyBorder="1" applyAlignment="1">
      <alignment horizontal="center" shrinkToFit="1"/>
    </xf>
    <xf numFmtId="178" fontId="1" fillId="26" borderId="4" xfId="0" applyNumberFormat="1" applyFont="1" applyFill="1" applyBorder="1" applyAlignment="1">
      <alignment horizontal="center" shrinkToFit="1"/>
    </xf>
    <xf numFmtId="178" fontId="4" fillId="26" borderId="4" xfId="0" applyNumberFormat="1" applyFont="1" applyFill="1" applyBorder="1" applyAlignment="1">
      <alignment horizontal="center" shrinkToFit="1"/>
    </xf>
    <xf numFmtId="49" fontId="5" fillId="26" borderId="4" xfId="0" applyNumberFormat="1" applyFont="1" applyFill="1" applyBorder="1" applyAlignment="1">
      <alignment horizontal="center" shrinkToFit="1"/>
    </xf>
    <xf numFmtId="0" fontId="11" fillId="21" borderId="5" xfId="0" applyFont="1" applyFill="1" applyBorder="1" applyAlignment="1">
      <alignment horizontal="center" shrinkToFit="1"/>
    </xf>
    <xf numFmtId="0" fontId="32" fillId="22" borderId="4" xfId="0" applyFont="1" applyFill="1" applyBorder="1" applyAlignment="1">
      <alignment horizontal="center" shrinkToFit="1"/>
    </xf>
    <xf numFmtId="176" fontId="1" fillId="27" borderId="4" xfId="0" applyNumberFormat="1" applyFont="1" applyFill="1" applyBorder="1" applyAlignment="1">
      <alignment horizontal="center" shrinkToFit="1"/>
    </xf>
    <xf numFmtId="0" fontId="1" fillId="27" borderId="4" xfId="0" applyFont="1" applyFill="1" applyBorder="1" applyAlignment="1">
      <alignment horizontal="center" shrinkToFit="1"/>
    </xf>
    <xf numFmtId="0" fontId="11" fillId="27" borderId="5" xfId="0" applyFont="1" applyFill="1" applyBorder="1" applyAlignment="1">
      <alignment horizontal="center" shrinkToFit="1"/>
    </xf>
    <xf numFmtId="0" fontId="11" fillId="27" borderId="4" xfId="0" applyFont="1" applyFill="1" applyBorder="1" applyAlignment="1">
      <alignment horizontal="center" shrinkToFit="1"/>
    </xf>
    <xf numFmtId="178" fontId="1" fillId="27" borderId="4" xfId="0" applyNumberFormat="1" applyFont="1" applyFill="1" applyBorder="1" applyAlignment="1">
      <alignment horizontal="center" shrinkToFit="1"/>
    </xf>
    <xf numFmtId="178" fontId="4" fillId="27" borderId="4" xfId="0" applyNumberFormat="1" applyFont="1" applyFill="1" applyBorder="1" applyAlignment="1">
      <alignment horizontal="center" shrinkToFit="1"/>
    </xf>
    <xf numFmtId="49" fontId="5" fillId="27" borderId="4" xfId="0" applyNumberFormat="1" applyFont="1" applyFill="1" applyBorder="1" applyAlignment="1">
      <alignment horizontal="center" shrinkToFit="1"/>
    </xf>
    <xf numFmtId="176" fontId="11" fillId="14" borderId="4" xfId="0" applyNumberFormat="1" applyFont="1" applyFill="1" applyBorder="1" applyAlignment="1">
      <alignment horizontal="center" shrinkToFit="1"/>
    </xf>
    <xf numFmtId="0" fontId="11" fillId="17" borderId="5" xfId="0" applyFont="1" applyFill="1" applyBorder="1" applyAlignment="1">
      <alignment horizontal="center" shrinkToFit="1"/>
    </xf>
    <xf numFmtId="176" fontId="11" fillId="7" borderId="4" xfId="0" applyNumberFormat="1" applyFont="1" applyFill="1" applyBorder="1" applyAlignment="1">
      <alignment horizontal="center" shrinkToFit="1"/>
    </xf>
    <xf numFmtId="176" fontId="11" fillId="23" borderId="4" xfId="0" applyNumberFormat="1" applyFont="1" applyFill="1" applyBorder="1" applyAlignment="1">
      <alignment horizontal="center" shrinkToFit="1"/>
    </xf>
    <xf numFmtId="0" fontId="11" fillId="6" borderId="5" xfId="0" applyFont="1" applyFill="1" applyBorder="1" applyAlignment="1">
      <alignment horizontal="center" shrinkToFit="1"/>
    </xf>
    <xf numFmtId="176" fontId="11" fillId="13" borderId="4" xfId="0" applyNumberFormat="1" applyFont="1" applyFill="1" applyBorder="1" applyAlignment="1">
      <alignment horizontal="center" shrinkToFit="1"/>
    </xf>
    <xf numFmtId="0" fontId="32" fillId="21" borderId="4" xfId="0" applyFont="1" applyFill="1" applyBorder="1" applyAlignment="1">
      <alignment horizontal="center" shrinkToFit="1"/>
    </xf>
    <xf numFmtId="176" fontId="11" fillId="28" borderId="4" xfId="0" applyNumberFormat="1" applyFont="1" applyFill="1" applyBorder="1" applyAlignment="1">
      <alignment horizontal="center" shrinkToFit="1"/>
    </xf>
    <xf numFmtId="176" fontId="1" fillId="28" borderId="4" xfId="0" applyNumberFormat="1" applyFont="1" applyFill="1" applyBorder="1" applyAlignment="1">
      <alignment horizontal="center" shrinkToFit="1"/>
    </xf>
    <xf numFmtId="0" fontId="11" fillId="28" borderId="4" xfId="0" applyFont="1" applyFill="1" applyBorder="1" applyAlignment="1">
      <alignment horizontal="center" shrinkToFit="1"/>
    </xf>
    <xf numFmtId="0" fontId="1" fillId="28" borderId="4" xfId="0" applyFont="1" applyFill="1" applyBorder="1" applyAlignment="1">
      <alignment horizontal="center" shrinkToFit="1"/>
    </xf>
    <xf numFmtId="178" fontId="1" fillId="28" borderId="4" xfId="0" applyNumberFormat="1" applyFont="1" applyFill="1" applyBorder="1" applyAlignment="1">
      <alignment horizontal="center" shrinkToFit="1"/>
    </xf>
    <xf numFmtId="178" fontId="4" fillId="28" borderId="4" xfId="0" applyNumberFormat="1" applyFont="1" applyFill="1" applyBorder="1" applyAlignment="1">
      <alignment horizontal="center" shrinkToFit="1"/>
    </xf>
    <xf numFmtId="49" fontId="5" fillId="28" borderId="4" xfId="0" applyNumberFormat="1" applyFont="1" applyFill="1" applyBorder="1" applyAlignment="1">
      <alignment horizontal="center" shrinkToFit="1"/>
    </xf>
    <xf numFmtId="0" fontId="11" fillId="4" borderId="5" xfId="0" applyFont="1" applyFill="1" applyBorder="1" applyAlignment="1">
      <alignment horizontal="center" shrinkToFit="1"/>
    </xf>
    <xf numFmtId="0" fontId="11" fillId="28" borderId="5" xfId="0" applyFont="1" applyFill="1" applyBorder="1" applyAlignment="1">
      <alignment horizontal="center" shrinkToFit="1"/>
    </xf>
    <xf numFmtId="176" fontId="1" fillId="29" borderId="4" xfId="0" applyNumberFormat="1" applyFont="1" applyFill="1" applyBorder="1" applyAlignment="1">
      <alignment horizontal="center" shrinkToFit="1"/>
    </xf>
    <xf numFmtId="0" fontId="1" fillId="29" borderId="4" xfId="0" applyFont="1" applyFill="1" applyBorder="1" applyAlignment="1">
      <alignment horizontal="center" shrinkToFit="1"/>
    </xf>
    <xf numFmtId="0" fontId="11" fillId="29" borderId="4" xfId="0" applyFont="1" applyFill="1" applyBorder="1" applyAlignment="1">
      <alignment horizontal="center" shrinkToFit="1"/>
    </xf>
    <xf numFmtId="178" fontId="1" fillId="29" borderId="4" xfId="0" applyNumberFormat="1" applyFont="1" applyFill="1" applyBorder="1" applyAlignment="1">
      <alignment horizontal="center" shrinkToFit="1"/>
    </xf>
    <xf numFmtId="178" fontId="4" fillId="29" borderId="4" xfId="0" applyNumberFormat="1" applyFont="1" applyFill="1" applyBorder="1" applyAlignment="1">
      <alignment horizontal="center" shrinkToFit="1"/>
    </xf>
    <xf numFmtId="49" fontId="5" fillId="29" borderId="4" xfId="0" applyNumberFormat="1" applyFont="1" applyFill="1" applyBorder="1" applyAlignment="1">
      <alignment horizontal="center" shrinkToFit="1"/>
    </xf>
    <xf numFmtId="176" fontId="1" fillId="30" borderId="4" xfId="0" applyNumberFormat="1" applyFont="1" applyFill="1" applyBorder="1" applyAlignment="1">
      <alignment horizontal="center" shrinkToFit="1"/>
    </xf>
    <xf numFmtId="0" fontId="1" fillId="30" borderId="4" xfId="0" applyFont="1" applyFill="1" applyBorder="1" applyAlignment="1">
      <alignment horizontal="center" shrinkToFit="1"/>
    </xf>
    <xf numFmtId="0" fontId="11" fillId="30" borderId="5" xfId="0" applyFont="1" applyFill="1" applyBorder="1" applyAlignment="1">
      <alignment horizontal="center" shrinkToFit="1"/>
    </xf>
    <xf numFmtId="0" fontId="11" fillId="30" borderId="4" xfId="0" applyFont="1" applyFill="1" applyBorder="1" applyAlignment="1">
      <alignment horizontal="center" shrinkToFit="1"/>
    </xf>
    <xf numFmtId="178" fontId="1" fillId="30" borderId="4" xfId="0" applyNumberFormat="1" applyFont="1" applyFill="1" applyBorder="1" applyAlignment="1">
      <alignment horizontal="center" shrinkToFit="1"/>
    </xf>
    <xf numFmtId="178" fontId="4" fillId="30" borderId="4" xfId="0" applyNumberFormat="1" applyFont="1" applyFill="1" applyBorder="1" applyAlignment="1">
      <alignment horizontal="center" shrinkToFit="1"/>
    </xf>
    <xf numFmtId="49" fontId="5" fillId="30" borderId="4" xfId="0" applyNumberFormat="1" applyFont="1" applyFill="1" applyBorder="1" applyAlignment="1">
      <alignment horizontal="center" shrinkToFit="1"/>
    </xf>
    <xf numFmtId="0" fontId="11" fillId="18" borderId="5" xfId="0" applyFont="1" applyFill="1" applyBorder="1" applyAlignment="1">
      <alignment horizontal="center" shrinkToFit="1"/>
    </xf>
    <xf numFmtId="0" fontId="32" fillId="5" borderId="4" xfId="0" applyFont="1" applyFill="1" applyBorder="1" applyAlignment="1">
      <alignment horizontal="center" shrinkToFit="1"/>
    </xf>
    <xf numFmtId="0" fontId="32" fillId="13" borderId="4" xfId="0" applyFont="1" applyFill="1" applyBorder="1" applyAlignment="1">
      <alignment horizontal="center" shrinkToFit="1"/>
    </xf>
    <xf numFmtId="0" fontId="32" fillId="9" borderId="4" xfId="0" applyFont="1" applyFill="1" applyBorder="1" applyAlignment="1">
      <alignment horizontal="center" shrinkToFit="1"/>
    </xf>
    <xf numFmtId="0" fontId="32" fillId="28" borderId="4" xfId="0" applyFont="1" applyFill="1" applyBorder="1" applyAlignment="1">
      <alignment horizontal="center" shrinkToFit="1"/>
    </xf>
    <xf numFmtId="0" fontId="32" fillId="15" borderId="4" xfId="0" applyFont="1" applyFill="1" applyBorder="1" applyAlignment="1">
      <alignment horizontal="center" shrinkToFit="1"/>
    </xf>
    <xf numFmtId="178" fontId="32" fillId="5" borderId="4" xfId="1" applyNumberFormat="1" applyFont="1" applyFill="1" applyBorder="1" applyAlignment="1">
      <alignment horizontal="center" shrinkToFit="1"/>
    </xf>
    <xf numFmtId="178" fontId="33" fillId="5" borderId="4" xfId="1" applyNumberFormat="1" applyFont="1" applyFill="1" applyBorder="1" applyAlignment="1">
      <alignment horizontal="center" shrinkToFit="1"/>
    </xf>
    <xf numFmtId="178" fontId="32" fillId="6" borderId="4" xfId="1" applyNumberFormat="1" applyFont="1" applyFill="1" applyBorder="1" applyAlignment="1">
      <alignment horizontal="center" shrinkToFit="1"/>
    </xf>
    <xf numFmtId="178" fontId="33" fillId="6" borderId="4" xfId="1" applyNumberFormat="1" applyFont="1" applyFill="1" applyBorder="1" applyAlignment="1">
      <alignment horizontal="center" shrinkToFit="1"/>
    </xf>
    <xf numFmtId="0" fontId="32" fillId="7" borderId="4" xfId="0" applyFont="1" applyFill="1" applyBorder="1" applyAlignment="1">
      <alignment horizontal="center" shrinkToFit="1"/>
    </xf>
    <xf numFmtId="178" fontId="32" fillId="13" borderId="4" xfId="1" applyNumberFormat="1" applyFont="1" applyFill="1" applyBorder="1" applyAlignment="1">
      <alignment horizontal="center" shrinkToFit="1"/>
    </xf>
    <xf numFmtId="178" fontId="33" fillId="13" borderId="4" xfId="1" applyNumberFormat="1" applyFont="1" applyFill="1" applyBorder="1" applyAlignment="1">
      <alignment horizontal="center" shrinkToFit="1"/>
    </xf>
    <xf numFmtId="0" fontId="32" fillId="13" borderId="4" xfId="1" applyFont="1" applyFill="1" applyBorder="1" applyAlignment="1">
      <alignment horizontal="center" shrinkToFit="1"/>
    </xf>
    <xf numFmtId="178" fontId="32" fillId="15" borderId="4" xfId="1" applyNumberFormat="1" applyFont="1" applyFill="1" applyBorder="1" applyAlignment="1">
      <alignment horizontal="center" shrinkToFit="1"/>
    </xf>
    <xf numFmtId="178" fontId="33" fillId="15" borderId="4" xfId="1" applyNumberFormat="1" applyFont="1" applyFill="1" applyBorder="1" applyAlignment="1">
      <alignment horizontal="center" shrinkToFit="1"/>
    </xf>
    <xf numFmtId="176" fontId="1" fillId="28" borderId="4" xfId="1" applyNumberFormat="1" applyFont="1" applyFill="1" applyBorder="1" applyAlignment="1">
      <alignment horizontal="center" shrinkToFit="1"/>
    </xf>
    <xf numFmtId="0" fontId="1" fillId="28" borderId="4" xfId="1" applyFont="1" applyFill="1" applyBorder="1" applyAlignment="1">
      <alignment horizontal="center" shrinkToFit="1"/>
    </xf>
    <xf numFmtId="0" fontId="11" fillId="28" borderId="4" xfId="1" applyFont="1" applyFill="1" applyBorder="1" applyAlignment="1">
      <alignment horizontal="center" shrinkToFit="1"/>
    </xf>
    <xf numFmtId="178" fontId="1" fillId="28" borderId="4" xfId="1" applyNumberFormat="1" applyFont="1" applyFill="1" applyBorder="1" applyAlignment="1">
      <alignment horizontal="center" shrinkToFit="1"/>
    </xf>
    <xf numFmtId="178" fontId="32" fillId="28" borderId="4" xfId="1" applyNumberFormat="1" applyFont="1" applyFill="1" applyBorder="1" applyAlignment="1">
      <alignment horizontal="center" shrinkToFit="1"/>
    </xf>
    <xf numFmtId="178" fontId="33" fillId="28" borderId="4" xfId="1" applyNumberFormat="1" applyFont="1" applyFill="1" applyBorder="1" applyAlignment="1">
      <alignment horizontal="center" shrinkToFit="1"/>
    </xf>
    <xf numFmtId="14" fontId="11" fillId="2" borderId="5" xfId="0" applyNumberFormat="1" applyFont="1" applyFill="1" applyBorder="1" applyAlignment="1">
      <alignment vertical="center" wrapText="1"/>
    </xf>
    <xf numFmtId="14" fontId="10" fillId="0" borderId="0" xfId="0" applyNumberFormat="1" applyFont="1" applyFill="1" applyAlignment="1">
      <alignment horizontal="center"/>
    </xf>
    <xf numFmtId="14" fontId="0" fillId="0" borderId="0" xfId="0" applyNumberFormat="1">
      <alignment vertical="center"/>
    </xf>
    <xf numFmtId="14" fontId="16" fillId="2" borderId="6" xfId="0" applyNumberFormat="1" applyFont="1" applyFill="1" applyBorder="1" applyAlignment="1">
      <alignment horizontal="center" vertical="center" wrapText="1"/>
    </xf>
    <xf numFmtId="176" fontId="1" fillId="2" borderId="4" xfId="1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shrinkToFit="1"/>
    </xf>
    <xf numFmtId="0" fontId="1" fillId="0" borderId="9" xfId="0" applyFont="1" applyFill="1" applyBorder="1" applyAlignment="1">
      <alignment horizontal="center" shrinkToFit="1"/>
    </xf>
    <xf numFmtId="180" fontId="1" fillId="0" borderId="0" xfId="1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7" borderId="5" xfId="1" applyFont="1" applyFill="1" applyBorder="1" applyAlignment="1">
      <alignment horizontal="center" shrinkToFit="1"/>
    </xf>
    <xf numFmtId="0" fontId="1" fillId="7" borderId="6" xfId="1" applyFont="1" applyFill="1" applyBorder="1" applyAlignment="1">
      <alignment horizontal="center" shrinkToFit="1"/>
    </xf>
  </cellXfs>
  <cellStyles count="3">
    <cellStyle name="一般" xfId="0" builtinId="0"/>
    <cellStyle name="一般 2" xfId="1"/>
    <cellStyle name="一般 3" xfId="2"/>
  </cellStyles>
  <dxfs count="0"/>
  <tableStyles count="0" defaultTableStyle="TableStyleMedium2" defaultPivotStyle="PivotStyleLight16"/>
  <colors>
    <mruColors>
      <color rgb="FFFFFFCC"/>
      <color rgb="FFFFCCFF"/>
      <color rgb="FFCCFF99"/>
      <color rgb="FFFFFF99"/>
      <color rgb="FFCCFFCC"/>
      <color rgb="FFFFFF66"/>
      <color rgb="FF0000CC"/>
      <color rgb="FFFFCCCC"/>
      <color rgb="FFCC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6"/>
  <sheetViews>
    <sheetView tabSelected="1" zoomScaleNormal="100" workbookViewId="0">
      <pane ySplit="2" topLeftCell="A467" activePane="bottomLeft" state="frozen"/>
      <selection pane="bottomLeft" activeCell="A476" sqref="A476"/>
    </sheetView>
  </sheetViews>
  <sheetFormatPr defaultRowHeight="16.75" x14ac:dyDescent="0.25"/>
  <cols>
    <col min="1" max="2" width="7.125" customWidth="1"/>
    <col min="3" max="3" width="13.125" customWidth="1"/>
    <col min="4" max="4" width="6.875" customWidth="1"/>
    <col min="5" max="5" width="7.75" customWidth="1"/>
    <col min="6" max="6" width="9" customWidth="1"/>
    <col min="7" max="7" width="7.375" customWidth="1"/>
    <col min="8" max="8" width="15.875" customWidth="1"/>
    <col min="9" max="9" width="9" customWidth="1"/>
    <col min="10" max="10" width="8.375" customWidth="1"/>
    <col min="11" max="11" width="15.625" customWidth="1"/>
    <col min="12" max="12" width="11.875" customWidth="1"/>
    <col min="13" max="14" width="6.5" customWidth="1"/>
    <col min="15" max="15" width="9.875" customWidth="1"/>
    <col min="16" max="16" width="9.625" customWidth="1"/>
    <col min="17" max="17" width="10.375" style="407" customWidth="1"/>
    <col min="18" max="18" width="7.875" customWidth="1"/>
  </cols>
  <sheetData>
    <row r="1" spans="1:21" s="1" customFormat="1" ht="24" customHeight="1" x14ac:dyDescent="0.2">
      <c r="A1" s="40"/>
      <c r="B1" s="186" t="s">
        <v>443</v>
      </c>
      <c r="C1" s="41"/>
      <c r="D1" s="42"/>
      <c r="E1" s="42"/>
      <c r="F1" s="42"/>
      <c r="G1" s="42"/>
      <c r="H1" s="42"/>
      <c r="I1" s="42"/>
      <c r="J1" s="42"/>
      <c r="K1" s="42"/>
      <c r="L1" s="43"/>
      <c r="M1" s="42"/>
      <c r="N1" s="42"/>
      <c r="O1" s="19"/>
      <c r="P1" s="414" t="s">
        <v>5</v>
      </c>
      <c r="Q1" s="405"/>
      <c r="R1" s="20"/>
    </row>
    <row r="2" spans="1:21" s="2" customFormat="1" ht="19.850000000000001" customHeight="1" x14ac:dyDescent="0.25">
      <c r="A2" s="44" t="s">
        <v>8</v>
      </c>
      <c r="B2" s="44" t="s">
        <v>9</v>
      </c>
      <c r="C2" s="45" t="s">
        <v>10</v>
      </c>
      <c r="D2" s="45" t="s">
        <v>11</v>
      </c>
      <c r="E2" s="45" t="s">
        <v>12</v>
      </c>
      <c r="F2" s="45" t="s">
        <v>13</v>
      </c>
      <c r="G2" s="45" t="s">
        <v>37</v>
      </c>
      <c r="H2" s="45" t="s">
        <v>14</v>
      </c>
      <c r="I2" s="46" t="s">
        <v>15</v>
      </c>
      <c r="J2" s="46" t="s">
        <v>0</v>
      </c>
      <c r="K2" s="47" t="s">
        <v>4</v>
      </c>
      <c r="L2" s="45" t="s">
        <v>16</v>
      </c>
      <c r="M2" s="79" t="s">
        <v>35</v>
      </c>
      <c r="N2" s="45" t="s">
        <v>17</v>
      </c>
      <c r="O2" s="19" t="s">
        <v>6</v>
      </c>
      <c r="P2" s="415"/>
      <c r="Q2" s="408" t="s">
        <v>652</v>
      </c>
      <c r="R2" s="20" t="s">
        <v>7</v>
      </c>
    </row>
    <row r="3" spans="1:21" s="1" customFormat="1" ht="19.649999999999999" customHeight="1" x14ac:dyDescent="0.25">
      <c r="A3" s="104">
        <v>46024</v>
      </c>
      <c r="B3" s="104">
        <v>46024</v>
      </c>
      <c r="C3" s="105" t="s">
        <v>171</v>
      </c>
      <c r="D3" s="105">
        <v>8</v>
      </c>
      <c r="E3" s="105">
        <f t="shared" ref="E3" si="0">D3*200</f>
        <v>1600</v>
      </c>
      <c r="F3" s="112" t="s">
        <v>40</v>
      </c>
      <c r="G3" s="105">
        <f t="shared" ref="G3" si="1">D3*209</f>
        <v>1672</v>
      </c>
      <c r="H3" s="106" t="s">
        <v>188</v>
      </c>
      <c r="I3" s="107">
        <f>7600-E3</f>
        <v>6000</v>
      </c>
      <c r="J3" s="108"/>
      <c r="K3" s="109"/>
      <c r="L3" s="105">
        <v>251231005</v>
      </c>
      <c r="M3" s="105"/>
      <c r="N3" s="105">
        <f>16-D3</f>
        <v>8</v>
      </c>
      <c r="O3" s="192">
        <v>45968</v>
      </c>
      <c r="P3" s="193">
        <f t="shared" ref="P3:P4" si="2">365-R3</f>
        <v>309</v>
      </c>
      <c r="Q3" s="194">
        <f t="shared" ref="Q3:Q4" si="3">DATE(YEAR(O3)+1,MONTH(O3),DAY(O3))-1</f>
        <v>46332</v>
      </c>
      <c r="R3" s="195">
        <f t="shared" ref="R3:R4" si="4">DATEDIF(O3,B3,"d")</f>
        <v>56</v>
      </c>
      <c r="U3" s="91"/>
    </row>
    <row r="4" spans="1:21" s="1" customFormat="1" ht="19.649999999999999" customHeight="1" x14ac:dyDescent="0.25">
      <c r="A4" s="104">
        <v>46024</v>
      </c>
      <c r="B4" s="104">
        <v>46024</v>
      </c>
      <c r="C4" s="105" t="s">
        <v>187</v>
      </c>
      <c r="D4" s="105">
        <v>8</v>
      </c>
      <c r="E4" s="105">
        <f t="shared" ref="E4:E5" si="5">D4*200</f>
        <v>1600</v>
      </c>
      <c r="F4" s="112" t="s">
        <v>40</v>
      </c>
      <c r="G4" s="105">
        <f t="shared" ref="G4:G5" si="6">D4*209</f>
        <v>1672</v>
      </c>
      <c r="H4" s="106" t="s">
        <v>183</v>
      </c>
      <c r="I4" s="107">
        <f>I3-E4</f>
        <v>4400</v>
      </c>
      <c r="J4" s="108"/>
      <c r="K4" s="109"/>
      <c r="L4" s="105">
        <v>251231005</v>
      </c>
      <c r="M4" s="105"/>
      <c r="N4" s="105">
        <f>38-D4</f>
        <v>30</v>
      </c>
      <c r="O4" s="192">
        <v>45970</v>
      </c>
      <c r="P4" s="193">
        <f t="shared" si="2"/>
        <v>311</v>
      </c>
      <c r="Q4" s="194">
        <f t="shared" si="3"/>
        <v>46334</v>
      </c>
      <c r="R4" s="195">
        <f t="shared" si="4"/>
        <v>54</v>
      </c>
      <c r="U4" s="91"/>
    </row>
    <row r="5" spans="1:21" s="1" customFormat="1" ht="19.649999999999999" customHeight="1" x14ac:dyDescent="0.25">
      <c r="A5" s="169">
        <v>46024</v>
      </c>
      <c r="B5" s="169">
        <v>46024</v>
      </c>
      <c r="C5" s="110" t="s">
        <v>171</v>
      </c>
      <c r="D5" s="110">
        <v>8</v>
      </c>
      <c r="E5" s="110">
        <f t="shared" si="5"/>
        <v>1600</v>
      </c>
      <c r="F5" s="111" t="s">
        <v>1</v>
      </c>
      <c r="G5" s="110">
        <f t="shared" si="6"/>
        <v>1672</v>
      </c>
      <c r="H5" s="111" t="s">
        <v>182</v>
      </c>
      <c r="I5" s="171">
        <f>16800-E5</f>
        <v>15200</v>
      </c>
      <c r="J5" s="172"/>
      <c r="K5" s="173"/>
      <c r="L5" s="110">
        <v>251231007</v>
      </c>
      <c r="M5" s="110"/>
      <c r="N5" s="110">
        <f>N3-D5</f>
        <v>0</v>
      </c>
      <c r="O5" s="192">
        <v>45968</v>
      </c>
      <c r="P5" s="193">
        <f t="shared" ref="P5:P6" si="7">365-R5</f>
        <v>309</v>
      </c>
      <c r="Q5" s="194">
        <f t="shared" ref="Q5:Q6" si="8">DATE(YEAR(O5)+1,MONTH(O5),DAY(O5))-1</f>
        <v>46332</v>
      </c>
      <c r="R5" s="195">
        <f t="shared" ref="R5:R6" si="9">DATEDIF(O5,B5,"d")</f>
        <v>56</v>
      </c>
      <c r="U5" s="91"/>
    </row>
    <row r="6" spans="1:21" s="1" customFormat="1" ht="19.649999999999999" customHeight="1" x14ac:dyDescent="0.25">
      <c r="A6" s="169">
        <v>46024</v>
      </c>
      <c r="B6" s="169">
        <v>46024</v>
      </c>
      <c r="C6" s="110" t="s">
        <v>187</v>
      </c>
      <c r="D6" s="110">
        <v>24</v>
      </c>
      <c r="E6" s="110">
        <f t="shared" ref="E6" si="10">D6*200</f>
        <v>4800</v>
      </c>
      <c r="F6" s="111" t="s">
        <v>1</v>
      </c>
      <c r="G6" s="110">
        <f t="shared" ref="G6" si="11">D6*209</f>
        <v>5016</v>
      </c>
      <c r="H6" s="111" t="s">
        <v>182</v>
      </c>
      <c r="I6" s="171">
        <f>I5-E6</f>
        <v>10400</v>
      </c>
      <c r="J6" s="172"/>
      <c r="K6" s="173"/>
      <c r="L6" s="110">
        <v>251231007</v>
      </c>
      <c r="M6" s="110"/>
      <c r="N6" s="110">
        <f>N4-D6</f>
        <v>6</v>
      </c>
      <c r="O6" s="192">
        <v>45970</v>
      </c>
      <c r="P6" s="193">
        <f t="shared" si="7"/>
        <v>311</v>
      </c>
      <c r="Q6" s="194">
        <f t="shared" si="8"/>
        <v>46334</v>
      </c>
      <c r="R6" s="195">
        <f t="shared" si="9"/>
        <v>54</v>
      </c>
      <c r="U6" s="91"/>
    </row>
    <row r="7" spans="1:21" s="1" customFormat="1" ht="19.649999999999999" customHeight="1" x14ac:dyDescent="0.25">
      <c r="A7" s="181">
        <v>46027</v>
      </c>
      <c r="B7" s="181">
        <v>46027</v>
      </c>
      <c r="C7" s="130" t="s">
        <v>172</v>
      </c>
      <c r="D7" s="130">
        <v>4</v>
      </c>
      <c r="E7" s="130">
        <f t="shared" ref="E7" si="12">D7*200</f>
        <v>800</v>
      </c>
      <c r="F7" s="131" t="s">
        <v>3</v>
      </c>
      <c r="G7" s="130">
        <f t="shared" ref="G7" si="13">D7*209</f>
        <v>836</v>
      </c>
      <c r="H7" s="131" t="s">
        <v>204</v>
      </c>
      <c r="I7" s="182">
        <f>3000-E7</f>
        <v>2200</v>
      </c>
      <c r="J7" s="183"/>
      <c r="K7" s="184"/>
      <c r="L7" s="130">
        <v>260102005</v>
      </c>
      <c r="M7" s="130"/>
      <c r="N7" s="130">
        <f>N6-D7</f>
        <v>2</v>
      </c>
      <c r="O7" s="192">
        <v>45970</v>
      </c>
      <c r="P7" s="193">
        <f t="shared" ref="P7:P8" si="14">365-R7</f>
        <v>308</v>
      </c>
      <c r="Q7" s="194">
        <f t="shared" ref="Q7:Q8" si="15">DATE(YEAR(O7)+1,MONTH(O7),DAY(O7))-1</f>
        <v>46334</v>
      </c>
      <c r="R7" s="195">
        <f t="shared" ref="R7:R8" si="16">DATEDIF(O7,B7,"d")</f>
        <v>57</v>
      </c>
      <c r="U7" s="91"/>
    </row>
    <row r="8" spans="1:21" s="1" customFormat="1" ht="19.649999999999999" customHeight="1" x14ac:dyDescent="0.25">
      <c r="A8" s="181">
        <v>46027</v>
      </c>
      <c r="B8" s="181">
        <v>46027</v>
      </c>
      <c r="C8" s="130" t="s">
        <v>190</v>
      </c>
      <c r="D8" s="130">
        <v>4</v>
      </c>
      <c r="E8" s="130">
        <f t="shared" ref="E8" si="17">D8*200</f>
        <v>800</v>
      </c>
      <c r="F8" s="131" t="s">
        <v>3</v>
      </c>
      <c r="G8" s="130">
        <f t="shared" ref="G8" si="18">D8*209</f>
        <v>836</v>
      </c>
      <c r="H8" s="131" t="s">
        <v>173</v>
      </c>
      <c r="I8" s="182">
        <f>I7-E8</f>
        <v>1400</v>
      </c>
      <c r="J8" s="183"/>
      <c r="K8" s="184"/>
      <c r="L8" s="130">
        <v>260102005</v>
      </c>
      <c r="M8" s="130"/>
      <c r="N8" s="130">
        <f>39-D8</f>
        <v>35</v>
      </c>
      <c r="O8" s="192">
        <v>45972</v>
      </c>
      <c r="P8" s="193">
        <f t="shared" si="14"/>
        <v>310</v>
      </c>
      <c r="Q8" s="194">
        <f t="shared" si="15"/>
        <v>46336</v>
      </c>
      <c r="R8" s="195">
        <f t="shared" si="16"/>
        <v>55</v>
      </c>
      <c r="U8" s="91"/>
    </row>
    <row r="9" spans="1:21" s="1" customFormat="1" ht="19.649999999999999" customHeight="1" x14ac:dyDescent="0.25">
      <c r="A9" s="181">
        <v>46027</v>
      </c>
      <c r="B9" s="181">
        <v>46027</v>
      </c>
      <c r="C9" s="130" t="s">
        <v>191</v>
      </c>
      <c r="D9" s="130">
        <v>4</v>
      </c>
      <c r="E9" s="130">
        <f t="shared" ref="E9:E10" si="19">D9*200</f>
        <v>800</v>
      </c>
      <c r="F9" s="131" t="s">
        <v>3</v>
      </c>
      <c r="G9" s="130">
        <f t="shared" ref="G9:G10" si="20">D9*209</f>
        <v>836</v>
      </c>
      <c r="H9" s="131" t="s">
        <v>173</v>
      </c>
      <c r="I9" s="182">
        <f>I8-E9</f>
        <v>600</v>
      </c>
      <c r="J9" s="183" t="s">
        <v>78</v>
      </c>
      <c r="K9" s="184"/>
      <c r="L9" s="130">
        <v>260102006</v>
      </c>
      <c r="M9" s="130">
        <v>42</v>
      </c>
      <c r="N9" s="130">
        <f>M9-D9</f>
        <v>38</v>
      </c>
      <c r="O9" s="192">
        <v>46006</v>
      </c>
      <c r="P9" s="193">
        <f t="shared" ref="P9:P10" si="21">365-R9</f>
        <v>344</v>
      </c>
      <c r="Q9" s="194">
        <f t="shared" ref="Q9:Q10" si="22">DATE(YEAR(O9)+1,MONTH(O9),DAY(O9))-1</f>
        <v>46370</v>
      </c>
      <c r="R9" s="195">
        <f t="shared" ref="R9:R10" si="23">DATEDIF(O9,B9,"d")</f>
        <v>21</v>
      </c>
      <c r="U9" s="91"/>
    </row>
    <row r="10" spans="1:21" s="1" customFormat="1" ht="19.649999999999999" customHeight="1" x14ac:dyDescent="0.25">
      <c r="A10" s="181">
        <v>46027</v>
      </c>
      <c r="B10" s="181">
        <v>46027</v>
      </c>
      <c r="C10" s="130" t="s">
        <v>192</v>
      </c>
      <c r="D10" s="130">
        <v>3</v>
      </c>
      <c r="E10" s="130">
        <f t="shared" si="19"/>
        <v>600</v>
      </c>
      <c r="F10" s="131" t="s">
        <v>3</v>
      </c>
      <c r="G10" s="130">
        <f t="shared" si="20"/>
        <v>627</v>
      </c>
      <c r="H10" s="131" t="s">
        <v>203</v>
      </c>
      <c r="I10" s="182">
        <f>I9-E10</f>
        <v>0</v>
      </c>
      <c r="J10" s="183" t="s">
        <v>78</v>
      </c>
      <c r="K10" s="184"/>
      <c r="L10" s="130">
        <v>260102006</v>
      </c>
      <c r="M10" s="130">
        <v>42</v>
      </c>
      <c r="N10" s="130">
        <f>M10-D10</f>
        <v>39</v>
      </c>
      <c r="O10" s="192">
        <v>46008</v>
      </c>
      <c r="P10" s="193">
        <f t="shared" si="21"/>
        <v>346</v>
      </c>
      <c r="Q10" s="194">
        <f t="shared" si="22"/>
        <v>46372</v>
      </c>
      <c r="R10" s="195">
        <f t="shared" si="23"/>
        <v>19</v>
      </c>
      <c r="U10" s="91"/>
    </row>
    <row r="11" spans="1:21" s="1" customFormat="1" ht="19.649999999999999" customHeight="1" x14ac:dyDescent="0.25">
      <c r="A11" s="181">
        <v>46027</v>
      </c>
      <c r="B11" s="181">
        <v>46027</v>
      </c>
      <c r="C11" s="130" t="s">
        <v>192</v>
      </c>
      <c r="D11" s="130">
        <v>1</v>
      </c>
      <c r="E11" s="130">
        <f t="shared" ref="E11:E12" si="24">D11*200</f>
        <v>200</v>
      </c>
      <c r="F11" s="131" t="s">
        <v>3</v>
      </c>
      <c r="G11" s="130">
        <f t="shared" ref="G11:G12" si="25">D11*209</f>
        <v>209</v>
      </c>
      <c r="H11" s="206" t="s">
        <v>205</v>
      </c>
      <c r="I11" s="182">
        <f>20000-E11</f>
        <v>19800</v>
      </c>
      <c r="J11" s="183" t="s">
        <v>78</v>
      </c>
      <c r="K11" s="184"/>
      <c r="L11" s="130">
        <v>260102006</v>
      </c>
      <c r="M11" s="130"/>
      <c r="N11" s="130">
        <f>N10-D11</f>
        <v>38</v>
      </c>
      <c r="O11" s="192">
        <v>46008</v>
      </c>
      <c r="P11" s="193">
        <f t="shared" ref="P11:P12" si="26">365-R11</f>
        <v>346</v>
      </c>
      <c r="Q11" s="194">
        <f t="shared" ref="Q11:Q12" si="27">DATE(YEAR(O11)+1,MONTH(O11),DAY(O11))-1</f>
        <v>46372</v>
      </c>
      <c r="R11" s="195">
        <f t="shared" ref="R11:R12" si="28">DATEDIF(O11,B11,"d")</f>
        <v>19</v>
      </c>
      <c r="U11" s="91"/>
    </row>
    <row r="12" spans="1:21" s="1" customFormat="1" ht="19.649999999999999" customHeight="1" x14ac:dyDescent="0.25">
      <c r="A12" s="181">
        <v>46027</v>
      </c>
      <c r="B12" s="181">
        <v>46027</v>
      </c>
      <c r="C12" s="130" t="s">
        <v>193</v>
      </c>
      <c r="D12" s="130">
        <v>4</v>
      </c>
      <c r="E12" s="130">
        <f t="shared" si="24"/>
        <v>800</v>
      </c>
      <c r="F12" s="131" t="s">
        <v>3</v>
      </c>
      <c r="G12" s="130">
        <f t="shared" si="25"/>
        <v>836</v>
      </c>
      <c r="H12" s="131" t="s">
        <v>200</v>
      </c>
      <c r="I12" s="182">
        <f>I11-E12</f>
        <v>19000</v>
      </c>
      <c r="J12" s="183" t="s">
        <v>78</v>
      </c>
      <c r="K12" s="184"/>
      <c r="L12" s="130">
        <v>260102006</v>
      </c>
      <c r="M12" s="130">
        <v>42</v>
      </c>
      <c r="N12" s="130">
        <f>M12-D12</f>
        <v>38</v>
      </c>
      <c r="O12" s="192">
        <v>46010</v>
      </c>
      <c r="P12" s="193">
        <f t="shared" si="26"/>
        <v>348</v>
      </c>
      <c r="Q12" s="194">
        <f t="shared" si="27"/>
        <v>46374</v>
      </c>
      <c r="R12" s="195">
        <f t="shared" si="28"/>
        <v>17</v>
      </c>
      <c r="U12" s="91"/>
    </row>
    <row r="13" spans="1:21" s="1" customFormat="1" ht="19.649999999999999" customHeight="1" x14ac:dyDescent="0.25">
      <c r="A13" s="181">
        <v>46027</v>
      </c>
      <c r="B13" s="181">
        <v>46027</v>
      </c>
      <c r="C13" s="130" t="s">
        <v>194</v>
      </c>
      <c r="D13" s="130">
        <v>4</v>
      </c>
      <c r="E13" s="130">
        <f t="shared" ref="E13:E14" si="29">D13*200</f>
        <v>800</v>
      </c>
      <c r="F13" s="131" t="s">
        <v>3</v>
      </c>
      <c r="G13" s="130">
        <f t="shared" ref="G13:G14" si="30">D13*209</f>
        <v>836</v>
      </c>
      <c r="H13" s="131" t="s">
        <v>200</v>
      </c>
      <c r="I13" s="182">
        <f>I12-E13</f>
        <v>18200</v>
      </c>
      <c r="J13" s="183" t="s">
        <v>78</v>
      </c>
      <c r="K13" s="184"/>
      <c r="L13" s="130">
        <v>260102006</v>
      </c>
      <c r="M13" s="130">
        <v>43</v>
      </c>
      <c r="N13" s="130">
        <f>M13-D13</f>
        <v>39</v>
      </c>
      <c r="O13" s="192">
        <v>46012</v>
      </c>
      <c r="P13" s="193">
        <f t="shared" ref="P13:P14" si="31">365-R13</f>
        <v>350</v>
      </c>
      <c r="Q13" s="194">
        <f t="shared" ref="Q13:Q14" si="32">DATE(YEAR(O13)+1,MONTH(O13),DAY(O13))-1</f>
        <v>46376</v>
      </c>
      <c r="R13" s="195">
        <f t="shared" ref="R13:R14" si="33">DATEDIF(O13,B13,"d")</f>
        <v>15</v>
      </c>
      <c r="U13" s="91"/>
    </row>
    <row r="14" spans="1:21" s="1" customFormat="1" ht="19.649999999999999" customHeight="1" x14ac:dyDescent="0.25">
      <c r="A14" s="181">
        <v>46027</v>
      </c>
      <c r="B14" s="181">
        <v>46027</v>
      </c>
      <c r="C14" s="130" t="s">
        <v>195</v>
      </c>
      <c r="D14" s="130">
        <v>4</v>
      </c>
      <c r="E14" s="130">
        <f t="shared" si="29"/>
        <v>800</v>
      </c>
      <c r="F14" s="131" t="s">
        <v>3</v>
      </c>
      <c r="G14" s="130">
        <f t="shared" si="30"/>
        <v>836</v>
      </c>
      <c r="H14" s="131" t="s">
        <v>200</v>
      </c>
      <c r="I14" s="182">
        <f>I13-E14</f>
        <v>17400</v>
      </c>
      <c r="J14" s="183" t="s">
        <v>78</v>
      </c>
      <c r="K14" s="184"/>
      <c r="L14" s="130">
        <v>260102006</v>
      </c>
      <c r="M14" s="130">
        <v>42</v>
      </c>
      <c r="N14" s="130">
        <f>M14-D14</f>
        <v>38</v>
      </c>
      <c r="O14" s="192">
        <v>46014</v>
      </c>
      <c r="P14" s="193">
        <f t="shared" si="31"/>
        <v>352</v>
      </c>
      <c r="Q14" s="194">
        <f t="shared" si="32"/>
        <v>46378</v>
      </c>
      <c r="R14" s="195">
        <f t="shared" si="33"/>
        <v>13</v>
      </c>
      <c r="U14" s="91"/>
    </row>
    <row r="15" spans="1:21" s="1" customFormat="1" ht="19.649999999999999" customHeight="1" x14ac:dyDescent="0.25">
      <c r="A15" s="181">
        <v>46027</v>
      </c>
      <c r="B15" s="181">
        <v>46027</v>
      </c>
      <c r="C15" s="130" t="s">
        <v>196</v>
      </c>
      <c r="D15" s="130">
        <v>4</v>
      </c>
      <c r="E15" s="130">
        <f t="shared" ref="E15" si="34">D15*200</f>
        <v>800</v>
      </c>
      <c r="F15" s="131" t="s">
        <v>3</v>
      </c>
      <c r="G15" s="130">
        <f t="shared" ref="G15" si="35">D15*209</f>
        <v>836</v>
      </c>
      <c r="H15" s="131" t="s">
        <v>200</v>
      </c>
      <c r="I15" s="182">
        <f>I14-E15</f>
        <v>16600</v>
      </c>
      <c r="J15" s="183" t="s">
        <v>78</v>
      </c>
      <c r="K15" s="184"/>
      <c r="L15" s="130">
        <v>260102007</v>
      </c>
      <c r="M15" s="130">
        <v>42</v>
      </c>
      <c r="N15" s="130">
        <f>M15-D15</f>
        <v>38</v>
      </c>
      <c r="O15" s="192">
        <v>46017</v>
      </c>
      <c r="P15" s="193">
        <f t="shared" ref="P15" si="36">365-R15</f>
        <v>355</v>
      </c>
      <c r="Q15" s="194">
        <f t="shared" ref="Q15" si="37">DATE(YEAR(O15)+1,MONTH(O15),DAY(O15))-1</f>
        <v>46381</v>
      </c>
      <c r="R15" s="195">
        <f t="shared" ref="R15" si="38">DATEDIF(O15,B15,"d")</f>
        <v>10</v>
      </c>
      <c r="S15" s="91"/>
      <c r="U15" s="91" t="s">
        <v>201</v>
      </c>
    </row>
    <row r="16" spans="1:21" s="1" customFormat="1" ht="19.649999999999999" customHeight="1" x14ac:dyDescent="0.25">
      <c r="A16" s="104">
        <v>46027</v>
      </c>
      <c r="B16" s="104">
        <v>46027</v>
      </c>
      <c r="C16" s="105" t="s">
        <v>197</v>
      </c>
      <c r="D16" s="105">
        <v>2</v>
      </c>
      <c r="E16" s="105">
        <f t="shared" ref="E16" si="39">D16*200</f>
        <v>400</v>
      </c>
      <c r="F16" s="106" t="s">
        <v>1</v>
      </c>
      <c r="G16" s="105">
        <f t="shared" ref="G16" si="40">D16*209</f>
        <v>418</v>
      </c>
      <c r="H16" s="106" t="s">
        <v>206</v>
      </c>
      <c r="I16" s="107">
        <f>I6-E16</f>
        <v>10000</v>
      </c>
      <c r="J16" s="108"/>
      <c r="K16" s="109"/>
      <c r="L16" s="105">
        <v>260102008</v>
      </c>
      <c r="M16" s="105"/>
      <c r="N16" s="105">
        <f>N7-D16</f>
        <v>0</v>
      </c>
      <c r="O16" s="192">
        <v>45970</v>
      </c>
      <c r="P16" s="193">
        <f t="shared" ref="P16:P17" si="41">365-R16</f>
        <v>308</v>
      </c>
      <c r="Q16" s="194">
        <f t="shared" ref="Q16:Q17" si="42">DATE(YEAR(O16)+1,MONTH(O16),DAY(O16))-1</f>
        <v>46334</v>
      </c>
      <c r="R16" s="195">
        <f t="shared" ref="R16:R17" si="43">DATEDIF(O16,B16,"d")</f>
        <v>57</v>
      </c>
      <c r="U16" s="91"/>
    </row>
    <row r="17" spans="1:21" s="1" customFormat="1" ht="19.649999999999999" customHeight="1" x14ac:dyDescent="0.25">
      <c r="A17" s="104">
        <v>46027</v>
      </c>
      <c r="B17" s="104">
        <v>46027</v>
      </c>
      <c r="C17" s="105" t="s">
        <v>198</v>
      </c>
      <c r="D17" s="105">
        <v>22</v>
      </c>
      <c r="E17" s="105">
        <f t="shared" ref="E17" si="44">D17*200</f>
        <v>4400</v>
      </c>
      <c r="F17" s="106" t="s">
        <v>1</v>
      </c>
      <c r="G17" s="105">
        <f t="shared" ref="G17" si="45">D17*209</f>
        <v>4598</v>
      </c>
      <c r="H17" s="106" t="s">
        <v>182</v>
      </c>
      <c r="I17" s="107">
        <f>I16-E17</f>
        <v>5600</v>
      </c>
      <c r="J17" s="108"/>
      <c r="K17" s="109"/>
      <c r="L17" s="105">
        <v>260102008</v>
      </c>
      <c r="M17" s="105"/>
      <c r="N17" s="105">
        <f>N8-D17</f>
        <v>13</v>
      </c>
      <c r="O17" s="192">
        <v>45972</v>
      </c>
      <c r="P17" s="193">
        <f t="shared" si="41"/>
        <v>310</v>
      </c>
      <c r="Q17" s="194">
        <f t="shared" si="42"/>
        <v>46336</v>
      </c>
      <c r="R17" s="195">
        <f t="shared" si="43"/>
        <v>55</v>
      </c>
      <c r="U17" s="91" t="s">
        <v>202</v>
      </c>
    </row>
    <row r="18" spans="1:21" s="1" customFormat="1" ht="19.649999999999999" customHeight="1" x14ac:dyDescent="0.25">
      <c r="A18" s="169">
        <v>46028</v>
      </c>
      <c r="B18" s="169">
        <v>46028</v>
      </c>
      <c r="C18" s="110" t="s">
        <v>174</v>
      </c>
      <c r="D18" s="110">
        <v>13</v>
      </c>
      <c r="E18" s="110">
        <f t="shared" ref="E18" si="46">D18*200</f>
        <v>2600</v>
      </c>
      <c r="F18" s="170" t="s">
        <v>40</v>
      </c>
      <c r="G18" s="110">
        <f t="shared" ref="G18" si="47">D18*209</f>
        <v>2717</v>
      </c>
      <c r="H18" s="111" t="s">
        <v>176</v>
      </c>
      <c r="I18" s="171">
        <f>I4-E18</f>
        <v>1800</v>
      </c>
      <c r="J18" s="172"/>
      <c r="K18" s="173"/>
      <c r="L18" s="110">
        <v>260105001</v>
      </c>
      <c r="M18" s="110"/>
      <c r="N18" s="110">
        <f>N17-D18</f>
        <v>0</v>
      </c>
      <c r="O18" s="192">
        <v>45972</v>
      </c>
      <c r="P18" s="193">
        <f t="shared" ref="P18:P19" si="48">365-R18</f>
        <v>309</v>
      </c>
      <c r="Q18" s="194">
        <f t="shared" ref="Q18:Q19" si="49">DATE(YEAR(O18)+1,MONTH(O18),DAY(O18))-1</f>
        <v>46336</v>
      </c>
      <c r="R18" s="195">
        <f t="shared" ref="R18:R19" si="50">DATEDIF(O18,B18,"d")</f>
        <v>56</v>
      </c>
      <c r="U18" s="91"/>
    </row>
    <row r="19" spans="1:21" s="1" customFormat="1" ht="19.649999999999999" customHeight="1" x14ac:dyDescent="0.25">
      <c r="A19" s="169">
        <v>46028</v>
      </c>
      <c r="B19" s="169">
        <v>46028</v>
      </c>
      <c r="C19" s="110" t="s">
        <v>207</v>
      </c>
      <c r="D19" s="110">
        <v>7</v>
      </c>
      <c r="E19" s="110">
        <f t="shared" ref="E19" si="51">D19*200</f>
        <v>1400</v>
      </c>
      <c r="F19" s="170" t="s">
        <v>40</v>
      </c>
      <c r="G19" s="110">
        <f t="shared" ref="G19" si="52">D19*209</f>
        <v>1463</v>
      </c>
      <c r="H19" s="111" t="s">
        <v>176</v>
      </c>
      <c r="I19" s="171">
        <f>I18-E19</f>
        <v>400</v>
      </c>
      <c r="J19" s="172"/>
      <c r="K19" s="173"/>
      <c r="L19" s="110">
        <v>260105001</v>
      </c>
      <c r="M19" s="110"/>
      <c r="N19" s="110">
        <f>38-D19</f>
        <v>31</v>
      </c>
      <c r="O19" s="192">
        <v>45974</v>
      </c>
      <c r="P19" s="193">
        <f t="shared" si="48"/>
        <v>311</v>
      </c>
      <c r="Q19" s="194">
        <f t="shared" si="49"/>
        <v>46338</v>
      </c>
      <c r="R19" s="195">
        <f t="shared" si="50"/>
        <v>54</v>
      </c>
      <c r="U19" s="91"/>
    </row>
    <row r="20" spans="1:21" s="1" customFormat="1" ht="19.649999999999999" customHeight="1" x14ac:dyDescent="0.25">
      <c r="A20" s="32">
        <v>46030</v>
      </c>
      <c r="B20" s="32">
        <v>46030</v>
      </c>
      <c r="C20" s="33" t="s">
        <v>175</v>
      </c>
      <c r="D20" s="33">
        <v>23</v>
      </c>
      <c r="E20" s="33">
        <f t="shared" ref="E20" si="53">D20*200</f>
        <v>4600</v>
      </c>
      <c r="F20" s="34" t="s">
        <v>1</v>
      </c>
      <c r="G20" s="33">
        <f t="shared" ref="G20" si="54">D20*209</f>
        <v>4807</v>
      </c>
      <c r="H20" s="34" t="s">
        <v>182</v>
      </c>
      <c r="I20" s="35">
        <f>I17-E20</f>
        <v>1000</v>
      </c>
      <c r="J20" s="36"/>
      <c r="K20" s="37"/>
      <c r="L20" s="33">
        <v>260107007</v>
      </c>
      <c r="M20" s="33"/>
      <c r="N20" s="33">
        <f>N19-D20</f>
        <v>8</v>
      </c>
      <c r="O20" s="192">
        <v>45974</v>
      </c>
      <c r="P20" s="193">
        <f t="shared" ref="P20" si="55">365-R20</f>
        <v>309</v>
      </c>
      <c r="Q20" s="194">
        <f t="shared" ref="Q20" si="56">DATE(YEAR(O20)+1,MONTH(O20),DAY(O20))-1</f>
        <v>46338</v>
      </c>
      <c r="R20" s="195">
        <f t="shared" ref="R20" si="57">DATEDIF(O20,B20,"d")</f>
        <v>56</v>
      </c>
      <c r="U20" s="91"/>
    </row>
    <row r="21" spans="1:21" s="1" customFormat="1" ht="19.649999999999999" customHeight="1" x14ac:dyDescent="0.25">
      <c r="A21" s="32">
        <v>46030</v>
      </c>
      <c r="B21" s="32">
        <v>46030</v>
      </c>
      <c r="C21" s="33" t="s">
        <v>208</v>
      </c>
      <c r="D21" s="33">
        <v>1</v>
      </c>
      <c r="E21" s="33">
        <f t="shared" ref="E21" si="58">D21*200</f>
        <v>200</v>
      </c>
      <c r="F21" s="34" t="s">
        <v>1</v>
      </c>
      <c r="G21" s="33">
        <f t="shared" ref="G21" si="59">D21*209</f>
        <v>209</v>
      </c>
      <c r="H21" s="34" t="s">
        <v>209</v>
      </c>
      <c r="I21" s="35">
        <f>I20-E21</f>
        <v>800</v>
      </c>
      <c r="J21" s="36"/>
      <c r="K21" s="37"/>
      <c r="L21" s="33">
        <v>260107007</v>
      </c>
      <c r="M21" s="33"/>
      <c r="N21" s="33">
        <f>38-D21</f>
        <v>37</v>
      </c>
      <c r="O21" s="192">
        <v>45976</v>
      </c>
      <c r="P21" s="193">
        <f t="shared" ref="P21:P22" si="60">365-R21</f>
        <v>311</v>
      </c>
      <c r="Q21" s="194">
        <f t="shared" ref="Q21:Q22" si="61">DATE(YEAR(O21)+1,MONTH(O21),DAY(O21))-1</f>
        <v>46340</v>
      </c>
      <c r="R21" s="195">
        <f t="shared" ref="R21:R22" si="62">DATEDIF(O21,B21,"d")</f>
        <v>54</v>
      </c>
      <c r="U21" s="91"/>
    </row>
    <row r="22" spans="1:21" s="1" customFormat="1" ht="19.649999999999999" customHeight="1" x14ac:dyDescent="0.25">
      <c r="A22" s="7">
        <v>46034</v>
      </c>
      <c r="B22" s="7">
        <v>46034</v>
      </c>
      <c r="C22" s="8" t="s">
        <v>210</v>
      </c>
      <c r="D22" s="8">
        <v>8</v>
      </c>
      <c r="E22" s="8">
        <f t="shared" ref="E22" si="63">D22*200</f>
        <v>1600</v>
      </c>
      <c r="F22" s="9" t="s">
        <v>3</v>
      </c>
      <c r="G22" s="8">
        <f t="shared" ref="G22" si="64">D22*209</f>
        <v>1672</v>
      </c>
      <c r="H22" s="9" t="s">
        <v>215</v>
      </c>
      <c r="I22" s="10">
        <f>I15-E22</f>
        <v>15000</v>
      </c>
      <c r="J22" s="11"/>
      <c r="K22" s="12"/>
      <c r="L22" s="8">
        <v>260109003</v>
      </c>
      <c r="M22" s="8"/>
      <c r="N22" s="8">
        <f>N20-D22</f>
        <v>0</v>
      </c>
      <c r="O22" s="192">
        <v>45974</v>
      </c>
      <c r="P22" s="193">
        <f t="shared" si="60"/>
        <v>305</v>
      </c>
      <c r="Q22" s="194">
        <f t="shared" si="61"/>
        <v>46338</v>
      </c>
      <c r="R22" s="195">
        <f t="shared" si="62"/>
        <v>60</v>
      </c>
      <c r="U22" s="91"/>
    </row>
    <row r="23" spans="1:21" s="1" customFormat="1" ht="19.649999999999999" customHeight="1" x14ac:dyDescent="0.25">
      <c r="A23" s="7">
        <v>46034</v>
      </c>
      <c r="B23" s="7">
        <v>46034</v>
      </c>
      <c r="C23" s="8" t="s">
        <v>211</v>
      </c>
      <c r="D23" s="8">
        <v>20</v>
      </c>
      <c r="E23" s="8">
        <f t="shared" ref="E23" si="65">D23*200</f>
        <v>4000</v>
      </c>
      <c r="F23" s="9" t="s">
        <v>3</v>
      </c>
      <c r="G23" s="8">
        <f t="shared" ref="G23" si="66">D23*209</f>
        <v>4180</v>
      </c>
      <c r="H23" s="9" t="s">
        <v>200</v>
      </c>
      <c r="I23" s="10">
        <f>I22-E23</f>
        <v>11000</v>
      </c>
      <c r="J23" s="11"/>
      <c r="K23" s="12"/>
      <c r="L23" s="8">
        <v>260109003</v>
      </c>
      <c r="M23" s="8"/>
      <c r="N23" s="8">
        <f>N21-D23</f>
        <v>17</v>
      </c>
      <c r="O23" s="192">
        <v>45976</v>
      </c>
      <c r="P23" s="193">
        <f t="shared" ref="P23" si="67">365-R23</f>
        <v>307</v>
      </c>
      <c r="Q23" s="194">
        <f t="shared" ref="Q23" si="68">DATE(YEAR(O23)+1,MONTH(O23),DAY(O23))-1</f>
        <v>46340</v>
      </c>
      <c r="R23" s="195">
        <f t="shared" ref="R23" si="69">DATEDIF(O23,B23,"d")</f>
        <v>58</v>
      </c>
      <c r="U23" s="91"/>
    </row>
    <row r="24" spans="1:21" s="1" customFormat="1" ht="19.649999999999999" customHeight="1" x14ac:dyDescent="0.25">
      <c r="A24" s="7">
        <v>46034</v>
      </c>
      <c r="B24" s="7">
        <v>46034</v>
      </c>
      <c r="C24" s="8" t="s">
        <v>212</v>
      </c>
      <c r="D24" s="8">
        <v>4</v>
      </c>
      <c r="E24" s="8">
        <f t="shared" ref="E24" si="70">D24*200</f>
        <v>800</v>
      </c>
      <c r="F24" s="9" t="s">
        <v>3</v>
      </c>
      <c r="G24" s="8">
        <f t="shared" ref="G24" si="71">D24*209</f>
        <v>836</v>
      </c>
      <c r="H24" s="9" t="s">
        <v>200</v>
      </c>
      <c r="I24" s="10">
        <f>I23-E24</f>
        <v>10200</v>
      </c>
      <c r="J24" s="11" t="s">
        <v>78</v>
      </c>
      <c r="K24" s="12"/>
      <c r="L24" s="8">
        <v>260109004</v>
      </c>
      <c r="M24" s="8">
        <v>43</v>
      </c>
      <c r="N24" s="8">
        <f>M24-D24</f>
        <v>39</v>
      </c>
      <c r="O24" s="192">
        <v>45980</v>
      </c>
      <c r="P24" s="193">
        <f t="shared" ref="P24:P25" si="72">365-R24</f>
        <v>311</v>
      </c>
      <c r="Q24" s="194">
        <f t="shared" ref="Q24:Q25" si="73">DATE(YEAR(O24)+1,MONTH(O24),DAY(O24))-1</f>
        <v>46344</v>
      </c>
      <c r="R24" s="195">
        <f t="shared" ref="R24:R25" si="74">DATEDIF(O24,B24,"d")</f>
        <v>54</v>
      </c>
      <c r="U24" s="91"/>
    </row>
    <row r="25" spans="1:21" s="1" customFormat="1" ht="19.649999999999999" customHeight="1" x14ac:dyDescent="0.25">
      <c r="A25" s="219">
        <v>46034</v>
      </c>
      <c r="B25" s="219">
        <v>46034</v>
      </c>
      <c r="C25" s="220" t="s">
        <v>208</v>
      </c>
      <c r="D25" s="220">
        <v>4</v>
      </c>
      <c r="E25" s="220">
        <f t="shared" ref="E25" si="75">D25*200</f>
        <v>800</v>
      </c>
      <c r="F25" s="221" t="s">
        <v>1</v>
      </c>
      <c r="G25" s="220">
        <f t="shared" ref="G25" si="76">D25*209</f>
        <v>836</v>
      </c>
      <c r="H25" s="221" t="s">
        <v>216</v>
      </c>
      <c r="I25" s="222">
        <f>I21-E25</f>
        <v>0</v>
      </c>
      <c r="J25" s="223"/>
      <c r="K25" s="224"/>
      <c r="L25" s="220">
        <v>260109005</v>
      </c>
      <c r="M25" s="220"/>
      <c r="N25" s="220">
        <f>N23-D25</f>
        <v>13</v>
      </c>
      <c r="O25" s="192">
        <v>45976</v>
      </c>
      <c r="P25" s="193">
        <f t="shared" si="72"/>
        <v>307</v>
      </c>
      <c r="Q25" s="194">
        <f t="shared" si="73"/>
        <v>46340</v>
      </c>
      <c r="R25" s="195">
        <f t="shared" si="74"/>
        <v>58</v>
      </c>
      <c r="U25" s="91"/>
    </row>
    <row r="26" spans="1:21" s="1" customFormat="1" ht="19.649999999999999" customHeight="1" x14ac:dyDescent="0.25">
      <c r="A26" s="219">
        <v>46034</v>
      </c>
      <c r="B26" s="219">
        <v>46034</v>
      </c>
      <c r="C26" s="220" t="s">
        <v>208</v>
      </c>
      <c r="D26" s="220">
        <v>13</v>
      </c>
      <c r="E26" s="220">
        <f t="shared" ref="E26" si="77">D26*200</f>
        <v>2600</v>
      </c>
      <c r="F26" s="221" t="s">
        <v>1</v>
      </c>
      <c r="G26" s="220">
        <f t="shared" ref="G26" si="78">D26*209</f>
        <v>2717</v>
      </c>
      <c r="H26" s="237" t="s">
        <v>217</v>
      </c>
      <c r="I26" s="222">
        <f>100000-E26</f>
        <v>97400</v>
      </c>
      <c r="J26" s="223"/>
      <c r="K26" s="224"/>
      <c r="L26" s="220">
        <v>260109005</v>
      </c>
      <c r="M26" s="220"/>
      <c r="N26" s="220">
        <f>N25-D26</f>
        <v>0</v>
      </c>
      <c r="O26" s="192">
        <v>45976</v>
      </c>
      <c r="P26" s="193">
        <f t="shared" ref="P26" si="79">365-R26</f>
        <v>307</v>
      </c>
      <c r="Q26" s="194">
        <f t="shared" ref="Q26" si="80">DATE(YEAR(O26)+1,MONTH(O26),DAY(O26))-1</f>
        <v>46340</v>
      </c>
      <c r="R26" s="195">
        <f t="shared" ref="R26" si="81">DATEDIF(O26,B26,"d")</f>
        <v>58</v>
      </c>
      <c r="U26" s="91"/>
    </row>
    <row r="27" spans="1:21" s="1" customFormat="1" ht="19.649999999999999" customHeight="1" x14ac:dyDescent="0.25">
      <c r="A27" s="219">
        <v>46034</v>
      </c>
      <c r="B27" s="219">
        <v>46034</v>
      </c>
      <c r="C27" s="220" t="s">
        <v>213</v>
      </c>
      <c r="D27" s="220">
        <v>7</v>
      </c>
      <c r="E27" s="220">
        <f t="shared" ref="E27" si="82">D27*200</f>
        <v>1400</v>
      </c>
      <c r="F27" s="221" t="s">
        <v>1</v>
      </c>
      <c r="G27" s="220">
        <f t="shared" ref="G27:G28" si="83">D27*209</f>
        <v>1463</v>
      </c>
      <c r="H27" s="221" t="s">
        <v>217</v>
      </c>
      <c r="I27" s="222">
        <f>I26-E27</f>
        <v>96000</v>
      </c>
      <c r="J27" s="223"/>
      <c r="K27" s="224"/>
      <c r="L27" s="220">
        <v>260109005</v>
      </c>
      <c r="M27" s="220"/>
      <c r="N27" s="220">
        <f>38-D27</f>
        <v>31</v>
      </c>
      <c r="O27" s="192">
        <v>45978</v>
      </c>
      <c r="P27" s="193">
        <f t="shared" ref="P27" si="84">365-R27</f>
        <v>309</v>
      </c>
      <c r="Q27" s="194">
        <f t="shared" ref="Q27" si="85">DATE(YEAR(O27)+1,MONTH(O27),DAY(O27))-1</f>
        <v>46342</v>
      </c>
      <c r="R27" s="195">
        <f t="shared" ref="R27" si="86">DATEDIF(O27,B27,"d")</f>
        <v>56</v>
      </c>
      <c r="U27" s="91"/>
    </row>
    <row r="28" spans="1:21" s="1" customFormat="1" ht="19.649999999999999" customHeight="1" x14ac:dyDescent="0.25">
      <c r="A28" s="225">
        <v>46036</v>
      </c>
      <c r="B28" s="225">
        <v>46036</v>
      </c>
      <c r="C28" s="102" t="s">
        <v>218</v>
      </c>
      <c r="D28" s="102">
        <v>2</v>
      </c>
      <c r="E28" s="102">
        <v>400</v>
      </c>
      <c r="F28" s="239" t="s">
        <v>40</v>
      </c>
      <c r="G28" s="102">
        <f t="shared" si="83"/>
        <v>418</v>
      </c>
      <c r="H28" s="103" t="s">
        <v>176</v>
      </c>
      <c r="I28" s="226">
        <f>I19-E28</f>
        <v>0</v>
      </c>
      <c r="J28" s="227"/>
      <c r="K28" s="228"/>
      <c r="L28" s="102">
        <v>260113008</v>
      </c>
      <c r="M28" s="102"/>
      <c r="N28" s="102">
        <f>N27-D28</f>
        <v>29</v>
      </c>
      <c r="O28" s="192">
        <v>45978</v>
      </c>
      <c r="P28" s="193">
        <f t="shared" ref="P28:P31" si="87">365-R28</f>
        <v>307</v>
      </c>
      <c r="Q28" s="194">
        <f t="shared" ref="Q28:Q31" si="88">DATE(YEAR(O28)+1,MONTH(O28),DAY(O28))-1</f>
        <v>46342</v>
      </c>
      <c r="R28" s="195">
        <f t="shared" ref="R28:R31" si="89">DATEDIF(O28,B28,"d")</f>
        <v>58</v>
      </c>
      <c r="U28" s="91"/>
    </row>
    <row r="29" spans="1:21" s="1" customFormat="1" ht="19.649999999999999" customHeight="1" x14ac:dyDescent="0.25">
      <c r="A29" s="225">
        <v>46036</v>
      </c>
      <c r="B29" s="225">
        <v>46036</v>
      </c>
      <c r="C29" s="102" t="s">
        <v>218</v>
      </c>
      <c r="D29" s="102">
        <v>10</v>
      </c>
      <c r="E29" s="102">
        <v>2000</v>
      </c>
      <c r="F29" s="239" t="s">
        <v>40</v>
      </c>
      <c r="G29" s="102">
        <f t="shared" ref="G29" si="90">D29*209</f>
        <v>2090</v>
      </c>
      <c r="H29" s="240" t="s">
        <v>222</v>
      </c>
      <c r="I29" s="226">
        <f>100000-E29</f>
        <v>98000</v>
      </c>
      <c r="J29" s="227"/>
      <c r="K29" s="228"/>
      <c r="L29" s="102">
        <v>260113008</v>
      </c>
      <c r="M29" s="102"/>
      <c r="N29" s="102">
        <f>N28-D29</f>
        <v>19</v>
      </c>
      <c r="O29" s="192">
        <v>45978</v>
      </c>
      <c r="P29" s="193">
        <f t="shared" ref="P29" si="91">365-R29</f>
        <v>307</v>
      </c>
      <c r="Q29" s="194">
        <f t="shared" ref="Q29" si="92">DATE(YEAR(O29)+1,MONTH(O29),DAY(O29))-1</f>
        <v>46342</v>
      </c>
      <c r="R29" s="195">
        <f t="shared" ref="R29" si="93">DATEDIF(O29,B29,"d")</f>
        <v>58</v>
      </c>
      <c r="U29" s="91"/>
    </row>
    <row r="30" spans="1:21" s="1" customFormat="1" ht="19.649999999999999" customHeight="1" x14ac:dyDescent="0.25">
      <c r="A30" s="225">
        <v>46036</v>
      </c>
      <c r="B30" s="225">
        <v>46036</v>
      </c>
      <c r="C30" s="102" t="s">
        <v>219</v>
      </c>
      <c r="D30" s="102">
        <v>12</v>
      </c>
      <c r="E30" s="102">
        <f t="shared" ref="E30" si="94">D30*200</f>
        <v>2400</v>
      </c>
      <c r="F30" s="239" t="s">
        <v>40</v>
      </c>
      <c r="G30" s="102">
        <f t="shared" ref="G30" si="95">D30*209</f>
        <v>2508</v>
      </c>
      <c r="H30" s="103" t="s">
        <v>220</v>
      </c>
      <c r="I30" s="226">
        <f>I29-E30</f>
        <v>95600</v>
      </c>
      <c r="J30" s="227"/>
      <c r="K30" s="228"/>
      <c r="L30" s="102">
        <v>260113008</v>
      </c>
      <c r="M30" s="102"/>
      <c r="N30" s="102">
        <f>N24-D30</f>
        <v>27</v>
      </c>
      <c r="O30" s="192">
        <v>45980</v>
      </c>
      <c r="P30" s="193">
        <f t="shared" si="87"/>
        <v>309</v>
      </c>
      <c r="Q30" s="194">
        <f t="shared" si="88"/>
        <v>46344</v>
      </c>
      <c r="R30" s="195">
        <f t="shared" si="89"/>
        <v>56</v>
      </c>
      <c r="U30" s="91"/>
    </row>
    <row r="31" spans="1:21" s="1" customFormat="1" ht="19.649999999999999" customHeight="1" x14ac:dyDescent="0.25">
      <c r="A31" s="13">
        <v>46037</v>
      </c>
      <c r="B31" s="13">
        <v>46037</v>
      </c>
      <c r="C31" s="14" t="s">
        <v>224</v>
      </c>
      <c r="D31" s="14">
        <v>19</v>
      </c>
      <c r="E31" s="14">
        <f t="shared" ref="E31" si="96">D31*200</f>
        <v>3800</v>
      </c>
      <c r="F31" s="15" t="s">
        <v>1</v>
      </c>
      <c r="G31" s="14">
        <f t="shared" ref="G31" si="97">D31*209</f>
        <v>3971</v>
      </c>
      <c r="H31" s="15" t="s">
        <v>217</v>
      </c>
      <c r="I31" s="16">
        <f>I27-E31</f>
        <v>92200</v>
      </c>
      <c r="J31" s="17"/>
      <c r="K31" s="18"/>
      <c r="L31" s="14">
        <v>260114003</v>
      </c>
      <c r="M31" s="14"/>
      <c r="N31" s="14">
        <f>N29-D31</f>
        <v>0</v>
      </c>
      <c r="O31" s="192">
        <v>45978</v>
      </c>
      <c r="P31" s="193">
        <f t="shared" si="87"/>
        <v>306</v>
      </c>
      <c r="Q31" s="194">
        <f t="shared" si="88"/>
        <v>46342</v>
      </c>
      <c r="R31" s="195">
        <f t="shared" si="89"/>
        <v>59</v>
      </c>
      <c r="U31" s="91"/>
    </row>
    <row r="32" spans="1:21" s="1" customFormat="1" ht="19.649999999999999" customHeight="1" x14ac:dyDescent="0.25">
      <c r="A32" s="13">
        <v>46037</v>
      </c>
      <c r="B32" s="13">
        <v>46037</v>
      </c>
      <c r="C32" s="14" t="s">
        <v>225</v>
      </c>
      <c r="D32" s="14">
        <v>5</v>
      </c>
      <c r="E32" s="14">
        <f t="shared" ref="E32" si="98">D32*200</f>
        <v>1000</v>
      </c>
      <c r="F32" s="15" t="s">
        <v>1</v>
      </c>
      <c r="G32" s="14">
        <f t="shared" ref="G32" si="99">D32*209</f>
        <v>1045</v>
      </c>
      <c r="H32" s="15" t="s">
        <v>217</v>
      </c>
      <c r="I32" s="16">
        <f>I31-E32</f>
        <v>91200</v>
      </c>
      <c r="J32" s="17"/>
      <c r="K32" s="18"/>
      <c r="L32" s="14">
        <v>260114003</v>
      </c>
      <c r="M32" s="14"/>
      <c r="N32" s="14">
        <f>N30-D32</f>
        <v>22</v>
      </c>
      <c r="O32" s="192">
        <v>45980</v>
      </c>
      <c r="P32" s="193">
        <f t="shared" ref="P32" si="100">365-R32</f>
        <v>308</v>
      </c>
      <c r="Q32" s="194">
        <f t="shared" ref="Q32" si="101">DATE(YEAR(O32)+1,MONTH(O32),DAY(O32))-1</f>
        <v>46344</v>
      </c>
      <c r="R32" s="195">
        <f t="shared" ref="R32" si="102">DATEDIF(O32,B32,"d")</f>
        <v>57</v>
      </c>
      <c r="U32" s="91"/>
    </row>
    <row r="33" spans="1:21" s="1" customFormat="1" ht="19.649999999999999" customHeight="1" x14ac:dyDescent="0.25">
      <c r="A33" s="26">
        <v>46041</v>
      </c>
      <c r="B33" s="26">
        <v>46041</v>
      </c>
      <c r="C33" s="27" t="s">
        <v>226</v>
      </c>
      <c r="D33" s="27">
        <v>8</v>
      </c>
      <c r="E33" s="27">
        <f t="shared" ref="E33:E34" si="103">D33*200</f>
        <v>1600</v>
      </c>
      <c r="F33" s="241" t="s">
        <v>40</v>
      </c>
      <c r="G33" s="27">
        <f t="shared" ref="G33:G34" si="104">D33*209</f>
        <v>1672</v>
      </c>
      <c r="H33" s="28" t="s">
        <v>228</v>
      </c>
      <c r="I33" s="29">
        <f>I30-E33</f>
        <v>94000</v>
      </c>
      <c r="J33" s="30"/>
      <c r="K33" s="31"/>
      <c r="L33" s="27">
        <v>260116003</v>
      </c>
      <c r="M33" s="27"/>
      <c r="N33" s="27">
        <f>38-D33</f>
        <v>30</v>
      </c>
      <c r="O33" s="192">
        <v>45982</v>
      </c>
      <c r="P33" s="193">
        <f t="shared" ref="P33:P34" si="105">365-R33</f>
        <v>306</v>
      </c>
      <c r="Q33" s="194">
        <f t="shared" ref="Q33:Q34" si="106">DATE(YEAR(O33)+1,MONTH(O33),DAY(O33))-1</f>
        <v>46346</v>
      </c>
      <c r="R33" s="195">
        <f t="shared" ref="R33:R34" si="107">DATEDIF(O33,B33,"d")</f>
        <v>59</v>
      </c>
      <c r="U33" s="91"/>
    </row>
    <row r="34" spans="1:21" s="1" customFormat="1" ht="19.649999999999999" customHeight="1" x14ac:dyDescent="0.25">
      <c r="A34" s="181">
        <v>46041</v>
      </c>
      <c r="B34" s="181">
        <v>46041</v>
      </c>
      <c r="C34" s="130" t="s">
        <v>227</v>
      </c>
      <c r="D34" s="130">
        <v>22</v>
      </c>
      <c r="E34" s="130">
        <f t="shared" si="103"/>
        <v>4400</v>
      </c>
      <c r="F34" s="131" t="s">
        <v>1</v>
      </c>
      <c r="G34" s="130">
        <f t="shared" si="104"/>
        <v>4598</v>
      </c>
      <c r="H34" s="131" t="s">
        <v>214</v>
      </c>
      <c r="I34" s="182">
        <f>I32-E34</f>
        <v>86800</v>
      </c>
      <c r="J34" s="183"/>
      <c r="K34" s="184"/>
      <c r="L34" s="130">
        <v>260116006</v>
      </c>
      <c r="M34" s="130"/>
      <c r="N34" s="130">
        <f>N32-D34</f>
        <v>0</v>
      </c>
      <c r="O34" s="192">
        <v>45980</v>
      </c>
      <c r="P34" s="193">
        <f t="shared" si="105"/>
        <v>304</v>
      </c>
      <c r="Q34" s="194">
        <f t="shared" si="106"/>
        <v>46344</v>
      </c>
      <c r="R34" s="195">
        <f t="shared" si="107"/>
        <v>61</v>
      </c>
      <c r="U34" s="91"/>
    </row>
    <row r="35" spans="1:21" s="1" customFormat="1" ht="19.649999999999999" customHeight="1" x14ac:dyDescent="0.25">
      <c r="A35" s="181">
        <v>46041</v>
      </c>
      <c r="B35" s="181">
        <v>46041</v>
      </c>
      <c r="C35" s="130" t="s">
        <v>226</v>
      </c>
      <c r="D35" s="130">
        <v>2</v>
      </c>
      <c r="E35" s="130">
        <f t="shared" ref="E35" si="108">D35*200</f>
        <v>400</v>
      </c>
      <c r="F35" s="131" t="s">
        <v>1</v>
      </c>
      <c r="G35" s="130">
        <f t="shared" ref="G35" si="109">D35*209</f>
        <v>418</v>
      </c>
      <c r="H35" s="131" t="s">
        <v>217</v>
      </c>
      <c r="I35" s="182">
        <f>I34-E35</f>
        <v>86400</v>
      </c>
      <c r="J35" s="183"/>
      <c r="K35" s="184"/>
      <c r="L35" s="130">
        <v>260116006</v>
      </c>
      <c r="M35" s="130"/>
      <c r="N35" s="130">
        <f>N33-D35</f>
        <v>28</v>
      </c>
      <c r="O35" s="192">
        <v>45982</v>
      </c>
      <c r="P35" s="193">
        <f t="shared" ref="P35" si="110">365-R35</f>
        <v>306</v>
      </c>
      <c r="Q35" s="194">
        <f t="shared" ref="Q35" si="111">DATE(YEAR(O35)+1,MONTH(O35),DAY(O35))-1</f>
        <v>46346</v>
      </c>
      <c r="R35" s="195">
        <f t="shared" ref="R35" si="112">DATEDIF(O35,B35,"d")</f>
        <v>59</v>
      </c>
      <c r="U35" s="91"/>
    </row>
    <row r="36" spans="1:21" s="1" customFormat="1" ht="19.649999999999999" customHeight="1" x14ac:dyDescent="0.25">
      <c r="A36" s="213">
        <v>46042</v>
      </c>
      <c r="B36" s="213">
        <v>46042</v>
      </c>
      <c r="C36" s="214" t="s">
        <v>229</v>
      </c>
      <c r="D36" s="214">
        <v>4</v>
      </c>
      <c r="E36" s="214">
        <f t="shared" ref="E36" si="113">D36*200</f>
        <v>800</v>
      </c>
      <c r="F36" s="215" t="s">
        <v>3</v>
      </c>
      <c r="G36" s="214">
        <f t="shared" ref="G36" si="114">D36*209</f>
        <v>836</v>
      </c>
      <c r="H36" s="215" t="s">
        <v>200</v>
      </c>
      <c r="I36" s="216">
        <f>I24-E36</f>
        <v>9400</v>
      </c>
      <c r="J36" s="217"/>
      <c r="K36" s="218"/>
      <c r="L36" s="214">
        <v>260119009</v>
      </c>
      <c r="M36" s="214"/>
      <c r="N36" s="214">
        <f>N35-D36</f>
        <v>24</v>
      </c>
      <c r="O36" s="192">
        <v>45982</v>
      </c>
      <c r="P36" s="193">
        <f t="shared" ref="P36" si="115">365-R36</f>
        <v>305</v>
      </c>
      <c r="Q36" s="194">
        <f t="shared" ref="Q36" si="116">DATE(YEAR(O36)+1,MONTH(O36),DAY(O36))-1</f>
        <v>46346</v>
      </c>
      <c r="R36" s="195">
        <f t="shared" ref="R36" si="117">DATEDIF(O36,B36,"d")</f>
        <v>60</v>
      </c>
      <c r="U36" s="91"/>
    </row>
    <row r="37" spans="1:21" s="1" customFormat="1" ht="19.649999999999999" customHeight="1" x14ac:dyDescent="0.25">
      <c r="A37" s="213">
        <v>46042</v>
      </c>
      <c r="B37" s="213">
        <v>46042</v>
      </c>
      <c r="C37" s="214" t="s">
        <v>230</v>
      </c>
      <c r="D37" s="214">
        <v>4</v>
      </c>
      <c r="E37" s="214">
        <f t="shared" ref="E37" si="118">D37*200</f>
        <v>800</v>
      </c>
      <c r="F37" s="215" t="s">
        <v>3</v>
      </c>
      <c r="G37" s="214">
        <f t="shared" ref="G37" si="119">D37*209</f>
        <v>836</v>
      </c>
      <c r="H37" s="215" t="s">
        <v>237</v>
      </c>
      <c r="I37" s="216">
        <f t="shared" ref="I37:I43" si="120">I36-E37</f>
        <v>8600</v>
      </c>
      <c r="J37" s="217" t="s">
        <v>78</v>
      </c>
      <c r="K37" s="218"/>
      <c r="L37" s="214">
        <v>260119010</v>
      </c>
      <c r="M37" s="214">
        <v>42</v>
      </c>
      <c r="N37" s="214">
        <f>M37-D37</f>
        <v>38</v>
      </c>
      <c r="O37" s="192">
        <v>46019</v>
      </c>
      <c r="P37" s="193">
        <f t="shared" ref="P37" si="121">365-R37</f>
        <v>342</v>
      </c>
      <c r="Q37" s="194">
        <f t="shared" ref="Q37" si="122">DATE(YEAR(O37)+1,MONTH(O37),DAY(O37))-1</f>
        <v>46383</v>
      </c>
      <c r="R37" s="195">
        <f t="shared" ref="R37" si="123">DATEDIF(O37,B37,"d")</f>
        <v>23</v>
      </c>
      <c r="U37" s="91"/>
    </row>
    <row r="38" spans="1:21" s="1" customFormat="1" ht="19.649999999999999" customHeight="1" x14ac:dyDescent="0.25">
      <c r="A38" s="213">
        <v>46042</v>
      </c>
      <c r="B38" s="213">
        <v>46042</v>
      </c>
      <c r="C38" s="214" t="s">
        <v>231</v>
      </c>
      <c r="D38" s="214">
        <v>4</v>
      </c>
      <c r="E38" s="214">
        <f t="shared" ref="E38" si="124">D38*200</f>
        <v>800</v>
      </c>
      <c r="F38" s="215" t="s">
        <v>3</v>
      </c>
      <c r="G38" s="214">
        <f t="shared" ref="G38" si="125">D38*209</f>
        <v>836</v>
      </c>
      <c r="H38" s="215" t="s">
        <v>200</v>
      </c>
      <c r="I38" s="216">
        <f t="shared" si="120"/>
        <v>7800</v>
      </c>
      <c r="J38" s="217" t="s">
        <v>78</v>
      </c>
      <c r="K38" s="218"/>
      <c r="L38" s="214">
        <v>260119010</v>
      </c>
      <c r="M38" s="214">
        <v>43</v>
      </c>
      <c r="N38" s="214">
        <f>M38-D38</f>
        <v>39</v>
      </c>
      <c r="O38" s="192">
        <v>46021</v>
      </c>
      <c r="P38" s="193">
        <f t="shared" ref="P38" si="126">365-R38</f>
        <v>344</v>
      </c>
      <c r="Q38" s="194">
        <f t="shared" ref="Q38" si="127">DATE(YEAR(O38)+1,MONTH(O38),DAY(O38))-1</f>
        <v>46385</v>
      </c>
      <c r="R38" s="195">
        <f t="shared" ref="R38" si="128">DATEDIF(O38,B38,"d")</f>
        <v>21</v>
      </c>
      <c r="U38" s="91"/>
    </row>
    <row r="39" spans="1:21" s="1" customFormat="1" ht="19.649999999999999" customHeight="1" x14ac:dyDescent="0.25">
      <c r="A39" s="213">
        <v>46042</v>
      </c>
      <c r="B39" s="213">
        <v>46042</v>
      </c>
      <c r="C39" s="214" t="s">
        <v>232</v>
      </c>
      <c r="D39" s="214">
        <v>4</v>
      </c>
      <c r="E39" s="214">
        <f t="shared" ref="E39" si="129">D39*200</f>
        <v>800</v>
      </c>
      <c r="F39" s="215" t="s">
        <v>3</v>
      </c>
      <c r="G39" s="214">
        <f t="shared" ref="G39" si="130">D39*209</f>
        <v>836</v>
      </c>
      <c r="H39" s="215" t="s">
        <v>200</v>
      </c>
      <c r="I39" s="216">
        <f t="shared" si="120"/>
        <v>7000</v>
      </c>
      <c r="J39" s="217" t="s">
        <v>78</v>
      </c>
      <c r="K39" s="218"/>
      <c r="L39" s="214">
        <v>260119010</v>
      </c>
      <c r="M39" s="214">
        <v>42</v>
      </c>
      <c r="N39" s="214">
        <f t="shared" ref="N39:N43" si="131">M39-D39</f>
        <v>38</v>
      </c>
      <c r="O39" s="192">
        <v>46024</v>
      </c>
      <c r="P39" s="193">
        <f t="shared" ref="P39" si="132">365-R39</f>
        <v>347</v>
      </c>
      <c r="Q39" s="194">
        <f t="shared" ref="Q39" si="133">DATE(YEAR(O39)+1,MONTH(O39),DAY(O39))-1</f>
        <v>46388</v>
      </c>
      <c r="R39" s="195">
        <f t="shared" ref="R39" si="134">DATEDIF(O39,B39,"d")</f>
        <v>18</v>
      </c>
      <c r="U39" s="91"/>
    </row>
    <row r="40" spans="1:21" s="1" customFormat="1" ht="19.649999999999999" customHeight="1" x14ac:dyDescent="0.25">
      <c r="A40" s="213">
        <v>46042</v>
      </c>
      <c r="B40" s="213">
        <v>46042</v>
      </c>
      <c r="C40" s="214" t="s">
        <v>233</v>
      </c>
      <c r="D40" s="214">
        <v>4</v>
      </c>
      <c r="E40" s="214">
        <f t="shared" ref="E40:E41" si="135">D40*200</f>
        <v>800</v>
      </c>
      <c r="F40" s="215" t="s">
        <v>3</v>
      </c>
      <c r="G40" s="214">
        <f t="shared" ref="G40:G41" si="136">D40*209</f>
        <v>836</v>
      </c>
      <c r="H40" s="215" t="s">
        <v>200</v>
      </c>
      <c r="I40" s="216">
        <f t="shared" si="120"/>
        <v>6200</v>
      </c>
      <c r="J40" s="217" t="s">
        <v>78</v>
      </c>
      <c r="K40" s="218"/>
      <c r="L40" s="214">
        <v>260119010</v>
      </c>
      <c r="M40" s="214">
        <v>42</v>
      </c>
      <c r="N40" s="214">
        <f t="shared" si="131"/>
        <v>38</v>
      </c>
      <c r="O40" s="192">
        <v>46026</v>
      </c>
      <c r="P40" s="193">
        <f t="shared" ref="P40:P41" si="137">365-R40</f>
        <v>349</v>
      </c>
      <c r="Q40" s="194">
        <f t="shared" ref="Q40:Q41" si="138">DATE(YEAR(O40)+1,MONTH(O40),DAY(O40))-1</f>
        <v>46390</v>
      </c>
      <c r="R40" s="195">
        <f t="shared" ref="R40:R41" si="139">DATEDIF(O40,B40,"d")</f>
        <v>16</v>
      </c>
      <c r="U40" s="91"/>
    </row>
    <row r="41" spans="1:21" s="1" customFormat="1" ht="19.649999999999999" customHeight="1" x14ac:dyDescent="0.25">
      <c r="A41" s="213">
        <v>46042</v>
      </c>
      <c r="B41" s="213">
        <v>46042</v>
      </c>
      <c r="C41" s="214" t="s">
        <v>234</v>
      </c>
      <c r="D41" s="214">
        <v>4</v>
      </c>
      <c r="E41" s="214">
        <f t="shared" si="135"/>
        <v>800</v>
      </c>
      <c r="F41" s="215" t="s">
        <v>3</v>
      </c>
      <c r="G41" s="214">
        <f t="shared" si="136"/>
        <v>836</v>
      </c>
      <c r="H41" s="215" t="s">
        <v>200</v>
      </c>
      <c r="I41" s="216">
        <f t="shared" si="120"/>
        <v>5400</v>
      </c>
      <c r="J41" s="217" t="s">
        <v>78</v>
      </c>
      <c r="K41" s="218"/>
      <c r="L41" s="214">
        <v>260119010</v>
      </c>
      <c r="M41" s="214">
        <v>42</v>
      </c>
      <c r="N41" s="214">
        <f t="shared" si="131"/>
        <v>38</v>
      </c>
      <c r="O41" s="192">
        <v>46028</v>
      </c>
      <c r="P41" s="193">
        <f t="shared" si="137"/>
        <v>351</v>
      </c>
      <c r="Q41" s="194">
        <f t="shared" si="138"/>
        <v>46392</v>
      </c>
      <c r="R41" s="195">
        <f t="shared" si="139"/>
        <v>14</v>
      </c>
      <c r="U41" s="91"/>
    </row>
    <row r="42" spans="1:21" s="1" customFormat="1" ht="19.649999999999999" customHeight="1" x14ac:dyDescent="0.25">
      <c r="A42" s="213">
        <v>46042</v>
      </c>
      <c r="B42" s="213">
        <v>46042</v>
      </c>
      <c r="C42" s="214" t="s">
        <v>235</v>
      </c>
      <c r="D42" s="214">
        <v>4</v>
      </c>
      <c r="E42" s="214">
        <f t="shared" ref="E42" si="140">D42*200</f>
        <v>800</v>
      </c>
      <c r="F42" s="215" t="s">
        <v>3</v>
      </c>
      <c r="G42" s="214">
        <f t="shared" ref="G42" si="141">D42*209</f>
        <v>836</v>
      </c>
      <c r="H42" s="215" t="s">
        <v>200</v>
      </c>
      <c r="I42" s="216">
        <f t="shared" si="120"/>
        <v>4600</v>
      </c>
      <c r="J42" s="217" t="s">
        <v>78</v>
      </c>
      <c r="K42" s="218"/>
      <c r="L42" s="214">
        <v>260119011</v>
      </c>
      <c r="M42" s="214">
        <v>42</v>
      </c>
      <c r="N42" s="214">
        <f>M42-D42</f>
        <v>38</v>
      </c>
      <c r="O42" s="192">
        <v>46030</v>
      </c>
      <c r="P42" s="193">
        <f t="shared" ref="P42" si="142">365-R42</f>
        <v>353</v>
      </c>
      <c r="Q42" s="194">
        <f t="shared" ref="Q42" si="143">DATE(YEAR(O42)+1,MONTH(O42),DAY(O42))-1</f>
        <v>46394</v>
      </c>
      <c r="R42" s="195">
        <f t="shared" ref="R42" si="144">DATEDIF(O42,B42,"d")</f>
        <v>12</v>
      </c>
      <c r="U42" s="91"/>
    </row>
    <row r="43" spans="1:21" s="1" customFormat="1" ht="19.649999999999999" customHeight="1" x14ac:dyDescent="0.25">
      <c r="A43" s="213">
        <v>46042</v>
      </c>
      <c r="B43" s="213">
        <v>46042</v>
      </c>
      <c r="C43" s="214" t="s">
        <v>236</v>
      </c>
      <c r="D43" s="214">
        <v>4</v>
      </c>
      <c r="E43" s="214">
        <f t="shared" ref="E43" si="145">D43*200</f>
        <v>800</v>
      </c>
      <c r="F43" s="215" t="s">
        <v>3</v>
      </c>
      <c r="G43" s="214">
        <f t="shared" ref="G43" si="146">D43*209</f>
        <v>836</v>
      </c>
      <c r="H43" s="215" t="s">
        <v>245</v>
      </c>
      <c r="I43" s="216">
        <f t="shared" si="120"/>
        <v>3800</v>
      </c>
      <c r="J43" s="217" t="s">
        <v>78</v>
      </c>
      <c r="K43" s="218"/>
      <c r="L43" s="214">
        <v>260119011</v>
      </c>
      <c r="M43" s="214">
        <v>43</v>
      </c>
      <c r="N43" s="214">
        <f t="shared" si="131"/>
        <v>39</v>
      </c>
      <c r="O43" s="192">
        <v>46032</v>
      </c>
      <c r="P43" s="193">
        <f t="shared" ref="P43:P44" si="147">365-R43</f>
        <v>355</v>
      </c>
      <c r="Q43" s="194">
        <f t="shared" ref="Q43:Q44" si="148">DATE(YEAR(O43)+1,MONTH(O43),DAY(O43))-1</f>
        <v>46396</v>
      </c>
      <c r="R43" s="195">
        <f>DATEDIF(O43,B43,"d")</f>
        <v>10</v>
      </c>
      <c r="U43" s="91"/>
    </row>
    <row r="44" spans="1:21" s="1" customFormat="1" ht="19.649999999999999" customHeight="1" x14ac:dyDescent="0.25">
      <c r="A44" s="229">
        <v>46043</v>
      </c>
      <c r="B44" s="229">
        <v>46043</v>
      </c>
      <c r="C44" s="100" t="s">
        <v>238</v>
      </c>
      <c r="D44" s="100">
        <v>8</v>
      </c>
      <c r="E44" s="100">
        <f t="shared" ref="E44" si="149">D44*200</f>
        <v>1600</v>
      </c>
      <c r="F44" s="242" t="s">
        <v>40</v>
      </c>
      <c r="G44" s="100">
        <f t="shared" ref="G44" si="150">D44*209</f>
        <v>1672</v>
      </c>
      <c r="H44" s="101" t="s">
        <v>240</v>
      </c>
      <c r="I44" s="230">
        <f>I33-E44</f>
        <v>92400</v>
      </c>
      <c r="J44" s="231"/>
      <c r="K44" s="232"/>
      <c r="L44" s="100">
        <v>260120002</v>
      </c>
      <c r="M44" s="100"/>
      <c r="N44" s="100">
        <f>N36-D44</f>
        <v>16</v>
      </c>
      <c r="O44" s="192">
        <v>45982</v>
      </c>
      <c r="P44" s="193">
        <f t="shared" si="147"/>
        <v>304</v>
      </c>
      <c r="Q44" s="194">
        <f t="shared" si="148"/>
        <v>46346</v>
      </c>
      <c r="R44" s="195">
        <f t="shared" ref="R44" si="151">DATEDIF(O44,B44,"d")</f>
        <v>61</v>
      </c>
      <c r="U44" s="91"/>
    </row>
    <row r="45" spans="1:21" s="1" customFormat="1" ht="19.649999999999999" customHeight="1" x14ac:dyDescent="0.25">
      <c r="A45" s="229">
        <v>46043</v>
      </c>
      <c r="B45" s="229">
        <v>46043</v>
      </c>
      <c r="C45" s="100" t="s">
        <v>239</v>
      </c>
      <c r="D45" s="100">
        <v>16</v>
      </c>
      <c r="E45" s="100">
        <f t="shared" ref="E45" si="152">D45*200</f>
        <v>3200</v>
      </c>
      <c r="F45" s="242" t="s">
        <v>40</v>
      </c>
      <c r="G45" s="100">
        <f t="shared" ref="G45" si="153">D45*209</f>
        <v>3344</v>
      </c>
      <c r="H45" s="101" t="s">
        <v>221</v>
      </c>
      <c r="I45" s="230">
        <f>I44-E45</f>
        <v>89200</v>
      </c>
      <c r="J45" s="231"/>
      <c r="K45" s="232"/>
      <c r="L45" s="100">
        <v>260120002</v>
      </c>
      <c r="M45" s="100"/>
      <c r="N45" s="100">
        <f>38-D45</f>
        <v>22</v>
      </c>
      <c r="O45" s="192">
        <v>45986</v>
      </c>
      <c r="P45" s="193">
        <f t="shared" ref="P45:P46" si="154">365-R45</f>
        <v>308</v>
      </c>
      <c r="Q45" s="194">
        <f t="shared" ref="Q45:Q46" si="155">DATE(YEAR(O45)+1,MONTH(O45),DAY(O45))-1</f>
        <v>46350</v>
      </c>
      <c r="R45" s="195">
        <f t="shared" ref="R45:R46" si="156">DATEDIF(O45,B45,"d")</f>
        <v>57</v>
      </c>
      <c r="U45" s="91"/>
    </row>
    <row r="46" spans="1:21" s="1" customFormat="1" ht="19.649999999999999" customHeight="1" x14ac:dyDescent="0.25">
      <c r="A46" s="243">
        <v>46044</v>
      </c>
      <c r="B46" s="243">
        <v>46044</v>
      </c>
      <c r="C46" s="244" t="s">
        <v>241</v>
      </c>
      <c r="D46" s="244">
        <v>16</v>
      </c>
      <c r="E46" s="244">
        <f t="shared" ref="E46" si="157">D46*200</f>
        <v>3200</v>
      </c>
      <c r="F46" s="245" t="s">
        <v>1</v>
      </c>
      <c r="G46" s="244">
        <f t="shared" ref="G46" si="158">D46*209</f>
        <v>3344</v>
      </c>
      <c r="H46" s="245" t="s">
        <v>214</v>
      </c>
      <c r="I46" s="246">
        <f>I35-E46</f>
        <v>83200</v>
      </c>
      <c r="J46" s="247"/>
      <c r="K46" s="248"/>
      <c r="L46" s="244">
        <v>260121001</v>
      </c>
      <c r="M46" s="244"/>
      <c r="N46" s="244">
        <f>N44-D46</f>
        <v>0</v>
      </c>
      <c r="O46" s="192">
        <v>45982</v>
      </c>
      <c r="P46" s="193">
        <f t="shared" si="154"/>
        <v>303</v>
      </c>
      <c r="Q46" s="194">
        <f t="shared" si="155"/>
        <v>46346</v>
      </c>
      <c r="R46" s="195">
        <f t="shared" si="156"/>
        <v>62</v>
      </c>
      <c r="U46" s="91"/>
    </row>
    <row r="47" spans="1:21" s="1" customFormat="1" ht="19.649999999999999" customHeight="1" x14ac:dyDescent="0.25">
      <c r="A47" s="243">
        <v>46044</v>
      </c>
      <c r="B47" s="243">
        <v>46044</v>
      </c>
      <c r="C47" s="244" t="s">
        <v>239</v>
      </c>
      <c r="D47" s="244">
        <v>8</v>
      </c>
      <c r="E47" s="244">
        <f t="shared" ref="E47:E48" si="159">D47*200</f>
        <v>1600</v>
      </c>
      <c r="F47" s="245" t="s">
        <v>1</v>
      </c>
      <c r="G47" s="244">
        <f t="shared" ref="G47:G48" si="160">D47*209</f>
        <v>1672</v>
      </c>
      <c r="H47" s="245" t="s">
        <v>217</v>
      </c>
      <c r="I47" s="246">
        <f>I46-E47</f>
        <v>81600</v>
      </c>
      <c r="J47" s="247"/>
      <c r="K47" s="248"/>
      <c r="L47" s="244">
        <v>260121001</v>
      </c>
      <c r="M47" s="244"/>
      <c r="N47" s="244">
        <f>N45-D47</f>
        <v>14</v>
      </c>
      <c r="O47" s="192">
        <v>45986</v>
      </c>
      <c r="P47" s="193">
        <f t="shared" ref="P47" si="161">365-R47</f>
        <v>307</v>
      </c>
      <c r="Q47" s="194">
        <f t="shared" ref="Q47" si="162">DATE(YEAR(O47)+1,MONTH(O47),DAY(O47))-1</f>
        <v>46350</v>
      </c>
      <c r="R47" s="195">
        <f t="shared" ref="R47" si="163">DATEDIF(O47,B47,"d")</f>
        <v>58</v>
      </c>
      <c r="U47" s="91"/>
    </row>
    <row r="48" spans="1:21" s="1" customFormat="1" ht="19.649999999999999" customHeight="1" x14ac:dyDescent="0.25">
      <c r="A48" s="233">
        <v>46048</v>
      </c>
      <c r="B48" s="233">
        <v>46048</v>
      </c>
      <c r="C48" s="38" t="s">
        <v>242</v>
      </c>
      <c r="D48" s="38">
        <v>14</v>
      </c>
      <c r="E48" s="38">
        <f t="shared" si="159"/>
        <v>2800</v>
      </c>
      <c r="F48" s="39" t="s">
        <v>1</v>
      </c>
      <c r="G48" s="38">
        <f t="shared" si="160"/>
        <v>2926</v>
      </c>
      <c r="H48" s="39" t="s">
        <v>244</v>
      </c>
      <c r="I48" s="234">
        <f>I47-E48</f>
        <v>78800</v>
      </c>
      <c r="J48" s="235"/>
      <c r="K48" s="236"/>
      <c r="L48" s="38">
        <v>260123001</v>
      </c>
      <c r="M48" s="38"/>
      <c r="N48" s="38">
        <f>N47-D48</f>
        <v>0</v>
      </c>
      <c r="O48" s="192">
        <v>45986</v>
      </c>
      <c r="P48" s="193">
        <f t="shared" ref="P48" si="164">365-R48</f>
        <v>303</v>
      </c>
      <c r="Q48" s="194">
        <f t="shared" ref="Q48" si="165">DATE(YEAR(O48)+1,MONTH(O48),DAY(O48))-1</f>
        <v>46350</v>
      </c>
      <c r="R48" s="195">
        <f t="shared" ref="R48" si="166">DATEDIF(O48,B48,"d")</f>
        <v>62</v>
      </c>
      <c r="U48" s="91"/>
    </row>
    <row r="49" spans="1:21" s="1" customFormat="1" ht="19.649999999999999" customHeight="1" x14ac:dyDescent="0.25">
      <c r="A49" s="233">
        <v>46048</v>
      </c>
      <c r="B49" s="233">
        <v>46048</v>
      </c>
      <c r="C49" s="38" t="s">
        <v>243</v>
      </c>
      <c r="D49" s="38">
        <v>10</v>
      </c>
      <c r="E49" s="38">
        <f t="shared" ref="E49" si="167">D49*200</f>
        <v>2000</v>
      </c>
      <c r="F49" s="39" t="s">
        <v>1</v>
      </c>
      <c r="G49" s="38">
        <f t="shared" ref="G49" si="168">D49*209</f>
        <v>2090</v>
      </c>
      <c r="H49" s="39" t="s">
        <v>217</v>
      </c>
      <c r="I49" s="234">
        <f>I48-E49</f>
        <v>76800</v>
      </c>
      <c r="J49" s="235"/>
      <c r="K49" s="236"/>
      <c r="L49" s="38">
        <v>260123001</v>
      </c>
      <c r="M49" s="38"/>
      <c r="N49" s="38">
        <f>38-D49</f>
        <v>28</v>
      </c>
      <c r="O49" s="192">
        <v>45988</v>
      </c>
      <c r="P49" s="193">
        <f t="shared" ref="P49" si="169">365-R49</f>
        <v>305</v>
      </c>
      <c r="Q49" s="194">
        <f t="shared" ref="Q49" si="170">DATE(YEAR(O49)+1,MONTH(O49),DAY(O49))-1</f>
        <v>46352</v>
      </c>
      <c r="R49" s="195">
        <f t="shared" ref="R49" si="171">DATEDIF(O49,B49,"d")</f>
        <v>60</v>
      </c>
      <c r="U49" s="91"/>
    </row>
    <row r="50" spans="1:21" s="1" customFormat="1" ht="19.649999999999999" customHeight="1" x14ac:dyDescent="0.25">
      <c r="A50" s="104">
        <v>46050</v>
      </c>
      <c r="B50" s="104">
        <v>46050</v>
      </c>
      <c r="C50" s="105" t="s">
        <v>243</v>
      </c>
      <c r="D50" s="105">
        <v>16</v>
      </c>
      <c r="E50" s="105">
        <f t="shared" ref="E50:E51" si="172">D50*200</f>
        <v>3200</v>
      </c>
      <c r="F50" s="106" t="s">
        <v>3</v>
      </c>
      <c r="G50" s="105">
        <f t="shared" ref="G50:G51" si="173">D50*209</f>
        <v>3344</v>
      </c>
      <c r="H50" s="106" t="s">
        <v>200</v>
      </c>
      <c r="I50" s="107">
        <f>I43-E50</f>
        <v>600</v>
      </c>
      <c r="J50" s="108"/>
      <c r="K50" s="109"/>
      <c r="L50" s="105">
        <v>260127003</v>
      </c>
      <c r="M50" s="105"/>
      <c r="N50" s="105">
        <f>N49-D50</f>
        <v>12</v>
      </c>
      <c r="O50" s="192">
        <v>45988</v>
      </c>
      <c r="P50" s="193">
        <f t="shared" ref="P50:P51" si="174">365-R50</f>
        <v>303</v>
      </c>
      <c r="Q50" s="194">
        <f t="shared" ref="Q50:Q51" si="175">DATE(YEAR(O50)+1,MONTH(O50),DAY(O50))-1</f>
        <v>46352</v>
      </c>
      <c r="R50" s="195">
        <f t="shared" ref="R50:R51" si="176">DATEDIF(O50,B50,"d")</f>
        <v>62</v>
      </c>
      <c r="U50" s="91"/>
    </row>
    <row r="51" spans="1:21" s="1" customFormat="1" ht="19.649999999999999" customHeight="1" x14ac:dyDescent="0.25">
      <c r="A51" s="104">
        <v>46050</v>
      </c>
      <c r="B51" s="104">
        <v>46050</v>
      </c>
      <c r="C51" s="105" t="s">
        <v>246</v>
      </c>
      <c r="D51" s="105">
        <v>3</v>
      </c>
      <c r="E51" s="105">
        <f t="shared" si="172"/>
        <v>600</v>
      </c>
      <c r="F51" s="106" t="s">
        <v>3</v>
      </c>
      <c r="G51" s="105">
        <f t="shared" si="173"/>
        <v>627</v>
      </c>
      <c r="H51" s="106" t="s">
        <v>245</v>
      </c>
      <c r="I51" s="107">
        <f>I50-E51</f>
        <v>0</v>
      </c>
      <c r="J51" s="108"/>
      <c r="K51" s="109"/>
      <c r="L51" s="105">
        <v>260127003</v>
      </c>
      <c r="M51" s="105"/>
      <c r="N51" s="105">
        <f>38-D51</f>
        <v>35</v>
      </c>
      <c r="O51" s="192">
        <v>45990</v>
      </c>
      <c r="P51" s="193">
        <f t="shared" si="174"/>
        <v>305</v>
      </c>
      <c r="Q51" s="194">
        <f t="shared" si="175"/>
        <v>46354</v>
      </c>
      <c r="R51" s="195">
        <f t="shared" si="176"/>
        <v>60</v>
      </c>
      <c r="U51" s="91"/>
    </row>
    <row r="52" spans="1:21" s="1" customFormat="1" ht="19.649999999999999" customHeight="1" x14ac:dyDescent="0.25">
      <c r="A52" s="104">
        <v>46050</v>
      </c>
      <c r="B52" s="104">
        <v>46050</v>
      </c>
      <c r="C52" s="105" t="s">
        <v>246</v>
      </c>
      <c r="D52" s="105">
        <v>13</v>
      </c>
      <c r="E52" s="105">
        <f t="shared" ref="E52" si="177">D52*200</f>
        <v>2600</v>
      </c>
      <c r="F52" s="106" t="s">
        <v>3</v>
      </c>
      <c r="G52" s="105">
        <f t="shared" ref="G52" si="178">D52*209</f>
        <v>2717</v>
      </c>
      <c r="H52" s="249" t="s">
        <v>247</v>
      </c>
      <c r="I52" s="107">
        <f>49600-E52</f>
        <v>47000</v>
      </c>
      <c r="J52" s="108"/>
      <c r="K52" s="109"/>
      <c r="L52" s="105">
        <v>260127003</v>
      </c>
      <c r="M52" s="105"/>
      <c r="N52" s="105">
        <f>N51-D52</f>
        <v>22</v>
      </c>
      <c r="O52" s="192">
        <v>45990</v>
      </c>
      <c r="P52" s="193">
        <f t="shared" ref="P52:P53" si="179">365-R52</f>
        <v>305</v>
      </c>
      <c r="Q52" s="194">
        <f t="shared" ref="Q52:Q53" si="180">DATE(YEAR(O52)+1,MONTH(O52),DAY(O52))-1</f>
        <v>46354</v>
      </c>
      <c r="R52" s="195">
        <f t="shared" ref="R52:R53" si="181">DATEDIF(O52,B52,"d")</f>
        <v>60</v>
      </c>
      <c r="U52" s="91"/>
    </row>
    <row r="53" spans="1:21" s="1" customFormat="1" ht="19.649999999999999" customHeight="1" x14ac:dyDescent="0.25">
      <c r="A53" s="250">
        <v>46051</v>
      </c>
      <c r="B53" s="250">
        <v>46051</v>
      </c>
      <c r="C53" s="126" t="s">
        <v>248</v>
      </c>
      <c r="D53" s="126">
        <v>12</v>
      </c>
      <c r="E53" s="126">
        <f t="shared" ref="E53" si="182">D53*200</f>
        <v>2400</v>
      </c>
      <c r="F53" s="251" t="s">
        <v>40</v>
      </c>
      <c r="G53" s="126">
        <f t="shared" ref="G53" si="183">D53*209</f>
        <v>2508</v>
      </c>
      <c r="H53" s="127" t="s">
        <v>250</v>
      </c>
      <c r="I53" s="252">
        <f>I45-E53</f>
        <v>86800</v>
      </c>
      <c r="J53" s="253"/>
      <c r="K53" s="254"/>
      <c r="L53" s="126">
        <v>260128001</v>
      </c>
      <c r="M53" s="126"/>
      <c r="N53" s="126">
        <f>N50-D53</f>
        <v>0</v>
      </c>
      <c r="O53" s="192">
        <v>45988</v>
      </c>
      <c r="P53" s="193">
        <f t="shared" si="179"/>
        <v>302</v>
      </c>
      <c r="Q53" s="194">
        <f t="shared" si="180"/>
        <v>46352</v>
      </c>
      <c r="R53" s="195">
        <f t="shared" si="181"/>
        <v>63</v>
      </c>
      <c r="U53" s="91"/>
    </row>
    <row r="54" spans="1:21" s="1" customFormat="1" ht="19.649999999999999" customHeight="1" x14ac:dyDescent="0.25">
      <c r="A54" s="250">
        <v>46051</v>
      </c>
      <c r="B54" s="250">
        <v>46051</v>
      </c>
      <c r="C54" s="126" t="s">
        <v>249</v>
      </c>
      <c r="D54" s="126">
        <v>16</v>
      </c>
      <c r="E54" s="126">
        <f t="shared" ref="E54" si="184">D54*200</f>
        <v>3200</v>
      </c>
      <c r="F54" s="251" t="s">
        <v>40</v>
      </c>
      <c r="G54" s="126">
        <f t="shared" ref="G54" si="185">D54*209</f>
        <v>3344</v>
      </c>
      <c r="H54" s="127" t="s">
        <v>220</v>
      </c>
      <c r="I54" s="252">
        <f>I53-E54</f>
        <v>83600</v>
      </c>
      <c r="J54" s="253"/>
      <c r="K54" s="254"/>
      <c r="L54" s="126">
        <v>260128001</v>
      </c>
      <c r="M54" s="126"/>
      <c r="N54" s="126">
        <f>N52-D54</f>
        <v>6</v>
      </c>
      <c r="O54" s="192">
        <v>45990</v>
      </c>
      <c r="P54" s="193">
        <f t="shared" ref="P54" si="186">365-R54</f>
        <v>304</v>
      </c>
      <c r="Q54" s="194">
        <f t="shared" ref="Q54" si="187">DATE(YEAR(O54)+1,MONTH(O54),DAY(O54))-1</f>
        <v>46354</v>
      </c>
      <c r="R54" s="195">
        <f t="shared" ref="R54" si="188">DATEDIF(O54,B54,"d")</f>
        <v>61</v>
      </c>
      <c r="U54" s="91"/>
    </row>
    <row r="55" spans="1:21" s="1" customFormat="1" ht="19.649999999999999" customHeight="1" x14ac:dyDescent="0.25">
      <c r="A55" s="26">
        <v>46052</v>
      </c>
      <c r="B55" s="26">
        <v>46052</v>
      </c>
      <c r="C55" s="27" t="s">
        <v>252</v>
      </c>
      <c r="D55" s="27">
        <v>6</v>
      </c>
      <c r="E55" s="27">
        <f t="shared" ref="E55" si="189">D55*200</f>
        <v>1200</v>
      </c>
      <c r="F55" s="28" t="s">
        <v>1</v>
      </c>
      <c r="G55" s="27">
        <f t="shared" ref="G55" si="190">D55*209</f>
        <v>1254</v>
      </c>
      <c r="H55" s="28" t="s">
        <v>254</v>
      </c>
      <c r="I55" s="29">
        <f>I49-E55</f>
        <v>75600</v>
      </c>
      <c r="J55" s="30"/>
      <c r="K55" s="31"/>
      <c r="L55" s="27">
        <v>260129002</v>
      </c>
      <c r="M55" s="27"/>
      <c r="N55" s="27">
        <f>N54-D55</f>
        <v>0</v>
      </c>
      <c r="O55" s="192">
        <v>45990</v>
      </c>
      <c r="P55" s="193">
        <f t="shared" ref="P55" si="191">365-R55</f>
        <v>303</v>
      </c>
      <c r="Q55" s="194">
        <f t="shared" ref="Q55" si="192">DATE(YEAR(O55)+1,MONTH(O55),DAY(O55))-1</f>
        <v>46354</v>
      </c>
      <c r="R55" s="195">
        <f t="shared" ref="R55" si="193">DATEDIF(O55,B55,"d")</f>
        <v>62</v>
      </c>
      <c r="U55" s="91"/>
    </row>
    <row r="56" spans="1:21" s="1" customFormat="1" ht="19.649999999999999" customHeight="1" x14ac:dyDescent="0.25">
      <c r="A56" s="26">
        <v>46052</v>
      </c>
      <c r="B56" s="26">
        <v>46052</v>
      </c>
      <c r="C56" s="27" t="s">
        <v>253</v>
      </c>
      <c r="D56" s="27">
        <v>26</v>
      </c>
      <c r="E56" s="27">
        <f t="shared" ref="E56:E59" si="194">D56*200</f>
        <v>5200</v>
      </c>
      <c r="F56" s="28" t="s">
        <v>1</v>
      </c>
      <c r="G56" s="27">
        <f t="shared" ref="G56:G59" si="195">D56*209</f>
        <v>5434</v>
      </c>
      <c r="H56" s="28" t="s">
        <v>214</v>
      </c>
      <c r="I56" s="29">
        <f>I55-E56</f>
        <v>70400</v>
      </c>
      <c r="J56" s="30"/>
      <c r="K56" s="31"/>
      <c r="L56" s="27">
        <v>260129002</v>
      </c>
      <c r="M56" s="27"/>
      <c r="N56" s="27">
        <f>38-D56</f>
        <v>12</v>
      </c>
      <c r="O56" s="192">
        <v>45992</v>
      </c>
      <c r="P56" s="193">
        <f t="shared" ref="P56:P57" si="196">365-R56</f>
        <v>305</v>
      </c>
      <c r="Q56" s="194">
        <f t="shared" ref="Q56:Q57" si="197">DATE(YEAR(O56)+1,MONTH(O56),DAY(O56))-1</f>
        <v>46356</v>
      </c>
      <c r="R56" s="195">
        <f t="shared" ref="R56:R57" si="198">DATEDIF(O56,B56,"d")</f>
        <v>60</v>
      </c>
      <c r="U56" s="91"/>
    </row>
    <row r="57" spans="1:21" s="1" customFormat="1" ht="19.649999999999999" customHeight="1" x14ac:dyDescent="0.25">
      <c r="A57" s="225">
        <v>46055</v>
      </c>
      <c r="B57" s="225">
        <v>46055</v>
      </c>
      <c r="C57" s="102" t="s">
        <v>255</v>
      </c>
      <c r="D57" s="102">
        <v>24</v>
      </c>
      <c r="E57" s="102">
        <f t="shared" si="194"/>
        <v>4800</v>
      </c>
      <c r="F57" s="103" t="s">
        <v>1</v>
      </c>
      <c r="G57" s="102">
        <f t="shared" si="195"/>
        <v>5016</v>
      </c>
      <c r="H57" s="103" t="s">
        <v>256</v>
      </c>
      <c r="I57" s="226">
        <f>I56-E57</f>
        <v>65600</v>
      </c>
      <c r="J57" s="227"/>
      <c r="K57" s="228"/>
      <c r="L57" s="102">
        <v>260130013</v>
      </c>
      <c r="M57" s="102"/>
      <c r="N57" s="102">
        <f>39-D57</f>
        <v>15</v>
      </c>
      <c r="O57" s="192">
        <v>45994</v>
      </c>
      <c r="P57" s="193">
        <f t="shared" si="196"/>
        <v>304</v>
      </c>
      <c r="Q57" s="194">
        <f t="shared" si="197"/>
        <v>46358</v>
      </c>
      <c r="R57" s="195">
        <f t="shared" si="198"/>
        <v>61</v>
      </c>
      <c r="U57" s="91"/>
    </row>
    <row r="58" spans="1:21" s="1" customFormat="1" ht="19.649999999999999" customHeight="1" x14ac:dyDescent="0.25">
      <c r="A58" s="219">
        <v>46056</v>
      </c>
      <c r="B58" s="219">
        <v>46056</v>
      </c>
      <c r="C58" s="220" t="s">
        <v>257</v>
      </c>
      <c r="D58" s="220">
        <v>12</v>
      </c>
      <c r="E58" s="220">
        <f t="shared" si="194"/>
        <v>2400</v>
      </c>
      <c r="F58" s="255" t="s">
        <v>40</v>
      </c>
      <c r="G58" s="220">
        <f t="shared" si="195"/>
        <v>2508</v>
      </c>
      <c r="H58" s="221" t="s">
        <v>220</v>
      </c>
      <c r="I58" s="222">
        <f>I54-E58</f>
        <v>81200</v>
      </c>
      <c r="J58" s="223"/>
      <c r="K58" s="224"/>
      <c r="L58" s="220">
        <v>260202001</v>
      </c>
      <c r="M58" s="220"/>
      <c r="N58" s="220">
        <f>N56-D58</f>
        <v>0</v>
      </c>
      <c r="O58" s="192">
        <v>45992</v>
      </c>
      <c r="P58" s="193">
        <f t="shared" ref="P58:P59" si="199">365-R58</f>
        <v>301</v>
      </c>
      <c r="Q58" s="194">
        <f t="shared" ref="Q58:Q59" si="200">DATE(YEAR(O58)+1,MONTH(O58),DAY(O58))-1</f>
        <v>46356</v>
      </c>
      <c r="R58" s="195">
        <f t="shared" ref="R58:R59" si="201">DATEDIF(O58,B58,"d")</f>
        <v>64</v>
      </c>
      <c r="U58" s="91"/>
    </row>
    <row r="59" spans="1:21" s="1" customFormat="1" ht="19.649999999999999" customHeight="1" x14ac:dyDescent="0.25">
      <c r="A59" s="52">
        <v>46057</v>
      </c>
      <c r="B59" s="52">
        <v>46057</v>
      </c>
      <c r="C59" s="53" t="s">
        <v>260</v>
      </c>
      <c r="D59" s="53">
        <v>4</v>
      </c>
      <c r="E59" s="53">
        <f t="shared" si="194"/>
        <v>800</v>
      </c>
      <c r="F59" s="54" t="s">
        <v>3</v>
      </c>
      <c r="G59" s="53">
        <f t="shared" si="195"/>
        <v>836</v>
      </c>
      <c r="H59" s="54" t="s">
        <v>266</v>
      </c>
      <c r="I59" s="55">
        <f>I52-E59</f>
        <v>46200</v>
      </c>
      <c r="J59" s="56" t="s">
        <v>78</v>
      </c>
      <c r="K59" s="57"/>
      <c r="L59" s="53">
        <v>260203005</v>
      </c>
      <c r="M59" s="53">
        <v>42</v>
      </c>
      <c r="N59" s="53">
        <f t="shared" ref="N59:N64" si="202">M59-D59</f>
        <v>38</v>
      </c>
      <c r="O59" s="192">
        <v>46034</v>
      </c>
      <c r="P59" s="193">
        <f t="shared" si="199"/>
        <v>342</v>
      </c>
      <c r="Q59" s="194">
        <f t="shared" si="200"/>
        <v>46398</v>
      </c>
      <c r="R59" s="195">
        <f t="shared" si="201"/>
        <v>23</v>
      </c>
      <c r="U59" s="91"/>
    </row>
    <row r="60" spans="1:21" s="1" customFormat="1" ht="19.649999999999999" customHeight="1" x14ac:dyDescent="0.25">
      <c r="A60" s="52">
        <v>46057</v>
      </c>
      <c r="B60" s="52">
        <v>46057</v>
      </c>
      <c r="C60" s="53" t="s">
        <v>261</v>
      </c>
      <c r="D60" s="53">
        <v>4</v>
      </c>
      <c r="E60" s="53">
        <f t="shared" ref="E60" si="203">D60*200</f>
        <v>800</v>
      </c>
      <c r="F60" s="54" t="s">
        <v>3</v>
      </c>
      <c r="G60" s="53">
        <f t="shared" ref="G60" si="204">D60*209</f>
        <v>836</v>
      </c>
      <c r="H60" s="54" t="s">
        <v>247</v>
      </c>
      <c r="I60" s="55">
        <f>I59-E60</f>
        <v>45400</v>
      </c>
      <c r="J60" s="56" t="s">
        <v>78</v>
      </c>
      <c r="K60" s="57"/>
      <c r="L60" s="53">
        <v>260203005</v>
      </c>
      <c r="M60" s="53">
        <v>42</v>
      </c>
      <c r="N60" s="53">
        <f t="shared" si="202"/>
        <v>38</v>
      </c>
      <c r="O60" s="192">
        <v>46036</v>
      </c>
      <c r="P60" s="193">
        <f t="shared" ref="P60" si="205">365-R60</f>
        <v>344</v>
      </c>
      <c r="Q60" s="194">
        <f t="shared" ref="Q60" si="206">DATE(YEAR(O60)+1,MONTH(O60),DAY(O60))-1</f>
        <v>46400</v>
      </c>
      <c r="R60" s="195">
        <f t="shared" ref="R60" si="207">DATEDIF(O60,B60,"d")</f>
        <v>21</v>
      </c>
      <c r="U60" s="91"/>
    </row>
    <row r="61" spans="1:21" s="1" customFormat="1" ht="19.649999999999999" customHeight="1" x14ac:dyDescent="0.25">
      <c r="A61" s="52">
        <v>46057</v>
      </c>
      <c r="B61" s="52">
        <v>46057</v>
      </c>
      <c r="C61" s="53" t="s">
        <v>262</v>
      </c>
      <c r="D61" s="53">
        <v>4</v>
      </c>
      <c r="E61" s="53">
        <f t="shared" ref="E61" si="208">D61*200</f>
        <v>800</v>
      </c>
      <c r="F61" s="54" t="s">
        <v>3</v>
      </c>
      <c r="G61" s="53">
        <f t="shared" ref="G61" si="209">D61*209</f>
        <v>836</v>
      </c>
      <c r="H61" s="54" t="s">
        <v>247</v>
      </c>
      <c r="I61" s="55">
        <f>I60-E61</f>
        <v>44600</v>
      </c>
      <c r="J61" s="56" t="s">
        <v>78</v>
      </c>
      <c r="K61" s="57"/>
      <c r="L61" s="53">
        <v>260203005</v>
      </c>
      <c r="M61" s="53">
        <v>42</v>
      </c>
      <c r="N61" s="53">
        <f t="shared" si="202"/>
        <v>38</v>
      </c>
      <c r="O61" s="192">
        <v>46038</v>
      </c>
      <c r="P61" s="193">
        <f t="shared" ref="P61" si="210">365-R61</f>
        <v>346</v>
      </c>
      <c r="Q61" s="194">
        <f t="shared" ref="Q61" si="211">DATE(YEAR(O61)+1,MONTH(O61),DAY(O61))-1</f>
        <v>46402</v>
      </c>
      <c r="R61" s="195">
        <f t="shared" ref="R61" si="212">DATEDIF(O61,B61,"d")</f>
        <v>19</v>
      </c>
      <c r="U61" s="91"/>
    </row>
    <row r="62" spans="1:21" s="1" customFormat="1" ht="19.649999999999999" customHeight="1" x14ac:dyDescent="0.25">
      <c r="A62" s="52">
        <v>46057</v>
      </c>
      <c r="B62" s="52">
        <v>46057</v>
      </c>
      <c r="C62" s="53" t="s">
        <v>263</v>
      </c>
      <c r="D62" s="53">
        <v>4</v>
      </c>
      <c r="E62" s="53">
        <f t="shared" ref="E62" si="213">D62*200</f>
        <v>800</v>
      </c>
      <c r="F62" s="54" t="s">
        <v>3</v>
      </c>
      <c r="G62" s="53">
        <f t="shared" ref="G62" si="214">D62*209</f>
        <v>836</v>
      </c>
      <c r="H62" s="54" t="s">
        <v>247</v>
      </c>
      <c r="I62" s="55">
        <f>I61-E62</f>
        <v>43800</v>
      </c>
      <c r="J62" s="56" t="s">
        <v>78</v>
      </c>
      <c r="K62" s="57"/>
      <c r="L62" s="53">
        <v>260203005</v>
      </c>
      <c r="M62" s="53">
        <v>43</v>
      </c>
      <c r="N62" s="53">
        <f t="shared" si="202"/>
        <v>39</v>
      </c>
      <c r="O62" s="192">
        <v>46040</v>
      </c>
      <c r="P62" s="193">
        <f t="shared" ref="P62" si="215">365-R62</f>
        <v>348</v>
      </c>
      <c r="Q62" s="194">
        <f t="shared" ref="Q62" si="216">DATE(YEAR(O62)+1,MONTH(O62),DAY(O62))-1</f>
        <v>46404</v>
      </c>
      <c r="R62" s="195">
        <f t="shared" ref="R62" si="217">DATEDIF(O62,B62,"d")</f>
        <v>17</v>
      </c>
      <c r="U62" s="91"/>
    </row>
    <row r="63" spans="1:21" s="1" customFormat="1" ht="19.649999999999999" customHeight="1" x14ac:dyDescent="0.25">
      <c r="A63" s="52">
        <v>46057</v>
      </c>
      <c r="B63" s="52">
        <v>46057</v>
      </c>
      <c r="C63" s="53" t="s">
        <v>264</v>
      </c>
      <c r="D63" s="53">
        <v>4</v>
      </c>
      <c r="E63" s="53">
        <f t="shared" ref="E63" si="218">D63*200</f>
        <v>800</v>
      </c>
      <c r="F63" s="54" t="s">
        <v>3</v>
      </c>
      <c r="G63" s="53">
        <f t="shared" ref="G63" si="219">D63*209</f>
        <v>836</v>
      </c>
      <c r="H63" s="54" t="s">
        <v>247</v>
      </c>
      <c r="I63" s="55">
        <f>I62-E63</f>
        <v>43000</v>
      </c>
      <c r="J63" s="56" t="s">
        <v>78</v>
      </c>
      <c r="K63" s="57"/>
      <c r="L63" s="53">
        <v>260203006</v>
      </c>
      <c r="M63" s="53">
        <v>42</v>
      </c>
      <c r="N63" s="53">
        <f t="shared" si="202"/>
        <v>38</v>
      </c>
      <c r="O63" s="192">
        <v>46042</v>
      </c>
      <c r="P63" s="193">
        <f t="shared" ref="P63" si="220">365-R63</f>
        <v>350</v>
      </c>
      <c r="Q63" s="194">
        <f t="shared" ref="Q63" si="221">DATE(YEAR(O63)+1,MONTH(O63),DAY(O63))-1</f>
        <v>46406</v>
      </c>
      <c r="R63" s="195">
        <f t="shared" ref="R63" si="222">DATEDIF(O63,B63,"d")</f>
        <v>15</v>
      </c>
      <c r="U63" s="91"/>
    </row>
    <row r="64" spans="1:21" s="1" customFormat="1" ht="19.649999999999999" customHeight="1" x14ac:dyDescent="0.25">
      <c r="A64" s="52">
        <v>46057</v>
      </c>
      <c r="B64" s="52">
        <v>46057</v>
      </c>
      <c r="C64" s="53" t="s">
        <v>265</v>
      </c>
      <c r="D64" s="53">
        <v>4</v>
      </c>
      <c r="E64" s="53">
        <f t="shared" ref="E64" si="223">D64*200</f>
        <v>800</v>
      </c>
      <c r="F64" s="54" t="s">
        <v>3</v>
      </c>
      <c r="G64" s="53">
        <f t="shared" ref="G64" si="224">D64*209</f>
        <v>836</v>
      </c>
      <c r="H64" s="54" t="s">
        <v>266</v>
      </c>
      <c r="I64" s="55">
        <f>I63-E64</f>
        <v>42200</v>
      </c>
      <c r="J64" s="56" t="s">
        <v>78</v>
      </c>
      <c r="K64" s="57"/>
      <c r="L64" s="53">
        <v>260203006</v>
      </c>
      <c r="M64" s="53">
        <v>42</v>
      </c>
      <c r="N64" s="53">
        <f t="shared" si="202"/>
        <v>38</v>
      </c>
      <c r="O64" s="192">
        <v>46044</v>
      </c>
      <c r="P64" s="193">
        <f t="shared" ref="P64:P66" si="225">365-R64</f>
        <v>352</v>
      </c>
      <c r="Q64" s="194">
        <f t="shared" ref="Q64:Q66" si="226">DATE(YEAR(O64)+1,MONTH(O64),DAY(O64))-1</f>
        <v>46408</v>
      </c>
      <c r="R64" s="195">
        <f t="shared" ref="R64:R66" si="227">DATEDIF(O64,B64,"d")</f>
        <v>13</v>
      </c>
      <c r="U64" s="91"/>
    </row>
    <row r="65" spans="1:21" s="1" customFormat="1" ht="19.649999999999999" customHeight="1" x14ac:dyDescent="0.25">
      <c r="A65" s="104">
        <v>46059</v>
      </c>
      <c r="B65" s="104">
        <v>46059</v>
      </c>
      <c r="C65" s="105" t="s">
        <v>267</v>
      </c>
      <c r="D65" s="105">
        <v>12</v>
      </c>
      <c r="E65" s="105">
        <f t="shared" ref="E65" si="228">D65*200</f>
        <v>2400</v>
      </c>
      <c r="F65" s="112" t="s">
        <v>40</v>
      </c>
      <c r="G65" s="105">
        <f t="shared" ref="G65" si="229">D65*209</f>
        <v>2508</v>
      </c>
      <c r="H65" s="106" t="s">
        <v>220</v>
      </c>
      <c r="I65" s="107">
        <f>I58-E65</f>
        <v>78800</v>
      </c>
      <c r="J65" s="108"/>
      <c r="K65" s="109"/>
      <c r="L65" s="105">
        <v>260205004</v>
      </c>
      <c r="M65" s="105"/>
      <c r="N65" s="105">
        <f>N57-D65</f>
        <v>3</v>
      </c>
      <c r="O65" s="192">
        <v>45994</v>
      </c>
      <c r="P65" s="193">
        <f t="shared" si="225"/>
        <v>300</v>
      </c>
      <c r="Q65" s="194">
        <f t="shared" si="226"/>
        <v>46358</v>
      </c>
      <c r="R65" s="195">
        <f t="shared" si="227"/>
        <v>65</v>
      </c>
      <c r="U65" s="91"/>
    </row>
    <row r="66" spans="1:21" s="1" customFormat="1" ht="19.649999999999999" customHeight="1" x14ac:dyDescent="0.25">
      <c r="A66" s="169">
        <v>46059</v>
      </c>
      <c r="B66" s="169">
        <v>46059</v>
      </c>
      <c r="C66" s="110" t="s">
        <v>268</v>
      </c>
      <c r="D66" s="110">
        <v>3</v>
      </c>
      <c r="E66" s="110">
        <f t="shared" ref="E66" si="230">D66*200</f>
        <v>600</v>
      </c>
      <c r="F66" s="111" t="s">
        <v>1</v>
      </c>
      <c r="G66" s="110">
        <f t="shared" ref="G66" si="231">D66*209</f>
        <v>627</v>
      </c>
      <c r="H66" s="111" t="s">
        <v>214</v>
      </c>
      <c r="I66" s="171">
        <f>I57-E66</f>
        <v>65000</v>
      </c>
      <c r="J66" s="172"/>
      <c r="K66" s="173"/>
      <c r="L66" s="110">
        <v>260205006</v>
      </c>
      <c r="M66" s="110"/>
      <c r="N66" s="110">
        <f>N65-D66</f>
        <v>0</v>
      </c>
      <c r="O66" s="192">
        <v>45994</v>
      </c>
      <c r="P66" s="193">
        <f t="shared" si="225"/>
        <v>300</v>
      </c>
      <c r="Q66" s="194">
        <f t="shared" si="226"/>
        <v>46358</v>
      </c>
      <c r="R66" s="195">
        <f t="shared" si="227"/>
        <v>65</v>
      </c>
      <c r="U66" s="91"/>
    </row>
    <row r="67" spans="1:21" s="1" customFormat="1" ht="19.649999999999999" customHeight="1" x14ac:dyDescent="0.25">
      <c r="A67" s="169">
        <v>46059</v>
      </c>
      <c r="B67" s="169">
        <v>46059</v>
      </c>
      <c r="C67" s="110" t="s">
        <v>269</v>
      </c>
      <c r="D67" s="110">
        <v>21</v>
      </c>
      <c r="E67" s="110">
        <f t="shared" ref="E67:E68" si="232">D67*200</f>
        <v>4200</v>
      </c>
      <c r="F67" s="111" t="s">
        <v>1</v>
      </c>
      <c r="G67" s="110">
        <f t="shared" ref="G67:G68" si="233">D67*209</f>
        <v>4389</v>
      </c>
      <c r="H67" s="111" t="s">
        <v>214</v>
      </c>
      <c r="I67" s="171">
        <f>I66-E67</f>
        <v>60800</v>
      </c>
      <c r="J67" s="172"/>
      <c r="K67" s="173"/>
      <c r="L67" s="110">
        <v>260205006</v>
      </c>
      <c r="M67" s="110"/>
      <c r="N67" s="110">
        <f>38-D67</f>
        <v>17</v>
      </c>
      <c r="O67" s="192">
        <v>45996</v>
      </c>
      <c r="P67" s="193">
        <f t="shared" ref="P67" si="234">365-R67</f>
        <v>302</v>
      </c>
      <c r="Q67" s="194">
        <f t="shared" ref="Q67" si="235">DATE(YEAR(O67)+1,MONTH(O67),DAY(O67))-1</f>
        <v>46360</v>
      </c>
      <c r="R67" s="195">
        <f t="shared" ref="R67" si="236">DATEDIF(O67,B67,"d")</f>
        <v>63</v>
      </c>
      <c r="U67" s="91"/>
    </row>
    <row r="68" spans="1:21" s="1" customFormat="1" ht="19.649999999999999" customHeight="1" x14ac:dyDescent="0.25">
      <c r="A68" s="262">
        <v>46062</v>
      </c>
      <c r="B68" s="262">
        <v>46062</v>
      </c>
      <c r="C68" s="263" t="s">
        <v>270</v>
      </c>
      <c r="D68" s="263">
        <v>5</v>
      </c>
      <c r="E68" s="263">
        <f t="shared" si="232"/>
        <v>1000</v>
      </c>
      <c r="F68" s="264" t="s">
        <v>1</v>
      </c>
      <c r="G68" s="263">
        <f t="shared" si="233"/>
        <v>1045</v>
      </c>
      <c r="H68" s="264" t="s">
        <v>214</v>
      </c>
      <c r="I68" s="265">
        <f>I67-E68</f>
        <v>59800</v>
      </c>
      <c r="J68" s="266"/>
      <c r="K68" s="267"/>
      <c r="L68" s="263">
        <v>260206007</v>
      </c>
      <c r="M68" s="263"/>
      <c r="N68" s="263">
        <f>N67-D68</f>
        <v>12</v>
      </c>
      <c r="O68" s="192">
        <v>45996</v>
      </c>
      <c r="P68" s="193">
        <f t="shared" ref="P68" si="237">365-R68</f>
        <v>299</v>
      </c>
      <c r="Q68" s="194">
        <f t="shared" ref="Q68" si="238">DATE(YEAR(O68)+1,MONTH(O68),DAY(O68))-1</f>
        <v>46360</v>
      </c>
      <c r="R68" s="195">
        <f t="shared" ref="R68" si="239">DATEDIF(O68,B68,"d")</f>
        <v>66</v>
      </c>
      <c r="U68" s="91"/>
    </row>
    <row r="69" spans="1:21" s="1" customFormat="1" ht="19.649999999999999" customHeight="1" x14ac:dyDescent="0.25">
      <c r="A69" s="262">
        <v>46062</v>
      </c>
      <c r="B69" s="262">
        <v>46062</v>
      </c>
      <c r="C69" s="263" t="s">
        <v>271</v>
      </c>
      <c r="D69" s="263">
        <v>19</v>
      </c>
      <c r="E69" s="263">
        <f t="shared" ref="E69" si="240">D69*200</f>
        <v>3800</v>
      </c>
      <c r="F69" s="264" t="s">
        <v>1</v>
      </c>
      <c r="G69" s="263">
        <f t="shared" ref="G69" si="241">D69*209</f>
        <v>3971</v>
      </c>
      <c r="H69" s="264" t="s">
        <v>214</v>
      </c>
      <c r="I69" s="265">
        <f>I68-E69</f>
        <v>56000</v>
      </c>
      <c r="J69" s="266"/>
      <c r="K69" s="267"/>
      <c r="L69" s="263">
        <v>260206007</v>
      </c>
      <c r="M69" s="263"/>
      <c r="N69" s="263">
        <f>38-D69</f>
        <v>19</v>
      </c>
      <c r="O69" s="192">
        <v>45998</v>
      </c>
      <c r="P69" s="193">
        <f t="shared" ref="P69:P70" si="242">365-R69</f>
        <v>301</v>
      </c>
      <c r="Q69" s="194">
        <f t="shared" ref="Q69:Q70" si="243">DATE(YEAR(O69)+1,MONTH(O69),DAY(O69))-1</f>
        <v>46362</v>
      </c>
      <c r="R69" s="195">
        <f t="shared" ref="R69:R70" si="244">DATEDIF(O69,B69,"d")</f>
        <v>64</v>
      </c>
      <c r="U69" s="91"/>
    </row>
    <row r="70" spans="1:21" s="1" customFormat="1" ht="19.649999999999999" customHeight="1" x14ac:dyDescent="0.25">
      <c r="A70" s="225">
        <v>46063</v>
      </c>
      <c r="B70" s="225">
        <v>46063</v>
      </c>
      <c r="C70" s="102" t="s">
        <v>272</v>
      </c>
      <c r="D70" s="102">
        <v>12</v>
      </c>
      <c r="E70" s="102">
        <f t="shared" ref="E70" si="245">D70*200</f>
        <v>2400</v>
      </c>
      <c r="F70" s="239" t="s">
        <v>40</v>
      </c>
      <c r="G70" s="102">
        <f t="shared" ref="G70" si="246">D70*209</f>
        <v>2508</v>
      </c>
      <c r="H70" s="103" t="s">
        <v>220</v>
      </c>
      <c r="I70" s="226">
        <f>I65-E70</f>
        <v>76400</v>
      </c>
      <c r="J70" s="227"/>
      <c r="K70" s="228"/>
      <c r="L70" s="102">
        <v>260209005</v>
      </c>
      <c r="M70" s="102"/>
      <c r="N70" s="102">
        <f>N68-D70</f>
        <v>0</v>
      </c>
      <c r="O70" s="192">
        <v>45996</v>
      </c>
      <c r="P70" s="193">
        <f t="shared" si="242"/>
        <v>298</v>
      </c>
      <c r="Q70" s="194">
        <f t="shared" si="243"/>
        <v>46360</v>
      </c>
      <c r="R70" s="195">
        <f t="shared" si="244"/>
        <v>67</v>
      </c>
      <c r="U70" s="91"/>
    </row>
    <row r="71" spans="1:21" s="1" customFormat="1" ht="19.649999999999999" customHeight="1" x14ac:dyDescent="0.25">
      <c r="A71" s="225">
        <v>46063</v>
      </c>
      <c r="B71" s="225">
        <v>46063</v>
      </c>
      <c r="C71" s="102" t="s">
        <v>273</v>
      </c>
      <c r="D71" s="102">
        <v>12</v>
      </c>
      <c r="E71" s="102">
        <f t="shared" ref="E71" si="247">D71*200</f>
        <v>2400</v>
      </c>
      <c r="F71" s="239" t="s">
        <v>40</v>
      </c>
      <c r="G71" s="102">
        <f t="shared" ref="G71" si="248">D71*209</f>
        <v>2508</v>
      </c>
      <c r="H71" s="103" t="s">
        <v>220</v>
      </c>
      <c r="I71" s="226">
        <f>I70-E71</f>
        <v>74000</v>
      </c>
      <c r="J71" s="227"/>
      <c r="K71" s="228"/>
      <c r="L71" s="102">
        <v>260209005</v>
      </c>
      <c r="M71" s="102"/>
      <c r="N71" s="102">
        <f>N69-D71</f>
        <v>7</v>
      </c>
      <c r="O71" s="192">
        <v>45998</v>
      </c>
      <c r="P71" s="193">
        <f t="shared" ref="P71" si="249">365-R71</f>
        <v>300</v>
      </c>
      <c r="Q71" s="194">
        <f t="shared" ref="Q71" si="250">DATE(YEAR(O71)+1,MONTH(O71),DAY(O71))-1</f>
        <v>46362</v>
      </c>
      <c r="R71" s="195">
        <f t="shared" ref="R71" si="251">DATEDIF(O71,B71,"d")</f>
        <v>65</v>
      </c>
      <c r="U71" s="91"/>
    </row>
    <row r="72" spans="1:21" s="1" customFormat="1" ht="19.649999999999999" customHeight="1" x14ac:dyDescent="0.25">
      <c r="A72" s="26">
        <v>46064</v>
      </c>
      <c r="B72" s="26">
        <v>46064</v>
      </c>
      <c r="C72" s="27" t="s">
        <v>275</v>
      </c>
      <c r="D72" s="27">
        <v>7</v>
      </c>
      <c r="E72" s="27">
        <f t="shared" ref="E72" si="252">D72*200</f>
        <v>1400</v>
      </c>
      <c r="F72" s="28" t="s">
        <v>3</v>
      </c>
      <c r="G72" s="27">
        <f t="shared" ref="G72" si="253">D72*209</f>
        <v>1463</v>
      </c>
      <c r="H72" s="28" t="s">
        <v>247</v>
      </c>
      <c r="I72" s="29">
        <f>I64-E72</f>
        <v>40800</v>
      </c>
      <c r="J72" s="30"/>
      <c r="K72" s="31"/>
      <c r="L72" s="27">
        <v>260210005</v>
      </c>
      <c r="M72" s="27"/>
      <c r="N72" s="27">
        <f>N71-D72</f>
        <v>0</v>
      </c>
      <c r="O72" s="192">
        <v>45998</v>
      </c>
      <c r="P72" s="193">
        <f t="shared" ref="P72" si="254">365-R72</f>
        <v>299</v>
      </c>
      <c r="Q72" s="194">
        <f t="shared" ref="Q72" si="255">DATE(YEAR(O72)+1,MONTH(O72),DAY(O72))-1</f>
        <v>46362</v>
      </c>
      <c r="R72" s="195">
        <f t="shared" ref="R72" si="256">DATEDIF(O72,B72,"d")</f>
        <v>66</v>
      </c>
      <c r="U72" s="91"/>
    </row>
    <row r="73" spans="1:21" s="1" customFormat="1" ht="19.649999999999999" customHeight="1" x14ac:dyDescent="0.25">
      <c r="A73" s="26">
        <v>46064</v>
      </c>
      <c r="B73" s="26">
        <v>46064</v>
      </c>
      <c r="C73" s="27" t="s">
        <v>276</v>
      </c>
      <c r="D73" s="27">
        <v>13</v>
      </c>
      <c r="E73" s="27">
        <f t="shared" ref="E73" si="257">D73*200</f>
        <v>2600</v>
      </c>
      <c r="F73" s="28" t="s">
        <v>3</v>
      </c>
      <c r="G73" s="27">
        <f t="shared" ref="G73" si="258">D73*209</f>
        <v>2717</v>
      </c>
      <c r="H73" s="28" t="s">
        <v>266</v>
      </c>
      <c r="I73" s="29">
        <f>I72-E73</f>
        <v>38200</v>
      </c>
      <c r="J73" s="30"/>
      <c r="K73" s="31"/>
      <c r="L73" s="27">
        <v>260210005</v>
      </c>
      <c r="M73" s="27"/>
      <c r="N73" s="27">
        <f>39-D73</f>
        <v>26</v>
      </c>
      <c r="O73" s="192">
        <v>46000</v>
      </c>
      <c r="P73" s="193">
        <f t="shared" ref="P73" si="259">365-R73</f>
        <v>301</v>
      </c>
      <c r="Q73" s="194">
        <f t="shared" ref="Q73" si="260">DATE(YEAR(O73)+1,MONTH(O73),DAY(O73))-1</f>
        <v>46364</v>
      </c>
      <c r="R73" s="195">
        <f t="shared" ref="R73" si="261">DATEDIF(O73,B73,"d")</f>
        <v>64</v>
      </c>
      <c r="U73" s="91"/>
    </row>
    <row r="74" spans="1:21" s="1" customFormat="1" ht="19.649999999999999" customHeight="1" x14ac:dyDescent="0.25">
      <c r="A74" s="26">
        <v>46064</v>
      </c>
      <c r="B74" s="26">
        <v>46064</v>
      </c>
      <c r="C74" s="27" t="s">
        <v>277</v>
      </c>
      <c r="D74" s="27">
        <v>4</v>
      </c>
      <c r="E74" s="27">
        <f t="shared" ref="E74" si="262">D74*200</f>
        <v>800</v>
      </c>
      <c r="F74" s="28" t="s">
        <v>3</v>
      </c>
      <c r="G74" s="27">
        <f t="shared" ref="G74" si="263">D74*209</f>
        <v>836</v>
      </c>
      <c r="H74" s="28" t="s">
        <v>247</v>
      </c>
      <c r="I74" s="29">
        <f>I73-E74</f>
        <v>37400</v>
      </c>
      <c r="J74" s="30" t="s">
        <v>78</v>
      </c>
      <c r="K74" s="31"/>
      <c r="L74" s="27">
        <v>260210006</v>
      </c>
      <c r="M74" s="27">
        <v>42</v>
      </c>
      <c r="N74" s="27">
        <f>M74-D74</f>
        <v>38</v>
      </c>
      <c r="O74" s="192">
        <v>46048</v>
      </c>
      <c r="P74" s="193">
        <f t="shared" ref="P74" si="264">365-R74</f>
        <v>349</v>
      </c>
      <c r="Q74" s="194">
        <f t="shared" ref="Q74" si="265">DATE(YEAR(O74)+1,MONTH(O74),DAY(O74))-1</f>
        <v>46412</v>
      </c>
      <c r="R74" s="195">
        <f t="shared" ref="R74" si="266">DATEDIF(O74,B74,"d")</f>
        <v>16</v>
      </c>
      <c r="U74" s="91"/>
    </row>
    <row r="75" spans="1:21" s="1" customFormat="1" ht="19.649999999999999" customHeight="1" x14ac:dyDescent="0.25">
      <c r="A75" s="26">
        <v>46064</v>
      </c>
      <c r="B75" s="26">
        <v>46064</v>
      </c>
      <c r="C75" s="27" t="s">
        <v>278</v>
      </c>
      <c r="D75" s="27">
        <v>4</v>
      </c>
      <c r="E75" s="27">
        <f t="shared" ref="E75" si="267">D75*200</f>
        <v>800</v>
      </c>
      <c r="F75" s="28" t="s">
        <v>3</v>
      </c>
      <c r="G75" s="27">
        <f t="shared" ref="G75" si="268">D75*209</f>
        <v>836</v>
      </c>
      <c r="H75" s="28" t="s">
        <v>266</v>
      </c>
      <c r="I75" s="29">
        <f>I74-E75</f>
        <v>36600</v>
      </c>
      <c r="J75" s="30" t="s">
        <v>78</v>
      </c>
      <c r="K75" s="31"/>
      <c r="L75" s="27">
        <v>260210006</v>
      </c>
      <c r="M75" s="27">
        <v>42</v>
      </c>
      <c r="N75" s="27">
        <f>M75-D75</f>
        <v>38</v>
      </c>
      <c r="O75" s="192">
        <v>46050</v>
      </c>
      <c r="P75" s="193">
        <f t="shared" ref="P75" si="269">365-R75</f>
        <v>351</v>
      </c>
      <c r="Q75" s="194">
        <f t="shared" ref="Q75" si="270">DATE(YEAR(O75)+1,MONTH(O75),DAY(O75))-1</f>
        <v>46414</v>
      </c>
      <c r="R75" s="195">
        <f t="shared" ref="R75" si="271">DATEDIF(O75,B75,"d")</f>
        <v>14</v>
      </c>
      <c r="U75" s="91"/>
    </row>
    <row r="76" spans="1:21" s="1" customFormat="1" ht="19.649999999999999" customHeight="1" x14ac:dyDescent="0.25">
      <c r="A76" s="26">
        <v>46064</v>
      </c>
      <c r="B76" s="26">
        <v>46064</v>
      </c>
      <c r="C76" s="27" t="s">
        <v>279</v>
      </c>
      <c r="D76" s="27">
        <v>4</v>
      </c>
      <c r="E76" s="27">
        <f t="shared" ref="E76" si="272">D76*200</f>
        <v>800</v>
      </c>
      <c r="F76" s="28" t="s">
        <v>3</v>
      </c>
      <c r="G76" s="27">
        <f t="shared" ref="G76" si="273">D76*209</f>
        <v>836</v>
      </c>
      <c r="H76" s="28" t="s">
        <v>247</v>
      </c>
      <c r="I76" s="29">
        <f>I75-E76</f>
        <v>35800</v>
      </c>
      <c r="J76" s="30" t="s">
        <v>78</v>
      </c>
      <c r="K76" s="31"/>
      <c r="L76" s="27">
        <v>260210006</v>
      </c>
      <c r="M76" s="27">
        <v>43</v>
      </c>
      <c r="N76" s="27">
        <f>M76-D76</f>
        <v>39</v>
      </c>
      <c r="O76" s="192">
        <v>46052</v>
      </c>
      <c r="P76" s="193">
        <f t="shared" ref="P76:P77" si="274">365-R76</f>
        <v>353</v>
      </c>
      <c r="Q76" s="194">
        <f t="shared" ref="Q76:Q77" si="275">DATE(YEAR(O76)+1,MONTH(O76),DAY(O76))-1</f>
        <v>46416</v>
      </c>
      <c r="R76" s="195">
        <f t="shared" ref="R76:R77" si="276">DATEDIF(O76,B76,"d")</f>
        <v>12</v>
      </c>
      <c r="U76" s="91"/>
    </row>
    <row r="77" spans="1:21" s="1" customFormat="1" ht="19.649999999999999" customHeight="1" x14ac:dyDescent="0.25">
      <c r="A77" s="219">
        <v>46065</v>
      </c>
      <c r="B77" s="219">
        <v>46065</v>
      </c>
      <c r="C77" s="220" t="s">
        <v>280</v>
      </c>
      <c r="D77" s="220">
        <v>26</v>
      </c>
      <c r="E77" s="220">
        <f t="shared" ref="E77" si="277">D77*200</f>
        <v>5200</v>
      </c>
      <c r="F77" s="221" t="s">
        <v>1</v>
      </c>
      <c r="G77" s="220">
        <f t="shared" ref="G77" si="278">D77*209</f>
        <v>5434</v>
      </c>
      <c r="H77" s="221" t="s">
        <v>282</v>
      </c>
      <c r="I77" s="222">
        <f>I69-E77</f>
        <v>50800</v>
      </c>
      <c r="J77" s="223"/>
      <c r="K77" s="224"/>
      <c r="L77" s="220">
        <v>260211001</v>
      </c>
      <c r="M77" s="220"/>
      <c r="N77" s="220">
        <f>N73-D77</f>
        <v>0</v>
      </c>
      <c r="O77" s="192">
        <v>46000</v>
      </c>
      <c r="P77" s="193">
        <f t="shared" si="274"/>
        <v>300</v>
      </c>
      <c r="Q77" s="194">
        <f t="shared" si="275"/>
        <v>46364</v>
      </c>
      <c r="R77" s="195">
        <f t="shared" si="276"/>
        <v>65</v>
      </c>
      <c r="U77" s="91"/>
    </row>
    <row r="78" spans="1:21" s="1" customFormat="1" ht="19.649999999999999" customHeight="1" x14ac:dyDescent="0.25">
      <c r="A78" s="219">
        <v>46065</v>
      </c>
      <c r="B78" s="219">
        <v>46065</v>
      </c>
      <c r="C78" s="220" t="s">
        <v>281</v>
      </c>
      <c r="D78" s="220">
        <v>6</v>
      </c>
      <c r="E78" s="220">
        <f t="shared" ref="E78" si="279">D78*200</f>
        <v>1200</v>
      </c>
      <c r="F78" s="221" t="s">
        <v>1</v>
      </c>
      <c r="G78" s="220">
        <f t="shared" ref="G78" si="280">D78*209</f>
        <v>1254</v>
      </c>
      <c r="H78" s="221" t="s">
        <v>282</v>
      </c>
      <c r="I78" s="222">
        <f>I77-E78</f>
        <v>49600</v>
      </c>
      <c r="J78" s="223"/>
      <c r="K78" s="224"/>
      <c r="L78" s="220">
        <v>260211001</v>
      </c>
      <c r="M78" s="220"/>
      <c r="N78" s="220">
        <f>37-D78</f>
        <v>31</v>
      </c>
      <c r="O78" s="192">
        <v>46002</v>
      </c>
      <c r="P78" s="193">
        <f t="shared" ref="P78" si="281">365-R78</f>
        <v>302</v>
      </c>
      <c r="Q78" s="194">
        <f t="shared" ref="Q78" si="282">DATE(YEAR(O78)+1,MONTH(O78),DAY(O78))-1</f>
        <v>46366</v>
      </c>
      <c r="R78" s="195">
        <f t="shared" ref="R78" si="283">DATEDIF(O78,B78,"d")</f>
        <v>63</v>
      </c>
      <c r="U78" s="91"/>
    </row>
    <row r="79" spans="1:21" s="1" customFormat="1" ht="19.649999999999999" customHeight="1" x14ac:dyDescent="0.25">
      <c r="A79" s="250">
        <v>46066</v>
      </c>
      <c r="B79" s="250">
        <v>46066</v>
      </c>
      <c r="C79" s="126" t="s">
        <v>283</v>
      </c>
      <c r="D79" s="126">
        <v>16</v>
      </c>
      <c r="E79" s="126">
        <f t="shared" ref="E79" si="284">D79*200</f>
        <v>3200</v>
      </c>
      <c r="F79" s="251" t="s">
        <v>40</v>
      </c>
      <c r="G79" s="126">
        <f t="shared" ref="G79" si="285">D79*209</f>
        <v>3344</v>
      </c>
      <c r="H79" s="127" t="s">
        <v>220</v>
      </c>
      <c r="I79" s="252">
        <f>I71-E79</f>
        <v>70800</v>
      </c>
      <c r="J79" s="253"/>
      <c r="K79" s="254"/>
      <c r="L79" s="126">
        <v>260212001</v>
      </c>
      <c r="M79" s="126"/>
      <c r="N79" s="126">
        <f>N78-D79</f>
        <v>15</v>
      </c>
      <c r="O79" s="192">
        <v>46002</v>
      </c>
      <c r="P79" s="193">
        <f t="shared" ref="P79" si="286">365-R79</f>
        <v>301</v>
      </c>
      <c r="Q79" s="194">
        <f t="shared" ref="Q79" si="287">DATE(YEAR(O79)+1,MONTH(O79),DAY(O79))-1</f>
        <v>46366</v>
      </c>
      <c r="R79" s="195">
        <f t="shared" ref="R79" si="288">DATEDIF(O79,B79,"d")</f>
        <v>64</v>
      </c>
      <c r="U79" s="91"/>
    </row>
    <row r="80" spans="1:21" s="1" customFormat="1" ht="19.649999999999999" customHeight="1" x14ac:dyDescent="0.25">
      <c r="A80" s="233">
        <v>46070</v>
      </c>
      <c r="B80" s="233">
        <v>46070</v>
      </c>
      <c r="C80" s="38" t="s">
        <v>285</v>
      </c>
      <c r="D80" s="38">
        <v>15</v>
      </c>
      <c r="E80" s="38">
        <f t="shared" ref="E80" si="289">D80*200</f>
        <v>3000</v>
      </c>
      <c r="F80" s="39" t="s">
        <v>1</v>
      </c>
      <c r="G80" s="38">
        <f t="shared" ref="G80" si="290">D80*209</f>
        <v>3135</v>
      </c>
      <c r="H80" s="39" t="s">
        <v>290</v>
      </c>
      <c r="I80" s="234">
        <f>I78-E80</f>
        <v>46600</v>
      </c>
      <c r="J80" s="235"/>
      <c r="K80" s="236"/>
      <c r="L80" s="38">
        <v>260213003</v>
      </c>
      <c r="M80" s="38"/>
      <c r="N80" s="38">
        <f>N79-D80</f>
        <v>0</v>
      </c>
      <c r="O80" s="192">
        <v>46002</v>
      </c>
      <c r="P80" s="193">
        <f t="shared" ref="P80" si="291">365-R80</f>
        <v>297</v>
      </c>
      <c r="Q80" s="194">
        <f t="shared" ref="Q80" si="292">DATE(YEAR(O80)+1,MONTH(O80),DAY(O80))-1</f>
        <v>46366</v>
      </c>
      <c r="R80" s="195">
        <f t="shared" ref="R80" si="293">DATEDIF(O80,B80,"d")</f>
        <v>68</v>
      </c>
      <c r="U80" s="91"/>
    </row>
    <row r="81" spans="1:21" s="1" customFormat="1" ht="19.649999999999999" customHeight="1" x14ac:dyDescent="0.25">
      <c r="A81" s="233">
        <v>46070</v>
      </c>
      <c r="B81" s="233">
        <v>46070</v>
      </c>
      <c r="C81" s="38" t="s">
        <v>286</v>
      </c>
      <c r="D81" s="38">
        <v>13</v>
      </c>
      <c r="E81" s="38">
        <f t="shared" ref="E81" si="294">D81*200</f>
        <v>2600</v>
      </c>
      <c r="F81" s="39" t="s">
        <v>1</v>
      </c>
      <c r="G81" s="38">
        <f t="shared" ref="G81" si="295">D81*209</f>
        <v>2717</v>
      </c>
      <c r="H81" s="39" t="s">
        <v>214</v>
      </c>
      <c r="I81" s="234">
        <f>I80-E81</f>
        <v>44000</v>
      </c>
      <c r="J81" s="235"/>
      <c r="K81" s="236"/>
      <c r="L81" s="38">
        <v>260213003</v>
      </c>
      <c r="M81" s="38"/>
      <c r="N81" s="38">
        <f>39-D81</f>
        <v>26</v>
      </c>
      <c r="O81" s="192">
        <v>46004</v>
      </c>
      <c r="P81" s="193">
        <f t="shared" ref="P81" si="296">365-R81</f>
        <v>299</v>
      </c>
      <c r="Q81" s="194">
        <f t="shared" ref="Q81" si="297">DATE(YEAR(O81)+1,MONTH(O81),DAY(O81))-1</f>
        <v>46368</v>
      </c>
      <c r="R81" s="195">
        <f t="shared" ref="R81" si="298">DATEDIF(O81,B81,"d")</f>
        <v>66</v>
      </c>
      <c r="U81" s="91"/>
    </row>
    <row r="82" spans="1:21" s="1" customFormat="1" ht="19.649999999999999" customHeight="1" x14ac:dyDescent="0.25">
      <c r="A82" s="256">
        <v>46072</v>
      </c>
      <c r="B82" s="256">
        <v>46072</v>
      </c>
      <c r="C82" s="257" t="s">
        <v>287</v>
      </c>
      <c r="D82" s="257">
        <v>6</v>
      </c>
      <c r="E82" s="257">
        <f t="shared" ref="E82" si="299">D82*200</f>
        <v>1200</v>
      </c>
      <c r="F82" s="258" t="s">
        <v>1</v>
      </c>
      <c r="G82" s="257">
        <f t="shared" ref="G82" si="300">D82*209</f>
        <v>1254</v>
      </c>
      <c r="H82" s="258" t="s">
        <v>291</v>
      </c>
      <c r="I82" s="259">
        <f>I81-E82</f>
        <v>42800</v>
      </c>
      <c r="J82" s="260"/>
      <c r="K82" s="261"/>
      <c r="L82" s="257">
        <v>260213004</v>
      </c>
      <c r="M82" s="257"/>
      <c r="N82" s="257">
        <f>N81-D82</f>
        <v>20</v>
      </c>
      <c r="O82" s="192">
        <v>46004</v>
      </c>
      <c r="P82" s="193">
        <f t="shared" ref="P82:P83" si="301">365-R82</f>
        <v>297</v>
      </c>
      <c r="Q82" s="194">
        <f t="shared" ref="Q82:Q83" si="302">DATE(YEAR(O82)+1,MONTH(O82),DAY(O82))-1</f>
        <v>46368</v>
      </c>
      <c r="R82" s="195">
        <f t="shared" ref="R82:R83" si="303">DATEDIF(O82,B82,"d")</f>
        <v>68</v>
      </c>
      <c r="U82" s="91"/>
    </row>
    <row r="83" spans="1:21" s="1" customFormat="1" ht="19.649999999999999" customHeight="1" x14ac:dyDescent="0.25">
      <c r="A83" s="256">
        <v>46072</v>
      </c>
      <c r="B83" s="256">
        <v>46072</v>
      </c>
      <c r="C83" s="257" t="s">
        <v>288</v>
      </c>
      <c r="D83" s="257">
        <v>18</v>
      </c>
      <c r="E83" s="257">
        <f t="shared" ref="E83" si="304">D83*200</f>
        <v>3600</v>
      </c>
      <c r="F83" s="258" t="s">
        <v>1</v>
      </c>
      <c r="G83" s="257">
        <f t="shared" ref="G83" si="305">D83*209</f>
        <v>3762</v>
      </c>
      <c r="H83" s="258" t="s">
        <v>292</v>
      </c>
      <c r="I83" s="259">
        <f>I82-E83</f>
        <v>39200</v>
      </c>
      <c r="J83" s="260"/>
      <c r="K83" s="261"/>
      <c r="L83" s="257">
        <v>260213004</v>
      </c>
      <c r="M83" s="257"/>
      <c r="N83" s="257">
        <f>N9-D83</f>
        <v>20</v>
      </c>
      <c r="O83" s="192">
        <v>46006</v>
      </c>
      <c r="P83" s="193">
        <f t="shared" si="301"/>
        <v>299</v>
      </c>
      <c r="Q83" s="194">
        <f t="shared" si="302"/>
        <v>46370</v>
      </c>
      <c r="R83" s="195">
        <f t="shared" si="303"/>
        <v>66</v>
      </c>
      <c r="U83" s="91"/>
    </row>
    <row r="84" spans="1:21" s="1" customFormat="1" ht="19.649999999999999" customHeight="1" x14ac:dyDescent="0.25">
      <c r="A84" s="7">
        <v>46073</v>
      </c>
      <c r="B84" s="7">
        <v>46073</v>
      </c>
      <c r="C84" s="8" t="s">
        <v>286</v>
      </c>
      <c r="D84" s="8">
        <v>12</v>
      </c>
      <c r="E84" s="8">
        <f t="shared" ref="E84" si="306">D84*200</f>
        <v>2400</v>
      </c>
      <c r="F84" s="268" t="s">
        <v>40</v>
      </c>
      <c r="G84" s="8">
        <f t="shared" ref="G84" si="307">D84*209</f>
        <v>2508</v>
      </c>
      <c r="H84" s="9" t="s">
        <v>220</v>
      </c>
      <c r="I84" s="10">
        <f>I79-E84</f>
        <v>68400</v>
      </c>
      <c r="J84" s="11"/>
      <c r="K84" s="12"/>
      <c r="L84" s="8">
        <v>260213005</v>
      </c>
      <c r="M84" s="8"/>
      <c r="N84" s="8">
        <f>N82-D84</f>
        <v>8</v>
      </c>
      <c r="O84" s="192">
        <v>46004</v>
      </c>
      <c r="P84" s="193">
        <f t="shared" ref="P84:P85" si="308">365-R84</f>
        <v>296</v>
      </c>
      <c r="Q84" s="194">
        <f t="shared" ref="Q84:Q85" si="309">DATE(YEAR(O84)+1,MONTH(O84),DAY(O84))-1</f>
        <v>46368</v>
      </c>
      <c r="R84" s="195">
        <f t="shared" ref="R84:R85" si="310">DATEDIF(O84,B84,"d")</f>
        <v>69</v>
      </c>
      <c r="U84" s="91"/>
    </row>
    <row r="85" spans="1:21" s="1" customFormat="1" ht="19.649999999999999" customHeight="1" x14ac:dyDescent="0.25">
      <c r="A85" s="7">
        <v>46073</v>
      </c>
      <c r="B85" s="7">
        <v>46073</v>
      </c>
      <c r="C85" s="8" t="s">
        <v>289</v>
      </c>
      <c r="D85" s="8">
        <v>8</v>
      </c>
      <c r="E85" s="8">
        <f t="shared" ref="E85" si="311">D85*200</f>
        <v>1600</v>
      </c>
      <c r="F85" s="268" t="s">
        <v>40</v>
      </c>
      <c r="G85" s="8">
        <f t="shared" ref="G85" si="312">D85*209</f>
        <v>1672</v>
      </c>
      <c r="H85" s="9" t="s">
        <v>293</v>
      </c>
      <c r="I85" s="10">
        <f>I84-E85</f>
        <v>66800</v>
      </c>
      <c r="J85" s="11"/>
      <c r="K85" s="12"/>
      <c r="L85" s="8">
        <v>260213005</v>
      </c>
      <c r="M85" s="8"/>
      <c r="N85" s="8">
        <f>N83-D85</f>
        <v>12</v>
      </c>
      <c r="O85" s="192">
        <v>46006</v>
      </c>
      <c r="P85" s="193">
        <f t="shared" si="308"/>
        <v>298</v>
      </c>
      <c r="Q85" s="194">
        <f t="shared" si="309"/>
        <v>46370</v>
      </c>
      <c r="R85" s="195">
        <f t="shared" si="310"/>
        <v>67</v>
      </c>
      <c r="U85" s="91"/>
    </row>
    <row r="86" spans="1:21" s="1" customFormat="1" ht="19.649999999999999" customHeight="1" x14ac:dyDescent="0.25">
      <c r="A86" s="104">
        <v>46073</v>
      </c>
      <c r="B86" s="104">
        <v>46073</v>
      </c>
      <c r="C86" s="105" t="s">
        <v>287</v>
      </c>
      <c r="D86" s="105">
        <v>8</v>
      </c>
      <c r="E86" s="105">
        <f t="shared" ref="E86" si="313">D86*200</f>
        <v>1600</v>
      </c>
      <c r="F86" s="106" t="s">
        <v>3</v>
      </c>
      <c r="G86" s="105">
        <f t="shared" ref="G86" si="314">D86*209</f>
        <v>1672</v>
      </c>
      <c r="H86" s="106" t="s">
        <v>294</v>
      </c>
      <c r="I86" s="107">
        <f>I76-E86</f>
        <v>34200</v>
      </c>
      <c r="J86" s="108"/>
      <c r="K86" s="109"/>
      <c r="L86" s="105">
        <v>260213006</v>
      </c>
      <c r="M86" s="105"/>
      <c r="N86" s="105">
        <f>N84-D86</f>
        <v>0</v>
      </c>
      <c r="O86" s="192">
        <v>46004</v>
      </c>
      <c r="P86" s="193">
        <f t="shared" ref="P86:P87" si="315">365-R86</f>
        <v>296</v>
      </c>
      <c r="Q86" s="194">
        <f t="shared" ref="Q86:Q87" si="316">DATE(YEAR(O86)+1,MONTH(O86),DAY(O86))-1</f>
        <v>46368</v>
      </c>
      <c r="R86" s="195">
        <f t="shared" ref="R86:R87" si="317">DATEDIF(O86,B86,"d")</f>
        <v>69</v>
      </c>
      <c r="U86" s="91"/>
    </row>
    <row r="87" spans="1:21" s="1" customFormat="1" ht="19.649999999999999" customHeight="1" x14ac:dyDescent="0.25">
      <c r="A87" s="104">
        <v>46073</v>
      </c>
      <c r="B87" s="104">
        <v>46073</v>
      </c>
      <c r="C87" s="105" t="s">
        <v>288</v>
      </c>
      <c r="D87" s="105">
        <v>8</v>
      </c>
      <c r="E87" s="105">
        <f t="shared" ref="E87" si="318">D87*200</f>
        <v>1600</v>
      </c>
      <c r="F87" s="106" t="s">
        <v>3</v>
      </c>
      <c r="G87" s="105">
        <f t="shared" ref="G87" si="319">D87*209</f>
        <v>1672</v>
      </c>
      <c r="H87" s="106" t="s">
        <v>247</v>
      </c>
      <c r="I87" s="107">
        <f>I86-E87</f>
        <v>32600</v>
      </c>
      <c r="J87" s="108"/>
      <c r="K87" s="109"/>
      <c r="L87" s="105">
        <v>260213006</v>
      </c>
      <c r="M87" s="105"/>
      <c r="N87" s="105">
        <f>N85-D87</f>
        <v>4</v>
      </c>
      <c r="O87" s="192">
        <v>46006</v>
      </c>
      <c r="P87" s="193">
        <f t="shared" si="315"/>
        <v>298</v>
      </c>
      <c r="Q87" s="194">
        <f t="shared" si="316"/>
        <v>46370</v>
      </c>
      <c r="R87" s="195">
        <f t="shared" si="317"/>
        <v>67</v>
      </c>
      <c r="U87" s="91"/>
    </row>
    <row r="88" spans="1:21" s="1" customFormat="1" ht="19.649999999999999" customHeight="1" x14ac:dyDescent="0.25">
      <c r="A88" s="213">
        <v>46076</v>
      </c>
      <c r="B88" s="213">
        <v>46076</v>
      </c>
      <c r="C88" s="214" t="s">
        <v>191</v>
      </c>
      <c r="D88" s="214">
        <v>4</v>
      </c>
      <c r="E88" s="214">
        <f t="shared" ref="E88" si="320">D88*200</f>
        <v>800</v>
      </c>
      <c r="F88" s="215" t="s">
        <v>1</v>
      </c>
      <c r="G88" s="214">
        <f t="shared" ref="G88" si="321">D88*209</f>
        <v>836</v>
      </c>
      <c r="H88" s="215" t="s">
        <v>295</v>
      </c>
      <c r="I88" s="216">
        <f>I83-E88</f>
        <v>38400</v>
      </c>
      <c r="J88" s="217"/>
      <c r="K88" s="218"/>
      <c r="L88" s="214">
        <v>260213007</v>
      </c>
      <c r="M88" s="214"/>
      <c r="N88" s="214">
        <f>N87-D88</f>
        <v>0</v>
      </c>
      <c r="O88" s="192">
        <v>46006</v>
      </c>
      <c r="P88" s="193">
        <f t="shared" ref="P88:P89" si="322">365-R88</f>
        <v>295</v>
      </c>
      <c r="Q88" s="194">
        <f t="shared" ref="Q88:Q89" si="323">DATE(YEAR(O88)+1,MONTH(O88),DAY(O88))-1</f>
        <v>46370</v>
      </c>
      <c r="R88" s="195">
        <f t="shared" ref="R88:R89" si="324">DATEDIF(O88,B88,"d")</f>
        <v>70</v>
      </c>
      <c r="U88" s="91"/>
    </row>
    <row r="89" spans="1:21" s="1" customFormat="1" ht="19.649999999999999" customHeight="1" x14ac:dyDescent="0.25">
      <c r="A89" s="213">
        <v>46076</v>
      </c>
      <c r="B89" s="213">
        <v>46076</v>
      </c>
      <c r="C89" s="214" t="s">
        <v>192</v>
      </c>
      <c r="D89" s="214">
        <v>24</v>
      </c>
      <c r="E89" s="214">
        <f t="shared" ref="E89:E90" si="325">D89*200</f>
        <v>4800</v>
      </c>
      <c r="F89" s="215" t="s">
        <v>1</v>
      </c>
      <c r="G89" s="214">
        <f t="shared" ref="G89:G90" si="326">D89*209</f>
        <v>5016</v>
      </c>
      <c r="H89" s="215" t="s">
        <v>282</v>
      </c>
      <c r="I89" s="216">
        <f>I88-E89</f>
        <v>33600</v>
      </c>
      <c r="J89" s="217"/>
      <c r="K89" s="218"/>
      <c r="L89" s="214">
        <v>260213007</v>
      </c>
      <c r="M89" s="214"/>
      <c r="N89" s="214">
        <f>N11-D89</f>
        <v>14</v>
      </c>
      <c r="O89" s="192">
        <v>46008</v>
      </c>
      <c r="P89" s="193">
        <f t="shared" si="322"/>
        <v>297</v>
      </c>
      <c r="Q89" s="194">
        <f t="shared" si="323"/>
        <v>46372</v>
      </c>
      <c r="R89" s="195">
        <f t="shared" si="324"/>
        <v>68</v>
      </c>
      <c r="U89" s="91"/>
    </row>
    <row r="90" spans="1:21" s="1" customFormat="1" ht="19.649999999999999" customHeight="1" x14ac:dyDescent="0.25">
      <c r="A90" s="26">
        <v>46077</v>
      </c>
      <c r="B90" s="26">
        <v>46077</v>
      </c>
      <c r="C90" s="27" t="s">
        <v>296</v>
      </c>
      <c r="D90" s="27">
        <v>14</v>
      </c>
      <c r="E90" s="27">
        <f t="shared" si="325"/>
        <v>2800</v>
      </c>
      <c r="F90" s="241" t="s">
        <v>40</v>
      </c>
      <c r="G90" s="27">
        <f t="shared" si="326"/>
        <v>2926</v>
      </c>
      <c r="H90" s="28" t="s">
        <v>302</v>
      </c>
      <c r="I90" s="29">
        <f>I85-E90</f>
        <v>64000</v>
      </c>
      <c r="J90" s="30"/>
      <c r="K90" s="31"/>
      <c r="L90" s="27">
        <v>260223004</v>
      </c>
      <c r="M90" s="27"/>
      <c r="N90" s="27">
        <f>N89-D90</f>
        <v>0</v>
      </c>
      <c r="O90" s="192">
        <v>46008</v>
      </c>
      <c r="P90" s="193">
        <f t="shared" ref="P90:P91" si="327">365-R90</f>
        <v>296</v>
      </c>
      <c r="Q90" s="194">
        <f t="shared" ref="Q90:Q91" si="328">DATE(YEAR(O90)+1,MONTH(O90),DAY(O90))-1</f>
        <v>46372</v>
      </c>
      <c r="R90" s="195">
        <f t="shared" ref="R90:R91" si="329">DATEDIF(O90,B90,"d")</f>
        <v>69</v>
      </c>
      <c r="U90" s="91"/>
    </row>
    <row r="91" spans="1:21" s="1" customFormat="1" ht="19.649999999999999" customHeight="1" x14ac:dyDescent="0.25">
      <c r="A91" s="26">
        <v>46077</v>
      </c>
      <c r="B91" s="26">
        <v>46077</v>
      </c>
      <c r="C91" s="27" t="s">
        <v>297</v>
      </c>
      <c r="D91" s="27">
        <v>2</v>
      </c>
      <c r="E91" s="27">
        <f t="shared" ref="E91" si="330">D91*200</f>
        <v>400</v>
      </c>
      <c r="F91" s="241" t="s">
        <v>40</v>
      </c>
      <c r="G91" s="27">
        <f t="shared" ref="G91" si="331">D91*209</f>
        <v>418</v>
      </c>
      <c r="H91" s="28" t="s">
        <v>293</v>
      </c>
      <c r="I91" s="29">
        <f>I90-E91</f>
        <v>63600</v>
      </c>
      <c r="J91" s="30"/>
      <c r="K91" s="31"/>
      <c r="L91" s="27">
        <v>260223004</v>
      </c>
      <c r="M91" s="27"/>
      <c r="N91" s="27">
        <f>N12-D91</f>
        <v>36</v>
      </c>
      <c r="O91" s="192">
        <v>46010</v>
      </c>
      <c r="P91" s="193">
        <f t="shared" si="327"/>
        <v>298</v>
      </c>
      <c r="Q91" s="194">
        <f t="shared" si="328"/>
        <v>46374</v>
      </c>
      <c r="R91" s="195">
        <f t="shared" si="329"/>
        <v>67</v>
      </c>
      <c r="U91" s="91"/>
    </row>
    <row r="92" spans="1:21" s="1" customFormat="1" ht="19.649999999999999" customHeight="1" x14ac:dyDescent="0.25">
      <c r="A92" s="26">
        <v>46077</v>
      </c>
      <c r="B92" s="26">
        <v>46077</v>
      </c>
      <c r="C92" s="27" t="s">
        <v>298</v>
      </c>
      <c r="D92" s="27">
        <v>4</v>
      </c>
      <c r="E92" s="27">
        <f t="shared" ref="E92:E93" si="332">D92*200</f>
        <v>800</v>
      </c>
      <c r="F92" s="241" t="s">
        <v>40</v>
      </c>
      <c r="G92" s="27">
        <f t="shared" ref="G92:G93" si="333">D92*209</f>
        <v>836</v>
      </c>
      <c r="H92" s="28" t="s">
        <v>220</v>
      </c>
      <c r="I92" s="29">
        <f>I91-E92</f>
        <v>62800</v>
      </c>
      <c r="J92" s="30" t="s">
        <v>78</v>
      </c>
      <c r="K92" s="31"/>
      <c r="L92" s="27">
        <v>260223005</v>
      </c>
      <c r="M92" s="27">
        <v>42</v>
      </c>
      <c r="N92" s="27">
        <f>M92-D92</f>
        <v>38</v>
      </c>
      <c r="O92" s="192">
        <v>46054</v>
      </c>
      <c r="P92" s="193">
        <f t="shared" ref="P92:P94" si="334">365-R92</f>
        <v>342</v>
      </c>
      <c r="Q92" s="194">
        <f t="shared" ref="Q92:Q94" si="335">DATE(YEAR(O92)+1,MONTH(O92),DAY(O92))-1</f>
        <v>46418</v>
      </c>
      <c r="R92" s="195">
        <f t="shared" ref="R92:R94" si="336">DATEDIF(O92,B92,"d")</f>
        <v>23</v>
      </c>
      <c r="U92" s="91"/>
    </row>
    <row r="93" spans="1:21" s="1" customFormat="1" ht="19.649999999999999" customHeight="1" x14ac:dyDescent="0.25">
      <c r="A93" s="229">
        <v>46078</v>
      </c>
      <c r="B93" s="229">
        <v>46078</v>
      </c>
      <c r="C93" s="100" t="s">
        <v>193</v>
      </c>
      <c r="D93" s="100">
        <v>16</v>
      </c>
      <c r="E93" s="100">
        <f t="shared" si="332"/>
        <v>3200</v>
      </c>
      <c r="F93" s="242" t="s">
        <v>40</v>
      </c>
      <c r="G93" s="100">
        <f t="shared" si="333"/>
        <v>3344</v>
      </c>
      <c r="H93" s="101" t="s">
        <v>220</v>
      </c>
      <c r="I93" s="230">
        <f>I92-E93</f>
        <v>59600</v>
      </c>
      <c r="J93" s="231"/>
      <c r="K93" s="232"/>
      <c r="L93" s="100">
        <v>260224017</v>
      </c>
      <c r="M93" s="100"/>
      <c r="N93" s="100">
        <f>N91-D93</f>
        <v>20</v>
      </c>
      <c r="O93" s="192">
        <v>46010</v>
      </c>
      <c r="P93" s="193">
        <f t="shared" si="334"/>
        <v>297</v>
      </c>
      <c r="Q93" s="194">
        <f t="shared" si="335"/>
        <v>46374</v>
      </c>
      <c r="R93" s="195">
        <f t="shared" si="336"/>
        <v>68</v>
      </c>
      <c r="U93" s="91"/>
    </row>
    <row r="94" spans="1:21" s="1" customFormat="1" ht="19.649999999999999" customHeight="1" x14ac:dyDescent="0.25">
      <c r="A94" s="229">
        <v>46078</v>
      </c>
      <c r="B94" s="229">
        <v>46078</v>
      </c>
      <c r="C94" s="100" t="s">
        <v>304</v>
      </c>
      <c r="D94" s="100">
        <v>8</v>
      </c>
      <c r="E94" s="100">
        <f t="shared" ref="E94" si="337">D94*200</f>
        <v>1600</v>
      </c>
      <c r="F94" s="242" t="s">
        <v>40</v>
      </c>
      <c r="G94" s="100">
        <f t="shared" ref="G94" si="338">D94*209</f>
        <v>1672</v>
      </c>
      <c r="H94" s="101" t="s">
        <v>274</v>
      </c>
      <c r="I94" s="230">
        <f>I93-E94</f>
        <v>58000</v>
      </c>
      <c r="J94" s="231"/>
      <c r="K94" s="232"/>
      <c r="L94" s="100">
        <v>260224017</v>
      </c>
      <c r="M94" s="100"/>
      <c r="N94" s="100">
        <f>N13-D94</f>
        <v>31</v>
      </c>
      <c r="O94" s="192">
        <v>46012</v>
      </c>
      <c r="P94" s="193">
        <f t="shared" si="334"/>
        <v>299</v>
      </c>
      <c r="Q94" s="194">
        <f t="shared" si="335"/>
        <v>46376</v>
      </c>
      <c r="R94" s="195">
        <f t="shared" si="336"/>
        <v>66</v>
      </c>
      <c r="U94" s="91"/>
    </row>
    <row r="95" spans="1:21" s="1" customFormat="1" ht="19.649999999999999" customHeight="1" x14ac:dyDescent="0.25">
      <c r="A95" s="181">
        <v>46079</v>
      </c>
      <c r="B95" s="181">
        <v>46079</v>
      </c>
      <c r="C95" s="130" t="s">
        <v>305</v>
      </c>
      <c r="D95" s="130">
        <v>12</v>
      </c>
      <c r="E95" s="130">
        <f t="shared" ref="E95" si="339">D95*200</f>
        <v>2400</v>
      </c>
      <c r="F95" s="131" t="s">
        <v>1</v>
      </c>
      <c r="G95" s="130">
        <f t="shared" ref="G95" si="340">D95*209</f>
        <v>2508</v>
      </c>
      <c r="H95" s="131" t="s">
        <v>214</v>
      </c>
      <c r="I95" s="182">
        <f>I89-E95</f>
        <v>31200</v>
      </c>
      <c r="J95" s="183"/>
      <c r="K95" s="184"/>
      <c r="L95" s="130">
        <v>260225001</v>
      </c>
      <c r="M95" s="130"/>
      <c r="N95" s="130">
        <f>N93-D95</f>
        <v>8</v>
      </c>
      <c r="O95" s="192">
        <v>46010</v>
      </c>
      <c r="P95" s="193">
        <f t="shared" ref="P95:P96" si="341">365-R95</f>
        <v>296</v>
      </c>
      <c r="Q95" s="194">
        <f t="shared" ref="Q95:Q96" si="342">DATE(YEAR(O95)+1,MONTH(O95),DAY(O95))-1</f>
        <v>46374</v>
      </c>
      <c r="R95" s="195">
        <f t="shared" ref="R95:R96" si="343">DATEDIF(O95,B95,"d")</f>
        <v>69</v>
      </c>
      <c r="U95" s="91"/>
    </row>
    <row r="96" spans="1:21" s="1" customFormat="1" ht="19.649999999999999" customHeight="1" x14ac:dyDescent="0.25">
      <c r="A96" s="181">
        <v>46079</v>
      </c>
      <c r="B96" s="181">
        <v>46079</v>
      </c>
      <c r="C96" s="130" t="s">
        <v>194</v>
      </c>
      <c r="D96" s="130">
        <v>16</v>
      </c>
      <c r="E96" s="130">
        <f t="shared" ref="E96" si="344">D96*200</f>
        <v>3200</v>
      </c>
      <c r="F96" s="131" t="s">
        <v>1</v>
      </c>
      <c r="G96" s="130">
        <f t="shared" ref="G96" si="345">D96*209</f>
        <v>3344</v>
      </c>
      <c r="H96" s="131" t="s">
        <v>282</v>
      </c>
      <c r="I96" s="182">
        <f>I95-E96</f>
        <v>28000</v>
      </c>
      <c r="J96" s="183"/>
      <c r="K96" s="184"/>
      <c r="L96" s="130">
        <v>260225001</v>
      </c>
      <c r="M96" s="130"/>
      <c r="N96" s="130">
        <f>N94-D96</f>
        <v>15</v>
      </c>
      <c r="O96" s="192">
        <v>46012</v>
      </c>
      <c r="P96" s="193">
        <f t="shared" si="341"/>
        <v>298</v>
      </c>
      <c r="Q96" s="194">
        <f t="shared" si="342"/>
        <v>46376</v>
      </c>
      <c r="R96" s="195">
        <f t="shared" si="343"/>
        <v>67</v>
      </c>
      <c r="U96" s="91"/>
    </row>
    <row r="97" spans="1:21" s="1" customFormat="1" ht="19.649999999999999" customHeight="1" x14ac:dyDescent="0.25">
      <c r="A97" s="13">
        <v>46079</v>
      </c>
      <c r="B97" s="13">
        <v>46079</v>
      </c>
      <c r="C97" s="14" t="s">
        <v>305</v>
      </c>
      <c r="D97" s="14">
        <v>8</v>
      </c>
      <c r="E97" s="14">
        <f t="shared" ref="E97" si="346">D97*200</f>
        <v>1600</v>
      </c>
      <c r="F97" s="15" t="s">
        <v>3</v>
      </c>
      <c r="G97" s="14">
        <f t="shared" ref="G97" si="347">D97*209</f>
        <v>1672</v>
      </c>
      <c r="H97" s="15" t="s">
        <v>247</v>
      </c>
      <c r="I97" s="16">
        <f>I87-E97</f>
        <v>31000</v>
      </c>
      <c r="J97" s="17"/>
      <c r="K97" s="18"/>
      <c r="L97" s="14">
        <v>260225007</v>
      </c>
      <c r="M97" s="14"/>
      <c r="N97" s="14">
        <f>N95-D97</f>
        <v>0</v>
      </c>
      <c r="O97" s="192">
        <v>46010</v>
      </c>
      <c r="P97" s="193">
        <f t="shared" ref="P97:P98" si="348">365-R97</f>
        <v>296</v>
      </c>
      <c r="Q97" s="194">
        <f t="shared" ref="Q97:Q98" si="349">DATE(YEAR(O97)+1,MONTH(O97),DAY(O97))-1</f>
        <v>46374</v>
      </c>
      <c r="R97" s="195">
        <f t="shared" ref="R97:R98" si="350">DATEDIF(O97,B97,"d")</f>
        <v>69</v>
      </c>
      <c r="U97" s="91"/>
    </row>
    <row r="98" spans="1:21" s="1" customFormat="1" ht="19.649999999999999" customHeight="1" x14ac:dyDescent="0.25">
      <c r="A98" s="13">
        <v>46079</v>
      </c>
      <c r="B98" s="13">
        <v>46079</v>
      </c>
      <c r="C98" s="14" t="s">
        <v>194</v>
      </c>
      <c r="D98" s="14">
        <v>8</v>
      </c>
      <c r="E98" s="14">
        <f t="shared" ref="E98" si="351">D98*200</f>
        <v>1600</v>
      </c>
      <c r="F98" s="15" t="s">
        <v>3</v>
      </c>
      <c r="G98" s="14">
        <f t="shared" ref="G98" si="352">D98*209</f>
        <v>1672</v>
      </c>
      <c r="H98" s="15" t="s">
        <v>247</v>
      </c>
      <c r="I98" s="16">
        <f>I97-E98</f>
        <v>29400</v>
      </c>
      <c r="J98" s="17"/>
      <c r="K98" s="18"/>
      <c r="L98" s="14">
        <v>260225007</v>
      </c>
      <c r="M98" s="14"/>
      <c r="N98" s="14">
        <f>N96-D98</f>
        <v>7</v>
      </c>
      <c r="O98" s="192">
        <v>46012</v>
      </c>
      <c r="P98" s="193">
        <f t="shared" si="348"/>
        <v>298</v>
      </c>
      <c r="Q98" s="194">
        <f t="shared" si="349"/>
        <v>46376</v>
      </c>
      <c r="R98" s="195">
        <f t="shared" si="350"/>
        <v>67</v>
      </c>
      <c r="U98" s="91"/>
    </row>
    <row r="99" spans="1:21" s="1" customFormat="1" ht="19.649999999999999" customHeight="1" x14ac:dyDescent="0.25">
      <c r="A99" s="32">
        <v>46083</v>
      </c>
      <c r="B99" s="32">
        <v>46083</v>
      </c>
      <c r="C99" s="33" t="s">
        <v>304</v>
      </c>
      <c r="D99" s="33">
        <v>7</v>
      </c>
      <c r="E99" s="33">
        <f t="shared" ref="E99" si="353">D99*200</f>
        <v>1400</v>
      </c>
      <c r="F99" s="34" t="s">
        <v>1</v>
      </c>
      <c r="G99" s="33">
        <f t="shared" ref="G99" si="354">D99*209</f>
        <v>1463</v>
      </c>
      <c r="H99" s="34" t="s">
        <v>214</v>
      </c>
      <c r="I99" s="35">
        <f>I96-E99</f>
        <v>26600</v>
      </c>
      <c r="J99" s="36"/>
      <c r="K99" s="37"/>
      <c r="L99" s="33">
        <v>260226007</v>
      </c>
      <c r="M99" s="33"/>
      <c r="N99" s="33">
        <f>N98-D99</f>
        <v>0</v>
      </c>
      <c r="O99" s="192">
        <v>46012</v>
      </c>
      <c r="P99" s="193">
        <f t="shared" ref="P99:P100" si="355">365-R99</f>
        <v>294</v>
      </c>
      <c r="Q99" s="194">
        <f t="shared" ref="Q99:Q100" si="356">DATE(YEAR(O99)+1,MONTH(O99),DAY(O99))-1</f>
        <v>46376</v>
      </c>
      <c r="R99" s="195">
        <f t="shared" ref="R99:R100" si="357">DATEDIF(O99,B99,"d")</f>
        <v>71</v>
      </c>
      <c r="U99" s="91"/>
    </row>
    <row r="100" spans="1:21" s="1" customFormat="1" ht="19.649999999999999" customHeight="1" x14ac:dyDescent="0.25">
      <c r="A100" s="32">
        <v>46083</v>
      </c>
      <c r="B100" s="32">
        <v>46083</v>
      </c>
      <c r="C100" s="33" t="s">
        <v>195</v>
      </c>
      <c r="D100" s="33">
        <v>17</v>
      </c>
      <c r="E100" s="33">
        <f>D100*200</f>
        <v>3400</v>
      </c>
      <c r="F100" s="34" t="s">
        <v>1</v>
      </c>
      <c r="G100" s="33">
        <f t="shared" ref="G100" si="358">D100*209</f>
        <v>3553</v>
      </c>
      <c r="H100" s="34" t="s">
        <v>306</v>
      </c>
      <c r="I100" s="35">
        <f>I99-E100</f>
        <v>23200</v>
      </c>
      <c r="J100" s="36"/>
      <c r="K100" s="37"/>
      <c r="L100" s="33">
        <v>260226007</v>
      </c>
      <c r="M100" s="33"/>
      <c r="N100" s="33">
        <f>N14-D100</f>
        <v>21</v>
      </c>
      <c r="O100" s="192">
        <v>46014</v>
      </c>
      <c r="P100" s="193">
        <f t="shared" si="355"/>
        <v>296</v>
      </c>
      <c r="Q100" s="194">
        <f t="shared" si="356"/>
        <v>46378</v>
      </c>
      <c r="R100" s="195">
        <f t="shared" si="357"/>
        <v>69</v>
      </c>
      <c r="U100" s="91"/>
    </row>
    <row r="101" spans="1:21" s="1" customFormat="1" ht="19.649999999999999" customHeight="1" x14ac:dyDescent="0.25">
      <c r="A101" s="225">
        <v>46084</v>
      </c>
      <c r="B101" s="225">
        <v>46084</v>
      </c>
      <c r="C101" s="102" t="s">
        <v>195</v>
      </c>
      <c r="D101" s="102">
        <v>16</v>
      </c>
      <c r="E101" s="102">
        <f t="shared" ref="E101" si="359">D101*200</f>
        <v>3200</v>
      </c>
      <c r="F101" s="239" t="s">
        <v>40</v>
      </c>
      <c r="G101" s="102">
        <f t="shared" ref="G101" si="360">D101*209</f>
        <v>3344</v>
      </c>
      <c r="H101" s="103" t="s">
        <v>274</v>
      </c>
      <c r="I101" s="226">
        <f>I94-E101</f>
        <v>54800</v>
      </c>
      <c r="J101" s="227"/>
      <c r="K101" s="228"/>
      <c r="L101" s="102">
        <v>260302001</v>
      </c>
      <c r="M101" s="102"/>
      <c r="N101" s="102">
        <f>N100-D101</f>
        <v>5</v>
      </c>
      <c r="O101" s="192">
        <v>46014</v>
      </c>
      <c r="P101" s="193">
        <f t="shared" ref="P101" si="361">365-R101</f>
        <v>295</v>
      </c>
      <c r="Q101" s="194">
        <f t="shared" ref="Q101" si="362">DATE(YEAR(O101)+1,MONTH(O101),DAY(O101))-1</f>
        <v>46378</v>
      </c>
      <c r="R101" s="195">
        <f t="shared" ref="R101" si="363">DATEDIF(O101,B101,"d")</f>
        <v>70</v>
      </c>
      <c r="U101" s="91"/>
    </row>
    <row r="102" spans="1:21" s="1" customFormat="1" ht="19.649999999999999" customHeight="1" x14ac:dyDescent="0.25">
      <c r="A102" s="225">
        <v>46084</v>
      </c>
      <c r="B102" s="225">
        <v>46084</v>
      </c>
      <c r="C102" s="102" t="s">
        <v>307</v>
      </c>
      <c r="D102" s="102">
        <v>4</v>
      </c>
      <c r="E102" s="102">
        <f t="shared" ref="E102:E105" si="364">D102*200</f>
        <v>800</v>
      </c>
      <c r="F102" s="239" t="s">
        <v>40</v>
      </c>
      <c r="G102" s="102">
        <f t="shared" ref="G102:G105" si="365">D102*209</f>
        <v>836</v>
      </c>
      <c r="H102" s="103" t="s">
        <v>220</v>
      </c>
      <c r="I102" s="226">
        <f>I101-E102</f>
        <v>54000</v>
      </c>
      <c r="J102" s="227" t="s">
        <v>78</v>
      </c>
      <c r="K102" s="228"/>
      <c r="L102" s="102">
        <v>260302002</v>
      </c>
      <c r="M102" s="102">
        <v>42</v>
      </c>
      <c r="N102" s="102">
        <f>M102-D102</f>
        <v>38</v>
      </c>
      <c r="O102" s="192">
        <v>46056</v>
      </c>
      <c r="P102" s="193">
        <f t="shared" ref="P102:P104" si="366">365-R102</f>
        <v>337</v>
      </c>
      <c r="Q102" s="194">
        <f t="shared" ref="Q102:Q104" si="367">DATE(YEAR(O102)+1,MONTH(O102),DAY(O102))-1</f>
        <v>46420</v>
      </c>
      <c r="R102" s="195">
        <f t="shared" ref="R102:R104" si="368">DATEDIF(O102,B102,"d")</f>
        <v>28</v>
      </c>
      <c r="U102" s="91"/>
    </row>
    <row r="103" spans="1:21" s="1" customFormat="1" ht="19.649999999999999" customHeight="1" x14ac:dyDescent="0.25">
      <c r="A103" s="104">
        <v>46086</v>
      </c>
      <c r="B103" s="104">
        <v>46086</v>
      </c>
      <c r="C103" s="105" t="s">
        <v>195</v>
      </c>
      <c r="D103" s="105">
        <v>5</v>
      </c>
      <c r="E103" s="105">
        <f t="shared" si="364"/>
        <v>1000</v>
      </c>
      <c r="F103" s="106" t="s">
        <v>1</v>
      </c>
      <c r="G103" s="105">
        <f t="shared" si="365"/>
        <v>1045</v>
      </c>
      <c r="H103" s="106" t="s">
        <v>311</v>
      </c>
      <c r="I103" s="107">
        <f>I100-E103</f>
        <v>22200</v>
      </c>
      <c r="J103" s="108"/>
      <c r="K103" s="109"/>
      <c r="L103" s="105">
        <v>260304001</v>
      </c>
      <c r="M103" s="105"/>
      <c r="N103" s="105">
        <f>N101-D103</f>
        <v>0</v>
      </c>
      <c r="O103" s="192">
        <v>46014</v>
      </c>
      <c r="P103" s="193">
        <f t="shared" si="366"/>
        <v>293</v>
      </c>
      <c r="Q103" s="194">
        <f t="shared" si="367"/>
        <v>46378</v>
      </c>
      <c r="R103" s="195">
        <f t="shared" si="368"/>
        <v>72</v>
      </c>
      <c r="U103" s="91"/>
    </row>
    <row r="104" spans="1:21" s="1" customFormat="1" ht="19.649999999999999" customHeight="1" x14ac:dyDescent="0.25">
      <c r="A104" s="104">
        <v>46086</v>
      </c>
      <c r="B104" s="104">
        <v>46086</v>
      </c>
      <c r="C104" s="105" t="s">
        <v>196</v>
      </c>
      <c r="D104" s="105">
        <v>23</v>
      </c>
      <c r="E104" s="105">
        <f t="shared" si="364"/>
        <v>4600</v>
      </c>
      <c r="F104" s="106" t="s">
        <v>1</v>
      </c>
      <c r="G104" s="105">
        <f t="shared" si="365"/>
        <v>4807</v>
      </c>
      <c r="H104" s="106" t="s">
        <v>214</v>
      </c>
      <c r="I104" s="107">
        <f>I103-E104</f>
        <v>17600</v>
      </c>
      <c r="J104" s="108"/>
      <c r="K104" s="109"/>
      <c r="L104" s="105">
        <v>260304001</v>
      </c>
      <c r="M104" s="105"/>
      <c r="N104" s="105">
        <f>N15-D104</f>
        <v>15</v>
      </c>
      <c r="O104" s="192">
        <v>46017</v>
      </c>
      <c r="P104" s="193">
        <f t="shared" si="366"/>
        <v>296</v>
      </c>
      <c r="Q104" s="194">
        <f t="shared" si="367"/>
        <v>46381</v>
      </c>
      <c r="R104" s="195">
        <f t="shared" si="368"/>
        <v>69</v>
      </c>
      <c r="U104" s="91"/>
    </row>
    <row r="105" spans="1:21" s="1" customFormat="1" ht="19.649999999999999" customHeight="1" x14ac:dyDescent="0.25">
      <c r="A105" s="250">
        <v>46087</v>
      </c>
      <c r="B105" s="250">
        <v>46087</v>
      </c>
      <c r="C105" s="126" t="s">
        <v>196</v>
      </c>
      <c r="D105" s="126">
        <v>12</v>
      </c>
      <c r="E105" s="126">
        <f t="shared" si="364"/>
        <v>2400</v>
      </c>
      <c r="F105" s="251" t="s">
        <v>40</v>
      </c>
      <c r="G105" s="126">
        <f t="shared" si="365"/>
        <v>2508</v>
      </c>
      <c r="H105" s="127" t="s">
        <v>313</v>
      </c>
      <c r="I105" s="252">
        <f>I102-E105</f>
        <v>51600</v>
      </c>
      <c r="J105" s="253"/>
      <c r="K105" s="254"/>
      <c r="L105" s="126">
        <v>260305001</v>
      </c>
      <c r="M105" s="126"/>
      <c r="N105" s="126">
        <f>N104-D105</f>
        <v>3</v>
      </c>
      <c r="O105" s="192">
        <v>46017</v>
      </c>
      <c r="P105" s="193">
        <f t="shared" ref="P105:P106" si="369">365-R105</f>
        <v>295</v>
      </c>
      <c r="Q105" s="194">
        <f t="shared" ref="Q105:Q106" si="370">DATE(YEAR(O105)+1,MONTH(O105),DAY(O105))-1</f>
        <v>46381</v>
      </c>
      <c r="R105" s="195">
        <f t="shared" ref="R105:R106" si="371">DATEDIF(O105,B105,"d")</f>
        <v>70</v>
      </c>
      <c r="U105" s="91"/>
    </row>
    <row r="106" spans="1:21" s="1" customFormat="1" ht="19.649999999999999" customHeight="1" x14ac:dyDescent="0.25">
      <c r="A106" s="250">
        <v>46087</v>
      </c>
      <c r="B106" s="250">
        <v>46087</v>
      </c>
      <c r="C106" s="126" t="s">
        <v>230</v>
      </c>
      <c r="D106" s="126">
        <v>4</v>
      </c>
      <c r="E106" s="126">
        <f t="shared" ref="E106" si="372">D106*200</f>
        <v>800</v>
      </c>
      <c r="F106" s="251" t="s">
        <v>40</v>
      </c>
      <c r="G106" s="126">
        <f t="shared" ref="G106" si="373">D106*209</f>
        <v>836</v>
      </c>
      <c r="H106" s="127" t="s">
        <v>220</v>
      </c>
      <c r="I106" s="252">
        <f>I105-E106</f>
        <v>50800</v>
      </c>
      <c r="J106" s="253"/>
      <c r="K106" s="254"/>
      <c r="L106" s="126">
        <v>260305001</v>
      </c>
      <c r="M106" s="126"/>
      <c r="N106" s="126">
        <f>N37-D106</f>
        <v>34</v>
      </c>
      <c r="O106" s="192">
        <v>46019</v>
      </c>
      <c r="P106" s="193">
        <f t="shared" si="369"/>
        <v>297</v>
      </c>
      <c r="Q106" s="194">
        <f t="shared" si="370"/>
        <v>46383</v>
      </c>
      <c r="R106" s="195">
        <f t="shared" si="371"/>
        <v>68</v>
      </c>
      <c r="U106" s="91"/>
    </row>
    <row r="107" spans="1:21" s="1" customFormat="1" ht="19.649999999999999" customHeight="1" x14ac:dyDescent="0.25">
      <c r="A107" s="250">
        <v>46087</v>
      </c>
      <c r="B107" s="250">
        <v>46087</v>
      </c>
      <c r="C107" s="126" t="s">
        <v>312</v>
      </c>
      <c r="D107" s="126">
        <v>4</v>
      </c>
      <c r="E107" s="126">
        <f t="shared" ref="E107:E112" si="374">D107*200</f>
        <v>800</v>
      </c>
      <c r="F107" s="251" t="s">
        <v>40</v>
      </c>
      <c r="G107" s="126">
        <f t="shared" ref="G107:G112" si="375">D107*209</f>
        <v>836</v>
      </c>
      <c r="H107" s="127" t="s">
        <v>220</v>
      </c>
      <c r="I107" s="252">
        <f>I106-E107</f>
        <v>50000</v>
      </c>
      <c r="J107" s="253" t="s">
        <v>78</v>
      </c>
      <c r="K107" s="254"/>
      <c r="L107" s="126">
        <v>260305002</v>
      </c>
      <c r="M107" s="126">
        <v>42</v>
      </c>
      <c r="N107" s="126">
        <f>M107-D107</f>
        <v>38</v>
      </c>
      <c r="O107" s="192">
        <v>46058</v>
      </c>
      <c r="P107" s="193">
        <f t="shared" ref="P107:P109" si="376">365-R107</f>
        <v>336</v>
      </c>
      <c r="Q107" s="194">
        <f t="shared" ref="Q107:Q109" si="377">DATE(YEAR(O107)+1,MONTH(O107),DAY(O107))-1</f>
        <v>46422</v>
      </c>
      <c r="R107" s="195">
        <f t="shared" ref="R107:R109" si="378">DATEDIF(O107,B107,"d")</f>
        <v>29</v>
      </c>
      <c r="U107" s="91"/>
    </row>
    <row r="108" spans="1:21" s="1" customFormat="1" ht="19.649999999999999" customHeight="1" x14ac:dyDescent="0.25">
      <c r="A108" s="219">
        <v>46087</v>
      </c>
      <c r="B108" s="219">
        <v>46087</v>
      </c>
      <c r="C108" s="220" t="s">
        <v>196</v>
      </c>
      <c r="D108" s="220">
        <v>3</v>
      </c>
      <c r="E108" s="220">
        <f t="shared" si="374"/>
        <v>600</v>
      </c>
      <c r="F108" s="221" t="s">
        <v>3</v>
      </c>
      <c r="G108" s="220">
        <f t="shared" si="375"/>
        <v>627</v>
      </c>
      <c r="H108" s="221" t="s">
        <v>314</v>
      </c>
      <c r="I108" s="222">
        <f>I98-E108</f>
        <v>28800</v>
      </c>
      <c r="J108" s="223"/>
      <c r="K108" s="224"/>
      <c r="L108" s="220">
        <v>260305003</v>
      </c>
      <c r="M108" s="220"/>
      <c r="N108" s="220">
        <f>N105-D108</f>
        <v>0</v>
      </c>
      <c r="O108" s="192">
        <v>46017</v>
      </c>
      <c r="P108" s="193">
        <f t="shared" si="376"/>
        <v>295</v>
      </c>
      <c r="Q108" s="194">
        <f t="shared" si="377"/>
        <v>46381</v>
      </c>
      <c r="R108" s="195">
        <f t="shared" si="378"/>
        <v>70</v>
      </c>
      <c r="U108" s="91"/>
    </row>
    <row r="109" spans="1:21" s="1" customFormat="1" ht="19.649999999999999" customHeight="1" x14ac:dyDescent="0.25">
      <c r="A109" s="219">
        <v>46087</v>
      </c>
      <c r="B109" s="219">
        <v>46087</v>
      </c>
      <c r="C109" s="220" t="s">
        <v>230</v>
      </c>
      <c r="D109" s="220">
        <v>17</v>
      </c>
      <c r="E109" s="220">
        <f t="shared" si="374"/>
        <v>3400</v>
      </c>
      <c r="F109" s="221" t="s">
        <v>3</v>
      </c>
      <c r="G109" s="220">
        <f t="shared" si="375"/>
        <v>3553</v>
      </c>
      <c r="H109" s="221" t="s">
        <v>247</v>
      </c>
      <c r="I109" s="222">
        <f>I108-E109</f>
        <v>25400</v>
      </c>
      <c r="J109" s="223"/>
      <c r="K109" s="224"/>
      <c r="L109" s="220">
        <v>260305003</v>
      </c>
      <c r="M109" s="220"/>
      <c r="N109" s="220">
        <f>N106-D109</f>
        <v>17</v>
      </c>
      <c r="O109" s="192">
        <v>46019</v>
      </c>
      <c r="P109" s="193">
        <f t="shared" si="376"/>
        <v>297</v>
      </c>
      <c r="Q109" s="194">
        <f t="shared" si="377"/>
        <v>46383</v>
      </c>
      <c r="R109" s="195">
        <f t="shared" si="378"/>
        <v>68</v>
      </c>
      <c r="U109" s="91"/>
    </row>
    <row r="110" spans="1:21" s="1" customFormat="1" ht="19.649999999999999" customHeight="1" x14ac:dyDescent="0.25">
      <c r="A110" s="269">
        <v>46090</v>
      </c>
      <c r="B110" s="269">
        <v>46090</v>
      </c>
      <c r="C110" s="270" t="s">
        <v>230</v>
      </c>
      <c r="D110" s="270">
        <v>17</v>
      </c>
      <c r="E110" s="270">
        <f t="shared" si="374"/>
        <v>3400</v>
      </c>
      <c r="F110" s="271" t="s">
        <v>1</v>
      </c>
      <c r="G110" s="270">
        <f t="shared" si="375"/>
        <v>3553</v>
      </c>
      <c r="H110" s="271" t="s">
        <v>214</v>
      </c>
      <c r="I110" s="272">
        <f>I104-E110</f>
        <v>14200</v>
      </c>
      <c r="J110" s="273"/>
      <c r="K110" s="274"/>
      <c r="L110" s="270">
        <v>260306001</v>
      </c>
      <c r="M110" s="270"/>
      <c r="N110" s="270">
        <f>N109-D110</f>
        <v>0</v>
      </c>
      <c r="O110" s="192">
        <v>46019</v>
      </c>
      <c r="P110" s="193">
        <f t="shared" ref="P110:P112" si="379">365-R110</f>
        <v>294</v>
      </c>
      <c r="Q110" s="194">
        <f t="shared" ref="Q110:Q112" si="380">DATE(YEAR(O110)+1,MONTH(O110),DAY(O110))-1</f>
        <v>46383</v>
      </c>
      <c r="R110" s="195">
        <f t="shared" ref="R110:R112" si="381">DATEDIF(O110,B110,"d")</f>
        <v>71</v>
      </c>
      <c r="U110" s="91"/>
    </row>
    <row r="111" spans="1:21" s="1" customFormat="1" ht="19.649999999999999" customHeight="1" x14ac:dyDescent="0.25">
      <c r="A111" s="269">
        <v>46090</v>
      </c>
      <c r="B111" s="269">
        <v>46090</v>
      </c>
      <c r="C111" s="270" t="s">
        <v>315</v>
      </c>
      <c r="D111" s="270">
        <v>7</v>
      </c>
      <c r="E111" s="270">
        <f t="shared" si="374"/>
        <v>1400</v>
      </c>
      <c r="F111" s="271" t="s">
        <v>1</v>
      </c>
      <c r="G111" s="270">
        <f t="shared" si="375"/>
        <v>1463</v>
      </c>
      <c r="H111" s="271" t="s">
        <v>214</v>
      </c>
      <c r="I111" s="272">
        <f>I110-E111</f>
        <v>12800</v>
      </c>
      <c r="J111" s="273"/>
      <c r="K111" s="274"/>
      <c r="L111" s="270">
        <v>260306001</v>
      </c>
      <c r="M111" s="270"/>
      <c r="N111" s="270">
        <f>N38-D111</f>
        <v>32</v>
      </c>
      <c r="O111" s="192">
        <v>46021</v>
      </c>
      <c r="P111" s="193">
        <f t="shared" si="379"/>
        <v>296</v>
      </c>
      <c r="Q111" s="194">
        <f t="shared" si="380"/>
        <v>46385</v>
      </c>
      <c r="R111" s="195">
        <f t="shared" si="381"/>
        <v>69</v>
      </c>
      <c r="U111" s="91"/>
    </row>
    <row r="112" spans="1:21" s="1" customFormat="1" ht="19.649999999999999" customHeight="1" x14ac:dyDescent="0.25">
      <c r="A112" s="243">
        <v>46090</v>
      </c>
      <c r="B112" s="243">
        <v>46090</v>
      </c>
      <c r="C112" s="244" t="s">
        <v>315</v>
      </c>
      <c r="D112" s="244">
        <v>4</v>
      </c>
      <c r="E112" s="244">
        <f t="shared" si="374"/>
        <v>800</v>
      </c>
      <c r="F112" s="275" t="s">
        <v>40</v>
      </c>
      <c r="G112" s="244">
        <f t="shared" si="375"/>
        <v>836</v>
      </c>
      <c r="H112" s="245" t="s">
        <v>220</v>
      </c>
      <c r="I112" s="246">
        <f>I107-E112</f>
        <v>49200</v>
      </c>
      <c r="J112" s="247"/>
      <c r="K112" s="248"/>
      <c r="L112" s="244">
        <v>260306002</v>
      </c>
      <c r="M112" s="244"/>
      <c r="N112" s="244">
        <f>N111-D112</f>
        <v>28</v>
      </c>
      <c r="O112" s="192">
        <v>46021</v>
      </c>
      <c r="P112" s="193">
        <f t="shared" si="379"/>
        <v>296</v>
      </c>
      <c r="Q112" s="194">
        <f t="shared" si="380"/>
        <v>46385</v>
      </c>
      <c r="R112" s="195">
        <f t="shared" si="381"/>
        <v>69</v>
      </c>
      <c r="U112" s="91"/>
    </row>
    <row r="113" spans="1:21" s="1" customFormat="1" ht="19.649999999999999" customHeight="1" x14ac:dyDescent="0.25">
      <c r="A113" s="243">
        <v>46090</v>
      </c>
      <c r="B113" s="243">
        <v>46090</v>
      </c>
      <c r="C113" s="244" t="s">
        <v>316</v>
      </c>
      <c r="D113" s="244">
        <v>4</v>
      </c>
      <c r="E113" s="244">
        <f t="shared" ref="E113:E116" si="382">D113*200</f>
        <v>800</v>
      </c>
      <c r="F113" s="275" t="s">
        <v>40</v>
      </c>
      <c r="G113" s="244">
        <f t="shared" ref="G113:G116" si="383">D113*209</f>
        <v>836</v>
      </c>
      <c r="H113" s="245" t="s">
        <v>317</v>
      </c>
      <c r="I113" s="246">
        <f>I112-E113</f>
        <v>48400</v>
      </c>
      <c r="J113" s="247" t="s">
        <v>78</v>
      </c>
      <c r="K113" s="248"/>
      <c r="L113" s="244">
        <v>260306004</v>
      </c>
      <c r="M113" s="244">
        <v>42</v>
      </c>
      <c r="N113" s="244">
        <f>M113-D113</f>
        <v>38</v>
      </c>
      <c r="O113" s="192">
        <v>46062</v>
      </c>
      <c r="P113" s="193">
        <f t="shared" ref="P113:P115" si="384">365-R113</f>
        <v>337</v>
      </c>
      <c r="Q113" s="194">
        <f t="shared" ref="Q113:Q115" si="385">DATE(YEAR(O113)+1,MONTH(O113),DAY(O113))-1</f>
        <v>46426</v>
      </c>
      <c r="R113" s="195">
        <f t="shared" ref="R113:R115" si="386">DATEDIF(O113,B113,"d")</f>
        <v>28</v>
      </c>
      <c r="U113" s="91"/>
    </row>
    <row r="114" spans="1:21" s="1" customFormat="1" ht="19.649999999999999" customHeight="1" x14ac:dyDescent="0.25">
      <c r="A114" s="52">
        <v>46091</v>
      </c>
      <c r="B114" s="52">
        <v>46091</v>
      </c>
      <c r="C114" s="53" t="s">
        <v>231</v>
      </c>
      <c r="D114" s="53">
        <v>16</v>
      </c>
      <c r="E114" s="53">
        <f t="shared" si="382"/>
        <v>3200</v>
      </c>
      <c r="F114" s="54" t="s">
        <v>3</v>
      </c>
      <c r="G114" s="53">
        <f t="shared" si="383"/>
        <v>3344</v>
      </c>
      <c r="H114" s="54" t="s">
        <v>247</v>
      </c>
      <c r="I114" s="55">
        <f>I109-E114</f>
        <v>22200</v>
      </c>
      <c r="J114" s="56"/>
      <c r="K114" s="57"/>
      <c r="L114" s="53">
        <v>260309001</v>
      </c>
      <c r="M114" s="53"/>
      <c r="N114" s="53">
        <f>N112-D114</f>
        <v>12</v>
      </c>
      <c r="O114" s="192">
        <v>46021</v>
      </c>
      <c r="P114" s="193">
        <f t="shared" si="384"/>
        <v>295</v>
      </c>
      <c r="Q114" s="194">
        <f t="shared" si="385"/>
        <v>46385</v>
      </c>
      <c r="R114" s="195">
        <f t="shared" si="386"/>
        <v>70</v>
      </c>
      <c r="U114" s="91"/>
    </row>
    <row r="115" spans="1:21" s="1" customFormat="1" ht="19.649999999999999" customHeight="1" x14ac:dyDescent="0.25">
      <c r="A115" s="52">
        <v>46091</v>
      </c>
      <c r="B115" s="52">
        <v>46091</v>
      </c>
      <c r="C115" s="53" t="s">
        <v>232</v>
      </c>
      <c r="D115" s="53">
        <v>8</v>
      </c>
      <c r="E115" s="53">
        <f t="shared" si="382"/>
        <v>1600</v>
      </c>
      <c r="F115" s="54" t="s">
        <v>3</v>
      </c>
      <c r="G115" s="53">
        <f t="shared" si="383"/>
        <v>1672</v>
      </c>
      <c r="H115" s="54" t="s">
        <v>247</v>
      </c>
      <c r="I115" s="55">
        <f>I114-E115</f>
        <v>20600</v>
      </c>
      <c r="J115" s="56"/>
      <c r="K115" s="57"/>
      <c r="L115" s="53">
        <v>260309001</v>
      </c>
      <c r="M115" s="53"/>
      <c r="N115" s="53">
        <f>N39-D115</f>
        <v>30</v>
      </c>
      <c r="O115" s="192">
        <v>46024</v>
      </c>
      <c r="P115" s="193">
        <f t="shared" si="384"/>
        <v>298</v>
      </c>
      <c r="Q115" s="194">
        <f t="shared" si="385"/>
        <v>46388</v>
      </c>
      <c r="R115" s="195">
        <f t="shared" si="386"/>
        <v>67</v>
      </c>
      <c r="U115" s="91"/>
    </row>
    <row r="116" spans="1:21" s="1" customFormat="1" ht="19.649999999999999" customHeight="1" x14ac:dyDescent="0.25">
      <c r="A116" s="276">
        <v>46092</v>
      </c>
      <c r="B116" s="276">
        <v>46092</v>
      </c>
      <c r="C116" s="277" t="s">
        <v>232</v>
      </c>
      <c r="D116" s="277">
        <v>8</v>
      </c>
      <c r="E116" s="277">
        <f t="shared" si="382"/>
        <v>1600</v>
      </c>
      <c r="F116" s="278" t="s">
        <v>40</v>
      </c>
      <c r="G116" s="277">
        <f t="shared" si="383"/>
        <v>1672</v>
      </c>
      <c r="H116" s="279" t="s">
        <v>220</v>
      </c>
      <c r="I116" s="280">
        <f>I113-E116</f>
        <v>46800</v>
      </c>
      <c r="J116" s="281"/>
      <c r="K116" s="282"/>
      <c r="L116" s="277">
        <v>260310001</v>
      </c>
      <c r="M116" s="277"/>
      <c r="N116" s="277">
        <f>N115-D116</f>
        <v>22</v>
      </c>
      <c r="O116" s="192">
        <v>46024</v>
      </c>
      <c r="P116" s="193">
        <f t="shared" ref="P116" si="387">365-R116</f>
        <v>297</v>
      </c>
      <c r="Q116" s="194">
        <f t="shared" ref="Q116" si="388">DATE(YEAR(O116)+1,MONTH(O116),DAY(O116))-1</f>
        <v>46388</v>
      </c>
      <c r="R116" s="195">
        <f t="shared" ref="R116" si="389">DATEDIF(O116,B116,"d")</f>
        <v>68</v>
      </c>
      <c r="U116" s="91"/>
    </row>
    <row r="117" spans="1:21" s="1" customFormat="1" ht="19.649999999999999" customHeight="1" x14ac:dyDescent="0.25">
      <c r="A117" s="276">
        <v>46092</v>
      </c>
      <c r="B117" s="276">
        <v>46092</v>
      </c>
      <c r="C117" s="277" t="s">
        <v>318</v>
      </c>
      <c r="D117" s="277">
        <v>4</v>
      </c>
      <c r="E117" s="277">
        <f t="shared" ref="E117:E120" si="390">D117*200</f>
        <v>800</v>
      </c>
      <c r="F117" s="278" t="s">
        <v>40</v>
      </c>
      <c r="G117" s="277">
        <f t="shared" ref="G117:G120" si="391">D117*209</f>
        <v>836</v>
      </c>
      <c r="H117" s="279" t="s">
        <v>220</v>
      </c>
      <c r="I117" s="280">
        <f>I116-E117</f>
        <v>46000</v>
      </c>
      <c r="J117" s="281" t="s">
        <v>78</v>
      </c>
      <c r="K117" s="282"/>
      <c r="L117" s="277">
        <v>260310002</v>
      </c>
      <c r="M117" s="277">
        <v>43</v>
      </c>
      <c r="N117" s="277">
        <f>M117-D117</f>
        <v>39</v>
      </c>
      <c r="O117" s="192">
        <v>46064</v>
      </c>
      <c r="P117" s="193">
        <f t="shared" ref="P117:P119" si="392">365-R117</f>
        <v>337</v>
      </c>
      <c r="Q117" s="194">
        <f t="shared" ref="Q117:Q119" si="393">DATE(YEAR(O117)+1,MONTH(O117),DAY(O117))-1</f>
        <v>46428</v>
      </c>
      <c r="R117" s="195">
        <f t="shared" ref="R117:R119" si="394">DATEDIF(O117,B117,"d")</f>
        <v>28</v>
      </c>
      <c r="U117" s="91"/>
    </row>
    <row r="118" spans="1:21" s="1" customFormat="1" ht="19.649999999999999" customHeight="1" x14ac:dyDescent="0.25">
      <c r="A118" s="262">
        <v>46093</v>
      </c>
      <c r="B118" s="262">
        <v>46093</v>
      </c>
      <c r="C118" s="263" t="s">
        <v>231</v>
      </c>
      <c r="D118" s="263">
        <v>12</v>
      </c>
      <c r="E118" s="263">
        <f t="shared" si="390"/>
        <v>2400</v>
      </c>
      <c r="F118" s="264" t="s">
        <v>1</v>
      </c>
      <c r="G118" s="263">
        <f t="shared" si="391"/>
        <v>2508</v>
      </c>
      <c r="H118" s="264" t="s">
        <v>320</v>
      </c>
      <c r="I118" s="265">
        <f>I111-E118</f>
        <v>10400</v>
      </c>
      <c r="J118" s="266"/>
      <c r="K118" s="267"/>
      <c r="L118" s="263">
        <v>260311001</v>
      </c>
      <c r="M118" s="263"/>
      <c r="N118" s="263">
        <f>N114-D118</f>
        <v>0</v>
      </c>
      <c r="O118" s="192">
        <v>46021</v>
      </c>
      <c r="P118" s="193">
        <f t="shared" si="392"/>
        <v>293</v>
      </c>
      <c r="Q118" s="194">
        <f t="shared" si="393"/>
        <v>46385</v>
      </c>
      <c r="R118" s="195">
        <f t="shared" si="394"/>
        <v>72</v>
      </c>
      <c r="U118" s="91"/>
    </row>
    <row r="119" spans="1:21" s="1" customFormat="1" ht="19.649999999999999" customHeight="1" x14ac:dyDescent="0.25">
      <c r="A119" s="262">
        <v>46093</v>
      </c>
      <c r="B119" s="262">
        <v>46093</v>
      </c>
      <c r="C119" s="263" t="s">
        <v>319</v>
      </c>
      <c r="D119" s="263">
        <v>16</v>
      </c>
      <c r="E119" s="263">
        <f t="shared" si="390"/>
        <v>3200</v>
      </c>
      <c r="F119" s="264" t="s">
        <v>1</v>
      </c>
      <c r="G119" s="263">
        <f t="shared" si="391"/>
        <v>3344</v>
      </c>
      <c r="H119" s="264" t="s">
        <v>214</v>
      </c>
      <c r="I119" s="265">
        <f>I118-E119</f>
        <v>7200</v>
      </c>
      <c r="J119" s="266"/>
      <c r="K119" s="267"/>
      <c r="L119" s="263">
        <v>260311001</v>
      </c>
      <c r="M119" s="263"/>
      <c r="N119" s="263">
        <f>N116-D119</f>
        <v>6</v>
      </c>
      <c r="O119" s="192">
        <v>46024</v>
      </c>
      <c r="P119" s="193">
        <f t="shared" si="392"/>
        <v>296</v>
      </c>
      <c r="Q119" s="194">
        <f t="shared" si="393"/>
        <v>46388</v>
      </c>
      <c r="R119" s="195">
        <f t="shared" si="394"/>
        <v>69</v>
      </c>
      <c r="U119" s="91"/>
    </row>
    <row r="120" spans="1:21" s="1" customFormat="1" ht="19.649999999999999" customHeight="1" x14ac:dyDescent="0.25">
      <c r="A120" s="283">
        <v>46094</v>
      </c>
      <c r="B120" s="283">
        <v>46094</v>
      </c>
      <c r="C120" s="284" t="s">
        <v>232</v>
      </c>
      <c r="D120" s="284">
        <v>6</v>
      </c>
      <c r="E120" s="284">
        <f t="shared" si="390"/>
        <v>1200</v>
      </c>
      <c r="F120" s="285" t="s">
        <v>40</v>
      </c>
      <c r="G120" s="284">
        <f t="shared" si="391"/>
        <v>1254</v>
      </c>
      <c r="H120" s="286" t="s">
        <v>220</v>
      </c>
      <c r="I120" s="287">
        <f>I117-E120</f>
        <v>44800</v>
      </c>
      <c r="J120" s="288"/>
      <c r="K120" s="289"/>
      <c r="L120" s="284">
        <v>260312001</v>
      </c>
      <c r="M120" s="284"/>
      <c r="N120" s="284">
        <f>N119-D120</f>
        <v>0</v>
      </c>
      <c r="O120" s="192">
        <v>46024</v>
      </c>
      <c r="P120" s="193">
        <f t="shared" ref="P120:P121" si="395">365-R120</f>
        <v>295</v>
      </c>
      <c r="Q120" s="194">
        <f t="shared" ref="Q120:Q121" si="396">DATE(YEAR(O120)+1,MONTH(O120),DAY(O120))-1</f>
        <v>46388</v>
      </c>
      <c r="R120" s="195">
        <f t="shared" ref="R120:R121" si="397">DATEDIF(O120,B120,"d")</f>
        <v>70</v>
      </c>
      <c r="U120" s="91"/>
    </row>
    <row r="121" spans="1:21" s="1" customFormat="1" ht="19.649999999999999" customHeight="1" x14ac:dyDescent="0.25">
      <c r="A121" s="283">
        <v>46094</v>
      </c>
      <c r="B121" s="283">
        <v>46094</v>
      </c>
      <c r="C121" s="284" t="s">
        <v>233</v>
      </c>
      <c r="D121" s="284">
        <v>6</v>
      </c>
      <c r="E121" s="284">
        <f t="shared" ref="E121" si="398">D121*200</f>
        <v>1200</v>
      </c>
      <c r="F121" s="285" t="s">
        <v>40</v>
      </c>
      <c r="G121" s="284">
        <f t="shared" ref="G121" si="399">D121*209</f>
        <v>1254</v>
      </c>
      <c r="H121" s="286" t="s">
        <v>220</v>
      </c>
      <c r="I121" s="287">
        <f>I120-E121</f>
        <v>43600</v>
      </c>
      <c r="J121" s="288"/>
      <c r="K121" s="289"/>
      <c r="L121" s="284">
        <v>260312001</v>
      </c>
      <c r="M121" s="284"/>
      <c r="N121" s="284">
        <f>N40-D121</f>
        <v>32</v>
      </c>
      <c r="O121" s="192">
        <v>46026</v>
      </c>
      <c r="P121" s="193">
        <f t="shared" si="395"/>
        <v>297</v>
      </c>
      <c r="Q121" s="194">
        <f t="shared" si="396"/>
        <v>46390</v>
      </c>
      <c r="R121" s="195">
        <f t="shared" si="397"/>
        <v>68</v>
      </c>
      <c r="U121" s="91"/>
    </row>
    <row r="122" spans="1:21" s="1" customFormat="1" ht="19.649999999999999" customHeight="1" x14ac:dyDescent="0.25">
      <c r="A122" s="283">
        <v>46094</v>
      </c>
      <c r="B122" s="283">
        <v>46094</v>
      </c>
      <c r="C122" s="284" t="s">
        <v>321</v>
      </c>
      <c r="D122" s="284">
        <v>4</v>
      </c>
      <c r="E122" s="284">
        <f t="shared" ref="E122:E126" si="400">D122*200</f>
        <v>800</v>
      </c>
      <c r="F122" s="285" t="s">
        <v>40</v>
      </c>
      <c r="G122" s="284">
        <f t="shared" ref="G122:G126" si="401">D122*209</f>
        <v>836</v>
      </c>
      <c r="H122" s="286" t="s">
        <v>220</v>
      </c>
      <c r="I122" s="287">
        <f>I121-E122</f>
        <v>42800</v>
      </c>
      <c r="J122" s="288" t="s">
        <v>78</v>
      </c>
      <c r="K122" s="289"/>
      <c r="L122" s="284">
        <v>260312002</v>
      </c>
      <c r="M122" s="284">
        <v>42</v>
      </c>
      <c r="N122" s="284">
        <f>M122-D122</f>
        <v>38</v>
      </c>
      <c r="O122" s="192">
        <v>46066</v>
      </c>
      <c r="P122" s="193">
        <f t="shared" ref="P122:P126" si="402">365-R122</f>
        <v>337</v>
      </c>
      <c r="Q122" s="194">
        <f t="shared" ref="Q122:Q123" si="403">DATE(YEAR(O122)+1,MONTH(O122),DAY(O122))-1</f>
        <v>46430</v>
      </c>
      <c r="R122" s="195">
        <f t="shared" ref="R122:R126" si="404">DATEDIF(O122,B122,"d")</f>
        <v>28</v>
      </c>
      <c r="U122" s="91"/>
    </row>
    <row r="123" spans="1:21" s="1" customFormat="1" ht="19.649999999999999" customHeight="1" x14ac:dyDescent="0.25">
      <c r="A123" s="219">
        <v>46097</v>
      </c>
      <c r="B123" s="219">
        <v>46097</v>
      </c>
      <c r="C123" s="220" t="s">
        <v>233</v>
      </c>
      <c r="D123" s="220">
        <v>20</v>
      </c>
      <c r="E123" s="220">
        <f t="shared" si="400"/>
        <v>4000</v>
      </c>
      <c r="F123" s="221" t="s">
        <v>1</v>
      </c>
      <c r="G123" s="220">
        <f t="shared" si="401"/>
        <v>4180</v>
      </c>
      <c r="H123" s="221" t="s">
        <v>325</v>
      </c>
      <c r="I123" s="222">
        <f>I119-E123</f>
        <v>3200</v>
      </c>
      <c r="J123" s="223"/>
      <c r="K123" s="224"/>
      <c r="L123" s="220">
        <v>260313007</v>
      </c>
      <c r="M123" s="220"/>
      <c r="N123" s="220">
        <f>N121-D123</f>
        <v>12</v>
      </c>
      <c r="O123" s="192">
        <v>46026</v>
      </c>
      <c r="P123" s="193">
        <f t="shared" si="402"/>
        <v>294</v>
      </c>
      <c r="Q123" s="194">
        <f t="shared" si="403"/>
        <v>46390</v>
      </c>
      <c r="R123" s="195">
        <f t="shared" si="404"/>
        <v>71</v>
      </c>
      <c r="U123" s="91"/>
    </row>
    <row r="124" spans="1:21" s="1" customFormat="1" ht="19.649999999999999" customHeight="1" x14ac:dyDescent="0.25">
      <c r="A124" s="250">
        <v>46097</v>
      </c>
      <c r="B124" s="250">
        <v>46097</v>
      </c>
      <c r="C124" s="126" t="s">
        <v>233</v>
      </c>
      <c r="D124" s="126">
        <v>8</v>
      </c>
      <c r="E124" s="126">
        <f t="shared" si="400"/>
        <v>1600</v>
      </c>
      <c r="F124" s="251" t="s">
        <v>40</v>
      </c>
      <c r="G124" s="126">
        <f t="shared" si="401"/>
        <v>1672</v>
      </c>
      <c r="H124" s="127" t="s">
        <v>220</v>
      </c>
      <c r="I124" s="252">
        <f>I122-E124</f>
        <v>41200</v>
      </c>
      <c r="J124" s="253"/>
      <c r="K124" s="254"/>
      <c r="L124" s="126">
        <v>260313008</v>
      </c>
      <c r="M124" s="126"/>
      <c r="N124" s="126">
        <f>N123-D124</f>
        <v>4</v>
      </c>
      <c r="O124" s="192">
        <v>46026</v>
      </c>
      <c r="P124" s="193">
        <f t="shared" si="402"/>
        <v>294</v>
      </c>
      <c r="Q124" s="194">
        <f>DATE(YEAR(O124)+1,MONTH(O124),DAY(O124))-1</f>
        <v>46390</v>
      </c>
      <c r="R124" s="195">
        <f t="shared" si="404"/>
        <v>71</v>
      </c>
      <c r="U124" s="91"/>
    </row>
    <row r="125" spans="1:21" s="1" customFormat="1" ht="19.649999999999999" customHeight="1" x14ac:dyDescent="0.25">
      <c r="A125" s="269">
        <v>46098</v>
      </c>
      <c r="B125" s="269">
        <v>46098</v>
      </c>
      <c r="C125" s="270" t="s">
        <v>233</v>
      </c>
      <c r="D125" s="270">
        <v>4</v>
      </c>
      <c r="E125" s="270">
        <f t="shared" si="400"/>
        <v>800</v>
      </c>
      <c r="F125" s="271" t="s">
        <v>3</v>
      </c>
      <c r="G125" s="270">
        <f t="shared" si="401"/>
        <v>836</v>
      </c>
      <c r="H125" s="271" t="s">
        <v>247</v>
      </c>
      <c r="I125" s="272">
        <f>I115-E125</f>
        <v>19800</v>
      </c>
      <c r="J125" s="273"/>
      <c r="K125" s="274"/>
      <c r="L125" s="270">
        <v>260316001</v>
      </c>
      <c r="M125" s="270"/>
      <c r="N125" s="270">
        <f>N124-D125</f>
        <v>0</v>
      </c>
      <c r="O125" s="192">
        <v>46026</v>
      </c>
      <c r="P125" s="193">
        <f t="shared" ref="P125" si="405">365-R125</f>
        <v>293</v>
      </c>
      <c r="Q125" s="194">
        <f>DATE(YEAR(O125)+1,MONTH(O125),DAY(O125))-1</f>
        <v>46390</v>
      </c>
      <c r="R125" s="195">
        <f t="shared" ref="R125" si="406">DATEDIF(O125,B125,"d")</f>
        <v>72</v>
      </c>
      <c r="U125" s="91"/>
    </row>
    <row r="126" spans="1:21" s="1" customFormat="1" ht="19.649999999999999" customHeight="1" x14ac:dyDescent="0.25">
      <c r="A126" s="269">
        <v>46098</v>
      </c>
      <c r="B126" s="269">
        <v>46098</v>
      </c>
      <c r="C126" s="270" t="s">
        <v>326</v>
      </c>
      <c r="D126" s="270">
        <v>4</v>
      </c>
      <c r="E126" s="270">
        <f t="shared" si="400"/>
        <v>800</v>
      </c>
      <c r="F126" s="271" t="s">
        <v>3</v>
      </c>
      <c r="G126" s="270">
        <f t="shared" si="401"/>
        <v>836</v>
      </c>
      <c r="H126" s="271" t="s">
        <v>247</v>
      </c>
      <c r="I126" s="272">
        <f t="shared" ref="I126:I132" si="407">I125-E126</f>
        <v>19000</v>
      </c>
      <c r="J126" s="273" t="s">
        <v>322</v>
      </c>
      <c r="K126" s="274"/>
      <c r="L126" s="270">
        <v>260316002</v>
      </c>
      <c r="M126" s="270">
        <v>42</v>
      </c>
      <c r="N126" s="270">
        <f>M126-D126</f>
        <v>38</v>
      </c>
      <c r="O126" s="192">
        <v>46068</v>
      </c>
      <c r="P126" s="193">
        <f t="shared" si="402"/>
        <v>335</v>
      </c>
      <c r="Q126" s="194">
        <f t="shared" ref="Q126" si="408">DATE(YEAR(O126)+1,MONTH(O126),DAY(O126))-1</f>
        <v>46432</v>
      </c>
      <c r="R126" s="195">
        <f t="shared" si="404"/>
        <v>30</v>
      </c>
      <c r="U126" s="91"/>
    </row>
    <row r="127" spans="1:21" s="1" customFormat="1" ht="19.649999999999999" customHeight="1" x14ac:dyDescent="0.25">
      <c r="A127" s="269">
        <v>46098</v>
      </c>
      <c r="B127" s="269">
        <v>46098</v>
      </c>
      <c r="C127" s="270" t="s">
        <v>327</v>
      </c>
      <c r="D127" s="270">
        <v>4</v>
      </c>
      <c r="E127" s="270">
        <f t="shared" ref="E127" si="409">D127*200</f>
        <v>800</v>
      </c>
      <c r="F127" s="271" t="s">
        <v>3</v>
      </c>
      <c r="G127" s="270">
        <f t="shared" ref="G127" si="410">D127*209</f>
        <v>836</v>
      </c>
      <c r="H127" s="271" t="s">
        <v>247</v>
      </c>
      <c r="I127" s="272">
        <f t="shared" si="407"/>
        <v>18200</v>
      </c>
      <c r="J127" s="273" t="s">
        <v>322</v>
      </c>
      <c r="K127" s="274"/>
      <c r="L127" s="270">
        <v>260316002</v>
      </c>
      <c r="M127" s="270">
        <v>42</v>
      </c>
      <c r="N127" s="270">
        <f t="shared" ref="N127:N132" si="411">M127-D127</f>
        <v>38</v>
      </c>
      <c r="O127" s="192">
        <v>46073</v>
      </c>
      <c r="P127" s="193">
        <f t="shared" ref="P127" si="412">365-R127</f>
        <v>340</v>
      </c>
      <c r="Q127" s="194">
        <f t="shared" ref="Q127" si="413">DATE(YEAR(O127)+1,MONTH(O127),DAY(O127))-1</f>
        <v>46437</v>
      </c>
      <c r="R127" s="195">
        <f t="shared" ref="R127" si="414">DATEDIF(O127,B127,"d")</f>
        <v>25</v>
      </c>
      <c r="U127" s="91"/>
    </row>
    <row r="128" spans="1:21" s="1" customFormat="1" ht="19.649999999999999" customHeight="1" x14ac:dyDescent="0.25">
      <c r="A128" s="269">
        <v>46098</v>
      </c>
      <c r="B128" s="269">
        <v>46098</v>
      </c>
      <c r="C128" s="270" t="s">
        <v>328</v>
      </c>
      <c r="D128" s="270">
        <v>4</v>
      </c>
      <c r="E128" s="270">
        <f t="shared" ref="E128" si="415">D128*200</f>
        <v>800</v>
      </c>
      <c r="F128" s="271" t="s">
        <v>3</v>
      </c>
      <c r="G128" s="270">
        <f t="shared" ref="G128" si="416">D128*209</f>
        <v>836</v>
      </c>
      <c r="H128" s="271" t="s">
        <v>247</v>
      </c>
      <c r="I128" s="272">
        <f t="shared" si="407"/>
        <v>17400</v>
      </c>
      <c r="J128" s="273" t="s">
        <v>322</v>
      </c>
      <c r="K128" s="274"/>
      <c r="L128" s="270">
        <v>260316002</v>
      </c>
      <c r="M128" s="270">
        <v>42</v>
      </c>
      <c r="N128" s="270">
        <f t="shared" si="411"/>
        <v>38</v>
      </c>
      <c r="O128" s="192">
        <v>46076</v>
      </c>
      <c r="P128" s="193">
        <f t="shared" ref="P128" si="417">365-R128</f>
        <v>343</v>
      </c>
      <c r="Q128" s="194">
        <f t="shared" ref="Q128" si="418">DATE(YEAR(O128)+1,MONTH(O128),DAY(O128))-1</f>
        <v>46440</v>
      </c>
      <c r="R128" s="195">
        <f t="shared" ref="R128" si="419">DATEDIF(O128,B128,"d")</f>
        <v>22</v>
      </c>
      <c r="U128" s="91"/>
    </row>
    <row r="129" spans="1:21" s="1" customFormat="1" ht="19.649999999999999" customHeight="1" x14ac:dyDescent="0.25">
      <c r="A129" s="269">
        <v>46098</v>
      </c>
      <c r="B129" s="269">
        <v>46098</v>
      </c>
      <c r="C129" s="270" t="s">
        <v>329</v>
      </c>
      <c r="D129" s="270">
        <v>4</v>
      </c>
      <c r="E129" s="270">
        <f t="shared" ref="E129" si="420">D129*200</f>
        <v>800</v>
      </c>
      <c r="F129" s="271" t="s">
        <v>3</v>
      </c>
      <c r="G129" s="270">
        <f t="shared" ref="G129" si="421">D129*209</f>
        <v>836</v>
      </c>
      <c r="H129" s="271" t="s">
        <v>247</v>
      </c>
      <c r="I129" s="272">
        <f t="shared" si="407"/>
        <v>16600</v>
      </c>
      <c r="J129" s="273" t="s">
        <v>322</v>
      </c>
      <c r="K129" s="274"/>
      <c r="L129" s="270">
        <v>260316002</v>
      </c>
      <c r="M129" s="270">
        <v>43</v>
      </c>
      <c r="N129" s="270">
        <f>M129-D129</f>
        <v>39</v>
      </c>
      <c r="O129" s="192">
        <v>46078</v>
      </c>
      <c r="P129" s="193">
        <f t="shared" ref="P129" si="422">365-R129</f>
        <v>345</v>
      </c>
      <c r="Q129" s="194">
        <f t="shared" ref="Q129" si="423">DATE(YEAR(O129)+1,MONTH(O129),DAY(O129))-1</f>
        <v>46442</v>
      </c>
      <c r="R129" s="195">
        <f t="shared" ref="R129" si="424">DATEDIF(O129,B129,"d")</f>
        <v>20</v>
      </c>
      <c r="U129" s="91"/>
    </row>
    <row r="130" spans="1:21" s="1" customFormat="1" ht="19.649999999999999" customHeight="1" x14ac:dyDescent="0.25">
      <c r="A130" s="269">
        <v>46098</v>
      </c>
      <c r="B130" s="269">
        <v>46098</v>
      </c>
      <c r="C130" s="270" t="s">
        <v>330</v>
      </c>
      <c r="D130" s="270">
        <v>4</v>
      </c>
      <c r="E130" s="270">
        <f t="shared" ref="E130" si="425">D130*200</f>
        <v>800</v>
      </c>
      <c r="F130" s="271" t="s">
        <v>3</v>
      </c>
      <c r="G130" s="270">
        <f t="shared" ref="G130" si="426">D130*209</f>
        <v>836</v>
      </c>
      <c r="H130" s="271" t="s">
        <v>247</v>
      </c>
      <c r="I130" s="272">
        <f t="shared" si="407"/>
        <v>15800</v>
      </c>
      <c r="J130" s="273" t="s">
        <v>322</v>
      </c>
      <c r="K130" s="274"/>
      <c r="L130" s="270">
        <v>260316002</v>
      </c>
      <c r="M130" s="270">
        <v>42</v>
      </c>
      <c r="N130" s="270">
        <f t="shared" si="411"/>
        <v>38</v>
      </c>
      <c r="O130" s="192">
        <v>46080</v>
      </c>
      <c r="P130" s="193">
        <f t="shared" ref="P130" si="427">365-R130</f>
        <v>347</v>
      </c>
      <c r="Q130" s="194">
        <f t="shared" ref="Q130" si="428">DATE(YEAR(O130)+1,MONTH(O130),DAY(O130))-1</f>
        <v>46444</v>
      </c>
      <c r="R130" s="195">
        <f t="shared" ref="R130" si="429">DATEDIF(O130,B130,"d")</f>
        <v>18</v>
      </c>
      <c r="U130" s="91"/>
    </row>
    <row r="131" spans="1:21" s="1" customFormat="1" ht="19.649999999999999" customHeight="1" x14ac:dyDescent="0.25">
      <c r="A131" s="269">
        <v>46098</v>
      </c>
      <c r="B131" s="269">
        <v>46098</v>
      </c>
      <c r="C131" s="270" t="s">
        <v>331</v>
      </c>
      <c r="D131" s="270">
        <v>4</v>
      </c>
      <c r="E131" s="270">
        <f t="shared" ref="E131" si="430">D131*200</f>
        <v>800</v>
      </c>
      <c r="F131" s="271" t="s">
        <v>3</v>
      </c>
      <c r="G131" s="270">
        <f t="shared" ref="G131" si="431">D131*209</f>
        <v>836</v>
      </c>
      <c r="H131" s="271" t="s">
        <v>247</v>
      </c>
      <c r="I131" s="272">
        <f t="shared" si="407"/>
        <v>15000</v>
      </c>
      <c r="J131" s="273" t="s">
        <v>322</v>
      </c>
      <c r="K131" s="274"/>
      <c r="L131" s="270">
        <v>260316003</v>
      </c>
      <c r="M131" s="270">
        <v>42</v>
      </c>
      <c r="N131" s="270">
        <f t="shared" si="411"/>
        <v>38</v>
      </c>
      <c r="O131" s="192">
        <v>46083</v>
      </c>
      <c r="P131" s="193">
        <f t="shared" ref="P131" si="432">365-R131</f>
        <v>350</v>
      </c>
      <c r="Q131" s="194">
        <f t="shared" ref="Q131" si="433">DATE(YEAR(O131)+1,MONTH(O131),DAY(O131))-1</f>
        <v>46447</v>
      </c>
      <c r="R131" s="195">
        <f t="shared" ref="R131" si="434">DATEDIF(O131,B131,"d")</f>
        <v>15</v>
      </c>
      <c r="U131" s="91"/>
    </row>
    <row r="132" spans="1:21" s="1" customFormat="1" ht="19.649999999999999" customHeight="1" x14ac:dyDescent="0.25">
      <c r="A132" s="269">
        <v>46098</v>
      </c>
      <c r="B132" s="269">
        <v>46098</v>
      </c>
      <c r="C132" s="270" t="s">
        <v>332</v>
      </c>
      <c r="D132" s="270">
        <v>4</v>
      </c>
      <c r="E132" s="270">
        <f t="shared" ref="E132:E133" si="435">D132*200</f>
        <v>800</v>
      </c>
      <c r="F132" s="271" t="s">
        <v>3</v>
      </c>
      <c r="G132" s="270">
        <f t="shared" ref="G132:G133" si="436">D132*209</f>
        <v>836</v>
      </c>
      <c r="H132" s="271" t="s">
        <v>247</v>
      </c>
      <c r="I132" s="272">
        <f t="shared" si="407"/>
        <v>14200</v>
      </c>
      <c r="J132" s="273" t="s">
        <v>322</v>
      </c>
      <c r="K132" s="274"/>
      <c r="L132" s="270">
        <v>260316003</v>
      </c>
      <c r="M132" s="270">
        <v>42</v>
      </c>
      <c r="N132" s="270">
        <f t="shared" si="411"/>
        <v>38</v>
      </c>
      <c r="O132" s="192">
        <v>46085</v>
      </c>
      <c r="P132" s="193">
        <f t="shared" ref="P132:P135" si="437">365-R132</f>
        <v>352</v>
      </c>
      <c r="Q132" s="194">
        <f t="shared" ref="Q132:Q135" si="438">DATE(YEAR(O132)+1,MONTH(O132),DAY(O132))-1</f>
        <v>46449</v>
      </c>
      <c r="R132" s="195">
        <f t="shared" ref="R132:R135" si="439">DATEDIF(O132,B132,"d")</f>
        <v>13</v>
      </c>
      <c r="U132" s="91"/>
    </row>
    <row r="133" spans="1:21" s="1" customFormat="1" ht="19.649999999999999" customHeight="1" x14ac:dyDescent="0.25">
      <c r="A133" s="297">
        <v>46100</v>
      </c>
      <c r="B133" s="225">
        <v>46100</v>
      </c>
      <c r="C133" s="102" t="s">
        <v>234</v>
      </c>
      <c r="D133" s="102">
        <v>16</v>
      </c>
      <c r="E133" s="102">
        <f t="shared" si="435"/>
        <v>3200</v>
      </c>
      <c r="F133" s="103" t="s">
        <v>1</v>
      </c>
      <c r="G133" s="102">
        <f t="shared" si="436"/>
        <v>3344</v>
      </c>
      <c r="H133" s="103" t="s">
        <v>214</v>
      </c>
      <c r="I133" s="226">
        <f>I123-E133</f>
        <v>0</v>
      </c>
      <c r="J133" s="227"/>
      <c r="K133" s="228"/>
      <c r="L133" s="102">
        <v>260318001</v>
      </c>
      <c r="M133" s="102"/>
      <c r="N133" s="102">
        <f>N41-D133</f>
        <v>22</v>
      </c>
      <c r="O133" s="192">
        <v>46028</v>
      </c>
      <c r="P133" s="193">
        <f t="shared" si="437"/>
        <v>293</v>
      </c>
      <c r="Q133" s="194">
        <f t="shared" si="438"/>
        <v>46392</v>
      </c>
      <c r="R133" s="195">
        <f t="shared" si="439"/>
        <v>72</v>
      </c>
      <c r="U133" s="91"/>
    </row>
    <row r="134" spans="1:21" s="1" customFormat="1" ht="19.649999999999999" customHeight="1" x14ac:dyDescent="0.25">
      <c r="A134" s="297">
        <v>46100</v>
      </c>
      <c r="B134" s="225">
        <v>46100</v>
      </c>
      <c r="C134" s="102" t="s">
        <v>234</v>
      </c>
      <c r="D134" s="102">
        <v>12</v>
      </c>
      <c r="E134" s="102">
        <f t="shared" ref="E134" si="440">D134*200</f>
        <v>2400</v>
      </c>
      <c r="F134" s="103" t="s">
        <v>1</v>
      </c>
      <c r="G134" s="102">
        <f t="shared" ref="G134" si="441">D134*209</f>
        <v>2508</v>
      </c>
      <c r="H134" s="296" t="s">
        <v>335</v>
      </c>
      <c r="I134" s="226">
        <f>76000-E134</f>
        <v>73600</v>
      </c>
      <c r="J134" s="227"/>
      <c r="K134" s="228"/>
      <c r="L134" s="102">
        <v>260318001</v>
      </c>
      <c r="M134" s="102"/>
      <c r="N134" s="102">
        <f>N133-D134</f>
        <v>10</v>
      </c>
      <c r="O134" s="192">
        <v>46028</v>
      </c>
      <c r="P134" s="193">
        <f t="shared" si="437"/>
        <v>293</v>
      </c>
      <c r="Q134" s="194">
        <f t="shared" si="438"/>
        <v>46392</v>
      </c>
      <c r="R134" s="195">
        <f t="shared" si="439"/>
        <v>72</v>
      </c>
      <c r="U134" s="91"/>
    </row>
    <row r="135" spans="1:21" s="1" customFormat="1" ht="19.649999999999999" customHeight="1" x14ac:dyDescent="0.25">
      <c r="A135" s="297">
        <v>46100</v>
      </c>
      <c r="B135" s="225">
        <v>46100</v>
      </c>
      <c r="C135" s="102" t="s">
        <v>333</v>
      </c>
      <c r="D135" s="102">
        <v>4</v>
      </c>
      <c r="E135" s="102">
        <f t="shared" ref="E135:E136" si="442">D135*200</f>
        <v>800</v>
      </c>
      <c r="F135" s="103" t="s">
        <v>1</v>
      </c>
      <c r="G135" s="102">
        <f t="shared" ref="G135:G136" si="443">D135*209</f>
        <v>836</v>
      </c>
      <c r="H135" s="103" t="s">
        <v>334</v>
      </c>
      <c r="I135" s="226">
        <f>I134-E135</f>
        <v>72800</v>
      </c>
      <c r="J135" s="227"/>
      <c r="K135" s="228"/>
      <c r="L135" s="102">
        <v>260318001</v>
      </c>
      <c r="M135" s="102"/>
      <c r="N135" s="102">
        <f>N42-D135</f>
        <v>34</v>
      </c>
      <c r="O135" s="192">
        <v>46030</v>
      </c>
      <c r="P135" s="193">
        <f t="shared" si="437"/>
        <v>295</v>
      </c>
      <c r="Q135" s="194">
        <f t="shared" si="438"/>
        <v>46394</v>
      </c>
      <c r="R135" s="195">
        <f t="shared" si="439"/>
        <v>70</v>
      </c>
      <c r="U135" s="91"/>
    </row>
    <row r="136" spans="1:21" s="1" customFormat="1" ht="19.649999999999999" customHeight="1" x14ac:dyDescent="0.25">
      <c r="A136" s="298">
        <v>46101</v>
      </c>
      <c r="B136" s="298">
        <v>46101</v>
      </c>
      <c r="C136" s="299" t="s">
        <v>336</v>
      </c>
      <c r="D136" s="299">
        <v>10</v>
      </c>
      <c r="E136" s="299">
        <f t="shared" si="442"/>
        <v>2000</v>
      </c>
      <c r="F136" s="300" t="s">
        <v>40</v>
      </c>
      <c r="G136" s="299">
        <f t="shared" si="443"/>
        <v>2090</v>
      </c>
      <c r="H136" s="301" t="s">
        <v>338</v>
      </c>
      <c r="I136" s="302">
        <f>I124-E136</f>
        <v>39200</v>
      </c>
      <c r="J136" s="303"/>
      <c r="K136" s="304"/>
      <c r="L136" s="299">
        <v>260319001</v>
      </c>
      <c r="M136" s="299"/>
      <c r="N136" s="299">
        <f>N134-D136</f>
        <v>0</v>
      </c>
      <c r="O136" s="192">
        <v>46028</v>
      </c>
      <c r="P136" s="193">
        <f t="shared" ref="P136:P137" si="444">365-R136</f>
        <v>292</v>
      </c>
      <c r="Q136" s="194">
        <f t="shared" ref="Q136:Q137" si="445">DATE(YEAR(O136)+1,MONTH(O136),DAY(O136))-1</f>
        <v>46392</v>
      </c>
      <c r="R136" s="195">
        <f t="shared" ref="R136:R137" si="446">DATEDIF(O136,B136,"d")</f>
        <v>73</v>
      </c>
      <c r="U136" s="91"/>
    </row>
    <row r="137" spans="1:21" s="1" customFormat="1" ht="19.649999999999999" customHeight="1" x14ac:dyDescent="0.25">
      <c r="A137" s="298">
        <v>46101</v>
      </c>
      <c r="B137" s="298">
        <v>46101</v>
      </c>
      <c r="C137" s="299" t="s">
        <v>337</v>
      </c>
      <c r="D137" s="299">
        <v>10</v>
      </c>
      <c r="E137" s="299">
        <f t="shared" ref="E137:E143" si="447">D137*200</f>
        <v>2000</v>
      </c>
      <c r="F137" s="300" t="s">
        <v>40</v>
      </c>
      <c r="G137" s="299">
        <f t="shared" ref="G137:G143" si="448">D137*209</f>
        <v>2090</v>
      </c>
      <c r="H137" s="301" t="s">
        <v>220</v>
      </c>
      <c r="I137" s="302">
        <f>I136-E137</f>
        <v>37200</v>
      </c>
      <c r="J137" s="303"/>
      <c r="K137" s="304"/>
      <c r="L137" s="299">
        <v>260319001</v>
      </c>
      <c r="M137" s="299"/>
      <c r="N137" s="299">
        <f>N135-D137</f>
        <v>24</v>
      </c>
      <c r="O137" s="192">
        <v>46030</v>
      </c>
      <c r="P137" s="193">
        <f t="shared" si="444"/>
        <v>294</v>
      </c>
      <c r="Q137" s="194">
        <f t="shared" si="445"/>
        <v>46394</v>
      </c>
      <c r="R137" s="195">
        <f t="shared" si="446"/>
        <v>71</v>
      </c>
      <c r="U137" s="91"/>
    </row>
    <row r="138" spans="1:21" s="1" customFormat="1" ht="19.649999999999999" customHeight="1" x14ac:dyDescent="0.25">
      <c r="A138" s="305">
        <v>46104</v>
      </c>
      <c r="B138" s="250">
        <v>46104</v>
      </c>
      <c r="C138" s="126" t="s">
        <v>235</v>
      </c>
      <c r="D138" s="126">
        <v>24</v>
      </c>
      <c r="E138" s="126">
        <f t="shared" si="447"/>
        <v>4800</v>
      </c>
      <c r="F138" s="127" t="s">
        <v>1</v>
      </c>
      <c r="G138" s="126">
        <f t="shared" si="448"/>
        <v>5016</v>
      </c>
      <c r="H138" s="127" t="s">
        <v>335</v>
      </c>
      <c r="I138" s="252">
        <f>I135-E138</f>
        <v>68000</v>
      </c>
      <c r="J138" s="253"/>
      <c r="K138" s="254"/>
      <c r="L138" s="126">
        <v>260320001</v>
      </c>
      <c r="M138" s="126"/>
      <c r="N138" s="126">
        <f>N137-D138</f>
        <v>0</v>
      </c>
      <c r="O138" s="192">
        <v>46030</v>
      </c>
      <c r="P138" s="193">
        <f t="shared" ref="P138:P139" si="449">365-R138</f>
        <v>291</v>
      </c>
      <c r="Q138" s="194">
        <f t="shared" ref="Q138:Q139" si="450">DATE(YEAR(O138)+1,MONTH(O138),DAY(O138))-1</f>
        <v>46394</v>
      </c>
      <c r="R138" s="195">
        <f t="shared" ref="R138" si="451">DATEDIF(O138,B138,"d")</f>
        <v>74</v>
      </c>
      <c r="U138" s="91"/>
    </row>
    <row r="139" spans="1:21" s="1" customFormat="1" ht="19.649999999999999" customHeight="1" x14ac:dyDescent="0.25">
      <c r="A139" s="305">
        <v>46104</v>
      </c>
      <c r="B139" s="250">
        <v>46104</v>
      </c>
      <c r="C139" s="126" t="s">
        <v>236</v>
      </c>
      <c r="D139" s="126">
        <v>8</v>
      </c>
      <c r="E139" s="126">
        <f t="shared" si="447"/>
        <v>1600</v>
      </c>
      <c r="F139" s="127" t="s">
        <v>1</v>
      </c>
      <c r="G139" s="126">
        <f t="shared" si="448"/>
        <v>1672</v>
      </c>
      <c r="H139" s="127" t="s">
        <v>339</v>
      </c>
      <c r="I139" s="252">
        <f>I138-E139</f>
        <v>66400</v>
      </c>
      <c r="J139" s="253"/>
      <c r="K139" s="254"/>
      <c r="L139" s="126">
        <v>260320001</v>
      </c>
      <c r="M139" s="126"/>
      <c r="N139" s="126">
        <f>N43-D139</f>
        <v>31</v>
      </c>
      <c r="O139" s="192">
        <v>46032</v>
      </c>
      <c r="P139" s="193">
        <f t="shared" si="449"/>
        <v>293</v>
      </c>
      <c r="Q139" s="194">
        <f t="shared" si="450"/>
        <v>46396</v>
      </c>
      <c r="R139" s="195">
        <f>DATEDIF(O139,B139,"d")</f>
        <v>72</v>
      </c>
      <c r="U139" s="91"/>
    </row>
    <row r="140" spans="1:21" s="1" customFormat="1" ht="19.649999999999999" customHeight="1" x14ac:dyDescent="0.25">
      <c r="A140" s="52">
        <v>46106</v>
      </c>
      <c r="B140" s="52">
        <v>46106</v>
      </c>
      <c r="C140" s="53" t="s">
        <v>236</v>
      </c>
      <c r="D140" s="53">
        <v>8</v>
      </c>
      <c r="E140" s="53">
        <f t="shared" si="447"/>
        <v>1600</v>
      </c>
      <c r="F140" s="313" t="s">
        <v>40</v>
      </c>
      <c r="G140" s="53">
        <f t="shared" si="448"/>
        <v>1672</v>
      </c>
      <c r="H140" s="54" t="s">
        <v>220</v>
      </c>
      <c r="I140" s="55">
        <f>I137-E140</f>
        <v>35600</v>
      </c>
      <c r="J140" s="56"/>
      <c r="K140" s="57"/>
      <c r="L140" s="53">
        <v>260324001</v>
      </c>
      <c r="M140" s="53"/>
      <c r="N140" s="53">
        <f>N139-D140</f>
        <v>23</v>
      </c>
      <c r="O140" s="192">
        <v>46032</v>
      </c>
      <c r="P140" s="193">
        <f t="shared" ref="P140:P143" si="452">365-R140</f>
        <v>291</v>
      </c>
      <c r="Q140" s="194">
        <f t="shared" ref="Q140:Q143" si="453">DATE(YEAR(O140)+1,MONTH(O140),DAY(O140))-1</f>
        <v>46396</v>
      </c>
      <c r="R140" s="195">
        <f>DATEDIF(O140,B140,"d")</f>
        <v>74</v>
      </c>
      <c r="U140" s="91"/>
    </row>
    <row r="141" spans="1:21" s="1" customFormat="1" ht="19.649999999999999" customHeight="1" x14ac:dyDescent="0.25">
      <c r="A141" s="229">
        <v>46106</v>
      </c>
      <c r="B141" s="229">
        <v>46106</v>
      </c>
      <c r="C141" s="100" t="s">
        <v>342</v>
      </c>
      <c r="D141" s="100">
        <v>4</v>
      </c>
      <c r="E141" s="100">
        <f t="shared" si="447"/>
        <v>800</v>
      </c>
      <c r="F141" s="101" t="s">
        <v>3</v>
      </c>
      <c r="G141" s="100">
        <f t="shared" si="448"/>
        <v>836</v>
      </c>
      <c r="H141" s="101" t="s">
        <v>345</v>
      </c>
      <c r="I141" s="230">
        <f>I132-E141</f>
        <v>13400</v>
      </c>
      <c r="J141" s="231" t="s">
        <v>322</v>
      </c>
      <c r="K141" s="232"/>
      <c r="L141" s="100">
        <v>260324003</v>
      </c>
      <c r="M141" s="100">
        <v>42</v>
      </c>
      <c r="N141" s="100">
        <f t="shared" ref="N141:N143" si="454">M141-D141</f>
        <v>38</v>
      </c>
      <c r="O141" s="192">
        <v>46087</v>
      </c>
      <c r="P141" s="193">
        <f t="shared" si="452"/>
        <v>346</v>
      </c>
      <c r="Q141" s="194">
        <f t="shared" si="453"/>
        <v>46451</v>
      </c>
      <c r="R141" s="195">
        <f t="shared" ref="R141:R143" si="455">DATEDIF(O141,B141,"d")</f>
        <v>19</v>
      </c>
      <c r="U141" s="91"/>
    </row>
    <row r="142" spans="1:21" s="1" customFormat="1" ht="19.649999999999999" customHeight="1" x14ac:dyDescent="0.25">
      <c r="A142" s="229">
        <v>46106</v>
      </c>
      <c r="B142" s="229">
        <v>46106</v>
      </c>
      <c r="C142" s="100" t="s">
        <v>343</v>
      </c>
      <c r="D142" s="100">
        <v>4</v>
      </c>
      <c r="E142" s="100">
        <f t="shared" si="447"/>
        <v>800</v>
      </c>
      <c r="F142" s="101" t="s">
        <v>3</v>
      </c>
      <c r="G142" s="100">
        <f t="shared" si="448"/>
        <v>836</v>
      </c>
      <c r="H142" s="101" t="s">
        <v>247</v>
      </c>
      <c r="I142" s="230">
        <f>I141-E142</f>
        <v>12600</v>
      </c>
      <c r="J142" s="231" t="s">
        <v>322</v>
      </c>
      <c r="K142" s="232"/>
      <c r="L142" s="100">
        <v>260324003</v>
      </c>
      <c r="M142" s="100">
        <v>42</v>
      </c>
      <c r="N142" s="100">
        <f t="shared" si="454"/>
        <v>38</v>
      </c>
      <c r="O142" s="192">
        <v>46092</v>
      </c>
      <c r="P142" s="193">
        <f t="shared" si="452"/>
        <v>351</v>
      </c>
      <c r="Q142" s="194">
        <f t="shared" si="453"/>
        <v>46456</v>
      </c>
      <c r="R142" s="195">
        <f t="shared" si="455"/>
        <v>14</v>
      </c>
      <c r="U142" s="91"/>
    </row>
    <row r="143" spans="1:21" s="1" customFormat="1" ht="19.649999999999999" customHeight="1" x14ac:dyDescent="0.25">
      <c r="A143" s="229">
        <v>46106</v>
      </c>
      <c r="B143" s="229">
        <v>46106</v>
      </c>
      <c r="C143" s="100" t="s">
        <v>344</v>
      </c>
      <c r="D143" s="100">
        <v>4</v>
      </c>
      <c r="E143" s="100">
        <f t="shared" si="447"/>
        <v>800</v>
      </c>
      <c r="F143" s="101" t="s">
        <v>3</v>
      </c>
      <c r="G143" s="100">
        <f t="shared" si="448"/>
        <v>836</v>
      </c>
      <c r="H143" s="101" t="s">
        <v>247</v>
      </c>
      <c r="I143" s="230">
        <f>I142-E143</f>
        <v>11800</v>
      </c>
      <c r="J143" s="231" t="s">
        <v>322</v>
      </c>
      <c r="K143" s="232"/>
      <c r="L143" s="100">
        <v>260324003</v>
      </c>
      <c r="M143" s="100">
        <v>43</v>
      </c>
      <c r="N143" s="100">
        <f t="shared" si="454"/>
        <v>39</v>
      </c>
      <c r="O143" s="192">
        <v>46094</v>
      </c>
      <c r="P143" s="193">
        <f t="shared" si="452"/>
        <v>353</v>
      </c>
      <c r="Q143" s="194">
        <f t="shared" si="453"/>
        <v>46458</v>
      </c>
      <c r="R143" s="195">
        <f t="shared" si="455"/>
        <v>12</v>
      </c>
      <c r="U143" s="91"/>
    </row>
    <row r="144" spans="1:21" s="1" customFormat="1" ht="19.649999999999999" customHeight="1" x14ac:dyDescent="0.25">
      <c r="A144" s="314">
        <v>46107</v>
      </c>
      <c r="B144" s="243">
        <v>46107</v>
      </c>
      <c r="C144" s="244" t="s">
        <v>236</v>
      </c>
      <c r="D144" s="244">
        <v>23</v>
      </c>
      <c r="E144" s="244">
        <f t="shared" ref="E144:E152" si="456">D144*200</f>
        <v>4600</v>
      </c>
      <c r="F144" s="245" t="s">
        <v>1</v>
      </c>
      <c r="G144" s="244">
        <f t="shared" ref="G144:G152" si="457">D144*209</f>
        <v>4807</v>
      </c>
      <c r="H144" s="245" t="s">
        <v>335</v>
      </c>
      <c r="I144" s="246">
        <f>I139-E144</f>
        <v>61800</v>
      </c>
      <c r="J144" s="247"/>
      <c r="K144" s="248"/>
      <c r="L144" s="244">
        <v>260325004</v>
      </c>
      <c r="M144" s="244"/>
      <c r="N144" s="244">
        <f>N140-D144</f>
        <v>0</v>
      </c>
      <c r="O144" s="192">
        <v>46032</v>
      </c>
      <c r="P144" s="193">
        <f t="shared" ref="P144:P145" si="458">365-R144</f>
        <v>290</v>
      </c>
      <c r="Q144" s="194">
        <f t="shared" ref="Q144:Q145" si="459">DATE(YEAR(O144)+1,MONTH(O144),DAY(O144))-1</f>
        <v>46396</v>
      </c>
      <c r="R144" s="195">
        <f>DATEDIF(O144,B144,"d")</f>
        <v>75</v>
      </c>
      <c r="U144" s="91"/>
    </row>
    <row r="145" spans="1:21" s="1" customFormat="1" ht="19.649999999999999" customHeight="1" x14ac:dyDescent="0.25">
      <c r="A145" s="314">
        <v>46107</v>
      </c>
      <c r="B145" s="243">
        <v>46107</v>
      </c>
      <c r="C145" s="244" t="s">
        <v>346</v>
      </c>
      <c r="D145" s="244">
        <v>5</v>
      </c>
      <c r="E145" s="244">
        <f t="shared" si="456"/>
        <v>1000</v>
      </c>
      <c r="F145" s="245" t="s">
        <v>1</v>
      </c>
      <c r="G145" s="244">
        <f t="shared" si="457"/>
        <v>1045</v>
      </c>
      <c r="H145" s="245" t="s">
        <v>335</v>
      </c>
      <c r="I145" s="246">
        <f>I144-E145</f>
        <v>60800</v>
      </c>
      <c r="J145" s="247"/>
      <c r="K145" s="248"/>
      <c r="L145" s="244">
        <v>260325004</v>
      </c>
      <c r="M145" s="244"/>
      <c r="N145" s="244">
        <f>N59-D145</f>
        <v>33</v>
      </c>
      <c r="O145" s="192">
        <v>46034</v>
      </c>
      <c r="P145" s="193">
        <f t="shared" si="458"/>
        <v>292</v>
      </c>
      <c r="Q145" s="194">
        <f t="shared" si="459"/>
        <v>46398</v>
      </c>
      <c r="R145" s="195">
        <f t="shared" ref="R145" si="460">DATEDIF(O145,B145,"d")</f>
        <v>73</v>
      </c>
      <c r="U145" s="91"/>
    </row>
    <row r="146" spans="1:21" s="1" customFormat="1" ht="19.649999999999999" customHeight="1" x14ac:dyDescent="0.25">
      <c r="A146" s="269">
        <v>46108</v>
      </c>
      <c r="B146" s="269">
        <v>46108</v>
      </c>
      <c r="C146" s="270" t="s">
        <v>260</v>
      </c>
      <c r="D146" s="270">
        <v>16</v>
      </c>
      <c r="E146" s="270">
        <f t="shared" si="456"/>
        <v>3200</v>
      </c>
      <c r="F146" s="315" t="s">
        <v>40</v>
      </c>
      <c r="G146" s="270">
        <f t="shared" si="457"/>
        <v>3344</v>
      </c>
      <c r="H146" s="271" t="s">
        <v>347</v>
      </c>
      <c r="I146" s="272">
        <f>I140-E146</f>
        <v>32400</v>
      </c>
      <c r="J146" s="273"/>
      <c r="K146" s="274"/>
      <c r="L146" s="270">
        <v>260326001</v>
      </c>
      <c r="M146" s="270"/>
      <c r="N146" s="270">
        <f>N145-D146</f>
        <v>17</v>
      </c>
      <c r="O146" s="192">
        <v>46034</v>
      </c>
      <c r="P146" s="193">
        <f t="shared" ref="P146" si="461">365-R146</f>
        <v>291</v>
      </c>
      <c r="Q146" s="194">
        <f t="shared" ref="Q146" si="462">DATE(YEAR(O146)+1,MONTH(O146),DAY(O146))-1</f>
        <v>46398</v>
      </c>
      <c r="R146" s="195">
        <f t="shared" ref="R146" si="463">DATEDIF(O146,B146,"d")</f>
        <v>74</v>
      </c>
      <c r="U146" s="91"/>
    </row>
    <row r="147" spans="1:21" s="1" customFormat="1" ht="19.649999999999999" customHeight="1" x14ac:dyDescent="0.25">
      <c r="A147" s="321">
        <v>46111</v>
      </c>
      <c r="B147" s="26">
        <v>46111</v>
      </c>
      <c r="C147" s="27" t="s">
        <v>260</v>
      </c>
      <c r="D147" s="27">
        <v>17</v>
      </c>
      <c r="E147" s="27">
        <f t="shared" si="456"/>
        <v>3400</v>
      </c>
      <c r="F147" s="28" t="s">
        <v>1</v>
      </c>
      <c r="G147" s="27">
        <f t="shared" si="457"/>
        <v>3553</v>
      </c>
      <c r="H147" s="28" t="s">
        <v>335</v>
      </c>
      <c r="I147" s="29">
        <f>I145-E147</f>
        <v>57400</v>
      </c>
      <c r="J147" s="30"/>
      <c r="K147" s="31"/>
      <c r="L147" s="27">
        <v>260327001</v>
      </c>
      <c r="M147" s="27"/>
      <c r="N147" s="27">
        <f>N146-D147</f>
        <v>0</v>
      </c>
      <c r="O147" s="192">
        <v>46034</v>
      </c>
      <c r="P147" s="193">
        <f t="shared" ref="P147:P154" si="464">365-R147</f>
        <v>288</v>
      </c>
      <c r="Q147" s="194">
        <f t="shared" ref="Q147:Q154" si="465">DATE(YEAR(O147)+1,MONTH(O147),DAY(O147))-1</f>
        <v>46398</v>
      </c>
      <c r="R147" s="195">
        <f t="shared" ref="R147:R154" si="466">DATEDIF(O147,B147,"d")</f>
        <v>77</v>
      </c>
      <c r="U147" s="91"/>
    </row>
    <row r="148" spans="1:21" s="1" customFormat="1" ht="19.649999999999999" customHeight="1" x14ac:dyDescent="0.25">
      <c r="A148" s="321">
        <v>46111</v>
      </c>
      <c r="B148" s="26">
        <v>46111</v>
      </c>
      <c r="C148" s="27" t="s">
        <v>261</v>
      </c>
      <c r="D148" s="27">
        <v>11</v>
      </c>
      <c r="E148" s="27">
        <f t="shared" si="456"/>
        <v>2200</v>
      </c>
      <c r="F148" s="28" t="s">
        <v>1</v>
      </c>
      <c r="G148" s="27">
        <f t="shared" si="457"/>
        <v>2299</v>
      </c>
      <c r="H148" s="28" t="s">
        <v>335</v>
      </c>
      <c r="I148" s="29">
        <f>I147-E148</f>
        <v>55200</v>
      </c>
      <c r="J148" s="30"/>
      <c r="K148" s="31"/>
      <c r="L148" s="27">
        <v>260327001</v>
      </c>
      <c r="M148" s="27"/>
      <c r="N148" s="27">
        <f>N60-D148</f>
        <v>27</v>
      </c>
      <c r="O148" s="192">
        <v>46036</v>
      </c>
      <c r="P148" s="193">
        <f t="shared" si="464"/>
        <v>290</v>
      </c>
      <c r="Q148" s="194">
        <f t="shared" si="465"/>
        <v>46400</v>
      </c>
      <c r="R148" s="195">
        <f t="shared" si="466"/>
        <v>75</v>
      </c>
      <c r="U148" s="91"/>
    </row>
    <row r="149" spans="1:21" s="1" customFormat="1" ht="19.649999999999999" customHeight="1" x14ac:dyDescent="0.25">
      <c r="A149" s="213">
        <v>46112</v>
      </c>
      <c r="B149" s="213">
        <v>46112</v>
      </c>
      <c r="C149" s="214" t="s">
        <v>261</v>
      </c>
      <c r="D149" s="214">
        <v>24</v>
      </c>
      <c r="E149" s="214">
        <f t="shared" si="456"/>
        <v>4800</v>
      </c>
      <c r="F149" s="215" t="s">
        <v>3</v>
      </c>
      <c r="G149" s="214">
        <f t="shared" si="457"/>
        <v>5016</v>
      </c>
      <c r="H149" s="215" t="s">
        <v>247</v>
      </c>
      <c r="I149" s="216">
        <f>I143-E149</f>
        <v>7000</v>
      </c>
      <c r="J149" s="217"/>
      <c r="K149" s="218"/>
      <c r="L149" s="214">
        <v>260330003</v>
      </c>
      <c r="M149" s="214"/>
      <c r="N149" s="214">
        <f>N148-D149</f>
        <v>3</v>
      </c>
      <c r="O149" s="192">
        <v>46036</v>
      </c>
      <c r="P149" s="193">
        <f t="shared" ref="P149:P150" si="467">365-R149</f>
        <v>289</v>
      </c>
      <c r="Q149" s="194">
        <f t="shared" ref="Q149:Q150" si="468">DATE(YEAR(O149)+1,MONTH(O149),DAY(O149))-1</f>
        <v>46400</v>
      </c>
      <c r="R149" s="195">
        <f t="shared" ref="R149:R150" si="469">DATEDIF(O149,B149,"d")</f>
        <v>76</v>
      </c>
      <c r="U149" s="91"/>
    </row>
    <row r="150" spans="1:21" s="1" customFormat="1" ht="19.649999999999999" customHeight="1" x14ac:dyDescent="0.25">
      <c r="A150" s="213">
        <v>46112</v>
      </c>
      <c r="B150" s="213">
        <v>46112</v>
      </c>
      <c r="C150" s="214" t="s">
        <v>262</v>
      </c>
      <c r="D150" s="214">
        <v>4</v>
      </c>
      <c r="E150" s="214">
        <f t="shared" ref="E150" si="470">D150*200</f>
        <v>800</v>
      </c>
      <c r="F150" s="215" t="s">
        <v>3</v>
      </c>
      <c r="G150" s="214">
        <f t="shared" ref="G150" si="471">D150*209</f>
        <v>836</v>
      </c>
      <c r="H150" s="215" t="s">
        <v>247</v>
      </c>
      <c r="I150" s="216">
        <f>I149-E150</f>
        <v>6200</v>
      </c>
      <c r="J150" s="217"/>
      <c r="K150" s="218"/>
      <c r="L150" s="214">
        <v>260330003</v>
      </c>
      <c r="M150" s="214"/>
      <c r="N150" s="214">
        <f>N61-D150</f>
        <v>34</v>
      </c>
      <c r="O150" s="192">
        <v>46038</v>
      </c>
      <c r="P150" s="193">
        <f t="shared" si="467"/>
        <v>291</v>
      </c>
      <c r="Q150" s="194">
        <f t="shared" si="468"/>
        <v>46402</v>
      </c>
      <c r="R150" s="195">
        <f t="shared" si="469"/>
        <v>74</v>
      </c>
      <c r="U150" s="91"/>
    </row>
    <row r="151" spans="1:21" s="1" customFormat="1" ht="19.649999999999999" customHeight="1" x14ac:dyDescent="0.25">
      <c r="A151" s="213">
        <v>46112</v>
      </c>
      <c r="B151" s="213">
        <v>46112</v>
      </c>
      <c r="C151" s="214" t="s">
        <v>349</v>
      </c>
      <c r="D151" s="214">
        <v>4</v>
      </c>
      <c r="E151" s="214">
        <f t="shared" si="456"/>
        <v>800</v>
      </c>
      <c r="F151" s="215" t="s">
        <v>3</v>
      </c>
      <c r="G151" s="214">
        <f t="shared" si="457"/>
        <v>836</v>
      </c>
      <c r="H151" s="215" t="s">
        <v>351</v>
      </c>
      <c r="I151" s="216">
        <f>I150-E151</f>
        <v>5400</v>
      </c>
      <c r="J151" s="217" t="s">
        <v>322</v>
      </c>
      <c r="K151" s="218"/>
      <c r="L151" s="214">
        <v>260330006</v>
      </c>
      <c r="M151" s="214">
        <v>42</v>
      </c>
      <c r="N151" s="214">
        <f t="shared" ref="N151:N152" si="472">M151-D151</f>
        <v>38</v>
      </c>
      <c r="O151" s="192">
        <v>46098</v>
      </c>
      <c r="P151" s="193">
        <f t="shared" si="464"/>
        <v>351</v>
      </c>
      <c r="Q151" s="194">
        <f t="shared" si="465"/>
        <v>46462</v>
      </c>
      <c r="R151" s="195">
        <f t="shared" si="466"/>
        <v>14</v>
      </c>
      <c r="U151" s="91"/>
    </row>
    <row r="152" spans="1:21" s="1" customFormat="1" ht="19.649999999999999" customHeight="1" x14ac:dyDescent="0.25">
      <c r="A152" s="213">
        <v>46112</v>
      </c>
      <c r="B152" s="213">
        <v>46112</v>
      </c>
      <c r="C152" s="214" t="s">
        <v>350</v>
      </c>
      <c r="D152" s="214">
        <v>4</v>
      </c>
      <c r="E152" s="214">
        <f t="shared" si="456"/>
        <v>800</v>
      </c>
      <c r="F152" s="215" t="s">
        <v>3</v>
      </c>
      <c r="G152" s="214">
        <f t="shared" si="457"/>
        <v>836</v>
      </c>
      <c r="H152" s="215" t="s">
        <v>247</v>
      </c>
      <c r="I152" s="216">
        <f>I151-E152</f>
        <v>4600</v>
      </c>
      <c r="J152" s="217" t="s">
        <v>322</v>
      </c>
      <c r="K152" s="218"/>
      <c r="L152" s="214">
        <v>260330006</v>
      </c>
      <c r="M152" s="214">
        <v>42</v>
      </c>
      <c r="N152" s="214">
        <f t="shared" si="472"/>
        <v>38</v>
      </c>
      <c r="O152" s="192">
        <v>46100</v>
      </c>
      <c r="P152" s="193">
        <f t="shared" si="464"/>
        <v>353</v>
      </c>
      <c r="Q152" s="194">
        <f t="shared" si="465"/>
        <v>46464</v>
      </c>
      <c r="R152" s="195">
        <f t="shared" si="466"/>
        <v>12</v>
      </c>
      <c r="U152" s="91"/>
    </row>
    <row r="153" spans="1:21" s="1" customFormat="1" ht="19.649999999999999" customHeight="1" x14ac:dyDescent="0.25">
      <c r="A153" s="233">
        <v>46114</v>
      </c>
      <c r="B153" s="233">
        <v>46114</v>
      </c>
      <c r="C153" s="38" t="s">
        <v>261</v>
      </c>
      <c r="D153" s="38">
        <v>3</v>
      </c>
      <c r="E153" s="38">
        <f t="shared" ref="E153" si="473">D153*200</f>
        <v>600</v>
      </c>
      <c r="F153" s="328" t="s">
        <v>40</v>
      </c>
      <c r="G153" s="38">
        <f t="shared" ref="G153" si="474">D153*209</f>
        <v>627</v>
      </c>
      <c r="H153" s="39" t="s">
        <v>354</v>
      </c>
      <c r="I153" s="234">
        <f>I146-E153</f>
        <v>31800</v>
      </c>
      <c r="J153" s="235"/>
      <c r="K153" s="236"/>
      <c r="L153" s="38">
        <v>260401009</v>
      </c>
      <c r="M153" s="38"/>
      <c r="N153" s="38">
        <f>N149-D153</f>
        <v>0</v>
      </c>
      <c r="O153" s="192">
        <v>46036</v>
      </c>
      <c r="P153" s="193">
        <f t="shared" si="464"/>
        <v>287</v>
      </c>
      <c r="Q153" s="194">
        <f t="shared" si="465"/>
        <v>46400</v>
      </c>
      <c r="R153" s="195">
        <f t="shared" si="466"/>
        <v>78</v>
      </c>
      <c r="U153" s="91"/>
    </row>
    <row r="154" spans="1:21" s="1" customFormat="1" ht="19.649999999999999" customHeight="1" x14ac:dyDescent="0.25">
      <c r="A154" s="233">
        <v>46114</v>
      </c>
      <c r="B154" s="233">
        <v>46114</v>
      </c>
      <c r="C154" s="38" t="s">
        <v>262</v>
      </c>
      <c r="D154" s="38">
        <v>21</v>
      </c>
      <c r="E154" s="38">
        <f t="shared" ref="E154:E156" si="475">D154*200</f>
        <v>4200</v>
      </c>
      <c r="F154" s="328" t="s">
        <v>40</v>
      </c>
      <c r="G154" s="38">
        <f t="shared" ref="G154:G156" si="476">D154*209</f>
        <v>4389</v>
      </c>
      <c r="H154" s="39" t="s">
        <v>220</v>
      </c>
      <c r="I154" s="234">
        <f>I153-E154</f>
        <v>27600</v>
      </c>
      <c r="J154" s="235"/>
      <c r="K154" s="236"/>
      <c r="L154" s="38">
        <v>260401009</v>
      </c>
      <c r="M154" s="38"/>
      <c r="N154" s="38">
        <f>N150-D154</f>
        <v>13</v>
      </c>
      <c r="O154" s="192">
        <v>46038</v>
      </c>
      <c r="P154" s="193">
        <f t="shared" si="464"/>
        <v>289</v>
      </c>
      <c r="Q154" s="194">
        <f t="shared" si="465"/>
        <v>46402</v>
      </c>
      <c r="R154" s="195">
        <f t="shared" si="466"/>
        <v>76</v>
      </c>
      <c r="U154" s="91"/>
    </row>
    <row r="155" spans="1:21" s="1" customFormat="1" ht="19.649999999999999" customHeight="1" x14ac:dyDescent="0.25">
      <c r="A155" s="329">
        <v>46114</v>
      </c>
      <c r="B155" s="219">
        <v>46114</v>
      </c>
      <c r="C155" s="220" t="s">
        <v>262</v>
      </c>
      <c r="D155" s="220">
        <v>13</v>
      </c>
      <c r="E155" s="220">
        <f t="shared" si="475"/>
        <v>2600</v>
      </c>
      <c r="F155" s="221" t="s">
        <v>1</v>
      </c>
      <c r="G155" s="220">
        <f t="shared" si="476"/>
        <v>2717</v>
      </c>
      <c r="H155" s="221" t="s">
        <v>335</v>
      </c>
      <c r="I155" s="222">
        <f>I148-E155</f>
        <v>52600</v>
      </c>
      <c r="J155" s="223"/>
      <c r="K155" s="224"/>
      <c r="L155" s="220">
        <v>260401010</v>
      </c>
      <c r="M155" s="220"/>
      <c r="N155" s="220">
        <f>N154-D155</f>
        <v>0</v>
      </c>
      <c r="O155" s="192">
        <v>46038</v>
      </c>
      <c r="P155" s="193">
        <f t="shared" ref="P155:P156" si="477">365-R155</f>
        <v>289</v>
      </c>
      <c r="Q155" s="194">
        <f t="shared" ref="Q155:Q156" si="478">DATE(YEAR(O155)+1,MONTH(O155),DAY(O155))-1</f>
        <v>46402</v>
      </c>
      <c r="R155" s="195">
        <f t="shared" ref="R155:R156" si="479">DATEDIF(O155,B155,"d")</f>
        <v>76</v>
      </c>
      <c r="U155" s="91"/>
    </row>
    <row r="156" spans="1:21" s="1" customFormat="1" ht="19.649999999999999" customHeight="1" x14ac:dyDescent="0.25">
      <c r="A156" s="329">
        <v>46114</v>
      </c>
      <c r="B156" s="219">
        <v>46114</v>
      </c>
      <c r="C156" s="220" t="s">
        <v>263</v>
      </c>
      <c r="D156" s="220">
        <v>15</v>
      </c>
      <c r="E156" s="220">
        <f t="shared" si="475"/>
        <v>3000</v>
      </c>
      <c r="F156" s="221" t="s">
        <v>1</v>
      </c>
      <c r="G156" s="220">
        <f t="shared" si="476"/>
        <v>3135</v>
      </c>
      <c r="H156" s="221" t="s">
        <v>335</v>
      </c>
      <c r="I156" s="222">
        <f>I155-E156</f>
        <v>49600</v>
      </c>
      <c r="J156" s="223"/>
      <c r="K156" s="224"/>
      <c r="L156" s="220">
        <v>260401010</v>
      </c>
      <c r="M156" s="220"/>
      <c r="N156" s="220">
        <f>N62-D156</f>
        <v>24</v>
      </c>
      <c r="O156" s="192">
        <v>46040</v>
      </c>
      <c r="P156" s="193">
        <f t="shared" si="477"/>
        <v>291</v>
      </c>
      <c r="Q156" s="194">
        <f t="shared" si="478"/>
        <v>46404</v>
      </c>
      <c r="R156" s="195">
        <f t="shared" si="479"/>
        <v>74</v>
      </c>
      <c r="U156" s="91"/>
    </row>
    <row r="157" spans="1:21" s="1" customFormat="1" ht="19.649999999999999" customHeight="1" x14ac:dyDescent="0.25">
      <c r="A157" s="330">
        <v>46119</v>
      </c>
      <c r="B157" s="229">
        <v>46119</v>
      </c>
      <c r="C157" s="100" t="s">
        <v>263</v>
      </c>
      <c r="D157" s="100">
        <v>12</v>
      </c>
      <c r="E157" s="100">
        <f t="shared" ref="E157:E162" si="480">D157*200</f>
        <v>2400</v>
      </c>
      <c r="F157" s="101" t="s">
        <v>1</v>
      </c>
      <c r="G157" s="100">
        <f t="shared" ref="G157:G162" si="481">D157*209</f>
        <v>2508</v>
      </c>
      <c r="H157" s="101" t="s">
        <v>356</v>
      </c>
      <c r="I157" s="230">
        <f>I156-E157</f>
        <v>47200</v>
      </c>
      <c r="J157" s="231"/>
      <c r="K157" s="232"/>
      <c r="L157" s="100">
        <v>260402001</v>
      </c>
      <c r="M157" s="100"/>
      <c r="N157" s="100">
        <f>N156-D157</f>
        <v>12</v>
      </c>
      <c r="O157" s="192">
        <v>46040</v>
      </c>
      <c r="P157" s="193">
        <f t="shared" ref="P157:P162" si="482">365-R157</f>
        <v>286</v>
      </c>
      <c r="Q157" s="194">
        <f t="shared" ref="Q157:Q162" si="483">DATE(YEAR(O157)+1,MONTH(O157),DAY(O157))-1</f>
        <v>46404</v>
      </c>
      <c r="R157" s="195">
        <f t="shared" ref="R157:R162" si="484">DATEDIF(O157,B157,"d")</f>
        <v>79</v>
      </c>
      <c r="U157" s="91"/>
    </row>
    <row r="158" spans="1:21" s="1" customFormat="1" ht="19.649999999999999" customHeight="1" x14ac:dyDescent="0.25">
      <c r="A158" s="330">
        <v>46119</v>
      </c>
      <c r="B158" s="229">
        <v>46119</v>
      </c>
      <c r="C158" s="100" t="s">
        <v>264</v>
      </c>
      <c r="D158" s="100">
        <v>12</v>
      </c>
      <c r="E158" s="100">
        <f t="shared" si="480"/>
        <v>2400</v>
      </c>
      <c r="F158" s="101" t="s">
        <v>1</v>
      </c>
      <c r="G158" s="100">
        <f t="shared" si="481"/>
        <v>2508</v>
      </c>
      <c r="H158" s="101" t="s">
        <v>356</v>
      </c>
      <c r="I158" s="230">
        <f>I157-E158</f>
        <v>44800</v>
      </c>
      <c r="J158" s="231"/>
      <c r="K158" s="232"/>
      <c r="L158" s="100">
        <v>260402001</v>
      </c>
      <c r="M158" s="100"/>
      <c r="N158" s="100">
        <f>N63-D158</f>
        <v>26</v>
      </c>
      <c r="O158" s="192">
        <v>46042</v>
      </c>
      <c r="P158" s="193">
        <f t="shared" si="482"/>
        <v>288</v>
      </c>
      <c r="Q158" s="194">
        <f t="shared" si="483"/>
        <v>46406</v>
      </c>
      <c r="R158" s="195">
        <f t="shared" si="484"/>
        <v>77</v>
      </c>
      <c r="U158" s="91"/>
    </row>
    <row r="159" spans="1:21" s="1" customFormat="1" ht="19.649999999999999" customHeight="1" x14ac:dyDescent="0.25">
      <c r="A159" s="32">
        <v>46120</v>
      </c>
      <c r="B159" s="32">
        <v>46120</v>
      </c>
      <c r="C159" s="33" t="s">
        <v>263</v>
      </c>
      <c r="D159" s="33">
        <v>12</v>
      </c>
      <c r="E159" s="33">
        <f t="shared" si="480"/>
        <v>2400</v>
      </c>
      <c r="F159" s="34" t="s">
        <v>3</v>
      </c>
      <c r="G159" s="33">
        <f t="shared" si="481"/>
        <v>2508</v>
      </c>
      <c r="H159" s="34" t="s">
        <v>247</v>
      </c>
      <c r="I159" s="35">
        <f>I152-E159</f>
        <v>2200</v>
      </c>
      <c r="J159" s="36"/>
      <c r="K159" s="37"/>
      <c r="L159" s="33">
        <v>260407008</v>
      </c>
      <c r="M159" s="33"/>
      <c r="N159" s="33">
        <f>N157-D159</f>
        <v>0</v>
      </c>
      <c r="O159" s="192">
        <v>46040</v>
      </c>
      <c r="P159" s="193">
        <f t="shared" ref="P159" si="485">365-R159</f>
        <v>285</v>
      </c>
      <c r="Q159" s="194">
        <f t="shared" ref="Q159" si="486">DATE(YEAR(O159)+1,MONTH(O159),DAY(O159))-1</f>
        <v>46404</v>
      </c>
      <c r="R159" s="195">
        <f t="shared" ref="R159" si="487">DATEDIF(O159,B159,"d")</f>
        <v>80</v>
      </c>
      <c r="U159" s="91"/>
    </row>
    <row r="160" spans="1:21" s="1" customFormat="1" ht="19.649999999999999" customHeight="1" x14ac:dyDescent="0.25">
      <c r="A160" s="32">
        <v>46120</v>
      </c>
      <c r="B160" s="32">
        <v>46120</v>
      </c>
      <c r="C160" s="33" t="s">
        <v>264</v>
      </c>
      <c r="D160" s="33">
        <v>4</v>
      </c>
      <c r="E160" s="33">
        <f t="shared" si="480"/>
        <v>800</v>
      </c>
      <c r="F160" s="34" t="s">
        <v>3</v>
      </c>
      <c r="G160" s="33">
        <f t="shared" si="481"/>
        <v>836</v>
      </c>
      <c r="H160" s="34" t="s">
        <v>247</v>
      </c>
      <c r="I160" s="35">
        <f>I159-E160</f>
        <v>1400</v>
      </c>
      <c r="J160" s="36"/>
      <c r="K160" s="37"/>
      <c r="L160" s="33">
        <v>260407008</v>
      </c>
      <c r="M160" s="33"/>
      <c r="N160" s="33">
        <f>N158-D160</f>
        <v>22</v>
      </c>
      <c r="O160" s="192">
        <v>46042</v>
      </c>
      <c r="P160" s="193">
        <f t="shared" ref="P160" si="488">365-R160</f>
        <v>287</v>
      </c>
      <c r="Q160" s="194">
        <f t="shared" ref="Q160" si="489">DATE(YEAR(O160)+1,MONTH(O160),DAY(O160))-1</f>
        <v>46406</v>
      </c>
      <c r="R160" s="195">
        <f t="shared" ref="R160" si="490">DATEDIF(O160,B160,"d")</f>
        <v>78</v>
      </c>
      <c r="U160" s="91"/>
    </row>
    <row r="161" spans="1:21" s="1" customFormat="1" ht="19.649999999999999" customHeight="1" x14ac:dyDescent="0.25">
      <c r="A161" s="32">
        <v>46120</v>
      </c>
      <c r="B161" s="32">
        <v>46120</v>
      </c>
      <c r="C161" s="33" t="s">
        <v>357</v>
      </c>
      <c r="D161" s="33">
        <v>4</v>
      </c>
      <c r="E161" s="33">
        <f t="shared" si="480"/>
        <v>800</v>
      </c>
      <c r="F161" s="34" t="s">
        <v>3</v>
      </c>
      <c r="G161" s="33">
        <f t="shared" si="481"/>
        <v>836</v>
      </c>
      <c r="H161" s="34" t="s">
        <v>362</v>
      </c>
      <c r="I161" s="35">
        <f>I160-E161</f>
        <v>600</v>
      </c>
      <c r="J161" s="36" t="s">
        <v>322</v>
      </c>
      <c r="K161" s="37"/>
      <c r="L161" s="33">
        <v>260407009</v>
      </c>
      <c r="M161" s="33">
        <v>42</v>
      </c>
      <c r="N161" s="33">
        <f t="shared" ref="N161:N162" si="491">M161-D161</f>
        <v>38</v>
      </c>
      <c r="O161" s="192">
        <v>46104</v>
      </c>
      <c r="P161" s="193">
        <f t="shared" si="482"/>
        <v>349</v>
      </c>
      <c r="Q161" s="194">
        <f t="shared" si="483"/>
        <v>46468</v>
      </c>
      <c r="R161" s="195">
        <f t="shared" si="484"/>
        <v>16</v>
      </c>
      <c r="U161" s="91"/>
    </row>
    <row r="162" spans="1:21" s="1" customFormat="1" ht="19.649999999999999" customHeight="1" x14ac:dyDescent="0.25">
      <c r="A162" s="32">
        <v>46120</v>
      </c>
      <c r="B162" s="32">
        <v>46120</v>
      </c>
      <c r="C162" s="33" t="s">
        <v>358</v>
      </c>
      <c r="D162" s="33">
        <v>3</v>
      </c>
      <c r="E162" s="33">
        <f t="shared" si="480"/>
        <v>600</v>
      </c>
      <c r="F162" s="34" t="s">
        <v>3</v>
      </c>
      <c r="G162" s="33">
        <f t="shared" si="481"/>
        <v>627</v>
      </c>
      <c r="H162" s="34" t="s">
        <v>247</v>
      </c>
      <c r="I162" s="35">
        <f>I161-E162</f>
        <v>0</v>
      </c>
      <c r="J162" s="36" t="s">
        <v>322</v>
      </c>
      <c r="K162" s="37"/>
      <c r="L162" s="33">
        <v>260407009</v>
      </c>
      <c r="M162" s="33">
        <v>42</v>
      </c>
      <c r="N162" s="33">
        <f t="shared" si="491"/>
        <v>39</v>
      </c>
      <c r="O162" s="192">
        <v>46106</v>
      </c>
      <c r="P162" s="193">
        <f t="shared" si="482"/>
        <v>351</v>
      </c>
      <c r="Q162" s="194">
        <f t="shared" si="483"/>
        <v>46470</v>
      </c>
      <c r="R162" s="195">
        <f t="shared" si="484"/>
        <v>14</v>
      </c>
      <c r="U162" s="91"/>
    </row>
    <row r="163" spans="1:21" s="1" customFormat="1" ht="19.649999999999999" customHeight="1" x14ac:dyDescent="0.25">
      <c r="A163" s="32">
        <v>46120</v>
      </c>
      <c r="B163" s="32">
        <v>46120</v>
      </c>
      <c r="C163" s="33" t="s">
        <v>358</v>
      </c>
      <c r="D163" s="33">
        <v>1</v>
      </c>
      <c r="E163" s="33">
        <f t="shared" ref="E163:E168" si="492">D163*200</f>
        <v>200</v>
      </c>
      <c r="F163" s="34" t="s">
        <v>3</v>
      </c>
      <c r="G163" s="33">
        <f t="shared" ref="G163:G168" si="493">D163*209</f>
        <v>209</v>
      </c>
      <c r="H163" s="331" t="s">
        <v>361</v>
      </c>
      <c r="I163" s="35">
        <f>52000-E163</f>
        <v>51800</v>
      </c>
      <c r="J163" s="36" t="s">
        <v>322</v>
      </c>
      <c r="K163" s="37"/>
      <c r="L163" s="33">
        <v>260407009</v>
      </c>
      <c r="M163" s="33">
        <v>42</v>
      </c>
      <c r="N163" s="33">
        <f t="shared" ref="N163:N164" si="494">M163-D163</f>
        <v>41</v>
      </c>
      <c r="O163" s="192">
        <v>46106</v>
      </c>
      <c r="P163" s="193">
        <f t="shared" ref="P163:P166" si="495">365-R163</f>
        <v>351</v>
      </c>
      <c r="Q163" s="194">
        <f t="shared" ref="Q163:Q166" si="496">DATE(YEAR(O163)+1,MONTH(O163),DAY(O163))-1</f>
        <v>46470</v>
      </c>
      <c r="R163" s="195">
        <f t="shared" ref="R163:R166" si="497">DATEDIF(O163,B163,"d")</f>
        <v>14</v>
      </c>
      <c r="U163" s="91"/>
    </row>
    <row r="164" spans="1:21" s="1" customFormat="1" ht="19.649999999999999" customHeight="1" x14ac:dyDescent="0.25">
      <c r="A164" s="32">
        <v>46120</v>
      </c>
      <c r="B164" s="32">
        <v>46120</v>
      </c>
      <c r="C164" s="33" t="s">
        <v>359</v>
      </c>
      <c r="D164" s="33">
        <v>4</v>
      </c>
      <c r="E164" s="33">
        <f t="shared" si="492"/>
        <v>800</v>
      </c>
      <c r="F164" s="34" t="s">
        <v>3</v>
      </c>
      <c r="G164" s="33">
        <f t="shared" si="493"/>
        <v>836</v>
      </c>
      <c r="H164" s="34" t="s">
        <v>360</v>
      </c>
      <c r="I164" s="35">
        <f>I163-E164</f>
        <v>51000</v>
      </c>
      <c r="J164" s="36" t="s">
        <v>322</v>
      </c>
      <c r="K164" s="37"/>
      <c r="L164" s="33">
        <v>260407009</v>
      </c>
      <c r="M164" s="33">
        <v>42</v>
      </c>
      <c r="N164" s="33">
        <f t="shared" si="494"/>
        <v>38</v>
      </c>
      <c r="O164" s="192">
        <v>46108</v>
      </c>
      <c r="P164" s="193">
        <f t="shared" si="495"/>
        <v>353</v>
      </c>
      <c r="Q164" s="194">
        <f t="shared" si="496"/>
        <v>46472</v>
      </c>
      <c r="R164" s="195">
        <f t="shared" si="497"/>
        <v>12</v>
      </c>
      <c r="U164" s="91"/>
    </row>
    <row r="165" spans="1:21" s="1" customFormat="1" ht="19.649999999999999" customHeight="1" x14ac:dyDescent="0.25">
      <c r="A165" s="243">
        <v>46121</v>
      </c>
      <c r="B165" s="243">
        <v>46121</v>
      </c>
      <c r="C165" s="244" t="s">
        <v>264</v>
      </c>
      <c r="D165" s="244">
        <v>16</v>
      </c>
      <c r="E165" s="244">
        <f t="shared" si="492"/>
        <v>3200</v>
      </c>
      <c r="F165" s="275" t="s">
        <v>40</v>
      </c>
      <c r="G165" s="244">
        <f t="shared" si="493"/>
        <v>3344</v>
      </c>
      <c r="H165" s="245" t="s">
        <v>220</v>
      </c>
      <c r="I165" s="246">
        <f>I154-E165</f>
        <v>24400</v>
      </c>
      <c r="J165" s="247"/>
      <c r="K165" s="248"/>
      <c r="L165" s="244">
        <v>260408003</v>
      </c>
      <c r="M165" s="244"/>
      <c r="N165" s="244">
        <f>N160-D165</f>
        <v>6</v>
      </c>
      <c r="O165" s="192">
        <v>46042</v>
      </c>
      <c r="P165" s="193">
        <f t="shared" si="495"/>
        <v>286</v>
      </c>
      <c r="Q165" s="194">
        <f t="shared" si="496"/>
        <v>46406</v>
      </c>
      <c r="R165" s="195">
        <f t="shared" si="497"/>
        <v>79</v>
      </c>
      <c r="U165" s="91"/>
    </row>
    <row r="166" spans="1:21" s="1" customFormat="1" ht="19.649999999999999" customHeight="1" x14ac:dyDescent="0.25">
      <c r="A166" s="243">
        <v>46121</v>
      </c>
      <c r="B166" s="243">
        <v>46121</v>
      </c>
      <c r="C166" s="244" t="s">
        <v>265</v>
      </c>
      <c r="D166" s="244">
        <v>16</v>
      </c>
      <c r="E166" s="244">
        <f t="shared" si="492"/>
        <v>3200</v>
      </c>
      <c r="F166" s="275" t="s">
        <v>40</v>
      </c>
      <c r="G166" s="244">
        <f t="shared" si="493"/>
        <v>3344</v>
      </c>
      <c r="H166" s="245" t="s">
        <v>220</v>
      </c>
      <c r="I166" s="246">
        <f>I165-E166</f>
        <v>21200</v>
      </c>
      <c r="J166" s="247"/>
      <c r="K166" s="248"/>
      <c r="L166" s="244">
        <v>260408003</v>
      </c>
      <c r="M166" s="244"/>
      <c r="N166" s="244">
        <f>N64-D166</f>
        <v>22</v>
      </c>
      <c r="O166" s="192">
        <v>46044</v>
      </c>
      <c r="P166" s="193">
        <f t="shared" si="495"/>
        <v>288</v>
      </c>
      <c r="Q166" s="194">
        <f t="shared" si="496"/>
        <v>46408</v>
      </c>
      <c r="R166" s="195">
        <f t="shared" si="497"/>
        <v>77</v>
      </c>
      <c r="U166" s="91"/>
    </row>
    <row r="167" spans="1:21" s="1" customFormat="1" ht="19.649999999999999" customHeight="1" x14ac:dyDescent="0.25">
      <c r="A167" s="333">
        <v>46122</v>
      </c>
      <c r="B167" s="269">
        <v>46122</v>
      </c>
      <c r="C167" s="270" t="s">
        <v>264</v>
      </c>
      <c r="D167" s="270">
        <v>6</v>
      </c>
      <c r="E167" s="270">
        <f t="shared" si="492"/>
        <v>1200</v>
      </c>
      <c r="F167" s="271" t="s">
        <v>1</v>
      </c>
      <c r="G167" s="270">
        <f t="shared" si="493"/>
        <v>1254</v>
      </c>
      <c r="H167" s="271" t="s">
        <v>335</v>
      </c>
      <c r="I167" s="272">
        <f>I158-E167</f>
        <v>43600</v>
      </c>
      <c r="J167" s="273"/>
      <c r="K167" s="274"/>
      <c r="L167" s="270">
        <v>260409003</v>
      </c>
      <c r="M167" s="270"/>
      <c r="N167" s="270">
        <f>N165-D167</f>
        <v>0</v>
      </c>
      <c r="O167" s="192">
        <v>46042</v>
      </c>
      <c r="P167" s="193">
        <f t="shared" ref="P167:P170" si="498">365-R167</f>
        <v>285</v>
      </c>
      <c r="Q167" s="194">
        <f t="shared" ref="Q167:Q170" si="499">DATE(YEAR(O167)+1,MONTH(O167),DAY(O167))-1</f>
        <v>46406</v>
      </c>
      <c r="R167" s="195">
        <f t="shared" ref="R167:R170" si="500">DATEDIF(O167,B167,"d")</f>
        <v>80</v>
      </c>
      <c r="U167" s="91"/>
    </row>
    <row r="168" spans="1:21" s="1" customFormat="1" ht="19.649999999999999" customHeight="1" x14ac:dyDescent="0.25">
      <c r="A168" s="333">
        <v>46122</v>
      </c>
      <c r="B168" s="269">
        <v>46122</v>
      </c>
      <c r="C168" s="270" t="s">
        <v>363</v>
      </c>
      <c r="D168" s="270">
        <v>18</v>
      </c>
      <c r="E168" s="270">
        <f t="shared" si="492"/>
        <v>3600</v>
      </c>
      <c r="F168" s="271" t="s">
        <v>1</v>
      </c>
      <c r="G168" s="270">
        <f t="shared" si="493"/>
        <v>3762</v>
      </c>
      <c r="H168" s="271" t="s">
        <v>335</v>
      </c>
      <c r="I168" s="272">
        <f>I167-E168</f>
        <v>40000</v>
      </c>
      <c r="J168" s="273"/>
      <c r="K168" s="274"/>
      <c r="L168" s="270">
        <v>260409003</v>
      </c>
      <c r="M168" s="270"/>
      <c r="N168" s="270">
        <f>N166-D168</f>
        <v>4</v>
      </c>
      <c r="O168" s="192">
        <v>46044</v>
      </c>
      <c r="P168" s="193">
        <f t="shared" si="498"/>
        <v>287</v>
      </c>
      <c r="Q168" s="194">
        <f t="shared" si="499"/>
        <v>46408</v>
      </c>
      <c r="R168" s="195">
        <f t="shared" si="500"/>
        <v>78</v>
      </c>
      <c r="U168" s="91"/>
    </row>
    <row r="169" spans="1:21" s="1" customFormat="1" ht="19.649999999999999" customHeight="1" x14ac:dyDescent="0.25">
      <c r="A169" s="332">
        <v>46125</v>
      </c>
      <c r="B169" s="181">
        <v>46125</v>
      </c>
      <c r="C169" s="130" t="s">
        <v>265</v>
      </c>
      <c r="D169" s="130">
        <v>4</v>
      </c>
      <c r="E169" s="130">
        <f t="shared" ref="E169:E175" si="501">D169*200</f>
        <v>800</v>
      </c>
      <c r="F169" s="131" t="s">
        <v>1</v>
      </c>
      <c r="G169" s="130">
        <f t="shared" ref="G169:G175" si="502">D169*209</f>
        <v>836</v>
      </c>
      <c r="H169" s="131" t="s">
        <v>335</v>
      </c>
      <c r="I169" s="182">
        <f>I168-E169</f>
        <v>39200</v>
      </c>
      <c r="J169" s="183"/>
      <c r="K169" s="184"/>
      <c r="L169" s="130">
        <v>260409006</v>
      </c>
      <c r="M169" s="130"/>
      <c r="N169" s="130">
        <f>N168-D169</f>
        <v>0</v>
      </c>
      <c r="O169" s="192">
        <v>46044</v>
      </c>
      <c r="P169" s="193">
        <f t="shared" si="498"/>
        <v>284</v>
      </c>
      <c r="Q169" s="194">
        <f t="shared" si="499"/>
        <v>46408</v>
      </c>
      <c r="R169" s="195">
        <f t="shared" si="500"/>
        <v>81</v>
      </c>
      <c r="U169" s="91"/>
    </row>
    <row r="170" spans="1:21" s="1" customFormat="1" ht="19.649999999999999" customHeight="1" x14ac:dyDescent="0.25">
      <c r="A170" s="332">
        <v>46125</v>
      </c>
      <c r="B170" s="181">
        <v>46125</v>
      </c>
      <c r="C170" s="130" t="s">
        <v>277</v>
      </c>
      <c r="D170" s="130">
        <v>16</v>
      </c>
      <c r="E170" s="130">
        <f t="shared" si="501"/>
        <v>3200</v>
      </c>
      <c r="F170" s="131" t="s">
        <v>1</v>
      </c>
      <c r="G170" s="130">
        <f t="shared" si="502"/>
        <v>3344</v>
      </c>
      <c r="H170" s="131" t="s">
        <v>335</v>
      </c>
      <c r="I170" s="182">
        <f>I169-E170</f>
        <v>36000</v>
      </c>
      <c r="J170" s="183"/>
      <c r="K170" s="184"/>
      <c r="L170" s="130">
        <v>260409006</v>
      </c>
      <c r="M170" s="130"/>
      <c r="N170" s="130">
        <f>N74-D170</f>
        <v>22</v>
      </c>
      <c r="O170" s="192">
        <v>46048</v>
      </c>
      <c r="P170" s="193">
        <f t="shared" si="498"/>
        <v>288</v>
      </c>
      <c r="Q170" s="194">
        <f t="shared" si="499"/>
        <v>46412</v>
      </c>
      <c r="R170" s="195">
        <f t="shared" si="500"/>
        <v>77</v>
      </c>
      <c r="U170" s="91"/>
    </row>
    <row r="171" spans="1:21" s="1" customFormat="1" ht="19.649999999999999" customHeight="1" x14ac:dyDescent="0.25">
      <c r="A171" s="219">
        <v>46127</v>
      </c>
      <c r="B171" s="219">
        <v>46127</v>
      </c>
      <c r="C171" s="220" t="s">
        <v>364</v>
      </c>
      <c r="D171" s="220">
        <v>8</v>
      </c>
      <c r="E171" s="220">
        <f t="shared" si="501"/>
        <v>1600</v>
      </c>
      <c r="F171" s="255" t="s">
        <v>40</v>
      </c>
      <c r="G171" s="220">
        <f t="shared" si="502"/>
        <v>1672</v>
      </c>
      <c r="H171" s="221" t="s">
        <v>367</v>
      </c>
      <c r="I171" s="222">
        <f>I166-E171</f>
        <v>19600</v>
      </c>
      <c r="J171" s="223"/>
      <c r="K171" s="224"/>
      <c r="L171" s="220">
        <v>260414001</v>
      </c>
      <c r="M171" s="220"/>
      <c r="N171" s="220">
        <f>N170-D171</f>
        <v>14</v>
      </c>
      <c r="O171" s="192">
        <v>46048</v>
      </c>
      <c r="P171" s="193">
        <f t="shared" ref="P171:P173" si="503">365-R171</f>
        <v>286</v>
      </c>
      <c r="Q171" s="194">
        <f t="shared" ref="Q171:Q173" si="504">DATE(YEAR(O171)+1,MONTH(O171),DAY(O171))-1</f>
        <v>46412</v>
      </c>
      <c r="R171" s="195">
        <f t="shared" ref="R171:R173" si="505">DATEDIF(O171,B171,"d")</f>
        <v>79</v>
      </c>
      <c r="U171" s="91"/>
    </row>
    <row r="172" spans="1:21" s="1" customFormat="1" ht="19.649999999999999" customHeight="1" x14ac:dyDescent="0.25">
      <c r="A172" s="104">
        <v>46127</v>
      </c>
      <c r="B172" s="104">
        <v>46127</v>
      </c>
      <c r="C172" s="105" t="s">
        <v>364</v>
      </c>
      <c r="D172" s="105">
        <v>14</v>
      </c>
      <c r="E172" s="105">
        <f t="shared" si="501"/>
        <v>2800</v>
      </c>
      <c r="F172" s="106" t="s">
        <v>3</v>
      </c>
      <c r="G172" s="105">
        <f t="shared" si="502"/>
        <v>2926</v>
      </c>
      <c r="H172" s="106" t="s">
        <v>366</v>
      </c>
      <c r="I172" s="107">
        <f>I164-E172</f>
        <v>48200</v>
      </c>
      <c r="J172" s="108"/>
      <c r="K172" s="109"/>
      <c r="L172" s="105">
        <v>260414002</v>
      </c>
      <c r="M172" s="105"/>
      <c r="N172" s="105">
        <f>N171-D172</f>
        <v>0</v>
      </c>
      <c r="O172" s="192">
        <v>46048</v>
      </c>
      <c r="P172" s="193">
        <f t="shared" si="503"/>
        <v>286</v>
      </c>
      <c r="Q172" s="194">
        <f t="shared" si="504"/>
        <v>46412</v>
      </c>
      <c r="R172" s="195">
        <f t="shared" si="505"/>
        <v>79</v>
      </c>
      <c r="U172" s="91"/>
    </row>
    <row r="173" spans="1:21" s="1" customFormat="1" ht="19.649999999999999" customHeight="1" x14ac:dyDescent="0.25">
      <c r="A173" s="104">
        <v>46127</v>
      </c>
      <c r="B173" s="104">
        <v>46127</v>
      </c>
      <c r="C173" s="105" t="s">
        <v>365</v>
      </c>
      <c r="D173" s="105">
        <v>14</v>
      </c>
      <c r="E173" s="105">
        <f t="shared" si="501"/>
        <v>2800</v>
      </c>
      <c r="F173" s="106" t="s">
        <v>3</v>
      </c>
      <c r="G173" s="105">
        <f t="shared" si="502"/>
        <v>2926</v>
      </c>
      <c r="H173" s="106" t="s">
        <v>368</v>
      </c>
      <c r="I173" s="107">
        <f>I172-E173</f>
        <v>45400</v>
      </c>
      <c r="J173" s="108"/>
      <c r="K173" s="109"/>
      <c r="L173" s="105">
        <v>260414002</v>
      </c>
      <c r="M173" s="105"/>
      <c r="N173" s="105">
        <f>N75-D173</f>
        <v>24</v>
      </c>
      <c r="O173" s="192">
        <v>46050</v>
      </c>
      <c r="P173" s="193">
        <f t="shared" si="503"/>
        <v>288</v>
      </c>
      <c r="Q173" s="194">
        <f t="shared" si="504"/>
        <v>46414</v>
      </c>
      <c r="R173" s="195">
        <f t="shared" si="505"/>
        <v>77</v>
      </c>
      <c r="U173" s="91"/>
    </row>
    <row r="174" spans="1:21" s="1" customFormat="1" ht="19.649999999999999" customHeight="1" x14ac:dyDescent="0.25">
      <c r="A174" s="305">
        <v>46128</v>
      </c>
      <c r="B174" s="250">
        <v>46128</v>
      </c>
      <c r="C174" s="126" t="s">
        <v>369</v>
      </c>
      <c r="D174" s="126">
        <v>24</v>
      </c>
      <c r="E174" s="126">
        <f t="shared" si="501"/>
        <v>4800</v>
      </c>
      <c r="F174" s="127" t="s">
        <v>1</v>
      </c>
      <c r="G174" s="126">
        <f t="shared" si="502"/>
        <v>5016</v>
      </c>
      <c r="H174" s="127" t="s">
        <v>335</v>
      </c>
      <c r="I174" s="252">
        <f>I170-E174</f>
        <v>31200</v>
      </c>
      <c r="J174" s="253"/>
      <c r="K174" s="254"/>
      <c r="L174" s="126">
        <v>260415001</v>
      </c>
      <c r="M174" s="126"/>
      <c r="N174" s="126">
        <f>N173-D174</f>
        <v>0</v>
      </c>
      <c r="O174" s="192">
        <v>46050</v>
      </c>
      <c r="P174" s="193">
        <f t="shared" ref="P174:P175" si="506">365-R174</f>
        <v>287</v>
      </c>
      <c r="Q174" s="194">
        <f t="shared" ref="Q174:Q175" si="507">DATE(YEAR(O174)+1,MONTH(O174),DAY(O174))-1</f>
        <v>46414</v>
      </c>
      <c r="R174" s="195">
        <f t="shared" ref="R174:R175" si="508">DATEDIF(O174,B174,"d")</f>
        <v>78</v>
      </c>
      <c r="U174" s="91"/>
    </row>
    <row r="175" spans="1:21" s="1" customFormat="1" ht="19.649999999999999" customHeight="1" x14ac:dyDescent="0.25">
      <c r="A175" s="305">
        <v>46128</v>
      </c>
      <c r="B175" s="250">
        <v>46128</v>
      </c>
      <c r="C175" s="126" t="s">
        <v>370</v>
      </c>
      <c r="D175" s="126">
        <v>4</v>
      </c>
      <c r="E175" s="126">
        <f t="shared" si="501"/>
        <v>800</v>
      </c>
      <c r="F175" s="127" t="s">
        <v>1</v>
      </c>
      <c r="G175" s="126">
        <f t="shared" si="502"/>
        <v>836</v>
      </c>
      <c r="H175" s="127" t="s">
        <v>335</v>
      </c>
      <c r="I175" s="252">
        <f>I174-E175</f>
        <v>30400</v>
      </c>
      <c r="J175" s="253"/>
      <c r="K175" s="254"/>
      <c r="L175" s="126">
        <v>260415001</v>
      </c>
      <c r="M175" s="126"/>
      <c r="N175" s="126">
        <f>N76-D175</f>
        <v>35</v>
      </c>
      <c r="O175" s="192">
        <v>46052</v>
      </c>
      <c r="P175" s="193">
        <f t="shared" si="506"/>
        <v>289</v>
      </c>
      <c r="Q175" s="194">
        <f t="shared" si="507"/>
        <v>46416</v>
      </c>
      <c r="R175" s="195">
        <f t="shared" si="508"/>
        <v>76</v>
      </c>
      <c r="U175" s="91"/>
    </row>
    <row r="176" spans="1:21" s="1" customFormat="1" ht="19.649999999999999" customHeight="1" x14ac:dyDescent="0.25">
      <c r="A176" s="225">
        <v>46129</v>
      </c>
      <c r="B176" s="225">
        <v>46129</v>
      </c>
      <c r="C176" s="102" t="s">
        <v>279</v>
      </c>
      <c r="D176" s="102">
        <v>20</v>
      </c>
      <c r="E176" s="102">
        <f t="shared" ref="E176" si="509">D176*200</f>
        <v>4000</v>
      </c>
      <c r="F176" s="239" t="s">
        <v>40</v>
      </c>
      <c r="G176" s="102">
        <f t="shared" ref="G176" si="510">D176*209</f>
        <v>4180</v>
      </c>
      <c r="H176" s="103" t="s">
        <v>373</v>
      </c>
      <c r="I176" s="226">
        <f>I171-E176</f>
        <v>15600</v>
      </c>
      <c r="J176" s="227"/>
      <c r="K176" s="228"/>
      <c r="L176" s="102">
        <v>260416001</v>
      </c>
      <c r="M176" s="102"/>
      <c r="N176" s="102">
        <f>N175-D176</f>
        <v>15</v>
      </c>
      <c r="O176" s="192">
        <v>46052</v>
      </c>
      <c r="P176" s="193">
        <f t="shared" ref="P176:P177" si="511">365-R176</f>
        <v>288</v>
      </c>
      <c r="Q176" s="194">
        <f t="shared" ref="Q176:Q177" si="512">DATE(YEAR(O176)+1,MONTH(O176),DAY(O176))-1</f>
        <v>46416</v>
      </c>
      <c r="R176" s="195">
        <f t="shared" ref="R176:R177" si="513">DATEDIF(O176,B176,"d")</f>
        <v>77</v>
      </c>
      <c r="U176" s="91"/>
    </row>
    <row r="177" spans="1:21" s="1" customFormat="1" ht="19.649999999999999" customHeight="1" x14ac:dyDescent="0.25">
      <c r="A177" s="225">
        <v>46129</v>
      </c>
      <c r="B177" s="225">
        <v>46129</v>
      </c>
      <c r="C177" s="102" t="s">
        <v>371</v>
      </c>
      <c r="D177" s="102">
        <v>4</v>
      </c>
      <c r="E177" s="102">
        <f t="shared" ref="E177:E178" si="514">D177*200</f>
        <v>800</v>
      </c>
      <c r="F177" s="239" t="s">
        <v>40</v>
      </c>
      <c r="G177" s="102">
        <f t="shared" ref="G177:G178" si="515">D177*209</f>
        <v>836</v>
      </c>
      <c r="H177" s="103" t="s">
        <v>367</v>
      </c>
      <c r="I177" s="226">
        <f>I176-E177</f>
        <v>14800</v>
      </c>
      <c r="J177" s="227"/>
      <c r="K177" s="228"/>
      <c r="L177" s="102">
        <v>260416001</v>
      </c>
      <c r="M177" s="102"/>
      <c r="N177" s="102">
        <f>N92-D177</f>
        <v>34</v>
      </c>
      <c r="O177" s="192">
        <v>46054</v>
      </c>
      <c r="P177" s="193">
        <f t="shared" si="511"/>
        <v>290</v>
      </c>
      <c r="Q177" s="194">
        <f t="shared" si="512"/>
        <v>46418</v>
      </c>
      <c r="R177" s="195">
        <f t="shared" si="513"/>
        <v>75</v>
      </c>
      <c r="U177" s="91"/>
    </row>
    <row r="178" spans="1:21" s="1" customFormat="1" ht="19.649999999999999" customHeight="1" x14ac:dyDescent="0.25">
      <c r="A178" s="314">
        <v>46129</v>
      </c>
      <c r="B178" s="243">
        <v>46129</v>
      </c>
      <c r="C178" s="244" t="s">
        <v>370</v>
      </c>
      <c r="D178" s="244">
        <v>12</v>
      </c>
      <c r="E178" s="244">
        <f t="shared" si="514"/>
        <v>2400</v>
      </c>
      <c r="F178" s="245" t="s">
        <v>1</v>
      </c>
      <c r="G178" s="244">
        <f t="shared" si="515"/>
        <v>2508</v>
      </c>
      <c r="H178" s="245" t="s">
        <v>372</v>
      </c>
      <c r="I178" s="246">
        <f>I175-E178</f>
        <v>28000</v>
      </c>
      <c r="J178" s="247"/>
      <c r="K178" s="248"/>
      <c r="L178" s="244">
        <v>260416007</v>
      </c>
      <c r="M178" s="244"/>
      <c r="N178" s="244">
        <f>N176-D178</f>
        <v>3</v>
      </c>
      <c r="O178" s="192">
        <v>46052</v>
      </c>
      <c r="P178" s="193">
        <f t="shared" ref="P178" si="516">365-R178</f>
        <v>288</v>
      </c>
      <c r="Q178" s="194">
        <f t="shared" ref="Q178" si="517">DATE(YEAR(O178)+1,MONTH(O178),DAY(O178))-1</f>
        <v>46416</v>
      </c>
      <c r="R178" s="195">
        <f t="shared" ref="R178" si="518">DATEDIF(O178,B178,"d")</f>
        <v>77</v>
      </c>
      <c r="U178" s="91"/>
    </row>
    <row r="179" spans="1:21" s="1" customFormat="1" ht="19.649999999999999" customHeight="1" x14ac:dyDescent="0.25">
      <c r="A179" s="334">
        <v>46132</v>
      </c>
      <c r="B179" s="262">
        <v>46132</v>
      </c>
      <c r="C179" s="263" t="s">
        <v>279</v>
      </c>
      <c r="D179" s="263">
        <v>3</v>
      </c>
      <c r="E179" s="263">
        <f t="shared" ref="E179" si="519">D179*200</f>
        <v>600</v>
      </c>
      <c r="F179" s="264" t="s">
        <v>1</v>
      </c>
      <c r="G179" s="263">
        <f t="shared" ref="G179" si="520">D179*209</f>
        <v>627</v>
      </c>
      <c r="H179" s="264" t="s">
        <v>335</v>
      </c>
      <c r="I179" s="265">
        <f>I178-E179</f>
        <v>27400</v>
      </c>
      <c r="J179" s="266"/>
      <c r="K179" s="267"/>
      <c r="L179" s="263">
        <v>260417001</v>
      </c>
      <c r="M179" s="263"/>
      <c r="N179" s="263">
        <f>N178-D179</f>
        <v>0</v>
      </c>
      <c r="O179" s="192">
        <v>46052</v>
      </c>
      <c r="P179" s="193">
        <f t="shared" ref="P179:P184" si="521">365-R179</f>
        <v>285</v>
      </c>
      <c r="Q179" s="194">
        <f t="shared" ref="Q179:Q184" si="522">DATE(YEAR(O179)+1,MONTH(O179),DAY(O179))-1</f>
        <v>46416</v>
      </c>
      <c r="R179" s="195">
        <f t="shared" ref="R179:R184" si="523">DATEDIF(O179,B179,"d")</f>
        <v>80</v>
      </c>
      <c r="U179" s="91"/>
    </row>
    <row r="180" spans="1:21" s="1" customFormat="1" ht="19.649999999999999" customHeight="1" x14ac:dyDescent="0.25">
      <c r="A180" s="334">
        <v>46132</v>
      </c>
      <c r="B180" s="262">
        <v>46132</v>
      </c>
      <c r="C180" s="263" t="s">
        <v>298</v>
      </c>
      <c r="D180" s="263">
        <v>21</v>
      </c>
      <c r="E180" s="263">
        <f t="shared" ref="E180" si="524">D180*200</f>
        <v>4200</v>
      </c>
      <c r="F180" s="264" t="s">
        <v>1</v>
      </c>
      <c r="G180" s="263">
        <f t="shared" ref="G180" si="525">D180*209</f>
        <v>4389</v>
      </c>
      <c r="H180" s="264" t="s">
        <v>335</v>
      </c>
      <c r="I180" s="265">
        <f>I179-E180</f>
        <v>23200</v>
      </c>
      <c r="J180" s="266"/>
      <c r="K180" s="267"/>
      <c r="L180" s="263">
        <v>260417001</v>
      </c>
      <c r="M180" s="263"/>
      <c r="N180" s="263">
        <f>N177-D180</f>
        <v>13</v>
      </c>
      <c r="O180" s="192">
        <v>46054</v>
      </c>
      <c r="P180" s="193">
        <f t="shared" si="521"/>
        <v>287</v>
      </c>
      <c r="Q180" s="194">
        <f t="shared" si="522"/>
        <v>46418</v>
      </c>
      <c r="R180" s="195">
        <f t="shared" si="523"/>
        <v>78</v>
      </c>
      <c r="U180" s="91"/>
    </row>
    <row r="181" spans="1:21" s="1" customFormat="1" ht="19.649999999999999" customHeight="1" x14ac:dyDescent="0.25">
      <c r="A181" s="269">
        <v>46132</v>
      </c>
      <c r="B181" s="269">
        <v>46132</v>
      </c>
      <c r="C181" s="270" t="s">
        <v>298</v>
      </c>
      <c r="D181" s="270">
        <v>13</v>
      </c>
      <c r="E181" s="270">
        <f>D181*200</f>
        <v>2600</v>
      </c>
      <c r="F181" s="315" t="s">
        <v>40</v>
      </c>
      <c r="G181" s="270">
        <f>D181*209</f>
        <v>2717</v>
      </c>
      <c r="H181" s="271" t="s">
        <v>220</v>
      </c>
      <c r="I181" s="272">
        <f>I177-E181</f>
        <v>12200</v>
      </c>
      <c r="J181" s="273"/>
      <c r="K181" s="274"/>
      <c r="L181" s="270">
        <v>260417002</v>
      </c>
      <c r="M181" s="270"/>
      <c r="N181" s="270">
        <f>N180-D181</f>
        <v>0</v>
      </c>
      <c r="O181" s="192">
        <v>46054</v>
      </c>
      <c r="P181" s="193">
        <f t="shared" si="521"/>
        <v>287</v>
      </c>
      <c r="Q181" s="194">
        <f t="shared" si="522"/>
        <v>46418</v>
      </c>
      <c r="R181" s="195">
        <f t="shared" si="523"/>
        <v>78</v>
      </c>
      <c r="U181" s="91"/>
    </row>
    <row r="182" spans="1:21" s="1" customFormat="1" ht="19.649999999999999" customHeight="1" x14ac:dyDescent="0.25">
      <c r="A182" s="269">
        <v>46132</v>
      </c>
      <c r="B182" s="269">
        <v>46132</v>
      </c>
      <c r="C182" s="270" t="s">
        <v>307</v>
      </c>
      <c r="D182" s="270">
        <v>19</v>
      </c>
      <c r="E182" s="270">
        <f>D182*200</f>
        <v>3800</v>
      </c>
      <c r="F182" s="315" t="s">
        <v>40</v>
      </c>
      <c r="G182" s="270">
        <f>D182*209</f>
        <v>3971</v>
      </c>
      <c r="H182" s="271" t="s">
        <v>220</v>
      </c>
      <c r="I182" s="272">
        <f>I181-E182</f>
        <v>8400</v>
      </c>
      <c r="J182" s="273"/>
      <c r="K182" s="274"/>
      <c r="L182" s="270">
        <v>260417002</v>
      </c>
      <c r="M182" s="270"/>
      <c r="N182" s="270">
        <f>N102-D182</f>
        <v>19</v>
      </c>
      <c r="O182" s="192">
        <v>46056</v>
      </c>
      <c r="P182" s="193">
        <f t="shared" si="521"/>
        <v>289</v>
      </c>
      <c r="Q182" s="194">
        <f t="shared" si="522"/>
        <v>46420</v>
      </c>
      <c r="R182" s="195">
        <f t="shared" si="523"/>
        <v>76</v>
      </c>
      <c r="U182" s="91"/>
    </row>
    <row r="183" spans="1:21" s="1" customFormat="1" ht="19.649999999999999" customHeight="1" x14ac:dyDescent="0.25">
      <c r="A183" s="233">
        <v>46134</v>
      </c>
      <c r="B183" s="233">
        <v>46134</v>
      </c>
      <c r="C183" s="38" t="s">
        <v>307</v>
      </c>
      <c r="D183" s="38">
        <v>16</v>
      </c>
      <c r="E183" s="38">
        <f t="shared" ref="E183:E184" si="526">D183*200</f>
        <v>3200</v>
      </c>
      <c r="F183" s="39" t="s">
        <v>3</v>
      </c>
      <c r="G183" s="38">
        <f t="shared" ref="G183:G184" si="527">D183*209</f>
        <v>3344</v>
      </c>
      <c r="H183" s="39" t="s">
        <v>360</v>
      </c>
      <c r="I183" s="234">
        <f>I173-E183</f>
        <v>42200</v>
      </c>
      <c r="J183" s="235"/>
      <c r="K183" s="236"/>
      <c r="L183" s="38">
        <v>260421001</v>
      </c>
      <c r="M183" s="38"/>
      <c r="N183" s="38">
        <f>N182-D183</f>
        <v>3</v>
      </c>
      <c r="O183" s="192">
        <v>46056</v>
      </c>
      <c r="P183" s="193">
        <f t="shared" ref="P183" si="528">365-R183</f>
        <v>287</v>
      </c>
      <c r="Q183" s="194">
        <f t="shared" ref="Q183" si="529">DATE(YEAR(O183)+1,MONTH(O183),DAY(O183))-1</f>
        <v>46420</v>
      </c>
      <c r="R183" s="195">
        <f t="shared" ref="R183" si="530">DATEDIF(O183,B183,"d")</f>
        <v>78</v>
      </c>
      <c r="U183" s="91"/>
    </row>
    <row r="184" spans="1:21" s="1" customFormat="1" ht="19.649999999999999" customHeight="1" x14ac:dyDescent="0.25">
      <c r="A184" s="233">
        <v>46134</v>
      </c>
      <c r="B184" s="233">
        <v>46134</v>
      </c>
      <c r="C184" s="38" t="s">
        <v>374</v>
      </c>
      <c r="D184" s="38">
        <v>4</v>
      </c>
      <c r="E184" s="38">
        <f t="shared" si="526"/>
        <v>800</v>
      </c>
      <c r="F184" s="39" t="s">
        <v>3</v>
      </c>
      <c r="G184" s="38">
        <f t="shared" si="527"/>
        <v>836</v>
      </c>
      <c r="H184" s="39" t="s">
        <v>360</v>
      </c>
      <c r="I184" s="234">
        <f>I183-E184</f>
        <v>41400</v>
      </c>
      <c r="J184" s="235" t="s">
        <v>322</v>
      </c>
      <c r="K184" s="236"/>
      <c r="L184" s="38">
        <v>260421002</v>
      </c>
      <c r="M184" s="38">
        <v>42</v>
      </c>
      <c r="N184" s="38">
        <f>M184-D184</f>
        <v>38</v>
      </c>
      <c r="O184" s="192">
        <v>46119</v>
      </c>
      <c r="P184" s="193">
        <f t="shared" si="521"/>
        <v>350</v>
      </c>
      <c r="Q184" s="194">
        <f t="shared" si="522"/>
        <v>46483</v>
      </c>
      <c r="R184" s="195">
        <f t="shared" si="523"/>
        <v>15</v>
      </c>
      <c r="U184" s="91"/>
    </row>
    <row r="185" spans="1:21" s="1" customFormat="1" ht="19.649999999999999" customHeight="1" x14ac:dyDescent="0.25">
      <c r="A185" s="233">
        <v>46134</v>
      </c>
      <c r="B185" s="233">
        <v>46134</v>
      </c>
      <c r="C185" s="38" t="s">
        <v>375</v>
      </c>
      <c r="D185" s="38">
        <v>4</v>
      </c>
      <c r="E185" s="38">
        <f t="shared" ref="E185:E188" si="531">D185*200</f>
        <v>800</v>
      </c>
      <c r="F185" s="39" t="s">
        <v>3</v>
      </c>
      <c r="G185" s="38">
        <f t="shared" ref="G185:G188" si="532">D185*209</f>
        <v>836</v>
      </c>
      <c r="H185" s="39" t="s">
        <v>360</v>
      </c>
      <c r="I185" s="234">
        <f>I184-E185</f>
        <v>40600</v>
      </c>
      <c r="J185" s="235" t="s">
        <v>322</v>
      </c>
      <c r="K185" s="236"/>
      <c r="L185" s="38">
        <v>260421002</v>
      </c>
      <c r="M185" s="38">
        <v>42</v>
      </c>
      <c r="N185" s="38">
        <f>M185-D185</f>
        <v>38</v>
      </c>
      <c r="O185" s="192">
        <v>46121</v>
      </c>
      <c r="P185" s="193">
        <f t="shared" ref="P185:P188" si="533">365-R185</f>
        <v>352</v>
      </c>
      <c r="Q185" s="194">
        <f t="shared" ref="Q185:Q188" si="534">DATE(YEAR(O185)+1,MONTH(O185),DAY(O185))-1</f>
        <v>46485</v>
      </c>
      <c r="R185" s="195">
        <f t="shared" ref="R185:R188" si="535">DATEDIF(O185,B185,"d")</f>
        <v>13</v>
      </c>
      <c r="U185" s="91"/>
    </row>
    <row r="186" spans="1:21" s="1" customFormat="1" ht="19.649999999999999" customHeight="1" x14ac:dyDescent="0.25">
      <c r="A186" s="233">
        <v>46134</v>
      </c>
      <c r="B186" s="233">
        <v>46134</v>
      </c>
      <c r="C186" s="38" t="s">
        <v>376</v>
      </c>
      <c r="D186" s="38">
        <v>4</v>
      </c>
      <c r="E186" s="38">
        <f t="shared" si="531"/>
        <v>800</v>
      </c>
      <c r="F186" s="39" t="s">
        <v>3</v>
      </c>
      <c r="G186" s="38">
        <f t="shared" si="532"/>
        <v>836</v>
      </c>
      <c r="H186" s="39" t="s">
        <v>379</v>
      </c>
      <c r="I186" s="234">
        <f>I185-E186</f>
        <v>39800</v>
      </c>
      <c r="J186" s="235" t="s">
        <v>322</v>
      </c>
      <c r="K186" s="236"/>
      <c r="L186" s="38">
        <v>260421002</v>
      </c>
      <c r="M186" s="38">
        <v>43</v>
      </c>
      <c r="N186" s="38">
        <f>M186-D186</f>
        <v>39</v>
      </c>
      <c r="O186" s="192">
        <v>46123</v>
      </c>
      <c r="P186" s="193">
        <f t="shared" si="533"/>
        <v>354</v>
      </c>
      <c r="Q186" s="194">
        <f t="shared" si="534"/>
        <v>46487</v>
      </c>
      <c r="R186" s="195">
        <f t="shared" si="535"/>
        <v>11</v>
      </c>
      <c r="U186" s="91"/>
    </row>
    <row r="187" spans="1:21" s="1" customFormat="1" ht="19.649999999999999" customHeight="1" x14ac:dyDescent="0.25">
      <c r="A187" s="335">
        <v>46135</v>
      </c>
      <c r="B187" s="213">
        <v>46135</v>
      </c>
      <c r="C187" s="214" t="s">
        <v>307</v>
      </c>
      <c r="D187" s="214">
        <v>3</v>
      </c>
      <c r="E187" s="214">
        <f t="shared" si="531"/>
        <v>600</v>
      </c>
      <c r="F187" s="215" t="s">
        <v>1</v>
      </c>
      <c r="G187" s="214">
        <f t="shared" si="532"/>
        <v>627</v>
      </c>
      <c r="H187" s="215" t="s">
        <v>377</v>
      </c>
      <c r="I187" s="216">
        <f>I180-E187</f>
        <v>22600</v>
      </c>
      <c r="J187" s="217"/>
      <c r="K187" s="218"/>
      <c r="L187" s="214">
        <v>260422001</v>
      </c>
      <c r="M187" s="214"/>
      <c r="N187" s="214">
        <f>N183-D187</f>
        <v>0</v>
      </c>
      <c r="O187" s="192">
        <v>46056</v>
      </c>
      <c r="P187" s="193">
        <f t="shared" si="533"/>
        <v>286</v>
      </c>
      <c r="Q187" s="194">
        <f t="shared" si="534"/>
        <v>46420</v>
      </c>
      <c r="R187" s="195">
        <f t="shared" si="535"/>
        <v>79</v>
      </c>
      <c r="U187" s="91"/>
    </row>
    <row r="188" spans="1:21" s="1" customFormat="1" ht="19.649999999999999" customHeight="1" x14ac:dyDescent="0.25">
      <c r="A188" s="335">
        <v>46135</v>
      </c>
      <c r="B188" s="213">
        <v>46135</v>
      </c>
      <c r="C188" s="214" t="s">
        <v>312</v>
      </c>
      <c r="D188" s="214">
        <v>21</v>
      </c>
      <c r="E188" s="214">
        <f t="shared" si="531"/>
        <v>4200</v>
      </c>
      <c r="F188" s="215" t="s">
        <v>1</v>
      </c>
      <c r="G188" s="214">
        <f t="shared" si="532"/>
        <v>4389</v>
      </c>
      <c r="H188" s="215" t="s">
        <v>335</v>
      </c>
      <c r="I188" s="216">
        <f>I187-E188</f>
        <v>18400</v>
      </c>
      <c r="J188" s="217"/>
      <c r="K188" s="218"/>
      <c r="L188" s="214">
        <v>260422001</v>
      </c>
      <c r="M188" s="214"/>
      <c r="N188" s="214">
        <f>N107-D188</f>
        <v>17</v>
      </c>
      <c r="O188" s="192">
        <v>46058</v>
      </c>
      <c r="P188" s="193">
        <f t="shared" si="533"/>
        <v>288</v>
      </c>
      <c r="Q188" s="194">
        <f t="shared" si="534"/>
        <v>46422</v>
      </c>
      <c r="R188" s="195">
        <f t="shared" si="535"/>
        <v>77</v>
      </c>
      <c r="U188" s="91"/>
    </row>
    <row r="189" spans="1:21" s="1" customFormat="1" ht="19.649999999999999" customHeight="1" x14ac:dyDescent="0.25">
      <c r="A189" s="104">
        <v>46136</v>
      </c>
      <c r="B189" s="104">
        <v>46136</v>
      </c>
      <c r="C189" s="105" t="s">
        <v>378</v>
      </c>
      <c r="D189" s="105">
        <v>16</v>
      </c>
      <c r="E189" s="105">
        <f>D189*200</f>
        <v>3200</v>
      </c>
      <c r="F189" s="112" t="s">
        <v>40</v>
      </c>
      <c r="G189" s="105">
        <f>D189*209</f>
        <v>3344</v>
      </c>
      <c r="H189" s="106" t="s">
        <v>240</v>
      </c>
      <c r="I189" s="107">
        <f>I182-E189</f>
        <v>5200</v>
      </c>
      <c r="J189" s="108"/>
      <c r="K189" s="109"/>
      <c r="L189" s="105">
        <v>260423001</v>
      </c>
      <c r="M189" s="105"/>
      <c r="N189" s="105">
        <f>N188-D189</f>
        <v>1</v>
      </c>
      <c r="O189" s="192">
        <v>46058</v>
      </c>
      <c r="P189" s="193">
        <f t="shared" ref="P189" si="536">365-R189</f>
        <v>287</v>
      </c>
      <c r="Q189" s="194">
        <f t="shared" ref="Q189" si="537">DATE(YEAR(O189)+1,MONTH(O189),DAY(O189))-1</f>
        <v>46422</v>
      </c>
      <c r="R189" s="195">
        <f t="shared" ref="R189" si="538">DATEDIF(O189,B189,"d")</f>
        <v>78</v>
      </c>
      <c r="U189" s="91"/>
    </row>
    <row r="190" spans="1:21" s="1" customFormat="1" ht="19.649999999999999" customHeight="1" x14ac:dyDescent="0.25">
      <c r="A190" s="336">
        <v>46139</v>
      </c>
      <c r="B190" s="32">
        <v>46139</v>
      </c>
      <c r="C190" s="33" t="s">
        <v>312</v>
      </c>
      <c r="D190" s="33">
        <v>1</v>
      </c>
      <c r="E190" s="33">
        <f t="shared" ref="E190:E193" si="539">D190*200</f>
        <v>200</v>
      </c>
      <c r="F190" s="34" t="s">
        <v>1</v>
      </c>
      <c r="G190" s="33">
        <f t="shared" ref="G190:G193" si="540">D190*209</f>
        <v>209</v>
      </c>
      <c r="H190" s="34" t="s">
        <v>335</v>
      </c>
      <c r="I190" s="35">
        <f>I188-E190</f>
        <v>18200</v>
      </c>
      <c r="J190" s="36"/>
      <c r="K190" s="37"/>
      <c r="L190" s="33">
        <v>260424001</v>
      </c>
      <c r="M190" s="33"/>
      <c r="N190" s="33">
        <f>N189-D190</f>
        <v>0</v>
      </c>
      <c r="O190" s="192">
        <v>46058</v>
      </c>
      <c r="P190" s="193">
        <f t="shared" ref="P190:P191" si="541">365-R190</f>
        <v>284</v>
      </c>
      <c r="Q190" s="194">
        <f t="shared" ref="Q190:Q191" si="542">DATE(YEAR(O190)+1,MONTH(O190),DAY(O190))-1</f>
        <v>46422</v>
      </c>
      <c r="R190" s="195">
        <f t="shared" ref="R190:R191" si="543">DATEDIF(O190,B190,"d")</f>
        <v>81</v>
      </c>
      <c r="U190" s="91"/>
    </row>
    <row r="191" spans="1:21" s="1" customFormat="1" ht="19.649999999999999" customHeight="1" x14ac:dyDescent="0.25">
      <c r="A191" s="336">
        <v>46139</v>
      </c>
      <c r="B191" s="32">
        <v>46139</v>
      </c>
      <c r="C191" s="33" t="s">
        <v>316</v>
      </c>
      <c r="D191" s="33">
        <v>27</v>
      </c>
      <c r="E191" s="33">
        <f t="shared" si="539"/>
        <v>5400</v>
      </c>
      <c r="F191" s="34" t="s">
        <v>1</v>
      </c>
      <c r="G191" s="33">
        <f t="shared" si="540"/>
        <v>5643</v>
      </c>
      <c r="H191" s="34" t="s">
        <v>335</v>
      </c>
      <c r="I191" s="35">
        <f>I190-E191</f>
        <v>12800</v>
      </c>
      <c r="J191" s="36"/>
      <c r="K191" s="37"/>
      <c r="L191" s="33">
        <v>260424001</v>
      </c>
      <c r="M191" s="33"/>
      <c r="N191" s="33">
        <f>N113-D191</f>
        <v>11</v>
      </c>
      <c r="O191" s="192">
        <v>46062</v>
      </c>
      <c r="P191" s="193">
        <f t="shared" si="541"/>
        <v>288</v>
      </c>
      <c r="Q191" s="194">
        <f t="shared" si="542"/>
        <v>46426</v>
      </c>
      <c r="R191" s="195">
        <f t="shared" si="543"/>
        <v>77</v>
      </c>
      <c r="U191" s="91"/>
    </row>
    <row r="192" spans="1:21" s="1" customFormat="1" ht="19.649999999999999" customHeight="1" x14ac:dyDescent="0.25">
      <c r="A192" s="219">
        <v>46141</v>
      </c>
      <c r="B192" s="219">
        <v>46141</v>
      </c>
      <c r="C192" s="220" t="s">
        <v>316</v>
      </c>
      <c r="D192" s="220">
        <v>11</v>
      </c>
      <c r="E192" s="220">
        <f t="shared" si="539"/>
        <v>2200</v>
      </c>
      <c r="F192" s="221" t="s">
        <v>3</v>
      </c>
      <c r="G192" s="220">
        <f t="shared" si="540"/>
        <v>2299</v>
      </c>
      <c r="H192" s="221" t="s">
        <v>360</v>
      </c>
      <c r="I192" s="222">
        <f>I186-E192</f>
        <v>37600</v>
      </c>
      <c r="J192" s="223"/>
      <c r="K192" s="224"/>
      <c r="L192" s="220">
        <v>260428008</v>
      </c>
      <c r="M192" s="220"/>
      <c r="N192" s="220">
        <f>N191-D192</f>
        <v>0</v>
      </c>
      <c r="O192" s="192">
        <v>46062</v>
      </c>
      <c r="P192" s="193">
        <f t="shared" ref="P192:P198" si="544">365-R192</f>
        <v>286</v>
      </c>
      <c r="Q192" s="194">
        <f t="shared" ref="Q192:Q198" si="545">DATE(YEAR(O192)+1,MONTH(O192),DAY(O192))-1</f>
        <v>46426</v>
      </c>
      <c r="R192" s="195">
        <f t="shared" ref="R192:R198" si="546">DATEDIF(O192,B192,"d")</f>
        <v>79</v>
      </c>
      <c r="U192" s="91"/>
    </row>
    <row r="193" spans="1:21" s="1" customFormat="1" ht="19.649999999999999" customHeight="1" x14ac:dyDescent="0.25">
      <c r="A193" s="219">
        <v>46141</v>
      </c>
      <c r="B193" s="219">
        <v>46141</v>
      </c>
      <c r="C193" s="220" t="s">
        <v>318</v>
      </c>
      <c r="D193" s="220">
        <v>17</v>
      </c>
      <c r="E193" s="220">
        <f t="shared" si="539"/>
        <v>3400</v>
      </c>
      <c r="F193" s="221" t="s">
        <v>3</v>
      </c>
      <c r="G193" s="220">
        <f t="shared" si="540"/>
        <v>3553</v>
      </c>
      <c r="H193" s="221" t="s">
        <v>360</v>
      </c>
      <c r="I193" s="222">
        <f>I192-E193</f>
        <v>34200</v>
      </c>
      <c r="J193" s="223"/>
      <c r="K193" s="224"/>
      <c r="L193" s="220">
        <v>260428008</v>
      </c>
      <c r="M193" s="220"/>
      <c r="N193" s="220">
        <f>N117-D193</f>
        <v>22</v>
      </c>
      <c r="O193" s="192">
        <v>46064</v>
      </c>
      <c r="P193" s="193">
        <f t="shared" si="544"/>
        <v>288</v>
      </c>
      <c r="Q193" s="194">
        <f t="shared" si="545"/>
        <v>46428</v>
      </c>
      <c r="R193" s="195">
        <f t="shared" si="546"/>
        <v>77</v>
      </c>
      <c r="U193" s="91"/>
    </row>
    <row r="194" spans="1:21" s="1" customFormat="1" ht="19.649999999999999" customHeight="1" x14ac:dyDescent="0.25">
      <c r="A194" s="169">
        <v>46142</v>
      </c>
      <c r="B194" s="169">
        <v>46142</v>
      </c>
      <c r="C194" s="110" t="s">
        <v>318</v>
      </c>
      <c r="D194" s="110">
        <v>22</v>
      </c>
      <c r="E194" s="110">
        <f>D194*200</f>
        <v>4400</v>
      </c>
      <c r="F194" s="170" t="s">
        <v>40</v>
      </c>
      <c r="G194" s="110">
        <f>D194*209</f>
        <v>4598</v>
      </c>
      <c r="H194" s="111" t="s">
        <v>220</v>
      </c>
      <c r="I194" s="171">
        <f>I189-E194</f>
        <v>800</v>
      </c>
      <c r="J194" s="172"/>
      <c r="K194" s="173"/>
      <c r="L194" s="110">
        <v>260429001</v>
      </c>
      <c r="M194" s="110"/>
      <c r="N194" s="110">
        <f>N193-D194</f>
        <v>0</v>
      </c>
      <c r="O194" s="192">
        <v>46064</v>
      </c>
      <c r="P194" s="193">
        <f t="shared" ref="P194" si="547">365-R194</f>
        <v>287</v>
      </c>
      <c r="Q194" s="194">
        <f t="shared" ref="Q194" si="548">DATE(YEAR(O194)+1,MONTH(O194),DAY(O194))-1</f>
        <v>46428</v>
      </c>
      <c r="R194" s="195">
        <f t="shared" ref="R194" si="549">DATEDIF(O194,B194,"d")</f>
        <v>78</v>
      </c>
      <c r="U194" s="91"/>
    </row>
    <row r="195" spans="1:21" s="1" customFormat="1" ht="19.649999999999999" customHeight="1" x14ac:dyDescent="0.25">
      <c r="A195" s="169">
        <v>46142</v>
      </c>
      <c r="B195" s="169">
        <v>46142</v>
      </c>
      <c r="C195" s="110" t="s">
        <v>321</v>
      </c>
      <c r="D195" s="110">
        <v>4</v>
      </c>
      <c r="E195" s="110">
        <f>D195*200</f>
        <v>800</v>
      </c>
      <c r="F195" s="170" t="s">
        <v>40</v>
      </c>
      <c r="G195" s="110">
        <f>D195*209</f>
        <v>836</v>
      </c>
      <c r="H195" s="111" t="s">
        <v>380</v>
      </c>
      <c r="I195" s="171">
        <f>I194-E195</f>
        <v>0</v>
      </c>
      <c r="J195" s="172"/>
      <c r="K195" s="173"/>
      <c r="L195" s="110">
        <v>260429001</v>
      </c>
      <c r="M195" s="110"/>
      <c r="N195" s="110">
        <f>N122-D195</f>
        <v>34</v>
      </c>
      <c r="O195" s="192">
        <v>46066</v>
      </c>
      <c r="P195" s="193">
        <f t="shared" si="544"/>
        <v>289</v>
      </c>
      <c r="Q195" s="194">
        <f t="shared" si="545"/>
        <v>46430</v>
      </c>
      <c r="R195" s="195">
        <f t="shared" si="546"/>
        <v>76</v>
      </c>
      <c r="U195" s="91"/>
    </row>
    <row r="196" spans="1:21" s="1" customFormat="1" ht="19.649999999999999" customHeight="1" x14ac:dyDescent="0.25">
      <c r="A196" s="169">
        <v>46142</v>
      </c>
      <c r="B196" s="169">
        <v>46142</v>
      </c>
      <c r="C196" s="110" t="s">
        <v>321</v>
      </c>
      <c r="D196" s="110">
        <v>6</v>
      </c>
      <c r="E196" s="110">
        <f>D196*200</f>
        <v>1200</v>
      </c>
      <c r="F196" s="170" t="s">
        <v>40</v>
      </c>
      <c r="G196" s="110">
        <f>D196*209</f>
        <v>1254</v>
      </c>
      <c r="H196" s="337" t="s">
        <v>381</v>
      </c>
      <c r="I196" s="171">
        <f>40800-E196</f>
        <v>39600</v>
      </c>
      <c r="J196" s="172"/>
      <c r="K196" s="173"/>
      <c r="L196" s="110">
        <v>260429001</v>
      </c>
      <c r="M196" s="110"/>
      <c r="N196" s="110">
        <f>N195-D196</f>
        <v>28</v>
      </c>
      <c r="O196" s="192">
        <v>46066</v>
      </c>
      <c r="P196" s="193">
        <f t="shared" si="544"/>
        <v>289</v>
      </c>
      <c r="Q196" s="194">
        <f t="shared" si="545"/>
        <v>46430</v>
      </c>
      <c r="R196" s="195">
        <f t="shared" si="546"/>
        <v>76</v>
      </c>
      <c r="U196" s="91"/>
    </row>
    <row r="197" spans="1:21" s="1" customFormat="1" ht="19.649999999999999" customHeight="1" x14ac:dyDescent="0.25">
      <c r="A197" s="332">
        <v>46142</v>
      </c>
      <c r="B197" s="181">
        <v>46142</v>
      </c>
      <c r="C197" s="130" t="s">
        <v>321</v>
      </c>
      <c r="D197" s="130">
        <v>28</v>
      </c>
      <c r="E197" s="130">
        <f t="shared" ref="E197" si="550">D197*200</f>
        <v>5600</v>
      </c>
      <c r="F197" s="131" t="s">
        <v>1</v>
      </c>
      <c r="G197" s="130">
        <f t="shared" ref="G197" si="551">D197*209</f>
        <v>5852</v>
      </c>
      <c r="H197" s="131" t="s">
        <v>335</v>
      </c>
      <c r="I197" s="182">
        <f>I191-E197</f>
        <v>7200</v>
      </c>
      <c r="J197" s="183"/>
      <c r="K197" s="184"/>
      <c r="L197" s="130">
        <v>260429002</v>
      </c>
      <c r="M197" s="130"/>
      <c r="N197" s="130">
        <f>N196-D197</f>
        <v>0</v>
      </c>
      <c r="O197" s="192">
        <v>46066</v>
      </c>
      <c r="P197" s="193">
        <f t="shared" si="544"/>
        <v>289</v>
      </c>
      <c r="Q197" s="194">
        <f t="shared" si="545"/>
        <v>46430</v>
      </c>
      <c r="R197" s="195">
        <f t="shared" si="546"/>
        <v>76</v>
      </c>
      <c r="U197" s="91"/>
    </row>
    <row r="198" spans="1:21" s="1" customFormat="1" ht="19.649999999999999" customHeight="1" x14ac:dyDescent="0.25">
      <c r="A198" s="338">
        <v>46146</v>
      </c>
      <c r="B198" s="339">
        <v>46146</v>
      </c>
      <c r="C198" s="340" t="s">
        <v>326</v>
      </c>
      <c r="D198" s="340">
        <v>28</v>
      </c>
      <c r="E198" s="340">
        <f t="shared" ref="E198:E200" si="552">D198*200</f>
        <v>5600</v>
      </c>
      <c r="F198" s="341" t="s">
        <v>1</v>
      </c>
      <c r="G198" s="340">
        <f t="shared" ref="G198:G200" si="553">D198*209</f>
        <v>5852</v>
      </c>
      <c r="H198" s="341" t="s">
        <v>335</v>
      </c>
      <c r="I198" s="342">
        <f>I197-E198</f>
        <v>1600</v>
      </c>
      <c r="J198" s="343"/>
      <c r="K198" s="344"/>
      <c r="L198" s="340">
        <v>260430006</v>
      </c>
      <c r="M198" s="340"/>
      <c r="N198" s="340">
        <f>N126-D198</f>
        <v>10</v>
      </c>
      <c r="O198" s="192">
        <v>46068</v>
      </c>
      <c r="P198" s="193">
        <f t="shared" si="544"/>
        <v>287</v>
      </c>
      <c r="Q198" s="194">
        <f t="shared" si="545"/>
        <v>46432</v>
      </c>
      <c r="R198" s="195">
        <f t="shared" si="546"/>
        <v>78</v>
      </c>
      <c r="U198" s="91"/>
    </row>
    <row r="199" spans="1:21" s="1" customFormat="1" ht="19.649999999999999" customHeight="1" x14ac:dyDescent="0.25">
      <c r="A199" s="243">
        <v>46147</v>
      </c>
      <c r="B199" s="243">
        <v>46147</v>
      </c>
      <c r="C199" s="244" t="s">
        <v>382</v>
      </c>
      <c r="D199" s="244">
        <v>4</v>
      </c>
      <c r="E199" s="244">
        <f t="shared" si="552"/>
        <v>800</v>
      </c>
      <c r="F199" s="245" t="s">
        <v>3</v>
      </c>
      <c r="G199" s="244">
        <f t="shared" si="553"/>
        <v>836</v>
      </c>
      <c r="H199" s="245" t="s">
        <v>368</v>
      </c>
      <c r="I199" s="246">
        <f>I193-E199</f>
        <v>33400</v>
      </c>
      <c r="J199" s="247"/>
      <c r="K199" s="248"/>
      <c r="L199" s="244">
        <v>260504001</v>
      </c>
      <c r="M199" s="244"/>
      <c r="N199" s="244">
        <f>N198-D199</f>
        <v>6</v>
      </c>
      <c r="O199" s="192">
        <v>46068</v>
      </c>
      <c r="P199" s="193">
        <f t="shared" ref="P199" si="554">365-R199</f>
        <v>286</v>
      </c>
      <c r="Q199" s="194">
        <f t="shared" ref="Q199" si="555">DATE(YEAR(O199)+1,MONTH(O199),DAY(O199))-1</f>
        <v>46432</v>
      </c>
      <c r="R199" s="195">
        <f t="shared" ref="R199" si="556">DATEDIF(O199,B199,"d")</f>
        <v>79</v>
      </c>
      <c r="U199" s="91"/>
    </row>
    <row r="200" spans="1:21" s="1" customFormat="1" ht="19.649999999999999" customHeight="1" x14ac:dyDescent="0.25">
      <c r="A200" s="243">
        <v>46147</v>
      </c>
      <c r="B200" s="243">
        <v>46147</v>
      </c>
      <c r="C200" s="244" t="s">
        <v>383</v>
      </c>
      <c r="D200" s="244">
        <v>4</v>
      </c>
      <c r="E200" s="244">
        <f t="shared" si="552"/>
        <v>800</v>
      </c>
      <c r="F200" s="245" t="s">
        <v>3</v>
      </c>
      <c r="G200" s="244">
        <f t="shared" si="553"/>
        <v>836</v>
      </c>
      <c r="H200" s="245" t="s">
        <v>391</v>
      </c>
      <c r="I200" s="246">
        <f t="shared" ref="I200:I205" si="557">I199-E200</f>
        <v>32600</v>
      </c>
      <c r="J200" s="247" t="s">
        <v>322</v>
      </c>
      <c r="K200" s="248"/>
      <c r="L200" s="244">
        <v>260504003</v>
      </c>
      <c r="M200" s="244">
        <v>42</v>
      </c>
      <c r="N200" s="244">
        <f>M200-D200</f>
        <v>38</v>
      </c>
      <c r="O200" s="192">
        <v>46125</v>
      </c>
      <c r="P200" s="193">
        <f t="shared" ref="P200" si="558">365-R200</f>
        <v>343</v>
      </c>
      <c r="Q200" s="194">
        <f t="shared" ref="Q200" si="559">DATE(YEAR(O200)+1,MONTH(O200),DAY(O200))-1</f>
        <v>46489</v>
      </c>
      <c r="R200" s="195">
        <f t="shared" ref="R200" si="560">DATEDIF(O200,B200,"d")</f>
        <v>22</v>
      </c>
      <c r="U200" s="91"/>
    </row>
    <row r="201" spans="1:21" s="1" customFormat="1" ht="19.649999999999999" customHeight="1" x14ac:dyDescent="0.25">
      <c r="A201" s="243">
        <v>46147</v>
      </c>
      <c r="B201" s="243">
        <v>46147</v>
      </c>
      <c r="C201" s="244" t="s">
        <v>384</v>
      </c>
      <c r="D201" s="244">
        <v>4</v>
      </c>
      <c r="E201" s="244">
        <f t="shared" ref="E201:E202" si="561">D201*200</f>
        <v>800</v>
      </c>
      <c r="F201" s="245" t="s">
        <v>3</v>
      </c>
      <c r="G201" s="244">
        <f t="shared" ref="G201:G202" si="562">D201*209</f>
        <v>836</v>
      </c>
      <c r="H201" s="245" t="s">
        <v>360</v>
      </c>
      <c r="I201" s="246">
        <f t="shared" si="557"/>
        <v>31800</v>
      </c>
      <c r="J201" s="247" t="s">
        <v>322</v>
      </c>
      <c r="K201" s="248"/>
      <c r="L201" s="244">
        <v>260504003</v>
      </c>
      <c r="M201" s="244">
        <v>42</v>
      </c>
      <c r="N201" s="244">
        <f t="shared" ref="N201:N205" si="563">M201-D201</f>
        <v>38</v>
      </c>
      <c r="O201" s="192">
        <v>46127</v>
      </c>
      <c r="P201" s="193">
        <f t="shared" ref="P201:P202" si="564">365-R201</f>
        <v>345</v>
      </c>
      <c r="Q201" s="194">
        <f t="shared" ref="Q201:Q202" si="565">DATE(YEAR(O201)+1,MONTH(O201),DAY(O201))-1</f>
        <v>46491</v>
      </c>
      <c r="R201" s="195">
        <f t="shared" ref="R201:R202" si="566">DATEDIF(O201,B201,"d")</f>
        <v>20</v>
      </c>
      <c r="U201" s="91"/>
    </row>
    <row r="202" spans="1:21" s="1" customFormat="1" ht="19.649999999999999" customHeight="1" x14ac:dyDescent="0.25">
      <c r="A202" s="243">
        <v>46147</v>
      </c>
      <c r="B202" s="243">
        <v>46147</v>
      </c>
      <c r="C202" s="244" t="s">
        <v>385</v>
      </c>
      <c r="D202" s="244">
        <v>4</v>
      </c>
      <c r="E202" s="244">
        <f t="shared" si="561"/>
        <v>800</v>
      </c>
      <c r="F202" s="245" t="s">
        <v>3</v>
      </c>
      <c r="G202" s="244">
        <f t="shared" si="562"/>
        <v>836</v>
      </c>
      <c r="H202" s="245" t="s">
        <v>360</v>
      </c>
      <c r="I202" s="246">
        <f t="shared" si="557"/>
        <v>31000</v>
      </c>
      <c r="J202" s="247" t="s">
        <v>322</v>
      </c>
      <c r="K202" s="248"/>
      <c r="L202" s="244">
        <v>260504003</v>
      </c>
      <c r="M202" s="244">
        <v>42</v>
      </c>
      <c r="N202" s="244">
        <f t="shared" si="563"/>
        <v>38</v>
      </c>
      <c r="O202" s="192">
        <v>46129</v>
      </c>
      <c r="P202" s="193">
        <f t="shared" si="564"/>
        <v>347</v>
      </c>
      <c r="Q202" s="194">
        <f t="shared" si="565"/>
        <v>46493</v>
      </c>
      <c r="R202" s="195">
        <f t="shared" si="566"/>
        <v>18</v>
      </c>
      <c r="U202" s="91"/>
    </row>
    <row r="203" spans="1:21" s="1" customFormat="1" ht="19.649999999999999" customHeight="1" x14ac:dyDescent="0.25">
      <c r="A203" s="243">
        <v>46147</v>
      </c>
      <c r="B203" s="243">
        <v>46147</v>
      </c>
      <c r="C203" s="244" t="s">
        <v>386</v>
      </c>
      <c r="D203" s="244">
        <v>4</v>
      </c>
      <c r="E203" s="244">
        <f t="shared" ref="E203:E204" si="567">D203*200</f>
        <v>800</v>
      </c>
      <c r="F203" s="245" t="s">
        <v>3</v>
      </c>
      <c r="G203" s="244">
        <f t="shared" ref="G203:G204" si="568">D203*209</f>
        <v>836</v>
      </c>
      <c r="H203" s="245" t="s">
        <v>368</v>
      </c>
      <c r="I203" s="246">
        <f t="shared" si="557"/>
        <v>30200</v>
      </c>
      <c r="J203" s="247" t="s">
        <v>322</v>
      </c>
      <c r="K203" s="248"/>
      <c r="L203" s="244">
        <v>260504004</v>
      </c>
      <c r="M203" s="244">
        <v>42</v>
      </c>
      <c r="N203" s="244">
        <f t="shared" si="563"/>
        <v>38</v>
      </c>
      <c r="O203" s="192">
        <v>46132</v>
      </c>
      <c r="P203" s="193">
        <f t="shared" ref="P203:P204" si="569">365-R203</f>
        <v>350</v>
      </c>
      <c r="Q203" s="194">
        <f t="shared" ref="Q203:Q204" si="570">DATE(YEAR(O203)+1,MONTH(O203),DAY(O203))-1</f>
        <v>46496</v>
      </c>
      <c r="R203" s="195">
        <f t="shared" ref="R203:R204" si="571">DATEDIF(O203,B203,"d")</f>
        <v>15</v>
      </c>
      <c r="U203" s="91"/>
    </row>
    <row r="204" spans="1:21" s="1" customFormat="1" ht="19.649999999999999" customHeight="1" x14ac:dyDescent="0.25">
      <c r="A204" s="243">
        <v>46147</v>
      </c>
      <c r="B204" s="243">
        <v>46147</v>
      </c>
      <c r="C204" s="244" t="s">
        <v>387</v>
      </c>
      <c r="D204" s="244">
        <v>4</v>
      </c>
      <c r="E204" s="244">
        <f t="shared" si="567"/>
        <v>800</v>
      </c>
      <c r="F204" s="245" t="s">
        <v>3</v>
      </c>
      <c r="G204" s="244">
        <f t="shared" si="568"/>
        <v>836</v>
      </c>
      <c r="H204" s="245" t="s">
        <v>360</v>
      </c>
      <c r="I204" s="246">
        <f t="shared" si="557"/>
        <v>29400</v>
      </c>
      <c r="J204" s="247" t="s">
        <v>322</v>
      </c>
      <c r="K204" s="248"/>
      <c r="L204" s="244">
        <v>260504004</v>
      </c>
      <c r="M204" s="244">
        <v>43</v>
      </c>
      <c r="N204" s="244">
        <f>M204-D204</f>
        <v>39</v>
      </c>
      <c r="O204" s="192">
        <v>46134</v>
      </c>
      <c r="P204" s="193">
        <f t="shared" si="569"/>
        <v>352</v>
      </c>
      <c r="Q204" s="194">
        <f t="shared" si="570"/>
        <v>46498</v>
      </c>
      <c r="R204" s="195">
        <f t="shared" si="571"/>
        <v>13</v>
      </c>
      <c r="U204" s="91"/>
    </row>
    <row r="205" spans="1:21" s="1" customFormat="1" ht="19.649999999999999" customHeight="1" x14ac:dyDescent="0.25">
      <c r="A205" s="243">
        <v>46147</v>
      </c>
      <c r="B205" s="243">
        <v>46147</v>
      </c>
      <c r="C205" s="244" t="s">
        <v>388</v>
      </c>
      <c r="D205" s="244">
        <v>4</v>
      </c>
      <c r="E205" s="244">
        <f t="shared" ref="E205" si="572">D205*200</f>
        <v>800</v>
      </c>
      <c r="F205" s="245" t="s">
        <v>3</v>
      </c>
      <c r="G205" s="244">
        <f t="shared" ref="G205" si="573">D205*209</f>
        <v>836</v>
      </c>
      <c r="H205" s="245" t="s">
        <v>360</v>
      </c>
      <c r="I205" s="246">
        <f t="shared" si="557"/>
        <v>28600</v>
      </c>
      <c r="J205" s="247" t="s">
        <v>322</v>
      </c>
      <c r="K205" s="248"/>
      <c r="L205" s="244">
        <v>260504004</v>
      </c>
      <c r="M205" s="244">
        <v>42</v>
      </c>
      <c r="N205" s="244">
        <f t="shared" si="563"/>
        <v>38</v>
      </c>
      <c r="O205" s="192">
        <v>46136</v>
      </c>
      <c r="P205" s="193">
        <f t="shared" ref="P205:P207" si="574">365-R205</f>
        <v>354</v>
      </c>
      <c r="Q205" s="194">
        <f t="shared" ref="Q205:Q207" si="575">DATE(YEAR(O205)+1,MONTH(O205),DAY(O205))-1</f>
        <v>46500</v>
      </c>
      <c r="R205" s="195">
        <f t="shared" ref="R205:R207" si="576">DATEDIF(O205,B205,"d")</f>
        <v>11</v>
      </c>
      <c r="U205" s="91"/>
    </row>
    <row r="206" spans="1:21" s="1" customFormat="1" ht="19.649999999999999" customHeight="1" x14ac:dyDescent="0.25">
      <c r="A206" s="262">
        <v>46147</v>
      </c>
      <c r="B206" s="262">
        <v>46147</v>
      </c>
      <c r="C206" s="263" t="s">
        <v>382</v>
      </c>
      <c r="D206" s="263">
        <v>6</v>
      </c>
      <c r="E206" s="263">
        <f>D206*200</f>
        <v>1200</v>
      </c>
      <c r="F206" s="345" t="s">
        <v>40</v>
      </c>
      <c r="G206" s="263">
        <f>D206*209</f>
        <v>1254</v>
      </c>
      <c r="H206" s="264" t="s">
        <v>390</v>
      </c>
      <c r="I206" s="265">
        <f>I196-E206</f>
        <v>38400</v>
      </c>
      <c r="J206" s="266"/>
      <c r="K206" s="267"/>
      <c r="L206" s="263">
        <v>260504005</v>
      </c>
      <c r="M206" s="263"/>
      <c r="N206" s="263">
        <f>N199-D206</f>
        <v>0</v>
      </c>
      <c r="O206" s="192">
        <v>46068</v>
      </c>
      <c r="P206" s="193">
        <f t="shared" si="574"/>
        <v>286</v>
      </c>
      <c r="Q206" s="194">
        <f t="shared" si="575"/>
        <v>46432</v>
      </c>
      <c r="R206" s="195">
        <f t="shared" si="576"/>
        <v>79</v>
      </c>
      <c r="U206" s="91"/>
    </row>
    <row r="207" spans="1:21" s="1" customFormat="1" ht="19.649999999999999" customHeight="1" x14ac:dyDescent="0.25">
      <c r="A207" s="262">
        <v>46147</v>
      </c>
      <c r="B207" s="262">
        <v>46147</v>
      </c>
      <c r="C207" s="263" t="s">
        <v>389</v>
      </c>
      <c r="D207" s="263">
        <v>18</v>
      </c>
      <c r="E207" s="263">
        <f>D207*200</f>
        <v>3600</v>
      </c>
      <c r="F207" s="345" t="s">
        <v>40</v>
      </c>
      <c r="G207" s="263">
        <f>D207*209</f>
        <v>3762</v>
      </c>
      <c r="H207" s="264" t="s">
        <v>381</v>
      </c>
      <c r="I207" s="265">
        <f>I206-E207</f>
        <v>34800</v>
      </c>
      <c r="J207" s="266"/>
      <c r="K207" s="267"/>
      <c r="L207" s="263">
        <v>260504005</v>
      </c>
      <c r="M207" s="263"/>
      <c r="N207" s="263">
        <f>N127-D207</f>
        <v>20</v>
      </c>
      <c r="O207" s="192">
        <v>46073</v>
      </c>
      <c r="P207" s="193">
        <f t="shared" si="574"/>
        <v>291</v>
      </c>
      <c r="Q207" s="194">
        <f t="shared" si="575"/>
        <v>46437</v>
      </c>
      <c r="R207" s="195">
        <f t="shared" si="576"/>
        <v>74</v>
      </c>
      <c r="U207" s="91"/>
    </row>
    <row r="208" spans="1:21" s="1" customFormat="1" ht="19.649999999999999" customHeight="1" x14ac:dyDescent="0.25">
      <c r="A208" s="333">
        <v>46149</v>
      </c>
      <c r="B208" s="269">
        <v>46149</v>
      </c>
      <c r="C208" s="270" t="s">
        <v>327</v>
      </c>
      <c r="D208" s="270">
        <v>8</v>
      </c>
      <c r="E208" s="270">
        <f t="shared" ref="E208" si="577">D208*200</f>
        <v>1600</v>
      </c>
      <c r="F208" s="271" t="s">
        <v>1</v>
      </c>
      <c r="G208" s="270">
        <f t="shared" ref="G208" si="578">D208*209</f>
        <v>1672</v>
      </c>
      <c r="H208" s="271" t="s">
        <v>335</v>
      </c>
      <c r="I208" s="272">
        <f>I198-E208</f>
        <v>0</v>
      </c>
      <c r="J208" s="273"/>
      <c r="K208" s="274"/>
      <c r="L208" s="270">
        <v>260506001</v>
      </c>
      <c r="M208" s="270"/>
      <c r="N208" s="270">
        <f>N207-D208</f>
        <v>12</v>
      </c>
      <c r="O208" s="192">
        <v>46073</v>
      </c>
      <c r="P208" s="193">
        <f t="shared" ref="P208:P210" si="579">365-R208</f>
        <v>289</v>
      </c>
      <c r="Q208" s="194">
        <f t="shared" ref="Q208:Q210" si="580">DATE(YEAR(O208)+1,MONTH(O208),DAY(O208))-1</f>
        <v>46437</v>
      </c>
      <c r="R208" s="195">
        <f t="shared" ref="R208:R210" si="581">DATEDIF(O208,B208,"d")</f>
        <v>76</v>
      </c>
      <c r="U208" s="91"/>
    </row>
    <row r="209" spans="1:21" s="1" customFormat="1" ht="19.649999999999999" customHeight="1" x14ac:dyDescent="0.25">
      <c r="A209" s="333">
        <v>46149</v>
      </c>
      <c r="B209" s="269">
        <v>46149</v>
      </c>
      <c r="C209" s="270" t="s">
        <v>327</v>
      </c>
      <c r="D209" s="270">
        <v>12</v>
      </c>
      <c r="E209" s="270">
        <f t="shared" ref="E209" si="582">D209*200</f>
        <v>2400</v>
      </c>
      <c r="F209" s="271" t="s">
        <v>1</v>
      </c>
      <c r="G209" s="270">
        <f t="shared" ref="G209" si="583">D209*209</f>
        <v>2508</v>
      </c>
      <c r="H209" s="346" t="s">
        <v>393</v>
      </c>
      <c r="I209" s="272">
        <f>76000-E209</f>
        <v>73600</v>
      </c>
      <c r="J209" s="273"/>
      <c r="K209" s="274"/>
      <c r="L209" s="270">
        <v>260506001</v>
      </c>
      <c r="M209" s="270"/>
      <c r="N209" s="270">
        <f>N208-D209</f>
        <v>0</v>
      </c>
      <c r="O209" s="192">
        <v>46073</v>
      </c>
      <c r="P209" s="193">
        <f t="shared" si="579"/>
        <v>289</v>
      </c>
      <c r="Q209" s="194">
        <f t="shared" si="580"/>
        <v>46437</v>
      </c>
      <c r="R209" s="195">
        <f t="shared" si="581"/>
        <v>76</v>
      </c>
      <c r="U209" s="91"/>
    </row>
    <row r="210" spans="1:21" s="1" customFormat="1" ht="19.649999999999999" customHeight="1" x14ac:dyDescent="0.25">
      <c r="A210" s="333">
        <v>46149</v>
      </c>
      <c r="B210" s="269">
        <v>46149</v>
      </c>
      <c r="C210" s="270" t="s">
        <v>328</v>
      </c>
      <c r="D210" s="270">
        <v>4</v>
      </c>
      <c r="E210" s="270">
        <f t="shared" ref="E210" si="584">D210*200</f>
        <v>800</v>
      </c>
      <c r="F210" s="271" t="s">
        <v>1</v>
      </c>
      <c r="G210" s="270">
        <f t="shared" ref="G210" si="585">D210*209</f>
        <v>836</v>
      </c>
      <c r="H210" s="271" t="s">
        <v>392</v>
      </c>
      <c r="I210" s="272">
        <f>I209-E210</f>
        <v>72800</v>
      </c>
      <c r="J210" s="273"/>
      <c r="K210" s="274"/>
      <c r="L210" s="270">
        <v>260506001</v>
      </c>
      <c r="M210" s="270"/>
      <c r="N210" s="270">
        <f>N128-D210</f>
        <v>34</v>
      </c>
      <c r="O210" s="192">
        <v>46076</v>
      </c>
      <c r="P210" s="193">
        <f t="shared" si="579"/>
        <v>292</v>
      </c>
      <c r="Q210" s="194">
        <f t="shared" si="580"/>
        <v>46440</v>
      </c>
      <c r="R210" s="195">
        <f t="shared" si="581"/>
        <v>73</v>
      </c>
      <c r="U210" s="91"/>
    </row>
    <row r="211" spans="1:21" s="1" customFormat="1" ht="19.649999999999999" customHeight="1" x14ac:dyDescent="0.25">
      <c r="A211" s="347">
        <v>46150</v>
      </c>
      <c r="B211" s="347">
        <v>46150</v>
      </c>
      <c r="C211" s="348" t="s">
        <v>328</v>
      </c>
      <c r="D211" s="348">
        <v>24</v>
      </c>
      <c r="E211" s="348">
        <f>D211*200</f>
        <v>4800</v>
      </c>
      <c r="F211" s="349" t="s">
        <v>40</v>
      </c>
      <c r="G211" s="348">
        <f>D211*209</f>
        <v>5016</v>
      </c>
      <c r="H211" s="350" t="s">
        <v>381</v>
      </c>
      <c r="I211" s="351">
        <f>I207-E211</f>
        <v>30000</v>
      </c>
      <c r="J211" s="352"/>
      <c r="K211" s="353"/>
      <c r="L211" s="348">
        <v>260507001</v>
      </c>
      <c r="M211" s="348"/>
      <c r="N211" s="348">
        <f>N210-D211</f>
        <v>10</v>
      </c>
      <c r="O211" s="192">
        <v>46076</v>
      </c>
      <c r="P211" s="193">
        <f t="shared" ref="P211" si="586">365-R211</f>
        <v>291</v>
      </c>
      <c r="Q211" s="194">
        <f t="shared" ref="Q211" si="587">DATE(YEAR(O211)+1,MONTH(O211),DAY(O211))-1</f>
        <v>46440</v>
      </c>
      <c r="R211" s="195">
        <f t="shared" ref="R211" si="588">DATEDIF(O211,B211,"d")</f>
        <v>74</v>
      </c>
      <c r="U211" s="91"/>
    </row>
    <row r="212" spans="1:21" s="1" customFormat="1" ht="19.649999999999999" customHeight="1" x14ac:dyDescent="0.25">
      <c r="A212" s="354">
        <v>46153</v>
      </c>
      <c r="B212" s="169">
        <v>46153</v>
      </c>
      <c r="C212" s="110" t="s">
        <v>328</v>
      </c>
      <c r="D212" s="110">
        <v>10</v>
      </c>
      <c r="E212" s="110">
        <f t="shared" ref="E212:E216" si="589">D212*200</f>
        <v>2000</v>
      </c>
      <c r="F212" s="111" t="s">
        <v>1</v>
      </c>
      <c r="G212" s="110">
        <f t="shared" ref="G212:G216" si="590">D212*209</f>
        <v>2090</v>
      </c>
      <c r="H212" s="111" t="s">
        <v>393</v>
      </c>
      <c r="I212" s="171">
        <f>I210-E212</f>
        <v>70800</v>
      </c>
      <c r="J212" s="172"/>
      <c r="K212" s="173"/>
      <c r="L212" s="110">
        <v>260508002</v>
      </c>
      <c r="M212" s="110"/>
      <c r="N212" s="110">
        <f>N211-D212</f>
        <v>0</v>
      </c>
      <c r="O212" s="192">
        <v>46076</v>
      </c>
      <c r="P212" s="193">
        <f t="shared" ref="P212:P217" si="591">365-R212</f>
        <v>288</v>
      </c>
      <c r="Q212" s="194">
        <f t="shared" ref="Q212:Q217" si="592">DATE(YEAR(O212)+1,MONTH(O212),DAY(O212))-1</f>
        <v>46440</v>
      </c>
      <c r="R212" s="195">
        <f t="shared" ref="R212:R217" si="593">DATEDIF(O212,B212,"d")</f>
        <v>77</v>
      </c>
      <c r="U212" s="91"/>
    </row>
    <row r="213" spans="1:21" s="1" customFormat="1" ht="19.649999999999999" customHeight="1" x14ac:dyDescent="0.25">
      <c r="A213" s="354">
        <v>46153</v>
      </c>
      <c r="B213" s="169">
        <v>46153</v>
      </c>
      <c r="C213" s="110" t="s">
        <v>329</v>
      </c>
      <c r="D213" s="110">
        <v>22</v>
      </c>
      <c r="E213" s="110">
        <f t="shared" si="589"/>
        <v>4400</v>
      </c>
      <c r="F213" s="111" t="s">
        <v>1</v>
      </c>
      <c r="G213" s="110">
        <f t="shared" si="590"/>
        <v>4598</v>
      </c>
      <c r="H213" s="111" t="s">
        <v>392</v>
      </c>
      <c r="I213" s="171">
        <f>I212-E213</f>
        <v>66400</v>
      </c>
      <c r="J213" s="172"/>
      <c r="K213" s="173"/>
      <c r="L213" s="110">
        <v>260508002</v>
      </c>
      <c r="M213" s="110"/>
      <c r="N213" s="110">
        <f>N129-D213</f>
        <v>17</v>
      </c>
      <c r="O213" s="192">
        <v>46078</v>
      </c>
      <c r="P213" s="193">
        <f t="shared" si="591"/>
        <v>290</v>
      </c>
      <c r="Q213" s="194">
        <f t="shared" si="592"/>
        <v>46442</v>
      </c>
      <c r="R213" s="195">
        <f t="shared" si="593"/>
        <v>75</v>
      </c>
      <c r="U213" s="91"/>
    </row>
    <row r="214" spans="1:21" s="1" customFormat="1" ht="19.649999999999999" customHeight="1" x14ac:dyDescent="0.25">
      <c r="A214" s="213">
        <v>46154</v>
      </c>
      <c r="B214" s="213">
        <v>46154</v>
      </c>
      <c r="C214" s="214" t="s">
        <v>329</v>
      </c>
      <c r="D214" s="214">
        <v>17</v>
      </c>
      <c r="E214" s="214">
        <f t="shared" si="589"/>
        <v>3400</v>
      </c>
      <c r="F214" s="215" t="s">
        <v>3</v>
      </c>
      <c r="G214" s="214">
        <f t="shared" si="590"/>
        <v>3553</v>
      </c>
      <c r="H214" s="215" t="s">
        <v>360</v>
      </c>
      <c r="I214" s="216">
        <f>I205-E214</f>
        <v>25200</v>
      </c>
      <c r="J214" s="217"/>
      <c r="K214" s="218"/>
      <c r="L214" s="214">
        <v>260511001</v>
      </c>
      <c r="M214" s="214"/>
      <c r="N214" s="214">
        <f>N213-D214</f>
        <v>0</v>
      </c>
      <c r="O214" s="192">
        <v>46078</v>
      </c>
      <c r="P214" s="193">
        <f t="shared" ref="P214:P215" si="594">365-R214</f>
        <v>289</v>
      </c>
      <c r="Q214" s="194">
        <f t="shared" ref="Q214:Q215" si="595">DATE(YEAR(O214)+1,MONTH(O214),DAY(O214))-1</f>
        <v>46442</v>
      </c>
      <c r="R214" s="195">
        <f t="shared" ref="R214:R215" si="596">DATEDIF(O214,B214,"d")</f>
        <v>76</v>
      </c>
      <c r="U214" s="91"/>
    </row>
    <row r="215" spans="1:21" s="1" customFormat="1" ht="19.649999999999999" customHeight="1" x14ac:dyDescent="0.25">
      <c r="A215" s="213">
        <v>46154</v>
      </c>
      <c r="B215" s="213">
        <v>46154</v>
      </c>
      <c r="C215" s="214" t="s">
        <v>330</v>
      </c>
      <c r="D215" s="214">
        <v>7</v>
      </c>
      <c r="E215" s="214">
        <f t="shared" si="589"/>
        <v>1400</v>
      </c>
      <c r="F215" s="215" t="s">
        <v>3</v>
      </c>
      <c r="G215" s="214">
        <f t="shared" si="590"/>
        <v>1463</v>
      </c>
      <c r="H215" s="215" t="s">
        <v>360</v>
      </c>
      <c r="I215" s="216">
        <f>I214-E215</f>
        <v>23800</v>
      </c>
      <c r="J215" s="217"/>
      <c r="K215" s="218"/>
      <c r="L215" s="214">
        <v>260511002</v>
      </c>
      <c r="M215" s="214"/>
      <c r="N215" s="214">
        <f>N130-D215</f>
        <v>31</v>
      </c>
      <c r="O215" s="192">
        <v>46080</v>
      </c>
      <c r="P215" s="193">
        <f t="shared" si="594"/>
        <v>291</v>
      </c>
      <c r="Q215" s="194">
        <f t="shared" si="595"/>
        <v>46444</v>
      </c>
      <c r="R215" s="195">
        <f t="shared" si="596"/>
        <v>74</v>
      </c>
      <c r="U215" s="91"/>
    </row>
    <row r="216" spans="1:21" s="1" customFormat="1" ht="19.649999999999999" customHeight="1" x14ac:dyDescent="0.25">
      <c r="A216" s="213">
        <v>46154</v>
      </c>
      <c r="B216" s="213">
        <v>46154</v>
      </c>
      <c r="C216" s="214" t="s">
        <v>394</v>
      </c>
      <c r="D216" s="214">
        <v>4</v>
      </c>
      <c r="E216" s="214">
        <f t="shared" si="589"/>
        <v>800</v>
      </c>
      <c r="F216" s="215" t="s">
        <v>3</v>
      </c>
      <c r="G216" s="214">
        <f t="shared" si="590"/>
        <v>836</v>
      </c>
      <c r="H216" s="215" t="s">
        <v>360</v>
      </c>
      <c r="I216" s="216">
        <f>I215-E216</f>
        <v>23000</v>
      </c>
      <c r="J216" s="217" t="s">
        <v>322</v>
      </c>
      <c r="K216" s="218"/>
      <c r="L216" s="214">
        <v>260511002</v>
      </c>
      <c r="M216" s="214">
        <v>42</v>
      </c>
      <c r="N216" s="214">
        <f>M216-D216</f>
        <v>38</v>
      </c>
      <c r="O216" s="192">
        <v>46140</v>
      </c>
      <c r="P216" s="193">
        <f t="shared" si="591"/>
        <v>351</v>
      </c>
      <c r="Q216" s="194">
        <f t="shared" si="592"/>
        <v>46504</v>
      </c>
      <c r="R216" s="195">
        <f t="shared" si="593"/>
        <v>14</v>
      </c>
      <c r="U216" s="91"/>
    </row>
    <row r="217" spans="1:21" s="1" customFormat="1" ht="19.649999999999999" customHeight="1" x14ac:dyDescent="0.25">
      <c r="A217" s="314">
        <v>46156</v>
      </c>
      <c r="B217" s="243">
        <v>46156</v>
      </c>
      <c r="C217" s="244" t="s">
        <v>330</v>
      </c>
      <c r="D217" s="244">
        <v>28</v>
      </c>
      <c r="E217" s="244">
        <f t="shared" ref="E217" si="597">D217*200</f>
        <v>5600</v>
      </c>
      <c r="F217" s="245" t="s">
        <v>1</v>
      </c>
      <c r="G217" s="244">
        <f t="shared" ref="G217" si="598">D217*209</f>
        <v>5852</v>
      </c>
      <c r="H217" s="245" t="s">
        <v>395</v>
      </c>
      <c r="I217" s="246">
        <f>I213-E217</f>
        <v>60800</v>
      </c>
      <c r="J217" s="247"/>
      <c r="K217" s="248"/>
      <c r="L217" s="244">
        <v>260513001</v>
      </c>
      <c r="M217" s="244"/>
      <c r="N217" s="244">
        <f>N215-D217</f>
        <v>3</v>
      </c>
      <c r="O217" s="192">
        <v>46080</v>
      </c>
      <c r="P217" s="193">
        <f t="shared" si="591"/>
        <v>289</v>
      </c>
      <c r="Q217" s="194">
        <f t="shared" si="592"/>
        <v>46444</v>
      </c>
      <c r="R217" s="195">
        <f t="shared" si="593"/>
        <v>76</v>
      </c>
      <c r="U217" s="91"/>
    </row>
    <row r="218" spans="1:21" s="1" customFormat="1" ht="19.649999999999999" customHeight="1" x14ac:dyDescent="0.25">
      <c r="A218" s="181">
        <v>46157</v>
      </c>
      <c r="B218" s="181">
        <v>46157</v>
      </c>
      <c r="C218" s="130" t="s">
        <v>396</v>
      </c>
      <c r="D218" s="130">
        <v>3</v>
      </c>
      <c r="E218" s="130">
        <f>D218*200</f>
        <v>600</v>
      </c>
      <c r="F218" s="355" t="s">
        <v>40</v>
      </c>
      <c r="G218" s="130">
        <f>D218*209</f>
        <v>627</v>
      </c>
      <c r="H218" s="131" t="s">
        <v>399</v>
      </c>
      <c r="I218" s="182">
        <f>I211-E218</f>
        <v>29400</v>
      </c>
      <c r="J218" s="183"/>
      <c r="K218" s="184"/>
      <c r="L218" s="130">
        <v>260514001</v>
      </c>
      <c r="M218" s="130"/>
      <c r="N218" s="130">
        <f>N217-D218</f>
        <v>0</v>
      </c>
      <c r="O218" s="192">
        <v>46080</v>
      </c>
      <c r="P218" s="193">
        <f t="shared" ref="P218:P220" si="599">365-R218</f>
        <v>288</v>
      </c>
      <c r="Q218" s="194">
        <f t="shared" ref="Q218:Q220" si="600">DATE(YEAR(O218)+1,MONTH(O218),DAY(O218))-1</f>
        <v>46444</v>
      </c>
      <c r="R218" s="195">
        <f t="shared" ref="R218:R220" si="601">DATEDIF(O218,B218,"d")</f>
        <v>77</v>
      </c>
      <c r="U218" s="91"/>
    </row>
    <row r="219" spans="1:21" s="1" customFormat="1" ht="19.649999999999999" customHeight="1" x14ac:dyDescent="0.25">
      <c r="A219" s="181">
        <v>46157</v>
      </c>
      <c r="B219" s="181">
        <v>46157</v>
      </c>
      <c r="C219" s="130" t="s">
        <v>397</v>
      </c>
      <c r="D219" s="130">
        <v>25</v>
      </c>
      <c r="E219" s="130">
        <f>D219*200</f>
        <v>5000</v>
      </c>
      <c r="F219" s="355" t="s">
        <v>40</v>
      </c>
      <c r="G219" s="130">
        <f>D219*209</f>
        <v>5225</v>
      </c>
      <c r="H219" s="131" t="s">
        <v>381</v>
      </c>
      <c r="I219" s="182">
        <f>I218-E219</f>
        <v>24400</v>
      </c>
      <c r="J219" s="183"/>
      <c r="K219" s="184"/>
      <c r="L219" s="130">
        <v>260514001</v>
      </c>
      <c r="M219" s="130"/>
      <c r="N219" s="130">
        <f>N131-D219</f>
        <v>13</v>
      </c>
      <c r="O219" s="192">
        <v>46083</v>
      </c>
      <c r="P219" s="193">
        <f t="shared" si="599"/>
        <v>291</v>
      </c>
      <c r="Q219" s="194">
        <f t="shared" si="600"/>
        <v>46447</v>
      </c>
      <c r="R219" s="195">
        <f t="shared" si="601"/>
        <v>74</v>
      </c>
      <c r="U219" s="91"/>
    </row>
    <row r="220" spans="1:21" s="1" customFormat="1" ht="19.649999999999999" customHeight="1" x14ac:dyDescent="0.25">
      <c r="A220" s="181">
        <v>46157</v>
      </c>
      <c r="B220" s="181">
        <v>46157</v>
      </c>
      <c r="C220" s="130" t="s">
        <v>398</v>
      </c>
      <c r="D220" s="130">
        <v>8</v>
      </c>
      <c r="E220" s="130">
        <f>D220*200</f>
        <v>1600</v>
      </c>
      <c r="F220" s="355" t="s">
        <v>40</v>
      </c>
      <c r="G220" s="130">
        <f>D220*209</f>
        <v>1672</v>
      </c>
      <c r="H220" s="131" t="s">
        <v>381</v>
      </c>
      <c r="I220" s="182">
        <f>I219-E220</f>
        <v>22800</v>
      </c>
      <c r="J220" s="183"/>
      <c r="K220" s="184"/>
      <c r="L220" s="130">
        <v>260514001</v>
      </c>
      <c r="M220" s="130"/>
      <c r="N220" s="130">
        <f>N132-D220</f>
        <v>30</v>
      </c>
      <c r="O220" s="192">
        <v>46085</v>
      </c>
      <c r="P220" s="193">
        <f t="shared" si="599"/>
        <v>293</v>
      </c>
      <c r="Q220" s="194">
        <f t="shared" si="600"/>
        <v>46449</v>
      </c>
      <c r="R220" s="195">
        <f t="shared" si="601"/>
        <v>72</v>
      </c>
      <c r="U220" s="91"/>
    </row>
    <row r="221" spans="1:21" s="1" customFormat="1" ht="19.649999999999999" customHeight="1" x14ac:dyDescent="0.25">
      <c r="A221" s="330">
        <v>46160</v>
      </c>
      <c r="B221" s="229">
        <v>46160</v>
      </c>
      <c r="C221" s="100" t="s">
        <v>400</v>
      </c>
      <c r="D221" s="100">
        <v>13</v>
      </c>
      <c r="E221" s="100">
        <f t="shared" ref="E221" si="602">D221*200</f>
        <v>2600</v>
      </c>
      <c r="F221" s="101" t="s">
        <v>1</v>
      </c>
      <c r="G221" s="100">
        <f t="shared" ref="G221" si="603">D221*209</f>
        <v>2717</v>
      </c>
      <c r="H221" s="101" t="s">
        <v>402</v>
      </c>
      <c r="I221" s="230">
        <f>I217-E221</f>
        <v>58200</v>
      </c>
      <c r="J221" s="231"/>
      <c r="K221" s="232"/>
      <c r="L221" s="100">
        <v>260515001</v>
      </c>
      <c r="M221" s="100"/>
      <c r="N221" s="100">
        <f>N219-D221</f>
        <v>0</v>
      </c>
      <c r="O221" s="192">
        <v>46083</v>
      </c>
      <c r="P221" s="193">
        <f t="shared" ref="P221:P225" si="604">365-R221</f>
        <v>288</v>
      </c>
      <c r="Q221" s="194">
        <f t="shared" ref="Q221:Q225" si="605">DATE(YEAR(O221)+1,MONTH(O221),DAY(O221))-1</f>
        <v>46447</v>
      </c>
      <c r="R221" s="195">
        <f t="shared" ref="R221:R225" si="606">DATEDIF(O221,B221,"d")</f>
        <v>77</v>
      </c>
      <c r="U221" s="91"/>
    </row>
    <row r="222" spans="1:21" s="1" customFormat="1" ht="19.649999999999999" customHeight="1" x14ac:dyDescent="0.25">
      <c r="A222" s="330">
        <v>46160</v>
      </c>
      <c r="B222" s="229">
        <v>46160</v>
      </c>
      <c r="C222" s="100" t="s">
        <v>401</v>
      </c>
      <c r="D222" s="100">
        <v>15</v>
      </c>
      <c r="E222" s="100">
        <f t="shared" ref="E222:E225" si="607">D222*200</f>
        <v>3000</v>
      </c>
      <c r="F222" s="101" t="s">
        <v>1</v>
      </c>
      <c r="G222" s="100">
        <f t="shared" ref="G222:G225" si="608">D222*209</f>
        <v>3135</v>
      </c>
      <c r="H222" s="101" t="s">
        <v>393</v>
      </c>
      <c r="I222" s="230">
        <f>I221-E222</f>
        <v>55200</v>
      </c>
      <c r="J222" s="231"/>
      <c r="K222" s="232"/>
      <c r="L222" s="100">
        <v>260515001</v>
      </c>
      <c r="M222" s="100"/>
      <c r="N222" s="100">
        <f>N220-D222</f>
        <v>15</v>
      </c>
      <c r="O222" s="192">
        <v>46085</v>
      </c>
      <c r="P222" s="193">
        <f t="shared" si="604"/>
        <v>290</v>
      </c>
      <c r="Q222" s="194">
        <f t="shared" si="605"/>
        <v>46449</v>
      </c>
      <c r="R222" s="195">
        <f t="shared" si="606"/>
        <v>75</v>
      </c>
      <c r="U222" s="91"/>
    </row>
    <row r="223" spans="1:21" s="1" customFormat="1" ht="19.649999999999999" customHeight="1" x14ac:dyDescent="0.25">
      <c r="A223" s="26">
        <v>46162</v>
      </c>
      <c r="B223" s="26">
        <v>46162</v>
      </c>
      <c r="C223" s="27" t="s">
        <v>405</v>
      </c>
      <c r="D223" s="27">
        <v>15</v>
      </c>
      <c r="E223" s="27">
        <f t="shared" si="607"/>
        <v>3000</v>
      </c>
      <c r="F223" s="28" t="s">
        <v>3</v>
      </c>
      <c r="G223" s="27">
        <f t="shared" si="608"/>
        <v>3135</v>
      </c>
      <c r="H223" s="28" t="s">
        <v>360</v>
      </c>
      <c r="I223" s="29">
        <f>I216-E223</f>
        <v>20000</v>
      </c>
      <c r="J223" s="30"/>
      <c r="K223" s="31"/>
      <c r="L223" s="27">
        <v>260519001</v>
      </c>
      <c r="M223" s="27"/>
      <c r="N223" s="27">
        <f>N222-D223</f>
        <v>0</v>
      </c>
      <c r="O223" s="192">
        <v>46085</v>
      </c>
      <c r="P223" s="193">
        <f t="shared" ref="P223:P224" si="609">365-R223</f>
        <v>288</v>
      </c>
      <c r="Q223" s="194">
        <f t="shared" ref="Q223:Q224" si="610">DATE(YEAR(O223)+1,MONTH(O223),DAY(O223))-1</f>
        <v>46449</v>
      </c>
      <c r="R223" s="195">
        <f t="shared" ref="R223:R224" si="611">DATEDIF(O223,B223,"d")</f>
        <v>77</v>
      </c>
      <c r="U223" s="91"/>
    </row>
    <row r="224" spans="1:21" s="1" customFormat="1" ht="19.649999999999999" customHeight="1" x14ac:dyDescent="0.25">
      <c r="A224" s="26">
        <v>46162</v>
      </c>
      <c r="B224" s="26">
        <v>46162</v>
      </c>
      <c r="C224" s="27" t="s">
        <v>406</v>
      </c>
      <c r="D224" s="27">
        <v>13</v>
      </c>
      <c r="E224" s="27">
        <f t="shared" si="607"/>
        <v>2600</v>
      </c>
      <c r="F224" s="28" t="s">
        <v>3</v>
      </c>
      <c r="G224" s="27">
        <f t="shared" si="608"/>
        <v>2717</v>
      </c>
      <c r="H224" s="28" t="s">
        <v>360</v>
      </c>
      <c r="I224" s="29">
        <f>I223-E224</f>
        <v>17400</v>
      </c>
      <c r="J224" s="30"/>
      <c r="K224" s="31"/>
      <c r="L224" s="27">
        <v>260519001</v>
      </c>
      <c r="M224" s="27"/>
      <c r="N224" s="27">
        <f>N141-D224</f>
        <v>25</v>
      </c>
      <c r="O224" s="192">
        <v>46087</v>
      </c>
      <c r="P224" s="193">
        <f t="shared" si="609"/>
        <v>290</v>
      </c>
      <c r="Q224" s="194">
        <f t="shared" si="610"/>
        <v>46451</v>
      </c>
      <c r="R224" s="195">
        <f t="shared" si="611"/>
        <v>75</v>
      </c>
      <c r="U224" s="91"/>
    </row>
    <row r="225" spans="1:21" s="1" customFormat="1" ht="19.649999999999999" customHeight="1" x14ac:dyDescent="0.25">
      <c r="A225" s="26">
        <v>46162</v>
      </c>
      <c r="B225" s="26">
        <v>46162</v>
      </c>
      <c r="C225" s="27" t="s">
        <v>403</v>
      </c>
      <c r="D225" s="27">
        <v>4</v>
      </c>
      <c r="E225" s="27">
        <f t="shared" si="607"/>
        <v>800</v>
      </c>
      <c r="F225" s="28" t="s">
        <v>3</v>
      </c>
      <c r="G225" s="27">
        <f t="shared" si="608"/>
        <v>836</v>
      </c>
      <c r="H225" s="28" t="s">
        <v>407</v>
      </c>
      <c r="I225" s="29">
        <f>I224-E225</f>
        <v>16600</v>
      </c>
      <c r="J225" s="30" t="s">
        <v>322</v>
      </c>
      <c r="K225" s="31"/>
      <c r="L225" s="27">
        <v>260519002</v>
      </c>
      <c r="M225" s="27">
        <v>42</v>
      </c>
      <c r="N225" s="27">
        <f>M225-D225</f>
        <v>38</v>
      </c>
      <c r="O225" s="192">
        <v>46148</v>
      </c>
      <c r="P225" s="193">
        <f t="shared" si="604"/>
        <v>351</v>
      </c>
      <c r="Q225" s="194">
        <f t="shared" si="605"/>
        <v>46512</v>
      </c>
      <c r="R225" s="195">
        <f t="shared" si="606"/>
        <v>14</v>
      </c>
      <c r="U225" s="91"/>
    </row>
    <row r="226" spans="1:21" s="1" customFormat="1" ht="19.649999999999999" customHeight="1" x14ac:dyDescent="0.25">
      <c r="A226" s="26">
        <v>46162</v>
      </c>
      <c r="B226" s="26">
        <v>46162</v>
      </c>
      <c r="C226" s="27" t="s">
        <v>404</v>
      </c>
      <c r="D226" s="27">
        <v>4</v>
      </c>
      <c r="E226" s="27">
        <f t="shared" ref="E226:E228" si="612">D226*200</f>
        <v>800</v>
      </c>
      <c r="F226" s="28" t="s">
        <v>3</v>
      </c>
      <c r="G226" s="27">
        <f t="shared" ref="G226:G228" si="613">D226*209</f>
        <v>836</v>
      </c>
      <c r="H226" s="28" t="s">
        <v>366</v>
      </c>
      <c r="I226" s="29">
        <f>I225-E226</f>
        <v>15800</v>
      </c>
      <c r="J226" s="30" t="s">
        <v>322</v>
      </c>
      <c r="K226" s="31"/>
      <c r="L226" s="27">
        <v>260519002</v>
      </c>
      <c r="M226" s="27">
        <v>41</v>
      </c>
      <c r="N226" s="27">
        <f>M226-D226</f>
        <v>37</v>
      </c>
      <c r="O226" s="192">
        <v>46150</v>
      </c>
      <c r="P226" s="193">
        <f t="shared" ref="P226:P228" si="614">365-R226</f>
        <v>353</v>
      </c>
      <c r="Q226" s="194">
        <f t="shared" ref="Q226:Q228" si="615">DATE(YEAR(O226)+1,MONTH(O226),DAY(O226))-1</f>
        <v>46514</v>
      </c>
      <c r="R226" s="195">
        <f t="shared" ref="R226:R228" si="616">DATEDIF(O226,B226,"d")</f>
        <v>12</v>
      </c>
      <c r="U226" s="91"/>
    </row>
    <row r="227" spans="1:21" s="1" customFormat="1" ht="19.649999999999999" customHeight="1" x14ac:dyDescent="0.25">
      <c r="A227" s="329">
        <v>46163</v>
      </c>
      <c r="B227" s="219">
        <v>46163</v>
      </c>
      <c r="C227" s="220" t="s">
        <v>342</v>
      </c>
      <c r="D227" s="220">
        <v>25</v>
      </c>
      <c r="E227" s="220">
        <f t="shared" si="612"/>
        <v>5000</v>
      </c>
      <c r="F227" s="221" t="s">
        <v>1</v>
      </c>
      <c r="G227" s="220">
        <f t="shared" si="613"/>
        <v>5225</v>
      </c>
      <c r="H227" s="221" t="s">
        <v>409</v>
      </c>
      <c r="I227" s="222">
        <f>I222-E227</f>
        <v>50200</v>
      </c>
      <c r="J227" s="223"/>
      <c r="K227" s="224"/>
      <c r="L227" s="220">
        <v>260520009</v>
      </c>
      <c r="M227" s="220"/>
      <c r="N227" s="220">
        <f>N224-D227</f>
        <v>0</v>
      </c>
      <c r="O227" s="192">
        <v>46087</v>
      </c>
      <c r="P227" s="193">
        <f t="shared" si="614"/>
        <v>289</v>
      </c>
      <c r="Q227" s="194">
        <f t="shared" si="615"/>
        <v>46451</v>
      </c>
      <c r="R227" s="195">
        <f t="shared" si="616"/>
        <v>76</v>
      </c>
      <c r="U227" s="91"/>
    </row>
    <row r="228" spans="1:21" s="1" customFormat="1" ht="19.649999999999999" customHeight="1" x14ac:dyDescent="0.25">
      <c r="A228" s="329">
        <v>46163</v>
      </c>
      <c r="B228" s="219">
        <v>46163</v>
      </c>
      <c r="C228" s="220" t="s">
        <v>408</v>
      </c>
      <c r="D228" s="220">
        <v>3</v>
      </c>
      <c r="E228" s="220">
        <f t="shared" si="612"/>
        <v>600</v>
      </c>
      <c r="F228" s="221" t="s">
        <v>1</v>
      </c>
      <c r="G228" s="220">
        <f t="shared" si="613"/>
        <v>627</v>
      </c>
      <c r="H228" s="221" t="s">
        <v>393</v>
      </c>
      <c r="I228" s="222">
        <f>I227-E228</f>
        <v>49600</v>
      </c>
      <c r="J228" s="223"/>
      <c r="K228" s="224"/>
      <c r="L228" s="220">
        <v>260520009</v>
      </c>
      <c r="M228" s="220"/>
      <c r="N228" s="220">
        <f>N142-D228</f>
        <v>35</v>
      </c>
      <c r="O228" s="192">
        <v>46092</v>
      </c>
      <c r="P228" s="193">
        <f t="shared" si="614"/>
        <v>294</v>
      </c>
      <c r="Q228" s="194">
        <f t="shared" si="615"/>
        <v>46456</v>
      </c>
      <c r="R228" s="195">
        <f t="shared" si="616"/>
        <v>71</v>
      </c>
      <c r="U228" s="91"/>
    </row>
    <row r="229" spans="1:21" s="1" customFormat="1" ht="19.649999999999999" customHeight="1" x14ac:dyDescent="0.25">
      <c r="A229" s="250">
        <v>46164</v>
      </c>
      <c r="B229" s="250">
        <v>46164</v>
      </c>
      <c r="C229" s="126" t="s">
        <v>343</v>
      </c>
      <c r="D229" s="126">
        <v>24</v>
      </c>
      <c r="E229" s="126">
        <f>D229*200</f>
        <v>4800</v>
      </c>
      <c r="F229" s="251" t="s">
        <v>40</v>
      </c>
      <c r="G229" s="126">
        <f>D229*209</f>
        <v>5016</v>
      </c>
      <c r="H229" s="127" t="s">
        <v>411</v>
      </c>
      <c r="I229" s="252">
        <f>I220-E229</f>
        <v>18000</v>
      </c>
      <c r="J229" s="253"/>
      <c r="K229" s="254"/>
      <c r="L229" s="126">
        <v>260521001</v>
      </c>
      <c r="M229" s="126"/>
      <c r="N229" s="126">
        <f>N228-D229</f>
        <v>11</v>
      </c>
      <c r="O229" s="192">
        <v>46092</v>
      </c>
      <c r="P229" s="193">
        <f t="shared" ref="P229:P230" si="617">365-R229</f>
        <v>293</v>
      </c>
      <c r="Q229" s="194">
        <f t="shared" ref="Q229:Q230" si="618">DATE(YEAR(O229)+1,MONTH(O229),DAY(O229))-1</f>
        <v>46456</v>
      </c>
      <c r="R229" s="195">
        <f t="shared" ref="R229:R230" si="619">DATEDIF(O229,B229,"d")</f>
        <v>72</v>
      </c>
      <c r="U229" s="91"/>
    </row>
    <row r="230" spans="1:21" s="1" customFormat="1" ht="19.649999999999999" customHeight="1" x14ac:dyDescent="0.25">
      <c r="A230" s="250">
        <v>46164</v>
      </c>
      <c r="B230" s="250">
        <v>46164</v>
      </c>
      <c r="C230" s="126" t="s">
        <v>410</v>
      </c>
      <c r="D230" s="126">
        <v>12</v>
      </c>
      <c r="E230" s="126">
        <f>D230*200</f>
        <v>2400</v>
      </c>
      <c r="F230" s="251" t="s">
        <v>40</v>
      </c>
      <c r="G230" s="126">
        <f>D230*209</f>
        <v>2508</v>
      </c>
      <c r="H230" s="127" t="s">
        <v>381</v>
      </c>
      <c r="I230" s="252">
        <f>I229-E230</f>
        <v>15600</v>
      </c>
      <c r="J230" s="253"/>
      <c r="K230" s="254"/>
      <c r="L230" s="126">
        <v>260521001</v>
      </c>
      <c r="M230" s="126"/>
      <c r="N230" s="126">
        <f>N143-D230</f>
        <v>27</v>
      </c>
      <c r="O230" s="192">
        <v>46094</v>
      </c>
      <c r="P230" s="193">
        <f t="shared" si="617"/>
        <v>295</v>
      </c>
      <c r="Q230" s="194">
        <f t="shared" si="618"/>
        <v>46458</v>
      </c>
      <c r="R230" s="195">
        <f t="shared" si="619"/>
        <v>70</v>
      </c>
      <c r="U230" s="91"/>
    </row>
    <row r="231" spans="1:21" s="1" customFormat="1" ht="19.649999999999999" customHeight="1" x14ac:dyDescent="0.25">
      <c r="A231" s="356">
        <v>46167</v>
      </c>
      <c r="B231" s="233">
        <v>46167</v>
      </c>
      <c r="C231" s="38" t="s">
        <v>412</v>
      </c>
      <c r="D231" s="38">
        <v>11</v>
      </c>
      <c r="E231" s="38">
        <f t="shared" ref="E231:E236" si="620">D231*200</f>
        <v>2200</v>
      </c>
      <c r="F231" s="39" t="s">
        <v>1</v>
      </c>
      <c r="G231" s="38">
        <f t="shared" ref="G231:G236" si="621">D231*209</f>
        <v>2299</v>
      </c>
      <c r="H231" s="39" t="s">
        <v>393</v>
      </c>
      <c r="I231" s="234">
        <f>I228-E231</f>
        <v>47400</v>
      </c>
      <c r="J231" s="235"/>
      <c r="K231" s="236"/>
      <c r="L231" s="38">
        <v>260522008</v>
      </c>
      <c r="M231" s="38"/>
      <c r="N231" s="38">
        <f>N229-D231</f>
        <v>0</v>
      </c>
      <c r="O231" s="192">
        <v>46092</v>
      </c>
      <c r="P231" s="193">
        <f t="shared" ref="P231:P236" si="622">365-R231</f>
        <v>290</v>
      </c>
      <c r="Q231" s="194">
        <f t="shared" ref="Q231:Q236" si="623">DATE(YEAR(O231)+1,MONTH(O231),DAY(O231))-1</f>
        <v>46456</v>
      </c>
      <c r="R231" s="195">
        <f t="shared" ref="R231:R236" si="624">DATEDIF(O231,B231,"d")</f>
        <v>75</v>
      </c>
      <c r="U231" s="91"/>
    </row>
    <row r="232" spans="1:21" s="1" customFormat="1" ht="19.649999999999999" customHeight="1" x14ac:dyDescent="0.25">
      <c r="A232" s="356">
        <v>46167</v>
      </c>
      <c r="B232" s="233">
        <v>46167</v>
      </c>
      <c r="C232" s="38" t="s">
        <v>413</v>
      </c>
      <c r="D232" s="38">
        <v>17</v>
      </c>
      <c r="E232" s="38">
        <f t="shared" si="620"/>
        <v>3400</v>
      </c>
      <c r="F232" s="39" t="s">
        <v>1</v>
      </c>
      <c r="G232" s="38">
        <f t="shared" si="621"/>
        <v>3553</v>
      </c>
      <c r="H232" s="39" t="s">
        <v>393</v>
      </c>
      <c r="I232" s="234">
        <f>I231-E232</f>
        <v>44000</v>
      </c>
      <c r="J232" s="235"/>
      <c r="K232" s="236"/>
      <c r="L232" s="38">
        <v>260522008</v>
      </c>
      <c r="M232" s="38"/>
      <c r="N232" s="38">
        <f>N230-D232</f>
        <v>10</v>
      </c>
      <c r="O232" s="192">
        <v>46094</v>
      </c>
      <c r="P232" s="193">
        <f t="shared" si="622"/>
        <v>292</v>
      </c>
      <c r="Q232" s="194">
        <f t="shared" si="623"/>
        <v>46458</v>
      </c>
      <c r="R232" s="195">
        <f t="shared" si="624"/>
        <v>73</v>
      </c>
      <c r="U232" s="91"/>
    </row>
    <row r="233" spans="1:21" s="1" customFormat="1" ht="19.649999999999999" customHeight="1" x14ac:dyDescent="0.25">
      <c r="A233" s="104">
        <v>46169</v>
      </c>
      <c r="B233" s="104">
        <v>46169</v>
      </c>
      <c r="C233" s="105" t="s">
        <v>344</v>
      </c>
      <c r="D233" s="105">
        <v>10</v>
      </c>
      <c r="E233" s="105">
        <f t="shared" si="620"/>
        <v>2000</v>
      </c>
      <c r="F233" s="106" t="s">
        <v>3</v>
      </c>
      <c r="G233" s="105">
        <f t="shared" si="621"/>
        <v>2090</v>
      </c>
      <c r="H233" s="106" t="s">
        <v>360</v>
      </c>
      <c r="I233" s="107">
        <f>I226-E233</f>
        <v>13800</v>
      </c>
      <c r="J233" s="108"/>
      <c r="K233" s="109"/>
      <c r="L233" s="105">
        <v>260526002</v>
      </c>
      <c r="M233" s="105"/>
      <c r="N233" s="105">
        <f>N232-D233</f>
        <v>0</v>
      </c>
      <c r="O233" s="192">
        <v>46094</v>
      </c>
      <c r="P233" s="193">
        <f t="shared" ref="P233:P234" si="625">365-R233</f>
        <v>290</v>
      </c>
      <c r="Q233" s="194">
        <f t="shared" ref="Q233:Q234" si="626">DATE(YEAR(O233)+1,MONTH(O233),DAY(O233))-1</f>
        <v>46458</v>
      </c>
      <c r="R233" s="195">
        <f t="shared" ref="R233:R234" si="627">DATEDIF(O233,B233,"d")</f>
        <v>75</v>
      </c>
      <c r="U233" s="91"/>
    </row>
    <row r="234" spans="1:21" s="1" customFormat="1" ht="19.649999999999999" customHeight="1" x14ac:dyDescent="0.25">
      <c r="A234" s="104">
        <v>46169</v>
      </c>
      <c r="B234" s="104">
        <v>46169</v>
      </c>
      <c r="C234" s="105" t="s">
        <v>349</v>
      </c>
      <c r="D234" s="105">
        <v>14</v>
      </c>
      <c r="E234" s="105">
        <f t="shared" si="620"/>
        <v>2800</v>
      </c>
      <c r="F234" s="106" t="s">
        <v>3</v>
      </c>
      <c r="G234" s="105">
        <f t="shared" si="621"/>
        <v>2926</v>
      </c>
      <c r="H234" s="106" t="s">
        <v>379</v>
      </c>
      <c r="I234" s="107">
        <f>I233-E234</f>
        <v>11000</v>
      </c>
      <c r="J234" s="108"/>
      <c r="K234" s="109"/>
      <c r="L234" s="105">
        <v>260526002</v>
      </c>
      <c r="M234" s="105"/>
      <c r="N234" s="105">
        <f>N151-D234</f>
        <v>24</v>
      </c>
      <c r="O234" s="192">
        <v>46098</v>
      </c>
      <c r="P234" s="193">
        <f t="shared" si="625"/>
        <v>294</v>
      </c>
      <c r="Q234" s="194">
        <f t="shared" si="626"/>
        <v>46462</v>
      </c>
      <c r="R234" s="195">
        <f t="shared" si="627"/>
        <v>71</v>
      </c>
      <c r="U234" s="91"/>
    </row>
    <row r="235" spans="1:21" s="1" customFormat="1" ht="19.649999999999999" customHeight="1" x14ac:dyDescent="0.25">
      <c r="A235" s="104">
        <v>46169</v>
      </c>
      <c r="B235" s="104">
        <v>46169</v>
      </c>
      <c r="C235" s="105" t="s">
        <v>414</v>
      </c>
      <c r="D235" s="105">
        <v>4</v>
      </c>
      <c r="E235" s="105">
        <f t="shared" si="620"/>
        <v>800</v>
      </c>
      <c r="F235" s="106" t="s">
        <v>3</v>
      </c>
      <c r="G235" s="105">
        <f t="shared" si="621"/>
        <v>836</v>
      </c>
      <c r="H235" s="106" t="s">
        <v>360</v>
      </c>
      <c r="I235" s="107">
        <f>I234-E235</f>
        <v>10200</v>
      </c>
      <c r="J235" s="108" t="s">
        <v>322</v>
      </c>
      <c r="K235" s="109"/>
      <c r="L235" s="105">
        <v>260526003</v>
      </c>
      <c r="M235" s="105">
        <v>42</v>
      </c>
      <c r="N235" s="105">
        <f>M235-D235</f>
        <v>38</v>
      </c>
      <c r="O235" s="192">
        <v>46153</v>
      </c>
      <c r="P235" s="193">
        <f t="shared" si="622"/>
        <v>349</v>
      </c>
      <c r="Q235" s="194">
        <f t="shared" si="623"/>
        <v>46517</v>
      </c>
      <c r="R235" s="195">
        <f t="shared" si="624"/>
        <v>16</v>
      </c>
      <c r="U235" s="91"/>
    </row>
    <row r="236" spans="1:21" s="1" customFormat="1" ht="19.649999999999999" customHeight="1" x14ac:dyDescent="0.25">
      <c r="A236" s="104">
        <v>46169</v>
      </c>
      <c r="B236" s="104">
        <v>46169</v>
      </c>
      <c r="C236" s="105" t="s">
        <v>415</v>
      </c>
      <c r="D236" s="105">
        <v>4</v>
      </c>
      <c r="E236" s="105">
        <f t="shared" si="620"/>
        <v>800</v>
      </c>
      <c r="F236" s="106" t="s">
        <v>3</v>
      </c>
      <c r="G236" s="105">
        <f t="shared" si="621"/>
        <v>836</v>
      </c>
      <c r="H236" s="106" t="s">
        <v>379</v>
      </c>
      <c r="I236" s="107">
        <f>I235-E236</f>
        <v>9400</v>
      </c>
      <c r="J236" s="108" t="s">
        <v>322</v>
      </c>
      <c r="K236" s="109"/>
      <c r="L236" s="105">
        <v>260526003</v>
      </c>
      <c r="M236" s="105">
        <v>42</v>
      </c>
      <c r="N236" s="105">
        <f>M236-D236</f>
        <v>38</v>
      </c>
      <c r="O236" s="192">
        <v>46155</v>
      </c>
      <c r="P236" s="193">
        <f t="shared" si="622"/>
        <v>351</v>
      </c>
      <c r="Q236" s="194">
        <f t="shared" si="623"/>
        <v>46519</v>
      </c>
      <c r="R236" s="195">
        <f t="shared" si="624"/>
        <v>14</v>
      </c>
      <c r="U236" s="91"/>
    </row>
    <row r="237" spans="1:21" s="1" customFormat="1" ht="19.649999999999999" customHeight="1" x14ac:dyDescent="0.25">
      <c r="A237" s="104">
        <v>46169</v>
      </c>
      <c r="B237" s="104">
        <v>46169</v>
      </c>
      <c r="C237" s="105" t="s">
        <v>416</v>
      </c>
      <c r="D237" s="105">
        <v>4</v>
      </c>
      <c r="E237" s="105">
        <f t="shared" ref="E237:E239" si="628">D237*200</f>
        <v>800</v>
      </c>
      <c r="F237" s="106" t="s">
        <v>3</v>
      </c>
      <c r="G237" s="105">
        <f t="shared" ref="G237:G239" si="629">D237*209</f>
        <v>836</v>
      </c>
      <c r="H237" s="106" t="s">
        <v>366</v>
      </c>
      <c r="I237" s="107">
        <f>I236-E237</f>
        <v>8600</v>
      </c>
      <c r="J237" s="108" t="s">
        <v>322</v>
      </c>
      <c r="K237" s="109"/>
      <c r="L237" s="105">
        <v>260526003</v>
      </c>
      <c r="M237" s="105">
        <v>42</v>
      </c>
      <c r="N237" s="105">
        <f>M237-D237</f>
        <v>38</v>
      </c>
      <c r="O237" s="192">
        <v>46157</v>
      </c>
      <c r="P237" s="193">
        <f t="shared" ref="P237:P241" si="630">365-R237</f>
        <v>353</v>
      </c>
      <c r="Q237" s="194">
        <f t="shared" ref="Q237:Q241" si="631">DATE(YEAR(O237)+1,MONTH(O237),DAY(O237))-1</f>
        <v>46521</v>
      </c>
      <c r="R237" s="195">
        <f t="shared" ref="R237:R241" si="632">DATEDIF(O237,B237,"d")</f>
        <v>12</v>
      </c>
      <c r="U237" s="91"/>
    </row>
    <row r="238" spans="1:21" s="1" customFormat="1" ht="19.649999999999999" customHeight="1" x14ac:dyDescent="0.25">
      <c r="A238" s="354">
        <v>46170</v>
      </c>
      <c r="B238" s="169">
        <v>46170</v>
      </c>
      <c r="C238" s="111" t="s">
        <v>374</v>
      </c>
      <c r="D238" s="110">
        <v>28</v>
      </c>
      <c r="E238" s="110">
        <f t="shared" si="628"/>
        <v>5600</v>
      </c>
      <c r="F238" s="111" t="s">
        <v>1</v>
      </c>
      <c r="G238" s="110">
        <f t="shared" si="629"/>
        <v>5852</v>
      </c>
      <c r="H238" s="111" t="s">
        <v>418</v>
      </c>
      <c r="I238" s="171">
        <f>I232-E238</f>
        <v>38400</v>
      </c>
      <c r="J238" s="172"/>
      <c r="K238" s="173"/>
      <c r="L238" s="110">
        <v>260527001</v>
      </c>
      <c r="M238" s="110"/>
      <c r="N238" s="110">
        <f>N184-D238</f>
        <v>10</v>
      </c>
      <c r="O238" s="192">
        <v>46119</v>
      </c>
      <c r="P238" s="193">
        <f t="shared" si="630"/>
        <v>314</v>
      </c>
      <c r="Q238" s="194">
        <f t="shared" si="631"/>
        <v>46483</v>
      </c>
      <c r="R238" s="195">
        <f t="shared" si="632"/>
        <v>51</v>
      </c>
      <c r="U238" s="91"/>
    </row>
    <row r="239" spans="1:21" s="1" customFormat="1" ht="19.649999999999999" customHeight="1" x14ac:dyDescent="0.25">
      <c r="A239" s="354">
        <v>46170</v>
      </c>
      <c r="B239" s="169">
        <v>46170</v>
      </c>
      <c r="C239" s="111" t="s">
        <v>375</v>
      </c>
      <c r="D239" s="110">
        <v>4</v>
      </c>
      <c r="E239" s="110">
        <f t="shared" si="628"/>
        <v>800</v>
      </c>
      <c r="F239" s="111" t="s">
        <v>1</v>
      </c>
      <c r="G239" s="110">
        <f t="shared" si="629"/>
        <v>836</v>
      </c>
      <c r="H239" s="111" t="s">
        <v>417</v>
      </c>
      <c r="I239" s="171">
        <f>I238-E239</f>
        <v>37600</v>
      </c>
      <c r="J239" s="172"/>
      <c r="K239" s="173"/>
      <c r="L239" s="110">
        <v>260527001</v>
      </c>
      <c r="M239" s="110"/>
      <c r="N239" s="110">
        <f>N185-D239</f>
        <v>34</v>
      </c>
      <c r="O239" s="192">
        <v>46121</v>
      </c>
      <c r="P239" s="193">
        <f t="shared" si="630"/>
        <v>316</v>
      </c>
      <c r="Q239" s="194">
        <f t="shared" si="631"/>
        <v>46485</v>
      </c>
      <c r="R239" s="195">
        <f t="shared" si="632"/>
        <v>49</v>
      </c>
      <c r="U239" s="91"/>
    </row>
    <row r="240" spans="1:21" s="1" customFormat="1" ht="19.649999999999999" customHeight="1" x14ac:dyDescent="0.25">
      <c r="A240" s="243">
        <v>46171</v>
      </c>
      <c r="B240" s="243">
        <v>46171</v>
      </c>
      <c r="C240" s="244" t="s">
        <v>349</v>
      </c>
      <c r="D240" s="244">
        <v>24</v>
      </c>
      <c r="E240" s="244">
        <f>D240*200</f>
        <v>4800</v>
      </c>
      <c r="F240" s="275" t="s">
        <v>40</v>
      </c>
      <c r="G240" s="244">
        <f>D240*209</f>
        <v>5016</v>
      </c>
      <c r="H240" s="245" t="s">
        <v>381</v>
      </c>
      <c r="I240" s="246">
        <f>I230-E240</f>
        <v>10800</v>
      </c>
      <c r="J240" s="247"/>
      <c r="K240" s="248"/>
      <c r="L240" s="244">
        <v>260528005</v>
      </c>
      <c r="M240" s="244"/>
      <c r="N240" s="244">
        <f>N234-D240</f>
        <v>0</v>
      </c>
      <c r="O240" s="192">
        <v>46098</v>
      </c>
      <c r="P240" s="193">
        <f t="shared" si="630"/>
        <v>292</v>
      </c>
      <c r="Q240" s="194">
        <f t="shared" si="631"/>
        <v>46462</v>
      </c>
      <c r="R240" s="195">
        <f t="shared" si="632"/>
        <v>73</v>
      </c>
      <c r="U240" s="91"/>
    </row>
    <row r="241" spans="1:21" s="1" customFormat="1" ht="19.649999999999999" customHeight="1" x14ac:dyDescent="0.25">
      <c r="A241" s="243">
        <v>46171</v>
      </c>
      <c r="B241" s="243">
        <v>46171</v>
      </c>
      <c r="C241" s="244" t="s">
        <v>350</v>
      </c>
      <c r="D241" s="244">
        <v>12</v>
      </c>
      <c r="E241" s="244">
        <f>D241*200</f>
        <v>2400</v>
      </c>
      <c r="F241" s="275" t="s">
        <v>40</v>
      </c>
      <c r="G241" s="244">
        <f>D241*209</f>
        <v>2508</v>
      </c>
      <c r="H241" s="245" t="s">
        <v>419</v>
      </c>
      <c r="I241" s="246">
        <f>I240-E241</f>
        <v>8400</v>
      </c>
      <c r="J241" s="247"/>
      <c r="K241" s="248"/>
      <c r="L241" s="244">
        <v>260528005</v>
      </c>
      <c r="M241" s="244"/>
      <c r="N241" s="244">
        <f>N152-D241</f>
        <v>26</v>
      </c>
      <c r="O241" s="192">
        <v>46100</v>
      </c>
      <c r="P241" s="193">
        <f t="shared" si="630"/>
        <v>294</v>
      </c>
      <c r="Q241" s="194">
        <f t="shared" si="631"/>
        <v>46464</v>
      </c>
      <c r="R241" s="195">
        <f t="shared" si="632"/>
        <v>71</v>
      </c>
      <c r="U241" s="91"/>
    </row>
    <row r="242" spans="1:21" s="1" customFormat="1" ht="19.649999999999999" customHeight="1" x14ac:dyDescent="0.25">
      <c r="A242" s="336">
        <v>46171</v>
      </c>
      <c r="B242" s="32">
        <v>46171</v>
      </c>
      <c r="C242" s="34" t="s">
        <v>375</v>
      </c>
      <c r="D242" s="33">
        <v>8</v>
      </c>
      <c r="E242" s="33">
        <f t="shared" ref="E242" si="633">D242*200</f>
        <v>1600</v>
      </c>
      <c r="F242" s="34" t="s">
        <v>1</v>
      </c>
      <c r="G242" s="33">
        <f t="shared" ref="G242" si="634">D242*209</f>
        <v>1672</v>
      </c>
      <c r="H242" s="34" t="s">
        <v>393</v>
      </c>
      <c r="I242" s="35">
        <f>I239-E242</f>
        <v>36000</v>
      </c>
      <c r="J242" s="36"/>
      <c r="K242" s="37"/>
      <c r="L242" s="33">
        <v>260528006</v>
      </c>
      <c r="M242" s="33"/>
      <c r="N242" s="33">
        <f>N239-D242</f>
        <v>26</v>
      </c>
      <c r="O242" s="192">
        <v>46121</v>
      </c>
      <c r="P242" s="193">
        <f t="shared" ref="P242" si="635">365-R242</f>
        <v>315</v>
      </c>
      <c r="Q242" s="194">
        <f t="shared" ref="Q242" si="636">DATE(YEAR(O242)+1,MONTH(O242),DAY(O242))-1</f>
        <v>46485</v>
      </c>
      <c r="R242" s="195">
        <f t="shared" ref="R242" si="637">DATEDIF(O242,B242,"d")</f>
        <v>50</v>
      </c>
      <c r="U242" s="91"/>
    </row>
    <row r="243" spans="1:21" s="1" customFormat="1" ht="19.649999999999999" customHeight="1" x14ac:dyDescent="0.25">
      <c r="A243" s="7">
        <v>46174</v>
      </c>
      <c r="B243" s="7">
        <v>46174</v>
      </c>
      <c r="C243" s="8" t="s">
        <v>420</v>
      </c>
      <c r="D243" s="8">
        <v>10</v>
      </c>
      <c r="E243" s="8">
        <f>D243*200</f>
        <v>2000</v>
      </c>
      <c r="F243" s="268" t="s">
        <v>40</v>
      </c>
      <c r="G243" s="8">
        <f>D243*209</f>
        <v>2090</v>
      </c>
      <c r="H243" s="9" t="s">
        <v>422</v>
      </c>
      <c r="I243" s="10">
        <f>I241-E243</f>
        <v>6400</v>
      </c>
      <c r="J243" s="11"/>
      <c r="K243" s="12"/>
      <c r="L243" s="8">
        <v>260529001</v>
      </c>
      <c r="M243" s="8"/>
      <c r="N243" s="8">
        <f>N238-D243</f>
        <v>0</v>
      </c>
      <c r="O243" s="192">
        <v>46119</v>
      </c>
      <c r="P243" s="193">
        <f t="shared" ref="P243:P251" si="638">365-R243</f>
        <v>310</v>
      </c>
      <c r="Q243" s="194">
        <f t="shared" ref="Q243:Q251" si="639">DATE(YEAR(O243)+1,MONTH(O243),DAY(O243))-1</f>
        <v>46483</v>
      </c>
      <c r="R243" s="195">
        <f t="shared" ref="R243:R251" si="640">DATEDIF(O243,B243,"d")</f>
        <v>55</v>
      </c>
      <c r="U243" s="91"/>
    </row>
    <row r="244" spans="1:21" s="1" customFormat="1" ht="19.649999999999999" customHeight="1" x14ac:dyDescent="0.25">
      <c r="A244" s="7">
        <v>46174</v>
      </c>
      <c r="B244" s="7">
        <v>46174</v>
      </c>
      <c r="C244" s="8" t="s">
        <v>421</v>
      </c>
      <c r="D244" s="8">
        <v>10</v>
      </c>
      <c r="E244" s="8">
        <f>D244*200</f>
        <v>2000</v>
      </c>
      <c r="F244" s="268" t="s">
        <v>40</v>
      </c>
      <c r="G244" s="8">
        <f>D244*209</f>
        <v>2090</v>
      </c>
      <c r="H244" s="9" t="s">
        <v>419</v>
      </c>
      <c r="I244" s="10">
        <f>I243-E244</f>
        <v>4400</v>
      </c>
      <c r="J244" s="11"/>
      <c r="K244" s="12"/>
      <c r="L244" s="8">
        <v>260529001</v>
      </c>
      <c r="M244" s="8"/>
      <c r="N244" s="8">
        <f>N242-D244</f>
        <v>16</v>
      </c>
      <c r="O244" s="192">
        <v>46121</v>
      </c>
      <c r="P244" s="193">
        <f t="shared" si="638"/>
        <v>312</v>
      </c>
      <c r="Q244" s="194">
        <f t="shared" si="639"/>
        <v>46485</v>
      </c>
      <c r="R244" s="195">
        <f t="shared" si="640"/>
        <v>53</v>
      </c>
      <c r="U244" s="91"/>
    </row>
    <row r="245" spans="1:21" s="1" customFormat="1" ht="19.649999999999999" customHeight="1" x14ac:dyDescent="0.25">
      <c r="A245" s="305">
        <v>46174</v>
      </c>
      <c r="B245" s="250">
        <v>46174</v>
      </c>
      <c r="C245" s="127" t="s">
        <v>421</v>
      </c>
      <c r="D245" s="126">
        <v>16</v>
      </c>
      <c r="E245" s="126">
        <f t="shared" ref="E245" si="641">D245*200</f>
        <v>3200</v>
      </c>
      <c r="F245" s="127" t="s">
        <v>1</v>
      </c>
      <c r="G245" s="126">
        <f t="shared" ref="G245" si="642">D245*209</f>
        <v>3344</v>
      </c>
      <c r="H245" s="127" t="s">
        <v>417</v>
      </c>
      <c r="I245" s="252">
        <f>I242-E245</f>
        <v>32800</v>
      </c>
      <c r="J245" s="253"/>
      <c r="K245" s="254"/>
      <c r="L245" s="126">
        <v>260529004</v>
      </c>
      <c r="M245" s="126"/>
      <c r="N245" s="126">
        <f>N244-D245</f>
        <v>0</v>
      </c>
      <c r="O245" s="192">
        <v>46121</v>
      </c>
      <c r="P245" s="193">
        <f t="shared" si="638"/>
        <v>312</v>
      </c>
      <c r="Q245" s="194">
        <f t="shared" si="639"/>
        <v>46485</v>
      </c>
      <c r="R245" s="195">
        <f t="shared" si="640"/>
        <v>53</v>
      </c>
      <c r="U245" s="91"/>
    </row>
    <row r="246" spans="1:21" s="1" customFormat="1" ht="19.649999999999999" customHeight="1" x14ac:dyDescent="0.25">
      <c r="A246" s="305">
        <v>46174</v>
      </c>
      <c r="B246" s="250">
        <v>46174</v>
      </c>
      <c r="C246" s="127" t="s">
        <v>376</v>
      </c>
      <c r="D246" s="126">
        <v>12</v>
      </c>
      <c r="E246" s="126">
        <f t="shared" ref="E246" si="643">D246*200</f>
        <v>2400</v>
      </c>
      <c r="F246" s="127" t="s">
        <v>1</v>
      </c>
      <c r="G246" s="126">
        <f t="shared" ref="G246" si="644">D246*209</f>
        <v>2508</v>
      </c>
      <c r="H246" s="127" t="s">
        <v>417</v>
      </c>
      <c r="I246" s="252">
        <f>I245-E246</f>
        <v>30400</v>
      </c>
      <c r="J246" s="253"/>
      <c r="K246" s="254"/>
      <c r="L246" s="126">
        <v>260529004</v>
      </c>
      <c r="M246" s="126"/>
      <c r="N246" s="126">
        <f>N186-D246</f>
        <v>27</v>
      </c>
      <c r="O246" s="192">
        <v>46123</v>
      </c>
      <c r="P246" s="193">
        <f t="shared" si="638"/>
        <v>314</v>
      </c>
      <c r="Q246" s="194">
        <f t="shared" si="639"/>
        <v>46487</v>
      </c>
      <c r="R246" s="195">
        <f t="shared" si="640"/>
        <v>51</v>
      </c>
      <c r="U246" s="91"/>
    </row>
    <row r="247" spans="1:21" s="1" customFormat="1" ht="19.649999999999999" customHeight="1" x14ac:dyDescent="0.25">
      <c r="A247" s="330">
        <v>46175</v>
      </c>
      <c r="B247" s="229">
        <v>46175</v>
      </c>
      <c r="C247" s="101" t="s">
        <v>403</v>
      </c>
      <c r="D247" s="100">
        <v>8</v>
      </c>
      <c r="E247" s="100">
        <f t="shared" ref="E247:E250" si="645">D247*200</f>
        <v>1600</v>
      </c>
      <c r="F247" s="101" t="s">
        <v>1</v>
      </c>
      <c r="G247" s="100">
        <f t="shared" ref="G247:G250" si="646">D247*209</f>
        <v>1672</v>
      </c>
      <c r="H247" s="101" t="s">
        <v>393</v>
      </c>
      <c r="I247" s="230">
        <f>I246-E247</f>
        <v>28800</v>
      </c>
      <c r="J247" s="231"/>
      <c r="K247" s="232"/>
      <c r="L247" s="100">
        <v>260601002</v>
      </c>
      <c r="M247" s="100"/>
      <c r="N247" s="100">
        <f>N225-D247</f>
        <v>30</v>
      </c>
      <c r="O247" s="192">
        <v>46148</v>
      </c>
      <c r="P247" s="193">
        <f t="shared" si="638"/>
        <v>338</v>
      </c>
      <c r="Q247" s="194">
        <f t="shared" si="639"/>
        <v>46512</v>
      </c>
      <c r="R247" s="195">
        <f t="shared" si="640"/>
        <v>27</v>
      </c>
      <c r="U247" s="91"/>
    </row>
    <row r="248" spans="1:21" s="1" customFormat="1" ht="19.649999999999999" customHeight="1" x14ac:dyDescent="0.25">
      <c r="A248" s="219">
        <v>46175</v>
      </c>
      <c r="B248" s="219">
        <v>46175</v>
      </c>
      <c r="C248" s="220" t="s">
        <v>423</v>
      </c>
      <c r="D248" s="220">
        <v>4</v>
      </c>
      <c r="E248" s="220">
        <f t="shared" si="645"/>
        <v>800</v>
      </c>
      <c r="F248" s="221" t="s">
        <v>3</v>
      </c>
      <c r="G248" s="220">
        <f t="shared" si="646"/>
        <v>836</v>
      </c>
      <c r="H248" s="221" t="s">
        <v>360</v>
      </c>
      <c r="I248" s="222">
        <f>I237-E248</f>
        <v>7800</v>
      </c>
      <c r="J248" s="223" t="s">
        <v>322</v>
      </c>
      <c r="K248" s="224"/>
      <c r="L248" s="220">
        <v>260601004</v>
      </c>
      <c r="M248" s="220">
        <v>42</v>
      </c>
      <c r="N248" s="220">
        <f>M248-D248</f>
        <v>38</v>
      </c>
      <c r="O248" s="192">
        <v>46160</v>
      </c>
      <c r="P248" s="193">
        <f t="shared" si="638"/>
        <v>350</v>
      </c>
      <c r="Q248" s="194">
        <f t="shared" si="639"/>
        <v>46524</v>
      </c>
      <c r="R248" s="195">
        <f t="shared" si="640"/>
        <v>15</v>
      </c>
      <c r="U248" s="91"/>
    </row>
    <row r="249" spans="1:21" s="1" customFormat="1" ht="19.649999999999999" customHeight="1" x14ac:dyDescent="0.25">
      <c r="A249" s="219">
        <v>46175</v>
      </c>
      <c r="B249" s="219">
        <v>46175</v>
      </c>
      <c r="C249" s="220" t="s">
        <v>424</v>
      </c>
      <c r="D249" s="220">
        <v>4</v>
      </c>
      <c r="E249" s="220">
        <f t="shared" si="645"/>
        <v>800</v>
      </c>
      <c r="F249" s="221" t="s">
        <v>3</v>
      </c>
      <c r="G249" s="220">
        <f t="shared" si="646"/>
        <v>836</v>
      </c>
      <c r="H249" s="221" t="s">
        <v>360</v>
      </c>
      <c r="I249" s="222">
        <f>I248-E249</f>
        <v>7000</v>
      </c>
      <c r="J249" s="223" t="s">
        <v>322</v>
      </c>
      <c r="K249" s="224"/>
      <c r="L249" s="220">
        <v>260601004</v>
      </c>
      <c r="M249" s="220">
        <v>43</v>
      </c>
      <c r="N249" s="220">
        <f>M249-D249</f>
        <v>39</v>
      </c>
      <c r="O249" s="192">
        <v>46162</v>
      </c>
      <c r="P249" s="193">
        <f t="shared" si="638"/>
        <v>352</v>
      </c>
      <c r="Q249" s="194">
        <f t="shared" si="639"/>
        <v>46526</v>
      </c>
      <c r="R249" s="195">
        <f t="shared" si="640"/>
        <v>13</v>
      </c>
      <c r="U249" s="91"/>
    </row>
    <row r="250" spans="1:21" s="1" customFormat="1" ht="19.649999999999999" customHeight="1" x14ac:dyDescent="0.25">
      <c r="A250" s="219">
        <v>46175</v>
      </c>
      <c r="B250" s="219">
        <v>46175</v>
      </c>
      <c r="C250" s="220" t="s">
        <v>425</v>
      </c>
      <c r="D250" s="220">
        <v>4</v>
      </c>
      <c r="E250" s="220">
        <f t="shared" si="645"/>
        <v>800</v>
      </c>
      <c r="F250" s="221" t="s">
        <v>3</v>
      </c>
      <c r="G250" s="220">
        <f t="shared" si="646"/>
        <v>836</v>
      </c>
      <c r="H250" s="221" t="s">
        <v>360</v>
      </c>
      <c r="I250" s="222">
        <f>I249-E250</f>
        <v>6200</v>
      </c>
      <c r="J250" s="223" t="s">
        <v>322</v>
      </c>
      <c r="K250" s="224"/>
      <c r="L250" s="220">
        <v>260601004</v>
      </c>
      <c r="M250" s="220">
        <v>42</v>
      </c>
      <c r="N250" s="220">
        <f>M250-D250</f>
        <v>38</v>
      </c>
      <c r="O250" s="192">
        <v>46164</v>
      </c>
      <c r="P250" s="193">
        <f t="shared" si="638"/>
        <v>354</v>
      </c>
      <c r="Q250" s="194">
        <f t="shared" si="639"/>
        <v>46528</v>
      </c>
      <c r="R250" s="195">
        <f t="shared" si="640"/>
        <v>11</v>
      </c>
      <c r="U250" s="91"/>
    </row>
    <row r="251" spans="1:21" s="1" customFormat="1" ht="19.649999999999999" customHeight="1" x14ac:dyDescent="0.25">
      <c r="A251" s="357">
        <v>46176</v>
      </c>
      <c r="B251" s="276">
        <v>46176</v>
      </c>
      <c r="C251" s="279" t="s">
        <v>385</v>
      </c>
      <c r="D251" s="277">
        <v>20</v>
      </c>
      <c r="E251" s="277">
        <f t="shared" ref="E251" si="647">D251*200</f>
        <v>4000</v>
      </c>
      <c r="F251" s="279" t="s">
        <v>1</v>
      </c>
      <c r="G251" s="277">
        <f t="shared" ref="G251" si="648">D251*209</f>
        <v>4180</v>
      </c>
      <c r="H251" s="279" t="s">
        <v>393</v>
      </c>
      <c r="I251" s="280">
        <f>I247-E251</f>
        <v>24800</v>
      </c>
      <c r="J251" s="281"/>
      <c r="K251" s="282"/>
      <c r="L251" s="277">
        <v>260603001</v>
      </c>
      <c r="M251" s="277"/>
      <c r="N251" s="277">
        <f>N202-D251</f>
        <v>18</v>
      </c>
      <c r="O251" s="192">
        <v>46129</v>
      </c>
      <c r="P251" s="193">
        <f t="shared" si="638"/>
        <v>318</v>
      </c>
      <c r="Q251" s="194">
        <f t="shared" si="639"/>
        <v>46493</v>
      </c>
      <c r="R251" s="195">
        <f t="shared" si="640"/>
        <v>47</v>
      </c>
      <c r="U251" s="91"/>
    </row>
    <row r="252" spans="1:21" s="1" customFormat="1" ht="19.649999999999999" customHeight="1" x14ac:dyDescent="0.25">
      <c r="A252" s="332">
        <v>46177</v>
      </c>
      <c r="B252" s="181">
        <v>46177</v>
      </c>
      <c r="C252" s="131" t="s">
        <v>385</v>
      </c>
      <c r="D252" s="130">
        <v>6</v>
      </c>
      <c r="E252" s="130">
        <f t="shared" ref="E252" si="649">D252*200</f>
        <v>1200</v>
      </c>
      <c r="F252" s="131" t="s">
        <v>1</v>
      </c>
      <c r="G252" s="130">
        <f t="shared" ref="G252" si="650">D252*209</f>
        <v>1254</v>
      </c>
      <c r="H252" s="131" t="s">
        <v>426</v>
      </c>
      <c r="I252" s="182">
        <f>I251-E252</f>
        <v>23600</v>
      </c>
      <c r="J252" s="183"/>
      <c r="K252" s="184"/>
      <c r="L252" s="130">
        <v>260603010</v>
      </c>
      <c r="M252" s="130"/>
      <c r="N252" s="130">
        <f>N251-D252</f>
        <v>12</v>
      </c>
      <c r="O252" s="192">
        <v>46129</v>
      </c>
      <c r="P252" s="193">
        <f t="shared" ref="P252:P255" si="651">365-R252</f>
        <v>317</v>
      </c>
      <c r="Q252" s="194">
        <f t="shared" ref="Q252:Q255" si="652">DATE(YEAR(O252)+1,MONTH(O252),DAY(O252))-1</f>
        <v>46493</v>
      </c>
      <c r="R252" s="195">
        <f t="shared" ref="R252:R255" si="653">DATEDIF(O252,B252,"d")</f>
        <v>48</v>
      </c>
      <c r="U252" s="91"/>
    </row>
    <row r="253" spans="1:21" s="1" customFormat="1" ht="19.649999999999999" customHeight="1" x14ac:dyDescent="0.25">
      <c r="A253" s="332">
        <v>46177</v>
      </c>
      <c r="B253" s="181">
        <v>46177</v>
      </c>
      <c r="C253" s="131" t="s">
        <v>386</v>
      </c>
      <c r="D253" s="130">
        <v>22</v>
      </c>
      <c r="E253" s="130">
        <f t="shared" ref="E253" si="654">D253*200</f>
        <v>4400</v>
      </c>
      <c r="F253" s="131" t="s">
        <v>1</v>
      </c>
      <c r="G253" s="130">
        <f t="shared" ref="G253" si="655">D253*209</f>
        <v>4598</v>
      </c>
      <c r="H253" s="131" t="s">
        <v>393</v>
      </c>
      <c r="I253" s="182">
        <f>I252-E253</f>
        <v>19200</v>
      </c>
      <c r="J253" s="183"/>
      <c r="K253" s="184"/>
      <c r="L253" s="130">
        <v>260603010</v>
      </c>
      <c r="M253" s="130"/>
      <c r="N253" s="130">
        <f>N203-D253</f>
        <v>16</v>
      </c>
      <c r="O253" s="192">
        <v>46132</v>
      </c>
      <c r="P253" s="193">
        <f t="shared" si="651"/>
        <v>320</v>
      </c>
      <c r="Q253" s="194">
        <f t="shared" si="652"/>
        <v>46496</v>
      </c>
      <c r="R253" s="195">
        <f t="shared" si="653"/>
        <v>45</v>
      </c>
      <c r="U253" s="91"/>
    </row>
    <row r="254" spans="1:21" s="1" customFormat="1" ht="19.649999999999999" customHeight="1" x14ac:dyDescent="0.25">
      <c r="A254" s="32">
        <v>46178</v>
      </c>
      <c r="B254" s="32">
        <v>46178</v>
      </c>
      <c r="C254" s="33" t="s">
        <v>403</v>
      </c>
      <c r="D254" s="33">
        <v>22</v>
      </c>
      <c r="E254" s="33">
        <f>D254*200</f>
        <v>4400</v>
      </c>
      <c r="F254" s="358" t="s">
        <v>40</v>
      </c>
      <c r="G254" s="33">
        <f>D254*209</f>
        <v>4598</v>
      </c>
      <c r="H254" s="34" t="s">
        <v>428</v>
      </c>
      <c r="I254" s="35">
        <f>I244-E254</f>
        <v>0</v>
      </c>
      <c r="J254" s="36"/>
      <c r="K254" s="37"/>
      <c r="L254" s="33">
        <v>260604001</v>
      </c>
      <c r="M254" s="33"/>
      <c r="N254" s="33">
        <f>N247-D254</f>
        <v>8</v>
      </c>
      <c r="O254" s="192">
        <v>46148</v>
      </c>
      <c r="P254" s="193">
        <f t="shared" si="651"/>
        <v>335</v>
      </c>
      <c r="Q254" s="194">
        <f t="shared" si="652"/>
        <v>46512</v>
      </c>
      <c r="R254" s="195">
        <f t="shared" si="653"/>
        <v>30</v>
      </c>
      <c r="U254" s="91"/>
    </row>
    <row r="255" spans="1:21" s="1" customFormat="1" ht="19.649999999999999" customHeight="1" x14ac:dyDescent="0.25">
      <c r="A255" s="32">
        <v>46178</v>
      </c>
      <c r="B255" s="32">
        <v>46178</v>
      </c>
      <c r="C255" s="33" t="s">
        <v>404</v>
      </c>
      <c r="D255" s="33">
        <v>2</v>
      </c>
      <c r="E255" s="33">
        <f>D255*200</f>
        <v>400</v>
      </c>
      <c r="F255" s="358" t="s">
        <v>40</v>
      </c>
      <c r="G255" s="33">
        <f>D255*209</f>
        <v>418</v>
      </c>
      <c r="H255" s="331" t="s">
        <v>427</v>
      </c>
      <c r="I255" s="35">
        <f>45600-E255</f>
        <v>45200</v>
      </c>
      <c r="J255" s="36"/>
      <c r="K255" s="37"/>
      <c r="L255" s="33">
        <v>260604001</v>
      </c>
      <c r="M255" s="33"/>
      <c r="N255" s="33">
        <f>N226-D255</f>
        <v>35</v>
      </c>
      <c r="O255" s="192">
        <v>46150</v>
      </c>
      <c r="P255" s="193">
        <f t="shared" si="651"/>
        <v>337</v>
      </c>
      <c r="Q255" s="194">
        <f t="shared" si="652"/>
        <v>46514</v>
      </c>
      <c r="R255" s="195">
        <f t="shared" si="653"/>
        <v>28</v>
      </c>
      <c r="U255" s="91"/>
    </row>
    <row r="256" spans="1:21" s="1" customFormat="1" ht="19.649999999999999" customHeight="1" x14ac:dyDescent="0.25">
      <c r="A256" s="359">
        <v>46181</v>
      </c>
      <c r="B256" s="104">
        <v>46181</v>
      </c>
      <c r="C256" s="106" t="s">
        <v>429</v>
      </c>
      <c r="D256" s="105">
        <v>4</v>
      </c>
      <c r="E256" s="105">
        <f t="shared" ref="E256:E257" si="656">D256*200</f>
        <v>800</v>
      </c>
      <c r="F256" s="106" t="s">
        <v>1</v>
      </c>
      <c r="G256" s="105">
        <f t="shared" ref="G256:G257" si="657">D256*209</f>
        <v>836</v>
      </c>
      <c r="H256" s="106" t="s">
        <v>430</v>
      </c>
      <c r="I256" s="107">
        <f>I253-E256</f>
        <v>18400</v>
      </c>
      <c r="J256" s="108"/>
      <c r="K256" s="109"/>
      <c r="L256" s="105">
        <v>260605002</v>
      </c>
      <c r="M256" s="105"/>
      <c r="N256" s="105">
        <f>N253-D256</f>
        <v>12</v>
      </c>
      <c r="O256" s="192">
        <v>46132</v>
      </c>
      <c r="P256" s="193">
        <f t="shared" ref="P256:P258" si="658">365-R256</f>
        <v>316</v>
      </c>
      <c r="Q256" s="194">
        <f t="shared" ref="Q256:Q258" si="659">DATE(YEAR(O256)+1,MONTH(O256),DAY(O256))-1</f>
        <v>46496</v>
      </c>
      <c r="R256" s="195">
        <f t="shared" ref="R256:R258" si="660">DATEDIF(O256,B256,"d")</f>
        <v>49</v>
      </c>
      <c r="U256" s="91"/>
    </row>
    <row r="257" spans="1:21" s="1" customFormat="1" ht="19.649999999999999" customHeight="1" x14ac:dyDescent="0.25">
      <c r="A257" s="359">
        <v>46181</v>
      </c>
      <c r="B257" s="104">
        <v>46181</v>
      </c>
      <c r="C257" s="106" t="s">
        <v>387</v>
      </c>
      <c r="D257" s="105">
        <v>24</v>
      </c>
      <c r="E257" s="105">
        <f t="shared" si="656"/>
        <v>4800</v>
      </c>
      <c r="F257" s="106" t="s">
        <v>1</v>
      </c>
      <c r="G257" s="105">
        <f t="shared" si="657"/>
        <v>5016</v>
      </c>
      <c r="H257" s="106" t="s">
        <v>393</v>
      </c>
      <c r="I257" s="107">
        <f>I256-E257</f>
        <v>13600</v>
      </c>
      <c r="J257" s="108"/>
      <c r="K257" s="109"/>
      <c r="L257" s="105">
        <v>260605002</v>
      </c>
      <c r="M257" s="105"/>
      <c r="N257" s="105">
        <f>N204-D257</f>
        <v>15</v>
      </c>
      <c r="O257" s="192">
        <v>46134</v>
      </c>
      <c r="P257" s="193">
        <f t="shared" si="658"/>
        <v>318</v>
      </c>
      <c r="Q257" s="194">
        <f t="shared" si="659"/>
        <v>46498</v>
      </c>
      <c r="R257" s="195">
        <f t="shared" si="660"/>
        <v>47</v>
      </c>
      <c r="U257" s="91"/>
    </row>
    <row r="258" spans="1:21" s="1" customFormat="1" ht="19.649999999999999" customHeight="1" x14ac:dyDescent="0.25">
      <c r="A258" s="169">
        <v>46181</v>
      </c>
      <c r="B258" s="169">
        <v>46181</v>
      </c>
      <c r="C258" s="110" t="s">
        <v>404</v>
      </c>
      <c r="D258" s="110">
        <v>8</v>
      </c>
      <c r="E258" s="110">
        <f>D258*200</f>
        <v>1600</v>
      </c>
      <c r="F258" s="170" t="s">
        <v>40</v>
      </c>
      <c r="G258" s="110">
        <f>D258*209</f>
        <v>1672</v>
      </c>
      <c r="H258" s="111" t="s">
        <v>431</v>
      </c>
      <c r="I258" s="171">
        <f>I255-E258</f>
        <v>43600</v>
      </c>
      <c r="J258" s="172"/>
      <c r="K258" s="173"/>
      <c r="L258" s="110">
        <v>260605011</v>
      </c>
      <c r="M258" s="110"/>
      <c r="N258" s="110">
        <f>N255-D258</f>
        <v>27</v>
      </c>
      <c r="O258" s="192">
        <v>46150</v>
      </c>
      <c r="P258" s="193">
        <f t="shared" si="658"/>
        <v>334</v>
      </c>
      <c r="Q258" s="194">
        <f t="shared" si="659"/>
        <v>46514</v>
      </c>
      <c r="R258" s="195">
        <f t="shared" si="660"/>
        <v>31</v>
      </c>
      <c r="U258" s="91"/>
    </row>
    <row r="259" spans="1:21" s="1" customFormat="1" ht="19.649999999999999" customHeight="1" x14ac:dyDescent="0.25">
      <c r="A259" s="219">
        <v>46182</v>
      </c>
      <c r="B259" s="219">
        <v>46182</v>
      </c>
      <c r="C259" s="220" t="s">
        <v>404</v>
      </c>
      <c r="D259" s="220">
        <v>15</v>
      </c>
      <c r="E259" s="220">
        <f>D259*200</f>
        <v>3000</v>
      </c>
      <c r="F259" s="255" t="s">
        <v>40</v>
      </c>
      <c r="G259" s="220">
        <f>D259*209</f>
        <v>3135</v>
      </c>
      <c r="H259" s="221" t="s">
        <v>431</v>
      </c>
      <c r="I259" s="222">
        <f>I258-E259</f>
        <v>40600</v>
      </c>
      <c r="J259" s="223"/>
      <c r="K259" s="224"/>
      <c r="L259" s="220">
        <v>260608001</v>
      </c>
      <c r="M259" s="220"/>
      <c r="N259" s="220">
        <f>N258-D259</f>
        <v>12</v>
      </c>
      <c r="O259" s="192">
        <v>46150</v>
      </c>
      <c r="P259" s="193">
        <f t="shared" ref="P259:P260" si="661">365-R259</f>
        <v>333</v>
      </c>
      <c r="Q259" s="194">
        <f t="shared" ref="Q259:Q260" si="662">DATE(YEAR(O259)+1,MONTH(O259),DAY(O259))-1</f>
        <v>46514</v>
      </c>
      <c r="R259" s="195">
        <f t="shared" ref="R259:R260" si="663">DATEDIF(O259,B259,"d")</f>
        <v>32</v>
      </c>
      <c r="U259" s="91"/>
    </row>
    <row r="260" spans="1:21" s="1" customFormat="1" ht="19.649999999999999" customHeight="1" x14ac:dyDescent="0.25">
      <c r="A260" s="219">
        <v>46182</v>
      </c>
      <c r="B260" s="219">
        <v>46182</v>
      </c>
      <c r="C260" s="220" t="s">
        <v>432</v>
      </c>
      <c r="D260" s="220">
        <v>5</v>
      </c>
      <c r="E260" s="220">
        <f>D260*200</f>
        <v>1000</v>
      </c>
      <c r="F260" s="255" t="s">
        <v>40</v>
      </c>
      <c r="G260" s="220">
        <f>D260*209</f>
        <v>1045</v>
      </c>
      <c r="H260" s="221" t="s">
        <v>431</v>
      </c>
      <c r="I260" s="222">
        <f>I259-E260</f>
        <v>39600</v>
      </c>
      <c r="J260" s="223"/>
      <c r="K260" s="224"/>
      <c r="L260" s="220">
        <v>260608001</v>
      </c>
      <c r="M260" s="220"/>
      <c r="N260" s="220">
        <f>N235-D260</f>
        <v>33</v>
      </c>
      <c r="O260" s="192">
        <v>46153</v>
      </c>
      <c r="P260" s="193">
        <f t="shared" si="661"/>
        <v>336</v>
      </c>
      <c r="Q260" s="194">
        <f t="shared" si="662"/>
        <v>46517</v>
      </c>
      <c r="R260" s="195">
        <f t="shared" si="663"/>
        <v>29</v>
      </c>
      <c r="U260" s="91"/>
    </row>
    <row r="261" spans="1:21" s="1" customFormat="1" ht="19.649999999999999" customHeight="1" x14ac:dyDescent="0.25">
      <c r="A261" s="181">
        <v>46182</v>
      </c>
      <c r="B261" s="181">
        <v>46182</v>
      </c>
      <c r="C261" s="130" t="s">
        <v>433</v>
      </c>
      <c r="D261" s="130">
        <v>4</v>
      </c>
      <c r="E261" s="130">
        <f t="shared" ref="E261:E265" si="664">D261*200</f>
        <v>800</v>
      </c>
      <c r="F261" s="131" t="s">
        <v>3</v>
      </c>
      <c r="G261" s="130">
        <f t="shared" ref="G261:G265" si="665">D261*209</f>
        <v>836</v>
      </c>
      <c r="H261" s="131" t="s">
        <v>360</v>
      </c>
      <c r="I261" s="182">
        <f>I250-E261</f>
        <v>5400</v>
      </c>
      <c r="J261" s="183" t="s">
        <v>322</v>
      </c>
      <c r="K261" s="184"/>
      <c r="L261" s="130">
        <v>260608002</v>
      </c>
      <c r="M261" s="130">
        <v>42</v>
      </c>
      <c r="N261" s="130">
        <f>M261-D261</f>
        <v>38</v>
      </c>
      <c r="O261" s="192">
        <v>46167</v>
      </c>
      <c r="P261" s="193">
        <f t="shared" ref="P261:P270" si="666">365-R261</f>
        <v>350</v>
      </c>
      <c r="Q261" s="194">
        <f t="shared" ref="Q261:Q270" si="667">DATE(YEAR(O261)+1,MONTH(O261),DAY(O261))-1</f>
        <v>46531</v>
      </c>
      <c r="R261" s="195">
        <f t="shared" ref="R261:R270" si="668">DATEDIF(O261,B261,"d")</f>
        <v>15</v>
      </c>
      <c r="U261" s="91"/>
    </row>
    <row r="262" spans="1:21" s="1" customFormat="1" ht="19.649999999999999" customHeight="1" x14ac:dyDescent="0.25">
      <c r="A262" s="181">
        <v>46182</v>
      </c>
      <c r="B262" s="181">
        <v>46182</v>
      </c>
      <c r="C262" s="130" t="s">
        <v>434</v>
      </c>
      <c r="D262" s="130">
        <v>4</v>
      </c>
      <c r="E262" s="130">
        <f t="shared" si="664"/>
        <v>800</v>
      </c>
      <c r="F262" s="131" t="s">
        <v>3</v>
      </c>
      <c r="G262" s="130">
        <f t="shared" si="665"/>
        <v>836</v>
      </c>
      <c r="H262" s="131" t="s">
        <v>360</v>
      </c>
      <c r="I262" s="182">
        <f>I261-E262</f>
        <v>4600</v>
      </c>
      <c r="J262" s="183" t="s">
        <v>322</v>
      </c>
      <c r="K262" s="184"/>
      <c r="L262" s="130">
        <v>260608002</v>
      </c>
      <c r="M262" s="130">
        <v>42</v>
      </c>
      <c r="N262" s="130">
        <f>M262-D262</f>
        <v>38</v>
      </c>
      <c r="O262" s="192">
        <v>46169</v>
      </c>
      <c r="P262" s="193">
        <f t="shared" si="666"/>
        <v>352</v>
      </c>
      <c r="Q262" s="194">
        <f t="shared" si="667"/>
        <v>46533</v>
      </c>
      <c r="R262" s="195">
        <f t="shared" si="668"/>
        <v>13</v>
      </c>
      <c r="U262" s="91"/>
    </row>
    <row r="263" spans="1:21" s="1" customFormat="1" ht="19.649999999999999" customHeight="1" x14ac:dyDescent="0.25">
      <c r="A263" s="181">
        <v>46182</v>
      </c>
      <c r="B263" s="181">
        <v>46182</v>
      </c>
      <c r="C263" s="130" t="s">
        <v>435</v>
      </c>
      <c r="D263" s="130">
        <v>4</v>
      </c>
      <c r="E263" s="130">
        <f t="shared" si="664"/>
        <v>800</v>
      </c>
      <c r="F263" s="131" t="s">
        <v>3</v>
      </c>
      <c r="G263" s="130">
        <f t="shared" si="665"/>
        <v>836</v>
      </c>
      <c r="H263" s="131" t="s">
        <v>360</v>
      </c>
      <c r="I263" s="182">
        <f>I262-E263</f>
        <v>3800</v>
      </c>
      <c r="J263" s="183" t="s">
        <v>322</v>
      </c>
      <c r="K263" s="184"/>
      <c r="L263" s="130">
        <v>260608002</v>
      </c>
      <c r="M263" s="130">
        <v>42</v>
      </c>
      <c r="N263" s="130">
        <f>M263-D263</f>
        <v>38</v>
      </c>
      <c r="O263" s="192">
        <v>46171</v>
      </c>
      <c r="P263" s="193">
        <f t="shared" si="666"/>
        <v>354</v>
      </c>
      <c r="Q263" s="194">
        <f t="shared" si="667"/>
        <v>46535</v>
      </c>
      <c r="R263" s="195">
        <f t="shared" si="668"/>
        <v>11</v>
      </c>
      <c r="U263" s="91"/>
    </row>
    <row r="264" spans="1:21" s="1" customFormat="1" ht="19.649999999999999" customHeight="1" x14ac:dyDescent="0.25">
      <c r="A264" s="333">
        <v>46184</v>
      </c>
      <c r="B264" s="269">
        <v>46184</v>
      </c>
      <c r="C264" s="271" t="s">
        <v>387</v>
      </c>
      <c r="D264" s="270">
        <v>15</v>
      </c>
      <c r="E264" s="270">
        <f t="shared" si="664"/>
        <v>3000</v>
      </c>
      <c r="F264" s="271" t="s">
        <v>1</v>
      </c>
      <c r="G264" s="270">
        <f t="shared" si="665"/>
        <v>3135</v>
      </c>
      <c r="H264" s="271" t="s">
        <v>409</v>
      </c>
      <c r="I264" s="272">
        <f>I257-E264</f>
        <v>10600</v>
      </c>
      <c r="J264" s="273"/>
      <c r="K264" s="274"/>
      <c r="L264" s="270">
        <v>260610001</v>
      </c>
      <c r="M264" s="270"/>
      <c r="N264" s="270">
        <f>N257-D264</f>
        <v>0</v>
      </c>
      <c r="O264" s="192">
        <v>46134</v>
      </c>
      <c r="P264" s="193">
        <f t="shared" si="666"/>
        <v>315</v>
      </c>
      <c r="Q264" s="194">
        <f t="shared" si="667"/>
        <v>46498</v>
      </c>
      <c r="R264" s="195">
        <f t="shared" si="668"/>
        <v>50</v>
      </c>
      <c r="U264" s="91"/>
    </row>
    <row r="265" spans="1:21" s="1" customFormat="1" ht="19.649999999999999" customHeight="1" x14ac:dyDescent="0.25">
      <c r="A265" s="333">
        <v>46184</v>
      </c>
      <c r="B265" s="269">
        <v>46184</v>
      </c>
      <c r="C265" s="271" t="s">
        <v>388</v>
      </c>
      <c r="D265" s="270">
        <v>17</v>
      </c>
      <c r="E265" s="270">
        <f t="shared" si="664"/>
        <v>3400</v>
      </c>
      <c r="F265" s="271" t="s">
        <v>1</v>
      </c>
      <c r="G265" s="270">
        <f t="shared" si="665"/>
        <v>3553</v>
      </c>
      <c r="H265" s="271" t="s">
        <v>393</v>
      </c>
      <c r="I265" s="272">
        <f>I264-E265</f>
        <v>7200</v>
      </c>
      <c r="J265" s="273"/>
      <c r="K265" s="274"/>
      <c r="L265" s="270">
        <v>260610001</v>
      </c>
      <c r="M265" s="270"/>
      <c r="N265" s="270">
        <f>N205-D265</f>
        <v>21</v>
      </c>
      <c r="O265" s="192">
        <v>46136</v>
      </c>
      <c r="P265" s="193">
        <f t="shared" si="666"/>
        <v>317</v>
      </c>
      <c r="Q265" s="194">
        <f t="shared" si="667"/>
        <v>46500</v>
      </c>
      <c r="R265" s="195">
        <f t="shared" si="668"/>
        <v>48</v>
      </c>
      <c r="U265" s="91"/>
    </row>
    <row r="266" spans="1:21" s="1" customFormat="1" ht="19.649999999999999" customHeight="1" x14ac:dyDescent="0.25">
      <c r="A266" s="262">
        <v>46184</v>
      </c>
      <c r="B266" s="262">
        <v>46184</v>
      </c>
      <c r="C266" s="263" t="s">
        <v>436</v>
      </c>
      <c r="D266" s="263">
        <v>4</v>
      </c>
      <c r="E266" s="263">
        <f t="shared" ref="E266:E267" si="669">D266*200</f>
        <v>800</v>
      </c>
      <c r="F266" s="264" t="s">
        <v>3</v>
      </c>
      <c r="G266" s="263">
        <f t="shared" ref="G266:G267" si="670">D266*209</f>
        <v>836</v>
      </c>
      <c r="H266" s="264" t="s">
        <v>439</v>
      </c>
      <c r="I266" s="265">
        <f>I263-E266</f>
        <v>3000</v>
      </c>
      <c r="J266" s="266"/>
      <c r="K266" s="267"/>
      <c r="L266" s="263">
        <v>260610002</v>
      </c>
      <c r="M266" s="263"/>
      <c r="N266" s="263">
        <f>N259-D266</f>
        <v>8</v>
      </c>
      <c r="O266" s="192">
        <v>46150</v>
      </c>
      <c r="P266" s="193">
        <f t="shared" si="666"/>
        <v>331</v>
      </c>
      <c r="Q266" s="194">
        <f t="shared" si="667"/>
        <v>46514</v>
      </c>
      <c r="R266" s="195">
        <f t="shared" si="668"/>
        <v>34</v>
      </c>
      <c r="U266" s="91"/>
    </row>
    <row r="267" spans="1:21" s="1" customFormat="1" ht="19.649999999999999" customHeight="1" x14ac:dyDescent="0.25">
      <c r="A267" s="262">
        <v>46184</v>
      </c>
      <c r="B267" s="262">
        <v>46184</v>
      </c>
      <c r="C267" s="263" t="s">
        <v>437</v>
      </c>
      <c r="D267" s="263">
        <v>15</v>
      </c>
      <c r="E267" s="263">
        <f t="shared" si="669"/>
        <v>3000</v>
      </c>
      <c r="F267" s="264" t="s">
        <v>3</v>
      </c>
      <c r="G267" s="263">
        <f t="shared" si="670"/>
        <v>3135</v>
      </c>
      <c r="H267" s="264" t="s">
        <v>361</v>
      </c>
      <c r="I267" s="265">
        <f>I266-E267</f>
        <v>0</v>
      </c>
      <c r="J267" s="266"/>
      <c r="K267" s="267"/>
      <c r="L267" s="263">
        <v>260610002</v>
      </c>
      <c r="M267" s="263"/>
      <c r="N267" s="263">
        <f>N260-D267</f>
        <v>18</v>
      </c>
      <c r="O267" s="192">
        <v>46153</v>
      </c>
      <c r="P267" s="193">
        <f t="shared" si="666"/>
        <v>334</v>
      </c>
      <c r="Q267" s="194">
        <f t="shared" si="667"/>
        <v>46517</v>
      </c>
      <c r="R267" s="195">
        <f t="shared" si="668"/>
        <v>31</v>
      </c>
      <c r="U267" s="91"/>
    </row>
    <row r="268" spans="1:21" s="1" customFormat="1" ht="19.649999999999999" customHeight="1" x14ac:dyDescent="0.25">
      <c r="A268" s="262">
        <v>46184</v>
      </c>
      <c r="B268" s="262">
        <v>46184</v>
      </c>
      <c r="C268" s="263" t="s">
        <v>437</v>
      </c>
      <c r="D268" s="263">
        <v>9</v>
      </c>
      <c r="E268" s="263">
        <f t="shared" ref="E268" si="671">D268*200</f>
        <v>1800</v>
      </c>
      <c r="F268" s="264" t="s">
        <v>3</v>
      </c>
      <c r="G268" s="263">
        <f t="shared" ref="G268" si="672">D268*209</f>
        <v>1881</v>
      </c>
      <c r="H268" s="360" t="s">
        <v>438</v>
      </c>
      <c r="I268" s="265">
        <f>40000-E268</f>
        <v>38200</v>
      </c>
      <c r="J268" s="266"/>
      <c r="K268" s="267"/>
      <c r="L268" s="263">
        <v>260610002</v>
      </c>
      <c r="M268" s="263"/>
      <c r="N268" s="263">
        <f>N267-D268</f>
        <v>9</v>
      </c>
      <c r="O268" s="192">
        <v>46153</v>
      </c>
      <c r="P268" s="193">
        <f t="shared" si="666"/>
        <v>334</v>
      </c>
      <c r="Q268" s="194">
        <f t="shared" si="667"/>
        <v>46517</v>
      </c>
      <c r="R268" s="195">
        <f t="shared" si="668"/>
        <v>31</v>
      </c>
      <c r="U268" s="91"/>
    </row>
    <row r="269" spans="1:21" s="1" customFormat="1" ht="19.649999999999999" customHeight="1" x14ac:dyDescent="0.25">
      <c r="A269" s="276">
        <v>46185</v>
      </c>
      <c r="B269" s="276">
        <v>46185</v>
      </c>
      <c r="C269" s="277" t="s">
        <v>415</v>
      </c>
      <c r="D269" s="277">
        <v>28</v>
      </c>
      <c r="E269" s="277">
        <f>D269*200</f>
        <v>5600</v>
      </c>
      <c r="F269" s="278" t="s">
        <v>40</v>
      </c>
      <c r="G269" s="277">
        <f>D269*209</f>
        <v>5852</v>
      </c>
      <c r="H269" s="279" t="s">
        <v>440</v>
      </c>
      <c r="I269" s="280">
        <f>I260-E269</f>
        <v>34000</v>
      </c>
      <c r="J269" s="281"/>
      <c r="K269" s="282"/>
      <c r="L269" s="277">
        <v>260611001</v>
      </c>
      <c r="M269" s="277"/>
      <c r="N269" s="277">
        <f>N236-D269</f>
        <v>10</v>
      </c>
      <c r="O269" s="192">
        <v>46155</v>
      </c>
      <c r="P269" s="193">
        <f t="shared" si="666"/>
        <v>335</v>
      </c>
      <c r="Q269" s="194">
        <f t="shared" si="667"/>
        <v>46519</v>
      </c>
      <c r="R269" s="195">
        <f t="shared" si="668"/>
        <v>30</v>
      </c>
      <c r="U269" s="91"/>
    </row>
    <row r="270" spans="1:21" s="1" customFormat="1" ht="19.649999999999999" customHeight="1" x14ac:dyDescent="0.25">
      <c r="A270" s="361">
        <v>46188</v>
      </c>
      <c r="B270" s="362">
        <v>46188</v>
      </c>
      <c r="C270" s="363" t="s">
        <v>403</v>
      </c>
      <c r="D270" s="364">
        <v>8</v>
      </c>
      <c r="E270" s="364">
        <f t="shared" ref="E270:E271" si="673">D270*200</f>
        <v>1600</v>
      </c>
      <c r="F270" s="363" t="s">
        <v>1</v>
      </c>
      <c r="G270" s="364">
        <f t="shared" ref="G270:G271" si="674">D270*209</f>
        <v>1672</v>
      </c>
      <c r="H270" s="363" t="s">
        <v>441</v>
      </c>
      <c r="I270" s="365">
        <f>I265-E270</f>
        <v>5600</v>
      </c>
      <c r="J270" s="366"/>
      <c r="K270" s="367"/>
      <c r="L270" s="364">
        <v>260612001</v>
      </c>
      <c r="M270" s="364"/>
      <c r="N270" s="364">
        <f>N254-D270</f>
        <v>0</v>
      </c>
      <c r="O270" s="192">
        <v>46148</v>
      </c>
      <c r="P270" s="193">
        <f t="shared" si="666"/>
        <v>325</v>
      </c>
      <c r="Q270" s="194">
        <f t="shared" si="667"/>
        <v>46512</v>
      </c>
      <c r="R270" s="195">
        <f t="shared" si="668"/>
        <v>40</v>
      </c>
      <c r="U270" s="91"/>
    </row>
    <row r="271" spans="1:21" s="1" customFormat="1" ht="19.649999999999999" customHeight="1" x14ac:dyDescent="0.25">
      <c r="A271" s="361">
        <v>46188</v>
      </c>
      <c r="B271" s="362">
        <v>46188</v>
      </c>
      <c r="C271" s="363" t="s">
        <v>404</v>
      </c>
      <c r="D271" s="364">
        <v>8</v>
      </c>
      <c r="E271" s="364">
        <f t="shared" si="673"/>
        <v>1600</v>
      </c>
      <c r="F271" s="363" t="s">
        <v>1</v>
      </c>
      <c r="G271" s="364">
        <f t="shared" si="674"/>
        <v>1672</v>
      </c>
      <c r="H271" s="363" t="s">
        <v>393</v>
      </c>
      <c r="I271" s="365">
        <f>I270-E271</f>
        <v>4000</v>
      </c>
      <c r="J271" s="366"/>
      <c r="K271" s="367"/>
      <c r="L271" s="364">
        <v>260612001</v>
      </c>
      <c r="M271" s="364"/>
      <c r="N271" s="364">
        <f>N266-D271</f>
        <v>0</v>
      </c>
      <c r="O271" s="192">
        <v>46150</v>
      </c>
      <c r="P271" s="193">
        <f t="shared" ref="P271" si="675">365-R271</f>
        <v>327</v>
      </c>
      <c r="Q271" s="194">
        <f t="shared" ref="Q271" si="676">DATE(YEAR(O271)+1,MONTH(O271),DAY(O271))-1</f>
        <v>46514</v>
      </c>
      <c r="R271" s="195">
        <f t="shared" ref="R271" si="677">DATEDIF(O271,B271,"d")</f>
        <v>38</v>
      </c>
      <c r="U271" s="91"/>
    </row>
    <row r="272" spans="1:21" s="1" customFormat="1" ht="19.649999999999999" customHeight="1" x14ac:dyDescent="0.25">
      <c r="A272" s="361">
        <v>46188</v>
      </c>
      <c r="B272" s="362">
        <v>46188</v>
      </c>
      <c r="C272" s="363" t="s">
        <v>414</v>
      </c>
      <c r="D272" s="364">
        <v>9</v>
      </c>
      <c r="E272" s="364">
        <f t="shared" ref="E272:E273" si="678">D272*200</f>
        <v>1800</v>
      </c>
      <c r="F272" s="363" t="s">
        <v>1</v>
      </c>
      <c r="G272" s="364">
        <f t="shared" ref="G272:G273" si="679">D272*209</f>
        <v>1881</v>
      </c>
      <c r="H272" s="363" t="s">
        <v>442</v>
      </c>
      <c r="I272" s="365">
        <f>I271-E272</f>
        <v>2200</v>
      </c>
      <c r="J272" s="366"/>
      <c r="K272" s="367"/>
      <c r="L272" s="364">
        <v>260612001</v>
      </c>
      <c r="M272" s="364"/>
      <c r="N272" s="364">
        <f>N268-D272</f>
        <v>0</v>
      </c>
      <c r="O272" s="192">
        <v>46153</v>
      </c>
      <c r="P272" s="193">
        <f t="shared" ref="P272:P277" si="680">365-R272</f>
        <v>330</v>
      </c>
      <c r="Q272" s="194">
        <f t="shared" ref="Q272:Q277" si="681">DATE(YEAR(O272)+1,MONTH(O272),DAY(O272))-1</f>
        <v>46517</v>
      </c>
      <c r="R272" s="195">
        <f t="shared" ref="R272:R277" si="682">DATEDIF(O272,B272,"d")</f>
        <v>35</v>
      </c>
      <c r="U272" s="91"/>
    </row>
    <row r="273" spans="1:21" s="1" customFormat="1" ht="19.649999999999999" customHeight="1" x14ac:dyDescent="0.25">
      <c r="A273" s="361">
        <v>46188</v>
      </c>
      <c r="B273" s="362">
        <v>46188</v>
      </c>
      <c r="C273" s="363" t="s">
        <v>415</v>
      </c>
      <c r="D273" s="364">
        <v>3</v>
      </c>
      <c r="E273" s="364">
        <f t="shared" si="678"/>
        <v>600</v>
      </c>
      <c r="F273" s="363" t="s">
        <v>1</v>
      </c>
      <c r="G273" s="364">
        <f t="shared" si="679"/>
        <v>627</v>
      </c>
      <c r="H273" s="363" t="s">
        <v>393</v>
      </c>
      <c r="I273" s="365">
        <f>I272-E273</f>
        <v>1600</v>
      </c>
      <c r="J273" s="366"/>
      <c r="K273" s="367"/>
      <c r="L273" s="364">
        <v>260612001</v>
      </c>
      <c r="M273" s="364"/>
      <c r="N273" s="364">
        <f>N269-D273</f>
        <v>7</v>
      </c>
      <c r="O273" s="192">
        <v>46155</v>
      </c>
      <c r="P273" s="193">
        <f t="shared" si="680"/>
        <v>332</v>
      </c>
      <c r="Q273" s="194">
        <f t="shared" si="681"/>
        <v>46519</v>
      </c>
      <c r="R273" s="195">
        <f t="shared" si="682"/>
        <v>33</v>
      </c>
      <c r="U273" s="91"/>
    </row>
    <row r="274" spans="1:21" s="1" customFormat="1" ht="19.649999999999999" customHeight="1" x14ac:dyDescent="0.25">
      <c r="A274" s="52">
        <v>46190</v>
      </c>
      <c r="B274" s="52">
        <v>46190</v>
      </c>
      <c r="C274" s="53" t="s">
        <v>444</v>
      </c>
      <c r="D274" s="53">
        <v>20</v>
      </c>
      <c r="E274" s="53">
        <f>D274*200</f>
        <v>4000</v>
      </c>
      <c r="F274" s="313" t="s">
        <v>40</v>
      </c>
      <c r="G274" s="53">
        <f>D274*209</f>
        <v>4180</v>
      </c>
      <c r="H274" s="54" t="s">
        <v>449</v>
      </c>
      <c r="I274" s="55">
        <f>I269-E274</f>
        <v>30000</v>
      </c>
      <c r="J274" s="56"/>
      <c r="K274" s="57"/>
      <c r="L274" s="53">
        <v>260616001</v>
      </c>
      <c r="M274" s="53"/>
      <c r="N274" s="53">
        <f>N237-D274</f>
        <v>18</v>
      </c>
      <c r="O274" s="192">
        <v>46157</v>
      </c>
      <c r="P274" s="193">
        <f t="shared" si="680"/>
        <v>332</v>
      </c>
      <c r="Q274" s="194">
        <f t="shared" si="681"/>
        <v>46521</v>
      </c>
      <c r="R274" s="195">
        <f t="shared" si="682"/>
        <v>33</v>
      </c>
      <c r="U274" s="91"/>
    </row>
    <row r="275" spans="1:21" s="1" customFormat="1" ht="19.649999999999999" customHeight="1" x14ac:dyDescent="0.25">
      <c r="A275" s="13">
        <v>46190</v>
      </c>
      <c r="B275" s="13">
        <v>46190</v>
      </c>
      <c r="C275" s="14" t="s">
        <v>444</v>
      </c>
      <c r="D275" s="14">
        <v>9</v>
      </c>
      <c r="E275" s="14">
        <f t="shared" ref="E275:E277" si="683">D275*200</f>
        <v>1800</v>
      </c>
      <c r="F275" s="15" t="s">
        <v>3</v>
      </c>
      <c r="G275" s="14">
        <f t="shared" ref="G275:G277" si="684">D275*209</f>
        <v>1881</v>
      </c>
      <c r="H275" s="15" t="s">
        <v>450</v>
      </c>
      <c r="I275" s="16">
        <f>I268-E275</f>
        <v>36400</v>
      </c>
      <c r="J275" s="17"/>
      <c r="K275" s="18"/>
      <c r="L275" s="14">
        <v>260616002</v>
      </c>
      <c r="M275" s="14"/>
      <c r="N275" s="14">
        <f>N274-D275</f>
        <v>9</v>
      </c>
      <c r="O275" s="192">
        <v>46157</v>
      </c>
      <c r="P275" s="193">
        <f t="shared" si="680"/>
        <v>332</v>
      </c>
      <c r="Q275" s="194">
        <f t="shared" si="681"/>
        <v>46521</v>
      </c>
      <c r="R275" s="195">
        <f t="shared" si="682"/>
        <v>33</v>
      </c>
      <c r="U275" s="91"/>
    </row>
    <row r="276" spans="1:21" s="1" customFormat="1" ht="19.649999999999999" customHeight="1" x14ac:dyDescent="0.25">
      <c r="A276" s="13">
        <v>46190</v>
      </c>
      <c r="B276" s="13">
        <v>46190</v>
      </c>
      <c r="C276" s="14" t="s">
        <v>445</v>
      </c>
      <c r="D276" s="14">
        <v>11</v>
      </c>
      <c r="E276" s="14">
        <f t="shared" si="683"/>
        <v>2200</v>
      </c>
      <c r="F276" s="15" t="s">
        <v>3</v>
      </c>
      <c r="G276" s="14">
        <f t="shared" si="684"/>
        <v>2299</v>
      </c>
      <c r="H276" s="15" t="s">
        <v>438</v>
      </c>
      <c r="I276" s="16">
        <f>I275-E276</f>
        <v>34200</v>
      </c>
      <c r="J276" s="17"/>
      <c r="K276" s="18"/>
      <c r="L276" s="14">
        <v>260616002</v>
      </c>
      <c r="M276" s="14"/>
      <c r="N276" s="14">
        <f>N248-D276</f>
        <v>27</v>
      </c>
      <c r="O276" s="192">
        <v>46160</v>
      </c>
      <c r="P276" s="193">
        <f t="shared" si="680"/>
        <v>335</v>
      </c>
      <c r="Q276" s="194">
        <f t="shared" si="681"/>
        <v>46524</v>
      </c>
      <c r="R276" s="195">
        <f t="shared" si="682"/>
        <v>30</v>
      </c>
      <c r="U276" s="91"/>
    </row>
    <row r="277" spans="1:21" s="1" customFormat="1" ht="19.649999999999999" customHeight="1" x14ac:dyDescent="0.25">
      <c r="A277" s="13">
        <v>46190</v>
      </c>
      <c r="B277" s="13">
        <v>46190</v>
      </c>
      <c r="C277" s="14" t="s">
        <v>446</v>
      </c>
      <c r="D277" s="14">
        <v>4</v>
      </c>
      <c r="E277" s="14">
        <f t="shared" si="683"/>
        <v>800</v>
      </c>
      <c r="F277" s="15" t="s">
        <v>3</v>
      </c>
      <c r="G277" s="14">
        <f t="shared" si="684"/>
        <v>836</v>
      </c>
      <c r="H277" s="15" t="s">
        <v>438</v>
      </c>
      <c r="I277" s="16">
        <f>I276-E277</f>
        <v>33400</v>
      </c>
      <c r="J277" s="17" t="s">
        <v>322</v>
      </c>
      <c r="K277" s="18"/>
      <c r="L277" s="14">
        <v>260616003</v>
      </c>
      <c r="M277" s="14">
        <v>42</v>
      </c>
      <c r="N277" s="14">
        <f>M277-D277</f>
        <v>38</v>
      </c>
      <c r="O277" s="192">
        <v>46174</v>
      </c>
      <c r="P277" s="193">
        <f t="shared" si="680"/>
        <v>349</v>
      </c>
      <c r="Q277" s="194">
        <f t="shared" si="681"/>
        <v>46538</v>
      </c>
      <c r="R277" s="195">
        <f t="shared" si="682"/>
        <v>16</v>
      </c>
      <c r="U277" s="91"/>
    </row>
    <row r="278" spans="1:21" s="1" customFormat="1" ht="19.649999999999999" customHeight="1" x14ac:dyDescent="0.25">
      <c r="A278" s="13">
        <v>46190</v>
      </c>
      <c r="B278" s="13">
        <v>46190</v>
      </c>
      <c r="C278" s="14" t="s">
        <v>447</v>
      </c>
      <c r="D278" s="14">
        <v>4</v>
      </c>
      <c r="E278" s="14">
        <f t="shared" ref="E278" si="685">D278*200</f>
        <v>800</v>
      </c>
      <c r="F278" s="15" t="s">
        <v>3</v>
      </c>
      <c r="G278" s="14">
        <f t="shared" ref="G278" si="686">D278*209</f>
        <v>836</v>
      </c>
      <c r="H278" s="15" t="s">
        <v>438</v>
      </c>
      <c r="I278" s="16">
        <f>I277-E278</f>
        <v>32600</v>
      </c>
      <c r="J278" s="17" t="s">
        <v>322</v>
      </c>
      <c r="K278" s="18"/>
      <c r="L278" s="14">
        <v>260616003</v>
      </c>
      <c r="M278" s="14">
        <v>42</v>
      </c>
      <c r="N278" s="14">
        <f t="shared" ref="N278:N279" si="687">M278-D278</f>
        <v>38</v>
      </c>
      <c r="O278" s="192">
        <v>46176</v>
      </c>
      <c r="P278" s="193">
        <f t="shared" ref="P278" si="688">365-R278</f>
        <v>351</v>
      </c>
      <c r="Q278" s="194">
        <f t="shared" ref="Q278" si="689">DATE(YEAR(O278)+1,MONTH(O278),DAY(O278))-1</f>
        <v>46540</v>
      </c>
      <c r="R278" s="195">
        <f t="shared" ref="R278" si="690">DATEDIF(O278,B278,"d")</f>
        <v>14</v>
      </c>
      <c r="U278" s="91"/>
    </row>
    <row r="279" spans="1:21" s="1" customFormat="1" ht="19.649999999999999" customHeight="1" x14ac:dyDescent="0.25">
      <c r="A279" s="13">
        <v>46190</v>
      </c>
      <c r="B279" s="13">
        <v>46190</v>
      </c>
      <c r="C279" s="14" t="s">
        <v>448</v>
      </c>
      <c r="D279" s="14">
        <v>4</v>
      </c>
      <c r="E279" s="14">
        <f t="shared" ref="E279:E283" si="691">D279*200</f>
        <v>800</v>
      </c>
      <c r="F279" s="15" t="s">
        <v>3</v>
      </c>
      <c r="G279" s="14">
        <f t="shared" ref="G279:G283" si="692">D279*209</f>
        <v>836</v>
      </c>
      <c r="H279" s="15" t="s">
        <v>438</v>
      </c>
      <c r="I279" s="16">
        <f>I278-E279</f>
        <v>31800</v>
      </c>
      <c r="J279" s="17" t="s">
        <v>322</v>
      </c>
      <c r="K279" s="18"/>
      <c r="L279" s="14">
        <v>260616003</v>
      </c>
      <c r="M279" s="14">
        <v>43</v>
      </c>
      <c r="N279" s="14">
        <f t="shared" si="687"/>
        <v>39</v>
      </c>
      <c r="O279" s="192">
        <v>46178</v>
      </c>
      <c r="P279" s="193">
        <f t="shared" ref="P279:P286" si="693">365-R279</f>
        <v>353</v>
      </c>
      <c r="Q279" s="194">
        <f t="shared" ref="Q279:Q286" si="694">DATE(YEAR(O279)+1,MONTH(O279),DAY(O279))-1</f>
        <v>46542</v>
      </c>
      <c r="R279" s="195">
        <f t="shared" ref="R279:R286" si="695">DATEDIF(O279,B279,"d")</f>
        <v>12</v>
      </c>
      <c r="U279" s="91"/>
    </row>
    <row r="280" spans="1:21" s="1" customFormat="1" ht="19.649999999999999" customHeight="1" x14ac:dyDescent="0.25">
      <c r="A280" s="336">
        <v>46191</v>
      </c>
      <c r="B280" s="32">
        <v>46191</v>
      </c>
      <c r="C280" s="34" t="s">
        <v>415</v>
      </c>
      <c r="D280" s="33">
        <v>7</v>
      </c>
      <c r="E280" s="33">
        <f t="shared" si="691"/>
        <v>1400</v>
      </c>
      <c r="F280" s="34" t="s">
        <v>1</v>
      </c>
      <c r="G280" s="33">
        <f t="shared" si="692"/>
        <v>1463</v>
      </c>
      <c r="H280" s="34" t="s">
        <v>452</v>
      </c>
      <c r="I280" s="35">
        <f>I273-E280</f>
        <v>200</v>
      </c>
      <c r="J280" s="36"/>
      <c r="K280" s="37"/>
      <c r="L280" s="33">
        <v>260617001</v>
      </c>
      <c r="M280" s="33"/>
      <c r="N280" s="33">
        <f>N273-D280</f>
        <v>0</v>
      </c>
      <c r="O280" s="192">
        <v>46155</v>
      </c>
      <c r="P280" s="193">
        <f t="shared" si="693"/>
        <v>329</v>
      </c>
      <c r="Q280" s="194">
        <f t="shared" si="694"/>
        <v>46519</v>
      </c>
      <c r="R280" s="195">
        <f t="shared" si="695"/>
        <v>36</v>
      </c>
      <c r="U280" s="91"/>
    </row>
    <row r="281" spans="1:21" s="1" customFormat="1" ht="19.649999999999999" customHeight="1" x14ac:dyDescent="0.25">
      <c r="A281" s="336">
        <v>46191</v>
      </c>
      <c r="B281" s="32">
        <v>46191</v>
      </c>
      <c r="C281" s="34" t="s">
        <v>416</v>
      </c>
      <c r="D281" s="33">
        <v>1</v>
      </c>
      <c r="E281" s="33">
        <f t="shared" si="691"/>
        <v>200</v>
      </c>
      <c r="F281" s="34" t="s">
        <v>1</v>
      </c>
      <c r="G281" s="33">
        <f t="shared" si="692"/>
        <v>209</v>
      </c>
      <c r="H281" s="34" t="s">
        <v>393</v>
      </c>
      <c r="I281" s="35">
        <f>I280-E281</f>
        <v>0</v>
      </c>
      <c r="J281" s="36"/>
      <c r="K281" s="37"/>
      <c r="L281" s="33">
        <v>260617001</v>
      </c>
      <c r="M281" s="33"/>
      <c r="N281" s="33">
        <f>N275-D281</f>
        <v>8</v>
      </c>
      <c r="O281" s="192">
        <v>46157</v>
      </c>
      <c r="P281" s="193">
        <f t="shared" si="693"/>
        <v>331</v>
      </c>
      <c r="Q281" s="194">
        <f t="shared" si="694"/>
        <v>46521</v>
      </c>
      <c r="R281" s="195">
        <f t="shared" si="695"/>
        <v>34</v>
      </c>
      <c r="U281" s="91"/>
    </row>
    <row r="282" spans="1:21" s="1" customFormat="1" ht="19.649999999999999" customHeight="1" x14ac:dyDescent="0.25">
      <c r="A282" s="336">
        <v>46191</v>
      </c>
      <c r="B282" s="32">
        <v>46191</v>
      </c>
      <c r="C282" s="34" t="s">
        <v>416</v>
      </c>
      <c r="D282" s="33">
        <v>8</v>
      </c>
      <c r="E282" s="33">
        <f t="shared" ref="E282" si="696">D282*200</f>
        <v>1600</v>
      </c>
      <c r="F282" s="34" t="s">
        <v>1</v>
      </c>
      <c r="G282" s="33">
        <f t="shared" ref="G282" si="697">D282*209</f>
        <v>1672</v>
      </c>
      <c r="H282" s="331" t="s">
        <v>453</v>
      </c>
      <c r="I282" s="35">
        <f>80000-E282</f>
        <v>78400</v>
      </c>
      <c r="J282" s="36"/>
      <c r="K282" s="37"/>
      <c r="L282" s="33">
        <v>260617001</v>
      </c>
      <c r="M282" s="33"/>
      <c r="N282" s="33">
        <f>N281-D282</f>
        <v>0</v>
      </c>
      <c r="O282" s="192">
        <v>46157</v>
      </c>
      <c r="P282" s="193">
        <f t="shared" si="693"/>
        <v>331</v>
      </c>
      <c r="Q282" s="194">
        <f t="shared" si="694"/>
        <v>46521</v>
      </c>
      <c r="R282" s="195">
        <f t="shared" si="695"/>
        <v>34</v>
      </c>
      <c r="U282" s="91"/>
    </row>
    <row r="283" spans="1:21" s="1" customFormat="1" ht="19.649999999999999" customHeight="1" x14ac:dyDescent="0.25">
      <c r="A283" s="336">
        <v>46191</v>
      </c>
      <c r="B283" s="32">
        <v>46191</v>
      </c>
      <c r="C283" s="34" t="s">
        <v>423</v>
      </c>
      <c r="D283" s="33">
        <v>20</v>
      </c>
      <c r="E283" s="33">
        <f t="shared" si="691"/>
        <v>4000</v>
      </c>
      <c r="F283" s="34" t="s">
        <v>1</v>
      </c>
      <c r="G283" s="33">
        <f t="shared" si="692"/>
        <v>4180</v>
      </c>
      <c r="H283" s="34" t="s">
        <v>451</v>
      </c>
      <c r="I283" s="35">
        <f>I282-E283</f>
        <v>74400</v>
      </c>
      <c r="J283" s="36"/>
      <c r="K283" s="37"/>
      <c r="L283" s="33">
        <v>260617001</v>
      </c>
      <c r="M283" s="33"/>
      <c r="N283" s="33">
        <f>N276-D283</f>
        <v>7</v>
      </c>
      <c r="O283" s="192">
        <v>46160</v>
      </c>
      <c r="P283" s="193">
        <f t="shared" si="693"/>
        <v>334</v>
      </c>
      <c r="Q283" s="194">
        <f t="shared" si="694"/>
        <v>46524</v>
      </c>
      <c r="R283" s="195">
        <f t="shared" si="695"/>
        <v>31</v>
      </c>
      <c r="U283" s="91"/>
    </row>
    <row r="284" spans="1:21" s="1" customFormat="1" ht="19.649999999999999" customHeight="1" x14ac:dyDescent="0.25">
      <c r="A284" s="104">
        <v>46191</v>
      </c>
      <c r="B284" s="104">
        <v>46191</v>
      </c>
      <c r="C284" s="105" t="s">
        <v>455</v>
      </c>
      <c r="D284" s="105">
        <v>7</v>
      </c>
      <c r="E284" s="105">
        <f>D284*200</f>
        <v>1400</v>
      </c>
      <c r="F284" s="112" t="s">
        <v>40</v>
      </c>
      <c r="G284" s="105">
        <f>D284*209</f>
        <v>1463</v>
      </c>
      <c r="H284" s="106" t="s">
        <v>427</v>
      </c>
      <c r="I284" s="107">
        <f>I274-E284</f>
        <v>28600</v>
      </c>
      <c r="J284" s="108"/>
      <c r="K284" s="109"/>
      <c r="L284" s="105">
        <v>260617002</v>
      </c>
      <c r="M284" s="105"/>
      <c r="N284" s="105">
        <f>N283-D284</f>
        <v>0</v>
      </c>
      <c r="O284" s="192">
        <v>46160</v>
      </c>
      <c r="P284" s="193">
        <f t="shared" si="693"/>
        <v>334</v>
      </c>
      <c r="Q284" s="194">
        <f t="shared" si="694"/>
        <v>46524</v>
      </c>
      <c r="R284" s="195">
        <f t="shared" si="695"/>
        <v>31</v>
      </c>
      <c r="U284" s="91"/>
    </row>
    <row r="285" spans="1:21" s="1" customFormat="1" ht="19.649999999999999" customHeight="1" x14ac:dyDescent="0.25">
      <c r="A285" s="104">
        <v>46191</v>
      </c>
      <c r="B285" s="104">
        <v>46191</v>
      </c>
      <c r="C285" s="105" t="s">
        <v>424</v>
      </c>
      <c r="D285" s="105">
        <v>1</v>
      </c>
      <c r="E285" s="105">
        <f>D285*200</f>
        <v>200</v>
      </c>
      <c r="F285" s="112" t="s">
        <v>40</v>
      </c>
      <c r="G285" s="105">
        <f>D285*209</f>
        <v>209</v>
      </c>
      <c r="H285" s="106" t="s">
        <v>454</v>
      </c>
      <c r="I285" s="107">
        <f>I284-E285</f>
        <v>28400</v>
      </c>
      <c r="J285" s="108"/>
      <c r="K285" s="109"/>
      <c r="L285" s="105">
        <v>260617002</v>
      </c>
      <c r="M285" s="105"/>
      <c r="N285" s="105">
        <f>N249-D285</f>
        <v>38</v>
      </c>
      <c r="O285" s="192">
        <v>46162</v>
      </c>
      <c r="P285" s="193">
        <f t="shared" si="693"/>
        <v>336</v>
      </c>
      <c r="Q285" s="194">
        <f t="shared" si="694"/>
        <v>46526</v>
      </c>
      <c r="R285" s="195">
        <f t="shared" si="695"/>
        <v>29</v>
      </c>
      <c r="U285" s="91"/>
    </row>
    <row r="286" spans="1:21" s="1" customFormat="1" ht="19.649999999999999" customHeight="1" x14ac:dyDescent="0.25">
      <c r="A286" s="243">
        <v>46195</v>
      </c>
      <c r="B286" s="243">
        <v>46195</v>
      </c>
      <c r="C286" s="244" t="s">
        <v>424</v>
      </c>
      <c r="D286" s="244">
        <v>12</v>
      </c>
      <c r="E286" s="244">
        <f>D286*200</f>
        <v>2400</v>
      </c>
      <c r="F286" s="275" t="s">
        <v>40</v>
      </c>
      <c r="G286" s="244">
        <f>D286*209</f>
        <v>2508</v>
      </c>
      <c r="H286" s="245" t="s">
        <v>427</v>
      </c>
      <c r="I286" s="246">
        <f>I285-E286</f>
        <v>26000</v>
      </c>
      <c r="J286" s="247"/>
      <c r="K286" s="248"/>
      <c r="L286" s="244">
        <v>260617003</v>
      </c>
      <c r="M286" s="244"/>
      <c r="N286" s="244">
        <f>N285-D286</f>
        <v>26</v>
      </c>
      <c r="O286" s="192">
        <v>46162</v>
      </c>
      <c r="P286" s="193">
        <f t="shared" si="693"/>
        <v>332</v>
      </c>
      <c r="Q286" s="194">
        <f t="shared" si="694"/>
        <v>46526</v>
      </c>
      <c r="R286" s="195">
        <f t="shared" si="695"/>
        <v>33</v>
      </c>
      <c r="U286" s="91"/>
    </row>
    <row r="287" spans="1:21" s="1" customFormat="1" ht="19.649999999999999" customHeight="1" x14ac:dyDescent="0.25">
      <c r="A287" s="305">
        <v>46195</v>
      </c>
      <c r="B287" s="250">
        <v>46195</v>
      </c>
      <c r="C287" s="127" t="s">
        <v>424</v>
      </c>
      <c r="D287" s="126">
        <v>26</v>
      </c>
      <c r="E287" s="126">
        <f t="shared" ref="E287" si="698">D287*200</f>
        <v>5200</v>
      </c>
      <c r="F287" s="127" t="s">
        <v>1</v>
      </c>
      <c r="G287" s="126">
        <f t="shared" ref="G287" si="699">D287*209</f>
        <v>5434</v>
      </c>
      <c r="H287" s="127" t="s">
        <v>451</v>
      </c>
      <c r="I287" s="252">
        <f>I283-E287</f>
        <v>69200</v>
      </c>
      <c r="J287" s="253"/>
      <c r="K287" s="254"/>
      <c r="L287" s="126">
        <v>260618001</v>
      </c>
      <c r="M287" s="126"/>
      <c r="N287" s="126">
        <f>N286-D287</f>
        <v>0</v>
      </c>
      <c r="O287" s="192">
        <v>46162</v>
      </c>
      <c r="P287" s="193">
        <f t="shared" ref="P287:P292" si="700">365-R287</f>
        <v>332</v>
      </c>
      <c r="Q287" s="194">
        <f t="shared" ref="Q287:Q292" si="701">DATE(YEAR(O287)+1,MONTH(O287),DAY(O287))-1</f>
        <v>46526</v>
      </c>
      <c r="R287" s="195">
        <f t="shared" ref="R287:R292" si="702">DATEDIF(O287,B287,"d")</f>
        <v>33</v>
      </c>
      <c r="U287" s="91"/>
    </row>
    <row r="288" spans="1:21" s="1" customFormat="1" ht="19.649999999999999" customHeight="1" x14ac:dyDescent="0.25">
      <c r="A288" s="305">
        <v>46195</v>
      </c>
      <c r="B288" s="250">
        <v>46195</v>
      </c>
      <c r="C288" s="127" t="s">
        <v>425</v>
      </c>
      <c r="D288" s="126">
        <v>2</v>
      </c>
      <c r="E288" s="126">
        <f t="shared" ref="E288:E292" si="703">D288*200</f>
        <v>400</v>
      </c>
      <c r="F288" s="127" t="s">
        <v>1</v>
      </c>
      <c r="G288" s="126">
        <f t="shared" ref="G288:G292" si="704">D288*209</f>
        <v>418</v>
      </c>
      <c r="H288" s="127" t="s">
        <v>451</v>
      </c>
      <c r="I288" s="252">
        <f>I287-E288</f>
        <v>68800</v>
      </c>
      <c r="J288" s="253"/>
      <c r="K288" s="254"/>
      <c r="L288" s="126">
        <v>260618001</v>
      </c>
      <c r="M288" s="126"/>
      <c r="N288" s="126">
        <f>N250-D288</f>
        <v>36</v>
      </c>
      <c r="O288" s="192">
        <v>46164</v>
      </c>
      <c r="P288" s="193">
        <f t="shared" si="700"/>
        <v>334</v>
      </c>
      <c r="Q288" s="194">
        <f t="shared" si="701"/>
        <v>46528</v>
      </c>
      <c r="R288" s="195">
        <f t="shared" si="702"/>
        <v>31</v>
      </c>
      <c r="U288" s="91"/>
    </row>
    <row r="289" spans="1:21" s="1" customFormat="1" ht="19.649999999999999" customHeight="1" x14ac:dyDescent="0.25">
      <c r="A289" s="233">
        <v>46196</v>
      </c>
      <c r="B289" s="233">
        <v>46196</v>
      </c>
      <c r="C289" s="38" t="s">
        <v>425</v>
      </c>
      <c r="D289" s="38">
        <v>20</v>
      </c>
      <c r="E289" s="38">
        <f t="shared" si="703"/>
        <v>4000</v>
      </c>
      <c r="F289" s="39" t="s">
        <v>3</v>
      </c>
      <c r="G289" s="38">
        <f t="shared" si="704"/>
        <v>4180</v>
      </c>
      <c r="H289" s="39" t="s">
        <v>438</v>
      </c>
      <c r="I289" s="234">
        <f>I279-E289</f>
        <v>27800</v>
      </c>
      <c r="J289" s="235"/>
      <c r="K289" s="236"/>
      <c r="L289" s="38">
        <v>260622002</v>
      </c>
      <c r="M289" s="38"/>
      <c r="N289" s="38">
        <f>N288-D289</f>
        <v>16</v>
      </c>
      <c r="O289" s="192">
        <v>46164</v>
      </c>
      <c r="P289" s="193">
        <f t="shared" ref="P289" si="705">365-R289</f>
        <v>333</v>
      </c>
      <c r="Q289" s="194">
        <f t="shared" ref="Q289" si="706">DATE(YEAR(O289)+1,MONTH(O289),DAY(O289))-1</f>
        <v>46528</v>
      </c>
      <c r="R289" s="195">
        <f t="shared" ref="R289" si="707">DATEDIF(O289,B289,"d")</f>
        <v>32</v>
      </c>
      <c r="U289" s="91"/>
    </row>
    <row r="290" spans="1:21" s="1" customFormat="1" ht="19.649999999999999" customHeight="1" x14ac:dyDescent="0.25">
      <c r="A290" s="233">
        <v>46196</v>
      </c>
      <c r="B290" s="233">
        <v>46196</v>
      </c>
      <c r="C290" s="38" t="s">
        <v>456</v>
      </c>
      <c r="D290" s="38">
        <v>4</v>
      </c>
      <c r="E290" s="38">
        <f t="shared" si="703"/>
        <v>800</v>
      </c>
      <c r="F290" s="39" t="s">
        <v>3</v>
      </c>
      <c r="G290" s="38">
        <f t="shared" si="704"/>
        <v>836</v>
      </c>
      <c r="H290" s="39" t="s">
        <v>438</v>
      </c>
      <c r="I290" s="234">
        <f>I289-E290</f>
        <v>27000</v>
      </c>
      <c r="J290" s="235" t="s">
        <v>322</v>
      </c>
      <c r="K290" s="236"/>
      <c r="L290" s="38">
        <v>260622003</v>
      </c>
      <c r="M290" s="38">
        <v>42</v>
      </c>
      <c r="N290" s="38">
        <f>M290-D290</f>
        <v>38</v>
      </c>
      <c r="O290" s="192">
        <v>46181</v>
      </c>
      <c r="P290" s="193">
        <f t="shared" si="700"/>
        <v>350</v>
      </c>
      <c r="Q290" s="194">
        <f t="shared" si="701"/>
        <v>46545</v>
      </c>
      <c r="R290" s="195">
        <f t="shared" si="702"/>
        <v>15</v>
      </c>
      <c r="U290" s="91"/>
    </row>
    <row r="291" spans="1:21" s="1" customFormat="1" ht="19.649999999999999" customHeight="1" x14ac:dyDescent="0.25">
      <c r="A291" s="233">
        <v>46196</v>
      </c>
      <c r="B291" s="233">
        <v>46196</v>
      </c>
      <c r="C291" s="38" t="s">
        <v>457</v>
      </c>
      <c r="D291" s="38">
        <v>4</v>
      </c>
      <c r="E291" s="38">
        <f t="shared" si="703"/>
        <v>800</v>
      </c>
      <c r="F291" s="39" t="s">
        <v>3</v>
      </c>
      <c r="G291" s="38">
        <f t="shared" si="704"/>
        <v>836</v>
      </c>
      <c r="H291" s="39" t="s">
        <v>460</v>
      </c>
      <c r="I291" s="234">
        <f>I290-E291</f>
        <v>26200</v>
      </c>
      <c r="J291" s="235" t="s">
        <v>322</v>
      </c>
      <c r="K291" s="236"/>
      <c r="L291" s="38">
        <v>260622003</v>
      </c>
      <c r="M291" s="38">
        <v>42</v>
      </c>
      <c r="N291" s="38">
        <f t="shared" ref="N291:N292" si="708">M291-D291</f>
        <v>38</v>
      </c>
      <c r="O291" s="192">
        <v>46183</v>
      </c>
      <c r="P291" s="193">
        <f t="shared" si="700"/>
        <v>352</v>
      </c>
      <c r="Q291" s="194">
        <f t="shared" si="701"/>
        <v>46547</v>
      </c>
      <c r="R291" s="195">
        <f t="shared" si="702"/>
        <v>13</v>
      </c>
      <c r="U291" s="91"/>
    </row>
    <row r="292" spans="1:21" s="1" customFormat="1" ht="19.649999999999999" customHeight="1" x14ac:dyDescent="0.25">
      <c r="A292" s="233">
        <v>46196</v>
      </c>
      <c r="B292" s="233">
        <v>46196</v>
      </c>
      <c r="C292" s="38" t="s">
        <v>458</v>
      </c>
      <c r="D292" s="38">
        <v>4</v>
      </c>
      <c r="E292" s="38">
        <f t="shared" si="703"/>
        <v>800</v>
      </c>
      <c r="F292" s="39" t="s">
        <v>3</v>
      </c>
      <c r="G292" s="38">
        <f t="shared" si="704"/>
        <v>836</v>
      </c>
      <c r="H292" s="39" t="s">
        <v>438</v>
      </c>
      <c r="I292" s="234">
        <f>I291-E292</f>
        <v>25400</v>
      </c>
      <c r="J292" s="235" t="s">
        <v>322</v>
      </c>
      <c r="K292" s="236"/>
      <c r="L292" s="38">
        <v>260622003</v>
      </c>
      <c r="M292" s="38">
        <v>42</v>
      </c>
      <c r="N292" s="38">
        <f t="shared" si="708"/>
        <v>38</v>
      </c>
      <c r="O292" s="192">
        <v>46185</v>
      </c>
      <c r="P292" s="193">
        <f t="shared" si="700"/>
        <v>354</v>
      </c>
      <c r="Q292" s="194">
        <f t="shared" si="701"/>
        <v>46549</v>
      </c>
      <c r="R292" s="195">
        <f t="shared" si="702"/>
        <v>11</v>
      </c>
      <c r="U292" s="91"/>
    </row>
    <row r="293" spans="1:21" s="1" customFormat="1" ht="19.649999999999999" customHeight="1" x14ac:dyDescent="0.25">
      <c r="A293" s="233">
        <v>46196</v>
      </c>
      <c r="B293" s="233">
        <v>46196</v>
      </c>
      <c r="C293" s="38" t="s">
        <v>459</v>
      </c>
      <c r="D293" s="38">
        <v>4</v>
      </c>
      <c r="E293" s="38">
        <f t="shared" ref="E293" si="709">D293*200</f>
        <v>800</v>
      </c>
      <c r="F293" s="39" t="s">
        <v>3</v>
      </c>
      <c r="G293" s="38">
        <f t="shared" ref="G293" si="710">D293*209</f>
        <v>836</v>
      </c>
      <c r="H293" s="39" t="s">
        <v>438</v>
      </c>
      <c r="I293" s="234">
        <f>I292-E293</f>
        <v>24600</v>
      </c>
      <c r="J293" s="235" t="s">
        <v>322</v>
      </c>
      <c r="K293" s="236"/>
      <c r="L293" s="38">
        <v>260622003</v>
      </c>
      <c r="M293" s="38">
        <v>42</v>
      </c>
      <c r="N293" s="38">
        <f t="shared" ref="N293" si="711">M293-D293</f>
        <v>38</v>
      </c>
      <c r="O293" s="192">
        <v>46187</v>
      </c>
      <c r="P293" s="193">
        <f t="shared" ref="P293:P295" si="712">365-R293</f>
        <v>356</v>
      </c>
      <c r="Q293" s="194">
        <f t="shared" ref="Q293:Q295" si="713">DATE(YEAR(O293)+1,MONTH(O293),DAY(O293))-1</f>
        <v>46551</v>
      </c>
      <c r="R293" s="195">
        <f t="shared" ref="R293:R295" si="714">DATEDIF(O293,B293,"d")</f>
        <v>9</v>
      </c>
      <c r="U293" s="91"/>
    </row>
    <row r="294" spans="1:21" s="1" customFormat="1" ht="19.649999999999999" customHeight="1" x14ac:dyDescent="0.25">
      <c r="A294" s="32">
        <v>46197</v>
      </c>
      <c r="B294" s="32">
        <v>46197</v>
      </c>
      <c r="C294" s="33" t="s">
        <v>464</v>
      </c>
      <c r="D294" s="33">
        <v>4</v>
      </c>
      <c r="E294" s="33">
        <f>D294*200</f>
        <v>800</v>
      </c>
      <c r="F294" s="358" t="s">
        <v>40</v>
      </c>
      <c r="G294" s="33">
        <f>D294*209</f>
        <v>836</v>
      </c>
      <c r="H294" s="34" t="s">
        <v>463</v>
      </c>
      <c r="I294" s="35">
        <f>I286-E294</f>
        <v>25200</v>
      </c>
      <c r="J294" s="36"/>
      <c r="K294" s="37"/>
      <c r="L294" s="33">
        <v>260623001</v>
      </c>
      <c r="M294" s="33"/>
      <c r="N294" s="33">
        <f>N289-D294</f>
        <v>12</v>
      </c>
      <c r="O294" s="192">
        <v>46164</v>
      </c>
      <c r="P294" s="193">
        <f t="shared" si="712"/>
        <v>332</v>
      </c>
      <c r="Q294" s="194">
        <f t="shared" si="713"/>
        <v>46528</v>
      </c>
      <c r="R294" s="195">
        <f t="shared" si="714"/>
        <v>33</v>
      </c>
      <c r="U294" s="91"/>
    </row>
    <row r="295" spans="1:21" s="1" customFormat="1" ht="19.649999999999999" customHeight="1" x14ac:dyDescent="0.25">
      <c r="A295" s="32">
        <v>46197</v>
      </c>
      <c r="B295" s="32">
        <v>46197</v>
      </c>
      <c r="C295" s="33" t="s">
        <v>461</v>
      </c>
      <c r="D295" s="33">
        <v>12</v>
      </c>
      <c r="E295" s="33">
        <f>D295*200</f>
        <v>2400</v>
      </c>
      <c r="F295" s="358" t="s">
        <v>40</v>
      </c>
      <c r="G295" s="33">
        <f>D295*209</f>
        <v>2508</v>
      </c>
      <c r="H295" s="34" t="s">
        <v>462</v>
      </c>
      <c r="I295" s="35">
        <f>I294-E295</f>
        <v>22800</v>
      </c>
      <c r="J295" s="36"/>
      <c r="K295" s="37"/>
      <c r="L295" s="33">
        <v>260623001</v>
      </c>
      <c r="M295" s="33"/>
      <c r="N295" s="33">
        <f>N261-D295</f>
        <v>26</v>
      </c>
      <c r="O295" s="192">
        <v>46167</v>
      </c>
      <c r="P295" s="193">
        <f t="shared" si="712"/>
        <v>335</v>
      </c>
      <c r="Q295" s="194">
        <f t="shared" si="713"/>
        <v>46531</v>
      </c>
      <c r="R295" s="195">
        <f t="shared" si="714"/>
        <v>30</v>
      </c>
      <c r="U295" s="91"/>
    </row>
    <row r="296" spans="1:21" s="1" customFormat="1" ht="19.649999999999999" customHeight="1" x14ac:dyDescent="0.25">
      <c r="A296" s="359">
        <v>46198</v>
      </c>
      <c r="B296" s="104">
        <v>46198</v>
      </c>
      <c r="C296" s="106" t="s">
        <v>466</v>
      </c>
      <c r="D296" s="105">
        <v>12</v>
      </c>
      <c r="E296" s="105">
        <f t="shared" ref="E296:E297" si="715">D296*200</f>
        <v>2400</v>
      </c>
      <c r="F296" s="106" t="s">
        <v>1</v>
      </c>
      <c r="G296" s="105">
        <f t="shared" ref="G296:G297" si="716">D296*209</f>
        <v>2508</v>
      </c>
      <c r="H296" s="106" t="s">
        <v>465</v>
      </c>
      <c r="I296" s="107">
        <f>I288-E296</f>
        <v>66400</v>
      </c>
      <c r="J296" s="108"/>
      <c r="K296" s="109"/>
      <c r="L296" s="105">
        <v>260624001</v>
      </c>
      <c r="M296" s="105"/>
      <c r="N296" s="105">
        <f>N294-D296</f>
        <v>0</v>
      </c>
      <c r="O296" s="192">
        <v>46164</v>
      </c>
      <c r="P296" s="193">
        <f t="shared" ref="P296:P297" si="717">365-R296</f>
        <v>331</v>
      </c>
      <c r="Q296" s="194">
        <f t="shared" ref="Q296:Q297" si="718">DATE(YEAR(O296)+1,MONTH(O296),DAY(O296))-1</f>
        <v>46528</v>
      </c>
      <c r="R296" s="195">
        <f t="shared" ref="R296:R297" si="719">DATEDIF(O296,B296,"d")</f>
        <v>34</v>
      </c>
      <c r="U296" s="91"/>
    </row>
    <row r="297" spans="1:21" s="1" customFormat="1" ht="19.649999999999999" customHeight="1" x14ac:dyDescent="0.25">
      <c r="A297" s="359">
        <v>46198</v>
      </c>
      <c r="B297" s="104">
        <v>46198</v>
      </c>
      <c r="C297" s="106" t="s">
        <v>461</v>
      </c>
      <c r="D297" s="105">
        <v>16</v>
      </c>
      <c r="E297" s="105">
        <f t="shared" si="715"/>
        <v>3200</v>
      </c>
      <c r="F297" s="106" t="s">
        <v>1</v>
      </c>
      <c r="G297" s="105">
        <f t="shared" si="716"/>
        <v>3344</v>
      </c>
      <c r="H297" s="106" t="s">
        <v>451</v>
      </c>
      <c r="I297" s="107">
        <f>I296-E297</f>
        <v>63200</v>
      </c>
      <c r="J297" s="108"/>
      <c r="K297" s="109"/>
      <c r="L297" s="105">
        <v>260624001</v>
      </c>
      <c r="M297" s="105"/>
      <c r="N297" s="105">
        <f>N295-D297</f>
        <v>10</v>
      </c>
      <c r="O297" s="192">
        <v>46167</v>
      </c>
      <c r="P297" s="193">
        <f t="shared" si="717"/>
        <v>334</v>
      </c>
      <c r="Q297" s="194">
        <f t="shared" si="718"/>
        <v>46531</v>
      </c>
      <c r="R297" s="195">
        <f t="shared" si="719"/>
        <v>31</v>
      </c>
      <c r="U297" s="91"/>
    </row>
    <row r="298" spans="1:21" s="1" customFormat="1" ht="19.649999999999999" customHeight="1" x14ac:dyDescent="0.25">
      <c r="A298" s="362">
        <v>46199</v>
      </c>
      <c r="B298" s="362">
        <v>46199</v>
      </c>
      <c r="C298" s="364" t="s">
        <v>433</v>
      </c>
      <c r="D298" s="364">
        <v>8</v>
      </c>
      <c r="E298" s="364">
        <f>D298*200</f>
        <v>1600</v>
      </c>
      <c r="F298" s="369" t="s">
        <v>40</v>
      </c>
      <c r="G298" s="364">
        <f>D298*209</f>
        <v>1672</v>
      </c>
      <c r="H298" s="363" t="s">
        <v>467</v>
      </c>
      <c r="I298" s="365">
        <f>I295-E298</f>
        <v>21200</v>
      </c>
      <c r="J298" s="366"/>
      <c r="K298" s="367"/>
      <c r="L298" s="364">
        <v>260625001</v>
      </c>
      <c r="M298" s="364"/>
      <c r="N298" s="364">
        <f>N297-D298</f>
        <v>2</v>
      </c>
      <c r="O298" s="192">
        <v>46167</v>
      </c>
      <c r="P298" s="193">
        <f t="shared" ref="P298" si="720">365-R298</f>
        <v>333</v>
      </c>
      <c r="Q298" s="194">
        <f t="shared" ref="Q298" si="721">DATE(YEAR(O298)+1,MONTH(O298),DAY(O298))-1</f>
        <v>46531</v>
      </c>
      <c r="R298" s="195">
        <f t="shared" ref="R298" si="722">DATEDIF(O298,B298,"d")</f>
        <v>32</v>
      </c>
      <c r="U298" s="91"/>
    </row>
    <row r="299" spans="1:21" s="1" customFormat="1" ht="19.649999999999999" customHeight="1" x14ac:dyDescent="0.25">
      <c r="A299" s="13">
        <v>46202</v>
      </c>
      <c r="B299" s="13">
        <v>46202</v>
      </c>
      <c r="C299" s="14" t="s">
        <v>469</v>
      </c>
      <c r="D299" s="14">
        <v>12</v>
      </c>
      <c r="E299" s="14">
        <f>D299*200</f>
        <v>2400</v>
      </c>
      <c r="F299" s="368" t="s">
        <v>40</v>
      </c>
      <c r="G299" s="14">
        <f>D299*209</f>
        <v>2508</v>
      </c>
      <c r="H299" s="15" t="s">
        <v>427</v>
      </c>
      <c r="I299" s="16">
        <f>I298-E299</f>
        <v>18800</v>
      </c>
      <c r="J299" s="17"/>
      <c r="K299" s="18"/>
      <c r="L299" s="14">
        <v>260626001</v>
      </c>
      <c r="M299" s="14"/>
      <c r="N299" s="14">
        <f>N262-D299</f>
        <v>26</v>
      </c>
      <c r="O299" s="192">
        <v>46169</v>
      </c>
      <c r="P299" s="193">
        <f t="shared" ref="P299:P301" si="723">365-R299</f>
        <v>332</v>
      </c>
      <c r="Q299" s="194">
        <f t="shared" ref="Q299:Q301" si="724">DATE(YEAR(O299)+1,MONTH(O299),DAY(O299))-1</f>
        <v>46533</v>
      </c>
      <c r="R299" s="195">
        <f t="shared" ref="R299:R301" si="725">DATEDIF(O299,B299,"d")</f>
        <v>33</v>
      </c>
      <c r="U299" s="91"/>
    </row>
    <row r="300" spans="1:21" s="1" customFormat="1" ht="19.649999999999999" customHeight="1" x14ac:dyDescent="0.25">
      <c r="A300" s="13">
        <v>46202</v>
      </c>
      <c r="B300" s="13">
        <v>46202</v>
      </c>
      <c r="C300" s="14" t="s">
        <v>468</v>
      </c>
      <c r="D300" s="14">
        <v>4</v>
      </c>
      <c r="E300" s="14">
        <f>D300*200</f>
        <v>800</v>
      </c>
      <c r="F300" s="368" t="s">
        <v>40</v>
      </c>
      <c r="G300" s="14">
        <f>D300*209</f>
        <v>836</v>
      </c>
      <c r="H300" s="15" t="s">
        <v>427</v>
      </c>
      <c r="I300" s="16">
        <f>I299-E300</f>
        <v>18000</v>
      </c>
      <c r="J300" s="17"/>
      <c r="K300" s="18"/>
      <c r="L300" s="14">
        <v>260626001</v>
      </c>
      <c r="M300" s="14"/>
      <c r="N300" s="14">
        <f>N263-D300</f>
        <v>34</v>
      </c>
      <c r="O300" s="192">
        <v>46171</v>
      </c>
      <c r="P300" s="193">
        <f t="shared" si="723"/>
        <v>334</v>
      </c>
      <c r="Q300" s="194">
        <f t="shared" si="724"/>
        <v>46535</v>
      </c>
      <c r="R300" s="195">
        <f t="shared" si="725"/>
        <v>31</v>
      </c>
      <c r="U300" s="91"/>
    </row>
    <row r="301" spans="1:21" s="1" customFormat="1" ht="19.649999999999999" customHeight="1" x14ac:dyDescent="0.25">
      <c r="A301" s="329">
        <v>46202</v>
      </c>
      <c r="B301" s="219">
        <v>46202</v>
      </c>
      <c r="C301" s="221" t="s">
        <v>433</v>
      </c>
      <c r="D301" s="220">
        <v>2</v>
      </c>
      <c r="E301" s="220">
        <f t="shared" ref="E301:E302" si="726">D301*200</f>
        <v>400</v>
      </c>
      <c r="F301" s="221" t="s">
        <v>1</v>
      </c>
      <c r="G301" s="220">
        <f t="shared" ref="G301:G302" si="727">D301*209</f>
        <v>418</v>
      </c>
      <c r="H301" s="221" t="s">
        <v>451</v>
      </c>
      <c r="I301" s="222">
        <f>I297-E301</f>
        <v>62800</v>
      </c>
      <c r="J301" s="223"/>
      <c r="K301" s="224"/>
      <c r="L301" s="220">
        <v>260626002</v>
      </c>
      <c r="M301" s="220"/>
      <c r="N301" s="220">
        <f>N298-D301</f>
        <v>0</v>
      </c>
      <c r="O301" s="192">
        <v>46167</v>
      </c>
      <c r="P301" s="193">
        <f t="shared" si="723"/>
        <v>330</v>
      </c>
      <c r="Q301" s="194">
        <f t="shared" si="724"/>
        <v>46531</v>
      </c>
      <c r="R301" s="195">
        <f t="shared" si="725"/>
        <v>35</v>
      </c>
      <c r="U301" s="91"/>
    </row>
    <row r="302" spans="1:21" s="1" customFormat="1" ht="19.649999999999999" customHeight="1" x14ac:dyDescent="0.25">
      <c r="A302" s="329">
        <v>46202</v>
      </c>
      <c r="B302" s="219">
        <v>46202</v>
      </c>
      <c r="C302" s="221" t="s">
        <v>434</v>
      </c>
      <c r="D302" s="220">
        <v>26</v>
      </c>
      <c r="E302" s="220">
        <f t="shared" si="726"/>
        <v>5200</v>
      </c>
      <c r="F302" s="221" t="s">
        <v>1</v>
      </c>
      <c r="G302" s="220">
        <f t="shared" si="727"/>
        <v>5434</v>
      </c>
      <c r="H302" s="221" t="s">
        <v>451</v>
      </c>
      <c r="I302" s="222">
        <f>I301-E302</f>
        <v>57600</v>
      </c>
      <c r="J302" s="223"/>
      <c r="K302" s="224"/>
      <c r="L302" s="220">
        <v>260626002</v>
      </c>
      <c r="M302" s="220"/>
      <c r="N302" s="220">
        <f>N299-D302</f>
        <v>0</v>
      </c>
      <c r="O302" s="192">
        <v>46169</v>
      </c>
      <c r="P302" s="193">
        <f t="shared" ref="P302:P307" si="728">365-R302</f>
        <v>332</v>
      </c>
      <c r="Q302" s="194">
        <f t="shared" ref="Q302:Q307" si="729">DATE(YEAR(O302)+1,MONTH(O302),DAY(O302))-1</f>
        <v>46533</v>
      </c>
      <c r="R302" s="195">
        <f t="shared" ref="R302:R307" si="730">DATEDIF(O302,B302,"d")</f>
        <v>33</v>
      </c>
      <c r="U302" s="91"/>
    </row>
    <row r="303" spans="1:21" s="1" customFormat="1" ht="19.649999999999999" customHeight="1" x14ac:dyDescent="0.25">
      <c r="A303" s="229">
        <v>46204</v>
      </c>
      <c r="B303" s="229">
        <v>46204</v>
      </c>
      <c r="C303" s="100" t="s">
        <v>468</v>
      </c>
      <c r="D303" s="100">
        <v>12</v>
      </c>
      <c r="E303" s="100">
        <f>D303*200</f>
        <v>2400</v>
      </c>
      <c r="F303" s="242" t="s">
        <v>40</v>
      </c>
      <c r="G303" s="100">
        <f>D303*209</f>
        <v>2508</v>
      </c>
      <c r="H303" s="101" t="s">
        <v>431</v>
      </c>
      <c r="I303" s="230">
        <f>I300-E303</f>
        <v>15600</v>
      </c>
      <c r="J303" s="231"/>
      <c r="K303" s="232"/>
      <c r="L303" s="100">
        <v>260630001</v>
      </c>
      <c r="M303" s="100"/>
      <c r="N303" s="100">
        <f>N300-D303</f>
        <v>22</v>
      </c>
      <c r="O303" s="192">
        <v>46171</v>
      </c>
      <c r="P303" s="193">
        <f t="shared" si="728"/>
        <v>332</v>
      </c>
      <c r="Q303" s="194">
        <f t="shared" si="729"/>
        <v>46535</v>
      </c>
      <c r="R303" s="195">
        <f t="shared" si="730"/>
        <v>33</v>
      </c>
      <c r="U303" s="91"/>
    </row>
    <row r="304" spans="1:21" s="1" customFormat="1" ht="19.649999999999999" customHeight="1" x14ac:dyDescent="0.25">
      <c r="A304" s="269">
        <v>46204</v>
      </c>
      <c r="B304" s="269">
        <v>46204</v>
      </c>
      <c r="C304" s="270" t="s">
        <v>468</v>
      </c>
      <c r="D304" s="270">
        <v>10</v>
      </c>
      <c r="E304" s="270">
        <f t="shared" ref="E304:E309" si="731">D304*200</f>
        <v>2000</v>
      </c>
      <c r="F304" s="271" t="s">
        <v>3</v>
      </c>
      <c r="G304" s="270">
        <f t="shared" ref="G304:G309" si="732">D304*209</f>
        <v>2090</v>
      </c>
      <c r="H304" s="271" t="s">
        <v>472</v>
      </c>
      <c r="I304" s="272">
        <f>I293-E304</f>
        <v>22600</v>
      </c>
      <c r="J304" s="273"/>
      <c r="K304" s="274"/>
      <c r="L304" s="270">
        <v>260630002</v>
      </c>
      <c r="M304" s="270"/>
      <c r="N304" s="270">
        <f>N303-D304</f>
        <v>12</v>
      </c>
      <c r="O304" s="192">
        <v>46171</v>
      </c>
      <c r="P304" s="193">
        <f t="shared" si="728"/>
        <v>332</v>
      </c>
      <c r="Q304" s="194">
        <f t="shared" si="729"/>
        <v>46535</v>
      </c>
      <c r="R304" s="195">
        <f t="shared" si="730"/>
        <v>33</v>
      </c>
      <c r="U304" s="91"/>
    </row>
    <row r="305" spans="1:21" s="1" customFormat="1" ht="19.649999999999999" customHeight="1" x14ac:dyDescent="0.25">
      <c r="A305" s="269">
        <v>46204</v>
      </c>
      <c r="B305" s="269">
        <v>46204</v>
      </c>
      <c r="C305" s="270" t="s">
        <v>446</v>
      </c>
      <c r="D305" s="270">
        <v>18</v>
      </c>
      <c r="E305" s="270">
        <f t="shared" si="731"/>
        <v>3600</v>
      </c>
      <c r="F305" s="271" t="s">
        <v>3</v>
      </c>
      <c r="G305" s="270">
        <f t="shared" si="732"/>
        <v>3762</v>
      </c>
      <c r="H305" s="271" t="s">
        <v>438</v>
      </c>
      <c r="I305" s="272">
        <f>I304-E305</f>
        <v>19000</v>
      </c>
      <c r="J305" s="273"/>
      <c r="K305" s="274"/>
      <c r="L305" s="270">
        <v>260630002</v>
      </c>
      <c r="M305" s="270"/>
      <c r="N305" s="270">
        <f>N277-D305</f>
        <v>20</v>
      </c>
      <c r="O305" s="192">
        <v>46174</v>
      </c>
      <c r="P305" s="193">
        <f t="shared" si="728"/>
        <v>335</v>
      </c>
      <c r="Q305" s="194">
        <f t="shared" si="729"/>
        <v>46538</v>
      </c>
      <c r="R305" s="195">
        <f t="shared" si="730"/>
        <v>30</v>
      </c>
      <c r="U305" s="91"/>
    </row>
    <row r="306" spans="1:21" s="1" customFormat="1" ht="19.649999999999999" customHeight="1" x14ac:dyDescent="0.25">
      <c r="A306" s="269">
        <v>46204</v>
      </c>
      <c r="B306" s="269">
        <v>46204</v>
      </c>
      <c r="C306" s="270" t="s">
        <v>470</v>
      </c>
      <c r="D306" s="270">
        <v>4</v>
      </c>
      <c r="E306" s="270">
        <f t="shared" si="731"/>
        <v>800</v>
      </c>
      <c r="F306" s="271" t="s">
        <v>3</v>
      </c>
      <c r="G306" s="270">
        <f t="shared" si="732"/>
        <v>836</v>
      </c>
      <c r="H306" s="271" t="s">
        <v>438</v>
      </c>
      <c r="I306" s="272">
        <f>I305-E306</f>
        <v>18200</v>
      </c>
      <c r="J306" s="273" t="s">
        <v>322</v>
      </c>
      <c r="K306" s="274"/>
      <c r="L306" s="270">
        <v>260630003</v>
      </c>
      <c r="M306" s="270">
        <v>43</v>
      </c>
      <c r="N306" s="270">
        <f t="shared" ref="N306:N307" si="733">M306-D306</f>
        <v>39</v>
      </c>
      <c r="O306" s="192">
        <v>46189</v>
      </c>
      <c r="P306" s="193">
        <f t="shared" si="728"/>
        <v>350</v>
      </c>
      <c r="Q306" s="194">
        <f t="shared" si="729"/>
        <v>46553</v>
      </c>
      <c r="R306" s="195">
        <f t="shared" si="730"/>
        <v>15</v>
      </c>
      <c r="U306" s="91"/>
    </row>
    <row r="307" spans="1:21" s="1" customFormat="1" ht="19.649999999999999" customHeight="1" x14ac:dyDescent="0.25">
      <c r="A307" s="269">
        <v>46204</v>
      </c>
      <c r="B307" s="269">
        <v>46204</v>
      </c>
      <c r="C307" s="270" t="s">
        <v>471</v>
      </c>
      <c r="D307" s="270">
        <v>4</v>
      </c>
      <c r="E307" s="270">
        <f t="shared" si="731"/>
        <v>800</v>
      </c>
      <c r="F307" s="271" t="s">
        <v>3</v>
      </c>
      <c r="G307" s="270">
        <f t="shared" si="732"/>
        <v>836</v>
      </c>
      <c r="H307" s="271" t="s">
        <v>438</v>
      </c>
      <c r="I307" s="272">
        <f>I306-E307</f>
        <v>17400</v>
      </c>
      <c r="J307" s="273" t="s">
        <v>322</v>
      </c>
      <c r="K307" s="274"/>
      <c r="L307" s="270">
        <v>260630003</v>
      </c>
      <c r="M307" s="270">
        <v>42</v>
      </c>
      <c r="N307" s="270">
        <f t="shared" si="733"/>
        <v>38</v>
      </c>
      <c r="O307" s="192">
        <v>46195</v>
      </c>
      <c r="P307" s="193">
        <f t="shared" si="728"/>
        <v>356</v>
      </c>
      <c r="Q307" s="194">
        <f t="shared" si="729"/>
        <v>46559</v>
      </c>
      <c r="R307" s="195">
        <f t="shared" si="730"/>
        <v>9</v>
      </c>
      <c r="U307" s="91"/>
    </row>
    <row r="308" spans="1:21" s="1" customFormat="1" ht="19.649999999999999" customHeight="1" x14ac:dyDescent="0.25">
      <c r="A308" s="335">
        <v>46205</v>
      </c>
      <c r="B308" s="213">
        <v>46205</v>
      </c>
      <c r="C308" s="215" t="s">
        <v>474</v>
      </c>
      <c r="D308" s="214">
        <v>12</v>
      </c>
      <c r="E308" s="214">
        <f t="shared" si="731"/>
        <v>2400</v>
      </c>
      <c r="F308" s="215" t="s">
        <v>1</v>
      </c>
      <c r="G308" s="214">
        <f t="shared" si="732"/>
        <v>2508</v>
      </c>
      <c r="H308" s="215" t="s">
        <v>451</v>
      </c>
      <c r="I308" s="216">
        <f>I302-E308</f>
        <v>55200</v>
      </c>
      <c r="J308" s="217"/>
      <c r="K308" s="218"/>
      <c r="L308" s="214">
        <v>260701001</v>
      </c>
      <c r="M308" s="214"/>
      <c r="N308" s="214">
        <f>N304-D308</f>
        <v>0</v>
      </c>
      <c r="O308" s="192">
        <v>46171</v>
      </c>
      <c r="P308" s="193">
        <f t="shared" ref="P308:P311" si="734">365-R308</f>
        <v>331</v>
      </c>
      <c r="Q308" s="194">
        <f t="shared" ref="Q308:Q311" si="735">DATE(YEAR(O308)+1,MONTH(O308),DAY(O308))-1</f>
        <v>46535</v>
      </c>
      <c r="R308" s="195">
        <f t="shared" ref="R308:R311" si="736">DATEDIF(O308,B308,"d")</f>
        <v>34</v>
      </c>
      <c r="U308" s="91"/>
    </row>
    <row r="309" spans="1:21" s="1" customFormat="1" ht="19.649999999999999" customHeight="1" x14ac:dyDescent="0.25">
      <c r="A309" s="335">
        <v>46205</v>
      </c>
      <c r="B309" s="213">
        <v>46205</v>
      </c>
      <c r="C309" s="215" t="s">
        <v>473</v>
      </c>
      <c r="D309" s="214">
        <v>20</v>
      </c>
      <c r="E309" s="214">
        <f t="shared" si="731"/>
        <v>4000</v>
      </c>
      <c r="F309" s="215" t="s">
        <v>1</v>
      </c>
      <c r="G309" s="214">
        <f t="shared" si="732"/>
        <v>4180</v>
      </c>
      <c r="H309" s="215" t="s">
        <v>451</v>
      </c>
      <c r="I309" s="216">
        <f>I308-E309</f>
        <v>51200</v>
      </c>
      <c r="J309" s="217"/>
      <c r="K309" s="218"/>
      <c r="L309" s="214">
        <v>260701001</v>
      </c>
      <c r="M309" s="214"/>
      <c r="N309" s="214">
        <f>N305-D309</f>
        <v>0</v>
      </c>
      <c r="O309" s="192">
        <v>46174</v>
      </c>
      <c r="P309" s="193">
        <f t="shared" si="734"/>
        <v>334</v>
      </c>
      <c r="Q309" s="194">
        <f t="shared" si="735"/>
        <v>46538</v>
      </c>
      <c r="R309" s="195">
        <f t="shared" si="736"/>
        <v>31</v>
      </c>
      <c r="U309" s="91"/>
    </row>
    <row r="310" spans="1:21" s="1" customFormat="1" ht="19.649999999999999" customHeight="1" x14ac:dyDescent="0.25">
      <c r="A310" s="243">
        <v>46206</v>
      </c>
      <c r="B310" s="243">
        <v>46206</v>
      </c>
      <c r="C310" s="244" t="s">
        <v>447</v>
      </c>
      <c r="D310" s="244">
        <v>8</v>
      </c>
      <c r="E310" s="244">
        <f>D310*200</f>
        <v>1600</v>
      </c>
      <c r="F310" s="275" t="s">
        <v>40</v>
      </c>
      <c r="G310" s="244">
        <f>D310*209</f>
        <v>1672</v>
      </c>
      <c r="H310" s="245" t="s">
        <v>475</v>
      </c>
      <c r="I310" s="246">
        <f>I303-E310</f>
        <v>14000</v>
      </c>
      <c r="J310" s="247"/>
      <c r="K310" s="248"/>
      <c r="L310" s="244">
        <v>260702003</v>
      </c>
      <c r="M310" s="244"/>
      <c r="N310" s="244">
        <f>N278-D310</f>
        <v>30</v>
      </c>
      <c r="O310" s="192">
        <v>46176</v>
      </c>
      <c r="P310" s="193">
        <f t="shared" si="734"/>
        <v>335</v>
      </c>
      <c r="Q310" s="194">
        <f t="shared" si="735"/>
        <v>46540</v>
      </c>
      <c r="R310" s="195">
        <f t="shared" si="736"/>
        <v>30</v>
      </c>
      <c r="U310" s="91"/>
    </row>
    <row r="311" spans="1:21" s="1" customFormat="1" ht="19.649999999999999" customHeight="1" x14ac:dyDescent="0.25">
      <c r="A311" s="104">
        <v>46206</v>
      </c>
      <c r="B311" s="104">
        <v>46206</v>
      </c>
      <c r="C311" s="105" t="s">
        <v>447</v>
      </c>
      <c r="D311" s="105">
        <v>12</v>
      </c>
      <c r="E311" s="105">
        <f t="shared" ref="E311:E313" si="737">D311*200</f>
        <v>2400</v>
      </c>
      <c r="F311" s="106" t="s">
        <v>3</v>
      </c>
      <c r="G311" s="105">
        <f t="shared" ref="G311:G313" si="738">D311*209</f>
        <v>2508</v>
      </c>
      <c r="H311" s="106" t="s">
        <v>438</v>
      </c>
      <c r="I311" s="107">
        <f>I307-E311</f>
        <v>15000</v>
      </c>
      <c r="J311" s="108"/>
      <c r="K311" s="109"/>
      <c r="L311" s="105">
        <v>260702004</v>
      </c>
      <c r="M311" s="105"/>
      <c r="N311" s="105">
        <f>N310-D311</f>
        <v>18</v>
      </c>
      <c r="O311" s="192">
        <v>46176</v>
      </c>
      <c r="P311" s="193">
        <f t="shared" si="734"/>
        <v>335</v>
      </c>
      <c r="Q311" s="194">
        <f t="shared" si="735"/>
        <v>46540</v>
      </c>
      <c r="R311" s="195">
        <f t="shared" si="736"/>
        <v>30</v>
      </c>
      <c r="U311" s="91"/>
    </row>
    <row r="312" spans="1:21" s="1" customFormat="1" ht="19.649999999999999" customHeight="1" x14ac:dyDescent="0.25">
      <c r="A312" s="356">
        <v>46209</v>
      </c>
      <c r="B312" s="233">
        <v>46209</v>
      </c>
      <c r="C312" s="39" t="s">
        <v>477</v>
      </c>
      <c r="D312" s="38">
        <v>18</v>
      </c>
      <c r="E312" s="38">
        <f t="shared" si="737"/>
        <v>3600</v>
      </c>
      <c r="F312" s="39" t="s">
        <v>1</v>
      </c>
      <c r="G312" s="38">
        <f t="shared" si="738"/>
        <v>3762</v>
      </c>
      <c r="H312" s="39" t="s">
        <v>453</v>
      </c>
      <c r="I312" s="234">
        <f>I309-E312</f>
        <v>47600</v>
      </c>
      <c r="J312" s="235"/>
      <c r="K312" s="236"/>
      <c r="L312" s="38">
        <v>260703002</v>
      </c>
      <c r="M312" s="38"/>
      <c r="N312" s="38">
        <f>N311-D312</f>
        <v>0</v>
      </c>
      <c r="O312" s="192">
        <v>46176</v>
      </c>
      <c r="P312" s="193">
        <f t="shared" ref="P312:P315" si="739">365-R312</f>
        <v>332</v>
      </c>
      <c r="Q312" s="194">
        <f t="shared" ref="Q312:Q315" si="740">DATE(YEAR(O312)+1,MONTH(O312),DAY(O312))-1</f>
        <v>46540</v>
      </c>
      <c r="R312" s="195">
        <f t="shared" ref="R312:R315" si="741">DATEDIF(O312,B312,"d")</f>
        <v>33</v>
      </c>
      <c r="U312" s="91"/>
    </row>
    <row r="313" spans="1:21" s="1" customFormat="1" ht="19.649999999999999" customHeight="1" x14ac:dyDescent="0.25">
      <c r="A313" s="356">
        <v>46209</v>
      </c>
      <c r="B313" s="233">
        <v>46209</v>
      </c>
      <c r="C313" s="39" t="s">
        <v>448</v>
      </c>
      <c r="D313" s="38">
        <v>6</v>
      </c>
      <c r="E313" s="38">
        <f t="shared" si="737"/>
        <v>1200</v>
      </c>
      <c r="F313" s="39" t="s">
        <v>1</v>
      </c>
      <c r="G313" s="38">
        <f t="shared" si="738"/>
        <v>1254</v>
      </c>
      <c r="H313" s="39" t="s">
        <v>476</v>
      </c>
      <c r="I313" s="234">
        <f>I312-E313</f>
        <v>46400</v>
      </c>
      <c r="J313" s="235"/>
      <c r="K313" s="236"/>
      <c r="L313" s="38">
        <v>260703002</v>
      </c>
      <c r="M313" s="38"/>
      <c r="N313" s="38">
        <f>N279-D313</f>
        <v>33</v>
      </c>
      <c r="O313" s="192">
        <v>46178</v>
      </c>
      <c r="P313" s="193">
        <f t="shared" si="739"/>
        <v>334</v>
      </c>
      <c r="Q313" s="194">
        <f t="shared" si="740"/>
        <v>46542</v>
      </c>
      <c r="R313" s="195">
        <f t="shared" si="741"/>
        <v>31</v>
      </c>
      <c r="U313" s="91"/>
    </row>
    <row r="314" spans="1:21" s="1" customFormat="1" ht="19.649999999999999" customHeight="1" x14ac:dyDescent="0.25">
      <c r="A314" s="219">
        <v>46209</v>
      </c>
      <c r="B314" s="219">
        <v>46209</v>
      </c>
      <c r="C314" s="220" t="s">
        <v>448</v>
      </c>
      <c r="D314" s="220">
        <v>12</v>
      </c>
      <c r="E314" s="220">
        <f>D314*200</f>
        <v>2400</v>
      </c>
      <c r="F314" s="255" t="s">
        <v>40</v>
      </c>
      <c r="G314" s="220">
        <f>D314*209</f>
        <v>2508</v>
      </c>
      <c r="H314" s="221" t="s">
        <v>427</v>
      </c>
      <c r="I314" s="222">
        <f>I310-E314</f>
        <v>11600</v>
      </c>
      <c r="J314" s="223"/>
      <c r="K314" s="224"/>
      <c r="L314" s="220">
        <v>270703003</v>
      </c>
      <c r="M314" s="220"/>
      <c r="N314" s="220">
        <f>N313-D314</f>
        <v>21</v>
      </c>
      <c r="O314" s="192">
        <v>46178</v>
      </c>
      <c r="P314" s="193">
        <f t="shared" si="739"/>
        <v>334</v>
      </c>
      <c r="Q314" s="194">
        <f t="shared" si="740"/>
        <v>46542</v>
      </c>
      <c r="R314" s="195">
        <f t="shared" si="741"/>
        <v>31</v>
      </c>
      <c r="U314" s="91"/>
    </row>
    <row r="315" spans="1:21" s="1" customFormat="1" ht="19.649999999999999" customHeight="1" x14ac:dyDescent="0.25">
      <c r="A315" s="225">
        <v>46211</v>
      </c>
      <c r="B315" s="225">
        <v>46211</v>
      </c>
      <c r="C315" s="102" t="s">
        <v>456</v>
      </c>
      <c r="D315" s="102">
        <v>12</v>
      </c>
      <c r="E315" s="102">
        <f>D315*200</f>
        <v>2400</v>
      </c>
      <c r="F315" s="239" t="s">
        <v>40</v>
      </c>
      <c r="G315" s="102">
        <f>D315*209</f>
        <v>2508</v>
      </c>
      <c r="H315" s="103" t="s">
        <v>483</v>
      </c>
      <c r="I315" s="226">
        <f>I314-E315</f>
        <v>9200</v>
      </c>
      <c r="J315" s="227"/>
      <c r="K315" s="228"/>
      <c r="L315" s="102">
        <v>260707001</v>
      </c>
      <c r="M315" s="102"/>
      <c r="N315" s="102">
        <f>N290-D315</f>
        <v>26</v>
      </c>
      <c r="O315" s="192">
        <v>46181</v>
      </c>
      <c r="P315" s="193">
        <f t="shared" si="739"/>
        <v>335</v>
      </c>
      <c r="Q315" s="194">
        <f t="shared" si="740"/>
        <v>46545</v>
      </c>
      <c r="R315" s="195">
        <f t="shared" si="741"/>
        <v>30</v>
      </c>
      <c r="U315" s="91"/>
    </row>
    <row r="316" spans="1:21" s="1" customFormat="1" ht="19.649999999999999" customHeight="1" x14ac:dyDescent="0.25">
      <c r="A316" s="370">
        <v>46211</v>
      </c>
      <c r="B316" s="370">
        <v>46211</v>
      </c>
      <c r="C316" s="371" t="s">
        <v>448</v>
      </c>
      <c r="D316" s="371">
        <v>13</v>
      </c>
      <c r="E316" s="371">
        <f t="shared" ref="E316:E321" si="742">D316*200</f>
        <v>2600</v>
      </c>
      <c r="F316" s="372" t="s">
        <v>3</v>
      </c>
      <c r="G316" s="371">
        <f t="shared" ref="G316:G321" si="743">D316*209</f>
        <v>2717</v>
      </c>
      <c r="H316" s="372" t="s">
        <v>484</v>
      </c>
      <c r="I316" s="373">
        <f>I311-E316</f>
        <v>12400</v>
      </c>
      <c r="J316" s="374"/>
      <c r="K316" s="375"/>
      <c r="L316" s="371">
        <v>260707002</v>
      </c>
      <c r="M316" s="371"/>
      <c r="N316" s="371">
        <f>N314-D316</f>
        <v>8</v>
      </c>
      <c r="O316" s="192">
        <v>46178</v>
      </c>
      <c r="P316" s="193">
        <f t="shared" ref="P316:P319" si="744">365-R316</f>
        <v>332</v>
      </c>
      <c r="Q316" s="194">
        <f t="shared" ref="Q316:Q319" si="745">DATE(YEAR(O316)+1,MONTH(O316),DAY(O316))-1</f>
        <v>46542</v>
      </c>
      <c r="R316" s="195">
        <f t="shared" ref="R316:R319" si="746">DATEDIF(O316,B316,"d")</f>
        <v>33</v>
      </c>
      <c r="U316" s="91"/>
    </row>
    <row r="317" spans="1:21" s="1" customFormat="1" ht="19.649999999999999" customHeight="1" x14ac:dyDescent="0.25">
      <c r="A317" s="370">
        <v>46211</v>
      </c>
      <c r="B317" s="370">
        <v>46211</v>
      </c>
      <c r="C317" s="371" t="s">
        <v>480</v>
      </c>
      <c r="D317" s="371">
        <v>11</v>
      </c>
      <c r="E317" s="371">
        <f t="shared" si="742"/>
        <v>2200</v>
      </c>
      <c r="F317" s="372" t="s">
        <v>3</v>
      </c>
      <c r="G317" s="371">
        <f t="shared" si="743"/>
        <v>2299</v>
      </c>
      <c r="H317" s="372" t="s">
        <v>482</v>
      </c>
      <c r="I317" s="373">
        <f>I316-E317</f>
        <v>10200</v>
      </c>
      <c r="J317" s="374"/>
      <c r="K317" s="375"/>
      <c r="L317" s="371">
        <v>260707002</v>
      </c>
      <c r="M317" s="371"/>
      <c r="N317" s="371">
        <f>N315-D317</f>
        <v>15</v>
      </c>
      <c r="O317" s="192">
        <v>46181</v>
      </c>
      <c r="P317" s="193">
        <f t="shared" si="744"/>
        <v>335</v>
      </c>
      <c r="Q317" s="194">
        <f t="shared" si="745"/>
        <v>46545</v>
      </c>
      <c r="R317" s="195">
        <f t="shared" si="746"/>
        <v>30</v>
      </c>
      <c r="U317" s="91"/>
    </row>
    <row r="318" spans="1:21" s="1" customFormat="1" ht="19.649999999999999" customHeight="1" x14ac:dyDescent="0.25">
      <c r="A318" s="370">
        <v>46211</v>
      </c>
      <c r="B318" s="370">
        <v>46211</v>
      </c>
      <c r="C318" s="371" t="s">
        <v>478</v>
      </c>
      <c r="D318" s="371">
        <v>4</v>
      </c>
      <c r="E318" s="371">
        <f t="shared" si="742"/>
        <v>800</v>
      </c>
      <c r="F318" s="372" t="s">
        <v>3</v>
      </c>
      <c r="G318" s="371">
        <f t="shared" si="743"/>
        <v>836</v>
      </c>
      <c r="H318" s="372" t="s">
        <v>481</v>
      </c>
      <c r="I318" s="373">
        <f>I317-E318</f>
        <v>9400</v>
      </c>
      <c r="J318" s="374" t="s">
        <v>322</v>
      </c>
      <c r="K318" s="375"/>
      <c r="L318" s="371">
        <v>260707003</v>
      </c>
      <c r="M318" s="371">
        <v>42</v>
      </c>
      <c r="N318" s="371">
        <f>M318-D318</f>
        <v>38</v>
      </c>
      <c r="O318" s="192">
        <v>46197</v>
      </c>
      <c r="P318" s="193">
        <f t="shared" si="744"/>
        <v>351</v>
      </c>
      <c r="Q318" s="194">
        <f t="shared" si="745"/>
        <v>46561</v>
      </c>
      <c r="R318" s="195">
        <f t="shared" si="746"/>
        <v>14</v>
      </c>
      <c r="U318" s="91"/>
    </row>
    <row r="319" spans="1:21" s="1" customFormat="1" ht="19.649999999999999" customHeight="1" x14ac:dyDescent="0.25">
      <c r="A319" s="370">
        <v>46211</v>
      </c>
      <c r="B319" s="370">
        <v>46211</v>
      </c>
      <c r="C319" s="371" t="s">
        <v>479</v>
      </c>
      <c r="D319" s="371">
        <v>4</v>
      </c>
      <c r="E319" s="371">
        <f t="shared" si="742"/>
        <v>800</v>
      </c>
      <c r="F319" s="372" t="s">
        <v>3</v>
      </c>
      <c r="G319" s="371">
        <f t="shared" si="743"/>
        <v>836</v>
      </c>
      <c r="H319" s="372" t="s">
        <v>485</v>
      </c>
      <c r="I319" s="373">
        <f>I318-E319</f>
        <v>8600</v>
      </c>
      <c r="J319" s="374" t="s">
        <v>322</v>
      </c>
      <c r="K319" s="375"/>
      <c r="L319" s="371">
        <v>260707003</v>
      </c>
      <c r="M319" s="371">
        <v>42</v>
      </c>
      <c r="N319" s="371">
        <f>M319-D319</f>
        <v>38</v>
      </c>
      <c r="O319" s="192">
        <v>46199</v>
      </c>
      <c r="P319" s="193">
        <f t="shared" si="744"/>
        <v>353</v>
      </c>
      <c r="Q319" s="194">
        <f t="shared" si="745"/>
        <v>46563</v>
      </c>
      <c r="R319" s="195">
        <f t="shared" si="746"/>
        <v>12</v>
      </c>
      <c r="U319" s="91"/>
    </row>
    <row r="320" spans="1:21" s="1" customFormat="1" ht="19.649999999999999" customHeight="1" x14ac:dyDescent="0.25">
      <c r="A320" s="359">
        <v>46212</v>
      </c>
      <c r="B320" s="104">
        <v>46212</v>
      </c>
      <c r="C320" s="106" t="s">
        <v>448</v>
      </c>
      <c r="D320" s="105">
        <v>8</v>
      </c>
      <c r="E320" s="105">
        <f t="shared" si="742"/>
        <v>1600</v>
      </c>
      <c r="F320" s="106" t="s">
        <v>1</v>
      </c>
      <c r="G320" s="105">
        <f t="shared" si="743"/>
        <v>1672</v>
      </c>
      <c r="H320" s="106" t="s">
        <v>451</v>
      </c>
      <c r="I320" s="107">
        <f>I313-E320</f>
        <v>44800</v>
      </c>
      <c r="J320" s="108"/>
      <c r="K320" s="109"/>
      <c r="L320" s="105">
        <v>260708001</v>
      </c>
      <c r="M320" s="105"/>
      <c r="N320" s="105">
        <f>N316-D320</f>
        <v>0</v>
      </c>
      <c r="O320" s="192">
        <v>46178</v>
      </c>
      <c r="P320" s="193">
        <f t="shared" ref="P320:P323" si="747">365-R320</f>
        <v>331</v>
      </c>
      <c r="Q320" s="194">
        <f t="shared" ref="Q320:Q323" si="748">DATE(YEAR(O320)+1,MONTH(O320),DAY(O320))-1</f>
        <v>46542</v>
      </c>
      <c r="R320" s="195">
        <f t="shared" ref="R320:R323" si="749">DATEDIF(O320,B320,"d")</f>
        <v>34</v>
      </c>
      <c r="U320" s="91"/>
    </row>
    <row r="321" spans="1:21" s="1" customFormat="1" ht="19.649999999999999" customHeight="1" x14ac:dyDescent="0.25">
      <c r="A321" s="359">
        <v>46212</v>
      </c>
      <c r="B321" s="104">
        <v>46212</v>
      </c>
      <c r="C321" s="106" t="s">
        <v>456</v>
      </c>
      <c r="D321" s="105">
        <v>12</v>
      </c>
      <c r="E321" s="105">
        <f t="shared" si="742"/>
        <v>2400</v>
      </c>
      <c r="F321" s="106" t="s">
        <v>1</v>
      </c>
      <c r="G321" s="105">
        <f t="shared" si="743"/>
        <v>2508</v>
      </c>
      <c r="H321" s="106" t="s">
        <v>486</v>
      </c>
      <c r="I321" s="107">
        <f>I320-E321</f>
        <v>42400</v>
      </c>
      <c r="J321" s="108"/>
      <c r="K321" s="109"/>
      <c r="L321" s="105">
        <v>260708001</v>
      </c>
      <c r="M321" s="105"/>
      <c r="N321" s="105">
        <f>N317-D321</f>
        <v>3</v>
      </c>
      <c r="O321" s="192">
        <v>46181</v>
      </c>
      <c r="P321" s="193">
        <f t="shared" si="747"/>
        <v>334</v>
      </c>
      <c r="Q321" s="194">
        <f t="shared" si="748"/>
        <v>46545</v>
      </c>
      <c r="R321" s="195">
        <f t="shared" si="749"/>
        <v>31</v>
      </c>
      <c r="U321" s="91"/>
    </row>
    <row r="322" spans="1:21" s="1" customFormat="1" ht="19.649999999999999" customHeight="1" x14ac:dyDescent="0.25">
      <c r="A322" s="32">
        <v>46212</v>
      </c>
      <c r="B322" s="32">
        <v>46212</v>
      </c>
      <c r="C322" s="33" t="s">
        <v>487</v>
      </c>
      <c r="D322" s="33">
        <v>3</v>
      </c>
      <c r="E322" s="33">
        <f>D322*200</f>
        <v>600</v>
      </c>
      <c r="F322" s="358" t="s">
        <v>40</v>
      </c>
      <c r="G322" s="33">
        <f>D322*209</f>
        <v>627</v>
      </c>
      <c r="H322" s="34" t="s">
        <v>427</v>
      </c>
      <c r="I322" s="35">
        <f>I315-E322</f>
        <v>8600</v>
      </c>
      <c r="J322" s="36"/>
      <c r="K322" s="37"/>
      <c r="L322" s="33">
        <v>260708002</v>
      </c>
      <c r="M322" s="33"/>
      <c r="N322" s="33">
        <f>N321-D322</f>
        <v>0</v>
      </c>
      <c r="O322" s="192">
        <v>46181</v>
      </c>
      <c r="P322" s="193">
        <f t="shared" si="747"/>
        <v>334</v>
      </c>
      <c r="Q322" s="194">
        <f t="shared" si="748"/>
        <v>46545</v>
      </c>
      <c r="R322" s="195">
        <f t="shared" si="749"/>
        <v>31</v>
      </c>
      <c r="U322" s="91"/>
    </row>
    <row r="323" spans="1:21" s="1" customFormat="1" ht="19.649999999999999" customHeight="1" x14ac:dyDescent="0.25">
      <c r="A323" s="32">
        <v>46212</v>
      </c>
      <c r="B323" s="32">
        <v>46212</v>
      </c>
      <c r="C323" s="33" t="s">
        <v>488</v>
      </c>
      <c r="D323" s="33">
        <v>9</v>
      </c>
      <c r="E323" s="33">
        <f>D323*200</f>
        <v>1800</v>
      </c>
      <c r="F323" s="358" t="s">
        <v>40</v>
      </c>
      <c r="G323" s="33">
        <f>D323*209</f>
        <v>1881</v>
      </c>
      <c r="H323" s="34" t="s">
        <v>427</v>
      </c>
      <c r="I323" s="35">
        <f>I322-E323</f>
        <v>6800</v>
      </c>
      <c r="J323" s="36"/>
      <c r="K323" s="37"/>
      <c r="L323" s="33">
        <v>260708002</v>
      </c>
      <c r="M323" s="33"/>
      <c r="N323" s="33">
        <f>N291-D323</f>
        <v>29</v>
      </c>
      <c r="O323" s="192">
        <v>46183</v>
      </c>
      <c r="P323" s="193">
        <f t="shared" si="747"/>
        <v>336</v>
      </c>
      <c r="Q323" s="194">
        <f t="shared" si="748"/>
        <v>46547</v>
      </c>
      <c r="R323" s="195">
        <f t="shared" si="749"/>
        <v>29</v>
      </c>
      <c r="U323" s="91"/>
    </row>
    <row r="324" spans="1:21" s="1" customFormat="1" ht="19.649999999999999" customHeight="1" x14ac:dyDescent="0.25">
      <c r="A324" s="376">
        <v>46216</v>
      </c>
      <c r="B324" s="376">
        <v>46216</v>
      </c>
      <c r="C324" s="377" t="s">
        <v>489</v>
      </c>
      <c r="D324" s="377">
        <v>12</v>
      </c>
      <c r="E324" s="377">
        <f>D324*200</f>
        <v>2400</v>
      </c>
      <c r="F324" s="378" t="s">
        <v>40</v>
      </c>
      <c r="G324" s="377">
        <f>D324*209</f>
        <v>2508</v>
      </c>
      <c r="H324" s="379" t="s">
        <v>427</v>
      </c>
      <c r="I324" s="380">
        <f>I323-E324</f>
        <v>4400</v>
      </c>
      <c r="J324" s="381"/>
      <c r="K324" s="382"/>
      <c r="L324" s="377">
        <v>260710002</v>
      </c>
      <c r="M324" s="377"/>
      <c r="N324" s="377">
        <f>N323-D324</f>
        <v>17</v>
      </c>
      <c r="O324" s="192">
        <v>46183</v>
      </c>
      <c r="P324" s="193">
        <f t="shared" ref="P324" si="750">365-R324</f>
        <v>332</v>
      </c>
      <c r="Q324" s="194">
        <f t="shared" ref="Q324" si="751">DATE(YEAR(O324)+1,MONTH(O324),DAY(O324))-1</f>
        <v>46547</v>
      </c>
      <c r="R324" s="195">
        <f t="shared" ref="R324" si="752">DATEDIF(O324,B324,"d")</f>
        <v>33</v>
      </c>
      <c r="U324" s="91"/>
    </row>
    <row r="325" spans="1:21" s="1" customFormat="1" ht="19.649999999999999" customHeight="1" x14ac:dyDescent="0.25">
      <c r="A325" s="314">
        <v>46216</v>
      </c>
      <c r="B325" s="243">
        <v>46216</v>
      </c>
      <c r="C325" s="245" t="s">
        <v>457</v>
      </c>
      <c r="D325" s="244">
        <v>17</v>
      </c>
      <c r="E325" s="244">
        <f t="shared" ref="E325:E330" si="753">D325*200</f>
        <v>3400</v>
      </c>
      <c r="F325" s="245" t="s">
        <v>1</v>
      </c>
      <c r="G325" s="244">
        <f t="shared" ref="G325:G330" si="754">D325*209</f>
        <v>3553</v>
      </c>
      <c r="H325" s="245" t="s">
        <v>451</v>
      </c>
      <c r="I325" s="246">
        <f>I321-E325</f>
        <v>39000</v>
      </c>
      <c r="J325" s="247"/>
      <c r="K325" s="248"/>
      <c r="L325" s="244">
        <v>260710001</v>
      </c>
      <c r="M325" s="244"/>
      <c r="N325" s="244">
        <f>N324-D325</f>
        <v>0</v>
      </c>
      <c r="O325" s="192">
        <v>46183</v>
      </c>
      <c r="P325" s="193">
        <f t="shared" ref="P325:P332" si="755">365-R325</f>
        <v>332</v>
      </c>
      <c r="Q325" s="194">
        <f t="shared" ref="Q325:Q332" si="756">DATE(YEAR(O325)+1,MONTH(O325),DAY(O325))-1</f>
        <v>46547</v>
      </c>
      <c r="R325" s="195">
        <f t="shared" ref="R325:R332" si="757">DATEDIF(O325,B325,"d")</f>
        <v>33</v>
      </c>
      <c r="U325" s="91"/>
    </row>
    <row r="326" spans="1:21" s="1" customFormat="1" ht="19.649999999999999" customHeight="1" x14ac:dyDescent="0.25">
      <c r="A326" s="314">
        <v>46216</v>
      </c>
      <c r="B326" s="243">
        <v>46216</v>
      </c>
      <c r="C326" s="245" t="s">
        <v>458</v>
      </c>
      <c r="D326" s="244">
        <v>7</v>
      </c>
      <c r="E326" s="244">
        <f t="shared" si="753"/>
        <v>1400</v>
      </c>
      <c r="F326" s="245" t="s">
        <v>1</v>
      </c>
      <c r="G326" s="244">
        <f t="shared" si="754"/>
        <v>1463</v>
      </c>
      <c r="H326" s="245" t="s">
        <v>451</v>
      </c>
      <c r="I326" s="246">
        <f>I325-E326</f>
        <v>37600</v>
      </c>
      <c r="J326" s="247"/>
      <c r="K326" s="248"/>
      <c r="L326" s="244">
        <v>260710001</v>
      </c>
      <c r="M326" s="244"/>
      <c r="N326" s="244">
        <f>N292-D326</f>
        <v>31</v>
      </c>
      <c r="O326" s="192">
        <v>46185</v>
      </c>
      <c r="P326" s="193">
        <f t="shared" si="755"/>
        <v>334</v>
      </c>
      <c r="Q326" s="194">
        <f t="shared" si="756"/>
        <v>46549</v>
      </c>
      <c r="R326" s="195">
        <f t="shared" si="757"/>
        <v>31</v>
      </c>
      <c r="U326" s="91"/>
    </row>
    <row r="327" spans="1:21" s="1" customFormat="1" ht="19.649999999999999" customHeight="1" x14ac:dyDescent="0.25">
      <c r="A327" s="7">
        <v>46217</v>
      </c>
      <c r="B327" s="7">
        <v>46217</v>
      </c>
      <c r="C327" s="8" t="s">
        <v>458</v>
      </c>
      <c r="D327" s="8">
        <v>16</v>
      </c>
      <c r="E327" s="8">
        <f t="shared" si="753"/>
        <v>3200</v>
      </c>
      <c r="F327" s="9" t="s">
        <v>3</v>
      </c>
      <c r="G327" s="8">
        <f t="shared" si="754"/>
        <v>3344</v>
      </c>
      <c r="H327" s="9" t="s">
        <v>438</v>
      </c>
      <c r="I327" s="10">
        <f>I319-E327</f>
        <v>5400</v>
      </c>
      <c r="J327" s="11"/>
      <c r="K327" s="12"/>
      <c r="L327" s="8">
        <v>260713001</v>
      </c>
      <c r="M327" s="8"/>
      <c r="N327" s="8">
        <f>N326-D327</f>
        <v>15</v>
      </c>
      <c r="O327" s="192">
        <v>46185</v>
      </c>
      <c r="P327" s="193">
        <f t="shared" ref="P327" si="758">365-R327</f>
        <v>333</v>
      </c>
      <c r="Q327" s="194">
        <f t="shared" ref="Q327" si="759">DATE(YEAR(O327)+1,MONTH(O327),DAY(O327))-1</f>
        <v>46549</v>
      </c>
      <c r="R327" s="195">
        <f t="shared" ref="R327" si="760">DATEDIF(O327,B327,"d")</f>
        <v>32</v>
      </c>
      <c r="U327" s="91"/>
    </row>
    <row r="328" spans="1:21" s="1" customFormat="1" ht="19.649999999999999" customHeight="1" x14ac:dyDescent="0.25">
      <c r="A328" s="7">
        <v>46217</v>
      </c>
      <c r="B328" s="7">
        <v>46217</v>
      </c>
      <c r="C328" s="8" t="s">
        <v>490</v>
      </c>
      <c r="D328" s="8">
        <v>4</v>
      </c>
      <c r="E328" s="8">
        <f t="shared" si="753"/>
        <v>800</v>
      </c>
      <c r="F328" s="9" t="s">
        <v>3</v>
      </c>
      <c r="G328" s="8">
        <f t="shared" si="754"/>
        <v>836</v>
      </c>
      <c r="H328" s="9" t="s">
        <v>438</v>
      </c>
      <c r="I328" s="10">
        <f>I327-E328</f>
        <v>4600</v>
      </c>
      <c r="J328" s="11" t="s">
        <v>322</v>
      </c>
      <c r="K328" s="12"/>
      <c r="L328" s="8">
        <v>260713002</v>
      </c>
      <c r="M328" s="8">
        <v>43</v>
      </c>
      <c r="N328" s="8">
        <f>M328-D328</f>
        <v>39</v>
      </c>
      <c r="O328" s="192">
        <v>46202</v>
      </c>
      <c r="P328" s="193">
        <f t="shared" si="755"/>
        <v>350</v>
      </c>
      <c r="Q328" s="194">
        <f t="shared" si="756"/>
        <v>46566</v>
      </c>
      <c r="R328" s="195">
        <f t="shared" si="757"/>
        <v>15</v>
      </c>
      <c r="U328" s="91"/>
    </row>
    <row r="329" spans="1:21" s="1" customFormat="1" ht="19.649999999999999" customHeight="1" x14ac:dyDescent="0.25">
      <c r="A329" s="7">
        <v>46217</v>
      </c>
      <c r="B329" s="7">
        <v>46217</v>
      </c>
      <c r="C329" s="8" t="s">
        <v>491</v>
      </c>
      <c r="D329" s="8">
        <v>4</v>
      </c>
      <c r="E329" s="8">
        <f t="shared" si="753"/>
        <v>800</v>
      </c>
      <c r="F329" s="9" t="s">
        <v>3</v>
      </c>
      <c r="G329" s="8">
        <f t="shared" si="754"/>
        <v>836</v>
      </c>
      <c r="H329" s="9" t="s">
        <v>438</v>
      </c>
      <c r="I329" s="10">
        <f>I328-E329</f>
        <v>3800</v>
      </c>
      <c r="J329" s="11" t="s">
        <v>322</v>
      </c>
      <c r="K329" s="12"/>
      <c r="L329" s="8">
        <v>260713002</v>
      </c>
      <c r="M329" s="8">
        <v>42</v>
      </c>
      <c r="N329" s="8">
        <f>M329-D329</f>
        <v>38</v>
      </c>
      <c r="O329" s="192">
        <v>46204</v>
      </c>
      <c r="P329" s="193">
        <f t="shared" si="755"/>
        <v>352</v>
      </c>
      <c r="Q329" s="194">
        <f t="shared" si="756"/>
        <v>46568</v>
      </c>
      <c r="R329" s="195">
        <f t="shared" si="757"/>
        <v>13</v>
      </c>
      <c r="U329" s="91"/>
    </row>
    <row r="330" spans="1:21" s="1" customFormat="1" ht="19.649999999999999" customHeight="1" x14ac:dyDescent="0.25">
      <c r="A330" s="7">
        <v>46217</v>
      </c>
      <c r="B330" s="7">
        <v>46217</v>
      </c>
      <c r="C330" s="8" t="s">
        <v>492</v>
      </c>
      <c r="D330" s="8">
        <v>4</v>
      </c>
      <c r="E330" s="8">
        <f t="shared" si="753"/>
        <v>800</v>
      </c>
      <c r="F330" s="9" t="s">
        <v>3</v>
      </c>
      <c r="G330" s="8">
        <f t="shared" si="754"/>
        <v>836</v>
      </c>
      <c r="H330" s="9" t="s">
        <v>438</v>
      </c>
      <c r="I330" s="10">
        <f>I329-E330</f>
        <v>3000</v>
      </c>
      <c r="J330" s="11" t="s">
        <v>322</v>
      </c>
      <c r="K330" s="12"/>
      <c r="L330" s="8">
        <v>260713002</v>
      </c>
      <c r="M330" s="8">
        <v>42</v>
      </c>
      <c r="N330" s="8">
        <f>M330-D330</f>
        <v>38</v>
      </c>
      <c r="O330" s="192">
        <v>46206</v>
      </c>
      <c r="P330" s="193">
        <f t="shared" si="755"/>
        <v>354</v>
      </c>
      <c r="Q330" s="194">
        <f t="shared" si="756"/>
        <v>46570</v>
      </c>
      <c r="R330" s="195">
        <f t="shared" si="757"/>
        <v>11</v>
      </c>
      <c r="U330" s="91"/>
    </row>
    <row r="331" spans="1:21" s="1" customFormat="1" ht="19.649999999999999" customHeight="1" x14ac:dyDescent="0.25">
      <c r="A331" s="333">
        <v>46219</v>
      </c>
      <c r="B331" s="269">
        <v>46219</v>
      </c>
      <c r="C331" s="271" t="s">
        <v>458</v>
      </c>
      <c r="D331" s="270">
        <v>15</v>
      </c>
      <c r="E331" s="270">
        <f t="shared" ref="E331:E332" si="761">D331*200</f>
        <v>3000</v>
      </c>
      <c r="F331" s="271" t="s">
        <v>1</v>
      </c>
      <c r="G331" s="270">
        <f t="shared" ref="G331:G332" si="762">D331*209</f>
        <v>3135</v>
      </c>
      <c r="H331" s="271" t="s">
        <v>451</v>
      </c>
      <c r="I331" s="272">
        <f>I326-E331</f>
        <v>34600</v>
      </c>
      <c r="J331" s="273"/>
      <c r="K331" s="274"/>
      <c r="L331" s="270">
        <v>260715001</v>
      </c>
      <c r="M331" s="270"/>
      <c r="N331" s="270">
        <f>N327-D331</f>
        <v>0</v>
      </c>
      <c r="O331" s="192">
        <v>46185</v>
      </c>
      <c r="P331" s="193">
        <f t="shared" si="755"/>
        <v>331</v>
      </c>
      <c r="Q331" s="194">
        <f t="shared" si="756"/>
        <v>46549</v>
      </c>
      <c r="R331" s="195">
        <f t="shared" si="757"/>
        <v>34</v>
      </c>
      <c r="U331" s="91"/>
    </row>
    <row r="332" spans="1:21" s="1" customFormat="1" ht="19.649999999999999" customHeight="1" x14ac:dyDescent="0.25">
      <c r="A332" s="333">
        <v>46219</v>
      </c>
      <c r="B332" s="269">
        <v>46219</v>
      </c>
      <c r="C332" s="271" t="s">
        <v>459</v>
      </c>
      <c r="D332" s="270">
        <v>13</v>
      </c>
      <c r="E332" s="270">
        <f t="shared" si="761"/>
        <v>2600</v>
      </c>
      <c r="F332" s="271" t="s">
        <v>1</v>
      </c>
      <c r="G332" s="270">
        <f t="shared" si="762"/>
        <v>2717</v>
      </c>
      <c r="H332" s="271" t="s">
        <v>451</v>
      </c>
      <c r="I332" s="272">
        <f>I331-E332</f>
        <v>32000</v>
      </c>
      <c r="J332" s="273"/>
      <c r="K332" s="274"/>
      <c r="L332" s="270">
        <v>260715001</v>
      </c>
      <c r="M332" s="270"/>
      <c r="N332" s="270">
        <f>N293-D332</f>
        <v>25</v>
      </c>
      <c r="O332" s="192">
        <v>46187</v>
      </c>
      <c r="P332" s="193">
        <f t="shared" si="755"/>
        <v>333</v>
      </c>
      <c r="Q332" s="194">
        <f t="shared" si="756"/>
        <v>46551</v>
      </c>
      <c r="R332" s="195">
        <f t="shared" si="757"/>
        <v>32</v>
      </c>
      <c r="U332" s="91"/>
    </row>
    <row r="333" spans="1:21" s="1" customFormat="1" ht="19.649999999999999" customHeight="1" x14ac:dyDescent="0.25">
      <c r="A333" s="213">
        <v>46220</v>
      </c>
      <c r="B333" s="213">
        <v>46220</v>
      </c>
      <c r="C333" s="214" t="s">
        <v>459</v>
      </c>
      <c r="D333" s="214">
        <v>20</v>
      </c>
      <c r="E333" s="214">
        <f>D333*200</f>
        <v>4000</v>
      </c>
      <c r="F333" s="383" t="s">
        <v>40</v>
      </c>
      <c r="G333" s="214">
        <f>D333*209</f>
        <v>4180</v>
      </c>
      <c r="H333" s="215" t="s">
        <v>427</v>
      </c>
      <c r="I333" s="216">
        <f>I324-E333</f>
        <v>400</v>
      </c>
      <c r="J333" s="217"/>
      <c r="K333" s="218"/>
      <c r="L333" s="214">
        <v>260716005</v>
      </c>
      <c r="M333" s="214"/>
      <c r="N333" s="214">
        <f>N332-D333</f>
        <v>5</v>
      </c>
      <c r="O333" s="192">
        <v>46187</v>
      </c>
      <c r="P333" s="193">
        <f t="shared" ref="P333" si="763">365-R333</f>
        <v>332</v>
      </c>
      <c r="Q333" s="194">
        <f t="shared" ref="Q333" si="764">DATE(YEAR(O333)+1,MONTH(O333),DAY(O333))-1</f>
        <v>46551</v>
      </c>
      <c r="R333" s="195">
        <f t="shared" ref="R333" si="765">DATEDIF(O333,B333,"d")</f>
        <v>33</v>
      </c>
      <c r="U333" s="91"/>
    </row>
    <row r="334" spans="1:21" s="1" customFormat="1" ht="19.649999999999999" customHeight="1" x14ac:dyDescent="0.25">
      <c r="A334" s="297">
        <v>46223</v>
      </c>
      <c r="B334" s="225">
        <v>46223</v>
      </c>
      <c r="C334" s="103" t="s">
        <v>493</v>
      </c>
      <c r="D334" s="102">
        <v>5</v>
      </c>
      <c r="E334" s="102">
        <f t="shared" ref="E334:E341" si="766">D334*200</f>
        <v>1000</v>
      </c>
      <c r="F334" s="103" t="s">
        <v>1</v>
      </c>
      <c r="G334" s="102">
        <f t="shared" ref="G334:G341" si="767">D334*209</f>
        <v>1045</v>
      </c>
      <c r="H334" s="103" t="s">
        <v>451</v>
      </c>
      <c r="I334" s="226">
        <f>I332-E334</f>
        <v>31000</v>
      </c>
      <c r="J334" s="227"/>
      <c r="K334" s="228"/>
      <c r="L334" s="102">
        <v>260717004</v>
      </c>
      <c r="M334" s="102"/>
      <c r="N334" s="102">
        <f>N333-D334</f>
        <v>0</v>
      </c>
      <c r="O334" s="192">
        <v>46187</v>
      </c>
      <c r="P334" s="193">
        <f t="shared" ref="P334:P345" si="768">365-R334</f>
        <v>329</v>
      </c>
      <c r="Q334" s="194">
        <f t="shared" ref="Q334:Q345" si="769">DATE(YEAR(O334)+1,MONTH(O334),DAY(O334))-1</f>
        <v>46551</v>
      </c>
      <c r="R334" s="195">
        <f t="shared" ref="R334:R345" si="770">DATEDIF(O334,B334,"d")</f>
        <v>36</v>
      </c>
      <c r="U334" s="91"/>
    </row>
    <row r="335" spans="1:21" s="1" customFormat="1" ht="19.649999999999999" customHeight="1" x14ac:dyDescent="0.25">
      <c r="A335" s="297">
        <v>46223</v>
      </c>
      <c r="B335" s="225">
        <v>46223</v>
      </c>
      <c r="C335" s="103" t="s">
        <v>470</v>
      </c>
      <c r="D335" s="102">
        <v>23</v>
      </c>
      <c r="E335" s="102">
        <f t="shared" si="766"/>
        <v>4600</v>
      </c>
      <c r="F335" s="103" t="s">
        <v>1</v>
      </c>
      <c r="G335" s="102">
        <f t="shared" si="767"/>
        <v>4807</v>
      </c>
      <c r="H335" s="103" t="s">
        <v>494</v>
      </c>
      <c r="I335" s="226">
        <f>I334-E335</f>
        <v>26400</v>
      </c>
      <c r="J335" s="227"/>
      <c r="K335" s="228"/>
      <c r="L335" s="102">
        <v>260717004</v>
      </c>
      <c r="M335" s="102"/>
      <c r="N335" s="102">
        <f>N306-D335</f>
        <v>16</v>
      </c>
      <c r="O335" s="192">
        <v>46189</v>
      </c>
      <c r="P335" s="193">
        <f t="shared" si="768"/>
        <v>331</v>
      </c>
      <c r="Q335" s="194">
        <f t="shared" si="769"/>
        <v>46553</v>
      </c>
      <c r="R335" s="195">
        <f t="shared" si="770"/>
        <v>34</v>
      </c>
      <c r="U335" s="91"/>
    </row>
    <row r="336" spans="1:21" s="1" customFormat="1" ht="19.649999999999999" customHeight="1" x14ac:dyDescent="0.25">
      <c r="A336" s="26">
        <v>46224</v>
      </c>
      <c r="B336" s="26">
        <v>46224</v>
      </c>
      <c r="C336" s="27" t="s">
        <v>500</v>
      </c>
      <c r="D336" s="27">
        <v>15</v>
      </c>
      <c r="E336" s="27">
        <f t="shared" si="766"/>
        <v>3000</v>
      </c>
      <c r="F336" s="28" t="s">
        <v>3</v>
      </c>
      <c r="G336" s="27">
        <f t="shared" si="767"/>
        <v>3135</v>
      </c>
      <c r="H336" s="28" t="s">
        <v>499</v>
      </c>
      <c r="I336" s="29">
        <f>I330-E336</f>
        <v>0</v>
      </c>
      <c r="J336" s="30"/>
      <c r="K336" s="31"/>
      <c r="L336" s="27">
        <v>260720001</v>
      </c>
      <c r="M336" s="27"/>
      <c r="N336" s="27">
        <f>N335-D336</f>
        <v>1</v>
      </c>
      <c r="O336" s="192">
        <v>46189</v>
      </c>
      <c r="P336" s="193">
        <f t="shared" ref="P336:P338" si="771">365-R336</f>
        <v>330</v>
      </c>
      <c r="Q336" s="194">
        <f t="shared" ref="Q336:Q338" si="772">DATE(YEAR(O336)+1,MONTH(O336),DAY(O336))-1</f>
        <v>46553</v>
      </c>
      <c r="R336" s="195">
        <f t="shared" ref="R336:R338" si="773">DATEDIF(O336,B336,"d")</f>
        <v>35</v>
      </c>
      <c r="U336" s="91"/>
    </row>
    <row r="337" spans="1:21" s="1" customFormat="1" ht="19.649999999999999" customHeight="1" x14ac:dyDescent="0.25">
      <c r="A337" s="26">
        <v>46224</v>
      </c>
      <c r="B337" s="26">
        <v>46224</v>
      </c>
      <c r="C337" s="27" t="s">
        <v>502</v>
      </c>
      <c r="D337" s="27">
        <v>1</v>
      </c>
      <c r="E337" s="27">
        <f t="shared" ref="E337" si="774">D337*200</f>
        <v>200</v>
      </c>
      <c r="F337" s="28" t="s">
        <v>3</v>
      </c>
      <c r="G337" s="27">
        <f t="shared" ref="G337" si="775">D337*209</f>
        <v>209</v>
      </c>
      <c r="H337" s="384" t="s">
        <v>501</v>
      </c>
      <c r="I337" s="29">
        <f>4800-E337</f>
        <v>4600</v>
      </c>
      <c r="J337" s="30"/>
      <c r="K337" s="31"/>
      <c r="L337" s="27">
        <v>260720001</v>
      </c>
      <c r="M337" s="27"/>
      <c r="N337" s="27">
        <f>N336-D337</f>
        <v>0</v>
      </c>
      <c r="O337" s="192">
        <v>46189</v>
      </c>
      <c r="P337" s="193">
        <f t="shared" si="771"/>
        <v>330</v>
      </c>
      <c r="Q337" s="194">
        <f t="shared" si="772"/>
        <v>46553</v>
      </c>
      <c r="R337" s="195">
        <f t="shared" si="773"/>
        <v>35</v>
      </c>
      <c r="U337" s="91"/>
    </row>
    <row r="338" spans="1:21" s="1" customFormat="1" ht="19.649999999999999" customHeight="1" x14ac:dyDescent="0.25">
      <c r="A338" s="26">
        <v>46224</v>
      </c>
      <c r="B338" s="26">
        <v>46224</v>
      </c>
      <c r="C338" s="27" t="s">
        <v>471</v>
      </c>
      <c r="D338" s="27">
        <v>8</v>
      </c>
      <c r="E338" s="27">
        <f t="shared" ref="E338" si="776">D338*200</f>
        <v>1600</v>
      </c>
      <c r="F338" s="28" t="s">
        <v>3</v>
      </c>
      <c r="G338" s="27">
        <f t="shared" ref="G338" si="777">D338*209</f>
        <v>1672</v>
      </c>
      <c r="H338" s="28" t="s">
        <v>498</v>
      </c>
      <c r="I338" s="29">
        <f>I337-E338</f>
        <v>3000</v>
      </c>
      <c r="J338" s="30"/>
      <c r="K338" s="31"/>
      <c r="L338" s="27">
        <v>260720001</v>
      </c>
      <c r="M338" s="27"/>
      <c r="N338" s="27">
        <f>N307-D338</f>
        <v>30</v>
      </c>
      <c r="O338" s="192">
        <v>46195</v>
      </c>
      <c r="P338" s="193">
        <f t="shared" si="771"/>
        <v>336</v>
      </c>
      <c r="Q338" s="194">
        <f t="shared" si="772"/>
        <v>46559</v>
      </c>
      <c r="R338" s="195">
        <f t="shared" si="773"/>
        <v>29</v>
      </c>
      <c r="U338" s="91"/>
    </row>
    <row r="339" spans="1:21" s="1" customFormat="1" ht="19.649999999999999" customHeight="1" x14ac:dyDescent="0.25">
      <c r="A339" s="26">
        <v>46224</v>
      </c>
      <c r="B339" s="26">
        <v>46224</v>
      </c>
      <c r="C339" s="27" t="s">
        <v>504</v>
      </c>
      <c r="D339" s="27">
        <v>4</v>
      </c>
      <c r="E339" s="27">
        <f t="shared" si="766"/>
        <v>800</v>
      </c>
      <c r="F339" s="28" t="s">
        <v>3</v>
      </c>
      <c r="G339" s="27">
        <f t="shared" si="767"/>
        <v>836</v>
      </c>
      <c r="H339" s="28" t="s">
        <v>497</v>
      </c>
      <c r="I339" s="29">
        <f>I338-E339</f>
        <v>2200</v>
      </c>
      <c r="J339" s="30" t="s">
        <v>322</v>
      </c>
      <c r="K339" s="31"/>
      <c r="L339" s="27">
        <v>260720002</v>
      </c>
      <c r="M339" s="27">
        <v>42</v>
      </c>
      <c r="N339" s="27">
        <f>M339-D339</f>
        <v>38</v>
      </c>
      <c r="O339" s="192">
        <v>46209</v>
      </c>
      <c r="P339" s="193">
        <f t="shared" si="768"/>
        <v>350</v>
      </c>
      <c r="Q339" s="194">
        <f t="shared" si="769"/>
        <v>46573</v>
      </c>
      <c r="R339" s="195">
        <f t="shared" si="770"/>
        <v>15</v>
      </c>
      <c r="U339" s="91"/>
    </row>
    <row r="340" spans="1:21" s="1" customFormat="1" ht="19.649999999999999" customHeight="1" x14ac:dyDescent="0.25">
      <c r="A340" s="26">
        <v>46224</v>
      </c>
      <c r="B340" s="26">
        <v>46224</v>
      </c>
      <c r="C340" s="27" t="s">
        <v>495</v>
      </c>
      <c r="D340" s="27">
        <v>4</v>
      </c>
      <c r="E340" s="27">
        <f t="shared" si="766"/>
        <v>800</v>
      </c>
      <c r="F340" s="28" t="s">
        <v>3</v>
      </c>
      <c r="G340" s="27">
        <f t="shared" si="767"/>
        <v>836</v>
      </c>
      <c r="H340" s="28" t="s">
        <v>503</v>
      </c>
      <c r="I340" s="29">
        <f>I339-E340</f>
        <v>1400</v>
      </c>
      <c r="J340" s="30" t="s">
        <v>322</v>
      </c>
      <c r="K340" s="31"/>
      <c r="L340" s="27">
        <v>260720002</v>
      </c>
      <c r="M340" s="27">
        <v>43</v>
      </c>
      <c r="N340" s="27">
        <f>M340-D340</f>
        <v>39</v>
      </c>
      <c r="O340" s="192">
        <v>46211</v>
      </c>
      <c r="P340" s="193">
        <f t="shared" si="768"/>
        <v>352</v>
      </c>
      <c r="Q340" s="194">
        <f t="shared" si="769"/>
        <v>46575</v>
      </c>
      <c r="R340" s="195">
        <f t="shared" si="770"/>
        <v>13</v>
      </c>
      <c r="U340" s="91"/>
    </row>
    <row r="341" spans="1:21" s="1" customFormat="1" ht="19.649999999999999" customHeight="1" x14ac:dyDescent="0.25">
      <c r="A341" s="26">
        <v>46224</v>
      </c>
      <c r="B341" s="26">
        <v>46224</v>
      </c>
      <c r="C341" s="27" t="s">
        <v>496</v>
      </c>
      <c r="D341" s="27">
        <v>4</v>
      </c>
      <c r="E341" s="27">
        <f t="shared" si="766"/>
        <v>800</v>
      </c>
      <c r="F341" s="28" t="s">
        <v>3</v>
      </c>
      <c r="G341" s="27">
        <f t="shared" si="767"/>
        <v>836</v>
      </c>
      <c r="H341" s="28" t="s">
        <v>497</v>
      </c>
      <c r="I341" s="29">
        <f>I340-E341</f>
        <v>600</v>
      </c>
      <c r="J341" s="30" t="s">
        <v>322</v>
      </c>
      <c r="K341" s="31"/>
      <c r="L341" s="27">
        <v>260720002</v>
      </c>
      <c r="M341" s="27">
        <v>42</v>
      </c>
      <c r="N341" s="27">
        <f>M341-D341</f>
        <v>38</v>
      </c>
      <c r="O341" s="192">
        <v>46213</v>
      </c>
      <c r="P341" s="193">
        <f t="shared" si="768"/>
        <v>354</v>
      </c>
      <c r="Q341" s="194">
        <f t="shared" si="769"/>
        <v>46577</v>
      </c>
      <c r="R341" s="195">
        <f t="shared" si="770"/>
        <v>11</v>
      </c>
      <c r="U341" s="91"/>
    </row>
    <row r="342" spans="1:21" s="1" customFormat="1" ht="19.649999999999999" customHeight="1" x14ac:dyDescent="0.25">
      <c r="A342" s="219">
        <v>46226</v>
      </c>
      <c r="B342" s="219">
        <v>46226</v>
      </c>
      <c r="C342" s="220" t="s">
        <v>471</v>
      </c>
      <c r="D342" s="220">
        <v>3</v>
      </c>
      <c r="E342" s="220">
        <f>D342*200</f>
        <v>600</v>
      </c>
      <c r="F342" s="221" t="s">
        <v>3</v>
      </c>
      <c r="G342" s="220">
        <f t="shared" ref="G342" si="778">D342*209</f>
        <v>627</v>
      </c>
      <c r="H342" s="221" t="s">
        <v>498</v>
      </c>
      <c r="I342" s="222">
        <f>I341-E342</f>
        <v>0</v>
      </c>
      <c r="J342" s="223"/>
      <c r="K342" s="224"/>
      <c r="L342" s="220">
        <v>260722001</v>
      </c>
      <c r="M342" s="220"/>
      <c r="N342" s="220">
        <f>N338-D342</f>
        <v>27</v>
      </c>
      <c r="O342" s="192">
        <v>46195</v>
      </c>
      <c r="P342" s="193">
        <f t="shared" si="768"/>
        <v>334</v>
      </c>
      <c r="Q342" s="194">
        <f t="shared" si="769"/>
        <v>46559</v>
      </c>
      <c r="R342" s="195">
        <f t="shared" si="770"/>
        <v>31</v>
      </c>
      <c r="U342" s="91"/>
    </row>
    <row r="343" spans="1:21" s="1" customFormat="1" ht="19.649999999999999" customHeight="1" x14ac:dyDescent="0.25">
      <c r="A343" s="219">
        <v>46226</v>
      </c>
      <c r="B343" s="219">
        <v>46226</v>
      </c>
      <c r="C343" s="220" t="s">
        <v>471</v>
      </c>
      <c r="D343" s="220">
        <v>9</v>
      </c>
      <c r="E343" s="220">
        <f t="shared" ref="E343:E345" si="779">D343*200</f>
        <v>1800</v>
      </c>
      <c r="F343" s="221" t="s">
        <v>3</v>
      </c>
      <c r="G343" s="220">
        <f t="shared" ref="G343:G345" si="780">D343*209</f>
        <v>1881</v>
      </c>
      <c r="H343" s="386" t="s">
        <v>505</v>
      </c>
      <c r="I343" s="222">
        <f>44800-E343</f>
        <v>43000</v>
      </c>
      <c r="J343" s="223"/>
      <c r="K343" s="224"/>
      <c r="L343" s="220">
        <v>260722001</v>
      </c>
      <c r="M343" s="220"/>
      <c r="N343" s="220">
        <f>N342-D343</f>
        <v>18</v>
      </c>
      <c r="O343" s="192">
        <v>46195</v>
      </c>
      <c r="P343" s="193">
        <f t="shared" si="768"/>
        <v>334</v>
      </c>
      <c r="Q343" s="194">
        <f t="shared" si="769"/>
        <v>46559</v>
      </c>
      <c r="R343" s="195">
        <f t="shared" si="770"/>
        <v>31</v>
      </c>
      <c r="U343" s="91"/>
    </row>
    <row r="344" spans="1:21" s="1" customFormat="1" ht="19.649999999999999" customHeight="1" x14ac:dyDescent="0.25">
      <c r="A344" s="335">
        <v>46226</v>
      </c>
      <c r="B344" s="213">
        <v>46226</v>
      </c>
      <c r="C344" s="215" t="s">
        <v>506</v>
      </c>
      <c r="D344" s="214">
        <v>18</v>
      </c>
      <c r="E344" s="214">
        <f t="shared" si="779"/>
        <v>3600</v>
      </c>
      <c r="F344" s="215" t="s">
        <v>1</v>
      </c>
      <c r="G344" s="214">
        <f t="shared" si="780"/>
        <v>3762</v>
      </c>
      <c r="H344" s="215" t="s">
        <v>451</v>
      </c>
      <c r="I344" s="216">
        <f>I335-E344</f>
        <v>22800</v>
      </c>
      <c r="J344" s="217"/>
      <c r="K344" s="218"/>
      <c r="L344" s="214">
        <v>260722002</v>
      </c>
      <c r="M344" s="214"/>
      <c r="N344" s="214">
        <f>N343-D344</f>
        <v>0</v>
      </c>
      <c r="O344" s="192">
        <v>46195</v>
      </c>
      <c r="P344" s="193">
        <f t="shared" si="768"/>
        <v>334</v>
      </c>
      <c r="Q344" s="194">
        <f t="shared" si="769"/>
        <v>46559</v>
      </c>
      <c r="R344" s="195">
        <f t="shared" si="770"/>
        <v>31</v>
      </c>
      <c r="U344" s="91"/>
    </row>
    <row r="345" spans="1:21" s="1" customFormat="1" ht="19.649999999999999" customHeight="1" x14ac:dyDescent="0.25">
      <c r="A345" s="335">
        <v>46226</v>
      </c>
      <c r="B345" s="213">
        <v>46226</v>
      </c>
      <c r="C345" s="215" t="s">
        <v>478</v>
      </c>
      <c r="D345" s="214">
        <v>6</v>
      </c>
      <c r="E345" s="214">
        <f t="shared" si="779"/>
        <v>1200</v>
      </c>
      <c r="F345" s="215" t="s">
        <v>1</v>
      </c>
      <c r="G345" s="214">
        <f t="shared" si="780"/>
        <v>1254</v>
      </c>
      <c r="H345" s="215" t="s">
        <v>451</v>
      </c>
      <c r="I345" s="216">
        <f>I344-E345</f>
        <v>21600</v>
      </c>
      <c r="J345" s="217"/>
      <c r="K345" s="218"/>
      <c r="L345" s="214">
        <v>260722002</v>
      </c>
      <c r="M345" s="214"/>
      <c r="N345" s="214">
        <f>N318-D345</f>
        <v>32</v>
      </c>
      <c r="O345" s="192">
        <v>46197</v>
      </c>
      <c r="P345" s="193">
        <f t="shared" si="768"/>
        <v>336</v>
      </c>
      <c r="Q345" s="194">
        <f t="shared" si="769"/>
        <v>46561</v>
      </c>
      <c r="R345" s="195">
        <f t="shared" si="770"/>
        <v>29</v>
      </c>
      <c r="U345" s="91"/>
    </row>
    <row r="346" spans="1:21" s="1" customFormat="1" ht="19.649999999999999" customHeight="1" x14ac:dyDescent="0.25">
      <c r="A346" s="104">
        <v>46227</v>
      </c>
      <c r="B346" s="104">
        <v>46227</v>
      </c>
      <c r="C346" s="105" t="s">
        <v>510</v>
      </c>
      <c r="D346" s="105">
        <v>2</v>
      </c>
      <c r="E346" s="105">
        <f>D346*200</f>
        <v>400</v>
      </c>
      <c r="F346" s="112" t="s">
        <v>40</v>
      </c>
      <c r="G346" s="105">
        <f>D346*209</f>
        <v>418</v>
      </c>
      <c r="H346" s="106" t="s">
        <v>507</v>
      </c>
      <c r="I346" s="107">
        <f>I333-E346</f>
        <v>0</v>
      </c>
      <c r="J346" s="108"/>
      <c r="K346" s="109"/>
      <c r="L346" s="105">
        <v>260723001</v>
      </c>
      <c r="M346" s="105"/>
      <c r="N346" s="105">
        <f>N345-D346</f>
        <v>30</v>
      </c>
      <c r="O346" s="192">
        <v>46197</v>
      </c>
      <c r="P346" s="193">
        <f t="shared" ref="P346:P348" si="781">365-R346</f>
        <v>335</v>
      </c>
      <c r="Q346" s="194">
        <f t="shared" ref="Q346:Q348" si="782">DATE(YEAR(O346)+1,MONTH(O346),DAY(O346))-1</f>
        <v>46561</v>
      </c>
      <c r="R346" s="195">
        <f t="shared" ref="R346:R348" si="783">DATEDIF(O346,B346,"d")</f>
        <v>30</v>
      </c>
      <c r="U346" s="91"/>
    </row>
    <row r="347" spans="1:21" s="1" customFormat="1" ht="19.649999999999999" customHeight="1" x14ac:dyDescent="0.25">
      <c r="A347" s="104">
        <v>46227</v>
      </c>
      <c r="B347" s="104">
        <v>46227</v>
      </c>
      <c r="C347" s="105" t="s">
        <v>510</v>
      </c>
      <c r="D347" s="105">
        <v>18</v>
      </c>
      <c r="E347" s="105">
        <f>D347*200</f>
        <v>3600</v>
      </c>
      <c r="F347" s="112" t="s">
        <v>40</v>
      </c>
      <c r="G347" s="105">
        <f>D347*209</f>
        <v>3762</v>
      </c>
      <c r="H347" s="385" t="s">
        <v>508</v>
      </c>
      <c r="I347" s="107">
        <f>45600-E347</f>
        <v>42000</v>
      </c>
      <c r="J347" s="108"/>
      <c r="K347" s="109"/>
      <c r="L347" s="105">
        <v>260723001</v>
      </c>
      <c r="M347" s="105"/>
      <c r="N347" s="105">
        <f>N346-D347</f>
        <v>12</v>
      </c>
      <c r="O347" s="192">
        <v>46197</v>
      </c>
      <c r="P347" s="193">
        <f t="shared" ref="P347" si="784">365-R347</f>
        <v>335</v>
      </c>
      <c r="Q347" s="194">
        <f t="shared" ref="Q347" si="785">DATE(YEAR(O347)+1,MONTH(O347),DAY(O347))-1</f>
        <v>46561</v>
      </c>
      <c r="R347" s="195">
        <f t="shared" ref="R347" si="786">DATEDIF(O347,B347,"d")</f>
        <v>30</v>
      </c>
      <c r="U347" s="91"/>
    </row>
    <row r="348" spans="1:21" s="1" customFormat="1" ht="19.649999999999999" customHeight="1" x14ac:dyDescent="0.25">
      <c r="A348" s="104">
        <v>46227</v>
      </c>
      <c r="B348" s="104">
        <v>46227</v>
      </c>
      <c r="C348" s="105" t="s">
        <v>479</v>
      </c>
      <c r="D348" s="105">
        <v>16</v>
      </c>
      <c r="E348" s="105">
        <f>D348*200</f>
        <v>3200</v>
      </c>
      <c r="F348" s="112" t="s">
        <v>40</v>
      </c>
      <c r="G348" s="105">
        <f>D348*209</f>
        <v>3344</v>
      </c>
      <c r="H348" s="106" t="s">
        <v>509</v>
      </c>
      <c r="I348" s="107">
        <f>I347-E348</f>
        <v>38800</v>
      </c>
      <c r="J348" s="108"/>
      <c r="K348" s="109"/>
      <c r="L348" s="105">
        <v>260723001</v>
      </c>
      <c r="M348" s="105"/>
      <c r="N348" s="105">
        <f>N319-D348</f>
        <v>22</v>
      </c>
      <c r="O348" s="192">
        <v>46199</v>
      </c>
      <c r="P348" s="193">
        <f t="shared" si="781"/>
        <v>337</v>
      </c>
      <c r="Q348" s="194">
        <f t="shared" si="782"/>
        <v>46563</v>
      </c>
      <c r="R348" s="195">
        <f t="shared" si="783"/>
        <v>28</v>
      </c>
      <c r="U348" s="91"/>
    </row>
    <row r="349" spans="1:21" s="1" customFormat="1" ht="19.649999999999999" customHeight="1" x14ac:dyDescent="0.25">
      <c r="A349" s="314">
        <v>46230</v>
      </c>
      <c r="B349" s="243">
        <v>46230</v>
      </c>
      <c r="C349" s="245" t="s">
        <v>478</v>
      </c>
      <c r="D349" s="244">
        <v>12</v>
      </c>
      <c r="E349" s="244">
        <f t="shared" ref="E349:E350" si="787">D349*200</f>
        <v>2400</v>
      </c>
      <c r="F349" s="245" t="s">
        <v>1</v>
      </c>
      <c r="G349" s="244">
        <f t="shared" ref="G349:G352" si="788">D349*209</f>
        <v>2508</v>
      </c>
      <c r="H349" s="245" t="s">
        <v>451</v>
      </c>
      <c r="I349" s="246">
        <f>I345-E349</f>
        <v>19200</v>
      </c>
      <c r="J349" s="247"/>
      <c r="K349" s="248"/>
      <c r="L349" s="244">
        <v>260724002</v>
      </c>
      <c r="M349" s="244"/>
      <c r="N349" s="244">
        <f>N347-D349</f>
        <v>0</v>
      </c>
      <c r="O349" s="192">
        <v>46197</v>
      </c>
      <c r="P349" s="193">
        <f t="shared" ref="P349:P352" si="789">365-R349</f>
        <v>332</v>
      </c>
      <c r="Q349" s="194">
        <f t="shared" ref="Q349:Q352" si="790">DATE(YEAR(O349)+1,MONTH(O349),DAY(O349))-1</f>
        <v>46561</v>
      </c>
      <c r="R349" s="195">
        <f t="shared" ref="R349:R352" si="791">DATEDIF(O349,B349,"d")</f>
        <v>33</v>
      </c>
      <c r="U349" s="91"/>
    </row>
    <row r="350" spans="1:21" s="1" customFormat="1" ht="19.649999999999999" customHeight="1" x14ac:dyDescent="0.25">
      <c r="A350" s="314">
        <v>46230</v>
      </c>
      <c r="B350" s="243">
        <v>46230</v>
      </c>
      <c r="C350" s="245" t="s">
        <v>511</v>
      </c>
      <c r="D350" s="244">
        <v>20</v>
      </c>
      <c r="E350" s="244">
        <f t="shared" si="787"/>
        <v>4000</v>
      </c>
      <c r="F350" s="245" t="s">
        <v>1</v>
      </c>
      <c r="G350" s="244">
        <f t="shared" si="788"/>
        <v>4180</v>
      </c>
      <c r="H350" s="245" t="s">
        <v>451</v>
      </c>
      <c r="I350" s="246">
        <f>I349-E350</f>
        <v>15200</v>
      </c>
      <c r="J350" s="247"/>
      <c r="K350" s="248"/>
      <c r="L350" s="244">
        <v>260724002</v>
      </c>
      <c r="M350" s="244"/>
      <c r="N350" s="244">
        <f>N348-D350</f>
        <v>2</v>
      </c>
      <c r="O350" s="192">
        <v>46199</v>
      </c>
      <c r="P350" s="193">
        <f t="shared" si="789"/>
        <v>334</v>
      </c>
      <c r="Q350" s="194">
        <f t="shared" si="790"/>
        <v>46563</v>
      </c>
      <c r="R350" s="195">
        <f t="shared" si="791"/>
        <v>31</v>
      </c>
      <c r="U350" s="91"/>
    </row>
    <row r="351" spans="1:21" s="1" customFormat="1" ht="19.649999999999999" customHeight="1" x14ac:dyDescent="0.25">
      <c r="A351" s="13">
        <v>46232</v>
      </c>
      <c r="B351" s="13">
        <v>46232</v>
      </c>
      <c r="C351" s="14" t="s">
        <v>518</v>
      </c>
      <c r="D351" s="14">
        <v>2</v>
      </c>
      <c r="E351" s="14">
        <f t="shared" ref="E351:E353" si="792">D351*200</f>
        <v>400</v>
      </c>
      <c r="F351" s="15" t="s">
        <v>3</v>
      </c>
      <c r="G351" s="14">
        <f t="shared" si="788"/>
        <v>418</v>
      </c>
      <c r="H351" s="15" t="s">
        <v>517</v>
      </c>
      <c r="I351" s="16">
        <f>I343-E351</f>
        <v>42600</v>
      </c>
      <c r="J351" s="17"/>
      <c r="K351" s="18"/>
      <c r="L351" s="14">
        <v>260728001</v>
      </c>
      <c r="M351" s="14"/>
      <c r="N351" s="14">
        <f>N350-D351</f>
        <v>0</v>
      </c>
      <c r="O351" s="192">
        <v>46199</v>
      </c>
      <c r="P351" s="193">
        <f t="shared" si="789"/>
        <v>332</v>
      </c>
      <c r="Q351" s="194">
        <f t="shared" si="790"/>
        <v>46563</v>
      </c>
      <c r="R351" s="195">
        <f t="shared" si="791"/>
        <v>33</v>
      </c>
      <c r="U351" s="91"/>
    </row>
    <row r="352" spans="1:21" s="1" customFormat="1" ht="19.649999999999999" customHeight="1" x14ac:dyDescent="0.25">
      <c r="A352" s="13">
        <v>46232</v>
      </c>
      <c r="B352" s="13">
        <v>46232</v>
      </c>
      <c r="C352" s="14" t="s">
        <v>515</v>
      </c>
      <c r="D352" s="14">
        <v>22</v>
      </c>
      <c r="E352" s="14">
        <f t="shared" si="792"/>
        <v>4400</v>
      </c>
      <c r="F352" s="15" t="s">
        <v>3</v>
      </c>
      <c r="G352" s="14">
        <f t="shared" si="788"/>
        <v>4598</v>
      </c>
      <c r="H352" s="15" t="s">
        <v>505</v>
      </c>
      <c r="I352" s="16">
        <f>I351-E352</f>
        <v>38200</v>
      </c>
      <c r="J352" s="17"/>
      <c r="K352" s="18"/>
      <c r="L352" s="14">
        <v>260728001</v>
      </c>
      <c r="M352" s="14"/>
      <c r="N352" s="14">
        <f>N328-D352</f>
        <v>17</v>
      </c>
      <c r="O352" s="192">
        <v>46202</v>
      </c>
      <c r="P352" s="193">
        <f t="shared" si="789"/>
        <v>335</v>
      </c>
      <c r="Q352" s="194">
        <f t="shared" si="790"/>
        <v>46566</v>
      </c>
      <c r="R352" s="195">
        <f t="shared" si="791"/>
        <v>30</v>
      </c>
      <c r="U352" s="91"/>
    </row>
    <row r="353" spans="1:21" s="1" customFormat="1" ht="19.649999999999999" customHeight="1" x14ac:dyDescent="0.25">
      <c r="A353" s="13">
        <v>46232</v>
      </c>
      <c r="B353" s="13">
        <v>46232</v>
      </c>
      <c r="C353" s="14" t="s">
        <v>512</v>
      </c>
      <c r="D353" s="14">
        <v>4</v>
      </c>
      <c r="E353" s="14">
        <f t="shared" si="792"/>
        <v>800</v>
      </c>
      <c r="F353" s="15" t="s">
        <v>3</v>
      </c>
      <c r="G353" s="14">
        <f t="shared" ref="G353:G354" si="793">D353*209</f>
        <v>836</v>
      </c>
      <c r="H353" s="15" t="s">
        <v>516</v>
      </c>
      <c r="I353" s="16">
        <f>I352-E353</f>
        <v>37400</v>
      </c>
      <c r="J353" s="17" t="s">
        <v>322</v>
      </c>
      <c r="K353" s="18"/>
      <c r="L353" s="14">
        <v>260728002</v>
      </c>
      <c r="M353" s="14">
        <v>42</v>
      </c>
      <c r="N353" s="14">
        <f>M353-D353</f>
        <v>38</v>
      </c>
      <c r="O353" s="192">
        <v>46216</v>
      </c>
      <c r="P353" s="193">
        <f t="shared" ref="P353:P354" si="794">365-R353</f>
        <v>349</v>
      </c>
      <c r="Q353" s="194">
        <f t="shared" ref="Q353:Q354" si="795">DATE(YEAR(O353)+1,MONTH(O353),DAY(O353))-1</f>
        <v>46580</v>
      </c>
      <c r="R353" s="195">
        <f t="shared" ref="R353:R354" si="796">DATEDIF(O353,B353,"d")</f>
        <v>16</v>
      </c>
      <c r="U353" s="91"/>
    </row>
    <row r="354" spans="1:21" s="1" customFormat="1" ht="19.649999999999999" customHeight="1" x14ac:dyDescent="0.25">
      <c r="A354" s="13">
        <v>46232</v>
      </c>
      <c r="B354" s="13">
        <v>46232</v>
      </c>
      <c r="C354" s="14" t="s">
        <v>513</v>
      </c>
      <c r="D354" s="14">
        <v>4</v>
      </c>
      <c r="E354" s="14">
        <f t="shared" ref="E354" si="797">D354*200</f>
        <v>800</v>
      </c>
      <c r="F354" s="15" t="s">
        <v>3</v>
      </c>
      <c r="G354" s="14">
        <f t="shared" si="793"/>
        <v>836</v>
      </c>
      <c r="H354" s="15" t="s">
        <v>505</v>
      </c>
      <c r="I354" s="16">
        <f>I353-E354</f>
        <v>36600</v>
      </c>
      <c r="J354" s="17" t="s">
        <v>322</v>
      </c>
      <c r="K354" s="18"/>
      <c r="L354" s="14">
        <v>260728002</v>
      </c>
      <c r="M354" s="14">
        <v>42</v>
      </c>
      <c r="N354" s="14">
        <f t="shared" ref="N354:N355" si="798">M354-D354</f>
        <v>38</v>
      </c>
      <c r="O354" s="192">
        <v>46218</v>
      </c>
      <c r="P354" s="193">
        <f t="shared" si="794"/>
        <v>351</v>
      </c>
      <c r="Q354" s="194">
        <f t="shared" si="795"/>
        <v>46582</v>
      </c>
      <c r="R354" s="195">
        <f t="shared" si="796"/>
        <v>14</v>
      </c>
      <c r="U354" s="91"/>
    </row>
    <row r="355" spans="1:21" s="1" customFormat="1" ht="19.649999999999999" customHeight="1" x14ac:dyDescent="0.25">
      <c r="A355" s="13">
        <v>46232</v>
      </c>
      <c r="B355" s="13">
        <v>46232</v>
      </c>
      <c r="C355" s="14" t="s">
        <v>514</v>
      </c>
      <c r="D355" s="14">
        <v>4</v>
      </c>
      <c r="E355" s="14">
        <f t="shared" ref="E355:E357" si="799">D355*200</f>
        <v>800</v>
      </c>
      <c r="F355" s="15" t="s">
        <v>3</v>
      </c>
      <c r="G355" s="14">
        <f t="shared" ref="G355:G357" si="800">D355*209</f>
        <v>836</v>
      </c>
      <c r="H355" s="15" t="s">
        <v>505</v>
      </c>
      <c r="I355" s="16">
        <f>I354-E355</f>
        <v>35800</v>
      </c>
      <c r="J355" s="17" t="s">
        <v>322</v>
      </c>
      <c r="K355" s="18"/>
      <c r="L355" s="14">
        <v>260728002</v>
      </c>
      <c r="M355" s="14">
        <v>43</v>
      </c>
      <c r="N355" s="14">
        <f t="shared" si="798"/>
        <v>39</v>
      </c>
      <c r="O355" s="192">
        <v>46220</v>
      </c>
      <c r="P355" s="193">
        <f t="shared" ref="P355:P359" si="801">365-R355</f>
        <v>353</v>
      </c>
      <c r="Q355" s="194">
        <f t="shared" ref="Q355:Q359" si="802">DATE(YEAR(O355)+1,MONTH(O355),DAY(O355))-1</f>
        <v>46584</v>
      </c>
      <c r="R355" s="195">
        <f t="shared" ref="R355:R359" si="803">DATEDIF(O355,B355,"d")</f>
        <v>12</v>
      </c>
      <c r="U355" s="91"/>
    </row>
    <row r="356" spans="1:21" s="1" customFormat="1" ht="19.649999999999999" customHeight="1" x14ac:dyDescent="0.25">
      <c r="A356" s="334">
        <v>46233</v>
      </c>
      <c r="B356" s="262">
        <v>46233</v>
      </c>
      <c r="C356" s="264" t="s">
        <v>521</v>
      </c>
      <c r="D356" s="263">
        <v>17</v>
      </c>
      <c r="E356" s="263">
        <f t="shared" si="799"/>
        <v>3400</v>
      </c>
      <c r="F356" s="264" t="s">
        <v>1</v>
      </c>
      <c r="G356" s="263">
        <f t="shared" si="800"/>
        <v>3553</v>
      </c>
      <c r="H356" s="264" t="s">
        <v>520</v>
      </c>
      <c r="I356" s="265">
        <f>I350-E356</f>
        <v>11800</v>
      </c>
      <c r="J356" s="266"/>
      <c r="K356" s="267"/>
      <c r="L356" s="263">
        <v>260729005</v>
      </c>
      <c r="M356" s="263"/>
      <c r="N356" s="263">
        <f>N352-D356</f>
        <v>0</v>
      </c>
      <c r="O356" s="192">
        <v>46202</v>
      </c>
      <c r="P356" s="193">
        <f t="shared" si="801"/>
        <v>334</v>
      </c>
      <c r="Q356" s="194">
        <f t="shared" si="802"/>
        <v>46566</v>
      </c>
      <c r="R356" s="195">
        <f t="shared" si="803"/>
        <v>31</v>
      </c>
      <c r="U356" s="91"/>
    </row>
    <row r="357" spans="1:21" s="1" customFormat="1" ht="19.649999999999999" customHeight="1" x14ac:dyDescent="0.25">
      <c r="A357" s="334">
        <v>46233</v>
      </c>
      <c r="B357" s="262">
        <v>46233</v>
      </c>
      <c r="C357" s="264" t="s">
        <v>519</v>
      </c>
      <c r="D357" s="263">
        <v>11</v>
      </c>
      <c r="E357" s="263">
        <f t="shared" si="799"/>
        <v>2200</v>
      </c>
      <c r="F357" s="264" t="s">
        <v>1</v>
      </c>
      <c r="G357" s="263">
        <f t="shared" si="800"/>
        <v>2299</v>
      </c>
      <c r="H357" s="264" t="s">
        <v>451</v>
      </c>
      <c r="I357" s="265">
        <f>I356-E357</f>
        <v>9600</v>
      </c>
      <c r="J357" s="266"/>
      <c r="K357" s="267"/>
      <c r="L357" s="263">
        <v>260729005</v>
      </c>
      <c r="M357" s="263"/>
      <c r="N357" s="263">
        <f>N329-D357</f>
        <v>27</v>
      </c>
      <c r="O357" s="192">
        <v>46204</v>
      </c>
      <c r="P357" s="193">
        <f t="shared" si="801"/>
        <v>336</v>
      </c>
      <c r="Q357" s="194">
        <f t="shared" si="802"/>
        <v>46568</v>
      </c>
      <c r="R357" s="195">
        <f t="shared" si="803"/>
        <v>29</v>
      </c>
      <c r="U357" s="91"/>
    </row>
    <row r="358" spans="1:21" s="1" customFormat="1" ht="19.649999999999999" customHeight="1" x14ac:dyDescent="0.25">
      <c r="A358" s="32">
        <v>46233</v>
      </c>
      <c r="B358" s="32">
        <v>46233</v>
      </c>
      <c r="C358" s="33" t="s">
        <v>523</v>
      </c>
      <c r="D358" s="33">
        <v>15</v>
      </c>
      <c r="E358" s="33">
        <f>D358*200</f>
        <v>3000</v>
      </c>
      <c r="F358" s="358" t="s">
        <v>40</v>
      </c>
      <c r="G358" s="33">
        <f>D358*209</f>
        <v>3135</v>
      </c>
      <c r="H358" s="34" t="s">
        <v>522</v>
      </c>
      <c r="I358" s="35">
        <f>I348-E358</f>
        <v>35800</v>
      </c>
      <c r="J358" s="36"/>
      <c r="K358" s="37"/>
      <c r="L358" s="33">
        <v>260729006</v>
      </c>
      <c r="M358" s="33"/>
      <c r="N358" s="33">
        <f>N357-D358</f>
        <v>12</v>
      </c>
      <c r="O358" s="192">
        <v>46204</v>
      </c>
      <c r="P358" s="193">
        <f t="shared" si="801"/>
        <v>336</v>
      </c>
      <c r="Q358" s="194">
        <f t="shared" si="802"/>
        <v>46568</v>
      </c>
      <c r="R358" s="195">
        <f t="shared" si="803"/>
        <v>29</v>
      </c>
      <c r="U358" s="91"/>
    </row>
    <row r="359" spans="1:21" s="1" customFormat="1" ht="19.649999999999999" customHeight="1" x14ac:dyDescent="0.25">
      <c r="A359" s="32">
        <v>46233</v>
      </c>
      <c r="B359" s="32">
        <v>46233</v>
      </c>
      <c r="C359" s="33" t="s">
        <v>492</v>
      </c>
      <c r="D359" s="33">
        <v>13</v>
      </c>
      <c r="E359" s="33">
        <f>D359*200</f>
        <v>2600</v>
      </c>
      <c r="F359" s="358" t="s">
        <v>40</v>
      </c>
      <c r="G359" s="33">
        <f>D359*209</f>
        <v>2717</v>
      </c>
      <c r="H359" s="34" t="s">
        <v>508</v>
      </c>
      <c r="I359" s="35">
        <f>I358-E359</f>
        <v>33200</v>
      </c>
      <c r="J359" s="36"/>
      <c r="K359" s="37"/>
      <c r="L359" s="33">
        <v>260729006</v>
      </c>
      <c r="M359" s="33"/>
      <c r="N359" s="33">
        <f>N330-D359</f>
        <v>25</v>
      </c>
      <c r="O359" s="192">
        <v>46206</v>
      </c>
      <c r="P359" s="193">
        <f t="shared" si="801"/>
        <v>338</v>
      </c>
      <c r="Q359" s="194">
        <f t="shared" si="802"/>
        <v>46570</v>
      </c>
      <c r="R359" s="195">
        <f t="shared" si="803"/>
        <v>27</v>
      </c>
      <c r="U359" s="91"/>
    </row>
    <row r="360" spans="1:21" s="1" customFormat="1" ht="19.649999999999999" customHeight="1" x14ac:dyDescent="0.25">
      <c r="A360" s="329">
        <v>46237</v>
      </c>
      <c r="B360" s="219">
        <v>46237</v>
      </c>
      <c r="C360" s="221" t="s">
        <v>491</v>
      </c>
      <c r="D360" s="220">
        <v>12</v>
      </c>
      <c r="E360" s="220">
        <f t="shared" ref="E360:E366" si="804">D360*200</f>
        <v>2400</v>
      </c>
      <c r="F360" s="221" t="s">
        <v>1</v>
      </c>
      <c r="G360" s="220">
        <f t="shared" ref="G360:G366" si="805">D360*209</f>
        <v>2508</v>
      </c>
      <c r="H360" s="221" t="s">
        <v>451</v>
      </c>
      <c r="I360" s="222">
        <f>I357-E360</f>
        <v>7200</v>
      </c>
      <c r="J360" s="223"/>
      <c r="K360" s="224"/>
      <c r="L360" s="220">
        <v>260731005</v>
      </c>
      <c r="M360" s="220"/>
      <c r="N360" s="220">
        <f>N358-D360</f>
        <v>0</v>
      </c>
      <c r="O360" s="192">
        <v>46204</v>
      </c>
      <c r="P360" s="193">
        <f t="shared" ref="P360:P370" si="806">365-R360</f>
        <v>332</v>
      </c>
      <c r="Q360" s="194">
        <f t="shared" ref="Q360:Q370" si="807">DATE(YEAR(O360)+1,MONTH(O360),DAY(O360))-1</f>
        <v>46568</v>
      </c>
      <c r="R360" s="195">
        <f t="shared" ref="R360:R370" si="808">DATEDIF(O360,B360,"d")</f>
        <v>33</v>
      </c>
      <c r="U360" s="91"/>
    </row>
    <row r="361" spans="1:21" s="1" customFormat="1" ht="19.649999999999999" customHeight="1" x14ac:dyDescent="0.25">
      <c r="A361" s="329">
        <v>46237</v>
      </c>
      <c r="B361" s="219">
        <v>46237</v>
      </c>
      <c r="C361" s="221" t="s">
        <v>524</v>
      </c>
      <c r="D361" s="220">
        <v>20</v>
      </c>
      <c r="E361" s="220">
        <f t="shared" si="804"/>
        <v>4000</v>
      </c>
      <c r="F361" s="221" t="s">
        <v>1</v>
      </c>
      <c r="G361" s="220">
        <f t="shared" si="805"/>
        <v>4180</v>
      </c>
      <c r="H361" s="221" t="s">
        <v>451</v>
      </c>
      <c r="I361" s="222">
        <f>I360-E361</f>
        <v>3200</v>
      </c>
      <c r="J361" s="223"/>
      <c r="K361" s="224"/>
      <c r="L361" s="220">
        <v>260731005</v>
      </c>
      <c r="M361" s="220"/>
      <c r="N361" s="220">
        <f>N359-D361</f>
        <v>5</v>
      </c>
      <c r="O361" s="192">
        <v>46206</v>
      </c>
      <c r="P361" s="193">
        <f t="shared" si="806"/>
        <v>334</v>
      </c>
      <c r="Q361" s="194">
        <f t="shared" si="807"/>
        <v>46570</v>
      </c>
      <c r="R361" s="195">
        <f t="shared" si="808"/>
        <v>31</v>
      </c>
      <c r="U361" s="91"/>
    </row>
    <row r="362" spans="1:21" s="1" customFormat="1" ht="19.649999999999999" customHeight="1" x14ac:dyDescent="0.25">
      <c r="A362" s="225">
        <v>46238</v>
      </c>
      <c r="B362" s="225">
        <v>46238</v>
      </c>
      <c r="C362" s="102" t="s">
        <v>492</v>
      </c>
      <c r="D362" s="102">
        <v>5</v>
      </c>
      <c r="E362" s="102">
        <f t="shared" si="804"/>
        <v>1000</v>
      </c>
      <c r="F362" s="103" t="s">
        <v>3</v>
      </c>
      <c r="G362" s="102">
        <f t="shared" si="805"/>
        <v>1045</v>
      </c>
      <c r="H362" s="103" t="s">
        <v>505</v>
      </c>
      <c r="I362" s="226">
        <f>I355-E362</f>
        <v>34800</v>
      </c>
      <c r="J362" s="227"/>
      <c r="K362" s="228"/>
      <c r="L362" s="102">
        <v>260803001</v>
      </c>
      <c r="M362" s="102"/>
      <c r="N362" s="102">
        <f>N361-D362</f>
        <v>0</v>
      </c>
      <c r="O362" s="192">
        <v>46206</v>
      </c>
      <c r="P362" s="193">
        <f t="shared" ref="P362:P363" si="809">365-R362</f>
        <v>333</v>
      </c>
      <c r="Q362" s="194">
        <f t="shared" ref="Q362:Q363" si="810">DATE(YEAR(O362)+1,MONTH(O362),DAY(O362))-1</f>
        <v>46570</v>
      </c>
      <c r="R362" s="195">
        <f t="shared" ref="R362:R363" si="811">DATEDIF(O362,B362,"d")</f>
        <v>32</v>
      </c>
      <c r="U362" s="91"/>
    </row>
    <row r="363" spans="1:21" s="1" customFormat="1" ht="19.649999999999999" customHeight="1" x14ac:dyDescent="0.25">
      <c r="A363" s="225">
        <v>46238</v>
      </c>
      <c r="B363" s="225">
        <v>46238</v>
      </c>
      <c r="C363" s="102" t="s">
        <v>504</v>
      </c>
      <c r="D363" s="102">
        <v>15</v>
      </c>
      <c r="E363" s="102">
        <f t="shared" si="804"/>
        <v>3000</v>
      </c>
      <c r="F363" s="103" t="s">
        <v>3</v>
      </c>
      <c r="G363" s="102">
        <f t="shared" si="805"/>
        <v>3135</v>
      </c>
      <c r="H363" s="103" t="s">
        <v>505</v>
      </c>
      <c r="I363" s="226">
        <f>I362-E363</f>
        <v>31800</v>
      </c>
      <c r="J363" s="227"/>
      <c r="K363" s="228"/>
      <c r="L363" s="102">
        <v>260803001</v>
      </c>
      <c r="M363" s="102"/>
      <c r="N363" s="102">
        <f>N339-D363</f>
        <v>23</v>
      </c>
      <c r="O363" s="192">
        <v>46209</v>
      </c>
      <c r="P363" s="193">
        <f t="shared" si="809"/>
        <v>336</v>
      </c>
      <c r="Q363" s="194">
        <f t="shared" si="810"/>
        <v>46573</v>
      </c>
      <c r="R363" s="195">
        <f t="shared" si="811"/>
        <v>29</v>
      </c>
      <c r="U363" s="91"/>
    </row>
    <row r="364" spans="1:21" s="1" customFormat="1" ht="19.649999999999999" customHeight="1" x14ac:dyDescent="0.25">
      <c r="A364" s="225">
        <v>46238</v>
      </c>
      <c r="B364" s="225">
        <v>46238</v>
      </c>
      <c r="C364" s="102" t="s">
        <v>525</v>
      </c>
      <c r="D364" s="102">
        <v>4</v>
      </c>
      <c r="E364" s="102">
        <f t="shared" si="804"/>
        <v>800</v>
      </c>
      <c r="F364" s="103" t="s">
        <v>3</v>
      </c>
      <c r="G364" s="102">
        <f t="shared" si="805"/>
        <v>836</v>
      </c>
      <c r="H364" s="103" t="s">
        <v>505</v>
      </c>
      <c r="I364" s="226">
        <f>I363-E364</f>
        <v>31000</v>
      </c>
      <c r="J364" s="227" t="s">
        <v>322</v>
      </c>
      <c r="K364" s="228"/>
      <c r="L364" s="102">
        <v>260803002</v>
      </c>
      <c r="M364" s="102">
        <v>42</v>
      </c>
      <c r="N364" s="102">
        <f>M364-D364</f>
        <v>38</v>
      </c>
      <c r="O364" s="192">
        <v>46223</v>
      </c>
      <c r="P364" s="193">
        <f t="shared" si="806"/>
        <v>350</v>
      </c>
      <c r="Q364" s="194">
        <f t="shared" si="807"/>
        <v>46587</v>
      </c>
      <c r="R364" s="195">
        <f t="shared" si="808"/>
        <v>15</v>
      </c>
      <c r="U364" s="91"/>
    </row>
    <row r="365" spans="1:21" s="1" customFormat="1" ht="19.649999999999999" customHeight="1" x14ac:dyDescent="0.25">
      <c r="A365" s="225">
        <v>46238</v>
      </c>
      <c r="B365" s="225">
        <v>46238</v>
      </c>
      <c r="C365" s="102" t="s">
        <v>526</v>
      </c>
      <c r="D365" s="102">
        <v>4</v>
      </c>
      <c r="E365" s="102">
        <f t="shared" si="804"/>
        <v>800</v>
      </c>
      <c r="F365" s="103" t="s">
        <v>3</v>
      </c>
      <c r="G365" s="102">
        <f t="shared" si="805"/>
        <v>836</v>
      </c>
      <c r="H365" s="103" t="s">
        <v>505</v>
      </c>
      <c r="I365" s="226">
        <f>I364-E365</f>
        <v>30200</v>
      </c>
      <c r="J365" s="227" t="s">
        <v>322</v>
      </c>
      <c r="K365" s="228"/>
      <c r="L365" s="102">
        <v>260803002</v>
      </c>
      <c r="M365" s="102">
        <v>42</v>
      </c>
      <c r="N365" s="102">
        <f>M365-D365</f>
        <v>38</v>
      </c>
      <c r="O365" s="192">
        <v>46225</v>
      </c>
      <c r="P365" s="193">
        <f t="shared" si="806"/>
        <v>352</v>
      </c>
      <c r="Q365" s="194">
        <f t="shared" si="807"/>
        <v>46589</v>
      </c>
      <c r="R365" s="195">
        <f t="shared" si="808"/>
        <v>13</v>
      </c>
      <c r="U365" s="91"/>
    </row>
    <row r="366" spans="1:21" s="1" customFormat="1" ht="19.649999999999999" customHeight="1" x14ac:dyDescent="0.25">
      <c r="A366" s="225">
        <v>46238</v>
      </c>
      <c r="B366" s="225">
        <v>46238</v>
      </c>
      <c r="C366" s="102" t="s">
        <v>527</v>
      </c>
      <c r="D366" s="102">
        <v>4</v>
      </c>
      <c r="E366" s="102">
        <f t="shared" si="804"/>
        <v>800</v>
      </c>
      <c r="F366" s="103" t="s">
        <v>3</v>
      </c>
      <c r="G366" s="102">
        <f t="shared" si="805"/>
        <v>836</v>
      </c>
      <c r="H366" s="103" t="s">
        <v>505</v>
      </c>
      <c r="I366" s="226">
        <f>I365-E366</f>
        <v>29400</v>
      </c>
      <c r="J366" s="227" t="s">
        <v>322</v>
      </c>
      <c r="K366" s="228"/>
      <c r="L366" s="102">
        <v>260803002</v>
      </c>
      <c r="M366" s="102">
        <v>42</v>
      </c>
      <c r="N366" s="102">
        <f>M366-D366</f>
        <v>38</v>
      </c>
      <c r="O366" s="192">
        <v>46227</v>
      </c>
      <c r="P366" s="193">
        <f t="shared" si="806"/>
        <v>354</v>
      </c>
      <c r="Q366" s="194">
        <f t="shared" si="807"/>
        <v>46591</v>
      </c>
      <c r="R366" s="195">
        <f t="shared" si="808"/>
        <v>11</v>
      </c>
      <c r="U366" s="91"/>
    </row>
    <row r="367" spans="1:21" s="1" customFormat="1" ht="19.649999999999999" customHeight="1" x14ac:dyDescent="0.25">
      <c r="A367" s="250">
        <v>46239</v>
      </c>
      <c r="B367" s="250">
        <v>46239</v>
      </c>
      <c r="C367" s="126" t="s">
        <v>504</v>
      </c>
      <c r="D367" s="126">
        <v>11</v>
      </c>
      <c r="E367" s="126">
        <f>D367*200</f>
        <v>2200</v>
      </c>
      <c r="F367" s="251" t="s">
        <v>40</v>
      </c>
      <c r="G367" s="126">
        <f>D367*209</f>
        <v>2299</v>
      </c>
      <c r="H367" s="127" t="s">
        <v>509</v>
      </c>
      <c r="I367" s="252">
        <f>I359-E367</f>
        <v>31000</v>
      </c>
      <c r="J367" s="253"/>
      <c r="K367" s="254"/>
      <c r="L367" s="126">
        <v>260804001</v>
      </c>
      <c r="M367" s="126"/>
      <c r="N367" s="126">
        <f>N363-D367</f>
        <v>12</v>
      </c>
      <c r="O367" s="192">
        <v>46209</v>
      </c>
      <c r="P367" s="193">
        <f t="shared" si="806"/>
        <v>335</v>
      </c>
      <c r="Q367" s="194">
        <f t="shared" si="807"/>
        <v>46573</v>
      </c>
      <c r="R367" s="195">
        <f t="shared" si="808"/>
        <v>30</v>
      </c>
      <c r="U367" s="91"/>
    </row>
    <row r="368" spans="1:21" s="1" customFormat="1" ht="19.649999999999999" customHeight="1" x14ac:dyDescent="0.25">
      <c r="A368" s="250">
        <v>46239</v>
      </c>
      <c r="B368" s="250">
        <v>46239</v>
      </c>
      <c r="C368" s="126" t="s">
        <v>495</v>
      </c>
      <c r="D368" s="126">
        <v>13</v>
      </c>
      <c r="E368" s="126">
        <f>D368*200</f>
        <v>2600</v>
      </c>
      <c r="F368" s="251" t="s">
        <v>40</v>
      </c>
      <c r="G368" s="126">
        <f>D368*209</f>
        <v>2717</v>
      </c>
      <c r="H368" s="127" t="s">
        <v>508</v>
      </c>
      <c r="I368" s="252">
        <f>I367-E368</f>
        <v>28400</v>
      </c>
      <c r="J368" s="253"/>
      <c r="K368" s="254"/>
      <c r="L368" s="126">
        <v>260804001</v>
      </c>
      <c r="M368" s="126"/>
      <c r="N368" s="126">
        <f>N340-D368</f>
        <v>26</v>
      </c>
      <c r="O368" s="192">
        <v>46211</v>
      </c>
      <c r="P368" s="193">
        <f t="shared" si="806"/>
        <v>337</v>
      </c>
      <c r="Q368" s="194">
        <f t="shared" si="807"/>
        <v>46575</v>
      </c>
      <c r="R368" s="195">
        <f t="shared" si="808"/>
        <v>28</v>
      </c>
      <c r="U368" s="91"/>
    </row>
    <row r="369" spans="1:21" s="1" customFormat="1" ht="19.649999999999999" customHeight="1" x14ac:dyDescent="0.25">
      <c r="A369" s="250">
        <v>46239</v>
      </c>
      <c r="B369" s="250">
        <v>46239</v>
      </c>
      <c r="C369" s="126" t="s">
        <v>496</v>
      </c>
      <c r="D369" s="126">
        <v>4</v>
      </c>
      <c r="E369" s="126">
        <f>D369*200</f>
        <v>800</v>
      </c>
      <c r="F369" s="251" t="s">
        <v>40</v>
      </c>
      <c r="G369" s="126">
        <f>D369*209</f>
        <v>836</v>
      </c>
      <c r="H369" s="127" t="s">
        <v>508</v>
      </c>
      <c r="I369" s="252">
        <f>I368-E369</f>
        <v>27600</v>
      </c>
      <c r="J369" s="253"/>
      <c r="K369" s="254"/>
      <c r="L369" s="126">
        <v>260804001</v>
      </c>
      <c r="M369" s="126"/>
      <c r="N369" s="126">
        <f>N341-D369</f>
        <v>34</v>
      </c>
      <c r="O369" s="192">
        <v>46213</v>
      </c>
      <c r="P369" s="193">
        <f t="shared" si="806"/>
        <v>339</v>
      </c>
      <c r="Q369" s="194">
        <f t="shared" si="807"/>
        <v>46577</v>
      </c>
      <c r="R369" s="195">
        <f t="shared" si="808"/>
        <v>26</v>
      </c>
      <c r="U369" s="91"/>
    </row>
    <row r="370" spans="1:21" s="1" customFormat="1" ht="19.649999999999999" customHeight="1" x14ac:dyDescent="0.25">
      <c r="A370" s="361">
        <v>46240</v>
      </c>
      <c r="B370" s="362">
        <v>46240</v>
      </c>
      <c r="C370" s="363" t="s">
        <v>504</v>
      </c>
      <c r="D370" s="364">
        <v>12</v>
      </c>
      <c r="E370" s="364">
        <f t="shared" ref="E370:E371" si="812">D370*200</f>
        <v>2400</v>
      </c>
      <c r="F370" s="363" t="s">
        <v>1</v>
      </c>
      <c r="G370" s="364">
        <f t="shared" ref="G370:G371" si="813">D370*209</f>
        <v>2508</v>
      </c>
      <c r="H370" s="363" t="s">
        <v>528</v>
      </c>
      <c r="I370" s="365">
        <f>I361-E370</f>
        <v>800</v>
      </c>
      <c r="J370" s="366"/>
      <c r="K370" s="367"/>
      <c r="L370" s="364">
        <v>260805001</v>
      </c>
      <c r="M370" s="364"/>
      <c r="N370" s="364">
        <f>N367-D370</f>
        <v>0</v>
      </c>
      <c r="O370" s="192">
        <v>46209</v>
      </c>
      <c r="P370" s="193">
        <f t="shared" si="806"/>
        <v>334</v>
      </c>
      <c r="Q370" s="194">
        <f t="shared" si="807"/>
        <v>46573</v>
      </c>
      <c r="R370" s="195">
        <f t="shared" si="808"/>
        <v>31</v>
      </c>
      <c r="U370" s="91"/>
    </row>
    <row r="371" spans="1:21" s="1" customFormat="1" ht="19.649999999999999" customHeight="1" x14ac:dyDescent="0.25">
      <c r="A371" s="361">
        <v>46240</v>
      </c>
      <c r="B371" s="362">
        <v>46240</v>
      </c>
      <c r="C371" s="363" t="s">
        <v>495</v>
      </c>
      <c r="D371" s="364">
        <v>4</v>
      </c>
      <c r="E371" s="364">
        <f t="shared" si="812"/>
        <v>800</v>
      </c>
      <c r="F371" s="363" t="s">
        <v>1</v>
      </c>
      <c r="G371" s="364">
        <f t="shared" si="813"/>
        <v>836</v>
      </c>
      <c r="H371" s="363" t="s">
        <v>451</v>
      </c>
      <c r="I371" s="365">
        <f>I370-E371</f>
        <v>0</v>
      </c>
      <c r="J371" s="366"/>
      <c r="K371" s="367"/>
      <c r="L371" s="364">
        <v>260805001</v>
      </c>
      <c r="M371" s="364"/>
      <c r="N371" s="364">
        <f>N368-D371</f>
        <v>22</v>
      </c>
      <c r="O371" s="192">
        <v>46211</v>
      </c>
      <c r="P371" s="193">
        <f t="shared" ref="P371:P373" si="814">365-R371</f>
        <v>336</v>
      </c>
      <c r="Q371" s="194">
        <f t="shared" ref="Q371:Q373" si="815">DATE(YEAR(O371)+1,MONTH(O371),DAY(O371))-1</f>
        <v>46575</v>
      </c>
      <c r="R371" s="195">
        <f t="shared" ref="R371:R373" si="816">DATEDIF(O371,B371,"d")</f>
        <v>29</v>
      </c>
      <c r="U371" s="91"/>
    </row>
    <row r="372" spans="1:21" s="1" customFormat="1" ht="19.649999999999999" customHeight="1" x14ac:dyDescent="0.25">
      <c r="A372" s="361">
        <v>46240</v>
      </c>
      <c r="B372" s="362">
        <v>46240</v>
      </c>
      <c r="C372" s="363" t="s">
        <v>495</v>
      </c>
      <c r="D372" s="364">
        <v>12</v>
      </c>
      <c r="E372" s="364">
        <f t="shared" ref="E372" si="817">D372*200</f>
        <v>2400</v>
      </c>
      <c r="F372" s="363" t="s">
        <v>1</v>
      </c>
      <c r="G372" s="364">
        <f t="shared" ref="G372" si="818">D372*209</f>
        <v>2508</v>
      </c>
      <c r="H372" s="387" t="s">
        <v>529</v>
      </c>
      <c r="I372" s="365">
        <f>115200-E372</f>
        <v>112800</v>
      </c>
      <c r="J372" s="366"/>
      <c r="K372" s="367"/>
      <c r="L372" s="364">
        <v>260805001</v>
      </c>
      <c r="M372" s="364"/>
      <c r="N372" s="364">
        <f>N371-D372</f>
        <v>10</v>
      </c>
      <c r="O372" s="192">
        <v>46211</v>
      </c>
      <c r="P372" s="193">
        <f t="shared" si="814"/>
        <v>336</v>
      </c>
      <c r="Q372" s="194">
        <f t="shared" si="815"/>
        <v>46575</v>
      </c>
      <c r="R372" s="195">
        <f t="shared" si="816"/>
        <v>29</v>
      </c>
      <c r="U372" s="91"/>
    </row>
    <row r="373" spans="1:21" s="1" customFormat="1" ht="19.649999999999999" customHeight="1" x14ac:dyDescent="0.25">
      <c r="A373" s="219">
        <v>46241</v>
      </c>
      <c r="B373" s="219">
        <v>46241</v>
      </c>
      <c r="C373" s="220" t="s">
        <v>496</v>
      </c>
      <c r="D373" s="220">
        <v>20</v>
      </c>
      <c r="E373" s="220">
        <f>D373*200</f>
        <v>4000</v>
      </c>
      <c r="F373" s="255" t="s">
        <v>40</v>
      </c>
      <c r="G373" s="220">
        <f>D373*209</f>
        <v>4180</v>
      </c>
      <c r="H373" s="221" t="s">
        <v>530</v>
      </c>
      <c r="I373" s="222">
        <f>I369-E373</f>
        <v>23600</v>
      </c>
      <c r="J373" s="223"/>
      <c r="K373" s="224"/>
      <c r="L373" s="220">
        <v>260806005</v>
      </c>
      <c r="M373" s="220"/>
      <c r="N373" s="220">
        <f>N369-D373</f>
        <v>14</v>
      </c>
      <c r="O373" s="192">
        <v>46213</v>
      </c>
      <c r="P373" s="193">
        <f t="shared" si="814"/>
        <v>337</v>
      </c>
      <c r="Q373" s="194">
        <f t="shared" si="815"/>
        <v>46577</v>
      </c>
      <c r="R373" s="195">
        <f t="shared" si="816"/>
        <v>28</v>
      </c>
      <c r="U373" s="91"/>
    </row>
    <row r="374" spans="1:21" s="1" customFormat="1" ht="19.649999999999999" customHeight="1" x14ac:dyDescent="0.25">
      <c r="A374" s="359">
        <v>46244</v>
      </c>
      <c r="B374" s="104">
        <v>46244</v>
      </c>
      <c r="C374" s="106" t="s">
        <v>495</v>
      </c>
      <c r="D374" s="105">
        <v>2</v>
      </c>
      <c r="E374" s="105">
        <f t="shared" ref="E374" si="819">D374*200</f>
        <v>400</v>
      </c>
      <c r="F374" s="106" t="s">
        <v>1</v>
      </c>
      <c r="G374" s="105">
        <f t="shared" ref="G374" si="820">D374*209</f>
        <v>418</v>
      </c>
      <c r="H374" s="106" t="s">
        <v>529</v>
      </c>
      <c r="I374" s="107">
        <f>I372-E374</f>
        <v>112400</v>
      </c>
      <c r="J374" s="108"/>
      <c r="K374" s="109"/>
      <c r="L374" s="105">
        <v>260807001</v>
      </c>
      <c r="M374" s="105"/>
      <c r="N374" s="105">
        <f>N372-D374</f>
        <v>8</v>
      </c>
      <c r="O374" s="192">
        <v>46211</v>
      </c>
      <c r="P374" s="193">
        <f t="shared" ref="P374:P375" si="821">365-R374</f>
        <v>332</v>
      </c>
      <c r="Q374" s="194">
        <f t="shared" ref="Q374:Q375" si="822">DATE(YEAR(O374)+1,MONTH(O374),DAY(O374))-1</f>
        <v>46575</v>
      </c>
      <c r="R374" s="195">
        <f t="shared" ref="R374:R375" si="823">DATEDIF(O374,B374,"d")</f>
        <v>33</v>
      </c>
      <c r="U374" s="91"/>
    </row>
    <row r="375" spans="1:21" s="1" customFormat="1" ht="19.649999999999999" customHeight="1" x14ac:dyDescent="0.25">
      <c r="A375" s="359">
        <v>46244</v>
      </c>
      <c r="B375" s="104">
        <v>46244</v>
      </c>
      <c r="C375" s="106" t="s">
        <v>496</v>
      </c>
      <c r="D375" s="105">
        <v>14</v>
      </c>
      <c r="E375" s="105">
        <f t="shared" ref="E375" si="824">D375*200</f>
        <v>2800</v>
      </c>
      <c r="F375" s="106" t="s">
        <v>1</v>
      </c>
      <c r="G375" s="105">
        <f t="shared" ref="G375" si="825">D375*209</f>
        <v>2926</v>
      </c>
      <c r="H375" s="106" t="s">
        <v>529</v>
      </c>
      <c r="I375" s="107">
        <f>I374-E375</f>
        <v>109600</v>
      </c>
      <c r="J375" s="108"/>
      <c r="K375" s="109"/>
      <c r="L375" s="105">
        <v>260807001</v>
      </c>
      <c r="M375" s="105"/>
      <c r="N375" s="105">
        <f>N373-D375</f>
        <v>0</v>
      </c>
      <c r="O375" s="192">
        <v>46213</v>
      </c>
      <c r="P375" s="193">
        <f t="shared" si="821"/>
        <v>334</v>
      </c>
      <c r="Q375" s="194">
        <f t="shared" si="822"/>
        <v>46577</v>
      </c>
      <c r="R375" s="195">
        <f t="shared" si="823"/>
        <v>31</v>
      </c>
      <c r="U375" s="91"/>
    </row>
    <row r="376" spans="1:21" s="1" customFormat="1" ht="19.649999999999999" customHeight="1" x14ac:dyDescent="0.25">
      <c r="A376" s="359">
        <v>46244</v>
      </c>
      <c r="B376" s="104">
        <v>46244</v>
      </c>
      <c r="C376" s="106" t="s">
        <v>512</v>
      </c>
      <c r="D376" s="105">
        <v>12</v>
      </c>
      <c r="E376" s="105">
        <f t="shared" ref="E376:E384" si="826">D376*200</f>
        <v>2400</v>
      </c>
      <c r="F376" s="106" t="s">
        <v>1</v>
      </c>
      <c r="G376" s="105">
        <f t="shared" ref="G376:G384" si="827">D376*209</f>
        <v>2508</v>
      </c>
      <c r="H376" s="106" t="s">
        <v>529</v>
      </c>
      <c r="I376" s="107">
        <f>I375-E376</f>
        <v>107200</v>
      </c>
      <c r="J376" s="108"/>
      <c r="K376" s="109"/>
      <c r="L376" s="105">
        <v>260807001</v>
      </c>
      <c r="M376" s="105"/>
      <c r="N376" s="105">
        <f>N353-D376</f>
        <v>26</v>
      </c>
      <c r="O376" s="192">
        <v>46216</v>
      </c>
      <c r="P376" s="193">
        <f t="shared" ref="P376:P381" si="828">365-R376</f>
        <v>337</v>
      </c>
      <c r="Q376" s="194">
        <f t="shared" ref="Q376:Q381" si="829">DATE(YEAR(O376)+1,MONTH(O376),DAY(O376))-1</f>
        <v>46580</v>
      </c>
      <c r="R376" s="195">
        <f t="shared" ref="R376:R381" si="830">DATEDIF(O376,B376,"d")</f>
        <v>28</v>
      </c>
      <c r="U376" s="91"/>
    </row>
    <row r="377" spans="1:21" s="1" customFormat="1" ht="19.649999999999999" customHeight="1" x14ac:dyDescent="0.25">
      <c r="A377" s="32">
        <v>46245</v>
      </c>
      <c r="B377" s="32">
        <v>46245</v>
      </c>
      <c r="C377" s="33" t="s">
        <v>495</v>
      </c>
      <c r="D377" s="33">
        <v>8</v>
      </c>
      <c r="E377" s="33">
        <f t="shared" si="826"/>
        <v>1600</v>
      </c>
      <c r="F377" s="34" t="s">
        <v>3</v>
      </c>
      <c r="G377" s="33">
        <f t="shared" si="827"/>
        <v>1672</v>
      </c>
      <c r="H377" s="34" t="s">
        <v>505</v>
      </c>
      <c r="I377" s="35">
        <f>I366-E377</f>
        <v>27800</v>
      </c>
      <c r="J377" s="36"/>
      <c r="K377" s="37"/>
      <c r="L377" s="33">
        <v>260810002</v>
      </c>
      <c r="M377" s="33"/>
      <c r="N377" s="33">
        <f>N374-D377</f>
        <v>0</v>
      </c>
      <c r="O377" s="192">
        <v>46211</v>
      </c>
      <c r="P377" s="193">
        <f t="shared" si="828"/>
        <v>331</v>
      </c>
      <c r="Q377" s="194">
        <f t="shared" si="829"/>
        <v>46575</v>
      </c>
      <c r="R377" s="195">
        <f t="shared" si="830"/>
        <v>34</v>
      </c>
      <c r="U377" s="91"/>
    </row>
    <row r="378" spans="1:21" s="1" customFormat="1" ht="19.649999999999999" customHeight="1" x14ac:dyDescent="0.25">
      <c r="A378" s="32">
        <v>46245</v>
      </c>
      <c r="B378" s="32">
        <v>46245</v>
      </c>
      <c r="C378" s="33" t="s">
        <v>512</v>
      </c>
      <c r="D378" s="33">
        <v>16</v>
      </c>
      <c r="E378" s="33">
        <f t="shared" si="826"/>
        <v>3200</v>
      </c>
      <c r="F378" s="34" t="s">
        <v>3</v>
      </c>
      <c r="G378" s="33">
        <f t="shared" si="827"/>
        <v>3344</v>
      </c>
      <c r="H378" s="34" t="s">
        <v>505</v>
      </c>
      <c r="I378" s="35">
        <f>I377-E378</f>
        <v>24600</v>
      </c>
      <c r="J378" s="36"/>
      <c r="K378" s="37"/>
      <c r="L378" s="33">
        <v>260810002</v>
      </c>
      <c r="M378" s="33"/>
      <c r="N378" s="33">
        <f>N376-D378</f>
        <v>10</v>
      </c>
      <c r="O378" s="192">
        <v>46216</v>
      </c>
      <c r="P378" s="193">
        <f t="shared" ref="P378" si="831">365-R378</f>
        <v>336</v>
      </c>
      <c r="Q378" s="194">
        <f t="shared" ref="Q378" si="832">DATE(YEAR(O378)+1,MONTH(O378),DAY(O378))-1</f>
        <v>46580</v>
      </c>
      <c r="R378" s="195">
        <f t="shared" ref="R378" si="833">DATEDIF(O378,B378,"d")</f>
        <v>29</v>
      </c>
      <c r="U378" s="91"/>
    </row>
    <row r="379" spans="1:21" s="1" customFormat="1" ht="19.649999999999999" customHeight="1" x14ac:dyDescent="0.25">
      <c r="A379" s="32">
        <v>46245</v>
      </c>
      <c r="B379" s="32">
        <v>46245</v>
      </c>
      <c r="C379" s="33" t="s">
        <v>531</v>
      </c>
      <c r="D379" s="33">
        <v>4</v>
      </c>
      <c r="E379" s="33">
        <f t="shared" si="826"/>
        <v>800</v>
      </c>
      <c r="F379" s="34" t="s">
        <v>3</v>
      </c>
      <c r="G379" s="33">
        <f t="shared" si="827"/>
        <v>836</v>
      </c>
      <c r="H379" s="34" t="s">
        <v>505</v>
      </c>
      <c r="I379" s="35">
        <f>I378-E379</f>
        <v>23800</v>
      </c>
      <c r="J379" s="36" t="s">
        <v>322</v>
      </c>
      <c r="K379" s="37"/>
      <c r="L379" s="33">
        <v>260810003</v>
      </c>
      <c r="M379" s="33">
        <v>43</v>
      </c>
      <c r="N379" s="33">
        <f>M379-D379</f>
        <v>39</v>
      </c>
      <c r="O379" s="192">
        <v>46230</v>
      </c>
      <c r="P379" s="193">
        <f t="shared" si="828"/>
        <v>350</v>
      </c>
      <c r="Q379" s="194">
        <f t="shared" si="829"/>
        <v>46594</v>
      </c>
      <c r="R379" s="195">
        <f t="shared" si="830"/>
        <v>15</v>
      </c>
      <c r="U379" s="91"/>
    </row>
    <row r="380" spans="1:21" s="1" customFormat="1" ht="19.649999999999999" customHeight="1" x14ac:dyDescent="0.25">
      <c r="A380" s="32">
        <v>46245</v>
      </c>
      <c r="B380" s="32">
        <v>46245</v>
      </c>
      <c r="C380" s="33" t="s">
        <v>532</v>
      </c>
      <c r="D380" s="33">
        <v>4</v>
      </c>
      <c r="E380" s="33">
        <f t="shared" si="826"/>
        <v>800</v>
      </c>
      <c r="F380" s="34" t="s">
        <v>3</v>
      </c>
      <c r="G380" s="33">
        <f t="shared" si="827"/>
        <v>836</v>
      </c>
      <c r="H380" s="34" t="s">
        <v>505</v>
      </c>
      <c r="I380" s="35">
        <f>I379-E380</f>
        <v>23000</v>
      </c>
      <c r="J380" s="36" t="s">
        <v>322</v>
      </c>
      <c r="K380" s="37"/>
      <c r="L380" s="33">
        <v>260810003</v>
      </c>
      <c r="M380" s="33">
        <v>42</v>
      </c>
      <c r="N380" s="33">
        <f>M380-D380</f>
        <v>38</v>
      </c>
      <c r="O380" s="192">
        <v>46232</v>
      </c>
      <c r="P380" s="193">
        <f t="shared" si="828"/>
        <v>352</v>
      </c>
      <c r="Q380" s="194">
        <f t="shared" si="829"/>
        <v>46596</v>
      </c>
      <c r="R380" s="195">
        <f t="shared" si="830"/>
        <v>13</v>
      </c>
      <c r="U380" s="91"/>
    </row>
    <row r="381" spans="1:21" s="1" customFormat="1" ht="19.649999999999999" customHeight="1" x14ac:dyDescent="0.25">
      <c r="A381" s="32">
        <v>46245</v>
      </c>
      <c r="B381" s="32">
        <v>46245</v>
      </c>
      <c r="C381" s="33" t="s">
        <v>533</v>
      </c>
      <c r="D381" s="33">
        <v>4</v>
      </c>
      <c r="E381" s="33">
        <f t="shared" si="826"/>
        <v>800</v>
      </c>
      <c r="F381" s="34" t="s">
        <v>3</v>
      </c>
      <c r="G381" s="33">
        <f t="shared" si="827"/>
        <v>836</v>
      </c>
      <c r="H381" s="34" t="s">
        <v>505</v>
      </c>
      <c r="I381" s="35">
        <f>I380-E381</f>
        <v>22200</v>
      </c>
      <c r="J381" s="36" t="s">
        <v>322</v>
      </c>
      <c r="K381" s="37"/>
      <c r="L381" s="33">
        <v>260810003</v>
      </c>
      <c r="M381" s="33">
        <v>42</v>
      </c>
      <c r="N381" s="33">
        <f>M381-D381</f>
        <v>38</v>
      </c>
      <c r="O381" s="192">
        <v>46234</v>
      </c>
      <c r="P381" s="193">
        <f t="shared" si="828"/>
        <v>354</v>
      </c>
      <c r="Q381" s="194">
        <f t="shared" si="829"/>
        <v>46598</v>
      </c>
      <c r="R381" s="195">
        <f t="shared" si="830"/>
        <v>11</v>
      </c>
      <c r="U381" s="91"/>
    </row>
    <row r="382" spans="1:21" s="1" customFormat="1" ht="19.649999999999999" customHeight="1" x14ac:dyDescent="0.25">
      <c r="A382" s="225">
        <v>46247</v>
      </c>
      <c r="B382" s="225">
        <v>46247</v>
      </c>
      <c r="C382" s="102" t="s">
        <v>540</v>
      </c>
      <c r="D382" s="102">
        <v>10</v>
      </c>
      <c r="E382" s="102">
        <f>D382*200</f>
        <v>2000</v>
      </c>
      <c r="F382" s="239" t="s">
        <v>40</v>
      </c>
      <c r="G382" s="102">
        <f>D382*209</f>
        <v>2090</v>
      </c>
      <c r="H382" s="103" t="s">
        <v>537</v>
      </c>
      <c r="I382" s="226">
        <f>I373-E382</f>
        <v>21600</v>
      </c>
      <c r="J382" s="227"/>
      <c r="K382" s="228"/>
      <c r="L382" s="102">
        <v>260812001</v>
      </c>
      <c r="M382" s="102"/>
      <c r="N382" s="102">
        <f>N378-D382</f>
        <v>0</v>
      </c>
      <c r="O382" s="192">
        <v>46216</v>
      </c>
      <c r="P382" s="193">
        <f t="shared" ref="P382:P385" si="834">365-R382</f>
        <v>334</v>
      </c>
      <c r="Q382" s="194">
        <f t="shared" ref="Q382:Q385" si="835">DATE(YEAR(O382)+1,MONTH(O382),DAY(O382))-1</f>
        <v>46580</v>
      </c>
      <c r="R382" s="195">
        <f t="shared" ref="R382:R385" si="836">DATEDIF(O382,B382,"d")</f>
        <v>31</v>
      </c>
      <c r="U382" s="91"/>
    </row>
    <row r="383" spans="1:21" s="1" customFormat="1" ht="19.649999999999999" customHeight="1" x14ac:dyDescent="0.25">
      <c r="A383" s="225">
        <v>46247</v>
      </c>
      <c r="B383" s="225">
        <v>46247</v>
      </c>
      <c r="C383" s="102" t="s">
        <v>534</v>
      </c>
      <c r="D383" s="102">
        <v>18</v>
      </c>
      <c r="E383" s="102">
        <f>D383*200</f>
        <v>3600</v>
      </c>
      <c r="F383" s="239" t="s">
        <v>40</v>
      </c>
      <c r="G383" s="102">
        <f>D383*209</f>
        <v>3762</v>
      </c>
      <c r="H383" s="103" t="s">
        <v>537</v>
      </c>
      <c r="I383" s="226">
        <f>I382-E383</f>
        <v>18000</v>
      </c>
      <c r="J383" s="227"/>
      <c r="K383" s="228"/>
      <c r="L383" s="102">
        <v>260812001</v>
      </c>
      <c r="M383" s="102"/>
      <c r="N383" s="102">
        <f>N354-D383</f>
        <v>20</v>
      </c>
      <c r="O383" s="192">
        <v>46218</v>
      </c>
      <c r="P383" s="193">
        <f t="shared" si="834"/>
        <v>336</v>
      </c>
      <c r="Q383" s="194">
        <f t="shared" si="835"/>
        <v>46582</v>
      </c>
      <c r="R383" s="195">
        <f t="shared" si="836"/>
        <v>29</v>
      </c>
      <c r="U383" s="91"/>
    </row>
    <row r="384" spans="1:21" s="1" customFormat="1" ht="19.649999999999999" customHeight="1" x14ac:dyDescent="0.25">
      <c r="A384" s="305">
        <v>46247</v>
      </c>
      <c r="B384" s="250">
        <v>46247</v>
      </c>
      <c r="C384" s="127" t="s">
        <v>536</v>
      </c>
      <c r="D384" s="126">
        <v>20</v>
      </c>
      <c r="E384" s="126">
        <f t="shared" si="826"/>
        <v>4000</v>
      </c>
      <c r="F384" s="127" t="s">
        <v>1</v>
      </c>
      <c r="G384" s="126">
        <f t="shared" si="827"/>
        <v>4180</v>
      </c>
      <c r="H384" s="127" t="s">
        <v>538</v>
      </c>
      <c r="I384" s="252">
        <f>I376-E384</f>
        <v>103200</v>
      </c>
      <c r="J384" s="253"/>
      <c r="K384" s="254"/>
      <c r="L384" s="126">
        <v>260812002</v>
      </c>
      <c r="M384" s="126"/>
      <c r="N384" s="126">
        <f>N383-D384</f>
        <v>0</v>
      </c>
      <c r="O384" s="192">
        <v>46218</v>
      </c>
      <c r="P384" s="193">
        <f t="shared" si="834"/>
        <v>336</v>
      </c>
      <c r="Q384" s="194">
        <f t="shared" si="835"/>
        <v>46582</v>
      </c>
      <c r="R384" s="195">
        <f t="shared" si="836"/>
        <v>29</v>
      </c>
      <c r="U384" s="91"/>
    </row>
    <row r="385" spans="1:21" s="1" customFormat="1" ht="19.649999999999999" customHeight="1" x14ac:dyDescent="0.25">
      <c r="A385" s="305">
        <v>46247</v>
      </c>
      <c r="B385" s="250">
        <v>46247</v>
      </c>
      <c r="C385" s="127" t="s">
        <v>535</v>
      </c>
      <c r="D385" s="126">
        <v>12</v>
      </c>
      <c r="E385" s="126">
        <f t="shared" ref="E385:E386" si="837">D385*200</f>
        <v>2400</v>
      </c>
      <c r="F385" s="127" t="s">
        <v>1</v>
      </c>
      <c r="G385" s="126">
        <f t="shared" ref="G385:G386" si="838">D385*209</f>
        <v>2508</v>
      </c>
      <c r="H385" s="127" t="s">
        <v>539</v>
      </c>
      <c r="I385" s="252">
        <f>I384-E385</f>
        <v>100800</v>
      </c>
      <c r="J385" s="253"/>
      <c r="K385" s="254"/>
      <c r="L385" s="126">
        <v>260812002</v>
      </c>
      <c r="M385" s="126"/>
      <c r="N385" s="126">
        <f>N355-D385</f>
        <v>27</v>
      </c>
      <c r="O385" s="192">
        <v>46220</v>
      </c>
      <c r="P385" s="193">
        <f t="shared" si="834"/>
        <v>338</v>
      </c>
      <c r="Q385" s="194">
        <f t="shared" si="835"/>
        <v>46584</v>
      </c>
      <c r="R385" s="195">
        <f t="shared" si="836"/>
        <v>27</v>
      </c>
      <c r="U385" s="91"/>
    </row>
    <row r="386" spans="1:21" s="1" customFormat="1" ht="19.649999999999999" customHeight="1" x14ac:dyDescent="0.25">
      <c r="A386" s="333">
        <v>46251</v>
      </c>
      <c r="B386" s="269">
        <v>46251</v>
      </c>
      <c r="C386" s="271" t="s">
        <v>541</v>
      </c>
      <c r="D386" s="270">
        <v>11</v>
      </c>
      <c r="E386" s="270">
        <f t="shared" si="837"/>
        <v>2200</v>
      </c>
      <c r="F386" s="271" t="s">
        <v>1</v>
      </c>
      <c r="G386" s="270">
        <f t="shared" si="838"/>
        <v>2299</v>
      </c>
      <c r="H386" s="271" t="s">
        <v>529</v>
      </c>
      <c r="I386" s="272">
        <f>I385-E386</f>
        <v>98600</v>
      </c>
      <c r="J386" s="273"/>
      <c r="K386" s="274"/>
      <c r="L386" s="270">
        <v>260814002</v>
      </c>
      <c r="M386" s="270"/>
      <c r="N386" s="270">
        <f>N385-D386</f>
        <v>16</v>
      </c>
      <c r="O386" s="192">
        <v>46220</v>
      </c>
      <c r="P386" s="193">
        <f t="shared" ref="P386:P393" si="839">365-R386</f>
        <v>334</v>
      </c>
      <c r="Q386" s="194">
        <f t="shared" ref="Q386:Q393" si="840">DATE(YEAR(O386)+1,MONTH(O386),DAY(O386))-1</f>
        <v>46584</v>
      </c>
      <c r="R386" s="195">
        <f t="shared" ref="R386:R393" si="841">DATEDIF(O386,B386,"d")</f>
        <v>31</v>
      </c>
      <c r="U386" s="91"/>
    </row>
    <row r="387" spans="1:21" s="1" customFormat="1" ht="19.649999999999999" customHeight="1" x14ac:dyDescent="0.25">
      <c r="A387" s="333">
        <v>46251</v>
      </c>
      <c r="B387" s="269">
        <v>46251</v>
      </c>
      <c r="C387" s="271" t="s">
        <v>525</v>
      </c>
      <c r="D387" s="270">
        <v>17</v>
      </c>
      <c r="E387" s="270">
        <f t="shared" ref="E387:E392" si="842">D387*200</f>
        <v>3400</v>
      </c>
      <c r="F387" s="271" t="s">
        <v>1</v>
      </c>
      <c r="G387" s="270">
        <f t="shared" ref="G387:G392" si="843">D387*209</f>
        <v>3553</v>
      </c>
      <c r="H387" s="271" t="s">
        <v>529</v>
      </c>
      <c r="I387" s="272">
        <f>I386-E387</f>
        <v>95200</v>
      </c>
      <c r="J387" s="273"/>
      <c r="K387" s="274"/>
      <c r="L387" s="270">
        <v>260814002</v>
      </c>
      <c r="M387" s="270"/>
      <c r="N387" s="270">
        <f>N364-D387</f>
        <v>21</v>
      </c>
      <c r="O387" s="192">
        <v>46223</v>
      </c>
      <c r="P387" s="193">
        <f t="shared" si="839"/>
        <v>337</v>
      </c>
      <c r="Q387" s="194">
        <f t="shared" si="840"/>
        <v>46587</v>
      </c>
      <c r="R387" s="195">
        <f t="shared" si="841"/>
        <v>28</v>
      </c>
      <c r="U387" s="91"/>
    </row>
    <row r="388" spans="1:21" s="1" customFormat="1" ht="19.649999999999999" customHeight="1" x14ac:dyDescent="0.25">
      <c r="A388" s="7">
        <v>46252</v>
      </c>
      <c r="B388" s="7">
        <v>46252</v>
      </c>
      <c r="C388" s="8" t="s">
        <v>514</v>
      </c>
      <c r="D388" s="8">
        <v>16</v>
      </c>
      <c r="E388" s="8">
        <f t="shared" si="842"/>
        <v>3200</v>
      </c>
      <c r="F388" s="9" t="s">
        <v>3</v>
      </c>
      <c r="G388" s="8">
        <f t="shared" si="843"/>
        <v>3344</v>
      </c>
      <c r="H388" s="9" t="s">
        <v>505</v>
      </c>
      <c r="I388" s="10">
        <f>I381-E388</f>
        <v>19000</v>
      </c>
      <c r="J388" s="11"/>
      <c r="K388" s="12"/>
      <c r="L388" s="8">
        <v>260817001</v>
      </c>
      <c r="M388" s="8"/>
      <c r="N388" s="8">
        <f>N386-D388</f>
        <v>0</v>
      </c>
      <c r="O388" s="192">
        <v>46220</v>
      </c>
      <c r="P388" s="193">
        <f t="shared" ref="P388:P389" si="844">365-R388</f>
        <v>333</v>
      </c>
      <c r="Q388" s="194">
        <f t="shared" ref="Q388:Q389" si="845">DATE(YEAR(O388)+1,MONTH(O388),DAY(O388))-1</f>
        <v>46584</v>
      </c>
      <c r="R388" s="195">
        <f t="shared" ref="R388:R389" si="846">DATEDIF(O388,B388,"d")</f>
        <v>32</v>
      </c>
      <c r="U388" s="91"/>
    </row>
    <row r="389" spans="1:21" s="1" customFormat="1" ht="19.649999999999999" customHeight="1" x14ac:dyDescent="0.25">
      <c r="A389" s="7">
        <v>46252</v>
      </c>
      <c r="B389" s="7">
        <v>46252</v>
      </c>
      <c r="C389" s="8" t="s">
        <v>525</v>
      </c>
      <c r="D389" s="8">
        <v>8</v>
      </c>
      <c r="E389" s="8">
        <f t="shared" si="842"/>
        <v>1600</v>
      </c>
      <c r="F389" s="9" t="s">
        <v>3</v>
      </c>
      <c r="G389" s="8">
        <f t="shared" si="843"/>
        <v>1672</v>
      </c>
      <c r="H389" s="9" t="s">
        <v>505</v>
      </c>
      <c r="I389" s="10">
        <f>I388-E389</f>
        <v>17400</v>
      </c>
      <c r="J389" s="11"/>
      <c r="K389" s="12"/>
      <c r="L389" s="8">
        <v>260817001</v>
      </c>
      <c r="M389" s="8"/>
      <c r="N389" s="8">
        <f>N387-D389</f>
        <v>13</v>
      </c>
      <c r="O389" s="192">
        <v>46223</v>
      </c>
      <c r="P389" s="193">
        <f t="shared" si="844"/>
        <v>336</v>
      </c>
      <c r="Q389" s="194">
        <f t="shared" si="845"/>
        <v>46587</v>
      </c>
      <c r="R389" s="195">
        <f t="shared" si="846"/>
        <v>29</v>
      </c>
      <c r="U389" s="91"/>
    </row>
    <row r="390" spans="1:21" s="1" customFormat="1" ht="19.649999999999999" customHeight="1" x14ac:dyDescent="0.25">
      <c r="A390" s="7">
        <v>46252</v>
      </c>
      <c r="B390" s="7">
        <v>46252</v>
      </c>
      <c r="C390" s="8" t="s">
        <v>545</v>
      </c>
      <c r="D390" s="8">
        <v>4</v>
      </c>
      <c r="E390" s="8">
        <f t="shared" si="842"/>
        <v>800</v>
      </c>
      <c r="F390" s="9" t="s">
        <v>3</v>
      </c>
      <c r="G390" s="8">
        <f t="shared" si="843"/>
        <v>836</v>
      </c>
      <c r="H390" s="9" t="s">
        <v>505</v>
      </c>
      <c r="I390" s="10">
        <f>I389-E390</f>
        <v>16600</v>
      </c>
      <c r="J390" s="11" t="s">
        <v>322</v>
      </c>
      <c r="K390" s="12"/>
      <c r="L390" s="8">
        <v>260817002</v>
      </c>
      <c r="M390" s="8">
        <v>43</v>
      </c>
      <c r="N390" s="8">
        <f>M390-D390</f>
        <v>39</v>
      </c>
      <c r="O390" s="192">
        <v>46237</v>
      </c>
      <c r="P390" s="193">
        <f t="shared" si="839"/>
        <v>350</v>
      </c>
      <c r="Q390" s="194">
        <f t="shared" si="840"/>
        <v>46601</v>
      </c>
      <c r="R390" s="195">
        <f t="shared" si="841"/>
        <v>15</v>
      </c>
      <c r="U390" s="91"/>
    </row>
    <row r="391" spans="1:21" s="1" customFormat="1" ht="19.649999999999999" customHeight="1" x14ac:dyDescent="0.25">
      <c r="A391" s="7">
        <v>46252</v>
      </c>
      <c r="B391" s="7">
        <v>46252</v>
      </c>
      <c r="C391" s="8" t="s">
        <v>542</v>
      </c>
      <c r="D391" s="8">
        <v>4</v>
      </c>
      <c r="E391" s="8">
        <f t="shared" si="842"/>
        <v>800</v>
      </c>
      <c r="F391" s="9" t="s">
        <v>3</v>
      </c>
      <c r="G391" s="8">
        <f t="shared" si="843"/>
        <v>836</v>
      </c>
      <c r="H391" s="9" t="s">
        <v>505</v>
      </c>
      <c r="I391" s="10">
        <f>I390-E391</f>
        <v>15800</v>
      </c>
      <c r="J391" s="11" t="s">
        <v>322</v>
      </c>
      <c r="K391" s="12"/>
      <c r="L391" s="8">
        <v>260817002</v>
      </c>
      <c r="M391" s="8">
        <v>42</v>
      </c>
      <c r="N391" s="8">
        <f>M391-D391</f>
        <v>38</v>
      </c>
      <c r="O391" s="192">
        <v>46239</v>
      </c>
      <c r="P391" s="193">
        <f t="shared" si="839"/>
        <v>352</v>
      </c>
      <c r="Q391" s="194">
        <f t="shared" si="840"/>
        <v>46603</v>
      </c>
      <c r="R391" s="195">
        <f t="shared" si="841"/>
        <v>13</v>
      </c>
      <c r="U391" s="91"/>
    </row>
    <row r="392" spans="1:21" s="1" customFormat="1" ht="19.649999999999999" customHeight="1" x14ac:dyDescent="0.25">
      <c r="A392" s="7">
        <v>46252</v>
      </c>
      <c r="B392" s="7">
        <v>46252</v>
      </c>
      <c r="C392" s="8" t="s">
        <v>543</v>
      </c>
      <c r="D392" s="8">
        <v>4</v>
      </c>
      <c r="E392" s="8">
        <f t="shared" si="842"/>
        <v>800</v>
      </c>
      <c r="F392" s="9" t="s">
        <v>3</v>
      </c>
      <c r="G392" s="8">
        <f t="shared" si="843"/>
        <v>836</v>
      </c>
      <c r="H392" s="9" t="s">
        <v>544</v>
      </c>
      <c r="I392" s="10">
        <f>I391-E392</f>
        <v>15000</v>
      </c>
      <c r="J392" s="11" t="s">
        <v>322</v>
      </c>
      <c r="K392" s="12"/>
      <c r="L392" s="8">
        <v>260817002</v>
      </c>
      <c r="M392" s="8">
        <v>42</v>
      </c>
      <c r="N392" s="8">
        <f>M392-D392</f>
        <v>38</v>
      </c>
      <c r="O392" s="192">
        <v>46241</v>
      </c>
      <c r="P392" s="193">
        <f t="shared" si="839"/>
        <v>354</v>
      </c>
      <c r="Q392" s="194">
        <f t="shared" si="840"/>
        <v>46605</v>
      </c>
      <c r="R392" s="195">
        <f t="shared" si="841"/>
        <v>11</v>
      </c>
      <c r="U392" s="91"/>
    </row>
    <row r="393" spans="1:21" s="1" customFormat="1" ht="19.649999999999999" customHeight="1" x14ac:dyDescent="0.25">
      <c r="A393" s="213">
        <v>46253</v>
      </c>
      <c r="B393" s="213">
        <v>46253</v>
      </c>
      <c r="C393" s="214" t="s">
        <v>546</v>
      </c>
      <c r="D393" s="214">
        <v>32</v>
      </c>
      <c r="E393" s="214">
        <f>D393*200</f>
        <v>6400</v>
      </c>
      <c r="F393" s="383" t="s">
        <v>40</v>
      </c>
      <c r="G393" s="214">
        <f>D393*209</f>
        <v>6688</v>
      </c>
      <c r="H393" s="215" t="s">
        <v>537</v>
      </c>
      <c r="I393" s="216">
        <f>I383-E393:E480</f>
        <v>11600</v>
      </c>
      <c r="J393" s="217"/>
      <c r="K393" s="218"/>
      <c r="L393" s="214">
        <v>260818003</v>
      </c>
      <c r="M393" s="214"/>
      <c r="N393" s="214">
        <f>N381-D393</f>
        <v>6</v>
      </c>
      <c r="O393" s="192">
        <v>46234</v>
      </c>
      <c r="P393" s="193">
        <f t="shared" si="839"/>
        <v>346</v>
      </c>
      <c r="Q393" s="194">
        <f t="shared" si="840"/>
        <v>46598</v>
      </c>
      <c r="R393" s="195">
        <f t="shared" si="841"/>
        <v>19</v>
      </c>
      <c r="U393" s="91"/>
    </row>
    <row r="394" spans="1:21" s="1" customFormat="1" ht="19.649999999999999" customHeight="1" x14ac:dyDescent="0.25">
      <c r="A394" s="314">
        <v>46254</v>
      </c>
      <c r="B394" s="243">
        <v>46254</v>
      </c>
      <c r="C394" s="245" t="s">
        <v>547</v>
      </c>
      <c r="D394" s="244">
        <v>13</v>
      </c>
      <c r="E394" s="244">
        <f t="shared" ref="E394:E395" si="847">D394*200</f>
        <v>2600</v>
      </c>
      <c r="F394" s="245" t="s">
        <v>1</v>
      </c>
      <c r="G394" s="244">
        <f t="shared" ref="G394:G395" si="848">D394*209</f>
        <v>2717</v>
      </c>
      <c r="H394" s="245" t="s">
        <v>549</v>
      </c>
      <c r="I394" s="246">
        <f>I387-E394</f>
        <v>92600</v>
      </c>
      <c r="J394" s="247"/>
      <c r="K394" s="248"/>
      <c r="L394" s="244">
        <v>260819002</v>
      </c>
      <c r="M394" s="244"/>
      <c r="N394" s="244">
        <f>N389-D394</f>
        <v>0</v>
      </c>
      <c r="O394" s="192">
        <v>46223</v>
      </c>
      <c r="P394" s="193">
        <f t="shared" ref="P394:P397" si="849">365-R394</f>
        <v>334</v>
      </c>
      <c r="Q394" s="194">
        <f t="shared" ref="Q394:Q397" si="850">DATE(YEAR(O394)+1,MONTH(O394),DAY(O394))-1</f>
        <v>46587</v>
      </c>
      <c r="R394" s="195">
        <f t="shared" ref="R394:R397" si="851">DATEDIF(O394,B394,"d")</f>
        <v>31</v>
      </c>
      <c r="U394" s="91"/>
    </row>
    <row r="395" spans="1:21" s="1" customFormat="1" ht="19.649999999999999" customHeight="1" x14ac:dyDescent="0.25">
      <c r="A395" s="314">
        <v>46254</v>
      </c>
      <c r="B395" s="243">
        <v>46254</v>
      </c>
      <c r="C395" s="245" t="s">
        <v>548</v>
      </c>
      <c r="D395" s="244">
        <v>15</v>
      </c>
      <c r="E395" s="244">
        <f t="shared" si="847"/>
        <v>3000</v>
      </c>
      <c r="F395" s="245" t="s">
        <v>1</v>
      </c>
      <c r="G395" s="244">
        <f t="shared" si="848"/>
        <v>3135</v>
      </c>
      <c r="H395" s="245" t="s">
        <v>529</v>
      </c>
      <c r="I395" s="246">
        <f>I394-E395</f>
        <v>89600</v>
      </c>
      <c r="J395" s="247"/>
      <c r="K395" s="248"/>
      <c r="L395" s="244">
        <v>260819002</v>
      </c>
      <c r="M395" s="244"/>
      <c r="N395" s="244">
        <f>N365-D395</f>
        <v>23</v>
      </c>
      <c r="O395" s="192">
        <v>46225</v>
      </c>
      <c r="P395" s="193">
        <f t="shared" si="849"/>
        <v>336</v>
      </c>
      <c r="Q395" s="194">
        <f t="shared" si="850"/>
        <v>46589</v>
      </c>
      <c r="R395" s="195">
        <f t="shared" si="851"/>
        <v>29</v>
      </c>
      <c r="U395" s="91"/>
    </row>
    <row r="396" spans="1:21" s="1" customFormat="1" ht="19.649999999999999" customHeight="1" x14ac:dyDescent="0.25">
      <c r="A396" s="329">
        <v>46258</v>
      </c>
      <c r="B396" s="219">
        <v>46258</v>
      </c>
      <c r="C396" s="221" t="s">
        <v>527</v>
      </c>
      <c r="D396" s="220">
        <v>17</v>
      </c>
      <c r="E396" s="220">
        <f t="shared" ref="E396:E402" si="852">D396*200</f>
        <v>3400</v>
      </c>
      <c r="F396" s="221" t="s">
        <v>1</v>
      </c>
      <c r="G396" s="220">
        <f t="shared" ref="G396:G402" si="853">D396*209</f>
        <v>3553</v>
      </c>
      <c r="H396" s="221" t="s">
        <v>529</v>
      </c>
      <c r="I396" s="222">
        <f>I395-E396</f>
        <v>86200</v>
      </c>
      <c r="J396" s="223"/>
      <c r="K396" s="224"/>
      <c r="L396" s="220">
        <v>260821001</v>
      </c>
      <c r="M396" s="220"/>
      <c r="N396" s="220">
        <f>N366-D396</f>
        <v>21</v>
      </c>
      <c r="O396" s="192">
        <v>46227</v>
      </c>
      <c r="P396" s="193">
        <f t="shared" si="849"/>
        <v>334</v>
      </c>
      <c r="Q396" s="194">
        <f t="shared" si="850"/>
        <v>46591</v>
      </c>
      <c r="R396" s="195">
        <f t="shared" si="851"/>
        <v>31</v>
      </c>
      <c r="U396" s="91"/>
    </row>
    <row r="397" spans="1:21" s="1" customFormat="1" ht="19.649999999999999" customHeight="1" x14ac:dyDescent="0.25">
      <c r="A397" s="329">
        <v>46258</v>
      </c>
      <c r="B397" s="219">
        <v>46258</v>
      </c>
      <c r="C397" s="221" t="s">
        <v>531</v>
      </c>
      <c r="D397" s="220">
        <v>11</v>
      </c>
      <c r="E397" s="220">
        <f t="shared" si="852"/>
        <v>2200</v>
      </c>
      <c r="F397" s="221" t="s">
        <v>1</v>
      </c>
      <c r="G397" s="220">
        <f t="shared" si="853"/>
        <v>2299</v>
      </c>
      <c r="H397" s="221" t="s">
        <v>529</v>
      </c>
      <c r="I397" s="222">
        <f>I396-E397</f>
        <v>84000</v>
      </c>
      <c r="J397" s="223"/>
      <c r="K397" s="224"/>
      <c r="L397" s="220">
        <v>260821001</v>
      </c>
      <c r="M397" s="220"/>
      <c r="N397" s="220">
        <f>N379-D397</f>
        <v>28</v>
      </c>
      <c r="O397" s="192">
        <v>46230</v>
      </c>
      <c r="P397" s="193">
        <f t="shared" si="849"/>
        <v>337</v>
      </c>
      <c r="Q397" s="194">
        <f t="shared" si="850"/>
        <v>46594</v>
      </c>
      <c r="R397" s="195">
        <f t="shared" si="851"/>
        <v>28</v>
      </c>
      <c r="U397" s="91"/>
    </row>
    <row r="398" spans="1:21" s="1" customFormat="1" ht="19.649999999999999" customHeight="1" x14ac:dyDescent="0.25">
      <c r="A398" s="13">
        <v>46258</v>
      </c>
      <c r="B398" s="13">
        <v>46258</v>
      </c>
      <c r="C398" s="14" t="s">
        <v>526</v>
      </c>
      <c r="D398" s="14">
        <v>12</v>
      </c>
      <c r="E398" s="14">
        <f t="shared" si="852"/>
        <v>2400</v>
      </c>
      <c r="F398" s="15" t="s">
        <v>3</v>
      </c>
      <c r="G398" s="14">
        <f t="shared" si="853"/>
        <v>2508</v>
      </c>
      <c r="H398" s="15" t="s">
        <v>505</v>
      </c>
      <c r="I398" s="16">
        <f>I392-E398</f>
        <v>12600</v>
      </c>
      <c r="J398" s="17"/>
      <c r="K398" s="18"/>
      <c r="L398" s="14">
        <v>260821002</v>
      </c>
      <c r="M398" s="14"/>
      <c r="N398" s="14">
        <f>N395-D398</f>
        <v>11</v>
      </c>
      <c r="O398" s="192">
        <v>46225</v>
      </c>
      <c r="P398" s="193">
        <f t="shared" ref="P398:P399" si="854">365-R398</f>
        <v>332</v>
      </c>
      <c r="Q398" s="194">
        <f t="shared" ref="Q398:Q399" si="855">DATE(YEAR(O398)+1,MONTH(O398),DAY(O398))-1</f>
        <v>46589</v>
      </c>
      <c r="R398" s="195">
        <f t="shared" ref="R398:R399" si="856">DATEDIF(O398,B398,"d")</f>
        <v>33</v>
      </c>
      <c r="U398" s="91"/>
    </row>
    <row r="399" spans="1:21" s="1" customFormat="1" ht="19.649999999999999" customHeight="1" x14ac:dyDescent="0.25">
      <c r="A399" s="13">
        <v>46258</v>
      </c>
      <c r="B399" s="13">
        <v>46258</v>
      </c>
      <c r="C399" s="14" t="s">
        <v>527</v>
      </c>
      <c r="D399" s="14">
        <v>12</v>
      </c>
      <c r="E399" s="14">
        <f t="shared" si="852"/>
        <v>2400</v>
      </c>
      <c r="F399" s="15" t="s">
        <v>3</v>
      </c>
      <c r="G399" s="14">
        <f t="shared" si="853"/>
        <v>2508</v>
      </c>
      <c r="H399" s="15" t="s">
        <v>553</v>
      </c>
      <c r="I399" s="16">
        <f>I398-E399</f>
        <v>10200</v>
      </c>
      <c r="J399" s="17"/>
      <c r="K399" s="18"/>
      <c r="L399" s="14">
        <v>260821002</v>
      </c>
      <c r="M399" s="14"/>
      <c r="N399" s="14">
        <f>N396-D399</f>
        <v>9</v>
      </c>
      <c r="O399" s="192">
        <v>46227</v>
      </c>
      <c r="P399" s="193">
        <f t="shared" si="854"/>
        <v>334</v>
      </c>
      <c r="Q399" s="194">
        <f t="shared" si="855"/>
        <v>46591</v>
      </c>
      <c r="R399" s="195">
        <f t="shared" si="856"/>
        <v>31</v>
      </c>
      <c r="U399" s="91"/>
    </row>
    <row r="400" spans="1:21" s="1" customFormat="1" ht="19.649999999999999" customHeight="1" x14ac:dyDescent="0.25">
      <c r="A400" s="13">
        <v>46258</v>
      </c>
      <c r="B400" s="13">
        <v>46258</v>
      </c>
      <c r="C400" s="14" t="s">
        <v>550</v>
      </c>
      <c r="D400" s="14">
        <v>4</v>
      </c>
      <c r="E400" s="14">
        <f t="shared" si="852"/>
        <v>800</v>
      </c>
      <c r="F400" s="15" t="s">
        <v>3</v>
      </c>
      <c r="G400" s="14">
        <f t="shared" si="853"/>
        <v>836</v>
      </c>
      <c r="H400" s="15" t="s">
        <v>505</v>
      </c>
      <c r="I400" s="16">
        <f>I399-E400</f>
        <v>9400</v>
      </c>
      <c r="J400" s="17" t="s">
        <v>322</v>
      </c>
      <c r="K400" s="18"/>
      <c r="L400" s="14">
        <v>260821003</v>
      </c>
      <c r="M400" s="14">
        <v>42</v>
      </c>
      <c r="N400" s="14">
        <f>M400-D400</f>
        <v>38</v>
      </c>
      <c r="O400" s="192">
        <v>46244</v>
      </c>
      <c r="P400" s="193">
        <f t="shared" ref="P400:P406" si="857">365-R400</f>
        <v>351</v>
      </c>
      <c r="Q400" s="194">
        <f t="shared" ref="Q400:Q406" si="858">DATE(YEAR(O400)+1,MONTH(O400),DAY(O400))-1</f>
        <v>46608</v>
      </c>
      <c r="R400" s="195">
        <f t="shared" ref="R400:R406" si="859">DATEDIF(O400,B400,"d")</f>
        <v>14</v>
      </c>
      <c r="U400" s="91"/>
    </row>
    <row r="401" spans="1:21" s="1" customFormat="1" ht="19.649999999999999" customHeight="1" x14ac:dyDescent="0.25">
      <c r="A401" s="13">
        <v>46258</v>
      </c>
      <c r="B401" s="13">
        <v>46258</v>
      </c>
      <c r="C401" s="14" t="s">
        <v>551</v>
      </c>
      <c r="D401" s="14">
        <v>4</v>
      </c>
      <c r="E401" s="14">
        <f t="shared" si="852"/>
        <v>800</v>
      </c>
      <c r="F401" s="15" t="s">
        <v>3</v>
      </c>
      <c r="G401" s="14">
        <f t="shared" si="853"/>
        <v>836</v>
      </c>
      <c r="H401" s="15" t="s">
        <v>505</v>
      </c>
      <c r="I401" s="16">
        <f>I400-E401</f>
        <v>8600</v>
      </c>
      <c r="J401" s="17" t="s">
        <v>322</v>
      </c>
      <c r="K401" s="18"/>
      <c r="L401" s="14">
        <v>260821003</v>
      </c>
      <c r="M401" s="14">
        <v>42</v>
      </c>
      <c r="N401" s="14">
        <f>M401-D401</f>
        <v>38</v>
      </c>
      <c r="O401" s="192">
        <v>46246</v>
      </c>
      <c r="P401" s="193">
        <f t="shared" si="857"/>
        <v>353</v>
      </c>
      <c r="Q401" s="194">
        <f t="shared" si="858"/>
        <v>46610</v>
      </c>
      <c r="R401" s="195">
        <f t="shared" si="859"/>
        <v>12</v>
      </c>
      <c r="U401" s="91"/>
    </row>
    <row r="402" spans="1:21" s="1" customFormat="1" ht="19.649999999999999" customHeight="1" x14ac:dyDescent="0.25">
      <c r="A402" s="13">
        <v>46258</v>
      </c>
      <c r="B402" s="13">
        <v>46258</v>
      </c>
      <c r="C402" s="14" t="s">
        <v>552</v>
      </c>
      <c r="D402" s="14">
        <v>4</v>
      </c>
      <c r="E402" s="14">
        <f t="shared" si="852"/>
        <v>800</v>
      </c>
      <c r="F402" s="15" t="s">
        <v>3</v>
      </c>
      <c r="G402" s="14">
        <f t="shared" si="853"/>
        <v>836</v>
      </c>
      <c r="H402" s="15" t="s">
        <v>505</v>
      </c>
      <c r="I402" s="16">
        <f>I401-E402</f>
        <v>7800</v>
      </c>
      <c r="J402" s="17" t="s">
        <v>322</v>
      </c>
      <c r="K402" s="18"/>
      <c r="L402" s="14">
        <v>260821003</v>
      </c>
      <c r="M402" s="14">
        <v>43</v>
      </c>
      <c r="N402" s="14">
        <f>M402-D402</f>
        <v>39</v>
      </c>
      <c r="O402" s="192">
        <v>46248</v>
      </c>
      <c r="P402" s="193">
        <f t="shared" si="857"/>
        <v>355</v>
      </c>
      <c r="Q402" s="194">
        <f t="shared" si="858"/>
        <v>46612</v>
      </c>
      <c r="R402" s="195">
        <f t="shared" si="859"/>
        <v>10</v>
      </c>
      <c r="U402" s="91"/>
    </row>
    <row r="403" spans="1:21" s="1" customFormat="1" ht="19.649999999999999" customHeight="1" x14ac:dyDescent="0.25">
      <c r="A403" s="104">
        <v>46260</v>
      </c>
      <c r="B403" s="104">
        <v>46260</v>
      </c>
      <c r="C403" s="105" t="s">
        <v>556</v>
      </c>
      <c r="D403" s="105">
        <v>11</v>
      </c>
      <c r="E403" s="105">
        <f>D403*200</f>
        <v>2200</v>
      </c>
      <c r="F403" s="112" t="s">
        <v>40</v>
      </c>
      <c r="G403" s="105">
        <f>D403*209</f>
        <v>2299</v>
      </c>
      <c r="H403" s="106" t="s">
        <v>555</v>
      </c>
      <c r="I403" s="107">
        <f>I393-E403</f>
        <v>9400</v>
      </c>
      <c r="J403" s="108"/>
      <c r="K403" s="109"/>
      <c r="L403" s="105">
        <v>260825001</v>
      </c>
      <c r="M403" s="105"/>
      <c r="N403" s="105">
        <f>N398-D403</f>
        <v>0</v>
      </c>
      <c r="O403" s="192">
        <v>46225</v>
      </c>
      <c r="P403" s="193">
        <f t="shared" si="857"/>
        <v>330</v>
      </c>
      <c r="Q403" s="194">
        <f t="shared" si="858"/>
        <v>46589</v>
      </c>
      <c r="R403" s="195">
        <f t="shared" si="859"/>
        <v>35</v>
      </c>
      <c r="U403" s="91"/>
    </row>
    <row r="404" spans="1:21" s="1" customFormat="1" ht="19.649999999999999" customHeight="1" x14ac:dyDescent="0.25">
      <c r="A404" s="104">
        <v>46260</v>
      </c>
      <c r="B404" s="104">
        <v>46260</v>
      </c>
      <c r="C404" s="105" t="s">
        <v>527</v>
      </c>
      <c r="D404" s="105">
        <v>9</v>
      </c>
      <c r="E404" s="105">
        <f>D404*200</f>
        <v>1800</v>
      </c>
      <c r="F404" s="112" t="s">
        <v>40</v>
      </c>
      <c r="G404" s="105">
        <f>D404*209</f>
        <v>1881</v>
      </c>
      <c r="H404" s="106" t="s">
        <v>509</v>
      </c>
      <c r="I404" s="107">
        <f>I403-E404</f>
        <v>7600</v>
      </c>
      <c r="J404" s="108"/>
      <c r="K404" s="109"/>
      <c r="L404" s="105">
        <v>260825001</v>
      </c>
      <c r="M404" s="105"/>
      <c r="N404" s="105">
        <f>N399-D404</f>
        <v>0</v>
      </c>
      <c r="O404" s="192">
        <v>46227</v>
      </c>
      <c r="P404" s="193">
        <f t="shared" si="857"/>
        <v>332</v>
      </c>
      <c r="Q404" s="194">
        <f t="shared" si="858"/>
        <v>46591</v>
      </c>
      <c r="R404" s="195">
        <f t="shared" si="859"/>
        <v>33</v>
      </c>
      <c r="U404" s="91"/>
    </row>
    <row r="405" spans="1:21" s="1" customFormat="1" ht="19.649999999999999" customHeight="1" x14ac:dyDescent="0.25">
      <c r="A405" s="104">
        <v>46260</v>
      </c>
      <c r="B405" s="104">
        <v>46260</v>
      </c>
      <c r="C405" s="105" t="s">
        <v>531</v>
      </c>
      <c r="D405" s="105">
        <v>8</v>
      </c>
      <c r="E405" s="105">
        <f>D405*200</f>
        <v>1600</v>
      </c>
      <c r="F405" s="112" t="s">
        <v>40</v>
      </c>
      <c r="G405" s="105">
        <f>D405*209</f>
        <v>1672</v>
      </c>
      <c r="H405" s="106" t="s">
        <v>509</v>
      </c>
      <c r="I405" s="107">
        <f>I404-E405</f>
        <v>6000</v>
      </c>
      <c r="J405" s="108"/>
      <c r="K405" s="109"/>
      <c r="L405" s="105">
        <v>260825001</v>
      </c>
      <c r="M405" s="105"/>
      <c r="N405" s="105">
        <f>N397-D405</f>
        <v>20</v>
      </c>
      <c r="O405" s="192">
        <v>46230</v>
      </c>
      <c r="P405" s="193">
        <f t="shared" si="857"/>
        <v>335</v>
      </c>
      <c r="Q405" s="194">
        <f t="shared" si="858"/>
        <v>46594</v>
      </c>
      <c r="R405" s="195">
        <f t="shared" si="859"/>
        <v>30</v>
      </c>
      <c r="U405" s="91"/>
    </row>
    <row r="406" spans="1:21" s="1" customFormat="1" ht="19.649999999999999" customHeight="1" x14ac:dyDescent="0.25">
      <c r="A406" s="104">
        <v>46260</v>
      </c>
      <c r="B406" s="104">
        <v>46260</v>
      </c>
      <c r="C406" s="105" t="s">
        <v>554</v>
      </c>
      <c r="D406" s="105">
        <v>4</v>
      </c>
      <c r="E406" s="105">
        <f>D406*200</f>
        <v>800</v>
      </c>
      <c r="F406" s="112" t="s">
        <v>40</v>
      </c>
      <c r="G406" s="105">
        <f>D406*209</f>
        <v>836</v>
      </c>
      <c r="H406" s="106" t="s">
        <v>509</v>
      </c>
      <c r="I406" s="107">
        <f>I405-E406</f>
        <v>5200</v>
      </c>
      <c r="J406" s="108"/>
      <c r="K406" s="109"/>
      <c r="L406" s="105">
        <v>260825001</v>
      </c>
      <c r="M406" s="105"/>
      <c r="N406" s="105">
        <f>N393-D406</f>
        <v>2</v>
      </c>
      <c r="O406" s="192">
        <v>46234</v>
      </c>
      <c r="P406" s="193">
        <f t="shared" si="857"/>
        <v>339</v>
      </c>
      <c r="Q406" s="194">
        <f t="shared" si="858"/>
        <v>46598</v>
      </c>
      <c r="R406" s="195">
        <f t="shared" si="859"/>
        <v>26</v>
      </c>
      <c r="U406" s="91"/>
    </row>
    <row r="407" spans="1:21" s="1" customFormat="1" ht="19.649999999999999" customHeight="1" x14ac:dyDescent="0.25">
      <c r="A407" s="335">
        <v>46261</v>
      </c>
      <c r="B407" s="213">
        <v>46261</v>
      </c>
      <c r="C407" s="215" t="s">
        <v>531</v>
      </c>
      <c r="D407" s="214">
        <v>20</v>
      </c>
      <c r="E407" s="214">
        <f t="shared" ref="E407:E412" si="860">D407*200</f>
        <v>4000</v>
      </c>
      <c r="F407" s="215" t="s">
        <v>1</v>
      </c>
      <c r="G407" s="214">
        <f t="shared" ref="G407:G412" si="861">D407*209</f>
        <v>4180</v>
      </c>
      <c r="H407" s="215" t="s">
        <v>558</v>
      </c>
      <c r="I407" s="216">
        <f>I397-E407</f>
        <v>80000</v>
      </c>
      <c r="J407" s="217"/>
      <c r="K407" s="218"/>
      <c r="L407" s="214">
        <v>260826001</v>
      </c>
      <c r="M407" s="214"/>
      <c r="N407" s="214">
        <f>N405-D407</f>
        <v>0</v>
      </c>
      <c r="O407" s="192">
        <v>46230</v>
      </c>
      <c r="P407" s="193">
        <f t="shared" ref="P407:P412" si="862">365-R407</f>
        <v>334</v>
      </c>
      <c r="Q407" s="194">
        <f t="shared" ref="Q407:Q412" si="863">DATE(YEAR(O407)+1,MONTH(O407),DAY(O407))-1</f>
        <v>46594</v>
      </c>
      <c r="R407" s="195">
        <f t="shared" ref="R407:R412" si="864">DATEDIF(O407,B407,"d")</f>
        <v>31</v>
      </c>
      <c r="U407" s="91"/>
    </row>
    <row r="408" spans="1:21" s="1" customFormat="1" ht="19.649999999999999" customHeight="1" x14ac:dyDescent="0.25">
      <c r="A408" s="335">
        <v>46261</v>
      </c>
      <c r="B408" s="213">
        <v>46261</v>
      </c>
      <c r="C408" s="215" t="s">
        <v>557</v>
      </c>
      <c r="D408" s="214">
        <v>16</v>
      </c>
      <c r="E408" s="214">
        <f t="shared" si="860"/>
        <v>3200</v>
      </c>
      <c r="F408" s="215" t="s">
        <v>1</v>
      </c>
      <c r="G408" s="214">
        <f t="shared" si="861"/>
        <v>3344</v>
      </c>
      <c r="H408" s="215" t="s">
        <v>529</v>
      </c>
      <c r="I408" s="216">
        <f>I407-E408</f>
        <v>76800</v>
      </c>
      <c r="J408" s="217"/>
      <c r="K408" s="218"/>
      <c r="L408" s="214">
        <v>260826001</v>
      </c>
      <c r="M408" s="214"/>
      <c r="N408" s="214">
        <f>N380-D408</f>
        <v>22</v>
      </c>
      <c r="O408" s="192">
        <v>46232</v>
      </c>
      <c r="P408" s="193">
        <f t="shared" si="862"/>
        <v>336</v>
      </c>
      <c r="Q408" s="194">
        <f t="shared" si="863"/>
        <v>46596</v>
      </c>
      <c r="R408" s="195">
        <f t="shared" si="864"/>
        <v>29</v>
      </c>
      <c r="U408" s="91"/>
    </row>
    <row r="409" spans="1:21" s="1" customFormat="1" ht="19.649999999999999" customHeight="1" x14ac:dyDescent="0.25">
      <c r="A409" s="362">
        <v>46265</v>
      </c>
      <c r="B409" s="362">
        <v>46265</v>
      </c>
      <c r="C409" s="364" t="s">
        <v>532</v>
      </c>
      <c r="D409" s="364">
        <v>12</v>
      </c>
      <c r="E409" s="364">
        <f t="shared" si="860"/>
        <v>2400</v>
      </c>
      <c r="F409" s="363" t="s">
        <v>3</v>
      </c>
      <c r="G409" s="364">
        <f t="shared" si="861"/>
        <v>2508</v>
      </c>
      <c r="H409" s="363" t="s">
        <v>505</v>
      </c>
      <c r="I409" s="365">
        <f>I402-E409</f>
        <v>5400</v>
      </c>
      <c r="J409" s="366"/>
      <c r="K409" s="367"/>
      <c r="L409" s="364">
        <v>260828001</v>
      </c>
      <c r="M409" s="364"/>
      <c r="N409" s="364">
        <f>N408-D409</f>
        <v>10</v>
      </c>
      <c r="O409" s="192">
        <v>46232</v>
      </c>
      <c r="P409" s="193">
        <f t="shared" ref="P409:P410" si="865">365-R409</f>
        <v>332</v>
      </c>
      <c r="Q409" s="194">
        <f t="shared" ref="Q409:Q410" si="866">DATE(YEAR(O409)+1,MONTH(O409),DAY(O409))-1</f>
        <v>46596</v>
      </c>
      <c r="R409" s="195">
        <f t="shared" ref="R409:R410" si="867">DATEDIF(O409,B409,"d")</f>
        <v>33</v>
      </c>
      <c r="U409" s="91"/>
    </row>
    <row r="410" spans="1:21" s="1" customFormat="1" ht="19.649999999999999" customHeight="1" x14ac:dyDescent="0.25">
      <c r="A410" s="362">
        <v>46265</v>
      </c>
      <c r="B410" s="362">
        <v>46265</v>
      </c>
      <c r="C410" s="364" t="s">
        <v>545</v>
      </c>
      <c r="D410" s="364">
        <v>16</v>
      </c>
      <c r="E410" s="364">
        <f t="shared" si="860"/>
        <v>3200</v>
      </c>
      <c r="F410" s="363" t="s">
        <v>3</v>
      </c>
      <c r="G410" s="364">
        <f t="shared" si="861"/>
        <v>3344</v>
      </c>
      <c r="H410" s="363" t="s">
        <v>505</v>
      </c>
      <c r="I410" s="365">
        <f>I409-E410</f>
        <v>2200</v>
      </c>
      <c r="J410" s="366"/>
      <c r="K410" s="367"/>
      <c r="L410" s="364">
        <v>260828001</v>
      </c>
      <c r="M410" s="364"/>
      <c r="N410" s="364">
        <f>N390-D410</f>
        <v>23</v>
      </c>
      <c r="O410" s="192">
        <v>46237</v>
      </c>
      <c r="P410" s="193">
        <f t="shared" si="865"/>
        <v>337</v>
      </c>
      <c r="Q410" s="194">
        <f t="shared" si="866"/>
        <v>46601</v>
      </c>
      <c r="R410" s="195">
        <f t="shared" si="867"/>
        <v>28</v>
      </c>
      <c r="U410" s="91"/>
    </row>
    <row r="411" spans="1:21" s="1" customFormat="1" ht="19.649999999999999" customHeight="1" x14ac:dyDescent="0.25">
      <c r="A411" s="362">
        <v>46265</v>
      </c>
      <c r="B411" s="362">
        <v>46265</v>
      </c>
      <c r="C411" s="364" t="s">
        <v>559</v>
      </c>
      <c r="D411" s="364">
        <v>4</v>
      </c>
      <c r="E411" s="364">
        <f t="shared" si="860"/>
        <v>800</v>
      </c>
      <c r="F411" s="363" t="s">
        <v>3</v>
      </c>
      <c r="G411" s="364">
        <f t="shared" si="861"/>
        <v>836</v>
      </c>
      <c r="H411" s="363" t="s">
        <v>505</v>
      </c>
      <c r="I411" s="365">
        <f>I410-E411</f>
        <v>1400</v>
      </c>
      <c r="J411" s="366" t="s">
        <v>322</v>
      </c>
      <c r="K411" s="367"/>
      <c r="L411" s="364">
        <v>260828002</v>
      </c>
      <c r="M411" s="364">
        <v>42</v>
      </c>
      <c r="N411" s="364">
        <f>M411-D411</f>
        <v>38</v>
      </c>
      <c r="O411" s="192">
        <v>46251</v>
      </c>
      <c r="P411" s="193">
        <f t="shared" si="862"/>
        <v>351</v>
      </c>
      <c r="Q411" s="194">
        <f t="shared" si="863"/>
        <v>46615</v>
      </c>
      <c r="R411" s="195">
        <f t="shared" si="864"/>
        <v>14</v>
      </c>
      <c r="U411" s="91"/>
    </row>
    <row r="412" spans="1:21" s="1" customFormat="1" ht="19.649999999999999" customHeight="1" x14ac:dyDescent="0.25">
      <c r="A412" s="362">
        <v>46265</v>
      </c>
      <c r="B412" s="362">
        <v>46265</v>
      </c>
      <c r="C412" s="364" t="s">
        <v>560</v>
      </c>
      <c r="D412" s="364">
        <v>4</v>
      </c>
      <c r="E412" s="364">
        <f t="shared" si="860"/>
        <v>800</v>
      </c>
      <c r="F412" s="363" t="s">
        <v>3</v>
      </c>
      <c r="G412" s="364">
        <f t="shared" si="861"/>
        <v>836</v>
      </c>
      <c r="H412" s="363" t="s">
        <v>505</v>
      </c>
      <c r="I412" s="365">
        <f>I411-E412</f>
        <v>600</v>
      </c>
      <c r="J412" s="366" t="s">
        <v>322</v>
      </c>
      <c r="K412" s="367"/>
      <c r="L412" s="364">
        <v>260828004</v>
      </c>
      <c r="M412" s="364">
        <v>42</v>
      </c>
      <c r="N412" s="364">
        <f>M412-D412</f>
        <v>38</v>
      </c>
      <c r="O412" s="192">
        <v>46253</v>
      </c>
      <c r="P412" s="193">
        <f t="shared" si="862"/>
        <v>353</v>
      </c>
      <c r="Q412" s="194">
        <f t="shared" si="863"/>
        <v>46617</v>
      </c>
      <c r="R412" s="195">
        <f t="shared" si="864"/>
        <v>12</v>
      </c>
      <c r="U412" s="91"/>
    </row>
    <row r="413" spans="1:21" s="1" customFormat="1" ht="19.649999999999999" customHeight="1" x14ac:dyDescent="0.25">
      <c r="A413" s="321">
        <v>46265</v>
      </c>
      <c r="B413" s="26">
        <v>46265</v>
      </c>
      <c r="C413" s="28" t="s">
        <v>532</v>
      </c>
      <c r="D413" s="27">
        <v>10</v>
      </c>
      <c r="E413" s="27">
        <f t="shared" ref="E413:E414" si="868">D413*200</f>
        <v>2000</v>
      </c>
      <c r="F413" s="28" t="s">
        <v>1</v>
      </c>
      <c r="G413" s="27">
        <f t="shared" ref="G413:G414" si="869">D413*209</f>
        <v>2090</v>
      </c>
      <c r="H413" s="28" t="s">
        <v>529</v>
      </c>
      <c r="I413" s="29">
        <f>I408-E413</f>
        <v>74800</v>
      </c>
      <c r="J413" s="30"/>
      <c r="K413" s="31"/>
      <c r="L413" s="27">
        <v>260828003</v>
      </c>
      <c r="M413" s="27"/>
      <c r="N413" s="27">
        <f>N409-D413</f>
        <v>0</v>
      </c>
      <c r="O413" s="192">
        <v>46232</v>
      </c>
      <c r="P413" s="193">
        <f t="shared" ref="P413:P417" si="870">365-R413</f>
        <v>332</v>
      </c>
      <c r="Q413" s="194">
        <f t="shared" ref="Q413:Q417" si="871">DATE(YEAR(O413)+1,MONTH(O413),DAY(O413))-1</f>
        <v>46596</v>
      </c>
      <c r="R413" s="195">
        <f t="shared" ref="R413:R417" si="872">DATEDIF(O413,B413,"d")</f>
        <v>33</v>
      </c>
      <c r="U413" s="91"/>
    </row>
    <row r="414" spans="1:21" s="1" customFormat="1" ht="19.649999999999999" customHeight="1" x14ac:dyDescent="0.25">
      <c r="A414" s="321">
        <v>46265</v>
      </c>
      <c r="B414" s="26">
        <v>46265</v>
      </c>
      <c r="C414" s="28" t="s">
        <v>533</v>
      </c>
      <c r="D414" s="27">
        <v>2</v>
      </c>
      <c r="E414" s="27">
        <f t="shared" si="868"/>
        <v>400</v>
      </c>
      <c r="F414" s="28" t="s">
        <v>1</v>
      </c>
      <c r="G414" s="27">
        <f t="shared" si="869"/>
        <v>418</v>
      </c>
      <c r="H414" s="28" t="s">
        <v>529</v>
      </c>
      <c r="I414" s="29">
        <f>I413-E414</f>
        <v>74400</v>
      </c>
      <c r="J414" s="30"/>
      <c r="K414" s="31"/>
      <c r="L414" s="27">
        <v>260828003</v>
      </c>
      <c r="M414" s="27"/>
      <c r="N414" s="27">
        <f>N406-D414</f>
        <v>0</v>
      </c>
      <c r="O414" s="192">
        <v>46234</v>
      </c>
      <c r="P414" s="193">
        <f t="shared" si="870"/>
        <v>334</v>
      </c>
      <c r="Q414" s="194">
        <f t="shared" si="871"/>
        <v>46598</v>
      </c>
      <c r="R414" s="195">
        <f t="shared" si="872"/>
        <v>31</v>
      </c>
      <c r="U414" s="91"/>
    </row>
    <row r="415" spans="1:21" s="1" customFormat="1" ht="19.649999999999999" customHeight="1" x14ac:dyDescent="0.25">
      <c r="A415" s="321">
        <v>46265</v>
      </c>
      <c r="B415" s="26">
        <v>46265</v>
      </c>
      <c r="C415" s="28" t="s">
        <v>562</v>
      </c>
      <c r="D415" s="27">
        <v>12</v>
      </c>
      <c r="E415" s="27">
        <f t="shared" ref="E415" si="873">D415*200</f>
        <v>2400</v>
      </c>
      <c r="F415" s="28" t="s">
        <v>1</v>
      </c>
      <c r="G415" s="27">
        <f t="shared" ref="G415" si="874">D415*209</f>
        <v>2508</v>
      </c>
      <c r="H415" s="28" t="s">
        <v>561</v>
      </c>
      <c r="I415" s="29">
        <f>I414-E415</f>
        <v>72000</v>
      </c>
      <c r="J415" s="30"/>
      <c r="K415" s="31"/>
      <c r="L415" s="27">
        <v>260828003</v>
      </c>
      <c r="M415" s="27"/>
      <c r="N415" s="27">
        <f>N410-D415</f>
        <v>11</v>
      </c>
      <c r="O415" s="192">
        <v>46237</v>
      </c>
      <c r="P415" s="193">
        <f t="shared" si="870"/>
        <v>337</v>
      </c>
      <c r="Q415" s="194">
        <f t="shared" si="871"/>
        <v>46601</v>
      </c>
      <c r="R415" s="195">
        <f t="shared" si="872"/>
        <v>28</v>
      </c>
      <c r="U415" s="91"/>
    </row>
    <row r="416" spans="1:21" s="1" customFormat="1" ht="19.649999999999999" customHeight="1" x14ac:dyDescent="0.25">
      <c r="A416" s="219">
        <v>46267</v>
      </c>
      <c r="B416" s="219">
        <v>46267</v>
      </c>
      <c r="C416" s="220" t="s">
        <v>545</v>
      </c>
      <c r="D416" s="220">
        <v>11</v>
      </c>
      <c r="E416" s="220">
        <f>D416*200</f>
        <v>2200</v>
      </c>
      <c r="F416" s="255" t="s">
        <v>40</v>
      </c>
      <c r="G416" s="220">
        <f>D416*209</f>
        <v>2299</v>
      </c>
      <c r="H416" s="221" t="s">
        <v>508</v>
      </c>
      <c r="I416" s="222">
        <f>I406-E416</f>
        <v>3000</v>
      </c>
      <c r="J416" s="223"/>
      <c r="K416" s="224"/>
      <c r="L416" s="220">
        <v>260901001</v>
      </c>
      <c r="M416" s="220"/>
      <c r="N416" s="220">
        <f>N415-D416</f>
        <v>0</v>
      </c>
      <c r="O416" s="192">
        <v>46237</v>
      </c>
      <c r="P416" s="193">
        <f t="shared" si="870"/>
        <v>335</v>
      </c>
      <c r="Q416" s="194">
        <f t="shared" si="871"/>
        <v>46601</v>
      </c>
      <c r="R416" s="195">
        <f t="shared" si="872"/>
        <v>30</v>
      </c>
      <c r="U416" s="91"/>
    </row>
    <row r="417" spans="1:21" s="1" customFormat="1" ht="19.649999999999999" customHeight="1" x14ac:dyDescent="0.25">
      <c r="A417" s="219">
        <v>46267</v>
      </c>
      <c r="B417" s="219">
        <v>46267</v>
      </c>
      <c r="C417" s="220" t="s">
        <v>563</v>
      </c>
      <c r="D417" s="220">
        <v>15</v>
      </c>
      <c r="E417" s="220">
        <f>D417*200</f>
        <v>3000</v>
      </c>
      <c r="F417" s="255" t="s">
        <v>40</v>
      </c>
      <c r="G417" s="220">
        <f>D417*209</f>
        <v>3135</v>
      </c>
      <c r="H417" s="221" t="s">
        <v>564</v>
      </c>
      <c r="I417" s="222">
        <f>I416-E417</f>
        <v>0</v>
      </c>
      <c r="J417" s="223"/>
      <c r="K417" s="224"/>
      <c r="L417" s="220">
        <v>260901001</v>
      </c>
      <c r="M417" s="220"/>
      <c r="N417" s="220">
        <f>N391-D417</f>
        <v>23</v>
      </c>
      <c r="O417" s="192">
        <v>46239</v>
      </c>
      <c r="P417" s="193">
        <f t="shared" si="870"/>
        <v>337</v>
      </c>
      <c r="Q417" s="194">
        <f t="shared" si="871"/>
        <v>46603</v>
      </c>
      <c r="R417" s="195">
        <f t="shared" si="872"/>
        <v>28</v>
      </c>
      <c r="U417" s="91"/>
    </row>
    <row r="418" spans="1:21" s="1" customFormat="1" ht="19.649999999999999" customHeight="1" x14ac:dyDescent="0.25">
      <c r="A418" s="219">
        <v>46267</v>
      </c>
      <c r="B418" s="219">
        <v>46267</v>
      </c>
      <c r="C418" s="220" t="s">
        <v>542</v>
      </c>
      <c r="D418" s="220">
        <v>10</v>
      </c>
      <c r="E418" s="220">
        <f>D418*200</f>
        <v>2000</v>
      </c>
      <c r="F418" s="255" t="s">
        <v>40</v>
      </c>
      <c r="G418" s="220">
        <f>D418*209</f>
        <v>2090</v>
      </c>
      <c r="H418" s="386" t="s">
        <v>565</v>
      </c>
      <c r="I418" s="222">
        <f>20000-E418</f>
        <v>18000</v>
      </c>
      <c r="J418" s="223"/>
      <c r="K418" s="224"/>
      <c r="L418" s="220">
        <v>260901001</v>
      </c>
      <c r="M418" s="220"/>
      <c r="N418" s="220">
        <f>N417-D418</f>
        <v>13</v>
      </c>
      <c r="O418" s="192">
        <v>46239</v>
      </c>
      <c r="P418" s="193">
        <f t="shared" ref="P418:P419" si="875">365-R418</f>
        <v>337</v>
      </c>
      <c r="Q418" s="194">
        <f t="shared" ref="Q418:Q419" si="876">DATE(YEAR(O418)+1,MONTH(O418),DAY(O418))-1</f>
        <v>46603</v>
      </c>
      <c r="R418" s="195">
        <f t="shared" ref="R418:R419" si="877">DATEDIF(O418,B418,"d")</f>
        <v>28</v>
      </c>
      <c r="U418" s="91"/>
    </row>
    <row r="419" spans="1:21" s="1" customFormat="1" ht="19.649999999999999" customHeight="1" x14ac:dyDescent="0.25">
      <c r="A419" s="359">
        <v>46268</v>
      </c>
      <c r="B419" s="104">
        <v>46268</v>
      </c>
      <c r="C419" s="106" t="s">
        <v>542</v>
      </c>
      <c r="D419" s="105">
        <v>13</v>
      </c>
      <c r="E419" s="105">
        <f t="shared" ref="E419:E421" si="878">D419*200</f>
        <v>2600</v>
      </c>
      <c r="F419" s="106" t="s">
        <v>1</v>
      </c>
      <c r="G419" s="105">
        <f t="shared" ref="G419:G421" si="879">D419*209</f>
        <v>2717</v>
      </c>
      <c r="H419" s="106" t="s">
        <v>529</v>
      </c>
      <c r="I419" s="107">
        <f>I415-E419</f>
        <v>69400</v>
      </c>
      <c r="J419" s="108"/>
      <c r="K419" s="109"/>
      <c r="L419" s="105">
        <v>260902001</v>
      </c>
      <c r="M419" s="105"/>
      <c r="N419" s="105">
        <f>N418-D419</f>
        <v>0</v>
      </c>
      <c r="O419" s="192">
        <v>46239</v>
      </c>
      <c r="P419" s="193">
        <f t="shared" si="875"/>
        <v>336</v>
      </c>
      <c r="Q419" s="194">
        <f t="shared" si="876"/>
        <v>46603</v>
      </c>
      <c r="R419" s="195">
        <f t="shared" si="877"/>
        <v>29</v>
      </c>
      <c r="U419" s="91"/>
    </row>
    <row r="420" spans="1:21" s="1" customFormat="1" ht="19.649999999999999" customHeight="1" x14ac:dyDescent="0.25">
      <c r="A420" s="359">
        <v>46268</v>
      </c>
      <c r="B420" s="104">
        <v>46268</v>
      </c>
      <c r="C420" s="106" t="s">
        <v>543</v>
      </c>
      <c r="D420" s="105">
        <v>11</v>
      </c>
      <c r="E420" s="105">
        <f t="shared" si="878"/>
        <v>2200</v>
      </c>
      <c r="F420" s="106" t="s">
        <v>1</v>
      </c>
      <c r="G420" s="105">
        <f t="shared" si="879"/>
        <v>2299</v>
      </c>
      <c r="H420" s="106" t="s">
        <v>529</v>
      </c>
      <c r="I420" s="107">
        <f>I419-E420</f>
        <v>67200</v>
      </c>
      <c r="J420" s="108"/>
      <c r="K420" s="109"/>
      <c r="L420" s="105">
        <v>260902001</v>
      </c>
      <c r="M420" s="105"/>
      <c r="N420" s="105">
        <f>N392-D420</f>
        <v>27</v>
      </c>
      <c r="O420" s="192">
        <v>46241</v>
      </c>
      <c r="P420" s="193">
        <f t="shared" ref="P420" si="880">365-R420</f>
        <v>338</v>
      </c>
      <c r="Q420" s="194">
        <f t="shared" ref="Q420" si="881">DATE(YEAR(O420)+1,MONTH(O420),DAY(O420))-1</f>
        <v>46605</v>
      </c>
      <c r="R420" s="195">
        <f t="shared" ref="R420" si="882">DATEDIF(O420,B420,"d")</f>
        <v>27</v>
      </c>
      <c r="U420" s="91"/>
    </row>
    <row r="421" spans="1:21" s="1" customFormat="1" ht="19.649999999999999" customHeight="1" x14ac:dyDescent="0.25">
      <c r="A421" s="250">
        <v>46268</v>
      </c>
      <c r="B421" s="250">
        <v>46268</v>
      </c>
      <c r="C421" s="126" t="s">
        <v>543</v>
      </c>
      <c r="D421" s="126">
        <v>3</v>
      </c>
      <c r="E421" s="126">
        <f t="shared" si="878"/>
        <v>600</v>
      </c>
      <c r="F421" s="127" t="s">
        <v>3</v>
      </c>
      <c r="G421" s="126">
        <f t="shared" si="879"/>
        <v>627</v>
      </c>
      <c r="H421" s="127" t="s">
        <v>505</v>
      </c>
      <c r="I421" s="252">
        <f>I412-E421</f>
        <v>0</v>
      </c>
      <c r="J421" s="253"/>
      <c r="K421" s="254"/>
      <c r="L421" s="126">
        <v>260902002</v>
      </c>
      <c r="M421" s="126"/>
      <c r="N421" s="126">
        <f>N420-D421</f>
        <v>24</v>
      </c>
      <c r="O421" s="192">
        <v>46241</v>
      </c>
      <c r="P421" s="193">
        <f t="shared" ref="P421" si="883">365-R421</f>
        <v>338</v>
      </c>
      <c r="Q421" s="194">
        <f t="shared" ref="Q421" si="884">DATE(YEAR(O421)+1,MONTH(O421),DAY(O421))-1</f>
        <v>46605</v>
      </c>
      <c r="R421" s="195">
        <f t="shared" ref="R421" si="885">DATEDIF(O421,B421,"d")</f>
        <v>27</v>
      </c>
      <c r="U421" s="91"/>
    </row>
    <row r="422" spans="1:21" s="1" customFormat="1" ht="19.649999999999999" customHeight="1" x14ac:dyDescent="0.25">
      <c r="A422" s="250">
        <v>46268</v>
      </c>
      <c r="B422" s="250">
        <v>46268</v>
      </c>
      <c r="C422" s="126" t="s">
        <v>567</v>
      </c>
      <c r="D422" s="126">
        <v>9</v>
      </c>
      <c r="E422" s="126">
        <f t="shared" ref="E422:E428" si="886">D422*200</f>
        <v>1800</v>
      </c>
      <c r="F422" s="127" t="s">
        <v>3</v>
      </c>
      <c r="G422" s="126">
        <f t="shared" ref="G422:G428" si="887">D422*209</f>
        <v>1881</v>
      </c>
      <c r="H422" s="388" t="s">
        <v>566</v>
      </c>
      <c r="I422" s="252">
        <f>20000-E422</f>
        <v>18200</v>
      </c>
      <c r="J422" s="253"/>
      <c r="K422" s="254"/>
      <c r="L422" s="126">
        <v>260902002</v>
      </c>
      <c r="M422" s="126"/>
      <c r="N422" s="126">
        <f>N421-D422</f>
        <v>15</v>
      </c>
      <c r="O422" s="192">
        <v>46241</v>
      </c>
      <c r="P422" s="193">
        <f t="shared" ref="P422:P430" si="888">365-R422</f>
        <v>338</v>
      </c>
      <c r="Q422" s="194">
        <f t="shared" ref="Q422:Q430" si="889">DATE(YEAR(O422)+1,MONTH(O422),DAY(O422))-1</f>
        <v>46605</v>
      </c>
      <c r="R422" s="195">
        <f t="shared" ref="R422:R430" si="890">DATEDIF(O422,B422,"d")</f>
        <v>27</v>
      </c>
      <c r="U422" s="91"/>
    </row>
    <row r="423" spans="1:21" s="1" customFormat="1" ht="19.649999999999999" customHeight="1" x14ac:dyDescent="0.25">
      <c r="A423" s="297">
        <v>46272</v>
      </c>
      <c r="B423" s="225">
        <v>46272</v>
      </c>
      <c r="C423" s="103" t="s">
        <v>543</v>
      </c>
      <c r="D423" s="102">
        <v>15</v>
      </c>
      <c r="E423" s="102">
        <f t="shared" si="886"/>
        <v>3000</v>
      </c>
      <c r="F423" s="103" t="s">
        <v>1</v>
      </c>
      <c r="G423" s="102">
        <f t="shared" si="887"/>
        <v>3135</v>
      </c>
      <c r="H423" s="103" t="s">
        <v>568</v>
      </c>
      <c r="I423" s="226">
        <f>I420-E423</f>
        <v>64200</v>
      </c>
      <c r="J423" s="227"/>
      <c r="K423" s="228"/>
      <c r="L423" s="102">
        <v>260904001</v>
      </c>
      <c r="M423" s="102"/>
      <c r="N423" s="102">
        <f>N422-D423</f>
        <v>0</v>
      </c>
      <c r="O423" s="192">
        <v>46241</v>
      </c>
      <c r="P423" s="193">
        <f t="shared" si="888"/>
        <v>334</v>
      </c>
      <c r="Q423" s="194">
        <f t="shared" si="889"/>
        <v>46605</v>
      </c>
      <c r="R423" s="195">
        <f t="shared" si="890"/>
        <v>31</v>
      </c>
      <c r="U423" s="91"/>
    </row>
    <row r="424" spans="1:21" s="1" customFormat="1" ht="19.649999999999999" customHeight="1" x14ac:dyDescent="0.25">
      <c r="A424" s="297">
        <v>46272</v>
      </c>
      <c r="B424" s="225">
        <v>46272</v>
      </c>
      <c r="C424" s="103" t="s">
        <v>569</v>
      </c>
      <c r="D424" s="102">
        <v>17</v>
      </c>
      <c r="E424" s="102">
        <f t="shared" si="886"/>
        <v>3400</v>
      </c>
      <c r="F424" s="103" t="s">
        <v>1</v>
      </c>
      <c r="G424" s="102">
        <f t="shared" si="887"/>
        <v>3553</v>
      </c>
      <c r="H424" s="103" t="s">
        <v>568</v>
      </c>
      <c r="I424" s="226">
        <f>I423-E424</f>
        <v>60800</v>
      </c>
      <c r="J424" s="227"/>
      <c r="K424" s="228"/>
      <c r="L424" s="102">
        <v>260904001</v>
      </c>
      <c r="M424" s="102"/>
      <c r="N424" s="102">
        <f>N400-D424</f>
        <v>21</v>
      </c>
      <c r="O424" s="192">
        <v>46244</v>
      </c>
      <c r="P424" s="193">
        <f t="shared" si="888"/>
        <v>337</v>
      </c>
      <c r="Q424" s="194">
        <f t="shared" si="889"/>
        <v>46608</v>
      </c>
      <c r="R424" s="195">
        <f t="shared" si="890"/>
        <v>28</v>
      </c>
      <c r="U424" s="91"/>
    </row>
    <row r="425" spans="1:21" s="1" customFormat="1" ht="19.649999999999999" customHeight="1" x14ac:dyDescent="0.25">
      <c r="A425" s="26">
        <v>46273</v>
      </c>
      <c r="B425" s="26">
        <v>46273</v>
      </c>
      <c r="C425" s="27" t="s">
        <v>550</v>
      </c>
      <c r="D425" s="27">
        <v>21</v>
      </c>
      <c r="E425" s="27">
        <f t="shared" si="886"/>
        <v>4200</v>
      </c>
      <c r="F425" s="28" t="s">
        <v>3</v>
      </c>
      <c r="G425" s="27">
        <f t="shared" si="887"/>
        <v>4389</v>
      </c>
      <c r="H425" s="28" t="s">
        <v>574</v>
      </c>
      <c r="I425" s="29">
        <f>I422-E425</f>
        <v>14000</v>
      </c>
      <c r="J425" s="30"/>
      <c r="K425" s="31"/>
      <c r="L425" s="27">
        <v>260907001</v>
      </c>
      <c r="M425" s="27"/>
      <c r="N425" s="27">
        <f>N424-D425</f>
        <v>0</v>
      </c>
      <c r="O425" s="192">
        <v>46244</v>
      </c>
      <c r="P425" s="193">
        <f t="shared" ref="P425:P426" si="891">365-R425</f>
        <v>336</v>
      </c>
      <c r="Q425" s="194">
        <f t="shared" ref="Q425:Q426" si="892">DATE(YEAR(O425)+1,MONTH(O425),DAY(O425))-1</f>
        <v>46608</v>
      </c>
      <c r="R425" s="195">
        <f t="shared" ref="R425:R426" si="893">DATEDIF(O425,B425,"d")</f>
        <v>29</v>
      </c>
      <c r="U425" s="91"/>
    </row>
    <row r="426" spans="1:21" s="1" customFormat="1" ht="19.649999999999999" customHeight="1" x14ac:dyDescent="0.25">
      <c r="A426" s="26">
        <v>46273</v>
      </c>
      <c r="B426" s="26">
        <v>46273</v>
      </c>
      <c r="C426" s="27" t="s">
        <v>551</v>
      </c>
      <c r="D426" s="27">
        <v>7</v>
      </c>
      <c r="E426" s="27">
        <f t="shared" si="886"/>
        <v>1400</v>
      </c>
      <c r="F426" s="28" t="s">
        <v>3</v>
      </c>
      <c r="G426" s="27">
        <f t="shared" si="887"/>
        <v>1463</v>
      </c>
      <c r="H426" s="28" t="s">
        <v>573</v>
      </c>
      <c r="I426" s="29">
        <f>I425-E426</f>
        <v>12600</v>
      </c>
      <c r="J426" s="30"/>
      <c r="K426" s="31"/>
      <c r="L426" s="27">
        <v>260907001</v>
      </c>
      <c r="M426" s="27"/>
      <c r="N426" s="27">
        <f>N401-D426</f>
        <v>31</v>
      </c>
      <c r="O426" s="192">
        <v>46246</v>
      </c>
      <c r="P426" s="193">
        <f t="shared" si="891"/>
        <v>338</v>
      </c>
      <c r="Q426" s="194">
        <f t="shared" si="892"/>
        <v>46610</v>
      </c>
      <c r="R426" s="195">
        <f t="shared" si="893"/>
        <v>27</v>
      </c>
      <c r="U426" s="91"/>
    </row>
    <row r="427" spans="1:21" s="1" customFormat="1" ht="19.649999999999999" customHeight="1" x14ac:dyDescent="0.25">
      <c r="A427" s="26">
        <v>46273</v>
      </c>
      <c r="B427" s="26">
        <v>46273</v>
      </c>
      <c r="C427" s="27" t="s">
        <v>570</v>
      </c>
      <c r="D427" s="27">
        <v>4</v>
      </c>
      <c r="E427" s="27">
        <f t="shared" si="886"/>
        <v>800</v>
      </c>
      <c r="F427" s="28" t="s">
        <v>3</v>
      </c>
      <c r="G427" s="27">
        <f t="shared" si="887"/>
        <v>836</v>
      </c>
      <c r="H427" s="28" t="s">
        <v>566</v>
      </c>
      <c r="I427" s="29">
        <f>I426-E427</f>
        <v>11800</v>
      </c>
      <c r="J427" s="30" t="s">
        <v>322</v>
      </c>
      <c r="K427" s="31"/>
      <c r="L427" s="27">
        <v>260907002</v>
      </c>
      <c r="M427" s="27">
        <v>42</v>
      </c>
      <c r="N427" s="27">
        <f>M427-D427</f>
        <v>38</v>
      </c>
      <c r="O427" s="192">
        <v>46258</v>
      </c>
      <c r="P427" s="193">
        <f t="shared" si="888"/>
        <v>350</v>
      </c>
      <c r="Q427" s="194">
        <f t="shared" si="889"/>
        <v>46622</v>
      </c>
      <c r="R427" s="195">
        <f t="shared" si="890"/>
        <v>15</v>
      </c>
      <c r="U427" s="91"/>
    </row>
    <row r="428" spans="1:21" s="1" customFormat="1" ht="19.649999999999999" customHeight="1" x14ac:dyDescent="0.25">
      <c r="A428" s="26">
        <v>46273</v>
      </c>
      <c r="B428" s="26">
        <v>46273</v>
      </c>
      <c r="C428" s="27" t="s">
        <v>571</v>
      </c>
      <c r="D428" s="27">
        <v>4</v>
      </c>
      <c r="E428" s="27">
        <f t="shared" si="886"/>
        <v>800</v>
      </c>
      <c r="F428" s="28" t="s">
        <v>3</v>
      </c>
      <c r="G428" s="27">
        <f t="shared" si="887"/>
        <v>836</v>
      </c>
      <c r="H428" s="28" t="s">
        <v>572</v>
      </c>
      <c r="I428" s="29">
        <f>I427-E428</f>
        <v>11000</v>
      </c>
      <c r="J428" s="30" t="s">
        <v>322</v>
      </c>
      <c r="K428" s="31"/>
      <c r="L428" s="27">
        <v>260907002</v>
      </c>
      <c r="M428" s="27">
        <v>43</v>
      </c>
      <c r="N428" s="27">
        <f>M428-D428</f>
        <v>39</v>
      </c>
      <c r="O428" s="192">
        <v>46262</v>
      </c>
      <c r="P428" s="193">
        <f t="shared" si="888"/>
        <v>354</v>
      </c>
      <c r="Q428" s="194">
        <f t="shared" si="889"/>
        <v>46626</v>
      </c>
      <c r="R428" s="195">
        <f t="shared" si="890"/>
        <v>11</v>
      </c>
      <c r="U428" s="91"/>
    </row>
    <row r="429" spans="1:21" s="1" customFormat="1" ht="19.649999999999999" customHeight="1" x14ac:dyDescent="0.25">
      <c r="A429" s="243">
        <v>46274</v>
      </c>
      <c r="B429" s="243">
        <v>46274</v>
      </c>
      <c r="C429" s="244" t="s">
        <v>575</v>
      </c>
      <c r="D429" s="244">
        <v>19</v>
      </c>
      <c r="E429" s="244">
        <f>D429*200</f>
        <v>3800</v>
      </c>
      <c r="F429" s="275" t="s">
        <v>40</v>
      </c>
      <c r="G429" s="244">
        <f>D429*209</f>
        <v>3971</v>
      </c>
      <c r="H429" s="245" t="s">
        <v>565</v>
      </c>
      <c r="I429" s="246">
        <f>I418-E429</f>
        <v>14200</v>
      </c>
      <c r="J429" s="247"/>
      <c r="K429" s="248"/>
      <c r="L429" s="244">
        <v>260908001</v>
      </c>
      <c r="M429" s="244"/>
      <c r="N429" s="244">
        <f>N426-D429</f>
        <v>12</v>
      </c>
      <c r="O429" s="192">
        <v>46246</v>
      </c>
      <c r="P429" s="193">
        <f t="shared" si="888"/>
        <v>337</v>
      </c>
      <c r="Q429" s="194">
        <f t="shared" si="889"/>
        <v>46610</v>
      </c>
      <c r="R429" s="195">
        <f t="shared" si="890"/>
        <v>28</v>
      </c>
      <c r="U429" s="91"/>
    </row>
    <row r="430" spans="1:21" s="1" customFormat="1" ht="19.649999999999999" customHeight="1" x14ac:dyDescent="0.25">
      <c r="A430" s="243">
        <v>46274</v>
      </c>
      <c r="B430" s="243">
        <v>46274</v>
      </c>
      <c r="C430" s="244" t="s">
        <v>576</v>
      </c>
      <c r="D430" s="244">
        <v>17</v>
      </c>
      <c r="E430" s="244">
        <f>D430*200</f>
        <v>3400</v>
      </c>
      <c r="F430" s="275" t="s">
        <v>40</v>
      </c>
      <c r="G430" s="244">
        <f>D430*209</f>
        <v>3553</v>
      </c>
      <c r="H430" s="245" t="s">
        <v>577</v>
      </c>
      <c r="I430" s="246">
        <f>I429-E430</f>
        <v>10800</v>
      </c>
      <c r="J430" s="247"/>
      <c r="K430" s="248"/>
      <c r="L430" s="244">
        <v>260908001</v>
      </c>
      <c r="M430" s="244"/>
      <c r="N430" s="244">
        <f>N402-D430</f>
        <v>22</v>
      </c>
      <c r="O430" s="192">
        <v>46248</v>
      </c>
      <c r="P430" s="193">
        <f t="shared" si="888"/>
        <v>339</v>
      </c>
      <c r="Q430" s="194">
        <f t="shared" si="889"/>
        <v>46612</v>
      </c>
      <c r="R430" s="195">
        <f t="shared" si="890"/>
        <v>26</v>
      </c>
      <c r="U430" s="91"/>
    </row>
    <row r="431" spans="1:21" s="1" customFormat="1" ht="19.649999999999999" customHeight="1" x14ac:dyDescent="0.25">
      <c r="A431" s="305">
        <v>46275</v>
      </c>
      <c r="B431" s="250">
        <v>46275</v>
      </c>
      <c r="C431" s="127" t="s">
        <v>551</v>
      </c>
      <c r="D431" s="126">
        <v>12</v>
      </c>
      <c r="E431" s="126">
        <f t="shared" ref="E431:E432" si="894">D431*200</f>
        <v>2400</v>
      </c>
      <c r="F431" s="127" t="s">
        <v>1</v>
      </c>
      <c r="G431" s="126">
        <f t="shared" ref="G431:G432" si="895">D431*209</f>
        <v>2508</v>
      </c>
      <c r="H431" s="127" t="s">
        <v>529</v>
      </c>
      <c r="I431" s="252">
        <f>I424-E431</f>
        <v>58400</v>
      </c>
      <c r="J431" s="253"/>
      <c r="K431" s="254"/>
      <c r="L431" s="126">
        <v>260909001</v>
      </c>
      <c r="M431" s="126"/>
      <c r="N431" s="126">
        <f>N429-D431</f>
        <v>0</v>
      </c>
      <c r="O431" s="192">
        <v>46246</v>
      </c>
      <c r="P431" s="193">
        <f t="shared" ref="P431:P432" si="896">365-R431</f>
        <v>336</v>
      </c>
      <c r="Q431" s="194">
        <f t="shared" ref="Q431:Q432" si="897">DATE(YEAR(O431)+1,MONTH(O431),DAY(O431))-1</f>
        <v>46610</v>
      </c>
      <c r="R431" s="195">
        <f t="shared" ref="R431:R432" si="898">DATEDIF(O431,B431,"d")</f>
        <v>29</v>
      </c>
      <c r="U431" s="91"/>
    </row>
    <row r="432" spans="1:21" s="1" customFormat="1" ht="19.649999999999999" customHeight="1" x14ac:dyDescent="0.25">
      <c r="A432" s="305">
        <v>46275</v>
      </c>
      <c r="B432" s="250">
        <v>46275</v>
      </c>
      <c r="C432" s="127" t="s">
        <v>576</v>
      </c>
      <c r="D432" s="126">
        <v>12</v>
      </c>
      <c r="E432" s="126">
        <f t="shared" si="894"/>
        <v>2400</v>
      </c>
      <c r="F432" s="127" t="s">
        <v>1</v>
      </c>
      <c r="G432" s="126">
        <f t="shared" si="895"/>
        <v>2508</v>
      </c>
      <c r="H432" s="127" t="s">
        <v>568</v>
      </c>
      <c r="I432" s="252">
        <f>I431-E432</f>
        <v>56000</v>
      </c>
      <c r="J432" s="253"/>
      <c r="K432" s="254"/>
      <c r="L432" s="126">
        <v>260909001</v>
      </c>
      <c r="M432" s="126"/>
      <c r="N432" s="126">
        <f>N430-D432</f>
        <v>10</v>
      </c>
      <c r="O432" s="192">
        <v>46248</v>
      </c>
      <c r="P432" s="193">
        <f t="shared" si="896"/>
        <v>338</v>
      </c>
      <c r="Q432" s="194">
        <f t="shared" si="897"/>
        <v>46612</v>
      </c>
      <c r="R432" s="195">
        <f t="shared" si="898"/>
        <v>27</v>
      </c>
      <c r="U432" s="91"/>
    </row>
    <row r="433" spans="1:21" s="1" customFormat="1" ht="19.649999999999999" customHeight="1" x14ac:dyDescent="0.25">
      <c r="A433" s="329">
        <v>46279</v>
      </c>
      <c r="B433" s="219">
        <v>46279</v>
      </c>
      <c r="C433" s="221" t="s">
        <v>586</v>
      </c>
      <c r="D433" s="220">
        <v>10</v>
      </c>
      <c r="E433" s="220">
        <f t="shared" ref="E433:E434" si="899">D433*200</f>
        <v>2000</v>
      </c>
      <c r="F433" s="221" t="s">
        <v>1</v>
      </c>
      <c r="G433" s="220">
        <f t="shared" ref="G433:G434" si="900">D433*209</f>
        <v>2090</v>
      </c>
      <c r="H433" s="221" t="s">
        <v>585</v>
      </c>
      <c r="I433" s="222">
        <f>I432-E433</f>
        <v>54000</v>
      </c>
      <c r="J433" s="223"/>
      <c r="K433" s="224"/>
      <c r="L433" s="220">
        <v>260911001</v>
      </c>
      <c r="M433" s="220"/>
      <c r="N433" s="220">
        <f>N432-D433</f>
        <v>0</v>
      </c>
      <c r="O433" s="192">
        <v>46248</v>
      </c>
      <c r="P433" s="193">
        <f t="shared" ref="P433:P434" si="901">365-R433</f>
        <v>334</v>
      </c>
      <c r="Q433" s="194">
        <f t="shared" ref="Q433:Q434" si="902">DATE(YEAR(O433)+1,MONTH(O433),DAY(O433))-1</f>
        <v>46612</v>
      </c>
      <c r="R433" s="195">
        <f t="shared" ref="R433:R434" si="903">DATEDIF(O433,B433,"d")</f>
        <v>31</v>
      </c>
      <c r="U433" s="91"/>
    </row>
    <row r="434" spans="1:21" s="1" customFormat="1" ht="19.649999999999999" customHeight="1" x14ac:dyDescent="0.25">
      <c r="A434" s="329">
        <v>46279</v>
      </c>
      <c r="B434" s="219">
        <v>46279</v>
      </c>
      <c r="C434" s="221" t="s">
        <v>582</v>
      </c>
      <c r="D434" s="220">
        <v>22</v>
      </c>
      <c r="E434" s="220">
        <f t="shared" si="899"/>
        <v>4400</v>
      </c>
      <c r="F434" s="221" t="s">
        <v>1</v>
      </c>
      <c r="G434" s="220">
        <f t="shared" si="900"/>
        <v>4598</v>
      </c>
      <c r="H434" s="221" t="s">
        <v>529</v>
      </c>
      <c r="I434" s="222">
        <f>I433-E434</f>
        <v>49600</v>
      </c>
      <c r="J434" s="223"/>
      <c r="K434" s="224"/>
      <c r="L434" s="220">
        <v>260911001</v>
      </c>
      <c r="M434" s="220"/>
      <c r="N434" s="220">
        <f>N411-D434</f>
        <v>16</v>
      </c>
      <c r="O434" s="192">
        <v>46251</v>
      </c>
      <c r="P434" s="193">
        <f t="shared" si="901"/>
        <v>337</v>
      </c>
      <c r="Q434" s="194">
        <f t="shared" si="902"/>
        <v>46615</v>
      </c>
      <c r="R434" s="195">
        <f t="shared" si="903"/>
        <v>28</v>
      </c>
      <c r="U434" s="91"/>
    </row>
    <row r="435" spans="1:21" s="1" customFormat="1" ht="19.649999999999999" customHeight="1" x14ac:dyDescent="0.25">
      <c r="A435" s="262">
        <v>46279</v>
      </c>
      <c r="B435" s="262">
        <v>46279</v>
      </c>
      <c r="C435" s="263" t="s">
        <v>587</v>
      </c>
      <c r="D435" s="263">
        <v>16</v>
      </c>
      <c r="E435" s="263">
        <f>D435*200</f>
        <v>3200</v>
      </c>
      <c r="F435" s="345" t="s">
        <v>40</v>
      </c>
      <c r="G435" s="263">
        <f>D435*209</f>
        <v>3344</v>
      </c>
      <c r="H435" s="264" t="s">
        <v>583</v>
      </c>
      <c r="I435" s="265">
        <f>I430-E435</f>
        <v>7600</v>
      </c>
      <c r="J435" s="266"/>
      <c r="K435" s="267"/>
      <c r="L435" s="263">
        <v>260911002</v>
      </c>
      <c r="M435" s="263"/>
      <c r="N435" s="263">
        <f>N434-D435</f>
        <v>0</v>
      </c>
      <c r="O435" s="192">
        <v>46251</v>
      </c>
      <c r="P435" s="193">
        <f t="shared" ref="P435:P439" si="904">365-R435</f>
        <v>337</v>
      </c>
      <c r="Q435" s="194">
        <f t="shared" ref="Q435:Q439" si="905">DATE(YEAR(O435)+1,MONTH(O435),DAY(O435))-1</f>
        <v>46615</v>
      </c>
      <c r="R435" s="195">
        <f t="shared" ref="R435:R439" si="906">DATEDIF(O435,B435,"d")</f>
        <v>28</v>
      </c>
      <c r="U435" s="91"/>
    </row>
    <row r="436" spans="1:21" s="1" customFormat="1" ht="19.649999999999999" customHeight="1" x14ac:dyDescent="0.25">
      <c r="A436" s="7">
        <v>46280</v>
      </c>
      <c r="B436" s="7">
        <v>46280</v>
      </c>
      <c r="C436" s="8" t="s">
        <v>593</v>
      </c>
      <c r="D436" s="8">
        <v>24</v>
      </c>
      <c r="E436" s="8">
        <f t="shared" ref="E436:E441" si="907">D436*200</f>
        <v>4800</v>
      </c>
      <c r="F436" s="9" t="s">
        <v>3</v>
      </c>
      <c r="G436" s="8">
        <f t="shared" ref="G436:G441" si="908">D436*209</f>
        <v>5016</v>
      </c>
      <c r="H436" s="9" t="s">
        <v>566</v>
      </c>
      <c r="I436" s="10">
        <f>I428-E436</f>
        <v>6200</v>
      </c>
      <c r="J436" s="11"/>
      <c r="K436" s="12"/>
      <c r="L436" s="8">
        <v>260914001</v>
      </c>
      <c r="M436" s="8"/>
      <c r="N436" s="8">
        <f>N412-D436</f>
        <v>14</v>
      </c>
      <c r="O436" s="192">
        <v>46253</v>
      </c>
      <c r="P436" s="193">
        <f t="shared" si="904"/>
        <v>338</v>
      </c>
      <c r="Q436" s="194">
        <f t="shared" si="905"/>
        <v>46617</v>
      </c>
      <c r="R436" s="195">
        <f t="shared" si="906"/>
        <v>27</v>
      </c>
      <c r="U436" s="91"/>
    </row>
    <row r="437" spans="1:21" s="1" customFormat="1" ht="19.649999999999999" customHeight="1" x14ac:dyDescent="0.25">
      <c r="A437" s="7">
        <v>46280</v>
      </c>
      <c r="B437" s="7">
        <v>46280</v>
      </c>
      <c r="C437" s="8" t="s">
        <v>589</v>
      </c>
      <c r="D437" s="8">
        <v>4</v>
      </c>
      <c r="E437" s="8">
        <f t="shared" si="907"/>
        <v>800</v>
      </c>
      <c r="F437" s="9" t="s">
        <v>3</v>
      </c>
      <c r="G437" s="8">
        <f t="shared" si="908"/>
        <v>836</v>
      </c>
      <c r="H437" s="9" t="s">
        <v>592</v>
      </c>
      <c r="I437" s="10">
        <f>I436-E437</f>
        <v>5400</v>
      </c>
      <c r="J437" s="11" t="s">
        <v>322</v>
      </c>
      <c r="K437" s="12"/>
      <c r="L437" s="8">
        <v>260914002</v>
      </c>
      <c r="M437" s="8">
        <v>42</v>
      </c>
      <c r="N437" s="8">
        <f>M437-D437</f>
        <v>38</v>
      </c>
      <c r="O437" s="192">
        <v>46265</v>
      </c>
      <c r="P437" s="193">
        <f t="shared" si="904"/>
        <v>350</v>
      </c>
      <c r="Q437" s="194">
        <f t="shared" si="905"/>
        <v>46629</v>
      </c>
      <c r="R437" s="195">
        <f t="shared" si="906"/>
        <v>15</v>
      </c>
      <c r="U437" s="91"/>
    </row>
    <row r="438" spans="1:21" s="1" customFormat="1" ht="19.649999999999999" customHeight="1" x14ac:dyDescent="0.25">
      <c r="A438" s="7">
        <v>46280</v>
      </c>
      <c r="B438" s="7">
        <v>46280</v>
      </c>
      <c r="C438" s="8" t="s">
        <v>590</v>
      </c>
      <c r="D438" s="8">
        <v>4</v>
      </c>
      <c r="E438" s="8">
        <f t="shared" si="907"/>
        <v>800</v>
      </c>
      <c r="F438" s="9" t="s">
        <v>3</v>
      </c>
      <c r="G438" s="8">
        <f t="shared" si="908"/>
        <v>836</v>
      </c>
      <c r="H438" s="9" t="s">
        <v>566</v>
      </c>
      <c r="I438" s="10">
        <f>I437-E438</f>
        <v>4600</v>
      </c>
      <c r="J438" s="11" t="s">
        <v>322</v>
      </c>
      <c r="K438" s="12"/>
      <c r="L438" s="8">
        <v>260914002</v>
      </c>
      <c r="M438" s="8">
        <v>42</v>
      </c>
      <c r="N438" s="8">
        <f>M438-D438</f>
        <v>38</v>
      </c>
      <c r="O438" s="192">
        <v>46267</v>
      </c>
      <c r="P438" s="193">
        <f t="shared" si="904"/>
        <v>352</v>
      </c>
      <c r="Q438" s="194">
        <f t="shared" si="905"/>
        <v>46631</v>
      </c>
      <c r="R438" s="195">
        <f t="shared" si="906"/>
        <v>13</v>
      </c>
      <c r="U438" s="91"/>
    </row>
    <row r="439" spans="1:21" s="1" customFormat="1" ht="19.649999999999999" customHeight="1" x14ac:dyDescent="0.25">
      <c r="A439" s="7">
        <v>46280</v>
      </c>
      <c r="B439" s="7">
        <v>46280</v>
      </c>
      <c r="C439" s="8" t="s">
        <v>591</v>
      </c>
      <c r="D439" s="8">
        <v>4</v>
      </c>
      <c r="E439" s="8">
        <f t="shared" si="907"/>
        <v>800</v>
      </c>
      <c r="F439" s="9" t="s">
        <v>3</v>
      </c>
      <c r="G439" s="8">
        <f t="shared" si="908"/>
        <v>836</v>
      </c>
      <c r="H439" s="9" t="s">
        <v>566</v>
      </c>
      <c r="I439" s="10">
        <f>I438-E439</f>
        <v>3800</v>
      </c>
      <c r="J439" s="11" t="s">
        <v>322</v>
      </c>
      <c r="K439" s="12"/>
      <c r="L439" s="8">
        <v>260914002</v>
      </c>
      <c r="M439" s="8">
        <v>42</v>
      </c>
      <c r="N439" s="8">
        <f>M439-D439</f>
        <v>38</v>
      </c>
      <c r="O439" s="192">
        <v>46269</v>
      </c>
      <c r="P439" s="193">
        <f t="shared" si="904"/>
        <v>354</v>
      </c>
      <c r="Q439" s="194">
        <f t="shared" si="905"/>
        <v>46633</v>
      </c>
      <c r="R439" s="195">
        <f t="shared" si="906"/>
        <v>11</v>
      </c>
      <c r="U439" s="91"/>
    </row>
    <row r="440" spans="1:21" s="1" customFormat="1" ht="19.649999999999999" customHeight="1" x14ac:dyDescent="0.25">
      <c r="A440" s="336">
        <v>46282</v>
      </c>
      <c r="B440" s="32">
        <v>46282</v>
      </c>
      <c r="C440" s="34" t="s">
        <v>596</v>
      </c>
      <c r="D440" s="33">
        <v>14</v>
      </c>
      <c r="E440" s="33">
        <f t="shared" si="907"/>
        <v>2800</v>
      </c>
      <c r="F440" s="34" t="s">
        <v>1</v>
      </c>
      <c r="G440" s="33">
        <f t="shared" si="908"/>
        <v>2926</v>
      </c>
      <c r="H440" s="34" t="s">
        <v>595</v>
      </c>
      <c r="I440" s="35">
        <f>I434-E440</f>
        <v>46800</v>
      </c>
      <c r="J440" s="36"/>
      <c r="K440" s="37"/>
      <c r="L440" s="33">
        <v>260916001</v>
      </c>
      <c r="M440" s="33"/>
      <c r="N440" s="33">
        <f>N436-D440</f>
        <v>0</v>
      </c>
      <c r="O440" s="192">
        <v>46253</v>
      </c>
      <c r="P440" s="193">
        <f t="shared" ref="P440:P441" si="909">365-R440</f>
        <v>336</v>
      </c>
      <c r="Q440" s="194">
        <f t="shared" ref="Q440:Q441" si="910">DATE(YEAR(O440)+1,MONTH(O440),DAY(O440))-1</f>
        <v>46617</v>
      </c>
      <c r="R440" s="195">
        <f t="shared" ref="R440:R441" si="911">DATEDIF(O440,B440,"d")</f>
        <v>29</v>
      </c>
      <c r="U440" s="91"/>
    </row>
    <row r="441" spans="1:21" s="1" customFormat="1" ht="19.649999999999999" customHeight="1" x14ac:dyDescent="0.25">
      <c r="A441" s="336">
        <v>46282</v>
      </c>
      <c r="B441" s="32">
        <v>46282</v>
      </c>
      <c r="C441" s="34" t="s">
        <v>570</v>
      </c>
      <c r="D441" s="33">
        <v>10</v>
      </c>
      <c r="E441" s="33">
        <f t="shared" si="907"/>
        <v>2000</v>
      </c>
      <c r="F441" s="34" t="s">
        <v>1</v>
      </c>
      <c r="G441" s="33">
        <f t="shared" si="908"/>
        <v>2090</v>
      </c>
      <c r="H441" s="34" t="s">
        <v>594</v>
      </c>
      <c r="I441" s="35">
        <f>I440-E441</f>
        <v>44800</v>
      </c>
      <c r="J441" s="36"/>
      <c r="K441" s="37"/>
      <c r="L441" s="33">
        <v>260916001</v>
      </c>
      <c r="M441" s="33"/>
      <c r="N441" s="33">
        <f>N427-D441</f>
        <v>28</v>
      </c>
      <c r="O441" s="192">
        <v>46258</v>
      </c>
      <c r="P441" s="193">
        <f t="shared" si="909"/>
        <v>341</v>
      </c>
      <c r="Q441" s="194">
        <f t="shared" si="910"/>
        <v>46622</v>
      </c>
      <c r="R441" s="195">
        <f t="shared" si="911"/>
        <v>24</v>
      </c>
      <c r="U441" s="91"/>
    </row>
    <row r="442" spans="1:21" s="1" customFormat="1" ht="19.649999999999999" customHeight="1" x14ac:dyDescent="0.25">
      <c r="A442" s="213">
        <v>46283</v>
      </c>
      <c r="B442" s="213">
        <v>46283</v>
      </c>
      <c r="C442" s="214" t="s">
        <v>600</v>
      </c>
      <c r="D442" s="214">
        <v>16</v>
      </c>
      <c r="E442" s="214">
        <f>D442*200</f>
        <v>3200</v>
      </c>
      <c r="F442" s="383" t="s">
        <v>40</v>
      </c>
      <c r="G442" s="214">
        <f>D442*209</f>
        <v>3344</v>
      </c>
      <c r="H442" s="215" t="s">
        <v>599</v>
      </c>
      <c r="I442" s="216">
        <f>I435-E442</f>
        <v>4400</v>
      </c>
      <c r="J442" s="217"/>
      <c r="K442" s="218"/>
      <c r="L442" s="214">
        <v>260917004</v>
      </c>
      <c r="M442" s="214"/>
      <c r="N442" s="214">
        <f>N441-D442</f>
        <v>12</v>
      </c>
      <c r="O442" s="192">
        <v>46258</v>
      </c>
      <c r="P442" s="193">
        <f t="shared" ref="P442" si="912">365-R442</f>
        <v>340</v>
      </c>
      <c r="Q442" s="194">
        <f t="shared" ref="Q442" si="913">DATE(YEAR(O442)+1,MONTH(O442),DAY(O442))-1</f>
        <v>46622</v>
      </c>
      <c r="R442" s="195">
        <f t="shared" ref="R442" si="914">DATEDIF(O442,B442,"d")</f>
        <v>25</v>
      </c>
      <c r="U442" s="91"/>
    </row>
    <row r="443" spans="1:21" s="1" customFormat="1" ht="19.649999999999999" customHeight="1" x14ac:dyDescent="0.25">
      <c r="A443" s="359">
        <v>46286</v>
      </c>
      <c r="B443" s="104">
        <v>46286</v>
      </c>
      <c r="C443" s="106" t="s">
        <v>606</v>
      </c>
      <c r="D443" s="105">
        <v>12</v>
      </c>
      <c r="E443" s="105">
        <f t="shared" ref="E443:E450" si="915">D443*200</f>
        <v>2400</v>
      </c>
      <c r="F443" s="106" t="s">
        <v>1</v>
      </c>
      <c r="G443" s="105">
        <f t="shared" ref="G443:G450" si="916">D443*209</f>
        <v>2508</v>
      </c>
      <c r="H443" s="106" t="s">
        <v>605</v>
      </c>
      <c r="I443" s="107">
        <f>I441-E443</f>
        <v>42400</v>
      </c>
      <c r="J443" s="108"/>
      <c r="K443" s="109"/>
      <c r="L443" s="105">
        <v>260918001</v>
      </c>
      <c r="M443" s="105"/>
      <c r="N443" s="105">
        <f>N442-D443</f>
        <v>0</v>
      </c>
      <c r="O443" s="192">
        <v>46258</v>
      </c>
      <c r="P443" s="193">
        <f t="shared" ref="P443:P450" si="917">365-R443</f>
        <v>337</v>
      </c>
      <c r="Q443" s="194">
        <f t="shared" ref="Q443:Q450" si="918">DATE(YEAR(O443)+1,MONTH(O443),DAY(O443))-1</f>
        <v>46622</v>
      </c>
      <c r="R443" s="195">
        <f t="shared" ref="R443:R450" si="919">DATEDIF(O443,B443,"d")</f>
        <v>28</v>
      </c>
      <c r="U443" s="91"/>
    </row>
    <row r="444" spans="1:21" s="1" customFormat="1" ht="19.649999999999999" customHeight="1" x14ac:dyDescent="0.25">
      <c r="A444" s="359">
        <v>46286</v>
      </c>
      <c r="B444" s="104">
        <v>46286</v>
      </c>
      <c r="C444" s="106" t="s">
        <v>607</v>
      </c>
      <c r="D444" s="105">
        <v>19</v>
      </c>
      <c r="E444" s="105">
        <f t="shared" si="915"/>
        <v>3800</v>
      </c>
      <c r="F444" s="106" t="s">
        <v>1</v>
      </c>
      <c r="G444" s="105">
        <f t="shared" si="916"/>
        <v>3971</v>
      </c>
      <c r="H444" s="106" t="s">
        <v>529</v>
      </c>
      <c r="I444" s="107">
        <f>I443-E444</f>
        <v>38600</v>
      </c>
      <c r="J444" s="108"/>
      <c r="K444" s="109"/>
      <c r="L444" s="105">
        <v>260918001</v>
      </c>
      <c r="M444" s="105"/>
      <c r="N444" s="105">
        <f>N428-D444</f>
        <v>20</v>
      </c>
      <c r="O444" s="192">
        <v>46262</v>
      </c>
      <c r="P444" s="193">
        <f t="shared" si="917"/>
        <v>341</v>
      </c>
      <c r="Q444" s="194">
        <f t="shared" si="918"/>
        <v>46626</v>
      </c>
      <c r="R444" s="195">
        <f t="shared" si="919"/>
        <v>24</v>
      </c>
      <c r="U444" s="91"/>
    </row>
    <row r="445" spans="1:21" s="1" customFormat="1" ht="19.649999999999999" customHeight="1" x14ac:dyDescent="0.25">
      <c r="A445" s="359">
        <v>46286</v>
      </c>
      <c r="B445" s="104">
        <v>46286</v>
      </c>
      <c r="C445" s="106" t="s">
        <v>589</v>
      </c>
      <c r="D445" s="105">
        <v>1</v>
      </c>
      <c r="E445" s="105">
        <f t="shared" ref="E445" si="920">D445*200</f>
        <v>200</v>
      </c>
      <c r="F445" s="106" t="s">
        <v>1</v>
      </c>
      <c r="G445" s="105">
        <f t="shared" ref="G445" si="921">D445*209</f>
        <v>209</v>
      </c>
      <c r="H445" s="106" t="s">
        <v>605</v>
      </c>
      <c r="I445" s="107">
        <f>I444-E445</f>
        <v>38400</v>
      </c>
      <c r="J445" s="108"/>
      <c r="K445" s="109"/>
      <c r="L445" s="105">
        <v>260918001</v>
      </c>
      <c r="M445" s="105"/>
      <c r="N445" s="105">
        <f>N437-D445</f>
        <v>37</v>
      </c>
      <c r="O445" s="192">
        <v>46265</v>
      </c>
      <c r="P445" s="193">
        <f t="shared" si="917"/>
        <v>344</v>
      </c>
      <c r="Q445" s="194">
        <f t="shared" si="918"/>
        <v>46629</v>
      </c>
      <c r="R445" s="195">
        <f t="shared" si="919"/>
        <v>21</v>
      </c>
      <c r="U445" s="91"/>
    </row>
    <row r="446" spans="1:21" s="1" customFormat="1" ht="19.649999999999999" customHeight="1" x14ac:dyDescent="0.25">
      <c r="A446" s="233">
        <v>46287</v>
      </c>
      <c r="B446" s="233">
        <v>46287</v>
      </c>
      <c r="C446" s="38" t="s">
        <v>615</v>
      </c>
      <c r="D446" s="38">
        <v>19</v>
      </c>
      <c r="E446" s="38">
        <f t="shared" si="915"/>
        <v>3800</v>
      </c>
      <c r="F446" s="39" t="s">
        <v>3</v>
      </c>
      <c r="G446" s="38">
        <f t="shared" si="916"/>
        <v>3971</v>
      </c>
      <c r="H446" s="39" t="s">
        <v>609</v>
      </c>
      <c r="I446" s="234">
        <f>I439-E446</f>
        <v>0</v>
      </c>
      <c r="J446" s="235"/>
      <c r="K446" s="236"/>
      <c r="L446" s="38">
        <v>260921001</v>
      </c>
      <c r="M446" s="38"/>
      <c r="N446" s="38">
        <f>N444-D446</f>
        <v>1</v>
      </c>
      <c r="O446" s="192">
        <v>46262</v>
      </c>
      <c r="P446" s="193">
        <f t="shared" ref="P446:P447" si="922">365-R446</f>
        <v>340</v>
      </c>
      <c r="Q446" s="194">
        <f t="shared" ref="Q446:Q447" si="923">DATE(YEAR(O446)+1,MONTH(O446),DAY(O446))-1</f>
        <v>46626</v>
      </c>
      <c r="R446" s="195">
        <f t="shared" ref="R446:R447" si="924">DATEDIF(O446,B446,"d")</f>
        <v>25</v>
      </c>
      <c r="U446" s="91"/>
    </row>
    <row r="447" spans="1:21" s="1" customFormat="1" ht="19.649999999999999" customHeight="1" x14ac:dyDescent="0.25">
      <c r="A447" s="233">
        <v>46287</v>
      </c>
      <c r="B447" s="233">
        <v>46287</v>
      </c>
      <c r="C447" s="38" t="s">
        <v>617</v>
      </c>
      <c r="D447" s="38">
        <v>1</v>
      </c>
      <c r="E447" s="38">
        <f t="shared" si="915"/>
        <v>200</v>
      </c>
      <c r="F447" s="39" t="s">
        <v>3</v>
      </c>
      <c r="G447" s="38">
        <f t="shared" si="916"/>
        <v>209</v>
      </c>
      <c r="H447" s="393" t="s">
        <v>616</v>
      </c>
      <c r="I447" s="234">
        <f>4800-E447</f>
        <v>4600</v>
      </c>
      <c r="J447" s="235"/>
      <c r="K447" s="236"/>
      <c r="L447" s="38">
        <v>260921001</v>
      </c>
      <c r="M447" s="38"/>
      <c r="N447" s="38">
        <f>N446-D447</f>
        <v>0</v>
      </c>
      <c r="O447" s="192">
        <v>46262</v>
      </c>
      <c r="P447" s="193">
        <f t="shared" si="922"/>
        <v>340</v>
      </c>
      <c r="Q447" s="194">
        <f t="shared" si="923"/>
        <v>46626</v>
      </c>
      <c r="R447" s="195">
        <f t="shared" si="924"/>
        <v>25</v>
      </c>
      <c r="U447" s="91"/>
    </row>
    <row r="448" spans="1:21" s="1" customFormat="1" ht="19.649999999999999" customHeight="1" x14ac:dyDescent="0.25">
      <c r="A448" s="233">
        <v>46287</v>
      </c>
      <c r="B448" s="233">
        <v>46287</v>
      </c>
      <c r="C448" s="38" t="s">
        <v>619</v>
      </c>
      <c r="D448" s="38">
        <v>4</v>
      </c>
      <c r="E448" s="38">
        <f t="shared" ref="E448" si="925">D448*200</f>
        <v>800</v>
      </c>
      <c r="F448" s="39" t="s">
        <v>3</v>
      </c>
      <c r="G448" s="38">
        <f t="shared" ref="G448" si="926">D448*209</f>
        <v>836</v>
      </c>
      <c r="H448" s="39" t="s">
        <v>608</v>
      </c>
      <c r="I448" s="234">
        <f>I447-E448</f>
        <v>3800</v>
      </c>
      <c r="J448" s="235" t="s">
        <v>322</v>
      </c>
      <c r="K448" s="236"/>
      <c r="L448" s="38">
        <v>260921002</v>
      </c>
      <c r="M448" s="38">
        <v>42</v>
      </c>
      <c r="N448" s="38">
        <f>M448-D448</f>
        <v>38</v>
      </c>
      <c r="O448" s="192">
        <v>46272</v>
      </c>
      <c r="P448" s="193">
        <f t="shared" ref="P448" si="927">365-R448</f>
        <v>350</v>
      </c>
      <c r="Q448" s="194">
        <f t="shared" ref="Q448" si="928">DATE(YEAR(O448)+1,MONTH(O448),DAY(O448))-1</f>
        <v>46636</v>
      </c>
      <c r="R448" s="195">
        <f t="shared" ref="R448" si="929">DATEDIF(O448,B448,"d")</f>
        <v>15</v>
      </c>
      <c r="U448" s="91"/>
    </row>
    <row r="449" spans="1:21" s="1" customFormat="1" ht="19.649999999999999" customHeight="1" x14ac:dyDescent="0.25">
      <c r="A449" s="233">
        <v>46287</v>
      </c>
      <c r="B449" s="233">
        <v>46287</v>
      </c>
      <c r="C449" s="38" t="s">
        <v>601</v>
      </c>
      <c r="D449" s="38">
        <v>4</v>
      </c>
      <c r="E449" s="38">
        <f t="shared" si="915"/>
        <v>800</v>
      </c>
      <c r="F449" s="39" t="s">
        <v>3</v>
      </c>
      <c r="G449" s="38">
        <f t="shared" si="916"/>
        <v>836</v>
      </c>
      <c r="H449" s="39" t="s">
        <v>618</v>
      </c>
      <c r="I449" s="234">
        <f>I448-E449</f>
        <v>3000</v>
      </c>
      <c r="J449" s="235" t="s">
        <v>322</v>
      </c>
      <c r="K449" s="236"/>
      <c r="L449" s="38">
        <v>260921002</v>
      </c>
      <c r="M449" s="38">
        <v>42</v>
      </c>
      <c r="N449" s="38">
        <f>M449-D449</f>
        <v>38</v>
      </c>
      <c r="O449" s="192">
        <v>46274</v>
      </c>
      <c r="P449" s="193">
        <f t="shared" si="917"/>
        <v>352</v>
      </c>
      <c r="Q449" s="194">
        <f t="shared" si="918"/>
        <v>46638</v>
      </c>
      <c r="R449" s="195">
        <f t="shared" si="919"/>
        <v>13</v>
      </c>
      <c r="U449" s="91"/>
    </row>
    <row r="450" spans="1:21" s="1" customFormat="1" ht="19.649999999999999" customHeight="1" x14ac:dyDescent="0.25">
      <c r="A450" s="233">
        <v>46287</v>
      </c>
      <c r="B450" s="233">
        <v>46287</v>
      </c>
      <c r="C450" s="38" t="s">
        <v>602</v>
      </c>
      <c r="D450" s="38">
        <v>4</v>
      </c>
      <c r="E450" s="38">
        <f t="shared" si="915"/>
        <v>800</v>
      </c>
      <c r="F450" s="39" t="s">
        <v>3</v>
      </c>
      <c r="G450" s="38">
        <f t="shared" si="916"/>
        <v>836</v>
      </c>
      <c r="H450" s="39" t="s">
        <v>608</v>
      </c>
      <c r="I450" s="234">
        <f>I449-E450</f>
        <v>2200</v>
      </c>
      <c r="J450" s="235" t="s">
        <v>322</v>
      </c>
      <c r="K450" s="236"/>
      <c r="L450" s="38">
        <v>260921002</v>
      </c>
      <c r="M450" s="38">
        <v>42</v>
      </c>
      <c r="N450" s="38">
        <f>M450-D450</f>
        <v>38</v>
      </c>
      <c r="O450" s="192">
        <v>46276</v>
      </c>
      <c r="P450" s="193">
        <f t="shared" si="917"/>
        <v>354</v>
      </c>
      <c r="Q450" s="194">
        <f t="shared" si="918"/>
        <v>46640</v>
      </c>
      <c r="R450" s="195">
        <f t="shared" si="919"/>
        <v>11</v>
      </c>
      <c r="U450" s="91"/>
    </row>
    <row r="451" spans="1:21" s="1" customFormat="1" ht="19.649999999999999" customHeight="1" x14ac:dyDescent="0.25">
      <c r="A451" s="233">
        <v>46287</v>
      </c>
      <c r="B451" s="233">
        <v>46287</v>
      </c>
      <c r="C451" s="38" t="s">
        <v>603</v>
      </c>
      <c r="D451" s="38">
        <v>4</v>
      </c>
      <c r="E451" s="38">
        <f t="shared" ref="E451" si="930">D451*200</f>
        <v>800</v>
      </c>
      <c r="F451" s="39" t="s">
        <v>3</v>
      </c>
      <c r="G451" s="38">
        <f t="shared" ref="G451" si="931">D451*209</f>
        <v>836</v>
      </c>
      <c r="H451" s="39" t="s">
        <v>604</v>
      </c>
      <c r="I451" s="234">
        <f>I450-E451</f>
        <v>1400</v>
      </c>
      <c r="J451" s="235" t="s">
        <v>322</v>
      </c>
      <c r="K451" s="236"/>
      <c r="L451" s="38">
        <v>260921002</v>
      </c>
      <c r="M451" s="38">
        <v>43</v>
      </c>
      <c r="N451" s="38">
        <f>M451-D451</f>
        <v>39</v>
      </c>
      <c r="O451" s="192">
        <v>46278</v>
      </c>
      <c r="P451" s="193">
        <f t="shared" ref="P451:P453" si="932">365-R451</f>
        <v>356</v>
      </c>
      <c r="Q451" s="194">
        <f t="shared" ref="Q451:Q453" si="933">DATE(YEAR(O451)+1,MONTH(O451),DAY(O451))-1</f>
        <v>46642</v>
      </c>
      <c r="R451" s="195">
        <f t="shared" ref="R451:R453" si="934">DATEDIF(O451,B451,"d")</f>
        <v>9</v>
      </c>
      <c r="U451" s="91"/>
    </row>
    <row r="452" spans="1:21" s="1" customFormat="1" ht="19.649999999999999" customHeight="1" x14ac:dyDescent="0.25">
      <c r="A452" s="32">
        <v>46287</v>
      </c>
      <c r="B452" s="32">
        <v>46287</v>
      </c>
      <c r="C452" s="33" t="s">
        <v>611</v>
      </c>
      <c r="D452" s="33">
        <v>17</v>
      </c>
      <c r="E452" s="33">
        <f>D452*200</f>
        <v>3400</v>
      </c>
      <c r="F452" s="358" t="s">
        <v>40</v>
      </c>
      <c r="G452" s="33">
        <f>D452*209</f>
        <v>3553</v>
      </c>
      <c r="H452" s="34" t="s">
        <v>613</v>
      </c>
      <c r="I452" s="35">
        <f>I442-E452</f>
        <v>1000</v>
      </c>
      <c r="J452" s="36"/>
      <c r="K452" s="37"/>
      <c r="L452" s="33">
        <v>260921003</v>
      </c>
      <c r="M452" s="33"/>
      <c r="N452" s="33">
        <f>N445-D452</f>
        <v>20</v>
      </c>
      <c r="O452" s="192">
        <v>46265</v>
      </c>
      <c r="P452" s="193">
        <f t="shared" si="932"/>
        <v>343</v>
      </c>
      <c r="Q452" s="194">
        <f t="shared" si="933"/>
        <v>46629</v>
      </c>
      <c r="R452" s="195">
        <f t="shared" si="934"/>
        <v>22</v>
      </c>
      <c r="U452" s="91"/>
    </row>
    <row r="453" spans="1:21" s="1" customFormat="1" ht="19.649999999999999" customHeight="1" x14ac:dyDescent="0.25">
      <c r="A453" s="32">
        <v>46287</v>
      </c>
      <c r="B453" s="32">
        <v>46287</v>
      </c>
      <c r="C453" s="33" t="s">
        <v>612</v>
      </c>
      <c r="D453" s="33">
        <v>5</v>
      </c>
      <c r="E453" s="33">
        <f>D453*200</f>
        <v>1000</v>
      </c>
      <c r="F453" s="358" t="s">
        <v>40</v>
      </c>
      <c r="G453" s="33">
        <f>D453*209</f>
        <v>1045</v>
      </c>
      <c r="H453" s="34" t="s">
        <v>614</v>
      </c>
      <c r="I453" s="35">
        <f>I452-E453</f>
        <v>0</v>
      </c>
      <c r="J453" s="36"/>
      <c r="K453" s="37"/>
      <c r="L453" s="33">
        <v>260921003</v>
      </c>
      <c r="M453" s="33"/>
      <c r="N453" s="33">
        <f>N438-D453</f>
        <v>33</v>
      </c>
      <c r="O453" s="192">
        <v>46267</v>
      </c>
      <c r="P453" s="193">
        <f t="shared" si="932"/>
        <v>345</v>
      </c>
      <c r="Q453" s="194">
        <f t="shared" si="933"/>
        <v>46631</v>
      </c>
      <c r="R453" s="195">
        <f t="shared" si="934"/>
        <v>20</v>
      </c>
      <c r="U453" s="91"/>
    </row>
    <row r="454" spans="1:21" s="1" customFormat="1" ht="19.649999999999999" customHeight="1" x14ac:dyDescent="0.25">
      <c r="A454" s="32">
        <v>46287</v>
      </c>
      <c r="B454" s="32">
        <v>46287</v>
      </c>
      <c r="C454" s="33" t="s">
        <v>612</v>
      </c>
      <c r="D454" s="33">
        <v>6</v>
      </c>
      <c r="E454" s="33">
        <f>D454*200</f>
        <v>1200</v>
      </c>
      <c r="F454" s="358" t="s">
        <v>40</v>
      </c>
      <c r="G454" s="33">
        <f>D454*209</f>
        <v>1254</v>
      </c>
      <c r="H454" s="331" t="s">
        <v>621</v>
      </c>
      <c r="I454" s="35">
        <f>16800-E454</f>
        <v>15600</v>
      </c>
      <c r="J454" s="36"/>
      <c r="K454" s="37"/>
      <c r="L454" s="33">
        <v>260921003</v>
      </c>
      <c r="M454" s="33"/>
      <c r="N454" s="33">
        <f>N453-D454</f>
        <v>27</v>
      </c>
      <c r="O454" s="192">
        <v>46267</v>
      </c>
      <c r="P454" s="193">
        <f t="shared" ref="P454" si="935">365-R454</f>
        <v>345</v>
      </c>
      <c r="Q454" s="194">
        <f t="shared" ref="Q454" si="936">DATE(YEAR(O454)+1,MONTH(O454),DAY(O454))-1</f>
        <v>46631</v>
      </c>
      <c r="R454" s="195">
        <f t="shared" ref="R454" si="937">DATEDIF(O454,B454,"d")</f>
        <v>20</v>
      </c>
      <c r="U454" s="91"/>
    </row>
    <row r="455" spans="1:21" s="1" customFormat="1" ht="19.649999999999999" customHeight="1" x14ac:dyDescent="0.25">
      <c r="A455" s="314">
        <v>46289</v>
      </c>
      <c r="B455" s="243">
        <v>46289</v>
      </c>
      <c r="C455" s="245" t="s">
        <v>611</v>
      </c>
      <c r="D455" s="244">
        <v>20</v>
      </c>
      <c r="E455" s="244">
        <f t="shared" ref="E455:E456" si="938">D455*200</f>
        <v>4000</v>
      </c>
      <c r="F455" s="245" t="s">
        <v>1</v>
      </c>
      <c r="G455" s="244">
        <f t="shared" ref="G455:G456" si="939">D455*209</f>
        <v>4180</v>
      </c>
      <c r="H455" s="245" t="s">
        <v>627</v>
      </c>
      <c r="I455" s="246">
        <f>I445-E455</f>
        <v>34400</v>
      </c>
      <c r="J455" s="247"/>
      <c r="K455" s="248"/>
      <c r="L455" s="244">
        <v>260923003</v>
      </c>
      <c r="M455" s="244"/>
      <c r="N455" s="244">
        <f>N452-D455</f>
        <v>0</v>
      </c>
      <c r="O455" s="192">
        <v>46265</v>
      </c>
      <c r="P455" s="193">
        <f t="shared" ref="P455:P457" si="940">365-R455</f>
        <v>341</v>
      </c>
      <c r="Q455" s="194">
        <f t="shared" ref="Q455:Q457" si="941">DATE(YEAR(O455)+1,MONTH(O455),DAY(O455))-1</f>
        <v>46629</v>
      </c>
      <c r="R455" s="195">
        <f t="shared" ref="R455:R457" si="942">DATEDIF(O455,B455,"d")</f>
        <v>24</v>
      </c>
      <c r="U455" s="91"/>
    </row>
    <row r="456" spans="1:21" s="1" customFormat="1" ht="19.649999999999999" customHeight="1" x14ac:dyDescent="0.25">
      <c r="A456" s="314">
        <v>46289</v>
      </c>
      <c r="B456" s="243">
        <v>46289</v>
      </c>
      <c r="C456" s="245" t="s">
        <v>626</v>
      </c>
      <c r="D456" s="244">
        <v>8</v>
      </c>
      <c r="E456" s="244">
        <f t="shared" si="938"/>
        <v>1600</v>
      </c>
      <c r="F456" s="245" t="s">
        <v>1</v>
      </c>
      <c r="G456" s="244">
        <f t="shared" si="939"/>
        <v>1672</v>
      </c>
      <c r="H456" s="245" t="s">
        <v>529</v>
      </c>
      <c r="I456" s="246">
        <f>I455-E456</f>
        <v>32800</v>
      </c>
      <c r="J456" s="247"/>
      <c r="K456" s="248"/>
      <c r="L456" s="244">
        <v>260923003</v>
      </c>
      <c r="M456" s="244"/>
      <c r="N456" s="244">
        <f>N454-D456</f>
        <v>19</v>
      </c>
      <c r="O456" s="192">
        <v>46267</v>
      </c>
      <c r="P456" s="193">
        <f t="shared" si="940"/>
        <v>343</v>
      </c>
      <c r="Q456" s="194">
        <f t="shared" si="941"/>
        <v>46631</v>
      </c>
      <c r="R456" s="195">
        <f t="shared" si="942"/>
        <v>22</v>
      </c>
      <c r="U456" s="91"/>
    </row>
    <row r="457" spans="1:21" s="1" customFormat="1" ht="19.649999999999999" customHeight="1" x14ac:dyDescent="0.25">
      <c r="A457" s="13">
        <v>46289</v>
      </c>
      <c r="B457" s="13">
        <v>46289</v>
      </c>
      <c r="C457" s="14" t="s">
        <v>629</v>
      </c>
      <c r="D457" s="14">
        <v>12</v>
      </c>
      <c r="E457" s="14">
        <f>D457*200</f>
        <v>2400</v>
      </c>
      <c r="F457" s="368" t="s">
        <v>40</v>
      </c>
      <c r="G457" s="14">
        <f>D457*209</f>
        <v>2508</v>
      </c>
      <c r="H457" s="15" t="s">
        <v>628</v>
      </c>
      <c r="I457" s="16">
        <f>I454-E457</f>
        <v>13200</v>
      </c>
      <c r="J457" s="17"/>
      <c r="K457" s="18"/>
      <c r="L457" s="14">
        <v>260923005</v>
      </c>
      <c r="M457" s="14"/>
      <c r="N457" s="14">
        <f>N456-D457</f>
        <v>7</v>
      </c>
      <c r="O457" s="192">
        <v>46267</v>
      </c>
      <c r="P457" s="193">
        <f t="shared" si="940"/>
        <v>343</v>
      </c>
      <c r="Q457" s="194">
        <f t="shared" si="941"/>
        <v>46631</v>
      </c>
      <c r="R457" s="195">
        <f t="shared" si="942"/>
        <v>22</v>
      </c>
      <c r="U457" s="91"/>
    </row>
    <row r="458" spans="1:21" s="1" customFormat="1" ht="19.649999999999999" customHeight="1" x14ac:dyDescent="0.25">
      <c r="A458" s="219">
        <v>46289</v>
      </c>
      <c r="B458" s="219">
        <v>46289</v>
      </c>
      <c r="C458" s="220" t="s">
        <v>631</v>
      </c>
      <c r="D458" s="220">
        <v>7</v>
      </c>
      <c r="E458" s="220">
        <f t="shared" ref="E458" si="943">D458*200</f>
        <v>1400</v>
      </c>
      <c r="F458" s="221" t="s">
        <v>3</v>
      </c>
      <c r="G458" s="220">
        <f t="shared" ref="G458" si="944">D458*209</f>
        <v>1463</v>
      </c>
      <c r="H458" s="221" t="s">
        <v>630</v>
      </c>
      <c r="I458" s="222">
        <f>I451-E458</f>
        <v>0</v>
      </c>
      <c r="J458" s="223"/>
      <c r="K458" s="224"/>
      <c r="L458" s="220">
        <v>260923006</v>
      </c>
      <c r="M458" s="220"/>
      <c r="N458" s="220">
        <f>N457-D458</f>
        <v>0</v>
      </c>
      <c r="O458" s="192">
        <v>46267</v>
      </c>
      <c r="P458" s="193">
        <f t="shared" ref="P458:P459" si="945">365-R458</f>
        <v>343</v>
      </c>
      <c r="Q458" s="194">
        <f t="shared" ref="Q458:Q459" si="946">DATE(YEAR(O458)+1,MONTH(O458),DAY(O458))-1</f>
        <v>46631</v>
      </c>
      <c r="R458" s="195">
        <f t="shared" ref="R458:R459" si="947">DATEDIF(O458,B458,"d")</f>
        <v>22</v>
      </c>
      <c r="U458" s="91"/>
    </row>
    <row r="459" spans="1:21" s="1" customFormat="1" ht="19.649999999999999" customHeight="1" x14ac:dyDescent="0.25">
      <c r="A459" s="219">
        <v>46289</v>
      </c>
      <c r="B459" s="219">
        <v>46289</v>
      </c>
      <c r="C459" s="220" t="s">
        <v>591</v>
      </c>
      <c r="D459" s="220">
        <v>9</v>
      </c>
      <c r="E459" s="220">
        <f t="shared" ref="E459:E468" si="948">D459*200</f>
        <v>1800</v>
      </c>
      <c r="F459" s="221" t="s">
        <v>3</v>
      </c>
      <c r="G459" s="220">
        <f t="shared" ref="G459:G468" si="949">D459*209</f>
        <v>1881</v>
      </c>
      <c r="H459" s="386" t="s">
        <v>632</v>
      </c>
      <c r="I459" s="222">
        <f>45000-E459</f>
        <v>43200</v>
      </c>
      <c r="J459" s="223"/>
      <c r="K459" s="224"/>
      <c r="L459" s="220">
        <v>260923006</v>
      </c>
      <c r="M459" s="220"/>
      <c r="N459" s="220">
        <f>N439-D459</f>
        <v>29</v>
      </c>
      <c r="O459" s="192">
        <v>46269</v>
      </c>
      <c r="P459" s="193">
        <f t="shared" si="945"/>
        <v>345</v>
      </c>
      <c r="Q459" s="194">
        <f t="shared" si="946"/>
        <v>46633</v>
      </c>
      <c r="R459" s="195">
        <f t="shared" si="947"/>
        <v>20</v>
      </c>
      <c r="U459" s="91"/>
    </row>
    <row r="460" spans="1:21" s="1" customFormat="1" ht="19.649999999999999" customHeight="1" x14ac:dyDescent="0.25">
      <c r="A460" s="335">
        <v>46294</v>
      </c>
      <c r="B460" s="213">
        <v>46294</v>
      </c>
      <c r="C460" s="215" t="s">
        <v>634</v>
      </c>
      <c r="D460" s="214">
        <v>17</v>
      </c>
      <c r="E460" s="214">
        <f t="shared" si="948"/>
        <v>3400</v>
      </c>
      <c r="F460" s="215" t="s">
        <v>1</v>
      </c>
      <c r="G460" s="214">
        <f t="shared" si="949"/>
        <v>3553</v>
      </c>
      <c r="H460" s="215" t="s">
        <v>633</v>
      </c>
      <c r="I460" s="216">
        <f>I456-E460</f>
        <v>29400</v>
      </c>
      <c r="J460" s="217"/>
      <c r="K460" s="218"/>
      <c r="L460" s="214">
        <v>260924001</v>
      </c>
      <c r="M460" s="214"/>
      <c r="N460" s="214">
        <f>N459-D460</f>
        <v>12</v>
      </c>
      <c r="O460" s="192">
        <v>46269</v>
      </c>
      <c r="P460" s="193">
        <f t="shared" ref="P460" si="950">365-R460</f>
        <v>340</v>
      </c>
      <c r="Q460" s="194">
        <f t="shared" ref="Q460" si="951">DATE(YEAR(O460)+1,MONTH(O460),DAY(O460))-1</f>
        <v>46633</v>
      </c>
      <c r="R460" s="195">
        <f t="shared" ref="R460" si="952">DATEDIF(O460,B460,"d")</f>
        <v>25</v>
      </c>
      <c r="U460" s="91"/>
    </row>
    <row r="461" spans="1:21" s="1" customFormat="1" ht="19.649999999999999" customHeight="1" x14ac:dyDescent="0.25">
      <c r="A461" s="335">
        <v>46294</v>
      </c>
      <c r="B461" s="213">
        <v>46294</v>
      </c>
      <c r="C461" s="215" t="s">
        <v>635</v>
      </c>
      <c r="D461" s="214">
        <v>15</v>
      </c>
      <c r="E461" s="214">
        <f t="shared" si="948"/>
        <v>3000</v>
      </c>
      <c r="F461" s="215" t="s">
        <v>1</v>
      </c>
      <c r="G461" s="214">
        <f t="shared" si="949"/>
        <v>3135</v>
      </c>
      <c r="H461" s="215" t="s">
        <v>529</v>
      </c>
      <c r="I461" s="216">
        <f>I460-E461</f>
        <v>26400</v>
      </c>
      <c r="J461" s="217"/>
      <c r="K461" s="218"/>
      <c r="L461" s="214">
        <v>260924001</v>
      </c>
      <c r="M461" s="214"/>
      <c r="N461" s="214">
        <f>N448-D461</f>
        <v>23</v>
      </c>
      <c r="O461" s="192">
        <v>46272</v>
      </c>
      <c r="P461" s="193">
        <f t="shared" ref="P461:P470" si="953">365-R461</f>
        <v>343</v>
      </c>
      <c r="Q461" s="194">
        <f t="shared" ref="Q461:Q470" si="954">DATE(YEAR(O461)+1,MONTH(O461),DAY(O461))-1</f>
        <v>46636</v>
      </c>
      <c r="R461" s="195">
        <f t="shared" ref="R461:R470" si="955">DATEDIF(O461,B461,"d")</f>
        <v>22</v>
      </c>
      <c r="U461" s="91"/>
    </row>
    <row r="462" spans="1:21" s="1" customFormat="1" ht="19.649999999999999" customHeight="1" x14ac:dyDescent="0.25">
      <c r="A462" s="104">
        <v>46295</v>
      </c>
      <c r="B462" s="104">
        <v>46295</v>
      </c>
      <c r="C462" s="105" t="s">
        <v>591</v>
      </c>
      <c r="D462" s="105">
        <v>12</v>
      </c>
      <c r="E462" s="105">
        <f>D462*200</f>
        <v>2400</v>
      </c>
      <c r="F462" s="112" t="s">
        <v>40</v>
      </c>
      <c r="G462" s="105">
        <f>D462*209</f>
        <v>2508</v>
      </c>
      <c r="H462" s="106" t="s">
        <v>621</v>
      </c>
      <c r="I462" s="107">
        <f>I457-E462</f>
        <v>10800</v>
      </c>
      <c r="J462" s="108"/>
      <c r="K462" s="109"/>
      <c r="L462" s="105">
        <v>260929007</v>
      </c>
      <c r="M462" s="105"/>
      <c r="N462" s="105">
        <f>N460-D462</f>
        <v>0</v>
      </c>
      <c r="O462" s="192">
        <v>46269</v>
      </c>
      <c r="P462" s="193">
        <f t="shared" si="953"/>
        <v>339</v>
      </c>
      <c r="Q462" s="194">
        <f t="shared" si="954"/>
        <v>46633</v>
      </c>
      <c r="R462" s="195">
        <f t="shared" si="955"/>
        <v>26</v>
      </c>
      <c r="U462" s="91"/>
    </row>
    <row r="463" spans="1:21" s="1" customFormat="1" ht="19.649999999999999" customHeight="1" x14ac:dyDescent="0.25">
      <c r="A463" s="104">
        <v>46295</v>
      </c>
      <c r="B463" s="104">
        <v>46295</v>
      </c>
      <c r="C463" s="105" t="s">
        <v>619</v>
      </c>
      <c r="D463" s="105">
        <v>12</v>
      </c>
      <c r="E463" s="105">
        <f>D463*200</f>
        <v>2400</v>
      </c>
      <c r="F463" s="112" t="s">
        <v>40</v>
      </c>
      <c r="G463" s="105">
        <f>D463*209</f>
        <v>2508</v>
      </c>
      <c r="H463" s="106" t="s">
        <v>621</v>
      </c>
      <c r="I463" s="107">
        <f>I462-E463</f>
        <v>8400</v>
      </c>
      <c r="J463" s="108"/>
      <c r="K463" s="109"/>
      <c r="L463" s="105">
        <v>260929007</v>
      </c>
      <c r="M463" s="105"/>
      <c r="N463" s="105">
        <f>N461-D463</f>
        <v>11</v>
      </c>
      <c r="O463" s="192">
        <v>46272</v>
      </c>
      <c r="P463" s="193">
        <f t="shared" ref="P463:P465" si="956">365-R463</f>
        <v>342</v>
      </c>
      <c r="Q463" s="194">
        <f t="shared" ref="Q463:Q465" si="957">DATE(YEAR(O463)+1,MONTH(O463),DAY(O463))-1</f>
        <v>46636</v>
      </c>
      <c r="R463" s="195">
        <f t="shared" ref="R463:R465" si="958">DATEDIF(O463,B463,"d")</f>
        <v>23</v>
      </c>
      <c r="U463" s="91"/>
    </row>
    <row r="464" spans="1:21" s="1" customFormat="1" ht="19.649999999999999" customHeight="1" x14ac:dyDescent="0.25">
      <c r="A464" s="26">
        <v>46295</v>
      </c>
      <c r="B464" s="26">
        <v>46295</v>
      </c>
      <c r="C464" s="27" t="s">
        <v>641</v>
      </c>
      <c r="D464" s="27">
        <v>11</v>
      </c>
      <c r="E464" s="27">
        <f t="shared" si="948"/>
        <v>2200</v>
      </c>
      <c r="F464" s="28" t="s">
        <v>3</v>
      </c>
      <c r="G464" s="27">
        <f t="shared" si="949"/>
        <v>2299</v>
      </c>
      <c r="H464" s="28" t="s">
        <v>632</v>
      </c>
      <c r="I464" s="29">
        <f>I459-E464</f>
        <v>41000</v>
      </c>
      <c r="J464" s="30"/>
      <c r="K464" s="31"/>
      <c r="L464" s="27">
        <v>260929008</v>
      </c>
      <c r="M464" s="27"/>
      <c r="N464" s="27">
        <f>N463-D464</f>
        <v>0</v>
      </c>
      <c r="O464" s="192">
        <v>46272</v>
      </c>
      <c r="P464" s="193">
        <f t="shared" ref="P464" si="959">365-R464</f>
        <v>342</v>
      </c>
      <c r="Q464" s="194">
        <f t="shared" ref="Q464" si="960">DATE(YEAR(O464)+1,MONTH(O464),DAY(O464))-1</f>
        <v>46636</v>
      </c>
      <c r="R464" s="195">
        <f t="shared" ref="R464" si="961">DATEDIF(O464,B464,"d")</f>
        <v>23</v>
      </c>
      <c r="U464" s="91"/>
    </row>
    <row r="465" spans="1:21" s="1" customFormat="1" ht="19.649999999999999" customHeight="1" x14ac:dyDescent="0.25">
      <c r="A465" s="26">
        <v>46295</v>
      </c>
      <c r="B465" s="26">
        <v>46295</v>
      </c>
      <c r="C465" s="27" t="s">
        <v>601</v>
      </c>
      <c r="D465" s="27">
        <v>5</v>
      </c>
      <c r="E465" s="27">
        <f t="shared" si="948"/>
        <v>1000</v>
      </c>
      <c r="F465" s="28" t="s">
        <v>3</v>
      </c>
      <c r="G465" s="27">
        <f t="shared" si="949"/>
        <v>1045</v>
      </c>
      <c r="H465" s="28" t="s">
        <v>638</v>
      </c>
      <c r="I465" s="29">
        <f>I464-E465</f>
        <v>40000</v>
      </c>
      <c r="J465" s="30"/>
      <c r="K465" s="31"/>
      <c r="L465" s="27">
        <v>260929008</v>
      </c>
      <c r="M465" s="27"/>
      <c r="N465" s="27">
        <f>N449-D465</f>
        <v>33</v>
      </c>
      <c r="O465" s="192">
        <v>46274</v>
      </c>
      <c r="P465" s="193">
        <f t="shared" si="956"/>
        <v>344</v>
      </c>
      <c r="Q465" s="194">
        <f t="shared" si="957"/>
        <v>46638</v>
      </c>
      <c r="R465" s="195">
        <f t="shared" si="958"/>
        <v>21</v>
      </c>
      <c r="U465" s="91"/>
    </row>
    <row r="466" spans="1:21" s="1" customFormat="1" ht="19.649999999999999" customHeight="1" x14ac:dyDescent="0.25">
      <c r="A466" s="26">
        <v>46295</v>
      </c>
      <c r="B466" s="26">
        <v>46295</v>
      </c>
      <c r="C466" s="27" t="s">
        <v>640</v>
      </c>
      <c r="D466" s="27">
        <v>4</v>
      </c>
      <c r="E466" s="27">
        <f t="shared" si="948"/>
        <v>800</v>
      </c>
      <c r="F466" s="28" t="s">
        <v>3</v>
      </c>
      <c r="G466" s="27">
        <f t="shared" si="949"/>
        <v>836</v>
      </c>
      <c r="H466" s="28" t="s">
        <v>638</v>
      </c>
      <c r="I466" s="29">
        <f>I465-E466</f>
        <v>39200</v>
      </c>
      <c r="J466" s="30" t="s">
        <v>322</v>
      </c>
      <c r="K466" s="31"/>
      <c r="L466" s="27">
        <v>260929009</v>
      </c>
      <c r="M466" s="27">
        <v>42</v>
      </c>
      <c r="N466" s="27">
        <f>M466-D466</f>
        <v>38</v>
      </c>
      <c r="O466" s="192">
        <v>46280</v>
      </c>
      <c r="P466" s="193">
        <f t="shared" si="953"/>
        <v>350</v>
      </c>
      <c r="Q466" s="194">
        <f t="shared" si="954"/>
        <v>46644</v>
      </c>
      <c r="R466" s="195">
        <f t="shared" si="955"/>
        <v>15</v>
      </c>
      <c r="U466" s="91"/>
    </row>
    <row r="467" spans="1:21" s="1" customFormat="1" ht="19.649999999999999" customHeight="1" x14ac:dyDescent="0.25">
      <c r="A467" s="26">
        <v>46295</v>
      </c>
      <c r="B467" s="26">
        <v>46295</v>
      </c>
      <c r="C467" s="27" t="s">
        <v>636</v>
      </c>
      <c r="D467" s="27">
        <v>4</v>
      </c>
      <c r="E467" s="27">
        <f t="shared" si="948"/>
        <v>800</v>
      </c>
      <c r="F467" s="28" t="s">
        <v>3</v>
      </c>
      <c r="G467" s="27">
        <f t="shared" si="949"/>
        <v>836</v>
      </c>
      <c r="H467" s="28" t="s">
        <v>639</v>
      </c>
      <c r="I467" s="29">
        <f>I466-E467</f>
        <v>38400</v>
      </c>
      <c r="J467" s="30" t="s">
        <v>322</v>
      </c>
      <c r="K467" s="31"/>
      <c r="L467" s="27">
        <v>260929009</v>
      </c>
      <c r="M467" s="27">
        <v>42</v>
      </c>
      <c r="N467" s="27">
        <f>M467-D467</f>
        <v>38</v>
      </c>
      <c r="O467" s="192">
        <v>46282</v>
      </c>
      <c r="P467" s="193">
        <f t="shared" si="953"/>
        <v>352</v>
      </c>
      <c r="Q467" s="194">
        <f t="shared" si="954"/>
        <v>46646</v>
      </c>
      <c r="R467" s="195">
        <f t="shared" si="955"/>
        <v>13</v>
      </c>
      <c r="U467" s="91"/>
    </row>
    <row r="468" spans="1:21" s="1" customFormat="1" ht="19.649999999999999" customHeight="1" x14ac:dyDescent="0.25">
      <c r="A468" s="26">
        <v>46295</v>
      </c>
      <c r="B468" s="26">
        <v>46295</v>
      </c>
      <c r="C468" s="27" t="s">
        <v>637</v>
      </c>
      <c r="D468" s="27">
        <v>4</v>
      </c>
      <c r="E468" s="27">
        <f t="shared" si="948"/>
        <v>800</v>
      </c>
      <c r="F468" s="28" t="s">
        <v>3</v>
      </c>
      <c r="G468" s="27">
        <f t="shared" si="949"/>
        <v>836</v>
      </c>
      <c r="H468" s="28" t="s">
        <v>638</v>
      </c>
      <c r="I468" s="29">
        <f>I467-E468</f>
        <v>37600</v>
      </c>
      <c r="J468" s="30" t="s">
        <v>322</v>
      </c>
      <c r="K468" s="31"/>
      <c r="L468" s="27">
        <v>260929009</v>
      </c>
      <c r="M468" s="27">
        <v>43</v>
      </c>
      <c r="N468" s="27">
        <f>M468-D468</f>
        <v>39</v>
      </c>
      <c r="O468" s="192">
        <v>46284</v>
      </c>
      <c r="P468" s="193">
        <f t="shared" si="953"/>
        <v>354</v>
      </c>
      <c r="Q468" s="194">
        <f t="shared" si="954"/>
        <v>46648</v>
      </c>
      <c r="R468" s="195">
        <f t="shared" si="955"/>
        <v>11</v>
      </c>
      <c r="U468" s="91"/>
    </row>
    <row r="469" spans="1:21" s="1" customFormat="1" ht="19.649999999999999" customHeight="1" x14ac:dyDescent="0.25">
      <c r="A469" s="219">
        <v>46296</v>
      </c>
      <c r="B469" s="219">
        <v>46296</v>
      </c>
      <c r="C469" s="220" t="s">
        <v>642</v>
      </c>
      <c r="D469" s="220">
        <v>4</v>
      </c>
      <c r="E469" s="220">
        <f>D469*200</f>
        <v>800</v>
      </c>
      <c r="F469" s="255" t="s">
        <v>40</v>
      </c>
      <c r="G469" s="220">
        <f>D469*209</f>
        <v>836</v>
      </c>
      <c r="H469" s="221" t="s">
        <v>621</v>
      </c>
      <c r="I469" s="222">
        <f>I463-E469</f>
        <v>7600</v>
      </c>
      <c r="J469" s="223"/>
      <c r="K469" s="224"/>
      <c r="L469" s="220">
        <v>260930001</v>
      </c>
      <c r="M469" s="220"/>
      <c r="N469" s="220">
        <f>N465-D469</f>
        <v>29</v>
      </c>
      <c r="O469" s="192">
        <v>46274</v>
      </c>
      <c r="P469" s="193">
        <f t="shared" si="953"/>
        <v>343</v>
      </c>
      <c r="Q469" s="194">
        <f t="shared" si="954"/>
        <v>46638</v>
      </c>
      <c r="R469" s="195">
        <f t="shared" si="955"/>
        <v>22</v>
      </c>
      <c r="U469" s="91"/>
    </row>
    <row r="470" spans="1:21" s="1" customFormat="1" ht="19.649999999999999" customHeight="1" x14ac:dyDescent="0.25">
      <c r="A470" s="297">
        <v>46296</v>
      </c>
      <c r="B470" s="225">
        <v>46296</v>
      </c>
      <c r="C470" s="103" t="s">
        <v>644</v>
      </c>
      <c r="D470" s="102">
        <v>24</v>
      </c>
      <c r="E470" s="102">
        <f t="shared" ref="E470" si="962">D470*200</f>
        <v>4800</v>
      </c>
      <c r="F470" s="103" t="s">
        <v>1</v>
      </c>
      <c r="G470" s="102">
        <f t="shared" ref="G470" si="963">D470*209</f>
        <v>5016</v>
      </c>
      <c r="H470" s="103" t="s">
        <v>529</v>
      </c>
      <c r="I470" s="226">
        <f>I461-E470</f>
        <v>21600</v>
      </c>
      <c r="J470" s="227"/>
      <c r="K470" s="228"/>
      <c r="L470" s="102">
        <v>260930003</v>
      </c>
      <c r="M470" s="102"/>
      <c r="N470" s="102">
        <f>N469-D470</f>
        <v>5</v>
      </c>
      <c r="O470" s="192">
        <v>46274</v>
      </c>
      <c r="P470" s="193">
        <f t="shared" si="953"/>
        <v>343</v>
      </c>
      <c r="Q470" s="194">
        <f t="shared" si="954"/>
        <v>46638</v>
      </c>
      <c r="R470" s="195">
        <f t="shared" si="955"/>
        <v>22</v>
      </c>
      <c r="U470" s="91"/>
    </row>
    <row r="471" spans="1:21" s="1" customFormat="1" ht="19.649999999999999" customHeight="1" x14ac:dyDescent="0.25">
      <c r="A471" s="359">
        <v>46300</v>
      </c>
      <c r="B471" s="104">
        <v>46300</v>
      </c>
      <c r="C471" s="106" t="s">
        <v>601</v>
      </c>
      <c r="D471" s="105">
        <v>5</v>
      </c>
      <c r="E471" s="105">
        <f t="shared" ref="E471" si="964">D471*200</f>
        <v>1000</v>
      </c>
      <c r="F471" s="106" t="s">
        <v>1</v>
      </c>
      <c r="G471" s="105">
        <f t="shared" ref="G471" si="965">D471*209</f>
        <v>1045</v>
      </c>
      <c r="H471" s="106" t="s">
        <v>539</v>
      </c>
      <c r="I471" s="107">
        <f>I470-E471</f>
        <v>20600</v>
      </c>
      <c r="J471" s="108"/>
      <c r="K471" s="109"/>
      <c r="L471" s="105">
        <v>261002001</v>
      </c>
      <c r="M471" s="105"/>
      <c r="N471" s="105">
        <f>N470-D471</f>
        <v>0</v>
      </c>
      <c r="O471" s="192">
        <f>IF($C471="","",DATE(2000+LEFT($C471,2), HEX2DEC(MID($C471,3,1)), MID($C471,4,2)))</f>
        <v>46274</v>
      </c>
      <c r="P471" s="193">
        <f t="shared" ref="P471:P476" si="966">365-R471</f>
        <v>339</v>
      </c>
      <c r="Q471" s="194">
        <f t="shared" ref="Q471:Q476" si="967">DATE(YEAR(O471)+1,MONTH(O471),DAY(O471))-1</f>
        <v>46638</v>
      </c>
      <c r="R471" s="195">
        <f t="shared" ref="R471:R476" si="968">DATEDIF(O471,B471,"d")</f>
        <v>26</v>
      </c>
      <c r="U471" s="91"/>
    </row>
    <row r="472" spans="1:21" s="1" customFormat="1" ht="19.649999999999999" customHeight="1" x14ac:dyDescent="0.25">
      <c r="A472" s="359">
        <v>46300</v>
      </c>
      <c r="B472" s="104">
        <v>46300</v>
      </c>
      <c r="C472" s="106" t="s">
        <v>645</v>
      </c>
      <c r="D472" s="105">
        <v>23</v>
      </c>
      <c r="E472" s="105">
        <f t="shared" ref="E472:E476" si="969">D472*200</f>
        <v>4600</v>
      </c>
      <c r="F472" s="106" t="s">
        <v>1</v>
      </c>
      <c r="G472" s="105">
        <f t="shared" ref="G472:G476" si="970">D472*209</f>
        <v>4807</v>
      </c>
      <c r="H472" s="106" t="s">
        <v>539</v>
      </c>
      <c r="I472" s="107">
        <f>I471-E472</f>
        <v>16000</v>
      </c>
      <c r="J472" s="108"/>
      <c r="K472" s="109"/>
      <c r="L472" s="105">
        <v>261002001</v>
      </c>
      <c r="M472" s="105"/>
      <c r="N472" s="105">
        <f>N450-D472</f>
        <v>15</v>
      </c>
      <c r="O472" s="192">
        <f t="shared" ref="O472:O513" si="971">IF($C472="","",DATE(2000+LEFT($C472,2), HEX2DEC(MID($C472,3,1)), MID($C472,4,2)))</f>
        <v>46276</v>
      </c>
      <c r="P472" s="193">
        <f t="shared" si="966"/>
        <v>341</v>
      </c>
      <c r="Q472" s="194">
        <f t="shared" si="967"/>
        <v>46640</v>
      </c>
      <c r="R472" s="195">
        <f t="shared" si="968"/>
        <v>24</v>
      </c>
      <c r="U472" s="91"/>
    </row>
    <row r="473" spans="1:21" s="1" customFormat="1" ht="19.649999999999999" customHeight="1" x14ac:dyDescent="0.25">
      <c r="A473" s="13">
        <v>46301</v>
      </c>
      <c r="B473" s="13">
        <v>46301</v>
      </c>
      <c r="C473" s="14" t="s">
        <v>645</v>
      </c>
      <c r="D473" s="14">
        <v>15</v>
      </c>
      <c r="E473" s="14">
        <f t="shared" si="969"/>
        <v>3000</v>
      </c>
      <c r="F473" s="15" t="s">
        <v>3</v>
      </c>
      <c r="G473" s="14">
        <f t="shared" si="970"/>
        <v>3135</v>
      </c>
      <c r="H473" s="15" t="s">
        <v>648</v>
      </c>
      <c r="I473" s="16">
        <f>I468-E473</f>
        <v>34600</v>
      </c>
      <c r="J473" s="17"/>
      <c r="K473" s="18"/>
      <c r="L473" s="14">
        <v>261005001</v>
      </c>
      <c r="M473" s="14"/>
      <c r="N473" s="14">
        <f>N472-D473</f>
        <v>0</v>
      </c>
      <c r="O473" s="192">
        <f t="shared" si="971"/>
        <v>46276</v>
      </c>
      <c r="P473" s="193">
        <f t="shared" si="966"/>
        <v>340</v>
      </c>
      <c r="Q473" s="295">
        <f t="shared" si="967"/>
        <v>46640</v>
      </c>
      <c r="R473" s="195">
        <f t="shared" si="968"/>
        <v>25</v>
      </c>
      <c r="U473" s="91"/>
    </row>
    <row r="474" spans="1:21" s="1" customFormat="1" ht="19.649999999999999" customHeight="1" x14ac:dyDescent="0.25">
      <c r="A474" s="13">
        <v>46301</v>
      </c>
      <c r="B474" s="13">
        <v>46301</v>
      </c>
      <c r="C474" s="14" t="s">
        <v>603</v>
      </c>
      <c r="D474" s="14">
        <v>13</v>
      </c>
      <c r="E474" s="14">
        <f t="shared" ref="E474" si="972">D474*200</f>
        <v>2600</v>
      </c>
      <c r="F474" s="15" t="s">
        <v>3</v>
      </c>
      <c r="G474" s="14">
        <f t="shared" ref="G474" si="973">D474*209</f>
        <v>2717</v>
      </c>
      <c r="H474" s="15" t="s">
        <v>649</v>
      </c>
      <c r="I474" s="16">
        <f>I473-E474</f>
        <v>32000</v>
      </c>
      <c r="J474" s="17"/>
      <c r="K474" s="18"/>
      <c r="L474" s="14">
        <v>261005001</v>
      </c>
      <c r="M474" s="14"/>
      <c r="N474" s="14">
        <f>N451-D474</f>
        <v>26</v>
      </c>
      <c r="O474" s="192">
        <f t="shared" si="971"/>
        <v>46278</v>
      </c>
      <c r="P474" s="193">
        <f t="shared" ref="P474" si="974">365-R474</f>
        <v>342</v>
      </c>
      <c r="Q474" s="295">
        <f t="shared" ref="Q474" si="975">DATE(YEAR(O474)+1,MONTH(O474),DAY(O474))-1</f>
        <v>46642</v>
      </c>
      <c r="R474" s="195">
        <f t="shared" ref="R474" si="976">DATEDIF(O474,B474,"d")</f>
        <v>23</v>
      </c>
      <c r="U474" s="91"/>
    </row>
    <row r="475" spans="1:21" s="1" customFormat="1" ht="19.649999999999999" customHeight="1" x14ac:dyDescent="0.25">
      <c r="A475" s="13">
        <v>46301</v>
      </c>
      <c r="B475" s="13">
        <v>46301</v>
      </c>
      <c r="C475" s="14" t="s">
        <v>646</v>
      </c>
      <c r="D475" s="14">
        <v>4</v>
      </c>
      <c r="E475" s="14">
        <f t="shared" si="969"/>
        <v>800</v>
      </c>
      <c r="F475" s="15" t="s">
        <v>3</v>
      </c>
      <c r="G475" s="14">
        <f t="shared" si="970"/>
        <v>836</v>
      </c>
      <c r="H475" s="15" t="s">
        <v>638</v>
      </c>
      <c r="I475" s="16">
        <f>I474-E475</f>
        <v>31200</v>
      </c>
      <c r="J475" s="17" t="s">
        <v>322</v>
      </c>
      <c r="K475" s="18"/>
      <c r="L475" s="14">
        <v>261005002</v>
      </c>
      <c r="M475" s="14">
        <v>42</v>
      </c>
      <c r="N475" s="14">
        <f>M475-D475</f>
        <v>38</v>
      </c>
      <c r="O475" s="192">
        <f t="shared" si="971"/>
        <v>46286</v>
      </c>
      <c r="P475" s="193">
        <f t="shared" si="966"/>
        <v>350</v>
      </c>
      <c r="Q475" s="295">
        <f t="shared" si="967"/>
        <v>46650</v>
      </c>
      <c r="R475" s="195">
        <f t="shared" si="968"/>
        <v>15</v>
      </c>
      <c r="U475" s="91"/>
    </row>
    <row r="476" spans="1:21" s="1" customFormat="1" ht="19.649999999999999" customHeight="1" x14ac:dyDescent="0.25">
      <c r="A476" s="13">
        <v>46301</v>
      </c>
      <c r="B476" s="13">
        <v>46301</v>
      </c>
      <c r="C476" s="14" t="s">
        <v>647</v>
      </c>
      <c r="D476" s="14">
        <v>4</v>
      </c>
      <c r="E476" s="14">
        <f t="shared" si="969"/>
        <v>800</v>
      </c>
      <c r="F476" s="15" t="s">
        <v>3</v>
      </c>
      <c r="G476" s="14">
        <f t="shared" si="970"/>
        <v>836</v>
      </c>
      <c r="H476" s="15" t="s">
        <v>648</v>
      </c>
      <c r="I476" s="16">
        <f>I475-E476</f>
        <v>30400</v>
      </c>
      <c r="J476" s="17" t="s">
        <v>322</v>
      </c>
      <c r="K476" s="18"/>
      <c r="L476" s="14">
        <v>261005002</v>
      </c>
      <c r="M476" s="14">
        <v>42</v>
      </c>
      <c r="N476" s="14">
        <f>M476-D476</f>
        <v>38</v>
      </c>
      <c r="O476" s="192">
        <f t="shared" si="971"/>
        <v>46288</v>
      </c>
      <c r="P476" s="193">
        <f t="shared" si="966"/>
        <v>352</v>
      </c>
      <c r="Q476" s="295">
        <f t="shared" si="967"/>
        <v>46652</v>
      </c>
      <c r="R476" s="195">
        <f t="shared" si="968"/>
        <v>13</v>
      </c>
      <c r="U476" s="91"/>
    </row>
    <row r="477" spans="1:21" s="1" customFormat="1" ht="19.649999999999999" customHeight="1" x14ac:dyDescent="0.25">
      <c r="A477" s="21"/>
      <c r="B477" s="21"/>
      <c r="C477" s="22"/>
      <c r="D477" s="22"/>
      <c r="E477" s="22">
        <f t="shared" ref="E477" si="977">D477*200</f>
        <v>0</v>
      </c>
      <c r="F477" s="176"/>
      <c r="G477" s="22">
        <f t="shared" ref="G477" si="978">D477*209</f>
        <v>0</v>
      </c>
      <c r="H477" s="49"/>
      <c r="I477" s="23"/>
      <c r="J477" s="24"/>
      <c r="K477" s="25"/>
      <c r="L477" s="22"/>
      <c r="M477" s="22"/>
      <c r="N477" s="22"/>
      <c r="O477" s="192" t="str">
        <f t="shared" si="971"/>
        <v/>
      </c>
      <c r="P477" s="193" t="e">
        <f t="shared" ref="P477" si="979">365-R477</f>
        <v>#VALUE!</v>
      </c>
      <c r="Q477" s="194" t="e">
        <f t="shared" ref="Q477" si="980">DATE(YEAR(O477)+1,MONTH(O477),DAY(O477))-1</f>
        <v>#VALUE!</v>
      </c>
      <c r="R477" s="195" t="e">
        <f t="shared" ref="R477" si="981">DATEDIF(O477,B477,"d")</f>
        <v>#VALUE!</v>
      </c>
      <c r="U477" s="91"/>
    </row>
    <row r="478" spans="1:21" s="1" customFormat="1" ht="19.649999999999999" customHeight="1" x14ac:dyDescent="0.25">
      <c r="A478" s="21"/>
      <c r="B478" s="21"/>
      <c r="C478" s="22"/>
      <c r="D478" s="22"/>
      <c r="E478" s="22"/>
      <c r="F478" s="49"/>
      <c r="G478" s="22"/>
      <c r="H478" s="22"/>
      <c r="I478" s="23"/>
      <c r="J478" s="24"/>
      <c r="K478" s="51"/>
      <c r="L478" s="22"/>
      <c r="M478" s="22"/>
      <c r="N478" s="22"/>
      <c r="O478" s="192" t="str">
        <f t="shared" si="971"/>
        <v/>
      </c>
      <c r="P478" s="4"/>
      <c r="Q478" s="5"/>
      <c r="R478" s="6"/>
    </row>
    <row r="479" spans="1:21" s="1" customFormat="1" ht="19.649999999999999" customHeight="1" x14ac:dyDescent="0.25">
      <c r="A479" s="132"/>
      <c r="B479" s="21"/>
      <c r="C479" s="22"/>
      <c r="D479" s="22"/>
      <c r="E479" s="22"/>
      <c r="F479" s="22"/>
      <c r="G479" s="22"/>
      <c r="H479" s="22"/>
      <c r="I479" s="23"/>
      <c r="J479" s="24"/>
      <c r="K479" s="25"/>
      <c r="L479" s="22"/>
      <c r="M479" s="22"/>
      <c r="N479" s="22"/>
      <c r="O479" s="192" t="str">
        <f t="shared" si="971"/>
        <v/>
      </c>
      <c r="P479" s="4"/>
      <c r="Q479" s="5"/>
      <c r="R479" s="6"/>
    </row>
    <row r="480" spans="1:21" s="1" customFormat="1" ht="19.850000000000001" customHeight="1" x14ac:dyDescent="0.25">
      <c r="A480" s="21"/>
      <c r="B480" s="21"/>
      <c r="C480" s="22"/>
      <c r="D480" s="22"/>
      <c r="E480" s="22"/>
      <c r="F480" s="22"/>
      <c r="G480" s="22"/>
      <c r="H480" s="22"/>
      <c r="I480" s="23"/>
      <c r="J480" s="24"/>
      <c r="K480" s="25"/>
      <c r="L480" s="22"/>
      <c r="M480" s="22"/>
      <c r="N480" s="22"/>
      <c r="O480" s="192" t="str">
        <f t="shared" si="971"/>
        <v/>
      </c>
      <c r="P480" s="4"/>
      <c r="Q480" s="406"/>
      <c r="R480" s="6"/>
    </row>
    <row r="481" spans="1:19" s="1" customFormat="1" ht="19.850000000000001" customHeight="1" x14ac:dyDescent="0.25">
      <c r="A481" s="21"/>
      <c r="B481" s="21"/>
      <c r="C481" s="22"/>
      <c r="D481" s="22"/>
      <c r="E481" s="22"/>
      <c r="F481" s="22"/>
      <c r="G481" s="22"/>
      <c r="H481" s="22"/>
      <c r="I481" s="23"/>
      <c r="J481" s="24"/>
      <c r="K481" s="25"/>
      <c r="L481" s="22"/>
      <c r="M481" s="22"/>
      <c r="N481" s="22"/>
      <c r="O481" s="192" t="str">
        <f t="shared" si="971"/>
        <v/>
      </c>
      <c r="P481" s="4"/>
      <c r="Q481" s="406"/>
      <c r="R481" s="6"/>
      <c r="S481" s="48"/>
    </row>
    <row r="482" spans="1:19" s="1" customFormat="1" ht="19.850000000000001" customHeight="1" x14ac:dyDescent="0.25">
      <c r="A482" s="21"/>
      <c r="B482" s="21"/>
      <c r="C482" s="22"/>
      <c r="D482" s="22"/>
      <c r="E482" s="22"/>
      <c r="F482" s="22"/>
      <c r="G482" s="22"/>
      <c r="H482" s="22"/>
      <c r="I482" s="23"/>
      <c r="J482" s="24"/>
      <c r="K482" s="25"/>
      <c r="L482" s="22"/>
      <c r="M482" s="22"/>
      <c r="N482" s="22"/>
      <c r="O482" s="192" t="str">
        <f t="shared" si="971"/>
        <v/>
      </c>
      <c r="P482" s="4"/>
      <c r="Q482" s="406"/>
      <c r="R482" s="6"/>
    </row>
    <row r="483" spans="1:19" s="1" customFormat="1" ht="19.100000000000001" customHeight="1" x14ac:dyDescent="0.25">
      <c r="A483" s="21"/>
      <c r="B483" s="21"/>
      <c r="C483" s="22"/>
      <c r="D483" s="22"/>
      <c r="E483" s="22"/>
      <c r="F483" s="22"/>
      <c r="G483" s="22"/>
      <c r="H483" s="22"/>
      <c r="I483" s="23"/>
      <c r="J483" s="24"/>
      <c r="L483" s="22"/>
      <c r="M483" s="22"/>
      <c r="N483" s="22"/>
      <c r="O483" s="192" t="str">
        <f t="shared" si="971"/>
        <v/>
      </c>
      <c r="P483" s="4"/>
      <c r="Q483" s="406"/>
      <c r="R483" s="6"/>
    </row>
    <row r="484" spans="1:19" s="1" customFormat="1" ht="19.850000000000001" customHeight="1" x14ac:dyDescent="0.25">
      <c r="A484" s="21"/>
      <c r="B484" s="21"/>
      <c r="C484" s="22"/>
      <c r="D484" s="22"/>
      <c r="E484" s="22"/>
      <c r="F484" s="22"/>
      <c r="G484" s="22"/>
      <c r="H484" s="22"/>
      <c r="I484" s="23"/>
      <c r="J484" s="24"/>
      <c r="K484" s="25"/>
      <c r="L484" s="22"/>
      <c r="M484" s="22"/>
      <c r="N484" s="22"/>
      <c r="O484" s="192" t="str">
        <f t="shared" si="971"/>
        <v/>
      </c>
      <c r="P484" s="4"/>
      <c r="Q484" s="406"/>
      <c r="R484" s="6"/>
    </row>
    <row r="485" spans="1:19" s="1" customFormat="1" ht="19.850000000000001" customHeight="1" x14ac:dyDescent="0.25">
      <c r="A485" s="21"/>
      <c r="B485" s="21"/>
      <c r="C485" s="22"/>
      <c r="D485" s="22"/>
      <c r="E485" s="22"/>
      <c r="F485" s="22"/>
      <c r="G485" s="22"/>
      <c r="H485" s="22"/>
      <c r="I485" s="23"/>
      <c r="J485" s="24"/>
      <c r="K485" s="25"/>
      <c r="L485" s="22"/>
      <c r="M485" s="22"/>
      <c r="N485" s="22"/>
      <c r="O485" s="192" t="str">
        <f t="shared" si="971"/>
        <v/>
      </c>
      <c r="P485" s="4"/>
      <c r="Q485" s="406"/>
      <c r="R485" s="6"/>
    </row>
    <row r="486" spans="1:19" s="1" customFormat="1" ht="19.850000000000001" customHeight="1" x14ac:dyDescent="0.25">
      <c r="A486" s="21"/>
      <c r="B486" s="21"/>
      <c r="C486" s="22"/>
      <c r="D486" s="22"/>
      <c r="E486" s="22"/>
      <c r="F486" s="22"/>
      <c r="G486" s="22"/>
      <c r="H486" s="22"/>
      <c r="I486" s="23"/>
      <c r="J486" s="24"/>
      <c r="K486" s="25"/>
      <c r="L486" s="22"/>
      <c r="M486" s="22"/>
      <c r="N486" s="22"/>
      <c r="O486" s="192" t="str">
        <f t="shared" si="971"/>
        <v/>
      </c>
      <c r="P486" s="4"/>
      <c r="Q486" s="406"/>
      <c r="R486" s="6"/>
    </row>
    <row r="487" spans="1:19" s="1" customFormat="1" ht="19.850000000000001" customHeight="1" x14ac:dyDescent="0.25">
      <c r="A487" s="21"/>
      <c r="B487" s="21"/>
      <c r="C487" s="22"/>
      <c r="D487" s="22"/>
      <c r="E487" s="22"/>
      <c r="F487" s="22"/>
      <c r="G487" s="22"/>
      <c r="H487" s="22"/>
      <c r="I487" s="23"/>
      <c r="J487" s="24"/>
      <c r="K487" s="25"/>
      <c r="L487" s="22"/>
      <c r="M487" s="22"/>
      <c r="N487" s="22"/>
      <c r="O487" s="192" t="str">
        <f t="shared" si="971"/>
        <v/>
      </c>
      <c r="P487" s="4"/>
      <c r="Q487" s="406"/>
      <c r="R487" s="6"/>
    </row>
    <row r="488" spans="1:19" s="1" customFormat="1" ht="19.850000000000001" customHeight="1" x14ac:dyDescent="0.25">
      <c r="A488" s="21"/>
      <c r="B488" s="21"/>
      <c r="C488" s="22"/>
      <c r="D488" s="22"/>
      <c r="E488" s="22"/>
      <c r="F488" s="22"/>
      <c r="G488" s="22"/>
      <c r="H488" s="22"/>
      <c r="I488" s="23"/>
      <c r="J488" s="24"/>
      <c r="K488" s="25"/>
      <c r="L488" s="22"/>
      <c r="M488" s="22"/>
      <c r="N488" s="22"/>
      <c r="O488" s="192" t="str">
        <f t="shared" si="971"/>
        <v/>
      </c>
      <c r="P488" s="4"/>
      <c r="Q488" s="406"/>
      <c r="R488" s="6"/>
    </row>
    <row r="489" spans="1:19" s="1" customFormat="1" ht="19.850000000000001" customHeight="1" x14ac:dyDescent="0.25">
      <c r="A489" s="21"/>
      <c r="B489" s="90"/>
      <c r="C489" s="22"/>
      <c r="D489" s="22"/>
      <c r="E489" s="22"/>
      <c r="F489" s="22"/>
      <c r="G489" s="90"/>
      <c r="H489" s="22"/>
      <c r="I489" s="23"/>
      <c r="J489" s="24"/>
      <c r="K489" s="25"/>
      <c r="L489" s="22"/>
      <c r="M489" s="22"/>
      <c r="N489" s="22"/>
      <c r="O489" s="192" t="str">
        <f t="shared" si="971"/>
        <v/>
      </c>
      <c r="P489" s="4"/>
      <c r="Q489" s="406"/>
      <c r="R489" s="6"/>
    </row>
    <row r="490" spans="1:19" s="1" customFormat="1" ht="19.850000000000001" customHeight="1" x14ac:dyDescent="0.25">
      <c r="A490" s="21"/>
      <c r="B490" s="21"/>
      <c r="C490" s="22"/>
      <c r="D490" s="22"/>
      <c r="E490" s="22"/>
      <c r="F490" s="22"/>
      <c r="G490" s="22"/>
      <c r="H490" s="22"/>
      <c r="I490" s="23"/>
      <c r="J490" s="24"/>
      <c r="K490" s="25"/>
      <c r="L490" s="22"/>
      <c r="M490" s="22"/>
      <c r="N490" s="22"/>
      <c r="O490" s="192" t="str">
        <f t="shared" si="971"/>
        <v/>
      </c>
      <c r="P490" s="4"/>
      <c r="Q490" s="406"/>
      <c r="R490" s="6"/>
    </row>
    <row r="491" spans="1:19" s="1" customFormat="1" ht="19.850000000000001" customHeight="1" x14ac:dyDescent="0.25">
      <c r="A491" s="21"/>
      <c r="B491" s="21"/>
      <c r="C491" s="22"/>
      <c r="D491" s="22"/>
      <c r="E491" s="22"/>
      <c r="F491" s="22"/>
      <c r="G491" s="22"/>
      <c r="H491" s="22"/>
      <c r="I491" s="23"/>
      <c r="J491" s="24"/>
      <c r="K491" s="25"/>
      <c r="L491" s="22"/>
      <c r="M491" s="22"/>
      <c r="N491" s="22"/>
      <c r="O491" s="192" t="str">
        <f t="shared" si="971"/>
        <v/>
      </c>
      <c r="P491" s="4"/>
      <c r="Q491" s="406"/>
      <c r="R491" s="6"/>
    </row>
    <row r="492" spans="1:19" s="1" customFormat="1" ht="19.850000000000001" customHeight="1" x14ac:dyDescent="0.25">
      <c r="A492" s="21"/>
      <c r="B492" s="21"/>
      <c r="C492" s="22"/>
      <c r="D492" s="22"/>
      <c r="E492" s="22"/>
      <c r="F492" s="22"/>
      <c r="G492" s="22"/>
      <c r="H492" s="22"/>
      <c r="I492" s="23"/>
      <c r="J492" s="24"/>
      <c r="K492" s="25"/>
      <c r="L492" s="22"/>
      <c r="M492" s="22"/>
      <c r="N492" s="22"/>
      <c r="O492" s="192" t="str">
        <f t="shared" si="971"/>
        <v/>
      </c>
      <c r="P492" s="4"/>
      <c r="Q492" s="406"/>
      <c r="R492" s="6"/>
    </row>
    <row r="493" spans="1:19" s="1" customFormat="1" ht="19.850000000000001" customHeight="1" x14ac:dyDescent="0.25">
      <c r="A493" s="21"/>
      <c r="B493" s="21"/>
      <c r="C493" s="22"/>
      <c r="D493" s="22"/>
      <c r="E493" s="22"/>
      <c r="F493" s="22"/>
      <c r="G493" s="22"/>
      <c r="H493" s="22"/>
      <c r="I493" s="23"/>
      <c r="J493" s="24"/>
      <c r="K493" s="25"/>
      <c r="L493" s="22"/>
      <c r="M493" s="22"/>
      <c r="N493" s="22"/>
      <c r="O493" s="192" t="str">
        <f t="shared" si="971"/>
        <v/>
      </c>
      <c r="P493" s="4"/>
      <c r="Q493" s="406"/>
      <c r="R493" s="6"/>
    </row>
    <row r="494" spans="1:19" s="1" customFormat="1" ht="19.850000000000001" customHeight="1" x14ac:dyDescent="0.25">
      <c r="A494" s="21"/>
      <c r="B494" s="21"/>
      <c r="C494" s="22"/>
      <c r="D494" s="22"/>
      <c r="E494" s="22"/>
      <c r="F494" s="22"/>
      <c r="G494" s="22"/>
      <c r="H494" s="22"/>
      <c r="I494" s="23"/>
      <c r="J494" s="24"/>
      <c r="K494" s="25"/>
      <c r="L494" s="22"/>
      <c r="M494" s="22"/>
      <c r="N494" s="22"/>
      <c r="O494" s="192" t="str">
        <f t="shared" si="971"/>
        <v/>
      </c>
      <c r="P494" s="4"/>
      <c r="Q494" s="406"/>
      <c r="R494" s="6"/>
    </row>
    <row r="495" spans="1:19" s="1" customFormat="1" ht="19.850000000000001" customHeight="1" x14ac:dyDescent="0.25">
      <c r="A495" s="21"/>
      <c r="B495" s="21"/>
      <c r="C495" s="22"/>
      <c r="D495" s="22"/>
      <c r="E495" s="22"/>
      <c r="F495" s="22"/>
      <c r="G495" s="22"/>
      <c r="H495" s="22"/>
      <c r="I495" s="23"/>
      <c r="J495" s="24"/>
      <c r="K495" s="25"/>
      <c r="L495" s="22"/>
      <c r="M495" s="22"/>
      <c r="N495" s="22"/>
      <c r="O495" s="192" t="str">
        <f t="shared" si="971"/>
        <v/>
      </c>
      <c r="P495" s="4"/>
      <c r="Q495" s="406"/>
      <c r="R495" s="6"/>
    </row>
    <row r="496" spans="1:19" s="1" customFormat="1" ht="19.850000000000001" customHeight="1" x14ac:dyDescent="0.25">
      <c r="A496" s="21"/>
      <c r="B496" s="21"/>
      <c r="C496" s="22"/>
      <c r="D496" s="22"/>
      <c r="E496" s="22"/>
      <c r="F496" s="22"/>
      <c r="G496" s="22"/>
      <c r="H496" s="22"/>
      <c r="I496" s="23"/>
      <c r="J496" s="24"/>
      <c r="K496" s="25"/>
      <c r="L496" s="22"/>
      <c r="M496" s="22"/>
      <c r="N496" s="22"/>
      <c r="O496" s="192" t="str">
        <f t="shared" si="971"/>
        <v/>
      </c>
      <c r="P496" s="4"/>
      <c r="Q496" s="406"/>
      <c r="R496" s="6"/>
    </row>
    <row r="497" spans="1:18" s="1" customFormat="1" ht="19.850000000000001" customHeight="1" x14ac:dyDescent="0.25">
      <c r="A497" s="21"/>
      <c r="B497" s="21"/>
      <c r="C497" s="22"/>
      <c r="D497" s="22"/>
      <c r="E497" s="22"/>
      <c r="F497" s="22"/>
      <c r="G497" s="22"/>
      <c r="H497" s="22"/>
      <c r="I497" s="23"/>
      <c r="J497" s="24"/>
      <c r="K497" s="25"/>
      <c r="L497" s="22"/>
      <c r="M497" s="22"/>
      <c r="N497" s="22"/>
      <c r="O497" s="192" t="str">
        <f t="shared" si="971"/>
        <v/>
      </c>
      <c r="P497" s="4"/>
      <c r="Q497" s="406"/>
      <c r="R497" s="6"/>
    </row>
    <row r="498" spans="1:18" s="1" customFormat="1" ht="19.850000000000001" customHeight="1" x14ac:dyDescent="0.25">
      <c r="A498" s="21"/>
      <c r="B498" s="21"/>
      <c r="C498" s="22"/>
      <c r="D498" s="22"/>
      <c r="E498" s="22"/>
      <c r="F498" s="22"/>
      <c r="G498" s="22"/>
      <c r="H498" s="22"/>
      <c r="I498" s="23"/>
      <c r="J498" s="24"/>
      <c r="K498" s="25"/>
      <c r="L498" s="22"/>
      <c r="M498" s="22"/>
      <c r="N498" s="22"/>
      <c r="O498" s="192" t="str">
        <f t="shared" si="971"/>
        <v/>
      </c>
      <c r="P498" s="4"/>
      <c r="Q498" s="406"/>
      <c r="R498" s="6"/>
    </row>
    <row r="499" spans="1:18" s="1" customFormat="1" ht="19.850000000000001" customHeight="1" x14ac:dyDescent="0.25">
      <c r="A499" s="21"/>
      <c r="B499" s="21"/>
      <c r="C499" s="22"/>
      <c r="D499" s="22"/>
      <c r="E499" s="22"/>
      <c r="F499" s="22"/>
      <c r="G499" s="22"/>
      <c r="H499" s="22"/>
      <c r="I499" s="23"/>
      <c r="J499" s="24"/>
      <c r="K499" s="25"/>
      <c r="L499" s="22"/>
      <c r="M499" s="22"/>
      <c r="N499" s="22"/>
      <c r="O499" s="192" t="str">
        <f t="shared" si="971"/>
        <v/>
      </c>
      <c r="P499" s="4"/>
      <c r="Q499" s="406"/>
      <c r="R499" s="6"/>
    </row>
    <row r="500" spans="1:18" s="1" customFormat="1" ht="19.850000000000001" customHeight="1" x14ac:dyDescent="0.25">
      <c r="A500" s="21"/>
      <c r="B500" s="21"/>
      <c r="C500" s="22"/>
      <c r="D500" s="22"/>
      <c r="E500" s="22"/>
      <c r="F500" s="22"/>
      <c r="G500" s="22"/>
      <c r="H500" s="22"/>
      <c r="I500" s="23"/>
      <c r="J500" s="24"/>
      <c r="K500" s="25"/>
      <c r="L500" s="22"/>
      <c r="M500" s="22"/>
      <c r="N500" s="22"/>
      <c r="O500" s="192" t="str">
        <f t="shared" si="971"/>
        <v/>
      </c>
      <c r="P500" s="4"/>
      <c r="Q500" s="406"/>
      <c r="R500" s="6"/>
    </row>
    <row r="501" spans="1:18" s="1" customFormat="1" ht="19.850000000000001" customHeight="1" x14ac:dyDescent="0.25">
      <c r="A501" s="21"/>
      <c r="B501" s="21"/>
      <c r="C501" s="22"/>
      <c r="D501" s="22"/>
      <c r="E501" s="22"/>
      <c r="F501" s="22"/>
      <c r="G501" s="22"/>
      <c r="H501" s="22"/>
      <c r="I501" s="23"/>
      <c r="J501" s="24"/>
      <c r="K501" s="25"/>
      <c r="L501" s="22"/>
      <c r="M501" s="22"/>
      <c r="N501" s="22"/>
      <c r="O501" s="192" t="str">
        <f t="shared" si="971"/>
        <v/>
      </c>
      <c r="P501" s="4"/>
      <c r="Q501" s="406"/>
      <c r="R501" s="6"/>
    </row>
    <row r="502" spans="1:18" s="1" customFormat="1" ht="19.850000000000001" customHeight="1" x14ac:dyDescent="0.25">
      <c r="A502" s="21"/>
      <c r="B502" s="21"/>
      <c r="C502" s="22"/>
      <c r="D502" s="22"/>
      <c r="E502" s="22"/>
      <c r="F502" s="22"/>
      <c r="G502" s="22"/>
      <c r="H502" s="22"/>
      <c r="I502" s="23"/>
      <c r="J502" s="24"/>
      <c r="K502" s="25"/>
      <c r="L502" s="22"/>
      <c r="M502" s="22"/>
      <c r="N502" s="22"/>
      <c r="O502" s="192" t="str">
        <f t="shared" si="971"/>
        <v/>
      </c>
      <c r="P502" s="4"/>
      <c r="Q502" s="406"/>
      <c r="R502" s="6"/>
    </row>
    <row r="503" spans="1:18" s="1" customFormat="1" ht="19.850000000000001" customHeight="1" x14ac:dyDescent="0.25">
      <c r="A503" s="21"/>
      <c r="B503" s="21"/>
      <c r="C503" s="22"/>
      <c r="D503" s="22"/>
      <c r="E503" s="22"/>
      <c r="F503" s="22"/>
      <c r="G503" s="22"/>
      <c r="H503" s="22"/>
      <c r="I503" s="23"/>
      <c r="J503" s="24"/>
      <c r="K503" s="25"/>
      <c r="L503" s="22"/>
      <c r="M503" s="22"/>
      <c r="N503" s="22"/>
      <c r="O503" s="192" t="str">
        <f t="shared" si="971"/>
        <v/>
      </c>
      <c r="P503" s="4"/>
      <c r="Q503" s="406"/>
      <c r="R503" s="6"/>
    </row>
    <row r="504" spans="1:18" s="1" customFormat="1" ht="19.850000000000001" customHeight="1" x14ac:dyDescent="0.25">
      <c r="A504" s="21"/>
      <c r="B504" s="21"/>
      <c r="C504" s="22"/>
      <c r="D504" s="22"/>
      <c r="E504" s="22"/>
      <c r="F504" s="22"/>
      <c r="G504" s="22"/>
      <c r="H504" s="22"/>
      <c r="I504" s="23"/>
      <c r="J504" s="24"/>
      <c r="K504" s="25"/>
      <c r="L504" s="22"/>
      <c r="M504" s="22"/>
      <c r="N504" s="22"/>
      <c r="O504" s="192" t="str">
        <f t="shared" si="971"/>
        <v/>
      </c>
      <c r="P504" s="4"/>
      <c r="Q504" s="406"/>
      <c r="R504" s="6"/>
    </row>
    <row r="505" spans="1:18" s="1" customFormat="1" ht="19.850000000000001" customHeight="1" x14ac:dyDescent="0.25">
      <c r="A505" s="21"/>
      <c r="B505" s="21"/>
      <c r="C505" s="22"/>
      <c r="D505" s="22"/>
      <c r="E505" s="22"/>
      <c r="F505" s="22"/>
      <c r="G505" s="22"/>
      <c r="H505" s="22"/>
      <c r="I505" s="23"/>
      <c r="J505" s="24"/>
      <c r="K505" s="25"/>
      <c r="L505" s="22"/>
      <c r="M505" s="22"/>
      <c r="N505" s="22"/>
      <c r="O505" s="192" t="str">
        <f t="shared" si="971"/>
        <v/>
      </c>
      <c r="P505" s="4"/>
      <c r="Q505" s="406"/>
      <c r="R505" s="6"/>
    </row>
    <row r="506" spans="1:18" s="1" customFormat="1" ht="19.850000000000001" customHeight="1" x14ac:dyDescent="0.25">
      <c r="A506" s="21"/>
      <c r="B506" s="21"/>
      <c r="C506" s="22"/>
      <c r="D506" s="22"/>
      <c r="E506" s="22"/>
      <c r="F506" s="22"/>
      <c r="G506" s="22"/>
      <c r="H506" s="22"/>
      <c r="I506" s="23"/>
      <c r="J506" s="24"/>
      <c r="K506" s="25"/>
      <c r="L506" s="22"/>
      <c r="M506" s="22"/>
      <c r="N506" s="22"/>
      <c r="O506" s="192" t="str">
        <f t="shared" si="971"/>
        <v/>
      </c>
      <c r="P506" s="4"/>
      <c r="Q506" s="406"/>
      <c r="R506" s="6"/>
    </row>
    <row r="507" spans="1:18" s="1" customFormat="1" ht="19.850000000000001" customHeight="1" x14ac:dyDescent="0.25">
      <c r="A507" s="21"/>
      <c r="B507" s="21"/>
      <c r="C507" s="22"/>
      <c r="D507" s="22"/>
      <c r="E507" s="22"/>
      <c r="F507" s="22"/>
      <c r="G507" s="22"/>
      <c r="H507" s="22"/>
      <c r="I507" s="23"/>
      <c r="J507" s="24"/>
      <c r="K507" s="25"/>
      <c r="L507" s="22"/>
      <c r="M507" s="22"/>
      <c r="N507" s="22"/>
      <c r="O507" s="192" t="str">
        <f t="shared" si="971"/>
        <v/>
      </c>
      <c r="P507" s="4"/>
      <c r="Q507" s="406"/>
      <c r="R507" s="6"/>
    </row>
    <row r="508" spans="1:18" s="1" customFormat="1" ht="19.850000000000001" customHeight="1" x14ac:dyDescent="0.25">
      <c r="A508" s="21"/>
      <c r="B508" s="21"/>
      <c r="C508" s="22"/>
      <c r="D508" s="22"/>
      <c r="E508" s="22"/>
      <c r="F508" s="22"/>
      <c r="G508" s="22"/>
      <c r="H508" s="22"/>
      <c r="I508" s="23"/>
      <c r="J508" s="24"/>
      <c r="K508" s="25"/>
      <c r="L508" s="22"/>
      <c r="M508" s="22"/>
      <c r="N508" s="22"/>
      <c r="O508" s="192" t="str">
        <f t="shared" si="971"/>
        <v/>
      </c>
      <c r="P508" s="4"/>
      <c r="Q508" s="406"/>
      <c r="R508" s="6"/>
    </row>
    <row r="509" spans="1:18" s="1" customFormat="1" ht="19.850000000000001" customHeight="1" x14ac:dyDescent="0.25">
      <c r="A509" s="21"/>
      <c r="B509" s="21"/>
      <c r="C509" s="22"/>
      <c r="D509" s="22"/>
      <c r="E509" s="22"/>
      <c r="F509" s="22"/>
      <c r="G509" s="22"/>
      <c r="H509" s="22"/>
      <c r="I509" s="23"/>
      <c r="J509" s="24"/>
      <c r="K509" s="25"/>
      <c r="L509" s="22"/>
      <c r="M509" s="22"/>
      <c r="N509" s="22"/>
      <c r="O509" s="192" t="str">
        <f t="shared" si="971"/>
        <v/>
      </c>
      <c r="P509" s="4"/>
      <c r="Q509" s="406"/>
      <c r="R509" s="6"/>
    </row>
    <row r="510" spans="1:18" s="1" customFormat="1" ht="19.850000000000001" customHeight="1" x14ac:dyDescent="0.25">
      <c r="A510" s="21"/>
      <c r="B510" s="21"/>
      <c r="C510" s="22"/>
      <c r="D510" s="22"/>
      <c r="E510" s="22"/>
      <c r="F510" s="22"/>
      <c r="G510" s="22"/>
      <c r="H510" s="22"/>
      <c r="I510" s="23"/>
      <c r="J510" s="24"/>
      <c r="K510" s="25"/>
      <c r="L510" s="22"/>
      <c r="M510" s="22"/>
      <c r="N510" s="22"/>
      <c r="O510" s="192" t="str">
        <f t="shared" si="971"/>
        <v/>
      </c>
      <c r="P510" s="4"/>
      <c r="Q510" s="406"/>
      <c r="R510" s="6"/>
    </row>
    <row r="511" spans="1:18" s="1" customFormat="1" ht="19.850000000000001" customHeight="1" x14ac:dyDescent="0.25">
      <c r="A511" s="21"/>
      <c r="B511" s="21"/>
      <c r="C511" s="22"/>
      <c r="D511" s="22"/>
      <c r="E511" s="22"/>
      <c r="F511" s="22"/>
      <c r="G511" s="22"/>
      <c r="H511" s="22"/>
      <c r="I511" s="23"/>
      <c r="J511" s="24"/>
      <c r="K511" s="25"/>
      <c r="L511" s="22"/>
      <c r="M511" s="22"/>
      <c r="N511" s="22"/>
      <c r="O511" s="192" t="str">
        <f t="shared" si="971"/>
        <v/>
      </c>
      <c r="P511" s="4"/>
      <c r="Q511" s="406"/>
      <c r="R511" s="6"/>
    </row>
    <row r="512" spans="1:18" s="1" customFormat="1" ht="19.850000000000001" customHeight="1" x14ac:dyDescent="0.25">
      <c r="A512" s="21"/>
      <c r="B512" s="21"/>
      <c r="C512" s="22"/>
      <c r="D512" s="22"/>
      <c r="E512" s="22"/>
      <c r="F512" s="22"/>
      <c r="G512" s="22"/>
      <c r="H512" s="22"/>
      <c r="I512" s="23"/>
      <c r="J512" s="24"/>
      <c r="K512" s="25"/>
      <c r="L512" s="22"/>
      <c r="M512" s="22"/>
      <c r="N512" s="22"/>
      <c r="O512" s="192" t="str">
        <f t="shared" si="971"/>
        <v/>
      </c>
      <c r="P512" s="4"/>
      <c r="Q512" s="406"/>
      <c r="R512" s="6"/>
    </row>
    <row r="513" spans="1:18" s="1" customFormat="1" ht="19.850000000000001" customHeight="1" x14ac:dyDescent="0.25">
      <c r="A513" s="21"/>
      <c r="B513" s="21"/>
      <c r="C513" s="22"/>
      <c r="D513" s="22"/>
      <c r="E513" s="22"/>
      <c r="F513" s="22"/>
      <c r="G513" s="22"/>
      <c r="H513" s="22"/>
      <c r="I513" s="23"/>
      <c r="J513" s="24"/>
      <c r="K513" s="25"/>
      <c r="L513" s="22"/>
      <c r="M513" s="22"/>
      <c r="N513" s="22"/>
      <c r="O513" s="192" t="str">
        <f t="shared" si="971"/>
        <v/>
      </c>
      <c r="P513" s="4"/>
      <c r="Q513" s="406"/>
      <c r="R513" s="6"/>
    </row>
    <row r="514" spans="1:18" s="1" customFormat="1" ht="19.850000000000001" customHeight="1" x14ac:dyDescent="0.25">
      <c r="A514" s="21"/>
      <c r="B514" s="21"/>
      <c r="C514" s="22"/>
      <c r="D514" s="22"/>
      <c r="E514" s="22"/>
      <c r="F514" s="22"/>
      <c r="G514" s="22"/>
      <c r="H514" s="22"/>
      <c r="I514" s="23"/>
      <c r="J514" s="24"/>
      <c r="K514" s="25"/>
      <c r="L514" s="22"/>
      <c r="M514" s="22"/>
      <c r="N514" s="22"/>
      <c r="O514" s="3"/>
      <c r="P514" s="4"/>
      <c r="Q514" s="406"/>
      <c r="R514" s="6"/>
    </row>
    <row r="515" spans="1:18" s="1" customFormat="1" ht="19.850000000000001" customHeight="1" x14ac:dyDescent="0.25">
      <c r="A515" s="21"/>
      <c r="B515" s="21"/>
      <c r="C515" s="22"/>
      <c r="D515" s="22"/>
      <c r="E515" s="22"/>
      <c r="F515" s="22"/>
      <c r="G515" s="22"/>
      <c r="H515" s="22"/>
      <c r="I515" s="23"/>
      <c r="J515" s="24"/>
      <c r="K515" s="25"/>
      <c r="L515" s="22"/>
      <c r="M515" s="22"/>
      <c r="N515" s="22"/>
      <c r="O515" s="3"/>
      <c r="P515" s="4"/>
      <c r="Q515" s="406"/>
      <c r="R515" s="6"/>
    </row>
    <row r="516" spans="1:18" s="1" customFormat="1" ht="19.850000000000001" customHeight="1" x14ac:dyDescent="0.25">
      <c r="A516" s="21"/>
      <c r="B516" s="21"/>
      <c r="C516" s="22"/>
      <c r="D516" s="22"/>
      <c r="E516" s="22"/>
      <c r="F516" s="22"/>
      <c r="G516" s="22"/>
      <c r="H516" s="22"/>
      <c r="I516" s="23"/>
      <c r="J516" s="24"/>
      <c r="K516" s="25"/>
      <c r="L516" s="22"/>
      <c r="M516" s="22"/>
      <c r="N516" s="22"/>
      <c r="O516" s="3"/>
      <c r="P516" s="4"/>
      <c r="Q516" s="406"/>
      <c r="R516" s="6"/>
    </row>
    <row r="517" spans="1:18" s="1" customFormat="1" ht="19.850000000000001" customHeight="1" x14ac:dyDescent="0.25">
      <c r="A517" s="21"/>
      <c r="B517" s="21"/>
      <c r="C517" s="22"/>
      <c r="D517" s="22"/>
      <c r="E517" s="22"/>
      <c r="F517" s="22"/>
      <c r="G517" s="22"/>
      <c r="H517" s="22"/>
      <c r="I517" s="23"/>
      <c r="J517" s="24"/>
      <c r="K517" s="25"/>
      <c r="L517" s="22"/>
      <c r="M517" s="22"/>
      <c r="N517" s="22"/>
      <c r="O517" s="3"/>
      <c r="P517" s="4"/>
      <c r="Q517" s="406"/>
      <c r="R517" s="6"/>
    </row>
    <row r="518" spans="1:18" s="1" customFormat="1" ht="19.850000000000001" customHeight="1" x14ac:dyDescent="0.25">
      <c r="A518" s="21"/>
      <c r="B518" s="21"/>
      <c r="C518" s="22"/>
      <c r="D518" s="22"/>
      <c r="E518" s="22"/>
      <c r="F518" s="22"/>
      <c r="G518" s="22"/>
      <c r="H518" s="22"/>
      <c r="I518" s="23"/>
      <c r="J518" s="24"/>
      <c r="K518" s="25"/>
      <c r="L518" s="22"/>
      <c r="M518" s="22"/>
      <c r="N518" s="22"/>
      <c r="O518" s="3"/>
      <c r="P518" s="4"/>
      <c r="Q518" s="406"/>
      <c r="R518" s="6"/>
    </row>
    <row r="519" spans="1:18" s="1" customFormat="1" ht="19.850000000000001" customHeight="1" x14ac:dyDescent="0.25">
      <c r="A519" s="21"/>
      <c r="B519" s="21"/>
      <c r="C519" s="22"/>
      <c r="D519" s="22"/>
      <c r="E519" s="22"/>
      <c r="F519" s="22"/>
      <c r="G519" s="22"/>
      <c r="H519" s="22"/>
      <c r="I519" s="23"/>
      <c r="J519" s="24"/>
      <c r="K519" s="25"/>
      <c r="L519" s="22"/>
      <c r="M519" s="22"/>
      <c r="N519" s="22"/>
      <c r="O519" s="3"/>
      <c r="P519" s="4"/>
      <c r="Q519" s="406"/>
      <c r="R519" s="6"/>
    </row>
    <row r="520" spans="1:18" s="1" customFormat="1" ht="19.850000000000001" customHeight="1" x14ac:dyDescent="0.25">
      <c r="A520" s="21"/>
      <c r="B520" s="21"/>
      <c r="C520" s="22"/>
      <c r="D520" s="22"/>
      <c r="E520" s="22"/>
      <c r="F520" s="22"/>
      <c r="G520" s="22"/>
      <c r="H520" s="22"/>
      <c r="I520" s="23"/>
      <c r="J520" s="24"/>
      <c r="K520" s="25"/>
      <c r="L520" s="22"/>
      <c r="M520" s="22"/>
      <c r="N520" s="22"/>
      <c r="O520" s="3"/>
      <c r="P520" s="4"/>
      <c r="Q520" s="406"/>
      <c r="R520" s="6"/>
    </row>
    <row r="521" spans="1:18" s="1" customFormat="1" ht="19.850000000000001" customHeight="1" x14ac:dyDescent="0.25">
      <c r="A521" s="21"/>
      <c r="B521" s="21"/>
      <c r="C521" s="22"/>
      <c r="D521" s="22"/>
      <c r="E521" s="22"/>
      <c r="F521" s="22"/>
      <c r="G521" s="22"/>
      <c r="H521" s="22"/>
      <c r="I521" s="23"/>
      <c r="J521" s="24"/>
      <c r="K521" s="25"/>
      <c r="L521" s="22"/>
      <c r="M521" s="22"/>
      <c r="N521" s="22"/>
      <c r="O521" s="3"/>
      <c r="P521" s="4"/>
      <c r="Q521" s="406"/>
      <c r="R521" s="6"/>
    </row>
    <row r="522" spans="1:18" s="1" customFormat="1" ht="19.850000000000001" customHeight="1" x14ac:dyDescent="0.25">
      <c r="A522" s="21"/>
      <c r="B522" s="21"/>
      <c r="C522" s="22"/>
      <c r="D522" s="22"/>
      <c r="E522" s="22"/>
      <c r="F522" s="22"/>
      <c r="G522" s="22"/>
      <c r="H522" s="22"/>
      <c r="I522" s="23"/>
      <c r="J522" s="24"/>
      <c r="K522" s="25"/>
      <c r="L522" s="22"/>
      <c r="M522" s="22"/>
      <c r="N522" s="22"/>
      <c r="O522" s="3"/>
      <c r="P522" s="4"/>
      <c r="Q522" s="406"/>
      <c r="R522" s="6"/>
    </row>
    <row r="523" spans="1:18" s="1" customFormat="1" ht="19.850000000000001" customHeight="1" x14ac:dyDescent="0.25">
      <c r="A523" s="21"/>
      <c r="B523" s="21"/>
      <c r="C523" s="22"/>
      <c r="D523" s="22"/>
      <c r="E523" s="22"/>
      <c r="F523" s="22"/>
      <c r="G523" s="22"/>
      <c r="H523" s="22"/>
      <c r="I523" s="23"/>
      <c r="J523" s="24"/>
      <c r="K523" s="25"/>
      <c r="L523" s="22"/>
      <c r="M523" s="22"/>
      <c r="N523" s="22"/>
      <c r="O523" s="3"/>
      <c r="P523" s="4"/>
      <c r="Q523" s="406"/>
      <c r="R523" s="6"/>
    </row>
    <row r="524" spans="1:18" s="1" customFormat="1" ht="19.850000000000001" customHeight="1" x14ac:dyDescent="0.25">
      <c r="A524" s="21"/>
      <c r="B524" s="21"/>
      <c r="C524" s="22"/>
      <c r="D524" s="22"/>
      <c r="E524" s="22"/>
      <c r="F524" s="22"/>
      <c r="G524" s="22"/>
      <c r="H524" s="22"/>
      <c r="I524" s="23"/>
      <c r="J524" s="24"/>
      <c r="K524" s="25"/>
      <c r="L524" s="22"/>
      <c r="M524" s="22"/>
      <c r="N524" s="22"/>
      <c r="O524" s="3"/>
      <c r="P524" s="4"/>
      <c r="Q524" s="406"/>
      <c r="R524" s="6"/>
    </row>
    <row r="525" spans="1:18" s="1" customFormat="1" ht="19.850000000000001" customHeight="1" x14ac:dyDescent="0.25">
      <c r="A525" s="21"/>
      <c r="B525" s="21"/>
      <c r="C525" s="22"/>
      <c r="D525" s="22"/>
      <c r="E525" s="22"/>
      <c r="F525" s="22"/>
      <c r="G525" s="22"/>
      <c r="H525" s="22"/>
      <c r="I525" s="23"/>
      <c r="J525" s="24"/>
      <c r="K525" s="25"/>
      <c r="L525" s="22"/>
      <c r="M525" s="22"/>
      <c r="N525" s="22"/>
      <c r="O525" s="3"/>
      <c r="P525" s="4"/>
      <c r="Q525" s="406"/>
      <c r="R525" s="6"/>
    </row>
    <row r="526" spans="1:18" s="1" customFormat="1" ht="19.850000000000001" customHeight="1" x14ac:dyDescent="0.25">
      <c r="A526" s="21"/>
      <c r="B526" s="21"/>
      <c r="C526" s="22"/>
      <c r="D526" s="22"/>
      <c r="E526" s="22"/>
      <c r="F526" s="22"/>
      <c r="G526" s="22"/>
      <c r="H526" s="22"/>
      <c r="I526" s="23"/>
      <c r="J526" s="24"/>
      <c r="K526" s="25"/>
      <c r="L526" s="22"/>
      <c r="M526" s="22"/>
      <c r="N526" s="22"/>
      <c r="O526" s="3"/>
      <c r="P526" s="4"/>
      <c r="Q526" s="406"/>
      <c r="R526" s="6"/>
    </row>
    <row r="527" spans="1:18" s="1" customFormat="1" ht="19.850000000000001" customHeight="1" x14ac:dyDescent="0.25">
      <c r="A527" s="21"/>
      <c r="B527" s="21"/>
      <c r="C527" s="22"/>
      <c r="D527" s="22"/>
      <c r="E527" s="22"/>
      <c r="F527" s="22"/>
      <c r="G527" s="22"/>
      <c r="H527" s="22"/>
      <c r="I527" s="23"/>
      <c r="J527" s="24"/>
      <c r="K527" s="25"/>
      <c r="L527" s="22"/>
      <c r="M527" s="22"/>
      <c r="N527" s="22"/>
      <c r="O527" s="3"/>
      <c r="P527" s="4"/>
      <c r="Q527" s="406"/>
      <c r="R527" s="6"/>
    </row>
    <row r="528" spans="1:18" s="1" customFormat="1" ht="19.850000000000001" customHeight="1" x14ac:dyDescent="0.25">
      <c r="A528" s="21"/>
      <c r="B528" s="21"/>
      <c r="C528" s="22"/>
      <c r="D528" s="22"/>
      <c r="E528" s="22"/>
      <c r="F528" s="22"/>
      <c r="G528" s="22"/>
      <c r="H528" s="22"/>
      <c r="I528" s="23"/>
      <c r="J528" s="24"/>
      <c r="K528" s="25"/>
      <c r="L528" s="22"/>
      <c r="M528" s="22"/>
      <c r="N528" s="22"/>
      <c r="O528" s="3"/>
      <c r="P528" s="4"/>
      <c r="Q528" s="406"/>
      <c r="R528" s="6"/>
    </row>
    <row r="529" spans="1:18" s="1" customFormat="1" ht="19.850000000000001" customHeight="1" x14ac:dyDescent="0.25">
      <c r="A529" s="21"/>
      <c r="B529" s="21"/>
      <c r="C529" s="22"/>
      <c r="D529" s="22"/>
      <c r="E529" s="22"/>
      <c r="F529" s="22"/>
      <c r="G529" s="22"/>
      <c r="H529" s="22"/>
      <c r="I529" s="23"/>
      <c r="J529" s="24"/>
      <c r="K529" s="25"/>
      <c r="L529" s="22"/>
      <c r="M529" s="22"/>
      <c r="N529" s="22"/>
      <c r="O529" s="3"/>
      <c r="P529" s="4"/>
      <c r="Q529" s="406"/>
      <c r="R529" s="6"/>
    </row>
    <row r="530" spans="1:18" s="1" customFormat="1" ht="19.850000000000001" customHeight="1" x14ac:dyDescent="0.25">
      <c r="A530" s="21"/>
      <c r="B530" s="21"/>
      <c r="C530" s="22"/>
      <c r="D530" s="22"/>
      <c r="E530" s="22"/>
      <c r="F530" s="22"/>
      <c r="G530" s="22"/>
      <c r="H530" s="22"/>
      <c r="I530" s="23"/>
      <c r="J530" s="24"/>
      <c r="K530" s="25"/>
      <c r="L530" s="22"/>
      <c r="M530" s="22"/>
      <c r="N530" s="22"/>
      <c r="O530" s="3"/>
      <c r="P530" s="4"/>
      <c r="Q530" s="406"/>
      <c r="R530" s="6"/>
    </row>
    <row r="531" spans="1:18" s="1" customFormat="1" ht="19.850000000000001" customHeight="1" x14ac:dyDescent="0.25">
      <c r="A531" s="21"/>
      <c r="B531" s="21"/>
      <c r="C531" s="22"/>
      <c r="D531" s="22"/>
      <c r="E531" s="22"/>
      <c r="F531" s="22"/>
      <c r="G531" s="22"/>
      <c r="H531" s="22"/>
      <c r="I531" s="23"/>
      <c r="J531" s="24"/>
      <c r="K531" s="25"/>
      <c r="L531" s="22"/>
      <c r="M531" s="22"/>
      <c r="N531" s="22"/>
      <c r="O531" s="3"/>
      <c r="P531" s="4"/>
      <c r="Q531" s="406"/>
      <c r="R531" s="6"/>
    </row>
    <row r="532" spans="1:18" s="1" customFormat="1" ht="19.850000000000001" customHeight="1" x14ac:dyDescent="0.25">
      <c r="A532" s="21"/>
      <c r="B532" s="21"/>
      <c r="C532" s="22"/>
      <c r="D532" s="22"/>
      <c r="E532" s="22"/>
      <c r="F532" s="22"/>
      <c r="G532" s="22"/>
      <c r="H532" s="22"/>
      <c r="I532" s="23"/>
      <c r="J532" s="24"/>
      <c r="K532" s="25"/>
      <c r="L532" s="22"/>
      <c r="M532" s="22"/>
      <c r="N532" s="22"/>
      <c r="O532" s="3"/>
      <c r="P532" s="4"/>
      <c r="Q532" s="406"/>
      <c r="R532" s="6"/>
    </row>
    <row r="533" spans="1:18" s="1" customFormat="1" ht="19.850000000000001" customHeight="1" x14ac:dyDescent="0.25">
      <c r="A533" s="21"/>
      <c r="B533" s="21"/>
      <c r="C533" s="22"/>
      <c r="D533" s="22"/>
      <c r="E533" s="22"/>
      <c r="F533" s="22"/>
      <c r="G533" s="22"/>
      <c r="H533" s="22"/>
      <c r="I533" s="23"/>
      <c r="J533" s="24"/>
      <c r="K533" s="25"/>
      <c r="L533" s="22"/>
      <c r="M533" s="22"/>
      <c r="N533" s="22"/>
      <c r="O533" s="3"/>
      <c r="P533" s="4"/>
      <c r="Q533" s="406"/>
      <c r="R533" s="6"/>
    </row>
    <row r="534" spans="1:18" s="1" customFormat="1" ht="19.850000000000001" customHeight="1" x14ac:dyDescent="0.25">
      <c r="A534" s="21"/>
      <c r="B534" s="21"/>
      <c r="C534" s="22"/>
      <c r="D534" s="22"/>
      <c r="E534" s="22"/>
      <c r="F534" s="22"/>
      <c r="G534" s="22"/>
      <c r="H534" s="22"/>
      <c r="I534" s="23"/>
      <c r="J534" s="24"/>
      <c r="K534" s="25"/>
      <c r="L534" s="22"/>
      <c r="M534" s="22"/>
      <c r="N534" s="22"/>
      <c r="O534" s="3"/>
      <c r="P534" s="4"/>
      <c r="Q534" s="406"/>
      <c r="R534" s="6"/>
    </row>
    <row r="535" spans="1:18" s="1" customFormat="1" ht="19.850000000000001" customHeight="1" x14ac:dyDescent="0.25">
      <c r="A535" s="21"/>
      <c r="B535" s="21"/>
      <c r="C535" s="22"/>
      <c r="D535" s="22"/>
      <c r="E535" s="22"/>
      <c r="F535" s="22"/>
      <c r="G535" s="22"/>
      <c r="H535" s="22"/>
      <c r="I535" s="23"/>
      <c r="J535" s="24"/>
      <c r="K535" s="25"/>
      <c r="L535" s="22"/>
      <c r="M535" s="22"/>
      <c r="N535" s="22"/>
      <c r="O535" s="3"/>
      <c r="P535" s="4"/>
      <c r="Q535" s="406"/>
      <c r="R535" s="6"/>
    </row>
    <row r="536" spans="1:18" s="1" customFormat="1" ht="19.850000000000001" customHeight="1" x14ac:dyDescent="0.25">
      <c r="A536" s="21"/>
      <c r="B536" s="21"/>
      <c r="C536" s="22"/>
      <c r="D536" s="22"/>
      <c r="E536" s="22"/>
      <c r="F536" s="22"/>
      <c r="G536" s="22"/>
      <c r="H536" s="22"/>
      <c r="I536" s="23"/>
      <c r="J536" s="24"/>
      <c r="K536" s="25"/>
      <c r="L536" s="22"/>
      <c r="M536" s="22"/>
      <c r="N536" s="22"/>
      <c r="O536" s="3"/>
      <c r="P536" s="4"/>
      <c r="Q536" s="406"/>
      <c r="R536" s="6"/>
    </row>
    <row r="537" spans="1:18" s="1" customFormat="1" ht="19.850000000000001" customHeight="1" x14ac:dyDescent="0.25">
      <c r="A537" s="21"/>
      <c r="B537" s="21"/>
      <c r="C537" s="22"/>
      <c r="D537" s="22"/>
      <c r="E537" s="22"/>
      <c r="F537" s="22"/>
      <c r="G537" s="22"/>
      <c r="H537" s="22"/>
      <c r="I537" s="23"/>
      <c r="J537" s="24"/>
      <c r="K537" s="25"/>
      <c r="L537" s="22"/>
      <c r="M537" s="22"/>
      <c r="N537" s="22"/>
      <c r="O537" s="3"/>
      <c r="P537" s="4"/>
      <c r="Q537" s="406"/>
      <c r="R537" s="6"/>
    </row>
    <row r="538" spans="1:18" s="1" customFormat="1" ht="19.850000000000001" customHeight="1" x14ac:dyDescent="0.25">
      <c r="A538" s="21"/>
      <c r="B538" s="21"/>
      <c r="C538" s="22"/>
      <c r="D538" s="22"/>
      <c r="E538" s="22"/>
      <c r="F538" s="22"/>
      <c r="G538" s="22"/>
      <c r="H538" s="22"/>
      <c r="I538" s="23"/>
      <c r="J538" s="24"/>
      <c r="K538" s="25"/>
      <c r="L538" s="22"/>
      <c r="M538" s="22"/>
      <c r="N538" s="22"/>
      <c r="O538" s="3"/>
      <c r="P538" s="4"/>
      <c r="Q538" s="406"/>
      <c r="R538" s="6"/>
    </row>
    <row r="539" spans="1:18" s="1" customFormat="1" ht="19.850000000000001" customHeight="1" x14ac:dyDescent="0.25">
      <c r="A539" s="21"/>
      <c r="B539" s="21"/>
      <c r="C539" s="22"/>
      <c r="D539" s="22"/>
      <c r="E539" s="22"/>
      <c r="F539" s="22"/>
      <c r="G539" s="22"/>
      <c r="H539" s="22"/>
      <c r="I539" s="23"/>
      <c r="J539" s="24"/>
      <c r="K539" s="25"/>
      <c r="L539" s="22"/>
      <c r="M539" s="22"/>
      <c r="N539" s="22"/>
      <c r="O539" s="3"/>
      <c r="P539" s="4"/>
      <c r="Q539" s="406"/>
      <c r="R539" s="6"/>
    </row>
    <row r="540" spans="1:18" s="1" customFormat="1" ht="19.850000000000001" customHeight="1" x14ac:dyDescent="0.25">
      <c r="A540" s="21"/>
      <c r="B540" s="21"/>
      <c r="C540" s="22"/>
      <c r="D540" s="22"/>
      <c r="E540" s="22"/>
      <c r="F540" s="22"/>
      <c r="G540" s="22"/>
      <c r="H540" s="22"/>
      <c r="I540" s="23"/>
      <c r="J540" s="24"/>
      <c r="K540" s="25"/>
      <c r="L540" s="22"/>
      <c r="M540" s="22"/>
      <c r="N540" s="22"/>
      <c r="O540" s="3"/>
      <c r="P540" s="4"/>
      <c r="Q540" s="406"/>
      <c r="R540" s="6"/>
    </row>
    <row r="541" spans="1:18" s="1" customFormat="1" ht="19.850000000000001" customHeight="1" x14ac:dyDescent="0.25">
      <c r="A541" s="21"/>
      <c r="B541" s="21"/>
      <c r="C541" s="22"/>
      <c r="D541" s="22"/>
      <c r="E541" s="22"/>
      <c r="F541" s="22"/>
      <c r="G541" s="22"/>
      <c r="H541" s="22"/>
      <c r="I541" s="23"/>
      <c r="J541" s="24"/>
      <c r="K541" s="25"/>
      <c r="L541" s="22"/>
      <c r="M541" s="22"/>
      <c r="N541" s="22"/>
      <c r="O541" s="3"/>
      <c r="P541" s="4"/>
      <c r="Q541" s="406"/>
      <c r="R541" s="6"/>
    </row>
    <row r="542" spans="1:18" s="1" customFormat="1" ht="19.850000000000001" customHeight="1" x14ac:dyDescent="0.25">
      <c r="A542" s="21"/>
      <c r="B542" s="21"/>
      <c r="C542" s="22"/>
      <c r="D542" s="22"/>
      <c r="E542" s="22"/>
      <c r="F542" s="22"/>
      <c r="G542" s="22"/>
      <c r="H542" s="22"/>
      <c r="I542" s="23"/>
      <c r="J542" s="24"/>
      <c r="K542" s="25"/>
      <c r="L542" s="22"/>
      <c r="M542" s="22"/>
      <c r="N542" s="22"/>
      <c r="O542" s="3"/>
      <c r="P542" s="4"/>
      <c r="Q542" s="406"/>
      <c r="R542" s="6"/>
    </row>
    <row r="543" spans="1:18" s="1" customFormat="1" ht="19.850000000000001" customHeight="1" x14ac:dyDescent="0.25">
      <c r="A543" s="21"/>
      <c r="B543" s="21"/>
      <c r="C543" s="22"/>
      <c r="D543" s="22"/>
      <c r="E543" s="22"/>
      <c r="F543" s="22"/>
      <c r="G543" s="22"/>
      <c r="H543" s="22"/>
      <c r="I543" s="23"/>
      <c r="J543" s="24"/>
      <c r="K543" s="25"/>
      <c r="L543" s="22"/>
      <c r="M543" s="22"/>
      <c r="N543" s="22"/>
      <c r="O543" s="3"/>
      <c r="P543" s="4"/>
      <c r="Q543" s="406"/>
      <c r="R543" s="6"/>
    </row>
    <row r="544" spans="1:18" s="1" customFormat="1" ht="19.850000000000001" customHeight="1" x14ac:dyDescent="0.25">
      <c r="A544" s="21"/>
      <c r="B544" s="21"/>
      <c r="C544" s="22"/>
      <c r="D544" s="22"/>
      <c r="E544" s="22"/>
      <c r="F544" s="22"/>
      <c r="G544" s="22"/>
      <c r="H544" s="22"/>
      <c r="I544" s="23"/>
      <c r="J544" s="24"/>
      <c r="K544" s="25"/>
      <c r="L544" s="22"/>
      <c r="M544" s="22"/>
      <c r="N544" s="22"/>
      <c r="O544" s="3"/>
      <c r="P544" s="4"/>
      <c r="Q544" s="406"/>
      <c r="R544" s="6"/>
    </row>
    <row r="545" spans="1:18" s="1" customFormat="1" ht="19.850000000000001" customHeight="1" x14ac:dyDescent="0.25">
      <c r="A545" s="21"/>
      <c r="B545" s="21"/>
      <c r="C545" s="22"/>
      <c r="D545" s="22"/>
      <c r="E545" s="22"/>
      <c r="F545" s="22"/>
      <c r="G545" s="22"/>
      <c r="H545" s="22"/>
      <c r="I545" s="23"/>
      <c r="J545" s="24"/>
      <c r="K545" s="25"/>
      <c r="L545" s="22"/>
      <c r="M545" s="22"/>
      <c r="N545" s="22"/>
      <c r="O545" s="3"/>
      <c r="P545" s="4"/>
      <c r="Q545" s="406"/>
      <c r="R545" s="6"/>
    </row>
    <row r="546" spans="1:18" s="1" customFormat="1" ht="19.850000000000001" customHeight="1" x14ac:dyDescent="0.25">
      <c r="A546" s="21"/>
      <c r="B546" s="21"/>
      <c r="C546" s="22"/>
      <c r="D546" s="22"/>
      <c r="E546" s="22"/>
      <c r="F546" s="22"/>
      <c r="G546" s="22"/>
      <c r="H546" s="22"/>
      <c r="I546" s="23"/>
      <c r="J546" s="24"/>
      <c r="K546" s="25"/>
      <c r="L546" s="22"/>
      <c r="M546" s="22"/>
      <c r="N546" s="22"/>
      <c r="O546" s="3"/>
      <c r="P546" s="4"/>
      <c r="Q546" s="406"/>
      <c r="R546" s="6"/>
    </row>
    <row r="547" spans="1:18" s="1" customFormat="1" ht="19.850000000000001" customHeight="1" x14ac:dyDescent="0.25">
      <c r="A547" s="21"/>
      <c r="B547" s="21"/>
      <c r="C547" s="22"/>
      <c r="D547" s="22"/>
      <c r="E547" s="22"/>
      <c r="F547" s="22"/>
      <c r="G547" s="22"/>
      <c r="H547" s="22"/>
      <c r="I547" s="23"/>
      <c r="J547" s="24"/>
      <c r="K547" s="25"/>
      <c r="L547" s="22"/>
      <c r="M547" s="22"/>
      <c r="N547" s="22"/>
      <c r="O547" s="3"/>
      <c r="P547" s="4"/>
      <c r="Q547" s="406"/>
      <c r="R547" s="6"/>
    </row>
    <row r="548" spans="1:18" s="1" customFormat="1" ht="19.850000000000001" customHeight="1" x14ac:dyDescent="0.25">
      <c r="A548" s="21"/>
      <c r="B548" s="21"/>
      <c r="C548" s="22"/>
      <c r="D548" s="22"/>
      <c r="E548" s="22"/>
      <c r="F548" s="22"/>
      <c r="G548" s="22"/>
      <c r="H548" s="22"/>
      <c r="I548" s="23"/>
      <c r="J548" s="24"/>
      <c r="K548" s="25"/>
      <c r="L548" s="22"/>
      <c r="M548" s="22"/>
      <c r="N548" s="22"/>
      <c r="O548" s="3"/>
      <c r="P548" s="4"/>
      <c r="Q548" s="406"/>
      <c r="R548" s="6"/>
    </row>
    <row r="549" spans="1:18" s="1" customFormat="1" ht="19.850000000000001" customHeight="1" x14ac:dyDescent="0.25">
      <c r="A549" s="21"/>
      <c r="B549" s="21"/>
      <c r="C549" s="22"/>
      <c r="D549" s="22"/>
      <c r="E549" s="22"/>
      <c r="F549" s="22"/>
      <c r="G549" s="22"/>
      <c r="H549" s="22"/>
      <c r="I549" s="23"/>
      <c r="J549" s="24"/>
      <c r="K549" s="25"/>
      <c r="L549" s="22"/>
      <c r="M549" s="22"/>
      <c r="N549" s="22"/>
      <c r="O549" s="3"/>
      <c r="P549" s="4"/>
      <c r="Q549" s="406"/>
      <c r="R549" s="6"/>
    </row>
    <row r="550" spans="1:18" s="1" customFormat="1" ht="19.850000000000001" customHeight="1" x14ac:dyDescent="0.25">
      <c r="A550" s="21"/>
      <c r="B550" s="21"/>
      <c r="C550" s="22"/>
      <c r="D550" s="22"/>
      <c r="E550" s="22"/>
      <c r="F550" s="22"/>
      <c r="G550" s="22"/>
      <c r="H550" s="22"/>
      <c r="I550" s="23"/>
      <c r="J550" s="24"/>
      <c r="K550" s="25"/>
      <c r="L550" s="22"/>
      <c r="M550" s="22"/>
      <c r="N550" s="22"/>
      <c r="O550" s="3"/>
      <c r="P550" s="4"/>
      <c r="Q550" s="406"/>
      <c r="R550" s="6"/>
    </row>
    <row r="551" spans="1:18" s="1" customFormat="1" ht="19.850000000000001" customHeight="1" x14ac:dyDescent="0.25">
      <c r="A551" s="21"/>
      <c r="B551" s="21"/>
      <c r="C551" s="22"/>
      <c r="D551" s="22"/>
      <c r="E551" s="22"/>
      <c r="F551" s="22"/>
      <c r="G551" s="22"/>
      <c r="H551" s="22"/>
      <c r="I551" s="23"/>
      <c r="J551" s="24"/>
      <c r="K551" s="25"/>
      <c r="L551" s="22"/>
      <c r="M551" s="22"/>
      <c r="N551" s="22"/>
      <c r="O551" s="3"/>
      <c r="P551" s="4"/>
      <c r="Q551" s="406"/>
      <c r="R551" s="6"/>
    </row>
    <row r="552" spans="1:18" s="1" customFormat="1" ht="19.850000000000001" customHeight="1" x14ac:dyDescent="0.25">
      <c r="A552" s="21"/>
      <c r="B552" s="21"/>
      <c r="C552" s="22"/>
      <c r="D552" s="22"/>
      <c r="E552" s="22"/>
      <c r="F552" s="22"/>
      <c r="G552" s="22"/>
      <c r="H552" s="22"/>
      <c r="I552" s="23"/>
      <c r="J552" s="24"/>
      <c r="K552" s="25"/>
      <c r="L552" s="22"/>
      <c r="M552" s="22"/>
      <c r="N552" s="22"/>
      <c r="O552" s="3"/>
      <c r="P552" s="4"/>
      <c r="Q552" s="406"/>
      <c r="R552" s="6"/>
    </row>
    <row r="553" spans="1:18" s="1" customFormat="1" ht="19.850000000000001" customHeight="1" x14ac:dyDescent="0.25">
      <c r="A553" s="21"/>
      <c r="B553" s="21"/>
      <c r="C553" s="22"/>
      <c r="D553" s="22"/>
      <c r="E553" s="22"/>
      <c r="F553" s="22"/>
      <c r="G553" s="22"/>
      <c r="H553" s="22"/>
      <c r="I553" s="23"/>
      <c r="J553" s="24"/>
      <c r="K553" s="25"/>
      <c r="L553" s="22"/>
      <c r="M553" s="22"/>
      <c r="N553" s="22"/>
      <c r="O553" s="3"/>
      <c r="P553" s="4"/>
      <c r="Q553" s="406"/>
      <c r="R553" s="6"/>
    </row>
    <row r="554" spans="1:18" s="1" customFormat="1" ht="19.850000000000001" customHeight="1" x14ac:dyDescent="0.25">
      <c r="A554" s="21"/>
      <c r="B554" s="21"/>
      <c r="C554" s="22"/>
      <c r="D554" s="22"/>
      <c r="E554" s="22"/>
      <c r="F554" s="22"/>
      <c r="G554" s="22"/>
      <c r="H554" s="22"/>
      <c r="I554" s="23"/>
      <c r="J554" s="24"/>
      <c r="K554" s="25"/>
      <c r="L554" s="22"/>
      <c r="M554" s="22"/>
      <c r="N554" s="22"/>
      <c r="O554" s="3"/>
      <c r="P554" s="4"/>
      <c r="Q554" s="406"/>
      <c r="R554" s="6"/>
    </row>
    <row r="555" spans="1:18" s="1" customFormat="1" ht="19.850000000000001" customHeight="1" x14ac:dyDescent="0.25">
      <c r="A555" s="21"/>
      <c r="B555" s="21"/>
      <c r="C555" s="22"/>
      <c r="D555" s="22"/>
      <c r="E555" s="22"/>
      <c r="F555" s="22"/>
      <c r="G555" s="22"/>
      <c r="H555" s="22"/>
      <c r="I555" s="23"/>
      <c r="J555" s="24"/>
      <c r="K555" s="25"/>
      <c r="L555" s="22"/>
      <c r="M555" s="22"/>
      <c r="N555" s="22"/>
      <c r="O555" s="3"/>
      <c r="P555" s="4"/>
      <c r="Q555" s="406"/>
      <c r="R555" s="6"/>
    </row>
    <row r="556" spans="1:18" s="1" customFormat="1" ht="19.850000000000001" customHeight="1" x14ac:dyDescent="0.25">
      <c r="A556" s="21"/>
      <c r="B556" s="21"/>
      <c r="C556" s="22"/>
      <c r="D556" s="22"/>
      <c r="E556" s="22"/>
      <c r="F556" s="22"/>
      <c r="G556" s="22"/>
      <c r="H556" s="22"/>
      <c r="I556" s="23"/>
      <c r="J556" s="24"/>
      <c r="K556" s="25"/>
      <c r="L556" s="22"/>
      <c r="M556" s="22"/>
      <c r="N556" s="22"/>
      <c r="O556" s="3"/>
      <c r="P556" s="4"/>
      <c r="Q556" s="406"/>
      <c r="R556" s="6"/>
    </row>
    <row r="557" spans="1:18" s="1" customFormat="1" ht="19.850000000000001" customHeight="1" x14ac:dyDescent="0.25">
      <c r="A557" s="21"/>
      <c r="B557" s="21"/>
      <c r="C557" s="22"/>
      <c r="D557" s="22"/>
      <c r="E557" s="22"/>
      <c r="F557" s="22"/>
      <c r="G557" s="22"/>
      <c r="H557" s="22"/>
      <c r="I557" s="23"/>
      <c r="J557" s="24"/>
      <c r="K557" s="25"/>
      <c r="L557" s="22"/>
      <c r="M557" s="22"/>
      <c r="N557" s="22"/>
      <c r="O557" s="3"/>
      <c r="P557" s="4"/>
      <c r="Q557" s="406"/>
      <c r="R557" s="6"/>
    </row>
    <row r="558" spans="1:18" s="1" customFormat="1" ht="19.850000000000001" customHeight="1" x14ac:dyDescent="0.25">
      <c r="A558" s="21"/>
      <c r="B558" s="21"/>
      <c r="C558" s="22"/>
      <c r="D558" s="22"/>
      <c r="E558" s="22"/>
      <c r="F558" s="22"/>
      <c r="G558" s="22"/>
      <c r="H558" s="22"/>
      <c r="I558" s="23"/>
      <c r="J558" s="24"/>
      <c r="K558" s="25"/>
      <c r="L558" s="22"/>
      <c r="M558" s="22"/>
      <c r="N558" s="22"/>
      <c r="O558" s="3"/>
      <c r="P558" s="4"/>
      <c r="Q558" s="406"/>
      <c r="R558" s="6"/>
    </row>
    <row r="559" spans="1:18" s="1" customFormat="1" ht="19.850000000000001" customHeight="1" x14ac:dyDescent="0.25">
      <c r="A559" s="21"/>
      <c r="B559" s="21"/>
      <c r="C559" s="22"/>
      <c r="D559" s="22"/>
      <c r="E559" s="22"/>
      <c r="F559" s="22"/>
      <c r="G559" s="22"/>
      <c r="H559" s="22"/>
      <c r="I559" s="23"/>
      <c r="J559" s="24"/>
      <c r="K559" s="25"/>
      <c r="L559" s="22"/>
      <c r="M559" s="22"/>
      <c r="N559" s="22"/>
      <c r="O559" s="3"/>
      <c r="P559" s="4"/>
      <c r="Q559" s="406"/>
      <c r="R559" s="6"/>
    </row>
    <row r="560" spans="1:18" s="1" customFormat="1" ht="19.850000000000001" customHeight="1" x14ac:dyDescent="0.25">
      <c r="A560" s="21"/>
      <c r="B560" s="21"/>
      <c r="C560" s="22"/>
      <c r="D560" s="22"/>
      <c r="E560" s="22"/>
      <c r="F560" s="22"/>
      <c r="G560" s="22"/>
      <c r="H560" s="22"/>
      <c r="I560" s="23"/>
      <c r="J560" s="24"/>
      <c r="K560" s="25"/>
      <c r="L560" s="22"/>
      <c r="M560" s="22"/>
      <c r="N560" s="22"/>
      <c r="O560" s="3"/>
      <c r="P560" s="4"/>
      <c r="Q560" s="406"/>
      <c r="R560" s="6"/>
    </row>
    <row r="561" spans="1:18" s="1" customFormat="1" ht="19.850000000000001" customHeight="1" x14ac:dyDescent="0.25">
      <c r="A561" s="21"/>
      <c r="B561" s="21"/>
      <c r="C561" s="22"/>
      <c r="D561" s="22"/>
      <c r="E561" s="22"/>
      <c r="F561" s="22"/>
      <c r="G561" s="22"/>
      <c r="H561" s="22"/>
      <c r="I561" s="23"/>
      <c r="J561" s="24"/>
      <c r="K561" s="25"/>
      <c r="L561" s="22"/>
      <c r="M561" s="22"/>
      <c r="N561" s="22"/>
      <c r="O561" s="3"/>
      <c r="P561" s="4"/>
      <c r="Q561" s="406"/>
      <c r="R561" s="6"/>
    </row>
    <row r="562" spans="1:18" s="1" customFormat="1" ht="19.850000000000001" customHeight="1" x14ac:dyDescent="0.25">
      <c r="A562" s="21"/>
      <c r="B562" s="21"/>
      <c r="C562" s="22"/>
      <c r="D562" s="22"/>
      <c r="E562" s="22"/>
      <c r="F562" s="22"/>
      <c r="G562" s="22"/>
      <c r="H562" s="22"/>
      <c r="I562" s="23"/>
      <c r="J562" s="24"/>
      <c r="K562" s="25"/>
      <c r="L562" s="22"/>
      <c r="M562" s="22"/>
      <c r="N562" s="22"/>
      <c r="O562" s="3"/>
      <c r="P562" s="4"/>
      <c r="Q562" s="406"/>
      <c r="R562" s="6"/>
    </row>
    <row r="563" spans="1:18" s="1" customFormat="1" ht="19.850000000000001" customHeight="1" x14ac:dyDescent="0.25">
      <c r="A563" s="21"/>
      <c r="B563" s="21"/>
      <c r="C563" s="22"/>
      <c r="D563" s="22"/>
      <c r="E563" s="22"/>
      <c r="F563" s="22"/>
      <c r="G563" s="22"/>
      <c r="H563" s="22"/>
      <c r="I563" s="23"/>
      <c r="J563" s="24"/>
      <c r="K563" s="25"/>
      <c r="L563" s="22"/>
      <c r="M563" s="22"/>
      <c r="N563" s="22"/>
      <c r="O563" s="3"/>
      <c r="P563" s="4"/>
      <c r="Q563" s="406"/>
      <c r="R563" s="6"/>
    </row>
    <row r="564" spans="1:18" s="1" customFormat="1" ht="19.850000000000001" customHeight="1" x14ac:dyDescent="0.25">
      <c r="A564" s="21"/>
      <c r="B564" s="21"/>
      <c r="C564" s="22"/>
      <c r="D564" s="22"/>
      <c r="E564" s="22"/>
      <c r="F564" s="22"/>
      <c r="G564" s="22"/>
      <c r="H564" s="22"/>
      <c r="I564" s="23"/>
      <c r="J564" s="24"/>
      <c r="K564" s="25"/>
      <c r="L564" s="22"/>
      <c r="M564" s="22"/>
      <c r="N564" s="22"/>
      <c r="O564" s="3"/>
      <c r="P564" s="4"/>
      <c r="Q564" s="406"/>
      <c r="R564" s="6"/>
    </row>
    <row r="565" spans="1:18" s="1" customFormat="1" ht="19.850000000000001" customHeight="1" x14ac:dyDescent="0.25">
      <c r="A565" s="21"/>
      <c r="B565" s="21"/>
      <c r="C565" s="22"/>
      <c r="D565" s="22"/>
      <c r="E565" s="22"/>
      <c r="F565" s="22"/>
      <c r="G565" s="22"/>
      <c r="H565" s="22"/>
      <c r="I565" s="23"/>
      <c r="J565" s="24"/>
      <c r="K565" s="25"/>
      <c r="L565" s="22"/>
      <c r="M565" s="22"/>
      <c r="N565" s="22"/>
      <c r="O565" s="3"/>
      <c r="P565" s="4"/>
      <c r="Q565" s="406"/>
      <c r="R565" s="6"/>
    </row>
    <row r="566" spans="1:18" s="1" customFormat="1" ht="19.850000000000001" customHeight="1" x14ac:dyDescent="0.25">
      <c r="A566" s="21"/>
      <c r="B566" s="21"/>
      <c r="C566" s="22"/>
      <c r="D566" s="22"/>
      <c r="E566" s="22"/>
      <c r="F566" s="22"/>
      <c r="G566" s="22"/>
      <c r="H566" s="22"/>
      <c r="I566" s="23"/>
      <c r="J566" s="24"/>
      <c r="K566" s="25"/>
      <c r="L566" s="22"/>
      <c r="M566" s="22"/>
      <c r="N566" s="22"/>
      <c r="O566" s="3"/>
      <c r="P566" s="4"/>
      <c r="Q566" s="406"/>
      <c r="R566" s="6"/>
    </row>
    <row r="567" spans="1:18" s="1" customFormat="1" ht="19.850000000000001" customHeight="1" x14ac:dyDescent="0.25">
      <c r="A567" s="21"/>
      <c r="B567" s="21"/>
      <c r="C567" s="22"/>
      <c r="D567" s="22"/>
      <c r="E567" s="22"/>
      <c r="F567" s="22"/>
      <c r="G567" s="22"/>
      <c r="H567" s="22"/>
      <c r="I567" s="23"/>
      <c r="J567" s="24"/>
      <c r="K567" s="25"/>
      <c r="L567" s="22"/>
      <c r="M567" s="22"/>
      <c r="N567" s="22"/>
      <c r="O567" s="3"/>
      <c r="P567" s="4"/>
      <c r="Q567" s="406"/>
      <c r="R567" s="6"/>
    </row>
    <row r="568" spans="1:18" s="1" customFormat="1" ht="19.850000000000001" customHeight="1" x14ac:dyDescent="0.25">
      <c r="A568" s="21"/>
      <c r="B568" s="21"/>
      <c r="C568" s="22"/>
      <c r="D568" s="22"/>
      <c r="E568" s="22"/>
      <c r="F568" s="22"/>
      <c r="G568" s="22"/>
      <c r="H568" s="22"/>
      <c r="I568" s="23"/>
      <c r="J568" s="24"/>
      <c r="K568" s="25"/>
      <c r="L568" s="22"/>
      <c r="M568" s="22"/>
      <c r="N568" s="22"/>
      <c r="O568" s="3"/>
      <c r="P568" s="4"/>
      <c r="Q568" s="406"/>
      <c r="R568" s="6"/>
    </row>
    <row r="569" spans="1:18" s="1" customFormat="1" ht="19.850000000000001" customHeight="1" x14ac:dyDescent="0.25">
      <c r="A569" s="21"/>
      <c r="B569" s="21"/>
      <c r="C569" s="22"/>
      <c r="D569" s="22"/>
      <c r="E569" s="22"/>
      <c r="F569" s="22"/>
      <c r="G569" s="22"/>
      <c r="H569" s="22"/>
      <c r="I569" s="23"/>
      <c r="J569" s="24"/>
      <c r="K569" s="25"/>
      <c r="L569" s="22"/>
      <c r="M569" s="22"/>
      <c r="N569" s="22"/>
      <c r="O569" s="3"/>
      <c r="P569" s="4"/>
      <c r="Q569" s="406"/>
      <c r="R569" s="6"/>
    </row>
    <row r="570" spans="1:18" s="1" customFormat="1" ht="19.850000000000001" customHeight="1" x14ac:dyDescent="0.25">
      <c r="A570" s="21"/>
      <c r="B570" s="21"/>
      <c r="C570" s="22"/>
      <c r="D570" s="22"/>
      <c r="E570" s="22"/>
      <c r="F570" s="22"/>
      <c r="G570" s="22"/>
      <c r="H570" s="22"/>
      <c r="I570" s="23"/>
      <c r="J570" s="24"/>
      <c r="K570" s="25"/>
      <c r="L570" s="22"/>
      <c r="M570" s="22"/>
      <c r="N570" s="22"/>
      <c r="O570" s="3"/>
      <c r="P570" s="4"/>
      <c r="Q570" s="406"/>
      <c r="R570" s="6"/>
    </row>
    <row r="571" spans="1:18" s="1" customFormat="1" ht="19.850000000000001" customHeight="1" x14ac:dyDescent="0.25">
      <c r="A571" s="21"/>
      <c r="B571" s="21"/>
      <c r="C571" s="22"/>
      <c r="D571" s="22"/>
      <c r="E571" s="22"/>
      <c r="F571" s="22"/>
      <c r="G571" s="22"/>
      <c r="H571" s="22"/>
      <c r="I571" s="23"/>
      <c r="J571" s="24"/>
      <c r="K571" s="25"/>
      <c r="L571" s="22"/>
      <c r="M571" s="22"/>
      <c r="N571" s="22"/>
      <c r="O571" s="3"/>
      <c r="P571" s="4"/>
      <c r="Q571" s="406"/>
      <c r="R571" s="6"/>
    </row>
    <row r="572" spans="1:18" s="1" customFormat="1" ht="19.850000000000001" customHeight="1" x14ac:dyDescent="0.25">
      <c r="A572" s="21"/>
      <c r="B572" s="21"/>
      <c r="C572" s="22"/>
      <c r="D572" s="22"/>
      <c r="E572" s="22"/>
      <c r="F572" s="22"/>
      <c r="G572" s="22"/>
      <c r="H572" s="22"/>
      <c r="I572" s="23"/>
      <c r="J572" s="24"/>
      <c r="K572" s="25"/>
      <c r="L572" s="22"/>
      <c r="M572" s="22"/>
      <c r="N572" s="22"/>
      <c r="O572" s="3"/>
      <c r="P572" s="4"/>
      <c r="Q572" s="406"/>
      <c r="R572" s="6"/>
    </row>
    <row r="573" spans="1:18" s="1" customFormat="1" ht="19.850000000000001" customHeight="1" x14ac:dyDescent="0.25">
      <c r="A573" s="21"/>
      <c r="B573" s="21"/>
      <c r="C573" s="22"/>
      <c r="D573" s="22"/>
      <c r="E573" s="22"/>
      <c r="F573" s="22"/>
      <c r="G573" s="22"/>
      <c r="H573" s="22"/>
      <c r="I573" s="23"/>
      <c r="J573" s="24"/>
      <c r="K573" s="25"/>
      <c r="L573" s="22"/>
      <c r="M573" s="22"/>
      <c r="N573" s="22"/>
      <c r="O573" s="3"/>
      <c r="P573" s="4"/>
      <c r="Q573" s="406"/>
      <c r="R573" s="6"/>
    </row>
    <row r="574" spans="1:18" s="1" customFormat="1" ht="19.850000000000001" customHeight="1" x14ac:dyDescent="0.25">
      <c r="A574" s="21"/>
      <c r="B574" s="21"/>
      <c r="C574" s="22"/>
      <c r="D574" s="22"/>
      <c r="E574" s="22"/>
      <c r="F574" s="22"/>
      <c r="G574" s="22"/>
      <c r="H574" s="22"/>
      <c r="I574" s="23"/>
      <c r="J574" s="24"/>
      <c r="K574" s="25"/>
      <c r="L574" s="22"/>
      <c r="M574" s="22"/>
      <c r="N574" s="22"/>
      <c r="O574" s="3"/>
      <c r="P574" s="4"/>
      <c r="Q574" s="406"/>
      <c r="R574" s="6"/>
    </row>
    <row r="575" spans="1:18" s="1" customFormat="1" ht="19.850000000000001" customHeight="1" x14ac:dyDescent="0.25">
      <c r="A575" s="21"/>
      <c r="B575" s="21"/>
      <c r="C575" s="22"/>
      <c r="D575" s="22"/>
      <c r="E575" s="22"/>
      <c r="F575" s="22"/>
      <c r="G575" s="22"/>
      <c r="H575" s="22"/>
      <c r="I575" s="23"/>
      <c r="J575" s="24"/>
      <c r="K575" s="25"/>
      <c r="L575" s="22"/>
      <c r="M575" s="22"/>
      <c r="N575" s="22"/>
      <c r="O575" s="3"/>
      <c r="P575" s="4"/>
      <c r="Q575" s="406"/>
      <c r="R575" s="6"/>
    </row>
    <row r="576" spans="1:18" s="1" customFormat="1" ht="19.850000000000001" customHeight="1" x14ac:dyDescent="0.25">
      <c r="A576" s="21"/>
      <c r="B576" s="21"/>
      <c r="C576" s="22"/>
      <c r="D576" s="22"/>
      <c r="E576" s="22"/>
      <c r="F576" s="22"/>
      <c r="G576" s="22"/>
      <c r="H576" s="22"/>
      <c r="I576" s="23"/>
      <c r="J576" s="24"/>
      <c r="K576" s="25"/>
      <c r="L576" s="22"/>
      <c r="M576" s="22"/>
      <c r="N576" s="22"/>
      <c r="O576" s="3"/>
      <c r="P576" s="4"/>
      <c r="Q576" s="406"/>
      <c r="R576" s="6"/>
    </row>
    <row r="577" spans="1:18" s="1" customFormat="1" ht="19.850000000000001" customHeight="1" x14ac:dyDescent="0.25">
      <c r="A577" s="21"/>
      <c r="B577" s="21"/>
      <c r="C577" s="22"/>
      <c r="D577" s="22"/>
      <c r="E577" s="22"/>
      <c r="F577" s="22"/>
      <c r="G577" s="22"/>
      <c r="H577" s="22"/>
      <c r="I577" s="23"/>
      <c r="J577" s="24"/>
      <c r="K577" s="25"/>
      <c r="L577" s="22"/>
      <c r="M577" s="22"/>
      <c r="N577" s="22"/>
      <c r="O577" s="3"/>
      <c r="P577" s="4"/>
      <c r="Q577" s="406"/>
      <c r="R577" s="6"/>
    </row>
    <row r="578" spans="1:18" s="1" customFormat="1" ht="19.850000000000001" customHeight="1" x14ac:dyDescent="0.25">
      <c r="A578" s="21"/>
      <c r="B578" s="21"/>
      <c r="C578" s="22"/>
      <c r="D578" s="22"/>
      <c r="E578" s="22"/>
      <c r="F578" s="22"/>
      <c r="G578" s="22"/>
      <c r="H578" s="22"/>
      <c r="I578" s="23"/>
      <c r="J578" s="24"/>
      <c r="K578" s="25"/>
      <c r="L578" s="22"/>
      <c r="M578" s="22"/>
      <c r="N578" s="22"/>
      <c r="O578" s="3"/>
      <c r="P578" s="4"/>
      <c r="Q578" s="406"/>
      <c r="R578" s="6"/>
    </row>
    <row r="579" spans="1:18" s="1" customFormat="1" ht="19.850000000000001" customHeight="1" x14ac:dyDescent="0.25">
      <c r="A579" s="21"/>
      <c r="B579" s="21"/>
      <c r="C579" s="22"/>
      <c r="D579" s="22"/>
      <c r="E579" s="22"/>
      <c r="F579" s="22"/>
      <c r="G579" s="22"/>
      <c r="H579" s="22"/>
      <c r="I579" s="23"/>
      <c r="J579" s="24"/>
      <c r="K579" s="25"/>
      <c r="L579" s="22"/>
      <c r="M579" s="22"/>
      <c r="N579" s="22"/>
      <c r="O579" s="3"/>
      <c r="P579" s="4"/>
      <c r="Q579" s="406"/>
      <c r="R579" s="6"/>
    </row>
    <row r="580" spans="1:18" s="1" customFormat="1" ht="19.850000000000001" customHeight="1" x14ac:dyDescent="0.25">
      <c r="A580" s="21"/>
      <c r="B580" s="21"/>
      <c r="C580" s="22"/>
      <c r="D580" s="22"/>
      <c r="E580" s="22"/>
      <c r="F580" s="22"/>
      <c r="G580" s="22"/>
      <c r="H580" s="22"/>
      <c r="I580" s="23"/>
      <c r="J580" s="24"/>
      <c r="K580" s="25"/>
      <c r="L580" s="22"/>
      <c r="M580" s="22"/>
      <c r="N580" s="22"/>
      <c r="O580" s="3"/>
      <c r="P580" s="4"/>
      <c r="Q580" s="406"/>
      <c r="R580" s="6"/>
    </row>
    <row r="581" spans="1:18" s="1" customFormat="1" ht="19.850000000000001" customHeight="1" x14ac:dyDescent="0.25">
      <c r="A581" s="21"/>
      <c r="B581" s="21"/>
      <c r="C581" s="22"/>
      <c r="D581" s="22"/>
      <c r="E581" s="22"/>
      <c r="F581" s="22"/>
      <c r="G581" s="22"/>
      <c r="H581" s="22"/>
      <c r="I581" s="23"/>
      <c r="J581" s="24"/>
      <c r="K581" s="25"/>
      <c r="L581" s="22"/>
      <c r="M581" s="22"/>
      <c r="N581" s="22"/>
      <c r="O581" s="3"/>
      <c r="P581" s="4"/>
      <c r="Q581" s="406"/>
      <c r="R581" s="6"/>
    </row>
    <row r="582" spans="1:18" s="1" customFormat="1" ht="19.850000000000001" customHeight="1" x14ac:dyDescent="0.25">
      <c r="A582" s="21"/>
      <c r="B582" s="21"/>
      <c r="C582" s="22"/>
      <c r="D582" s="22"/>
      <c r="E582" s="22"/>
      <c r="F582" s="22"/>
      <c r="G582" s="22"/>
      <c r="H582" s="22"/>
      <c r="I582" s="23"/>
      <c r="J582" s="24"/>
      <c r="K582" s="25"/>
      <c r="L582" s="22"/>
      <c r="M582" s="22"/>
      <c r="N582" s="22"/>
      <c r="O582" s="3"/>
      <c r="P582" s="4"/>
      <c r="Q582" s="406"/>
      <c r="R582" s="6"/>
    </row>
    <row r="583" spans="1:18" s="1" customFormat="1" ht="19.850000000000001" customHeight="1" x14ac:dyDescent="0.25">
      <c r="A583" s="21"/>
      <c r="B583" s="21"/>
      <c r="C583" s="22"/>
      <c r="D583" s="22"/>
      <c r="E583" s="22"/>
      <c r="F583" s="22"/>
      <c r="G583" s="22"/>
      <c r="H583" s="22"/>
      <c r="I583" s="23"/>
      <c r="J583" s="24"/>
      <c r="K583" s="25"/>
      <c r="L583" s="22"/>
      <c r="M583" s="22"/>
      <c r="N583" s="22"/>
      <c r="O583" s="3"/>
      <c r="P583" s="4"/>
      <c r="Q583" s="406"/>
      <c r="R583" s="6"/>
    </row>
    <row r="584" spans="1:18" s="1" customFormat="1" ht="19.850000000000001" customHeight="1" x14ac:dyDescent="0.25">
      <c r="A584" s="21"/>
      <c r="B584" s="21"/>
      <c r="C584" s="22"/>
      <c r="D584" s="22"/>
      <c r="E584" s="22"/>
      <c r="F584" s="22"/>
      <c r="G584" s="22"/>
      <c r="H584" s="22"/>
      <c r="I584" s="23"/>
      <c r="J584" s="24"/>
      <c r="K584" s="25"/>
      <c r="L584" s="22"/>
      <c r="M584" s="22"/>
      <c r="N584" s="22"/>
      <c r="O584" s="3"/>
      <c r="P584" s="4"/>
      <c r="Q584" s="406"/>
      <c r="R584" s="6"/>
    </row>
    <row r="585" spans="1:18" s="1" customFormat="1" ht="19.850000000000001" customHeight="1" x14ac:dyDescent="0.25">
      <c r="A585" s="21"/>
      <c r="B585" s="21"/>
      <c r="C585" s="22"/>
      <c r="D585" s="22"/>
      <c r="E585" s="22"/>
      <c r="F585" s="22"/>
      <c r="G585" s="22"/>
      <c r="H585" s="22"/>
      <c r="I585" s="23"/>
      <c r="J585" s="24"/>
      <c r="K585" s="25"/>
      <c r="L585" s="22"/>
      <c r="M585" s="22"/>
      <c r="N585" s="22"/>
      <c r="O585" s="3"/>
      <c r="P585" s="4"/>
      <c r="Q585" s="406"/>
      <c r="R585" s="6"/>
    </row>
    <row r="586" spans="1:18" s="1" customFormat="1" ht="19.850000000000001" customHeight="1" x14ac:dyDescent="0.25">
      <c r="A586" s="21"/>
      <c r="B586" s="21"/>
      <c r="C586" s="22"/>
      <c r="D586" s="22"/>
      <c r="E586" s="22"/>
      <c r="F586" s="22"/>
      <c r="G586" s="22"/>
      <c r="H586" s="22"/>
      <c r="I586" s="23"/>
      <c r="J586" s="24"/>
      <c r="K586" s="25"/>
      <c r="L586" s="22"/>
      <c r="M586" s="22"/>
      <c r="N586" s="22"/>
      <c r="O586" s="3"/>
      <c r="P586" s="4"/>
      <c r="Q586" s="406"/>
      <c r="R586" s="6"/>
    </row>
    <row r="587" spans="1:18" s="1" customFormat="1" ht="19.850000000000001" customHeight="1" x14ac:dyDescent="0.25">
      <c r="A587" s="21"/>
      <c r="B587" s="21"/>
      <c r="C587" s="22"/>
      <c r="D587" s="22"/>
      <c r="E587" s="22"/>
      <c r="F587" s="22"/>
      <c r="G587" s="22"/>
      <c r="H587" s="22"/>
      <c r="I587" s="23"/>
      <c r="J587" s="24"/>
      <c r="K587" s="25"/>
      <c r="L587" s="22"/>
      <c r="M587" s="22"/>
      <c r="N587" s="22"/>
      <c r="O587" s="3"/>
      <c r="P587" s="4"/>
      <c r="Q587" s="406"/>
      <c r="R587" s="6"/>
    </row>
    <row r="588" spans="1:18" s="1" customFormat="1" ht="19.850000000000001" customHeight="1" x14ac:dyDescent="0.25">
      <c r="A588" s="21"/>
      <c r="B588" s="21"/>
      <c r="C588" s="22"/>
      <c r="D588" s="22"/>
      <c r="E588" s="22"/>
      <c r="F588" s="22"/>
      <c r="G588" s="22"/>
      <c r="H588" s="22"/>
      <c r="I588" s="23"/>
      <c r="J588" s="24"/>
      <c r="K588" s="25"/>
      <c r="L588" s="22"/>
      <c r="M588" s="22"/>
      <c r="N588" s="22"/>
      <c r="O588" s="3"/>
      <c r="P588" s="4"/>
      <c r="Q588" s="406"/>
      <c r="R588" s="6"/>
    </row>
    <row r="589" spans="1:18" s="1" customFormat="1" ht="19.850000000000001" customHeight="1" x14ac:dyDescent="0.25">
      <c r="A589" s="21"/>
      <c r="B589" s="21"/>
      <c r="C589" s="22"/>
      <c r="D589" s="22"/>
      <c r="E589" s="22"/>
      <c r="F589" s="22"/>
      <c r="G589" s="22"/>
      <c r="H589" s="22"/>
      <c r="I589" s="23"/>
      <c r="J589" s="24"/>
      <c r="K589" s="25"/>
      <c r="L589" s="22"/>
      <c r="M589" s="22"/>
      <c r="N589" s="22"/>
      <c r="O589" s="3"/>
      <c r="P589" s="4"/>
      <c r="Q589" s="406"/>
      <c r="R589" s="6"/>
    </row>
    <row r="590" spans="1:18" s="1" customFormat="1" ht="19.850000000000001" customHeight="1" x14ac:dyDescent="0.25">
      <c r="A590" s="21"/>
      <c r="B590" s="21"/>
      <c r="C590" s="22"/>
      <c r="D590" s="22"/>
      <c r="E590" s="22"/>
      <c r="F590" s="22"/>
      <c r="G590" s="22"/>
      <c r="H590" s="22"/>
      <c r="I590" s="23"/>
      <c r="J590" s="24"/>
      <c r="K590" s="25"/>
      <c r="L590" s="22"/>
      <c r="M590" s="22"/>
      <c r="N590" s="22"/>
      <c r="O590" s="3"/>
      <c r="P590" s="4"/>
      <c r="Q590" s="406"/>
      <c r="R590" s="6"/>
    </row>
    <row r="591" spans="1:18" s="1" customFormat="1" ht="19.850000000000001" customHeight="1" x14ac:dyDescent="0.25">
      <c r="A591" s="21"/>
      <c r="B591" s="21"/>
      <c r="C591" s="22"/>
      <c r="D591" s="22"/>
      <c r="E591" s="22"/>
      <c r="F591" s="22"/>
      <c r="G591" s="22"/>
      <c r="H591" s="22"/>
      <c r="I591" s="23"/>
      <c r="J591" s="24"/>
      <c r="K591" s="25"/>
      <c r="L591" s="22"/>
      <c r="M591" s="22"/>
      <c r="N591" s="22"/>
      <c r="O591" s="3"/>
      <c r="P591" s="4"/>
      <c r="Q591" s="406"/>
      <c r="R591" s="6"/>
    </row>
    <row r="592" spans="1:18" s="1" customFormat="1" ht="19.850000000000001" customHeight="1" x14ac:dyDescent="0.25">
      <c r="A592" s="21"/>
      <c r="B592" s="21"/>
      <c r="C592" s="22"/>
      <c r="D592" s="22"/>
      <c r="E592" s="22"/>
      <c r="F592" s="22"/>
      <c r="G592" s="22"/>
      <c r="H592" s="22"/>
      <c r="I592" s="23"/>
      <c r="J592" s="24"/>
      <c r="K592" s="25"/>
      <c r="L592" s="22"/>
      <c r="M592" s="22"/>
      <c r="N592" s="22"/>
      <c r="O592" s="3"/>
      <c r="P592" s="4"/>
      <c r="Q592" s="406"/>
      <c r="R592" s="6"/>
    </row>
    <row r="593" spans="1:18" s="1" customFormat="1" ht="19.850000000000001" customHeight="1" x14ac:dyDescent="0.25">
      <c r="A593" s="21"/>
      <c r="B593" s="21"/>
      <c r="C593" s="22"/>
      <c r="D593" s="22"/>
      <c r="E593" s="22"/>
      <c r="F593" s="22"/>
      <c r="G593" s="22"/>
      <c r="H593" s="22"/>
      <c r="I593" s="23"/>
      <c r="J593" s="24"/>
      <c r="K593" s="25"/>
      <c r="L593" s="22"/>
      <c r="M593" s="22"/>
      <c r="N593" s="22"/>
      <c r="O593" s="3"/>
      <c r="P593" s="4"/>
      <c r="Q593" s="406"/>
      <c r="R593" s="6"/>
    </row>
    <row r="594" spans="1:18" s="1" customFormat="1" ht="19.850000000000001" customHeight="1" x14ac:dyDescent="0.25">
      <c r="A594" s="21"/>
      <c r="B594" s="21"/>
      <c r="C594" s="22"/>
      <c r="D594" s="22"/>
      <c r="E594" s="22"/>
      <c r="F594" s="22"/>
      <c r="G594" s="22"/>
      <c r="H594" s="22"/>
      <c r="I594" s="23"/>
      <c r="J594" s="24"/>
      <c r="K594" s="25"/>
      <c r="L594" s="22"/>
      <c r="M594" s="22"/>
      <c r="N594" s="22"/>
      <c r="O594" s="3"/>
      <c r="P594" s="4"/>
      <c r="Q594" s="406"/>
      <c r="R594" s="6"/>
    </row>
    <row r="595" spans="1:18" s="1" customFormat="1" ht="19.850000000000001" customHeight="1" x14ac:dyDescent="0.25">
      <c r="A595" s="21"/>
      <c r="B595" s="21"/>
      <c r="C595" s="22"/>
      <c r="D595" s="22"/>
      <c r="E595" s="22"/>
      <c r="F595" s="22"/>
      <c r="G595" s="22"/>
      <c r="H595" s="22"/>
      <c r="I595" s="23"/>
      <c r="J595" s="24"/>
      <c r="K595" s="25"/>
      <c r="L595" s="22"/>
      <c r="M595" s="22"/>
      <c r="N595" s="22"/>
      <c r="O595" s="3"/>
      <c r="P595" s="4"/>
      <c r="Q595" s="406"/>
      <c r="R595" s="6"/>
    </row>
    <row r="596" spans="1:18" s="1" customFormat="1" ht="19.850000000000001" customHeight="1" x14ac:dyDescent="0.25">
      <c r="A596" s="21"/>
      <c r="B596" s="21"/>
      <c r="C596" s="22"/>
      <c r="D596" s="22"/>
      <c r="E596" s="22"/>
      <c r="F596" s="22"/>
      <c r="G596" s="22"/>
      <c r="H596" s="22"/>
      <c r="I596" s="23"/>
      <c r="J596" s="24"/>
      <c r="K596" s="25"/>
      <c r="L596" s="22"/>
      <c r="M596" s="22"/>
      <c r="N596" s="22"/>
      <c r="O596" s="3"/>
      <c r="P596" s="4"/>
      <c r="Q596" s="406"/>
      <c r="R596" s="6"/>
    </row>
    <row r="597" spans="1:18" s="1" customFormat="1" ht="19.850000000000001" customHeight="1" x14ac:dyDescent="0.25">
      <c r="A597" s="21"/>
      <c r="B597" s="21"/>
      <c r="C597" s="22"/>
      <c r="D597" s="22"/>
      <c r="E597" s="22"/>
      <c r="F597" s="22"/>
      <c r="G597" s="22"/>
      <c r="H597" s="22"/>
      <c r="I597" s="23"/>
      <c r="J597" s="24"/>
      <c r="K597" s="25"/>
      <c r="L597" s="22"/>
      <c r="M597" s="22"/>
      <c r="N597" s="22"/>
      <c r="O597" s="3"/>
      <c r="P597" s="4"/>
      <c r="Q597" s="406"/>
      <c r="R597" s="6"/>
    </row>
    <row r="598" spans="1:18" s="1" customFormat="1" ht="19.850000000000001" customHeight="1" x14ac:dyDescent="0.25">
      <c r="A598" s="21"/>
      <c r="B598" s="21"/>
      <c r="C598" s="22"/>
      <c r="D598" s="22"/>
      <c r="E598" s="22"/>
      <c r="F598" s="22"/>
      <c r="G598" s="22"/>
      <c r="H598" s="22"/>
      <c r="I598" s="23"/>
      <c r="J598" s="24"/>
      <c r="K598" s="25"/>
      <c r="L598" s="22"/>
      <c r="M598" s="22"/>
      <c r="N598" s="22"/>
      <c r="O598" s="3"/>
      <c r="P598" s="4"/>
      <c r="Q598" s="406"/>
      <c r="R598" s="6"/>
    </row>
    <row r="599" spans="1:18" s="1" customFormat="1" ht="19.850000000000001" customHeight="1" x14ac:dyDescent="0.25">
      <c r="A599" s="21"/>
      <c r="B599" s="21"/>
      <c r="C599" s="22"/>
      <c r="D599" s="22"/>
      <c r="E599" s="22"/>
      <c r="F599" s="22"/>
      <c r="G599" s="22"/>
      <c r="H599" s="22"/>
      <c r="I599" s="23"/>
      <c r="J599" s="24"/>
      <c r="K599" s="25"/>
      <c r="L599" s="22"/>
      <c r="M599" s="22"/>
      <c r="N599" s="22"/>
      <c r="O599" s="3"/>
      <c r="P599" s="4"/>
      <c r="Q599" s="406"/>
      <c r="R599" s="6"/>
    </row>
    <row r="600" spans="1:18" s="1" customFormat="1" ht="19.850000000000001" customHeight="1" x14ac:dyDescent="0.25">
      <c r="A600" s="21"/>
      <c r="B600" s="21"/>
      <c r="C600" s="22"/>
      <c r="D600" s="22"/>
      <c r="E600" s="22"/>
      <c r="F600" s="22"/>
      <c r="G600" s="22"/>
      <c r="H600" s="22"/>
      <c r="I600" s="23"/>
      <c r="J600" s="24"/>
      <c r="K600" s="25"/>
      <c r="L600" s="22"/>
      <c r="M600" s="22"/>
      <c r="N600" s="22"/>
      <c r="O600" s="3"/>
      <c r="P600" s="4"/>
      <c r="Q600" s="406"/>
      <c r="R600" s="6"/>
    </row>
    <row r="601" spans="1:18" s="1" customFormat="1" ht="19.850000000000001" customHeight="1" x14ac:dyDescent="0.25">
      <c r="A601" s="21"/>
      <c r="B601" s="21"/>
      <c r="C601" s="22"/>
      <c r="D601" s="22"/>
      <c r="E601" s="22"/>
      <c r="F601" s="22"/>
      <c r="G601" s="22"/>
      <c r="H601" s="22"/>
      <c r="I601" s="23"/>
      <c r="J601" s="24"/>
      <c r="K601" s="25"/>
      <c r="L601" s="22"/>
      <c r="M601" s="22"/>
      <c r="N601" s="22"/>
      <c r="O601" s="3"/>
      <c r="P601" s="4"/>
      <c r="Q601" s="406"/>
      <c r="R601" s="6"/>
    </row>
    <row r="602" spans="1:18" s="1" customFormat="1" ht="19.850000000000001" customHeight="1" x14ac:dyDescent="0.25">
      <c r="A602" s="21"/>
      <c r="B602" s="21"/>
      <c r="C602" s="22"/>
      <c r="D602" s="22"/>
      <c r="E602" s="22"/>
      <c r="F602" s="22"/>
      <c r="G602" s="22"/>
      <c r="H602" s="22"/>
      <c r="I602" s="23"/>
      <c r="J602" s="24"/>
      <c r="K602" s="25"/>
      <c r="L602" s="22"/>
      <c r="M602" s="22"/>
      <c r="N602" s="22"/>
      <c r="O602" s="3"/>
      <c r="P602" s="4"/>
      <c r="Q602" s="406"/>
      <c r="R602" s="6"/>
    </row>
    <row r="603" spans="1:18" s="1" customFormat="1" ht="19.850000000000001" customHeight="1" x14ac:dyDescent="0.25">
      <c r="A603" s="21"/>
      <c r="B603" s="21"/>
      <c r="C603" s="22"/>
      <c r="D603" s="22"/>
      <c r="E603" s="22"/>
      <c r="F603" s="22"/>
      <c r="G603" s="22"/>
      <c r="H603" s="22"/>
      <c r="I603" s="23"/>
      <c r="J603" s="24"/>
      <c r="K603" s="25"/>
      <c r="L603" s="22"/>
      <c r="M603" s="22"/>
      <c r="N603" s="22"/>
      <c r="O603" s="3"/>
      <c r="P603" s="4"/>
      <c r="Q603" s="406"/>
      <c r="R603" s="6"/>
    </row>
    <row r="604" spans="1:18" s="1" customFormat="1" ht="19.850000000000001" customHeight="1" x14ac:dyDescent="0.25">
      <c r="A604" s="21"/>
      <c r="B604" s="21"/>
      <c r="C604" s="22"/>
      <c r="D604" s="22"/>
      <c r="E604" s="22"/>
      <c r="F604" s="22"/>
      <c r="G604" s="22"/>
      <c r="H604" s="22"/>
      <c r="I604" s="23"/>
      <c r="J604" s="24"/>
      <c r="K604" s="25"/>
      <c r="L604" s="22"/>
      <c r="M604" s="22"/>
      <c r="N604" s="22"/>
      <c r="O604" s="3"/>
      <c r="P604" s="4"/>
      <c r="Q604" s="406"/>
      <c r="R604" s="6"/>
    </row>
    <row r="605" spans="1:18" s="1" customFormat="1" ht="19.850000000000001" customHeight="1" x14ac:dyDescent="0.25">
      <c r="A605" s="21"/>
      <c r="B605" s="21"/>
      <c r="C605" s="22"/>
      <c r="D605" s="22"/>
      <c r="E605" s="22"/>
      <c r="F605" s="22"/>
      <c r="G605" s="22"/>
      <c r="H605" s="22"/>
      <c r="I605" s="23"/>
      <c r="J605" s="24"/>
      <c r="K605" s="25"/>
      <c r="L605" s="22"/>
      <c r="M605" s="22"/>
      <c r="N605" s="22"/>
      <c r="O605" s="3"/>
      <c r="P605" s="4"/>
      <c r="Q605" s="406"/>
      <c r="R605" s="6"/>
    </row>
    <row r="606" spans="1:18" s="1" customFormat="1" ht="19.850000000000001" customHeight="1" x14ac:dyDescent="0.25">
      <c r="A606" s="21"/>
      <c r="B606" s="21"/>
      <c r="C606" s="22"/>
      <c r="D606" s="22"/>
      <c r="E606" s="22"/>
      <c r="F606" s="22"/>
      <c r="G606" s="22"/>
      <c r="H606" s="22"/>
      <c r="I606" s="23"/>
      <c r="J606" s="24"/>
      <c r="K606" s="25"/>
      <c r="L606" s="22"/>
      <c r="M606" s="22"/>
      <c r="N606" s="22"/>
      <c r="O606" s="3"/>
      <c r="P606" s="4"/>
      <c r="Q606" s="406"/>
      <c r="R606" s="6"/>
    </row>
    <row r="607" spans="1:18" s="1" customFormat="1" ht="19.850000000000001" customHeight="1" x14ac:dyDescent="0.25">
      <c r="A607" s="21"/>
      <c r="B607" s="21"/>
      <c r="C607" s="22"/>
      <c r="D607" s="22"/>
      <c r="E607" s="22"/>
      <c r="F607" s="22"/>
      <c r="G607" s="22"/>
      <c r="H607" s="22"/>
      <c r="I607" s="23"/>
      <c r="J607" s="24"/>
      <c r="K607" s="25"/>
      <c r="L607" s="22"/>
      <c r="M607" s="22"/>
      <c r="N607" s="22"/>
      <c r="O607" s="3"/>
      <c r="P607" s="4"/>
      <c r="Q607" s="406"/>
      <c r="R607" s="6"/>
    </row>
    <row r="608" spans="1:18" s="1" customFormat="1" ht="19.850000000000001" customHeight="1" x14ac:dyDescent="0.25">
      <c r="A608" s="21"/>
      <c r="B608" s="21"/>
      <c r="C608" s="22"/>
      <c r="D608" s="22"/>
      <c r="E608" s="22"/>
      <c r="F608" s="22"/>
      <c r="G608" s="22"/>
      <c r="H608" s="22"/>
      <c r="I608" s="23"/>
      <c r="J608" s="24"/>
      <c r="K608" s="25"/>
      <c r="L608" s="22"/>
      <c r="M608" s="22"/>
      <c r="N608" s="22"/>
      <c r="O608" s="3"/>
      <c r="P608" s="4"/>
      <c r="Q608" s="406"/>
      <c r="R608" s="6"/>
    </row>
    <row r="609" spans="1:18" s="1" customFormat="1" ht="19.850000000000001" customHeight="1" x14ac:dyDescent="0.25">
      <c r="A609" s="21"/>
      <c r="B609" s="21"/>
      <c r="C609" s="22"/>
      <c r="D609" s="22"/>
      <c r="E609" s="22"/>
      <c r="F609" s="22"/>
      <c r="G609" s="22"/>
      <c r="H609" s="22"/>
      <c r="I609" s="23"/>
      <c r="J609" s="24"/>
      <c r="K609" s="25"/>
      <c r="L609" s="22"/>
      <c r="M609" s="22"/>
      <c r="N609" s="22"/>
      <c r="O609" s="3"/>
      <c r="P609" s="4"/>
      <c r="Q609" s="406"/>
      <c r="R609" s="6"/>
    </row>
    <row r="610" spans="1:18" s="1" customFormat="1" ht="19.850000000000001" customHeight="1" x14ac:dyDescent="0.25">
      <c r="A610" s="21"/>
      <c r="B610" s="21"/>
      <c r="C610" s="22"/>
      <c r="D610" s="22"/>
      <c r="E610" s="22"/>
      <c r="F610" s="22"/>
      <c r="G610" s="22"/>
      <c r="H610" s="22"/>
      <c r="I610" s="23"/>
      <c r="J610" s="24"/>
      <c r="K610" s="25"/>
      <c r="L610" s="22"/>
      <c r="M610" s="22"/>
      <c r="N610" s="22"/>
      <c r="O610" s="3"/>
      <c r="P610" s="4"/>
      <c r="Q610" s="406"/>
      <c r="R610" s="6"/>
    </row>
    <row r="611" spans="1:18" s="1" customFormat="1" ht="19.850000000000001" customHeight="1" x14ac:dyDescent="0.25">
      <c r="A611" s="21"/>
      <c r="B611" s="21"/>
      <c r="C611" s="22"/>
      <c r="D611" s="22"/>
      <c r="E611" s="22"/>
      <c r="F611" s="22"/>
      <c r="G611" s="22"/>
      <c r="H611" s="22"/>
      <c r="I611" s="23"/>
      <c r="J611" s="24"/>
      <c r="K611" s="25"/>
      <c r="L611" s="22"/>
      <c r="M611" s="22"/>
      <c r="N611" s="22"/>
      <c r="O611" s="3"/>
      <c r="P611" s="4"/>
      <c r="Q611" s="406"/>
      <c r="R611" s="6"/>
    </row>
    <row r="612" spans="1:18" s="1" customFormat="1" ht="19.850000000000001" customHeight="1" x14ac:dyDescent="0.25">
      <c r="A612" s="21"/>
      <c r="B612" s="21"/>
      <c r="C612" s="22"/>
      <c r="D612" s="22"/>
      <c r="E612" s="22"/>
      <c r="F612" s="22"/>
      <c r="G612" s="22"/>
      <c r="H612" s="22"/>
      <c r="I612" s="23"/>
      <c r="J612" s="24"/>
      <c r="K612" s="25"/>
      <c r="L612" s="22"/>
      <c r="M612" s="22"/>
      <c r="N612" s="22"/>
      <c r="O612" s="3"/>
      <c r="P612" s="4"/>
      <c r="Q612" s="406"/>
      <c r="R612" s="6"/>
    </row>
    <row r="613" spans="1:18" s="1" customFormat="1" ht="19.850000000000001" customHeight="1" x14ac:dyDescent="0.25">
      <c r="A613" s="21"/>
      <c r="B613" s="21"/>
      <c r="C613" s="22"/>
      <c r="D613" s="22"/>
      <c r="E613" s="22"/>
      <c r="F613" s="22"/>
      <c r="G613" s="22"/>
      <c r="H613" s="22"/>
      <c r="I613" s="23"/>
      <c r="J613" s="24"/>
      <c r="K613" s="25"/>
      <c r="L613" s="22"/>
      <c r="M613" s="22"/>
      <c r="N613" s="22"/>
      <c r="O613" s="3"/>
      <c r="P613" s="4"/>
      <c r="Q613" s="406"/>
      <c r="R613" s="6"/>
    </row>
    <row r="614" spans="1:18" s="1" customFormat="1" ht="19.850000000000001" customHeight="1" x14ac:dyDescent="0.25">
      <c r="A614" s="21"/>
      <c r="B614" s="21"/>
      <c r="C614" s="22"/>
      <c r="D614" s="22"/>
      <c r="E614" s="22"/>
      <c r="F614" s="22"/>
      <c r="G614" s="22"/>
      <c r="H614" s="22"/>
      <c r="I614" s="23"/>
      <c r="J614" s="24"/>
      <c r="K614" s="25"/>
      <c r="L614" s="22"/>
      <c r="M614" s="22"/>
      <c r="N614" s="22"/>
      <c r="O614" s="3"/>
      <c r="P614" s="4"/>
      <c r="Q614" s="406"/>
      <c r="R614" s="6"/>
    </row>
    <row r="615" spans="1:18" s="1" customFormat="1" ht="19.850000000000001" customHeight="1" x14ac:dyDescent="0.25">
      <c r="A615" s="21"/>
      <c r="B615" s="21"/>
      <c r="C615" s="22"/>
      <c r="D615" s="22"/>
      <c r="E615" s="22"/>
      <c r="F615" s="22"/>
      <c r="G615" s="22"/>
      <c r="H615" s="22"/>
      <c r="I615" s="23"/>
      <c r="J615" s="24"/>
      <c r="K615" s="25"/>
      <c r="L615" s="22"/>
      <c r="M615" s="22"/>
      <c r="N615" s="22"/>
      <c r="O615" s="3"/>
      <c r="P615" s="4"/>
      <c r="Q615" s="406"/>
      <c r="R615" s="6"/>
    </row>
    <row r="616" spans="1:18" s="1" customFormat="1" ht="19.850000000000001" customHeight="1" x14ac:dyDescent="0.25">
      <c r="A616" s="21"/>
      <c r="B616" s="21"/>
      <c r="C616" s="22"/>
      <c r="D616" s="22"/>
      <c r="E616" s="22"/>
      <c r="F616" s="22"/>
      <c r="G616" s="22"/>
      <c r="H616" s="22"/>
      <c r="I616" s="23"/>
      <c r="J616" s="24"/>
      <c r="K616" s="25"/>
      <c r="L616" s="22"/>
      <c r="M616" s="22"/>
      <c r="N616" s="22"/>
      <c r="O616" s="3"/>
      <c r="P616" s="4"/>
      <c r="Q616" s="406"/>
      <c r="R616" s="6"/>
    </row>
    <row r="617" spans="1:18" s="1" customFormat="1" ht="19.850000000000001" customHeight="1" x14ac:dyDescent="0.25">
      <c r="A617" s="21"/>
      <c r="B617" s="21"/>
      <c r="C617" s="22"/>
      <c r="D617" s="22"/>
      <c r="E617" s="22"/>
      <c r="F617" s="22"/>
      <c r="G617" s="22"/>
      <c r="H617" s="22"/>
      <c r="I617" s="23"/>
      <c r="J617" s="24"/>
      <c r="K617" s="25"/>
      <c r="L617" s="22"/>
      <c r="M617" s="22"/>
      <c r="N617" s="22"/>
      <c r="O617" s="3"/>
      <c r="P617" s="4"/>
      <c r="Q617" s="406"/>
      <c r="R617" s="6"/>
    </row>
    <row r="618" spans="1:18" s="1" customFormat="1" ht="19.850000000000001" customHeight="1" x14ac:dyDescent="0.25">
      <c r="A618" s="21"/>
      <c r="B618" s="21"/>
      <c r="C618" s="22"/>
      <c r="D618" s="22"/>
      <c r="E618" s="22"/>
      <c r="F618" s="22"/>
      <c r="G618" s="22"/>
      <c r="H618" s="22"/>
      <c r="I618" s="23"/>
      <c r="J618" s="24"/>
      <c r="K618" s="25"/>
      <c r="L618" s="22"/>
      <c r="M618" s="22"/>
      <c r="N618" s="22"/>
      <c r="O618" s="3"/>
      <c r="P618" s="4"/>
      <c r="Q618" s="406"/>
      <c r="R618" s="6"/>
    </row>
    <row r="619" spans="1:18" s="1" customFormat="1" ht="19.850000000000001" customHeight="1" x14ac:dyDescent="0.25">
      <c r="A619" s="21"/>
      <c r="B619" s="21"/>
      <c r="C619" s="22"/>
      <c r="D619" s="22"/>
      <c r="E619" s="22"/>
      <c r="F619" s="22"/>
      <c r="G619" s="22"/>
      <c r="H619" s="22"/>
      <c r="I619" s="23"/>
      <c r="J619" s="24"/>
      <c r="K619" s="25"/>
      <c r="L619" s="22"/>
      <c r="M619" s="22"/>
      <c r="N619" s="22"/>
      <c r="O619" s="3"/>
      <c r="P619" s="4"/>
      <c r="Q619" s="406"/>
      <c r="R619" s="6"/>
    </row>
    <row r="620" spans="1:18" s="1" customFormat="1" ht="19.850000000000001" customHeight="1" x14ac:dyDescent="0.25">
      <c r="A620" s="21"/>
      <c r="B620" s="21"/>
      <c r="C620" s="22"/>
      <c r="D620" s="22"/>
      <c r="E620" s="22"/>
      <c r="F620" s="22"/>
      <c r="G620" s="22"/>
      <c r="H620" s="22"/>
      <c r="I620" s="23"/>
      <c r="J620" s="24"/>
      <c r="K620" s="25"/>
      <c r="L620" s="22"/>
      <c r="M620" s="22"/>
      <c r="N620" s="22"/>
      <c r="O620" s="3"/>
      <c r="P620" s="4"/>
      <c r="Q620" s="406"/>
      <c r="R620" s="6"/>
    </row>
    <row r="621" spans="1:18" s="1" customFormat="1" ht="19.850000000000001" customHeight="1" x14ac:dyDescent="0.25">
      <c r="A621" s="21"/>
      <c r="B621" s="21"/>
      <c r="C621" s="22"/>
      <c r="D621" s="22"/>
      <c r="E621" s="22"/>
      <c r="F621" s="22"/>
      <c r="G621" s="22"/>
      <c r="H621" s="22"/>
      <c r="I621" s="23"/>
      <c r="J621" s="24"/>
      <c r="K621" s="25"/>
      <c r="L621" s="22"/>
      <c r="M621" s="22"/>
      <c r="N621" s="22"/>
      <c r="O621" s="3"/>
      <c r="P621" s="4"/>
      <c r="Q621" s="406"/>
      <c r="R621" s="6"/>
    </row>
    <row r="622" spans="1:18" s="1" customFormat="1" ht="19.850000000000001" customHeight="1" x14ac:dyDescent="0.25">
      <c r="A622" s="21"/>
      <c r="B622" s="21"/>
      <c r="C622" s="22"/>
      <c r="D622" s="22"/>
      <c r="E622" s="22"/>
      <c r="F622" s="22"/>
      <c r="G622" s="22"/>
      <c r="H622" s="22"/>
      <c r="I622" s="23"/>
      <c r="J622" s="24"/>
      <c r="K622" s="25"/>
      <c r="L622" s="22"/>
      <c r="M622" s="22"/>
      <c r="N622" s="22"/>
      <c r="O622" s="3"/>
      <c r="P622" s="4"/>
      <c r="Q622" s="406"/>
      <c r="R622" s="6"/>
    </row>
    <row r="623" spans="1:18" s="1" customFormat="1" ht="19.850000000000001" customHeight="1" x14ac:dyDescent="0.25">
      <c r="A623" s="21"/>
      <c r="B623" s="21"/>
      <c r="C623" s="22"/>
      <c r="D623" s="22"/>
      <c r="E623" s="22"/>
      <c r="F623" s="22"/>
      <c r="G623" s="22"/>
      <c r="H623" s="22"/>
      <c r="I623" s="23"/>
      <c r="J623" s="24"/>
      <c r="K623" s="25"/>
      <c r="L623" s="22"/>
      <c r="M623" s="22"/>
      <c r="N623" s="22"/>
      <c r="O623" s="3"/>
      <c r="P623" s="4"/>
      <c r="Q623" s="406"/>
      <c r="R623" s="6"/>
    </row>
    <row r="624" spans="1:18" s="1" customFormat="1" ht="19.850000000000001" customHeight="1" x14ac:dyDescent="0.25">
      <c r="A624" s="21"/>
      <c r="B624" s="21"/>
      <c r="C624" s="22"/>
      <c r="D624" s="22"/>
      <c r="E624" s="22"/>
      <c r="F624" s="22"/>
      <c r="G624" s="22"/>
      <c r="H624" s="22"/>
      <c r="I624" s="23"/>
      <c r="J624" s="24"/>
      <c r="K624" s="25"/>
      <c r="L624" s="22"/>
      <c r="M624" s="22"/>
      <c r="N624" s="22"/>
      <c r="O624" s="3"/>
      <c r="P624" s="4"/>
      <c r="Q624" s="406"/>
      <c r="R624" s="6"/>
    </row>
    <row r="625" spans="1:18" s="1" customFormat="1" ht="19.850000000000001" customHeight="1" x14ac:dyDescent="0.25">
      <c r="A625" s="21"/>
      <c r="B625" s="21"/>
      <c r="C625" s="22"/>
      <c r="D625" s="22"/>
      <c r="E625" s="22"/>
      <c r="F625" s="22"/>
      <c r="G625" s="22"/>
      <c r="H625" s="22"/>
      <c r="I625" s="23"/>
      <c r="J625" s="24"/>
      <c r="K625" s="25"/>
      <c r="L625" s="22"/>
      <c r="M625" s="22"/>
      <c r="N625" s="22"/>
      <c r="O625" s="3"/>
      <c r="P625" s="4"/>
      <c r="Q625" s="406"/>
      <c r="R625" s="6"/>
    </row>
    <row r="626" spans="1:18" s="1" customFormat="1" ht="19.850000000000001" customHeight="1" x14ac:dyDescent="0.25">
      <c r="A626" s="21"/>
      <c r="B626" s="21"/>
      <c r="C626" s="22"/>
      <c r="D626" s="22"/>
      <c r="E626" s="22"/>
      <c r="F626" s="22"/>
      <c r="G626" s="22"/>
      <c r="H626" s="22"/>
      <c r="I626" s="23"/>
      <c r="J626" s="24"/>
      <c r="K626" s="25"/>
      <c r="L626" s="22"/>
      <c r="M626" s="22"/>
      <c r="N626" s="22"/>
      <c r="O626" s="3"/>
      <c r="P626" s="4"/>
      <c r="Q626" s="406"/>
      <c r="R626" s="6"/>
    </row>
    <row r="627" spans="1:18" s="1" customFormat="1" ht="19.850000000000001" customHeight="1" x14ac:dyDescent="0.25">
      <c r="A627" s="21"/>
      <c r="B627" s="21"/>
      <c r="C627" s="22"/>
      <c r="D627" s="22"/>
      <c r="E627" s="22"/>
      <c r="F627" s="22"/>
      <c r="G627" s="22"/>
      <c r="H627" s="22"/>
      <c r="I627" s="23"/>
      <c r="J627" s="24"/>
      <c r="K627" s="25"/>
      <c r="L627" s="22"/>
      <c r="M627" s="22"/>
      <c r="N627" s="22"/>
      <c r="O627" s="3"/>
      <c r="P627" s="4"/>
      <c r="Q627" s="406"/>
      <c r="R627" s="6"/>
    </row>
    <row r="628" spans="1:18" s="1" customFormat="1" ht="19.850000000000001" customHeight="1" x14ac:dyDescent="0.25">
      <c r="A628" s="21"/>
      <c r="B628" s="21"/>
      <c r="C628" s="22"/>
      <c r="D628" s="22"/>
      <c r="E628" s="22"/>
      <c r="F628" s="22"/>
      <c r="G628" s="22"/>
      <c r="H628" s="22"/>
      <c r="I628" s="23"/>
      <c r="J628" s="24"/>
      <c r="K628" s="25"/>
      <c r="L628" s="22"/>
      <c r="M628" s="22"/>
      <c r="N628" s="22"/>
      <c r="O628" s="3"/>
      <c r="P628" s="4"/>
      <c r="Q628" s="406"/>
      <c r="R628" s="6"/>
    </row>
    <row r="629" spans="1:18" s="1" customFormat="1" ht="19.850000000000001" customHeight="1" x14ac:dyDescent="0.25">
      <c r="A629" s="21"/>
      <c r="B629" s="21"/>
      <c r="C629" s="22"/>
      <c r="D629" s="22"/>
      <c r="E629" s="22"/>
      <c r="F629" s="22"/>
      <c r="G629" s="22"/>
      <c r="H629" s="22"/>
      <c r="I629" s="23"/>
      <c r="J629" s="24"/>
      <c r="K629" s="25"/>
      <c r="L629" s="22"/>
      <c r="M629" s="22"/>
      <c r="N629" s="22"/>
      <c r="O629" s="3"/>
      <c r="P629" s="4"/>
      <c r="Q629" s="406"/>
      <c r="R629" s="6"/>
    </row>
    <row r="630" spans="1:18" s="1" customFormat="1" ht="19.850000000000001" customHeight="1" x14ac:dyDescent="0.25">
      <c r="A630" s="21"/>
      <c r="B630" s="21"/>
      <c r="C630" s="22"/>
      <c r="D630" s="22"/>
      <c r="E630" s="22"/>
      <c r="F630" s="22"/>
      <c r="G630" s="22"/>
      <c r="H630" s="22"/>
      <c r="I630" s="23"/>
      <c r="J630" s="24"/>
      <c r="K630" s="25"/>
      <c r="L630" s="22"/>
      <c r="M630" s="22"/>
      <c r="N630" s="22"/>
      <c r="O630" s="3"/>
      <c r="P630" s="4"/>
      <c r="Q630" s="406"/>
      <c r="R630" s="6"/>
    </row>
    <row r="631" spans="1:18" s="1" customFormat="1" ht="19.850000000000001" customHeight="1" x14ac:dyDescent="0.25">
      <c r="A631" s="21"/>
      <c r="B631" s="21"/>
      <c r="C631" s="22"/>
      <c r="D631" s="22"/>
      <c r="E631" s="22"/>
      <c r="F631" s="22"/>
      <c r="G631" s="22"/>
      <c r="H631" s="22"/>
      <c r="I631" s="23"/>
      <c r="J631" s="24"/>
      <c r="K631" s="25"/>
      <c r="L631" s="22"/>
      <c r="M631" s="22"/>
      <c r="N631" s="22"/>
      <c r="O631" s="3"/>
      <c r="P631" s="4"/>
      <c r="Q631" s="406"/>
      <c r="R631" s="6"/>
    </row>
    <row r="632" spans="1:18" s="1" customFormat="1" ht="19.850000000000001" customHeight="1" x14ac:dyDescent="0.25">
      <c r="A632" s="21"/>
      <c r="B632" s="21"/>
      <c r="C632" s="22"/>
      <c r="D632" s="22"/>
      <c r="E632" s="22"/>
      <c r="F632" s="22"/>
      <c r="G632" s="22"/>
      <c r="H632" s="22"/>
      <c r="I632" s="23"/>
      <c r="J632" s="24"/>
      <c r="K632" s="25"/>
      <c r="L632" s="22"/>
      <c r="M632" s="22"/>
      <c r="N632" s="22"/>
      <c r="O632" s="3"/>
      <c r="P632" s="4"/>
      <c r="Q632" s="406"/>
      <c r="R632" s="6"/>
    </row>
    <row r="633" spans="1:18" s="1" customFormat="1" ht="19.850000000000001" customHeight="1" x14ac:dyDescent="0.25">
      <c r="A633" s="21"/>
      <c r="B633" s="21"/>
      <c r="C633" s="22"/>
      <c r="D633" s="22"/>
      <c r="E633" s="22"/>
      <c r="F633" s="22"/>
      <c r="G633" s="22"/>
      <c r="H633" s="22"/>
      <c r="I633" s="23"/>
      <c r="J633" s="24"/>
      <c r="K633" s="25"/>
      <c r="L633" s="22"/>
      <c r="M633" s="22"/>
      <c r="N633" s="22"/>
      <c r="O633" s="3"/>
      <c r="P633" s="4"/>
      <c r="Q633" s="406"/>
      <c r="R633" s="6"/>
    </row>
    <row r="634" spans="1:18" s="1" customFormat="1" ht="19.850000000000001" customHeight="1" x14ac:dyDescent="0.25">
      <c r="A634" s="21"/>
      <c r="B634" s="21"/>
      <c r="C634" s="22"/>
      <c r="D634" s="22"/>
      <c r="E634" s="22"/>
      <c r="F634" s="22"/>
      <c r="G634" s="22"/>
      <c r="H634" s="22"/>
      <c r="I634" s="23"/>
      <c r="J634" s="24"/>
      <c r="K634" s="25"/>
      <c r="L634" s="22"/>
      <c r="M634" s="22"/>
      <c r="N634" s="22"/>
      <c r="O634" s="3"/>
      <c r="P634" s="4"/>
      <c r="Q634" s="406"/>
      <c r="R634" s="6"/>
    </row>
    <row r="635" spans="1:18" s="1" customFormat="1" ht="19.850000000000001" customHeight="1" x14ac:dyDescent="0.25">
      <c r="A635" s="21"/>
      <c r="B635" s="21"/>
      <c r="C635" s="22"/>
      <c r="D635" s="22"/>
      <c r="E635" s="22"/>
      <c r="F635" s="22"/>
      <c r="G635" s="22"/>
      <c r="H635" s="22"/>
      <c r="I635" s="23"/>
      <c r="J635" s="24"/>
      <c r="K635" s="25"/>
      <c r="L635" s="22"/>
      <c r="M635" s="22"/>
      <c r="N635" s="22"/>
      <c r="O635" s="3"/>
      <c r="P635" s="4"/>
      <c r="Q635" s="406"/>
      <c r="R635" s="6"/>
    </row>
    <row r="636" spans="1:18" s="1" customFormat="1" ht="19.850000000000001" customHeight="1" x14ac:dyDescent="0.25">
      <c r="A636" s="21"/>
      <c r="B636" s="21"/>
      <c r="C636" s="22"/>
      <c r="D636" s="22"/>
      <c r="E636" s="22"/>
      <c r="F636" s="22"/>
      <c r="G636" s="22"/>
      <c r="H636" s="22"/>
      <c r="I636" s="23"/>
      <c r="J636" s="24"/>
      <c r="K636" s="25"/>
      <c r="L636" s="22"/>
      <c r="M636" s="22"/>
      <c r="N636" s="22"/>
      <c r="O636" s="3"/>
      <c r="P636" s="4"/>
      <c r="Q636" s="406"/>
      <c r="R636" s="6"/>
    </row>
    <row r="637" spans="1:18" s="1" customFormat="1" ht="19.850000000000001" customHeight="1" x14ac:dyDescent="0.25">
      <c r="A637" s="21"/>
      <c r="B637" s="21"/>
      <c r="C637" s="22"/>
      <c r="D637" s="22"/>
      <c r="E637" s="22"/>
      <c r="F637" s="22"/>
      <c r="G637" s="22"/>
      <c r="H637" s="22"/>
      <c r="I637" s="23"/>
      <c r="J637" s="24"/>
      <c r="K637" s="25"/>
      <c r="L637" s="22"/>
      <c r="M637" s="22"/>
      <c r="N637" s="22"/>
      <c r="O637" s="3"/>
      <c r="P637" s="4"/>
      <c r="Q637" s="406"/>
      <c r="R637" s="6"/>
    </row>
    <row r="638" spans="1:18" s="1" customFormat="1" ht="19.850000000000001" customHeight="1" x14ac:dyDescent="0.25">
      <c r="A638" s="21"/>
      <c r="B638" s="21"/>
      <c r="C638" s="22"/>
      <c r="D638" s="22"/>
      <c r="E638" s="22"/>
      <c r="F638" s="22"/>
      <c r="G638" s="22"/>
      <c r="H638" s="22"/>
      <c r="I638" s="23"/>
      <c r="J638" s="24"/>
      <c r="K638" s="25"/>
      <c r="L638" s="22"/>
      <c r="M638" s="22"/>
      <c r="N638" s="22"/>
      <c r="O638" s="3"/>
      <c r="P638" s="4"/>
      <c r="Q638" s="406"/>
      <c r="R638" s="6"/>
    </row>
    <row r="639" spans="1:18" s="1" customFormat="1" ht="19.850000000000001" customHeight="1" x14ac:dyDescent="0.25">
      <c r="A639" s="21"/>
      <c r="B639" s="21"/>
      <c r="C639" s="22"/>
      <c r="D639" s="22"/>
      <c r="E639" s="22"/>
      <c r="F639" s="22"/>
      <c r="G639" s="22"/>
      <c r="H639" s="22"/>
      <c r="I639" s="23"/>
      <c r="J639" s="24"/>
      <c r="K639" s="25"/>
      <c r="L639" s="22"/>
      <c r="M639" s="22"/>
      <c r="N639" s="22"/>
      <c r="O639" s="3"/>
      <c r="P639" s="4"/>
      <c r="Q639" s="406"/>
      <c r="R639" s="6"/>
    </row>
    <row r="640" spans="1:18" s="1" customFormat="1" ht="19.850000000000001" customHeight="1" x14ac:dyDescent="0.25">
      <c r="A640" s="21"/>
      <c r="B640" s="21"/>
      <c r="C640" s="22"/>
      <c r="D640" s="22"/>
      <c r="E640" s="22"/>
      <c r="F640" s="22"/>
      <c r="G640" s="22"/>
      <c r="H640" s="22"/>
      <c r="I640" s="23"/>
      <c r="J640" s="24"/>
      <c r="K640" s="25"/>
      <c r="L640" s="22"/>
      <c r="M640" s="22"/>
      <c r="N640" s="22"/>
      <c r="O640" s="3"/>
      <c r="P640" s="4"/>
      <c r="Q640" s="406"/>
      <c r="R640" s="6"/>
    </row>
    <row r="641" spans="1:18" s="1" customFormat="1" ht="19.850000000000001" customHeight="1" x14ac:dyDescent="0.25">
      <c r="A641" s="21"/>
      <c r="B641" s="21"/>
      <c r="C641" s="22"/>
      <c r="D641" s="22"/>
      <c r="E641" s="22"/>
      <c r="F641" s="22"/>
      <c r="G641" s="22"/>
      <c r="H641" s="22"/>
      <c r="I641" s="23"/>
      <c r="J641" s="24"/>
      <c r="K641" s="25"/>
      <c r="L641" s="22"/>
      <c r="M641" s="22"/>
      <c r="N641" s="22"/>
      <c r="O641" s="3"/>
      <c r="P641" s="4"/>
      <c r="Q641" s="406"/>
      <c r="R641" s="6"/>
    </row>
    <row r="642" spans="1:18" s="1" customFormat="1" ht="19.850000000000001" customHeight="1" x14ac:dyDescent="0.25">
      <c r="A642" s="21"/>
      <c r="B642" s="21"/>
      <c r="C642" s="22"/>
      <c r="D642" s="22"/>
      <c r="E642" s="22"/>
      <c r="F642" s="22"/>
      <c r="G642" s="22"/>
      <c r="H642" s="22"/>
      <c r="I642" s="23"/>
      <c r="J642" s="24"/>
      <c r="K642" s="25"/>
      <c r="L642" s="22"/>
      <c r="M642" s="22"/>
      <c r="N642" s="22"/>
      <c r="O642" s="3"/>
      <c r="P642" s="4"/>
      <c r="Q642" s="406"/>
      <c r="R642" s="6"/>
    </row>
    <row r="643" spans="1:18" s="1" customFormat="1" ht="19.850000000000001" customHeight="1" x14ac:dyDescent="0.25">
      <c r="A643" s="21"/>
      <c r="B643" s="21"/>
      <c r="C643" s="22"/>
      <c r="D643" s="22"/>
      <c r="E643" s="22"/>
      <c r="F643" s="22"/>
      <c r="G643" s="22"/>
      <c r="H643" s="22"/>
      <c r="I643" s="23"/>
      <c r="J643" s="24"/>
      <c r="K643" s="25"/>
      <c r="L643" s="22"/>
      <c r="M643" s="22"/>
      <c r="N643" s="22"/>
      <c r="O643" s="3"/>
      <c r="P643" s="4"/>
      <c r="Q643" s="406"/>
      <c r="R643" s="6"/>
    </row>
    <row r="644" spans="1:18" s="1" customFormat="1" ht="19.850000000000001" customHeight="1" x14ac:dyDescent="0.25">
      <c r="A644" s="21"/>
      <c r="B644" s="21"/>
      <c r="C644" s="22"/>
      <c r="D644" s="22"/>
      <c r="E644" s="22"/>
      <c r="F644" s="22"/>
      <c r="G644" s="22"/>
      <c r="H644" s="22"/>
      <c r="I644" s="23"/>
      <c r="J644" s="24"/>
      <c r="K644" s="25"/>
      <c r="L644" s="22"/>
      <c r="M644" s="22"/>
      <c r="N644" s="22"/>
      <c r="O644" s="3"/>
      <c r="P644" s="4"/>
      <c r="Q644" s="406"/>
      <c r="R644" s="6"/>
    </row>
    <row r="645" spans="1:18" s="1" customFormat="1" ht="19.850000000000001" customHeight="1" x14ac:dyDescent="0.25">
      <c r="A645" s="21"/>
      <c r="B645" s="21"/>
      <c r="C645" s="22"/>
      <c r="D645" s="22"/>
      <c r="E645" s="22"/>
      <c r="F645" s="22"/>
      <c r="G645" s="22"/>
      <c r="H645" s="22"/>
      <c r="I645" s="23"/>
      <c r="J645" s="24"/>
      <c r="K645" s="25"/>
      <c r="L645" s="22"/>
      <c r="M645" s="22"/>
      <c r="N645" s="22"/>
      <c r="O645" s="3"/>
      <c r="P645" s="4"/>
      <c r="Q645" s="406"/>
      <c r="R645" s="6"/>
    </row>
    <row r="646" spans="1:18" s="1" customFormat="1" ht="19.850000000000001" customHeight="1" x14ac:dyDescent="0.25">
      <c r="A646" s="21"/>
      <c r="B646" s="21"/>
      <c r="C646" s="22"/>
      <c r="D646" s="22"/>
      <c r="E646" s="22"/>
      <c r="F646" s="22"/>
      <c r="G646" s="22"/>
      <c r="H646" s="22"/>
      <c r="I646" s="23"/>
      <c r="J646" s="24"/>
      <c r="K646" s="25"/>
      <c r="L646" s="22"/>
      <c r="M646" s="22"/>
      <c r="N646" s="22"/>
      <c r="O646" s="3"/>
      <c r="P646" s="4"/>
      <c r="Q646" s="406"/>
      <c r="R646" s="6"/>
    </row>
    <row r="647" spans="1:18" s="1" customFormat="1" ht="19.850000000000001" customHeight="1" x14ac:dyDescent="0.25">
      <c r="A647" s="21"/>
      <c r="B647" s="21"/>
      <c r="C647" s="22"/>
      <c r="D647" s="22"/>
      <c r="E647" s="22"/>
      <c r="F647" s="22"/>
      <c r="G647" s="22"/>
      <c r="H647" s="22"/>
      <c r="I647" s="23"/>
      <c r="J647" s="24"/>
      <c r="K647" s="25"/>
      <c r="L647" s="22"/>
      <c r="M647" s="22"/>
      <c r="N647" s="22"/>
      <c r="O647" s="3"/>
      <c r="P647" s="4"/>
      <c r="Q647" s="406"/>
      <c r="R647" s="6"/>
    </row>
    <row r="648" spans="1:18" s="1" customFormat="1" ht="19.850000000000001" customHeight="1" x14ac:dyDescent="0.25">
      <c r="A648" s="21"/>
      <c r="B648" s="21"/>
      <c r="C648" s="22"/>
      <c r="D648" s="22"/>
      <c r="E648" s="22"/>
      <c r="F648" s="22"/>
      <c r="G648" s="22"/>
      <c r="H648" s="22"/>
      <c r="I648" s="23"/>
      <c r="J648" s="24"/>
      <c r="K648" s="25"/>
      <c r="L648" s="22"/>
      <c r="M648" s="22"/>
      <c r="N648" s="22"/>
      <c r="O648" s="3"/>
      <c r="P648" s="4"/>
      <c r="Q648" s="406"/>
      <c r="R648" s="6"/>
    </row>
    <row r="649" spans="1:18" s="1" customFormat="1" ht="19.850000000000001" customHeight="1" x14ac:dyDescent="0.25">
      <c r="A649" s="21"/>
      <c r="B649" s="21"/>
      <c r="C649" s="22"/>
      <c r="D649" s="22"/>
      <c r="E649" s="22"/>
      <c r="F649" s="22"/>
      <c r="G649" s="22"/>
      <c r="H649" s="22"/>
      <c r="I649" s="23"/>
      <c r="J649" s="24"/>
      <c r="K649" s="25"/>
      <c r="L649" s="22"/>
      <c r="M649" s="22"/>
      <c r="N649" s="22"/>
      <c r="O649" s="3"/>
      <c r="P649" s="4"/>
      <c r="Q649" s="406"/>
      <c r="R649" s="6"/>
    </row>
    <row r="650" spans="1:18" s="1" customFormat="1" ht="19.850000000000001" customHeight="1" x14ac:dyDescent="0.25">
      <c r="A650" s="21"/>
      <c r="B650" s="21"/>
      <c r="C650" s="22"/>
      <c r="D650" s="22"/>
      <c r="E650" s="22"/>
      <c r="F650" s="22"/>
      <c r="G650" s="22"/>
      <c r="H650" s="22"/>
      <c r="I650" s="23"/>
      <c r="J650" s="24"/>
      <c r="K650" s="25"/>
      <c r="L650" s="22"/>
      <c r="M650" s="22"/>
      <c r="N650" s="22"/>
      <c r="O650" s="3"/>
      <c r="P650" s="4"/>
      <c r="Q650" s="406"/>
      <c r="R650" s="6"/>
    </row>
    <row r="651" spans="1:18" s="1" customFormat="1" ht="19.850000000000001" customHeight="1" x14ac:dyDescent="0.25">
      <c r="A651" s="21"/>
      <c r="B651" s="21"/>
      <c r="C651" s="22"/>
      <c r="D651" s="22"/>
      <c r="E651" s="22"/>
      <c r="F651" s="22"/>
      <c r="G651" s="22"/>
      <c r="H651" s="22"/>
      <c r="I651" s="23"/>
      <c r="J651" s="24"/>
      <c r="K651" s="25"/>
      <c r="L651" s="22"/>
      <c r="M651" s="22"/>
      <c r="N651" s="22"/>
      <c r="O651" s="3"/>
      <c r="P651" s="4"/>
      <c r="Q651" s="406"/>
      <c r="R651" s="6"/>
    </row>
    <row r="652" spans="1:18" s="1" customFormat="1" ht="19.850000000000001" customHeight="1" x14ac:dyDescent="0.25">
      <c r="A652" s="21"/>
      <c r="B652" s="21"/>
      <c r="C652" s="22"/>
      <c r="D652" s="22"/>
      <c r="E652" s="22"/>
      <c r="F652" s="22"/>
      <c r="G652" s="22"/>
      <c r="H652" s="22"/>
      <c r="I652" s="23"/>
      <c r="J652" s="24"/>
      <c r="K652" s="25"/>
      <c r="L652" s="22"/>
      <c r="M652" s="22"/>
      <c r="N652" s="22"/>
      <c r="O652" s="3"/>
      <c r="P652" s="4"/>
      <c r="Q652" s="406"/>
      <c r="R652" s="6"/>
    </row>
    <row r="653" spans="1:18" s="1" customFormat="1" ht="19.850000000000001" customHeight="1" x14ac:dyDescent="0.25">
      <c r="A653" s="21"/>
      <c r="B653" s="21"/>
      <c r="C653" s="22"/>
      <c r="D653" s="22"/>
      <c r="E653" s="22"/>
      <c r="F653" s="22"/>
      <c r="G653" s="22"/>
      <c r="H653" s="22"/>
      <c r="I653" s="23"/>
      <c r="J653" s="24"/>
      <c r="K653" s="25"/>
      <c r="L653" s="22"/>
      <c r="M653" s="22"/>
      <c r="N653" s="22"/>
      <c r="O653" s="3"/>
      <c r="P653" s="4"/>
      <c r="Q653" s="406"/>
      <c r="R653" s="6"/>
    </row>
    <row r="654" spans="1:18" s="1" customFormat="1" ht="19.850000000000001" customHeight="1" x14ac:dyDescent="0.25">
      <c r="A654" s="21"/>
      <c r="B654" s="21"/>
      <c r="C654" s="22"/>
      <c r="D654" s="22"/>
      <c r="E654" s="22"/>
      <c r="F654" s="22"/>
      <c r="G654" s="22"/>
      <c r="H654" s="22"/>
      <c r="I654" s="23"/>
      <c r="J654" s="24"/>
      <c r="K654" s="25"/>
      <c r="L654" s="22"/>
      <c r="M654" s="22"/>
      <c r="N654" s="22"/>
      <c r="O654" s="3"/>
      <c r="P654" s="4"/>
      <c r="Q654" s="406"/>
      <c r="R654" s="6"/>
    </row>
    <row r="655" spans="1:18" s="1" customFormat="1" ht="19.850000000000001" customHeight="1" x14ac:dyDescent="0.25">
      <c r="A655" s="21"/>
      <c r="B655" s="21"/>
      <c r="C655" s="22"/>
      <c r="D655" s="22"/>
      <c r="E655" s="22"/>
      <c r="F655" s="22"/>
      <c r="G655" s="22"/>
      <c r="H655" s="22"/>
      <c r="I655" s="23"/>
      <c r="J655" s="24"/>
      <c r="K655" s="25"/>
      <c r="L655" s="22"/>
      <c r="M655" s="22"/>
      <c r="N655" s="22"/>
      <c r="O655" s="3"/>
      <c r="P655" s="4"/>
      <c r="Q655" s="406"/>
      <c r="R655" s="6"/>
    </row>
    <row r="656" spans="1:18" s="1" customFormat="1" ht="19.850000000000001" customHeight="1" x14ac:dyDescent="0.25">
      <c r="A656" s="21"/>
      <c r="B656" s="21"/>
      <c r="C656" s="22"/>
      <c r="D656" s="22"/>
      <c r="E656" s="22"/>
      <c r="F656" s="22"/>
      <c r="G656" s="22"/>
      <c r="H656" s="22"/>
      <c r="I656" s="23"/>
      <c r="J656" s="24"/>
      <c r="K656" s="25"/>
      <c r="L656" s="22"/>
      <c r="M656" s="22"/>
      <c r="N656" s="22"/>
      <c r="O656" s="3"/>
      <c r="P656" s="4"/>
      <c r="Q656" s="406"/>
      <c r="R656" s="6"/>
    </row>
    <row r="657" spans="1:18" s="1" customFormat="1" ht="19.850000000000001" customHeight="1" x14ac:dyDescent="0.25">
      <c r="A657" s="21"/>
      <c r="B657" s="21"/>
      <c r="C657" s="22"/>
      <c r="D657" s="22"/>
      <c r="E657" s="22"/>
      <c r="F657" s="22"/>
      <c r="G657" s="22"/>
      <c r="H657" s="22"/>
      <c r="I657" s="23"/>
      <c r="J657" s="24"/>
      <c r="K657" s="25"/>
      <c r="L657" s="22"/>
      <c r="M657" s="22"/>
      <c r="N657" s="22"/>
      <c r="O657" s="3"/>
      <c r="P657" s="4"/>
      <c r="Q657" s="406"/>
      <c r="R657" s="6"/>
    </row>
    <row r="658" spans="1:18" s="1" customFormat="1" ht="19.850000000000001" customHeight="1" x14ac:dyDescent="0.25">
      <c r="A658" s="21"/>
      <c r="B658" s="21"/>
      <c r="C658" s="22"/>
      <c r="D658" s="22"/>
      <c r="E658" s="22"/>
      <c r="F658" s="22"/>
      <c r="G658" s="22"/>
      <c r="H658" s="22"/>
      <c r="I658" s="23"/>
      <c r="J658" s="24"/>
      <c r="K658" s="25"/>
      <c r="L658" s="22"/>
      <c r="M658" s="22"/>
      <c r="N658" s="22"/>
      <c r="O658" s="3"/>
      <c r="P658" s="4"/>
      <c r="Q658" s="406"/>
      <c r="R658" s="6"/>
    </row>
    <row r="659" spans="1:18" s="1" customFormat="1" ht="19.850000000000001" customHeight="1" x14ac:dyDescent="0.25">
      <c r="A659" s="21"/>
      <c r="B659" s="21"/>
      <c r="C659" s="22"/>
      <c r="D659" s="22"/>
      <c r="E659" s="22"/>
      <c r="F659" s="22"/>
      <c r="G659" s="22"/>
      <c r="H659" s="22"/>
      <c r="I659" s="23"/>
      <c r="J659" s="24"/>
      <c r="K659" s="25"/>
      <c r="L659" s="22"/>
      <c r="M659" s="22"/>
      <c r="N659" s="22"/>
      <c r="O659" s="3"/>
      <c r="P659" s="4"/>
      <c r="Q659" s="406"/>
      <c r="R659" s="6"/>
    </row>
    <row r="660" spans="1:18" s="1" customFormat="1" ht="19.850000000000001" customHeight="1" x14ac:dyDescent="0.25">
      <c r="A660" s="21"/>
      <c r="B660" s="21"/>
      <c r="C660" s="22"/>
      <c r="D660" s="22"/>
      <c r="E660" s="22"/>
      <c r="F660" s="22"/>
      <c r="G660" s="22"/>
      <c r="H660" s="22"/>
      <c r="I660" s="23"/>
      <c r="J660" s="24"/>
      <c r="K660" s="25"/>
      <c r="L660" s="22"/>
      <c r="M660" s="22"/>
      <c r="N660" s="22"/>
      <c r="O660" s="3"/>
      <c r="P660" s="4"/>
      <c r="Q660" s="406"/>
      <c r="R660" s="6"/>
    </row>
    <row r="661" spans="1:18" s="1" customFormat="1" ht="19.850000000000001" customHeight="1" x14ac:dyDescent="0.25">
      <c r="A661" s="21"/>
      <c r="B661" s="21"/>
      <c r="C661" s="22"/>
      <c r="D661" s="22"/>
      <c r="E661" s="22"/>
      <c r="F661" s="22"/>
      <c r="G661" s="22"/>
      <c r="H661" s="22"/>
      <c r="I661" s="23"/>
      <c r="J661" s="24"/>
      <c r="K661" s="25"/>
      <c r="L661" s="22"/>
      <c r="M661" s="22"/>
      <c r="N661" s="22"/>
      <c r="O661" s="3"/>
      <c r="P661" s="4"/>
      <c r="Q661" s="406"/>
      <c r="R661" s="6"/>
    </row>
    <row r="662" spans="1:18" s="1" customFormat="1" ht="19.850000000000001" customHeight="1" x14ac:dyDescent="0.25">
      <c r="A662" s="21"/>
      <c r="B662" s="21"/>
      <c r="C662" s="22"/>
      <c r="D662" s="22"/>
      <c r="E662" s="22"/>
      <c r="F662" s="22"/>
      <c r="G662" s="22"/>
      <c r="H662" s="22"/>
      <c r="I662" s="23"/>
      <c r="J662" s="24"/>
      <c r="K662" s="25"/>
      <c r="L662" s="22"/>
      <c r="M662" s="22"/>
      <c r="N662" s="22"/>
      <c r="O662" s="3"/>
      <c r="P662" s="4"/>
      <c r="Q662" s="406"/>
      <c r="R662" s="6"/>
    </row>
    <row r="663" spans="1:18" s="1" customFormat="1" ht="19.850000000000001" customHeight="1" x14ac:dyDescent="0.25">
      <c r="A663" s="21"/>
      <c r="B663" s="21"/>
      <c r="C663" s="22"/>
      <c r="D663" s="22"/>
      <c r="E663" s="22"/>
      <c r="F663" s="22"/>
      <c r="G663" s="22"/>
      <c r="H663" s="22"/>
      <c r="I663" s="23"/>
      <c r="J663" s="24"/>
      <c r="K663" s="25"/>
      <c r="L663" s="22"/>
      <c r="M663" s="22"/>
      <c r="N663" s="22"/>
      <c r="O663" s="3"/>
      <c r="P663" s="4"/>
      <c r="Q663" s="406"/>
      <c r="R663" s="6"/>
    </row>
    <row r="664" spans="1:18" s="1" customFormat="1" ht="19.850000000000001" customHeight="1" x14ac:dyDescent="0.25">
      <c r="A664" s="21"/>
      <c r="B664" s="21"/>
      <c r="C664" s="22"/>
      <c r="D664" s="22"/>
      <c r="E664" s="22"/>
      <c r="F664" s="22"/>
      <c r="G664" s="22"/>
      <c r="H664" s="22"/>
      <c r="I664" s="23"/>
      <c r="J664" s="24"/>
      <c r="K664" s="25"/>
      <c r="L664" s="22"/>
      <c r="M664" s="22"/>
      <c r="N664" s="22"/>
      <c r="O664" s="3"/>
      <c r="P664" s="4"/>
      <c r="Q664" s="406"/>
      <c r="R664" s="6"/>
    </row>
    <row r="665" spans="1:18" s="1" customFormat="1" ht="19.850000000000001" customHeight="1" x14ac:dyDescent="0.25">
      <c r="A665" s="21"/>
      <c r="B665" s="21"/>
      <c r="C665" s="22"/>
      <c r="D665" s="22"/>
      <c r="E665" s="22"/>
      <c r="F665" s="22"/>
      <c r="G665" s="22"/>
      <c r="H665" s="22"/>
      <c r="I665" s="23"/>
      <c r="J665" s="24"/>
      <c r="K665" s="25"/>
      <c r="L665" s="22"/>
      <c r="M665" s="22"/>
      <c r="N665" s="22"/>
      <c r="O665" s="3"/>
      <c r="P665" s="4"/>
      <c r="Q665" s="406"/>
      <c r="R665" s="6"/>
    </row>
    <row r="666" spans="1:18" s="1" customFormat="1" ht="19.850000000000001" customHeight="1" x14ac:dyDescent="0.25">
      <c r="A666" s="21"/>
      <c r="B666" s="21"/>
      <c r="C666" s="22"/>
      <c r="D666" s="22"/>
      <c r="E666" s="22"/>
      <c r="F666" s="22"/>
      <c r="G666" s="22"/>
      <c r="H666" s="22"/>
      <c r="I666" s="23"/>
      <c r="J666" s="24"/>
      <c r="K666" s="25"/>
      <c r="L666" s="22"/>
      <c r="M666" s="22"/>
      <c r="N666" s="22"/>
      <c r="O666" s="3"/>
      <c r="P666" s="4"/>
      <c r="Q666" s="406"/>
      <c r="R666" s="6"/>
    </row>
    <row r="667" spans="1:18" s="1" customFormat="1" ht="19.850000000000001" customHeight="1" x14ac:dyDescent="0.25">
      <c r="A667" s="21"/>
      <c r="B667" s="21"/>
      <c r="C667" s="22"/>
      <c r="D667" s="22"/>
      <c r="E667" s="22"/>
      <c r="F667" s="22"/>
      <c r="G667" s="22"/>
      <c r="H667" s="22"/>
      <c r="I667" s="23"/>
      <c r="J667" s="24"/>
      <c r="K667" s="25"/>
      <c r="L667" s="22"/>
      <c r="M667" s="22"/>
      <c r="N667" s="22"/>
      <c r="O667" s="3"/>
      <c r="P667" s="4"/>
      <c r="Q667" s="406"/>
      <c r="R667" s="6"/>
    </row>
    <row r="668" spans="1:18" s="1" customFormat="1" ht="19.850000000000001" customHeight="1" x14ac:dyDescent="0.25">
      <c r="A668" s="21"/>
      <c r="B668" s="21"/>
      <c r="C668" s="22"/>
      <c r="D668" s="22"/>
      <c r="E668" s="22"/>
      <c r="F668" s="22"/>
      <c r="G668" s="22"/>
      <c r="H668" s="22"/>
      <c r="I668" s="23"/>
      <c r="J668" s="24"/>
      <c r="K668" s="25"/>
      <c r="L668" s="22"/>
      <c r="M668" s="22"/>
      <c r="N668" s="22"/>
      <c r="O668" s="3"/>
      <c r="P668" s="4"/>
      <c r="Q668" s="406"/>
      <c r="R668" s="6"/>
    </row>
    <row r="669" spans="1:18" s="1" customFormat="1" ht="19.850000000000001" customHeight="1" x14ac:dyDescent="0.25">
      <c r="A669" s="21"/>
      <c r="B669" s="21"/>
      <c r="C669" s="22"/>
      <c r="D669" s="22"/>
      <c r="E669" s="22"/>
      <c r="F669" s="22"/>
      <c r="G669" s="22"/>
      <c r="H669" s="22"/>
      <c r="I669" s="23"/>
      <c r="J669" s="24"/>
      <c r="K669" s="25"/>
      <c r="L669" s="22"/>
      <c r="M669" s="22"/>
      <c r="N669" s="22"/>
      <c r="O669" s="3"/>
      <c r="P669" s="4"/>
      <c r="Q669" s="406"/>
      <c r="R669" s="6"/>
    </row>
    <row r="670" spans="1:18" s="1" customFormat="1" ht="19.850000000000001" customHeight="1" x14ac:dyDescent="0.25">
      <c r="A670" s="21"/>
      <c r="B670" s="21"/>
      <c r="C670" s="22"/>
      <c r="D670" s="22"/>
      <c r="E670" s="22"/>
      <c r="F670" s="22"/>
      <c r="G670" s="22"/>
      <c r="H670" s="22"/>
      <c r="I670" s="23"/>
      <c r="J670" s="24"/>
      <c r="K670" s="25"/>
      <c r="L670" s="22"/>
      <c r="M670" s="22"/>
      <c r="N670" s="22"/>
      <c r="O670" s="3"/>
      <c r="P670" s="4"/>
      <c r="Q670" s="406"/>
      <c r="R670" s="6"/>
    </row>
    <row r="671" spans="1:18" s="1" customFormat="1" ht="19.850000000000001" customHeight="1" x14ac:dyDescent="0.25">
      <c r="A671" s="21"/>
      <c r="B671" s="21"/>
      <c r="C671" s="22"/>
      <c r="D671" s="22"/>
      <c r="E671" s="22"/>
      <c r="F671" s="22"/>
      <c r="G671" s="22"/>
      <c r="H671" s="22"/>
      <c r="I671" s="23"/>
      <c r="J671" s="24"/>
      <c r="K671" s="25"/>
      <c r="L671" s="22"/>
      <c r="M671" s="22"/>
      <c r="N671" s="22"/>
      <c r="O671" s="3"/>
      <c r="P671" s="4"/>
      <c r="Q671" s="406"/>
      <c r="R671" s="6"/>
    </row>
    <row r="672" spans="1:18" s="1" customFormat="1" ht="19.850000000000001" customHeight="1" x14ac:dyDescent="0.25">
      <c r="A672" s="21"/>
      <c r="B672" s="21"/>
      <c r="C672" s="22"/>
      <c r="D672" s="22"/>
      <c r="E672" s="22"/>
      <c r="F672" s="22"/>
      <c r="G672" s="22"/>
      <c r="H672" s="22"/>
      <c r="I672" s="23"/>
      <c r="J672" s="24"/>
      <c r="K672" s="25"/>
      <c r="L672" s="22"/>
      <c r="M672" s="22"/>
      <c r="N672" s="22"/>
      <c r="O672" s="3"/>
      <c r="P672" s="4"/>
      <c r="Q672" s="406"/>
      <c r="R672" s="6"/>
    </row>
    <row r="673" spans="1:18" s="1" customFormat="1" ht="19.850000000000001" customHeight="1" x14ac:dyDescent="0.25">
      <c r="A673" s="21"/>
      <c r="B673" s="21"/>
      <c r="C673" s="22"/>
      <c r="D673" s="22"/>
      <c r="E673" s="22"/>
      <c r="F673" s="22"/>
      <c r="G673" s="22"/>
      <c r="H673" s="22"/>
      <c r="I673" s="23"/>
      <c r="J673" s="24"/>
      <c r="K673" s="25"/>
      <c r="L673" s="22"/>
      <c r="M673" s="22"/>
      <c r="N673" s="22"/>
      <c r="O673" s="3"/>
      <c r="P673" s="4"/>
      <c r="Q673" s="406"/>
      <c r="R673" s="6"/>
    </row>
    <row r="674" spans="1:18" s="1" customFormat="1" ht="19.850000000000001" customHeight="1" x14ac:dyDescent="0.25">
      <c r="A674" s="21"/>
      <c r="B674" s="21"/>
      <c r="C674" s="22"/>
      <c r="D674" s="22"/>
      <c r="E674" s="22"/>
      <c r="F674" s="22"/>
      <c r="G674" s="22"/>
      <c r="H674" s="22"/>
      <c r="I674" s="23"/>
      <c r="J674" s="24"/>
      <c r="K674" s="25"/>
      <c r="L674" s="22"/>
      <c r="M674" s="22"/>
      <c r="N674" s="22"/>
      <c r="O674" s="3"/>
      <c r="P674" s="4"/>
      <c r="Q674" s="406"/>
      <c r="R674" s="6"/>
    </row>
    <row r="675" spans="1:18" s="1" customFormat="1" ht="19.850000000000001" customHeight="1" x14ac:dyDescent="0.25">
      <c r="A675" s="21"/>
      <c r="B675" s="21"/>
      <c r="C675" s="22"/>
      <c r="D675" s="22"/>
      <c r="E675" s="22"/>
      <c r="F675" s="22"/>
      <c r="G675" s="22"/>
      <c r="H675" s="22"/>
      <c r="I675" s="23"/>
      <c r="J675" s="24"/>
      <c r="K675" s="25"/>
      <c r="L675" s="22"/>
      <c r="M675" s="22"/>
      <c r="N675" s="22"/>
      <c r="O675" s="3"/>
      <c r="P675" s="4"/>
      <c r="Q675" s="406"/>
      <c r="R675" s="6"/>
    </row>
    <row r="676" spans="1:18" s="1" customFormat="1" ht="19.850000000000001" customHeight="1" x14ac:dyDescent="0.25">
      <c r="A676" s="21"/>
      <c r="B676" s="21"/>
      <c r="C676" s="22"/>
      <c r="D676" s="22"/>
      <c r="E676" s="22"/>
      <c r="F676" s="22"/>
      <c r="G676" s="22"/>
      <c r="H676" s="22"/>
      <c r="I676" s="23"/>
      <c r="J676" s="24"/>
      <c r="K676" s="25"/>
      <c r="L676" s="22"/>
      <c r="M676" s="22"/>
      <c r="N676" s="22"/>
      <c r="O676" s="3"/>
      <c r="P676" s="4"/>
      <c r="Q676" s="406"/>
      <c r="R676" s="6"/>
    </row>
    <row r="677" spans="1:18" s="1" customFormat="1" ht="19.850000000000001" customHeight="1" x14ac:dyDescent="0.25">
      <c r="A677" s="21"/>
      <c r="B677" s="21"/>
      <c r="C677" s="22"/>
      <c r="D677" s="22"/>
      <c r="E677" s="22"/>
      <c r="F677" s="22"/>
      <c r="G677" s="22"/>
      <c r="H677" s="22"/>
      <c r="I677" s="23"/>
      <c r="J677" s="24"/>
      <c r="K677" s="25"/>
      <c r="L677" s="22"/>
      <c r="M677" s="22"/>
      <c r="N677" s="22"/>
      <c r="O677" s="3"/>
      <c r="P677" s="4"/>
      <c r="Q677" s="406"/>
      <c r="R677" s="6"/>
    </row>
    <row r="678" spans="1:18" s="1" customFormat="1" ht="19.850000000000001" customHeight="1" x14ac:dyDescent="0.25">
      <c r="A678" s="21"/>
      <c r="B678" s="21"/>
      <c r="C678" s="22"/>
      <c r="D678" s="22"/>
      <c r="E678" s="22"/>
      <c r="F678" s="22"/>
      <c r="G678" s="22"/>
      <c r="H678" s="22"/>
      <c r="I678" s="23"/>
      <c r="J678" s="24"/>
      <c r="K678" s="25"/>
      <c r="L678" s="22"/>
      <c r="M678" s="22"/>
      <c r="N678" s="22"/>
      <c r="O678" s="3"/>
      <c r="P678" s="4"/>
      <c r="Q678" s="406"/>
      <c r="R678" s="6"/>
    </row>
    <row r="679" spans="1:18" s="1" customFormat="1" ht="19.850000000000001" customHeight="1" x14ac:dyDescent="0.25">
      <c r="A679" s="21"/>
      <c r="B679" s="21"/>
      <c r="C679" s="22"/>
      <c r="D679" s="22"/>
      <c r="E679" s="22"/>
      <c r="F679" s="22"/>
      <c r="G679" s="22"/>
      <c r="H679" s="22"/>
      <c r="I679" s="23"/>
      <c r="J679" s="24"/>
      <c r="K679" s="25"/>
      <c r="L679" s="22"/>
      <c r="M679" s="22"/>
      <c r="N679" s="22"/>
      <c r="O679" s="3"/>
      <c r="P679" s="4"/>
      <c r="Q679" s="406"/>
      <c r="R679" s="6"/>
    </row>
    <row r="680" spans="1:18" s="1" customFormat="1" ht="19.850000000000001" customHeight="1" x14ac:dyDescent="0.25">
      <c r="A680" s="21"/>
      <c r="B680" s="21"/>
      <c r="C680" s="22"/>
      <c r="D680" s="22"/>
      <c r="E680" s="22"/>
      <c r="F680" s="22"/>
      <c r="G680" s="22"/>
      <c r="H680" s="22"/>
      <c r="I680" s="23"/>
      <c r="J680" s="24"/>
      <c r="K680" s="25"/>
      <c r="L680" s="22"/>
      <c r="M680" s="22"/>
      <c r="N680" s="22"/>
      <c r="O680" s="3"/>
      <c r="P680" s="4"/>
      <c r="Q680" s="406"/>
      <c r="R680" s="6"/>
    </row>
    <row r="681" spans="1:18" s="1" customFormat="1" ht="19.850000000000001" customHeight="1" x14ac:dyDescent="0.25">
      <c r="A681" s="21"/>
      <c r="B681" s="21"/>
      <c r="C681" s="22"/>
      <c r="D681" s="22"/>
      <c r="E681" s="22"/>
      <c r="F681" s="22"/>
      <c r="G681" s="22"/>
      <c r="H681" s="22"/>
      <c r="I681" s="23"/>
      <c r="J681" s="24"/>
      <c r="K681" s="25"/>
      <c r="L681" s="22"/>
      <c r="M681" s="22"/>
      <c r="N681" s="22"/>
      <c r="O681" s="3"/>
      <c r="P681" s="4"/>
      <c r="Q681" s="406"/>
      <c r="R681" s="6"/>
    </row>
    <row r="682" spans="1:18" s="1" customFormat="1" ht="19.850000000000001" customHeight="1" x14ac:dyDescent="0.25">
      <c r="A682" s="21"/>
      <c r="B682" s="21"/>
      <c r="C682" s="22"/>
      <c r="D682" s="22"/>
      <c r="E682" s="22"/>
      <c r="F682" s="22"/>
      <c r="G682" s="22"/>
      <c r="H682" s="22"/>
      <c r="I682" s="23"/>
      <c r="J682" s="24"/>
      <c r="K682" s="25"/>
      <c r="L682" s="22"/>
      <c r="M682" s="22"/>
      <c r="N682" s="22"/>
      <c r="O682" s="3"/>
      <c r="P682" s="4"/>
      <c r="Q682" s="406"/>
      <c r="R682" s="6"/>
    </row>
    <row r="683" spans="1:18" s="1" customFormat="1" ht="19.850000000000001" customHeight="1" x14ac:dyDescent="0.25">
      <c r="A683" s="21"/>
      <c r="B683" s="21"/>
      <c r="C683" s="22"/>
      <c r="D683" s="22"/>
      <c r="E683" s="22"/>
      <c r="F683" s="22"/>
      <c r="G683" s="22"/>
      <c r="H683" s="22"/>
      <c r="I683" s="23"/>
      <c r="J683" s="24"/>
      <c r="K683" s="25"/>
      <c r="L683" s="22"/>
      <c r="M683" s="22"/>
      <c r="N683" s="22"/>
      <c r="O683" s="3"/>
      <c r="P683" s="4"/>
      <c r="Q683" s="406"/>
      <c r="R683" s="6"/>
    </row>
    <row r="684" spans="1:18" s="1" customFormat="1" ht="19.850000000000001" customHeight="1" x14ac:dyDescent="0.25">
      <c r="A684" s="21"/>
      <c r="B684" s="21"/>
      <c r="C684" s="22"/>
      <c r="D684" s="22"/>
      <c r="E684" s="22"/>
      <c r="F684" s="22"/>
      <c r="G684" s="22"/>
      <c r="H684" s="22"/>
      <c r="I684" s="23"/>
      <c r="J684" s="24"/>
      <c r="K684" s="25"/>
      <c r="L684" s="22"/>
      <c r="M684" s="22"/>
      <c r="N684" s="22"/>
      <c r="O684" s="3"/>
      <c r="P684" s="4"/>
      <c r="Q684" s="406"/>
      <c r="R684" s="6"/>
    </row>
    <row r="685" spans="1:18" s="1" customFormat="1" ht="19.850000000000001" customHeight="1" x14ac:dyDescent="0.25">
      <c r="A685" s="21"/>
      <c r="B685" s="21"/>
      <c r="C685" s="22"/>
      <c r="D685" s="22"/>
      <c r="E685" s="22"/>
      <c r="F685" s="22"/>
      <c r="G685" s="22"/>
      <c r="H685" s="22"/>
      <c r="I685" s="23"/>
      <c r="J685" s="24"/>
      <c r="K685" s="25"/>
      <c r="L685" s="22"/>
      <c r="M685" s="22"/>
      <c r="N685" s="22"/>
      <c r="O685" s="3"/>
      <c r="P685" s="4"/>
      <c r="Q685" s="406"/>
      <c r="R685" s="6"/>
    </row>
    <row r="686" spans="1:18" s="1" customFormat="1" ht="19.850000000000001" customHeight="1" x14ac:dyDescent="0.25">
      <c r="A686" s="21"/>
      <c r="B686" s="21"/>
      <c r="C686" s="22"/>
      <c r="D686" s="22"/>
      <c r="E686" s="22"/>
      <c r="F686" s="22"/>
      <c r="G686" s="22"/>
      <c r="H686" s="22"/>
      <c r="I686" s="23"/>
      <c r="J686" s="24"/>
      <c r="K686" s="25"/>
      <c r="L686" s="22"/>
      <c r="M686" s="22"/>
      <c r="N686" s="22"/>
      <c r="O686" s="3"/>
      <c r="P686" s="4"/>
      <c r="Q686" s="406"/>
      <c r="R686" s="6"/>
    </row>
    <row r="687" spans="1:18" s="1" customFormat="1" ht="19.850000000000001" customHeight="1" x14ac:dyDescent="0.25">
      <c r="A687" s="21"/>
      <c r="B687" s="21"/>
      <c r="C687" s="22"/>
      <c r="D687" s="22"/>
      <c r="E687" s="22"/>
      <c r="F687" s="22"/>
      <c r="G687" s="22"/>
      <c r="H687" s="22"/>
      <c r="I687" s="23"/>
      <c r="J687" s="24"/>
      <c r="K687" s="25"/>
      <c r="L687" s="22"/>
      <c r="M687" s="22"/>
      <c r="N687" s="22"/>
      <c r="O687" s="3"/>
      <c r="P687" s="4"/>
      <c r="Q687" s="406"/>
      <c r="R687" s="6"/>
    </row>
    <row r="688" spans="1:18" s="1" customFormat="1" ht="19.850000000000001" customHeight="1" x14ac:dyDescent="0.25">
      <c r="A688" s="21"/>
      <c r="B688" s="21"/>
      <c r="C688" s="22"/>
      <c r="D688" s="22"/>
      <c r="E688" s="22"/>
      <c r="F688" s="22"/>
      <c r="G688" s="22"/>
      <c r="H688" s="22"/>
      <c r="I688" s="23"/>
      <c r="J688" s="24"/>
      <c r="K688" s="25"/>
      <c r="L688" s="22"/>
      <c r="M688" s="22"/>
      <c r="N688" s="22"/>
      <c r="O688" s="3"/>
      <c r="P688" s="4"/>
      <c r="Q688" s="406"/>
      <c r="R688" s="6"/>
    </row>
    <row r="689" spans="1:18" s="1" customFormat="1" ht="19.850000000000001" customHeight="1" x14ac:dyDescent="0.25">
      <c r="A689" s="21"/>
      <c r="B689" s="21"/>
      <c r="C689" s="22"/>
      <c r="D689" s="22"/>
      <c r="E689" s="22"/>
      <c r="F689" s="22"/>
      <c r="G689" s="22"/>
      <c r="H689" s="22"/>
      <c r="I689" s="23"/>
      <c r="J689" s="24"/>
      <c r="K689" s="25"/>
      <c r="L689" s="22"/>
      <c r="M689" s="22"/>
      <c r="N689" s="22"/>
      <c r="O689" s="3"/>
      <c r="P689" s="4"/>
      <c r="Q689" s="406"/>
      <c r="R689" s="6"/>
    </row>
    <row r="690" spans="1:18" s="1" customFormat="1" ht="19.850000000000001" customHeight="1" x14ac:dyDescent="0.25">
      <c r="A690" s="21"/>
      <c r="B690" s="21"/>
      <c r="C690" s="22"/>
      <c r="D690" s="22"/>
      <c r="E690" s="22"/>
      <c r="F690" s="22"/>
      <c r="G690" s="22"/>
      <c r="H690" s="22"/>
      <c r="I690" s="23"/>
      <c r="J690" s="24"/>
      <c r="K690" s="25"/>
      <c r="L690" s="22"/>
      <c r="M690" s="22"/>
      <c r="N690" s="22"/>
      <c r="O690" s="3"/>
      <c r="P690" s="4"/>
      <c r="Q690" s="406"/>
      <c r="R690" s="6"/>
    </row>
    <row r="691" spans="1:18" s="1" customFormat="1" ht="19.850000000000001" customHeight="1" x14ac:dyDescent="0.25">
      <c r="A691" s="21"/>
      <c r="B691" s="21"/>
      <c r="C691" s="22"/>
      <c r="D691" s="22"/>
      <c r="E691" s="22"/>
      <c r="F691" s="22"/>
      <c r="G691" s="22"/>
      <c r="H691" s="22"/>
      <c r="I691" s="23"/>
      <c r="J691" s="24"/>
      <c r="K691" s="25"/>
      <c r="L691" s="22"/>
      <c r="M691" s="22"/>
      <c r="N691" s="22"/>
      <c r="O691" s="3"/>
      <c r="P691" s="4"/>
      <c r="Q691" s="406"/>
      <c r="R691" s="6"/>
    </row>
    <row r="692" spans="1:18" s="1" customFormat="1" ht="19.850000000000001" customHeight="1" x14ac:dyDescent="0.25">
      <c r="A692" s="21"/>
      <c r="B692" s="21"/>
      <c r="C692" s="22"/>
      <c r="D692" s="22"/>
      <c r="E692" s="22"/>
      <c r="F692" s="22"/>
      <c r="G692" s="22"/>
      <c r="H692" s="22"/>
      <c r="I692" s="23"/>
      <c r="J692" s="24"/>
      <c r="K692" s="25"/>
      <c r="L692" s="22"/>
      <c r="M692" s="22"/>
      <c r="N692" s="22"/>
      <c r="O692" s="3"/>
      <c r="P692" s="4"/>
      <c r="Q692" s="406"/>
      <c r="R692" s="6"/>
    </row>
    <row r="693" spans="1:18" s="1" customFormat="1" ht="19.850000000000001" customHeight="1" x14ac:dyDescent="0.25">
      <c r="A693" s="21"/>
      <c r="B693" s="21"/>
      <c r="C693" s="22"/>
      <c r="D693" s="22"/>
      <c r="E693" s="22"/>
      <c r="F693" s="22"/>
      <c r="G693" s="22"/>
      <c r="H693" s="22"/>
      <c r="I693" s="23"/>
      <c r="J693" s="24"/>
      <c r="K693" s="25"/>
      <c r="L693" s="22"/>
      <c r="M693" s="22"/>
      <c r="N693" s="22"/>
      <c r="O693" s="3"/>
      <c r="P693" s="4"/>
      <c r="Q693" s="406"/>
      <c r="R693" s="6"/>
    </row>
    <row r="694" spans="1:18" s="1" customFormat="1" ht="19.850000000000001" customHeight="1" x14ac:dyDescent="0.25">
      <c r="A694" s="21"/>
      <c r="B694" s="21"/>
      <c r="C694" s="22"/>
      <c r="D694" s="22"/>
      <c r="E694" s="22"/>
      <c r="F694" s="22"/>
      <c r="G694" s="22"/>
      <c r="H694" s="22"/>
      <c r="I694" s="23"/>
      <c r="J694" s="24"/>
      <c r="K694" s="25"/>
      <c r="L694" s="22"/>
      <c r="M694" s="22"/>
      <c r="N694" s="22"/>
      <c r="O694" s="3"/>
      <c r="P694" s="4"/>
      <c r="Q694" s="406"/>
      <c r="R694" s="6"/>
    </row>
    <row r="695" spans="1:18" s="1" customFormat="1" ht="19.850000000000001" customHeight="1" x14ac:dyDescent="0.25">
      <c r="A695" s="21"/>
      <c r="B695" s="21"/>
      <c r="C695" s="22"/>
      <c r="D695" s="22"/>
      <c r="E695" s="22"/>
      <c r="F695" s="22"/>
      <c r="G695" s="22"/>
      <c r="H695" s="22"/>
      <c r="I695" s="23"/>
      <c r="J695" s="24"/>
      <c r="K695" s="25"/>
      <c r="L695" s="22"/>
      <c r="M695" s="22"/>
      <c r="N695" s="22"/>
      <c r="O695" s="3"/>
      <c r="P695" s="4"/>
      <c r="Q695" s="406"/>
      <c r="R695" s="6"/>
    </row>
    <row r="696" spans="1:18" s="1" customFormat="1" ht="19.850000000000001" customHeight="1" x14ac:dyDescent="0.25">
      <c r="A696" s="21"/>
      <c r="B696" s="21"/>
      <c r="C696" s="22"/>
      <c r="D696" s="22"/>
      <c r="E696" s="22"/>
      <c r="F696" s="22"/>
      <c r="G696" s="22"/>
      <c r="H696" s="22"/>
      <c r="I696" s="23"/>
      <c r="J696" s="24"/>
      <c r="K696" s="25"/>
      <c r="L696" s="22"/>
      <c r="M696" s="22"/>
      <c r="N696" s="22"/>
      <c r="O696" s="3"/>
      <c r="P696" s="4"/>
      <c r="Q696" s="406"/>
      <c r="R696" s="6"/>
    </row>
    <row r="697" spans="1:18" s="1" customFormat="1" ht="19.850000000000001" customHeight="1" x14ac:dyDescent="0.25">
      <c r="A697" s="21"/>
      <c r="B697" s="21"/>
      <c r="C697" s="22"/>
      <c r="D697" s="22"/>
      <c r="E697" s="22"/>
      <c r="F697" s="22"/>
      <c r="G697" s="22"/>
      <c r="H697" s="22"/>
      <c r="I697" s="23"/>
      <c r="J697" s="24"/>
      <c r="K697" s="25"/>
      <c r="L697" s="22"/>
      <c r="M697" s="22"/>
      <c r="N697" s="22"/>
      <c r="O697" s="3"/>
      <c r="P697" s="4"/>
      <c r="Q697" s="406"/>
      <c r="R697" s="6"/>
    </row>
    <row r="698" spans="1:18" s="1" customFormat="1" ht="19.850000000000001" customHeight="1" x14ac:dyDescent="0.25">
      <c r="A698" s="21"/>
      <c r="B698" s="21"/>
      <c r="C698" s="22"/>
      <c r="D698" s="22"/>
      <c r="E698" s="22"/>
      <c r="F698" s="22"/>
      <c r="G698" s="22"/>
      <c r="H698" s="22"/>
      <c r="I698" s="23"/>
      <c r="J698" s="24"/>
      <c r="K698" s="25"/>
      <c r="L698" s="22"/>
      <c r="M698" s="22"/>
      <c r="N698" s="22"/>
      <c r="O698" s="3"/>
      <c r="P698" s="4"/>
      <c r="Q698" s="406"/>
      <c r="R698" s="6"/>
    </row>
    <row r="699" spans="1:18" s="1" customFormat="1" ht="19.850000000000001" customHeight="1" x14ac:dyDescent="0.25">
      <c r="A699" s="21"/>
      <c r="B699" s="21"/>
      <c r="C699" s="22"/>
      <c r="D699" s="22"/>
      <c r="E699" s="22"/>
      <c r="F699" s="22"/>
      <c r="G699" s="22"/>
      <c r="H699" s="22"/>
      <c r="I699" s="23"/>
      <c r="J699" s="24"/>
      <c r="K699" s="25"/>
      <c r="L699" s="22"/>
      <c r="M699" s="22"/>
      <c r="N699" s="22"/>
      <c r="O699" s="3"/>
      <c r="P699" s="4"/>
      <c r="Q699" s="406"/>
      <c r="R699" s="6"/>
    </row>
    <row r="700" spans="1:18" s="1" customFormat="1" ht="19.850000000000001" customHeight="1" x14ac:dyDescent="0.25">
      <c r="A700" s="21"/>
      <c r="B700" s="21"/>
      <c r="C700" s="22"/>
      <c r="D700" s="22"/>
      <c r="E700" s="22"/>
      <c r="F700" s="22"/>
      <c r="G700" s="22"/>
      <c r="H700" s="22"/>
      <c r="I700" s="23"/>
      <c r="J700" s="24"/>
      <c r="K700" s="25"/>
      <c r="L700" s="22"/>
      <c r="M700" s="22"/>
      <c r="N700" s="22"/>
      <c r="O700" s="3"/>
      <c r="P700" s="4"/>
      <c r="Q700" s="406"/>
      <c r="R700" s="6"/>
    </row>
    <row r="701" spans="1:18" s="1" customFormat="1" ht="19.850000000000001" customHeight="1" x14ac:dyDescent="0.25">
      <c r="A701" s="21"/>
      <c r="B701" s="21"/>
      <c r="C701" s="22"/>
      <c r="D701" s="22"/>
      <c r="E701" s="22"/>
      <c r="F701" s="22"/>
      <c r="G701" s="22"/>
      <c r="H701" s="22"/>
      <c r="I701" s="23"/>
      <c r="J701" s="24"/>
      <c r="K701" s="25"/>
      <c r="L701" s="22"/>
      <c r="M701" s="22"/>
      <c r="N701" s="22"/>
      <c r="O701" s="3"/>
      <c r="P701" s="4"/>
      <c r="Q701" s="406"/>
      <c r="R701" s="6"/>
    </row>
    <row r="702" spans="1:18" s="1" customFormat="1" ht="19.850000000000001" customHeight="1" x14ac:dyDescent="0.25">
      <c r="A702" s="21"/>
      <c r="B702" s="21"/>
      <c r="C702" s="22"/>
      <c r="D702" s="22"/>
      <c r="E702" s="22"/>
      <c r="F702" s="22"/>
      <c r="G702" s="22"/>
      <c r="H702" s="22"/>
      <c r="I702" s="23"/>
      <c r="J702" s="24"/>
      <c r="K702" s="25"/>
      <c r="L702" s="22"/>
      <c r="M702" s="22"/>
      <c r="N702" s="22"/>
      <c r="O702" s="3"/>
      <c r="P702" s="4"/>
      <c r="Q702" s="406"/>
      <c r="R702" s="6"/>
    </row>
    <row r="703" spans="1:18" s="1" customFormat="1" ht="19.850000000000001" customHeight="1" x14ac:dyDescent="0.25">
      <c r="A703" s="21"/>
      <c r="B703" s="21"/>
      <c r="C703" s="22"/>
      <c r="D703" s="22"/>
      <c r="E703" s="22"/>
      <c r="F703" s="22"/>
      <c r="G703" s="22"/>
      <c r="H703" s="22"/>
      <c r="I703" s="23"/>
      <c r="J703" s="24"/>
      <c r="K703" s="25"/>
      <c r="L703" s="22"/>
      <c r="M703" s="22"/>
      <c r="N703" s="22"/>
      <c r="O703" s="3"/>
      <c r="P703" s="4"/>
      <c r="Q703" s="406"/>
      <c r="R703" s="6"/>
    </row>
    <row r="704" spans="1:18" s="1" customFormat="1" ht="19.850000000000001" customHeight="1" x14ac:dyDescent="0.25">
      <c r="A704" s="21"/>
      <c r="B704" s="21"/>
      <c r="C704" s="22"/>
      <c r="D704" s="22"/>
      <c r="E704" s="22"/>
      <c r="F704" s="22"/>
      <c r="G704" s="22"/>
      <c r="H704" s="22"/>
      <c r="I704" s="23"/>
      <c r="J704" s="24"/>
      <c r="K704" s="25"/>
      <c r="L704" s="22"/>
      <c r="M704" s="22"/>
      <c r="N704" s="22"/>
      <c r="O704" s="3"/>
      <c r="P704" s="4"/>
      <c r="Q704" s="406"/>
      <c r="R704" s="6"/>
    </row>
    <row r="705" spans="1:18" s="1" customFormat="1" ht="19.850000000000001" customHeight="1" x14ac:dyDescent="0.25">
      <c r="A705" s="21"/>
      <c r="B705" s="21"/>
      <c r="C705" s="22"/>
      <c r="D705" s="22"/>
      <c r="E705" s="22"/>
      <c r="F705" s="22"/>
      <c r="G705" s="22"/>
      <c r="H705" s="22"/>
      <c r="I705" s="23"/>
      <c r="J705" s="24"/>
      <c r="K705" s="25"/>
      <c r="L705" s="22"/>
      <c r="M705" s="22"/>
      <c r="N705" s="22"/>
      <c r="O705" s="3"/>
      <c r="P705" s="4"/>
      <c r="Q705" s="406"/>
      <c r="R705" s="6"/>
    </row>
    <row r="706" spans="1:18" s="1" customFormat="1" ht="19.850000000000001" customHeight="1" x14ac:dyDescent="0.25">
      <c r="A706" s="21"/>
      <c r="B706" s="21"/>
      <c r="C706" s="22"/>
      <c r="D706" s="22"/>
      <c r="E706" s="22"/>
      <c r="F706" s="22"/>
      <c r="G706" s="22"/>
      <c r="H706" s="22"/>
      <c r="I706" s="23"/>
      <c r="J706" s="24"/>
      <c r="K706" s="25"/>
      <c r="L706" s="22"/>
      <c r="M706" s="22"/>
      <c r="N706" s="22"/>
      <c r="O706" s="3"/>
      <c r="P706" s="4"/>
      <c r="Q706" s="406"/>
      <c r="R706" s="6"/>
    </row>
    <row r="707" spans="1:18" s="1" customFormat="1" ht="19.850000000000001" customHeight="1" x14ac:dyDescent="0.25">
      <c r="A707" s="21"/>
      <c r="B707" s="21"/>
      <c r="C707" s="22"/>
      <c r="D707" s="22"/>
      <c r="E707" s="22"/>
      <c r="F707" s="22"/>
      <c r="G707" s="22"/>
      <c r="H707" s="22"/>
      <c r="I707" s="23"/>
      <c r="J707" s="24"/>
      <c r="K707" s="25"/>
      <c r="L707" s="22"/>
      <c r="M707" s="22"/>
      <c r="N707" s="22"/>
      <c r="O707" s="3"/>
      <c r="P707" s="4"/>
      <c r="Q707" s="406"/>
      <c r="R707" s="6"/>
    </row>
    <row r="708" spans="1:18" s="1" customFormat="1" ht="19.850000000000001" customHeight="1" x14ac:dyDescent="0.25">
      <c r="A708" s="21"/>
      <c r="B708" s="21"/>
      <c r="C708" s="22"/>
      <c r="D708" s="22"/>
      <c r="E708" s="22"/>
      <c r="F708" s="22"/>
      <c r="G708" s="22"/>
      <c r="H708" s="22"/>
      <c r="I708" s="23"/>
      <c r="J708" s="24"/>
      <c r="K708" s="25"/>
      <c r="L708" s="22"/>
      <c r="M708" s="22"/>
      <c r="N708" s="22"/>
      <c r="O708" s="3"/>
      <c r="P708" s="4"/>
      <c r="Q708" s="406"/>
      <c r="R708" s="6"/>
    </row>
    <row r="709" spans="1:18" s="1" customFormat="1" ht="19.850000000000001" customHeight="1" x14ac:dyDescent="0.25">
      <c r="A709" s="21"/>
      <c r="B709" s="21"/>
      <c r="C709" s="22"/>
      <c r="D709" s="22"/>
      <c r="E709" s="22"/>
      <c r="F709" s="22"/>
      <c r="G709" s="22"/>
      <c r="H709" s="22"/>
      <c r="I709" s="23"/>
      <c r="J709" s="24"/>
      <c r="K709" s="25"/>
      <c r="L709" s="22"/>
      <c r="M709" s="22"/>
      <c r="N709" s="22"/>
      <c r="O709" s="3"/>
      <c r="P709" s="4"/>
      <c r="Q709" s="406"/>
      <c r="R709" s="6"/>
    </row>
    <row r="710" spans="1:18" s="1" customFormat="1" ht="19.850000000000001" customHeight="1" x14ac:dyDescent="0.25">
      <c r="A710" s="21"/>
      <c r="B710" s="21"/>
      <c r="C710" s="22"/>
      <c r="D710" s="22"/>
      <c r="E710" s="22"/>
      <c r="F710" s="22"/>
      <c r="G710" s="22"/>
      <c r="H710" s="22"/>
      <c r="I710" s="23"/>
      <c r="J710" s="24"/>
      <c r="K710" s="25"/>
      <c r="L710" s="22"/>
      <c r="M710" s="22"/>
      <c r="N710" s="22"/>
      <c r="O710" s="3"/>
      <c r="P710" s="4"/>
      <c r="Q710" s="406"/>
      <c r="R710" s="6"/>
    </row>
    <row r="711" spans="1:18" s="1" customFormat="1" ht="19.850000000000001" customHeight="1" x14ac:dyDescent="0.25">
      <c r="A711" s="21"/>
      <c r="B711" s="21"/>
      <c r="C711" s="22"/>
      <c r="D711" s="22"/>
      <c r="E711" s="22"/>
      <c r="F711" s="22"/>
      <c r="G711" s="22"/>
      <c r="H711" s="22"/>
      <c r="I711" s="23"/>
      <c r="J711" s="24"/>
      <c r="K711" s="25"/>
      <c r="L711" s="22"/>
      <c r="M711" s="22"/>
      <c r="N711" s="22"/>
      <c r="O711" s="3"/>
      <c r="P711" s="4"/>
      <c r="Q711" s="406"/>
      <c r="R711" s="6"/>
    </row>
    <row r="712" spans="1:18" s="1" customFormat="1" ht="19.850000000000001" customHeight="1" x14ac:dyDescent="0.25">
      <c r="A712" s="21"/>
      <c r="B712" s="21"/>
      <c r="C712" s="22"/>
      <c r="D712" s="22"/>
      <c r="E712" s="22"/>
      <c r="F712" s="22"/>
      <c r="G712" s="22"/>
      <c r="H712" s="22"/>
      <c r="I712" s="23"/>
      <c r="J712" s="24"/>
      <c r="K712" s="25"/>
      <c r="L712" s="22"/>
      <c r="M712" s="22"/>
      <c r="N712" s="22"/>
      <c r="O712" s="3"/>
      <c r="P712" s="4"/>
      <c r="Q712" s="406"/>
      <c r="R712" s="6"/>
    </row>
    <row r="713" spans="1:18" s="1" customFormat="1" ht="19.850000000000001" customHeight="1" x14ac:dyDescent="0.25">
      <c r="A713" s="21"/>
      <c r="B713" s="21"/>
      <c r="C713" s="22"/>
      <c r="D713" s="22"/>
      <c r="E713" s="22"/>
      <c r="F713" s="22"/>
      <c r="G713" s="22"/>
      <c r="H713" s="22"/>
      <c r="I713" s="23"/>
      <c r="J713" s="24"/>
      <c r="K713" s="25"/>
      <c r="L713" s="22"/>
      <c r="M713" s="22"/>
      <c r="N713" s="22"/>
      <c r="O713" s="3"/>
      <c r="P713" s="4"/>
      <c r="Q713" s="406"/>
      <c r="R713" s="6"/>
    </row>
    <row r="714" spans="1:18" s="1" customFormat="1" ht="19.850000000000001" customHeight="1" x14ac:dyDescent="0.25">
      <c r="A714" s="21"/>
      <c r="B714" s="21"/>
      <c r="C714" s="22"/>
      <c r="D714" s="22"/>
      <c r="E714" s="22"/>
      <c r="F714" s="22"/>
      <c r="G714" s="22"/>
      <c r="H714" s="22"/>
      <c r="I714" s="23"/>
      <c r="J714" s="24"/>
      <c r="K714" s="25"/>
      <c r="L714" s="22"/>
      <c r="M714" s="22"/>
      <c r="N714" s="22"/>
      <c r="O714" s="3"/>
      <c r="P714" s="4"/>
      <c r="Q714" s="406"/>
      <c r="R714" s="6"/>
    </row>
    <row r="715" spans="1:18" s="1" customFormat="1" ht="19.850000000000001" customHeight="1" x14ac:dyDescent="0.25">
      <c r="A715" s="21"/>
      <c r="B715" s="21"/>
      <c r="C715" s="22"/>
      <c r="D715" s="22"/>
      <c r="E715" s="22"/>
      <c r="F715" s="22"/>
      <c r="G715" s="22"/>
      <c r="H715" s="22"/>
      <c r="I715" s="23"/>
      <c r="J715" s="24"/>
      <c r="K715" s="25"/>
      <c r="L715" s="22"/>
      <c r="M715" s="22"/>
      <c r="N715" s="22"/>
      <c r="O715" s="3"/>
      <c r="P715" s="4"/>
      <c r="Q715" s="406"/>
      <c r="R715" s="6"/>
    </row>
    <row r="716" spans="1:18" s="1" customFormat="1" ht="19.850000000000001" customHeight="1" x14ac:dyDescent="0.25">
      <c r="A716" s="21"/>
      <c r="B716" s="21"/>
      <c r="C716" s="22"/>
      <c r="D716" s="22"/>
      <c r="E716" s="22"/>
      <c r="F716" s="22"/>
      <c r="G716" s="22"/>
      <c r="H716" s="22"/>
      <c r="I716" s="23"/>
      <c r="J716" s="24"/>
      <c r="K716" s="25"/>
      <c r="L716" s="22"/>
      <c r="M716" s="22"/>
      <c r="N716" s="22"/>
      <c r="O716" s="3"/>
      <c r="P716" s="4"/>
      <c r="Q716" s="406"/>
      <c r="R716" s="6"/>
    </row>
    <row r="717" spans="1:18" s="1" customFormat="1" ht="19.850000000000001" customHeight="1" x14ac:dyDescent="0.25">
      <c r="A717" s="21"/>
      <c r="B717" s="21"/>
      <c r="C717" s="22"/>
      <c r="D717" s="22"/>
      <c r="E717" s="22"/>
      <c r="F717" s="22"/>
      <c r="G717" s="22"/>
      <c r="H717" s="22"/>
      <c r="I717" s="23"/>
      <c r="J717" s="24"/>
      <c r="K717" s="25"/>
      <c r="L717" s="22"/>
      <c r="M717" s="22"/>
      <c r="N717" s="22"/>
      <c r="O717" s="3"/>
      <c r="P717" s="4"/>
      <c r="Q717" s="406"/>
      <c r="R717" s="6"/>
    </row>
    <row r="718" spans="1:18" s="1" customFormat="1" ht="19.850000000000001" customHeight="1" x14ac:dyDescent="0.25">
      <c r="A718" s="21"/>
      <c r="B718" s="21"/>
      <c r="C718" s="22"/>
      <c r="D718" s="22"/>
      <c r="E718" s="22"/>
      <c r="F718" s="22"/>
      <c r="G718" s="22"/>
      <c r="H718" s="22"/>
      <c r="I718" s="23"/>
      <c r="J718" s="24"/>
      <c r="K718" s="25"/>
      <c r="L718" s="22"/>
      <c r="M718" s="22"/>
      <c r="N718" s="22"/>
      <c r="O718" s="3"/>
      <c r="P718" s="4"/>
      <c r="Q718" s="406"/>
      <c r="R718" s="6"/>
    </row>
    <row r="719" spans="1:18" s="1" customFormat="1" ht="19.850000000000001" customHeight="1" x14ac:dyDescent="0.25">
      <c r="A719" s="21"/>
      <c r="B719" s="21"/>
      <c r="C719" s="22"/>
      <c r="D719" s="22"/>
      <c r="E719" s="22"/>
      <c r="F719" s="22"/>
      <c r="G719" s="22"/>
      <c r="H719" s="22"/>
      <c r="I719" s="23"/>
      <c r="J719" s="24"/>
      <c r="K719" s="25"/>
      <c r="L719" s="22"/>
      <c r="M719" s="22"/>
      <c r="N719" s="22"/>
      <c r="O719" s="3"/>
      <c r="P719" s="4"/>
      <c r="Q719" s="406"/>
      <c r="R719" s="6"/>
    </row>
    <row r="720" spans="1:18" s="1" customFormat="1" ht="19.850000000000001" customHeight="1" x14ac:dyDescent="0.25">
      <c r="A720" s="21"/>
      <c r="B720" s="21"/>
      <c r="C720" s="22"/>
      <c r="D720" s="22"/>
      <c r="E720" s="22"/>
      <c r="F720" s="22"/>
      <c r="G720" s="22"/>
      <c r="H720" s="22"/>
      <c r="I720" s="23"/>
      <c r="J720" s="24"/>
      <c r="K720" s="25"/>
      <c r="L720" s="22"/>
      <c r="M720" s="22"/>
      <c r="N720" s="22"/>
      <c r="O720" s="3"/>
      <c r="P720" s="4"/>
      <c r="Q720" s="406"/>
      <c r="R720" s="6"/>
    </row>
    <row r="721" spans="1:18" s="1" customFormat="1" ht="19.850000000000001" customHeight="1" x14ac:dyDescent="0.25">
      <c r="A721" s="21"/>
      <c r="B721" s="21"/>
      <c r="C721" s="22"/>
      <c r="D721" s="22"/>
      <c r="E721" s="22"/>
      <c r="F721" s="22"/>
      <c r="G721" s="22"/>
      <c r="H721" s="22"/>
      <c r="I721" s="23"/>
      <c r="J721" s="24"/>
      <c r="K721" s="25"/>
      <c r="L721" s="22"/>
      <c r="M721" s="22"/>
      <c r="N721" s="22"/>
      <c r="O721" s="3"/>
      <c r="P721" s="4"/>
      <c r="Q721" s="406"/>
      <c r="R721" s="6"/>
    </row>
    <row r="722" spans="1:18" s="1" customFormat="1" ht="19.850000000000001" customHeight="1" x14ac:dyDescent="0.25">
      <c r="A722" s="21"/>
      <c r="B722" s="21"/>
      <c r="C722" s="22"/>
      <c r="D722" s="22"/>
      <c r="E722" s="22"/>
      <c r="F722" s="22"/>
      <c r="G722" s="22"/>
      <c r="H722" s="22"/>
      <c r="I722" s="23"/>
      <c r="J722" s="24"/>
      <c r="K722" s="25"/>
      <c r="L722" s="22"/>
      <c r="M722" s="22"/>
      <c r="N722" s="22"/>
      <c r="O722" s="3"/>
      <c r="P722" s="4"/>
      <c r="Q722" s="406"/>
      <c r="R722" s="6"/>
    </row>
    <row r="723" spans="1:18" s="1" customFormat="1" ht="19.850000000000001" customHeight="1" x14ac:dyDescent="0.25">
      <c r="A723" s="21"/>
      <c r="B723" s="21"/>
      <c r="C723" s="22"/>
      <c r="D723" s="22"/>
      <c r="E723" s="22"/>
      <c r="F723" s="22"/>
      <c r="G723" s="22"/>
      <c r="H723" s="22"/>
      <c r="I723" s="23"/>
      <c r="J723" s="24"/>
      <c r="K723" s="25"/>
      <c r="L723" s="22"/>
      <c r="M723" s="22"/>
      <c r="N723" s="22"/>
      <c r="O723" s="3"/>
      <c r="P723" s="4"/>
      <c r="Q723" s="406"/>
      <c r="R723" s="6"/>
    </row>
    <row r="724" spans="1:18" s="1" customFormat="1" ht="19.850000000000001" customHeight="1" x14ac:dyDescent="0.25">
      <c r="A724" s="21"/>
      <c r="B724" s="21"/>
      <c r="C724" s="22"/>
      <c r="D724" s="22"/>
      <c r="E724" s="22"/>
      <c r="F724" s="22"/>
      <c r="G724" s="22"/>
      <c r="H724" s="22"/>
      <c r="I724" s="23"/>
      <c r="J724" s="24"/>
      <c r="K724" s="25"/>
      <c r="L724" s="22"/>
      <c r="M724" s="22"/>
      <c r="N724" s="22"/>
      <c r="O724" s="3"/>
      <c r="P724" s="4"/>
      <c r="Q724" s="406"/>
      <c r="R724" s="6"/>
    </row>
    <row r="725" spans="1:18" s="1" customFormat="1" ht="19.850000000000001" customHeight="1" x14ac:dyDescent="0.25">
      <c r="A725" s="21"/>
      <c r="B725" s="21"/>
      <c r="C725" s="22"/>
      <c r="D725" s="22"/>
      <c r="E725" s="22"/>
      <c r="F725" s="22"/>
      <c r="G725" s="22"/>
      <c r="H725" s="22"/>
      <c r="I725" s="23"/>
      <c r="J725" s="24"/>
      <c r="K725" s="25"/>
      <c r="L725" s="22"/>
      <c r="M725" s="22"/>
      <c r="N725" s="22"/>
      <c r="O725" s="3"/>
      <c r="P725" s="4"/>
      <c r="Q725" s="406"/>
      <c r="R725" s="6"/>
    </row>
    <row r="726" spans="1:18" s="1" customFormat="1" ht="19.850000000000001" customHeight="1" x14ac:dyDescent="0.25">
      <c r="A726" s="21"/>
      <c r="B726" s="21"/>
      <c r="C726" s="22"/>
      <c r="D726" s="22"/>
      <c r="E726" s="22"/>
      <c r="F726" s="22"/>
      <c r="G726" s="22"/>
      <c r="H726" s="22"/>
      <c r="I726" s="23"/>
      <c r="J726" s="24"/>
      <c r="K726" s="25"/>
      <c r="L726" s="22"/>
      <c r="M726" s="22"/>
      <c r="N726" s="22"/>
      <c r="O726" s="3"/>
      <c r="P726" s="4"/>
      <c r="Q726" s="406"/>
      <c r="R726" s="6"/>
    </row>
    <row r="727" spans="1:18" s="1" customFormat="1" ht="19.850000000000001" customHeight="1" x14ac:dyDescent="0.25">
      <c r="A727" s="21"/>
      <c r="B727" s="21"/>
      <c r="C727" s="22"/>
      <c r="D727" s="22"/>
      <c r="E727" s="22"/>
      <c r="F727" s="22"/>
      <c r="G727" s="22"/>
      <c r="H727" s="22"/>
      <c r="I727" s="23"/>
      <c r="J727" s="24"/>
      <c r="K727" s="25"/>
      <c r="L727" s="22"/>
      <c r="M727" s="22"/>
      <c r="N727" s="22"/>
      <c r="O727" s="3"/>
      <c r="P727" s="4"/>
      <c r="Q727" s="406"/>
      <c r="R727" s="6"/>
    </row>
    <row r="728" spans="1:18" s="1" customFormat="1" ht="19.850000000000001" customHeight="1" x14ac:dyDescent="0.25">
      <c r="A728" s="21"/>
      <c r="B728" s="21"/>
      <c r="C728" s="22"/>
      <c r="D728" s="22"/>
      <c r="E728" s="22"/>
      <c r="F728" s="22"/>
      <c r="G728" s="22"/>
      <c r="H728" s="22"/>
      <c r="I728" s="23"/>
      <c r="J728" s="24"/>
      <c r="K728" s="25"/>
      <c r="L728" s="22"/>
      <c r="M728" s="22"/>
      <c r="N728" s="22"/>
      <c r="O728" s="3"/>
      <c r="P728" s="4"/>
      <c r="Q728" s="406"/>
      <c r="R728" s="6"/>
    </row>
    <row r="729" spans="1:18" s="1" customFormat="1" ht="19.850000000000001" customHeight="1" x14ac:dyDescent="0.25">
      <c r="A729" s="21"/>
      <c r="B729" s="21"/>
      <c r="C729" s="22"/>
      <c r="D729" s="22"/>
      <c r="E729" s="22"/>
      <c r="F729" s="22"/>
      <c r="G729" s="22"/>
      <c r="H729" s="22"/>
      <c r="I729" s="23"/>
      <c r="J729" s="24"/>
      <c r="K729" s="25"/>
      <c r="L729" s="22"/>
      <c r="M729" s="22"/>
      <c r="N729" s="22"/>
      <c r="O729" s="3"/>
      <c r="P729" s="4"/>
      <c r="Q729" s="406"/>
      <c r="R729" s="6"/>
    </row>
    <row r="730" spans="1:18" s="1" customFormat="1" ht="19.850000000000001" customHeight="1" x14ac:dyDescent="0.25">
      <c r="A730" s="21"/>
      <c r="B730" s="21"/>
      <c r="C730" s="22"/>
      <c r="D730" s="22"/>
      <c r="E730" s="22"/>
      <c r="F730" s="22"/>
      <c r="G730" s="22"/>
      <c r="H730" s="22"/>
      <c r="I730" s="23"/>
      <c r="J730" s="24"/>
      <c r="K730" s="25"/>
      <c r="L730" s="22"/>
      <c r="M730" s="22"/>
      <c r="N730" s="22"/>
      <c r="O730" s="3"/>
      <c r="P730" s="4"/>
      <c r="Q730" s="406"/>
      <c r="R730" s="6"/>
    </row>
    <row r="731" spans="1:18" s="1" customFormat="1" ht="19.850000000000001" customHeight="1" x14ac:dyDescent="0.25">
      <c r="A731" s="21"/>
      <c r="B731" s="21"/>
      <c r="C731" s="22"/>
      <c r="D731" s="22"/>
      <c r="E731" s="22"/>
      <c r="F731" s="22"/>
      <c r="G731" s="22"/>
      <c r="H731" s="22"/>
      <c r="I731" s="23"/>
      <c r="J731" s="24"/>
      <c r="K731" s="25"/>
      <c r="L731" s="22"/>
      <c r="M731" s="22"/>
      <c r="N731" s="22"/>
      <c r="O731" s="3"/>
      <c r="P731" s="4"/>
      <c r="Q731" s="406"/>
      <c r="R731" s="6"/>
    </row>
    <row r="732" spans="1:18" s="1" customFormat="1" ht="19.850000000000001" customHeight="1" x14ac:dyDescent="0.25">
      <c r="A732" s="21"/>
      <c r="B732" s="21"/>
      <c r="C732" s="22"/>
      <c r="D732" s="22"/>
      <c r="E732" s="22"/>
      <c r="F732" s="22"/>
      <c r="G732" s="22"/>
      <c r="H732" s="22"/>
      <c r="I732" s="23"/>
      <c r="J732" s="24"/>
      <c r="K732" s="25"/>
      <c r="L732" s="22"/>
      <c r="M732" s="22"/>
      <c r="N732" s="22"/>
      <c r="O732" s="3"/>
      <c r="P732" s="4"/>
      <c r="Q732" s="406"/>
      <c r="R732" s="6"/>
    </row>
    <row r="733" spans="1:18" s="1" customFormat="1" ht="19.850000000000001" customHeight="1" x14ac:dyDescent="0.25">
      <c r="A733" s="21"/>
      <c r="B733" s="21"/>
      <c r="C733" s="22"/>
      <c r="D733" s="22"/>
      <c r="E733" s="22"/>
      <c r="F733" s="22"/>
      <c r="G733" s="22"/>
      <c r="H733" s="22"/>
      <c r="I733" s="23"/>
      <c r="J733" s="24"/>
      <c r="K733" s="25"/>
      <c r="L733" s="22"/>
      <c r="M733" s="22"/>
      <c r="N733" s="22"/>
      <c r="O733" s="3"/>
      <c r="P733" s="4"/>
      <c r="Q733" s="406"/>
      <c r="R733" s="6"/>
    </row>
    <row r="734" spans="1:18" s="1" customFormat="1" ht="19.850000000000001" customHeight="1" x14ac:dyDescent="0.25">
      <c r="A734" s="21"/>
      <c r="B734" s="21"/>
      <c r="C734" s="22"/>
      <c r="D734" s="22"/>
      <c r="E734" s="22"/>
      <c r="F734" s="22"/>
      <c r="G734" s="22"/>
      <c r="H734" s="22"/>
      <c r="I734" s="23"/>
      <c r="J734" s="24"/>
      <c r="K734" s="25"/>
      <c r="L734" s="22"/>
      <c r="M734" s="22"/>
      <c r="N734" s="22"/>
      <c r="O734" s="3"/>
      <c r="P734" s="4"/>
      <c r="Q734" s="406"/>
      <c r="R734" s="6"/>
    </row>
    <row r="735" spans="1:18" s="1" customFormat="1" ht="19.850000000000001" customHeight="1" x14ac:dyDescent="0.25">
      <c r="A735" s="21"/>
      <c r="B735" s="21"/>
      <c r="C735" s="22"/>
      <c r="D735" s="22"/>
      <c r="E735" s="22"/>
      <c r="F735" s="22"/>
      <c r="G735" s="22"/>
      <c r="H735" s="22"/>
      <c r="I735" s="23"/>
      <c r="J735" s="24"/>
      <c r="K735" s="25"/>
      <c r="L735" s="22"/>
      <c r="M735" s="22"/>
      <c r="N735" s="22"/>
      <c r="O735" s="3"/>
      <c r="P735" s="4"/>
      <c r="Q735" s="406"/>
      <c r="R735" s="6"/>
    </row>
    <row r="736" spans="1:18" s="1" customFormat="1" ht="19.850000000000001" customHeight="1" x14ac:dyDescent="0.25">
      <c r="A736" s="21"/>
      <c r="B736" s="21"/>
      <c r="C736" s="22"/>
      <c r="D736" s="22"/>
      <c r="E736" s="22"/>
      <c r="F736" s="22"/>
      <c r="G736" s="22"/>
      <c r="H736" s="22"/>
      <c r="I736" s="23"/>
      <c r="J736" s="24"/>
      <c r="K736" s="25"/>
      <c r="L736" s="22"/>
      <c r="M736" s="22"/>
      <c r="N736" s="22"/>
      <c r="O736" s="3"/>
      <c r="P736" s="4"/>
      <c r="Q736" s="406"/>
      <c r="R736" s="6"/>
    </row>
    <row r="737" spans="1:18" s="1" customFormat="1" ht="19.850000000000001" customHeight="1" x14ac:dyDescent="0.25">
      <c r="A737" s="21"/>
      <c r="B737" s="21"/>
      <c r="C737" s="22"/>
      <c r="D737" s="22"/>
      <c r="E737" s="22"/>
      <c r="F737" s="22"/>
      <c r="G737" s="22"/>
      <c r="H737" s="22"/>
      <c r="I737" s="23"/>
      <c r="J737" s="24"/>
      <c r="K737" s="25"/>
      <c r="L737" s="22"/>
      <c r="M737" s="22"/>
      <c r="N737" s="22"/>
      <c r="O737" s="3"/>
      <c r="P737" s="4"/>
      <c r="Q737" s="406"/>
      <c r="R737" s="6"/>
    </row>
    <row r="738" spans="1:18" s="1" customFormat="1" ht="19.850000000000001" customHeight="1" x14ac:dyDescent="0.25">
      <c r="A738" s="21"/>
      <c r="B738" s="21"/>
      <c r="C738" s="22"/>
      <c r="D738" s="22"/>
      <c r="E738" s="22"/>
      <c r="F738" s="22"/>
      <c r="G738" s="22"/>
      <c r="H738" s="22"/>
      <c r="I738" s="23"/>
      <c r="J738" s="24"/>
      <c r="K738" s="25"/>
      <c r="L738" s="22"/>
      <c r="M738" s="22"/>
      <c r="N738" s="22"/>
      <c r="O738" s="3"/>
      <c r="P738" s="4"/>
      <c r="Q738" s="406"/>
      <c r="R738" s="6"/>
    </row>
    <row r="739" spans="1:18" s="1" customFormat="1" ht="19.850000000000001" customHeight="1" x14ac:dyDescent="0.25">
      <c r="A739" s="21"/>
      <c r="B739" s="21"/>
      <c r="C739" s="22"/>
      <c r="D739" s="22"/>
      <c r="E739" s="22"/>
      <c r="F739" s="22"/>
      <c r="G739" s="22"/>
      <c r="H739" s="22"/>
      <c r="I739" s="23"/>
      <c r="J739" s="24"/>
      <c r="K739" s="25"/>
      <c r="L739" s="22"/>
      <c r="M739" s="22"/>
      <c r="N739" s="22"/>
      <c r="O739" s="3"/>
      <c r="P739" s="4"/>
      <c r="Q739" s="406"/>
      <c r="R739" s="6"/>
    </row>
    <row r="740" spans="1:18" s="1" customFormat="1" ht="19.850000000000001" customHeight="1" x14ac:dyDescent="0.25">
      <c r="A740" s="21"/>
      <c r="B740" s="21"/>
      <c r="C740" s="22"/>
      <c r="D740" s="22"/>
      <c r="E740" s="22"/>
      <c r="F740" s="22"/>
      <c r="G740" s="22"/>
      <c r="H740" s="22"/>
      <c r="I740" s="23"/>
      <c r="J740" s="24"/>
      <c r="K740" s="25"/>
      <c r="L740" s="22"/>
      <c r="M740" s="22"/>
      <c r="N740" s="22"/>
      <c r="O740" s="3"/>
      <c r="P740" s="4"/>
      <c r="Q740" s="406"/>
      <c r="R740" s="6"/>
    </row>
    <row r="741" spans="1:18" s="1" customFormat="1" ht="19.850000000000001" customHeight="1" x14ac:dyDescent="0.25">
      <c r="A741" s="21"/>
      <c r="B741" s="21"/>
      <c r="C741" s="22"/>
      <c r="D741" s="22"/>
      <c r="E741" s="22"/>
      <c r="F741" s="22"/>
      <c r="G741" s="22"/>
      <c r="H741" s="22"/>
      <c r="I741" s="23"/>
      <c r="J741" s="24"/>
      <c r="K741" s="25"/>
      <c r="L741" s="22"/>
      <c r="M741" s="22"/>
      <c r="N741" s="22"/>
      <c r="O741" s="3"/>
      <c r="P741" s="4"/>
      <c r="Q741" s="406"/>
      <c r="R741" s="6"/>
    </row>
    <row r="742" spans="1:18" s="1" customFormat="1" ht="19.850000000000001" customHeight="1" x14ac:dyDescent="0.25">
      <c r="A742" s="21"/>
      <c r="B742" s="21"/>
      <c r="C742" s="22"/>
      <c r="D742" s="22"/>
      <c r="E742" s="22"/>
      <c r="F742" s="22"/>
      <c r="G742" s="22"/>
      <c r="H742" s="22"/>
      <c r="I742" s="23"/>
      <c r="J742" s="24"/>
      <c r="K742" s="25"/>
      <c r="L742" s="22"/>
      <c r="M742" s="22"/>
      <c r="N742" s="22"/>
      <c r="O742" s="3"/>
      <c r="P742" s="4"/>
      <c r="Q742" s="406"/>
      <c r="R742" s="6"/>
    </row>
    <row r="743" spans="1:18" s="1" customFormat="1" ht="19.850000000000001" customHeight="1" x14ac:dyDescent="0.25">
      <c r="A743" s="21"/>
      <c r="B743" s="21"/>
      <c r="C743" s="22"/>
      <c r="D743" s="22"/>
      <c r="E743" s="22"/>
      <c r="F743" s="22"/>
      <c r="G743" s="22"/>
      <c r="H743" s="22"/>
      <c r="I743" s="23"/>
      <c r="J743" s="24"/>
      <c r="K743" s="25"/>
      <c r="L743" s="22"/>
      <c r="M743" s="22"/>
      <c r="N743" s="22"/>
      <c r="O743" s="3"/>
      <c r="P743" s="4"/>
      <c r="Q743" s="406"/>
      <c r="R743" s="6"/>
    </row>
    <row r="744" spans="1:18" s="1" customFormat="1" ht="19.850000000000001" customHeight="1" x14ac:dyDescent="0.25">
      <c r="A744" s="21"/>
      <c r="B744" s="21"/>
      <c r="C744" s="22"/>
      <c r="D744" s="22"/>
      <c r="E744" s="22"/>
      <c r="F744" s="22"/>
      <c r="G744" s="22"/>
      <c r="H744" s="22"/>
      <c r="I744" s="23"/>
      <c r="J744" s="24"/>
      <c r="K744" s="25"/>
      <c r="L744" s="22"/>
      <c r="M744" s="22"/>
      <c r="N744" s="22"/>
      <c r="O744" s="3"/>
      <c r="P744" s="4"/>
      <c r="Q744" s="406"/>
      <c r="R744" s="6"/>
    </row>
    <row r="745" spans="1:18" s="1" customFormat="1" ht="19.850000000000001" customHeight="1" x14ac:dyDescent="0.25">
      <c r="A745" s="21"/>
      <c r="B745" s="21"/>
      <c r="C745" s="22"/>
      <c r="D745" s="22"/>
      <c r="E745" s="22"/>
      <c r="F745" s="22"/>
      <c r="G745" s="22"/>
      <c r="H745" s="22"/>
      <c r="I745" s="23"/>
      <c r="J745" s="24"/>
      <c r="K745" s="25"/>
      <c r="L745" s="22"/>
      <c r="M745" s="22"/>
      <c r="N745" s="22"/>
      <c r="O745" s="3"/>
      <c r="P745" s="4"/>
      <c r="Q745" s="406"/>
      <c r="R745" s="6"/>
    </row>
    <row r="746" spans="1:18" s="1" customFormat="1" ht="19.850000000000001" customHeight="1" x14ac:dyDescent="0.25">
      <c r="A746" s="21"/>
      <c r="B746" s="21"/>
      <c r="C746" s="22"/>
      <c r="D746" s="22"/>
      <c r="E746" s="22"/>
      <c r="F746" s="22"/>
      <c r="G746" s="22"/>
      <c r="H746" s="22"/>
      <c r="I746" s="23"/>
      <c r="J746" s="24"/>
      <c r="K746" s="25"/>
      <c r="L746" s="22"/>
      <c r="M746" s="22"/>
      <c r="N746" s="22"/>
      <c r="O746" s="3"/>
      <c r="P746" s="4"/>
      <c r="Q746" s="406"/>
      <c r="R746" s="6"/>
    </row>
    <row r="747" spans="1:18" s="1" customFormat="1" ht="19.850000000000001" customHeight="1" x14ac:dyDescent="0.25">
      <c r="A747" s="21"/>
      <c r="B747" s="21"/>
      <c r="C747" s="22"/>
      <c r="D747" s="22"/>
      <c r="E747" s="22"/>
      <c r="F747" s="22"/>
      <c r="G747" s="22"/>
      <c r="H747" s="22"/>
      <c r="I747" s="23"/>
      <c r="J747" s="24"/>
      <c r="K747" s="25"/>
      <c r="L747" s="22"/>
      <c r="M747" s="22"/>
      <c r="N747" s="22"/>
      <c r="O747" s="3"/>
      <c r="P747" s="4"/>
      <c r="Q747" s="406"/>
      <c r="R747" s="6"/>
    </row>
    <row r="748" spans="1:18" s="1" customFormat="1" ht="19.850000000000001" customHeight="1" x14ac:dyDescent="0.25">
      <c r="A748" s="21"/>
      <c r="B748" s="21"/>
      <c r="C748" s="22"/>
      <c r="D748" s="22"/>
      <c r="E748" s="22"/>
      <c r="F748" s="22"/>
      <c r="G748" s="22"/>
      <c r="H748" s="22"/>
      <c r="I748" s="23"/>
      <c r="J748" s="24"/>
      <c r="K748" s="25"/>
      <c r="L748" s="22"/>
      <c r="M748" s="22"/>
      <c r="N748" s="22"/>
      <c r="O748" s="3"/>
      <c r="P748" s="4"/>
      <c r="Q748" s="406"/>
      <c r="R748" s="6"/>
    </row>
    <row r="749" spans="1:18" s="1" customFormat="1" ht="19.850000000000001" customHeight="1" x14ac:dyDescent="0.25">
      <c r="A749" s="21"/>
      <c r="B749" s="21"/>
      <c r="C749" s="22"/>
      <c r="D749" s="22"/>
      <c r="E749" s="22"/>
      <c r="F749" s="22"/>
      <c r="G749" s="22"/>
      <c r="H749" s="22"/>
      <c r="I749" s="23"/>
      <c r="J749" s="24"/>
      <c r="K749" s="25"/>
      <c r="L749" s="22"/>
      <c r="M749" s="22"/>
      <c r="N749" s="22"/>
      <c r="O749" s="3"/>
      <c r="P749" s="4"/>
      <c r="Q749" s="406"/>
      <c r="R749" s="6"/>
    </row>
    <row r="750" spans="1:18" s="1" customFormat="1" ht="19.850000000000001" customHeight="1" x14ac:dyDescent="0.25">
      <c r="A750" s="21"/>
      <c r="B750" s="21"/>
      <c r="C750" s="22"/>
      <c r="D750" s="22"/>
      <c r="E750" s="22"/>
      <c r="F750" s="22"/>
      <c r="G750" s="22"/>
      <c r="H750" s="22"/>
      <c r="I750" s="23"/>
      <c r="J750" s="24"/>
      <c r="K750" s="25"/>
      <c r="L750" s="22"/>
      <c r="M750" s="22"/>
      <c r="N750" s="22"/>
      <c r="O750" s="3"/>
      <c r="P750" s="4"/>
      <c r="Q750" s="406"/>
      <c r="R750" s="6"/>
    </row>
    <row r="751" spans="1:18" s="1" customFormat="1" ht="19.850000000000001" customHeight="1" x14ac:dyDescent="0.25">
      <c r="A751" s="21"/>
      <c r="B751" s="21"/>
      <c r="C751" s="22"/>
      <c r="D751" s="22"/>
      <c r="E751" s="22"/>
      <c r="F751" s="22"/>
      <c r="G751" s="22"/>
      <c r="H751" s="22"/>
      <c r="I751" s="23"/>
      <c r="J751" s="24"/>
      <c r="K751" s="25"/>
      <c r="L751" s="22"/>
      <c r="M751" s="22"/>
      <c r="N751" s="22"/>
      <c r="O751" s="3"/>
      <c r="P751" s="4"/>
      <c r="Q751" s="406"/>
      <c r="R751" s="6"/>
    </row>
    <row r="752" spans="1:18" s="1" customFormat="1" ht="19.850000000000001" customHeight="1" x14ac:dyDescent="0.25">
      <c r="A752" s="21"/>
      <c r="B752" s="21"/>
      <c r="C752" s="22"/>
      <c r="D752" s="22"/>
      <c r="E752" s="22"/>
      <c r="F752" s="22"/>
      <c r="G752" s="22"/>
      <c r="H752" s="22"/>
      <c r="I752" s="23"/>
      <c r="J752" s="24"/>
      <c r="K752" s="25"/>
      <c r="L752" s="22"/>
      <c r="M752" s="22"/>
      <c r="N752" s="22"/>
      <c r="O752" s="3"/>
      <c r="P752" s="4"/>
      <c r="Q752" s="406"/>
      <c r="R752" s="6"/>
    </row>
    <row r="753" spans="1:18" s="1" customFormat="1" ht="19.850000000000001" customHeight="1" x14ac:dyDescent="0.25">
      <c r="A753" s="21"/>
      <c r="B753" s="21"/>
      <c r="C753" s="22"/>
      <c r="D753" s="22"/>
      <c r="E753" s="22"/>
      <c r="F753" s="22"/>
      <c r="G753" s="22"/>
      <c r="H753" s="22"/>
      <c r="I753" s="23"/>
      <c r="J753" s="24"/>
      <c r="K753" s="25"/>
      <c r="L753" s="22"/>
      <c r="M753" s="22"/>
      <c r="N753" s="22"/>
      <c r="O753" s="3"/>
      <c r="P753" s="4"/>
      <c r="Q753" s="406"/>
      <c r="R753" s="6"/>
    </row>
    <row r="754" spans="1:18" s="1" customFormat="1" ht="19.850000000000001" customHeight="1" x14ac:dyDescent="0.25">
      <c r="A754" s="21"/>
      <c r="B754" s="21"/>
      <c r="C754" s="22"/>
      <c r="D754" s="22"/>
      <c r="E754" s="22"/>
      <c r="F754" s="22"/>
      <c r="G754" s="22"/>
      <c r="H754" s="22"/>
      <c r="I754" s="23"/>
      <c r="J754" s="24"/>
      <c r="K754" s="25"/>
      <c r="L754" s="22"/>
      <c r="M754" s="22"/>
      <c r="N754" s="22"/>
      <c r="O754" s="3"/>
      <c r="P754" s="4"/>
      <c r="Q754" s="406"/>
      <c r="R754" s="6"/>
    </row>
    <row r="755" spans="1:18" s="1" customFormat="1" ht="19.850000000000001" customHeight="1" x14ac:dyDescent="0.25">
      <c r="A755" s="21"/>
      <c r="B755" s="21"/>
      <c r="C755" s="22"/>
      <c r="D755" s="22"/>
      <c r="E755" s="22"/>
      <c r="F755" s="22"/>
      <c r="G755" s="22"/>
      <c r="H755" s="22"/>
      <c r="I755" s="23"/>
      <c r="J755" s="24"/>
      <c r="K755" s="25"/>
      <c r="L755" s="22"/>
      <c r="M755" s="22"/>
      <c r="N755" s="22"/>
      <c r="O755" s="3"/>
      <c r="P755" s="4"/>
      <c r="Q755" s="406"/>
      <c r="R755" s="6"/>
    </row>
    <row r="756" spans="1:18" s="1" customFormat="1" ht="19.850000000000001" customHeight="1" x14ac:dyDescent="0.25">
      <c r="A756" s="21"/>
      <c r="B756" s="21"/>
      <c r="C756" s="22"/>
      <c r="D756" s="22"/>
      <c r="E756" s="22"/>
      <c r="F756" s="22"/>
      <c r="G756" s="22"/>
      <c r="H756" s="22"/>
      <c r="I756" s="23"/>
      <c r="J756" s="24"/>
      <c r="K756" s="25"/>
      <c r="L756" s="22"/>
      <c r="M756" s="22"/>
      <c r="N756" s="22"/>
      <c r="O756" s="3"/>
      <c r="P756" s="4"/>
      <c r="Q756" s="406"/>
      <c r="R756" s="6"/>
    </row>
    <row r="757" spans="1:18" s="1" customFormat="1" ht="19.850000000000001" customHeight="1" x14ac:dyDescent="0.25">
      <c r="A757" s="21"/>
      <c r="B757" s="21"/>
      <c r="C757" s="22"/>
      <c r="D757" s="22"/>
      <c r="E757" s="22"/>
      <c r="F757" s="22"/>
      <c r="G757" s="22"/>
      <c r="H757" s="22"/>
      <c r="I757" s="23"/>
      <c r="J757" s="24"/>
      <c r="K757" s="25"/>
      <c r="L757" s="22"/>
      <c r="M757" s="22"/>
      <c r="N757" s="22"/>
      <c r="O757" s="3"/>
      <c r="P757" s="4"/>
      <c r="Q757" s="406"/>
      <c r="R757" s="6"/>
    </row>
    <row r="758" spans="1:18" s="1" customFormat="1" ht="19.850000000000001" customHeight="1" x14ac:dyDescent="0.25">
      <c r="A758" s="21"/>
      <c r="B758" s="21"/>
      <c r="C758" s="22"/>
      <c r="D758" s="22"/>
      <c r="E758" s="22"/>
      <c r="F758" s="22"/>
      <c r="G758" s="22"/>
      <c r="H758" s="22"/>
      <c r="I758" s="23"/>
      <c r="J758" s="24"/>
      <c r="K758" s="25"/>
      <c r="L758" s="22"/>
      <c r="M758" s="22"/>
      <c r="N758" s="22"/>
      <c r="O758" s="3"/>
      <c r="P758" s="4"/>
      <c r="Q758" s="406"/>
      <c r="R758" s="6"/>
    </row>
    <row r="759" spans="1:18" s="1" customFormat="1" ht="19.850000000000001" customHeight="1" x14ac:dyDescent="0.25">
      <c r="A759" s="21"/>
      <c r="B759" s="21"/>
      <c r="C759" s="22"/>
      <c r="D759" s="22"/>
      <c r="E759" s="22"/>
      <c r="F759" s="22"/>
      <c r="G759" s="22"/>
      <c r="H759" s="22"/>
      <c r="I759" s="23"/>
      <c r="J759" s="24"/>
      <c r="K759" s="25"/>
      <c r="L759" s="22"/>
      <c r="M759" s="22"/>
      <c r="N759" s="22"/>
      <c r="O759" s="3"/>
      <c r="P759" s="4"/>
      <c r="Q759" s="406"/>
      <c r="R759" s="6"/>
    </row>
    <row r="760" spans="1:18" s="1" customFormat="1" ht="19.850000000000001" customHeight="1" x14ac:dyDescent="0.25">
      <c r="A760" s="21"/>
      <c r="B760" s="21"/>
      <c r="C760" s="22"/>
      <c r="D760" s="22"/>
      <c r="E760" s="22"/>
      <c r="F760" s="22"/>
      <c r="G760" s="22"/>
      <c r="H760" s="22"/>
      <c r="I760" s="23"/>
      <c r="J760" s="24"/>
      <c r="K760" s="25"/>
      <c r="L760" s="22"/>
      <c r="M760" s="22"/>
      <c r="N760" s="22"/>
      <c r="O760" s="3"/>
      <c r="P760" s="4"/>
      <c r="Q760" s="406"/>
      <c r="R760" s="6"/>
    </row>
    <row r="761" spans="1:18" s="1" customFormat="1" ht="19.850000000000001" customHeight="1" x14ac:dyDescent="0.25">
      <c r="A761" s="21"/>
      <c r="B761" s="21"/>
      <c r="C761" s="22"/>
      <c r="D761" s="22"/>
      <c r="E761" s="22"/>
      <c r="F761" s="22"/>
      <c r="G761" s="22"/>
      <c r="H761" s="22"/>
      <c r="I761" s="23"/>
      <c r="J761" s="24"/>
      <c r="K761" s="25"/>
      <c r="L761" s="22"/>
      <c r="M761" s="22"/>
      <c r="N761" s="22"/>
      <c r="O761" s="3"/>
      <c r="P761" s="4"/>
      <c r="Q761" s="406"/>
      <c r="R761" s="6"/>
    </row>
    <row r="762" spans="1:18" s="1" customFormat="1" ht="19.850000000000001" customHeight="1" x14ac:dyDescent="0.25">
      <c r="A762" s="21"/>
      <c r="B762" s="21"/>
      <c r="C762" s="22"/>
      <c r="D762" s="22"/>
      <c r="E762" s="22"/>
      <c r="F762" s="22"/>
      <c r="G762" s="22"/>
      <c r="H762" s="22"/>
      <c r="I762" s="23"/>
      <c r="J762" s="24"/>
      <c r="K762" s="25"/>
      <c r="L762" s="22"/>
      <c r="M762" s="22"/>
      <c r="N762" s="22"/>
      <c r="O762" s="3"/>
      <c r="P762" s="4"/>
      <c r="Q762" s="406"/>
      <c r="R762" s="6"/>
    </row>
    <row r="763" spans="1:18" s="1" customFormat="1" ht="19.850000000000001" customHeight="1" x14ac:dyDescent="0.25">
      <c r="A763" s="21"/>
      <c r="B763" s="21"/>
      <c r="C763" s="22"/>
      <c r="D763" s="22"/>
      <c r="E763" s="22"/>
      <c r="F763" s="22"/>
      <c r="G763" s="22"/>
      <c r="H763" s="22"/>
      <c r="I763" s="23"/>
      <c r="J763" s="24"/>
      <c r="K763" s="25"/>
      <c r="L763" s="22"/>
      <c r="M763" s="22"/>
      <c r="N763" s="22"/>
      <c r="O763" s="3"/>
      <c r="P763" s="4"/>
      <c r="Q763" s="406"/>
      <c r="R763" s="6"/>
    </row>
    <row r="764" spans="1:18" s="1" customFormat="1" ht="19.850000000000001" customHeight="1" x14ac:dyDescent="0.25">
      <c r="A764" s="21"/>
      <c r="B764" s="21"/>
      <c r="C764" s="22"/>
      <c r="D764" s="22"/>
      <c r="E764" s="22"/>
      <c r="F764" s="22"/>
      <c r="G764" s="22"/>
      <c r="H764" s="22"/>
      <c r="I764" s="23"/>
      <c r="J764" s="24"/>
      <c r="K764" s="25"/>
      <c r="L764" s="22"/>
      <c r="M764" s="22"/>
      <c r="N764" s="22"/>
      <c r="O764" s="3"/>
      <c r="P764" s="4"/>
      <c r="Q764" s="406"/>
      <c r="R764" s="6"/>
    </row>
    <row r="765" spans="1:18" s="1" customFormat="1" ht="19.850000000000001" customHeight="1" x14ac:dyDescent="0.25">
      <c r="A765" s="21"/>
      <c r="B765" s="21"/>
      <c r="C765" s="22"/>
      <c r="D765" s="22"/>
      <c r="E765" s="22"/>
      <c r="F765" s="22"/>
      <c r="G765" s="22"/>
      <c r="H765" s="22"/>
      <c r="I765" s="23"/>
      <c r="J765" s="24"/>
      <c r="K765" s="25"/>
      <c r="L765" s="22"/>
      <c r="M765" s="22"/>
      <c r="N765" s="22"/>
      <c r="O765" s="3"/>
      <c r="P765" s="4"/>
      <c r="Q765" s="406"/>
      <c r="R765" s="6"/>
    </row>
    <row r="766" spans="1:18" s="1" customFormat="1" ht="19.850000000000001" customHeight="1" x14ac:dyDescent="0.25">
      <c r="A766" s="21"/>
      <c r="B766" s="21"/>
      <c r="C766" s="22"/>
      <c r="D766" s="22"/>
      <c r="E766" s="22"/>
      <c r="F766" s="22"/>
      <c r="G766" s="22"/>
      <c r="H766" s="22"/>
      <c r="I766" s="23"/>
      <c r="J766" s="24"/>
      <c r="K766" s="25"/>
      <c r="L766" s="22"/>
      <c r="M766" s="22"/>
      <c r="N766" s="22"/>
      <c r="O766" s="3"/>
      <c r="P766" s="4"/>
      <c r="Q766" s="406"/>
      <c r="R766" s="6"/>
    </row>
    <row r="767" spans="1:18" s="1" customFormat="1" ht="19.850000000000001" customHeight="1" x14ac:dyDescent="0.25">
      <c r="A767" s="21"/>
      <c r="B767" s="21"/>
      <c r="C767" s="22"/>
      <c r="D767" s="22"/>
      <c r="E767" s="22"/>
      <c r="F767" s="22"/>
      <c r="G767" s="22"/>
      <c r="H767" s="22"/>
      <c r="I767" s="23"/>
      <c r="J767" s="24"/>
      <c r="K767" s="25"/>
      <c r="L767" s="22"/>
      <c r="M767" s="22"/>
      <c r="N767" s="22"/>
      <c r="O767" s="3"/>
      <c r="P767" s="4"/>
      <c r="Q767" s="406"/>
      <c r="R767" s="6"/>
    </row>
    <row r="768" spans="1:18" s="1" customFormat="1" ht="19.850000000000001" customHeight="1" x14ac:dyDescent="0.25">
      <c r="A768" s="21"/>
      <c r="B768" s="21"/>
      <c r="C768" s="22"/>
      <c r="D768" s="22"/>
      <c r="E768" s="22"/>
      <c r="F768" s="22"/>
      <c r="G768" s="22"/>
      <c r="H768" s="22"/>
      <c r="I768" s="23"/>
      <c r="J768" s="24"/>
      <c r="K768" s="25"/>
      <c r="L768" s="22"/>
      <c r="M768" s="22"/>
      <c r="N768" s="22"/>
      <c r="O768" s="3"/>
      <c r="P768" s="4"/>
      <c r="Q768" s="406"/>
      <c r="R768" s="6"/>
    </row>
    <row r="769" spans="1:18" s="1" customFormat="1" ht="19.850000000000001" customHeight="1" x14ac:dyDescent="0.25">
      <c r="A769" s="21"/>
      <c r="B769" s="21"/>
      <c r="C769" s="22"/>
      <c r="D769" s="22"/>
      <c r="E769" s="22"/>
      <c r="F769" s="22"/>
      <c r="G769" s="22"/>
      <c r="H769" s="22"/>
      <c r="I769" s="23"/>
      <c r="J769" s="24"/>
      <c r="K769" s="25"/>
      <c r="L769" s="22"/>
      <c r="M769" s="22"/>
      <c r="N769" s="22"/>
      <c r="O769" s="3"/>
      <c r="P769" s="4"/>
      <c r="Q769" s="406"/>
      <c r="R769" s="6"/>
    </row>
    <row r="770" spans="1:18" s="1" customFormat="1" ht="19.850000000000001" customHeight="1" x14ac:dyDescent="0.25">
      <c r="A770" s="21"/>
      <c r="B770" s="21"/>
      <c r="C770" s="22"/>
      <c r="D770" s="22"/>
      <c r="E770" s="22"/>
      <c r="F770" s="22"/>
      <c r="G770" s="22"/>
      <c r="H770" s="22"/>
      <c r="I770" s="23"/>
      <c r="J770" s="24"/>
      <c r="K770" s="25"/>
      <c r="L770" s="22"/>
      <c r="M770" s="22"/>
      <c r="N770" s="22"/>
      <c r="O770" s="3"/>
      <c r="P770" s="4"/>
      <c r="Q770" s="406"/>
      <c r="R770" s="6"/>
    </row>
    <row r="771" spans="1:18" s="1" customFormat="1" ht="19.850000000000001" customHeight="1" x14ac:dyDescent="0.25">
      <c r="A771" s="21"/>
      <c r="B771" s="21"/>
      <c r="C771" s="22"/>
      <c r="D771" s="22"/>
      <c r="E771" s="22"/>
      <c r="F771" s="22"/>
      <c r="G771" s="22"/>
      <c r="H771" s="22"/>
      <c r="I771" s="23"/>
      <c r="J771" s="24"/>
      <c r="K771" s="25"/>
      <c r="L771" s="22"/>
      <c r="M771" s="22"/>
      <c r="N771" s="22"/>
      <c r="O771" s="3"/>
      <c r="P771" s="4"/>
      <c r="Q771" s="406"/>
      <c r="R771" s="6"/>
    </row>
    <row r="772" spans="1:18" s="1" customFormat="1" ht="19.850000000000001" customHeight="1" x14ac:dyDescent="0.25">
      <c r="A772" s="21"/>
      <c r="B772" s="21"/>
      <c r="C772" s="22"/>
      <c r="D772" s="22"/>
      <c r="E772" s="22"/>
      <c r="F772" s="22"/>
      <c r="G772" s="22"/>
      <c r="H772" s="22"/>
      <c r="I772" s="23"/>
      <c r="J772" s="24"/>
      <c r="K772" s="25"/>
      <c r="L772" s="22"/>
      <c r="M772" s="22"/>
      <c r="N772" s="22"/>
      <c r="O772" s="3"/>
      <c r="P772" s="4"/>
      <c r="Q772" s="406"/>
      <c r="R772" s="6"/>
    </row>
    <row r="773" spans="1:18" s="1" customFormat="1" ht="19.850000000000001" customHeight="1" x14ac:dyDescent="0.25">
      <c r="A773" s="21"/>
      <c r="B773" s="21"/>
      <c r="C773" s="22"/>
      <c r="D773" s="22"/>
      <c r="E773" s="22"/>
      <c r="F773" s="22"/>
      <c r="G773" s="22"/>
      <c r="H773" s="22"/>
      <c r="I773" s="23"/>
      <c r="J773" s="24"/>
      <c r="K773" s="25"/>
      <c r="L773" s="22"/>
      <c r="M773" s="22"/>
      <c r="N773" s="22"/>
      <c r="O773" s="3"/>
      <c r="P773" s="4"/>
      <c r="Q773" s="406"/>
      <c r="R773" s="6"/>
    </row>
    <row r="774" spans="1:18" s="1" customFormat="1" ht="19.850000000000001" customHeight="1" x14ac:dyDescent="0.25">
      <c r="A774" s="21"/>
      <c r="B774" s="21"/>
      <c r="C774" s="22"/>
      <c r="D774" s="22"/>
      <c r="E774" s="22"/>
      <c r="F774" s="22"/>
      <c r="G774" s="22"/>
      <c r="H774" s="22"/>
      <c r="I774" s="23"/>
      <c r="J774" s="24"/>
      <c r="K774" s="25"/>
      <c r="L774" s="22"/>
      <c r="M774" s="22"/>
      <c r="N774" s="22"/>
      <c r="O774" s="3"/>
      <c r="P774" s="4"/>
      <c r="Q774" s="406"/>
      <c r="R774" s="6"/>
    </row>
    <row r="775" spans="1:18" s="1" customFormat="1" ht="19.850000000000001" customHeight="1" x14ac:dyDescent="0.25">
      <c r="A775" s="21"/>
      <c r="B775" s="21"/>
      <c r="C775" s="22"/>
      <c r="D775" s="22"/>
      <c r="E775" s="22"/>
      <c r="F775" s="22"/>
      <c r="G775" s="22"/>
      <c r="H775" s="22"/>
      <c r="I775" s="23"/>
      <c r="J775" s="24"/>
      <c r="K775" s="25"/>
      <c r="L775" s="22"/>
      <c r="M775" s="22"/>
      <c r="N775" s="22"/>
      <c r="O775" s="3"/>
      <c r="P775" s="4"/>
      <c r="Q775" s="406"/>
      <c r="R775" s="6"/>
    </row>
    <row r="776" spans="1:18" s="1" customFormat="1" ht="19.850000000000001" customHeight="1" x14ac:dyDescent="0.25">
      <c r="A776" s="21"/>
      <c r="B776" s="21"/>
      <c r="C776" s="22"/>
      <c r="D776" s="22"/>
      <c r="E776" s="22"/>
      <c r="F776" s="22"/>
      <c r="G776" s="22"/>
      <c r="H776" s="22"/>
      <c r="I776" s="23"/>
      <c r="J776" s="24"/>
      <c r="K776" s="25"/>
      <c r="L776" s="22"/>
      <c r="M776" s="22"/>
      <c r="N776" s="22"/>
      <c r="O776" s="3"/>
      <c r="P776" s="4"/>
      <c r="Q776" s="406"/>
      <c r="R776" s="6"/>
    </row>
    <row r="777" spans="1:18" s="1" customFormat="1" ht="19.850000000000001" customHeight="1" x14ac:dyDescent="0.25">
      <c r="A777" s="21"/>
      <c r="B777" s="21"/>
      <c r="C777" s="22"/>
      <c r="D777" s="22"/>
      <c r="E777" s="22"/>
      <c r="F777" s="22"/>
      <c r="G777" s="22"/>
      <c r="H777" s="22"/>
      <c r="I777" s="23"/>
      <c r="J777" s="24"/>
      <c r="K777" s="25"/>
      <c r="L777" s="22"/>
      <c r="M777" s="22"/>
      <c r="N777" s="22"/>
      <c r="O777" s="3"/>
      <c r="P777" s="4"/>
      <c r="Q777" s="406"/>
      <c r="R777" s="6"/>
    </row>
    <row r="778" spans="1:18" s="1" customFormat="1" ht="19.850000000000001" customHeight="1" x14ac:dyDescent="0.25">
      <c r="A778" s="21"/>
      <c r="B778" s="21"/>
      <c r="C778" s="22"/>
      <c r="D778" s="22"/>
      <c r="E778" s="22"/>
      <c r="F778" s="22"/>
      <c r="G778" s="22"/>
      <c r="H778" s="22"/>
      <c r="I778" s="23"/>
      <c r="J778" s="24"/>
      <c r="K778" s="25"/>
      <c r="L778" s="22"/>
      <c r="M778" s="22"/>
      <c r="N778" s="22"/>
      <c r="O778" s="3"/>
      <c r="P778" s="4"/>
      <c r="Q778" s="406"/>
      <c r="R778" s="6"/>
    </row>
    <row r="779" spans="1:18" s="1" customFormat="1" ht="19.850000000000001" customHeight="1" x14ac:dyDescent="0.25">
      <c r="A779" s="21"/>
      <c r="B779" s="21"/>
      <c r="C779" s="22"/>
      <c r="D779" s="22"/>
      <c r="E779" s="22"/>
      <c r="F779" s="22"/>
      <c r="G779" s="22"/>
      <c r="H779" s="22"/>
      <c r="I779" s="23"/>
      <c r="J779" s="24"/>
      <c r="K779" s="25"/>
      <c r="L779" s="22"/>
      <c r="M779" s="22"/>
      <c r="N779" s="22"/>
      <c r="O779" s="3"/>
      <c r="P779" s="4"/>
      <c r="Q779" s="406"/>
      <c r="R779" s="6"/>
    </row>
    <row r="780" spans="1:18" s="1" customFormat="1" ht="19.850000000000001" customHeight="1" x14ac:dyDescent="0.25">
      <c r="A780" s="21"/>
      <c r="B780" s="21"/>
      <c r="C780" s="22"/>
      <c r="D780" s="22"/>
      <c r="E780" s="22"/>
      <c r="F780" s="22"/>
      <c r="G780" s="22"/>
      <c r="H780" s="22"/>
      <c r="I780" s="23"/>
      <c r="J780" s="24"/>
      <c r="K780" s="25"/>
      <c r="L780" s="22"/>
      <c r="M780" s="22"/>
      <c r="N780" s="22"/>
      <c r="O780" s="3"/>
      <c r="P780" s="4"/>
      <c r="Q780" s="406"/>
      <c r="R780" s="6"/>
    </row>
    <row r="781" spans="1:18" s="1" customFormat="1" ht="19.850000000000001" customHeight="1" x14ac:dyDescent="0.25">
      <c r="A781" s="21"/>
      <c r="B781" s="21"/>
      <c r="C781" s="22"/>
      <c r="D781" s="22"/>
      <c r="E781" s="22"/>
      <c r="F781" s="22"/>
      <c r="G781" s="22"/>
      <c r="H781" s="22"/>
      <c r="I781" s="23"/>
      <c r="J781" s="24"/>
      <c r="K781" s="25"/>
      <c r="L781" s="22"/>
      <c r="M781" s="22"/>
      <c r="N781" s="22"/>
      <c r="O781" s="3"/>
      <c r="P781" s="4"/>
      <c r="Q781" s="406"/>
      <c r="R781" s="6"/>
    </row>
    <row r="782" spans="1:18" s="1" customFormat="1" ht="19.850000000000001" customHeight="1" x14ac:dyDescent="0.25">
      <c r="A782" s="21"/>
      <c r="B782" s="21"/>
      <c r="C782" s="22"/>
      <c r="D782" s="22"/>
      <c r="E782" s="22"/>
      <c r="F782" s="22"/>
      <c r="G782" s="22"/>
      <c r="H782" s="22"/>
      <c r="I782" s="23"/>
      <c r="J782" s="24"/>
      <c r="K782" s="25"/>
      <c r="L782" s="22"/>
      <c r="M782" s="22"/>
      <c r="N782" s="22"/>
      <c r="O782" s="3"/>
      <c r="P782" s="4"/>
      <c r="Q782" s="406"/>
      <c r="R782" s="6"/>
    </row>
    <row r="783" spans="1:18" s="1" customFormat="1" ht="19.850000000000001" customHeight="1" x14ac:dyDescent="0.25">
      <c r="A783" s="21"/>
      <c r="B783" s="21"/>
      <c r="C783" s="22"/>
      <c r="D783" s="22"/>
      <c r="E783" s="22"/>
      <c r="F783" s="22"/>
      <c r="G783" s="22"/>
      <c r="H783" s="22"/>
      <c r="I783" s="23"/>
      <c r="J783" s="24"/>
      <c r="K783" s="25"/>
      <c r="L783" s="22"/>
      <c r="M783" s="22"/>
      <c r="N783" s="22"/>
      <c r="O783" s="3"/>
      <c r="P783" s="4"/>
      <c r="Q783" s="406"/>
      <c r="R783" s="6"/>
    </row>
    <row r="784" spans="1:18" s="1" customFormat="1" ht="19.850000000000001" customHeight="1" x14ac:dyDescent="0.25">
      <c r="A784" s="21"/>
      <c r="B784" s="21"/>
      <c r="C784" s="22"/>
      <c r="D784" s="22"/>
      <c r="E784" s="22"/>
      <c r="F784" s="22"/>
      <c r="G784" s="22"/>
      <c r="H784" s="22"/>
      <c r="I784" s="23"/>
      <c r="J784" s="24"/>
      <c r="K784" s="25"/>
      <c r="L784" s="22"/>
      <c r="M784" s="22"/>
      <c r="N784" s="22"/>
      <c r="O784" s="3"/>
      <c r="P784" s="4"/>
      <c r="Q784" s="406"/>
      <c r="R784" s="6"/>
    </row>
    <row r="785" spans="1:18" s="1" customFormat="1" ht="19.850000000000001" customHeight="1" x14ac:dyDescent="0.25">
      <c r="A785" s="21"/>
      <c r="B785" s="21"/>
      <c r="C785" s="22"/>
      <c r="D785" s="22"/>
      <c r="E785" s="22"/>
      <c r="F785" s="22"/>
      <c r="G785" s="22"/>
      <c r="H785" s="22"/>
      <c r="I785" s="23"/>
      <c r="J785" s="24"/>
      <c r="K785" s="25"/>
      <c r="L785" s="22"/>
      <c r="M785" s="22"/>
      <c r="N785" s="22"/>
      <c r="O785" s="3"/>
      <c r="P785" s="4"/>
      <c r="Q785" s="406"/>
      <c r="R785" s="6"/>
    </row>
    <row r="786" spans="1:18" s="1" customFormat="1" ht="19.850000000000001" customHeight="1" x14ac:dyDescent="0.25">
      <c r="A786" s="21"/>
      <c r="B786" s="21"/>
      <c r="C786" s="22"/>
      <c r="D786" s="22"/>
      <c r="E786" s="22"/>
      <c r="F786" s="22"/>
      <c r="G786" s="22"/>
      <c r="H786" s="22"/>
      <c r="I786" s="23"/>
      <c r="J786" s="24"/>
      <c r="K786" s="25"/>
      <c r="L786" s="22"/>
      <c r="M786" s="22"/>
      <c r="N786" s="22"/>
      <c r="O786" s="3"/>
      <c r="P786" s="4"/>
      <c r="Q786" s="406"/>
      <c r="R786" s="6"/>
    </row>
    <row r="787" spans="1:18" s="1" customFormat="1" ht="19.850000000000001" customHeight="1" x14ac:dyDescent="0.25">
      <c r="A787" s="21"/>
      <c r="B787" s="21"/>
      <c r="C787" s="22"/>
      <c r="D787" s="22"/>
      <c r="E787" s="22"/>
      <c r="F787" s="22"/>
      <c r="G787" s="22"/>
      <c r="H787" s="22"/>
      <c r="I787" s="23"/>
      <c r="J787" s="24"/>
      <c r="K787" s="25"/>
      <c r="L787" s="22"/>
      <c r="M787" s="22"/>
      <c r="N787" s="22"/>
      <c r="O787" s="3"/>
      <c r="P787" s="4"/>
      <c r="Q787" s="406"/>
      <c r="R787" s="6"/>
    </row>
    <row r="788" spans="1:18" s="1" customFormat="1" ht="19.850000000000001" customHeight="1" x14ac:dyDescent="0.25">
      <c r="A788" s="21"/>
      <c r="B788" s="21"/>
      <c r="C788" s="22"/>
      <c r="D788" s="22"/>
      <c r="E788" s="22"/>
      <c r="F788" s="22"/>
      <c r="G788" s="22"/>
      <c r="H788" s="22"/>
      <c r="I788" s="23"/>
      <c r="J788" s="24"/>
      <c r="K788" s="25"/>
      <c r="L788" s="22"/>
      <c r="M788" s="22"/>
      <c r="N788" s="22"/>
      <c r="O788" s="3"/>
      <c r="P788" s="4"/>
      <c r="Q788" s="406"/>
      <c r="R788" s="6"/>
    </row>
    <row r="789" spans="1:18" s="1" customFormat="1" ht="19.850000000000001" customHeight="1" x14ac:dyDescent="0.25">
      <c r="A789" s="21"/>
      <c r="B789" s="21"/>
      <c r="C789" s="22"/>
      <c r="D789" s="22"/>
      <c r="E789" s="22"/>
      <c r="F789" s="22"/>
      <c r="G789" s="22"/>
      <c r="H789" s="22"/>
      <c r="I789" s="23"/>
      <c r="J789" s="24"/>
      <c r="K789" s="25"/>
      <c r="L789" s="22"/>
      <c r="M789" s="22"/>
      <c r="N789" s="22"/>
      <c r="O789" s="3"/>
      <c r="P789" s="4"/>
      <c r="Q789" s="406"/>
      <c r="R789" s="6"/>
    </row>
    <row r="790" spans="1:18" s="1" customFormat="1" ht="19.850000000000001" customHeight="1" x14ac:dyDescent="0.25">
      <c r="A790" s="21"/>
      <c r="B790" s="21"/>
      <c r="C790" s="22"/>
      <c r="D790" s="22"/>
      <c r="E790" s="22"/>
      <c r="F790" s="22"/>
      <c r="G790" s="22"/>
      <c r="H790" s="22"/>
      <c r="I790" s="23"/>
      <c r="J790" s="24"/>
      <c r="K790" s="25"/>
      <c r="L790" s="22"/>
      <c r="M790" s="22"/>
      <c r="N790" s="22"/>
      <c r="O790" s="3"/>
      <c r="P790" s="4"/>
      <c r="Q790" s="406"/>
      <c r="R790" s="6"/>
    </row>
    <row r="791" spans="1:18" s="1" customFormat="1" ht="19.850000000000001" customHeight="1" x14ac:dyDescent="0.25">
      <c r="A791" s="21"/>
      <c r="B791" s="21"/>
      <c r="C791" s="22"/>
      <c r="D791" s="22"/>
      <c r="E791" s="22"/>
      <c r="F791" s="22"/>
      <c r="G791" s="22"/>
      <c r="H791" s="22"/>
      <c r="I791" s="23"/>
      <c r="J791" s="24"/>
      <c r="K791" s="25"/>
      <c r="L791" s="22"/>
      <c r="M791" s="22"/>
      <c r="N791" s="22"/>
      <c r="O791" s="3"/>
      <c r="P791" s="4"/>
      <c r="Q791" s="406"/>
      <c r="R791" s="6"/>
    </row>
    <row r="792" spans="1:18" s="1" customFormat="1" ht="19.850000000000001" customHeight="1" x14ac:dyDescent="0.25">
      <c r="A792" s="21"/>
      <c r="B792" s="21"/>
      <c r="C792" s="22"/>
      <c r="D792" s="22"/>
      <c r="E792" s="22"/>
      <c r="F792" s="22"/>
      <c r="G792" s="22"/>
      <c r="H792" s="22"/>
      <c r="I792" s="23"/>
      <c r="J792" s="24"/>
      <c r="K792" s="25"/>
      <c r="L792" s="22"/>
      <c r="M792" s="22"/>
      <c r="N792" s="22"/>
      <c r="O792" s="3"/>
      <c r="P792" s="4"/>
      <c r="Q792" s="406"/>
      <c r="R792" s="6"/>
    </row>
    <row r="793" spans="1:18" s="1" customFormat="1" ht="19.850000000000001" customHeight="1" x14ac:dyDescent="0.25">
      <c r="A793" s="21"/>
      <c r="B793" s="21"/>
      <c r="C793" s="22"/>
      <c r="D793" s="22"/>
      <c r="E793" s="22"/>
      <c r="F793" s="22"/>
      <c r="G793" s="22"/>
      <c r="H793" s="22"/>
      <c r="I793" s="23"/>
      <c r="J793" s="24"/>
      <c r="K793" s="25"/>
      <c r="L793" s="22"/>
      <c r="M793" s="22"/>
      <c r="N793" s="22"/>
      <c r="O793" s="3"/>
      <c r="P793" s="4"/>
      <c r="Q793" s="406"/>
      <c r="R793" s="6"/>
    </row>
    <row r="794" spans="1:18" s="1" customFormat="1" ht="19.850000000000001" customHeight="1" x14ac:dyDescent="0.25">
      <c r="A794" s="21"/>
      <c r="B794" s="21"/>
      <c r="C794" s="22"/>
      <c r="D794" s="22"/>
      <c r="E794" s="22"/>
      <c r="F794" s="22"/>
      <c r="G794" s="22"/>
      <c r="H794" s="22"/>
      <c r="I794" s="23"/>
      <c r="J794" s="24"/>
      <c r="K794" s="25"/>
      <c r="L794" s="22"/>
      <c r="M794" s="22"/>
      <c r="N794" s="22"/>
      <c r="O794" s="3"/>
      <c r="P794" s="4"/>
      <c r="Q794" s="406"/>
      <c r="R794" s="6"/>
    </row>
    <row r="795" spans="1:18" s="1" customFormat="1" ht="19.850000000000001" customHeight="1" x14ac:dyDescent="0.25">
      <c r="A795" s="21"/>
      <c r="B795" s="21"/>
      <c r="C795" s="22"/>
      <c r="D795" s="22"/>
      <c r="E795" s="22"/>
      <c r="F795" s="22"/>
      <c r="G795" s="22"/>
      <c r="H795" s="22"/>
      <c r="I795" s="23"/>
      <c r="J795" s="24"/>
      <c r="K795" s="25"/>
      <c r="L795" s="22"/>
      <c r="M795" s="22"/>
      <c r="N795" s="22"/>
      <c r="O795" s="3"/>
      <c r="P795" s="4"/>
      <c r="Q795" s="406"/>
      <c r="R795" s="6"/>
    </row>
    <row r="796" spans="1:18" s="1" customFormat="1" ht="19.850000000000001" customHeight="1" x14ac:dyDescent="0.25">
      <c r="A796" s="21"/>
      <c r="B796" s="21"/>
      <c r="C796" s="22"/>
      <c r="D796" s="22"/>
      <c r="E796" s="22"/>
      <c r="F796" s="22"/>
      <c r="G796" s="22"/>
      <c r="H796" s="22"/>
      <c r="I796" s="23"/>
      <c r="J796" s="24"/>
      <c r="K796" s="25"/>
      <c r="L796" s="22"/>
      <c r="M796" s="22"/>
      <c r="N796" s="22"/>
      <c r="O796" s="3"/>
      <c r="P796" s="4"/>
      <c r="Q796" s="406"/>
      <c r="R796" s="6"/>
    </row>
    <row r="797" spans="1:18" s="1" customFormat="1" ht="19.850000000000001" customHeight="1" x14ac:dyDescent="0.25">
      <c r="A797" s="21"/>
      <c r="B797" s="21"/>
      <c r="C797" s="22"/>
      <c r="D797" s="22"/>
      <c r="E797" s="22"/>
      <c r="F797" s="22"/>
      <c r="G797" s="22"/>
      <c r="H797" s="22"/>
      <c r="I797" s="23"/>
      <c r="J797" s="24"/>
      <c r="K797" s="25"/>
      <c r="L797" s="22"/>
      <c r="M797" s="22"/>
      <c r="N797" s="22"/>
      <c r="O797" s="3"/>
      <c r="P797" s="4"/>
      <c r="Q797" s="406"/>
      <c r="R797" s="6"/>
    </row>
    <row r="798" spans="1:18" s="1" customFormat="1" ht="19.850000000000001" customHeight="1" x14ac:dyDescent="0.25">
      <c r="A798" s="21"/>
      <c r="B798" s="21"/>
      <c r="C798" s="22"/>
      <c r="D798" s="22"/>
      <c r="E798" s="22"/>
      <c r="F798" s="22"/>
      <c r="G798" s="22"/>
      <c r="H798" s="22"/>
      <c r="I798" s="23"/>
      <c r="J798" s="24"/>
      <c r="K798" s="25"/>
      <c r="L798" s="22"/>
      <c r="M798" s="22"/>
      <c r="N798" s="22"/>
      <c r="O798" s="3"/>
      <c r="P798" s="4"/>
      <c r="Q798" s="406"/>
      <c r="R798" s="6"/>
    </row>
    <row r="799" spans="1:18" s="1" customFormat="1" ht="19.850000000000001" customHeight="1" x14ac:dyDescent="0.25">
      <c r="A799" s="21"/>
      <c r="B799" s="21"/>
      <c r="C799" s="22"/>
      <c r="D799" s="22"/>
      <c r="E799" s="22"/>
      <c r="F799" s="22"/>
      <c r="G799" s="22"/>
      <c r="H799" s="22"/>
      <c r="I799" s="23"/>
      <c r="J799" s="24"/>
      <c r="K799" s="25"/>
      <c r="L799" s="22"/>
      <c r="M799" s="22"/>
      <c r="N799" s="22"/>
      <c r="O799" s="3"/>
      <c r="P799" s="4"/>
      <c r="Q799" s="406"/>
      <c r="R799" s="6"/>
    </row>
    <row r="800" spans="1:18" s="1" customFormat="1" ht="19.850000000000001" customHeight="1" x14ac:dyDescent="0.25">
      <c r="A800" s="21"/>
      <c r="B800" s="21"/>
      <c r="C800" s="22"/>
      <c r="D800" s="22"/>
      <c r="E800" s="22"/>
      <c r="F800" s="22"/>
      <c r="G800" s="22"/>
      <c r="H800" s="22"/>
      <c r="I800" s="23"/>
      <c r="J800" s="24"/>
      <c r="K800" s="25"/>
      <c r="L800" s="22"/>
      <c r="M800" s="22"/>
      <c r="N800" s="22"/>
      <c r="O800" s="3"/>
      <c r="P800" s="4"/>
      <c r="Q800" s="406"/>
      <c r="R800" s="6"/>
    </row>
    <row r="801" spans="1:18" s="1" customFormat="1" ht="19.850000000000001" customHeight="1" x14ac:dyDescent="0.25">
      <c r="A801" s="21"/>
      <c r="B801" s="21"/>
      <c r="C801" s="22"/>
      <c r="D801" s="22"/>
      <c r="E801" s="22"/>
      <c r="F801" s="22"/>
      <c r="G801" s="22"/>
      <c r="H801" s="22"/>
      <c r="I801" s="23"/>
      <c r="J801" s="24"/>
      <c r="K801" s="25"/>
      <c r="L801" s="22"/>
      <c r="M801" s="22"/>
      <c r="N801" s="22"/>
      <c r="O801" s="3"/>
      <c r="P801" s="4"/>
      <c r="Q801" s="406"/>
      <c r="R801" s="6"/>
    </row>
    <row r="802" spans="1:18" s="1" customFormat="1" ht="19.850000000000001" customHeight="1" x14ac:dyDescent="0.25">
      <c r="A802" s="21"/>
      <c r="B802" s="21"/>
      <c r="C802" s="22"/>
      <c r="D802" s="22"/>
      <c r="E802" s="22"/>
      <c r="F802" s="22"/>
      <c r="G802" s="22"/>
      <c r="H802" s="22"/>
      <c r="I802" s="23"/>
      <c r="J802" s="24"/>
      <c r="K802" s="25"/>
      <c r="L802" s="22"/>
      <c r="M802" s="22"/>
      <c r="N802" s="22"/>
      <c r="O802" s="3"/>
      <c r="P802" s="4"/>
      <c r="Q802" s="406"/>
      <c r="R802" s="6"/>
    </row>
    <row r="803" spans="1:18" s="1" customFormat="1" ht="19.850000000000001" customHeight="1" x14ac:dyDescent="0.25">
      <c r="A803" s="21"/>
      <c r="B803" s="21"/>
      <c r="C803" s="22"/>
      <c r="D803" s="22"/>
      <c r="E803" s="22"/>
      <c r="F803" s="22"/>
      <c r="G803" s="22"/>
      <c r="H803" s="22"/>
      <c r="I803" s="23"/>
      <c r="J803" s="24"/>
      <c r="K803" s="25"/>
      <c r="L803" s="22"/>
      <c r="M803" s="22"/>
      <c r="N803" s="22"/>
      <c r="O803" s="3"/>
      <c r="P803" s="4"/>
      <c r="Q803" s="406"/>
      <c r="R803" s="6"/>
    </row>
    <row r="804" spans="1:18" s="1" customFormat="1" ht="19.850000000000001" customHeight="1" x14ac:dyDescent="0.25">
      <c r="A804" s="21"/>
      <c r="B804" s="21"/>
      <c r="C804" s="22"/>
      <c r="D804" s="22"/>
      <c r="E804" s="22"/>
      <c r="F804" s="22"/>
      <c r="G804" s="22"/>
      <c r="H804" s="22"/>
      <c r="I804" s="23"/>
      <c r="J804" s="24"/>
      <c r="K804" s="25"/>
      <c r="L804" s="22"/>
      <c r="M804" s="22"/>
      <c r="N804" s="22"/>
      <c r="O804" s="3"/>
      <c r="P804" s="4"/>
      <c r="Q804" s="406"/>
      <c r="R804" s="6"/>
    </row>
    <row r="805" spans="1:18" s="1" customFormat="1" ht="19.850000000000001" customHeight="1" x14ac:dyDescent="0.25">
      <c r="A805" s="21"/>
      <c r="B805" s="21"/>
      <c r="C805" s="22"/>
      <c r="D805" s="22"/>
      <c r="E805" s="22"/>
      <c r="F805" s="22"/>
      <c r="G805" s="22"/>
      <c r="H805" s="22"/>
      <c r="I805" s="23"/>
      <c r="J805" s="24"/>
      <c r="K805" s="25"/>
      <c r="L805" s="22"/>
      <c r="M805" s="22"/>
      <c r="N805" s="22"/>
      <c r="O805" s="3"/>
      <c r="P805" s="4"/>
      <c r="Q805" s="406"/>
      <c r="R805" s="6"/>
    </row>
    <row r="806" spans="1:18" s="1" customFormat="1" ht="19.850000000000001" customHeight="1" x14ac:dyDescent="0.25">
      <c r="A806" s="21"/>
      <c r="B806" s="21"/>
      <c r="C806" s="22"/>
      <c r="D806" s="22"/>
      <c r="E806" s="22"/>
      <c r="F806" s="22"/>
      <c r="G806" s="22"/>
      <c r="H806" s="22"/>
      <c r="I806" s="23"/>
      <c r="J806" s="24"/>
      <c r="K806" s="25"/>
      <c r="L806" s="22"/>
      <c r="M806" s="22"/>
      <c r="N806" s="22"/>
      <c r="O806" s="3"/>
      <c r="P806" s="4"/>
      <c r="Q806" s="406"/>
      <c r="R806" s="6"/>
    </row>
    <row r="807" spans="1:18" s="1" customFormat="1" ht="19.850000000000001" customHeight="1" x14ac:dyDescent="0.25">
      <c r="A807" s="21"/>
      <c r="B807" s="21"/>
      <c r="C807" s="22"/>
      <c r="D807" s="22"/>
      <c r="E807" s="22"/>
      <c r="F807" s="22"/>
      <c r="G807" s="22"/>
      <c r="H807" s="22"/>
      <c r="I807" s="23"/>
      <c r="J807" s="24"/>
      <c r="K807" s="25"/>
      <c r="L807" s="22"/>
      <c r="M807" s="22"/>
      <c r="N807" s="22"/>
      <c r="O807" s="3"/>
      <c r="P807" s="4"/>
      <c r="Q807" s="406"/>
      <c r="R807" s="6"/>
    </row>
    <row r="808" spans="1:18" s="1" customFormat="1" ht="19.850000000000001" customHeight="1" x14ac:dyDescent="0.25">
      <c r="A808" s="21"/>
      <c r="B808" s="21"/>
      <c r="C808" s="22"/>
      <c r="D808" s="22"/>
      <c r="E808" s="22"/>
      <c r="F808" s="22"/>
      <c r="G808" s="22"/>
      <c r="H808" s="22"/>
      <c r="I808" s="23"/>
      <c r="J808" s="24"/>
      <c r="K808" s="25"/>
      <c r="L808" s="22"/>
      <c r="M808" s="22"/>
      <c r="N808" s="22"/>
      <c r="O808" s="3"/>
      <c r="P808" s="4"/>
      <c r="Q808" s="406"/>
      <c r="R808" s="6"/>
    </row>
    <row r="809" spans="1:18" s="1" customFormat="1" ht="19.850000000000001" customHeight="1" x14ac:dyDescent="0.25">
      <c r="A809" s="21"/>
      <c r="B809" s="21"/>
      <c r="C809" s="22"/>
      <c r="D809" s="22"/>
      <c r="E809" s="22"/>
      <c r="F809" s="22"/>
      <c r="G809" s="22"/>
      <c r="H809" s="22"/>
      <c r="I809" s="23"/>
      <c r="J809" s="24"/>
      <c r="K809" s="25"/>
      <c r="L809" s="22"/>
      <c r="M809" s="22"/>
      <c r="N809" s="22"/>
      <c r="O809" s="3"/>
      <c r="P809" s="4"/>
      <c r="Q809" s="406"/>
      <c r="R809" s="6"/>
    </row>
    <row r="810" spans="1:18" s="1" customFormat="1" ht="19.850000000000001" customHeight="1" x14ac:dyDescent="0.25">
      <c r="A810" s="21"/>
      <c r="B810" s="21"/>
      <c r="C810" s="22"/>
      <c r="D810" s="22"/>
      <c r="E810" s="22"/>
      <c r="F810" s="22"/>
      <c r="G810" s="22"/>
      <c r="H810" s="22"/>
      <c r="I810" s="23"/>
      <c r="J810" s="24"/>
      <c r="K810" s="25"/>
      <c r="L810" s="22"/>
      <c r="M810" s="22"/>
      <c r="N810" s="22"/>
      <c r="O810" s="3"/>
      <c r="P810" s="4"/>
      <c r="Q810" s="406"/>
      <c r="R810" s="6"/>
    </row>
    <row r="811" spans="1:18" s="1" customFormat="1" ht="19.850000000000001" customHeight="1" x14ac:dyDescent="0.25">
      <c r="A811" s="21"/>
      <c r="B811" s="21"/>
      <c r="C811" s="22"/>
      <c r="D811" s="22"/>
      <c r="E811" s="22"/>
      <c r="F811" s="22"/>
      <c r="G811" s="22"/>
      <c r="H811" s="22"/>
      <c r="I811" s="23"/>
      <c r="J811" s="24"/>
      <c r="K811" s="25"/>
      <c r="L811" s="22"/>
      <c r="M811" s="22"/>
      <c r="N811" s="22"/>
      <c r="O811" s="3"/>
      <c r="P811" s="4"/>
      <c r="Q811" s="406"/>
      <c r="R811" s="6"/>
    </row>
    <row r="812" spans="1:18" s="1" customFormat="1" ht="19.850000000000001" customHeight="1" x14ac:dyDescent="0.25">
      <c r="A812" s="21"/>
      <c r="B812" s="21"/>
      <c r="C812" s="22"/>
      <c r="D812" s="22"/>
      <c r="E812" s="22"/>
      <c r="F812" s="22"/>
      <c r="G812" s="22"/>
      <c r="H812" s="22"/>
      <c r="I812" s="23"/>
      <c r="J812" s="24"/>
      <c r="K812" s="25"/>
      <c r="L812" s="22"/>
      <c r="M812" s="22"/>
      <c r="N812" s="22"/>
      <c r="O812" s="3"/>
      <c r="P812" s="4"/>
      <c r="Q812" s="406"/>
      <c r="R812" s="6"/>
    </row>
    <row r="813" spans="1:18" s="1" customFormat="1" ht="19.850000000000001" customHeight="1" x14ac:dyDescent="0.25">
      <c r="A813" s="21"/>
      <c r="B813" s="21"/>
      <c r="C813" s="22"/>
      <c r="D813" s="22"/>
      <c r="E813" s="22"/>
      <c r="F813" s="22"/>
      <c r="G813" s="22"/>
      <c r="H813" s="22"/>
      <c r="I813" s="23"/>
      <c r="J813" s="24"/>
      <c r="K813" s="25"/>
      <c r="L813" s="22"/>
      <c r="M813" s="22"/>
      <c r="N813" s="22"/>
      <c r="O813" s="3"/>
      <c r="P813" s="4"/>
      <c r="Q813" s="406"/>
      <c r="R813" s="6"/>
    </row>
    <row r="814" spans="1:18" s="1" customFormat="1" ht="19.850000000000001" customHeight="1" x14ac:dyDescent="0.25">
      <c r="A814" s="21"/>
      <c r="B814" s="21"/>
      <c r="C814" s="22"/>
      <c r="D814" s="22"/>
      <c r="E814" s="22"/>
      <c r="F814" s="22"/>
      <c r="G814" s="22"/>
      <c r="H814" s="22"/>
      <c r="I814" s="23"/>
      <c r="J814" s="24"/>
      <c r="K814" s="25"/>
      <c r="L814" s="22"/>
      <c r="M814" s="22"/>
      <c r="N814" s="22"/>
      <c r="O814" s="3"/>
      <c r="P814" s="4"/>
      <c r="Q814" s="406"/>
      <c r="R814" s="6"/>
    </row>
    <row r="815" spans="1:18" ht="19.850000000000001" customHeight="1" x14ac:dyDescent="0.25"/>
    <row r="816" spans="1:18" ht="19.850000000000001" customHeight="1" x14ac:dyDescent="0.25"/>
    <row r="817" ht="19.850000000000001" customHeight="1" x14ac:dyDescent="0.25"/>
    <row r="818" ht="19.850000000000001" customHeight="1" x14ac:dyDescent="0.25"/>
    <row r="819" ht="19.850000000000001" customHeight="1" x14ac:dyDescent="0.25"/>
    <row r="820" ht="19.850000000000001" customHeight="1" x14ac:dyDescent="0.25"/>
    <row r="821" ht="19.850000000000001" customHeight="1" x14ac:dyDescent="0.25"/>
    <row r="822" ht="19.850000000000001" customHeight="1" x14ac:dyDescent="0.25"/>
    <row r="823" ht="19.850000000000001" customHeight="1" x14ac:dyDescent="0.25"/>
    <row r="824" ht="19.850000000000001" customHeight="1" x14ac:dyDescent="0.25"/>
    <row r="825" ht="19.850000000000001" customHeight="1" x14ac:dyDescent="0.25"/>
    <row r="826" ht="19.850000000000001" customHeight="1" x14ac:dyDescent="0.25"/>
    <row r="827" ht="19.850000000000001" customHeight="1" x14ac:dyDescent="0.25"/>
    <row r="828" ht="19.850000000000001" customHeight="1" x14ac:dyDescent="0.25"/>
    <row r="829" ht="19.850000000000001" customHeight="1" x14ac:dyDescent="0.25"/>
    <row r="830" ht="19.850000000000001" customHeight="1" x14ac:dyDescent="0.25"/>
    <row r="831" ht="19.850000000000001" customHeight="1" x14ac:dyDescent="0.25"/>
    <row r="832" ht="19.850000000000001" customHeight="1" x14ac:dyDescent="0.25"/>
    <row r="833" ht="19.850000000000001" customHeight="1" x14ac:dyDescent="0.25"/>
    <row r="834" ht="19.850000000000001" customHeight="1" x14ac:dyDescent="0.25"/>
    <row r="835" ht="19.850000000000001" customHeight="1" x14ac:dyDescent="0.25"/>
    <row r="836" ht="19.850000000000001" customHeight="1" x14ac:dyDescent="0.25"/>
    <row r="837" ht="19.850000000000001" customHeight="1" x14ac:dyDescent="0.25"/>
    <row r="838" ht="19.850000000000001" customHeight="1" x14ac:dyDescent="0.25"/>
    <row r="839" ht="19.850000000000001" customHeight="1" x14ac:dyDescent="0.25"/>
    <row r="840" ht="19.850000000000001" customHeight="1" x14ac:dyDescent="0.25"/>
    <row r="841" ht="19.850000000000001" customHeight="1" x14ac:dyDescent="0.25"/>
    <row r="842" ht="19.850000000000001" customHeight="1" x14ac:dyDescent="0.25"/>
    <row r="843" ht="19.850000000000001" customHeight="1" x14ac:dyDescent="0.25"/>
    <row r="844" ht="19.850000000000001" customHeight="1" x14ac:dyDescent="0.25"/>
    <row r="845" ht="19.850000000000001" customHeight="1" x14ac:dyDescent="0.25"/>
    <row r="846" ht="19.850000000000001" customHeight="1" x14ac:dyDescent="0.25"/>
    <row r="847" ht="19.850000000000001" customHeight="1" x14ac:dyDescent="0.25"/>
    <row r="876" spans="1:1" x14ac:dyDescent="0.25">
      <c r="A876" s="50"/>
    </row>
  </sheetData>
  <autoFilter ref="A2:T479"/>
  <mergeCells count="1">
    <mergeCell ref="P1:P2"/>
  </mergeCells>
  <phoneticPr fontId="2" type="noConversion"/>
  <pageMargins left="0.7" right="0.7" top="0.75" bottom="0.75" header="0.3" footer="0.3"/>
  <pageSetup paperSize="161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B360"/>
  <sheetViews>
    <sheetView zoomScaleNormal="100" workbookViewId="0">
      <pane ySplit="2" topLeftCell="A78" activePane="bottomLeft" state="frozen"/>
      <selection pane="bottomLeft" activeCell="H97" sqref="H97"/>
    </sheetView>
  </sheetViews>
  <sheetFormatPr defaultColWidth="9" defaultRowHeight="20.2" customHeight="1" x14ac:dyDescent="0.2"/>
  <cols>
    <col min="1" max="2" width="7.125" style="70" customWidth="1"/>
    <col min="3" max="3" width="14.125" style="71" customWidth="1"/>
    <col min="4" max="4" width="6.5" style="71" customWidth="1"/>
    <col min="5" max="5" width="9.25" style="71" customWidth="1"/>
    <col min="6" max="6" width="9.625" style="71" customWidth="1"/>
    <col min="7" max="7" width="9.25" style="71" customWidth="1"/>
    <col min="8" max="8" width="17" style="71" customWidth="1"/>
    <col min="9" max="10" width="8.625" style="72" customWidth="1"/>
    <col min="11" max="11" width="14.125" style="71" customWidth="1"/>
    <col min="12" max="13" width="6.5" style="71" customWidth="1"/>
    <col min="14" max="14" width="18.625" style="72" customWidth="1"/>
    <col min="15" max="15" width="9.875" style="67" customWidth="1"/>
    <col min="16" max="16" width="9.625" style="68" customWidth="1"/>
    <col min="17" max="17" width="10.375" style="69" customWidth="1"/>
    <col min="18" max="18" width="7.875" style="63" customWidth="1"/>
    <col min="19" max="19" width="9" style="63"/>
    <col min="20" max="340" width="9" style="62"/>
    <col min="341" max="16384" width="9" style="63"/>
  </cols>
  <sheetData>
    <row r="1" spans="1:340" ht="24" customHeight="1" x14ac:dyDescent="0.25">
      <c r="A1" s="80"/>
      <c r="B1" s="81" t="s">
        <v>157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3"/>
      <c r="O1" s="409"/>
      <c r="P1" s="414" t="s">
        <v>32</v>
      </c>
      <c r="Q1" s="59"/>
      <c r="R1" s="60"/>
      <c r="S1" s="61"/>
    </row>
    <row r="2" spans="1:340" s="65" customFormat="1" ht="20.2" customHeight="1" x14ac:dyDescent="0.2">
      <c r="A2" s="84" t="s">
        <v>33</v>
      </c>
      <c r="B2" s="85" t="s">
        <v>34</v>
      </c>
      <c r="C2" s="86" t="s">
        <v>18</v>
      </c>
      <c r="D2" s="87" t="s">
        <v>19</v>
      </c>
      <c r="E2" s="87" t="s">
        <v>20</v>
      </c>
      <c r="F2" s="86" t="s">
        <v>21</v>
      </c>
      <c r="G2" s="88" t="s">
        <v>22</v>
      </c>
      <c r="H2" s="86" t="s">
        <v>23</v>
      </c>
      <c r="I2" s="89" t="s">
        <v>24</v>
      </c>
      <c r="J2" s="89" t="s">
        <v>322</v>
      </c>
      <c r="K2" s="87" t="s">
        <v>25</v>
      </c>
      <c r="L2" s="86" t="s">
        <v>26</v>
      </c>
      <c r="M2" s="86" t="s">
        <v>27</v>
      </c>
      <c r="N2" s="87" t="s">
        <v>28</v>
      </c>
      <c r="O2" s="409" t="s">
        <v>6</v>
      </c>
      <c r="P2" s="415"/>
      <c r="Q2" s="64" t="s">
        <v>30</v>
      </c>
      <c r="R2" s="60" t="s">
        <v>31</v>
      </c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  <c r="IX2" s="66"/>
      <c r="IY2" s="66"/>
      <c r="IZ2" s="66"/>
      <c r="JA2" s="66"/>
      <c r="JB2" s="66"/>
      <c r="JC2" s="66"/>
      <c r="JD2" s="66"/>
      <c r="JE2" s="66"/>
      <c r="JF2" s="66"/>
      <c r="JG2" s="66"/>
      <c r="JH2" s="66"/>
      <c r="JI2" s="66"/>
      <c r="JJ2" s="66"/>
      <c r="JK2" s="66"/>
      <c r="JL2" s="66"/>
      <c r="JM2" s="66"/>
      <c r="JN2" s="66"/>
      <c r="JO2" s="66"/>
      <c r="JP2" s="66"/>
      <c r="JQ2" s="66"/>
      <c r="JR2" s="66"/>
      <c r="JS2" s="66"/>
      <c r="JT2" s="66"/>
      <c r="JU2" s="66"/>
      <c r="JV2" s="66"/>
      <c r="JW2" s="66"/>
      <c r="JX2" s="66"/>
      <c r="JY2" s="66"/>
      <c r="JZ2" s="66"/>
      <c r="KA2" s="66"/>
      <c r="KB2" s="66"/>
      <c r="KC2" s="66"/>
      <c r="KD2" s="66"/>
      <c r="KE2" s="66"/>
      <c r="KF2" s="66"/>
      <c r="KG2" s="66"/>
      <c r="KH2" s="66"/>
      <c r="KI2" s="66"/>
      <c r="KJ2" s="66"/>
      <c r="KK2" s="66"/>
      <c r="KL2" s="66"/>
      <c r="KM2" s="66"/>
      <c r="KN2" s="66"/>
      <c r="KO2" s="66"/>
      <c r="KP2" s="66"/>
      <c r="KQ2" s="66"/>
      <c r="KR2" s="66"/>
      <c r="KS2" s="66"/>
      <c r="KT2" s="66"/>
      <c r="KU2" s="66"/>
      <c r="KV2" s="66"/>
      <c r="KW2" s="66"/>
      <c r="KX2" s="66"/>
      <c r="KY2" s="66"/>
      <c r="KZ2" s="66"/>
      <c r="LA2" s="66"/>
      <c r="LB2" s="66"/>
      <c r="LC2" s="66"/>
      <c r="LD2" s="66"/>
      <c r="LE2" s="66"/>
      <c r="LF2" s="66"/>
      <c r="LG2" s="66"/>
      <c r="LH2" s="66"/>
      <c r="LI2" s="66"/>
      <c r="LJ2" s="66"/>
      <c r="LK2" s="66"/>
      <c r="LL2" s="66"/>
      <c r="LM2" s="66"/>
      <c r="LN2" s="66"/>
      <c r="LO2" s="66"/>
      <c r="LP2" s="66"/>
      <c r="LQ2" s="66"/>
      <c r="LR2" s="66"/>
      <c r="LS2" s="66"/>
      <c r="LT2" s="66"/>
      <c r="LU2" s="66"/>
      <c r="LV2" s="66"/>
      <c r="LW2" s="66"/>
      <c r="LX2" s="66"/>
      <c r="LY2" s="66"/>
      <c r="LZ2" s="66"/>
      <c r="MA2" s="66"/>
      <c r="MB2" s="66"/>
    </row>
    <row r="3" spans="1:340" s="1" customFormat="1" ht="19.649999999999999" customHeight="1" x14ac:dyDescent="0.25">
      <c r="A3" s="13">
        <v>45005</v>
      </c>
      <c r="B3" s="13">
        <v>45005</v>
      </c>
      <c r="C3" s="14" t="s">
        <v>38</v>
      </c>
      <c r="D3" s="14">
        <v>4</v>
      </c>
      <c r="E3" s="14">
        <f t="shared" ref="E3:E11" si="0">D3*200</f>
        <v>800</v>
      </c>
      <c r="F3" s="15" t="s">
        <v>2</v>
      </c>
      <c r="G3" s="14">
        <f t="shared" ref="G3:G11" si="1">D3*209</f>
        <v>836</v>
      </c>
      <c r="H3" s="15" t="s">
        <v>36</v>
      </c>
      <c r="I3" s="16">
        <f>8-D3</f>
        <v>4</v>
      </c>
      <c r="J3" s="16"/>
      <c r="K3" s="17">
        <v>230317008</v>
      </c>
      <c r="L3" s="18"/>
      <c r="M3" s="14"/>
      <c r="N3" s="14"/>
      <c r="O3" s="410"/>
      <c r="P3" s="73"/>
      <c r="Q3" s="74"/>
      <c r="R3" s="75"/>
    </row>
    <row r="4" spans="1:340" s="1" customFormat="1" ht="19.649999999999999" customHeight="1" x14ac:dyDescent="0.25">
      <c r="A4" s="13">
        <v>45005</v>
      </c>
      <c r="B4" s="13">
        <v>45005</v>
      </c>
      <c r="C4" s="14" t="s">
        <v>39</v>
      </c>
      <c r="D4" s="14">
        <v>4</v>
      </c>
      <c r="E4" s="14">
        <f t="shared" si="0"/>
        <v>800</v>
      </c>
      <c r="F4" s="15" t="s">
        <v>2</v>
      </c>
      <c r="G4" s="14">
        <f t="shared" si="1"/>
        <v>836</v>
      </c>
      <c r="H4" s="15" t="s">
        <v>36</v>
      </c>
      <c r="I4" s="16">
        <f>I3-D4</f>
        <v>0</v>
      </c>
      <c r="J4" s="16"/>
      <c r="K4" s="17">
        <v>230317008</v>
      </c>
      <c r="L4" s="18"/>
      <c r="M4" s="14"/>
      <c r="N4" s="14"/>
      <c r="O4" s="411"/>
      <c r="P4" s="76"/>
      <c r="Q4" s="77"/>
      <c r="R4" s="78"/>
    </row>
    <row r="5" spans="1:340" s="1" customFormat="1" ht="19.649999999999999" customHeight="1" x14ac:dyDescent="0.25">
      <c r="A5" s="7">
        <v>45050</v>
      </c>
      <c r="B5" s="7">
        <v>45050</v>
      </c>
      <c r="C5" s="8" t="s">
        <v>41</v>
      </c>
      <c r="D5" s="8">
        <v>4</v>
      </c>
      <c r="E5" s="8">
        <f t="shared" si="0"/>
        <v>800</v>
      </c>
      <c r="F5" s="9" t="s">
        <v>2</v>
      </c>
      <c r="G5" s="8">
        <f t="shared" si="1"/>
        <v>836</v>
      </c>
      <c r="H5" s="8" t="s">
        <v>44</v>
      </c>
      <c r="I5" s="10">
        <f>12-D5</f>
        <v>8</v>
      </c>
      <c r="J5" s="10"/>
      <c r="K5" s="11">
        <v>230503009</v>
      </c>
      <c r="L5" s="12"/>
      <c r="M5" s="8"/>
      <c r="N5" s="92" t="s">
        <v>46</v>
      </c>
      <c r="O5" s="411"/>
      <c r="P5" s="76"/>
      <c r="Q5" s="77"/>
      <c r="R5" s="78"/>
      <c r="S5" s="91"/>
    </row>
    <row r="6" spans="1:340" s="1" customFormat="1" ht="19.649999999999999" customHeight="1" x14ac:dyDescent="0.25">
      <c r="A6" s="7">
        <v>45050</v>
      </c>
      <c r="B6" s="7">
        <v>45050</v>
      </c>
      <c r="C6" s="8" t="s">
        <v>42</v>
      </c>
      <c r="D6" s="8">
        <v>4</v>
      </c>
      <c r="E6" s="8">
        <f t="shared" si="0"/>
        <v>800</v>
      </c>
      <c r="F6" s="9" t="s">
        <v>2</v>
      </c>
      <c r="G6" s="8">
        <f t="shared" si="1"/>
        <v>836</v>
      </c>
      <c r="H6" s="8" t="s">
        <v>44</v>
      </c>
      <c r="I6" s="10">
        <f>I5-D6</f>
        <v>4</v>
      </c>
      <c r="J6" s="10"/>
      <c r="K6" s="11">
        <v>230503009</v>
      </c>
      <c r="L6" s="12"/>
      <c r="M6" s="8"/>
      <c r="N6" s="94" t="s">
        <v>45</v>
      </c>
      <c r="O6" s="411"/>
      <c r="P6" s="76"/>
      <c r="Q6" s="77"/>
      <c r="R6" s="78"/>
    </row>
    <row r="7" spans="1:340" s="1" customFormat="1" ht="19.649999999999999" customHeight="1" x14ac:dyDescent="0.25">
      <c r="A7" s="7">
        <v>45050</v>
      </c>
      <c r="B7" s="7">
        <v>45050</v>
      </c>
      <c r="C7" s="8" t="s">
        <v>43</v>
      </c>
      <c r="D7" s="8">
        <v>4</v>
      </c>
      <c r="E7" s="8">
        <f t="shared" ref="E7:E8" si="2">D7*200</f>
        <v>800</v>
      </c>
      <c r="F7" s="9" t="s">
        <v>2</v>
      </c>
      <c r="G7" s="8">
        <f t="shared" ref="G7:G8" si="3">D7*209</f>
        <v>836</v>
      </c>
      <c r="H7" s="8" t="s">
        <v>44</v>
      </c>
      <c r="I7" s="10">
        <f>I6-D7</f>
        <v>0</v>
      </c>
      <c r="J7" s="10"/>
      <c r="K7" s="11">
        <v>230503009</v>
      </c>
      <c r="L7" s="12"/>
      <c r="M7" s="8"/>
      <c r="N7" s="94" t="s">
        <v>45</v>
      </c>
      <c r="O7" s="411"/>
      <c r="P7" s="76"/>
      <c r="Q7" s="77"/>
      <c r="R7" s="78"/>
    </row>
    <row r="8" spans="1:340" s="1" customFormat="1" ht="19.649999999999999" customHeight="1" x14ac:dyDescent="0.25">
      <c r="A8" s="52">
        <v>45127</v>
      </c>
      <c r="B8" s="52">
        <v>45127</v>
      </c>
      <c r="C8" s="53" t="s">
        <v>47</v>
      </c>
      <c r="D8" s="53">
        <v>4</v>
      </c>
      <c r="E8" s="53">
        <f t="shared" si="2"/>
        <v>800</v>
      </c>
      <c r="F8" s="54" t="s">
        <v>2</v>
      </c>
      <c r="G8" s="53">
        <f t="shared" si="3"/>
        <v>836</v>
      </c>
      <c r="H8" s="53" t="s">
        <v>48</v>
      </c>
      <c r="I8" s="55">
        <f>8-D8</f>
        <v>4</v>
      </c>
      <c r="J8" s="55"/>
      <c r="K8" s="56">
        <v>230719009</v>
      </c>
      <c r="L8" s="57"/>
      <c r="M8" s="53"/>
      <c r="N8" s="93"/>
      <c r="O8" s="411"/>
      <c r="P8" s="76"/>
      <c r="Q8" s="77"/>
      <c r="R8" s="78"/>
    </row>
    <row r="9" spans="1:340" s="1" customFormat="1" ht="19.649999999999999" customHeight="1" x14ac:dyDescent="0.25">
      <c r="A9" s="52">
        <v>45127</v>
      </c>
      <c r="B9" s="52">
        <v>45127</v>
      </c>
      <c r="C9" s="53" t="s">
        <v>49</v>
      </c>
      <c r="D9" s="53">
        <v>4</v>
      </c>
      <c r="E9" s="53">
        <f t="shared" si="0"/>
        <v>800</v>
      </c>
      <c r="F9" s="54" t="s">
        <v>2</v>
      </c>
      <c r="G9" s="53">
        <f t="shared" si="1"/>
        <v>836</v>
      </c>
      <c r="H9" s="53" t="s">
        <v>50</v>
      </c>
      <c r="I9" s="55">
        <f>I8-D9</f>
        <v>0</v>
      </c>
      <c r="J9" s="55"/>
      <c r="K9" s="56">
        <v>230719009</v>
      </c>
      <c r="L9" s="57"/>
      <c r="M9" s="53"/>
      <c r="N9" s="53"/>
      <c r="O9" s="411"/>
      <c r="P9" s="76"/>
      <c r="Q9" s="77"/>
      <c r="R9" s="78"/>
    </row>
    <row r="10" spans="1:340" s="1" customFormat="1" ht="19.649999999999999" customHeight="1" x14ac:dyDescent="0.25">
      <c r="A10" s="21">
        <v>45155</v>
      </c>
      <c r="B10" s="21">
        <v>45155</v>
      </c>
      <c r="C10" s="22" t="s">
        <v>51</v>
      </c>
      <c r="D10" s="22">
        <v>4</v>
      </c>
      <c r="E10" s="22">
        <f t="shared" si="0"/>
        <v>800</v>
      </c>
      <c r="F10" s="49"/>
      <c r="G10" s="22">
        <f t="shared" si="1"/>
        <v>836</v>
      </c>
      <c r="H10" s="22"/>
      <c r="I10" s="23"/>
      <c r="J10" s="23"/>
      <c r="K10" s="24"/>
      <c r="L10" s="25"/>
      <c r="M10" s="22"/>
      <c r="N10" s="95" t="s">
        <v>52</v>
      </c>
      <c r="O10" s="411"/>
      <c r="P10" s="76"/>
      <c r="Q10" s="77"/>
      <c r="R10" s="78"/>
    </row>
    <row r="11" spans="1:340" s="1" customFormat="1" ht="19.649999999999999" customHeight="1" x14ac:dyDescent="0.25">
      <c r="A11" s="26">
        <v>45247</v>
      </c>
      <c r="B11" s="26">
        <v>45247</v>
      </c>
      <c r="C11" s="27" t="s">
        <v>53</v>
      </c>
      <c r="D11" s="27">
        <v>4</v>
      </c>
      <c r="E11" s="27">
        <f t="shared" si="0"/>
        <v>800</v>
      </c>
      <c r="F11" s="28" t="s">
        <v>2</v>
      </c>
      <c r="G11" s="27">
        <f t="shared" si="1"/>
        <v>836</v>
      </c>
      <c r="H11" s="27" t="s">
        <v>80</v>
      </c>
      <c r="I11" s="29">
        <f>12-D11</f>
        <v>8</v>
      </c>
      <c r="J11" s="29"/>
      <c r="K11" s="30">
        <v>231116001</v>
      </c>
      <c r="L11" s="31"/>
      <c r="M11" s="27"/>
      <c r="N11" s="96"/>
      <c r="O11" s="411"/>
      <c r="P11" s="76"/>
      <c r="Q11" s="77"/>
      <c r="R11" s="78"/>
    </row>
    <row r="12" spans="1:340" s="1" customFormat="1" ht="19.649999999999999" customHeight="1" x14ac:dyDescent="0.25">
      <c r="A12" s="26">
        <v>45247</v>
      </c>
      <c r="B12" s="26">
        <v>45247</v>
      </c>
      <c r="C12" s="27" t="s">
        <v>54</v>
      </c>
      <c r="D12" s="27">
        <v>4</v>
      </c>
      <c r="E12" s="27">
        <f t="shared" ref="E12" si="4">D12*200</f>
        <v>800</v>
      </c>
      <c r="F12" s="28" t="s">
        <v>2</v>
      </c>
      <c r="G12" s="27">
        <f t="shared" ref="G12" si="5">D12*209</f>
        <v>836</v>
      </c>
      <c r="H12" s="27" t="s">
        <v>56</v>
      </c>
      <c r="I12" s="29">
        <f>I11-D12</f>
        <v>4</v>
      </c>
      <c r="J12" s="29"/>
      <c r="K12" s="30">
        <v>231116001</v>
      </c>
      <c r="L12" s="31"/>
      <c r="M12" s="27"/>
      <c r="N12" s="27"/>
      <c r="O12" s="411"/>
      <c r="P12" s="76"/>
      <c r="Q12" s="77"/>
      <c r="R12" s="78"/>
    </row>
    <row r="13" spans="1:340" s="1" customFormat="1" ht="19.649999999999999" customHeight="1" x14ac:dyDescent="0.25">
      <c r="A13" s="32">
        <v>45253</v>
      </c>
      <c r="B13" s="32">
        <v>45253</v>
      </c>
      <c r="C13" s="33" t="s">
        <v>55</v>
      </c>
      <c r="D13" s="33">
        <v>4</v>
      </c>
      <c r="E13" s="33">
        <f t="shared" ref="E13" si="6">D13*200</f>
        <v>800</v>
      </c>
      <c r="F13" s="34" t="s">
        <v>2</v>
      </c>
      <c r="G13" s="33">
        <f t="shared" ref="G13" si="7">D13*209</f>
        <v>836</v>
      </c>
      <c r="H13" s="33" t="s">
        <v>57</v>
      </c>
      <c r="I13" s="35">
        <f>I12-D13</f>
        <v>0</v>
      </c>
      <c r="J13" s="35"/>
      <c r="K13" s="36">
        <v>231116002</v>
      </c>
      <c r="L13" s="37"/>
      <c r="M13" s="33"/>
      <c r="N13" s="33" t="s">
        <v>58</v>
      </c>
      <c r="O13" s="411"/>
      <c r="P13" s="76"/>
      <c r="Q13" s="77"/>
      <c r="R13" s="78"/>
    </row>
    <row r="14" spans="1:340" ht="20.2" customHeight="1" x14ac:dyDescent="0.25">
      <c r="A14" s="97">
        <v>45407</v>
      </c>
      <c r="B14" s="97">
        <v>45407</v>
      </c>
      <c r="C14" s="98" t="s">
        <v>59</v>
      </c>
      <c r="D14" s="98">
        <v>4</v>
      </c>
      <c r="E14" s="38">
        <f t="shared" ref="E14:E31" si="8">D14*200</f>
        <v>800</v>
      </c>
      <c r="F14" s="39" t="s">
        <v>2</v>
      </c>
      <c r="G14" s="38">
        <f t="shared" ref="G14:G31" si="9">D14*209</f>
        <v>836</v>
      </c>
      <c r="H14" s="117" t="s">
        <v>180</v>
      </c>
      <c r="I14" s="99">
        <f>20000-E14</f>
        <v>19200</v>
      </c>
      <c r="J14" s="99"/>
      <c r="K14" s="98">
        <v>240423009</v>
      </c>
      <c r="L14" s="98"/>
      <c r="M14" s="98"/>
      <c r="N14" s="113" t="s">
        <v>60</v>
      </c>
    </row>
    <row r="15" spans="1:340" ht="20.2" customHeight="1" x14ac:dyDescent="0.25">
      <c r="A15" s="114">
        <v>45422</v>
      </c>
      <c r="B15" s="114">
        <v>45422</v>
      </c>
      <c r="C15" s="115" t="s">
        <v>61</v>
      </c>
      <c r="D15" s="115">
        <v>4</v>
      </c>
      <c r="E15" s="105">
        <f t="shared" ref="E15" si="10">D15*200</f>
        <v>800</v>
      </c>
      <c r="F15" s="106" t="s">
        <v>3</v>
      </c>
      <c r="G15" s="105">
        <f t="shared" ref="G15" si="11">D15*209</f>
        <v>836</v>
      </c>
      <c r="H15" s="118" t="s">
        <v>76</v>
      </c>
      <c r="I15" s="116">
        <f>20000-E15</f>
        <v>19200</v>
      </c>
      <c r="J15" s="116"/>
      <c r="K15" s="115">
        <v>240509008</v>
      </c>
      <c r="L15" s="115"/>
      <c r="M15" s="115"/>
      <c r="N15" s="116"/>
    </row>
    <row r="16" spans="1:340" ht="20.2" customHeight="1" x14ac:dyDescent="0.25">
      <c r="A16" s="114">
        <v>45422</v>
      </c>
      <c r="B16" s="114">
        <v>45422</v>
      </c>
      <c r="C16" s="115" t="s">
        <v>62</v>
      </c>
      <c r="D16" s="115">
        <v>4</v>
      </c>
      <c r="E16" s="105">
        <f t="shared" ref="E16:E18" si="12">D16*200</f>
        <v>800</v>
      </c>
      <c r="F16" s="106" t="s">
        <v>3</v>
      </c>
      <c r="G16" s="105">
        <f t="shared" ref="G16:G18" si="13">D16*209</f>
        <v>836</v>
      </c>
      <c r="H16" s="115" t="s">
        <v>67</v>
      </c>
      <c r="I16" s="116">
        <f t="shared" ref="I16:I26" si="14">I15-E16</f>
        <v>18400</v>
      </c>
      <c r="J16" s="116"/>
      <c r="K16" s="115">
        <v>240509008</v>
      </c>
      <c r="L16" s="115"/>
      <c r="M16" s="115"/>
      <c r="N16" s="116"/>
    </row>
    <row r="17" spans="1:20" ht="20.2" customHeight="1" x14ac:dyDescent="0.25">
      <c r="A17" s="114">
        <v>45422</v>
      </c>
      <c r="B17" s="114">
        <v>45422</v>
      </c>
      <c r="C17" s="115" t="s">
        <v>63</v>
      </c>
      <c r="D17" s="115">
        <v>4</v>
      </c>
      <c r="E17" s="105">
        <f t="shared" si="12"/>
        <v>800</v>
      </c>
      <c r="F17" s="106" t="s">
        <v>3</v>
      </c>
      <c r="G17" s="105">
        <f t="shared" si="13"/>
        <v>836</v>
      </c>
      <c r="H17" s="115" t="s">
        <v>67</v>
      </c>
      <c r="I17" s="116">
        <f t="shared" si="14"/>
        <v>17600</v>
      </c>
      <c r="J17" s="116"/>
      <c r="K17" s="115">
        <v>240509008</v>
      </c>
      <c r="L17" s="115"/>
      <c r="M17" s="115"/>
      <c r="N17" s="116"/>
    </row>
    <row r="18" spans="1:20" ht="20.2" customHeight="1" x14ac:dyDescent="0.25">
      <c r="A18" s="114">
        <v>45422</v>
      </c>
      <c r="B18" s="114">
        <v>45422</v>
      </c>
      <c r="C18" s="115" t="s">
        <v>64</v>
      </c>
      <c r="D18" s="115">
        <v>4</v>
      </c>
      <c r="E18" s="105">
        <f t="shared" si="12"/>
        <v>800</v>
      </c>
      <c r="F18" s="106" t="s">
        <v>3</v>
      </c>
      <c r="G18" s="105">
        <f t="shared" si="13"/>
        <v>836</v>
      </c>
      <c r="H18" s="115" t="s">
        <v>67</v>
      </c>
      <c r="I18" s="116">
        <f t="shared" si="14"/>
        <v>16800</v>
      </c>
      <c r="J18" s="116"/>
      <c r="K18" s="115">
        <v>240509008</v>
      </c>
      <c r="L18" s="115"/>
      <c r="M18" s="115"/>
      <c r="N18" s="116"/>
    </row>
    <row r="19" spans="1:20" ht="20.2" customHeight="1" x14ac:dyDescent="0.25">
      <c r="A19" s="114">
        <v>45422</v>
      </c>
      <c r="B19" s="114">
        <v>45422</v>
      </c>
      <c r="C19" s="115" t="s">
        <v>65</v>
      </c>
      <c r="D19" s="115">
        <v>4</v>
      </c>
      <c r="E19" s="105">
        <f t="shared" ref="E19:E20" si="15">D19*200</f>
        <v>800</v>
      </c>
      <c r="F19" s="106" t="s">
        <v>3</v>
      </c>
      <c r="G19" s="105">
        <f t="shared" ref="G19:G20" si="16">D19*209</f>
        <v>836</v>
      </c>
      <c r="H19" s="115" t="s">
        <v>67</v>
      </c>
      <c r="I19" s="116">
        <f t="shared" si="14"/>
        <v>16000</v>
      </c>
      <c r="J19" s="116"/>
      <c r="K19" s="115">
        <v>240509008</v>
      </c>
      <c r="L19" s="115"/>
      <c r="M19" s="115"/>
      <c r="N19" s="116"/>
    </row>
    <row r="20" spans="1:20" ht="20.2" customHeight="1" x14ac:dyDescent="0.25">
      <c r="A20" s="114">
        <v>45422</v>
      </c>
      <c r="B20" s="114">
        <v>45422</v>
      </c>
      <c r="C20" s="115" t="s">
        <v>66</v>
      </c>
      <c r="D20" s="115">
        <v>4</v>
      </c>
      <c r="E20" s="105">
        <f t="shared" si="15"/>
        <v>800</v>
      </c>
      <c r="F20" s="106" t="s">
        <v>3</v>
      </c>
      <c r="G20" s="105">
        <f t="shared" si="16"/>
        <v>836</v>
      </c>
      <c r="H20" s="115" t="s">
        <v>181</v>
      </c>
      <c r="I20" s="116">
        <f t="shared" si="14"/>
        <v>15200</v>
      </c>
      <c r="J20" s="116"/>
      <c r="K20" s="115">
        <v>240509009</v>
      </c>
      <c r="L20" s="115"/>
      <c r="M20" s="115"/>
      <c r="N20" s="116"/>
    </row>
    <row r="21" spans="1:20" ht="20.2" customHeight="1" x14ac:dyDescent="0.25">
      <c r="A21" s="119">
        <v>45429</v>
      </c>
      <c r="B21" s="119">
        <v>45429</v>
      </c>
      <c r="C21" s="120" t="s">
        <v>68</v>
      </c>
      <c r="D21" s="120">
        <v>4</v>
      </c>
      <c r="E21" s="110">
        <f t="shared" ref="E21" si="17">D21*200</f>
        <v>800</v>
      </c>
      <c r="F21" s="111" t="s">
        <v>3</v>
      </c>
      <c r="G21" s="110">
        <f t="shared" ref="G21" si="18">D21*209</f>
        <v>836</v>
      </c>
      <c r="H21" s="120" t="s">
        <v>74</v>
      </c>
      <c r="I21" s="121">
        <f t="shared" si="14"/>
        <v>14400</v>
      </c>
      <c r="J21" s="121"/>
      <c r="K21" s="120">
        <v>240516009</v>
      </c>
      <c r="L21" s="120"/>
      <c r="M21" s="120"/>
      <c r="N21" s="121" t="s">
        <v>94</v>
      </c>
    </row>
    <row r="22" spans="1:20" ht="20.2" customHeight="1" x14ac:dyDescent="0.25">
      <c r="A22" s="119">
        <v>45429</v>
      </c>
      <c r="B22" s="119">
        <v>45429</v>
      </c>
      <c r="C22" s="177" t="s">
        <v>69</v>
      </c>
      <c r="D22" s="120">
        <v>4</v>
      </c>
      <c r="E22" s="110">
        <f t="shared" ref="E22:E24" si="19">D22*200</f>
        <v>800</v>
      </c>
      <c r="F22" s="111" t="s">
        <v>3</v>
      </c>
      <c r="G22" s="110">
        <f t="shared" ref="G22:G24" si="20">D22*209</f>
        <v>836</v>
      </c>
      <c r="H22" s="120" t="s">
        <v>67</v>
      </c>
      <c r="I22" s="121">
        <f t="shared" si="14"/>
        <v>13600</v>
      </c>
      <c r="J22" s="121"/>
      <c r="K22" s="120">
        <v>240516009</v>
      </c>
      <c r="L22" s="120"/>
      <c r="M22" s="120"/>
      <c r="N22" s="121" t="s">
        <v>94</v>
      </c>
      <c r="T22" s="151" t="s">
        <v>95</v>
      </c>
    </row>
    <row r="23" spans="1:20" ht="20.2" customHeight="1" x14ac:dyDescent="0.25">
      <c r="A23" s="119">
        <v>45429</v>
      </c>
      <c r="B23" s="119">
        <v>45429</v>
      </c>
      <c r="C23" s="120" t="s">
        <v>70</v>
      </c>
      <c r="D23" s="120">
        <v>4</v>
      </c>
      <c r="E23" s="110">
        <f t="shared" si="19"/>
        <v>800</v>
      </c>
      <c r="F23" s="111" t="s">
        <v>3</v>
      </c>
      <c r="G23" s="110">
        <f t="shared" si="20"/>
        <v>836</v>
      </c>
      <c r="H23" s="120" t="s">
        <v>67</v>
      </c>
      <c r="I23" s="121">
        <f t="shared" si="14"/>
        <v>12800</v>
      </c>
      <c r="J23" s="121"/>
      <c r="K23" s="120">
        <v>240516009</v>
      </c>
      <c r="L23" s="120"/>
      <c r="M23" s="120"/>
      <c r="N23" s="121" t="s">
        <v>94</v>
      </c>
    </row>
    <row r="24" spans="1:20" ht="20.2" customHeight="1" x14ac:dyDescent="0.25">
      <c r="A24" s="119">
        <v>45429</v>
      </c>
      <c r="B24" s="119">
        <v>45429</v>
      </c>
      <c r="C24" s="120" t="s">
        <v>71</v>
      </c>
      <c r="D24" s="120">
        <v>4</v>
      </c>
      <c r="E24" s="110">
        <f t="shared" si="19"/>
        <v>800</v>
      </c>
      <c r="F24" s="111" t="s">
        <v>3</v>
      </c>
      <c r="G24" s="110">
        <f t="shared" si="20"/>
        <v>836</v>
      </c>
      <c r="H24" s="120" t="s">
        <v>67</v>
      </c>
      <c r="I24" s="121">
        <f t="shared" si="14"/>
        <v>12000</v>
      </c>
      <c r="J24" s="121"/>
      <c r="K24" s="120">
        <v>240516009</v>
      </c>
      <c r="L24" s="120"/>
      <c r="M24" s="120"/>
      <c r="N24" s="121" t="s">
        <v>94</v>
      </c>
    </row>
    <row r="25" spans="1:20" ht="20.2" customHeight="1" x14ac:dyDescent="0.25">
      <c r="A25" s="119">
        <v>45429</v>
      </c>
      <c r="B25" s="119">
        <v>45429</v>
      </c>
      <c r="C25" s="120" t="s">
        <v>72</v>
      </c>
      <c r="D25" s="120">
        <v>4</v>
      </c>
      <c r="E25" s="110">
        <f t="shared" ref="E25" si="21">D25*200</f>
        <v>800</v>
      </c>
      <c r="F25" s="111" t="s">
        <v>3</v>
      </c>
      <c r="G25" s="110">
        <f t="shared" ref="G25" si="22">D25*209</f>
        <v>836</v>
      </c>
      <c r="H25" s="120" t="s">
        <v>67</v>
      </c>
      <c r="I25" s="121">
        <f t="shared" si="14"/>
        <v>11200</v>
      </c>
      <c r="J25" s="121"/>
      <c r="K25" s="120">
        <v>240516009</v>
      </c>
      <c r="L25" s="120"/>
      <c r="M25" s="120"/>
      <c r="N25" s="121" t="s">
        <v>94</v>
      </c>
    </row>
    <row r="26" spans="1:20" ht="20.2" customHeight="1" x14ac:dyDescent="0.25">
      <c r="A26" s="119">
        <v>45429</v>
      </c>
      <c r="B26" s="119">
        <v>45429</v>
      </c>
      <c r="C26" s="120" t="s">
        <v>73</v>
      </c>
      <c r="D26" s="120">
        <v>4</v>
      </c>
      <c r="E26" s="110">
        <f t="shared" ref="E26" si="23">D26*200</f>
        <v>800</v>
      </c>
      <c r="F26" s="111" t="s">
        <v>3</v>
      </c>
      <c r="G26" s="110">
        <f t="shared" ref="G26" si="24">D26*209</f>
        <v>836</v>
      </c>
      <c r="H26" s="120" t="s">
        <v>79</v>
      </c>
      <c r="I26" s="121">
        <f t="shared" si="14"/>
        <v>10400</v>
      </c>
      <c r="J26" s="121"/>
      <c r="K26" s="120">
        <v>240516010</v>
      </c>
      <c r="L26" s="120"/>
      <c r="M26" s="120"/>
      <c r="N26" s="121" t="s">
        <v>94</v>
      </c>
    </row>
    <row r="27" spans="1:20" ht="20.2" customHeight="1" x14ac:dyDescent="0.25">
      <c r="A27" s="155">
        <v>45614</v>
      </c>
      <c r="B27" s="155">
        <v>45614</v>
      </c>
      <c r="C27" s="156" t="s">
        <v>99</v>
      </c>
      <c r="D27" s="156">
        <v>4</v>
      </c>
      <c r="E27" s="102">
        <f t="shared" ref="E27:E29" si="25">D27*200</f>
        <v>800</v>
      </c>
      <c r="F27" s="103" t="s">
        <v>3</v>
      </c>
      <c r="G27" s="102">
        <f t="shared" ref="G27:G29" si="26">D27*209</f>
        <v>836</v>
      </c>
      <c r="H27" s="156" t="s">
        <v>100</v>
      </c>
      <c r="I27" s="157">
        <f t="shared" ref="I27:I32" si="27">I26-E27</f>
        <v>9600</v>
      </c>
      <c r="J27" s="157"/>
      <c r="K27" s="156">
        <v>241115008</v>
      </c>
      <c r="L27" s="156">
        <v>4</v>
      </c>
      <c r="M27" s="156">
        <f t="shared" ref="M27:M32" si="28">L27-D27</f>
        <v>0</v>
      </c>
      <c r="N27" s="157"/>
    </row>
    <row r="28" spans="1:20" ht="20.2" customHeight="1" x14ac:dyDescent="0.25">
      <c r="A28" s="158">
        <v>45617</v>
      </c>
      <c r="B28" s="158">
        <v>45617</v>
      </c>
      <c r="C28" s="159" t="s">
        <v>101</v>
      </c>
      <c r="D28" s="159">
        <v>4</v>
      </c>
      <c r="E28" s="27">
        <f t="shared" si="25"/>
        <v>800</v>
      </c>
      <c r="F28" s="28" t="s">
        <v>3</v>
      </c>
      <c r="G28" s="27">
        <f t="shared" si="26"/>
        <v>836</v>
      </c>
      <c r="H28" s="159" t="s">
        <v>102</v>
      </c>
      <c r="I28" s="160">
        <f t="shared" si="27"/>
        <v>8800</v>
      </c>
      <c r="J28" s="160"/>
      <c r="K28" s="159">
        <v>241120010</v>
      </c>
      <c r="L28" s="159">
        <v>4</v>
      </c>
      <c r="M28" s="159">
        <f t="shared" si="28"/>
        <v>0</v>
      </c>
      <c r="N28" s="160"/>
    </row>
    <row r="29" spans="1:20" ht="20.2" customHeight="1" x14ac:dyDescent="0.25">
      <c r="A29" s="146">
        <v>45621</v>
      </c>
      <c r="B29" s="146">
        <v>45621</v>
      </c>
      <c r="C29" s="147" t="s">
        <v>103</v>
      </c>
      <c r="D29" s="147">
        <v>4</v>
      </c>
      <c r="E29" s="100">
        <f t="shared" si="25"/>
        <v>800</v>
      </c>
      <c r="F29" s="101" t="s">
        <v>3</v>
      </c>
      <c r="G29" s="100">
        <f t="shared" si="26"/>
        <v>836</v>
      </c>
      <c r="H29" s="147" t="s">
        <v>105</v>
      </c>
      <c r="I29" s="149">
        <f t="shared" si="27"/>
        <v>8000</v>
      </c>
      <c r="J29" s="149"/>
      <c r="K29" s="147">
        <v>241122006</v>
      </c>
      <c r="L29" s="147">
        <v>4</v>
      </c>
      <c r="M29" s="147">
        <f t="shared" si="28"/>
        <v>0</v>
      </c>
      <c r="N29" s="149"/>
    </row>
    <row r="30" spans="1:20" ht="20.2" customHeight="1" x14ac:dyDescent="0.25">
      <c r="A30" s="146">
        <v>45621</v>
      </c>
      <c r="B30" s="146">
        <v>45621</v>
      </c>
      <c r="C30" s="147" t="s">
        <v>104</v>
      </c>
      <c r="D30" s="147">
        <v>4</v>
      </c>
      <c r="E30" s="100">
        <f t="shared" ref="E30" si="29">D30*200</f>
        <v>800</v>
      </c>
      <c r="F30" s="101" t="s">
        <v>3</v>
      </c>
      <c r="G30" s="100">
        <f t="shared" ref="G30" si="30">D30*209</f>
        <v>836</v>
      </c>
      <c r="H30" s="147" t="s">
        <v>105</v>
      </c>
      <c r="I30" s="149">
        <f t="shared" si="27"/>
        <v>7200</v>
      </c>
      <c r="J30" s="149"/>
      <c r="K30" s="147">
        <v>241122006</v>
      </c>
      <c r="L30" s="147">
        <v>4</v>
      </c>
      <c r="M30" s="147">
        <f t="shared" si="28"/>
        <v>0</v>
      </c>
      <c r="N30" s="149"/>
    </row>
    <row r="31" spans="1:20" ht="20.2" customHeight="1" x14ac:dyDescent="0.25">
      <c r="A31" s="165">
        <v>45628</v>
      </c>
      <c r="B31" s="165">
        <v>45628</v>
      </c>
      <c r="C31" s="166" t="s">
        <v>106</v>
      </c>
      <c r="D31" s="166">
        <v>4</v>
      </c>
      <c r="E31" s="126">
        <f t="shared" si="8"/>
        <v>800</v>
      </c>
      <c r="F31" s="127" t="s">
        <v>3</v>
      </c>
      <c r="G31" s="126">
        <f t="shared" si="9"/>
        <v>836</v>
      </c>
      <c r="H31" s="166" t="s">
        <v>108</v>
      </c>
      <c r="I31" s="167">
        <f t="shared" si="27"/>
        <v>6400</v>
      </c>
      <c r="J31" s="167"/>
      <c r="K31" s="166">
        <v>241129007</v>
      </c>
      <c r="L31" s="166">
        <v>4</v>
      </c>
      <c r="M31" s="166">
        <f t="shared" si="28"/>
        <v>0</v>
      </c>
      <c r="N31" s="167"/>
    </row>
    <row r="32" spans="1:20" ht="20.2" customHeight="1" x14ac:dyDescent="0.25">
      <c r="A32" s="165">
        <v>45628</v>
      </c>
      <c r="B32" s="165">
        <v>45628</v>
      </c>
      <c r="C32" s="166" t="s">
        <v>107</v>
      </c>
      <c r="D32" s="166">
        <v>4</v>
      </c>
      <c r="E32" s="126">
        <f t="shared" ref="E32:E33" si="31">D32*200</f>
        <v>800</v>
      </c>
      <c r="F32" s="127" t="s">
        <v>3</v>
      </c>
      <c r="G32" s="126">
        <f t="shared" ref="G32:G33" si="32">D32*209</f>
        <v>836</v>
      </c>
      <c r="H32" s="166" t="s">
        <v>115</v>
      </c>
      <c r="I32" s="167">
        <f t="shared" si="27"/>
        <v>5600</v>
      </c>
      <c r="J32" s="167"/>
      <c r="K32" s="166">
        <v>241129007</v>
      </c>
      <c r="L32" s="166">
        <v>4</v>
      </c>
      <c r="M32" s="166">
        <f t="shared" si="28"/>
        <v>0</v>
      </c>
      <c r="N32" s="167"/>
    </row>
    <row r="33" spans="1:14" ht="20.2" customHeight="1" x14ac:dyDescent="0.25">
      <c r="A33" s="133">
        <v>45635</v>
      </c>
      <c r="B33" s="133">
        <v>45635</v>
      </c>
      <c r="C33" s="134" t="s">
        <v>109</v>
      </c>
      <c r="D33" s="134">
        <v>4</v>
      </c>
      <c r="E33" s="8">
        <f t="shared" si="31"/>
        <v>800</v>
      </c>
      <c r="F33" s="9" t="s">
        <v>3</v>
      </c>
      <c r="G33" s="8">
        <f t="shared" si="32"/>
        <v>836</v>
      </c>
      <c r="H33" s="134" t="s">
        <v>116</v>
      </c>
      <c r="I33" s="136">
        <f>I32-E33</f>
        <v>4800</v>
      </c>
      <c r="J33" s="136"/>
      <c r="K33" s="134">
        <v>241206004</v>
      </c>
      <c r="L33" s="134">
        <v>4</v>
      </c>
      <c r="M33" s="134">
        <f t="shared" ref="M33:M38" si="33">L33-D33</f>
        <v>0</v>
      </c>
      <c r="N33" s="136"/>
    </row>
    <row r="34" spans="1:14" ht="20.2" customHeight="1" x14ac:dyDescent="0.25">
      <c r="A34" s="133">
        <v>45635</v>
      </c>
      <c r="B34" s="133">
        <v>45635</v>
      </c>
      <c r="C34" s="134" t="s">
        <v>110</v>
      </c>
      <c r="D34" s="134">
        <v>4</v>
      </c>
      <c r="E34" s="8">
        <f t="shared" ref="E34:E36" si="34">D34*200</f>
        <v>800</v>
      </c>
      <c r="F34" s="9" t="s">
        <v>3</v>
      </c>
      <c r="G34" s="8">
        <f t="shared" ref="G34:G36" si="35">D34*209</f>
        <v>836</v>
      </c>
      <c r="H34" s="134" t="s">
        <v>117</v>
      </c>
      <c r="I34" s="136">
        <f>I33-E34</f>
        <v>4000</v>
      </c>
      <c r="J34" s="136"/>
      <c r="K34" s="134">
        <v>241206004</v>
      </c>
      <c r="L34" s="134">
        <v>4</v>
      </c>
      <c r="M34" s="134">
        <f t="shared" si="33"/>
        <v>0</v>
      </c>
      <c r="N34" s="136"/>
    </row>
    <row r="35" spans="1:14" ht="20.2" customHeight="1" x14ac:dyDescent="0.25">
      <c r="A35" s="158">
        <v>45642</v>
      </c>
      <c r="B35" s="158">
        <v>45642</v>
      </c>
      <c r="C35" s="159" t="s">
        <v>111</v>
      </c>
      <c r="D35" s="159">
        <v>4</v>
      </c>
      <c r="E35" s="27">
        <f t="shared" si="34"/>
        <v>800</v>
      </c>
      <c r="F35" s="28" t="s">
        <v>3</v>
      </c>
      <c r="G35" s="27">
        <f t="shared" si="35"/>
        <v>836</v>
      </c>
      <c r="H35" s="159" t="s">
        <v>118</v>
      </c>
      <c r="I35" s="160">
        <f>I34-E35</f>
        <v>3200</v>
      </c>
      <c r="J35" s="160"/>
      <c r="K35" s="159">
        <v>241213004</v>
      </c>
      <c r="L35" s="159">
        <v>4</v>
      </c>
      <c r="M35" s="159">
        <f t="shared" si="33"/>
        <v>0</v>
      </c>
      <c r="N35" s="160"/>
    </row>
    <row r="36" spans="1:14" ht="20.2" customHeight="1" x14ac:dyDescent="0.25">
      <c r="A36" s="158">
        <v>45642</v>
      </c>
      <c r="B36" s="158">
        <v>45642</v>
      </c>
      <c r="C36" s="159" t="s">
        <v>112</v>
      </c>
      <c r="D36" s="159">
        <v>4</v>
      </c>
      <c r="E36" s="27">
        <f t="shared" si="34"/>
        <v>800</v>
      </c>
      <c r="F36" s="28" t="s">
        <v>3</v>
      </c>
      <c r="G36" s="27">
        <f t="shared" si="35"/>
        <v>836</v>
      </c>
      <c r="H36" s="159" t="s">
        <v>74</v>
      </c>
      <c r="I36" s="160">
        <f>I35-E36</f>
        <v>2400</v>
      </c>
      <c r="J36" s="160"/>
      <c r="K36" s="159">
        <v>241213004</v>
      </c>
      <c r="L36" s="159">
        <v>4</v>
      </c>
      <c r="M36" s="159">
        <f t="shared" si="33"/>
        <v>0</v>
      </c>
      <c r="N36" s="160"/>
    </row>
    <row r="37" spans="1:14" ht="20.2" customHeight="1" x14ac:dyDescent="0.25">
      <c r="A37" s="97">
        <v>45649</v>
      </c>
      <c r="B37" s="97">
        <v>45649</v>
      </c>
      <c r="C37" s="98" t="s">
        <v>113</v>
      </c>
      <c r="D37" s="98">
        <v>4</v>
      </c>
      <c r="E37" s="38">
        <f t="shared" ref="E37" si="36">D37*200</f>
        <v>800</v>
      </c>
      <c r="F37" s="39" t="s">
        <v>3</v>
      </c>
      <c r="G37" s="38">
        <f t="shared" ref="G37" si="37">D37*209</f>
        <v>836</v>
      </c>
      <c r="H37" s="98" t="s">
        <v>122</v>
      </c>
      <c r="I37" s="99">
        <f>16-D37</f>
        <v>12</v>
      </c>
      <c r="J37" s="99"/>
      <c r="K37" s="98">
        <v>241220006</v>
      </c>
      <c r="L37" s="98">
        <v>4</v>
      </c>
      <c r="M37" s="98">
        <f t="shared" si="33"/>
        <v>0</v>
      </c>
      <c r="N37" s="99"/>
    </row>
    <row r="38" spans="1:14" ht="20.2" customHeight="1" x14ac:dyDescent="0.25">
      <c r="A38" s="97">
        <v>45649</v>
      </c>
      <c r="B38" s="97">
        <v>45649</v>
      </c>
      <c r="C38" s="98" t="s">
        <v>114</v>
      </c>
      <c r="D38" s="98">
        <v>4</v>
      </c>
      <c r="E38" s="38">
        <f t="shared" ref="E38:E39" si="38">D38*200</f>
        <v>800</v>
      </c>
      <c r="F38" s="39" t="s">
        <v>3</v>
      </c>
      <c r="G38" s="38">
        <f t="shared" ref="G38:G39" si="39">D38*209</f>
        <v>836</v>
      </c>
      <c r="H38" s="98" t="s">
        <v>121</v>
      </c>
      <c r="I38" s="99">
        <f>I37-D38</f>
        <v>8</v>
      </c>
      <c r="J38" s="99"/>
      <c r="K38" s="98">
        <v>241220006</v>
      </c>
      <c r="L38" s="98">
        <v>4</v>
      </c>
      <c r="M38" s="98">
        <f t="shared" si="33"/>
        <v>0</v>
      </c>
      <c r="N38" s="99"/>
    </row>
    <row r="39" spans="1:14" ht="20.2" customHeight="1" x14ac:dyDescent="0.25">
      <c r="A39" s="152">
        <v>45656</v>
      </c>
      <c r="B39" s="152">
        <v>45656</v>
      </c>
      <c r="C39" s="153" t="s">
        <v>119</v>
      </c>
      <c r="D39" s="153">
        <v>4</v>
      </c>
      <c r="E39" s="14">
        <f t="shared" si="38"/>
        <v>800</v>
      </c>
      <c r="F39" s="15" t="s">
        <v>3</v>
      </c>
      <c r="G39" s="14">
        <f t="shared" si="39"/>
        <v>836</v>
      </c>
      <c r="H39" s="153" t="s">
        <v>123</v>
      </c>
      <c r="I39" s="154">
        <f>I38-D39</f>
        <v>4</v>
      </c>
      <c r="J39" s="154"/>
      <c r="K39" s="153">
        <v>241227002</v>
      </c>
      <c r="L39" s="153">
        <v>4</v>
      </c>
      <c r="M39" s="153">
        <f t="shared" ref="M39:M44" si="40">L39-D39</f>
        <v>0</v>
      </c>
      <c r="N39" s="154"/>
    </row>
    <row r="40" spans="1:14" ht="20.2" customHeight="1" x14ac:dyDescent="0.25">
      <c r="A40" s="152">
        <v>45656</v>
      </c>
      <c r="B40" s="152">
        <v>45656</v>
      </c>
      <c r="C40" s="153" t="s">
        <v>120</v>
      </c>
      <c r="D40" s="153">
        <v>4</v>
      </c>
      <c r="E40" s="14">
        <f t="shared" ref="E40" si="41">D40*200</f>
        <v>800</v>
      </c>
      <c r="F40" s="15" t="s">
        <v>3</v>
      </c>
      <c r="G40" s="14">
        <f t="shared" ref="G40" si="42">D40*209</f>
        <v>836</v>
      </c>
      <c r="H40" s="153" t="s">
        <v>123</v>
      </c>
      <c r="I40" s="154">
        <f>I39-D40</f>
        <v>0</v>
      </c>
      <c r="J40" s="154"/>
      <c r="K40" s="153">
        <v>241227002</v>
      </c>
      <c r="L40" s="153">
        <v>4</v>
      </c>
      <c r="M40" s="153">
        <f t="shared" si="40"/>
        <v>0</v>
      </c>
      <c r="N40" s="154"/>
    </row>
    <row r="41" spans="1:14" ht="20.2" customHeight="1" x14ac:dyDescent="0.25">
      <c r="A41" s="133">
        <v>45663</v>
      </c>
      <c r="B41" s="133">
        <v>45663</v>
      </c>
      <c r="C41" s="134" t="s">
        <v>124</v>
      </c>
      <c r="D41" s="134">
        <v>4</v>
      </c>
      <c r="E41" s="8">
        <f t="shared" ref="E41" si="43">D41*200</f>
        <v>800</v>
      </c>
      <c r="F41" s="134" t="s">
        <v>130</v>
      </c>
      <c r="G41" s="8">
        <f t="shared" ref="G41" si="44">D41*209</f>
        <v>836</v>
      </c>
      <c r="H41" s="134" t="s">
        <v>67</v>
      </c>
      <c r="I41" s="136">
        <f>I36-E41</f>
        <v>1600</v>
      </c>
      <c r="J41" s="136"/>
      <c r="K41" s="174">
        <v>250103003</v>
      </c>
      <c r="L41" s="134">
        <v>4</v>
      </c>
      <c r="M41" s="134">
        <f t="shared" si="40"/>
        <v>0</v>
      </c>
      <c r="N41" s="136"/>
    </row>
    <row r="42" spans="1:14" ht="20.2" customHeight="1" x14ac:dyDescent="0.25">
      <c r="A42" s="133">
        <v>45663</v>
      </c>
      <c r="B42" s="133">
        <v>45663</v>
      </c>
      <c r="C42" s="134" t="s">
        <v>125</v>
      </c>
      <c r="D42" s="134">
        <v>4</v>
      </c>
      <c r="E42" s="8">
        <f t="shared" ref="E42:E43" si="45">D42*200</f>
        <v>800</v>
      </c>
      <c r="F42" s="134" t="s">
        <v>130</v>
      </c>
      <c r="G42" s="8">
        <f t="shared" ref="G42:G43" si="46">D42*209</f>
        <v>836</v>
      </c>
      <c r="H42" s="134" t="s">
        <v>67</v>
      </c>
      <c r="I42" s="136">
        <f>I41-E42</f>
        <v>800</v>
      </c>
      <c r="J42" s="136"/>
      <c r="K42" s="134">
        <v>250103003</v>
      </c>
      <c r="L42" s="134">
        <v>4</v>
      </c>
      <c r="M42" s="134">
        <f t="shared" si="40"/>
        <v>0</v>
      </c>
      <c r="N42" s="136"/>
    </row>
    <row r="43" spans="1:14" ht="20.2" customHeight="1" x14ac:dyDescent="0.25">
      <c r="A43" s="158">
        <v>45670</v>
      </c>
      <c r="B43" s="158">
        <v>45670</v>
      </c>
      <c r="C43" s="159" t="s">
        <v>126</v>
      </c>
      <c r="D43" s="159">
        <v>4</v>
      </c>
      <c r="E43" s="27">
        <f t="shared" si="45"/>
        <v>800</v>
      </c>
      <c r="F43" s="159" t="s">
        <v>130</v>
      </c>
      <c r="G43" s="27">
        <f t="shared" si="46"/>
        <v>836</v>
      </c>
      <c r="H43" s="159" t="s">
        <v>67</v>
      </c>
      <c r="I43" s="160">
        <f>I42-E43</f>
        <v>0</v>
      </c>
      <c r="J43" s="160"/>
      <c r="K43" s="168">
        <v>250110010</v>
      </c>
      <c r="L43" s="159">
        <v>4</v>
      </c>
      <c r="M43" s="159">
        <f t="shared" si="40"/>
        <v>0</v>
      </c>
      <c r="N43" s="160"/>
    </row>
    <row r="44" spans="1:14" ht="20.2" customHeight="1" x14ac:dyDescent="0.25">
      <c r="A44" s="158">
        <v>45670</v>
      </c>
      <c r="B44" s="158">
        <v>45670</v>
      </c>
      <c r="C44" s="159" t="s">
        <v>127</v>
      </c>
      <c r="D44" s="159">
        <v>4</v>
      </c>
      <c r="E44" s="27">
        <f t="shared" ref="E44:E45" si="47">D44*200</f>
        <v>800</v>
      </c>
      <c r="F44" s="159" t="s">
        <v>130</v>
      </c>
      <c r="G44" s="27">
        <f t="shared" ref="G44:G45" si="48">D44*209</f>
        <v>836</v>
      </c>
      <c r="H44" s="175" t="s">
        <v>131</v>
      </c>
      <c r="I44" s="160">
        <f>10000-E44</f>
        <v>9200</v>
      </c>
      <c r="J44" s="160"/>
      <c r="K44" s="159">
        <v>250110010</v>
      </c>
      <c r="L44" s="159">
        <v>4</v>
      </c>
      <c r="M44" s="159">
        <f t="shared" si="40"/>
        <v>0</v>
      </c>
      <c r="N44" s="160"/>
    </row>
    <row r="45" spans="1:14" ht="20.2" customHeight="1" x14ac:dyDescent="0.25">
      <c r="A45" s="97">
        <v>45677</v>
      </c>
      <c r="B45" s="97">
        <v>45677</v>
      </c>
      <c r="C45" s="98" t="s">
        <v>128</v>
      </c>
      <c r="D45" s="98">
        <v>4</v>
      </c>
      <c r="E45" s="38">
        <f t="shared" si="47"/>
        <v>800</v>
      </c>
      <c r="F45" s="98" t="s">
        <v>130</v>
      </c>
      <c r="G45" s="38">
        <f t="shared" si="48"/>
        <v>836</v>
      </c>
      <c r="H45" s="144" t="s">
        <v>131</v>
      </c>
      <c r="I45" s="99">
        <f t="shared" ref="I45:I50" si="49">I44-E45</f>
        <v>8400</v>
      </c>
      <c r="J45" s="99"/>
      <c r="K45" s="98">
        <v>250117009</v>
      </c>
      <c r="L45" s="98">
        <v>4</v>
      </c>
      <c r="M45" s="98">
        <f t="shared" ref="M45:M50" si="50">L45-D45</f>
        <v>0</v>
      </c>
      <c r="N45" s="99"/>
    </row>
    <row r="46" spans="1:14" ht="20.2" customHeight="1" x14ac:dyDescent="0.25">
      <c r="A46" s="97">
        <v>45677</v>
      </c>
      <c r="B46" s="97">
        <v>45677</v>
      </c>
      <c r="C46" s="98" t="s">
        <v>129</v>
      </c>
      <c r="D46" s="98">
        <v>4</v>
      </c>
      <c r="E46" s="38">
        <f t="shared" ref="E46:E47" si="51">D46*200</f>
        <v>800</v>
      </c>
      <c r="F46" s="98" t="s">
        <v>130</v>
      </c>
      <c r="G46" s="38">
        <f t="shared" ref="G46:G47" si="52">D46*209</f>
        <v>836</v>
      </c>
      <c r="H46" s="144" t="s">
        <v>131</v>
      </c>
      <c r="I46" s="99">
        <f t="shared" si="49"/>
        <v>7600</v>
      </c>
      <c r="J46" s="99"/>
      <c r="K46" s="98">
        <v>250117009</v>
      </c>
      <c r="L46" s="98">
        <v>4</v>
      </c>
      <c r="M46" s="98">
        <f t="shared" si="50"/>
        <v>0</v>
      </c>
      <c r="N46" s="99"/>
    </row>
    <row r="47" spans="1:14" ht="20.2" customHeight="1" x14ac:dyDescent="0.25">
      <c r="A47" s="97">
        <v>45677</v>
      </c>
      <c r="B47" s="97">
        <v>45677</v>
      </c>
      <c r="C47" s="98" t="s">
        <v>133</v>
      </c>
      <c r="D47" s="98">
        <v>4</v>
      </c>
      <c r="E47" s="38">
        <f t="shared" si="51"/>
        <v>800</v>
      </c>
      <c r="F47" s="98" t="s">
        <v>130</v>
      </c>
      <c r="G47" s="38">
        <f t="shared" si="52"/>
        <v>836</v>
      </c>
      <c r="H47" s="144" t="s">
        <v>131</v>
      </c>
      <c r="I47" s="99">
        <f t="shared" si="49"/>
        <v>6800</v>
      </c>
      <c r="J47" s="99"/>
      <c r="K47" s="98">
        <v>250117009</v>
      </c>
      <c r="L47" s="98">
        <v>4</v>
      </c>
      <c r="M47" s="98">
        <f t="shared" si="50"/>
        <v>0</v>
      </c>
      <c r="N47" s="99"/>
    </row>
    <row r="48" spans="1:14" ht="20.2" customHeight="1" x14ac:dyDescent="0.25">
      <c r="A48" s="97">
        <v>45677</v>
      </c>
      <c r="B48" s="97">
        <v>45677</v>
      </c>
      <c r="C48" s="98" t="s">
        <v>132</v>
      </c>
      <c r="D48" s="98">
        <v>4</v>
      </c>
      <c r="E48" s="38">
        <f t="shared" ref="E48" si="53">D48*200</f>
        <v>800</v>
      </c>
      <c r="F48" s="98" t="s">
        <v>130</v>
      </c>
      <c r="G48" s="38">
        <f t="shared" ref="G48" si="54">D48*209</f>
        <v>836</v>
      </c>
      <c r="H48" s="144" t="s">
        <v>138</v>
      </c>
      <c r="I48" s="99">
        <f t="shared" si="49"/>
        <v>6000</v>
      </c>
      <c r="J48" s="99"/>
      <c r="K48" s="98">
        <v>250117009</v>
      </c>
      <c r="L48" s="98">
        <v>4</v>
      </c>
      <c r="M48" s="98">
        <f t="shared" si="50"/>
        <v>0</v>
      </c>
      <c r="N48" s="99"/>
    </row>
    <row r="49" spans="1:340" ht="20.2" customHeight="1" x14ac:dyDescent="0.25">
      <c r="A49" s="119">
        <v>45691</v>
      </c>
      <c r="B49" s="119">
        <v>45691</v>
      </c>
      <c r="C49" s="120" t="s">
        <v>134</v>
      </c>
      <c r="D49" s="120">
        <v>4</v>
      </c>
      <c r="E49" s="110">
        <f t="shared" ref="E49" si="55">D49*200</f>
        <v>800</v>
      </c>
      <c r="F49" s="120" t="s">
        <v>130</v>
      </c>
      <c r="G49" s="110">
        <f t="shared" ref="G49" si="56">D49*209</f>
        <v>836</v>
      </c>
      <c r="H49" s="120" t="s">
        <v>139</v>
      </c>
      <c r="I49" s="121">
        <f t="shared" si="49"/>
        <v>5200</v>
      </c>
      <c r="J49" s="121"/>
      <c r="K49" s="120">
        <v>250124011</v>
      </c>
      <c r="L49" s="120">
        <v>4</v>
      </c>
      <c r="M49" s="120">
        <f t="shared" si="50"/>
        <v>0</v>
      </c>
      <c r="N49" s="121"/>
    </row>
    <row r="50" spans="1:340" ht="20.2" customHeight="1" x14ac:dyDescent="0.25">
      <c r="A50" s="119">
        <v>45691</v>
      </c>
      <c r="B50" s="119">
        <v>45691</v>
      </c>
      <c r="C50" s="120" t="s">
        <v>135</v>
      </c>
      <c r="D50" s="120">
        <v>4</v>
      </c>
      <c r="E50" s="110">
        <f t="shared" ref="E50:E53" si="57">D50*200</f>
        <v>800</v>
      </c>
      <c r="F50" s="120" t="s">
        <v>130</v>
      </c>
      <c r="G50" s="110">
        <f t="shared" ref="G50:G53" si="58">D50*209</f>
        <v>836</v>
      </c>
      <c r="H50" s="120" t="s">
        <v>131</v>
      </c>
      <c r="I50" s="121">
        <f t="shared" si="49"/>
        <v>4400</v>
      </c>
      <c r="J50" s="121"/>
      <c r="K50" s="120">
        <v>250124011</v>
      </c>
      <c r="L50" s="120">
        <v>4</v>
      </c>
      <c r="M50" s="120">
        <f t="shared" si="50"/>
        <v>0</v>
      </c>
      <c r="N50" s="121"/>
    </row>
    <row r="51" spans="1:340" ht="20.2" customHeight="1" x14ac:dyDescent="0.25">
      <c r="A51" s="133">
        <v>45698</v>
      </c>
      <c r="B51" s="133">
        <v>45698</v>
      </c>
      <c r="C51" s="134" t="s">
        <v>136</v>
      </c>
      <c r="D51" s="134">
        <v>4</v>
      </c>
      <c r="E51" s="8">
        <f t="shared" si="57"/>
        <v>800</v>
      </c>
      <c r="F51" s="134" t="s">
        <v>130</v>
      </c>
      <c r="G51" s="8">
        <f t="shared" si="58"/>
        <v>836</v>
      </c>
      <c r="H51" s="134" t="s">
        <v>145</v>
      </c>
      <c r="I51" s="136">
        <f t="shared" ref="I51:I55" si="59">I50-E51</f>
        <v>3600</v>
      </c>
      <c r="J51" s="136"/>
      <c r="K51" s="134">
        <v>250207006</v>
      </c>
      <c r="L51" s="134">
        <v>4</v>
      </c>
      <c r="M51" s="134">
        <f>L51-D51</f>
        <v>0</v>
      </c>
      <c r="N51" s="136"/>
    </row>
    <row r="52" spans="1:340" ht="20.2" customHeight="1" x14ac:dyDescent="0.25">
      <c r="A52" s="133">
        <v>45698</v>
      </c>
      <c r="B52" s="133">
        <v>45698</v>
      </c>
      <c r="C52" s="134" t="s">
        <v>137</v>
      </c>
      <c r="D52" s="134">
        <v>4</v>
      </c>
      <c r="E52" s="8">
        <f t="shared" ref="E52" si="60">D52*200</f>
        <v>800</v>
      </c>
      <c r="F52" s="134" t="s">
        <v>130</v>
      </c>
      <c r="G52" s="8">
        <f t="shared" ref="G52" si="61">D52*209</f>
        <v>836</v>
      </c>
      <c r="H52" s="134" t="s">
        <v>131</v>
      </c>
      <c r="I52" s="136">
        <f t="shared" si="59"/>
        <v>2800</v>
      </c>
      <c r="J52" s="136"/>
      <c r="K52" s="134">
        <v>250207006</v>
      </c>
      <c r="L52" s="134">
        <v>4</v>
      </c>
      <c r="M52" s="134">
        <f>L52-D52</f>
        <v>0</v>
      </c>
      <c r="N52" s="136"/>
    </row>
    <row r="53" spans="1:340" ht="20.2" customHeight="1" x14ac:dyDescent="0.25">
      <c r="A53" s="158">
        <v>45705</v>
      </c>
      <c r="B53" s="158">
        <v>45705</v>
      </c>
      <c r="C53" s="159" t="s">
        <v>140</v>
      </c>
      <c r="D53" s="159">
        <v>4</v>
      </c>
      <c r="E53" s="27">
        <f t="shared" si="57"/>
        <v>800</v>
      </c>
      <c r="F53" s="159" t="s">
        <v>130</v>
      </c>
      <c r="G53" s="27">
        <f t="shared" si="58"/>
        <v>836</v>
      </c>
      <c r="H53" s="159" t="s">
        <v>131</v>
      </c>
      <c r="I53" s="160">
        <f t="shared" si="59"/>
        <v>2000</v>
      </c>
      <c r="J53" s="160"/>
      <c r="K53" s="159">
        <v>250214007</v>
      </c>
      <c r="L53" s="159">
        <v>4</v>
      </c>
      <c r="M53" s="159">
        <f>L53-D53</f>
        <v>0</v>
      </c>
      <c r="N53" s="160"/>
    </row>
    <row r="54" spans="1:340" ht="20.2" customHeight="1" x14ac:dyDescent="0.25">
      <c r="A54" s="158">
        <v>45705</v>
      </c>
      <c r="B54" s="158">
        <v>45705</v>
      </c>
      <c r="C54" s="159" t="s">
        <v>141</v>
      </c>
      <c r="D54" s="159">
        <v>4</v>
      </c>
      <c r="E54" s="27">
        <f t="shared" ref="E54:E56" si="62">D54*200</f>
        <v>800</v>
      </c>
      <c r="F54" s="159" t="s">
        <v>130</v>
      </c>
      <c r="G54" s="27">
        <f t="shared" ref="G54:G56" si="63">D54*209</f>
        <v>836</v>
      </c>
      <c r="H54" s="159" t="s">
        <v>144</v>
      </c>
      <c r="I54" s="160">
        <f t="shared" si="59"/>
        <v>1200</v>
      </c>
      <c r="J54" s="160"/>
      <c r="K54" s="159">
        <v>250214007</v>
      </c>
      <c r="L54" s="159">
        <v>4</v>
      </c>
      <c r="M54" s="159">
        <f>L54-D54</f>
        <v>0</v>
      </c>
      <c r="N54" s="160"/>
    </row>
    <row r="55" spans="1:340" ht="20.2" customHeight="1" x14ac:dyDescent="0.25">
      <c r="A55" s="97">
        <v>45712</v>
      </c>
      <c r="B55" s="97">
        <v>45712</v>
      </c>
      <c r="C55" s="98" t="s">
        <v>142</v>
      </c>
      <c r="D55" s="98">
        <v>4</v>
      </c>
      <c r="E55" s="38">
        <f t="shared" si="62"/>
        <v>800</v>
      </c>
      <c r="F55" s="98" t="s">
        <v>130</v>
      </c>
      <c r="G55" s="38">
        <f t="shared" si="63"/>
        <v>836</v>
      </c>
      <c r="H55" s="98" t="s">
        <v>146</v>
      </c>
      <c r="I55" s="99">
        <f t="shared" si="59"/>
        <v>400</v>
      </c>
      <c r="J55" s="99"/>
      <c r="K55" s="98">
        <v>250221007</v>
      </c>
      <c r="L55" s="98">
        <v>4</v>
      </c>
      <c r="M55" s="98">
        <f>L55-D55</f>
        <v>0</v>
      </c>
      <c r="N55" s="99"/>
    </row>
    <row r="56" spans="1:340" ht="20.2" customHeight="1" x14ac:dyDescent="0.25">
      <c r="A56" s="97">
        <v>45712</v>
      </c>
      <c r="B56" s="97">
        <v>45712</v>
      </c>
      <c r="C56" s="98" t="s">
        <v>143</v>
      </c>
      <c r="D56" s="98">
        <v>2</v>
      </c>
      <c r="E56" s="38">
        <f t="shared" si="62"/>
        <v>400</v>
      </c>
      <c r="F56" s="98" t="s">
        <v>130</v>
      </c>
      <c r="G56" s="38">
        <f t="shared" si="63"/>
        <v>418</v>
      </c>
      <c r="H56" s="98" t="s">
        <v>131</v>
      </c>
      <c r="I56" s="99">
        <f>I55-E56</f>
        <v>0</v>
      </c>
      <c r="J56" s="99"/>
      <c r="K56" s="98">
        <v>250221007</v>
      </c>
      <c r="L56" s="416">
        <v>4</v>
      </c>
      <c r="M56" s="416">
        <f>L56-D56-D57</f>
        <v>0</v>
      </c>
      <c r="N56" s="99"/>
    </row>
    <row r="57" spans="1:340" ht="20.2" customHeight="1" x14ac:dyDescent="0.25">
      <c r="A57" s="97">
        <v>45712</v>
      </c>
      <c r="B57" s="97">
        <v>45712</v>
      </c>
      <c r="C57" s="98" t="s">
        <v>284</v>
      </c>
      <c r="D57" s="98">
        <v>2</v>
      </c>
      <c r="E57" s="38">
        <f t="shared" ref="E57" si="64">D57*200</f>
        <v>400</v>
      </c>
      <c r="F57" s="98" t="s">
        <v>130</v>
      </c>
      <c r="G57" s="38">
        <f t="shared" ref="G57" si="65">D57*209</f>
        <v>418</v>
      </c>
      <c r="H57" s="117" t="s">
        <v>156</v>
      </c>
      <c r="I57" s="99">
        <f>20000-E57</f>
        <v>19600</v>
      </c>
      <c r="J57" s="99"/>
      <c r="K57" s="98">
        <v>250221007</v>
      </c>
      <c r="L57" s="417"/>
      <c r="M57" s="417"/>
      <c r="N57" s="99"/>
    </row>
    <row r="58" spans="1:340" s="196" customFormat="1" ht="19.45" customHeight="1" x14ac:dyDescent="0.25">
      <c r="A58" s="114">
        <v>46024</v>
      </c>
      <c r="B58" s="114">
        <v>46024</v>
      </c>
      <c r="C58" s="115" t="s">
        <v>184</v>
      </c>
      <c r="D58" s="115">
        <v>11</v>
      </c>
      <c r="E58" s="105">
        <f t="shared" ref="E58:E63" si="66">D58*200</f>
        <v>2200</v>
      </c>
      <c r="F58" s="106" t="s">
        <v>2</v>
      </c>
      <c r="G58" s="105">
        <f t="shared" ref="G58:G65" si="67">D58*209</f>
        <v>2299</v>
      </c>
      <c r="H58" s="207" t="s">
        <v>189</v>
      </c>
      <c r="I58" s="116">
        <f>I14-E58</f>
        <v>17000</v>
      </c>
      <c r="J58" s="116"/>
      <c r="K58" s="115">
        <v>251231006</v>
      </c>
      <c r="L58" s="115"/>
      <c r="M58" s="115">
        <f>11-D58</f>
        <v>0</v>
      </c>
      <c r="N58" s="208"/>
      <c r="P58" s="197"/>
      <c r="Q58" s="198"/>
      <c r="R58" s="199"/>
      <c r="S58" s="199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  <c r="HM58" s="62"/>
      <c r="HN58" s="62"/>
      <c r="HO58" s="62"/>
      <c r="HP58" s="62"/>
      <c r="HQ58" s="62"/>
      <c r="HR58" s="62"/>
      <c r="HS58" s="62"/>
      <c r="HT58" s="62"/>
      <c r="HU58" s="62"/>
      <c r="HV58" s="62"/>
      <c r="HW58" s="62"/>
      <c r="HX58" s="62"/>
      <c r="HY58" s="62"/>
      <c r="HZ58" s="62"/>
      <c r="IA58" s="62"/>
      <c r="IB58" s="62"/>
      <c r="IC58" s="62"/>
      <c r="ID58" s="62"/>
      <c r="IE58" s="62"/>
      <c r="IF58" s="62"/>
      <c r="IG58" s="62"/>
      <c r="IH58" s="62"/>
      <c r="II58" s="62"/>
      <c r="IJ58" s="62"/>
      <c r="IK58" s="62"/>
      <c r="IL58" s="62"/>
      <c r="IM58" s="62"/>
      <c r="IN58" s="62"/>
      <c r="IO58" s="62"/>
      <c r="IP58" s="62"/>
      <c r="IQ58" s="62"/>
      <c r="IR58" s="62"/>
      <c r="IS58" s="62"/>
      <c r="IT58" s="62"/>
      <c r="IU58" s="62"/>
      <c r="IV58" s="62"/>
      <c r="IW58" s="62"/>
      <c r="IX58" s="62"/>
      <c r="IY58" s="62"/>
      <c r="IZ58" s="62"/>
      <c r="JA58" s="62"/>
      <c r="JB58" s="62"/>
      <c r="JC58" s="62"/>
      <c r="JD58" s="62"/>
      <c r="JE58" s="62"/>
      <c r="JF58" s="62"/>
      <c r="JG58" s="62"/>
      <c r="JH58" s="62"/>
      <c r="JI58" s="62"/>
      <c r="JJ58" s="62"/>
      <c r="JK58" s="62"/>
      <c r="JL58" s="62"/>
      <c r="JM58" s="62"/>
      <c r="JN58" s="62"/>
      <c r="JO58" s="62"/>
      <c r="JP58" s="62"/>
      <c r="JQ58" s="62"/>
      <c r="JR58" s="62"/>
      <c r="JS58" s="62"/>
      <c r="JT58" s="62"/>
      <c r="JU58" s="62"/>
      <c r="JV58" s="62"/>
      <c r="JW58" s="62"/>
      <c r="JX58" s="62"/>
      <c r="JY58" s="62"/>
      <c r="JZ58" s="62"/>
      <c r="KA58" s="62"/>
      <c r="KB58" s="62"/>
      <c r="KC58" s="62"/>
      <c r="KD58" s="62"/>
      <c r="KE58" s="62"/>
      <c r="KF58" s="62"/>
      <c r="KG58" s="62"/>
      <c r="KH58" s="62"/>
      <c r="KI58" s="62"/>
      <c r="KJ58" s="62"/>
      <c r="KK58" s="62"/>
      <c r="KL58" s="62"/>
      <c r="KM58" s="62"/>
      <c r="KN58" s="62"/>
      <c r="KO58" s="62"/>
      <c r="KP58" s="62"/>
      <c r="KQ58" s="62"/>
      <c r="KR58" s="62"/>
      <c r="KS58" s="62"/>
      <c r="KT58" s="62"/>
      <c r="KU58" s="62"/>
      <c r="KV58" s="62"/>
      <c r="KW58" s="62"/>
      <c r="KX58" s="62"/>
      <c r="KY58" s="62"/>
      <c r="KZ58" s="62"/>
      <c r="LA58" s="62"/>
      <c r="LB58" s="62"/>
      <c r="LC58" s="62"/>
      <c r="LD58" s="62"/>
      <c r="LE58" s="62"/>
      <c r="LF58" s="62"/>
      <c r="LG58" s="62"/>
      <c r="LH58" s="62"/>
      <c r="LI58" s="62"/>
      <c r="LJ58" s="62"/>
      <c r="LK58" s="62"/>
      <c r="LL58" s="62"/>
      <c r="LM58" s="62"/>
      <c r="LN58" s="62"/>
      <c r="LO58" s="62"/>
      <c r="LP58" s="62"/>
      <c r="LQ58" s="62"/>
      <c r="LR58" s="62"/>
      <c r="LS58" s="62"/>
      <c r="LT58" s="62"/>
      <c r="LU58" s="62"/>
      <c r="LV58" s="62"/>
      <c r="LW58" s="62"/>
      <c r="LX58" s="62"/>
      <c r="LY58" s="62"/>
      <c r="LZ58" s="62"/>
      <c r="MA58" s="62"/>
      <c r="MB58" s="62"/>
    </row>
    <row r="59" spans="1:340" s="196" customFormat="1" ht="19.45" customHeight="1" x14ac:dyDescent="0.25">
      <c r="A59" s="114">
        <v>46024</v>
      </c>
      <c r="B59" s="114">
        <v>46024</v>
      </c>
      <c r="C59" s="115" t="s">
        <v>185</v>
      </c>
      <c r="D59" s="115">
        <v>5</v>
      </c>
      <c r="E59" s="105">
        <f t="shared" si="66"/>
        <v>1000</v>
      </c>
      <c r="F59" s="106" t="s">
        <v>2</v>
      </c>
      <c r="G59" s="105">
        <f t="shared" si="67"/>
        <v>1045</v>
      </c>
      <c r="H59" s="207" t="s">
        <v>180</v>
      </c>
      <c r="I59" s="116">
        <f t="shared" ref="I59:I63" si="68">I58-E59</f>
        <v>16000</v>
      </c>
      <c r="J59" s="116"/>
      <c r="K59" s="115">
        <v>251231006</v>
      </c>
      <c r="L59" s="115"/>
      <c r="M59" s="115">
        <f>7-D59</f>
        <v>2</v>
      </c>
      <c r="N59" s="208"/>
      <c r="P59" s="197"/>
      <c r="Q59" s="198"/>
      <c r="R59" s="199"/>
      <c r="S59" s="199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  <c r="IW59" s="62"/>
      <c r="IX59" s="62"/>
      <c r="IY59" s="62"/>
      <c r="IZ59" s="62"/>
      <c r="JA59" s="62"/>
      <c r="JB59" s="62"/>
      <c r="JC59" s="62"/>
      <c r="JD59" s="62"/>
      <c r="JE59" s="62"/>
      <c r="JF59" s="62"/>
      <c r="JG59" s="62"/>
      <c r="JH59" s="62"/>
      <c r="JI59" s="62"/>
      <c r="JJ59" s="62"/>
      <c r="JK59" s="62"/>
      <c r="JL59" s="62"/>
      <c r="JM59" s="62"/>
      <c r="JN59" s="62"/>
      <c r="JO59" s="62"/>
      <c r="JP59" s="62"/>
      <c r="JQ59" s="62"/>
      <c r="JR59" s="62"/>
      <c r="JS59" s="62"/>
      <c r="JT59" s="62"/>
      <c r="JU59" s="62"/>
      <c r="JV59" s="62"/>
      <c r="JW59" s="62"/>
      <c r="JX59" s="62"/>
      <c r="JY59" s="62"/>
      <c r="JZ59" s="62"/>
      <c r="KA59" s="62"/>
      <c r="KB59" s="62"/>
      <c r="KC59" s="62"/>
      <c r="KD59" s="62"/>
      <c r="KE59" s="62"/>
      <c r="KF59" s="62"/>
      <c r="KG59" s="62"/>
      <c r="KH59" s="62"/>
      <c r="KI59" s="62"/>
      <c r="KJ59" s="62"/>
      <c r="KK59" s="62"/>
      <c r="KL59" s="62"/>
      <c r="KM59" s="62"/>
      <c r="KN59" s="62"/>
      <c r="KO59" s="62"/>
      <c r="KP59" s="62"/>
      <c r="KQ59" s="62"/>
      <c r="KR59" s="62"/>
      <c r="KS59" s="62"/>
      <c r="KT59" s="62"/>
      <c r="KU59" s="62"/>
      <c r="KV59" s="62"/>
      <c r="KW59" s="62"/>
      <c r="KX59" s="62"/>
      <c r="KY59" s="62"/>
      <c r="KZ59" s="62"/>
      <c r="LA59" s="62"/>
      <c r="LB59" s="62"/>
      <c r="LC59" s="62"/>
      <c r="LD59" s="62"/>
      <c r="LE59" s="62"/>
      <c r="LF59" s="62"/>
      <c r="LG59" s="62"/>
      <c r="LH59" s="62"/>
      <c r="LI59" s="62"/>
      <c r="LJ59" s="62"/>
      <c r="LK59" s="62"/>
      <c r="LL59" s="62"/>
      <c r="LM59" s="62"/>
      <c r="LN59" s="62"/>
      <c r="LO59" s="62"/>
      <c r="LP59" s="62"/>
      <c r="LQ59" s="62"/>
      <c r="LR59" s="62"/>
      <c r="LS59" s="62"/>
      <c r="LT59" s="62"/>
      <c r="LU59" s="62"/>
      <c r="LV59" s="62"/>
      <c r="LW59" s="62"/>
      <c r="LX59" s="62"/>
      <c r="LY59" s="62"/>
      <c r="LZ59" s="62"/>
      <c r="MA59" s="62"/>
      <c r="MB59" s="62"/>
    </row>
    <row r="60" spans="1:340" s="196" customFormat="1" ht="19.45" customHeight="1" x14ac:dyDescent="0.25">
      <c r="A60" s="152">
        <v>46031</v>
      </c>
      <c r="B60" s="152">
        <v>46031</v>
      </c>
      <c r="C60" s="153" t="s">
        <v>185</v>
      </c>
      <c r="D60" s="153">
        <v>2</v>
      </c>
      <c r="E60" s="14">
        <f t="shared" si="66"/>
        <v>400</v>
      </c>
      <c r="F60" s="15" t="s">
        <v>2</v>
      </c>
      <c r="G60" s="14">
        <f t="shared" si="67"/>
        <v>418</v>
      </c>
      <c r="H60" s="211" t="s">
        <v>189</v>
      </c>
      <c r="I60" s="154">
        <f t="shared" si="68"/>
        <v>15600</v>
      </c>
      <c r="J60" s="154"/>
      <c r="K60" s="153">
        <v>260108006</v>
      </c>
      <c r="L60" s="153"/>
      <c r="M60" s="153">
        <f>M59-D60</f>
        <v>0</v>
      </c>
      <c r="N60" s="212" t="s">
        <v>199</v>
      </c>
      <c r="P60" s="197"/>
      <c r="Q60" s="198"/>
      <c r="R60" s="199"/>
      <c r="S60" s="199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  <c r="HM60" s="62"/>
      <c r="HN60" s="62"/>
      <c r="HO60" s="62"/>
      <c r="HP60" s="62"/>
      <c r="HQ60" s="62"/>
      <c r="HR60" s="62"/>
      <c r="HS60" s="62"/>
      <c r="HT60" s="62"/>
      <c r="HU60" s="62"/>
      <c r="HV60" s="62"/>
      <c r="HW60" s="62"/>
      <c r="HX60" s="62"/>
      <c r="HY60" s="62"/>
      <c r="HZ60" s="62"/>
      <c r="IA60" s="62"/>
      <c r="IB60" s="62"/>
      <c r="IC60" s="62"/>
      <c r="ID60" s="62"/>
      <c r="IE60" s="62"/>
      <c r="IF60" s="62"/>
      <c r="IG60" s="62"/>
      <c r="IH60" s="62"/>
      <c r="II60" s="62"/>
      <c r="IJ60" s="62"/>
      <c r="IK60" s="62"/>
      <c r="IL60" s="62"/>
      <c r="IM60" s="62"/>
      <c r="IN60" s="62"/>
      <c r="IO60" s="62"/>
      <c r="IP60" s="62"/>
      <c r="IQ60" s="62"/>
      <c r="IR60" s="62"/>
      <c r="IS60" s="62"/>
      <c r="IT60" s="62"/>
      <c r="IU60" s="62"/>
      <c r="IV60" s="62"/>
      <c r="IW60" s="62"/>
      <c r="IX60" s="62"/>
      <c r="IY60" s="62"/>
      <c r="IZ60" s="62"/>
      <c r="JA60" s="62"/>
      <c r="JB60" s="62"/>
      <c r="JC60" s="62"/>
      <c r="JD60" s="62"/>
      <c r="JE60" s="62"/>
      <c r="JF60" s="62"/>
      <c r="JG60" s="62"/>
      <c r="JH60" s="62"/>
      <c r="JI60" s="62"/>
      <c r="JJ60" s="62"/>
      <c r="JK60" s="62"/>
      <c r="JL60" s="62"/>
      <c r="JM60" s="62"/>
      <c r="JN60" s="62"/>
      <c r="JO60" s="62"/>
      <c r="JP60" s="62"/>
      <c r="JQ60" s="62"/>
      <c r="JR60" s="62"/>
      <c r="JS60" s="62"/>
      <c r="JT60" s="62"/>
      <c r="JU60" s="62"/>
      <c r="JV60" s="62"/>
      <c r="JW60" s="62"/>
      <c r="JX60" s="62"/>
      <c r="JY60" s="62"/>
      <c r="JZ60" s="62"/>
      <c r="KA60" s="62"/>
      <c r="KB60" s="62"/>
      <c r="KC60" s="62"/>
      <c r="KD60" s="62"/>
      <c r="KE60" s="62"/>
      <c r="KF60" s="62"/>
      <c r="KG60" s="62"/>
      <c r="KH60" s="62"/>
      <c r="KI60" s="62"/>
      <c r="KJ60" s="62"/>
      <c r="KK60" s="62"/>
      <c r="KL60" s="62"/>
      <c r="KM60" s="62"/>
      <c r="KN60" s="62"/>
      <c r="KO60" s="62"/>
      <c r="KP60" s="62"/>
      <c r="KQ60" s="62"/>
      <c r="KR60" s="62"/>
      <c r="KS60" s="62"/>
      <c r="KT60" s="62"/>
      <c r="KU60" s="62"/>
      <c r="KV60" s="62"/>
      <c r="KW60" s="62"/>
      <c r="KX60" s="62"/>
      <c r="KY60" s="62"/>
      <c r="KZ60" s="62"/>
      <c r="LA60" s="62"/>
      <c r="LB60" s="62"/>
      <c r="LC60" s="62"/>
      <c r="LD60" s="62"/>
      <c r="LE60" s="62"/>
      <c r="LF60" s="62"/>
      <c r="LG60" s="62"/>
      <c r="LH60" s="62"/>
      <c r="LI60" s="62"/>
      <c r="LJ60" s="62"/>
      <c r="LK60" s="62"/>
      <c r="LL60" s="62"/>
      <c r="LM60" s="62"/>
      <c r="LN60" s="62"/>
      <c r="LO60" s="62"/>
      <c r="LP60" s="62"/>
      <c r="LQ60" s="62"/>
      <c r="LR60" s="62"/>
      <c r="LS60" s="62"/>
      <c r="LT60" s="62"/>
      <c r="LU60" s="62"/>
      <c r="LV60" s="62"/>
      <c r="LW60" s="62"/>
      <c r="LX60" s="62"/>
      <c r="LY60" s="62"/>
      <c r="LZ60" s="62"/>
      <c r="MA60" s="62"/>
      <c r="MB60" s="62"/>
    </row>
    <row r="61" spans="1:340" s="196" customFormat="1" ht="19.45" customHeight="1" x14ac:dyDescent="0.25">
      <c r="A61" s="152">
        <v>46031</v>
      </c>
      <c r="B61" s="152">
        <v>46031</v>
      </c>
      <c r="C61" s="153" t="s">
        <v>186</v>
      </c>
      <c r="D61" s="153">
        <v>10</v>
      </c>
      <c r="E61" s="14">
        <f t="shared" si="66"/>
        <v>2000</v>
      </c>
      <c r="F61" s="15" t="s">
        <v>2</v>
      </c>
      <c r="G61" s="14">
        <f t="shared" si="67"/>
        <v>2090</v>
      </c>
      <c r="H61" s="211" t="s">
        <v>180</v>
      </c>
      <c r="I61" s="154">
        <f t="shared" si="68"/>
        <v>13600</v>
      </c>
      <c r="J61" s="154"/>
      <c r="K61" s="153">
        <v>260108006</v>
      </c>
      <c r="L61" s="153">
        <f>24</f>
        <v>24</v>
      </c>
      <c r="M61" s="153">
        <f>L61-D61</f>
        <v>14</v>
      </c>
      <c r="N61" s="212"/>
      <c r="P61" s="197"/>
      <c r="Q61" s="198"/>
      <c r="R61" s="199"/>
      <c r="S61" s="199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62"/>
      <c r="HV61" s="62"/>
      <c r="HW61" s="62"/>
      <c r="HX61" s="62"/>
      <c r="HY61" s="62"/>
      <c r="HZ61" s="62"/>
      <c r="IA61" s="62"/>
      <c r="IB61" s="62"/>
      <c r="IC61" s="62"/>
      <c r="ID61" s="62"/>
      <c r="IE61" s="62"/>
      <c r="IF61" s="62"/>
      <c r="IG61" s="62"/>
      <c r="IH61" s="62"/>
      <c r="II61" s="62"/>
      <c r="IJ61" s="62"/>
      <c r="IK61" s="62"/>
      <c r="IL61" s="62"/>
      <c r="IM61" s="62"/>
      <c r="IN61" s="62"/>
      <c r="IO61" s="62"/>
      <c r="IP61" s="62"/>
      <c r="IQ61" s="62"/>
      <c r="IR61" s="62"/>
      <c r="IS61" s="62"/>
      <c r="IT61" s="62"/>
      <c r="IU61" s="62"/>
      <c r="IV61" s="62"/>
      <c r="IW61" s="62"/>
      <c r="IX61" s="62"/>
      <c r="IY61" s="62"/>
      <c r="IZ61" s="62"/>
      <c r="JA61" s="62"/>
      <c r="JB61" s="62"/>
      <c r="JC61" s="62"/>
      <c r="JD61" s="62"/>
      <c r="JE61" s="62"/>
      <c r="JF61" s="62"/>
      <c r="JG61" s="62"/>
      <c r="JH61" s="62"/>
      <c r="JI61" s="62"/>
      <c r="JJ61" s="62"/>
      <c r="JK61" s="62"/>
      <c r="JL61" s="62"/>
      <c r="JM61" s="62"/>
      <c r="JN61" s="62"/>
      <c r="JO61" s="62"/>
      <c r="JP61" s="62"/>
      <c r="JQ61" s="62"/>
      <c r="JR61" s="62"/>
      <c r="JS61" s="62"/>
      <c r="JT61" s="62"/>
      <c r="JU61" s="62"/>
      <c r="JV61" s="62"/>
      <c r="JW61" s="62"/>
      <c r="JX61" s="62"/>
      <c r="JY61" s="62"/>
      <c r="JZ61" s="62"/>
      <c r="KA61" s="62"/>
      <c r="KB61" s="62"/>
      <c r="KC61" s="62"/>
      <c r="KD61" s="62"/>
      <c r="KE61" s="62"/>
      <c r="KF61" s="62"/>
      <c r="KG61" s="62"/>
      <c r="KH61" s="62"/>
      <c r="KI61" s="62"/>
      <c r="KJ61" s="62"/>
      <c r="KK61" s="62"/>
      <c r="KL61" s="62"/>
      <c r="KM61" s="62"/>
      <c r="KN61" s="62"/>
      <c r="KO61" s="62"/>
      <c r="KP61" s="62"/>
      <c r="KQ61" s="62"/>
      <c r="KR61" s="62"/>
      <c r="KS61" s="62"/>
      <c r="KT61" s="62"/>
      <c r="KU61" s="62"/>
      <c r="KV61" s="62"/>
      <c r="KW61" s="62"/>
      <c r="KX61" s="62"/>
      <c r="KY61" s="62"/>
      <c r="KZ61" s="62"/>
      <c r="LA61" s="62"/>
      <c r="LB61" s="62"/>
      <c r="LC61" s="62"/>
      <c r="LD61" s="62"/>
      <c r="LE61" s="62"/>
      <c r="LF61" s="62"/>
      <c r="LG61" s="62"/>
      <c r="LH61" s="62"/>
      <c r="LI61" s="62"/>
      <c r="LJ61" s="62"/>
      <c r="LK61" s="62"/>
      <c r="LL61" s="62"/>
      <c r="LM61" s="62"/>
      <c r="LN61" s="62"/>
      <c r="LO61" s="62"/>
      <c r="LP61" s="62"/>
      <c r="LQ61" s="62"/>
      <c r="LR61" s="62"/>
      <c r="LS61" s="62"/>
      <c r="LT61" s="62"/>
      <c r="LU61" s="62"/>
      <c r="LV61" s="62"/>
      <c r="LW61" s="62"/>
      <c r="LX61" s="62"/>
      <c r="LY61" s="62"/>
      <c r="LZ61" s="62"/>
      <c r="MA61" s="62"/>
      <c r="MB61" s="62"/>
    </row>
    <row r="62" spans="1:340" s="196" customFormat="1" ht="19.45" customHeight="1" x14ac:dyDescent="0.25">
      <c r="A62" s="140">
        <v>46036</v>
      </c>
      <c r="B62" s="140">
        <v>46036</v>
      </c>
      <c r="C62" s="141" t="s">
        <v>186</v>
      </c>
      <c r="D62" s="141">
        <v>8</v>
      </c>
      <c r="E62" s="33">
        <f t="shared" si="66"/>
        <v>1600</v>
      </c>
      <c r="F62" s="34" t="s">
        <v>2</v>
      </c>
      <c r="G62" s="33">
        <f t="shared" si="67"/>
        <v>1672</v>
      </c>
      <c r="H62" s="209" t="s">
        <v>223</v>
      </c>
      <c r="I62" s="142">
        <f t="shared" si="68"/>
        <v>12000</v>
      </c>
      <c r="J62" s="142"/>
      <c r="K62" s="141">
        <v>260113009</v>
      </c>
      <c r="L62" s="141"/>
      <c r="M62" s="141">
        <f>M61-D62</f>
        <v>6</v>
      </c>
      <c r="N62" s="210"/>
      <c r="P62" s="197"/>
      <c r="Q62" s="198"/>
      <c r="R62" s="199"/>
      <c r="S62" s="199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62"/>
      <c r="GL62" s="62"/>
      <c r="GM62" s="62"/>
      <c r="GN62" s="62"/>
      <c r="GO62" s="62"/>
      <c r="GP62" s="62"/>
      <c r="GQ62" s="62"/>
      <c r="GR62" s="62"/>
      <c r="GS62" s="62"/>
      <c r="GT62" s="62"/>
      <c r="GU62" s="62"/>
      <c r="GV62" s="62"/>
      <c r="GW62" s="62"/>
      <c r="GX62" s="62"/>
      <c r="GY62" s="62"/>
      <c r="GZ62" s="62"/>
      <c r="HA62" s="62"/>
      <c r="HB62" s="62"/>
      <c r="HC62" s="62"/>
      <c r="HD62" s="62"/>
      <c r="HE62" s="62"/>
      <c r="HF62" s="62"/>
      <c r="HG62" s="62"/>
      <c r="HH62" s="62"/>
      <c r="HI62" s="62"/>
      <c r="HJ62" s="62"/>
      <c r="HK62" s="62"/>
      <c r="HL62" s="62"/>
      <c r="HM62" s="62"/>
      <c r="HN62" s="62"/>
      <c r="HO62" s="62"/>
      <c r="HP62" s="62"/>
      <c r="HQ62" s="62"/>
      <c r="HR62" s="62"/>
      <c r="HS62" s="62"/>
      <c r="HT62" s="62"/>
      <c r="HU62" s="62"/>
      <c r="HV62" s="62"/>
      <c r="HW62" s="62"/>
      <c r="HX62" s="62"/>
      <c r="HY62" s="62"/>
      <c r="HZ62" s="62"/>
      <c r="IA62" s="62"/>
      <c r="IB62" s="62"/>
      <c r="IC62" s="62"/>
      <c r="ID62" s="62"/>
      <c r="IE62" s="62"/>
      <c r="IF62" s="62"/>
      <c r="IG62" s="62"/>
      <c r="IH62" s="62"/>
      <c r="II62" s="62"/>
      <c r="IJ62" s="62"/>
      <c r="IK62" s="62"/>
      <c r="IL62" s="62"/>
      <c r="IM62" s="62"/>
      <c r="IN62" s="62"/>
      <c r="IO62" s="62"/>
      <c r="IP62" s="62"/>
      <c r="IQ62" s="62"/>
      <c r="IR62" s="62"/>
      <c r="IS62" s="62"/>
      <c r="IT62" s="62"/>
      <c r="IU62" s="62"/>
      <c r="IV62" s="62"/>
      <c r="IW62" s="62"/>
      <c r="IX62" s="62"/>
      <c r="IY62" s="62"/>
      <c r="IZ62" s="62"/>
      <c r="JA62" s="62"/>
      <c r="JB62" s="62"/>
      <c r="JC62" s="62"/>
      <c r="JD62" s="62"/>
      <c r="JE62" s="62"/>
      <c r="JF62" s="62"/>
      <c r="JG62" s="62"/>
      <c r="JH62" s="62"/>
      <c r="JI62" s="62"/>
      <c r="JJ62" s="62"/>
      <c r="JK62" s="62"/>
      <c r="JL62" s="62"/>
      <c r="JM62" s="62"/>
      <c r="JN62" s="62"/>
      <c r="JO62" s="62"/>
      <c r="JP62" s="62"/>
      <c r="JQ62" s="62"/>
      <c r="JR62" s="62"/>
      <c r="JS62" s="62"/>
      <c r="JT62" s="62"/>
      <c r="JU62" s="62"/>
      <c r="JV62" s="62"/>
      <c r="JW62" s="62"/>
      <c r="JX62" s="62"/>
      <c r="JY62" s="62"/>
      <c r="JZ62" s="62"/>
      <c r="KA62" s="62"/>
      <c r="KB62" s="62"/>
      <c r="KC62" s="62"/>
      <c r="KD62" s="62"/>
      <c r="KE62" s="62"/>
      <c r="KF62" s="62"/>
      <c r="KG62" s="62"/>
      <c r="KH62" s="62"/>
      <c r="KI62" s="62"/>
      <c r="KJ62" s="62"/>
      <c r="KK62" s="62"/>
      <c r="KL62" s="62"/>
      <c r="KM62" s="62"/>
      <c r="KN62" s="62"/>
      <c r="KO62" s="62"/>
      <c r="KP62" s="62"/>
      <c r="KQ62" s="62"/>
      <c r="KR62" s="62"/>
      <c r="KS62" s="62"/>
      <c r="KT62" s="62"/>
      <c r="KU62" s="62"/>
      <c r="KV62" s="62"/>
      <c r="KW62" s="62"/>
      <c r="KX62" s="62"/>
      <c r="KY62" s="62"/>
      <c r="KZ62" s="62"/>
      <c r="LA62" s="62"/>
      <c r="LB62" s="62"/>
      <c r="LC62" s="62"/>
      <c r="LD62" s="62"/>
      <c r="LE62" s="62"/>
      <c r="LF62" s="62"/>
      <c r="LG62" s="62"/>
      <c r="LH62" s="62"/>
      <c r="LI62" s="62"/>
      <c r="LJ62" s="62"/>
      <c r="LK62" s="62"/>
      <c r="LL62" s="62"/>
      <c r="LM62" s="62"/>
      <c r="LN62" s="62"/>
      <c r="LO62" s="62"/>
      <c r="LP62" s="62"/>
      <c r="LQ62" s="62"/>
      <c r="LR62" s="62"/>
      <c r="LS62" s="62"/>
      <c r="LT62" s="62"/>
      <c r="LU62" s="62"/>
      <c r="LV62" s="62"/>
      <c r="LW62" s="62"/>
      <c r="LX62" s="62"/>
      <c r="LY62" s="62"/>
      <c r="LZ62" s="62"/>
      <c r="MA62" s="62"/>
      <c r="MB62" s="62"/>
    </row>
    <row r="63" spans="1:340" ht="20.2" customHeight="1" x14ac:dyDescent="0.25">
      <c r="A63" s="155">
        <v>46051</v>
      </c>
      <c r="B63" s="155">
        <v>46051</v>
      </c>
      <c r="C63" s="156" t="s">
        <v>186</v>
      </c>
      <c r="D63" s="238">
        <v>4</v>
      </c>
      <c r="E63" s="156">
        <f t="shared" si="66"/>
        <v>800</v>
      </c>
      <c r="F63" s="103" t="s">
        <v>2</v>
      </c>
      <c r="G63" s="102">
        <f t="shared" si="67"/>
        <v>836</v>
      </c>
      <c r="H63" s="238" t="s">
        <v>251</v>
      </c>
      <c r="I63" s="157">
        <f t="shared" si="68"/>
        <v>11200</v>
      </c>
      <c r="J63" s="157"/>
      <c r="K63" s="156">
        <v>260128002</v>
      </c>
      <c r="L63" s="156"/>
      <c r="M63" s="156">
        <f>M62-D63</f>
        <v>2</v>
      </c>
      <c r="N63" s="157"/>
    </row>
    <row r="64" spans="1:340" ht="20.2" customHeight="1" x14ac:dyDescent="0.25">
      <c r="A64" s="158">
        <v>46056</v>
      </c>
      <c r="B64" s="158">
        <v>46056</v>
      </c>
      <c r="C64" s="159" t="s">
        <v>186</v>
      </c>
      <c r="D64" s="185">
        <v>2</v>
      </c>
      <c r="E64" s="159">
        <f t="shared" ref="E64" si="69">D64*200</f>
        <v>400</v>
      </c>
      <c r="F64" s="28" t="s">
        <v>2</v>
      </c>
      <c r="G64" s="27">
        <f t="shared" ref="G64" si="70">D64*209</f>
        <v>418</v>
      </c>
      <c r="H64" s="185" t="s">
        <v>259</v>
      </c>
      <c r="I64" s="160">
        <f>I63-E64</f>
        <v>10800</v>
      </c>
      <c r="J64" s="160"/>
      <c r="K64" s="159">
        <v>260202002</v>
      </c>
      <c r="L64" s="159"/>
      <c r="M64" s="159">
        <f>M63-D64</f>
        <v>0</v>
      </c>
      <c r="N64" s="160"/>
    </row>
    <row r="65" spans="1:17" ht="20.2" customHeight="1" x14ac:dyDescent="0.25">
      <c r="A65" s="133">
        <v>46077</v>
      </c>
      <c r="B65" s="133">
        <v>46077</v>
      </c>
      <c r="C65" s="134" t="s">
        <v>299</v>
      </c>
      <c r="D65" s="134">
        <v>20</v>
      </c>
      <c r="E65" s="134">
        <f t="shared" ref="E65" si="71">D65*200</f>
        <v>4000</v>
      </c>
      <c r="F65" s="134" t="s">
        <v>130</v>
      </c>
      <c r="G65" s="8">
        <f t="shared" si="67"/>
        <v>4180</v>
      </c>
      <c r="H65" s="135" t="s">
        <v>303</v>
      </c>
      <c r="I65" s="136">
        <f>I57-E65</f>
        <v>15600</v>
      </c>
      <c r="J65" s="136"/>
      <c r="K65" s="134">
        <v>260223007</v>
      </c>
      <c r="L65" s="134">
        <v>23</v>
      </c>
      <c r="M65" s="134">
        <f>L65-D65</f>
        <v>3</v>
      </c>
      <c r="N65" s="136"/>
      <c r="O65" s="412">
        <v>46015</v>
      </c>
      <c r="Q65" s="295">
        <f t="shared" ref="Q65:Q85" si="72">DATE(YEAR(O65)+1,MONTH(O65),DAY(O65))-1</f>
        <v>46379</v>
      </c>
    </row>
    <row r="66" spans="1:17" ht="20.2" customHeight="1" x14ac:dyDescent="0.25">
      <c r="A66" s="119">
        <v>46085</v>
      </c>
      <c r="B66" s="119">
        <v>46085</v>
      </c>
      <c r="C66" s="120" t="s">
        <v>308</v>
      </c>
      <c r="D66" s="120">
        <v>3</v>
      </c>
      <c r="E66" s="120">
        <f t="shared" ref="E66" si="73">D66*200</f>
        <v>600</v>
      </c>
      <c r="F66" s="120" t="s">
        <v>130</v>
      </c>
      <c r="G66" s="110">
        <f t="shared" ref="G66" si="74">D66*209</f>
        <v>627</v>
      </c>
      <c r="H66" s="138" t="s">
        <v>310</v>
      </c>
      <c r="I66" s="121">
        <f>I65-E66</f>
        <v>15000</v>
      </c>
      <c r="J66" s="121"/>
      <c r="K66" s="120">
        <v>260303001</v>
      </c>
      <c r="L66" s="120"/>
      <c r="M66" s="120">
        <f>M65-D66</f>
        <v>0</v>
      </c>
      <c r="N66" s="121"/>
      <c r="O66" s="412">
        <v>46015</v>
      </c>
      <c r="Q66" s="295">
        <f t="shared" si="72"/>
        <v>46379</v>
      </c>
    </row>
    <row r="67" spans="1:17" ht="20.2" customHeight="1" x14ac:dyDescent="0.25">
      <c r="A67" s="119">
        <v>46085</v>
      </c>
      <c r="B67" s="119">
        <v>46085</v>
      </c>
      <c r="C67" s="120" t="s">
        <v>309</v>
      </c>
      <c r="D67" s="120">
        <v>21</v>
      </c>
      <c r="E67" s="120">
        <f t="shared" ref="E67:E68" si="75">D67*200</f>
        <v>4200</v>
      </c>
      <c r="F67" s="120" t="s">
        <v>130</v>
      </c>
      <c r="G67" s="110">
        <f t="shared" ref="G67:G68" si="76">D67*209</f>
        <v>4389</v>
      </c>
      <c r="H67" s="138" t="s">
        <v>156</v>
      </c>
      <c r="I67" s="121">
        <f>I66-E67</f>
        <v>10800</v>
      </c>
      <c r="J67" s="121"/>
      <c r="K67" s="120">
        <v>260303001</v>
      </c>
      <c r="L67" s="120">
        <v>24</v>
      </c>
      <c r="M67" s="120">
        <f t="shared" ref="M67:M71" si="77">L67-D67</f>
        <v>3</v>
      </c>
      <c r="N67" s="121"/>
      <c r="O67" s="412">
        <v>46020</v>
      </c>
      <c r="Q67" s="295">
        <f t="shared" si="72"/>
        <v>46384</v>
      </c>
    </row>
    <row r="68" spans="1:17" ht="20.2" customHeight="1" x14ac:dyDescent="0.25">
      <c r="A68" s="290">
        <v>46097</v>
      </c>
      <c r="B68" s="290">
        <v>46097</v>
      </c>
      <c r="C68" s="291" t="s">
        <v>323</v>
      </c>
      <c r="D68" s="292">
        <v>4</v>
      </c>
      <c r="E68" s="291">
        <f t="shared" si="75"/>
        <v>800</v>
      </c>
      <c r="F68" s="245" t="s">
        <v>2</v>
      </c>
      <c r="G68" s="244">
        <f t="shared" si="76"/>
        <v>836</v>
      </c>
      <c r="H68" s="292" t="s">
        <v>180</v>
      </c>
      <c r="I68" s="293">
        <f>I64-E68</f>
        <v>10000</v>
      </c>
      <c r="J68" s="294" t="s">
        <v>322</v>
      </c>
      <c r="K68" s="291">
        <v>260313009</v>
      </c>
      <c r="L68" s="291">
        <v>23</v>
      </c>
      <c r="M68" s="291">
        <f t="shared" si="77"/>
        <v>19</v>
      </c>
      <c r="N68" s="293"/>
      <c r="O68" s="412">
        <v>46022</v>
      </c>
      <c r="Q68" s="295">
        <f t="shared" si="72"/>
        <v>46386</v>
      </c>
    </row>
    <row r="69" spans="1:17" ht="20.2" customHeight="1" x14ac:dyDescent="0.25">
      <c r="A69" s="290">
        <v>46097</v>
      </c>
      <c r="B69" s="290">
        <v>46097</v>
      </c>
      <c r="C69" s="291" t="s">
        <v>324</v>
      </c>
      <c r="D69" s="292">
        <v>4</v>
      </c>
      <c r="E69" s="291">
        <f t="shared" ref="E69:E70" si="78">D69*200</f>
        <v>800</v>
      </c>
      <c r="F69" s="245" t="s">
        <v>2</v>
      </c>
      <c r="G69" s="244">
        <f t="shared" ref="G69:G70" si="79">D69*209</f>
        <v>836</v>
      </c>
      <c r="H69" s="292" t="s">
        <v>180</v>
      </c>
      <c r="I69" s="293">
        <f>I68-E69</f>
        <v>9200</v>
      </c>
      <c r="J69" s="294" t="s">
        <v>322</v>
      </c>
      <c r="K69" s="291">
        <v>260313009</v>
      </c>
      <c r="L69" s="291">
        <v>24</v>
      </c>
      <c r="M69" s="291">
        <f t="shared" si="77"/>
        <v>20</v>
      </c>
      <c r="N69" s="293"/>
      <c r="O69" s="412">
        <v>46027</v>
      </c>
      <c r="Q69" s="295">
        <f t="shared" si="72"/>
        <v>46391</v>
      </c>
    </row>
    <row r="70" spans="1:17" ht="20.2" customHeight="1" x14ac:dyDescent="0.25">
      <c r="A70" s="306">
        <v>46106</v>
      </c>
      <c r="B70" s="306">
        <v>46106</v>
      </c>
      <c r="C70" s="307" t="s">
        <v>340</v>
      </c>
      <c r="D70" s="308">
        <v>4</v>
      </c>
      <c r="E70" s="307">
        <f t="shared" si="78"/>
        <v>800</v>
      </c>
      <c r="F70" s="309" t="s">
        <v>2</v>
      </c>
      <c r="G70" s="310">
        <f t="shared" si="79"/>
        <v>836</v>
      </c>
      <c r="H70" s="308" t="s">
        <v>180</v>
      </c>
      <c r="I70" s="311">
        <f>I69-E70</f>
        <v>8400</v>
      </c>
      <c r="J70" s="312" t="s">
        <v>322</v>
      </c>
      <c r="K70" s="307">
        <v>260324002</v>
      </c>
      <c r="L70" s="307">
        <v>23</v>
      </c>
      <c r="M70" s="307">
        <f t="shared" si="77"/>
        <v>19</v>
      </c>
      <c r="N70" s="311"/>
      <c r="O70" s="412">
        <v>46029</v>
      </c>
      <c r="Q70" s="295">
        <f t="shared" ref="Q70:Q74" si="80">DATE(YEAR(O70)+1,MONTH(O70),DAY(O70))-1</f>
        <v>46393</v>
      </c>
    </row>
    <row r="71" spans="1:17" ht="20.2" customHeight="1" x14ac:dyDescent="0.25">
      <c r="A71" s="306">
        <v>46106</v>
      </c>
      <c r="B71" s="306">
        <v>46106</v>
      </c>
      <c r="C71" s="307" t="s">
        <v>341</v>
      </c>
      <c r="D71" s="308">
        <v>4</v>
      </c>
      <c r="E71" s="307">
        <f t="shared" ref="E71:E73" si="81">D71*200</f>
        <v>800</v>
      </c>
      <c r="F71" s="309" t="s">
        <v>2</v>
      </c>
      <c r="G71" s="310">
        <f t="shared" ref="G71:G73" si="82">D71*209</f>
        <v>836</v>
      </c>
      <c r="H71" s="308" t="s">
        <v>180</v>
      </c>
      <c r="I71" s="311">
        <f>I70-E71</f>
        <v>7600</v>
      </c>
      <c r="J71" s="312" t="s">
        <v>322</v>
      </c>
      <c r="K71" s="307">
        <v>260324002</v>
      </c>
      <c r="L71" s="307">
        <v>24</v>
      </c>
      <c r="M71" s="307">
        <f t="shared" si="77"/>
        <v>20</v>
      </c>
      <c r="N71" s="311"/>
      <c r="O71" s="412">
        <v>46031</v>
      </c>
      <c r="Q71" s="295">
        <f t="shared" si="80"/>
        <v>46395</v>
      </c>
    </row>
    <row r="72" spans="1:17" ht="20.2" customHeight="1" x14ac:dyDescent="0.25">
      <c r="A72" s="316">
        <v>46108</v>
      </c>
      <c r="B72" s="316">
        <v>46108</v>
      </c>
      <c r="C72" s="317" t="s">
        <v>323</v>
      </c>
      <c r="D72" s="318">
        <v>4</v>
      </c>
      <c r="E72" s="317">
        <f t="shared" si="81"/>
        <v>800</v>
      </c>
      <c r="F72" s="264" t="s">
        <v>2</v>
      </c>
      <c r="G72" s="263">
        <f t="shared" si="82"/>
        <v>836</v>
      </c>
      <c r="H72" s="318" t="s">
        <v>348</v>
      </c>
      <c r="I72" s="319">
        <f>I71-E72</f>
        <v>6800</v>
      </c>
      <c r="J72" s="320"/>
      <c r="K72" s="317">
        <v>260326002</v>
      </c>
      <c r="L72" s="317"/>
      <c r="M72" s="317">
        <f>M68-D72</f>
        <v>15</v>
      </c>
      <c r="N72" s="319"/>
      <c r="O72" s="412">
        <v>46022</v>
      </c>
      <c r="Q72" s="295">
        <f t="shared" si="80"/>
        <v>46386</v>
      </c>
    </row>
    <row r="73" spans="1:17" ht="20.2" customHeight="1" x14ac:dyDescent="0.25">
      <c r="A73" s="316">
        <v>46108</v>
      </c>
      <c r="B73" s="316">
        <v>46108</v>
      </c>
      <c r="C73" s="317" t="s">
        <v>324</v>
      </c>
      <c r="D73" s="318">
        <v>4</v>
      </c>
      <c r="E73" s="317">
        <f t="shared" si="81"/>
        <v>800</v>
      </c>
      <c r="F73" s="264" t="s">
        <v>2</v>
      </c>
      <c r="G73" s="263">
        <f t="shared" si="82"/>
        <v>836</v>
      </c>
      <c r="H73" s="318" t="s">
        <v>578</v>
      </c>
      <c r="I73" s="319">
        <f>I72-E73</f>
        <v>6000</v>
      </c>
      <c r="J73" s="320"/>
      <c r="K73" s="317">
        <v>260326002</v>
      </c>
      <c r="L73" s="317"/>
      <c r="M73" s="317">
        <f>M69-D73</f>
        <v>16</v>
      </c>
      <c r="N73" s="319"/>
      <c r="O73" s="412">
        <v>46027</v>
      </c>
      <c r="Q73" s="295">
        <f t="shared" si="80"/>
        <v>46391</v>
      </c>
    </row>
    <row r="74" spans="1:17" ht="20.2" customHeight="1" x14ac:dyDescent="0.25">
      <c r="A74" s="322">
        <v>46114</v>
      </c>
      <c r="B74" s="322">
        <v>46114</v>
      </c>
      <c r="C74" s="323" t="s">
        <v>309</v>
      </c>
      <c r="D74" s="324">
        <v>3</v>
      </c>
      <c r="E74" s="323">
        <f t="shared" ref="E74:E77" si="83">D74*200</f>
        <v>600</v>
      </c>
      <c r="F74" s="279" t="s">
        <v>353</v>
      </c>
      <c r="G74" s="277">
        <f t="shared" ref="G74:G77" si="84">D74*209</f>
        <v>627</v>
      </c>
      <c r="H74" s="327" t="s">
        <v>355</v>
      </c>
      <c r="I74" s="325">
        <f>48000-E74</f>
        <v>47400</v>
      </c>
      <c r="J74" s="326"/>
      <c r="K74" s="323">
        <v>260401011</v>
      </c>
      <c r="L74" s="323"/>
      <c r="M74" s="323">
        <f>M67-D74</f>
        <v>0</v>
      </c>
      <c r="N74" s="325"/>
      <c r="O74" s="412">
        <v>46020</v>
      </c>
      <c r="Q74" s="295">
        <f t="shared" si="80"/>
        <v>46384</v>
      </c>
    </row>
    <row r="75" spans="1:17" ht="20.2" customHeight="1" x14ac:dyDescent="0.25">
      <c r="A75" s="322">
        <v>46114</v>
      </c>
      <c r="B75" s="322">
        <v>46114</v>
      </c>
      <c r="C75" s="323" t="s">
        <v>323</v>
      </c>
      <c r="D75" s="324">
        <v>5</v>
      </c>
      <c r="E75" s="323">
        <f t="shared" si="83"/>
        <v>1000</v>
      </c>
      <c r="F75" s="279" t="s">
        <v>353</v>
      </c>
      <c r="G75" s="277">
        <f t="shared" si="84"/>
        <v>1045</v>
      </c>
      <c r="H75" s="324" t="s">
        <v>352</v>
      </c>
      <c r="I75" s="325">
        <f>I74-E75</f>
        <v>46400</v>
      </c>
      <c r="J75" s="326"/>
      <c r="K75" s="323">
        <v>260401011</v>
      </c>
      <c r="L75" s="323"/>
      <c r="M75" s="323">
        <f>M72-D75</f>
        <v>10</v>
      </c>
      <c r="N75" s="325"/>
      <c r="O75" s="412">
        <v>46022</v>
      </c>
      <c r="Q75" s="295">
        <f t="shared" ref="Q75:Q77" si="85">DATE(YEAR(O75)+1,MONTH(O75),DAY(O75))-1</f>
        <v>46386</v>
      </c>
    </row>
    <row r="76" spans="1:17" ht="20.2" customHeight="1" x14ac:dyDescent="0.25">
      <c r="A76" s="158">
        <v>46279</v>
      </c>
      <c r="B76" s="158">
        <v>46279</v>
      </c>
      <c r="C76" s="159" t="s">
        <v>588</v>
      </c>
      <c r="D76" s="185">
        <v>8</v>
      </c>
      <c r="E76" s="159">
        <f t="shared" si="83"/>
        <v>1600</v>
      </c>
      <c r="F76" s="28" t="s">
        <v>2</v>
      </c>
      <c r="G76" s="27">
        <f t="shared" si="84"/>
        <v>1672</v>
      </c>
      <c r="H76" s="185" t="s">
        <v>584</v>
      </c>
      <c r="I76" s="160">
        <f>I73-E76</f>
        <v>4400</v>
      </c>
      <c r="J76" s="389"/>
      <c r="K76" s="159">
        <v>260911003</v>
      </c>
      <c r="L76" s="159">
        <v>23</v>
      </c>
      <c r="M76" s="159">
        <f>L76-D76</f>
        <v>15</v>
      </c>
      <c r="N76" s="390" t="s">
        <v>580</v>
      </c>
      <c r="O76" s="412">
        <v>46084</v>
      </c>
      <c r="Q76" s="295">
        <f t="shared" si="85"/>
        <v>46448</v>
      </c>
    </row>
    <row r="77" spans="1:17" ht="20.2" customHeight="1" x14ac:dyDescent="0.25">
      <c r="A77" s="158">
        <v>46279</v>
      </c>
      <c r="B77" s="158">
        <v>46279</v>
      </c>
      <c r="C77" s="159" t="s">
        <v>579</v>
      </c>
      <c r="D77" s="185">
        <v>8</v>
      </c>
      <c r="E77" s="159">
        <f t="shared" si="83"/>
        <v>1600</v>
      </c>
      <c r="F77" s="28" t="s">
        <v>2</v>
      </c>
      <c r="G77" s="27">
        <f t="shared" si="84"/>
        <v>1672</v>
      </c>
      <c r="H77" s="185" t="s">
        <v>578</v>
      </c>
      <c r="I77" s="160">
        <f>I76-E77</f>
        <v>2800</v>
      </c>
      <c r="J77" s="389"/>
      <c r="K77" s="159">
        <v>260911004</v>
      </c>
      <c r="L77" s="159">
        <v>22</v>
      </c>
      <c r="M77" s="159">
        <f>L77-D77</f>
        <v>14</v>
      </c>
      <c r="N77" s="390" t="s">
        <v>581</v>
      </c>
      <c r="O77" s="412">
        <v>46266</v>
      </c>
      <c r="Q77" s="295">
        <f t="shared" si="85"/>
        <v>46630</v>
      </c>
    </row>
    <row r="78" spans="1:17" ht="20.2" customHeight="1" x14ac:dyDescent="0.25">
      <c r="A78" s="140">
        <v>46283</v>
      </c>
      <c r="B78" s="140">
        <v>46283</v>
      </c>
      <c r="C78" s="141" t="s">
        <v>610</v>
      </c>
      <c r="D78" s="209">
        <v>8</v>
      </c>
      <c r="E78" s="141">
        <f t="shared" ref="E78:E79" si="86">D78*200</f>
        <v>1600</v>
      </c>
      <c r="F78" s="34" t="s">
        <v>2</v>
      </c>
      <c r="G78" s="33">
        <f t="shared" ref="G78:G79" si="87">D78*209</f>
        <v>1672</v>
      </c>
      <c r="H78" s="209" t="s">
        <v>598</v>
      </c>
      <c r="I78" s="142">
        <f>I77-E78</f>
        <v>1200</v>
      </c>
      <c r="J78" s="391"/>
      <c r="K78" s="141">
        <v>260917009</v>
      </c>
      <c r="L78" s="141"/>
      <c r="M78" s="141">
        <f>M77-D78</f>
        <v>6</v>
      </c>
      <c r="N78" s="392" t="s">
        <v>597</v>
      </c>
      <c r="O78" s="412">
        <v>46266</v>
      </c>
      <c r="Q78" s="295">
        <f t="shared" ref="Q78:Q79" si="88">DATE(YEAR(O78)+1,MONTH(O78),DAY(O78))-1</f>
        <v>46630</v>
      </c>
    </row>
    <row r="79" spans="1:17" ht="20.2" customHeight="1" x14ac:dyDescent="0.25">
      <c r="A79" s="114">
        <v>46287</v>
      </c>
      <c r="B79" s="114">
        <v>46287</v>
      </c>
      <c r="C79" s="115" t="s">
        <v>623</v>
      </c>
      <c r="D79" s="207">
        <v>2</v>
      </c>
      <c r="E79" s="115">
        <f t="shared" si="86"/>
        <v>400</v>
      </c>
      <c r="F79" s="106" t="s">
        <v>2</v>
      </c>
      <c r="G79" s="105">
        <f t="shared" si="87"/>
        <v>418</v>
      </c>
      <c r="H79" s="207" t="s">
        <v>622</v>
      </c>
      <c r="I79" s="116">
        <f>I78-E79</f>
        <v>800</v>
      </c>
      <c r="J79" s="394"/>
      <c r="K79" s="115">
        <v>260921007</v>
      </c>
      <c r="L79" s="115"/>
      <c r="M79" s="115">
        <f>M76-D79</f>
        <v>13</v>
      </c>
      <c r="N79" s="395"/>
      <c r="O79" s="412">
        <v>46084</v>
      </c>
      <c r="Q79" s="295">
        <f t="shared" si="88"/>
        <v>46448</v>
      </c>
    </row>
    <row r="80" spans="1:17" ht="20.2" customHeight="1" x14ac:dyDescent="0.25">
      <c r="A80" s="114">
        <v>46287</v>
      </c>
      <c r="B80" s="114">
        <v>46287</v>
      </c>
      <c r="C80" s="115" t="s">
        <v>620</v>
      </c>
      <c r="D80" s="207">
        <v>4</v>
      </c>
      <c r="E80" s="115">
        <f t="shared" ref="E80:E81" si="89">D80*200</f>
        <v>800</v>
      </c>
      <c r="F80" s="106" t="s">
        <v>2</v>
      </c>
      <c r="G80" s="105">
        <f t="shared" ref="G80:G81" si="90">D80*209</f>
        <v>836</v>
      </c>
      <c r="H80" s="207" t="s">
        <v>625</v>
      </c>
      <c r="I80" s="116">
        <f>I79-E80</f>
        <v>0</v>
      </c>
      <c r="J80" s="394"/>
      <c r="K80" s="115">
        <v>260921008</v>
      </c>
      <c r="L80" s="115"/>
      <c r="M80" s="115">
        <f>M78-D80</f>
        <v>2</v>
      </c>
      <c r="N80" s="395"/>
      <c r="O80" s="412">
        <v>46266</v>
      </c>
      <c r="Q80" s="295">
        <f t="shared" ref="Q80" si="91">DATE(YEAR(O80)+1,MONTH(O80),DAY(O80))-1</f>
        <v>46630</v>
      </c>
    </row>
    <row r="81" spans="1:17" ht="20.2" customHeight="1" x14ac:dyDescent="0.25">
      <c r="A81" s="114">
        <v>46287</v>
      </c>
      <c r="B81" s="114">
        <v>46287</v>
      </c>
      <c r="C81" s="115" t="s">
        <v>620</v>
      </c>
      <c r="D81" s="207">
        <v>2</v>
      </c>
      <c r="E81" s="115">
        <f t="shared" si="89"/>
        <v>400</v>
      </c>
      <c r="F81" s="106" t="s">
        <v>2</v>
      </c>
      <c r="G81" s="105">
        <f t="shared" si="90"/>
        <v>418</v>
      </c>
      <c r="H81" s="396" t="s">
        <v>624</v>
      </c>
      <c r="I81" s="116">
        <f>5600-E81</f>
        <v>5200</v>
      </c>
      <c r="J81" s="394"/>
      <c r="K81" s="115">
        <v>260921008</v>
      </c>
      <c r="L81" s="115"/>
      <c r="M81" s="115">
        <f>M80-D81</f>
        <v>0</v>
      </c>
      <c r="N81" s="395"/>
      <c r="O81" s="412">
        <v>46266</v>
      </c>
      <c r="Q81" s="295">
        <f t="shared" ref="Q81" si="92">DATE(YEAR(O81)+1,MONTH(O81),DAY(O81))-1</f>
        <v>46630</v>
      </c>
    </row>
    <row r="82" spans="1:17" ht="20.2" customHeight="1" x14ac:dyDescent="0.25">
      <c r="A82" s="165">
        <v>46296</v>
      </c>
      <c r="B82" s="165">
        <v>46296</v>
      </c>
      <c r="C82" s="166" t="s">
        <v>643</v>
      </c>
      <c r="D82" s="189">
        <v>8</v>
      </c>
      <c r="E82" s="166">
        <f t="shared" ref="E82" si="93">D82*200</f>
        <v>1600</v>
      </c>
      <c r="F82" s="127" t="s">
        <v>2</v>
      </c>
      <c r="G82" s="126">
        <f t="shared" ref="G82" si="94">D82*209</f>
        <v>1672</v>
      </c>
      <c r="H82" s="189" t="s">
        <v>624</v>
      </c>
      <c r="I82" s="167">
        <f>I81-E82</f>
        <v>3600</v>
      </c>
      <c r="J82" s="397"/>
      <c r="K82" s="166">
        <v>260930002</v>
      </c>
      <c r="L82" s="166">
        <v>23</v>
      </c>
      <c r="M82" s="166">
        <f>L82-D82</f>
        <v>15</v>
      </c>
      <c r="N82" s="398"/>
      <c r="O82" s="413">
        <f>IF($C82="","",DATE(2000+LEFT($C82,2), HEX2DEC(MID($C82,3,1)), MID($C82,4,2)))</f>
        <v>46287</v>
      </c>
      <c r="Q82" s="295">
        <f t="shared" ref="Q82" si="95">DATE(YEAR(O82)+1,MONTH(O82),DAY(O82))-1</f>
        <v>46651</v>
      </c>
    </row>
    <row r="83" spans="1:17" ht="20.2" customHeight="1" x14ac:dyDescent="0.25">
      <c r="A83" s="399">
        <v>46302</v>
      </c>
      <c r="B83" s="399">
        <v>46302</v>
      </c>
      <c r="C83" s="400" t="s">
        <v>650</v>
      </c>
      <c r="D83" s="401">
        <v>4</v>
      </c>
      <c r="E83" s="400">
        <f t="shared" ref="E83" si="96">D83*200</f>
        <v>800</v>
      </c>
      <c r="F83" s="363" t="s">
        <v>2</v>
      </c>
      <c r="G83" s="364">
        <f t="shared" ref="G83" si="97">D83*209</f>
        <v>836</v>
      </c>
      <c r="H83" s="401" t="s">
        <v>651</v>
      </c>
      <c r="I83" s="402">
        <f>I82-E83</f>
        <v>2800</v>
      </c>
      <c r="J83" s="403"/>
      <c r="K83" s="400"/>
      <c r="L83" s="400"/>
      <c r="M83" s="400">
        <f>M79-D83</f>
        <v>9</v>
      </c>
      <c r="N83" s="404"/>
      <c r="O83" s="413">
        <f>IF($C83="","",DATE(2000+LEFT($C83,2), HEX2DEC(MID($C83,3,1)), MID($C83,4,2)))</f>
        <v>46084</v>
      </c>
      <c r="Q83" s="295">
        <f t="shared" ref="Q83" si="98">DATE(YEAR(O83)+1,MONTH(O83),DAY(O83))-1</f>
        <v>46448</v>
      </c>
    </row>
    <row r="84" spans="1:17" ht="20.2" customHeight="1" x14ac:dyDescent="0.25">
      <c r="A84" s="399">
        <v>46302</v>
      </c>
      <c r="B84" s="399">
        <v>46302</v>
      </c>
      <c r="C84" s="400" t="s">
        <v>643</v>
      </c>
      <c r="D84" s="401">
        <v>8</v>
      </c>
      <c r="E84" s="400">
        <f t="shared" ref="E84" si="99">D84*200</f>
        <v>1600</v>
      </c>
      <c r="F84" s="363" t="s">
        <v>2</v>
      </c>
      <c r="G84" s="364">
        <f t="shared" ref="G84" si="100">D84*209</f>
        <v>1672</v>
      </c>
      <c r="H84" s="401" t="s">
        <v>624</v>
      </c>
      <c r="I84" s="402">
        <f>I83-E84</f>
        <v>1200</v>
      </c>
      <c r="J84" s="403"/>
      <c r="K84" s="400"/>
      <c r="L84" s="400"/>
      <c r="M84" s="400">
        <f>M82-D84</f>
        <v>7</v>
      </c>
      <c r="N84" s="404"/>
      <c r="O84" s="413">
        <f>IF($C84="","",DATE(2000+LEFT($C84,2), HEX2DEC(MID($C84,3,1)), MID($C84,4,2)))</f>
        <v>46287</v>
      </c>
      <c r="Q84" s="295">
        <f t="shared" ref="Q84" si="101">DATE(YEAR(O84)+1,MONTH(O84),DAY(O84))-1</f>
        <v>46651</v>
      </c>
    </row>
    <row r="85" spans="1:17" ht="20.2" customHeight="1" x14ac:dyDescent="0.25">
      <c r="E85" s="71">
        <f t="shared" ref="E85" si="102">D85*200</f>
        <v>0</v>
      </c>
      <c r="G85" s="22">
        <f t="shared" ref="G85" si="103">D85*209</f>
        <v>0</v>
      </c>
      <c r="O85" s="413" t="str">
        <f t="shared" ref="O85:O148" si="104">IF($C85="","",DATE(2000+LEFT($C85,2), HEX2DEC(MID($C85,3,1)), MID($C85,4,2)))</f>
        <v/>
      </c>
      <c r="Q85" s="295" t="e">
        <f t="shared" si="72"/>
        <v>#VALUE!</v>
      </c>
    </row>
    <row r="86" spans="1:17" ht="20.2" customHeight="1" x14ac:dyDescent="0.2">
      <c r="O86" s="413" t="str">
        <f t="shared" si="104"/>
        <v/>
      </c>
    </row>
    <row r="87" spans="1:17" ht="20.2" customHeight="1" x14ac:dyDescent="0.2">
      <c r="O87" s="413" t="str">
        <f t="shared" si="104"/>
        <v/>
      </c>
    </row>
    <row r="88" spans="1:17" ht="20.2" customHeight="1" x14ac:dyDescent="0.2">
      <c r="O88" s="413" t="str">
        <f t="shared" si="104"/>
        <v/>
      </c>
    </row>
    <row r="89" spans="1:17" ht="20.2" customHeight="1" x14ac:dyDescent="0.2">
      <c r="O89" s="413" t="str">
        <f t="shared" si="104"/>
        <v/>
      </c>
      <c r="P89" s="69"/>
    </row>
    <row r="90" spans="1:17" ht="20.2" customHeight="1" x14ac:dyDescent="0.2">
      <c r="O90" s="413" t="str">
        <f t="shared" si="104"/>
        <v/>
      </c>
    </row>
    <row r="91" spans="1:17" ht="20.2" customHeight="1" x14ac:dyDescent="0.2">
      <c r="O91" s="413" t="str">
        <f t="shared" si="104"/>
        <v/>
      </c>
    </row>
    <row r="92" spans="1:17" ht="20.2" customHeight="1" x14ac:dyDescent="0.2">
      <c r="O92" s="413" t="str">
        <f t="shared" si="104"/>
        <v/>
      </c>
    </row>
    <row r="93" spans="1:17" ht="20.2" customHeight="1" x14ac:dyDescent="0.2">
      <c r="O93" s="413" t="str">
        <f t="shared" si="104"/>
        <v/>
      </c>
    </row>
    <row r="94" spans="1:17" ht="20.2" customHeight="1" x14ac:dyDescent="0.2">
      <c r="O94" s="413" t="str">
        <f t="shared" si="104"/>
        <v/>
      </c>
    </row>
    <row r="95" spans="1:17" ht="20.2" customHeight="1" x14ac:dyDescent="0.2">
      <c r="O95" s="413" t="str">
        <f t="shared" si="104"/>
        <v/>
      </c>
    </row>
    <row r="96" spans="1:17" ht="20.2" customHeight="1" x14ac:dyDescent="0.2">
      <c r="O96" s="413" t="str">
        <f t="shared" si="104"/>
        <v/>
      </c>
    </row>
    <row r="97" spans="15:15" ht="20.2" customHeight="1" x14ac:dyDescent="0.2">
      <c r="O97" s="413" t="str">
        <f t="shared" si="104"/>
        <v/>
      </c>
    </row>
    <row r="98" spans="15:15" ht="20.2" customHeight="1" x14ac:dyDescent="0.2">
      <c r="O98" s="413" t="str">
        <f t="shared" si="104"/>
        <v/>
      </c>
    </row>
    <row r="99" spans="15:15" ht="20.2" customHeight="1" x14ac:dyDescent="0.2">
      <c r="O99" s="413" t="str">
        <f t="shared" si="104"/>
        <v/>
      </c>
    </row>
    <row r="100" spans="15:15" ht="20.2" customHeight="1" x14ac:dyDescent="0.2">
      <c r="O100" s="413" t="str">
        <f t="shared" si="104"/>
        <v/>
      </c>
    </row>
    <row r="101" spans="15:15" ht="20.2" customHeight="1" x14ac:dyDescent="0.2">
      <c r="O101" s="413" t="str">
        <f t="shared" si="104"/>
        <v/>
      </c>
    </row>
    <row r="102" spans="15:15" ht="20.2" customHeight="1" x14ac:dyDescent="0.2">
      <c r="O102" s="413" t="str">
        <f t="shared" si="104"/>
        <v/>
      </c>
    </row>
    <row r="103" spans="15:15" ht="20.2" customHeight="1" x14ac:dyDescent="0.2">
      <c r="O103" s="413" t="str">
        <f t="shared" si="104"/>
        <v/>
      </c>
    </row>
    <row r="104" spans="15:15" ht="20.2" customHeight="1" x14ac:dyDescent="0.2">
      <c r="O104" s="413" t="str">
        <f t="shared" si="104"/>
        <v/>
      </c>
    </row>
    <row r="105" spans="15:15" ht="20.2" customHeight="1" x14ac:dyDescent="0.2">
      <c r="O105" s="413" t="str">
        <f t="shared" si="104"/>
        <v/>
      </c>
    </row>
    <row r="106" spans="15:15" ht="20.2" customHeight="1" x14ac:dyDescent="0.2">
      <c r="O106" s="413" t="str">
        <f t="shared" si="104"/>
        <v/>
      </c>
    </row>
    <row r="107" spans="15:15" ht="20.2" customHeight="1" x14ac:dyDescent="0.2">
      <c r="O107" s="413" t="str">
        <f t="shared" si="104"/>
        <v/>
      </c>
    </row>
    <row r="108" spans="15:15" ht="20.2" customHeight="1" x14ac:dyDescent="0.2">
      <c r="O108" s="413" t="str">
        <f t="shared" si="104"/>
        <v/>
      </c>
    </row>
    <row r="109" spans="15:15" ht="20.2" customHeight="1" x14ac:dyDescent="0.2">
      <c r="O109" s="413" t="str">
        <f t="shared" si="104"/>
        <v/>
      </c>
    </row>
    <row r="110" spans="15:15" ht="20.2" customHeight="1" x14ac:dyDescent="0.2">
      <c r="O110" s="413" t="str">
        <f t="shared" si="104"/>
        <v/>
      </c>
    </row>
    <row r="111" spans="15:15" ht="20.2" customHeight="1" x14ac:dyDescent="0.2">
      <c r="O111" s="413" t="str">
        <f t="shared" si="104"/>
        <v/>
      </c>
    </row>
    <row r="112" spans="15:15" ht="20.2" customHeight="1" x14ac:dyDescent="0.2">
      <c r="O112" s="413" t="str">
        <f t="shared" si="104"/>
        <v/>
      </c>
    </row>
    <row r="113" spans="15:15" ht="20.2" customHeight="1" x14ac:dyDescent="0.2">
      <c r="O113" s="413" t="str">
        <f t="shared" si="104"/>
        <v/>
      </c>
    </row>
    <row r="114" spans="15:15" ht="20.2" customHeight="1" x14ac:dyDescent="0.2">
      <c r="O114" s="413" t="str">
        <f t="shared" si="104"/>
        <v/>
      </c>
    </row>
    <row r="115" spans="15:15" ht="20.2" customHeight="1" x14ac:dyDescent="0.2">
      <c r="O115" s="413" t="str">
        <f t="shared" si="104"/>
        <v/>
      </c>
    </row>
    <row r="116" spans="15:15" ht="20.2" customHeight="1" x14ac:dyDescent="0.2">
      <c r="O116" s="413" t="str">
        <f t="shared" si="104"/>
        <v/>
      </c>
    </row>
    <row r="117" spans="15:15" ht="20.2" customHeight="1" x14ac:dyDescent="0.2">
      <c r="O117" s="413" t="str">
        <f t="shared" si="104"/>
        <v/>
      </c>
    </row>
    <row r="118" spans="15:15" ht="20.2" customHeight="1" x14ac:dyDescent="0.2">
      <c r="O118" s="413" t="str">
        <f t="shared" si="104"/>
        <v/>
      </c>
    </row>
    <row r="119" spans="15:15" ht="20.2" customHeight="1" x14ac:dyDescent="0.2">
      <c r="O119" s="413" t="str">
        <f t="shared" si="104"/>
        <v/>
      </c>
    </row>
    <row r="120" spans="15:15" ht="20.2" customHeight="1" x14ac:dyDescent="0.2">
      <c r="O120" s="413" t="str">
        <f t="shared" si="104"/>
        <v/>
      </c>
    </row>
    <row r="121" spans="15:15" ht="20.2" customHeight="1" x14ac:dyDescent="0.2">
      <c r="O121" s="413" t="str">
        <f t="shared" si="104"/>
        <v/>
      </c>
    </row>
    <row r="122" spans="15:15" ht="20.2" customHeight="1" x14ac:dyDescent="0.2">
      <c r="O122" s="413" t="str">
        <f t="shared" si="104"/>
        <v/>
      </c>
    </row>
    <row r="123" spans="15:15" ht="20.2" customHeight="1" x14ac:dyDescent="0.2">
      <c r="O123" s="413" t="str">
        <f t="shared" si="104"/>
        <v/>
      </c>
    </row>
    <row r="124" spans="15:15" ht="20.2" customHeight="1" x14ac:dyDescent="0.2">
      <c r="O124" s="413" t="str">
        <f t="shared" si="104"/>
        <v/>
      </c>
    </row>
    <row r="125" spans="15:15" ht="20.2" customHeight="1" x14ac:dyDescent="0.2">
      <c r="O125" s="413" t="str">
        <f t="shared" si="104"/>
        <v/>
      </c>
    </row>
    <row r="126" spans="15:15" ht="20.2" customHeight="1" x14ac:dyDescent="0.2">
      <c r="O126" s="413" t="str">
        <f t="shared" si="104"/>
        <v/>
      </c>
    </row>
    <row r="127" spans="15:15" ht="20.2" customHeight="1" x14ac:dyDescent="0.2">
      <c r="O127" s="413" t="str">
        <f t="shared" si="104"/>
        <v/>
      </c>
    </row>
    <row r="128" spans="15:15" ht="20.2" customHeight="1" x14ac:dyDescent="0.2">
      <c r="O128" s="413" t="str">
        <f t="shared" si="104"/>
        <v/>
      </c>
    </row>
    <row r="129" spans="15:15" ht="20.2" customHeight="1" x14ac:dyDescent="0.2">
      <c r="O129" s="413" t="str">
        <f t="shared" si="104"/>
        <v/>
      </c>
    </row>
    <row r="130" spans="15:15" ht="20.2" customHeight="1" x14ac:dyDescent="0.2">
      <c r="O130" s="413" t="str">
        <f t="shared" si="104"/>
        <v/>
      </c>
    </row>
    <row r="131" spans="15:15" ht="20.2" customHeight="1" x14ac:dyDescent="0.2">
      <c r="O131" s="413" t="str">
        <f t="shared" si="104"/>
        <v/>
      </c>
    </row>
    <row r="132" spans="15:15" ht="20.2" customHeight="1" x14ac:dyDescent="0.2">
      <c r="O132" s="413" t="str">
        <f t="shared" si="104"/>
        <v/>
      </c>
    </row>
    <row r="133" spans="15:15" ht="20.2" customHeight="1" x14ac:dyDescent="0.2">
      <c r="O133" s="413" t="str">
        <f t="shared" si="104"/>
        <v/>
      </c>
    </row>
    <row r="134" spans="15:15" ht="20.2" customHeight="1" x14ac:dyDescent="0.2">
      <c r="O134" s="413" t="str">
        <f t="shared" si="104"/>
        <v/>
      </c>
    </row>
    <row r="135" spans="15:15" ht="20.2" customHeight="1" x14ac:dyDescent="0.2">
      <c r="O135" s="413" t="str">
        <f t="shared" si="104"/>
        <v/>
      </c>
    </row>
    <row r="136" spans="15:15" ht="20.2" customHeight="1" x14ac:dyDescent="0.2">
      <c r="O136" s="413" t="str">
        <f t="shared" si="104"/>
        <v/>
      </c>
    </row>
    <row r="137" spans="15:15" ht="20.2" customHeight="1" x14ac:dyDescent="0.2">
      <c r="O137" s="413" t="str">
        <f t="shared" si="104"/>
        <v/>
      </c>
    </row>
    <row r="138" spans="15:15" ht="20.2" customHeight="1" x14ac:dyDescent="0.2">
      <c r="O138" s="413" t="str">
        <f t="shared" si="104"/>
        <v/>
      </c>
    </row>
    <row r="139" spans="15:15" ht="20.2" customHeight="1" x14ac:dyDescent="0.2">
      <c r="O139" s="413" t="str">
        <f t="shared" si="104"/>
        <v/>
      </c>
    </row>
    <row r="140" spans="15:15" ht="20.2" customHeight="1" x14ac:dyDescent="0.2">
      <c r="O140" s="413" t="str">
        <f t="shared" si="104"/>
        <v/>
      </c>
    </row>
    <row r="141" spans="15:15" ht="20.2" customHeight="1" x14ac:dyDescent="0.2">
      <c r="O141" s="413" t="str">
        <f t="shared" si="104"/>
        <v/>
      </c>
    </row>
    <row r="142" spans="15:15" ht="20.2" customHeight="1" x14ac:dyDescent="0.2">
      <c r="O142" s="413" t="str">
        <f t="shared" si="104"/>
        <v/>
      </c>
    </row>
    <row r="143" spans="15:15" ht="20.2" customHeight="1" x14ac:dyDescent="0.2">
      <c r="O143" s="413" t="str">
        <f t="shared" si="104"/>
        <v/>
      </c>
    </row>
    <row r="144" spans="15:15" ht="20.2" customHeight="1" x14ac:dyDescent="0.2">
      <c r="O144" s="413" t="str">
        <f t="shared" si="104"/>
        <v/>
      </c>
    </row>
    <row r="145" spans="15:15" ht="20.2" customHeight="1" x14ac:dyDescent="0.2">
      <c r="O145" s="413" t="str">
        <f t="shared" si="104"/>
        <v/>
      </c>
    </row>
    <row r="146" spans="15:15" ht="20.2" customHeight="1" x14ac:dyDescent="0.2">
      <c r="O146" s="413" t="str">
        <f t="shared" si="104"/>
        <v/>
      </c>
    </row>
    <row r="147" spans="15:15" ht="20.2" customHeight="1" x14ac:dyDescent="0.2">
      <c r="O147" s="413" t="str">
        <f t="shared" si="104"/>
        <v/>
      </c>
    </row>
    <row r="148" spans="15:15" ht="20.2" customHeight="1" x14ac:dyDescent="0.2">
      <c r="O148" s="413" t="str">
        <f t="shared" si="104"/>
        <v/>
      </c>
    </row>
    <row r="149" spans="15:15" ht="20.2" customHeight="1" x14ac:dyDescent="0.2">
      <c r="O149" s="413" t="str">
        <f t="shared" ref="O149:O212" si="105">IF($C149="","",DATE(2000+LEFT($C149,2), HEX2DEC(MID($C149,3,1)), MID($C149,4,2)))</f>
        <v/>
      </c>
    </row>
    <row r="150" spans="15:15" ht="20.2" customHeight="1" x14ac:dyDescent="0.2">
      <c r="O150" s="413" t="str">
        <f t="shared" si="105"/>
        <v/>
      </c>
    </row>
    <row r="151" spans="15:15" ht="20.2" customHeight="1" x14ac:dyDescent="0.2">
      <c r="O151" s="413" t="str">
        <f t="shared" si="105"/>
        <v/>
      </c>
    </row>
    <row r="152" spans="15:15" ht="20.2" customHeight="1" x14ac:dyDescent="0.2">
      <c r="O152" s="413" t="str">
        <f t="shared" si="105"/>
        <v/>
      </c>
    </row>
    <row r="153" spans="15:15" ht="20.2" customHeight="1" x14ac:dyDescent="0.2">
      <c r="O153" s="413" t="str">
        <f t="shared" si="105"/>
        <v/>
      </c>
    </row>
    <row r="154" spans="15:15" ht="20.2" customHeight="1" x14ac:dyDescent="0.2">
      <c r="O154" s="413" t="str">
        <f t="shared" si="105"/>
        <v/>
      </c>
    </row>
    <row r="155" spans="15:15" ht="20.2" customHeight="1" x14ac:dyDescent="0.2">
      <c r="O155" s="413" t="str">
        <f t="shared" si="105"/>
        <v/>
      </c>
    </row>
    <row r="156" spans="15:15" ht="20.2" customHeight="1" x14ac:dyDescent="0.2">
      <c r="O156" s="413" t="str">
        <f t="shared" si="105"/>
        <v/>
      </c>
    </row>
    <row r="157" spans="15:15" ht="20.2" customHeight="1" x14ac:dyDescent="0.2">
      <c r="O157" s="413" t="str">
        <f t="shared" si="105"/>
        <v/>
      </c>
    </row>
    <row r="158" spans="15:15" ht="20.2" customHeight="1" x14ac:dyDescent="0.2">
      <c r="O158" s="413" t="str">
        <f t="shared" si="105"/>
        <v/>
      </c>
    </row>
    <row r="159" spans="15:15" ht="20.2" customHeight="1" x14ac:dyDescent="0.2">
      <c r="O159" s="413" t="str">
        <f t="shared" si="105"/>
        <v/>
      </c>
    </row>
    <row r="160" spans="15:15" ht="20.2" customHeight="1" x14ac:dyDescent="0.2">
      <c r="O160" s="413" t="str">
        <f t="shared" si="105"/>
        <v/>
      </c>
    </row>
    <row r="161" spans="15:15" ht="20.2" customHeight="1" x14ac:dyDescent="0.2">
      <c r="O161" s="413" t="str">
        <f t="shared" si="105"/>
        <v/>
      </c>
    </row>
    <row r="162" spans="15:15" ht="20.2" customHeight="1" x14ac:dyDescent="0.2">
      <c r="O162" s="413" t="str">
        <f t="shared" si="105"/>
        <v/>
      </c>
    </row>
    <row r="163" spans="15:15" ht="20.2" customHeight="1" x14ac:dyDescent="0.2">
      <c r="O163" s="413" t="str">
        <f t="shared" si="105"/>
        <v/>
      </c>
    </row>
    <row r="164" spans="15:15" ht="20.2" customHeight="1" x14ac:dyDescent="0.2">
      <c r="O164" s="413" t="str">
        <f t="shared" si="105"/>
        <v/>
      </c>
    </row>
    <row r="165" spans="15:15" ht="20.2" customHeight="1" x14ac:dyDescent="0.2">
      <c r="O165" s="413" t="str">
        <f t="shared" si="105"/>
        <v/>
      </c>
    </row>
    <row r="166" spans="15:15" ht="20.2" customHeight="1" x14ac:dyDescent="0.2">
      <c r="O166" s="413" t="str">
        <f t="shared" si="105"/>
        <v/>
      </c>
    </row>
    <row r="167" spans="15:15" ht="20.2" customHeight="1" x14ac:dyDescent="0.2">
      <c r="O167" s="413" t="str">
        <f t="shared" si="105"/>
        <v/>
      </c>
    </row>
    <row r="168" spans="15:15" ht="20.2" customHeight="1" x14ac:dyDescent="0.2">
      <c r="O168" s="413" t="str">
        <f t="shared" si="105"/>
        <v/>
      </c>
    </row>
    <row r="169" spans="15:15" ht="20.2" customHeight="1" x14ac:dyDescent="0.2">
      <c r="O169" s="413" t="str">
        <f t="shared" si="105"/>
        <v/>
      </c>
    </row>
    <row r="170" spans="15:15" ht="20.2" customHeight="1" x14ac:dyDescent="0.2">
      <c r="O170" s="413" t="str">
        <f t="shared" si="105"/>
        <v/>
      </c>
    </row>
    <row r="171" spans="15:15" ht="20.2" customHeight="1" x14ac:dyDescent="0.2">
      <c r="O171" s="413" t="str">
        <f t="shared" si="105"/>
        <v/>
      </c>
    </row>
    <row r="172" spans="15:15" ht="20.2" customHeight="1" x14ac:dyDescent="0.2">
      <c r="O172" s="413" t="str">
        <f t="shared" si="105"/>
        <v/>
      </c>
    </row>
    <row r="173" spans="15:15" ht="20.2" customHeight="1" x14ac:dyDescent="0.2">
      <c r="O173" s="413" t="str">
        <f t="shared" si="105"/>
        <v/>
      </c>
    </row>
    <row r="174" spans="15:15" ht="20.2" customHeight="1" x14ac:dyDescent="0.2">
      <c r="O174" s="413" t="str">
        <f t="shared" si="105"/>
        <v/>
      </c>
    </row>
    <row r="175" spans="15:15" ht="20.2" customHeight="1" x14ac:dyDescent="0.2">
      <c r="O175" s="413" t="str">
        <f t="shared" si="105"/>
        <v/>
      </c>
    </row>
    <row r="176" spans="15:15" ht="20.2" customHeight="1" x14ac:dyDescent="0.2">
      <c r="O176" s="413" t="str">
        <f t="shared" si="105"/>
        <v/>
      </c>
    </row>
    <row r="177" spans="15:15" ht="20.2" customHeight="1" x14ac:dyDescent="0.2">
      <c r="O177" s="413" t="str">
        <f t="shared" si="105"/>
        <v/>
      </c>
    </row>
    <row r="178" spans="15:15" ht="20.2" customHeight="1" x14ac:dyDescent="0.2">
      <c r="O178" s="413" t="str">
        <f t="shared" si="105"/>
        <v/>
      </c>
    </row>
    <row r="179" spans="15:15" ht="20.2" customHeight="1" x14ac:dyDescent="0.2">
      <c r="O179" s="413" t="str">
        <f t="shared" si="105"/>
        <v/>
      </c>
    </row>
    <row r="180" spans="15:15" ht="20.2" customHeight="1" x14ac:dyDescent="0.2">
      <c r="O180" s="413" t="str">
        <f t="shared" si="105"/>
        <v/>
      </c>
    </row>
    <row r="181" spans="15:15" ht="20.2" customHeight="1" x14ac:dyDescent="0.2">
      <c r="O181" s="413" t="str">
        <f t="shared" si="105"/>
        <v/>
      </c>
    </row>
    <row r="182" spans="15:15" ht="20.2" customHeight="1" x14ac:dyDescent="0.2">
      <c r="O182" s="413" t="str">
        <f t="shared" si="105"/>
        <v/>
      </c>
    </row>
    <row r="183" spans="15:15" ht="20.2" customHeight="1" x14ac:dyDescent="0.2">
      <c r="O183" s="413" t="str">
        <f t="shared" si="105"/>
        <v/>
      </c>
    </row>
    <row r="184" spans="15:15" ht="20.2" customHeight="1" x14ac:dyDescent="0.2">
      <c r="O184" s="413" t="str">
        <f t="shared" si="105"/>
        <v/>
      </c>
    </row>
    <row r="185" spans="15:15" ht="20.2" customHeight="1" x14ac:dyDescent="0.2">
      <c r="O185" s="413" t="str">
        <f t="shared" si="105"/>
        <v/>
      </c>
    </row>
    <row r="186" spans="15:15" ht="20.2" customHeight="1" x14ac:dyDescent="0.2">
      <c r="O186" s="413" t="str">
        <f t="shared" si="105"/>
        <v/>
      </c>
    </row>
    <row r="187" spans="15:15" ht="20.2" customHeight="1" x14ac:dyDescent="0.2">
      <c r="O187" s="413" t="str">
        <f t="shared" si="105"/>
        <v/>
      </c>
    </row>
    <row r="188" spans="15:15" ht="20.2" customHeight="1" x14ac:dyDescent="0.2">
      <c r="O188" s="413" t="str">
        <f t="shared" si="105"/>
        <v/>
      </c>
    </row>
    <row r="189" spans="15:15" ht="20.2" customHeight="1" x14ac:dyDescent="0.2">
      <c r="O189" s="413" t="str">
        <f t="shared" si="105"/>
        <v/>
      </c>
    </row>
    <row r="190" spans="15:15" ht="20.2" customHeight="1" x14ac:dyDescent="0.2">
      <c r="O190" s="413" t="str">
        <f t="shared" si="105"/>
        <v/>
      </c>
    </row>
    <row r="191" spans="15:15" ht="20.2" customHeight="1" x14ac:dyDescent="0.2">
      <c r="O191" s="413" t="str">
        <f t="shared" si="105"/>
        <v/>
      </c>
    </row>
    <row r="192" spans="15:15" ht="20.2" customHeight="1" x14ac:dyDescent="0.2">
      <c r="O192" s="413" t="str">
        <f t="shared" si="105"/>
        <v/>
      </c>
    </row>
    <row r="193" spans="15:15" ht="20.2" customHeight="1" x14ac:dyDescent="0.2">
      <c r="O193" s="413" t="str">
        <f t="shared" si="105"/>
        <v/>
      </c>
    </row>
    <row r="194" spans="15:15" ht="20.2" customHeight="1" x14ac:dyDescent="0.2">
      <c r="O194" s="413" t="str">
        <f t="shared" si="105"/>
        <v/>
      </c>
    </row>
    <row r="195" spans="15:15" ht="20.2" customHeight="1" x14ac:dyDescent="0.2">
      <c r="O195" s="413" t="str">
        <f t="shared" si="105"/>
        <v/>
      </c>
    </row>
    <row r="196" spans="15:15" ht="20.2" customHeight="1" x14ac:dyDescent="0.2">
      <c r="O196" s="413" t="str">
        <f t="shared" si="105"/>
        <v/>
      </c>
    </row>
    <row r="197" spans="15:15" ht="20.2" customHeight="1" x14ac:dyDescent="0.2">
      <c r="O197" s="413" t="str">
        <f t="shared" si="105"/>
        <v/>
      </c>
    </row>
    <row r="198" spans="15:15" ht="20.2" customHeight="1" x14ac:dyDescent="0.2">
      <c r="O198" s="413" t="str">
        <f t="shared" si="105"/>
        <v/>
      </c>
    </row>
    <row r="199" spans="15:15" ht="20.2" customHeight="1" x14ac:dyDescent="0.2">
      <c r="O199" s="413" t="str">
        <f t="shared" si="105"/>
        <v/>
      </c>
    </row>
    <row r="200" spans="15:15" ht="20.2" customHeight="1" x14ac:dyDescent="0.2">
      <c r="O200" s="413" t="str">
        <f t="shared" si="105"/>
        <v/>
      </c>
    </row>
    <row r="201" spans="15:15" ht="20.2" customHeight="1" x14ac:dyDescent="0.2">
      <c r="O201" s="413" t="str">
        <f t="shared" si="105"/>
        <v/>
      </c>
    </row>
    <row r="202" spans="15:15" ht="20.2" customHeight="1" x14ac:dyDescent="0.2">
      <c r="O202" s="413" t="str">
        <f t="shared" si="105"/>
        <v/>
      </c>
    </row>
    <row r="203" spans="15:15" ht="20.2" customHeight="1" x14ac:dyDescent="0.2">
      <c r="O203" s="413" t="str">
        <f t="shared" si="105"/>
        <v/>
      </c>
    </row>
    <row r="204" spans="15:15" ht="20.2" customHeight="1" x14ac:dyDescent="0.2">
      <c r="O204" s="413" t="str">
        <f t="shared" si="105"/>
        <v/>
      </c>
    </row>
    <row r="205" spans="15:15" ht="20.2" customHeight="1" x14ac:dyDescent="0.2">
      <c r="O205" s="413" t="str">
        <f t="shared" si="105"/>
        <v/>
      </c>
    </row>
    <row r="206" spans="15:15" ht="20.2" customHeight="1" x14ac:dyDescent="0.2">
      <c r="O206" s="413" t="str">
        <f t="shared" si="105"/>
        <v/>
      </c>
    </row>
    <row r="207" spans="15:15" ht="20.2" customHeight="1" x14ac:dyDescent="0.2">
      <c r="O207" s="413" t="str">
        <f t="shared" si="105"/>
        <v/>
      </c>
    </row>
    <row r="208" spans="15:15" ht="20.2" customHeight="1" x14ac:dyDescent="0.2">
      <c r="O208" s="413" t="str">
        <f t="shared" si="105"/>
        <v/>
      </c>
    </row>
    <row r="209" spans="15:15" ht="20.2" customHeight="1" x14ac:dyDescent="0.2">
      <c r="O209" s="413" t="str">
        <f t="shared" si="105"/>
        <v/>
      </c>
    </row>
    <row r="210" spans="15:15" ht="20.2" customHeight="1" x14ac:dyDescent="0.2">
      <c r="O210" s="413" t="str">
        <f t="shared" si="105"/>
        <v/>
      </c>
    </row>
    <row r="211" spans="15:15" ht="20.2" customHeight="1" x14ac:dyDescent="0.2">
      <c r="O211" s="413" t="str">
        <f t="shared" si="105"/>
        <v/>
      </c>
    </row>
    <row r="212" spans="15:15" ht="20.2" customHeight="1" x14ac:dyDescent="0.2">
      <c r="O212" s="413" t="str">
        <f t="shared" si="105"/>
        <v/>
      </c>
    </row>
    <row r="213" spans="15:15" ht="20.2" customHeight="1" x14ac:dyDescent="0.2">
      <c r="O213" s="413" t="str">
        <f t="shared" ref="O213:O276" si="106">IF($C213="","",DATE(2000+LEFT($C213,2), HEX2DEC(MID($C213,3,1)), MID($C213,4,2)))</f>
        <v/>
      </c>
    </row>
    <row r="214" spans="15:15" ht="20.2" customHeight="1" x14ac:dyDescent="0.2">
      <c r="O214" s="413" t="str">
        <f t="shared" si="106"/>
        <v/>
      </c>
    </row>
    <row r="215" spans="15:15" ht="20.2" customHeight="1" x14ac:dyDescent="0.2">
      <c r="O215" s="413" t="str">
        <f t="shared" si="106"/>
        <v/>
      </c>
    </row>
    <row r="216" spans="15:15" ht="20.2" customHeight="1" x14ac:dyDescent="0.2">
      <c r="O216" s="413" t="str">
        <f t="shared" si="106"/>
        <v/>
      </c>
    </row>
    <row r="217" spans="15:15" ht="20.2" customHeight="1" x14ac:dyDescent="0.2">
      <c r="O217" s="413" t="str">
        <f t="shared" si="106"/>
        <v/>
      </c>
    </row>
    <row r="218" spans="15:15" ht="20.2" customHeight="1" x14ac:dyDescent="0.2">
      <c r="O218" s="413" t="str">
        <f t="shared" si="106"/>
        <v/>
      </c>
    </row>
    <row r="219" spans="15:15" ht="20.2" customHeight="1" x14ac:dyDescent="0.2">
      <c r="O219" s="413" t="str">
        <f t="shared" si="106"/>
        <v/>
      </c>
    </row>
    <row r="220" spans="15:15" ht="20.2" customHeight="1" x14ac:dyDescent="0.2">
      <c r="O220" s="413" t="str">
        <f t="shared" si="106"/>
        <v/>
      </c>
    </row>
    <row r="221" spans="15:15" ht="20.2" customHeight="1" x14ac:dyDescent="0.2">
      <c r="O221" s="413" t="str">
        <f t="shared" si="106"/>
        <v/>
      </c>
    </row>
    <row r="222" spans="15:15" ht="20.2" customHeight="1" x14ac:dyDescent="0.2">
      <c r="O222" s="413" t="str">
        <f t="shared" si="106"/>
        <v/>
      </c>
    </row>
    <row r="223" spans="15:15" ht="20.2" customHeight="1" x14ac:dyDescent="0.2">
      <c r="O223" s="413" t="str">
        <f t="shared" si="106"/>
        <v/>
      </c>
    </row>
    <row r="224" spans="15:15" ht="20.2" customHeight="1" x14ac:dyDescent="0.2">
      <c r="O224" s="413" t="str">
        <f t="shared" si="106"/>
        <v/>
      </c>
    </row>
    <row r="225" spans="15:15" ht="20.2" customHeight="1" x14ac:dyDescent="0.2">
      <c r="O225" s="413" t="str">
        <f t="shared" si="106"/>
        <v/>
      </c>
    </row>
    <row r="226" spans="15:15" ht="20.2" customHeight="1" x14ac:dyDescent="0.2">
      <c r="O226" s="413" t="str">
        <f t="shared" si="106"/>
        <v/>
      </c>
    </row>
    <row r="227" spans="15:15" ht="20.2" customHeight="1" x14ac:dyDescent="0.2">
      <c r="O227" s="413" t="str">
        <f t="shared" si="106"/>
        <v/>
      </c>
    </row>
    <row r="228" spans="15:15" ht="20.2" customHeight="1" x14ac:dyDescent="0.2">
      <c r="O228" s="413" t="str">
        <f t="shared" si="106"/>
        <v/>
      </c>
    </row>
    <row r="229" spans="15:15" ht="20.2" customHeight="1" x14ac:dyDescent="0.2">
      <c r="O229" s="413" t="str">
        <f t="shared" si="106"/>
        <v/>
      </c>
    </row>
    <row r="230" spans="15:15" ht="20.2" customHeight="1" x14ac:dyDescent="0.2">
      <c r="O230" s="413" t="str">
        <f t="shared" si="106"/>
        <v/>
      </c>
    </row>
    <row r="231" spans="15:15" ht="20.2" customHeight="1" x14ac:dyDescent="0.2">
      <c r="O231" s="413" t="str">
        <f t="shared" si="106"/>
        <v/>
      </c>
    </row>
    <row r="232" spans="15:15" ht="20.2" customHeight="1" x14ac:dyDescent="0.2">
      <c r="O232" s="413" t="str">
        <f t="shared" si="106"/>
        <v/>
      </c>
    </row>
    <row r="233" spans="15:15" ht="20.2" customHeight="1" x14ac:dyDescent="0.2">
      <c r="O233" s="413" t="str">
        <f t="shared" si="106"/>
        <v/>
      </c>
    </row>
    <row r="234" spans="15:15" ht="20.2" customHeight="1" x14ac:dyDescent="0.2">
      <c r="O234" s="413" t="str">
        <f t="shared" si="106"/>
        <v/>
      </c>
    </row>
    <row r="235" spans="15:15" ht="20.2" customHeight="1" x14ac:dyDescent="0.2">
      <c r="O235" s="413" t="str">
        <f t="shared" si="106"/>
        <v/>
      </c>
    </row>
    <row r="236" spans="15:15" ht="20.2" customHeight="1" x14ac:dyDescent="0.2">
      <c r="O236" s="413" t="str">
        <f t="shared" si="106"/>
        <v/>
      </c>
    </row>
    <row r="237" spans="15:15" ht="20.2" customHeight="1" x14ac:dyDescent="0.2">
      <c r="O237" s="413" t="str">
        <f t="shared" si="106"/>
        <v/>
      </c>
    </row>
    <row r="238" spans="15:15" ht="20.2" customHeight="1" x14ac:dyDescent="0.2">
      <c r="O238" s="413" t="str">
        <f t="shared" si="106"/>
        <v/>
      </c>
    </row>
    <row r="239" spans="15:15" ht="20.2" customHeight="1" x14ac:dyDescent="0.2">
      <c r="O239" s="413" t="str">
        <f t="shared" si="106"/>
        <v/>
      </c>
    </row>
    <row r="240" spans="15:15" ht="20.2" customHeight="1" x14ac:dyDescent="0.2">
      <c r="O240" s="413" t="str">
        <f t="shared" si="106"/>
        <v/>
      </c>
    </row>
    <row r="241" spans="15:15" ht="20.2" customHeight="1" x14ac:dyDescent="0.2">
      <c r="O241" s="413" t="str">
        <f t="shared" si="106"/>
        <v/>
      </c>
    </row>
    <row r="242" spans="15:15" ht="20.2" customHeight="1" x14ac:dyDescent="0.2">
      <c r="O242" s="413" t="str">
        <f t="shared" si="106"/>
        <v/>
      </c>
    </row>
    <row r="243" spans="15:15" ht="20.2" customHeight="1" x14ac:dyDescent="0.2">
      <c r="O243" s="413" t="str">
        <f t="shared" si="106"/>
        <v/>
      </c>
    </row>
    <row r="244" spans="15:15" ht="20.2" customHeight="1" x14ac:dyDescent="0.2">
      <c r="O244" s="413" t="str">
        <f t="shared" si="106"/>
        <v/>
      </c>
    </row>
    <row r="245" spans="15:15" ht="20.2" customHeight="1" x14ac:dyDescent="0.2">
      <c r="O245" s="413" t="str">
        <f t="shared" si="106"/>
        <v/>
      </c>
    </row>
    <row r="246" spans="15:15" ht="20.2" customHeight="1" x14ac:dyDescent="0.2">
      <c r="O246" s="413" t="str">
        <f t="shared" si="106"/>
        <v/>
      </c>
    </row>
    <row r="247" spans="15:15" ht="20.2" customHeight="1" x14ac:dyDescent="0.2">
      <c r="O247" s="413" t="str">
        <f t="shared" si="106"/>
        <v/>
      </c>
    </row>
    <row r="248" spans="15:15" ht="20.2" customHeight="1" x14ac:dyDescent="0.2">
      <c r="O248" s="413" t="str">
        <f t="shared" si="106"/>
        <v/>
      </c>
    </row>
    <row r="249" spans="15:15" ht="20.2" customHeight="1" x14ac:dyDescent="0.2">
      <c r="O249" s="413" t="str">
        <f t="shared" si="106"/>
        <v/>
      </c>
    </row>
    <row r="250" spans="15:15" ht="20.2" customHeight="1" x14ac:dyDescent="0.2">
      <c r="O250" s="413" t="str">
        <f t="shared" si="106"/>
        <v/>
      </c>
    </row>
    <row r="251" spans="15:15" ht="20.2" customHeight="1" x14ac:dyDescent="0.2">
      <c r="O251" s="413" t="str">
        <f t="shared" si="106"/>
        <v/>
      </c>
    </row>
    <row r="252" spans="15:15" ht="20.2" customHeight="1" x14ac:dyDescent="0.2">
      <c r="O252" s="413" t="str">
        <f t="shared" si="106"/>
        <v/>
      </c>
    </row>
    <row r="253" spans="15:15" ht="20.2" customHeight="1" x14ac:dyDescent="0.2">
      <c r="O253" s="413" t="str">
        <f t="shared" si="106"/>
        <v/>
      </c>
    </row>
    <row r="254" spans="15:15" ht="20.2" customHeight="1" x14ac:dyDescent="0.2">
      <c r="O254" s="413" t="str">
        <f t="shared" si="106"/>
        <v/>
      </c>
    </row>
    <row r="255" spans="15:15" ht="20.2" customHeight="1" x14ac:dyDescent="0.2">
      <c r="O255" s="413" t="str">
        <f t="shared" si="106"/>
        <v/>
      </c>
    </row>
    <row r="256" spans="15:15" ht="20.2" customHeight="1" x14ac:dyDescent="0.2">
      <c r="O256" s="413" t="str">
        <f t="shared" si="106"/>
        <v/>
      </c>
    </row>
    <row r="257" spans="15:15" ht="20.2" customHeight="1" x14ac:dyDescent="0.2">
      <c r="O257" s="413" t="str">
        <f t="shared" si="106"/>
        <v/>
      </c>
    </row>
    <row r="258" spans="15:15" ht="20.2" customHeight="1" x14ac:dyDescent="0.2">
      <c r="O258" s="413" t="str">
        <f t="shared" si="106"/>
        <v/>
      </c>
    </row>
    <row r="259" spans="15:15" ht="20.2" customHeight="1" x14ac:dyDescent="0.2">
      <c r="O259" s="413" t="str">
        <f t="shared" si="106"/>
        <v/>
      </c>
    </row>
    <row r="260" spans="15:15" ht="20.2" customHeight="1" x14ac:dyDescent="0.2">
      <c r="O260" s="413" t="str">
        <f t="shared" si="106"/>
        <v/>
      </c>
    </row>
    <row r="261" spans="15:15" ht="20.2" customHeight="1" x14ac:dyDescent="0.2">
      <c r="O261" s="413" t="str">
        <f t="shared" si="106"/>
        <v/>
      </c>
    </row>
    <row r="262" spans="15:15" ht="20.2" customHeight="1" x14ac:dyDescent="0.2">
      <c r="O262" s="413" t="str">
        <f t="shared" si="106"/>
        <v/>
      </c>
    </row>
    <row r="263" spans="15:15" ht="20.2" customHeight="1" x14ac:dyDescent="0.2">
      <c r="O263" s="413" t="str">
        <f t="shared" si="106"/>
        <v/>
      </c>
    </row>
    <row r="264" spans="15:15" ht="20.2" customHeight="1" x14ac:dyDescent="0.2">
      <c r="O264" s="413" t="str">
        <f t="shared" si="106"/>
        <v/>
      </c>
    </row>
    <row r="265" spans="15:15" ht="20.2" customHeight="1" x14ac:dyDescent="0.2">
      <c r="O265" s="413" t="str">
        <f t="shared" si="106"/>
        <v/>
      </c>
    </row>
    <row r="266" spans="15:15" ht="20.2" customHeight="1" x14ac:dyDescent="0.2">
      <c r="O266" s="413" t="str">
        <f t="shared" si="106"/>
        <v/>
      </c>
    </row>
    <row r="267" spans="15:15" ht="20.2" customHeight="1" x14ac:dyDescent="0.2">
      <c r="O267" s="413" t="str">
        <f t="shared" si="106"/>
        <v/>
      </c>
    </row>
    <row r="268" spans="15:15" ht="20.2" customHeight="1" x14ac:dyDescent="0.2">
      <c r="O268" s="413" t="str">
        <f t="shared" si="106"/>
        <v/>
      </c>
    </row>
    <row r="269" spans="15:15" ht="20.2" customHeight="1" x14ac:dyDescent="0.2">
      <c r="O269" s="413" t="str">
        <f t="shared" si="106"/>
        <v/>
      </c>
    </row>
    <row r="270" spans="15:15" ht="20.2" customHeight="1" x14ac:dyDescent="0.2">
      <c r="O270" s="413" t="str">
        <f t="shared" si="106"/>
        <v/>
      </c>
    </row>
    <row r="271" spans="15:15" ht="20.2" customHeight="1" x14ac:dyDescent="0.2">
      <c r="O271" s="413" t="str">
        <f t="shared" si="106"/>
        <v/>
      </c>
    </row>
    <row r="272" spans="15:15" ht="20.2" customHeight="1" x14ac:dyDescent="0.2">
      <c r="O272" s="413" t="str">
        <f t="shared" si="106"/>
        <v/>
      </c>
    </row>
    <row r="273" spans="15:15" ht="20.2" customHeight="1" x14ac:dyDescent="0.2">
      <c r="O273" s="413" t="str">
        <f t="shared" si="106"/>
        <v/>
      </c>
    </row>
    <row r="274" spans="15:15" ht="20.2" customHeight="1" x14ac:dyDescent="0.2">
      <c r="O274" s="413" t="str">
        <f t="shared" si="106"/>
        <v/>
      </c>
    </row>
    <row r="275" spans="15:15" ht="20.2" customHeight="1" x14ac:dyDescent="0.2">
      <c r="O275" s="413" t="str">
        <f t="shared" si="106"/>
        <v/>
      </c>
    </row>
    <row r="276" spans="15:15" ht="20.2" customHeight="1" x14ac:dyDescent="0.2">
      <c r="O276" s="413" t="str">
        <f t="shared" si="106"/>
        <v/>
      </c>
    </row>
    <row r="277" spans="15:15" ht="20.2" customHeight="1" x14ac:dyDescent="0.2">
      <c r="O277" s="413" t="str">
        <f t="shared" ref="O277:O308" si="107">IF($C277="","",DATE(2000+LEFT($C277,2), HEX2DEC(MID($C277,3,1)), MID($C277,4,2)))</f>
        <v/>
      </c>
    </row>
    <row r="278" spans="15:15" ht="20.2" customHeight="1" x14ac:dyDescent="0.2">
      <c r="O278" s="413" t="str">
        <f t="shared" si="107"/>
        <v/>
      </c>
    </row>
    <row r="279" spans="15:15" ht="20.2" customHeight="1" x14ac:dyDescent="0.2">
      <c r="O279" s="413" t="str">
        <f t="shared" si="107"/>
        <v/>
      </c>
    </row>
    <row r="280" spans="15:15" ht="20.2" customHeight="1" x14ac:dyDescent="0.2">
      <c r="O280" s="413" t="str">
        <f t="shared" si="107"/>
        <v/>
      </c>
    </row>
    <row r="281" spans="15:15" ht="20.2" customHeight="1" x14ac:dyDescent="0.2">
      <c r="O281" s="413" t="str">
        <f t="shared" si="107"/>
        <v/>
      </c>
    </row>
    <row r="282" spans="15:15" ht="20.2" customHeight="1" x14ac:dyDescent="0.2">
      <c r="O282" s="413" t="str">
        <f t="shared" si="107"/>
        <v/>
      </c>
    </row>
    <row r="283" spans="15:15" ht="20.2" customHeight="1" x14ac:dyDescent="0.2">
      <c r="O283" s="413" t="str">
        <f t="shared" si="107"/>
        <v/>
      </c>
    </row>
    <row r="284" spans="15:15" ht="20.2" customHeight="1" x14ac:dyDescent="0.2">
      <c r="O284" s="413" t="str">
        <f t="shared" si="107"/>
        <v/>
      </c>
    </row>
    <row r="285" spans="15:15" ht="20.2" customHeight="1" x14ac:dyDescent="0.2">
      <c r="O285" s="413" t="str">
        <f t="shared" si="107"/>
        <v/>
      </c>
    </row>
    <row r="286" spans="15:15" ht="20.2" customHeight="1" x14ac:dyDescent="0.2">
      <c r="O286" s="413" t="str">
        <f t="shared" si="107"/>
        <v/>
      </c>
    </row>
    <row r="287" spans="15:15" ht="20.2" customHeight="1" x14ac:dyDescent="0.2">
      <c r="O287" s="413" t="str">
        <f t="shared" si="107"/>
        <v/>
      </c>
    </row>
    <row r="288" spans="15:15" ht="20.2" customHeight="1" x14ac:dyDescent="0.2">
      <c r="O288" s="413" t="str">
        <f t="shared" si="107"/>
        <v/>
      </c>
    </row>
    <row r="289" spans="15:15" ht="20.2" customHeight="1" x14ac:dyDescent="0.2">
      <c r="O289" s="413" t="str">
        <f t="shared" si="107"/>
        <v/>
      </c>
    </row>
    <row r="290" spans="15:15" ht="20.2" customHeight="1" x14ac:dyDescent="0.2">
      <c r="O290" s="413" t="str">
        <f t="shared" si="107"/>
        <v/>
      </c>
    </row>
    <row r="291" spans="15:15" ht="20.2" customHeight="1" x14ac:dyDescent="0.2">
      <c r="O291" s="413" t="str">
        <f t="shared" si="107"/>
        <v/>
      </c>
    </row>
    <row r="292" spans="15:15" ht="20.2" customHeight="1" x14ac:dyDescent="0.2">
      <c r="O292" s="413" t="str">
        <f t="shared" si="107"/>
        <v/>
      </c>
    </row>
    <row r="293" spans="15:15" ht="20.2" customHeight="1" x14ac:dyDescent="0.2">
      <c r="O293" s="413" t="str">
        <f t="shared" si="107"/>
        <v/>
      </c>
    </row>
    <row r="294" spans="15:15" ht="20.2" customHeight="1" x14ac:dyDescent="0.2">
      <c r="O294" s="413" t="str">
        <f t="shared" si="107"/>
        <v/>
      </c>
    </row>
    <row r="295" spans="15:15" ht="20.2" customHeight="1" x14ac:dyDescent="0.2">
      <c r="O295" s="413" t="str">
        <f t="shared" si="107"/>
        <v/>
      </c>
    </row>
    <row r="296" spans="15:15" ht="20.2" customHeight="1" x14ac:dyDescent="0.2">
      <c r="O296" s="413" t="str">
        <f t="shared" si="107"/>
        <v/>
      </c>
    </row>
    <row r="297" spans="15:15" ht="20.2" customHeight="1" x14ac:dyDescent="0.2">
      <c r="O297" s="413" t="str">
        <f t="shared" si="107"/>
        <v/>
      </c>
    </row>
    <row r="298" spans="15:15" ht="20.2" customHeight="1" x14ac:dyDescent="0.2">
      <c r="O298" s="413" t="str">
        <f t="shared" si="107"/>
        <v/>
      </c>
    </row>
    <row r="299" spans="15:15" ht="20.2" customHeight="1" x14ac:dyDescent="0.2">
      <c r="O299" s="413" t="str">
        <f t="shared" si="107"/>
        <v/>
      </c>
    </row>
    <row r="300" spans="15:15" ht="20.2" customHeight="1" x14ac:dyDescent="0.2">
      <c r="O300" s="413" t="str">
        <f t="shared" si="107"/>
        <v/>
      </c>
    </row>
    <row r="301" spans="15:15" ht="20.2" customHeight="1" x14ac:dyDescent="0.2">
      <c r="O301" s="413" t="str">
        <f t="shared" si="107"/>
        <v/>
      </c>
    </row>
    <row r="302" spans="15:15" ht="20.2" customHeight="1" x14ac:dyDescent="0.2">
      <c r="O302" s="413" t="str">
        <f t="shared" si="107"/>
        <v/>
      </c>
    </row>
    <row r="303" spans="15:15" ht="20.2" customHeight="1" x14ac:dyDescent="0.2">
      <c r="O303" s="413" t="str">
        <f t="shared" si="107"/>
        <v/>
      </c>
    </row>
    <row r="304" spans="15:15" ht="20.2" customHeight="1" x14ac:dyDescent="0.2">
      <c r="O304" s="413" t="str">
        <f t="shared" si="107"/>
        <v/>
      </c>
    </row>
    <row r="305" spans="15:15" ht="20.2" customHeight="1" x14ac:dyDescent="0.2">
      <c r="O305" s="413" t="str">
        <f t="shared" si="107"/>
        <v/>
      </c>
    </row>
    <row r="306" spans="15:15" ht="20.2" customHeight="1" x14ac:dyDescent="0.2">
      <c r="O306" s="413" t="str">
        <f t="shared" si="107"/>
        <v/>
      </c>
    </row>
    <row r="307" spans="15:15" ht="20.2" customHeight="1" x14ac:dyDescent="0.2">
      <c r="O307" s="413" t="str">
        <f t="shared" si="107"/>
        <v/>
      </c>
    </row>
    <row r="308" spans="15:15" ht="20.2" customHeight="1" x14ac:dyDescent="0.2">
      <c r="O308" s="413" t="str">
        <f t="shared" si="107"/>
        <v/>
      </c>
    </row>
    <row r="309" spans="15:15" ht="20.2" customHeight="1" x14ac:dyDescent="0.2">
      <c r="O309" s="413" t="str">
        <f t="shared" ref="O309:O340" si="108">IF($C309="","",DATE(2000+LEFT($C309,2), HEX2DEC(MID($C309,3,1)), MID($C309,4,2)))</f>
        <v/>
      </c>
    </row>
    <row r="310" spans="15:15" ht="20.2" customHeight="1" x14ac:dyDescent="0.2">
      <c r="O310" s="413" t="str">
        <f t="shared" si="108"/>
        <v/>
      </c>
    </row>
    <row r="311" spans="15:15" ht="20.2" customHeight="1" x14ac:dyDescent="0.2">
      <c r="O311" s="413" t="str">
        <f t="shared" si="108"/>
        <v/>
      </c>
    </row>
    <row r="312" spans="15:15" ht="20.2" customHeight="1" x14ac:dyDescent="0.2">
      <c r="O312" s="413" t="str">
        <f t="shared" si="108"/>
        <v/>
      </c>
    </row>
    <row r="313" spans="15:15" ht="20.2" customHeight="1" x14ac:dyDescent="0.2">
      <c r="O313" s="413" t="str">
        <f t="shared" si="108"/>
        <v/>
      </c>
    </row>
    <row r="314" spans="15:15" ht="20.2" customHeight="1" x14ac:dyDescent="0.2">
      <c r="O314" s="413" t="str">
        <f t="shared" si="108"/>
        <v/>
      </c>
    </row>
    <row r="315" spans="15:15" ht="20.2" customHeight="1" x14ac:dyDescent="0.2">
      <c r="O315" s="413" t="str">
        <f t="shared" si="108"/>
        <v/>
      </c>
    </row>
    <row r="316" spans="15:15" ht="20.2" customHeight="1" x14ac:dyDescent="0.2">
      <c r="O316" s="413" t="str">
        <f t="shared" si="108"/>
        <v/>
      </c>
    </row>
    <row r="317" spans="15:15" ht="20.2" customHeight="1" x14ac:dyDescent="0.2">
      <c r="O317" s="413" t="str">
        <f t="shared" si="108"/>
        <v/>
      </c>
    </row>
    <row r="318" spans="15:15" ht="20.2" customHeight="1" x14ac:dyDescent="0.2">
      <c r="O318" s="413" t="str">
        <f t="shared" si="108"/>
        <v/>
      </c>
    </row>
    <row r="319" spans="15:15" ht="20.2" customHeight="1" x14ac:dyDescent="0.2">
      <c r="O319" s="413" t="str">
        <f t="shared" si="108"/>
        <v/>
      </c>
    </row>
    <row r="320" spans="15:15" ht="20.2" customHeight="1" x14ac:dyDescent="0.2">
      <c r="O320" s="413" t="str">
        <f t="shared" si="108"/>
        <v/>
      </c>
    </row>
    <row r="321" spans="15:15" ht="20.2" customHeight="1" x14ac:dyDescent="0.2">
      <c r="O321" s="413" t="str">
        <f t="shared" si="108"/>
        <v/>
      </c>
    </row>
    <row r="322" spans="15:15" ht="20.2" customHeight="1" x14ac:dyDescent="0.2">
      <c r="O322" s="413" t="str">
        <f t="shared" si="108"/>
        <v/>
      </c>
    </row>
    <row r="323" spans="15:15" ht="20.2" customHeight="1" x14ac:dyDescent="0.2">
      <c r="O323" s="413" t="str">
        <f t="shared" si="108"/>
        <v/>
      </c>
    </row>
    <row r="324" spans="15:15" ht="20.2" customHeight="1" x14ac:dyDescent="0.2">
      <c r="O324" s="413" t="str">
        <f t="shared" si="108"/>
        <v/>
      </c>
    </row>
    <row r="325" spans="15:15" ht="20.2" customHeight="1" x14ac:dyDescent="0.2">
      <c r="O325" s="413" t="str">
        <f t="shared" si="108"/>
        <v/>
      </c>
    </row>
    <row r="326" spans="15:15" ht="20.2" customHeight="1" x14ac:dyDescent="0.2">
      <c r="O326" s="413" t="str">
        <f t="shared" si="108"/>
        <v/>
      </c>
    </row>
    <row r="327" spans="15:15" ht="20.2" customHeight="1" x14ac:dyDescent="0.2">
      <c r="O327" s="413" t="str">
        <f t="shared" si="108"/>
        <v/>
      </c>
    </row>
    <row r="328" spans="15:15" ht="20.2" customHeight="1" x14ac:dyDescent="0.2">
      <c r="O328" s="413" t="str">
        <f t="shared" si="108"/>
        <v/>
      </c>
    </row>
    <row r="329" spans="15:15" ht="20.2" customHeight="1" x14ac:dyDescent="0.2">
      <c r="O329" s="413" t="str">
        <f t="shared" si="108"/>
        <v/>
      </c>
    </row>
    <row r="330" spans="15:15" ht="20.2" customHeight="1" x14ac:dyDescent="0.2">
      <c r="O330" s="413" t="str">
        <f t="shared" si="108"/>
        <v/>
      </c>
    </row>
    <row r="331" spans="15:15" ht="20.2" customHeight="1" x14ac:dyDescent="0.2">
      <c r="O331" s="413" t="str">
        <f t="shared" si="108"/>
        <v/>
      </c>
    </row>
    <row r="332" spans="15:15" ht="20.2" customHeight="1" x14ac:dyDescent="0.2">
      <c r="O332" s="413" t="str">
        <f t="shared" si="108"/>
        <v/>
      </c>
    </row>
    <row r="333" spans="15:15" ht="20.2" customHeight="1" x14ac:dyDescent="0.2">
      <c r="O333" s="413" t="str">
        <f t="shared" si="108"/>
        <v/>
      </c>
    </row>
    <row r="334" spans="15:15" ht="20.2" customHeight="1" x14ac:dyDescent="0.2">
      <c r="O334" s="413" t="str">
        <f t="shared" si="108"/>
        <v/>
      </c>
    </row>
    <row r="335" spans="15:15" ht="20.2" customHeight="1" x14ac:dyDescent="0.2">
      <c r="O335" s="413" t="str">
        <f t="shared" si="108"/>
        <v/>
      </c>
    </row>
    <row r="336" spans="15:15" ht="20.2" customHeight="1" x14ac:dyDescent="0.2">
      <c r="O336" s="413" t="str">
        <f t="shared" si="108"/>
        <v/>
      </c>
    </row>
    <row r="337" spans="15:15" ht="20.2" customHeight="1" x14ac:dyDescent="0.2">
      <c r="O337" s="413" t="str">
        <f t="shared" si="108"/>
        <v/>
      </c>
    </row>
    <row r="338" spans="15:15" ht="20.2" customHeight="1" x14ac:dyDescent="0.2">
      <c r="O338" s="413" t="str">
        <f t="shared" si="108"/>
        <v/>
      </c>
    </row>
    <row r="339" spans="15:15" ht="20.2" customHeight="1" x14ac:dyDescent="0.2">
      <c r="O339" s="413" t="str">
        <f t="shared" si="108"/>
        <v/>
      </c>
    </row>
    <row r="340" spans="15:15" ht="20.2" customHeight="1" x14ac:dyDescent="0.2">
      <c r="O340" s="413" t="str">
        <f t="shared" si="108"/>
        <v/>
      </c>
    </row>
    <row r="341" spans="15:15" ht="20.2" customHeight="1" x14ac:dyDescent="0.2">
      <c r="O341" s="413" t="str">
        <f t="shared" ref="O341:O360" si="109">IF($C341="","",DATE(2000+LEFT($C341,2), HEX2DEC(MID($C341,3,1)), MID($C341,4,2)))</f>
        <v/>
      </c>
    </row>
    <row r="342" spans="15:15" ht="20.2" customHeight="1" x14ac:dyDescent="0.2">
      <c r="O342" s="413" t="str">
        <f t="shared" si="109"/>
        <v/>
      </c>
    </row>
    <row r="343" spans="15:15" ht="20.2" customHeight="1" x14ac:dyDescent="0.2">
      <c r="O343" s="413" t="str">
        <f t="shared" si="109"/>
        <v/>
      </c>
    </row>
    <row r="344" spans="15:15" ht="20.2" customHeight="1" x14ac:dyDescent="0.2">
      <c r="O344" s="413" t="str">
        <f t="shared" si="109"/>
        <v/>
      </c>
    </row>
    <row r="345" spans="15:15" ht="20.2" customHeight="1" x14ac:dyDescent="0.2">
      <c r="O345" s="413" t="str">
        <f t="shared" si="109"/>
        <v/>
      </c>
    </row>
    <row r="346" spans="15:15" ht="20.2" customHeight="1" x14ac:dyDescent="0.2">
      <c r="O346" s="413" t="str">
        <f t="shared" si="109"/>
        <v/>
      </c>
    </row>
    <row r="347" spans="15:15" ht="20.2" customHeight="1" x14ac:dyDescent="0.2">
      <c r="O347" s="413" t="str">
        <f t="shared" si="109"/>
        <v/>
      </c>
    </row>
    <row r="348" spans="15:15" ht="20.2" customHeight="1" x14ac:dyDescent="0.2">
      <c r="O348" s="413" t="str">
        <f t="shared" si="109"/>
        <v/>
      </c>
    </row>
    <row r="349" spans="15:15" ht="20.2" customHeight="1" x14ac:dyDescent="0.2">
      <c r="O349" s="413" t="str">
        <f t="shared" si="109"/>
        <v/>
      </c>
    </row>
    <row r="350" spans="15:15" ht="20.2" customHeight="1" x14ac:dyDescent="0.2">
      <c r="O350" s="413" t="str">
        <f t="shared" si="109"/>
        <v/>
      </c>
    </row>
    <row r="351" spans="15:15" ht="20.2" customHeight="1" x14ac:dyDescent="0.2">
      <c r="O351" s="413" t="str">
        <f t="shared" si="109"/>
        <v/>
      </c>
    </row>
    <row r="352" spans="15:15" ht="20.2" customHeight="1" x14ac:dyDescent="0.2">
      <c r="O352" s="413" t="str">
        <f t="shared" si="109"/>
        <v/>
      </c>
    </row>
    <row r="353" spans="15:15" ht="20.2" customHeight="1" x14ac:dyDescent="0.2">
      <c r="O353" s="413" t="str">
        <f t="shared" si="109"/>
        <v/>
      </c>
    </row>
    <row r="354" spans="15:15" ht="20.2" customHeight="1" x14ac:dyDescent="0.2">
      <c r="O354" s="413" t="str">
        <f t="shared" si="109"/>
        <v/>
      </c>
    </row>
    <row r="355" spans="15:15" ht="20.2" customHeight="1" x14ac:dyDescent="0.2">
      <c r="O355" s="413" t="str">
        <f t="shared" si="109"/>
        <v/>
      </c>
    </row>
    <row r="356" spans="15:15" ht="20.2" customHeight="1" x14ac:dyDescent="0.2">
      <c r="O356" s="413" t="str">
        <f t="shared" si="109"/>
        <v/>
      </c>
    </row>
    <row r="357" spans="15:15" ht="20.2" customHeight="1" x14ac:dyDescent="0.2">
      <c r="O357" s="413" t="str">
        <f t="shared" si="109"/>
        <v/>
      </c>
    </row>
    <row r="358" spans="15:15" ht="20.2" customHeight="1" x14ac:dyDescent="0.2">
      <c r="O358" s="413" t="str">
        <f t="shared" si="109"/>
        <v/>
      </c>
    </row>
    <row r="359" spans="15:15" ht="20.2" customHeight="1" x14ac:dyDescent="0.2">
      <c r="O359" s="413" t="str">
        <f t="shared" si="109"/>
        <v/>
      </c>
    </row>
    <row r="360" spans="15:15" ht="20.2" customHeight="1" x14ac:dyDescent="0.2">
      <c r="O360" s="413" t="str">
        <f t="shared" si="109"/>
        <v/>
      </c>
    </row>
  </sheetData>
  <autoFilter ref="A2:S360"/>
  <mergeCells count="3">
    <mergeCell ref="P1:P2"/>
    <mergeCell ref="L56:L57"/>
    <mergeCell ref="M56:M57"/>
  </mergeCells>
  <phoneticPr fontId="2" type="noConversion"/>
  <pageMargins left="0.25" right="0.25" top="0.75" bottom="0.75" header="0.3" footer="0.3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A29"/>
  <sheetViews>
    <sheetView zoomScaleNormal="100" workbookViewId="0">
      <pane ySplit="2" topLeftCell="A21" activePane="bottomLeft" state="frozen"/>
      <selection pane="bottomLeft" activeCell="S34" sqref="S34"/>
    </sheetView>
  </sheetViews>
  <sheetFormatPr defaultColWidth="9" defaultRowHeight="20.2" customHeight="1" x14ac:dyDescent="0.2"/>
  <cols>
    <col min="1" max="2" width="7.125" style="70" customWidth="1"/>
    <col min="3" max="3" width="14.125" style="71" customWidth="1"/>
    <col min="4" max="4" width="6.5" style="71" customWidth="1"/>
    <col min="5" max="5" width="9.25" style="71" customWidth="1"/>
    <col min="6" max="6" width="9.625" style="71" customWidth="1"/>
    <col min="7" max="7" width="9.25" style="71" customWidth="1"/>
    <col min="8" max="8" width="17" style="71" customWidth="1"/>
    <col min="9" max="9" width="8.625" style="72" customWidth="1"/>
    <col min="10" max="10" width="14.125" style="71" customWidth="1"/>
    <col min="11" max="12" width="6.5" style="71" customWidth="1"/>
    <col min="13" max="13" width="20.75" style="72" customWidth="1"/>
    <col min="14" max="14" width="9.875" style="67" customWidth="1"/>
    <col min="15" max="15" width="9.625" style="68" customWidth="1"/>
    <col min="16" max="16" width="10.375" style="69" customWidth="1"/>
    <col min="17" max="17" width="7.875" style="63" customWidth="1"/>
    <col min="18" max="18" width="9" style="63"/>
    <col min="19" max="339" width="9" style="62"/>
    <col min="340" max="16384" width="9" style="63"/>
  </cols>
  <sheetData>
    <row r="1" spans="1:339" ht="24" customHeight="1" x14ac:dyDescent="0.25">
      <c r="A1" s="80"/>
      <c r="B1" s="81" t="s">
        <v>158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3"/>
      <c r="N1" s="58"/>
      <c r="O1" s="414" t="s">
        <v>32</v>
      </c>
      <c r="P1" s="59"/>
      <c r="Q1" s="60"/>
      <c r="R1" s="61"/>
    </row>
    <row r="2" spans="1:339" s="65" customFormat="1" ht="20.2" customHeight="1" x14ac:dyDescent="0.25">
      <c r="A2" s="84" t="s">
        <v>33</v>
      </c>
      <c r="B2" s="85" t="s">
        <v>34</v>
      </c>
      <c r="C2" s="86" t="s">
        <v>18</v>
      </c>
      <c r="D2" s="87" t="s">
        <v>19</v>
      </c>
      <c r="E2" s="87" t="s">
        <v>20</v>
      </c>
      <c r="F2" s="86" t="s">
        <v>21</v>
      </c>
      <c r="G2" s="88" t="s">
        <v>22</v>
      </c>
      <c r="H2" s="86" t="s">
        <v>23</v>
      </c>
      <c r="I2" s="89" t="s">
        <v>24</v>
      </c>
      <c r="J2" s="87" t="s">
        <v>25</v>
      </c>
      <c r="K2" s="86" t="s">
        <v>26</v>
      </c>
      <c r="L2" s="86" t="s">
        <v>27</v>
      </c>
      <c r="M2" s="87" t="s">
        <v>28</v>
      </c>
      <c r="N2" s="58" t="s">
        <v>29</v>
      </c>
      <c r="O2" s="415"/>
      <c r="P2" s="64" t="s">
        <v>30</v>
      </c>
      <c r="Q2" s="60" t="s">
        <v>31</v>
      </c>
      <c r="R2" s="63" t="s">
        <v>89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  <c r="IX2" s="66"/>
      <c r="IY2" s="66"/>
      <c r="IZ2" s="66"/>
      <c r="JA2" s="66"/>
      <c r="JB2" s="66"/>
      <c r="JC2" s="66"/>
      <c r="JD2" s="66"/>
      <c r="JE2" s="66"/>
      <c r="JF2" s="66"/>
      <c r="JG2" s="66"/>
      <c r="JH2" s="66"/>
      <c r="JI2" s="66"/>
      <c r="JJ2" s="66"/>
      <c r="JK2" s="66"/>
      <c r="JL2" s="66"/>
      <c r="JM2" s="66"/>
      <c r="JN2" s="66"/>
      <c r="JO2" s="66"/>
      <c r="JP2" s="66"/>
      <c r="JQ2" s="66"/>
      <c r="JR2" s="66"/>
      <c r="JS2" s="66"/>
      <c r="JT2" s="66"/>
      <c r="JU2" s="66"/>
      <c r="JV2" s="66"/>
      <c r="JW2" s="66"/>
      <c r="JX2" s="66"/>
      <c r="JY2" s="66"/>
      <c r="JZ2" s="66"/>
      <c r="KA2" s="66"/>
      <c r="KB2" s="66"/>
      <c r="KC2" s="66"/>
      <c r="KD2" s="66"/>
      <c r="KE2" s="66"/>
      <c r="KF2" s="66"/>
      <c r="KG2" s="66"/>
      <c r="KH2" s="66"/>
      <c r="KI2" s="66"/>
      <c r="KJ2" s="66"/>
      <c r="KK2" s="66"/>
      <c r="KL2" s="66"/>
      <c r="KM2" s="66"/>
      <c r="KN2" s="66"/>
      <c r="KO2" s="66"/>
      <c r="KP2" s="66"/>
      <c r="KQ2" s="66"/>
      <c r="KR2" s="66"/>
      <c r="KS2" s="66"/>
      <c r="KT2" s="66"/>
      <c r="KU2" s="66"/>
      <c r="KV2" s="66"/>
      <c r="KW2" s="66"/>
      <c r="KX2" s="66"/>
      <c r="KY2" s="66"/>
      <c r="KZ2" s="66"/>
      <c r="LA2" s="66"/>
      <c r="LB2" s="66"/>
      <c r="LC2" s="66"/>
      <c r="LD2" s="66"/>
      <c r="LE2" s="66"/>
      <c r="LF2" s="66"/>
      <c r="LG2" s="66"/>
      <c r="LH2" s="66"/>
      <c r="LI2" s="66"/>
      <c r="LJ2" s="66"/>
      <c r="LK2" s="66"/>
      <c r="LL2" s="66"/>
      <c r="LM2" s="66"/>
      <c r="LN2" s="66"/>
      <c r="LO2" s="66"/>
      <c r="LP2" s="66"/>
      <c r="LQ2" s="66"/>
      <c r="LR2" s="66"/>
      <c r="LS2" s="66"/>
      <c r="LT2" s="66"/>
      <c r="LU2" s="66"/>
      <c r="LV2" s="66"/>
      <c r="LW2" s="66"/>
      <c r="LX2" s="66"/>
      <c r="LY2" s="66"/>
      <c r="LZ2" s="66"/>
      <c r="MA2" s="66"/>
    </row>
    <row r="3" spans="1:339" s="67" customFormat="1" ht="20.2" customHeight="1" x14ac:dyDescent="0.25">
      <c r="A3" s="122">
        <v>45434</v>
      </c>
      <c r="B3" s="122">
        <v>45434</v>
      </c>
      <c r="C3" s="123" t="s">
        <v>75</v>
      </c>
      <c r="D3" s="123">
        <v>4</v>
      </c>
      <c r="E3" s="53">
        <f t="shared" ref="E3:E28" si="0">D3*200</f>
        <v>800</v>
      </c>
      <c r="F3" s="54" t="s">
        <v>2</v>
      </c>
      <c r="G3" s="53">
        <f t="shared" ref="G3:G28" si="1">D3*209</f>
        <v>836</v>
      </c>
      <c r="H3" s="125" t="s">
        <v>77</v>
      </c>
      <c r="I3" s="124">
        <f>2400-E3</f>
        <v>1600</v>
      </c>
      <c r="J3" s="123">
        <v>240520012</v>
      </c>
      <c r="K3" s="123">
        <v>22</v>
      </c>
      <c r="L3" s="123">
        <f>K3-D3</f>
        <v>18</v>
      </c>
      <c r="M3" s="128" t="s">
        <v>83</v>
      </c>
      <c r="O3" s="68"/>
      <c r="P3" s="69"/>
      <c r="Q3" s="63"/>
      <c r="R3" s="63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62"/>
      <c r="GD3" s="62"/>
      <c r="GE3" s="62"/>
      <c r="GF3" s="62"/>
      <c r="GG3" s="62"/>
      <c r="GH3" s="62"/>
      <c r="GI3" s="62"/>
      <c r="GJ3" s="62"/>
      <c r="GK3" s="62"/>
      <c r="GL3" s="62"/>
      <c r="GM3" s="62"/>
      <c r="GN3" s="62"/>
      <c r="GO3" s="62"/>
      <c r="GP3" s="62"/>
      <c r="GQ3" s="62"/>
      <c r="GR3" s="62"/>
      <c r="GS3" s="62"/>
      <c r="GT3" s="62"/>
      <c r="GU3" s="62"/>
      <c r="GV3" s="62"/>
      <c r="GW3" s="62"/>
      <c r="GX3" s="62"/>
      <c r="GY3" s="62"/>
      <c r="GZ3" s="62"/>
      <c r="HA3" s="62"/>
      <c r="HB3" s="62"/>
      <c r="HC3" s="62"/>
      <c r="HD3" s="62"/>
      <c r="HE3" s="62"/>
      <c r="HF3" s="62"/>
      <c r="HG3" s="62"/>
      <c r="HH3" s="62"/>
      <c r="HI3" s="62"/>
      <c r="HJ3" s="62"/>
      <c r="HK3" s="62"/>
      <c r="HL3" s="62"/>
      <c r="HM3" s="62"/>
      <c r="HN3" s="62"/>
      <c r="HO3" s="62"/>
      <c r="HP3" s="62"/>
      <c r="HQ3" s="62"/>
      <c r="HR3" s="62"/>
      <c r="HS3" s="62"/>
      <c r="HT3" s="62"/>
      <c r="HU3" s="62"/>
      <c r="HV3" s="62"/>
      <c r="HW3" s="62"/>
      <c r="HX3" s="62"/>
      <c r="HY3" s="62"/>
      <c r="HZ3" s="62"/>
      <c r="IA3" s="62"/>
      <c r="IB3" s="62"/>
      <c r="IC3" s="62"/>
      <c r="ID3" s="62"/>
      <c r="IE3" s="62"/>
      <c r="IF3" s="62"/>
      <c r="IG3" s="62"/>
      <c r="IH3" s="62"/>
      <c r="II3" s="62"/>
      <c r="IJ3" s="62"/>
      <c r="IK3" s="62"/>
      <c r="IL3" s="62"/>
      <c r="IM3" s="62"/>
      <c r="IN3" s="62"/>
      <c r="IO3" s="62"/>
      <c r="IP3" s="62"/>
      <c r="IQ3" s="62"/>
      <c r="IR3" s="62"/>
      <c r="IS3" s="62"/>
      <c r="IT3" s="62"/>
      <c r="IU3" s="62"/>
      <c r="IV3" s="62"/>
      <c r="IW3" s="62"/>
      <c r="IX3" s="62"/>
      <c r="IY3" s="62"/>
      <c r="IZ3" s="62"/>
      <c r="JA3" s="62"/>
      <c r="JB3" s="62"/>
      <c r="JC3" s="62"/>
      <c r="JD3" s="62"/>
      <c r="JE3" s="62"/>
      <c r="JF3" s="62"/>
      <c r="JG3" s="62"/>
      <c r="JH3" s="62"/>
      <c r="JI3" s="62"/>
      <c r="JJ3" s="62"/>
      <c r="JK3" s="62"/>
      <c r="JL3" s="62"/>
      <c r="JM3" s="62"/>
      <c r="JN3" s="62"/>
      <c r="JO3" s="62"/>
      <c r="JP3" s="62"/>
      <c r="JQ3" s="62"/>
      <c r="JR3" s="62"/>
      <c r="JS3" s="62"/>
      <c r="JT3" s="62"/>
      <c r="JU3" s="62"/>
      <c r="JV3" s="62"/>
      <c r="JW3" s="62"/>
      <c r="JX3" s="62"/>
      <c r="JY3" s="62"/>
      <c r="JZ3" s="62"/>
      <c r="KA3" s="62"/>
      <c r="KB3" s="62"/>
      <c r="KC3" s="62"/>
      <c r="KD3" s="62"/>
      <c r="KE3" s="62"/>
      <c r="KF3" s="62"/>
      <c r="KG3" s="62"/>
      <c r="KH3" s="62"/>
      <c r="KI3" s="62"/>
      <c r="KJ3" s="62"/>
      <c r="KK3" s="62"/>
      <c r="KL3" s="62"/>
      <c r="KM3" s="62"/>
      <c r="KN3" s="62"/>
      <c r="KO3" s="62"/>
      <c r="KP3" s="62"/>
      <c r="KQ3" s="62"/>
      <c r="KR3" s="62"/>
      <c r="KS3" s="62"/>
      <c r="KT3" s="62"/>
      <c r="KU3" s="62"/>
      <c r="KV3" s="62"/>
      <c r="KW3" s="62"/>
      <c r="KX3" s="62"/>
      <c r="KY3" s="62"/>
      <c r="KZ3" s="62"/>
      <c r="LA3" s="62"/>
      <c r="LB3" s="62"/>
      <c r="LC3" s="62"/>
      <c r="LD3" s="62"/>
      <c r="LE3" s="62"/>
      <c r="LF3" s="62"/>
      <c r="LG3" s="62"/>
      <c r="LH3" s="62"/>
      <c r="LI3" s="62"/>
      <c r="LJ3" s="62"/>
      <c r="LK3" s="62"/>
      <c r="LL3" s="62"/>
      <c r="LM3" s="62"/>
      <c r="LN3" s="62"/>
      <c r="LO3" s="62"/>
      <c r="LP3" s="62"/>
      <c r="LQ3" s="62"/>
      <c r="LR3" s="62"/>
      <c r="LS3" s="62"/>
      <c r="LT3" s="62"/>
      <c r="LU3" s="62"/>
      <c r="LV3" s="62"/>
      <c r="LW3" s="62"/>
      <c r="LX3" s="62"/>
      <c r="LY3" s="62"/>
      <c r="LZ3" s="62"/>
      <c r="MA3" s="62"/>
    </row>
    <row r="4" spans="1:339" s="67" customFormat="1" ht="19.45" customHeight="1" x14ac:dyDescent="0.25">
      <c r="A4" s="133">
        <v>45484</v>
      </c>
      <c r="B4" s="133">
        <v>45484</v>
      </c>
      <c r="C4" s="134" t="s">
        <v>81</v>
      </c>
      <c r="D4" s="134">
        <v>4</v>
      </c>
      <c r="E4" s="8">
        <f t="shared" si="0"/>
        <v>800</v>
      </c>
      <c r="F4" s="9" t="s">
        <v>2</v>
      </c>
      <c r="G4" s="8">
        <f t="shared" si="1"/>
        <v>836</v>
      </c>
      <c r="H4" s="135" t="s">
        <v>77</v>
      </c>
      <c r="I4" s="136">
        <f>I3-E4</f>
        <v>800</v>
      </c>
      <c r="J4" s="134">
        <v>240710002</v>
      </c>
      <c r="K4" s="134">
        <v>23</v>
      </c>
      <c r="L4" s="134">
        <f>K4-D4</f>
        <v>19</v>
      </c>
      <c r="M4" s="137" t="s">
        <v>82</v>
      </c>
      <c r="O4" s="68"/>
      <c r="P4" s="69"/>
      <c r="Q4" s="63"/>
      <c r="R4" s="63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62"/>
      <c r="GL4" s="62"/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2"/>
      <c r="IA4" s="62"/>
      <c r="IB4" s="62"/>
      <c r="IC4" s="62"/>
      <c r="ID4" s="62"/>
      <c r="IE4" s="62"/>
      <c r="IF4" s="62"/>
      <c r="IG4" s="62"/>
      <c r="IH4" s="62"/>
      <c r="II4" s="62"/>
      <c r="IJ4" s="62"/>
      <c r="IK4" s="62"/>
      <c r="IL4" s="62"/>
      <c r="IM4" s="62"/>
      <c r="IN4" s="62"/>
      <c r="IO4" s="62"/>
      <c r="IP4" s="62"/>
      <c r="IQ4" s="62"/>
      <c r="IR4" s="62"/>
      <c r="IS4" s="62"/>
      <c r="IT4" s="62"/>
      <c r="IU4" s="62"/>
      <c r="IV4" s="62"/>
      <c r="IW4" s="62"/>
      <c r="IX4" s="62"/>
      <c r="IY4" s="62"/>
      <c r="IZ4" s="62"/>
      <c r="JA4" s="62"/>
      <c r="JB4" s="62"/>
      <c r="JC4" s="62"/>
      <c r="JD4" s="62"/>
      <c r="JE4" s="62"/>
      <c r="JF4" s="62"/>
      <c r="JG4" s="62"/>
      <c r="JH4" s="62"/>
      <c r="JI4" s="62"/>
      <c r="JJ4" s="62"/>
      <c r="JK4" s="62"/>
      <c r="JL4" s="62"/>
      <c r="JM4" s="62"/>
      <c r="JN4" s="62"/>
      <c r="JO4" s="62"/>
      <c r="JP4" s="62"/>
      <c r="JQ4" s="62"/>
      <c r="JR4" s="62"/>
      <c r="JS4" s="62"/>
      <c r="JT4" s="62"/>
      <c r="JU4" s="62"/>
      <c r="JV4" s="62"/>
      <c r="JW4" s="62"/>
      <c r="JX4" s="62"/>
      <c r="JY4" s="62"/>
      <c r="JZ4" s="62"/>
      <c r="KA4" s="62"/>
      <c r="KB4" s="62"/>
      <c r="KC4" s="62"/>
      <c r="KD4" s="62"/>
      <c r="KE4" s="62"/>
      <c r="KF4" s="62"/>
      <c r="KG4" s="62"/>
      <c r="KH4" s="62"/>
      <c r="KI4" s="62"/>
      <c r="KJ4" s="62"/>
      <c r="KK4" s="62"/>
      <c r="KL4" s="62"/>
      <c r="KM4" s="62"/>
      <c r="KN4" s="62"/>
      <c r="KO4" s="62"/>
      <c r="KP4" s="62"/>
      <c r="KQ4" s="62"/>
      <c r="KR4" s="62"/>
      <c r="KS4" s="62"/>
      <c r="KT4" s="62"/>
      <c r="KU4" s="62"/>
      <c r="KV4" s="62"/>
      <c r="KW4" s="62"/>
      <c r="KX4" s="62"/>
      <c r="KY4" s="62"/>
      <c r="KZ4" s="62"/>
      <c r="LA4" s="62"/>
      <c r="LB4" s="62"/>
      <c r="LC4" s="62"/>
      <c r="LD4" s="62"/>
      <c r="LE4" s="62"/>
      <c r="LF4" s="62"/>
      <c r="LG4" s="62"/>
      <c r="LH4" s="62"/>
      <c r="LI4" s="62"/>
      <c r="LJ4" s="62"/>
      <c r="LK4" s="62"/>
      <c r="LL4" s="62"/>
      <c r="LM4" s="62"/>
      <c r="LN4" s="62"/>
      <c r="LO4" s="62"/>
      <c r="LP4" s="62"/>
      <c r="LQ4" s="62"/>
      <c r="LR4" s="62"/>
      <c r="LS4" s="62"/>
      <c r="LT4" s="62"/>
      <c r="LU4" s="62"/>
      <c r="LV4" s="62"/>
      <c r="LW4" s="62"/>
      <c r="LX4" s="62"/>
      <c r="LY4" s="62"/>
      <c r="LZ4" s="62"/>
      <c r="MA4" s="62"/>
    </row>
    <row r="5" spans="1:339" s="67" customFormat="1" ht="19.45" customHeight="1" x14ac:dyDescent="0.25">
      <c r="A5" s="119">
        <v>45510</v>
      </c>
      <c r="B5" s="119">
        <v>45510</v>
      </c>
      <c r="C5" s="120" t="s">
        <v>84</v>
      </c>
      <c r="D5" s="120">
        <v>4</v>
      </c>
      <c r="E5" s="110">
        <f t="shared" ref="E5" si="2">D5*200</f>
        <v>800</v>
      </c>
      <c r="F5" s="111" t="s">
        <v>2</v>
      </c>
      <c r="G5" s="110">
        <f t="shared" ref="G5" si="3">D5*209</f>
        <v>836</v>
      </c>
      <c r="H5" s="138" t="s">
        <v>77</v>
      </c>
      <c r="I5" s="121">
        <f>I4-E5</f>
        <v>0</v>
      </c>
      <c r="J5" s="120">
        <v>240805006</v>
      </c>
      <c r="K5" s="120">
        <v>22</v>
      </c>
      <c r="L5" s="120">
        <f>K5-D5</f>
        <v>18</v>
      </c>
      <c r="M5" s="139" t="s">
        <v>85</v>
      </c>
      <c r="O5" s="68"/>
      <c r="P5" s="69"/>
      <c r="Q5" s="63"/>
      <c r="R5" s="63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62"/>
      <c r="GN5" s="62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62"/>
      <c r="JQ5" s="62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62"/>
      <c r="KR5" s="62"/>
      <c r="KS5" s="62"/>
      <c r="KT5" s="62"/>
      <c r="KU5" s="62"/>
      <c r="KV5" s="62"/>
      <c r="KW5" s="62"/>
      <c r="KX5" s="62"/>
      <c r="KY5" s="62"/>
      <c r="KZ5" s="62"/>
      <c r="LA5" s="62"/>
      <c r="LB5" s="62"/>
      <c r="LC5" s="62"/>
      <c r="LD5" s="62"/>
      <c r="LE5" s="62"/>
      <c r="LF5" s="62"/>
      <c r="LG5" s="62"/>
      <c r="LH5" s="62"/>
      <c r="LI5" s="62"/>
      <c r="LJ5" s="62"/>
      <c r="LK5" s="62"/>
      <c r="LL5" s="62"/>
      <c r="LM5" s="62"/>
      <c r="LN5" s="62"/>
      <c r="LO5" s="62"/>
      <c r="LP5" s="62"/>
      <c r="LQ5" s="62"/>
      <c r="LR5" s="62"/>
      <c r="LS5" s="62"/>
      <c r="LT5" s="62"/>
      <c r="LU5" s="62"/>
      <c r="LV5" s="62"/>
      <c r="LW5" s="62"/>
      <c r="LX5" s="62"/>
      <c r="LY5" s="62"/>
      <c r="LZ5" s="62"/>
      <c r="MA5" s="62"/>
    </row>
    <row r="6" spans="1:339" s="67" customFormat="1" ht="19.45" customHeight="1" x14ac:dyDescent="0.25">
      <c r="A6" s="140">
        <v>45526</v>
      </c>
      <c r="B6" s="140">
        <v>45526</v>
      </c>
      <c r="C6" s="141" t="s">
        <v>84</v>
      </c>
      <c r="D6" s="141">
        <v>4</v>
      </c>
      <c r="E6" s="33">
        <f t="shared" ref="E6" si="4">D6*200</f>
        <v>800</v>
      </c>
      <c r="F6" s="34" t="s">
        <v>2</v>
      </c>
      <c r="G6" s="33">
        <f t="shared" ref="G6" si="5">D6*209</f>
        <v>836</v>
      </c>
      <c r="H6" s="178" t="s">
        <v>87</v>
      </c>
      <c r="I6" s="142">
        <f>2400-E6</f>
        <v>1600</v>
      </c>
      <c r="J6" s="141">
        <v>240820007</v>
      </c>
      <c r="K6" s="141"/>
      <c r="L6" s="141">
        <f>L5-D6</f>
        <v>14</v>
      </c>
      <c r="M6" s="143" t="s">
        <v>92</v>
      </c>
      <c r="O6" s="68"/>
      <c r="P6" s="69"/>
      <c r="Q6" s="63"/>
      <c r="R6" s="61" t="s">
        <v>88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62"/>
      <c r="JQ6" s="62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62"/>
      <c r="KR6" s="62"/>
      <c r="KS6" s="62"/>
      <c r="KT6" s="62"/>
      <c r="KU6" s="62"/>
      <c r="KV6" s="62"/>
      <c r="KW6" s="62"/>
      <c r="KX6" s="62"/>
      <c r="KY6" s="62"/>
      <c r="KZ6" s="62"/>
      <c r="LA6" s="62"/>
      <c r="LB6" s="62"/>
      <c r="LC6" s="62"/>
      <c r="LD6" s="62"/>
      <c r="LE6" s="62"/>
      <c r="LF6" s="62"/>
      <c r="LG6" s="62"/>
      <c r="LH6" s="62"/>
      <c r="LI6" s="62"/>
      <c r="LJ6" s="62"/>
      <c r="LK6" s="62"/>
      <c r="LL6" s="62"/>
      <c r="LM6" s="62"/>
      <c r="LN6" s="62"/>
      <c r="LO6" s="62"/>
      <c r="LP6" s="62"/>
      <c r="LQ6" s="62"/>
      <c r="LR6" s="62"/>
      <c r="LS6" s="62"/>
      <c r="LT6" s="62"/>
      <c r="LU6" s="62"/>
      <c r="LV6" s="62"/>
      <c r="LW6" s="62"/>
      <c r="LX6" s="62"/>
      <c r="LY6" s="62"/>
      <c r="LZ6" s="62"/>
      <c r="MA6" s="62"/>
    </row>
    <row r="7" spans="1:339" s="67" customFormat="1" ht="19.45" customHeight="1" x14ac:dyDescent="0.25">
      <c r="A7" s="97">
        <v>45541</v>
      </c>
      <c r="B7" s="97">
        <v>45541</v>
      </c>
      <c r="C7" s="98" t="s">
        <v>84</v>
      </c>
      <c r="D7" s="98">
        <v>4</v>
      </c>
      <c r="E7" s="38">
        <f t="shared" ref="E7" si="6">D7*200</f>
        <v>800</v>
      </c>
      <c r="F7" s="39" t="s">
        <v>2</v>
      </c>
      <c r="G7" s="38">
        <f t="shared" ref="G7" si="7">D7*209</f>
        <v>836</v>
      </c>
      <c r="H7" s="144" t="s">
        <v>87</v>
      </c>
      <c r="I7" s="99">
        <f>I6-E7</f>
        <v>800</v>
      </c>
      <c r="J7" s="98">
        <v>240905003</v>
      </c>
      <c r="K7" s="98"/>
      <c r="L7" s="98">
        <f>L6-D7</f>
        <v>10</v>
      </c>
      <c r="M7" s="145" t="s">
        <v>93</v>
      </c>
      <c r="O7" s="68"/>
      <c r="P7" s="69"/>
      <c r="Q7" s="63"/>
      <c r="R7" s="61" t="s">
        <v>90</v>
      </c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  <c r="IT7" s="62"/>
      <c r="IU7" s="62"/>
      <c r="IV7" s="62"/>
      <c r="IW7" s="62"/>
      <c r="IX7" s="62"/>
      <c r="IY7" s="62"/>
      <c r="IZ7" s="62"/>
      <c r="JA7" s="62"/>
      <c r="JB7" s="62"/>
      <c r="JC7" s="62"/>
      <c r="JD7" s="62"/>
      <c r="JE7" s="62"/>
      <c r="JF7" s="62"/>
      <c r="JG7" s="62"/>
      <c r="JH7" s="62"/>
      <c r="JI7" s="62"/>
      <c r="JJ7" s="62"/>
      <c r="JK7" s="62"/>
      <c r="JL7" s="62"/>
      <c r="JM7" s="62"/>
      <c r="JN7" s="62"/>
      <c r="JO7" s="62"/>
      <c r="JP7" s="62"/>
      <c r="JQ7" s="62"/>
      <c r="JR7" s="62"/>
      <c r="JS7" s="62"/>
      <c r="JT7" s="62"/>
      <c r="JU7" s="62"/>
      <c r="JV7" s="62"/>
      <c r="JW7" s="62"/>
      <c r="JX7" s="62"/>
      <c r="JY7" s="62"/>
      <c r="JZ7" s="62"/>
      <c r="KA7" s="62"/>
      <c r="KB7" s="62"/>
      <c r="KC7" s="62"/>
      <c r="KD7" s="62"/>
      <c r="KE7" s="62"/>
      <c r="KF7" s="62"/>
      <c r="KG7" s="62"/>
      <c r="KH7" s="62"/>
      <c r="KI7" s="62"/>
      <c r="KJ7" s="62"/>
      <c r="KK7" s="62"/>
      <c r="KL7" s="62"/>
      <c r="KM7" s="62"/>
      <c r="KN7" s="62"/>
      <c r="KO7" s="62"/>
      <c r="KP7" s="62"/>
      <c r="KQ7" s="62"/>
      <c r="KR7" s="62"/>
      <c r="KS7" s="62"/>
      <c r="KT7" s="62"/>
      <c r="KU7" s="62"/>
      <c r="KV7" s="62"/>
      <c r="KW7" s="62"/>
      <c r="KX7" s="62"/>
      <c r="KY7" s="62"/>
      <c r="KZ7" s="62"/>
      <c r="LA7" s="62"/>
      <c r="LB7" s="62"/>
      <c r="LC7" s="62"/>
      <c r="LD7" s="62"/>
      <c r="LE7" s="62"/>
      <c r="LF7" s="62"/>
      <c r="LG7" s="62"/>
      <c r="LH7" s="62"/>
      <c r="LI7" s="62"/>
      <c r="LJ7" s="62"/>
      <c r="LK7" s="62"/>
      <c r="LL7" s="62"/>
      <c r="LM7" s="62"/>
      <c r="LN7" s="62"/>
      <c r="LO7" s="62"/>
      <c r="LP7" s="62"/>
      <c r="LQ7" s="62"/>
      <c r="LR7" s="62"/>
      <c r="LS7" s="62"/>
      <c r="LT7" s="62"/>
      <c r="LU7" s="62"/>
      <c r="LV7" s="62"/>
      <c r="LW7" s="62"/>
      <c r="LX7" s="62"/>
      <c r="LY7" s="62"/>
      <c r="LZ7" s="62"/>
      <c r="MA7" s="62"/>
    </row>
    <row r="8" spans="1:339" s="67" customFormat="1" ht="19.45" customHeight="1" x14ac:dyDescent="0.25">
      <c r="A8" s="146">
        <v>45560</v>
      </c>
      <c r="B8" s="146">
        <v>45560</v>
      </c>
      <c r="C8" s="147" t="s">
        <v>84</v>
      </c>
      <c r="D8" s="147">
        <v>4</v>
      </c>
      <c r="E8" s="100">
        <f t="shared" ref="E8:E11" si="8">D8*200</f>
        <v>800</v>
      </c>
      <c r="F8" s="101" t="s">
        <v>2</v>
      </c>
      <c r="G8" s="100">
        <f t="shared" ref="G8:G11" si="9">D8*209</f>
        <v>836</v>
      </c>
      <c r="H8" s="148" t="s">
        <v>87</v>
      </c>
      <c r="I8" s="149">
        <f>I7-E8</f>
        <v>0</v>
      </c>
      <c r="J8" s="147">
        <v>240924014</v>
      </c>
      <c r="K8" s="147"/>
      <c r="L8" s="147">
        <f>L7-D8</f>
        <v>6</v>
      </c>
      <c r="M8" s="150" t="s">
        <v>91</v>
      </c>
      <c r="O8" s="68"/>
      <c r="P8" s="69"/>
      <c r="Q8" s="63"/>
      <c r="R8" s="63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  <c r="IT8" s="62"/>
      <c r="IU8" s="62"/>
      <c r="IV8" s="62"/>
      <c r="IW8" s="62"/>
      <c r="IX8" s="62"/>
      <c r="IY8" s="62"/>
      <c r="IZ8" s="62"/>
      <c r="JA8" s="62"/>
      <c r="JB8" s="62"/>
      <c r="JC8" s="62"/>
      <c r="JD8" s="62"/>
      <c r="JE8" s="62"/>
      <c r="JF8" s="62"/>
      <c r="JG8" s="62"/>
      <c r="JH8" s="62"/>
      <c r="JI8" s="62"/>
      <c r="JJ8" s="62"/>
      <c r="JK8" s="62"/>
      <c r="JL8" s="62"/>
      <c r="JM8" s="62"/>
      <c r="JN8" s="62"/>
      <c r="JO8" s="62"/>
      <c r="JP8" s="62"/>
      <c r="JQ8" s="62"/>
      <c r="JR8" s="62"/>
      <c r="JS8" s="62"/>
      <c r="JT8" s="62"/>
      <c r="JU8" s="62"/>
      <c r="JV8" s="62"/>
      <c r="JW8" s="62"/>
      <c r="JX8" s="62"/>
      <c r="JY8" s="62"/>
      <c r="JZ8" s="62"/>
      <c r="KA8" s="62"/>
      <c r="KB8" s="62"/>
      <c r="KC8" s="62"/>
      <c r="KD8" s="62"/>
      <c r="KE8" s="62"/>
      <c r="KF8" s="62"/>
      <c r="KG8" s="62"/>
      <c r="KH8" s="62"/>
      <c r="KI8" s="62"/>
      <c r="KJ8" s="62"/>
      <c r="KK8" s="62"/>
      <c r="KL8" s="62"/>
      <c r="KM8" s="62"/>
      <c r="KN8" s="62"/>
      <c r="KO8" s="62"/>
      <c r="KP8" s="62"/>
      <c r="KQ8" s="62"/>
      <c r="KR8" s="62"/>
      <c r="KS8" s="62"/>
      <c r="KT8" s="62"/>
      <c r="KU8" s="62"/>
      <c r="KV8" s="62"/>
      <c r="KW8" s="62"/>
      <c r="KX8" s="62"/>
      <c r="KY8" s="62"/>
      <c r="KZ8" s="62"/>
      <c r="LA8" s="62"/>
      <c r="LB8" s="62"/>
      <c r="LC8" s="62"/>
      <c r="LD8" s="62"/>
      <c r="LE8" s="62"/>
      <c r="LF8" s="62"/>
      <c r="LG8" s="62"/>
      <c r="LH8" s="62"/>
      <c r="LI8" s="62"/>
      <c r="LJ8" s="62"/>
      <c r="LK8" s="62"/>
      <c r="LL8" s="62"/>
      <c r="LM8" s="62"/>
      <c r="LN8" s="62"/>
      <c r="LO8" s="62"/>
      <c r="LP8" s="62"/>
      <c r="LQ8" s="62"/>
      <c r="LR8" s="62"/>
      <c r="LS8" s="62"/>
      <c r="LT8" s="62"/>
      <c r="LU8" s="62"/>
      <c r="LV8" s="62"/>
      <c r="LW8" s="62"/>
      <c r="LX8" s="62"/>
      <c r="LY8" s="62"/>
      <c r="LZ8" s="62"/>
      <c r="MA8" s="62"/>
    </row>
    <row r="9" spans="1:339" ht="20.2" customHeight="1" x14ac:dyDescent="0.25">
      <c r="A9" s="152">
        <v>45604</v>
      </c>
      <c r="B9" s="152">
        <v>45604</v>
      </c>
      <c r="C9" s="153" t="s">
        <v>96</v>
      </c>
      <c r="D9" s="153">
        <v>6</v>
      </c>
      <c r="E9" s="14">
        <f t="shared" si="8"/>
        <v>1200</v>
      </c>
      <c r="F9" s="15" t="s">
        <v>2</v>
      </c>
      <c r="G9" s="14">
        <f t="shared" si="9"/>
        <v>1254</v>
      </c>
      <c r="H9" s="179" t="s">
        <v>97</v>
      </c>
      <c r="I9" s="154">
        <f>3200-E9</f>
        <v>2000</v>
      </c>
      <c r="J9" s="153">
        <v>241105002</v>
      </c>
      <c r="K9" s="153"/>
      <c r="L9" s="153">
        <f>L8-D9</f>
        <v>0</v>
      </c>
      <c r="M9" s="154" t="s">
        <v>98</v>
      </c>
    </row>
    <row r="10" spans="1:339" s="67" customFormat="1" ht="19.45" customHeight="1" x14ac:dyDescent="0.25">
      <c r="A10" s="161">
        <v>45621</v>
      </c>
      <c r="B10" s="161">
        <v>45621</v>
      </c>
      <c r="C10" s="162" t="s">
        <v>81</v>
      </c>
      <c r="D10" s="162">
        <v>4</v>
      </c>
      <c r="E10" s="130">
        <f t="shared" si="8"/>
        <v>800</v>
      </c>
      <c r="F10" s="131" t="s">
        <v>2</v>
      </c>
      <c r="G10" s="130">
        <f t="shared" si="9"/>
        <v>836</v>
      </c>
      <c r="H10" s="162" t="s">
        <v>147</v>
      </c>
      <c r="I10" s="163">
        <f>I9-E10</f>
        <v>1200</v>
      </c>
      <c r="J10" s="162">
        <v>241122005</v>
      </c>
      <c r="K10" s="162"/>
      <c r="L10" s="162">
        <f>L4-D10</f>
        <v>15</v>
      </c>
      <c r="M10" s="164" t="s">
        <v>93</v>
      </c>
      <c r="O10" s="68"/>
      <c r="P10" s="69"/>
      <c r="Q10" s="63"/>
      <c r="R10" s="63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62"/>
      <c r="JQ10" s="62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/>
      <c r="KZ10" s="62"/>
      <c r="LA10" s="62"/>
      <c r="LB10" s="62"/>
      <c r="LC10" s="62"/>
      <c r="LD10" s="62"/>
      <c r="LE10" s="62"/>
      <c r="LF10" s="62"/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/>
      <c r="LR10" s="62"/>
      <c r="LS10" s="62"/>
      <c r="LT10" s="62"/>
      <c r="LU10" s="62"/>
      <c r="LV10" s="62"/>
      <c r="LW10" s="62"/>
      <c r="LX10" s="62"/>
      <c r="LY10" s="62"/>
      <c r="LZ10" s="62"/>
      <c r="MA10" s="62"/>
    </row>
    <row r="11" spans="1:339" s="67" customFormat="1" ht="19.45" customHeight="1" x14ac:dyDescent="0.25">
      <c r="A11" s="133">
        <v>45737</v>
      </c>
      <c r="B11" s="133">
        <v>45737</v>
      </c>
      <c r="C11" s="134" t="s">
        <v>86</v>
      </c>
      <c r="D11" s="134">
        <v>6</v>
      </c>
      <c r="E11" s="8">
        <f t="shared" si="8"/>
        <v>1200</v>
      </c>
      <c r="F11" s="9" t="s">
        <v>2</v>
      </c>
      <c r="G11" s="8">
        <f t="shared" si="9"/>
        <v>1254</v>
      </c>
      <c r="H11" s="134" t="s">
        <v>97</v>
      </c>
      <c r="I11" s="136">
        <f>I10-E11</f>
        <v>0</v>
      </c>
      <c r="J11" s="134">
        <v>250320012</v>
      </c>
      <c r="K11" s="134">
        <v>23</v>
      </c>
      <c r="L11" s="134">
        <f>K11-D11</f>
        <v>17</v>
      </c>
      <c r="M11" s="137" t="s">
        <v>149</v>
      </c>
      <c r="O11" s="68"/>
      <c r="P11" s="69"/>
      <c r="Q11" s="63"/>
      <c r="R11" s="63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62"/>
      <c r="JQ11" s="62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62"/>
      <c r="KR11" s="62"/>
      <c r="KS11" s="62"/>
      <c r="KT11" s="62"/>
      <c r="KU11" s="62"/>
      <c r="KV11" s="62"/>
      <c r="KW11" s="62"/>
      <c r="KX11" s="62"/>
      <c r="KY11" s="62"/>
      <c r="KZ11" s="62"/>
      <c r="LA11" s="62"/>
      <c r="LB11" s="62"/>
      <c r="LC11" s="62"/>
      <c r="LD11" s="62"/>
      <c r="LE11" s="62"/>
      <c r="LF11" s="62"/>
      <c r="LG11" s="62"/>
      <c r="LH11" s="62"/>
      <c r="LI11" s="62"/>
      <c r="LJ11" s="62"/>
      <c r="LK11" s="62"/>
      <c r="LL11" s="62"/>
      <c r="LM11" s="62"/>
      <c r="LN11" s="62"/>
      <c r="LO11" s="62"/>
      <c r="LP11" s="62"/>
      <c r="LQ11" s="62"/>
      <c r="LR11" s="62"/>
      <c r="LS11" s="62"/>
      <c r="LT11" s="62"/>
      <c r="LU11" s="62"/>
      <c r="LV11" s="62"/>
      <c r="LW11" s="62"/>
      <c r="LX11" s="62"/>
      <c r="LY11" s="62"/>
      <c r="LZ11" s="62"/>
      <c r="MA11" s="62"/>
    </row>
    <row r="12" spans="1:339" s="67" customFormat="1" ht="19.45" customHeight="1" x14ac:dyDescent="0.25">
      <c r="A12" s="133">
        <v>45737</v>
      </c>
      <c r="B12" s="133">
        <v>45737</v>
      </c>
      <c r="C12" s="134" t="s">
        <v>86</v>
      </c>
      <c r="D12" s="134">
        <v>2</v>
      </c>
      <c r="E12" s="8">
        <f t="shared" ref="E12" si="10">D12*200</f>
        <v>400</v>
      </c>
      <c r="F12" s="9" t="s">
        <v>2</v>
      </c>
      <c r="G12" s="8">
        <f t="shared" ref="G12" si="11">D12*209</f>
        <v>418</v>
      </c>
      <c r="H12" s="180" t="s">
        <v>150</v>
      </c>
      <c r="I12" s="136">
        <f>6400-E12</f>
        <v>6000</v>
      </c>
      <c r="J12" s="134">
        <v>250320012</v>
      </c>
      <c r="K12" s="134"/>
      <c r="L12" s="134">
        <f>L11-D12</f>
        <v>15</v>
      </c>
      <c r="M12" s="137" t="s">
        <v>148</v>
      </c>
      <c r="O12" s="68"/>
      <c r="P12" s="69"/>
      <c r="Q12" s="63"/>
      <c r="R12" s="63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  <c r="IT12" s="62"/>
      <c r="IU12" s="62"/>
      <c r="IV12" s="62"/>
      <c r="IW12" s="62"/>
      <c r="IX12" s="62"/>
      <c r="IY12" s="62"/>
      <c r="IZ12" s="62"/>
      <c r="JA12" s="62"/>
      <c r="JB12" s="62"/>
      <c r="JC12" s="62"/>
      <c r="JD12" s="62"/>
      <c r="JE12" s="62"/>
      <c r="JF12" s="62"/>
      <c r="JG12" s="62"/>
      <c r="JH12" s="62"/>
      <c r="JI12" s="62"/>
      <c r="JJ12" s="62"/>
      <c r="JK12" s="62"/>
      <c r="JL12" s="62"/>
      <c r="JM12" s="62"/>
      <c r="JN12" s="62"/>
      <c r="JO12" s="62"/>
      <c r="JP12" s="62"/>
      <c r="JQ12" s="62"/>
      <c r="JR12" s="62"/>
      <c r="JS12" s="62"/>
      <c r="JT12" s="62"/>
      <c r="JU12" s="62"/>
      <c r="JV12" s="62"/>
      <c r="JW12" s="62"/>
      <c r="JX12" s="62"/>
      <c r="JY12" s="62"/>
      <c r="JZ12" s="62"/>
      <c r="KA12" s="62"/>
      <c r="KB12" s="62"/>
      <c r="KC12" s="62"/>
      <c r="KD12" s="62"/>
      <c r="KE12" s="62"/>
      <c r="KF12" s="62"/>
      <c r="KG12" s="62"/>
      <c r="KH12" s="62"/>
      <c r="KI12" s="62"/>
      <c r="KJ12" s="62"/>
      <c r="KK12" s="62"/>
      <c r="KL12" s="62"/>
      <c r="KM12" s="62"/>
      <c r="KN12" s="62"/>
      <c r="KO12" s="62"/>
      <c r="KP12" s="62"/>
      <c r="KQ12" s="62"/>
      <c r="KR12" s="62"/>
      <c r="KS12" s="62"/>
      <c r="KT12" s="62"/>
      <c r="KU12" s="62"/>
      <c r="KV12" s="62"/>
      <c r="KW12" s="62"/>
      <c r="KX12" s="62"/>
      <c r="KY12" s="62"/>
      <c r="KZ12" s="62"/>
      <c r="LA12" s="62"/>
      <c r="LB12" s="62"/>
      <c r="LC12" s="62"/>
      <c r="LD12" s="62"/>
      <c r="LE12" s="62"/>
      <c r="LF12" s="62"/>
      <c r="LG12" s="62"/>
      <c r="LH12" s="62"/>
      <c r="LI12" s="62"/>
      <c r="LJ12" s="62"/>
      <c r="LK12" s="62"/>
      <c r="LL12" s="62"/>
      <c r="LM12" s="62"/>
      <c r="LN12" s="62"/>
      <c r="LO12" s="62"/>
      <c r="LP12" s="62"/>
      <c r="LQ12" s="62"/>
      <c r="LR12" s="62"/>
      <c r="LS12" s="62"/>
      <c r="LT12" s="62"/>
      <c r="LU12" s="62"/>
      <c r="LV12" s="62"/>
      <c r="LW12" s="62"/>
      <c r="LX12" s="62"/>
      <c r="LY12" s="62"/>
      <c r="LZ12" s="62"/>
      <c r="MA12" s="62"/>
    </row>
    <row r="13" spans="1:339" s="67" customFormat="1" ht="19.45" customHeight="1" x14ac:dyDescent="0.25">
      <c r="A13" s="158">
        <v>45870</v>
      </c>
      <c r="B13" s="158">
        <v>45870</v>
      </c>
      <c r="C13" s="159" t="s">
        <v>86</v>
      </c>
      <c r="D13" s="159">
        <v>8</v>
      </c>
      <c r="E13" s="27">
        <f t="shared" ref="E13" si="12">D13*200</f>
        <v>1600</v>
      </c>
      <c r="F13" s="28" t="s">
        <v>2</v>
      </c>
      <c r="G13" s="27">
        <f t="shared" ref="G13" si="13">D13*209</f>
        <v>1672</v>
      </c>
      <c r="H13" s="185" t="s">
        <v>152</v>
      </c>
      <c r="I13" s="160">
        <f t="shared" ref="I13:I18" si="14">I12-E13</f>
        <v>4400</v>
      </c>
      <c r="J13" s="159">
        <v>250731004</v>
      </c>
      <c r="K13" s="159"/>
      <c r="L13" s="159">
        <f>L12-D13</f>
        <v>7</v>
      </c>
      <c r="M13" s="160"/>
      <c r="O13" s="68"/>
      <c r="P13" s="69"/>
      <c r="Q13" s="63"/>
      <c r="R13" s="63"/>
      <c r="S13" s="62" t="s">
        <v>153</v>
      </c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  <c r="IT13" s="62"/>
      <c r="IU13" s="62"/>
      <c r="IV13" s="62"/>
      <c r="IW13" s="62"/>
      <c r="IX13" s="62"/>
      <c r="IY13" s="62"/>
      <c r="IZ13" s="62"/>
      <c r="JA13" s="62"/>
      <c r="JB13" s="62"/>
      <c r="JC13" s="62"/>
      <c r="JD13" s="62"/>
      <c r="JE13" s="62"/>
      <c r="JF13" s="62"/>
      <c r="JG13" s="62"/>
      <c r="JH13" s="62"/>
      <c r="JI13" s="62"/>
      <c r="JJ13" s="62"/>
      <c r="JK13" s="62"/>
      <c r="JL13" s="62"/>
      <c r="JM13" s="62"/>
      <c r="JN13" s="62"/>
      <c r="JO13" s="62"/>
      <c r="JP13" s="62"/>
      <c r="JQ13" s="62"/>
      <c r="JR13" s="62"/>
      <c r="JS13" s="62"/>
      <c r="JT13" s="62"/>
      <c r="JU13" s="62"/>
      <c r="JV13" s="62"/>
      <c r="JW13" s="62"/>
      <c r="JX13" s="62"/>
      <c r="JY13" s="62"/>
      <c r="JZ13" s="62"/>
      <c r="KA13" s="62"/>
      <c r="KB13" s="62"/>
      <c r="KC13" s="62"/>
      <c r="KD13" s="62"/>
      <c r="KE13" s="62"/>
      <c r="KF13" s="62"/>
      <c r="KG13" s="62"/>
      <c r="KH13" s="62"/>
      <c r="KI13" s="62"/>
      <c r="KJ13" s="62"/>
      <c r="KK13" s="62"/>
      <c r="KL13" s="62"/>
      <c r="KM13" s="62"/>
      <c r="KN13" s="62"/>
      <c r="KO13" s="62"/>
      <c r="KP13" s="62"/>
      <c r="KQ13" s="62"/>
      <c r="KR13" s="62"/>
      <c r="KS13" s="62"/>
      <c r="KT13" s="62"/>
      <c r="KU13" s="62"/>
      <c r="KV13" s="62"/>
      <c r="KW13" s="62"/>
      <c r="KX13" s="62"/>
      <c r="KY13" s="62"/>
      <c r="KZ13" s="62"/>
      <c r="LA13" s="62"/>
      <c r="LB13" s="62"/>
      <c r="LC13" s="62"/>
      <c r="LD13" s="62"/>
      <c r="LE13" s="62"/>
      <c r="LF13" s="62"/>
      <c r="LG13" s="62"/>
      <c r="LH13" s="62"/>
      <c r="LI13" s="62"/>
      <c r="LJ13" s="62"/>
      <c r="LK13" s="62"/>
      <c r="LL13" s="62"/>
      <c r="LM13" s="62"/>
      <c r="LN13" s="62"/>
      <c r="LO13" s="62"/>
      <c r="LP13" s="62"/>
      <c r="LQ13" s="62"/>
      <c r="LR13" s="62"/>
      <c r="LS13" s="62"/>
      <c r="LT13" s="62"/>
      <c r="LU13" s="62"/>
      <c r="LV13" s="62"/>
      <c r="LW13" s="62"/>
      <c r="LX13" s="62"/>
      <c r="LY13" s="62"/>
      <c r="LZ13" s="62"/>
      <c r="MA13" s="62"/>
    </row>
    <row r="14" spans="1:339" s="67" customFormat="1" ht="19.45" customHeight="1" x14ac:dyDescent="0.25">
      <c r="A14" s="97">
        <v>45880</v>
      </c>
      <c r="B14" s="97">
        <v>45880</v>
      </c>
      <c r="C14" s="98" t="s">
        <v>86</v>
      </c>
      <c r="D14" s="98">
        <v>4</v>
      </c>
      <c r="E14" s="38">
        <f t="shared" ref="E14" si="15">D14*200</f>
        <v>800</v>
      </c>
      <c r="F14" s="39" t="s">
        <v>2</v>
      </c>
      <c r="G14" s="38">
        <f t="shared" ref="G14" si="16">D14*209</f>
        <v>836</v>
      </c>
      <c r="H14" s="144" t="s">
        <v>154</v>
      </c>
      <c r="I14" s="99">
        <f t="shared" si="14"/>
        <v>3600</v>
      </c>
      <c r="J14" s="98">
        <v>250808003</v>
      </c>
      <c r="K14" s="98"/>
      <c r="L14" s="98">
        <f>L13-D14</f>
        <v>3</v>
      </c>
      <c r="M14" s="99" t="s">
        <v>151</v>
      </c>
      <c r="O14" s="68"/>
      <c r="P14" s="69"/>
      <c r="Q14" s="63"/>
      <c r="R14" s="63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  <c r="IW14" s="62"/>
      <c r="IX14" s="62"/>
      <c r="IY14" s="62"/>
      <c r="IZ14" s="62"/>
      <c r="JA14" s="62"/>
      <c r="JB14" s="62"/>
      <c r="JC14" s="62"/>
      <c r="JD14" s="62"/>
      <c r="JE14" s="62"/>
      <c r="JF14" s="62"/>
      <c r="JG14" s="62"/>
      <c r="JH14" s="62"/>
      <c r="JI14" s="62"/>
      <c r="JJ14" s="62"/>
      <c r="JK14" s="62"/>
      <c r="JL14" s="62"/>
      <c r="JM14" s="62"/>
      <c r="JN14" s="62"/>
      <c r="JO14" s="62"/>
      <c r="JP14" s="62"/>
      <c r="JQ14" s="62"/>
      <c r="JR14" s="62"/>
      <c r="JS14" s="62"/>
      <c r="JT14" s="62"/>
      <c r="JU14" s="62"/>
      <c r="JV14" s="62"/>
      <c r="JW14" s="62"/>
      <c r="JX14" s="62"/>
      <c r="JY14" s="62"/>
      <c r="JZ14" s="62"/>
      <c r="KA14" s="62"/>
      <c r="KB14" s="62"/>
      <c r="KC14" s="62"/>
      <c r="KD14" s="62"/>
      <c r="KE14" s="62"/>
      <c r="KF14" s="62"/>
      <c r="KG14" s="62"/>
      <c r="KH14" s="62"/>
      <c r="KI14" s="62"/>
      <c r="KJ14" s="62"/>
      <c r="KK14" s="62"/>
      <c r="KL14" s="62"/>
      <c r="KM14" s="62"/>
      <c r="KN14" s="62"/>
      <c r="KO14" s="62"/>
      <c r="KP14" s="62"/>
      <c r="KQ14" s="62"/>
      <c r="KR14" s="62"/>
      <c r="KS14" s="62"/>
      <c r="KT14" s="62"/>
      <c r="KU14" s="62"/>
      <c r="KV14" s="62"/>
      <c r="KW14" s="62"/>
      <c r="KX14" s="62"/>
      <c r="KY14" s="62"/>
      <c r="KZ14" s="62"/>
      <c r="LA14" s="62"/>
      <c r="LB14" s="62"/>
      <c r="LC14" s="62"/>
      <c r="LD14" s="62"/>
      <c r="LE14" s="62"/>
      <c r="LF14" s="62"/>
      <c r="LG14" s="62"/>
      <c r="LH14" s="62"/>
      <c r="LI14" s="62"/>
      <c r="LJ14" s="62"/>
      <c r="LK14" s="62"/>
      <c r="LL14" s="62"/>
      <c r="LM14" s="62"/>
      <c r="LN14" s="62"/>
      <c r="LO14" s="62"/>
      <c r="LP14" s="62"/>
      <c r="LQ14" s="62"/>
      <c r="LR14" s="62"/>
      <c r="LS14" s="62"/>
      <c r="LT14" s="62"/>
      <c r="LU14" s="62"/>
      <c r="LV14" s="62"/>
      <c r="LW14" s="62"/>
      <c r="LX14" s="62"/>
      <c r="LY14" s="62"/>
      <c r="LZ14" s="62"/>
      <c r="MA14" s="62"/>
    </row>
    <row r="15" spans="1:339" s="67" customFormat="1" ht="19.45" customHeight="1" x14ac:dyDescent="0.25">
      <c r="A15" s="119">
        <v>45883</v>
      </c>
      <c r="B15" s="119">
        <v>45883</v>
      </c>
      <c r="C15" s="120" t="s">
        <v>160</v>
      </c>
      <c r="D15" s="120">
        <v>3</v>
      </c>
      <c r="E15" s="110">
        <f t="shared" ref="E15" si="17">D15*200</f>
        <v>600</v>
      </c>
      <c r="F15" s="111" t="s">
        <v>2</v>
      </c>
      <c r="G15" s="110">
        <f t="shared" ref="G15" si="18">D15*209</f>
        <v>627</v>
      </c>
      <c r="H15" s="138" t="s">
        <v>159</v>
      </c>
      <c r="I15" s="121">
        <f t="shared" si="14"/>
        <v>3000</v>
      </c>
      <c r="J15" s="120">
        <v>250813003</v>
      </c>
      <c r="K15" s="120"/>
      <c r="L15" s="120">
        <f>L14-D15</f>
        <v>0</v>
      </c>
      <c r="M15" s="121" t="s">
        <v>151</v>
      </c>
      <c r="O15" s="68"/>
      <c r="P15" s="69"/>
      <c r="Q15" s="63"/>
      <c r="R15" s="63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  <c r="IT15" s="62"/>
      <c r="IU15" s="62"/>
      <c r="IV15" s="62"/>
      <c r="IW15" s="62"/>
      <c r="IX15" s="62"/>
      <c r="IY15" s="62"/>
      <c r="IZ15" s="62"/>
      <c r="JA15" s="62"/>
      <c r="JB15" s="62"/>
      <c r="JC15" s="62"/>
      <c r="JD15" s="62"/>
      <c r="JE15" s="62"/>
      <c r="JF15" s="62"/>
      <c r="JG15" s="62"/>
      <c r="JH15" s="62"/>
      <c r="JI15" s="62"/>
      <c r="JJ15" s="62"/>
      <c r="JK15" s="62"/>
      <c r="JL15" s="62"/>
      <c r="JM15" s="62"/>
      <c r="JN15" s="62"/>
      <c r="JO15" s="62"/>
      <c r="JP15" s="62"/>
      <c r="JQ15" s="62"/>
      <c r="JR15" s="62"/>
      <c r="JS15" s="62"/>
      <c r="JT15" s="62"/>
      <c r="JU15" s="62"/>
      <c r="JV15" s="62"/>
      <c r="JW15" s="62"/>
      <c r="JX15" s="62"/>
      <c r="JY15" s="62"/>
      <c r="JZ15" s="62"/>
      <c r="KA15" s="62"/>
      <c r="KB15" s="62"/>
      <c r="KC15" s="62"/>
      <c r="KD15" s="62"/>
      <c r="KE15" s="62"/>
      <c r="KF15" s="62"/>
      <c r="KG15" s="62"/>
      <c r="KH15" s="62"/>
      <c r="KI15" s="62"/>
      <c r="KJ15" s="62"/>
      <c r="KK15" s="62"/>
      <c r="KL15" s="62"/>
      <c r="KM15" s="62"/>
      <c r="KN15" s="62"/>
      <c r="KO15" s="62"/>
      <c r="KP15" s="62"/>
      <c r="KQ15" s="62"/>
      <c r="KR15" s="62"/>
      <c r="KS15" s="62"/>
      <c r="KT15" s="62"/>
      <c r="KU15" s="62"/>
      <c r="KV15" s="62"/>
      <c r="KW15" s="62"/>
      <c r="KX15" s="62"/>
      <c r="KY15" s="62"/>
      <c r="KZ15" s="62"/>
      <c r="LA15" s="62"/>
      <c r="LB15" s="62"/>
      <c r="LC15" s="62"/>
      <c r="LD15" s="62"/>
      <c r="LE15" s="62"/>
      <c r="LF15" s="62"/>
      <c r="LG15" s="62"/>
      <c r="LH15" s="62"/>
      <c r="LI15" s="62"/>
      <c r="LJ15" s="62"/>
      <c r="LK15" s="62"/>
      <c r="LL15" s="62"/>
      <c r="LM15" s="62"/>
      <c r="LN15" s="62"/>
      <c r="LO15" s="62"/>
      <c r="LP15" s="62"/>
      <c r="LQ15" s="62"/>
      <c r="LR15" s="62"/>
      <c r="LS15" s="62"/>
      <c r="LT15" s="62"/>
      <c r="LU15" s="62"/>
      <c r="LV15" s="62"/>
      <c r="LW15" s="62"/>
      <c r="LX15" s="62"/>
      <c r="LY15" s="62"/>
      <c r="LZ15" s="62"/>
      <c r="MA15" s="62"/>
    </row>
    <row r="16" spans="1:339" s="67" customFormat="1" ht="19.45" customHeight="1" x14ac:dyDescent="0.25">
      <c r="A16" s="119">
        <v>45883</v>
      </c>
      <c r="B16" s="119">
        <v>45883</v>
      </c>
      <c r="C16" s="120" t="s">
        <v>155</v>
      </c>
      <c r="D16" s="120">
        <v>1</v>
      </c>
      <c r="E16" s="110">
        <f t="shared" ref="E16:E17" si="19">D16*200</f>
        <v>200</v>
      </c>
      <c r="F16" s="111" t="s">
        <v>2</v>
      </c>
      <c r="G16" s="110">
        <f t="shared" ref="G16:G17" si="20">D16*209</f>
        <v>209</v>
      </c>
      <c r="H16" s="138" t="s">
        <v>150</v>
      </c>
      <c r="I16" s="121">
        <f t="shared" si="14"/>
        <v>2800</v>
      </c>
      <c r="J16" s="120">
        <v>250813003</v>
      </c>
      <c r="K16" s="120">
        <v>22</v>
      </c>
      <c r="L16" s="120">
        <f>K16-D16</f>
        <v>21</v>
      </c>
      <c r="M16" s="121" t="s">
        <v>151</v>
      </c>
      <c r="O16" s="68"/>
      <c r="P16" s="69"/>
      <c r="Q16" s="63"/>
      <c r="R16" s="63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  <c r="FK16" s="62"/>
      <c r="FL16" s="62"/>
      <c r="FM16" s="62"/>
      <c r="FN16" s="62"/>
      <c r="FO16" s="62"/>
      <c r="FP16" s="62"/>
      <c r="FQ16" s="62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62"/>
      <c r="GL16" s="62"/>
      <c r="GM16" s="62"/>
      <c r="GN16" s="62"/>
      <c r="GO16" s="62"/>
      <c r="GP16" s="62"/>
      <c r="GQ16" s="62"/>
      <c r="GR16" s="62"/>
      <c r="GS16" s="62"/>
      <c r="GT16" s="62"/>
      <c r="GU16" s="62"/>
      <c r="GV16" s="62"/>
      <c r="GW16" s="62"/>
      <c r="GX16" s="62"/>
      <c r="GY16" s="62"/>
      <c r="GZ16" s="62"/>
      <c r="HA16" s="62"/>
      <c r="HB16" s="62"/>
      <c r="HC16" s="62"/>
      <c r="HD16" s="62"/>
      <c r="HE16" s="62"/>
      <c r="HF16" s="62"/>
      <c r="HG16" s="62"/>
      <c r="HH16" s="62"/>
      <c r="HI16" s="62"/>
      <c r="HJ16" s="62"/>
      <c r="HK16" s="62"/>
      <c r="HL16" s="62"/>
      <c r="HM16" s="62"/>
      <c r="HN16" s="62"/>
      <c r="HO16" s="62"/>
      <c r="HP16" s="62"/>
      <c r="HQ16" s="62"/>
      <c r="HR16" s="62"/>
      <c r="HS16" s="62"/>
      <c r="HT16" s="62"/>
      <c r="HU16" s="62"/>
      <c r="HV16" s="62"/>
      <c r="HW16" s="62"/>
      <c r="HX16" s="62"/>
      <c r="HY16" s="62"/>
      <c r="HZ16" s="62"/>
      <c r="IA16" s="62"/>
      <c r="IB16" s="62"/>
      <c r="IC16" s="62"/>
      <c r="ID16" s="62"/>
      <c r="IE16" s="62"/>
      <c r="IF16" s="62"/>
      <c r="IG16" s="62"/>
      <c r="IH16" s="62"/>
      <c r="II16" s="62"/>
      <c r="IJ16" s="62"/>
      <c r="IK16" s="62"/>
      <c r="IL16" s="62"/>
      <c r="IM16" s="62"/>
      <c r="IN16" s="62"/>
      <c r="IO16" s="62"/>
      <c r="IP16" s="62"/>
      <c r="IQ16" s="62"/>
      <c r="IR16" s="62"/>
      <c r="IS16" s="62"/>
      <c r="IT16" s="62"/>
      <c r="IU16" s="62"/>
      <c r="IV16" s="62"/>
      <c r="IW16" s="62"/>
      <c r="IX16" s="62"/>
      <c r="IY16" s="62"/>
      <c r="IZ16" s="62"/>
      <c r="JA16" s="62"/>
      <c r="JB16" s="62"/>
      <c r="JC16" s="62"/>
      <c r="JD16" s="62"/>
      <c r="JE16" s="62"/>
      <c r="JF16" s="62"/>
      <c r="JG16" s="62"/>
      <c r="JH16" s="62"/>
      <c r="JI16" s="62"/>
      <c r="JJ16" s="62"/>
      <c r="JK16" s="62"/>
      <c r="JL16" s="62"/>
      <c r="JM16" s="62"/>
      <c r="JN16" s="62"/>
      <c r="JO16" s="62"/>
      <c r="JP16" s="62"/>
      <c r="JQ16" s="62"/>
      <c r="JR16" s="62"/>
      <c r="JS16" s="62"/>
      <c r="JT16" s="62"/>
      <c r="JU16" s="62"/>
      <c r="JV16" s="62"/>
      <c r="JW16" s="62"/>
      <c r="JX16" s="62"/>
      <c r="JY16" s="62"/>
      <c r="JZ16" s="62"/>
      <c r="KA16" s="62"/>
      <c r="KB16" s="62"/>
      <c r="KC16" s="62"/>
      <c r="KD16" s="62"/>
      <c r="KE16" s="62"/>
      <c r="KF16" s="62"/>
      <c r="KG16" s="62"/>
      <c r="KH16" s="62"/>
      <c r="KI16" s="62"/>
      <c r="KJ16" s="62"/>
      <c r="KK16" s="62"/>
      <c r="KL16" s="62"/>
      <c r="KM16" s="62"/>
      <c r="KN16" s="62"/>
      <c r="KO16" s="62"/>
      <c r="KP16" s="62"/>
      <c r="KQ16" s="62"/>
      <c r="KR16" s="62"/>
      <c r="KS16" s="62"/>
      <c r="KT16" s="62"/>
      <c r="KU16" s="62"/>
      <c r="KV16" s="62"/>
      <c r="KW16" s="62"/>
      <c r="KX16" s="62"/>
      <c r="KY16" s="62"/>
      <c r="KZ16" s="62"/>
      <c r="LA16" s="62"/>
      <c r="LB16" s="62"/>
      <c r="LC16" s="62"/>
      <c r="LD16" s="62"/>
      <c r="LE16" s="62"/>
      <c r="LF16" s="62"/>
      <c r="LG16" s="62"/>
      <c r="LH16" s="62"/>
      <c r="LI16" s="62"/>
      <c r="LJ16" s="62"/>
      <c r="LK16" s="62"/>
      <c r="LL16" s="62"/>
      <c r="LM16" s="62"/>
      <c r="LN16" s="62"/>
      <c r="LO16" s="62"/>
      <c r="LP16" s="62"/>
      <c r="LQ16" s="62"/>
      <c r="LR16" s="62"/>
      <c r="LS16" s="62"/>
      <c r="LT16" s="62"/>
      <c r="LU16" s="62"/>
      <c r="LV16" s="62"/>
      <c r="LW16" s="62"/>
      <c r="LX16" s="62"/>
      <c r="LY16" s="62"/>
      <c r="LZ16" s="62"/>
      <c r="MA16" s="62"/>
    </row>
    <row r="17" spans="1:339" s="67" customFormat="1" ht="19.45" customHeight="1" x14ac:dyDescent="0.25">
      <c r="A17" s="133">
        <v>45912</v>
      </c>
      <c r="B17" s="133">
        <v>45912</v>
      </c>
      <c r="C17" s="134" t="s">
        <v>161</v>
      </c>
      <c r="D17" s="134">
        <v>4</v>
      </c>
      <c r="E17" s="8">
        <f t="shared" si="19"/>
        <v>800</v>
      </c>
      <c r="F17" s="9" t="s">
        <v>2</v>
      </c>
      <c r="G17" s="8">
        <f t="shared" si="20"/>
        <v>836</v>
      </c>
      <c r="H17" s="135" t="s">
        <v>162</v>
      </c>
      <c r="I17" s="136">
        <f t="shared" si="14"/>
        <v>2000</v>
      </c>
      <c r="J17" s="134">
        <v>250911007</v>
      </c>
      <c r="K17" s="134">
        <v>23</v>
      </c>
      <c r="L17" s="134">
        <f>K17-D17</f>
        <v>19</v>
      </c>
      <c r="M17" s="137" t="s">
        <v>92</v>
      </c>
      <c r="O17" s="68"/>
      <c r="P17" s="69"/>
      <c r="Q17" s="63"/>
      <c r="R17" s="63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  <c r="IW17" s="62"/>
      <c r="IX17" s="62"/>
      <c r="IY17" s="62"/>
      <c r="IZ17" s="62"/>
      <c r="JA17" s="62"/>
      <c r="JB17" s="62"/>
      <c r="JC17" s="62"/>
      <c r="JD17" s="62"/>
      <c r="JE17" s="62"/>
      <c r="JF17" s="62"/>
      <c r="JG17" s="62"/>
      <c r="JH17" s="62"/>
      <c r="JI17" s="62"/>
      <c r="JJ17" s="62"/>
      <c r="JK17" s="62"/>
      <c r="JL17" s="62"/>
      <c r="JM17" s="62"/>
      <c r="JN17" s="62"/>
      <c r="JO17" s="62"/>
      <c r="JP17" s="62"/>
      <c r="JQ17" s="62"/>
      <c r="JR17" s="62"/>
      <c r="JS17" s="62"/>
      <c r="JT17" s="62"/>
      <c r="JU17" s="62"/>
      <c r="JV17" s="62"/>
      <c r="JW17" s="62"/>
      <c r="JX17" s="62"/>
      <c r="JY17" s="62"/>
      <c r="JZ17" s="62"/>
      <c r="KA17" s="62"/>
      <c r="KB17" s="62"/>
      <c r="KC17" s="62"/>
      <c r="KD17" s="62"/>
      <c r="KE17" s="62"/>
      <c r="KF17" s="62"/>
      <c r="KG17" s="62"/>
      <c r="KH17" s="62"/>
      <c r="KI17" s="62"/>
      <c r="KJ17" s="62"/>
      <c r="KK17" s="62"/>
      <c r="KL17" s="62"/>
      <c r="KM17" s="62"/>
      <c r="KN17" s="62"/>
      <c r="KO17" s="62"/>
      <c r="KP17" s="62"/>
      <c r="KQ17" s="62"/>
      <c r="KR17" s="62"/>
      <c r="KS17" s="62"/>
      <c r="KT17" s="62"/>
      <c r="KU17" s="62"/>
      <c r="KV17" s="62"/>
      <c r="KW17" s="62"/>
      <c r="KX17" s="62"/>
      <c r="KY17" s="62"/>
      <c r="KZ17" s="62"/>
      <c r="LA17" s="62"/>
      <c r="LB17" s="62"/>
      <c r="LC17" s="62"/>
      <c r="LD17" s="62"/>
      <c r="LE17" s="62"/>
      <c r="LF17" s="62"/>
      <c r="LG17" s="62"/>
      <c r="LH17" s="62"/>
      <c r="LI17" s="62"/>
      <c r="LJ17" s="62"/>
      <c r="LK17" s="62"/>
      <c r="LL17" s="62"/>
      <c r="LM17" s="62"/>
      <c r="LN17" s="62"/>
      <c r="LO17" s="62"/>
      <c r="LP17" s="62"/>
      <c r="LQ17" s="62"/>
      <c r="LR17" s="62"/>
      <c r="LS17" s="62"/>
      <c r="LT17" s="62"/>
      <c r="LU17" s="62"/>
      <c r="LV17" s="62"/>
      <c r="LW17" s="62"/>
      <c r="LX17" s="62"/>
      <c r="LY17" s="62"/>
      <c r="LZ17" s="62"/>
      <c r="MA17" s="62"/>
    </row>
    <row r="18" spans="1:339" s="67" customFormat="1" ht="19.45" customHeight="1" x14ac:dyDescent="0.25">
      <c r="A18" s="161">
        <v>45917</v>
      </c>
      <c r="B18" s="161">
        <v>45917</v>
      </c>
      <c r="C18" s="162" t="s">
        <v>161</v>
      </c>
      <c r="D18" s="162">
        <v>4</v>
      </c>
      <c r="E18" s="130">
        <f t="shared" ref="E18" si="21">D18*200</f>
        <v>800</v>
      </c>
      <c r="F18" s="131" t="s">
        <v>2</v>
      </c>
      <c r="G18" s="130">
        <f t="shared" ref="G18" si="22">D18*209</f>
        <v>836</v>
      </c>
      <c r="H18" s="187" t="s">
        <v>163</v>
      </c>
      <c r="I18" s="163">
        <f t="shared" si="14"/>
        <v>1200</v>
      </c>
      <c r="J18" s="162">
        <v>250916007</v>
      </c>
      <c r="K18" s="162"/>
      <c r="L18" s="162">
        <f>L17-D18</f>
        <v>15</v>
      </c>
      <c r="M18" s="164" t="s">
        <v>93</v>
      </c>
      <c r="O18" s="68"/>
      <c r="P18" s="69"/>
      <c r="Q18" s="63"/>
      <c r="R18" s="63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  <c r="IW18" s="62"/>
      <c r="IX18" s="62"/>
      <c r="IY18" s="62"/>
      <c r="IZ18" s="62"/>
      <c r="JA18" s="62"/>
      <c r="JB18" s="62"/>
      <c r="JC18" s="62"/>
      <c r="JD18" s="62"/>
      <c r="JE18" s="62"/>
      <c r="JF18" s="62"/>
      <c r="JG18" s="62"/>
      <c r="JH18" s="62"/>
      <c r="JI18" s="62"/>
      <c r="JJ18" s="62"/>
      <c r="JK18" s="62"/>
      <c r="JL18" s="62"/>
      <c r="JM18" s="62"/>
      <c r="JN18" s="62"/>
      <c r="JO18" s="62"/>
      <c r="JP18" s="62"/>
      <c r="JQ18" s="62"/>
      <c r="JR18" s="62"/>
      <c r="JS18" s="62"/>
      <c r="JT18" s="62"/>
      <c r="JU18" s="62"/>
      <c r="JV18" s="62"/>
      <c r="JW18" s="62"/>
      <c r="JX18" s="62"/>
      <c r="JY18" s="62"/>
      <c r="JZ18" s="62"/>
      <c r="KA18" s="62"/>
      <c r="KB18" s="62"/>
      <c r="KC18" s="62"/>
      <c r="KD18" s="62"/>
      <c r="KE18" s="62"/>
      <c r="KF18" s="62"/>
      <c r="KG18" s="62"/>
      <c r="KH18" s="62"/>
      <c r="KI18" s="62"/>
      <c r="KJ18" s="62"/>
      <c r="KK18" s="62"/>
      <c r="KL18" s="62"/>
      <c r="KM18" s="62"/>
      <c r="KN18" s="62"/>
      <c r="KO18" s="62"/>
      <c r="KP18" s="62"/>
      <c r="KQ18" s="62"/>
      <c r="KR18" s="62"/>
      <c r="KS18" s="62"/>
      <c r="KT18" s="62"/>
      <c r="KU18" s="62"/>
      <c r="KV18" s="62"/>
      <c r="KW18" s="62"/>
      <c r="KX18" s="62"/>
      <c r="KY18" s="62"/>
      <c r="KZ18" s="62"/>
      <c r="LA18" s="62"/>
      <c r="LB18" s="62"/>
      <c r="LC18" s="62"/>
      <c r="LD18" s="62"/>
      <c r="LE18" s="62"/>
      <c r="LF18" s="62"/>
      <c r="LG18" s="62"/>
      <c r="LH18" s="62"/>
      <c r="LI18" s="62"/>
      <c r="LJ18" s="62"/>
      <c r="LK18" s="62"/>
      <c r="LL18" s="62"/>
      <c r="LM18" s="62"/>
      <c r="LN18" s="62"/>
      <c r="LO18" s="62"/>
      <c r="LP18" s="62"/>
      <c r="LQ18" s="62"/>
      <c r="LR18" s="62"/>
      <c r="LS18" s="62"/>
      <c r="LT18" s="62"/>
      <c r="LU18" s="62"/>
      <c r="LV18" s="62"/>
      <c r="LW18" s="62"/>
      <c r="LX18" s="62"/>
      <c r="LY18" s="62"/>
      <c r="LZ18" s="62"/>
      <c r="MA18" s="62"/>
    </row>
    <row r="19" spans="1:339" s="67" customFormat="1" ht="19.45" customHeight="1" x14ac:dyDescent="0.25">
      <c r="A19" s="158">
        <v>45919</v>
      </c>
      <c r="B19" s="158">
        <v>45919</v>
      </c>
      <c r="C19" s="159" t="s">
        <v>161</v>
      </c>
      <c r="D19" s="185">
        <v>4</v>
      </c>
      <c r="E19" s="27">
        <f t="shared" ref="E19" si="23">D19*200</f>
        <v>800</v>
      </c>
      <c r="F19" s="28" t="s">
        <v>2</v>
      </c>
      <c r="G19" s="27">
        <f t="shared" ref="G19" si="24">D19*209</f>
        <v>836</v>
      </c>
      <c r="H19" s="185" t="s">
        <v>150</v>
      </c>
      <c r="I19" s="160">
        <f t="shared" ref="I19" si="25">I18-E19</f>
        <v>400</v>
      </c>
      <c r="J19" s="159">
        <v>250918009</v>
      </c>
      <c r="K19" s="159"/>
      <c r="L19" s="159">
        <f>L18-D19</f>
        <v>11</v>
      </c>
      <c r="M19" s="188" t="s">
        <v>164</v>
      </c>
      <c r="O19" s="68"/>
      <c r="P19" s="69"/>
      <c r="Q19" s="63"/>
      <c r="R19" s="63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  <c r="EX19" s="62"/>
      <c r="EY19" s="62"/>
      <c r="EZ19" s="62"/>
      <c r="FA19" s="62"/>
      <c r="FB19" s="62"/>
      <c r="FC19" s="62"/>
      <c r="FD19" s="62"/>
      <c r="FE19" s="62"/>
      <c r="FF19" s="62"/>
      <c r="FG19" s="62"/>
      <c r="FH19" s="62"/>
      <c r="FI19" s="62"/>
      <c r="FJ19" s="62"/>
      <c r="FK19" s="62"/>
      <c r="FL19" s="62"/>
      <c r="FM19" s="62"/>
      <c r="FN19" s="62"/>
      <c r="FO19" s="62"/>
      <c r="FP19" s="62"/>
      <c r="FQ19" s="62"/>
      <c r="FR19" s="62"/>
      <c r="FS19" s="62"/>
      <c r="FT19" s="62"/>
      <c r="FU19" s="62"/>
      <c r="FV19" s="62"/>
      <c r="FW19" s="62"/>
      <c r="FX19" s="62"/>
      <c r="FY19" s="62"/>
      <c r="FZ19" s="62"/>
      <c r="GA19" s="62"/>
      <c r="GB19" s="62"/>
      <c r="GC19" s="62"/>
      <c r="GD19" s="62"/>
      <c r="GE19" s="62"/>
      <c r="GF19" s="62"/>
      <c r="GG19" s="62"/>
      <c r="GH19" s="62"/>
      <c r="GI19" s="62"/>
      <c r="GJ19" s="62"/>
      <c r="GK19" s="62"/>
      <c r="GL19" s="62"/>
      <c r="GM19" s="62"/>
      <c r="GN19" s="62"/>
      <c r="GO19" s="62"/>
      <c r="GP19" s="62"/>
      <c r="GQ19" s="62"/>
      <c r="GR19" s="62"/>
      <c r="GS19" s="62"/>
      <c r="GT19" s="62"/>
      <c r="GU19" s="62"/>
      <c r="GV19" s="62"/>
      <c r="GW19" s="62"/>
      <c r="GX19" s="62"/>
      <c r="GY19" s="62"/>
      <c r="GZ19" s="62"/>
      <c r="HA19" s="62"/>
      <c r="HB19" s="62"/>
      <c r="HC19" s="62"/>
      <c r="HD19" s="62"/>
      <c r="HE19" s="62"/>
      <c r="HF19" s="62"/>
      <c r="HG19" s="62"/>
      <c r="HH19" s="62"/>
      <c r="HI19" s="62"/>
      <c r="HJ19" s="62"/>
      <c r="HK19" s="62"/>
      <c r="HL19" s="62"/>
      <c r="HM19" s="62"/>
      <c r="HN19" s="62"/>
      <c r="HO19" s="62"/>
      <c r="HP19" s="62"/>
      <c r="HQ19" s="62"/>
      <c r="HR19" s="62"/>
      <c r="HS19" s="62"/>
      <c r="HT19" s="62"/>
      <c r="HU19" s="62"/>
      <c r="HV19" s="62"/>
      <c r="HW19" s="62"/>
      <c r="HX19" s="62"/>
      <c r="HY19" s="62"/>
      <c r="HZ19" s="62"/>
      <c r="IA19" s="62"/>
      <c r="IB19" s="62"/>
      <c r="IC19" s="62"/>
      <c r="ID19" s="62"/>
      <c r="IE19" s="62"/>
      <c r="IF19" s="62"/>
      <c r="IG19" s="62"/>
      <c r="IH19" s="62"/>
      <c r="II19" s="62"/>
      <c r="IJ19" s="62"/>
      <c r="IK19" s="62"/>
      <c r="IL19" s="62"/>
      <c r="IM19" s="62"/>
      <c r="IN19" s="62"/>
      <c r="IO19" s="62"/>
      <c r="IP19" s="62"/>
      <c r="IQ19" s="62"/>
      <c r="IR19" s="62"/>
      <c r="IS19" s="62"/>
      <c r="IT19" s="62"/>
      <c r="IU19" s="62"/>
      <c r="IV19" s="62"/>
      <c r="IW19" s="62"/>
      <c r="IX19" s="62"/>
      <c r="IY19" s="62"/>
      <c r="IZ19" s="62"/>
      <c r="JA19" s="62"/>
      <c r="JB19" s="62"/>
      <c r="JC19" s="62"/>
      <c r="JD19" s="62"/>
      <c r="JE19" s="62"/>
      <c r="JF19" s="62"/>
      <c r="JG19" s="62"/>
      <c r="JH19" s="62"/>
      <c r="JI19" s="62"/>
      <c r="JJ19" s="62"/>
      <c r="JK19" s="62"/>
      <c r="JL19" s="62"/>
      <c r="JM19" s="62"/>
      <c r="JN19" s="62"/>
      <c r="JO19" s="62"/>
      <c r="JP19" s="62"/>
      <c r="JQ19" s="62"/>
      <c r="JR19" s="62"/>
      <c r="JS19" s="62"/>
      <c r="JT19" s="62"/>
      <c r="JU19" s="62"/>
      <c r="JV19" s="62"/>
      <c r="JW19" s="62"/>
      <c r="JX19" s="62"/>
      <c r="JY19" s="62"/>
      <c r="JZ19" s="62"/>
      <c r="KA19" s="62"/>
      <c r="KB19" s="62"/>
      <c r="KC19" s="62"/>
      <c r="KD19" s="62"/>
      <c r="KE19" s="62"/>
      <c r="KF19" s="62"/>
      <c r="KG19" s="62"/>
      <c r="KH19" s="62"/>
      <c r="KI19" s="62"/>
      <c r="KJ19" s="62"/>
      <c r="KK19" s="62"/>
      <c r="KL19" s="62"/>
      <c r="KM19" s="62"/>
      <c r="KN19" s="62"/>
      <c r="KO19" s="62"/>
      <c r="KP19" s="62"/>
      <c r="KQ19" s="62"/>
      <c r="KR19" s="62"/>
      <c r="KS19" s="62"/>
      <c r="KT19" s="62"/>
      <c r="KU19" s="62"/>
      <c r="KV19" s="62"/>
      <c r="KW19" s="62"/>
      <c r="KX19" s="62"/>
      <c r="KY19" s="62"/>
      <c r="KZ19" s="62"/>
      <c r="LA19" s="62"/>
      <c r="LB19" s="62"/>
      <c r="LC19" s="62"/>
      <c r="LD19" s="62"/>
      <c r="LE19" s="62"/>
      <c r="LF19" s="62"/>
      <c r="LG19" s="62"/>
      <c r="LH19" s="62"/>
      <c r="LI19" s="62"/>
      <c r="LJ19" s="62"/>
      <c r="LK19" s="62"/>
      <c r="LL19" s="62"/>
      <c r="LM19" s="62"/>
      <c r="LN19" s="62"/>
      <c r="LO19" s="62"/>
      <c r="LP19" s="62"/>
      <c r="LQ19" s="62"/>
      <c r="LR19" s="62"/>
      <c r="LS19" s="62"/>
      <c r="LT19" s="62"/>
      <c r="LU19" s="62"/>
      <c r="LV19" s="62"/>
      <c r="LW19" s="62"/>
      <c r="LX19" s="62"/>
      <c r="LY19" s="62"/>
      <c r="LZ19" s="62"/>
      <c r="MA19" s="62"/>
    </row>
    <row r="20" spans="1:339" s="67" customFormat="1" ht="19.45" customHeight="1" x14ac:dyDescent="0.25">
      <c r="A20" s="165">
        <v>45922</v>
      </c>
      <c r="B20" s="165">
        <v>45922</v>
      </c>
      <c r="C20" s="166" t="s">
        <v>161</v>
      </c>
      <c r="D20" s="166">
        <v>2</v>
      </c>
      <c r="E20" s="126">
        <f t="shared" ref="E20" si="26">D20*200</f>
        <v>400</v>
      </c>
      <c r="F20" s="127" t="s">
        <v>2</v>
      </c>
      <c r="G20" s="126">
        <f t="shared" ref="G20" si="27">D20*209</f>
        <v>418</v>
      </c>
      <c r="H20" s="189" t="s">
        <v>301</v>
      </c>
      <c r="I20" s="167">
        <f t="shared" ref="I20" si="28">I19-E20</f>
        <v>0</v>
      </c>
      <c r="J20" s="166">
        <v>250919006</v>
      </c>
      <c r="K20" s="166"/>
      <c r="L20" s="166">
        <f>L19-D20</f>
        <v>9</v>
      </c>
      <c r="M20" s="190" t="s">
        <v>165</v>
      </c>
      <c r="O20" s="68"/>
      <c r="P20" s="69"/>
      <c r="Q20" s="63"/>
      <c r="R20" s="63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  <c r="EY20" s="62"/>
      <c r="EZ20" s="62"/>
      <c r="FA20" s="62"/>
      <c r="FB20" s="62"/>
      <c r="FC20" s="62"/>
      <c r="FD20" s="62"/>
      <c r="FE20" s="62"/>
      <c r="FF20" s="62"/>
      <c r="FG20" s="62"/>
      <c r="FH20" s="62"/>
      <c r="FI20" s="62"/>
      <c r="FJ20" s="62"/>
      <c r="FK20" s="62"/>
      <c r="FL20" s="62"/>
      <c r="FM20" s="62"/>
      <c r="FN20" s="62"/>
      <c r="FO20" s="62"/>
      <c r="FP20" s="62"/>
      <c r="FQ20" s="62"/>
      <c r="FR20" s="62"/>
      <c r="FS20" s="62"/>
      <c r="FT20" s="62"/>
      <c r="FU20" s="62"/>
      <c r="FV20" s="62"/>
      <c r="FW20" s="62"/>
      <c r="FX20" s="62"/>
      <c r="FY20" s="62"/>
      <c r="FZ20" s="62"/>
      <c r="GA20" s="62"/>
      <c r="GB20" s="62"/>
      <c r="GC20" s="62"/>
      <c r="GD20" s="62"/>
      <c r="GE20" s="62"/>
      <c r="GF20" s="62"/>
      <c r="GG20" s="62"/>
      <c r="GH20" s="62"/>
      <c r="GI20" s="62"/>
      <c r="GJ20" s="62"/>
      <c r="GK20" s="62"/>
      <c r="GL20" s="62"/>
      <c r="GM20" s="62"/>
      <c r="GN20" s="62"/>
      <c r="GO20" s="62"/>
      <c r="GP20" s="62"/>
      <c r="GQ20" s="62"/>
      <c r="GR20" s="62"/>
      <c r="GS20" s="62"/>
      <c r="GT20" s="62"/>
      <c r="GU20" s="62"/>
      <c r="GV20" s="62"/>
      <c r="GW20" s="62"/>
      <c r="GX20" s="62"/>
      <c r="GY20" s="62"/>
      <c r="GZ20" s="62"/>
      <c r="HA20" s="62"/>
      <c r="HB20" s="62"/>
      <c r="HC20" s="62"/>
      <c r="HD20" s="62"/>
      <c r="HE20" s="62"/>
      <c r="HF20" s="62"/>
      <c r="HG20" s="62"/>
      <c r="HH20" s="62"/>
      <c r="HI20" s="62"/>
      <c r="HJ20" s="62"/>
      <c r="HK20" s="62"/>
      <c r="HL20" s="62"/>
      <c r="HM20" s="62"/>
      <c r="HN20" s="62"/>
      <c r="HO20" s="62"/>
      <c r="HP20" s="62"/>
      <c r="HQ20" s="62"/>
      <c r="HR20" s="62"/>
      <c r="HS20" s="62"/>
      <c r="HT20" s="62"/>
      <c r="HU20" s="62"/>
      <c r="HV20" s="62"/>
      <c r="HW20" s="62"/>
      <c r="HX20" s="62"/>
      <c r="HY20" s="62"/>
      <c r="HZ20" s="62"/>
      <c r="IA20" s="62"/>
      <c r="IB20" s="62"/>
      <c r="IC20" s="62"/>
      <c r="ID20" s="62"/>
      <c r="IE20" s="62"/>
      <c r="IF20" s="62"/>
      <c r="IG20" s="62"/>
      <c r="IH20" s="62"/>
      <c r="II20" s="62"/>
      <c r="IJ20" s="62"/>
      <c r="IK20" s="62"/>
      <c r="IL20" s="62"/>
      <c r="IM20" s="62"/>
      <c r="IN20" s="62"/>
      <c r="IO20" s="62"/>
      <c r="IP20" s="62"/>
      <c r="IQ20" s="62"/>
      <c r="IR20" s="62"/>
      <c r="IS20" s="62"/>
      <c r="IT20" s="62"/>
      <c r="IU20" s="62"/>
      <c r="IV20" s="62"/>
      <c r="IW20" s="62"/>
      <c r="IX20" s="62"/>
      <c r="IY20" s="62"/>
      <c r="IZ20" s="62"/>
      <c r="JA20" s="62"/>
      <c r="JB20" s="62"/>
      <c r="JC20" s="62"/>
      <c r="JD20" s="62"/>
      <c r="JE20" s="62"/>
      <c r="JF20" s="62"/>
      <c r="JG20" s="62"/>
      <c r="JH20" s="62"/>
      <c r="JI20" s="62"/>
      <c r="JJ20" s="62"/>
      <c r="JK20" s="62"/>
      <c r="JL20" s="62"/>
      <c r="JM20" s="62"/>
      <c r="JN20" s="62"/>
      <c r="JO20" s="62"/>
      <c r="JP20" s="62"/>
      <c r="JQ20" s="62"/>
      <c r="JR20" s="62"/>
      <c r="JS20" s="62"/>
      <c r="JT20" s="62"/>
      <c r="JU20" s="62"/>
      <c r="JV20" s="62"/>
      <c r="JW20" s="62"/>
      <c r="JX20" s="62"/>
      <c r="JY20" s="62"/>
      <c r="JZ20" s="62"/>
      <c r="KA20" s="62"/>
      <c r="KB20" s="62"/>
      <c r="KC20" s="62"/>
      <c r="KD20" s="62"/>
      <c r="KE20" s="62"/>
      <c r="KF20" s="62"/>
      <c r="KG20" s="62"/>
      <c r="KH20" s="62"/>
      <c r="KI20" s="62"/>
      <c r="KJ20" s="62"/>
      <c r="KK20" s="62"/>
      <c r="KL20" s="62"/>
      <c r="KM20" s="62"/>
      <c r="KN20" s="62"/>
      <c r="KO20" s="62"/>
      <c r="KP20" s="62"/>
      <c r="KQ20" s="62"/>
      <c r="KR20" s="62"/>
      <c r="KS20" s="62"/>
      <c r="KT20" s="62"/>
      <c r="KU20" s="62"/>
      <c r="KV20" s="62"/>
      <c r="KW20" s="62"/>
      <c r="KX20" s="62"/>
      <c r="KY20" s="62"/>
      <c r="KZ20" s="62"/>
      <c r="LA20" s="62"/>
      <c r="LB20" s="62"/>
      <c r="LC20" s="62"/>
      <c r="LD20" s="62"/>
      <c r="LE20" s="62"/>
      <c r="LF20" s="62"/>
      <c r="LG20" s="62"/>
      <c r="LH20" s="62"/>
      <c r="LI20" s="62"/>
      <c r="LJ20" s="62"/>
      <c r="LK20" s="62"/>
      <c r="LL20" s="62"/>
      <c r="LM20" s="62"/>
      <c r="LN20" s="62"/>
      <c r="LO20" s="62"/>
      <c r="LP20" s="62"/>
      <c r="LQ20" s="62"/>
      <c r="LR20" s="62"/>
      <c r="LS20" s="62"/>
      <c r="LT20" s="62"/>
      <c r="LU20" s="62"/>
      <c r="LV20" s="62"/>
      <c r="LW20" s="62"/>
      <c r="LX20" s="62"/>
      <c r="LY20" s="62"/>
      <c r="LZ20" s="62"/>
      <c r="MA20" s="62"/>
    </row>
    <row r="21" spans="1:339" s="67" customFormat="1" ht="19.45" customHeight="1" x14ac:dyDescent="0.25">
      <c r="A21" s="165">
        <v>45922</v>
      </c>
      <c r="B21" s="165">
        <v>45922</v>
      </c>
      <c r="C21" s="166" t="s">
        <v>161</v>
      </c>
      <c r="D21" s="166">
        <v>2</v>
      </c>
      <c r="E21" s="126">
        <f t="shared" ref="E21:E22" si="29">D21*200</f>
        <v>400</v>
      </c>
      <c r="F21" s="127" t="s">
        <v>2</v>
      </c>
      <c r="G21" s="126">
        <f t="shared" ref="G21:G22" si="30">D21*209</f>
        <v>418</v>
      </c>
      <c r="H21" s="191" t="s">
        <v>167</v>
      </c>
      <c r="I21" s="167">
        <f>10000-E21</f>
        <v>9600</v>
      </c>
      <c r="J21" s="166">
        <v>250919006</v>
      </c>
      <c r="K21" s="166"/>
      <c r="L21" s="166">
        <f>L20-D21</f>
        <v>7</v>
      </c>
      <c r="M21" s="190" t="s">
        <v>166</v>
      </c>
      <c r="O21" s="68"/>
      <c r="P21" s="69"/>
      <c r="Q21" s="63"/>
      <c r="R21" s="63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  <c r="IW21" s="62"/>
      <c r="IX21" s="62"/>
      <c r="IY21" s="62"/>
      <c r="IZ21" s="62"/>
      <c r="JA21" s="62"/>
      <c r="JB21" s="62"/>
      <c r="JC21" s="62"/>
      <c r="JD21" s="62"/>
      <c r="JE21" s="62"/>
      <c r="JF21" s="62"/>
      <c r="JG21" s="62"/>
      <c r="JH21" s="62"/>
      <c r="JI21" s="62"/>
      <c r="JJ21" s="62"/>
      <c r="JK21" s="62"/>
      <c r="JL21" s="62"/>
      <c r="JM21" s="62"/>
      <c r="JN21" s="62"/>
      <c r="JO21" s="62"/>
      <c r="JP21" s="62"/>
      <c r="JQ21" s="62"/>
      <c r="JR21" s="62"/>
      <c r="JS21" s="62"/>
      <c r="JT21" s="62"/>
      <c r="JU21" s="62"/>
      <c r="JV21" s="62"/>
      <c r="JW21" s="62"/>
      <c r="JX21" s="62"/>
      <c r="JY21" s="62"/>
      <c r="JZ21" s="62"/>
      <c r="KA21" s="62"/>
      <c r="KB21" s="62"/>
      <c r="KC21" s="62"/>
      <c r="KD21" s="62"/>
      <c r="KE21" s="62"/>
      <c r="KF21" s="62"/>
      <c r="KG21" s="62"/>
      <c r="KH21" s="62"/>
      <c r="KI21" s="62"/>
      <c r="KJ21" s="62"/>
      <c r="KK21" s="62"/>
      <c r="KL21" s="62"/>
      <c r="KM21" s="62"/>
      <c r="KN21" s="62"/>
      <c r="KO21" s="62"/>
      <c r="KP21" s="62"/>
      <c r="KQ21" s="62"/>
      <c r="KR21" s="62"/>
      <c r="KS21" s="62"/>
      <c r="KT21" s="62"/>
      <c r="KU21" s="62"/>
      <c r="KV21" s="62"/>
      <c r="KW21" s="62"/>
      <c r="KX21" s="62"/>
      <c r="KY21" s="62"/>
      <c r="KZ21" s="62"/>
      <c r="LA21" s="62"/>
      <c r="LB21" s="62"/>
      <c r="LC21" s="62"/>
      <c r="LD21" s="62"/>
      <c r="LE21" s="62"/>
      <c r="LF21" s="62"/>
      <c r="LG21" s="62"/>
      <c r="LH21" s="62"/>
      <c r="LI21" s="62"/>
      <c r="LJ21" s="62"/>
      <c r="LK21" s="62"/>
      <c r="LL21" s="62"/>
      <c r="LM21" s="62"/>
      <c r="LN21" s="62"/>
      <c r="LO21" s="62"/>
      <c r="LP21" s="62"/>
      <c r="LQ21" s="62"/>
      <c r="LR21" s="62"/>
      <c r="LS21" s="62"/>
      <c r="LT21" s="62"/>
      <c r="LU21" s="62"/>
      <c r="LV21" s="62"/>
      <c r="LW21" s="62"/>
      <c r="LX21" s="62"/>
      <c r="LY21" s="62"/>
      <c r="LZ21" s="62"/>
      <c r="MA21" s="62"/>
    </row>
    <row r="22" spans="1:339" s="196" customFormat="1" ht="19.45" customHeight="1" x14ac:dyDescent="0.25">
      <c r="A22" s="133">
        <v>45950</v>
      </c>
      <c r="B22" s="133">
        <v>45950</v>
      </c>
      <c r="C22" s="134" t="s">
        <v>155</v>
      </c>
      <c r="D22" s="134">
        <v>4</v>
      </c>
      <c r="E22" s="8">
        <f t="shared" si="29"/>
        <v>800</v>
      </c>
      <c r="F22" s="9" t="s">
        <v>2</v>
      </c>
      <c r="G22" s="8">
        <f t="shared" si="30"/>
        <v>836</v>
      </c>
      <c r="H22" s="135" t="s">
        <v>169</v>
      </c>
      <c r="I22" s="136">
        <f>I21-E22</f>
        <v>8800</v>
      </c>
      <c r="J22" s="134">
        <v>251017006</v>
      </c>
      <c r="K22" s="134"/>
      <c r="L22" s="134">
        <f>L16-D22</f>
        <v>17</v>
      </c>
      <c r="M22" s="136" t="s">
        <v>168</v>
      </c>
      <c r="O22" s="197"/>
      <c r="P22" s="198"/>
      <c r="Q22" s="199"/>
      <c r="R22" s="199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  <c r="FJ22" s="62"/>
      <c r="FK22" s="62"/>
      <c r="FL22" s="62"/>
      <c r="FM22" s="62"/>
      <c r="FN22" s="62"/>
      <c r="FO22" s="62"/>
      <c r="FP22" s="62"/>
      <c r="FQ22" s="62"/>
      <c r="FR22" s="62"/>
      <c r="FS22" s="62"/>
      <c r="FT22" s="62"/>
      <c r="FU22" s="62"/>
      <c r="FV22" s="62"/>
      <c r="FW22" s="62"/>
      <c r="FX22" s="62"/>
      <c r="FY22" s="62"/>
      <c r="FZ22" s="62"/>
      <c r="GA22" s="62"/>
      <c r="GB22" s="62"/>
      <c r="GC22" s="62"/>
      <c r="GD22" s="62"/>
      <c r="GE22" s="62"/>
      <c r="GF22" s="62"/>
      <c r="GG22" s="62"/>
      <c r="GH22" s="62"/>
      <c r="GI22" s="62"/>
      <c r="GJ22" s="62"/>
      <c r="GK22" s="62"/>
      <c r="GL22" s="62"/>
      <c r="GM22" s="62"/>
      <c r="GN22" s="62"/>
      <c r="GO22" s="62"/>
      <c r="GP22" s="62"/>
      <c r="GQ22" s="62"/>
      <c r="GR22" s="62"/>
      <c r="GS22" s="62"/>
      <c r="GT22" s="62"/>
      <c r="GU22" s="62"/>
      <c r="GV22" s="62"/>
      <c r="GW22" s="62"/>
      <c r="GX22" s="62"/>
      <c r="GY22" s="62"/>
      <c r="GZ22" s="62"/>
      <c r="HA22" s="62"/>
      <c r="HB22" s="62"/>
      <c r="HC22" s="62"/>
      <c r="HD22" s="62"/>
      <c r="HE22" s="62"/>
      <c r="HF22" s="62"/>
      <c r="HG22" s="62"/>
      <c r="HH22" s="62"/>
      <c r="HI22" s="62"/>
      <c r="HJ22" s="62"/>
      <c r="HK22" s="62"/>
      <c r="HL22" s="62"/>
      <c r="HM22" s="62"/>
      <c r="HN22" s="62"/>
      <c r="HO22" s="62"/>
      <c r="HP22" s="62"/>
      <c r="HQ22" s="62"/>
      <c r="HR22" s="62"/>
      <c r="HS22" s="62"/>
      <c r="HT22" s="62"/>
      <c r="HU22" s="62"/>
      <c r="HV22" s="62"/>
      <c r="HW22" s="62"/>
      <c r="HX22" s="62"/>
      <c r="HY22" s="62"/>
      <c r="HZ22" s="62"/>
      <c r="IA22" s="62"/>
      <c r="IB22" s="62"/>
      <c r="IC22" s="62"/>
      <c r="ID22" s="62"/>
      <c r="IE22" s="62"/>
      <c r="IF22" s="62"/>
      <c r="IG22" s="62"/>
      <c r="IH22" s="62"/>
      <c r="II22" s="62"/>
      <c r="IJ22" s="62"/>
      <c r="IK22" s="62"/>
      <c r="IL22" s="62"/>
      <c r="IM22" s="62"/>
      <c r="IN22" s="62"/>
      <c r="IO22" s="62"/>
      <c r="IP22" s="62"/>
      <c r="IQ22" s="62"/>
      <c r="IR22" s="62"/>
      <c r="IS22" s="62"/>
      <c r="IT22" s="62"/>
      <c r="IU22" s="62"/>
      <c r="IV22" s="62"/>
      <c r="IW22" s="62"/>
      <c r="IX22" s="62"/>
      <c r="IY22" s="62"/>
      <c r="IZ22" s="62"/>
      <c r="JA22" s="62"/>
      <c r="JB22" s="62"/>
      <c r="JC22" s="62"/>
      <c r="JD22" s="62"/>
      <c r="JE22" s="62"/>
      <c r="JF22" s="62"/>
      <c r="JG22" s="62"/>
      <c r="JH22" s="62"/>
      <c r="JI22" s="62"/>
      <c r="JJ22" s="62"/>
      <c r="JK22" s="62"/>
      <c r="JL22" s="62"/>
      <c r="JM22" s="62"/>
      <c r="JN22" s="62"/>
      <c r="JO22" s="62"/>
      <c r="JP22" s="62"/>
      <c r="JQ22" s="62"/>
      <c r="JR22" s="62"/>
      <c r="JS22" s="62"/>
      <c r="JT22" s="62"/>
      <c r="JU22" s="62"/>
      <c r="JV22" s="62"/>
      <c r="JW22" s="62"/>
      <c r="JX22" s="62"/>
      <c r="JY22" s="62"/>
      <c r="JZ22" s="62"/>
      <c r="KA22" s="62"/>
      <c r="KB22" s="62"/>
      <c r="KC22" s="62"/>
      <c r="KD22" s="62"/>
      <c r="KE22" s="62"/>
      <c r="KF22" s="62"/>
      <c r="KG22" s="62"/>
      <c r="KH22" s="62"/>
      <c r="KI22" s="62"/>
      <c r="KJ22" s="62"/>
      <c r="KK22" s="62"/>
      <c r="KL22" s="62"/>
      <c r="KM22" s="62"/>
      <c r="KN22" s="62"/>
      <c r="KO22" s="62"/>
      <c r="KP22" s="62"/>
      <c r="KQ22" s="62"/>
      <c r="KR22" s="62"/>
      <c r="KS22" s="62"/>
      <c r="KT22" s="62"/>
      <c r="KU22" s="62"/>
      <c r="KV22" s="62"/>
      <c r="KW22" s="62"/>
      <c r="KX22" s="62"/>
      <c r="KY22" s="62"/>
      <c r="KZ22" s="62"/>
      <c r="LA22" s="62"/>
      <c r="LB22" s="62"/>
      <c r="LC22" s="62"/>
      <c r="LD22" s="62"/>
      <c r="LE22" s="62"/>
      <c r="LF22" s="62"/>
      <c r="LG22" s="62"/>
      <c r="LH22" s="62"/>
      <c r="LI22" s="62"/>
      <c r="LJ22" s="62"/>
      <c r="LK22" s="62"/>
      <c r="LL22" s="62"/>
      <c r="LM22" s="62"/>
      <c r="LN22" s="62"/>
      <c r="LO22" s="62"/>
      <c r="LP22" s="62"/>
      <c r="LQ22" s="62"/>
      <c r="LR22" s="62"/>
      <c r="LS22" s="62"/>
      <c r="LT22" s="62"/>
      <c r="LU22" s="62"/>
      <c r="LV22" s="62"/>
      <c r="LW22" s="62"/>
      <c r="LX22" s="62"/>
      <c r="LY22" s="62"/>
      <c r="LZ22" s="62"/>
      <c r="MA22" s="62"/>
    </row>
    <row r="23" spans="1:339" s="196" customFormat="1" ht="19.45" customHeight="1" x14ac:dyDescent="0.25">
      <c r="A23" s="119">
        <v>45960</v>
      </c>
      <c r="B23" s="119">
        <v>45960</v>
      </c>
      <c r="C23" s="120" t="s">
        <v>155</v>
      </c>
      <c r="D23" s="120">
        <v>4</v>
      </c>
      <c r="E23" s="110">
        <f t="shared" ref="E23" si="31">D23*200</f>
        <v>800</v>
      </c>
      <c r="F23" s="111" t="s">
        <v>2</v>
      </c>
      <c r="G23" s="110">
        <f t="shared" ref="G23" si="32">D23*209</f>
        <v>836</v>
      </c>
      <c r="H23" s="138" t="s">
        <v>170</v>
      </c>
      <c r="I23" s="121">
        <f>I22-E23</f>
        <v>8000</v>
      </c>
      <c r="J23" s="120">
        <v>251029008</v>
      </c>
      <c r="K23" s="120"/>
      <c r="L23" s="120">
        <f>L22-D23</f>
        <v>13</v>
      </c>
      <c r="M23" s="121" t="s">
        <v>151</v>
      </c>
      <c r="O23" s="197"/>
      <c r="P23" s="198"/>
      <c r="Q23" s="199"/>
      <c r="R23" s="199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62"/>
      <c r="GL23" s="62"/>
      <c r="GM23" s="62"/>
      <c r="GN23" s="62"/>
      <c r="GO23" s="62"/>
      <c r="GP23" s="62"/>
      <c r="GQ23" s="62"/>
      <c r="GR23" s="62"/>
      <c r="GS23" s="62"/>
      <c r="GT23" s="62"/>
      <c r="GU23" s="62"/>
      <c r="GV23" s="62"/>
      <c r="GW23" s="62"/>
      <c r="GX23" s="62"/>
      <c r="GY23" s="62"/>
      <c r="GZ23" s="62"/>
      <c r="HA23" s="62"/>
      <c r="HB23" s="62"/>
      <c r="HC23" s="62"/>
      <c r="HD23" s="62"/>
      <c r="HE23" s="62"/>
      <c r="HF23" s="62"/>
      <c r="HG23" s="62"/>
      <c r="HH23" s="62"/>
      <c r="HI23" s="62"/>
      <c r="HJ23" s="62"/>
      <c r="HK23" s="62"/>
      <c r="HL23" s="62"/>
      <c r="HM23" s="62"/>
      <c r="HN23" s="62"/>
      <c r="HO23" s="62"/>
      <c r="HP23" s="62"/>
      <c r="HQ23" s="62"/>
      <c r="HR23" s="62"/>
      <c r="HS23" s="62"/>
      <c r="HT23" s="62"/>
      <c r="HU23" s="62"/>
      <c r="HV23" s="62"/>
      <c r="HW23" s="62"/>
      <c r="HX23" s="62"/>
      <c r="HY23" s="62"/>
      <c r="HZ23" s="62"/>
      <c r="IA23" s="62"/>
      <c r="IB23" s="62"/>
      <c r="IC23" s="62"/>
      <c r="ID23" s="62"/>
      <c r="IE23" s="62"/>
      <c r="IF23" s="62"/>
      <c r="IG23" s="62"/>
      <c r="IH23" s="62"/>
      <c r="II23" s="62"/>
      <c r="IJ23" s="62"/>
      <c r="IK23" s="62"/>
      <c r="IL23" s="62"/>
      <c r="IM23" s="62"/>
      <c r="IN23" s="62"/>
      <c r="IO23" s="62"/>
      <c r="IP23" s="62"/>
      <c r="IQ23" s="62"/>
      <c r="IR23" s="62"/>
      <c r="IS23" s="62"/>
      <c r="IT23" s="62"/>
      <c r="IU23" s="62"/>
      <c r="IV23" s="62"/>
      <c r="IW23" s="62"/>
      <c r="IX23" s="62"/>
      <c r="IY23" s="62"/>
      <c r="IZ23" s="62"/>
      <c r="JA23" s="62"/>
      <c r="JB23" s="62"/>
      <c r="JC23" s="62"/>
      <c r="JD23" s="62"/>
      <c r="JE23" s="62"/>
      <c r="JF23" s="62"/>
      <c r="JG23" s="62"/>
      <c r="JH23" s="62"/>
      <c r="JI23" s="62"/>
      <c r="JJ23" s="62"/>
      <c r="JK23" s="62"/>
      <c r="JL23" s="62"/>
      <c r="JM23" s="62"/>
      <c r="JN23" s="62"/>
      <c r="JO23" s="62"/>
      <c r="JP23" s="62"/>
      <c r="JQ23" s="62"/>
      <c r="JR23" s="62"/>
      <c r="JS23" s="62"/>
      <c r="JT23" s="62"/>
      <c r="JU23" s="62"/>
      <c r="JV23" s="62"/>
      <c r="JW23" s="62"/>
      <c r="JX23" s="62"/>
      <c r="JY23" s="62"/>
      <c r="JZ23" s="62"/>
      <c r="KA23" s="62"/>
      <c r="KB23" s="62"/>
      <c r="KC23" s="62"/>
      <c r="KD23" s="62"/>
      <c r="KE23" s="62"/>
      <c r="KF23" s="62"/>
      <c r="KG23" s="62"/>
      <c r="KH23" s="62"/>
      <c r="KI23" s="62"/>
      <c r="KJ23" s="62"/>
      <c r="KK23" s="62"/>
      <c r="KL23" s="62"/>
      <c r="KM23" s="62"/>
      <c r="KN23" s="62"/>
      <c r="KO23" s="62"/>
      <c r="KP23" s="62"/>
      <c r="KQ23" s="62"/>
      <c r="KR23" s="62"/>
      <c r="KS23" s="62"/>
      <c r="KT23" s="62"/>
      <c r="KU23" s="62"/>
      <c r="KV23" s="62"/>
      <c r="KW23" s="62"/>
      <c r="KX23" s="62"/>
      <c r="KY23" s="62"/>
      <c r="KZ23" s="62"/>
      <c r="LA23" s="62"/>
      <c r="LB23" s="62"/>
      <c r="LC23" s="62"/>
      <c r="LD23" s="62"/>
      <c r="LE23" s="62"/>
      <c r="LF23" s="62"/>
      <c r="LG23" s="62"/>
      <c r="LH23" s="62"/>
      <c r="LI23" s="62"/>
      <c r="LJ23" s="62"/>
      <c r="LK23" s="62"/>
      <c r="LL23" s="62"/>
      <c r="LM23" s="62"/>
      <c r="LN23" s="62"/>
      <c r="LO23" s="62"/>
      <c r="LP23" s="62"/>
      <c r="LQ23" s="62"/>
      <c r="LR23" s="62"/>
      <c r="LS23" s="62"/>
      <c r="LT23" s="62"/>
      <c r="LU23" s="62"/>
      <c r="LV23" s="62"/>
      <c r="LW23" s="62"/>
      <c r="LX23" s="62"/>
      <c r="LY23" s="62"/>
      <c r="LZ23" s="62"/>
      <c r="MA23" s="62"/>
    </row>
    <row r="24" spans="1:339" s="196" customFormat="1" ht="19.45" customHeight="1" x14ac:dyDescent="0.25">
      <c r="A24" s="122">
        <v>45964</v>
      </c>
      <c r="B24" s="122">
        <v>45964</v>
      </c>
      <c r="C24" s="123" t="s">
        <v>155</v>
      </c>
      <c r="D24" s="123">
        <v>2</v>
      </c>
      <c r="E24" s="53">
        <f t="shared" ref="E24" si="33">D24*200</f>
        <v>400</v>
      </c>
      <c r="F24" s="54" t="s">
        <v>2</v>
      </c>
      <c r="G24" s="53">
        <f t="shared" ref="G24" si="34">D24*209</f>
        <v>418</v>
      </c>
      <c r="H24" s="200" t="s">
        <v>167</v>
      </c>
      <c r="I24" s="124">
        <f>I23-E24</f>
        <v>7600</v>
      </c>
      <c r="J24" s="123">
        <v>251031009</v>
      </c>
      <c r="K24" s="123"/>
      <c r="L24" s="123">
        <f>L23-D24</f>
        <v>11</v>
      </c>
      <c r="M24" s="124" t="s">
        <v>151</v>
      </c>
      <c r="O24" s="197"/>
      <c r="P24" s="198"/>
      <c r="Q24" s="199"/>
      <c r="R24" s="199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  <c r="FK24" s="62"/>
      <c r="FL24" s="62"/>
      <c r="FM24" s="62"/>
      <c r="FN24" s="62"/>
      <c r="FO24" s="62"/>
      <c r="FP24" s="62"/>
      <c r="FQ24" s="62"/>
      <c r="FR24" s="62"/>
      <c r="FS24" s="62"/>
      <c r="FT24" s="62"/>
      <c r="FU24" s="62"/>
      <c r="FV24" s="62"/>
      <c r="FW24" s="62"/>
      <c r="FX24" s="62"/>
      <c r="FY24" s="62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62"/>
      <c r="GL24" s="62"/>
      <c r="GM24" s="62"/>
      <c r="GN24" s="62"/>
      <c r="GO24" s="62"/>
      <c r="GP24" s="62"/>
      <c r="GQ24" s="62"/>
      <c r="GR24" s="62"/>
      <c r="GS24" s="62"/>
      <c r="GT24" s="62"/>
      <c r="GU24" s="62"/>
      <c r="GV24" s="62"/>
      <c r="GW24" s="62"/>
      <c r="GX24" s="62"/>
      <c r="GY24" s="62"/>
      <c r="GZ24" s="62"/>
      <c r="HA24" s="62"/>
      <c r="HB24" s="62"/>
      <c r="HC24" s="62"/>
      <c r="HD24" s="62"/>
      <c r="HE24" s="62"/>
      <c r="HF24" s="62"/>
      <c r="HG24" s="62"/>
      <c r="HH24" s="62"/>
      <c r="HI24" s="62"/>
      <c r="HJ24" s="62"/>
      <c r="HK24" s="62"/>
      <c r="HL24" s="62"/>
      <c r="HM24" s="62"/>
      <c r="HN24" s="62"/>
      <c r="HO24" s="62"/>
      <c r="HP24" s="62"/>
      <c r="HQ24" s="62"/>
      <c r="HR24" s="62"/>
      <c r="HS24" s="62"/>
      <c r="HT24" s="62"/>
      <c r="HU24" s="62"/>
      <c r="HV24" s="62"/>
      <c r="HW24" s="62"/>
      <c r="HX24" s="62"/>
      <c r="HY24" s="62"/>
      <c r="HZ24" s="62"/>
      <c r="IA24" s="62"/>
      <c r="IB24" s="62"/>
      <c r="IC24" s="62"/>
      <c r="ID24" s="62"/>
      <c r="IE24" s="62"/>
      <c r="IF24" s="62"/>
      <c r="IG24" s="62"/>
      <c r="IH24" s="62"/>
      <c r="II24" s="62"/>
      <c r="IJ24" s="62"/>
      <c r="IK24" s="62"/>
      <c r="IL24" s="62"/>
      <c r="IM24" s="62"/>
      <c r="IN24" s="62"/>
      <c r="IO24" s="62"/>
      <c r="IP24" s="62"/>
      <c r="IQ24" s="62"/>
      <c r="IR24" s="62"/>
      <c r="IS24" s="62"/>
      <c r="IT24" s="62"/>
      <c r="IU24" s="62"/>
      <c r="IV24" s="62"/>
      <c r="IW24" s="62"/>
      <c r="IX24" s="62"/>
      <c r="IY24" s="62"/>
      <c r="IZ24" s="62"/>
      <c r="JA24" s="62"/>
      <c r="JB24" s="62"/>
      <c r="JC24" s="62"/>
      <c r="JD24" s="62"/>
      <c r="JE24" s="62"/>
      <c r="JF24" s="62"/>
      <c r="JG24" s="62"/>
      <c r="JH24" s="62"/>
      <c r="JI24" s="62"/>
      <c r="JJ24" s="62"/>
      <c r="JK24" s="62"/>
      <c r="JL24" s="62"/>
      <c r="JM24" s="62"/>
      <c r="JN24" s="62"/>
      <c r="JO24" s="62"/>
      <c r="JP24" s="62"/>
      <c r="JQ24" s="62"/>
      <c r="JR24" s="62"/>
      <c r="JS24" s="62"/>
      <c r="JT24" s="62"/>
      <c r="JU24" s="62"/>
      <c r="JV24" s="62"/>
      <c r="JW24" s="62"/>
      <c r="JX24" s="62"/>
      <c r="JY24" s="62"/>
      <c r="JZ24" s="62"/>
      <c r="KA24" s="62"/>
      <c r="KB24" s="62"/>
      <c r="KC24" s="62"/>
      <c r="KD24" s="62"/>
      <c r="KE24" s="62"/>
      <c r="KF24" s="62"/>
      <c r="KG24" s="62"/>
      <c r="KH24" s="62"/>
      <c r="KI24" s="62"/>
      <c r="KJ24" s="62"/>
      <c r="KK24" s="62"/>
      <c r="KL24" s="62"/>
      <c r="KM24" s="62"/>
      <c r="KN24" s="62"/>
      <c r="KO24" s="62"/>
      <c r="KP24" s="62"/>
      <c r="KQ24" s="62"/>
      <c r="KR24" s="62"/>
      <c r="KS24" s="62"/>
      <c r="KT24" s="62"/>
      <c r="KU24" s="62"/>
      <c r="KV24" s="62"/>
      <c r="KW24" s="62"/>
      <c r="KX24" s="62"/>
      <c r="KY24" s="62"/>
      <c r="KZ24" s="62"/>
      <c r="LA24" s="62"/>
      <c r="LB24" s="62"/>
      <c r="LC24" s="62"/>
      <c r="LD24" s="62"/>
      <c r="LE24" s="62"/>
      <c r="LF24" s="62"/>
      <c r="LG24" s="62"/>
      <c r="LH24" s="62"/>
      <c r="LI24" s="62"/>
      <c r="LJ24" s="62"/>
      <c r="LK24" s="62"/>
      <c r="LL24" s="62"/>
      <c r="LM24" s="62"/>
      <c r="LN24" s="62"/>
      <c r="LO24" s="62"/>
      <c r="LP24" s="62"/>
      <c r="LQ24" s="62"/>
      <c r="LR24" s="62"/>
      <c r="LS24" s="62"/>
      <c r="LT24" s="62"/>
      <c r="LU24" s="62"/>
      <c r="LV24" s="62"/>
      <c r="LW24" s="62"/>
      <c r="LX24" s="62"/>
      <c r="LY24" s="62"/>
      <c r="LZ24" s="62"/>
      <c r="MA24" s="62"/>
    </row>
    <row r="25" spans="1:339" s="196" customFormat="1" ht="19.45" customHeight="1" x14ac:dyDescent="0.25">
      <c r="A25" s="158">
        <v>46010</v>
      </c>
      <c r="B25" s="158">
        <v>46010</v>
      </c>
      <c r="C25" s="159" t="s">
        <v>155</v>
      </c>
      <c r="D25" s="159">
        <v>4</v>
      </c>
      <c r="E25" s="27">
        <f t="shared" ref="E25" si="35">D25*200</f>
        <v>800</v>
      </c>
      <c r="F25" s="28" t="s">
        <v>2</v>
      </c>
      <c r="G25" s="27">
        <f t="shared" ref="G25" si="36">D25*209</f>
        <v>836</v>
      </c>
      <c r="H25" s="185" t="s">
        <v>300</v>
      </c>
      <c r="I25" s="160">
        <f>I24-E25</f>
        <v>6800</v>
      </c>
      <c r="J25" s="159">
        <v>251218006</v>
      </c>
      <c r="K25" s="159"/>
      <c r="L25" s="159">
        <f>L24-D25</f>
        <v>7</v>
      </c>
      <c r="M25" s="160" t="s">
        <v>151</v>
      </c>
      <c r="O25" s="197"/>
      <c r="P25" s="198"/>
      <c r="Q25" s="199"/>
      <c r="R25" s="199"/>
      <c r="S25" s="62" t="s">
        <v>178</v>
      </c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2"/>
      <c r="HR25" s="62"/>
      <c r="HS25" s="62"/>
      <c r="HT25" s="62"/>
      <c r="HU25" s="62"/>
      <c r="HV25" s="62"/>
      <c r="HW25" s="62"/>
      <c r="HX25" s="62"/>
      <c r="HY25" s="62"/>
      <c r="HZ25" s="62"/>
      <c r="IA25" s="62"/>
      <c r="IB25" s="62"/>
      <c r="IC25" s="62"/>
      <c r="ID25" s="62"/>
      <c r="IE25" s="62"/>
      <c r="IF25" s="62"/>
      <c r="IG25" s="62"/>
      <c r="IH25" s="62"/>
      <c r="II25" s="62"/>
      <c r="IJ25" s="62"/>
      <c r="IK25" s="62"/>
      <c r="IL25" s="62"/>
      <c r="IM25" s="62"/>
      <c r="IN25" s="62"/>
      <c r="IO25" s="62"/>
      <c r="IP25" s="62"/>
      <c r="IQ25" s="62"/>
      <c r="IR25" s="62"/>
      <c r="IS25" s="62"/>
      <c r="IT25" s="62"/>
      <c r="IU25" s="62"/>
      <c r="IV25" s="62"/>
      <c r="IW25" s="62"/>
      <c r="IX25" s="62"/>
      <c r="IY25" s="62"/>
      <c r="IZ25" s="62"/>
      <c r="JA25" s="62"/>
      <c r="JB25" s="62"/>
      <c r="JC25" s="62"/>
      <c r="JD25" s="62"/>
      <c r="JE25" s="62"/>
      <c r="JF25" s="62"/>
      <c r="JG25" s="62"/>
      <c r="JH25" s="62"/>
      <c r="JI25" s="62"/>
      <c r="JJ25" s="62"/>
      <c r="JK25" s="62"/>
      <c r="JL25" s="62"/>
      <c r="JM25" s="62"/>
      <c r="JN25" s="62"/>
      <c r="JO25" s="62"/>
      <c r="JP25" s="62"/>
      <c r="JQ25" s="62"/>
      <c r="JR25" s="62"/>
      <c r="JS25" s="62"/>
      <c r="JT25" s="62"/>
      <c r="JU25" s="62"/>
      <c r="JV25" s="62"/>
      <c r="JW25" s="62"/>
      <c r="JX25" s="62"/>
      <c r="JY25" s="62"/>
      <c r="JZ25" s="62"/>
      <c r="KA25" s="62"/>
      <c r="KB25" s="62"/>
      <c r="KC25" s="62"/>
      <c r="KD25" s="62"/>
      <c r="KE25" s="62"/>
      <c r="KF25" s="62"/>
      <c r="KG25" s="62"/>
      <c r="KH25" s="62"/>
      <c r="KI25" s="62"/>
      <c r="KJ25" s="62"/>
      <c r="KK25" s="62"/>
      <c r="KL25" s="62"/>
      <c r="KM25" s="62"/>
      <c r="KN25" s="62"/>
      <c r="KO25" s="62"/>
      <c r="KP25" s="62"/>
      <c r="KQ25" s="62"/>
      <c r="KR25" s="62"/>
      <c r="KS25" s="62"/>
      <c r="KT25" s="62"/>
      <c r="KU25" s="62"/>
      <c r="KV25" s="62"/>
      <c r="KW25" s="62"/>
      <c r="KX25" s="62"/>
      <c r="KY25" s="62"/>
      <c r="KZ25" s="62"/>
      <c r="LA25" s="62"/>
      <c r="LB25" s="62"/>
      <c r="LC25" s="62"/>
      <c r="LD25" s="62"/>
      <c r="LE25" s="62"/>
      <c r="LF25" s="62"/>
      <c r="LG25" s="62"/>
      <c r="LH25" s="62"/>
      <c r="LI25" s="62"/>
      <c r="LJ25" s="62"/>
      <c r="LK25" s="62"/>
      <c r="LL25" s="62"/>
      <c r="LM25" s="62"/>
      <c r="LN25" s="62"/>
      <c r="LO25" s="62"/>
      <c r="LP25" s="62"/>
      <c r="LQ25" s="62"/>
      <c r="LR25" s="62"/>
      <c r="LS25" s="62"/>
      <c r="LT25" s="62"/>
      <c r="LU25" s="62"/>
      <c r="LV25" s="62"/>
      <c r="LW25" s="62"/>
      <c r="LX25" s="62"/>
      <c r="LY25" s="62"/>
      <c r="LZ25" s="62"/>
      <c r="MA25" s="62"/>
    </row>
    <row r="26" spans="1:339" s="196" customFormat="1" ht="19.45" customHeight="1" x14ac:dyDescent="0.25">
      <c r="A26" s="201">
        <v>46013</v>
      </c>
      <c r="B26" s="201">
        <v>46013</v>
      </c>
      <c r="C26" s="202" t="s">
        <v>155</v>
      </c>
      <c r="D26" s="202">
        <v>4</v>
      </c>
      <c r="E26" s="22"/>
      <c r="F26" s="49"/>
      <c r="G26" s="22"/>
      <c r="H26" s="203"/>
      <c r="I26" s="204"/>
      <c r="J26" s="202"/>
      <c r="K26" s="202"/>
      <c r="L26" s="202">
        <f>L25+D26</f>
        <v>11</v>
      </c>
      <c r="M26" s="205" t="s">
        <v>179</v>
      </c>
      <c r="O26" s="197"/>
      <c r="P26" s="198"/>
      <c r="Q26" s="199"/>
      <c r="R26" s="199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  <c r="FK26" s="62"/>
      <c r="FL26" s="62"/>
      <c r="FM26" s="62"/>
      <c r="FN26" s="62"/>
      <c r="FO26" s="62"/>
      <c r="FP26" s="62"/>
      <c r="FQ26" s="62"/>
      <c r="FR26" s="62"/>
      <c r="FS26" s="62"/>
      <c r="FT26" s="62"/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G26" s="62"/>
      <c r="GH26" s="62"/>
      <c r="GI26" s="62"/>
      <c r="GJ26" s="62"/>
      <c r="GK26" s="62"/>
      <c r="GL26" s="62"/>
      <c r="GM26" s="62"/>
      <c r="GN26" s="62"/>
      <c r="GO26" s="62"/>
      <c r="GP26" s="62"/>
      <c r="GQ26" s="62"/>
      <c r="GR26" s="62"/>
      <c r="GS26" s="62"/>
      <c r="GT26" s="62"/>
      <c r="GU26" s="62"/>
      <c r="GV26" s="62"/>
      <c r="GW26" s="62"/>
      <c r="GX26" s="62"/>
      <c r="GY26" s="62"/>
      <c r="GZ26" s="62"/>
      <c r="HA26" s="62"/>
      <c r="HB26" s="62"/>
      <c r="HC26" s="62"/>
      <c r="HD26" s="62"/>
      <c r="HE26" s="62"/>
      <c r="HF26" s="62"/>
      <c r="HG26" s="62"/>
      <c r="HH26" s="62"/>
      <c r="HI26" s="62"/>
      <c r="HJ26" s="62"/>
      <c r="HK26" s="62"/>
      <c r="HL26" s="62"/>
      <c r="HM26" s="62"/>
      <c r="HN26" s="62"/>
      <c r="HO26" s="62"/>
      <c r="HP26" s="62"/>
      <c r="HQ26" s="62"/>
      <c r="HR26" s="62"/>
      <c r="HS26" s="62"/>
      <c r="HT26" s="62"/>
      <c r="HU26" s="62"/>
      <c r="HV26" s="62"/>
      <c r="HW26" s="62"/>
      <c r="HX26" s="62"/>
      <c r="HY26" s="62"/>
      <c r="HZ26" s="62"/>
      <c r="IA26" s="62"/>
      <c r="IB26" s="62"/>
      <c r="IC26" s="62"/>
      <c r="ID26" s="62"/>
      <c r="IE26" s="62"/>
      <c r="IF26" s="62"/>
      <c r="IG26" s="62"/>
      <c r="IH26" s="62"/>
      <c r="II26" s="62"/>
      <c r="IJ26" s="62"/>
      <c r="IK26" s="62"/>
      <c r="IL26" s="62"/>
      <c r="IM26" s="62"/>
      <c r="IN26" s="62"/>
      <c r="IO26" s="62"/>
      <c r="IP26" s="62"/>
      <c r="IQ26" s="62"/>
      <c r="IR26" s="62"/>
      <c r="IS26" s="62"/>
      <c r="IT26" s="62"/>
      <c r="IU26" s="62"/>
      <c r="IV26" s="62"/>
      <c r="IW26" s="62"/>
      <c r="IX26" s="62"/>
      <c r="IY26" s="62"/>
      <c r="IZ26" s="62"/>
      <c r="JA26" s="62"/>
      <c r="JB26" s="62"/>
      <c r="JC26" s="62"/>
      <c r="JD26" s="62"/>
      <c r="JE26" s="62"/>
      <c r="JF26" s="62"/>
      <c r="JG26" s="62"/>
      <c r="JH26" s="62"/>
      <c r="JI26" s="62"/>
      <c r="JJ26" s="62"/>
      <c r="JK26" s="62"/>
      <c r="JL26" s="62"/>
      <c r="JM26" s="62"/>
      <c r="JN26" s="62"/>
      <c r="JO26" s="62"/>
      <c r="JP26" s="62"/>
      <c r="JQ26" s="62"/>
      <c r="JR26" s="62"/>
      <c r="JS26" s="62"/>
      <c r="JT26" s="62"/>
      <c r="JU26" s="62"/>
      <c r="JV26" s="62"/>
      <c r="JW26" s="62"/>
      <c r="JX26" s="62"/>
      <c r="JY26" s="62"/>
      <c r="JZ26" s="62"/>
      <c r="KA26" s="62"/>
      <c r="KB26" s="62"/>
      <c r="KC26" s="62"/>
      <c r="KD26" s="62"/>
      <c r="KE26" s="62"/>
      <c r="KF26" s="62"/>
      <c r="KG26" s="62"/>
      <c r="KH26" s="62"/>
      <c r="KI26" s="62"/>
      <c r="KJ26" s="62"/>
      <c r="KK26" s="62"/>
      <c r="KL26" s="62"/>
      <c r="KM26" s="62"/>
      <c r="KN26" s="62"/>
      <c r="KO26" s="62"/>
      <c r="KP26" s="62"/>
      <c r="KQ26" s="62"/>
      <c r="KR26" s="62"/>
      <c r="KS26" s="62"/>
      <c r="KT26" s="62"/>
      <c r="KU26" s="62"/>
      <c r="KV26" s="62"/>
      <c r="KW26" s="62"/>
      <c r="KX26" s="62"/>
      <c r="KY26" s="62"/>
      <c r="KZ26" s="62"/>
      <c r="LA26" s="62"/>
      <c r="LB26" s="62"/>
      <c r="LC26" s="62"/>
      <c r="LD26" s="62"/>
      <c r="LE26" s="62"/>
      <c r="LF26" s="62"/>
      <c r="LG26" s="62"/>
      <c r="LH26" s="62"/>
      <c r="LI26" s="62"/>
      <c r="LJ26" s="62"/>
      <c r="LK26" s="62"/>
      <c r="LL26" s="62"/>
      <c r="LM26" s="62"/>
      <c r="LN26" s="62"/>
      <c r="LO26" s="62"/>
      <c r="LP26" s="62"/>
      <c r="LQ26" s="62"/>
      <c r="LR26" s="62"/>
      <c r="LS26" s="62"/>
      <c r="LT26" s="62"/>
      <c r="LU26" s="62"/>
      <c r="LV26" s="62"/>
      <c r="LW26" s="62"/>
      <c r="LX26" s="62"/>
      <c r="LY26" s="62"/>
      <c r="LZ26" s="62"/>
      <c r="MA26" s="62"/>
    </row>
    <row r="27" spans="1:339" s="196" customFormat="1" ht="19.45" customHeight="1" x14ac:dyDescent="0.25">
      <c r="A27" s="201">
        <v>46024</v>
      </c>
      <c r="B27" s="201">
        <v>46024</v>
      </c>
      <c r="C27" s="202" t="s">
        <v>155</v>
      </c>
      <c r="D27" s="202">
        <v>11</v>
      </c>
      <c r="E27" s="22"/>
      <c r="F27" s="49"/>
      <c r="G27" s="22"/>
      <c r="H27" s="203"/>
      <c r="I27" s="204"/>
      <c r="J27" s="202"/>
      <c r="K27" s="202"/>
      <c r="L27" s="202">
        <f>L26-D27</f>
        <v>0</v>
      </c>
      <c r="M27" s="205" t="s">
        <v>258</v>
      </c>
      <c r="O27" s="197"/>
      <c r="P27" s="198"/>
      <c r="Q27" s="199"/>
      <c r="R27" s="199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62"/>
      <c r="GL27" s="62"/>
      <c r="GM27" s="62"/>
      <c r="GN27" s="62"/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GZ27" s="62"/>
      <c r="HA27" s="62"/>
      <c r="HB27" s="62"/>
      <c r="HC27" s="62"/>
      <c r="HD27" s="62"/>
      <c r="HE27" s="62"/>
      <c r="HF27" s="62"/>
      <c r="HG27" s="62"/>
      <c r="HH27" s="62"/>
      <c r="HI27" s="62"/>
      <c r="HJ27" s="62"/>
      <c r="HK27" s="62"/>
      <c r="HL27" s="62"/>
      <c r="HM27" s="62"/>
      <c r="HN27" s="62"/>
      <c r="HO27" s="62"/>
      <c r="HP27" s="62"/>
      <c r="HQ27" s="62"/>
      <c r="HR27" s="62"/>
      <c r="HS27" s="62"/>
      <c r="HT27" s="62"/>
      <c r="HU27" s="62"/>
      <c r="HV27" s="62"/>
      <c r="HW27" s="62"/>
      <c r="HX27" s="62"/>
      <c r="HY27" s="62"/>
      <c r="HZ27" s="62"/>
      <c r="IA27" s="62"/>
      <c r="IB27" s="62"/>
      <c r="IC27" s="62"/>
      <c r="ID27" s="62"/>
      <c r="IE27" s="62"/>
      <c r="IF27" s="62"/>
      <c r="IG27" s="62"/>
      <c r="IH27" s="62"/>
      <c r="II27" s="62"/>
      <c r="IJ27" s="62"/>
      <c r="IK27" s="62"/>
      <c r="IL27" s="62"/>
      <c r="IM27" s="62"/>
      <c r="IN27" s="62"/>
      <c r="IO27" s="62"/>
      <c r="IP27" s="62"/>
      <c r="IQ27" s="62"/>
      <c r="IR27" s="62"/>
      <c r="IS27" s="62"/>
      <c r="IT27" s="62"/>
      <c r="IU27" s="62"/>
      <c r="IV27" s="62"/>
      <c r="IW27" s="62"/>
      <c r="IX27" s="62"/>
      <c r="IY27" s="62"/>
      <c r="IZ27" s="62"/>
      <c r="JA27" s="62"/>
      <c r="JB27" s="62"/>
      <c r="JC27" s="62"/>
      <c r="JD27" s="62"/>
      <c r="JE27" s="62"/>
      <c r="JF27" s="62"/>
      <c r="JG27" s="62"/>
      <c r="JH27" s="62"/>
      <c r="JI27" s="62"/>
      <c r="JJ27" s="62"/>
      <c r="JK27" s="62"/>
      <c r="JL27" s="62"/>
      <c r="JM27" s="62"/>
      <c r="JN27" s="62"/>
      <c r="JO27" s="62"/>
      <c r="JP27" s="62"/>
      <c r="JQ27" s="62"/>
      <c r="JR27" s="62"/>
      <c r="JS27" s="62"/>
      <c r="JT27" s="62"/>
      <c r="JU27" s="62"/>
      <c r="JV27" s="62"/>
      <c r="JW27" s="62"/>
      <c r="JX27" s="62"/>
      <c r="JY27" s="62"/>
      <c r="JZ27" s="62"/>
      <c r="KA27" s="62"/>
      <c r="KB27" s="62"/>
      <c r="KC27" s="62"/>
      <c r="KD27" s="62"/>
      <c r="KE27" s="62"/>
      <c r="KF27" s="62"/>
      <c r="KG27" s="62"/>
      <c r="KH27" s="62"/>
      <c r="KI27" s="62"/>
      <c r="KJ27" s="62"/>
      <c r="KK27" s="62"/>
      <c r="KL27" s="62"/>
      <c r="KM27" s="62"/>
      <c r="KN27" s="62"/>
      <c r="KO27" s="62"/>
      <c r="KP27" s="62"/>
      <c r="KQ27" s="62"/>
      <c r="KR27" s="62"/>
      <c r="KS27" s="62"/>
      <c r="KT27" s="62"/>
      <c r="KU27" s="62"/>
      <c r="KV27" s="62"/>
      <c r="KW27" s="62"/>
      <c r="KX27" s="62"/>
      <c r="KY27" s="62"/>
      <c r="KZ27" s="62"/>
      <c r="LA27" s="62"/>
      <c r="LB27" s="62"/>
      <c r="LC27" s="62"/>
      <c r="LD27" s="62"/>
      <c r="LE27" s="62"/>
      <c r="LF27" s="62"/>
      <c r="LG27" s="62"/>
      <c r="LH27" s="62"/>
      <c r="LI27" s="62"/>
      <c r="LJ27" s="62"/>
      <c r="LK27" s="62"/>
      <c r="LL27" s="62"/>
      <c r="LM27" s="62"/>
      <c r="LN27" s="62"/>
      <c r="LO27" s="62"/>
      <c r="LP27" s="62"/>
      <c r="LQ27" s="62"/>
      <c r="LR27" s="62"/>
      <c r="LS27" s="62"/>
      <c r="LT27" s="62"/>
      <c r="LU27" s="62"/>
      <c r="LV27" s="62"/>
      <c r="LW27" s="62"/>
      <c r="LX27" s="62"/>
      <c r="LY27" s="62"/>
      <c r="LZ27" s="62"/>
      <c r="MA27" s="62"/>
    </row>
    <row r="28" spans="1:339" s="67" customFormat="1" ht="43.65" x14ac:dyDescent="0.25">
      <c r="A28" s="70"/>
      <c r="B28" s="70"/>
      <c r="C28" s="71"/>
      <c r="D28" s="71"/>
      <c r="E28" s="22">
        <f t="shared" si="0"/>
        <v>0</v>
      </c>
      <c r="F28" s="71"/>
      <c r="G28" s="22">
        <f t="shared" si="1"/>
        <v>0</v>
      </c>
      <c r="H28" s="71"/>
      <c r="I28" s="72"/>
      <c r="J28" s="71"/>
      <c r="K28" s="71"/>
      <c r="L28" s="71"/>
      <c r="M28" s="129" t="s">
        <v>177</v>
      </c>
      <c r="O28" s="68"/>
      <c r="P28" s="69"/>
      <c r="Q28" s="63"/>
      <c r="R28" s="63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62"/>
      <c r="GL28" s="62"/>
      <c r="GM28" s="62"/>
      <c r="GN28" s="62"/>
      <c r="GO28" s="62"/>
      <c r="GP28" s="62"/>
      <c r="GQ28" s="62"/>
      <c r="GR28" s="62"/>
      <c r="GS28" s="62"/>
      <c r="GT28" s="62"/>
      <c r="GU28" s="62"/>
      <c r="GV28" s="62"/>
      <c r="GW28" s="62"/>
      <c r="GX28" s="62"/>
      <c r="GY28" s="62"/>
      <c r="GZ28" s="62"/>
      <c r="HA28" s="62"/>
      <c r="HB28" s="62"/>
      <c r="HC28" s="62"/>
      <c r="HD28" s="62"/>
      <c r="HE28" s="62"/>
      <c r="HF28" s="62"/>
      <c r="HG28" s="62"/>
      <c r="HH28" s="62"/>
      <c r="HI28" s="62"/>
      <c r="HJ28" s="62"/>
      <c r="HK28" s="62"/>
      <c r="HL28" s="62"/>
      <c r="HM28" s="62"/>
      <c r="HN28" s="62"/>
      <c r="HO28" s="62"/>
      <c r="HP28" s="62"/>
      <c r="HQ28" s="62"/>
      <c r="HR28" s="62"/>
      <c r="HS28" s="62"/>
      <c r="HT28" s="62"/>
      <c r="HU28" s="62"/>
      <c r="HV28" s="62"/>
      <c r="HW28" s="62"/>
      <c r="HX28" s="62"/>
      <c r="HY28" s="62"/>
      <c r="HZ28" s="62"/>
      <c r="IA28" s="62"/>
      <c r="IB28" s="62"/>
      <c r="IC28" s="62"/>
      <c r="ID28" s="62"/>
      <c r="IE28" s="62"/>
      <c r="IF28" s="62"/>
      <c r="IG28" s="62"/>
      <c r="IH28" s="62"/>
      <c r="II28" s="62"/>
      <c r="IJ28" s="62"/>
      <c r="IK28" s="62"/>
      <c r="IL28" s="62"/>
      <c r="IM28" s="62"/>
      <c r="IN28" s="62"/>
      <c r="IO28" s="62"/>
      <c r="IP28" s="62"/>
      <c r="IQ28" s="62"/>
      <c r="IR28" s="62"/>
      <c r="IS28" s="62"/>
      <c r="IT28" s="62"/>
      <c r="IU28" s="62"/>
      <c r="IV28" s="62"/>
      <c r="IW28" s="62"/>
      <c r="IX28" s="62"/>
      <c r="IY28" s="62"/>
      <c r="IZ28" s="62"/>
      <c r="JA28" s="62"/>
      <c r="JB28" s="62"/>
      <c r="JC28" s="62"/>
      <c r="JD28" s="62"/>
      <c r="JE28" s="62"/>
      <c r="JF28" s="62"/>
      <c r="JG28" s="62"/>
      <c r="JH28" s="62"/>
      <c r="JI28" s="62"/>
      <c r="JJ28" s="62"/>
      <c r="JK28" s="62"/>
      <c r="JL28" s="62"/>
      <c r="JM28" s="62"/>
      <c r="JN28" s="62"/>
      <c r="JO28" s="62"/>
      <c r="JP28" s="62"/>
      <c r="JQ28" s="62"/>
      <c r="JR28" s="62"/>
      <c r="JS28" s="62"/>
      <c r="JT28" s="62"/>
      <c r="JU28" s="62"/>
      <c r="JV28" s="62"/>
      <c r="JW28" s="62"/>
      <c r="JX28" s="62"/>
      <c r="JY28" s="62"/>
      <c r="JZ28" s="62"/>
      <c r="KA28" s="62"/>
      <c r="KB28" s="62"/>
      <c r="KC28" s="62"/>
      <c r="KD28" s="62"/>
      <c r="KE28" s="62"/>
      <c r="KF28" s="62"/>
      <c r="KG28" s="62"/>
      <c r="KH28" s="62"/>
      <c r="KI28" s="62"/>
      <c r="KJ28" s="62"/>
      <c r="KK28" s="62"/>
      <c r="KL28" s="62"/>
      <c r="KM28" s="62"/>
      <c r="KN28" s="62"/>
      <c r="KO28" s="62"/>
      <c r="KP28" s="62"/>
      <c r="KQ28" s="62"/>
      <c r="KR28" s="62"/>
      <c r="KS28" s="62"/>
      <c r="KT28" s="62"/>
      <c r="KU28" s="62"/>
      <c r="KV28" s="62"/>
      <c r="KW28" s="62"/>
      <c r="KX28" s="62"/>
      <c r="KY28" s="62"/>
      <c r="KZ28" s="62"/>
      <c r="LA28" s="62"/>
      <c r="LB28" s="62"/>
      <c r="LC28" s="62"/>
      <c r="LD28" s="62"/>
      <c r="LE28" s="62"/>
      <c r="LF28" s="62"/>
      <c r="LG28" s="62"/>
      <c r="LH28" s="62"/>
      <c r="LI28" s="62"/>
      <c r="LJ28" s="62"/>
      <c r="LK28" s="62"/>
      <c r="LL28" s="62"/>
      <c r="LM28" s="62"/>
      <c r="LN28" s="62"/>
      <c r="LO28" s="62"/>
      <c r="LP28" s="62"/>
      <c r="LQ28" s="62"/>
      <c r="LR28" s="62"/>
      <c r="LS28" s="62"/>
      <c r="LT28" s="62"/>
      <c r="LU28" s="62"/>
      <c r="LV28" s="62"/>
      <c r="LW28" s="62"/>
      <c r="LX28" s="62"/>
      <c r="LY28" s="62"/>
      <c r="LZ28" s="62"/>
      <c r="MA28" s="62"/>
    </row>
    <row r="29" spans="1:339" ht="20.2" customHeight="1" x14ac:dyDescent="0.2">
      <c r="F29" s="49"/>
    </row>
  </sheetData>
  <autoFilter ref="A2:R29"/>
  <mergeCells count="1">
    <mergeCell ref="O1:O2"/>
  </mergeCells>
  <phoneticPr fontId="2" type="noConversion"/>
  <pageMargins left="0.25" right="0.25" top="0.75" bottom="0.75" header="0.3" footer="0.3"/>
  <pageSetup paperSize="9" scale="8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2026 NSE-115</vt:lpstr>
      <vt:lpstr>2026 NSE-115A 200L(M76正式出貨)</vt:lpstr>
      <vt:lpstr>2026 NSE-115A-T00 200L</vt:lpstr>
      <vt:lpstr>'2026 NSE-115A 200L(M76正式出貨)'!Print_Area</vt:lpstr>
      <vt:lpstr>'2026 NSE-115A-T00 200L'!Print_Area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C732-PC</dc:creator>
  <cp:lastModifiedBy>user</cp:lastModifiedBy>
  <dcterms:created xsi:type="dcterms:W3CDTF">2022-02-17T00:36:37Z</dcterms:created>
  <dcterms:modified xsi:type="dcterms:W3CDTF">2026-10-05T10:49:07Z</dcterms:modified>
</cp:coreProperties>
</file>