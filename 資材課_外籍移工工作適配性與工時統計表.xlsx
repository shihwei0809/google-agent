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勞作業適配與權責劃分" sheetId="1" state="visible" r:id="rId1"/>
    <sheet xmlns:r="http://schemas.openxmlformats.org/officeDocument/2006/relationships" name="工時與人力派工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軟正黑體"/>
      <b val="1"/>
      <color rgb="001E293B"/>
      <sz val="16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4" fillId="7" borderId="1" pivotButton="0" quotePrefix="0" xfId="0"/>
    <xf numFmtId="0" fontId="0" fillId="7" borderId="1" pivotButton="0" quotePrefix="0" xfId="0"/>
    <xf numFmtId="164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3.8" customWidth="1" min="1" max="1"/>
    <col width="41.8" customWidth="1" min="2" max="2"/>
    <col width="14" customWidth="1" min="3" max="3"/>
    <col width="14" customWidth="1" min="4" max="4"/>
    <col width="48.40000000000001" customWidth="1" min="5" max="5"/>
    <col width="35.2" customWidth="1" min="6" max="6"/>
    <col width="50.6" customWidth="1" min="7" max="7"/>
  </cols>
  <sheetData>
    <row r="1" ht="40" customHeight="1">
      <c r="A1" s="1" t="inlineStr">
        <is>
          <t>資材課【槽車洩料與包材出貨】外籍移工工作適配性與權責矩陣表</t>
        </is>
      </c>
    </row>
    <row r="2"/>
    <row r="3" ht="28" customHeight="1">
      <c r="A3" s="2" t="inlineStr">
        <is>
          <t>作業大類</t>
        </is>
      </c>
      <c r="B3" s="2" t="inlineStr">
        <is>
          <t>子作業項目</t>
        </is>
      </c>
      <c r="C3" s="2" t="inlineStr">
        <is>
          <t>適合外勞獨立</t>
        </is>
      </c>
      <c r="D3" s="2" t="inlineStr">
        <is>
          <t>外勞適配度</t>
        </is>
      </c>
      <c r="E3" s="2" t="inlineStr">
        <is>
          <t>本籍資材角色</t>
        </is>
      </c>
      <c r="F3" s="2" t="inlineStr">
        <is>
          <t>外籍移工角色</t>
        </is>
      </c>
      <c r="G3" s="2" t="inlineStr">
        <is>
          <t>防呆配套措施與SOP要求</t>
        </is>
      </c>
    </row>
    <row r="4">
      <c r="A4" s="3" t="inlineStr">
        <is>
          <t>包材出貨</t>
        </is>
      </c>
      <c r="B4" s="4" t="inlineStr">
        <is>
          <t>空桶/鋼桶/IBC 搬運與木棧板堆疊</t>
        </is>
      </c>
      <c r="C4" s="3" t="inlineStr">
        <is>
          <t>可獨立</t>
        </is>
      </c>
      <c r="D4" s="5" t="inlineStr">
        <is>
          <t>95%</t>
        </is>
      </c>
      <c r="E4" s="4" t="inlineStr">
        <is>
          <t>抽檢外觀完整度</t>
        </is>
      </c>
      <c r="F4" s="4" t="inlineStr">
        <is>
          <t>主要執行體力搬運與排列</t>
        </is>
      </c>
      <c r="G4" s="4" t="inlineStr">
        <is>
          <t>堆疊限高標示、棧板角位對齊線</t>
        </is>
      </c>
    </row>
    <row r="5">
      <c r="A5" s="3" t="inlineStr">
        <is>
          <t>包材出貨</t>
        </is>
      </c>
      <c r="B5" s="4" t="inlineStr">
        <is>
          <t>打包帶捆紮、PE 伸縮膜纏繞固棧</t>
        </is>
      </c>
      <c r="C5" s="3" t="inlineStr">
        <is>
          <t>可獨立</t>
        </is>
      </c>
      <c r="D5" s="5" t="inlineStr">
        <is>
          <t>90%</t>
        </is>
      </c>
      <c r="E5" s="4" t="inlineStr">
        <is>
          <t>抽驗拉力與固定牢固度</t>
        </is>
      </c>
      <c r="F5" s="4" t="inlineStr">
        <is>
          <t>操作自動/手動打包機與裹膜</t>
        </is>
      </c>
      <c r="G5" s="4" t="inlineStr">
        <is>
          <t>訂定纏繞層數目視標準卡(至少4圈)</t>
        </is>
      </c>
    </row>
    <row r="6">
      <c r="A6" s="3" t="inlineStr">
        <is>
          <t>包材出貨</t>
        </is>
      </c>
      <c r="B6" s="4" t="inlineStr">
        <is>
          <t>出貨前外觀檢查 (刮痕/凹陷/破孔)</t>
        </is>
      </c>
      <c r="C6" s="3" t="inlineStr">
        <is>
          <t>需指導</t>
        </is>
      </c>
      <c r="D6" s="6" t="inlineStr">
        <is>
          <t>75%</t>
        </is>
      </c>
      <c r="E6" s="4" t="inlineStr">
        <is>
          <t>不良品複核判定與報廢處理</t>
        </is>
      </c>
      <c r="F6" s="4" t="inlineStr">
        <is>
          <t>初步篩選明顯破損與髒污</t>
        </is>
      </c>
      <c r="G6" s="4" t="inlineStr">
        <is>
          <t>製作良品/不良品中越/中英對照圖卡</t>
        </is>
      </c>
    </row>
    <row r="7">
      <c r="A7" s="3" t="inlineStr">
        <is>
          <t>包材出貨</t>
        </is>
      </c>
      <c r="B7" s="4" t="inlineStr">
        <is>
          <t>貼出貨標籤 (品名/批號/數量)</t>
        </is>
      </c>
      <c r="C7" s="3" t="inlineStr">
        <is>
          <t>需輔助</t>
        </is>
      </c>
      <c r="D7" s="7" t="inlineStr">
        <is>
          <t>40%</t>
        </is>
      </c>
      <c r="E7" s="4" t="inlineStr">
        <is>
          <t>發放正確標籤、最後核對確認</t>
        </is>
      </c>
      <c r="F7" s="4" t="inlineStr">
        <is>
          <t>協助撕貼標籤至指定位置</t>
        </is>
      </c>
      <c r="G7" s="4" t="inlineStr">
        <is>
          <t>標籤加印顏色色塊或條碼防呆，避免讀錯字</t>
        </is>
      </c>
    </row>
    <row r="8">
      <c r="A8" s="3" t="inlineStr">
        <is>
          <t>包材出貨</t>
        </is>
      </c>
      <c r="B8" s="4" t="inlineStr">
        <is>
          <t>系統帳務過帳 (ERP扣帳/單據簽收)</t>
        </is>
      </c>
      <c r="C8" s="3" t="inlineStr">
        <is>
          <t>嚴禁</t>
        </is>
      </c>
      <c r="D8" s="8" t="inlineStr">
        <is>
          <t>0%</t>
        </is>
      </c>
      <c r="E8" s="4" t="inlineStr">
        <is>
          <t>完全負責系統操作與司機簽收</t>
        </is>
      </c>
      <c r="F8" s="4" t="inlineStr">
        <is>
          <t>不可接觸系統帳務</t>
        </is>
      </c>
      <c r="G8" s="4" t="inlineStr">
        <is>
          <t>ERP 與出貨單嚴禁非本籍權限人員登入</t>
        </is>
      </c>
    </row>
    <row r="9">
      <c r="A9" s="3" t="inlineStr">
        <is>
          <t>槽車洩料</t>
        </is>
      </c>
      <c r="B9" s="4" t="inlineStr">
        <is>
          <t>洩料前現場引導、輪擋放置、拉警戒線</t>
        </is>
      </c>
      <c r="C9" s="3" t="inlineStr">
        <is>
          <t>可獨立</t>
        </is>
      </c>
      <c r="D9" s="5" t="inlineStr">
        <is>
          <t>90%</t>
        </is>
      </c>
      <c r="E9" s="4" t="inlineStr">
        <is>
          <t>確認槽車靠位與車輛熄火</t>
        </is>
      </c>
      <c r="F9" s="4" t="inlineStr">
        <is>
          <t>依指示擺放輪擋與防護錐</t>
        </is>
      </c>
      <c r="G9" s="4" t="inlineStr">
        <is>
          <t>雙輪擋標準就位定點畫線</t>
        </is>
      </c>
    </row>
    <row r="10">
      <c r="A10" s="3" t="inlineStr">
        <is>
          <t>槽車洩料</t>
        </is>
      </c>
      <c r="B10" s="4" t="inlineStr">
        <is>
          <t>靜電接地夾夾持、集液盤與防溢堤準備</t>
        </is>
      </c>
      <c r="C10" s="3" t="inlineStr">
        <is>
          <t>可獨立</t>
        </is>
      </c>
      <c r="D10" s="5" t="inlineStr">
        <is>
          <t>85%</t>
        </is>
      </c>
      <c r="E10" s="4" t="inlineStr">
        <is>
          <t>確認接地儀綠燈導通正常</t>
        </is>
      </c>
      <c r="F10" s="4" t="inlineStr">
        <is>
          <t>夾持接地夾、鋪設吸液棉/集液盒</t>
        </is>
      </c>
      <c r="G10" s="4" t="inlineStr">
        <is>
          <t>接地檢測儀聲光蜂鳴警示（綠燈通行）</t>
        </is>
      </c>
    </row>
    <row r="11">
      <c r="A11" s="3" t="inlineStr">
        <is>
          <t>槽車洩料</t>
        </is>
      </c>
      <c r="B11" s="4" t="inlineStr">
        <is>
          <t>卸料法蘭/快速接頭連接與扳手鎖緊</t>
        </is>
      </c>
      <c r="C11" s="3" t="inlineStr">
        <is>
          <t>需覆核</t>
        </is>
      </c>
      <c r="D11" s="6" t="inlineStr">
        <is>
          <t>60%</t>
        </is>
      </c>
      <c r="E11" s="4" t="inlineStr">
        <is>
          <t>接管前指差確認、確認墊片完整</t>
        </is>
      </c>
      <c r="F11" s="4" t="inlineStr">
        <is>
          <t>協助搬抬重油管、鎖定安全插銷</t>
        </is>
      </c>
      <c r="G11" s="4" t="inlineStr">
        <is>
          <t>雙人確認防呆：本籍指差 + 鎖定插銷確認</t>
        </is>
      </c>
    </row>
    <row r="12">
      <c r="A12" s="3" t="inlineStr">
        <is>
          <t>槽車洩料</t>
        </is>
      </c>
      <c r="B12" s="4" t="inlineStr">
        <is>
          <t>槽體閥門開關、洩料泵浦啟閉操作</t>
        </is>
      </c>
      <c r="C12" s="3" t="inlineStr">
        <is>
          <t>嚴禁獨立</t>
        </is>
      </c>
      <c r="D12" s="7" t="inlineStr">
        <is>
          <t>35%</t>
        </is>
      </c>
      <c r="E12" s="4" t="inlineStr">
        <is>
          <t>核對入料槽號 (如TK-624) 並親自開閥</t>
        </is>
      </c>
      <c r="F12" s="4" t="inlineStr">
        <is>
          <t>僅在旁監看有無漏液或異常震動</t>
        </is>
      </c>
      <c r="G12" s="4" t="inlineStr">
        <is>
          <t>閥門上鎖掛牌 (LOTO)，外勞無開鎖鑰匙</t>
        </is>
      </c>
    </row>
    <row r="13">
      <c r="A13" s="3" t="inlineStr">
        <is>
          <t>槽車洩料</t>
        </is>
      </c>
      <c r="B13" s="4" t="inlineStr">
        <is>
          <t>取樣分析、品檢合格判定、比重/水阻確認</t>
        </is>
      </c>
      <c r="C13" s="3" t="inlineStr">
        <is>
          <t>嚴禁</t>
        </is>
      </c>
      <c r="D13" s="8" t="inlineStr">
        <is>
          <t>0%</t>
        </is>
      </c>
      <c r="E13" s="4" t="inlineStr">
        <is>
          <t>負責取樣送驗與判讀品管報告</t>
        </is>
      </c>
      <c r="F13" s="4" t="inlineStr">
        <is>
          <t>不可代替取樣與數據判定</t>
        </is>
      </c>
      <c r="G13" s="4" t="inlineStr">
        <is>
          <t>牽涉入錯料整槽污染風險，100%品管/資材把關</t>
        </is>
      </c>
    </row>
    <row r="14">
      <c r="A14" s="3" t="inlineStr">
        <is>
          <t>槽車洩料</t>
        </is>
      </c>
      <c r="B14" s="4" t="inlineStr">
        <is>
          <t>緊急應變處理 (洩漏、噴濺、緊急遮斷)</t>
        </is>
      </c>
      <c r="C14" s="3" t="inlineStr">
        <is>
          <t>僅輔助</t>
        </is>
      </c>
      <c r="D14" s="8" t="inlineStr">
        <is>
          <t>20%</t>
        </is>
      </c>
      <c r="E14" s="4" t="inlineStr">
        <is>
          <t>指揮現場關閉緊急遮斷閥、通報</t>
        </is>
      </c>
      <c r="F14" s="4" t="inlineStr">
        <is>
          <t>依母語逃生指示撤離並協助拉封鎖線</t>
        </is>
      </c>
      <c r="G14" s="4" t="inlineStr">
        <is>
          <t>每季舉辦外勞母語工安疏散與沖淋洗眼器演練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8.2" customWidth="1" min="1" max="1"/>
    <col width="30.8" customWidth="1" min="2" max="2"/>
    <col width="19.8" customWidth="1" min="3" max="3"/>
    <col width="26.4" customWidth="1" min="4" max="4"/>
    <col width="26.4" customWidth="1" min="5" max="5"/>
    <col width="26.4" customWidth="1" min="6" max="6"/>
    <col width="17.6" customWidth="1" min="7" max="7"/>
  </cols>
  <sheetData>
    <row r="1" ht="40" customHeight="1">
      <c r="A1" s="1" t="inlineStr">
        <is>
          <t>資材課【外籍移工 vs 本國人員】每日工時預估與派工比例分析表</t>
        </is>
      </c>
    </row>
    <row r="2"/>
    <row r="3" ht="28" customHeight="1">
      <c r="A3" s="9" t="inlineStr">
        <is>
          <t>作業流程大類</t>
        </is>
      </c>
      <c r="B3" s="9" t="inlineStr">
        <is>
          <t>典型作業項目</t>
        </is>
      </c>
      <c r="C3" s="9" t="inlineStr">
        <is>
          <t>單次頻率 / 車次</t>
        </is>
      </c>
      <c r="D3" s="9" t="inlineStr">
        <is>
          <t>單次總耗時(分)</t>
        </is>
      </c>
      <c r="E3" s="9" t="inlineStr">
        <is>
          <t>外勞工時(分)</t>
        </is>
      </c>
      <c r="F3" s="9" t="inlineStr">
        <is>
          <t>本籍工時(分)</t>
        </is>
      </c>
      <c r="G3" s="9" t="inlineStr">
        <is>
          <t>外勞工時佔比</t>
        </is>
      </c>
    </row>
    <row r="4">
      <c r="A4" s="10" t="inlineStr">
        <is>
          <t>包材出貨</t>
        </is>
      </c>
      <c r="B4" s="10" t="inlineStr">
        <is>
          <t>出貨棧板集結與搬運堆疊</t>
        </is>
      </c>
      <c r="C4" s="11" t="inlineStr">
        <is>
          <t>每日約 8 批</t>
        </is>
      </c>
      <c r="D4" s="11" t="n">
        <v>160</v>
      </c>
      <c r="E4" s="11" t="n">
        <v>150</v>
      </c>
      <c r="F4" s="11" t="n">
        <v>10</v>
      </c>
      <c r="G4" s="12">
        <f>E4/D4</f>
        <v/>
      </c>
    </row>
    <row r="5">
      <c r="A5" s="10" t="inlineStr">
        <is>
          <t>包材出貨</t>
        </is>
      </c>
      <c r="B5" s="10" t="inlineStr">
        <is>
          <t>打包機打包與封膜固定</t>
        </is>
      </c>
      <c r="C5" s="11" t="inlineStr">
        <is>
          <t>每日約 8 批</t>
        </is>
      </c>
      <c r="D5" s="11" t="n">
        <v>120</v>
      </c>
      <c r="E5" s="11" t="n">
        <v>110</v>
      </c>
      <c r="F5" s="11" t="n">
        <v>10</v>
      </c>
      <c r="G5" s="12">
        <f>E5/D5</f>
        <v/>
      </c>
    </row>
    <row r="6">
      <c r="A6" s="10" t="inlineStr">
        <is>
          <t>包材出貨</t>
        </is>
      </c>
      <c r="B6" s="10" t="inlineStr">
        <is>
          <t>外觀目視檢查與清潔</t>
        </is>
      </c>
      <c r="C6" s="11" t="inlineStr">
        <is>
          <t>每日約 8 批</t>
        </is>
      </c>
      <c r="D6" s="11" t="n">
        <v>60</v>
      </c>
      <c r="E6" s="11" t="n">
        <v>45</v>
      </c>
      <c r="F6" s="11" t="n">
        <v>15</v>
      </c>
      <c r="G6" s="12">
        <f>E6/D6</f>
        <v/>
      </c>
    </row>
    <row r="7">
      <c r="A7" s="10" t="inlineStr">
        <is>
          <t>包材出貨</t>
        </is>
      </c>
      <c r="B7" s="10" t="inlineStr">
        <is>
          <t>品名標籤核對與張貼</t>
        </is>
      </c>
      <c r="C7" s="11" t="inlineStr">
        <is>
          <t>每日約 8 批</t>
        </is>
      </c>
      <c r="D7" s="11" t="n">
        <v>60</v>
      </c>
      <c r="E7" s="11" t="n">
        <v>25</v>
      </c>
      <c r="F7" s="11" t="n">
        <v>35</v>
      </c>
      <c r="G7" s="12">
        <f>E7/D7</f>
        <v/>
      </c>
    </row>
    <row r="8">
      <c r="A8" s="10" t="inlineStr">
        <is>
          <t>包材出貨</t>
        </is>
      </c>
      <c r="B8" s="10" t="inlineStr">
        <is>
          <t>司機簽核與 ERP 帳務扣帳</t>
        </is>
      </c>
      <c r="C8" s="11" t="inlineStr">
        <is>
          <t>每日約 8 批</t>
        </is>
      </c>
      <c r="D8" s="11" t="n">
        <v>80</v>
      </c>
      <c r="E8" s="11" t="n">
        <v>0</v>
      </c>
      <c r="F8" s="11" t="n">
        <v>80</v>
      </c>
      <c r="G8" s="12">
        <f>E8/D8</f>
        <v/>
      </c>
    </row>
    <row r="9">
      <c r="A9" s="10" t="inlineStr">
        <is>
          <t>槽車洩料</t>
        </is>
      </c>
      <c r="B9" s="10" t="inlineStr">
        <is>
          <t>車輛引導、輪擋警戒與接地夾</t>
        </is>
      </c>
      <c r="C9" s="11" t="inlineStr">
        <is>
          <t>每日約 3 車</t>
        </is>
      </c>
      <c r="D9" s="11" t="n">
        <v>45</v>
      </c>
      <c r="E9" s="11" t="n">
        <v>35</v>
      </c>
      <c r="F9" s="11" t="n">
        <v>10</v>
      </c>
      <c r="G9" s="12">
        <f>E9/D9</f>
        <v/>
      </c>
    </row>
    <row r="10">
      <c r="A10" s="10" t="inlineStr">
        <is>
          <t>槽車洩料</t>
        </is>
      </c>
      <c r="B10" s="10" t="inlineStr">
        <is>
          <t>入料槽號確認與品管取樣</t>
        </is>
      </c>
      <c r="C10" s="11" t="inlineStr">
        <is>
          <t>每日約 3 車</t>
        </is>
      </c>
      <c r="D10" s="11" t="n">
        <v>60</v>
      </c>
      <c r="E10" s="11" t="n">
        <v>0</v>
      </c>
      <c r="F10" s="11" t="n">
        <v>60</v>
      </c>
      <c r="G10" s="12">
        <f>E10/D10</f>
        <v/>
      </c>
    </row>
    <row r="11">
      <c r="A11" s="10" t="inlineStr">
        <is>
          <t>槽車洩料</t>
        </is>
      </c>
      <c r="B11" s="10" t="inlineStr">
        <is>
          <t>管線連接、安全插銷與指差確認</t>
        </is>
      </c>
      <c r="C11" s="11" t="inlineStr">
        <is>
          <t>每日約 3 車</t>
        </is>
      </c>
      <c r="D11" s="11" t="n">
        <v>45</v>
      </c>
      <c r="E11" s="11" t="n">
        <v>25</v>
      </c>
      <c r="F11" s="11" t="n">
        <v>20</v>
      </c>
      <c r="G11" s="12">
        <f>E11/D11</f>
        <v/>
      </c>
    </row>
    <row r="12">
      <c r="A12" s="10" t="inlineStr">
        <is>
          <t>槽車洩料</t>
        </is>
      </c>
      <c r="B12" s="10" t="inlineStr">
        <is>
          <t>洩料監控與防溢巡檢</t>
        </is>
      </c>
      <c r="C12" s="11" t="inlineStr">
        <is>
          <t>每日約 3 車</t>
        </is>
      </c>
      <c r="D12" s="11" t="n">
        <v>120</v>
      </c>
      <c r="E12" s="11" t="n">
        <v>40</v>
      </c>
      <c r="F12" s="11" t="n">
        <v>80</v>
      </c>
      <c r="G12" s="12">
        <f>E12/D12</f>
        <v/>
      </c>
    </row>
    <row r="13">
      <c r="A13" s="10" t="inlineStr">
        <is>
          <t>槽車洩料</t>
        </is>
      </c>
      <c r="B13" s="10" t="inlineStr">
        <is>
          <t>拆管、殘液回抽與管具清潔5S</t>
        </is>
      </c>
      <c r="C13" s="11" t="inlineStr">
        <is>
          <t>每日約 3 車</t>
        </is>
      </c>
      <c r="D13" s="11" t="n">
        <v>50</v>
      </c>
      <c r="E13" s="11" t="n">
        <v>40</v>
      </c>
      <c r="F13" s="11" t="n">
        <v>10</v>
      </c>
      <c r="G13" s="12">
        <f>E13/D13</f>
        <v/>
      </c>
    </row>
    <row r="14">
      <c r="A14" s="13" t="inlineStr">
        <is>
          <t>合計每日工時總量 (分鐘)</t>
        </is>
      </c>
      <c r="B14" s="14" t="n"/>
      <c r="C14" s="14" t="n"/>
      <c r="D14" s="13">
        <f>SUM(D4:D13)</f>
        <v/>
      </c>
      <c r="E14" s="13">
        <f>SUM(E4:E13)</f>
        <v/>
      </c>
      <c r="F14" s="13">
        <f>SUM(F4:F13)</f>
        <v/>
      </c>
      <c r="G14" s="15">
        <f>E14/D14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2026-10-19T04:36:55Z</dcterms:created>
  <dcterms:modified xmlns:dcterms="http://purl.org/dc/terms/" xmlns:xsi="http://www.w3.org/2001/XMLSchema-instance" xsi:type="dcterms:W3CDTF">2026-10-19T04:36:55Z</dcterms:modified>
</cp:coreProperties>
</file>