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!儲槽作業日報\儲槽作業日報\2025\"/>
    </mc:Choice>
  </mc:AlternateContent>
  <bookViews>
    <workbookView xWindow="0" yWindow="0" windowWidth="2160" windowHeight="0" activeTab="14"/>
  </bookViews>
  <sheets>
    <sheet name="新增" sheetId="1727" r:id="rId1"/>
    <sheet name="密度" sheetId="13" r:id="rId2"/>
    <sheet name="5.29" sheetId="1898" r:id="rId3"/>
    <sheet name="6.1" sheetId="1899" r:id="rId4"/>
    <sheet name="6.2" sheetId="1901" r:id="rId5"/>
    <sheet name="6.3" sheetId="1902" r:id="rId6"/>
    <sheet name="6.4" sheetId="1903" r:id="rId7"/>
    <sheet name="6.5" sheetId="1904" r:id="rId8"/>
    <sheet name="6.6" sheetId="1905" r:id="rId9"/>
    <sheet name="6.9" sheetId="1906" r:id="rId10"/>
    <sheet name="6.10" sheetId="1907" r:id="rId11"/>
    <sheet name="6.11" sheetId="1908" r:id="rId12"/>
    <sheet name="6.12" sheetId="1909" r:id="rId13"/>
    <sheet name="6.13" sheetId="1910" r:id="rId14"/>
    <sheet name="6.16" sheetId="1911" r:id="rId15"/>
  </sheets>
  <definedNames>
    <definedName name="_xlnm.Print_Area" localSheetId="2">'5.29'!$B$1:$AE$36</definedName>
    <definedName name="_xlnm.Print_Area" localSheetId="3">'6.1'!$B$1:$AE$36</definedName>
    <definedName name="_xlnm.Print_Area" localSheetId="10">'6.10'!$B$1:$AE$36</definedName>
    <definedName name="_xlnm.Print_Area" localSheetId="11">'6.11'!$B$1:$AE$36</definedName>
    <definedName name="_xlnm.Print_Area" localSheetId="12">'6.12'!$B$1:$AE$36</definedName>
    <definedName name="_xlnm.Print_Area" localSheetId="13">'6.13'!$B$1:$AE$36</definedName>
    <definedName name="_xlnm.Print_Area" localSheetId="14">'6.16'!$B$1:$AE$36</definedName>
    <definedName name="_xlnm.Print_Area" localSheetId="4">'6.2'!$B$1:$AE$36</definedName>
    <definedName name="_xlnm.Print_Area" localSheetId="5">'6.3'!$B$1:$AE$36</definedName>
    <definedName name="_xlnm.Print_Area" localSheetId="6">'6.4'!$B$1:$AE$36</definedName>
    <definedName name="_xlnm.Print_Area" localSheetId="7">'6.5'!$B$1:$AE$36</definedName>
    <definedName name="_xlnm.Print_Area" localSheetId="8">'6.6'!$B$1:$AE$36</definedName>
    <definedName name="_xlnm.Print_Area" localSheetId="9">'6.9'!$B$1:$AE$36</definedName>
    <definedName name="_xlnm.Print_Area" localSheetId="1">密度!$A$1:$W$51</definedName>
    <definedName name="_xlnm.Print_Area" localSheetId="0">新增!$A$1:$M$45</definedName>
    <definedName name="Z_512059F6_F0DC_4056_8FD0_37088AB81F9E_.wvu.PrintArea" localSheetId="2" hidden="1">'5.29'!$B$3:$AE$36</definedName>
    <definedName name="Z_512059F6_F0DC_4056_8FD0_37088AB81F9E_.wvu.PrintArea" localSheetId="3" hidden="1">'6.1'!$B$3:$AE$36</definedName>
    <definedName name="Z_512059F6_F0DC_4056_8FD0_37088AB81F9E_.wvu.PrintArea" localSheetId="10" hidden="1">'6.10'!$B$3:$AE$36</definedName>
    <definedName name="Z_512059F6_F0DC_4056_8FD0_37088AB81F9E_.wvu.PrintArea" localSheetId="11" hidden="1">'6.11'!$B$3:$AE$36</definedName>
    <definedName name="Z_512059F6_F0DC_4056_8FD0_37088AB81F9E_.wvu.PrintArea" localSheetId="12" hidden="1">'6.12'!$B$3:$AE$36</definedName>
    <definedName name="Z_512059F6_F0DC_4056_8FD0_37088AB81F9E_.wvu.PrintArea" localSheetId="13" hidden="1">'6.13'!$B$3:$AE$36</definedName>
    <definedName name="Z_512059F6_F0DC_4056_8FD0_37088AB81F9E_.wvu.PrintArea" localSheetId="14" hidden="1">'6.16'!$B$3:$AE$36</definedName>
    <definedName name="Z_512059F6_F0DC_4056_8FD0_37088AB81F9E_.wvu.PrintArea" localSheetId="4" hidden="1">'6.2'!$B$3:$AE$36</definedName>
    <definedName name="Z_512059F6_F0DC_4056_8FD0_37088AB81F9E_.wvu.PrintArea" localSheetId="5" hidden="1">'6.3'!$B$3:$AE$36</definedName>
    <definedName name="Z_512059F6_F0DC_4056_8FD0_37088AB81F9E_.wvu.PrintArea" localSheetId="6" hidden="1">'6.4'!$B$3:$AE$36</definedName>
    <definedName name="Z_512059F6_F0DC_4056_8FD0_37088AB81F9E_.wvu.PrintArea" localSheetId="7" hidden="1">'6.5'!$B$3:$AE$36</definedName>
    <definedName name="Z_512059F6_F0DC_4056_8FD0_37088AB81F9E_.wvu.PrintArea" localSheetId="8" hidden="1">'6.6'!$B$3:$AE$36</definedName>
    <definedName name="Z_512059F6_F0DC_4056_8FD0_37088AB81F9E_.wvu.PrintArea" localSheetId="9" hidden="1">'6.9'!$B$3:$AE$36</definedName>
    <definedName name="Z_68643476_8805_447E_8170_A582EA1D0343_.wvu.PrintArea" localSheetId="2" hidden="1">'5.29'!$B$3:$AE$36</definedName>
    <definedName name="Z_68643476_8805_447E_8170_A582EA1D0343_.wvu.PrintArea" localSheetId="3" hidden="1">'6.1'!$B$3:$AE$36</definedName>
    <definedName name="Z_68643476_8805_447E_8170_A582EA1D0343_.wvu.PrintArea" localSheetId="10" hidden="1">'6.10'!$B$3:$AE$36</definedName>
    <definedName name="Z_68643476_8805_447E_8170_A582EA1D0343_.wvu.PrintArea" localSheetId="11" hidden="1">'6.11'!$B$3:$AE$36</definedName>
    <definedName name="Z_68643476_8805_447E_8170_A582EA1D0343_.wvu.PrintArea" localSheetId="12" hidden="1">'6.12'!$B$3:$AE$36</definedName>
    <definedName name="Z_68643476_8805_447E_8170_A582EA1D0343_.wvu.PrintArea" localSheetId="13" hidden="1">'6.13'!$B$3:$AE$36</definedName>
    <definedName name="Z_68643476_8805_447E_8170_A582EA1D0343_.wvu.PrintArea" localSheetId="14" hidden="1">'6.16'!$B$3:$AE$36</definedName>
    <definedName name="Z_68643476_8805_447E_8170_A582EA1D0343_.wvu.PrintArea" localSheetId="4" hidden="1">'6.2'!$B$3:$AE$36</definedName>
    <definedName name="Z_68643476_8805_447E_8170_A582EA1D0343_.wvu.PrintArea" localSheetId="5" hidden="1">'6.3'!$B$3:$AE$36</definedName>
    <definedName name="Z_68643476_8805_447E_8170_A582EA1D0343_.wvu.PrintArea" localSheetId="6" hidden="1">'6.4'!$B$3:$AE$36</definedName>
    <definedName name="Z_68643476_8805_447E_8170_A582EA1D0343_.wvu.PrintArea" localSheetId="7" hidden="1">'6.5'!$B$3:$AE$36</definedName>
    <definedName name="Z_68643476_8805_447E_8170_A582EA1D0343_.wvu.PrintArea" localSheetId="8" hidden="1">'6.6'!$B$3:$AE$36</definedName>
    <definedName name="Z_68643476_8805_447E_8170_A582EA1D0343_.wvu.PrintArea" localSheetId="9" hidden="1">'6.9'!$B$3:$AE$36</definedName>
    <definedName name="Z_8E5926ED_4EBD_4129_B8FF_799CC47580D7_.wvu.PrintArea" localSheetId="2" hidden="1">'5.29'!$B$3:$AE$36</definedName>
    <definedName name="Z_8E5926ED_4EBD_4129_B8FF_799CC47580D7_.wvu.PrintArea" localSheetId="3" hidden="1">'6.1'!$B$3:$AE$36</definedName>
    <definedName name="Z_8E5926ED_4EBD_4129_B8FF_799CC47580D7_.wvu.PrintArea" localSheetId="10" hidden="1">'6.10'!$B$3:$AE$36</definedName>
    <definedName name="Z_8E5926ED_4EBD_4129_B8FF_799CC47580D7_.wvu.PrintArea" localSheetId="11" hidden="1">'6.11'!$B$3:$AE$36</definedName>
    <definedName name="Z_8E5926ED_4EBD_4129_B8FF_799CC47580D7_.wvu.PrintArea" localSheetId="12" hidden="1">'6.12'!$B$3:$AE$36</definedName>
    <definedName name="Z_8E5926ED_4EBD_4129_B8FF_799CC47580D7_.wvu.PrintArea" localSheetId="13" hidden="1">'6.13'!$B$3:$AE$36</definedName>
    <definedName name="Z_8E5926ED_4EBD_4129_B8FF_799CC47580D7_.wvu.PrintArea" localSheetId="14" hidden="1">'6.16'!$B$3:$AE$36</definedName>
    <definedName name="Z_8E5926ED_4EBD_4129_B8FF_799CC47580D7_.wvu.PrintArea" localSheetId="4" hidden="1">'6.2'!$B$3:$AE$36</definedName>
    <definedName name="Z_8E5926ED_4EBD_4129_B8FF_799CC47580D7_.wvu.PrintArea" localSheetId="5" hidden="1">'6.3'!$B$3:$AE$36</definedName>
    <definedName name="Z_8E5926ED_4EBD_4129_B8FF_799CC47580D7_.wvu.PrintArea" localSheetId="6" hidden="1">'6.4'!$B$3:$AE$36</definedName>
    <definedName name="Z_8E5926ED_4EBD_4129_B8FF_799CC47580D7_.wvu.PrintArea" localSheetId="7" hidden="1">'6.5'!$B$3:$AE$36</definedName>
    <definedName name="Z_8E5926ED_4EBD_4129_B8FF_799CC47580D7_.wvu.PrintArea" localSheetId="8" hidden="1">'6.6'!$B$3:$AE$36</definedName>
    <definedName name="Z_8E5926ED_4EBD_4129_B8FF_799CC47580D7_.wvu.PrintArea" localSheetId="9" hidden="1">'6.9'!$B$3:$AE$36</definedName>
    <definedName name="Z_8FA8B620_C56C_11DB_A857_00055D5FD5FF_.wvu.PrintArea" localSheetId="2" hidden="1">'5.29'!$B$3:$AE$36</definedName>
    <definedName name="Z_8FA8B620_C56C_11DB_A857_00055D5FD5FF_.wvu.PrintArea" localSheetId="3" hidden="1">'6.1'!$B$3:$AE$36</definedName>
    <definedName name="Z_8FA8B620_C56C_11DB_A857_00055D5FD5FF_.wvu.PrintArea" localSheetId="10" hidden="1">'6.10'!$B$3:$AE$36</definedName>
    <definedName name="Z_8FA8B620_C56C_11DB_A857_00055D5FD5FF_.wvu.PrintArea" localSheetId="11" hidden="1">'6.11'!$B$3:$AE$36</definedName>
    <definedName name="Z_8FA8B620_C56C_11DB_A857_00055D5FD5FF_.wvu.PrintArea" localSheetId="12" hidden="1">'6.12'!$B$3:$AE$36</definedName>
    <definedName name="Z_8FA8B620_C56C_11DB_A857_00055D5FD5FF_.wvu.PrintArea" localSheetId="13" hidden="1">'6.13'!$B$3:$AE$36</definedName>
    <definedName name="Z_8FA8B620_C56C_11DB_A857_00055D5FD5FF_.wvu.PrintArea" localSheetId="14" hidden="1">'6.16'!$B$3:$AE$36</definedName>
    <definedName name="Z_8FA8B620_C56C_11DB_A857_00055D5FD5FF_.wvu.PrintArea" localSheetId="4" hidden="1">'6.2'!$B$3:$AE$36</definedName>
    <definedName name="Z_8FA8B620_C56C_11DB_A857_00055D5FD5FF_.wvu.PrintArea" localSheetId="5" hidden="1">'6.3'!$B$3:$AE$36</definedName>
    <definedName name="Z_8FA8B620_C56C_11DB_A857_00055D5FD5FF_.wvu.PrintArea" localSheetId="6" hidden="1">'6.4'!$B$3:$AE$36</definedName>
    <definedName name="Z_8FA8B620_C56C_11DB_A857_00055D5FD5FF_.wvu.PrintArea" localSheetId="7" hidden="1">'6.5'!$B$3:$AE$36</definedName>
    <definedName name="Z_8FA8B620_C56C_11DB_A857_00055D5FD5FF_.wvu.PrintArea" localSheetId="8" hidden="1">'6.6'!$B$3:$AE$36</definedName>
    <definedName name="Z_8FA8B620_C56C_11DB_A857_00055D5FD5FF_.wvu.PrintArea" localSheetId="9" hidden="1">'6.9'!$B$3:$AE$36</definedName>
    <definedName name="Z_A3DB5619_047E_4CE2_8C39_700CFD25F2CB_.wvu.PrintArea" localSheetId="2" hidden="1">'5.29'!$B$3:$AE$36</definedName>
    <definedName name="Z_A3DB5619_047E_4CE2_8C39_700CFD25F2CB_.wvu.PrintArea" localSheetId="3" hidden="1">'6.1'!$B$3:$AE$36</definedName>
    <definedName name="Z_A3DB5619_047E_4CE2_8C39_700CFD25F2CB_.wvu.PrintArea" localSheetId="10" hidden="1">'6.10'!$B$3:$AE$36</definedName>
    <definedName name="Z_A3DB5619_047E_4CE2_8C39_700CFD25F2CB_.wvu.PrintArea" localSheetId="11" hidden="1">'6.11'!$B$3:$AE$36</definedName>
    <definedName name="Z_A3DB5619_047E_4CE2_8C39_700CFD25F2CB_.wvu.PrintArea" localSheetId="12" hidden="1">'6.12'!$B$3:$AE$36</definedName>
    <definedName name="Z_A3DB5619_047E_4CE2_8C39_700CFD25F2CB_.wvu.PrintArea" localSheetId="13" hidden="1">'6.13'!$B$3:$AE$36</definedName>
    <definedName name="Z_A3DB5619_047E_4CE2_8C39_700CFD25F2CB_.wvu.PrintArea" localSheetId="14" hidden="1">'6.16'!$B$3:$AE$36</definedName>
    <definedName name="Z_A3DB5619_047E_4CE2_8C39_700CFD25F2CB_.wvu.PrintArea" localSheetId="4" hidden="1">'6.2'!$B$3:$AE$36</definedName>
    <definedName name="Z_A3DB5619_047E_4CE2_8C39_700CFD25F2CB_.wvu.PrintArea" localSheetId="5" hidden="1">'6.3'!$B$3:$AE$36</definedName>
    <definedName name="Z_A3DB5619_047E_4CE2_8C39_700CFD25F2CB_.wvu.PrintArea" localSheetId="6" hidden="1">'6.4'!$B$3:$AE$36</definedName>
    <definedName name="Z_A3DB5619_047E_4CE2_8C39_700CFD25F2CB_.wvu.PrintArea" localSheetId="7" hidden="1">'6.5'!$B$3:$AE$36</definedName>
    <definedName name="Z_A3DB5619_047E_4CE2_8C39_700CFD25F2CB_.wvu.PrintArea" localSheetId="8" hidden="1">'6.6'!$B$3:$AE$36</definedName>
    <definedName name="Z_A3DB5619_047E_4CE2_8C39_700CFD25F2CB_.wvu.PrintArea" localSheetId="9" hidden="1">'6.9'!$B$3:$AE$36</definedName>
    <definedName name="Z_D903F940_B812_11DB_B168_0010B575B8B2_.wvu.PrintArea" localSheetId="2" hidden="1">'5.29'!$B$3:$AE$36</definedName>
    <definedName name="Z_D903F940_B812_11DB_B168_0010B575B8B2_.wvu.PrintArea" localSheetId="3" hidden="1">'6.1'!$B$3:$AE$36</definedName>
    <definedName name="Z_D903F940_B812_11DB_B168_0010B575B8B2_.wvu.PrintArea" localSheetId="10" hidden="1">'6.10'!$B$3:$AE$36</definedName>
    <definedName name="Z_D903F940_B812_11DB_B168_0010B575B8B2_.wvu.PrintArea" localSheetId="11" hidden="1">'6.11'!$B$3:$AE$36</definedName>
    <definedName name="Z_D903F940_B812_11DB_B168_0010B575B8B2_.wvu.PrintArea" localSheetId="12" hidden="1">'6.12'!$B$3:$AE$36</definedName>
    <definedName name="Z_D903F940_B812_11DB_B168_0010B575B8B2_.wvu.PrintArea" localSheetId="13" hidden="1">'6.13'!$B$3:$AE$36</definedName>
    <definedName name="Z_D903F940_B812_11DB_B168_0010B575B8B2_.wvu.PrintArea" localSheetId="14" hidden="1">'6.16'!$B$3:$AE$36</definedName>
    <definedName name="Z_D903F940_B812_11DB_B168_0010B575B8B2_.wvu.PrintArea" localSheetId="4" hidden="1">'6.2'!$B$3:$AE$36</definedName>
    <definedName name="Z_D903F940_B812_11DB_B168_0010B575B8B2_.wvu.PrintArea" localSheetId="5" hidden="1">'6.3'!$B$3:$AE$36</definedName>
    <definedName name="Z_D903F940_B812_11DB_B168_0010B575B8B2_.wvu.PrintArea" localSheetId="6" hidden="1">'6.4'!$B$3:$AE$36</definedName>
    <definedName name="Z_D903F940_B812_11DB_B168_0010B575B8B2_.wvu.PrintArea" localSheetId="7" hidden="1">'6.5'!$B$3:$AE$36</definedName>
    <definedName name="Z_D903F940_B812_11DB_B168_0010B575B8B2_.wvu.PrintArea" localSheetId="8" hidden="1">'6.6'!$B$3:$AE$36</definedName>
    <definedName name="Z_D903F940_B812_11DB_B168_0010B575B8B2_.wvu.PrintArea" localSheetId="9" hidden="1">'6.9'!$B$3:$AE$36</definedName>
    <definedName name="取樣回收每月庫存表" localSheetId="2" hidden="1">'5.29'!#REF!</definedName>
    <definedName name="取樣回收每月庫存表" localSheetId="3" hidden="1">'6.1'!#REF!</definedName>
    <definedName name="取樣回收每月庫存表" localSheetId="10" hidden="1">'6.10'!#REF!</definedName>
    <definedName name="取樣回收每月庫存表" localSheetId="11" hidden="1">'6.11'!#REF!</definedName>
    <definedName name="取樣回收每月庫存表" localSheetId="12" hidden="1">'6.12'!#REF!</definedName>
    <definedName name="取樣回收每月庫存表" localSheetId="13" hidden="1">'6.13'!#REF!</definedName>
    <definedName name="取樣回收每月庫存表" localSheetId="14" hidden="1">'6.16'!#REF!</definedName>
    <definedName name="取樣回收每月庫存表" localSheetId="4" hidden="1">'6.2'!#REF!</definedName>
    <definedName name="取樣回收每月庫存表" localSheetId="5" hidden="1">'6.3'!#REF!</definedName>
    <definedName name="取樣回收每月庫存表" localSheetId="6" hidden="1">'6.4'!#REF!</definedName>
    <definedName name="取樣回收每月庫存表" localSheetId="7" hidden="1">'6.5'!#REF!</definedName>
    <definedName name="取樣回收每月庫存表" localSheetId="8" hidden="1">'6.6'!#REF!</definedName>
    <definedName name="取樣回收每月庫存表" localSheetId="9" hidden="1">'6.9'!#REF!</definedName>
    <definedName name="取樣回收每月庫存表_0620更新" localSheetId="2" hidden="1">'5.29'!$AG$13:$BH$189</definedName>
    <definedName name="取樣回收每月庫存表_0620更新" localSheetId="3" hidden="1">'6.1'!$AG$13:$BH$189</definedName>
    <definedName name="取樣回收每月庫存表_0620更新" localSheetId="10" hidden="1">'6.10'!$AG$13:$BH$189</definedName>
    <definedName name="取樣回收每月庫存表_0620更新" localSheetId="11" hidden="1">'6.11'!$AG$13:$BH$189</definedName>
    <definedName name="取樣回收每月庫存表_0620更新" localSheetId="12" hidden="1">'6.12'!$AG$13:$BH$189</definedName>
    <definedName name="取樣回收每月庫存表_0620更新" localSheetId="13" hidden="1">'6.13'!$AG$13:$BH$189</definedName>
    <definedName name="取樣回收每月庫存表_0620更新" localSheetId="14" hidden="1">'6.16'!$AG$13:$BH$189</definedName>
    <definedName name="取樣回收每月庫存表_0620更新" localSheetId="4" hidden="1">'6.2'!$AG$13:$BH$189</definedName>
    <definedName name="取樣回收每月庫存表_0620更新" localSheetId="5" hidden="1">'6.3'!$AG$13:$BH$189</definedName>
    <definedName name="取樣回收每月庫存表_0620更新" localSheetId="6" hidden="1">'6.4'!$AG$13:$BH$189</definedName>
    <definedName name="取樣回收每月庫存表_0620更新" localSheetId="7" hidden="1">'6.5'!$AG$13:$BH$189</definedName>
    <definedName name="取樣回收每月庫存表_0620更新" localSheetId="8" hidden="1">'6.6'!$AG$13:$BH$189</definedName>
    <definedName name="取樣回收每月庫存表_0620更新" localSheetId="9" hidden="1">'6.9'!$AG$13:$BH$189</definedName>
    <definedName name="複本_14_取樣回收每月庫存表" localSheetId="2" hidden="1">'5.29'!#REF!</definedName>
    <definedName name="複本_14_取樣回收每月庫存表" localSheetId="3" hidden="1">'6.1'!#REF!</definedName>
    <definedName name="複本_14_取樣回收每月庫存表" localSheetId="10" hidden="1">'6.10'!#REF!</definedName>
    <definedName name="複本_14_取樣回收每月庫存表" localSheetId="11" hidden="1">'6.11'!#REF!</definedName>
    <definedName name="複本_14_取樣回收每月庫存表" localSheetId="12" hidden="1">'6.12'!#REF!</definedName>
    <definedName name="複本_14_取樣回收每月庫存表" localSheetId="13" hidden="1">'6.13'!#REF!</definedName>
    <definedName name="複本_14_取樣回收每月庫存表" localSheetId="14" hidden="1">'6.16'!#REF!</definedName>
    <definedName name="複本_14_取樣回收每月庫存表" localSheetId="4" hidden="1">'6.2'!#REF!</definedName>
    <definedName name="複本_14_取樣回收每月庫存表" localSheetId="5" hidden="1">'6.3'!#REF!</definedName>
    <definedName name="複本_14_取樣回收每月庫存表" localSheetId="6" hidden="1">'6.4'!#REF!</definedName>
    <definedName name="複本_14_取樣回收每月庫存表" localSheetId="7" hidden="1">'6.5'!#REF!</definedName>
    <definedName name="複本_14_取樣回收每月庫存表" localSheetId="8" hidden="1">'6.6'!#REF!</definedName>
    <definedName name="複本_14_取樣回收每月庫存表" localSheetId="9" hidden="1">'6.9'!#REF!</definedName>
  </definedNames>
  <calcPr calcId="162913"/>
</workbook>
</file>

<file path=xl/calcChain.xml><?xml version="1.0" encoding="utf-8"?>
<calcChain xmlns="http://schemas.openxmlformats.org/spreadsheetml/2006/main">
  <c r="AA33" i="1911" l="1"/>
  <c r="X33" i="1911"/>
  <c r="W33" i="1911"/>
  <c r="U33" i="1911"/>
  <c r="R33" i="1911"/>
  <c r="O33" i="1911"/>
  <c r="N33" i="1911"/>
  <c r="L33" i="1911"/>
  <c r="F33" i="1911"/>
  <c r="E33" i="1911"/>
  <c r="Y28" i="1911"/>
  <c r="X28" i="1911"/>
  <c r="W28" i="1911"/>
  <c r="V28" i="1911"/>
  <c r="U28" i="1911"/>
  <c r="T28" i="1911"/>
  <c r="S28" i="1911"/>
  <c r="R28" i="1911"/>
  <c r="Q28" i="1911"/>
  <c r="P28" i="1911"/>
  <c r="O28" i="1911"/>
  <c r="N28" i="1911"/>
  <c r="M28" i="1911"/>
  <c r="L28" i="1911"/>
  <c r="K28" i="1911"/>
  <c r="J28" i="1911"/>
  <c r="I28" i="1911"/>
  <c r="H28" i="1911"/>
  <c r="G28" i="1911"/>
  <c r="F28" i="1911"/>
  <c r="E28" i="1911"/>
  <c r="D28" i="1911"/>
  <c r="Y25" i="1911"/>
  <c r="X25" i="1911"/>
  <c r="W25" i="1911"/>
  <c r="V25" i="1911"/>
  <c r="U25" i="1911"/>
  <c r="T25" i="1911"/>
  <c r="S25" i="1911"/>
  <c r="R25" i="1911"/>
  <c r="Q25" i="1911"/>
  <c r="P25" i="1911"/>
  <c r="O25" i="1911"/>
  <c r="N25" i="1911"/>
  <c r="M25" i="1911"/>
  <c r="L25" i="1911"/>
  <c r="K25" i="1911"/>
  <c r="J25" i="1911"/>
  <c r="I25" i="1911"/>
  <c r="H25" i="1911"/>
  <c r="G25" i="1911"/>
  <c r="F25" i="1911"/>
  <c r="E25" i="1911"/>
  <c r="D25" i="1911"/>
  <c r="AE19" i="1911"/>
  <c r="AD19" i="1911"/>
  <c r="AC19" i="1911"/>
  <c r="AB19" i="1911"/>
  <c r="AA19" i="1911"/>
  <c r="Z19" i="1911"/>
  <c r="Y19" i="1911"/>
  <c r="X19" i="1911"/>
  <c r="T33" i="1911" s="1"/>
  <c r="W19" i="1911"/>
  <c r="V19" i="1911"/>
  <c r="U19" i="1911"/>
  <c r="T19" i="1911"/>
  <c r="S19" i="1911"/>
  <c r="R19" i="1911"/>
  <c r="Q19" i="1911"/>
  <c r="P19" i="1911"/>
  <c r="O19" i="1911"/>
  <c r="N19" i="1911"/>
  <c r="H33" i="1911" s="1"/>
  <c r="M19" i="1911"/>
  <c r="L19" i="1911"/>
  <c r="P33" i="1911" s="1"/>
  <c r="K19" i="1911"/>
  <c r="J19" i="1911"/>
  <c r="I19" i="1911"/>
  <c r="AB33" i="1911" s="1"/>
  <c r="H19" i="1911"/>
  <c r="G19" i="1911"/>
  <c r="F19" i="1911"/>
  <c r="E19" i="1911"/>
  <c r="D19" i="1911"/>
  <c r="AE16" i="1911"/>
  <c r="AD16" i="1911"/>
  <c r="AC16" i="1911"/>
  <c r="AB16" i="1911"/>
  <c r="AA16" i="1911"/>
  <c r="Z16" i="1911"/>
  <c r="X16" i="1911"/>
  <c r="W16" i="1911"/>
  <c r="V16" i="1911"/>
  <c r="U16" i="1911"/>
  <c r="T16" i="1911"/>
  <c r="S16" i="1911"/>
  <c r="R16" i="1911"/>
  <c r="Q16" i="1911"/>
  <c r="P16" i="1911"/>
  <c r="O16" i="1911"/>
  <c r="N16" i="1911"/>
  <c r="M16" i="1911"/>
  <c r="L16" i="1911"/>
  <c r="K16" i="1911"/>
  <c r="J16" i="1911"/>
  <c r="I16" i="1911"/>
  <c r="H16" i="1911"/>
  <c r="G16" i="1911"/>
  <c r="F16" i="1911"/>
  <c r="E16" i="1911"/>
  <c r="D16" i="1911"/>
  <c r="AE10" i="1911"/>
  <c r="AD10" i="1911"/>
  <c r="AC33" i="1911" s="1"/>
  <c r="AC10" i="1911"/>
  <c r="AB10" i="1911"/>
  <c r="AA10" i="1911"/>
  <c r="D33" i="1911" s="1"/>
  <c r="Z10" i="1911"/>
  <c r="Y10" i="1911"/>
  <c r="X10" i="1911"/>
  <c r="W10" i="1911"/>
  <c r="V10" i="1911"/>
  <c r="U10" i="1911"/>
  <c r="T10" i="1911"/>
  <c r="S10" i="1911"/>
  <c r="Y33" i="1911" s="1"/>
  <c r="R10" i="1911"/>
  <c r="Q10" i="1911"/>
  <c r="P10" i="1911"/>
  <c r="O10" i="1911"/>
  <c r="N10" i="1911"/>
  <c r="Q33" i="1911" s="1"/>
  <c r="M10" i="1911"/>
  <c r="L10" i="1911"/>
  <c r="K10" i="1911"/>
  <c r="K33" i="1911" s="1"/>
  <c r="J10" i="1911"/>
  <c r="I10" i="1911"/>
  <c r="H10" i="1911"/>
  <c r="G10" i="1911"/>
  <c r="M33" i="1911" s="1"/>
  <c r="F10" i="1911"/>
  <c r="J33" i="1911" s="1"/>
  <c r="E10" i="1911"/>
  <c r="S33" i="1911" s="1"/>
  <c r="D10" i="1911"/>
  <c r="Z33" i="1911" s="1"/>
  <c r="AE7" i="1911"/>
  <c r="AD7" i="1911"/>
  <c r="AC7" i="1911"/>
  <c r="AB7" i="1911"/>
  <c r="AA7" i="1911"/>
  <c r="Z7" i="1911"/>
  <c r="Y7" i="1911"/>
  <c r="X7" i="1911"/>
  <c r="W7" i="1911"/>
  <c r="V7" i="1911"/>
  <c r="U7" i="1911"/>
  <c r="T7" i="1911"/>
  <c r="S7" i="1911"/>
  <c r="R7" i="1911"/>
  <c r="Q7" i="1911"/>
  <c r="P7" i="1911"/>
  <c r="O7" i="1911"/>
  <c r="N7" i="1911"/>
  <c r="M7" i="1911"/>
  <c r="L7" i="1911"/>
  <c r="K7" i="1911"/>
  <c r="J7" i="1911"/>
  <c r="I7" i="1911"/>
  <c r="H7" i="1911"/>
  <c r="G7" i="1911"/>
  <c r="F7" i="1911"/>
  <c r="E7" i="1911"/>
  <c r="D7" i="1911"/>
  <c r="V33" i="1911" l="1"/>
  <c r="AA33" i="1910"/>
  <c r="X33" i="1910"/>
  <c r="U33" i="1910"/>
  <c r="R33" i="1910"/>
  <c r="O33" i="1910"/>
  <c r="L33" i="1910"/>
  <c r="F33" i="1910"/>
  <c r="Y28" i="1910"/>
  <c r="X28" i="1910"/>
  <c r="W28" i="1910"/>
  <c r="V28" i="1910"/>
  <c r="U28" i="1910"/>
  <c r="T28" i="1910"/>
  <c r="S28" i="1910"/>
  <c r="R28" i="1910"/>
  <c r="Q28" i="1910"/>
  <c r="P28" i="1910"/>
  <c r="O28" i="1910"/>
  <c r="N28" i="1910"/>
  <c r="M28" i="1910"/>
  <c r="L28" i="1910"/>
  <c r="K28" i="1910"/>
  <c r="J28" i="1910"/>
  <c r="I28" i="1910"/>
  <c r="H28" i="1910"/>
  <c r="G28" i="1910"/>
  <c r="F28" i="1910"/>
  <c r="E28" i="1910"/>
  <c r="D28" i="1910"/>
  <c r="Y25" i="1910"/>
  <c r="X25" i="1910"/>
  <c r="W25" i="1910"/>
  <c r="V25" i="1910"/>
  <c r="U25" i="1910"/>
  <c r="T25" i="1910"/>
  <c r="S25" i="1910"/>
  <c r="R25" i="1910"/>
  <c r="Q25" i="1910"/>
  <c r="P25" i="1910"/>
  <c r="O25" i="1910"/>
  <c r="N25" i="1910"/>
  <c r="M25" i="1910"/>
  <c r="L25" i="1910"/>
  <c r="K25" i="1910"/>
  <c r="J25" i="1910"/>
  <c r="I25" i="1910"/>
  <c r="H25" i="1910"/>
  <c r="G25" i="1910"/>
  <c r="F25" i="1910"/>
  <c r="E25" i="1910"/>
  <c r="D25" i="1910"/>
  <c r="AE19" i="1910"/>
  <c r="AD19" i="1910"/>
  <c r="AC19" i="1910"/>
  <c r="AB19" i="1910"/>
  <c r="AA19" i="1910"/>
  <c r="Z19" i="1910"/>
  <c r="Y19" i="1910"/>
  <c r="X19" i="1910"/>
  <c r="T33" i="1910" s="1"/>
  <c r="W19" i="1910"/>
  <c r="V19" i="1910"/>
  <c r="U19" i="1910"/>
  <c r="T19" i="1910"/>
  <c r="S19" i="1910"/>
  <c r="R19" i="1910"/>
  <c r="Q19" i="1910"/>
  <c r="P19" i="1910"/>
  <c r="O19" i="1910"/>
  <c r="N19" i="1910"/>
  <c r="H33" i="1910" s="1"/>
  <c r="M19" i="1910"/>
  <c r="L19" i="1910"/>
  <c r="P33" i="1910" s="1"/>
  <c r="K19" i="1910"/>
  <c r="J19" i="1910"/>
  <c r="I19" i="1910"/>
  <c r="AB33" i="1910" s="1"/>
  <c r="H19" i="1910"/>
  <c r="G19" i="1910"/>
  <c r="F19" i="1910"/>
  <c r="E19" i="1910"/>
  <c r="D19" i="1910"/>
  <c r="AE16" i="1910"/>
  <c r="AD16" i="1910"/>
  <c r="AC16" i="1910"/>
  <c r="AB16" i="1910"/>
  <c r="AA16" i="1910"/>
  <c r="Z16" i="1910"/>
  <c r="X16" i="1910"/>
  <c r="W16" i="1910"/>
  <c r="V16" i="1910"/>
  <c r="U16" i="1910"/>
  <c r="T16" i="1910"/>
  <c r="S16" i="1910"/>
  <c r="R16" i="1910"/>
  <c r="Q16" i="1910"/>
  <c r="P16" i="1910"/>
  <c r="O16" i="1910"/>
  <c r="N16" i="1910"/>
  <c r="M16" i="1910"/>
  <c r="L16" i="1910"/>
  <c r="K16" i="1910"/>
  <c r="J16" i="1910"/>
  <c r="I16" i="1910"/>
  <c r="H16" i="1910"/>
  <c r="G16" i="1910"/>
  <c r="F16" i="1910"/>
  <c r="E16" i="1910"/>
  <c r="D16" i="1910"/>
  <c r="AE10" i="1910"/>
  <c r="AD10" i="1910"/>
  <c r="AC33" i="1910" s="1"/>
  <c r="AC10" i="1910"/>
  <c r="AB10" i="1910"/>
  <c r="AA10" i="1910"/>
  <c r="D33" i="1910" s="1"/>
  <c r="Z10" i="1910"/>
  <c r="Y10" i="1910"/>
  <c r="X10" i="1910"/>
  <c r="W10" i="1910"/>
  <c r="V10" i="1910"/>
  <c r="U10" i="1910"/>
  <c r="T10" i="1910"/>
  <c r="S10" i="1910"/>
  <c r="Y33" i="1910" s="1"/>
  <c r="R10" i="1910"/>
  <c r="Q10" i="1910"/>
  <c r="P10" i="1910"/>
  <c r="O10" i="1910"/>
  <c r="N10" i="1910"/>
  <c r="M10" i="1910"/>
  <c r="L10" i="1910"/>
  <c r="N33" i="1910" s="1"/>
  <c r="K10" i="1910"/>
  <c r="J10" i="1910"/>
  <c r="I10" i="1910"/>
  <c r="H10" i="1910"/>
  <c r="G10" i="1910"/>
  <c r="F10" i="1910"/>
  <c r="J33" i="1910" s="1"/>
  <c r="E10" i="1910"/>
  <c r="S33" i="1910" s="1"/>
  <c r="D10" i="1910"/>
  <c r="AE7" i="1910"/>
  <c r="AD7" i="1910"/>
  <c r="AC7" i="1910"/>
  <c r="AB7" i="1910"/>
  <c r="AA7" i="1910"/>
  <c r="Z7" i="1910"/>
  <c r="Y7" i="1910"/>
  <c r="X7" i="1910"/>
  <c r="W7" i="1910"/>
  <c r="V7" i="1910"/>
  <c r="U7" i="1910"/>
  <c r="T7" i="1910"/>
  <c r="S7" i="1910"/>
  <c r="R7" i="1910"/>
  <c r="Q7" i="1910"/>
  <c r="P7" i="1910"/>
  <c r="O7" i="1910"/>
  <c r="N7" i="1910"/>
  <c r="M7" i="1910"/>
  <c r="L7" i="1910"/>
  <c r="K7" i="1910"/>
  <c r="J7" i="1910"/>
  <c r="I7" i="1910"/>
  <c r="H7" i="1910"/>
  <c r="G7" i="1910"/>
  <c r="F7" i="1910"/>
  <c r="E7" i="1910"/>
  <c r="D7" i="1910"/>
  <c r="K33" i="1910" l="1"/>
  <c r="W33" i="1910"/>
  <c r="Z33" i="1910"/>
  <c r="Q33" i="1910"/>
  <c r="E33" i="1910"/>
  <c r="M33" i="1910"/>
  <c r="V33" i="1910"/>
  <c r="AA33" i="1909"/>
  <c r="X33" i="1909"/>
  <c r="U33" i="1909"/>
  <c r="R33" i="1909"/>
  <c r="O33" i="1909"/>
  <c r="L33" i="1909"/>
  <c r="F33" i="1909"/>
  <c r="Y28" i="1909"/>
  <c r="X28" i="1909"/>
  <c r="W28" i="1909"/>
  <c r="V28" i="1909"/>
  <c r="U28" i="1909"/>
  <c r="T28" i="1909"/>
  <c r="S28" i="1909"/>
  <c r="R28" i="1909"/>
  <c r="Q28" i="1909"/>
  <c r="P28" i="1909"/>
  <c r="O28" i="1909"/>
  <c r="N28" i="1909"/>
  <c r="M28" i="1909"/>
  <c r="L28" i="1909"/>
  <c r="K28" i="1909"/>
  <c r="J28" i="1909"/>
  <c r="I28" i="1909"/>
  <c r="H28" i="1909"/>
  <c r="G28" i="1909"/>
  <c r="F28" i="1909"/>
  <c r="E28" i="1909"/>
  <c r="D28" i="1909"/>
  <c r="Y25" i="1909"/>
  <c r="X25" i="1909"/>
  <c r="W25" i="1909"/>
  <c r="V25" i="1909"/>
  <c r="U25" i="1909"/>
  <c r="T25" i="1909"/>
  <c r="S25" i="1909"/>
  <c r="R25" i="1909"/>
  <c r="Q25" i="1909"/>
  <c r="P25" i="1909"/>
  <c r="O25" i="1909"/>
  <c r="N25" i="1909"/>
  <c r="M25" i="1909"/>
  <c r="L25" i="1909"/>
  <c r="K25" i="1909"/>
  <c r="J25" i="1909"/>
  <c r="I25" i="1909"/>
  <c r="H25" i="1909"/>
  <c r="G25" i="1909"/>
  <c r="F25" i="1909"/>
  <c r="E25" i="1909"/>
  <c r="D25" i="1909"/>
  <c r="AE19" i="1909"/>
  <c r="AD19" i="1909"/>
  <c r="AC19" i="1909"/>
  <c r="AB19" i="1909"/>
  <c r="AA19" i="1909"/>
  <c r="Z19" i="1909"/>
  <c r="Y19" i="1909"/>
  <c r="X19" i="1909"/>
  <c r="T33" i="1909" s="1"/>
  <c r="W19" i="1909"/>
  <c r="V19" i="1909"/>
  <c r="U19" i="1909"/>
  <c r="T19" i="1909"/>
  <c r="S19" i="1909"/>
  <c r="R19" i="1909"/>
  <c r="Q19" i="1909"/>
  <c r="P19" i="1909"/>
  <c r="O19" i="1909"/>
  <c r="N19" i="1909"/>
  <c r="H33" i="1909" s="1"/>
  <c r="M19" i="1909"/>
  <c r="L19" i="1909"/>
  <c r="P33" i="1909" s="1"/>
  <c r="K19" i="1909"/>
  <c r="J19" i="1909"/>
  <c r="I19" i="1909"/>
  <c r="AB33" i="1909" s="1"/>
  <c r="H19" i="1909"/>
  <c r="G19" i="1909"/>
  <c r="F19" i="1909"/>
  <c r="E19" i="1909"/>
  <c r="D19" i="1909"/>
  <c r="AE16" i="1909"/>
  <c r="AD16" i="1909"/>
  <c r="AC16" i="1909"/>
  <c r="AB16" i="1909"/>
  <c r="AA16" i="1909"/>
  <c r="Z16" i="1909"/>
  <c r="X16" i="1909"/>
  <c r="W16" i="1909"/>
  <c r="V16" i="1909"/>
  <c r="U16" i="1909"/>
  <c r="T16" i="1909"/>
  <c r="S16" i="1909"/>
  <c r="R16" i="1909"/>
  <c r="Q16" i="1909"/>
  <c r="P16" i="1909"/>
  <c r="O16" i="1909"/>
  <c r="N16" i="1909"/>
  <c r="M16" i="1909"/>
  <c r="L16" i="1909"/>
  <c r="K16" i="1909"/>
  <c r="J16" i="1909"/>
  <c r="I16" i="1909"/>
  <c r="H16" i="1909"/>
  <c r="G16" i="1909"/>
  <c r="F16" i="1909"/>
  <c r="E16" i="1909"/>
  <c r="D16" i="1909"/>
  <c r="AE10" i="1909"/>
  <c r="AD10" i="1909"/>
  <c r="AC33" i="1909" s="1"/>
  <c r="AC10" i="1909"/>
  <c r="AB10" i="1909"/>
  <c r="AA10" i="1909"/>
  <c r="D33" i="1909" s="1"/>
  <c r="Z10" i="1909"/>
  <c r="Y10" i="1909"/>
  <c r="X10" i="1909"/>
  <c r="W10" i="1909"/>
  <c r="V10" i="1909"/>
  <c r="U10" i="1909"/>
  <c r="T10" i="1909"/>
  <c r="S10" i="1909"/>
  <c r="R10" i="1909"/>
  <c r="Q10" i="1909"/>
  <c r="P10" i="1909"/>
  <c r="O10" i="1909"/>
  <c r="N10" i="1909"/>
  <c r="Q33" i="1909" s="1"/>
  <c r="M10" i="1909"/>
  <c r="L10" i="1909"/>
  <c r="N33" i="1909" s="1"/>
  <c r="K10" i="1909"/>
  <c r="J10" i="1909"/>
  <c r="I10" i="1909"/>
  <c r="H10" i="1909"/>
  <c r="G10" i="1909"/>
  <c r="F10" i="1909"/>
  <c r="J33" i="1909" s="1"/>
  <c r="E10" i="1909"/>
  <c r="S33" i="1909" s="1"/>
  <c r="D10" i="1909"/>
  <c r="AE7" i="1909"/>
  <c r="AD7" i="1909"/>
  <c r="AC7" i="1909"/>
  <c r="AB7" i="1909"/>
  <c r="AA7" i="1909"/>
  <c r="Z7" i="1909"/>
  <c r="Y7" i="1909"/>
  <c r="X7" i="1909"/>
  <c r="W7" i="1909"/>
  <c r="V7" i="1909"/>
  <c r="U7" i="1909"/>
  <c r="T7" i="1909"/>
  <c r="S7" i="1909"/>
  <c r="R7" i="1909"/>
  <c r="Q7" i="1909"/>
  <c r="P7" i="1909"/>
  <c r="O7" i="1909"/>
  <c r="N7" i="1909"/>
  <c r="M7" i="1909"/>
  <c r="L7" i="1909"/>
  <c r="K7" i="1909"/>
  <c r="J7" i="1909"/>
  <c r="I7" i="1909"/>
  <c r="H7" i="1909"/>
  <c r="G7" i="1909"/>
  <c r="F7" i="1909"/>
  <c r="E7" i="1909"/>
  <c r="D7" i="1909"/>
  <c r="K33" i="1909" l="1"/>
  <c r="W33" i="1909"/>
  <c r="Z33" i="1909"/>
  <c r="Y33" i="1909"/>
  <c r="E33" i="1909"/>
  <c r="M33" i="1909"/>
  <c r="V33" i="1909"/>
  <c r="AA33" i="1908"/>
  <c r="X33" i="1908"/>
  <c r="U33" i="1908"/>
  <c r="R33" i="1908"/>
  <c r="O33" i="1908"/>
  <c r="L33" i="1908"/>
  <c r="F33" i="1908"/>
  <c r="Y28" i="1908"/>
  <c r="X28" i="1908"/>
  <c r="W28" i="1908"/>
  <c r="V28" i="1908"/>
  <c r="U28" i="1908"/>
  <c r="T28" i="1908"/>
  <c r="S28" i="1908"/>
  <c r="R28" i="1908"/>
  <c r="Q28" i="1908"/>
  <c r="P28" i="1908"/>
  <c r="O28" i="1908"/>
  <c r="N28" i="1908"/>
  <c r="M28" i="1908"/>
  <c r="L28" i="1908"/>
  <c r="K28" i="1908"/>
  <c r="J28" i="1908"/>
  <c r="I28" i="1908"/>
  <c r="H28" i="1908"/>
  <c r="G28" i="1908"/>
  <c r="F28" i="1908"/>
  <c r="E28" i="1908"/>
  <c r="D28" i="1908"/>
  <c r="Y25" i="1908"/>
  <c r="X25" i="1908"/>
  <c r="W25" i="1908"/>
  <c r="V25" i="1908"/>
  <c r="U25" i="1908"/>
  <c r="T25" i="1908"/>
  <c r="S25" i="1908"/>
  <c r="R25" i="1908"/>
  <c r="Q25" i="1908"/>
  <c r="P25" i="1908"/>
  <c r="O25" i="1908"/>
  <c r="N25" i="1908"/>
  <c r="M25" i="1908"/>
  <c r="L25" i="1908"/>
  <c r="K25" i="1908"/>
  <c r="J25" i="1908"/>
  <c r="I25" i="1908"/>
  <c r="H25" i="1908"/>
  <c r="G25" i="1908"/>
  <c r="F25" i="1908"/>
  <c r="E25" i="1908"/>
  <c r="D25" i="1908"/>
  <c r="AE19" i="1908"/>
  <c r="AD19" i="1908"/>
  <c r="AC19" i="1908"/>
  <c r="AB19" i="1908"/>
  <c r="AA19" i="1908"/>
  <c r="Z19" i="1908"/>
  <c r="Y19" i="1908"/>
  <c r="X19" i="1908"/>
  <c r="T33" i="1908" s="1"/>
  <c r="W19" i="1908"/>
  <c r="V19" i="1908"/>
  <c r="U19" i="1908"/>
  <c r="T19" i="1908"/>
  <c r="S19" i="1908"/>
  <c r="R19" i="1908"/>
  <c r="Q19" i="1908"/>
  <c r="P19" i="1908"/>
  <c r="O19" i="1908"/>
  <c r="N19" i="1908"/>
  <c r="H33" i="1908" s="1"/>
  <c r="M19" i="1908"/>
  <c r="L19" i="1908"/>
  <c r="P33" i="1908" s="1"/>
  <c r="K19" i="1908"/>
  <c r="J19" i="1908"/>
  <c r="I19" i="1908"/>
  <c r="AB33" i="1908" s="1"/>
  <c r="H19" i="1908"/>
  <c r="G19" i="1908"/>
  <c r="F19" i="1908"/>
  <c r="E19" i="1908"/>
  <c r="D19" i="1908"/>
  <c r="AE16" i="1908"/>
  <c r="AD16" i="1908"/>
  <c r="AC16" i="1908"/>
  <c r="AB16" i="1908"/>
  <c r="AA16" i="1908"/>
  <c r="Z16" i="1908"/>
  <c r="X16" i="1908"/>
  <c r="W16" i="1908"/>
  <c r="V16" i="1908"/>
  <c r="U16" i="1908"/>
  <c r="T16" i="1908"/>
  <c r="S16" i="1908"/>
  <c r="R16" i="1908"/>
  <c r="Q16" i="1908"/>
  <c r="P16" i="1908"/>
  <c r="O16" i="1908"/>
  <c r="N16" i="1908"/>
  <c r="M16" i="1908"/>
  <c r="L16" i="1908"/>
  <c r="K16" i="1908"/>
  <c r="J16" i="1908"/>
  <c r="I16" i="1908"/>
  <c r="H16" i="1908"/>
  <c r="G16" i="1908"/>
  <c r="F16" i="1908"/>
  <c r="E16" i="1908"/>
  <c r="D16" i="1908"/>
  <c r="AE10" i="1908"/>
  <c r="AD10" i="1908"/>
  <c r="AC33" i="1908" s="1"/>
  <c r="AC10" i="1908"/>
  <c r="AB10" i="1908"/>
  <c r="AA10" i="1908"/>
  <c r="D33" i="1908" s="1"/>
  <c r="Z10" i="1908"/>
  <c r="Y10" i="1908"/>
  <c r="X10" i="1908"/>
  <c r="W10" i="1908"/>
  <c r="V10" i="1908"/>
  <c r="U10" i="1908"/>
  <c r="T10" i="1908"/>
  <c r="S10" i="1908"/>
  <c r="R10" i="1908"/>
  <c r="Q10" i="1908"/>
  <c r="P10" i="1908"/>
  <c r="O10" i="1908"/>
  <c r="N10" i="1908"/>
  <c r="Q33" i="1908" s="1"/>
  <c r="M10" i="1908"/>
  <c r="L10" i="1908"/>
  <c r="N33" i="1908" s="1"/>
  <c r="K10" i="1908"/>
  <c r="J10" i="1908"/>
  <c r="I10" i="1908"/>
  <c r="H10" i="1908"/>
  <c r="G10" i="1908"/>
  <c r="F10" i="1908"/>
  <c r="J33" i="1908" s="1"/>
  <c r="E10" i="1908"/>
  <c r="S33" i="1908" s="1"/>
  <c r="D10" i="1908"/>
  <c r="AE7" i="1908"/>
  <c r="AD7" i="1908"/>
  <c r="AC7" i="1908"/>
  <c r="AB7" i="1908"/>
  <c r="AA7" i="1908"/>
  <c r="Z7" i="1908"/>
  <c r="Y7" i="1908"/>
  <c r="X7" i="1908"/>
  <c r="W7" i="1908"/>
  <c r="V7" i="1908"/>
  <c r="U7" i="1908"/>
  <c r="T7" i="1908"/>
  <c r="S7" i="1908"/>
  <c r="R7" i="1908"/>
  <c r="Q7" i="1908"/>
  <c r="P7" i="1908"/>
  <c r="O7" i="1908"/>
  <c r="N7" i="1908"/>
  <c r="M7" i="1908"/>
  <c r="L7" i="1908"/>
  <c r="K7" i="1908"/>
  <c r="J7" i="1908"/>
  <c r="I7" i="1908"/>
  <c r="H7" i="1908"/>
  <c r="G7" i="1908"/>
  <c r="F7" i="1908"/>
  <c r="E7" i="1908"/>
  <c r="D7" i="1908"/>
  <c r="K33" i="1908" l="1"/>
  <c r="W33" i="1908"/>
  <c r="Z33" i="1908"/>
  <c r="Y33" i="1908"/>
  <c r="E33" i="1908"/>
  <c r="M33" i="1908"/>
  <c r="V33" i="1908"/>
  <c r="AA33" i="1907"/>
  <c r="X33" i="1907"/>
  <c r="U33" i="1907"/>
  <c r="R33" i="1907"/>
  <c r="O33" i="1907"/>
  <c r="L33" i="1907"/>
  <c r="F33" i="1907"/>
  <c r="Y28" i="1907"/>
  <c r="X28" i="1907"/>
  <c r="W28" i="1907"/>
  <c r="V28" i="1907"/>
  <c r="U28" i="1907"/>
  <c r="T28" i="1907"/>
  <c r="S28" i="1907"/>
  <c r="R28" i="1907"/>
  <c r="Q28" i="1907"/>
  <c r="P28" i="1907"/>
  <c r="O28" i="1907"/>
  <c r="N28" i="1907"/>
  <c r="M28" i="1907"/>
  <c r="L28" i="1907"/>
  <c r="K28" i="1907"/>
  <c r="J28" i="1907"/>
  <c r="I28" i="1907"/>
  <c r="H28" i="1907"/>
  <c r="G28" i="1907"/>
  <c r="F28" i="1907"/>
  <c r="E28" i="1907"/>
  <c r="D28" i="1907"/>
  <c r="Y25" i="1907"/>
  <c r="X25" i="1907"/>
  <c r="W25" i="1907"/>
  <c r="V25" i="1907"/>
  <c r="U25" i="1907"/>
  <c r="T25" i="1907"/>
  <c r="S25" i="1907"/>
  <c r="R25" i="1907"/>
  <c r="Q25" i="1907"/>
  <c r="P25" i="1907"/>
  <c r="O25" i="1907"/>
  <c r="N25" i="1907"/>
  <c r="M25" i="1907"/>
  <c r="L25" i="1907"/>
  <c r="K25" i="1907"/>
  <c r="J25" i="1907"/>
  <c r="I25" i="1907"/>
  <c r="H25" i="1907"/>
  <c r="G25" i="1907"/>
  <c r="F25" i="1907"/>
  <c r="E25" i="1907"/>
  <c r="D25" i="1907"/>
  <c r="AE19" i="1907"/>
  <c r="AD19" i="1907"/>
  <c r="AC19" i="1907"/>
  <c r="AB19" i="1907"/>
  <c r="AA19" i="1907"/>
  <c r="Z19" i="1907"/>
  <c r="Y19" i="1907"/>
  <c r="X19" i="1907"/>
  <c r="T33" i="1907" s="1"/>
  <c r="W19" i="1907"/>
  <c r="V19" i="1907"/>
  <c r="U19" i="1907"/>
  <c r="T19" i="1907"/>
  <c r="S19" i="1907"/>
  <c r="R19" i="1907"/>
  <c r="Q19" i="1907"/>
  <c r="P19" i="1907"/>
  <c r="O19" i="1907"/>
  <c r="N19" i="1907"/>
  <c r="H33" i="1907" s="1"/>
  <c r="M19" i="1907"/>
  <c r="L19" i="1907"/>
  <c r="P33" i="1907" s="1"/>
  <c r="K19" i="1907"/>
  <c r="J19" i="1907"/>
  <c r="I19" i="1907"/>
  <c r="AB33" i="1907" s="1"/>
  <c r="H19" i="1907"/>
  <c r="G19" i="1907"/>
  <c r="F19" i="1907"/>
  <c r="E19" i="1907"/>
  <c r="D19" i="1907"/>
  <c r="AE16" i="1907"/>
  <c r="AD16" i="1907"/>
  <c r="AC16" i="1907"/>
  <c r="AB16" i="1907"/>
  <c r="AA16" i="1907"/>
  <c r="Z16" i="1907"/>
  <c r="X16" i="1907"/>
  <c r="W16" i="1907"/>
  <c r="V16" i="1907"/>
  <c r="U16" i="1907"/>
  <c r="T16" i="1907"/>
  <c r="S16" i="1907"/>
  <c r="R16" i="1907"/>
  <c r="Q16" i="1907"/>
  <c r="P16" i="1907"/>
  <c r="O16" i="1907"/>
  <c r="N16" i="1907"/>
  <c r="M16" i="1907"/>
  <c r="L16" i="1907"/>
  <c r="K16" i="1907"/>
  <c r="J16" i="1907"/>
  <c r="I16" i="1907"/>
  <c r="H16" i="1907"/>
  <c r="G16" i="1907"/>
  <c r="F16" i="1907"/>
  <c r="E16" i="1907"/>
  <c r="D16" i="1907"/>
  <c r="AE10" i="1907"/>
  <c r="AD10" i="1907"/>
  <c r="AC33" i="1907" s="1"/>
  <c r="AC10" i="1907"/>
  <c r="AB10" i="1907"/>
  <c r="AA10" i="1907"/>
  <c r="Z10" i="1907"/>
  <c r="Y10" i="1907"/>
  <c r="X10" i="1907"/>
  <c r="W10" i="1907"/>
  <c r="V10" i="1907"/>
  <c r="U10" i="1907"/>
  <c r="T10" i="1907"/>
  <c r="S10" i="1907"/>
  <c r="R10" i="1907"/>
  <c r="Q10" i="1907"/>
  <c r="P10" i="1907"/>
  <c r="O10" i="1907"/>
  <c r="N10" i="1907"/>
  <c r="Q33" i="1907" s="1"/>
  <c r="M10" i="1907"/>
  <c r="L10" i="1907"/>
  <c r="K10" i="1907"/>
  <c r="J10" i="1907"/>
  <c r="I10" i="1907"/>
  <c r="H10" i="1907"/>
  <c r="G10" i="1907"/>
  <c r="F10" i="1907"/>
  <c r="E10" i="1907"/>
  <c r="D10" i="1907"/>
  <c r="AE7" i="1907"/>
  <c r="AD7" i="1907"/>
  <c r="AC7" i="1907"/>
  <c r="AB7" i="1907"/>
  <c r="AA7" i="1907"/>
  <c r="Z7" i="1907"/>
  <c r="Y7" i="1907"/>
  <c r="X7" i="1907"/>
  <c r="W7" i="1907"/>
  <c r="V7" i="1907"/>
  <c r="U7" i="1907"/>
  <c r="T7" i="1907"/>
  <c r="S7" i="1907"/>
  <c r="R7" i="1907"/>
  <c r="Q7" i="1907"/>
  <c r="P7" i="1907"/>
  <c r="O7" i="1907"/>
  <c r="N7" i="1907"/>
  <c r="M7" i="1907"/>
  <c r="L7" i="1907"/>
  <c r="K7" i="1907"/>
  <c r="J7" i="1907"/>
  <c r="I7" i="1907"/>
  <c r="H7" i="1907"/>
  <c r="G7" i="1907"/>
  <c r="F7" i="1907"/>
  <c r="E7" i="1907"/>
  <c r="D7" i="1907"/>
  <c r="S33" i="1907" l="1"/>
  <c r="J33" i="1907"/>
  <c r="K33" i="1907"/>
  <c r="W33" i="1907"/>
  <c r="D33" i="1907"/>
  <c r="Z33" i="1907"/>
  <c r="Y33" i="1907"/>
  <c r="N33" i="1907"/>
  <c r="E33" i="1907"/>
  <c r="M33" i="1907"/>
  <c r="V33" i="1907"/>
  <c r="AA33" i="1906" l="1"/>
  <c r="X33" i="1906"/>
  <c r="U33" i="1906"/>
  <c r="R33" i="1906"/>
  <c r="O33" i="1906"/>
  <c r="L33" i="1906"/>
  <c r="F33" i="1906"/>
  <c r="Y28" i="1906"/>
  <c r="X28" i="1906"/>
  <c r="W28" i="1906"/>
  <c r="V28" i="1906"/>
  <c r="U28" i="1906"/>
  <c r="T28" i="1906"/>
  <c r="S28" i="1906"/>
  <c r="R28" i="1906"/>
  <c r="Q28" i="1906"/>
  <c r="P28" i="1906"/>
  <c r="O28" i="1906"/>
  <c r="N28" i="1906"/>
  <c r="M28" i="1906"/>
  <c r="L28" i="1906"/>
  <c r="K28" i="1906"/>
  <c r="J28" i="1906"/>
  <c r="I28" i="1906"/>
  <c r="H28" i="1906"/>
  <c r="G28" i="1906"/>
  <c r="F28" i="1906"/>
  <c r="E28" i="1906"/>
  <c r="D28" i="1906"/>
  <c r="Y25" i="1906"/>
  <c r="X25" i="1906"/>
  <c r="W25" i="1906"/>
  <c r="V25" i="1906"/>
  <c r="U25" i="1906"/>
  <c r="T25" i="1906"/>
  <c r="S25" i="1906"/>
  <c r="R25" i="1906"/>
  <c r="Q25" i="1906"/>
  <c r="P25" i="1906"/>
  <c r="O25" i="1906"/>
  <c r="N25" i="1906"/>
  <c r="M25" i="1906"/>
  <c r="L25" i="1906"/>
  <c r="K25" i="1906"/>
  <c r="J25" i="1906"/>
  <c r="I25" i="1906"/>
  <c r="H25" i="1906"/>
  <c r="G25" i="1906"/>
  <c r="F25" i="1906"/>
  <c r="E25" i="1906"/>
  <c r="D25" i="1906"/>
  <c r="AE19" i="1906"/>
  <c r="AD19" i="1906"/>
  <c r="AC19" i="1906"/>
  <c r="AB19" i="1906"/>
  <c r="AA19" i="1906"/>
  <c r="Z19" i="1906"/>
  <c r="Y19" i="1906"/>
  <c r="X19" i="1906"/>
  <c r="T33" i="1906" s="1"/>
  <c r="W19" i="1906"/>
  <c r="V19" i="1906"/>
  <c r="U19" i="1906"/>
  <c r="T19" i="1906"/>
  <c r="S19" i="1906"/>
  <c r="R19" i="1906"/>
  <c r="Q19" i="1906"/>
  <c r="P19" i="1906"/>
  <c r="O19" i="1906"/>
  <c r="N19" i="1906"/>
  <c r="H33" i="1906" s="1"/>
  <c r="M19" i="1906"/>
  <c r="L19" i="1906"/>
  <c r="P33" i="1906" s="1"/>
  <c r="K19" i="1906"/>
  <c r="J19" i="1906"/>
  <c r="I19" i="1906"/>
  <c r="AB33" i="1906" s="1"/>
  <c r="H19" i="1906"/>
  <c r="G19" i="1906"/>
  <c r="F19" i="1906"/>
  <c r="E19" i="1906"/>
  <c r="D19" i="1906"/>
  <c r="AE16" i="1906"/>
  <c r="AD16" i="1906"/>
  <c r="AC16" i="1906"/>
  <c r="AB16" i="1906"/>
  <c r="AA16" i="1906"/>
  <c r="Z16" i="1906"/>
  <c r="X16" i="1906"/>
  <c r="W16" i="1906"/>
  <c r="V16" i="1906"/>
  <c r="U16" i="1906"/>
  <c r="T16" i="1906"/>
  <c r="S16" i="1906"/>
  <c r="R16" i="1906"/>
  <c r="Q16" i="1906"/>
  <c r="P16" i="1906"/>
  <c r="O16" i="1906"/>
  <c r="N16" i="1906"/>
  <c r="M16" i="1906"/>
  <c r="L16" i="1906"/>
  <c r="K16" i="1906"/>
  <c r="J16" i="1906"/>
  <c r="I16" i="1906"/>
  <c r="H16" i="1906"/>
  <c r="G16" i="1906"/>
  <c r="F16" i="1906"/>
  <c r="E16" i="1906"/>
  <c r="D16" i="1906"/>
  <c r="AE10" i="1906"/>
  <c r="AD10" i="1906"/>
  <c r="AC33" i="1906" s="1"/>
  <c r="AC10" i="1906"/>
  <c r="AB10" i="1906"/>
  <c r="AA10" i="1906"/>
  <c r="Z10" i="1906"/>
  <c r="Y10" i="1906"/>
  <c r="X10" i="1906"/>
  <c r="W10" i="1906"/>
  <c r="V10" i="1906"/>
  <c r="U10" i="1906"/>
  <c r="T10" i="1906"/>
  <c r="S10" i="1906"/>
  <c r="R10" i="1906"/>
  <c r="Q10" i="1906"/>
  <c r="P10" i="1906"/>
  <c r="O10" i="1906"/>
  <c r="N10" i="1906"/>
  <c r="M10" i="1906"/>
  <c r="L10" i="1906"/>
  <c r="K10" i="1906"/>
  <c r="J10" i="1906"/>
  <c r="I10" i="1906"/>
  <c r="H10" i="1906"/>
  <c r="G10" i="1906"/>
  <c r="F10" i="1906"/>
  <c r="E10" i="1906"/>
  <c r="D10" i="1906"/>
  <c r="AE7" i="1906"/>
  <c r="AD7" i="1906"/>
  <c r="AC7" i="1906"/>
  <c r="AB7" i="1906"/>
  <c r="AA7" i="1906"/>
  <c r="Z7" i="1906"/>
  <c r="Y7" i="1906"/>
  <c r="X7" i="1906"/>
  <c r="W7" i="1906"/>
  <c r="V7" i="1906"/>
  <c r="U7" i="1906"/>
  <c r="T7" i="1906"/>
  <c r="S7" i="1906"/>
  <c r="R7" i="1906"/>
  <c r="Q7" i="1906"/>
  <c r="P7" i="1906"/>
  <c r="O7" i="1906"/>
  <c r="N7" i="1906"/>
  <c r="M7" i="1906"/>
  <c r="L7" i="1906"/>
  <c r="K7" i="1906"/>
  <c r="J7" i="1906"/>
  <c r="I7" i="1906"/>
  <c r="H7" i="1906"/>
  <c r="G7" i="1906"/>
  <c r="F7" i="1906"/>
  <c r="E7" i="1906"/>
  <c r="D7" i="1906"/>
  <c r="S33" i="1906" l="1"/>
  <c r="J33" i="1906"/>
  <c r="K33" i="1906"/>
  <c r="W33" i="1906"/>
  <c r="D33" i="1906"/>
  <c r="Z33" i="1906"/>
  <c r="Y33" i="1906"/>
  <c r="N33" i="1906"/>
  <c r="Q33" i="1906"/>
  <c r="E33" i="1906"/>
  <c r="M33" i="1906"/>
  <c r="V33" i="1906"/>
  <c r="AA33" i="1905"/>
  <c r="X33" i="1905"/>
  <c r="U33" i="1905"/>
  <c r="R33" i="1905"/>
  <c r="O33" i="1905"/>
  <c r="L33" i="1905"/>
  <c r="F33" i="1905"/>
  <c r="Y28" i="1905"/>
  <c r="X28" i="1905"/>
  <c r="W28" i="1905"/>
  <c r="V28" i="1905"/>
  <c r="U28" i="1905"/>
  <c r="T28" i="1905"/>
  <c r="S28" i="1905"/>
  <c r="R28" i="1905"/>
  <c r="Q28" i="1905"/>
  <c r="P28" i="1905"/>
  <c r="O28" i="1905"/>
  <c r="N28" i="1905"/>
  <c r="M28" i="1905"/>
  <c r="L28" i="1905"/>
  <c r="K28" i="1905"/>
  <c r="J28" i="1905"/>
  <c r="I28" i="1905"/>
  <c r="H28" i="1905"/>
  <c r="G28" i="1905"/>
  <c r="F28" i="1905"/>
  <c r="E28" i="1905"/>
  <c r="D28" i="1905"/>
  <c r="Y25" i="1905"/>
  <c r="X25" i="1905"/>
  <c r="W25" i="1905"/>
  <c r="V25" i="1905"/>
  <c r="U25" i="1905"/>
  <c r="T25" i="1905"/>
  <c r="S25" i="1905"/>
  <c r="R25" i="1905"/>
  <c r="Q25" i="1905"/>
  <c r="P25" i="1905"/>
  <c r="O25" i="1905"/>
  <c r="N25" i="1905"/>
  <c r="M25" i="1905"/>
  <c r="L25" i="1905"/>
  <c r="K25" i="1905"/>
  <c r="J25" i="1905"/>
  <c r="I25" i="1905"/>
  <c r="H25" i="1905"/>
  <c r="G25" i="1905"/>
  <c r="F25" i="1905"/>
  <c r="E25" i="1905"/>
  <c r="D25" i="1905"/>
  <c r="AE19" i="1905"/>
  <c r="AD19" i="1905"/>
  <c r="AC19" i="1905"/>
  <c r="AB19" i="1905"/>
  <c r="AA19" i="1905"/>
  <c r="Z19" i="1905"/>
  <c r="Y19" i="1905"/>
  <c r="X19" i="1905"/>
  <c r="T33" i="1905" s="1"/>
  <c r="W19" i="1905"/>
  <c r="V19" i="1905"/>
  <c r="U19" i="1905"/>
  <c r="T19" i="1905"/>
  <c r="S19" i="1905"/>
  <c r="R19" i="1905"/>
  <c r="Q19" i="1905"/>
  <c r="P19" i="1905"/>
  <c r="O19" i="1905"/>
  <c r="N19" i="1905"/>
  <c r="H33" i="1905" s="1"/>
  <c r="M19" i="1905"/>
  <c r="L19" i="1905"/>
  <c r="P33" i="1905" s="1"/>
  <c r="K19" i="1905"/>
  <c r="J19" i="1905"/>
  <c r="I19" i="1905"/>
  <c r="AB33" i="1905" s="1"/>
  <c r="H19" i="1905"/>
  <c r="G19" i="1905"/>
  <c r="F19" i="1905"/>
  <c r="E19" i="1905"/>
  <c r="D19" i="1905"/>
  <c r="AE16" i="1905"/>
  <c r="AD16" i="1905"/>
  <c r="AC16" i="1905"/>
  <c r="AB16" i="1905"/>
  <c r="AA16" i="1905"/>
  <c r="Z16" i="1905"/>
  <c r="X16" i="1905"/>
  <c r="W16" i="1905"/>
  <c r="V16" i="1905"/>
  <c r="U16" i="1905"/>
  <c r="T16" i="1905"/>
  <c r="S16" i="1905"/>
  <c r="R16" i="1905"/>
  <c r="Q16" i="1905"/>
  <c r="P16" i="1905"/>
  <c r="O16" i="1905"/>
  <c r="N16" i="1905"/>
  <c r="M16" i="1905"/>
  <c r="L16" i="1905"/>
  <c r="K16" i="1905"/>
  <c r="J16" i="1905"/>
  <c r="I16" i="1905"/>
  <c r="H16" i="1905"/>
  <c r="G16" i="1905"/>
  <c r="F16" i="1905"/>
  <c r="E16" i="1905"/>
  <c r="D16" i="1905"/>
  <c r="AE10" i="1905"/>
  <c r="AD10" i="1905"/>
  <c r="AC33" i="1905" s="1"/>
  <c r="AC10" i="1905"/>
  <c r="AB10" i="1905"/>
  <c r="AA10" i="1905"/>
  <c r="Z10" i="1905"/>
  <c r="Y10" i="1905"/>
  <c r="X10" i="1905"/>
  <c r="W10" i="1905"/>
  <c r="V10" i="1905"/>
  <c r="U10" i="1905"/>
  <c r="T10" i="1905"/>
  <c r="S10" i="1905"/>
  <c r="R10" i="1905"/>
  <c r="Q10" i="1905"/>
  <c r="P10" i="1905"/>
  <c r="O10" i="1905"/>
  <c r="N10" i="1905"/>
  <c r="Q33" i="1905" s="1"/>
  <c r="M10" i="1905"/>
  <c r="L10" i="1905"/>
  <c r="N33" i="1905" s="1"/>
  <c r="K10" i="1905"/>
  <c r="J10" i="1905"/>
  <c r="I10" i="1905"/>
  <c r="H10" i="1905"/>
  <c r="G10" i="1905"/>
  <c r="F10" i="1905"/>
  <c r="J33" i="1905" s="1"/>
  <c r="E10" i="1905"/>
  <c r="S33" i="1905" s="1"/>
  <c r="D10" i="1905"/>
  <c r="AE7" i="1905"/>
  <c r="AD7" i="1905"/>
  <c r="AC7" i="1905"/>
  <c r="AB7" i="1905"/>
  <c r="AA7" i="1905"/>
  <c r="Z7" i="1905"/>
  <c r="Y7" i="1905"/>
  <c r="X7" i="1905"/>
  <c r="W7" i="1905"/>
  <c r="V7" i="1905"/>
  <c r="U7" i="1905"/>
  <c r="T7" i="1905"/>
  <c r="S7" i="1905"/>
  <c r="R7" i="1905"/>
  <c r="Q7" i="1905"/>
  <c r="P7" i="1905"/>
  <c r="O7" i="1905"/>
  <c r="N7" i="1905"/>
  <c r="M7" i="1905"/>
  <c r="L7" i="1905"/>
  <c r="K7" i="1905"/>
  <c r="J7" i="1905"/>
  <c r="I7" i="1905"/>
  <c r="H7" i="1905"/>
  <c r="G7" i="1905"/>
  <c r="F7" i="1905"/>
  <c r="E7" i="1905"/>
  <c r="D7" i="1905"/>
  <c r="W33" i="1905" l="1"/>
  <c r="D33" i="1905"/>
  <c r="Z33" i="1905"/>
  <c r="Y33" i="1905"/>
  <c r="E33" i="1905"/>
  <c r="K33" i="1905"/>
  <c r="M33" i="1905"/>
  <c r="V33" i="1905"/>
  <c r="AA33" i="1904"/>
  <c r="X33" i="1904"/>
  <c r="U33" i="1904"/>
  <c r="R33" i="1904"/>
  <c r="O33" i="1904"/>
  <c r="N33" i="1904"/>
  <c r="L33" i="1904"/>
  <c r="F33" i="1904"/>
  <c r="Y28" i="1904"/>
  <c r="X28" i="1904"/>
  <c r="W28" i="1904"/>
  <c r="V28" i="1904"/>
  <c r="U28" i="1904"/>
  <c r="T28" i="1904"/>
  <c r="S28" i="1904"/>
  <c r="R28" i="1904"/>
  <c r="Q28" i="1904"/>
  <c r="P28" i="1904"/>
  <c r="O28" i="1904"/>
  <c r="N28" i="1904"/>
  <c r="M28" i="1904"/>
  <c r="L28" i="1904"/>
  <c r="K28" i="1904"/>
  <c r="J28" i="1904"/>
  <c r="I28" i="1904"/>
  <c r="H28" i="1904"/>
  <c r="G28" i="1904"/>
  <c r="F28" i="1904"/>
  <c r="E28" i="1904"/>
  <c r="D28" i="1904"/>
  <c r="Y25" i="1904"/>
  <c r="X25" i="1904"/>
  <c r="W25" i="1904"/>
  <c r="V25" i="1904"/>
  <c r="U25" i="1904"/>
  <c r="T25" i="1904"/>
  <c r="S25" i="1904"/>
  <c r="R25" i="1904"/>
  <c r="Q25" i="1904"/>
  <c r="P25" i="1904"/>
  <c r="O25" i="1904"/>
  <c r="N25" i="1904"/>
  <c r="M25" i="1904"/>
  <c r="L25" i="1904"/>
  <c r="K25" i="1904"/>
  <c r="J25" i="1904"/>
  <c r="I25" i="1904"/>
  <c r="H25" i="1904"/>
  <c r="G25" i="1904"/>
  <c r="F25" i="1904"/>
  <c r="E25" i="1904"/>
  <c r="D25" i="1904"/>
  <c r="AE19" i="1904"/>
  <c r="AD19" i="1904"/>
  <c r="AC19" i="1904"/>
  <c r="AB19" i="1904"/>
  <c r="AA19" i="1904"/>
  <c r="Z19" i="1904"/>
  <c r="Y19" i="1904"/>
  <c r="X19" i="1904"/>
  <c r="T33" i="1904" s="1"/>
  <c r="W19" i="1904"/>
  <c r="V19" i="1904"/>
  <c r="U19" i="1904"/>
  <c r="T19" i="1904"/>
  <c r="S19" i="1904"/>
  <c r="R19" i="1904"/>
  <c r="Q19" i="1904"/>
  <c r="P19" i="1904"/>
  <c r="O19" i="1904"/>
  <c r="N19" i="1904"/>
  <c r="H33" i="1904" s="1"/>
  <c r="M19" i="1904"/>
  <c r="L19" i="1904"/>
  <c r="P33" i="1904" s="1"/>
  <c r="K19" i="1904"/>
  <c r="J19" i="1904"/>
  <c r="I19" i="1904"/>
  <c r="AB33" i="1904" s="1"/>
  <c r="H19" i="1904"/>
  <c r="G19" i="1904"/>
  <c r="F19" i="1904"/>
  <c r="E19" i="1904"/>
  <c r="D19" i="1904"/>
  <c r="AE16" i="1904"/>
  <c r="AD16" i="1904"/>
  <c r="AC16" i="1904"/>
  <c r="AB16" i="1904"/>
  <c r="AA16" i="1904"/>
  <c r="Z16" i="1904"/>
  <c r="X16" i="1904"/>
  <c r="W16" i="1904"/>
  <c r="V16" i="1904"/>
  <c r="U16" i="1904"/>
  <c r="T16" i="1904"/>
  <c r="S16" i="1904"/>
  <c r="R16" i="1904"/>
  <c r="Q16" i="1904"/>
  <c r="P16" i="1904"/>
  <c r="O16" i="1904"/>
  <c r="N16" i="1904"/>
  <c r="M16" i="1904"/>
  <c r="L16" i="1904"/>
  <c r="K16" i="1904"/>
  <c r="J16" i="1904"/>
  <c r="I16" i="1904"/>
  <c r="H16" i="1904"/>
  <c r="G16" i="1904"/>
  <c r="F16" i="1904"/>
  <c r="E16" i="1904"/>
  <c r="D16" i="1904"/>
  <c r="AE10" i="1904"/>
  <c r="AD10" i="1904"/>
  <c r="AC33" i="1904" s="1"/>
  <c r="AC10" i="1904"/>
  <c r="AB10" i="1904"/>
  <c r="AA10" i="1904"/>
  <c r="Z10" i="1904"/>
  <c r="Y10" i="1904"/>
  <c r="X10" i="1904"/>
  <c r="W10" i="1904"/>
  <c r="V10" i="1904"/>
  <c r="U10" i="1904"/>
  <c r="T10" i="1904"/>
  <c r="S10" i="1904"/>
  <c r="R10" i="1904"/>
  <c r="Q10" i="1904"/>
  <c r="P10" i="1904"/>
  <c r="O10" i="1904"/>
  <c r="N10" i="1904"/>
  <c r="M10" i="1904"/>
  <c r="L10" i="1904"/>
  <c r="K10" i="1904"/>
  <c r="J10" i="1904"/>
  <c r="I10" i="1904"/>
  <c r="H10" i="1904"/>
  <c r="G10" i="1904"/>
  <c r="F10" i="1904"/>
  <c r="J33" i="1904" s="1"/>
  <c r="E10" i="1904"/>
  <c r="S33" i="1904" s="1"/>
  <c r="D10" i="1904"/>
  <c r="AE7" i="1904"/>
  <c r="AD7" i="1904"/>
  <c r="AC7" i="1904"/>
  <c r="AB7" i="1904"/>
  <c r="AA7" i="1904"/>
  <c r="Z7" i="1904"/>
  <c r="Y7" i="1904"/>
  <c r="X7" i="1904"/>
  <c r="W7" i="1904"/>
  <c r="V7" i="1904"/>
  <c r="U7" i="1904"/>
  <c r="T7" i="1904"/>
  <c r="S7" i="1904"/>
  <c r="R7" i="1904"/>
  <c r="Q7" i="1904"/>
  <c r="P7" i="1904"/>
  <c r="O7" i="1904"/>
  <c r="N7" i="1904"/>
  <c r="M7" i="1904"/>
  <c r="L7" i="1904"/>
  <c r="K7" i="1904"/>
  <c r="J7" i="1904"/>
  <c r="I7" i="1904"/>
  <c r="H7" i="1904"/>
  <c r="G7" i="1904"/>
  <c r="F7" i="1904"/>
  <c r="E7" i="1904"/>
  <c r="D7" i="1904"/>
  <c r="K33" i="1904" l="1"/>
  <c r="W33" i="1904"/>
  <c r="D33" i="1904"/>
  <c r="Z33" i="1904"/>
  <c r="Y33" i="1904"/>
  <c r="Q33" i="1904"/>
  <c r="E33" i="1904"/>
  <c r="M33" i="1904"/>
  <c r="V33" i="1904"/>
  <c r="AA33" i="1903"/>
  <c r="X33" i="1903"/>
  <c r="U33" i="1903"/>
  <c r="R33" i="1903"/>
  <c r="O33" i="1903"/>
  <c r="L33" i="1903"/>
  <c r="F33" i="1903"/>
  <c r="Y28" i="1903"/>
  <c r="X28" i="1903"/>
  <c r="W28" i="1903"/>
  <c r="V28" i="1903"/>
  <c r="U28" i="1903"/>
  <c r="T28" i="1903"/>
  <c r="S28" i="1903"/>
  <c r="R28" i="1903"/>
  <c r="Q28" i="1903"/>
  <c r="P28" i="1903"/>
  <c r="O28" i="1903"/>
  <c r="N28" i="1903"/>
  <c r="M28" i="1903"/>
  <c r="L28" i="1903"/>
  <c r="K28" i="1903"/>
  <c r="J28" i="1903"/>
  <c r="I28" i="1903"/>
  <c r="H28" i="1903"/>
  <c r="G28" i="1903"/>
  <c r="F28" i="1903"/>
  <c r="E28" i="1903"/>
  <c r="D28" i="1903"/>
  <c r="Y25" i="1903"/>
  <c r="X25" i="1903"/>
  <c r="W25" i="1903"/>
  <c r="V25" i="1903"/>
  <c r="U25" i="1903"/>
  <c r="T25" i="1903"/>
  <c r="S25" i="1903"/>
  <c r="R25" i="1903"/>
  <c r="Q25" i="1903"/>
  <c r="P25" i="1903"/>
  <c r="O25" i="1903"/>
  <c r="N25" i="1903"/>
  <c r="M25" i="1903"/>
  <c r="L25" i="1903"/>
  <c r="K25" i="1903"/>
  <c r="J25" i="1903"/>
  <c r="I25" i="1903"/>
  <c r="H25" i="1903"/>
  <c r="G25" i="1903"/>
  <c r="F25" i="1903"/>
  <c r="E25" i="1903"/>
  <c r="D25" i="1903"/>
  <c r="AE19" i="1903"/>
  <c r="AD19" i="1903"/>
  <c r="AC19" i="1903"/>
  <c r="AB19" i="1903"/>
  <c r="AA19" i="1903"/>
  <c r="Z19" i="1903"/>
  <c r="Y19" i="1903"/>
  <c r="X19" i="1903"/>
  <c r="T33" i="1903" s="1"/>
  <c r="W19" i="1903"/>
  <c r="V19" i="1903"/>
  <c r="U19" i="1903"/>
  <c r="T19" i="1903"/>
  <c r="S19" i="1903"/>
  <c r="R19" i="1903"/>
  <c r="Q19" i="1903"/>
  <c r="P19" i="1903"/>
  <c r="O19" i="1903"/>
  <c r="N19" i="1903"/>
  <c r="H33" i="1903" s="1"/>
  <c r="M19" i="1903"/>
  <c r="L19" i="1903"/>
  <c r="P33" i="1903" s="1"/>
  <c r="K19" i="1903"/>
  <c r="J19" i="1903"/>
  <c r="I19" i="1903"/>
  <c r="AB33" i="1903" s="1"/>
  <c r="H19" i="1903"/>
  <c r="G19" i="1903"/>
  <c r="F19" i="1903"/>
  <c r="E19" i="1903"/>
  <c r="D19" i="1903"/>
  <c r="AE16" i="1903"/>
  <c r="AD16" i="1903"/>
  <c r="AC16" i="1903"/>
  <c r="AB16" i="1903"/>
  <c r="AA16" i="1903"/>
  <c r="Z16" i="1903"/>
  <c r="X16" i="1903"/>
  <c r="W16" i="1903"/>
  <c r="V16" i="1903"/>
  <c r="U16" i="1903"/>
  <c r="T16" i="1903"/>
  <c r="S16" i="1903"/>
  <c r="R16" i="1903"/>
  <c r="Q16" i="1903"/>
  <c r="P16" i="1903"/>
  <c r="O16" i="1903"/>
  <c r="N16" i="1903"/>
  <c r="M16" i="1903"/>
  <c r="L16" i="1903"/>
  <c r="K16" i="1903"/>
  <c r="J16" i="1903"/>
  <c r="I16" i="1903"/>
  <c r="H16" i="1903"/>
  <c r="G16" i="1903"/>
  <c r="F16" i="1903"/>
  <c r="E16" i="1903"/>
  <c r="D16" i="1903"/>
  <c r="AE10" i="1903"/>
  <c r="AD10" i="1903"/>
  <c r="AC33" i="1903" s="1"/>
  <c r="AC10" i="1903"/>
  <c r="AB10" i="1903"/>
  <c r="AA10" i="1903"/>
  <c r="Z10" i="1903"/>
  <c r="Y10" i="1903"/>
  <c r="X10" i="1903"/>
  <c r="W10" i="1903"/>
  <c r="V10" i="1903"/>
  <c r="U10" i="1903"/>
  <c r="T10" i="1903"/>
  <c r="S10" i="1903"/>
  <c r="R10" i="1903"/>
  <c r="Q10" i="1903"/>
  <c r="P10" i="1903"/>
  <c r="O10" i="1903"/>
  <c r="N10" i="1903"/>
  <c r="Q33" i="1903" s="1"/>
  <c r="M10" i="1903"/>
  <c r="L10" i="1903"/>
  <c r="N33" i="1903" s="1"/>
  <c r="K10" i="1903"/>
  <c r="J10" i="1903"/>
  <c r="I10" i="1903"/>
  <c r="H10" i="1903"/>
  <c r="G10" i="1903"/>
  <c r="F10" i="1903"/>
  <c r="J33" i="1903" s="1"/>
  <c r="E10" i="1903"/>
  <c r="S33" i="1903" s="1"/>
  <c r="D10" i="1903"/>
  <c r="AE7" i="1903"/>
  <c r="AD7" i="1903"/>
  <c r="AC7" i="1903"/>
  <c r="AB7" i="1903"/>
  <c r="AA7" i="1903"/>
  <c r="Z7" i="1903"/>
  <c r="Y7" i="1903"/>
  <c r="X7" i="1903"/>
  <c r="W7" i="1903"/>
  <c r="V7" i="1903"/>
  <c r="U7" i="1903"/>
  <c r="T7" i="1903"/>
  <c r="S7" i="1903"/>
  <c r="R7" i="1903"/>
  <c r="Q7" i="1903"/>
  <c r="P7" i="1903"/>
  <c r="O7" i="1903"/>
  <c r="N7" i="1903"/>
  <c r="M7" i="1903"/>
  <c r="L7" i="1903"/>
  <c r="K7" i="1903"/>
  <c r="J7" i="1903"/>
  <c r="I7" i="1903"/>
  <c r="H7" i="1903"/>
  <c r="G7" i="1903"/>
  <c r="F7" i="1903"/>
  <c r="E7" i="1903"/>
  <c r="D7" i="1903"/>
  <c r="K33" i="1903" l="1"/>
  <c r="W33" i="1903"/>
  <c r="Z33" i="1903"/>
  <c r="D33" i="1903"/>
  <c r="Y33" i="1903"/>
  <c r="E33" i="1903"/>
  <c r="M33" i="1903"/>
  <c r="V33" i="1903"/>
  <c r="AA33" i="1902"/>
  <c r="X33" i="1902"/>
  <c r="U33" i="1902"/>
  <c r="R33" i="1902"/>
  <c r="O33" i="1902"/>
  <c r="L33" i="1902"/>
  <c r="F33" i="1902"/>
  <c r="Y28" i="1902"/>
  <c r="X28" i="1902"/>
  <c r="W28" i="1902"/>
  <c r="V28" i="1902"/>
  <c r="U28" i="1902"/>
  <c r="T28" i="1902"/>
  <c r="S28" i="1902"/>
  <c r="R28" i="1902"/>
  <c r="Q28" i="1902"/>
  <c r="P28" i="1902"/>
  <c r="O28" i="1902"/>
  <c r="N28" i="1902"/>
  <c r="M28" i="1902"/>
  <c r="L28" i="1902"/>
  <c r="K28" i="1902"/>
  <c r="J28" i="1902"/>
  <c r="I28" i="1902"/>
  <c r="H28" i="1902"/>
  <c r="G28" i="1902"/>
  <c r="F28" i="1902"/>
  <c r="E28" i="1902"/>
  <c r="D28" i="1902"/>
  <c r="Y25" i="1902"/>
  <c r="X25" i="1902"/>
  <c r="W25" i="1902"/>
  <c r="V25" i="1902"/>
  <c r="U25" i="1902"/>
  <c r="T25" i="1902"/>
  <c r="S25" i="1902"/>
  <c r="R25" i="1902"/>
  <c r="Q25" i="1902"/>
  <c r="P25" i="1902"/>
  <c r="O25" i="1902"/>
  <c r="N25" i="1902"/>
  <c r="M25" i="1902"/>
  <c r="L25" i="1902"/>
  <c r="K25" i="1902"/>
  <c r="J25" i="1902"/>
  <c r="I25" i="1902"/>
  <c r="H25" i="1902"/>
  <c r="G25" i="1902"/>
  <c r="F25" i="1902"/>
  <c r="E25" i="1902"/>
  <c r="D25" i="1902"/>
  <c r="AE19" i="1902"/>
  <c r="AD19" i="1902"/>
  <c r="AC19" i="1902"/>
  <c r="AB19" i="1902"/>
  <c r="AA19" i="1902"/>
  <c r="Z19" i="1902"/>
  <c r="Y19" i="1902"/>
  <c r="X19" i="1902"/>
  <c r="T33" i="1902" s="1"/>
  <c r="W19" i="1902"/>
  <c r="V19" i="1902"/>
  <c r="U19" i="1902"/>
  <c r="T19" i="1902"/>
  <c r="S19" i="1902"/>
  <c r="R19" i="1902"/>
  <c r="Q19" i="1902"/>
  <c r="P19" i="1902"/>
  <c r="O19" i="1902"/>
  <c r="N19" i="1902"/>
  <c r="H33" i="1902" s="1"/>
  <c r="M19" i="1902"/>
  <c r="L19" i="1902"/>
  <c r="P33" i="1902" s="1"/>
  <c r="K19" i="1902"/>
  <c r="J19" i="1902"/>
  <c r="I19" i="1902"/>
  <c r="AB33" i="1902" s="1"/>
  <c r="H19" i="1902"/>
  <c r="G19" i="1902"/>
  <c r="F19" i="1902"/>
  <c r="E19" i="1902"/>
  <c r="D19" i="1902"/>
  <c r="AE16" i="1902"/>
  <c r="AD16" i="1902"/>
  <c r="AC16" i="1902"/>
  <c r="AB16" i="1902"/>
  <c r="AA16" i="1902"/>
  <c r="Z16" i="1902"/>
  <c r="X16" i="1902"/>
  <c r="W16" i="1902"/>
  <c r="V16" i="1902"/>
  <c r="U16" i="1902"/>
  <c r="T16" i="1902"/>
  <c r="S16" i="1902"/>
  <c r="R16" i="1902"/>
  <c r="Q16" i="1902"/>
  <c r="P16" i="1902"/>
  <c r="O16" i="1902"/>
  <c r="N16" i="1902"/>
  <c r="M16" i="1902"/>
  <c r="L16" i="1902"/>
  <c r="K16" i="1902"/>
  <c r="J16" i="1902"/>
  <c r="I16" i="1902"/>
  <c r="H16" i="1902"/>
  <c r="G16" i="1902"/>
  <c r="F16" i="1902"/>
  <c r="E16" i="1902"/>
  <c r="D16" i="1902"/>
  <c r="AE10" i="1902"/>
  <c r="AD10" i="1902"/>
  <c r="AC33" i="1902" s="1"/>
  <c r="AC10" i="1902"/>
  <c r="AB10" i="1902"/>
  <c r="AA10" i="1902"/>
  <c r="Z10" i="1902"/>
  <c r="Y10" i="1902"/>
  <c r="X10" i="1902"/>
  <c r="W10" i="1902"/>
  <c r="V10" i="1902"/>
  <c r="U10" i="1902"/>
  <c r="T10" i="1902"/>
  <c r="S10" i="1902"/>
  <c r="R10" i="1902"/>
  <c r="Q10" i="1902"/>
  <c r="P10" i="1902"/>
  <c r="O10" i="1902"/>
  <c r="N10" i="1902"/>
  <c r="Q33" i="1902" s="1"/>
  <c r="M10" i="1902"/>
  <c r="L10" i="1902"/>
  <c r="N33" i="1902" s="1"/>
  <c r="K10" i="1902"/>
  <c r="J10" i="1902"/>
  <c r="I10" i="1902"/>
  <c r="H10" i="1902"/>
  <c r="G10" i="1902"/>
  <c r="F10" i="1902"/>
  <c r="J33" i="1902" s="1"/>
  <c r="E10" i="1902"/>
  <c r="S33" i="1902" s="1"/>
  <c r="D10" i="1902"/>
  <c r="AE7" i="1902"/>
  <c r="AD7" i="1902"/>
  <c r="AC7" i="1902"/>
  <c r="AB7" i="1902"/>
  <c r="AA7" i="1902"/>
  <c r="Z7" i="1902"/>
  <c r="Y7" i="1902"/>
  <c r="X7" i="1902"/>
  <c r="W7" i="1902"/>
  <c r="V7" i="1902"/>
  <c r="U7" i="1902"/>
  <c r="T7" i="1902"/>
  <c r="S7" i="1902"/>
  <c r="R7" i="1902"/>
  <c r="Q7" i="1902"/>
  <c r="P7" i="1902"/>
  <c r="O7" i="1902"/>
  <c r="N7" i="1902"/>
  <c r="M7" i="1902"/>
  <c r="L7" i="1902"/>
  <c r="K7" i="1902"/>
  <c r="J7" i="1902"/>
  <c r="I7" i="1902"/>
  <c r="H7" i="1902"/>
  <c r="G7" i="1902"/>
  <c r="F7" i="1902"/>
  <c r="E7" i="1902"/>
  <c r="D7" i="1902"/>
  <c r="K33" i="1902" l="1"/>
  <c r="W33" i="1902"/>
  <c r="Z33" i="1902"/>
  <c r="D33" i="1902"/>
  <c r="Y33" i="1902"/>
  <c r="E33" i="1902"/>
  <c r="M33" i="1902"/>
  <c r="V33" i="1902"/>
  <c r="AA33" i="1901"/>
  <c r="X33" i="1901"/>
  <c r="U33" i="1901"/>
  <c r="R33" i="1901"/>
  <c r="O33" i="1901"/>
  <c r="L33" i="1901"/>
  <c r="F33" i="1901"/>
  <c r="Y28" i="1901"/>
  <c r="X28" i="1901"/>
  <c r="W28" i="1901"/>
  <c r="V28" i="1901"/>
  <c r="U28" i="1901"/>
  <c r="T28" i="1901"/>
  <c r="S28" i="1901"/>
  <c r="R28" i="1901"/>
  <c r="Q28" i="1901"/>
  <c r="P28" i="1901"/>
  <c r="O28" i="1901"/>
  <c r="N28" i="1901"/>
  <c r="M28" i="1901"/>
  <c r="L28" i="1901"/>
  <c r="K28" i="1901"/>
  <c r="J28" i="1901"/>
  <c r="I28" i="1901"/>
  <c r="H28" i="1901"/>
  <c r="G28" i="1901"/>
  <c r="F28" i="1901"/>
  <c r="E28" i="1901"/>
  <c r="D28" i="1901"/>
  <c r="Y25" i="1901"/>
  <c r="X25" i="1901"/>
  <c r="W25" i="1901"/>
  <c r="V25" i="1901"/>
  <c r="U25" i="1901"/>
  <c r="T25" i="1901"/>
  <c r="S25" i="1901"/>
  <c r="R25" i="1901"/>
  <c r="Q25" i="1901"/>
  <c r="P25" i="1901"/>
  <c r="O25" i="1901"/>
  <c r="N25" i="1901"/>
  <c r="M25" i="1901"/>
  <c r="L25" i="1901"/>
  <c r="K25" i="1901"/>
  <c r="J25" i="1901"/>
  <c r="I25" i="1901"/>
  <c r="H25" i="1901"/>
  <c r="G25" i="1901"/>
  <c r="F25" i="1901"/>
  <c r="E25" i="1901"/>
  <c r="D25" i="1901"/>
  <c r="AE19" i="1901"/>
  <c r="AD19" i="1901"/>
  <c r="AC19" i="1901"/>
  <c r="AB19" i="1901"/>
  <c r="AA19" i="1901"/>
  <c r="Z19" i="1901"/>
  <c r="Y19" i="1901"/>
  <c r="X19" i="1901"/>
  <c r="T33" i="1901" s="1"/>
  <c r="W19" i="1901"/>
  <c r="V19" i="1901"/>
  <c r="W33" i="1901" s="1"/>
  <c r="U19" i="1901"/>
  <c r="T19" i="1901"/>
  <c r="S19" i="1901"/>
  <c r="R19" i="1901"/>
  <c r="Q19" i="1901"/>
  <c r="P19" i="1901"/>
  <c r="O19" i="1901"/>
  <c r="N19" i="1901"/>
  <c r="H33" i="1901" s="1"/>
  <c r="M19" i="1901"/>
  <c r="L19" i="1901"/>
  <c r="P33" i="1901" s="1"/>
  <c r="K19" i="1901"/>
  <c r="J19" i="1901"/>
  <c r="I19" i="1901"/>
  <c r="AB33" i="1901" s="1"/>
  <c r="H19" i="1901"/>
  <c r="G19" i="1901"/>
  <c r="F19" i="1901"/>
  <c r="E19" i="1901"/>
  <c r="D19" i="1901"/>
  <c r="AE16" i="1901"/>
  <c r="AD16" i="1901"/>
  <c r="AC16" i="1901"/>
  <c r="AB16" i="1901"/>
  <c r="AA16" i="1901"/>
  <c r="Z16" i="1901"/>
  <c r="X16" i="1901"/>
  <c r="W16" i="1901"/>
  <c r="V16" i="1901"/>
  <c r="U16" i="1901"/>
  <c r="T16" i="1901"/>
  <c r="S16" i="1901"/>
  <c r="R16" i="1901"/>
  <c r="Q16" i="1901"/>
  <c r="P16" i="1901"/>
  <c r="O16" i="1901"/>
  <c r="N16" i="1901"/>
  <c r="M16" i="1901"/>
  <c r="L16" i="1901"/>
  <c r="K16" i="1901"/>
  <c r="J16" i="1901"/>
  <c r="I16" i="1901"/>
  <c r="H16" i="1901"/>
  <c r="G16" i="1901"/>
  <c r="F16" i="1901"/>
  <c r="E16" i="1901"/>
  <c r="D16" i="1901"/>
  <c r="AE10" i="1901"/>
  <c r="AD10" i="1901"/>
  <c r="AC33" i="1901" s="1"/>
  <c r="AC10" i="1901"/>
  <c r="AB10" i="1901"/>
  <c r="AA10" i="1901"/>
  <c r="D33" i="1901" s="1"/>
  <c r="Z10" i="1901"/>
  <c r="Y10" i="1901"/>
  <c r="X10" i="1901"/>
  <c r="W10" i="1901"/>
  <c r="V10" i="1901"/>
  <c r="U10" i="1901"/>
  <c r="T10" i="1901"/>
  <c r="S10" i="1901"/>
  <c r="R10" i="1901"/>
  <c r="Q10" i="1901"/>
  <c r="P10" i="1901"/>
  <c r="O10" i="1901"/>
  <c r="N10" i="1901"/>
  <c r="M10" i="1901"/>
  <c r="L10" i="1901"/>
  <c r="N33" i="1901" s="1"/>
  <c r="K10" i="1901"/>
  <c r="J10" i="1901"/>
  <c r="I10" i="1901"/>
  <c r="H10" i="1901"/>
  <c r="G10" i="1901"/>
  <c r="F10" i="1901"/>
  <c r="J33" i="1901" s="1"/>
  <c r="E10" i="1901"/>
  <c r="S33" i="1901" s="1"/>
  <c r="D10" i="1901"/>
  <c r="AE7" i="1901"/>
  <c r="AD7" i="1901"/>
  <c r="AC7" i="1901"/>
  <c r="AB7" i="1901"/>
  <c r="AA7" i="1901"/>
  <c r="Z7" i="1901"/>
  <c r="Y7" i="1901"/>
  <c r="X7" i="1901"/>
  <c r="W7" i="1901"/>
  <c r="V7" i="1901"/>
  <c r="U7" i="1901"/>
  <c r="T7" i="1901"/>
  <c r="S7" i="1901"/>
  <c r="R7" i="1901"/>
  <c r="Q7" i="1901"/>
  <c r="P7" i="1901"/>
  <c r="O7" i="1901"/>
  <c r="N7" i="1901"/>
  <c r="M7" i="1901"/>
  <c r="L7" i="1901"/>
  <c r="K7" i="1901"/>
  <c r="J7" i="1901"/>
  <c r="I7" i="1901"/>
  <c r="H7" i="1901"/>
  <c r="G7" i="1901"/>
  <c r="F7" i="1901"/>
  <c r="E7" i="1901"/>
  <c r="D7" i="1901"/>
  <c r="AA33" i="1899"/>
  <c r="X33" i="1899"/>
  <c r="W33" i="1899"/>
  <c r="U33" i="1899"/>
  <c r="R33" i="1899"/>
  <c r="O33" i="1899"/>
  <c r="N33" i="1899"/>
  <c r="L33" i="1899"/>
  <c r="H33" i="1899"/>
  <c r="F33" i="1899"/>
  <c r="E33" i="1899"/>
  <c r="Y28" i="1899"/>
  <c r="X28" i="1899"/>
  <c r="W28" i="1899"/>
  <c r="V28" i="1899"/>
  <c r="U28" i="1899"/>
  <c r="T28" i="1899"/>
  <c r="S28" i="1899"/>
  <c r="R28" i="1899"/>
  <c r="Q28" i="1899"/>
  <c r="P28" i="1899"/>
  <c r="O28" i="1899"/>
  <c r="N28" i="1899"/>
  <c r="M28" i="1899"/>
  <c r="L28" i="1899"/>
  <c r="K28" i="1899"/>
  <c r="J28" i="1899"/>
  <c r="I28" i="1899"/>
  <c r="H28" i="1899"/>
  <c r="G28" i="1899"/>
  <c r="F28" i="1899"/>
  <c r="E28" i="1899"/>
  <c r="D28" i="1899"/>
  <c r="Y25" i="1899"/>
  <c r="X25" i="1899"/>
  <c r="W25" i="1899"/>
  <c r="V25" i="1899"/>
  <c r="U25" i="1899"/>
  <c r="T25" i="1899"/>
  <c r="S25" i="1899"/>
  <c r="R25" i="1899"/>
  <c r="Q25" i="1899"/>
  <c r="P25" i="1899"/>
  <c r="O25" i="1899"/>
  <c r="N25" i="1899"/>
  <c r="M25" i="1899"/>
  <c r="L25" i="1899"/>
  <c r="K25" i="1899"/>
  <c r="J25" i="1899"/>
  <c r="I25" i="1899"/>
  <c r="H25" i="1899"/>
  <c r="G25" i="1899"/>
  <c r="F25" i="1899"/>
  <c r="E25" i="1899"/>
  <c r="D25" i="1899"/>
  <c r="AE19" i="1899"/>
  <c r="AD19" i="1899"/>
  <c r="AC19" i="1899"/>
  <c r="AB19" i="1899"/>
  <c r="AA19" i="1899"/>
  <c r="Z19" i="1899"/>
  <c r="Y19" i="1899"/>
  <c r="X19" i="1899"/>
  <c r="T33" i="1899" s="1"/>
  <c r="W19" i="1899"/>
  <c r="V19" i="1899"/>
  <c r="U19" i="1899"/>
  <c r="T19" i="1899"/>
  <c r="S19" i="1899"/>
  <c r="R19" i="1899"/>
  <c r="Q19" i="1899"/>
  <c r="P19" i="1899"/>
  <c r="O19" i="1899"/>
  <c r="N19" i="1899"/>
  <c r="M19" i="1899"/>
  <c r="L19" i="1899"/>
  <c r="P33" i="1899" s="1"/>
  <c r="K19" i="1899"/>
  <c r="J19" i="1899"/>
  <c r="I19" i="1899"/>
  <c r="AB33" i="1899" s="1"/>
  <c r="H19" i="1899"/>
  <c r="G19" i="1899"/>
  <c r="F19" i="1899"/>
  <c r="E19" i="1899"/>
  <c r="D19" i="1899"/>
  <c r="AE16" i="1899"/>
  <c r="AD16" i="1899"/>
  <c r="AC16" i="1899"/>
  <c r="AB16" i="1899"/>
  <c r="AA16" i="1899"/>
  <c r="Z16" i="1899"/>
  <c r="X16" i="1899"/>
  <c r="W16" i="1899"/>
  <c r="V16" i="1899"/>
  <c r="U16" i="1899"/>
  <c r="T16" i="1899"/>
  <c r="S16" i="1899"/>
  <c r="R16" i="1899"/>
  <c r="Q16" i="1899"/>
  <c r="P16" i="1899"/>
  <c r="O16" i="1899"/>
  <c r="N16" i="1899"/>
  <c r="M16" i="1899"/>
  <c r="L16" i="1899"/>
  <c r="K16" i="1899"/>
  <c r="J16" i="1899"/>
  <c r="I16" i="1899"/>
  <c r="H16" i="1899"/>
  <c r="G16" i="1899"/>
  <c r="F16" i="1899"/>
  <c r="E16" i="1899"/>
  <c r="D16" i="1899"/>
  <c r="AE10" i="1899"/>
  <c r="AD10" i="1899"/>
  <c r="AC33" i="1899" s="1"/>
  <c r="AC10" i="1899"/>
  <c r="AB10" i="1899"/>
  <c r="AA10" i="1899"/>
  <c r="D33" i="1899" s="1"/>
  <c r="Z10" i="1899"/>
  <c r="Y10" i="1899"/>
  <c r="X10" i="1899"/>
  <c r="W10" i="1899"/>
  <c r="V10" i="1899"/>
  <c r="U10" i="1899"/>
  <c r="T10" i="1899"/>
  <c r="S10" i="1899"/>
  <c r="R10" i="1899"/>
  <c r="Q10" i="1899"/>
  <c r="Y33" i="1899" s="1"/>
  <c r="P10" i="1899"/>
  <c r="O10" i="1899"/>
  <c r="K33" i="1899" s="1"/>
  <c r="N10" i="1899"/>
  <c r="Q33" i="1899" s="1"/>
  <c r="M10" i="1899"/>
  <c r="L10" i="1899"/>
  <c r="K10" i="1899"/>
  <c r="J10" i="1899"/>
  <c r="I10" i="1899"/>
  <c r="H10" i="1899"/>
  <c r="G10" i="1899"/>
  <c r="M33" i="1899" s="1"/>
  <c r="F10" i="1899"/>
  <c r="J33" i="1899" s="1"/>
  <c r="E10" i="1899"/>
  <c r="S33" i="1899" s="1"/>
  <c r="D10" i="1899"/>
  <c r="Z33" i="1899" s="1"/>
  <c r="AE7" i="1899"/>
  <c r="AD7" i="1899"/>
  <c r="AC7" i="1899"/>
  <c r="AB7" i="1899"/>
  <c r="AA7" i="1899"/>
  <c r="Z7" i="1899"/>
  <c r="Y7" i="1899"/>
  <c r="X7" i="1899"/>
  <c r="W7" i="1899"/>
  <c r="V7" i="1899"/>
  <c r="U7" i="1899"/>
  <c r="T7" i="1899"/>
  <c r="S7" i="1899"/>
  <c r="R7" i="1899"/>
  <c r="Q7" i="1899"/>
  <c r="P7" i="1899"/>
  <c r="O7" i="1899"/>
  <c r="N7" i="1899"/>
  <c r="M7" i="1899"/>
  <c r="L7" i="1899"/>
  <c r="K7" i="1899"/>
  <c r="J7" i="1899"/>
  <c r="I7" i="1899"/>
  <c r="H7" i="1899"/>
  <c r="G7" i="1899"/>
  <c r="F7" i="1899"/>
  <c r="E7" i="1899"/>
  <c r="D7" i="1899"/>
  <c r="Z33" i="1901" l="1"/>
  <c r="Y33" i="1901"/>
  <c r="Q33" i="1901"/>
  <c r="E33" i="1901"/>
  <c r="K33" i="1901"/>
  <c r="M33" i="1901"/>
  <c r="V33" i="1901"/>
  <c r="V33" i="1899"/>
  <c r="AA33" i="1898"/>
  <c r="X33" i="1898"/>
  <c r="U33" i="1898"/>
  <c r="R33" i="1898"/>
  <c r="O33" i="1898"/>
  <c r="L33" i="1898"/>
  <c r="F33" i="1898"/>
  <c r="Y28" i="1898"/>
  <c r="X28" i="1898"/>
  <c r="W28" i="1898"/>
  <c r="V28" i="1898"/>
  <c r="U28" i="1898"/>
  <c r="T28" i="1898"/>
  <c r="S28" i="1898"/>
  <c r="R28" i="1898"/>
  <c r="Q28" i="1898"/>
  <c r="P28" i="1898"/>
  <c r="O28" i="1898"/>
  <c r="N28" i="1898"/>
  <c r="M28" i="1898"/>
  <c r="L28" i="1898"/>
  <c r="K28" i="1898"/>
  <c r="J28" i="1898"/>
  <c r="I28" i="1898"/>
  <c r="H28" i="1898"/>
  <c r="G28" i="1898"/>
  <c r="F28" i="1898"/>
  <c r="E28" i="1898"/>
  <c r="D28" i="1898"/>
  <c r="Y25" i="1898"/>
  <c r="X25" i="1898"/>
  <c r="W25" i="1898"/>
  <c r="V25" i="1898"/>
  <c r="U25" i="1898"/>
  <c r="T25" i="1898"/>
  <c r="S25" i="1898"/>
  <c r="R25" i="1898"/>
  <c r="Q25" i="1898"/>
  <c r="P25" i="1898"/>
  <c r="O25" i="1898"/>
  <c r="N25" i="1898"/>
  <c r="M25" i="1898"/>
  <c r="L25" i="1898"/>
  <c r="K25" i="1898"/>
  <c r="J25" i="1898"/>
  <c r="I25" i="1898"/>
  <c r="H25" i="1898"/>
  <c r="G25" i="1898"/>
  <c r="F25" i="1898"/>
  <c r="E25" i="1898"/>
  <c r="D25" i="1898"/>
  <c r="AE19" i="1898"/>
  <c r="AD19" i="1898"/>
  <c r="AC19" i="1898"/>
  <c r="AB19" i="1898"/>
  <c r="AA19" i="1898"/>
  <c r="Z19" i="1898"/>
  <c r="Y19" i="1898"/>
  <c r="X19" i="1898"/>
  <c r="T33" i="1898" s="1"/>
  <c r="W19" i="1898"/>
  <c r="V19" i="1898"/>
  <c r="U19" i="1898"/>
  <c r="T19" i="1898"/>
  <c r="S19" i="1898"/>
  <c r="R19" i="1898"/>
  <c r="Q19" i="1898"/>
  <c r="P19" i="1898"/>
  <c r="O19" i="1898"/>
  <c r="N19" i="1898"/>
  <c r="H33" i="1898" s="1"/>
  <c r="M19" i="1898"/>
  <c r="L19" i="1898"/>
  <c r="P33" i="1898" s="1"/>
  <c r="K19" i="1898"/>
  <c r="J19" i="1898"/>
  <c r="I19" i="1898"/>
  <c r="AB33" i="1898" s="1"/>
  <c r="H19" i="1898"/>
  <c r="G19" i="1898"/>
  <c r="F19" i="1898"/>
  <c r="E19" i="1898"/>
  <c r="D19" i="1898"/>
  <c r="AE16" i="1898"/>
  <c r="AD16" i="1898"/>
  <c r="AC16" i="1898"/>
  <c r="AB16" i="1898"/>
  <c r="AA16" i="1898"/>
  <c r="Z16" i="1898"/>
  <c r="X16" i="1898"/>
  <c r="W16" i="1898"/>
  <c r="V16" i="1898"/>
  <c r="U16" i="1898"/>
  <c r="T16" i="1898"/>
  <c r="S16" i="1898"/>
  <c r="R16" i="1898"/>
  <c r="Q16" i="1898"/>
  <c r="P16" i="1898"/>
  <c r="O16" i="1898"/>
  <c r="N16" i="1898"/>
  <c r="M16" i="1898"/>
  <c r="L16" i="1898"/>
  <c r="K16" i="1898"/>
  <c r="J16" i="1898"/>
  <c r="I16" i="1898"/>
  <c r="H16" i="1898"/>
  <c r="G16" i="1898"/>
  <c r="F16" i="1898"/>
  <c r="E16" i="1898"/>
  <c r="D16" i="1898"/>
  <c r="AE10" i="1898"/>
  <c r="AD10" i="1898"/>
  <c r="AC33" i="1898" s="1"/>
  <c r="AC10" i="1898"/>
  <c r="AB10" i="1898"/>
  <c r="AA10" i="1898"/>
  <c r="Z10" i="1898"/>
  <c r="Y10" i="1898"/>
  <c r="X10" i="1898"/>
  <c r="W10" i="1898"/>
  <c r="V10" i="1898"/>
  <c r="U10" i="1898"/>
  <c r="T10" i="1898"/>
  <c r="S10" i="1898"/>
  <c r="R10" i="1898"/>
  <c r="Q10" i="1898"/>
  <c r="P10" i="1898"/>
  <c r="O10" i="1898"/>
  <c r="N10" i="1898"/>
  <c r="M10" i="1898"/>
  <c r="L10" i="1898"/>
  <c r="K10" i="1898"/>
  <c r="J10" i="1898"/>
  <c r="I10" i="1898"/>
  <c r="H10" i="1898"/>
  <c r="G10" i="1898"/>
  <c r="F10" i="1898"/>
  <c r="J33" i="1898" s="1"/>
  <c r="E10" i="1898"/>
  <c r="S33" i="1898" s="1"/>
  <c r="D10" i="1898"/>
  <c r="AE7" i="1898"/>
  <c r="AD7" i="1898"/>
  <c r="AC7" i="1898"/>
  <c r="AB7" i="1898"/>
  <c r="AA7" i="1898"/>
  <c r="Z7" i="1898"/>
  <c r="Y7" i="1898"/>
  <c r="X7" i="1898"/>
  <c r="W7" i="1898"/>
  <c r="V7" i="1898"/>
  <c r="U7" i="1898"/>
  <c r="T7" i="1898"/>
  <c r="S7" i="1898"/>
  <c r="R7" i="1898"/>
  <c r="Q7" i="1898"/>
  <c r="P7" i="1898"/>
  <c r="O7" i="1898"/>
  <c r="N7" i="1898"/>
  <c r="M7" i="1898"/>
  <c r="L7" i="1898"/>
  <c r="K7" i="1898"/>
  <c r="J7" i="1898"/>
  <c r="I7" i="1898"/>
  <c r="H7" i="1898"/>
  <c r="G7" i="1898"/>
  <c r="F7" i="1898"/>
  <c r="E7" i="1898"/>
  <c r="D7" i="1898"/>
  <c r="K33" i="1898" l="1"/>
  <c r="W33" i="1898"/>
  <c r="D33" i="1898"/>
  <c r="Z33" i="1898"/>
  <c r="Y33" i="1898"/>
  <c r="N33" i="1898"/>
  <c r="Q33" i="1898"/>
  <c r="E33" i="1898"/>
  <c r="M33" i="1898"/>
  <c r="V33" i="1898"/>
  <c r="S51" i="13" l="1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<sst xmlns="http://schemas.openxmlformats.org/spreadsheetml/2006/main" count="18150" uniqueCount="648">
  <si>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</si>
  <si>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</si>
  <si>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</si>
  <si>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</si>
  <si>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</si>
  <si>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</si>
  <si>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</si>
  <si>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</si>
  <si>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</si>
  <si>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</si>
  <si>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</si>
  <si>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</si>
  <si>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</si>
  <si>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</si>
  <si>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</si>
  <si>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</si>
  <si>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</si>
  <si>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</si>
  <si>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</si>
  <si>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</si>
  <si>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</si>
  <si>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</si>
  <si>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</si>
  <si>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</si>
  <si>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</si>
  <si>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</si>
  <si>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</si>
  <si>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</si>
  <si>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</si>
  <si>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</si>
  <si>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</si>
  <si>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</si>
  <si>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</si>
  <si>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</si>
  <si>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</si>
  <si>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</si>
  <si>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</si>
  <si>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</si>
  <si>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</si>
  <si>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</si>
  <si>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</si>
  <si>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</si>
  <si>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</si>
  <si>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</si>
  <si>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</si>
  <si>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</si>
  <si>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</si>
  <si>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</si>
  <si>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</si>
  <si>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</si>
  <si>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</si>
  <si>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</si>
  <si>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</si>
  <si>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</si>
  <si>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</si>
  <si>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</si>
  <si>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</si>
  <si>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</si>
  <si>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</si>
  <si>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</si>
  <si>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</si>
  <si>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</si>
  <si>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</si>
  <si>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</si>
  <si>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</si>
  <si>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</si>
  <si>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</si>
  <si>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</si>
  <si>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</si>
  <si>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</si>
  <si>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</si>
  <si>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</si>
  <si>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</si>
  <si>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</si>
  <si>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</si>
  <si>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</si>
  <si>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</si>
  <si>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</si>
  <si>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</si>
  <si>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</si>
  <si>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</si>
  <si>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</si>
  <si>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</si>
  <si>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</si>
  <si>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</si>
  <si>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</si>
  <si>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</si>
  <si>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</si>
  <si>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</si>
  <si>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</si>
  <si>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</si>
  <si>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</si>
  <si>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</si>
  <si>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</si>
  <si>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</si>
  <si>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</si>
  <si>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</si>
  <si>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</si>
  <si>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</si>
  <si>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</si>
  <si>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</si>
  <si>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</si>
  <si>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</si>
  <si>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</si>
  <si>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</si>
  <si>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</si>
  <si>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</si>
  <si>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</si>
  <si>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</si>
  <si>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槽號</t>
    <phoneticPr fontId="2" type="noConversion"/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</si>
  <si>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</si>
  <si>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</si>
  <si>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</si>
  <si>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</si>
  <si>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</si>
  <si>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</si>
  <si>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</si>
  <si>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</si>
  <si>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</si>
  <si>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</si>
  <si>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</si>
  <si>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</si>
  <si>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</si>
  <si>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</si>
  <si>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</si>
  <si>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</si>
  <si>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</si>
  <si>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</si>
  <si>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</si>
  <si>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</si>
  <si>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</si>
  <si>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</si>
  <si>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</si>
  <si>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</si>
  <si>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</si>
  <si>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</si>
  <si>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</si>
  <si>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</si>
  <si>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</si>
  <si>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</si>
  <si>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</si>
  <si>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</si>
  <si>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</si>
  <si>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</si>
  <si>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</si>
  <si>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</si>
  <si>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</si>
  <si>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</si>
  <si>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</si>
  <si>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</si>
  <si>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</si>
  <si>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</si>
  <si>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</si>
  <si>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</si>
  <si>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</si>
  <si>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</si>
  <si>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</si>
  <si>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</si>
  <si>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</si>
  <si>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</si>
  <si>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</si>
  <si>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</si>
  <si>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</si>
  <si>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</si>
  <si>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</si>
  <si>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</si>
  <si>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</si>
  <si>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</si>
  <si>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</si>
  <si>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</si>
  <si>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</si>
  <si>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</si>
  <si>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</si>
  <si>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</si>
  <si>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</si>
  <si>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</si>
  <si>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</si>
  <si>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</si>
  <si>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</si>
  <si>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</si>
  <si>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</si>
  <si>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</si>
  <si>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</si>
  <si>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</si>
  <si>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</si>
  <si>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</si>
  <si>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</si>
  <si>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</si>
  <si>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溫度</t>
    <phoneticPr fontId="2" type="noConversion"/>
  </si>
  <si>
    <t>液位</t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</si>
  <si>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</si>
  <si>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</si>
  <si>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</si>
  <si>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</si>
  <si>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</si>
  <si>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</si>
  <si>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</si>
  <si>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</si>
  <si>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</si>
  <si>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</si>
  <si>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</si>
  <si>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</si>
  <si>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</si>
  <si>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</si>
  <si>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</si>
  <si>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</si>
  <si>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</si>
  <si>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</si>
  <si>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</si>
  <si>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</si>
  <si>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</si>
  <si>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</si>
  <si>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</si>
  <si>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</si>
  <si>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</si>
  <si>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</si>
  <si>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</si>
  <si>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</si>
  <si>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</si>
  <si>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</si>
  <si>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</si>
  <si>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</si>
  <si>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</si>
  <si>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</si>
  <si>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</si>
  <si>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</si>
  <si>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</si>
  <si>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</si>
  <si>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</si>
  <si>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</si>
  <si>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</si>
  <si>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</si>
  <si>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</si>
  <si>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</si>
  <si>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</si>
  <si>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</si>
  <si>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</si>
  <si>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</si>
  <si>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</si>
  <si>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</si>
  <si>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</si>
  <si>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</si>
  <si>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</si>
  <si>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</si>
  <si>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</si>
  <si>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</si>
  <si>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</si>
  <si>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</si>
  <si>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</si>
  <si>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</si>
  <si>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</si>
  <si>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</si>
  <si>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</si>
  <si>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</si>
  <si>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</si>
  <si>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</si>
  <si>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</si>
  <si>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</si>
  <si>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</si>
  <si>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</si>
  <si>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</si>
  <si>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</si>
  <si>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</si>
  <si>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</si>
  <si>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</si>
  <si>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</si>
  <si>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</si>
  <si>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</si>
  <si>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</si>
  <si>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</si>
  <si>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</si>
  <si>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</si>
  <si>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</si>
  <si>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</si>
  <si>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</si>
  <si>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</si>
  <si>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</si>
  <si>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</si>
  <si>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</si>
  <si>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</si>
  <si>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</si>
  <si>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</si>
  <si>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</si>
  <si>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</si>
  <si>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</si>
  <si>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</si>
  <si>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</si>
  <si>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</si>
  <si>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</si>
  <si>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</si>
  <si>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</si>
  <si>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</si>
  <si>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</si>
  <si>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</si>
  <si>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</si>
  <si>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</si>
  <si>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</si>
  <si>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</si>
  <si>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</si>
  <si>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</si>
  <si>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</si>
  <si>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</si>
  <si>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</si>
  <si>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</si>
  <si>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</si>
  <si>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</si>
  <si>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</si>
  <si>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</si>
  <si>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</si>
  <si>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</si>
  <si>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</si>
  <si>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</si>
  <si>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</si>
  <si>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</si>
  <si>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</si>
  <si>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</si>
  <si>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</si>
  <si>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</si>
  <si>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</si>
  <si>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</si>
  <si>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</si>
  <si>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</si>
  <si>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</si>
  <si>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</si>
  <si>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</si>
  <si>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</si>
  <si>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</si>
  <si>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</si>
  <si>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</si>
  <si>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</si>
  <si>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</si>
  <si>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</si>
  <si>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</si>
  <si>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</si>
  <si>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</si>
  <si>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</si>
  <si>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</si>
  <si>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</si>
  <si>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</si>
  <si>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</si>
  <si>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</si>
  <si>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</si>
  <si>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</si>
  <si>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</si>
  <si>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</si>
  <si>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</si>
  <si>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</si>
  <si>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</si>
  <si>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</si>
  <si>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</si>
  <si>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</si>
  <si>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</si>
  <si>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</si>
  <si>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</si>
  <si>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</si>
  <si>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</si>
  <si>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</si>
  <si>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</si>
  <si>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</si>
  <si>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</si>
  <si>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</si>
  <si>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</si>
  <si>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</si>
  <si>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</si>
  <si>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</si>
  <si>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</si>
  <si>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</si>
  <si>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</si>
  <si>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</si>
  <si>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</si>
  <si>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</si>
  <si>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</si>
  <si>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</si>
  <si>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</si>
  <si>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</si>
  <si>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</si>
  <si>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</si>
  <si>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</si>
  <si>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</si>
  <si>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</si>
  <si>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</si>
  <si>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</si>
  <si>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</si>
  <si>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</si>
  <si>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</si>
  <si>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</si>
  <si>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</si>
  <si>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</si>
  <si>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</si>
  <si>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</si>
  <si>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</si>
  <si>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</si>
  <si>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</si>
  <si>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</si>
  <si>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</si>
  <si>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</si>
  <si>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</si>
  <si>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</si>
  <si>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</si>
  <si>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</si>
  <si>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</si>
  <si>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</si>
  <si>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</si>
  <si>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</si>
  <si>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</si>
  <si>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</si>
  <si>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</si>
  <si>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</si>
  <si>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</si>
  <si>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</si>
  <si>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</si>
  <si>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</si>
  <si>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</si>
  <si>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</si>
  <si>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</si>
  <si>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</si>
  <si>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</si>
  <si>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</si>
  <si>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</si>
  <si>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</si>
  <si>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</si>
  <si>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</si>
  <si>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</si>
  <si>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</si>
  <si>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</si>
  <si>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</si>
  <si>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</si>
  <si>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</si>
  <si>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</si>
  <si>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</si>
  <si>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</si>
  <si>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</si>
  <si>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</si>
  <si>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</si>
  <si>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</si>
  <si>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</si>
  <si>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</si>
  <si>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</si>
  <si>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</si>
  <si>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</si>
  <si>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</si>
  <si>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</si>
  <si>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</si>
  <si>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</si>
  <si>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</si>
  <si>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</si>
  <si>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</si>
  <si>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</si>
  <si>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</si>
  <si>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</si>
  <si>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</si>
  <si>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</si>
  <si>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</si>
  <si>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</si>
  <si>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</si>
  <si>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</si>
  <si>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</si>
  <si>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</si>
  <si>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</si>
  <si>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</si>
  <si>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</si>
  <si>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</si>
  <si>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</si>
  <si>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</si>
  <si>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</si>
  <si>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</si>
  <si>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</si>
  <si>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</si>
  <si>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</si>
  <si>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</si>
  <si>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</si>
  <si>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</si>
  <si>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</si>
  <si>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</si>
  <si>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</si>
  <si>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</si>
  <si>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</si>
  <si>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</si>
  <si>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</si>
  <si>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</si>
  <si>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</si>
  <si>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</si>
  <si>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</si>
  <si>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</si>
  <si>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</si>
  <si>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</si>
  <si>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</si>
  <si>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</si>
  <si>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</si>
  <si>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</si>
  <si>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</si>
  <si>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</si>
  <si>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</si>
  <si>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</si>
  <si>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</si>
  <si>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</si>
  <si>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</si>
  <si>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</si>
  <si>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</si>
  <si>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</si>
  <si>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</si>
  <si>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</si>
  <si>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</si>
  <si>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</si>
  <si>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</si>
  <si>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</si>
  <si>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</si>
  <si>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</si>
  <si>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</si>
  <si>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</si>
  <si>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</si>
  <si>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</si>
  <si>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</si>
  <si>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</si>
  <si>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</si>
  <si>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</si>
  <si>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</si>
  <si>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</si>
  <si>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</si>
  <si>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</si>
  <si>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</si>
  <si>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</si>
  <si>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</si>
  <si>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</si>
  <si>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</si>
  <si>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</si>
  <si>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</si>
  <si>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</si>
  <si>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</si>
  <si>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</si>
  <si>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</si>
  <si>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</si>
  <si>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</si>
  <si>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</si>
  <si>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</si>
  <si>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</si>
  <si>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</si>
  <si>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</si>
  <si>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</si>
  <si>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</si>
  <si>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</si>
  <si>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</si>
  <si>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</si>
  <si>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</si>
  <si>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</si>
  <si>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</si>
  <si>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</si>
  <si>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</si>
  <si>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</si>
  <si>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</si>
  <si>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</si>
  <si>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</si>
  <si>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</si>
  <si>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</si>
  <si>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</si>
  <si>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</si>
  <si>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</si>
  <si>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</si>
  <si>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</si>
  <si>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</si>
  <si>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</si>
  <si>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</si>
  <si>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</si>
  <si>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</si>
  <si>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</si>
  <si>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</si>
  <si>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</si>
  <si>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</si>
  <si>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</si>
  <si>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</si>
  <si>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</si>
  <si>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</si>
  <si>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</si>
  <si>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</si>
  <si>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</si>
  <si>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</si>
  <si>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</si>
  <si>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</si>
  <si>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</si>
  <si>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</si>
  <si>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</si>
  <si>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</si>
  <si>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</si>
  <si>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</si>
  <si>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</si>
  <si>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</si>
  <si>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</si>
  <si>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</si>
  <si>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</si>
  <si>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</si>
  <si>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</si>
  <si>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</si>
  <si>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</si>
  <si>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</si>
  <si>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</si>
  <si>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</si>
  <si>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</si>
  <si>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</si>
  <si>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</si>
  <si>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</si>
  <si>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</si>
  <si>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</si>
  <si>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</si>
  <si>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</si>
  <si>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</si>
  <si>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</si>
  <si>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</si>
  <si>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</si>
  <si>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EBR-P4</t>
    <phoneticPr fontId="3" type="noConversion"/>
  </si>
  <si>
    <r>
      <t>EBR</t>
    </r>
    <r>
      <rPr>
        <sz val="7"/>
        <color theme="1"/>
        <rFont val="微軟正黑體"/>
        <family val="2"/>
        <charset val="136"/>
      </rPr>
      <t>廢溶劑</t>
    </r>
    <phoneticPr fontId="3" type="noConversion"/>
  </si>
  <si>
    <t>PMUPS</t>
    <phoneticPr fontId="3" type="noConversion"/>
  </si>
  <si>
    <t>待處理廢水</t>
    <phoneticPr fontId="2" type="noConversion"/>
  </si>
  <si>
    <t>待處理廢水</t>
    <phoneticPr fontId="3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</si>
  <si>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</si>
  <si>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</si>
  <si>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</si>
  <si>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</si>
  <si>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</si>
  <si>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</si>
  <si>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</si>
  <si>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</si>
  <si>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</si>
  <si>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</si>
  <si>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</si>
  <si>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</si>
  <si>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</si>
  <si>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</si>
  <si>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</si>
  <si>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</si>
  <si>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</si>
  <si>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</si>
  <si>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</si>
  <si>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</si>
  <si>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</si>
  <si>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</si>
  <si>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</si>
  <si>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</si>
  <si>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IPA-1</t>
  </si>
  <si>
    <t>IPA</t>
    <phoneticPr fontId="2" type="noConversion"/>
  </si>
  <si>
    <t>EBR-P1</t>
    <phoneticPr fontId="2" type="noConversion"/>
  </si>
  <si>
    <t>C50110-INV-01(01)</t>
    <phoneticPr fontId="3" type="noConversion"/>
  </si>
  <si>
    <t>IPA-1</t>
    <phoneticPr fontId="3" type="noConversion"/>
  </si>
  <si>
    <t>蔡承易</t>
    <phoneticPr fontId="2" type="noConversion"/>
  </si>
  <si>
    <t>許原暢</t>
    <phoneticPr fontId="2" type="noConversion"/>
  </si>
  <si>
    <t>2CPN-P1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</si>
  <si>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27
蒸氣壓力 ______ (最低氣溫低於16度開啟)</t>
    <phoneticPr fontId="3" type="noConversion"/>
  </si>
  <si>
    <t>洪源松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</si>
  <si>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28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</si>
</sst>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_);[Red]\(0\)"/>
    <numFmt numFmtId="177" formatCode="0_ "/>
    <numFmt numFmtId="178" formatCode="_(* #,##0.00_);_(* \(#,##0.00\);_(* &quot;-&quot;??_);_(@_)"/>
    <numFmt numFmtId="179" formatCode="_(&quot;$&quot;* #,##0.00_);_(&quot;$&quot;* \(#,##0.00\);_(&quot;$&quot;* &quot;-&quot;??_);_(@_)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0"/>
      <color theme="7" tint="-0.499984740745262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7"/>
      <color theme="1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48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7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6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6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6" fontId="20" fillId="2" borderId="11" xfId="1" applyNumberFormat="1" applyFont="1" applyFill="1" applyBorder="1" applyAlignment="1">
      <alignment horizontal="center" vertical="center" wrapText="1"/>
    </xf>
    <xf numFmtId="177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7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2" fillId="2" borderId="3" xfId="1" applyFont="1" applyFill="1" applyBorder="1" applyAlignment="1">
      <alignment horizontal="center" vertical="top"/>
    </xf>
    <xf numFmtId="0" fontId="33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2" fontId="18" fillId="2" borderId="52" xfId="1" applyNumberFormat="1" applyFont="1" applyFill="1" applyBorder="1" applyAlignment="1" applyProtection="1">
      <alignment vertical="center"/>
      <protection locked="0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2" borderId="0" xfId="1" applyFont="1" applyFill="1" applyAlignment="1">
      <alignment horizontal="center" vertical="center"/>
    </xf>
    <xf numFmtId="176" fontId="14" fillId="2" borderId="0" xfId="1" applyNumberFormat="1" applyFont="1" applyFill="1" applyAlignment="1">
      <alignment horizontal="center" vertical="center"/>
    </xf>
    <xf numFmtId="177" fontId="20" fillId="2" borderId="2" xfId="1" applyNumberFormat="1" applyFont="1" applyFill="1" applyBorder="1" applyAlignment="1">
      <alignment horizontal="center" vertical="center"/>
    </xf>
    <xf numFmtId="177" fontId="20" fillId="2" borderId="4" xfId="1" applyNumberFormat="1" applyFont="1" applyFill="1" applyBorder="1" applyAlignment="1">
      <alignment horizontal="center" vertical="center"/>
    </xf>
    <xf numFmtId="177" fontId="20" fillId="2" borderId="13" xfId="1" applyNumberFormat="1" applyFont="1" applyFill="1" applyBorder="1" applyAlignment="1">
      <alignment horizontal="center" vertical="center"/>
    </xf>
    <xf numFmtId="177" fontId="20" fillId="2" borderId="15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/>
    </xf>
    <xf numFmtId="177" fontId="20" fillId="2" borderId="16" xfId="1" applyNumberFormat="1" applyFont="1" applyFill="1" applyBorder="1" applyAlignment="1">
      <alignment horizontal="center" vertical="center"/>
    </xf>
    <xf numFmtId="176" fontId="20" fillId="2" borderId="2" xfId="1" applyNumberFormat="1" applyFont="1" applyFill="1" applyBorder="1" applyAlignment="1">
      <alignment horizontal="center" vertical="center"/>
    </xf>
    <xf numFmtId="176" fontId="20" fillId="2" borderId="4" xfId="1" applyNumberFormat="1" applyFont="1" applyFill="1" applyBorder="1" applyAlignment="1">
      <alignment horizontal="center" vertical="center"/>
    </xf>
    <xf numFmtId="177" fontId="20" fillId="2" borderId="37" xfId="1" applyNumberFormat="1" applyFont="1" applyFill="1" applyBorder="1" applyAlignment="1">
      <alignment horizontal="center" vertical="center"/>
    </xf>
    <xf numFmtId="177" fontId="20" fillId="2" borderId="61" xfId="1" applyNumberFormat="1" applyFont="1" applyFill="1" applyBorder="1" applyAlignment="1">
      <alignment horizontal="center" vertical="center"/>
    </xf>
    <xf numFmtId="177" fontId="20" fillId="2" borderId="40" xfId="1" applyNumberFormat="1" applyFont="1" applyFill="1" applyBorder="1" applyAlignment="1">
      <alignment horizontal="center" vertical="center"/>
    </xf>
    <xf numFmtId="177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7" fontId="20" fillId="2" borderId="2" xfId="1" applyNumberFormat="1" applyFont="1" applyFill="1" applyBorder="1" applyAlignment="1">
      <alignment horizontal="center" vertical="center" wrapText="1"/>
    </xf>
    <xf numFmtId="177" fontId="20" fillId="2" borderId="4" xfId="1" applyNumberFormat="1" applyFont="1" applyFill="1" applyBorder="1" applyAlignment="1">
      <alignment horizontal="center" vertical="center" wrapText="1"/>
    </xf>
    <xf numFmtId="176" fontId="20" fillId="2" borderId="2" xfId="1" applyNumberFormat="1" applyFont="1" applyFill="1" applyBorder="1" applyAlignment="1">
      <alignment horizontal="center" vertical="center" wrapText="1"/>
    </xf>
    <xf numFmtId="176" fontId="20" fillId="2" borderId="4" xfId="1" applyNumberFormat="1" applyFont="1" applyFill="1" applyBorder="1" applyAlignment="1">
      <alignment horizontal="center" vertical="center" wrapText="1"/>
    </xf>
    <xf numFmtId="177" fontId="20" fillId="2" borderId="13" xfId="1" applyNumberFormat="1" applyFont="1" applyFill="1" applyBorder="1" applyAlignment="1">
      <alignment horizontal="center" vertical="center" wrapText="1"/>
    </xf>
    <xf numFmtId="177" fontId="20" fillId="2" borderId="15" xfId="1" applyNumberFormat="1" applyFont="1" applyFill="1" applyBorder="1" applyAlignment="1">
      <alignment horizontal="center" vertical="center" wrapText="1"/>
    </xf>
    <xf numFmtId="176" fontId="20" fillId="2" borderId="14" xfId="1" applyNumberFormat="1" applyFont="1" applyFill="1" applyBorder="1" applyAlignment="1">
      <alignment horizontal="center" vertical="center"/>
    </xf>
    <xf numFmtId="176" fontId="20" fillId="2" borderId="16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 wrapText="1"/>
    </xf>
    <xf numFmtId="177" fontId="20" fillId="2" borderId="16" xfId="1" applyNumberFormat="1" applyFont="1" applyFill="1" applyBorder="1" applyAlignment="1">
      <alignment horizontal="center" vertical="center" wrapText="1"/>
    </xf>
    <xf numFmtId="177" fontId="20" fillId="2" borderId="13" xfId="4" applyNumberFormat="1" applyFont="1" applyFill="1" applyBorder="1" applyAlignment="1">
      <alignment horizontal="center" vertical="center" wrapText="1"/>
    </xf>
    <xf numFmtId="177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6" fontId="20" fillId="2" borderId="13" xfId="3" applyNumberFormat="1" applyFont="1" applyFill="1" applyBorder="1" applyAlignment="1">
      <alignment horizontal="center" vertical="center"/>
    </xf>
    <xf numFmtId="176" fontId="20" fillId="2" borderId="15" xfId="3" applyNumberFormat="1" applyFont="1" applyFill="1" applyBorder="1" applyAlignment="1">
      <alignment horizontal="center" vertical="center"/>
    </xf>
    <xf numFmtId="176" fontId="20" fillId="2" borderId="14" xfId="3" applyNumberFormat="1" applyFont="1" applyFill="1" applyBorder="1" applyAlignment="1">
      <alignment horizontal="center" vertical="center"/>
    </xf>
    <xf numFmtId="176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16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53340</xdr:colOff>
          <xdr:row>15</xdr:row>
          <xdr:rowOff>198120</xdr:rowOff>
        </xdr:from>
        <xdr:to>
          <xdr:col>15</xdr:col>
          <xdr:colOff>518160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25</xdr:row>
          <xdr:rowOff>60960</xdr:rowOff>
        </xdr:from>
        <xdr:to>
          <xdr:col>15</xdr:col>
          <xdr:colOff>541020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07777" name="Button 1" hidden="1">
              <a:extLst>
                <a:ext uri="{63B3BB69-23CF-44E3-9099-C40C66FF867C}">
                  <a14:compatExt spid="_x0000_s2507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09825" name="Button 1" hidden="1">
              <a:extLst>
                <a:ext uri="{63B3BB69-23CF-44E3-9099-C40C66FF867C}">
                  <a14:compatExt spid="_x0000_s2509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11873" name="Button 1" hidden="1">
              <a:extLst>
                <a:ext uri="{63B3BB69-23CF-44E3-9099-C40C66FF867C}">
                  <a14:compatExt spid="_x0000_s251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13921" name="Button 1" hidden="1">
              <a:extLst>
                <a:ext uri="{63B3BB69-23CF-44E3-9099-C40C66FF867C}">
                  <a14:compatExt spid="_x0000_s2513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15969" name="Button 1" hidden="1">
              <a:extLst>
                <a:ext uri="{63B3BB69-23CF-44E3-9099-C40C66FF867C}">
                  <a14:compatExt spid="_x0000_s251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16993" name="Button 1" hidden="1">
              <a:extLst>
                <a:ext uri="{63B3BB69-23CF-44E3-9099-C40C66FF867C}">
                  <a14:compatExt spid="_x0000_s2516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19041" name="Button 1" hidden="1">
              <a:extLst>
                <a:ext uri="{63B3BB69-23CF-44E3-9099-C40C66FF867C}">
                  <a14:compatExt spid="_x0000_s25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1089" name="Button 1" hidden="1">
              <a:extLst>
                <a:ext uri="{63B3BB69-23CF-44E3-9099-C40C66FF867C}">
                  <a14:compatExt spid="_x0000_s252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3137" name="Button 1" hidden="1">
              <a:extLst>
                <a:ext uri="{63B3BB69-23CF-44E3-9099-C40C66FF867C}">
                  <a14:compatExt spid="_x0000_s252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5185" name="Button 1" hidden="1">
              <a:extLst>
                <a:ext uri="{63B3BB69-23CF-44E3-9099-C40C66FF867C}">
                  <a14:compatExt spid="_x0000_s252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6209" name="Button 1" hidden="1">
              <a:extLst>
                <a:ext uri="{63B3BB69-23CF-44E3-9099-C40C66FF867C}">
                  <a14:compatExt spid="_x0000_s2526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7233" name="Button 1" hidden="1">
              <a:extLst>
                <a:ext uri="{63B3BB69-23CF-44E3-9099-C40C66FF867C}">
                  <a14:compatExt spid="_x0000_s252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9281" name="Button 1" hidden="1">
              <a:extLst>
                <a:ext uri="{63B3BB69-23CF-44E3-9099-C40C66FF867C}">
                  <a14:compatExt spid="_x0000_s2529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1552" dataDxfId="1551" headerRowCellStyle="一般 2" dataCellStyle="一般 2">
  <autoFilter ref="AG13:BH189"/>
  <tableColumns count="28">
    <tableColumn id="1" uniqueName="1" name="請直接以10進位，謝謝" queryTableFieldId="1" dataDxfId="1550" dataCellStyle="一般 2"/>
    <tableColumn id="2" uniqueName="2" name="F2" queryTableFieldId="2" dataDxfId="1549" dataCellStyle="一般 2"/>
    <tableColumn id="3" uniqueName="3" name="F3" queryTableFieldId="3" dataDxfId="1548" dataCellStyle="一般 2"/>
    <tableColumn id="4" uniqueName="4" name="F4" queryTableFieldId="4" dataDxfId="1547" dataCellStyle="一般 2"/>
    <tableColumn id="5" uniqueName="5" name="F5" queryTableFieldId="5" dataDxfId="1546" dataCellStyle="一般 2"/>
    <tableColumn id="6" uniqueName="6" name="F6" queryTableFieldId="6" dataDxfId="1545" dataCellStyle="一般 2"/>
    <tableColumn id="7" uniqueName="7" name="F7" queryTableFieldId="7" dataDxfId="1544" dataCellStyle="一般 2"/>
    <tableColumn id="8" uniqueName="8" name="F8" queryTableFieldId="8" dataDxfId="1543" dataCellStyle="一般 2"/>
    <tableColumn id="9" uniqueName="9" name="F9" queryTableFieldId="9" dataDxfId="1542" dataCellStyle="一般 2"/>
    <tableColumn id="10" uniqueName="10" name="F10" queryTableFieldId="10" dataDxfId="1541" dataCellStyle="一般 2"/>
    <tableColumn id="11" uniqueName="11" name="F11" queryTableFieldId="11" dataDxfId="1540" dataCellStyle="一般 2"/>
    <tableColumn id="12" uniqueName="12" name="F12" queryTableFieldId="12" dataDxfId="1539" dataCellStyle="一般 2"/>
    <tableColumn id="13" uniqueName="13" name="F13" queryTableFieldId="13" dataDxfId="1538" dataCellStyle="一般 2"/>
    <tableColumn id="14" uniqueName="14" name="F14" queryTableFieldId="14" dataDxfId="1537" dataCellStyle="一般 2"/>
    <tableColumn id="15" uniqueName="15" name="F15" queryTableFieldId="15" dataDxfId="1536" dataCellStyle="一般 2"/>
    <tableColumn id="16" uniqueName="16" name="F16" queryTableFieldId="16" dataDxfId="1535" dataCellStyle="一般 2"/>
    <tableColumn id="17" uniqueName="17" name="F17" queryTableFieldId="17" dataDxfId="1534" dataCellStyle="一般 2"/>
    <tableColumn id="18" uniqueName="18" name="F18" queryTableFieldId="18" dataDxfId="1533" dataCellStyle="一般 2"/>
    <tableColumn id="19" uniqueName="19" name="F19" queryTableFieldId="19" dataDxfId="1532" dataCellStyle="一般 2"/>
    <tableColumn id="20" uniqueName="20" name="F20" queryTableFieldId="20" dataDxfId="1531" dataCellStyle="一般 2"/>
    <tableColumn id="21" uniqueName="21" name="F21" queryTableFieldId="21" dataDxfId="1530" dataCellStyle="一般 2"/>
    <tableColumn id="22" uniqueName="22" name="2024/6/24 14:52" queryTableFieldId="22" dataDxfId="1529" dataCellStyle="一般 2"/>
    <tableColumn id="23" uniqueName="23" name="F23" queryTableFieldId="23" dataDxfId="1528" dataCellStyle="一般 2"/>
    <tableColumn id="24" uniqueName="24" name="F24" queryTableFieldId="24" dataDxfId="1527" dataCellStyle="一般 2"/>
    <tableColumn id="25" uniqueName="25" name="F25" queryTableFieldId="25" dataDxfId="1526" dataCellStyle="一般 2"/>
    <tableColumn id="26" uniqueName="26" name="F26" queryTableFieldId="26" dataDxfId="1525" dataCellStyle="一般 2"/>
    <tableColumn id="27" uniqueName="27" name="F27" queryTableFieldId="27" dataDxfId="1524" dataCellStyle="一般 2"/>
    <tableColumn id="28" uniqueName="28" name="F28" queryTableFieldId="28" dataDxfId="1523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426" dataDxfId="1425" headerRowCellStyle="一般 2" dataCellStyle="一般 2">
  <autoFilter ref="AG13:BH189"/>
  <tableColumns count="28">
    <tableColumn id="1" uniqueName="1" name="請直接以10進位，謝謝" queryTableFieldId="1" dataDxfId="1424" dataCellStyle="一般 2"/>
    <tableColumn id="2" uniqueName="2" name="F2" queryTableFieldId="2" dataDxfId="1423" dataCellStyle="一般 2"/>
    <tableColumn id="3" uniqueName="3" name="F3" queryTableFieldId="3" dataDxfId="1422" dataCellStyle="一般 2"/>
    <tableColumn id="4" uniqueName="4" name="F4" queryTableFieldId="4" dataDxfId="1421" dataCellStyle="一般 2"/>
    <tableColumn id="5" uniqueName="5" name="F5" queryTableFieldId="5" dataDxfId="1420" dataCellStyle="一般 2"/>
    <tableColumn id="6" uniqueName="6" name="F6" queryTableFieldId="6" dataDxfId="1419" dataCellStyle="一般 2"/>
    <tableColumn id="7" uniqueName="7" name="F7" queryTableFieldId="7" dataDxfId="1418" dataCellStyle="一般 2"/>
    <tableColumn id="8" uniqueName="8" name="F8" queryTableFieldId="8" dataDxfId="1417" dataCellStyle="一般 2"/>
    <tableColumn id="9" uniqueName="9" name="F9" queryTableFieldId="9" dataDxfId="1416" dataCellStyle="一般 2"/>
    <tableColumn id="10" uniqueName="10" name="F10" queryTableFieldId="10" dataDxfId="1415" dataCellStyle="一般 2"/>
    <tableColumn id="11" uniqueName="11" name="F11" queryTableFieldId="11" dataDxfId="1414" dataCellStyle="一般 2"/>
    <tableColumn id="12" uniqueName="12" name="F12" queryTableFieldId="12" dataDxfId="1413" dataCellStyle="一般 2"/>
    <tableColumn id="13" uniqueName="13" name="F13" queryTableFieldId="13" dataDxfId="1412" dataCellStyle="一般 2"/>
    <tableColumn id="14" uniqueName="14" name="F14" queryTableFieldId="14" dataDxfId="1411" dataCellStyle="一般 2"/>
    <tableColumn id="15" uniqueName="15" name="F15" queryTableFieldId="15" dataDxfId="1410" dataCellStyle="一般 2"/>
    <tableColumn id="16" uniqueName="16" name="F16" queryTableFieldId="16" dataDxfId="1409" dataCellStyle="一般 2"/>
    <tableColumn id="17" uniqueName="17" name="F17" queryTableFieldId="17" dataDxfId="1408" dataCellStyle="一般 2"/>
    <tableColumn id="18" uniqueName="18" name="F18" queryTableFieldId="18" dataDxfId="1407" dataCellStyle="一般 2"/>
    <tableColumn id="19" uniqueName="19" name="F19" queryTableFieldId="19" dataDxfId="1406" dataCellStyle="一般 2"/>
    <tableColumn id="20" uniqueName="20" name="F20" queryTableFieldId="20" dataDxfId="1405" dataCellStyle="一般 2"/>
    <tableColumn id="21" uniqueName="21" name="F21" queryTableFieldId="21" dataDxfId="1404" dataCellStyle="一般 2"/>
    <tableColumn id="22" uniqueName="22" name="2024/6/24 14:52" queryTableFieldId="22" dataDxfId="1403" dataCellStyle="一般 2"/>
    <tableColumn id="23" uniqueName="23" name="F23" queryTableFieldId="23" dataDxfId="1402" dataCellStyle="一般 2"/>
    <tableColumn id="24" uniqueName="24" name="F24" queryTableFieldId="24" dataDxfId="1401" dataCellStyle="一般 2"/>
    <tableColumn id="25" uniqueName="25" name="F25" queryTableFieldId="25" dataDxfId="1400" dataCellStyle="一般 2"/>
    <tableColumn id="26" uniqueName="26" name="F26" queryTableFieldId="26" dataDxfId="1399" dataCellStyle="一般 2"/>
    <tableColumn id="27" uniqueName="27" name="F27" queryTableFieldId="27" dataDxfId="1398" dataCellStyle="一般 2"/>
    <tableColumn id="28" uniqueName="28" name="F28" queryTableFieldId="28" dataDxfId="1397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299" dataDxfId="1298" headerRowCellStyle="一般 2" dataCellStyle="一般 2">
  <autoFilter ref="AG13:BH189"/>
  <tableColumns count="28">
    <tableColumn id="1" uniqueName="1" name="請直接以10進位，謝謝" queryTableFieldId="1" dataDxfId="1297" dataCellStyle="一般 2"/>
    <tableColumn id="2" uniqueName="2" name="F2" queryTableFieldId="2" dataDxfId="1296" dataCellStyle="一般 2"/>
    <tableColumn id="3" uniqueName="3" name="F3" queryTableFieldId="3" dataDxfId="1295" dataCellStyle="一般 2"/>
    <tableColumn id="4" uniqueName="4" name="F4" queryTableFieldId="4" dataDxfId="1294" dataCellStyle="一般 2"/>
    <tableColumn id="5" uniqueName="5" name="F5" queryTableFieldId="5" dataDxfId="1293" dataCellStyle="一般 2"/>
    <tableColumn id="6" uniqueName="6" name="F6" queryTableFieldId="6" dataDxfId="1292" dataCellStyle="一般 2"/>
    <tableColumn id="7" uniqueName="7" name="F7" queryTableFieldId="7" dataDxfId="1291" dataCellStyle="一般 2"/>
    <tableColumn id="8" uniqueName="8" name="F8" queryTableFieldId="8" dataDxfId="1290" dataCellStyle="一般 2"/>
    <tableColumn id="9" uniqueName="9" name="F9" queryTableFieldId="9" dataDxfId="1289" dataCellStyle="一般 2"/>
    <tableColumn id="10" uniqueName="10" name="F10" queryTableFieldId="10" dataDxfId="1288" dataCellStyle="一般 2"/>
    <tableColumn id="11" uniqueName="11" name="F11" queryTableFieldId="11" dataDxfId="1287" dataCellStyle="一般 2"/>
    <tableColumn id="12" uniqueName="12" name="F12" queryTableFieldId="12" dataDxfId="1286" dataCellStyle="一般 2"/>
    <tableColumn id="13" uniqueName="13" name="F13" queryTableFieldId="13" dataDxfId="1285" dataCellStyle="一般 2"/>
    <tableColumn id="14" uniqueName="14" name="F14" queryTableFieldId="14" dataDxfId="1284" dataCellStyle="一般 2"/>
    <tableColumn id="15" uniqueName="15" name="F15" queryTableFieldId="15" dataDxfId="1283" dataCellStyle="一般 2"/>
    <tableColumn id="16" uniqueName="16" name="F16" queryTableFieldId="16" dataDxfId="1282" dataCellStyle="一般 2"/>
    <tableColumn id="17" uniqueName="17" name="F17" queryTableFieldId="17" dataDxfId="1281" dataCellStyle="一般 2"/>
    <tableColumn id="18" uniqueName="18" name="F18" queryTableFieldId="18" dataDxfId="1280" dataCellStyle="一般 2"/>
    <tableColumn id="19" uniqueName="19" name="F19" queryTableFieldId="19" dataDxfId="1279" dataCellStyle="一般 2"/>
    <tableColumn id="20" uniqueName="20" name="F20" queryTableFieldId="20" dataDxfId="1278" dataCellStyle="一般 2"/>
    <tableColumn id="21" uniqueName="21" name="F21" queryTableFieldId="21" dataDxfId="1277" dataCellStyle="一般 2"/>
    <tableColumn id="22" uniqueName="22" name="2024/6/24 14:52" queryTableFieldId="22" dataDxfId="1276" dataCellStyle="一般 2"/>
    <tableColumn id="23" uniqueName="23" name="F23" queryTableFieldId="23" dataDxfId="1275" dataCellStyle="一般 2"/>
    <tableColumn id="24" uniqueName="24" name="F24" queryTableFieldId="24" dataDxfId="1274" dataCellStyle="一般 2"/>
    <tableColumn id="25" uniqueName="25" name="F25" queryTableFieldId="25" dataDxfId="1273" dataCellStyle="一般 2"/>
    <tableColumn id="26" uniqueName="26" name="F26" queryTableFieldId="26" dataDxfId="1272" dataCellStyle="一般 2"/>
    <tableColumn id="27" uniqueName="27" name="F27" queryTableFieldId="27" dataDxfId="1271" dataCellStyle="一般 2"/>
    <tableColumn id="28" uniqueName="28" name="F28" queryTableFieldId="28" dataDxfId="1270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172" dataDxfId="1171" headerRowCellStyle="一般 2" dataCellStyle="一般 2">
  <autoFilter ref="AG13:BH189"/>
  <tableColumns count="28">
    <tableColumn id="1" uniqueName="1" name="請直接以10進位，謝謝" queryTableFieldId="1" dataDxfId="1170" dataCellStyle="一般 2"/>
    <tableColumn id="2" uniqueName="2" name="F2" queryTableFieldId="2" dataDxfId="1169" dataCellStyle="一般 2"/>
    <tableColumn id="3" uniqueName="3" name="F3" queryTableFieldId="3" dataDxfId="1168" dataCellStyle="一般 2"/>
    <tableColumn id="4" uniqueName="4" name="F4" queryTableFieldId="4" dataDxfId="1167" dataCellStyle="一般 2"/>
    <tableColumn id="5" uniqueName="5" name="F5" queryTableFieldId="5" dataDxfId="1166" dataCellStyle="一般 2"/>
    <tableColumn id="6" uniqueName="6" name="F6" queryTableFieldId="6" dataDxfId="1165" dataCellStyle="一般 2"/>
    <tableColumn id="7" uniqueName="7" name="F7" queryTableFieldId="7" dataDxfId="1164" dataCellStyle="一般 2"/>
    <tableColumn id="8" uniqueName="8" name="F8" queryTableFieldId="8" dataDxfId="1163" dataCellStyle="一般 2"/>
    <tableColumn id="9" uniqueName="9" name="F9" queryTableFieldId="9" dataDxfId="1162" dataCellStyle="一般 2"/>
    <tableColumn id="10" uniqueName="10" name="F10" queryTableFieldId="10" dataDxfId="1161" dataCellStyle="一般 2"/>
    <tableColumn id="11" uniqueName="11" name="F11" queryTableFieldId="11" dataDxfId="1160" dataCellStyle="一般 2"/>
    <tableColumn id="12" uniqueName="12" name="F12" queryTableFieldId="12" dataDxfId="1159" dataCellStyle="一般 2"/>
    <tableColumn id="13" uniqueName="13" name="F13" queryTableFieldId="13" dataDxfId="1158" dataCellStyle="一般 2"/>
    <tableColumn id="14" uniqueName="14" name="F14" queryTableFieldId="14" dataDxfId="1157" dataCellStyle="一般 2"/>
    <tableColumn id="15" uniqueName="15" name="F15" queryTableFieldId="15" dataDxfId="1156" dataCellStyle="一般 2"/>
    <tableColumn id="16" uniqueName="16" name="F16" queryTableFieldId="16" dataDxfId="1155" dataCellStyle="一般 2"/>
    <tableColumn id="17" uniqueName="17" name="F17" queryTableFieldId="17" dataDxfId="1154" dataCellStyle="一般 2"/>
    <tableColumn id="18" uniqueName="18" name="F18" queryTableFieldId="18" dataDxfId="1153" dataCellStyle="一般 2"/>
    <tableColumn id="19" uniqueName="19" name="F19" queryTableFieldId="19" dataDxfId="1152" dataCellStyle="一般 2"/>
    <tableColumn id="20" uniqueName="20" name="F20" queryTableFieldId="20" dataDxfId="1151" dataCellStyle="一般 2"/>
    <tableColumn id="21" uniqueName="21" name="F21" queryTableFieldId="21" dataDxfId="1150" dataCellStyle="一般 2"/>
    <tableColumn id="22" uniqueName="22" name="2024/6/24 14:52" queryTableFieldId="22" dataDxfId="1149" dataCellStyle="一般 2"/>
    <tableColumn id="23" uniqueName="23" name="F23" queryTableFieldId="23" dataDxfId="1148" dataCellStyle="一般 2"/>
    <tableColumn id="24" uniqueName="24" name="F24" queryTableFieldId="24" dataDxfId="1147" dataCellStyle="一般 2"/>
    <tableColumn id="25" uniqueName="25" name="F25" queryTableFieldId="25" dataDxfId="1146" dataCellStyle="一般 2"/>
    <tableColumn id="26" uniqueName="26" name="F26" queryTableFieldId="26" dataDxfId="1145" dataCellStyle="一般 2"/>
    <tableColumn id="27" uniqueName="27" name="F27" queryTableFieldId="27" dataDxfId="1144" dataCellStyle="一般 2"/>
    <tableColumn id="28" uniqueName="28" name="F28" queryTableFieldId="28" dataDxfId="1143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045" dataDxfId="1044" headerRowCellStyle="一般 2" dataCellStyle="一般 2">
  <autoFilter ref="AG13:BH189"/>
  <tableColumns count="28">
    <tableColumn id="1" uniqueName="1" name="請直接以10進位，謝謝" queryTableFieldId="1" dataDxfId="1043" dataCellStyle="一般 2"/>
    <tableColumn id="2" uniqueName="2" name="F2" queryTableFieldId="2" dataDxfId="1042" dataCellStyle="一般 2"/>
    <tableColumn id="3" uniqueName="3" name="F3" queryTableFieldId="3" dataDxfId="1041" dataCellStyle="一般 2"/>
    <tableColumn id="4" uniqueName="4" name="F4" queryTableFieldId="4" dataDxfId="1040" dataCellStyle="一般 2"/>
    <tableColumn id="5" uniqueName="5" name="F5" queryTableFieldId="5" dataDxfId="1039" dataCellStyle="一般 2"/>
    <tableColumn id="6" uniqueName="6" name="F6" queryTableFieldId="6" dataDxfId="1038" dataCellStyle="一般 2"/>
    <tableColumn id="7" uniqueName="7" name="F7" queryTableFieldId="7" dataDxfId="1037" dataCellStyle="一般 2"/>
    <tableColumn id="8" uniqueName="8" name="F8" queryTableFieldId="8" dataDxfId="1036" dataCellStyle="一般 2"/>
    <tableColumn id="9" uniqueName="9" name="F9" queryTableFieldId="9" dataDxfId="1035" dataCellStyle="一般 2"/>
    <tableColumn id="10" uniqueName="10" name="F10" queryTableFieldId="10" dataDxfId="1034" dataCellStyle="一般 2"/>
    <tableColumn id="11" uniqueName="11" name="F11" queryTableFieldId="11" dataDxfId="1033" dataCellStyle="一般 2"/>
    <tableColumn id="12" uniqueName="12" name="F12" queryTableFieldId="12" dataDxfId="1032" dataCellStyle="一般 2"/>
    <tableColumn id="13" uniqueName="13" name="F13" queryTableFieldId="13" dataDxfId="1031" dataCellStyle="一般 2"/>
    <tableColumn id="14" uniqueName="14" name="F14" queryTableFieldId="14" dataDxfId="1030" dataCellStyle="一般 2"/>
    <tableColumn id="15" uniqueName="15" name="F15" queryTableFieldId="15" dataDxfId="1029" dataCellStyle="一般 2"/>
    <tableColumn id="16" uniqueName="16" name="F16" queryTableFieldId="16" dataDxfId="1028" dataCellStyle="一般 2"/>
    <tableColumn id="17" uniqueName="17" name="F17" queryTableFieldId="17" dataDxfId="1027" dataCellStyle="一般 2"/>
    <tableColumn id="18" uniqueName="18" name="F18" queryTableFieldId="18" dataDxfId="1026" dataCellStyle="一般 2"/>
    <tableColumn id="19" uniqueName="19" name="F19" queryTableFieldId="19" dataDxfId="1025" dataCellStyle="一般 2"/>
    <tableColumn id="20" uniqueName="20" name="F20" queryTableFieldId="20" dataDxfId="1024" dataCellStyle="一般 2"/>
    <tableColumn id="21" uniqueName="21" name="F21" queryTableFieldId="21" dataDxfId="1023" dataCellStyle="一般 2"/>
    <tableColumn id="22" uniqueName="22" name="2024/6/24 14:52" queryTableFieldId="22" dataDxfId="1022" dataCellStyle="一般 2"/>
    <tableColumn id="23" uniqueName="23" name="F23" queryTableFieldId="23" dataDxfId="1021" dataCellStyle="一般 2"/>
    <tableColumn id="24" uniqueName="24" name="F24" queryTableFieldId="24" dataDxfId="1020" dataCellStyle="一般 2"/>
    <tableColumn id="25" uniqueName="25" name="F25" queryTableFieldId="25" dataDxfId="1019" dataCellStyle="一般 2"/>
    <tableColumn id="26" uniqueName="26" name="F26" queryTableFieldId="26" dataDxfId="1018" dataCellStyle="一般 2"/>
    <tableColumn id="27" uniqueName="27" name="F27" queryTableFieldId="27" dataDxfId="1017" dataCellStyle="一般 2"/>
    <tableColumn id="28" uniqueName="28" name="F28" queryTableFieldId="28" dataDxfId="1016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918" dataDxfId="917" headerRowCellStyle="一般 2" dataCellStyle="一般 2">
  <autoFilter ref="AG13:BH189"/>
  <tableColumns count="28">
    <tableColumn id="1" uniqueName="1" name="請直接以10進位，謝謝" queryTableFieldId="1" dataDxfId="916" dataCellStyle="一般 2"/>
    <tableColumn id="2" uniqueName="2" name="F2" queryTableFieldId="2" dataDxfId="915" dataCellStyle="一般 2"/>
    <tableColumn id="3" uniqueName="3" name="F3" queryTableFieldId="3" dataDxfId="914" dataCellStyle="一般 2"/>
    <tableColumn id="4" uniqueName="4" name="F4" queryTableFieldId="4" dataDxfId="913" dataCellStyle="一般 2"/>
    <tableColumn id="5" uniqueName="5" name="F5" queryTableFieldId="5" dataDxfId="912" dataCellStyle="一般 2"/>
    <tableColumn id="6" uniqueName="6" name="F6" queryTableFieldId="6" dataDxfId="911" dataCellStyle="一般 2"/>
    <tableColumn id="7" uniqueName="7" name="F7" queryTableFieldId="7" dataDxfId="910" dataCellStyle="一般 2"/>
    <tableColumn id="8" uniqueName="8" name="F8" queryTableFieldId="8" dataDxfId="909" dataCellStyle="一般 2"/>
    <tableColumn id="9" uniqueName="9" name="F9" queryTableFieldId="9" dataDxfId="908" dataCellStyle="一般 2"/>
    <tableColumn id="10" uniqueName="10" name="F10" queryTableFieldId="10" dataDxfId="907" dataCellStyle="一般 2"/>
    <tableColumn id="11" uniqueName="11" name="F11" queryTableFieldId="11" dataDxfId="906" dataCellStyle="一般 2"/>
    <tableColumn id="12" uniqueName="12" name="F12" queryTableFieldId="12" dataDxfId="905" dataCellStyle="一般 2"/>
    <tableColumn id="13" uniqueName="13" name="F13" queryTableFieldId="13" dataDxfId="904" dataCellStyle="一般 2"/>
    <tableColumn id="14" uniqueName="14" name="F14" queryTableFieldId="14" dataDxfId="903" dataCellStyle="一般 2"/>
    <tableColumn id="15" uniqueName="15" name="F15" queryTableFieldId="15" dataDxfId="902" dataCellStyle="一般 2"/>
    <tableColumn id="16" uniqueName="16" name="F16" queryTableFieldId="16" dataDxfId="901" dataCellStyle="一般 2"/>
    <tableColumn id="17" uniqueName="17" name="F17" queryTableFieldId="17" dataDxfId="900" dataCellStyle="一般 2"/>
    <tableColumn id="18" uniqueName="18" name="F18" queryTableFieldId="18" dataDxfId="899" dataCellStyle="一般 2"/>
    <tableColumn id="19" uniqueName="19" name="F19" queryTableFieldId="19" dataDxfId="898" dataCellStyle="一般 2"/>
    <tableColumn id="20" uniqueName="20" name="F20" queryTableFieldId="20" dataDxfId="897" dataCellStyle="一般 2"/>
    <tableColumn id="21" uniqueName="21" name="F21" queryTableFieldId="21" dataDxfId="896" dataCellStyle="一般 2"/>
    <tableColumn id="22" uniqueName="22" name="2024/6/24 14:52" queryTableFieldId="22" dataDxfId="895" dataCellStyle="一般 2"/>
    <tableColumn id="23" uniqueName="23" name="F23" queryTableFieldId="23" dataDxfId="894" dataCellStyle="一般 2"/>
    <tableColumn id="24" uniqueName="24" name="F24" queryTableFieldId="24" dataDxfId="893" dataCellStyle="一般 2"/>
    <tableColumn id="25" uniqueName="25" name="F25" queryTableFieldId="25" dataDxfId="892" dataCellStyle="一般 2"/>
    <tableColumn id="26" uniqueName="26" name="F26" queryTableFieldId="26" dataDxfId="891" dataCellStyle="一般 2"/>
    <tableColumn id="27" uniqueName="27" name="F27" queryTableFieldId="27" dataDxfId="890" dataCellStyle="一般 2"/>
    <tableColumn id="28" uniqueName="28" name="F28" queryTableFieldId="28" dataDxfId="889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791" dataDxfId="790" headerRowCellStyle="一般 2" dataCellStyle="一般 2">
  <autoFilter ref="AG13:BH189"/>
  <tableColumns count="28">
    <tableColumn id="1" uniqueName="1" name="請直接以10進位，謝謝" queryTableFieldId="1" dataDxfId="789" dataCellStyle="一般 2"/>
    <tableColumn id="2" uniqueName="2" name="F2" queryTableFieldId="2" dataDxfId="788" dataCellStyle="一般 2"/>
    <tableColumn id="3" uniqueName="3" name="F3" queryTableFieldId="3" dataDxfId="787" dataCellStyle="一般 2"/>
    <tableColumn id="4" uniqueName="4" name="F4" queryTableFieldId="4" dataDxfId="786" dataCellStyle="一般 2"/>
    <tableColumn id="5" uniqueName="5" name="F5" queryTableFieldId="5" dataDxfId="785" dataCellStyle="一般 2"/>
    <tableColumn id="6" uniqueName="6" name="F6" queryTableFieldId="6" dataDxfId="784" dataCellStyle="一般 2"/>
    <tableColumn id="7" uniqueName="7" name="F7" queryTableFieldId="7" dataDxfId="783" dataCellStyle="一般 2"/>
    <tableColumn id="8" uniqueName="8" name="F8" queryTableFieldId="8" dataDxfId="782" dataCellStyle="一般 2"/>
    <tableColumn id="9" uniqueName="9" name="F9" queryTableFieldId="9" dataDxfId="781" dataCellStyle="一般 2"/>
    <tableColumn id="10" uniqueName="10" name="F10" queryTableFieldId="10" dataDxfId="780" dataCellStyle="一般 2"/>
    <tableColumn id="11" uniqueName="11" name="F11" queryTableFieldId="11" dataDxfId="779" dataCellStyle="一般 2"/>
    <tableColumn id="12" uniqueName="12" name="F12" queryTableFieldId="12" dataDxfId="778" dataCellStyle="一般 2"/>
    <tableColumn id="13" uniqueName="13" name="F13" queryTableFieldId="13" dataDxfId="777" dataCellStyle="一般 2"/>
    <tableColumn id="14" uniqueName="14" name="F14" queryTableFieldId="14" dataDxfId="776" dataCellStyle="一般 2"/>
    <tableColumn id="15" uniqueName="15" name="F15" queryTableFieldId="15" dataDxfId="775" dataCellStyle="一般 2"/>
    <tableColumn id="16" uniqueName="16" name="F16" queryTableFieldId="16" dataDxfId="774" dataCellStyle="一般 2"/>
    <tableColumn id="17" uniqueName="17" name="F17" queryTableFieldId="17" dataDxfId="773" dataCellStyle="一般 2"/>
    <tableColumn id="18" uniqueName="18" name="F18" queryTableFieldId="18" dataDxfId="772" dataCellStyle="一般 2"/>
    <tableColumn id="19" uniqueName="19" name="F19" queryTableFieldId="19" dataDxfId="771" dataCellStyle="一般 2"/>
    <tableColumn id="20" uniqueName="20" name="F20" queryTableFieldId="20" dataDxfId="770" dataCellStyle="一般 2"/>
    <tableColumn id="21" uniqueName="21" name="F21" queryTableFieldId="21" dataDxfId="769" dataCellStyle="一般 2"/>
    <tableColumn id="22" uniqueName="22" name="2024/6/24 14:52" queryTableFieldId="22" dataDxfId="768" dataCellStyle="一般 2"/>
    <tableColumn id="23" uniqueName="23" name="F23" queryTableFieldId="23" dataDxfId="767" dataCellStyle="一般 2"/>
    <tableColumn id="24" uniqueName="24" name="F24" queryTableFieldId="24" dataDxfId="766" dataCellStyle="一般 2"/>
    <tableColumn id="25" uniqueName="25" name="F25" queryTableFieldId="25" dataDxfId="765" dataCellStyle="一般 2"/>
    <tableColumn id="26" uniqueName="26" name="F26" queryTableFieldId="26" dataDxfId="764" dataCellStyle="一般 2"/>
    <tableColumn id="27" uniqueName="27" name="F27" queryTableFieldId="27" dataDxfId="763" dataCellStyle="一般 2"/>
    <tableColumn id="28" uniqueName="28" name="F28" queryTableFieldId="28" dataDxfId="762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664" dataDxfId="663" headerRowCellStyle="一般 2" dataCellStyle="一般 2">
  <autoFilter ref="AG13:BH189"/>
  <tableColumns count="28">
    <tableColumn id="1" uniqueName="1" name="請直接以10進位，謝謝" queryTableFieldId="1" dataDxfId="662" dataCellStyle="一般 2"/>
    <tableColumn id="2" uniqueName="2" name="F2" queryTableFieldId="2" dataDxfId="661" dataCellStyle="一般 2"/>
    <tableColumn id="3" uniqueName="3" name="F3" queryTableFieldId="3" dataDxfId="660" dataCellStyle="一般 2"/>
    <tableColumn id="4" uniqueName="4" name="F4" queryTableFieldId="4" dataDxfId="659" dataCellStyle="一般 2"/>
    <tableColumn id="5" uniqueName="5" name="F5" queryTableFieldId="5" dataDxfId="658" dataCellStyle="一般 2"/>
    <tableColumn id="6" uniqueName="6" name="F6" queryTableFieldId="6" dataDxfId="657" dataCellStyle="一般 2"/>
    <tableColumn id="7" uniqueName="7" name="F7" queryTableFieldId="7" dataDxfId="656" dataCellStyle="一般 2"/>
    <tableColumn id="8" uniqueName="8" name="F8" queryTableFieldId="8" dataDxfId="655" dataCellStyle="一般 2"/>
    <tableColumn id="9" uniqueName="9" name="F9" queryTableFieldId="9" dataDxfId="654" dataCellStyle="一般 2"/>
    <tableColumn id="10" uniqueName="10" name="F10" queryTableFieldId="10" dataDxfId="653" dataCellStyle="一般 2"/>
    <tableColumn id="11" uniqueName="11" name="F11" queryTableFieldId="11" dataDxfId="652" dataCellStyle="一般 2"/>
    <tableColumn id="12" uniqueName="12" name="F12" queryTableFieldId="12" dataDxfId="651" dataCellStyle="一般 2"/>
    <tableColumn id="13" uniqueName="13" name="F13" queryTableFieldId="13" dataDxfId="650" dataCellStyle="一般 2"/>
    <tableColumn id="14" uniqueName="14" name="F14" queryTableFieldId="14" dataDxfId="649" dataCellStyle="一般 2"/>
    <tableColumn id="15" uniqueName="15" name="F15" queryTableFieldId="15" dataDxfId="648" dataCellStyle="一般 2"/>
    <tableColumn id="16" uniqueName="16" name="F16" queryTableFieldId="16" dataDxfId="647" dataCellStyle="一般 2"/>
    <tableColumn id="17" uniqueName="17" name="F17" queryTableFieldId="17" dataDxfId="646" dataCellStyle="一般 2"/>
    <tableColumn id="18" uniqueName="18" name="F18" queryTableFieldId="18" dataDxfId="645" dataCellStyle="一般 2"/>
    <tableColumn id="19" uniqueName="19" name="F19" queryTableFieldId="19" dataDxfId="644" dataCellStyle="一般 2"/>
    <tableColumn id="20" uniqueName="20" name="F20" queryTableFieldId="20" dataDxfId="643" dataCellStyle="一般 2"/>
    <tableColumn id="21" uniqueName="21" name="F21" queryTableFieldId="21" dataDxfId="642" dataCellStyle="一般 2"/>
    <tableColumn id="22" uniqueName="22" name="2024/6/24 14:52" queryTableFieldId="22" dataDxfId="641" dataCellStyle="一般 2"/>
    <tableColumn id="23" uniqueName="23" name="F23" queryTableFieldId="23" dataDxfId="640" dataCellStyle="一般 2"/>
    <tableColumn id="24" uniqueName="24" name="F24" queryTableFieldId="24" dataDxfId="639" dataCellStyle="一般 2"/>
    <tableColumn id="25" uniqueName="25" name="F25" queryTableFieldId="25" dataDxfId="638" dataCellStyle="一般 2"/>
    <tableColumn id="26" uniqueName="26" name="F26" queryTableFieldId="26" dataDxfId="637" dataCellStyle="一般 2"/>
    <tableColumn id="27" uniqueName="27" name="F27" queryTableFieldId="27" dataDxfId="636" dataCellStyle="一般 2"/>
    <tableColumn id="28" uniqueName="28" name="F28" queryTableFieldId="28" dataDxfId="635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537" dataDxfId="536" headerRowCellStyle="一般 2" dataCellStyle="一般 2">
  <autoFilter ref="AG13:BH189"/>
  <tableColumns count="28">
    <tableColumn id="1" uniqueName="1" name="請直接以10進位，謝謝" queryTableFieldId="1" dataDxfId="535" dataCellStyle="一般 2"/>
    <tableColumn id="2" uniqueName="2" name="F2" queryTableFieldId="2" dataDxfId="534" dataCellStyle="一般 2"/>
    <tableColumn id="3" uniqueName="3" name="F3" queryTableFieldId="3" dataDxfId="533" dataCellStyle="一般 2"/>
    <tableColumn id="4" uniqueName="4" name="F4" queryTableFieldId="4" dataDxfId="532" dataCellStyle="一般 2"/>
    <tableColumn id="5" uniqueName="5" name="F5" queryTableFieldId="5" dataDxfId="531" dataCellStyle="一般 2"/>
    <tableColumn id="6" uniqueName="6" name="F6" queryTableFieldId="6" dataDxfId="530" dataCellStyle="一般 2"/>
    <tableColumn id="7" uniqueName="7" name="F7" queryTableFieldId="7" dataDxfId="529" dataCellStyle="一般 2"/>
    <tableColumn id="8" uniqueName="8" name="F8" queryTableFieldId="8" dataDxfId="528" dataCellStyle="一般 2"/>
    <tableColumn id="9" uniqueName="9" name="F9" queryTableFieldId="9" dataDxfId="527" dataCellStyle="一般 2"/>
    <tableColumn id="10" uniqueName="10" name="F10" queryTableFieldId="10" dataDxfId="526" dataCellStyle="一般 2"/>
    <tableColumn id="11" uniqueName="11" name="F11" queryTableFieldId="11" dataDxfId="525" dataCellStyle="一般 2"/>
    <tableColumn id="12" uniqueName="12" name="F12" queryTableFieldId="12" dataDxfId="524" dataCellStyle="一般 2"/>
    <tableColumn id="13" uniqueName="13" name="F13" queryTableFieldId="13" dataDxfId="523" dataCellStyle="一般 2"/>
    <tableColumn id="14" uniqueName="14" name="F14" queryTableFieldId="14" dataDxfId="522" dataCellStyle="一般 2"/>
    <tableColumn id="15" uniqueName="15" name="F15" queryTableFieldId="15" dataDxfId="521" dataCellStyle="一般 2"/>
    <tableColumn id="16" uniqueName="16" name="F16" queryTableFieldId="16" dataDxfId="520" dataCellStyle="一般 2"/>
    <tableColumn id="17" uniqueName="17" name="F17" queryTableFieldId="17" dataDxfId="519" dataCellStyle="一般 2"/>
    <tableColumn id="18" uniqueName="18" name="F18" queryTableFieldId="18" dataDxfId="518" dataCellStyle="一般 2"/>
    <tableColumn id="19" uniqueName="19" name="F19" queryTableFieldId="19" dataDxfId="517" dataCellStyle="一般 2"/>
    <tableColumn id="20" uniqueName="20" name="F20" queryTableFieldId="20" dataDxfId="516" dataCellStyle="一般 2"/>
    <tableColumn id="21" uniqueName="21" name="F21" queryTableFieldId="21" dataDxfId="515" dataCellStyle="一般 2"/>
    <tableColumn id="22" uniqueName="22" name="2024/6/24 14:52" queryTableFieldId="22" dataDxfId="514" dataCellStyle="一般 2"/>
    <tableColumn id="23" uniqueName="23" name="F23" queryTableFieldId="23" dataDxfId="513" dataCellStyle="一般 2"/>
    <tableColumn id="24" uniqueName="24" name="F24" queryTableFieldId="24" dataDxfId="512" dataCellStyle="一般 2"/>
    <tableColumn id="25" uniqueName="25" name="F25" queryTableFieldId="25" dataDxfId="511" dataCellStyle="一般 2"/>
    <tableColumn id="26" uniqueName="26" name="F26" queryTableFieldId="26" dataDxfId="510" dataCellStyle="一般 2"/>
    <tableColumn id="27" uniqueName="27" name="F27" queryTableFieldId="27" dataDxfId="509" dataCellStyle="一般 2"/>
    <tableColumn id="28" uniqueName="28" name="F28" queryTableFieldId="28" dataDxfId="508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410" dataDxfId="409" headerRowCellStyle="一般 2" dataCellStyle="一般 2">
  <autoFilter ref="AG13:BH189"/>
  <tableColumns count="28">
    <tableColumn id="1" uniqueName="1" name="請直接以10進位，謝謝" queryTableFieldId="1" dataDxfId="408" dataCellStyle="一般 2"/>
    <tableColumn id="2" uniqueName="2" name="F2" queryTableFieldId="2" dataDxfId="407" dataCellStyle="一般 2"/>
    <tableColumn id="3" uniqueName="3" name="F3" queryTableFieldId="3" dataDxfId="406" dataCellStyle="一般 2"/>
    <tableColumn id="4" uniqueName="4" name="F4" queryTableFieldId="4" dataDxfId="405" dataCellStyle="一般 2"/>
    <tableColumn id="5" uniqueName="5" name="F5" queryTableFieldId="5" dataDxfId="404" dataCellStyle="一般 2"/>
    <tableColumn id="6" uniqueName="6" name="F6" queryTableFieldId="6" dataDxfId="403" dataCellStyle="一般 2"/>
    <tableColumn id="7" uniqueName="7" name="F7" queryTableFieldId="7" dataDxfId="402" dataCellStyle="一般 2"/>
    <tableColumn id="8" uniqueName="8" name="F8" queryTableFieldId="8" dataDxfId="401" dataCellStyle="一般 2"/>
    <tableColumn id="9" uniqueName="9" name="F9" queryTableFieldId="9" dataDxfId="400" dataCellStyle="一般 2"/>
    <tableColumn id="10" uniqueName="10" name="F10" queryTableFieldId="10" dataDxfId="399" dataCellStyle="一般 2"/>
    <tableColumn id="11" uniqueName="11" name="F11" queryTableFieldId="11" dataDxfId="398" dataCellStyle="一般 2"/>
    <tableColumn id="12" uniqueName="12" name="F12" queryTableFieldId="12" dataDxfId="397" dataCellStyle="一般 2"/>
    <tableColumn id="13" uniqueName="13" name="F13" queryTableFieldId="13" dataDxfId="396" dataCellStyle="一般 2"/>
    <tableColumn id="14" uniqueName="14" name="F14" queryTableFieldId="14" dataDxfId="395" dataCellStyle="一般 2"/>
    <tableColumn id="15" uniqueName="15" name="F15" queryTableFieldId="15" dataDxfId="394" dataCellStyle="一般 2"/>
    <tableColumn id="16" uniqueName="16" name="F16" queryTableFieldId="16" dataDxfId="393" dataCellStyle="一般 2"/>
    <tableColumn id="17" uniqueName="17" name="F17" queryTableFieldId="17" dataDxfId="392" dataCellStyle="一般 2"/>
    <tableColumn id="18" uniqueName="18" name="F18" queryTableFieldId="18" dataDxfId="391" dataCellStyle="一般 2"/>
    <tableColumn id="19" uniqueName="19" name="F19" queryTableFieldId="19" dataDxfId="390" dataCellStyle="一般 2"/>
    <tableColumn id="20" uniqueName="20" name="F20" queryTableFieldId="20" dataDxfId="389" dataCellStyle="一般 2"/>
    <tableColumn id="21" uniqueName="21" name="F21" queryTableFieldId="21" dataDxfId="388" dataCellStyle="一般 2"/>
    <tableColumn id="22" uniqueName="22" name="2024/6/24 14:52" queryTableFieldId="22" dataDxfId="387" dataCellStyle="一般 2"/>
    <tableColumn id="23" uniqueName="23" name="F23" queryTableFieldId="23" dataDxfId="386" dataCellStyle="一般 2"/>
    <tableColumn id="24" uniqueName="24" name="F24" queryTableFieldId="24" dataDxfId="385" dataCellStyle="一般 2"/>
    <tableColumn id="25" uniqueName="25" name="F25" queryTableFieldId="25" dataDxfId="384" dataCellStyle="一般 2"/>
    <tableColumn id="26" uniqueName="26" name="F26" queryTableFieldId="26" dataDxfId="383" dataCellStyle="一般 2"/>
    <tableColumn id="27" uniqueName="27" name="F27" queryTableFieldId="27" dataDxfId="382" dataCellStyle="一般 2"/>
    <tableColumn id="28" uniqueName="28" name="F28" queryTableFieldId="28" dataDxfId="381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283" dataDxfId="282" headerRowCellStyle="一般 2" dataCellStyle="一般 2">
  <autoFilter ref="AG13:BH189"/>
  <tableColumns count="28">
    <tableColumn id="1" uniqueName="1" name="請直接以10進位，謝謝" queryTableFieldId="1" dataDxfId="281" dataCellStyle="一般 2"/>
    <tableColumn id="2" uniqueName="2" name="F2" queryTableFieldId="2" dataDxfId="280" dataCellStyle="一般 2"/>
    <tableColumn id="3" uniqueName="3" name="F3" queryTableFieldId="3" dataDxfId="279" dataCellStyle="一般 2"/>
    <tableColumn id="4" uniqueName="4" name="F4" queryTableFieldId="4" dataDxfId="278" dataCellStyle="一般 2"/>
    <tableColumn id="5" uniqueName="5" name="F5" queryTableFieldId="5" dataDxfId="277" dataCellStyle="一般 2"/>
    <tableColumn id="6" uniqueName="6" name="F6" queryTableFieldId="6" dataDxfId="276" dataCellStyle="一般 2"/>
    <tableColumn id="7" uniqueName="7" name="F7" queryTableFieldId="7" dataDxfId="275" dataCellStyle="一般 2"/>
    <tableColumn id="8" uniqueName="8" name="F8" queryTableFieldId="8" dataDxfId="274" dataCellStyle="一般 2"/>
    <tableColumn id="9" uniqueName="9" name="F9" queryTableFieldId="9" dataDxfId="273" dataCellStyle="一般 2"/>
    <tableColumn id="10" uniqueName="10" name="F10" queryTableFieldId="10" dataDxfId="272" dataCellStyle="一般 2"/>
    <tableColumn id="11" uniqueName="11" name="F11" queryTableFieldId="11" dataDxfId="271" dataCellStyle="一般 2"/>
    <tableColumn id="12" uniqueName="12" name="F12" queryTableFieldId="12" dataDxfId="270" dataCellStyle="一般 2"/>
    <tableColumn id="13" uniqueName="13" name="F13" queryTableFieldId="13" dataDxfId="269" dataCellStyle="一般 2"/>
    <tableColumn id="14" uniqueName="14" name="F14" queryTableFieldId="14" dataDxfId="268" dataCellStyle="一般 2"/>
    <tableColumn id="15" uniqueName="15" name="F15" queryTableFieldId="15" dataDxfId="267" dataCellStyle="一般 2"/>
    <tableColumn id="16" uniqueName="16" name="F16" queryTableFieldId="16" dataDxfId="266" dataCellStyle="一般 2"/>
    <tableColumn id="17" uniqueName="17" name="F17" queryTableFieldId="17" dataDxfId="265" dataCellStyle="一般 2"/>
    <tableColumn id="18" uniqueName="18" name="F18" queryTableFieldId="18" dataDxfId="264" dataCellStyle="一般 2"/>
    <tableColumn id="19" uniqueName="19" name="F19" queryTableFieldId="19" dataDxfId="263" dataCellStyle="一般 2"/>
    <tableColumn id="20" uniqueName="20" name="F20" queryTableFieldId="20" dataDxfId="262" dataCellStyle="一般 2"/>
    <tableColumn id="21" uniqueName="21" name="F21" queryTableFieldId="21" dataDxfId="261" dataCellStyle="一般 2"/>
    <tableColumn id="22" uniqueName="22" name="2024/6/24 14:52" queryTableFieldId="22" dataDxfId="260" dataCellStyle="一般 2"/>
    <tableColumn id="23" uniqueName="23" name="F23" queryTableFieldId="23" dataDxfId="259" dataCellStyle="一般 2"/>
    <tableColumn id="24" uniqueName="24" name="F24" queryTableFieldId="24" dataDxfId="258" dataCellStyle="一般 2"/>
    <tableColumn id="25" uniqueName="25" name="F25" queryTableFieldId="25" dataDxfId="257" dataCellStyle="一般 2"/>
    <tableColumn id="26" uniqueName="26" name="F26" queryTableFieldId="26" dataDxfId="256" dataCellStyle="一般 2"/>
    <tableColumn id="27" uniqueName="27" name="F27" queryTableFieldId="27" dataDxfId="255" dataCellStyle="一般 2"/>
    <tableColumn id="28" uniqueName="28" name="F28" queryTableFieldId="28" dataDxfId="254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156" dataDxfId="155" headerRowCellStyle="一般 2" dataCellStyle="一般 2">
  <autoFilter ref="AG13:BH189"/>
  <tableColumns count="28">
    <tableColumn id="1" uniqueName="1" name="請直接以10進位，謝謝" queryTableFieldId="1" dataDxfId="154" dataCellStyle="一般 2"/>
    <tableColumn id="2" uniqueName="2" name="F2" queryTableFieldId="2" dataDxfId="153" dataCellStyle="一般 2"/>
    <tableColumn id="3" uniqueName="3" name="F3" queryTableFieldId="3" dataDxfId="152" dataCellStyle="一般 2"/>
    <tableColumn id="4" uniqueName="4" name="F4" queryTableFieldId="4" dataDxfId="151" dataCellStyle="一般 2"/>
    <tableColumn id="5" uniqueName="5" name="F5" queryTableFieldId="5" dataDxfId="150" dataCellStyle="一般 2"/>
    <tableColumn id="6" uniqueName="6" name="F6" queryTableFieldId="6" dataDxfId="149" dataCellStyle="一般 2"/>
    <tableColumn id="7" uniqueName="7" name="F7" queryTableFieldId="7" dataDxfId="148" dataCellStyle="一般 2"/>
    <tableColumn id="8" uniqueName="8" name="F8" queryTableFieldId="8" dataDxfId="147" dataCellStyle="一般 2"/>
    <tableColumn id="9" uniqueName="9" name="F9" queryTableFieldId="9" dataDxfId="146" dataCellStyle="一般 2"/>
    <tableColumn id="10" uniqueName="10" name="F10" queryTableFieldId="10" dataDxfId="145" dataCellStyle="一般 2"/>
    <tableColumn id="11" uniqueName="11" name="F11" queryTableFieldId="11" dataDxfId="144" dataCellStyle="一般 2"/>
    <tableColumn id="12" uniqueName="12" name="F12" queryTableFieldId="12" dataDxfId="143" dataCellStyle="一般 2"/>
    <tableColumn id="13" uniqueName="13" name="F13" queryTableFieldId="13" dataDxfId="142" dataCellStyle="一般 2"/>
    <tableColumn id="14" uniqueName="14" name="F14" queryTableFieldId="14" dataDxfId="141" dataCellStyle="一般 2"/>
    <tableColumn id="15" uniqueName="15" name="F15" queryTableFieldId="15" dataDxfId="140" dataCellStyle="一般 2"/>
    <tableColumn id="16" uniqueName="16" name="F16" queryTableFieldId="16" dataDxfId="139" dataCellStyle="一般 2"/>
    <tableColumn id="17" uniqueName="17" name="F17" queryTableFieldId="17" dataDxfId="138" dataCellStyle="一般 2"/>
    <tableColumn id="18" uniqueName="18" name="F18" queryTableFieldId="18" dataDxfId="137" dataCellStyle="一般 2"/>
    <tableColumn id="19" uniqueName="19" name="F19" queryTableFieldId="19" dataDxfId="136" dataCellStyle="一般 2"/>
    <tableColumn id="20" uniqueName="20" name="F20" queryTableFieldId="20" dataDxfId="135" dataCellStyle="一般 2"/>
    <tableColumn id="21" uniqueName="21" name="F21" queryTableFieldId="21" dataDxfId="134" dataCellStyle="一般 2"/>
    <tableColumn id="22" uniqueName="22" name="2024/6/24 14:52" queryTableFieldId="22" dataDxfId="133" dataCellStyle="一般 2"/>
    <tableColumn id="23" uniqueName="23" name="F23" queryTableFieldId="23" dataDxfId="132" dataCellStyle="一般 2"/>
    <tableColumn id="24" uniqueName="24" name="F24" queryTableFieldId="24" dataDxfId="131" dataCellStyle="一般 2"/>
    <tableColumn id="25" uniqueName="25" name="F25" queryTableFieldId="25" dataDxfId="130" dataCellStyle="一般 2"/>
    <tableColumn id="26" uniqueName="26" name="F26" queryTableFieldId="26" dataDxfId="129" dataCellStyle="一般 2"/>
    <tableColumn id="27" uniqueName="27" name="F27" queryTableFieldId="27" dataDxfId="128" dataCellStyle="一般 2"/>
    <tableColumn id="28" uniqueName="28" name="F28" queryTableFieldId="28" dataDxfId="127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46"/>
  <sheetViews>
    <sheetView view="pageBreakPreview" topLeftCell="A24" zoomScale="80" zoomScaleNormal="100" zoomScaleSheetLayoutView="80" workbookViewId="0">
      <selection activeCell="E26" sqref="E26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70" t="s">
        <v>173</v>
      </c>
      <c r="B1" s="170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174</v>
      </c>
      <c r="Q1" s="55"/>
      <c r="R1" s="55"/>
      <c r="S1" s="55"/>
    </row>
    <row r="2" spans="1:24" s="59" customFormat="1" ht="25.65" customHeight="1" thickTop="1" thickBot="1">
      <c r="A2" s="114" t="s">
        <v>109</v>
      </c>
      <c r="B2" s="115" t="s">
        <v>32</v>
      </c>
      <c r="C2" s="116" t="s">
        <v>33</v>
      </c>
      <c r="D2" s="114" t="s">
        <v>31</v>
      </c>
      <c r="E2" s="115" t="s">
        <v>32</v>
      </c>
      <c r="F2" s="116" t="s">
        <v>188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189</v>
      </c>
      <c r="L2" s="117" t="s">
        <v>33</v>
      </c>
      <c r="M2" s="118" t="s">
        <v>175</v>
      </c>
      <c r="N2" s="56"/>
      <c r="O2" s="56"/>
      <c r="P2" s="57" t="s">
        <v>140</v>
      </c>
      <c r="Q2" s="58" t="s">
        <v>141</v>
      </c>
      <c r="S2" s="60" t="s">
        <v>142</v>
      </c>
      <c r="U2" s="137" t="s">
        <v>143</v>
      </c>
      <c r="V2" s="136">
        <v>0.01</v>
      </c>
      <c r="W2" s="137" t="s">
        <v>155</v>
      </c>
      <c r="X2" s="61" t="s">
        <v>146</v>
      </c>
    </row>
    <row r="3" spans="1:24" s="53" customFormat="1" ht="22.2" customHeight="1" thickTop="1">
      <c r="A3" s="119">
        <v>601</v>
      </c>
      <c r="B3" s="120">
        <v>5124</v>
      </c>
      <c r="C3" s="121">
        <v>28</v>
      </c>
      <c r="D3" s="122" t="s">
        <v>76</v>
      </c>
      <c r="E3" s="120">
        <v>0</v>
      </c>
      <c r="F3" s="121">
        <v>26</v>
      </c>
      <c r="G3" s="119">
        <v>661</v>
      </c>
      <c r="H3" s="120">
        <v>7164</v>
      </c>
      <c r="I3" s="123">
        <v>27</v>
      </c>
      <c r="J3" s="119">
        <v>681</v>
      </c>
      <c r="K3" s="120">
        <v>1055</v>
      </c>
      <c r="L3" s="124">
        <v>28</v>
      </c>
      <c r="M3" s="171" t="s">
        <v>572</v>
      </c>
      <c r="N3" s="137" t="s">
        <v>143</v>
      </c>
      <c r="O3" s="137" t="s">
        <v>144</v>
      </c>
      <c r="P3" s="137" t="s">
        <v>145</v>
      </c>
      <c r="Q3" s="61" t="s">
        <v>146</v>
      </c>
      <c r="S3" s="53">
        <v>5900</v>
      </c>
      <c r="U3" s="137" t="s">
        <v>147</v>
      </c>
      <c r="V3" s="136">
        <v>0.01</v>
      </c>
      <c r="W3" s="137" t="s">
        <v>156</v>
      </c>
      <c r="X3" s="61" t="s">
        <v>149</v>
      </c>
    </row>
    <row r="4" spans="1:24" s="53" customFormat="1" ht="22.2" customHeight="1">
      <c r="A4" s="119">
        <v>602</v>
      </c>
      <c r="B4" s="120">
        <v>5148</v>
      </c>
      <c r="C4" s="121">
        <v>27</v>
      </c>
      <c r="D4" s="122" t="s">
        <v>77</v>
      </c>
      <c r="E4" s="120">
        <v>0</v>
      </c>
      <c r="F4" s="121">
        <v>24</v>
      </c>
      <c r="G4" s="119">
        <v>662</v>
      </c>
      <c r="H4" s="120">
        <v>0</v>
      </c>
      <c r="I4" s="123">
        <v>25</v>
      </c>
      <c r="J4" s="119">
        <v>682</v>
      </c>
      <c r="K4" s="120">
        <v>1849</v>
      </c>
      <c r="L4" s="133">
        <v>29</v>
      </c>
      <c r="M4" s="172"/>
      <c r="N4" s="137" t="s">
        <v>147</v>
      </c>
      <c r="O4" s="137" t="s">
        <v>144</v>
      </c>
      <c r="P4" s="137" t="s">
        <v>148</v>
      </c>
      <c r="Q4" s="61" t="s">
        <v>149</v>
      </c>
      <c r="S4" s="53">
        <v>5600</v>
      </c>
      <c r="U4" s="62">
        <v>680690</v>
      </c>
      <c r="V4" s="136">
        <v>0.01</v>
      </c>
      <c r="W4" s="137" t="s">
        <v>157</v>
      </c>
      <c r="X4" s="61" t="s">
        <v>149</v>
      </c>
    </row>
    <row r="5" spans="1:24" s="53" customFormat="1" ht="22.2" customHeight="1">
      <c r="A5" s="119">
        <v>603</v>
      </c>
      <c r="B5" s="120">
        <v>7138</v>
      </c>
      <c r="C5" s="121">
        <v>25</v>
      </c>
      <c r="D5" s="122">
        <v>631</v>
      </c>
      <c r="E5" s="120">
        <v>6486</v>
      </c>
      <c r="F5" s="121">
        <v>24</v>
      </c>
      <c r="G5" s="119">
        <v>663</v>
      </c>
      <c r="H5" s="120">
        <v>3513</v>
      </c>
      <c r="I5" s="123">
        <v>28</v>
      </c>
      <c r="J5" s="119">
        <v>683</v>
      </c>
      <c r="K5" s="120">
        <v>2357</v>
      </c>
      <c r="L5" s="133">
        <v>29</v>
      </c>
      <c r="M5" s="172"/>
      <c r="N5" s="62">
        <v>680690</v>
      </c>
      <c r="O5" s="137" t="s">
        <v>144</v>
      </c>
      <c r="P5" s="137" t="s">
        <v>150</v>
      </c>
      <c r="Q5" s="61" t="s">
        <v>149</v>
      </c>
      <c r="S5" s="53">
        <v>4100</v>
      </c>
      <c r="U5" s="137" t="s">
        <v>151</v>
      </c>
      <c r="V5" s="136">
        <v>0.01</v>
      </c>
      <c r="W5" s="137" t="s">
        <v>158</v>
      </c>
      <c r="X5" s="61" t="s">
        <v>149</v>
      </c>
    </row>
    <row r="6" spans="1:24" s="53" customFormat="1" ht="22.2" customHeight="1">
      <c r="A6" s="119" t="s">
        <v>78</v>
      </c>
      <c r="B6" s="125">
        <v>5503</v>
      </c>
      <c r="C6" s="126">
        <v>27</v>
      </c>
      <c r="D6" s="127">
        <v>632</v>
      </c>
      <c r="E6" s="125">
        <v>556</v>
      </c>
      <c r="F6" s="126">
        <v>25</v>
      </c>
      <c r="G6" s="127">
        <v>664</v>
      </c>
      <c r="H6" s="125">
        <v>6925</v>
      </c>
      <c r="I6" s="124">
        <v>28</v>
      </c>
      <c r="J6" s="127">
        <v>684</v>
      </c>
      <c r="K6" s="125">
        <v>2547</v>
      </c>
      <c r="L6" s="133">
        <v>27</v>
      </c>
      <c r="M6" s="172"/>
      <c r="N6" s="137" t="s">
        <v>151</v>
      </c>
      <c r="O6" s="137" t="s">
        <v>144</v>
      </c>
      <c r="P6" s="137" t="s">
        <v>152</v>
      </c>
      <c r="Q6" s="61" t="s">
        <v>149</v>
      </c>
      <c r="S6" s="53">
        <v>7000</v>
      </c>
      <c r="U6" s="137" t="s">
        <v>153</v>
      </c>
      <c r="V6" s="136">
        <v>0.01</v>
      </c>
      <c r="W6" s="137" t="s">
        <v>159</v>
      </c>
      <c r="X6" s="61" t="s">
        <v>149</v>
      </c>
    </row>
    <row r="7" spans="1:24" s="53" customFormat="1" ht="22.2" customHeight="1">
      <c r="A7" s="119" t="s">
        <v>79</v>
      </c>
      <c r="B7" s="125">
        <v>2636</v>
      </c>
      <c r="C7" s="126">
        <v>24</v>
      </c>
      <c r="D7" s="127">
        <v>633</v>
      </c>
      <c r="E7" s="125">
        <v>3995</v>
      </c>
      <c r="F7" s="126">
        <v>21</v>
      </c>
      <c r="G7" s="127">
        <v>665</v>
      </c>
      <c r="H7" s="125">
        <v>3439</v>
      </c>
      <c r="I7" s="124">
        <v>25</v>
      </c>
      <c r="J7" s="127">
        <v>685</v>
      </c>
      <c r="K7" s="125">
        <v>2388</v>
      </c>
      <c r="L7" s="133">
        <v>30</v>
      </c>
      <c r="M7" s="172"/>
      <c r="N7" s="137" t="s">
        <v>153</v>
      </c>
      <c r="O7" s="137" t="s">
        <v>144</v>
      </c>
      <c r="P7" s="137" t="s">
        <v>154</v>
      </c>
      <c r="Q7" s="61" t="s">
        <v>149</v>
      </c>
      <c r="S7" s="53">
        <v>11590</v>
      </c>
      <c r="X7" s="55"/>
    </row>
    <row r="8" spans="1:24" s="53" customFormat="1" ht="22.2" customHeight="1">
      <c r="A8" s="119">
        <v>611</v>
      </c>
      <c r="B8" s="125">
        <v>63.31</v>
      </c>
      <c r="C8" s="134">
        <v>25</v>
      </c>
      <c r="D8" s="127">
        <v>634</v>
      </c>
      <c r="E8" s="125">
        <v>4141</v>
      </c>
      <c r="F8" s="126">
        <v>25</v>
      </c>
      <c r="G8" s="127">
        <v>666</v>
      </c>
      <c r="H8" s="125">
        <v>2362</v>
      </c>
      <c r="I8" s="124">
        <v>27</v>
      </c>
      <c r="J8" s="127">
        <v>686</v>
      </c>
      <c r="K8" s="125">
        <v>3571</v>
      </c>
      <c r="L8" s="133">
        <v>29</v>
      </c>
      <c r="M8" s="172"/>
      <c r="N8" s="137" t="s">
        <v>164</v>
      </c>
      <c r="O8" s="137" t="s">
        <v>144</v>
      </c>
      <c r="P8" s="137" t="s">
        <v>165</v>
      </c>
      <c r="Q8" s="61" t="s">
        <v>149</v>
      </c>
      <c r="S8" s="53">
        <v>9200</v>
      </c>
    </row>
    <row r="9" spans="1:24" s="53" customFormat="1" ht="22.2" customHeight="1">
      <c r="A9" s="119">
        <v>612</v>
      </c>
      <c r="B9" s="125">
        <v>7.82</v>
      </c>
      <c r="C9" s="134">
        <v>25</v>
      </c>
      <c r="D9" s="127">
        <v>641</v>
      </c>
      <c r="E9" s="125">
        <v>4406</v>
      </c>
      <c r="F9" s="126">
        <v>25</v>
      </c>
      <c r="G9" s="127">
        <v>667</v>
      </c>
      <c r="H9" s="125">
        <v>-547</v>
      </c>
      <c r="I9" s="124">
        <v>26</v>
      </c>
      <c r="J9" s="127">
        <v>687</v>
      </c>
      <c r="K9" s="125">
        <v>5262</v>
      </c>
      <c r="L9" s="133">
        <v>29</v>
      </c>
      <c r="M9" s="172"/>
      <c r="N9" s="137" t="s">
        <v>166</v>
      </c>
      <c r="O9" s="137" t="s">
        <v>144</v>
      </c>
      <c r="P9" s="137" t="s">
        <v>167</v>
      </c>
      <c r="Q9" s="61" t="s">
        <v>149</v>
      </c>
      <c r="S9" s="53">
        <v>6800</v>
      </c>
    </row>
    <row r="10" spans="1:24" s="53" customFormat="1" ht="22.2" customHeight="1">
      <c r="A10" s="119">
        <v>613</v>
      </c>
      <c r="B10" s="125">
        <v>7.71</v>
      </c>
      <c r="C10" s="134">
        <v>25</v>
      </c>
      <c r="D10" s="127">
        <v>642</v>
      </c>
      <c r="E10" s="125">
        <v>3010</v>
      </c>
      <c r="F10" s="126">
        <v>28</v>
      </c>
      <c r="G10" s="127">
        <v>668</v>
      </c>
      <c r="H10" s="125">
        <v>-370</v>
      </c>
      <c r="I10" s="124">
        <v>27</v>
      </c>
      <c r="J10" s="127">
        <v>688</v>
      </c>
      <c r="K10" s="125">
        <v>5333</v>
      </c>
      <c r="L10" s="133">
        <v>29</v>
      </c>
      <c r="M10" s="172"/>
      <c r="N10" s="137" t="s">
        <v>168</v>
      </c>
      <c r="O10" s="136" t="s">
        <v>144</v>
      </c>
      <c r="P10" s="137" t="s">
        <v>169</v>
      </c>
      <c r="Q10" s="61" t="s">
        <v>149</v>
      </c>
      <c r="S10" s="53">
        <v>5500</v>
      </c>
    </row>
    <row r="11" spans="1:24" s="53" customFormat="1" ht="22.2" customHeight="1">
      <c r="A11" s="119">
        <v>614</v>
      </c>
      <c r="B11" s="125">
        <v>61.62</v>
      </c>
      <c r="C11" s="134">
        <v>25</v>
      </c>
      <c r="D11" s="127">
        <v>643</v>
      </c>
      <c r="E11" s="125">
        <v>4788</v>
      </c>
      <c r="F11" s="126">
        <v>28</v>
      </c>
      <c r="G11" s="127">
        <v>669</v>
      </c>
      <c r="H11" s="125">
        <v>27</v>
      </c>
      <c r="I11" s="124">
        <v>27</v>
      </c>
      <c r="J11" s="127">
        <v>689</v>
      </c>
      <c r="K11" s="125">
        <v>3694</v>
      </c>
      <c r="L11" s="133">
        <v>30</v>
      </c>
      <c r="M11" s="172"/>
      <c r="N11" s="137" t="s">
        <v>170</v>
      </c>
      <c r="O11" s="136" t="s">
        <v>144</v>
      </c>
      <c r="P11" s="137">
        <v>9.0746000000000002</v>
      </c>
      <c r="Q11" s="61" t="s">
        <v>149</v>
      </c>
      <c r="S11" s="53">
        <v>7100</v>
      </c>
    </row>
    <row r="12" spans="1:24" s="53" customFormat="1" ht="22.2" customHeight="1">
      <c r="A12" s="119">
        <v>621</v>
      </c>
      <c r="B12" s="125">
        <v>5316</v>
      </c>
      <c r="C12" s="126">
        <v>25</v>
      </c>
      <c r="D12" s="127">
        <v>645</v>
      </c>
      <c r="E12" s="125">
        <v>4717</v>
      </c>
      <c r="F12" s="126">
        <v>27</v>
      </c>
      <c r="G12" s="127">
        <v>670</v>
      </c>
      <c r="H12" s="125">
        <v>-9908</v>
      </c>
      <c r="I12" s="124">
        <v>27</v>
      </c>
      <c r="J12" s="127">
        <v>690</v>
      </c>
      <c r="K12" s="125">
        <v>1021</v>
      </c>
      <c r="L12" s="124">
        <v>30</v>
      </c>
      <c r="M12" s="172"/>
      <c r="N12" s="62" t="s">
        <v>171</v>
      </c>
      <c r="O12" s="136" t="s">
        <v>144</v>
      </c>
      <c r="P12" s="137">
        <v>9.0746000000000002</v>
      </c>
      <c r="Q12" s="61" t="s">
        <v>149</v>
      </c>
      <c r="S12" s="53">
        <v>5500</v>
      </c>
    </row>
    <row r="13" spans="1:24" s="53" customFormat="1" ht="22.2" customHeight="1">
      <c r="A13" s="119">
        <v>622</v>
      </c>
      <c r="B13" s="125">
        <v>3841</v>
      </c>
      <c r="C13" s="126">
        <v>27</v>
      </c>
      <c r="D13" s="127">
        <v>651</v>
      </c>
      <c r="E13" s="125">
        <v>2438</v>
      </c>
      <c r="F13" s="126">
        <v>27</v>
      </c>
      <c r="G13" s="127">
        <v>671</v>
      </c>
      <c r="H13" s="125">
        <v>0</v>
      </c>
      <c r="I13" s="124">
        <v>25</v>
      </c>
      <c r="J13" s="127">
        <v>691</v>
      </c>
      <c r="K13" s="125">
        <v>916</v>
      </c>
      <c r="L13" s="133">
        <v>29</v>
      </c>
      <c r="M13" s="172"/>
      <c r="N13" s="174" t="s">
        <v>172</v>
      </c>
      <c r="O13" s="175" t="s">
        <v>144</v>
      </c>
      <c r="P13" s="176">
        <v>7.0686</v>
      </c>
      <c r="Q13" s="177" t="s">
        <v>149</v>
      </c>
      <c r="S13" s="169">
        <v>7000</v>
      </c>
    </row>
    <row r="14" spans="1:24" s="53" customFormat="1" ht="22.2" customHeight="1">
      <c r="A14" s="119">
        <v>623</v>
      </c>
      <c r="B14" s="125">
        <v>47</v>
      </c>
      <c r="C14" s="126">
        <v>28</v>
      </c>
      <c r="D14" s="127">
        <v>652</v>
      </c>
      <c r="E14" s="125">
        <v>814</v>
      </c>
      <c r="F14" s="126">
        <v>24</v>
      </c>
      <c r="G14" s="127">
        <v>672</v>
      </c>
      <c r="H14" s="125">
        <v>0</v>
      </c>
      <c r="I14" s="124">
        <v>23</v>
      </c>
      <c r="J14" s="127">
        <v>692</v>
      </c>
      <c r="K14" s="125">
        <v>1745</v>
      </c>
      <c r="L14" s="133">
        <v>30</v>
      </c>
      <c r="M14" s="172"/>
      <c r="N14" s="174"/>
      <c r="O14" s="175"/>
      <c r="P14" s="176"/>
      <c r="Q14" s="177"/>
      <c r="S14" s="169"/>
    </row>
    <row r="15" spans="1:24" s="53" customFormat="1" ht="22.2" customHeight="1">
      <c r="A15" s="122">
        <v>624</v>
      </c>
      <c r="B15" s="125">
        <v>4442</v>
      </c>
      <c r="C15" s="126">
        <v>25</v>
      </c>
      <c r="D15" s="128">
        <v>653</v>
      </c>
      <c r="E15" s="125">
        <v>3726</v>
      </c>
      <c r="F15" s="126">
        <v>25</v>
      </c>
      <c r="G15" s="127">
        <v>673</v>
      </c>
      <c r="H15" s="125">
        <v>2369</v>
      </c>
      <c r="I15" s="124">
        <v>29</v>
      </c>
      <c r="J15" s="127">
        <v>693</v>
      </c>
      <c r="K15" s="125">
        <v>6632</v>
      </c>
      <c r="L15" s="133">
        <v>31</v>
      </c>
      <c r="M15" s="172"/>
      <c r="N15" s="174"/>
      <c r="O15" s="175"/>
      <c r="P15" s="176"/>
      <c r="Q15" s="177"/>
      <c r="R15" s="55"/>
      <c r="S15" s="169"/>
    </row>
    <row r="16" spans="1:24" s="53" customFormat="1" ht="22.2" customHeight="1">
      <c r="A16" s="122" t="s">
        <v>80</v>
      </c>
      <c r="B16" s="125">
        <v>0</v>
      </c>
      <c r="C16" s="126">
        <v>25</v>
      </c>
      <c r="D16" s="127">
        <v>654</v>
      </c>
      <c r="E16" s="125">
        <v>118</v>
      </c>
      <c r="F16" s="126">
        <v>25</v>
      </c>
      <c r="G16" s="127">
        <v>674</v>
      </c>
      <c r="H16" s="125">
        <v>22</v>
      </c>
      <c r="I16" s="124">
        <v>23</v>
      </c>
      <c r="J16" s="127">
        <v>694</v>
      </c>
      <c r="K16" s="125">
        <v>1764</v>
      </c>
      <c r="L16" s="133">
        <v>30</v>
      </c>
      <c r="M16" s="172"/>
      <c r="Q16" s="55"/>
      <c r="R16" s="55"/>
      <c r="S16" s="55"/>
    </row>
    <row r="17" spans="1:19" s="53" customFormat="1" ht="22.2" customHeight="1">
      <c r="A17" s="122" t="s">
        <v>26</v>
      </c>
      <c r="B17" s="125">
        <v>0</v>
      </c>
      <c r="C17" s="126">
        <v>30</v>
      </c>
      <c r="D17" s="128">
        <v>655</v>
      </c>
      <c r="E17" s="125">
        <v>1687</v>
      </c>
      <c r="F17" s="126">
        <v>27</v>
      </c>
      <c r="G17" s="127">
        <v>675</v>
      </c>
      <c r="H17" s="125">
        <v>42.31</v>
      </c>
      <c r="I17" s="133">
        <v>25</v>
      </c>
      <c r="J17" s="127">
        <v>695</v>
      </c>
      <c r="K17" s="125">
        <v>4103</v>
      </c>
      <c r="L17" s="133">
        <v>30</v>
      </c>
      <c r="M17" s="172"/>
      <c r="Q17" s="55"/>
      <c r="R17" s="55"/>
      <c r="S17" s="55"/>
    </row>
    <row r="18" spans="1:19" s="53" customFormat="1" ht="22.2" customHeight="1">
      <c r="A18" s="122" t="s">
        <v>27</v>
      </c>
      <c r="B18" s="125">
        <v>4880</v>
      </c>
      <c r="C18" s="126">
        <v>23</v>
      </c>
      <c r="D18" s="127">
        <v>656</v>
      </c>
      <c r="E18" s="125">
        <v>1786</v>
      </c>
      <c r="F18" s="126">
        <v>26</v>
      </c>
      <c r="G18" s="127">
        <v>676</v>
      </c>
      <c r="H18" s="125">
        <v>84.11</v>
      </c>
      <c r="I18" s="133">
        <v>25</v>
      </c>
      <c r="J18" s="127">
        <v>696</v>
      </c>
      <c r="K18" s="125">
        <v>9635</v>
      </c>
      <c r="L18" s="133">
        <v>30</v>
      </c>
      <c r="M18" s="172"/>
      <c r="Q18" s="55"/>
      <c r="R18" s="55"/>
      <c r="S18" s="55"/>
    </row>
    <row r="19" spans="1:19" s="53" customFormat="1" ht="22.2" customHeight="1">
      <c r="A19" s="122" t="s">
        <v>28</v>
      </c>
      <c r="B19" s="125">
        <v>7193</v>
      </c>
      <c r="C19" s="126">
        <v>23</v>
      </c>
      <c r="D19" s="127">
        <v>657</v>
      </c>
      <c r="E19" s="125">
        <v>5646</v>
      </c>
      <c r="F19" s="126">
        <v>27</v>
      </c>
      <c r="G19" s="127">
        <v>677</v>
      </c>
      <c r="H19" s="125">
        <v>4.12</v>
      </c>
      <c r="I19" s="133">
        <v>25</v>
      </c>
      <c r="J19" s="127">
        <v>697</v>
      </c>
      <c r="K19" s="125">
        <v>10751</v>
      </c>
      <c r="L19" s="133">
        <v>31</v>
      </c>
      <c r="M19" s="172"/>
      <c r="Q19" s="55"/>
      <c r="R19" s="55"/>
      <c r="S19" s="55"/>
    </row>
    <row r="20" spans="1:19" s="53" customFormat="1" ht="22.2" customHeight="1">
      <c r="A20" s="122" t="s">
        <v>29</v>
      </c>
      <c r="B20" s="125">
        <v>4884</v>
      </c>
      <c r="C20" s="126">
        <v>26</v>
      </c>
      <c r="D20" s="128">
        <v>658</v>
      </c>
      <c r="E20" s="125">
        <v>2514</v>
      </c>
      <c r="F20" s="126">
        <v>28</v>
      </c>
      <c r="G20" s="127">
        <v>678</v>
      </c>
      <c r="H20" s="125">
        <v>95.72</v>
      </c>
      <c r="I20" s="133">
        <v>25</v>
      </c>
      <c r="J20" s="127">
        <v>698</v>
      </c>
      <c r="K20" s="125">
        <v>2679</v>
      </c>
      <c r="L20" s="133">
        <v>28</v>
      </c>
      <c r="M20" s="172"/>
      <c r="Q20" s="55"/>
      <c r="R20" s="55"/>
      <c r="S20" s="55"/>
    </row>
    <row r="21" spans="1:19" s="53" customFormat="1" ht="22.2" customHeight="1">
      <c r="A21" s="122" t="s">
        <v>30</v>
      </c>
      <c r="B21" s="125">
        <v>2281</v>
      </c>
      <c r="C21" s="126">
        <v>28</v>
      </c>
      <c r="D21" s="127">
        <v>659</v>
      </c>
      <c r="E21" s="125">
        <v>2326</v>
      </c>
      <c r="F21" s="126">
        <v>25</v>
      </c>
      <c r="G21" s="127">
        <v>680</v>
      </c>
      <c r="H21" s="125">
        <v>183</v>
      </c>
      <c r="I21" s="133">
        <v>30</v>
      </c>
      <c r="J21" s="127">
        <v>699</v>
      </c>
      <c r="K21" s="125">
        <v>3109</v>
      </c>
      <c r="L21" s="133">
        <v>30</v>
      </c>
      <c r="M21" s="172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0</v>
      </c>
      <c r="C22" s="130">
        <v>25</v>
      </c>
      <c r="D22" s="131">
        <v>660</v>
      </c>
      <c r="E22" s="130">
        <v>6086</v>
      </c>
      <c r="F22" s="132">
        <v>28</v>
      </c>
      <c r="G22" s="131"/>
      <c r="H22" s="130"/>
      <c r="I22" s="132"/>
      <c r="J22" s="131"/>
      <c r="K22" s="130"/>
      <c r="L22" s="132"/>
      <c r="M22" s="173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70"/>
      <c r="B24" s="170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176</v>
      </c>
    </row>
    <row r="25" spans="1:19" ht="20.100000000000001" customHeight="1" thickTop="1" thickBot="1">
      <c r="A25" s="114"/>
      <c r="B25" s="115" t="s">
        <v>160</v>
      </c>
      <c r="C25" s="116" t="s">
        <v>33</v>
      </c>
      <c r="D25" s="114" t="s">
        <v>31</v>
      </c>
      <c r="E25" s="115" t="s">
        <v>160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175</v>
      </c>
    </row>
    <row r="26" spans="1:19" ht="21.75" customHeight="1" thickTop="1">
      <c r="A26" s="119">
        <v>601</v>
      </c>
      <c r="B26" s="120">
        <v>5123</v>
      </c>
      <c r="C26" s="121">
        <v>28</v>
      </c>
      <c r="D26" s="122" t="s">
        <v>76</v>
      </c>
      <c r="E26" s="120">
        <v>0</v>
      </c>
      <c r="F26" s="121">
        <v>25</v>
      </c>
      <c r="G26" s="119">
        <v>661</v>
      </c>
      <c r="H26" s="120">
        <v>7157</v>
      </c>
      <c r="I26" s="123">
        <v>26</v>
      </c>
      <c r="J26" s="119">
        <v>681</v>
      </c>
      <c r="K26" s="120">
        <v>1123</v>
      </c>
      <c r="L26" s="124">
        <v>28</v>
      </c>
      <c r="M26" s="171"/>
    </row>
    <row r="27" spans="1:19" ht="21.75" customHeight="1">
      <c r="A27" s="119">
        <v>602</v>
      </c>
      <c r="B27" s="120">
        <v>4713</v>
      </c>
      <c r="C27" s="121">
        <v>26</v>
      </c>
      <c r="D27" s="122" t="s">
        <v>77</v>
      </c>
      <c r="E27" s="120">
        <v>0</v>
      </c>
      <c r="F27" s="121">
        <v>24</v>
      </c>
      <c r="G27" s="119">
        <v>662</v>
      </c>
      <c r="H27" s="120">
        <v>0</v>
      </c>
      <c r="I27" s="123">
        <v>24</v>
      </c>
      <c r="J27" s="119">
        <v>682</v>
      </c>
      <c r="K27" s="120">
        <v>2168</v>
      </c>
      <c r="L27" s="133">
        <v>29</v>
      </c>
      <c r="M27" s="172"/>
    </row>
    <row r="28" spans="1:19" ht="21.75" customHeight="1">
      <c r="A28" s="119">
        <v>603</v>
      </c>
      <c r="B28" s="120">
        <v>7138</v>
      </c>
      <c r="C28" s="121">
        <v>25</v>
      </c>
      <c r="D28" s="122">
        <v>631</v>
      </c>
      <c r="E28" s="120">
        <v>4306</v>
      </c>
      <c r="F28" s="121">
        <v>22</v>
      </c>
      <c r="G28" s="119">
        <v>663</v>
      </c>
      <c r="H28" s="120">
        <v>3511</v>
      </c>
      <c r="I28" s="123">
        <v>28</v>
      </c>
      <c r="J28" s="119">
        <v>683</v>
      </c>
      <c r="K28" s="120">
        <v>2357</v>
      </c>
      <c r="L28" s="133">
        <v>29</v>
      </c>
      <c r="M28" s="172"/>
    </row>
    <row r="29" spans="1:19" ht="21.75" customHeight="1">
      <c r="A29" s="119" t="s">
        <v>78</v>
      </c>
      <c r="B29" s="125">
        <v>6401</v>
      </c>
      <c r="C29" s="126">
        <v>26</v>
      </c>
      <c r="D29" s="127">
        <v>632</v>
      </c>
      <c r="E29" s="125">
        <v>555</v>
      </c>
      <c r="F29" s="126">
        <v>24</v>
      </c>
      <c r="G29" s="127">
        <v>664</v>
      </c>
      <c r="H29" s="125">
        <v>6918</v>
      </c>
      <c r="I29" s="124">
        <v>25</v>
      </c>
      <c r="J29" s="127">
        <v>684</v>
      </c>
      <c r="K29" s="125">
        <v>5404</v>
      </c>
      <c r="L29" s="133">
        <v>28</v>
      </c>
      <c r="M29" s="172"/>
    </row>
    <row r="30" spans="1:19" ht="21.75" customHeight="1">
      <c r="A30" s="119" t="s">
        <v>79</v>
      </c>
      <c r="B30" s="125">
        <v>2173</v>
      </c>
      <c r="C30" s="126">
        <v>21</v>
      </c>
      <c r="D30" s="127">
        <v>633</v>
      </c>
      <c r="E30" s="125">
        <v>3994</v>
      </c>
      <c r="F30" s="126">
        <v>19</v>
      </c>
      <c r="G30" s="127">
        <v>665</v>
      </c>
      <c r="H30" s="125">
        <v>3438</v>
      </c>
      <c r="I30" s="124">
        <v>25</v>
      </c>
      <c r="J30" s="127">
        <v>685</v>
      </c>
      <c r="K30" s="125">
        <v>2388</v>
      </c>
      <c r="L30" s="133">
        <v>29</v>
      </c>
      <c r="M30" s="172"/>
    </row>
    <row r="31" spans="1:19" ht="21.75" customHeight="1">
      <c r="A31" s="119">
        <v>611</v>
      </c>
      <c r="B31" s="125">
        <v>63.11</v>
      </c>
      <c r="C31" s="134">
        <v>25</v>
      </c>
      <c r="D31" s="127">
        <v>634</v>
      </c>
      <c r="E31" s="125">
        <v>4147</v>
      </c>
      <c r="F31" s="126">
        <v>25</v>
      </c>
      <c r="G31" s="127">
        <v>666</v>
      </c>
      <c r="H31" s="125">
        <v>2362</v>
      </c>
      <c r="I31" s="124">
        <v>25</v>
      </c>
      <c r="J31" s="127">
        <v>686</v>
      </c>
      <c r="K31" s="125">
        <v>3569</v>
      </c>
      <c r="L31" s="133">
        <v>30</v>
      </c>
      <c r="M31" s="172"/>
    </row>
    <row r="32" spans="1:19" ht="21.75" customHeight="1">
      <c r="A32" s="119">
        <v>612</v>
      </c>
      <c r="B32" s="125">
        <v>7.81</v>
      </c>
      <c r="C32" s="134">
        <v>25</v>
      </c>
      <c r="D32" s="127">
        <v>641</v>
      </c>
      <c r="E32" s="125">
        <v>4406</v>
      </c>
      <c r="F32" s="126">
        <v>24</v>
      </c>
      <c r="G32" s="127">
        <v>667</v>
      </c>
      <c r="H32" s="125">
        <v>-548</v>
      </c>
      <c r="I32" s="124">
        <v>25</v>
      </c>
      <c r="J32" s="127">
        <v>687</v>
      </c>
      <c r="K32" s="125">
        <v>5267</v>
      </c>
      <c r="L32" s="133">
        <v>29</v>
      </c>
      <c r="M32" s="172"/>
    </row>
    <row r="33" spans="1:13" ht="21.75" customHeight="1">
      <c r="A33" s="119">
        <v>613</v>
      </c>
      <c r="B33" s="144">
        <v>7.71</v>
      </c>
      <c r="C33" s="134">
        <v>25</v>
      </c>
      <c r="D33" s="127">
        <v>642</v>
      </c>
      <c r="E33" s="125">
        <v>3281</v>
      </c>
      <c r="F33" s="126">
        <v>29</v>
      </c>
      <c r="G33" s="127">
        <v>668</v>
      </c>
      <c r="H33" s="125">
        <v>-368</v>
      </c>
      <c r="I33" s="124">
        <v>26</v>
      </c>
      <c r="J33" s="127">
        <v>688</v>
      </c>
      <c r="K33" s="125">
        <v>5332</v>
      </c>
      <c r="L33" s="133">
        <v>29</v>
      </c>
      <c r="M33" s="172"/>
    </row>
    <row r="34" spans="1:13" ht="21.75" customHeight="1">
      <c r="A34" s="119">
        <v>614</v>
      </c>
      <c r="B34" s="125">
        <v>33.21</v>
      </c>
      <c r="C34" s="134">
        <v>25</v>
      </c>
      <c r="D34" s="127">
        <v>643</v>
      </c>
      <c r="E34" s="125">
        <v>3238</v>
      </c>
      <c r="F34" s="126">
        <v>26</v>
      </c>
      <c r="G34" s="127">
        <v>669</v>
      </c>
      <c r="H34" s="125">
        <v>27</v>
      </c>
      <c r="I34" s="124">
        <v>25</v>
      </c>
      <c r="J34" s="127">
        <v>689</v>
      </c>
      <c r="K34" s="125">
        <v>3694</v>
      </c>
      <c r="L34" s="133">
        <v>30</v>
      </c>
      <c r="M34" s="172"/>
    </row>
    <row r="35" spans="1:13" ht="21.75" customHeight="1">
      <c r="A35" s="119">
        <v>621</v>
      </c>
      <c r="B35" s="125">
        <v>5314</v>
      </c>
      <c r="C35" s="126">
        <v>26</v>
      </c>
      <c r="D35" s="127">
        <v>645</v>
      </c>
      <c r="E35" s="125">
        <v>4711</v>
      </c>
      <c r="F35" s="126">
        <v>25</v>
      </c>
      <c r="G35" s="127">
        <v>670</v>
      </c>
      <c r="H35" s="125">
        <v>-9905</v>
      </c>
      <c r="I35" s="124">
        <v>26</v>
      </c>
      <c r="J35" s="127">
        <v>690</v>
      </c>
      <c r="K35" s="125">
        <v>1018</v>
      </c>
      <c r="L35" s="124">
        <v>30</v>
      </c>
      <c r="M35" s="172"/>
    </row>
    <row r="36" spans="1:13" ht="21.75" customHeight="1">
      <c r="A36" s="119">
        <v>622</v>
      </c>
      <c r="B36" s="125">
        <v>3839</v>
      </c>
      <c r="C36" s="126">
        <v>28</v>
      </c>
      <c r="D36" s="127">
        <v>651</v>
      </c>
      <c r="E36" s="125">
        <v>2444</v>
      </c>
      <c r="F36" s="126">
        <v>28</v>
      </c>
      <c r="G36" s="127">
        <v>671</v>
      </c>
      <c r="H36" s="125">
        <v>0</v>
      </c>
      <c r="I36" s="124">
        <v>25</v>
      </c>
      <c r="J36" s="127">
        <v>691</v>
      </c>
      <c r="K36" s="125">
        <v>3461</v>
      </c>
      <c r="L36" s="133">
        <v>29</v>
      </c>
      <c r="M36" s="172"/>
    </row>
    <row r="37" spans="1:13" ht="21.75" customHeight="1">
      <c r="A37" s="119">
        <v>623</v>
      </c>
      <c r="B37" s="125">
        <v>47</v>
      </c>
      <c r="C37" s="126">
        <v>22</v>
      </c>
      <c r="D37" s="127">
        <v>652</v>
      </c>
      <c r="E37" s="125">
        <v>2938</v>
      </c>
      <c r="F37" s="126">
        <v>25</v>
      </c>
      <c r="G37" s="127">
        <v>672</v>
      </c>
      <c r="H37" s="125">
        <v>0</v>
      </c>
      <c r="I37" s="124">
        <v>24</v>
      </c>
      <c r="J37" s="127">
        <v>692</v>
      </c>
      <c r="K37" s="125">
        <v>1744</v>
      </c>
      <c r="L37" s="133">
        <v>30</v>
      </c>
      <c r="M37" s="172"/>
    </row>
    <row r="38" spans="1:13" ht="21.75" customHeight="1">
      <c r="A38" s="122">
        <v>624</v>
      </c>
      <c r="B38" s="125">
        <v>5245</v>
      </c>
      <c r="C38" s="126">
        <v>25</v>
      </c>
      <c r="D38" s="128">
        <v>653</v>
      </c>
      <c r="E38" s="125">
        <v>3725</v>
      </c>
      <c r="F38" s="126">
        <v>25</v>
      </c>
      <c r="G38" s="127">
        <v>673</v>
      </c>
      <c r="H38" s="125">
        <v>2368</v>
      </c>
      <c r="I38" s="124">
        <v>28</v>
      </c>
      <c r="J38" s="127">
        <v>693</v>
      </c>
      <c r="K38" s="125">
        <v>6010</v>
      </c>
      <c r="L38" s="133">
        <v>31</v>
      </c>
      <c r="M38" s="172"/>
    </row>
    <row r="39" spans="1:13" ht="21.75" customHeight="1">
      <c r="A39" s="122" t="s">
        <v>80</v>
      </c>
      <c r="B39" s="125">
        <v>4756</v>
      </c>
      <c r="C39" s="126">
        <v>27</v>
      </c>
      <c r="D39" s="127">
        <v>654</v>
      </c>
      <c r="E39" s="125">
        <v>118</v>
      </c>
      <c r="F39" s="126">
        <v>25</v>
      </c>
      <c r="G39" s="127">
        <v>674</v>
      </c>
      <c r="H39" s="125">
        <v>27</v>
      </c>
      <c r="I39" s="124">
        <v>23</v>
      </c>
      <c r="J39" s="127">
        <v>694</v>
      </c>
      <c r="K39" s="125">
        <v>1764</v>
      </c>
      <c r="L39" s="133">
        <v>30</v>
      </c>
      <c r="M39" s="172"/>
    </row>
    <row r="40" spans="1:13" ht="21.75" customHeight="1">
      <c r="A40" s="122" t="s">
        <v>26</v>
      </c>
      <c r="B40" s="125">
        <v>7002</v>
      </c>
      <c r="C40" s="126">
        <v>31</v>
      </c>
      <c r="D40" s="128">
        <v>655</v>
      </c>
      <c r="E40" s="125">
        <v>1660</v>
      </c>
      <c r="F40" s="126">
        <v>27</v>
      </c>
      <c r="G40" s="127">
        <v>675</v>
      </c>
      <c r="H40" s="125">
        <v>84.41</v>
      </c>
      <c r="I40" s="133">
        <v>25</v>
      </c>
      <c r="J40" s="127">
        <v>695</v>
      </c>
      <c r="K40" s="125">
        <v>4137</v>
      </c>
      <c r="L40" s="133">
        <v>32</v>
      </c>
      <c r="M40" s="172"/>
    </row>
    <row r="41" spans="1:13" ht="21.75" customHeight="1">
      <c r="A41" s="122" t="s">
        <v>27</v>
      </c>
      <c r="B41" s="125">
        <v>4869</v>
      </c>
      <c r="C41" s="126">
        <v>25</v>
      </c>
      <c r="D41" s="127">
        <v>656</v>
      </c>
      <c r="E41" s="125">
        <v>1786</v>
      </c>
      <c r="F41" s="126">
        <v>26</v>
      </c>
      <c r="G41" s="127">
        <v>676</v>
      </c>
      <c r="H41" s="125">
        <v>15.51</v>
      </c>
      <c r="I41" s="133">
        <v>25</v>
      </c>
      <c r="J41" s="127">
        <v>696</v>
      </c>
      <c r="K41" s="125">
        <v>9639</v>
      </c>
      <c r="L41" s="133">
        <v>30</v>
      </c>
      <c r="M41" s="172"/>
    </row>
    <row r="42" spans="1:13" ht="21.75" customHeight="1">
      <c r="A42" s="122" t="s">
        <v>28</v>
      </c>
      <c r="B42" s="125">
        <v>2430</v>
      </c>
      <c r="C42" s="126">
        <v>22</v>
      </c>
      <c r="D42" s="127">
        <v>657</v>
      </c>
      <c r="E42" s="125">
        <v>5638</v>
      </c>
      <c r="F42" s="126">
        <v>27</v>
      </c>
      <c r="G42" s="127">
        <v>677</v>
      </c>
      <c r="H42" s="125">
        <v>4.91</v>
      </c>
      <c r="I42" s="133">
        <v>25</v>
      </c>
      <c r="J42" s="127">
        <v>697</v>
      </c>
      <c r="K42" s="125">
        <v>10755</v>
      </c>
      <c r="L42" s="133">
        <v>30</v>
      </c>
      <c r="M42" s="172"/>
    </row>
    <row r="43" spans="1:13" ht="21.75" customHeight="1">
      <c r="A43" s="122" t="s">
        <v>29</v>
      </c>
      <c r="B43" s="125">
        <v>0</v>
      </c>
      <c r="C43" s="126">
        <v>25</v>
      </c>
      <c r="D43" s="128">
        <v>658</v>
      </c>
      <c r="E43" s="125">
        <v>2512</v>
      </c>
      <c r="F43" s="126">
        <v>27</v>
      </c>
      <c r="G43" s="127">
        <v>678</v>
      </c>
      <c r="H43" s="125">
        <v>95.61</v>
      </c>
      <c r="I43" s="133">
        <v>25</v>
      </c>
      <c r="J43" s="127">
        <v>698</v>
      </c>
      <c r="K43" s="125">
        <v>2679</v>
      </c>
      <c r="L43" s="133">
        <v>30</v>
      </c>
      <c r="M43" s="172"/>
    </row>
    <row r="44" spans="1:13" ht="21.75" customHeight="1">
      <c r="A44" s="122" t="s">
        <v>30</v>
      </c>
      <c r="B44" s="125">
        <v>0</v>
      </c>
      <c r="C44" s="126">
        <v>28</v>
      </c>
      <c r="D44" s="127">
        <v>659</v>
      </c>
      <c r="E44" s="125">
        <v>1287</v>
      </c>
      <c r="F44" s="126">
        <v>23</v>
      </c>
      <c r="G44" s="127">
        <v>680</v>
      </c>
      <c r="H44" s="125">
        <v>3107</v>
      </c>
      <c r="I44" s="133">
        <v>30</v>
      </c>
      <c r="J44" s="127">
        <v>699</v>
      </c>
      <c r="K44" s="125">
        <v>2910</v>
      </c>
      <c r="L44" s="133">
        <v>29</v>
      </c>
      <c r="M44" s="172"/>
    </row>
    <row r="45" spans="1:13" ht="21.75" customHeight="1" thickBot="1">
      <c r="A45" s="129" t="s">
        <v>81</v>
      </c>
      <c r="B45" s="130">
        <v>0</v>
      </c>
      <c r="C45" s="130">
        <v>25</v>
      </c>
      <c r="D45" s="131">
        <v>660</v>
      </c>
      <c r="E45" s="130">
        <v>6082</v>
      </c>
      <c r="F45" s="132">
        <v>28</v>
      </c>
      <c r="G45" s="131"/>
      <c r="H45" s="130"/>
      <c r="I45" s="132"/>
      <c r="J45" s="131"/>
      <c r="K45" s="130"/>
      <c r="L45" s="132"/>
      <c r="M45" s="173"/>
    </row>
    <row r="46" spans="1:13" ht="16.2" thickTop="1"/>
  </sheetData>
  <sheetProtection selectLockedCells="1"/>
  <mergeCells count="9">
    <mergeCell ref="S13:S15"/>
    <mergeCell ref="A24:B24"/>
    <mergeCell ref="M26:M45"/>
    <mergeCell ref="A1:B1"/>
    <mergeCell ref="M3:M22"/>
    <mergeCell ref="N13:N15"/>
    <mergeCell ref="O13:O15"/>
    <mergeCell ref="P13:P15"/>
    <mergeCell ref="Q13:Q15"/>
  </mergeCells>
  <phoneticPr fontId="2" type="noConversion"/>
  <dataValidations count="8">
    <dataValidation type="custom" errorStyle="warning" allowBlank="1" showInputMessage="1" showErrorMessage="1" error="***你在睡喔,醒醒好嗎" sqref="B6:B7 B4 B15 B38 E8 B29:B30 B27 E31">
      <formula1>B4&lt;=9100</formula1>
    </dataValidation>
    <dataValidation type="custom" errorStyle="warning" allowBlank="1" showInputMessage="1" showErrorMessage="1" error="***你在睡喔,醒醒好嗎" sqref="B8:B11 B31:B34 H17:H20 H40:H43">
      <formula1>B8&lt;=100</formula1>
    </dataValidation>
    <dataValidation type="custom" errorStyle="warning" allowBlank="1" showInputMessage="1" showErrorMessage="1" error="***你在睡喔,醒醒好嗎" sqref="B16:B22 H3:H16 E20:E22 E3:E4 B39:B45 H26:H39 E43:E45 E26:E27">
      <formula1>B3&lt;=7400</formula1>
    </dataValidation>
    <dataValidation type="custom" errorStyle="warning" allowBlank="1" showInputMessage="1" showErrorMessage="1" error="***你在睡喔,醒醒好嗎" sqref="E14:E19 E37:E42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26 B12:B13 B3 K14:K17 B5 B28 B35:B36 E28:E29 K37:K40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3:K11 E9:E13 K13 B37 E30 K26:K34 E32:E36 K36">
      <formula1>B3&lt;=5600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53340</xdr:colOff>
                <xdr:row>15</xdr:row>
                <xdr:rowOff>198120</xdr:rowOff>
              </from>
              <to>
                <xdr:col>15</xdr:col>
                <xdr:colOff>518160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15240</xdr:colOff>
                <xdr:row>25</xdr:row>
                <xdr:rowOff>60960</xdr:rowOff>
              </from>
              <to>
                <xdr:col>15</xdr:col>
                <xdr:colOff>541020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4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N9" sqref="N9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1.0659000000000001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1.0648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1.0637000000000001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1.0603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1.0528999999999999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1.0556000000000001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1.0516000000000001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1.0506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1.0494000000000001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1.0483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1.0469999999999999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1.0454000000000001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1.0448999999999999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1.0437000000000001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1.0409999999999999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1.0388999999999999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1.0377000000000001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1.0366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1.0355099999999999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1.0344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1.03329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1.0321800000000001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1.0310699999999999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1.02996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1.0287999999999999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1.0277000000000001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1.0265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1.0254000000000001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1.0265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1.0277000000000001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1.0287999999999999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1.0310999999999999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1.0322199999999999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1.0333600000000001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1.0345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1.0356399999999999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1.03678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6.8" thickTop="1">
      <c r="B52" s="49"/>
      <c r="C52" s="49"/>
      <c r="D52" s="49"/>
      <c r="E52" s="49"/>
      <c r="F52" s="49"/>
      <c r="G52" s="49"/>
      <c r="H52" s="49"/>
      <c r="I52" s="49"/>
      <c r="J52" s="49"/>
      <c r="U52" s="8"/>
    </row>
    <row r="53" spans="1:24">
      <c r="U53" s="8"/>
    </row>
    <row r="54" spans="1:24">
      <c r="U54" s="8"/>
    </row>
    <row r="55" spans="1:24">
      <c r="U55" s="8"/>
    </row>
    <row r="56" spans="1:24">
      <c r="U56" s="8"/>
    </row>
    <row r="57" spans="1:24">
      <c r="U57" s="8"/>
    </row>
    <row r="58" spans="1:24">
      <c r="U58" s="8"/>
    </row>
    <row r="59" spans="1:24">
      <c r="U59" s="8"/>
    </row>
    <row r="60" spans="1:24">
      <c r="U60" s="8"/>
    </row>
    <row r="61" spans="1:24">
      <c r="U61" s="8"/>
    </row>
    <row r="62" spans="1:24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  <row r="94" spans="21:21">
      <c r="U94" s="8"/>
    </row>
  </sheetData>
  <phoneticPr fontId="2" type="noConversion"/>
  <pageMargins left="0.42" right="0.2" top="0.36" bottom="0.43" header="0.5" footer="0.5"/>
  <pageSetup paperSize="9" scale="48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47">
    <pageSetUpPr fitToPage="1"/>
  </sheetPr>
  <dimension ref="A1:CU223"/>
  <sheetViews>
    <sheetView view="pageBreakPreview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45806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41" t="s" ph="1">
        <v>178</v>
      </c>
      <c r="D6" s="71">
        <v>4938</v>
      </c>
      <c r="E6" s="71">
        <v>4687</v>
      </c>
      <c r="F6" s="71">
        <v>7138</v>
      </c>
      <c r="G6" s="71">
        <v>4147</v>
      </c>
      <c r="H6" s="71">
        <v>1030</v>
      </c>
      <c r="I6" s="71">
        <v>0</v>
      </c>
      <c r="J6" s="71">
        <v>7.8</v>
      </c>
      <c r="K6" s="71">
        <v>7.78</v>
      </c>
      <c r="L6" s="71">
        <v>59.25</v>
      </c>
      <c r="M6" s="71">
        <v>603</v>
      </c>
      <c r="N6" s="71">
        <v>4738</v>
      </c>
      <c r="O6" s="71">
        <v>2427</v>
      </c>
      <c r="P6" s="71">
        <v>1861</v>
      </c>
      <c r="Q6" s="71">
        <v>0</v>
      </c>
      <c r="R6" s="71">
        <v>3074</v>
      </c>
      <c r="S6" s="71">
        <v>6759</v>
      </c>
      <c r="T6" s="71">
        <v>7084</v>
      </c>
      <c r="U6" s="71">
        <v>4652</v>
      </c>
      <c r="V6" s="71">
        <v>4516</v>
      </c>
      <c r="W6" s="71">
        <v>0</v>
      </c>
      <c r="X6" s="71">
        <v>0</v>
      </c>
      <c r="Y6" s="71">
        <v>0</v>
      </c>
      <c r="Z6" s="71">
        <v>2003</v>
      </c>
      <c r="AA6" s="71">
        <v>5086</v>
      </c>
      <c r="AB6" s="71">
        <v>2043</v>
      </c>
      <c r="AC6" s="71">
        <v>4138</v>
      </c>
      <c r="AD6" s="71">
        <v>4390</v>
      </c>
      <c r="AE6" s="71">
        <v>4110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155250.21143538001</v>
      </c>
      <c r="E7" s="73" ph="1">
        <f>E6*51.53*LOOKUP(E8,密度!$A$2:$A$50,密度!$B$2:$B$50)</f>
        <v>188724.59535400002</v>
      </c>
      <c r="F7" s="73" ph="1">
        <f>F6*33.183*LOOKUP(F8,密度!$A$2:$A$50,密度!$C$2:$C$50)</f>
        <v>262299.04527959996</v>
      </c>
      <c r="G7" s="73" ph="1">
        <f xml:space="preserve"> (G6+2)*51.53*LOOKUP(G8,密度!$A$2:$A$50,密度!$B$2:$B$50)</f>
        <v>167981.06502899999</v>
      </c>
      <c r="H7" s="73" ph="1">
        <f>(H6)*51.53*LOOKUP(H8,密度!$A$2:$A$50,密度!$B$2:$B$50)</f>
        <v>41701.734629999999</v>
      </c>
      <c r="I7" s="73" ph="1">
        <f>I6*290.8*1.0267</f>
        <v>0</v>
      </c>
      <c r="J7" s="73" ph="1">
        <f>J6*290.8*0.7892</f>
        <v>1790.0950080000002</v>
      </c>
      <c r="K7" s="73" ph="1">
        <f>K6*290.8*1.1126</f>
        <v>2517.1729424</v>
      </c>
      <c r="L7" s="73" ph="1">
        <f>L6*290.8*0.777</f>
        <v>13387.632300000001</v>
      </c>
      <c r="M7" s="73" ph="1">
        <f>M6*33.183*LOOKUP(M8,密度!$A$2:$A$50,密度!$D$2:$D$50)</f>
        <v>20599.6247955</v>
      </c>
      <c r="N7" s="73" ph="1">
        <f>N6*33.183*LOOKUP(N8,密度!$A$2:$A$50,密度!$E$2:$E$50)</f>
        <v>123135.52949280001</v>
      </c>
      <c r="O7" s="73" ph="1">
        <f>O6*20.428*LOOKUP(O8,密度!$A$2:$A$50,密度!$C$2:$C$50)</f>
        <v>54903.514394400001</v>
      </c>
      <c r="P7" s="73" ph="1">
        <f>P6*51.53*LOOKUP(P8,密度!$A$2:$A$50,密度!$B$2:$B$50)</f>
        <v>75020.481259000007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20251.312804800004</v>
      </c>
      <c r="S7" s="73" ph="1">
        <f>S6*1.5*1.5*3.1416*LOOKUP(S8,密度!$A$2:$A$50,密度!$L$2:$L$50)</f>
        <v>45101.174025599998</v>
      </c>
      <c r="T7" s="73" ph="1">
        <f>T6*1.5*1.5*3.1416*LOOKUP(T8,密度!$A$2:$A$50,密度!$L$2:$L$50)</f>
        <v>47169.672580799997</v>
      </c>
      <c r="U7" s="73" ph="1">
        <f>U6*1.5*1.5*3.1416*LOOKUP(U8,密度!$A$2:$A$50,密度!$L$2:$L$50)</f>
        <v>30811.490186400006</v>
      </c>
      <c r="V7" s="73" ph="1">
        <f>V6*1.5*1.5*3.1416*LOOKUP(V8,密度!$A$2:$A$50,密度!$L$2:$L$50)</f>
        <v>29751.115363199999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62477.616059999993</v>
      </c>
      <c r="AA7" s="73" ph="1">
        <f>AA6*33.183*LOOKUP(AA8,密度!$A$2:$A$50,密度!$D$2:$D$50)</f>
        <v>173426.75516880004</v>
      </c>
      <c r="AB7" s="73" ph="1">
        <f>AB6*20.428*LOOKUP(AB8,密度!$A$2:$A$50,密度!$D$2:$D$50)</f>
        <v>43220.148782400007</v>
      </c>
      <c r="AC7" s="73" ph="1">
        <f>AC6*51.53*LOOKUP(AC8,密度!$A$2:$A$50,密度!$Q$2:$Q$50)</f>
        <v>202030.10821580002</v>
      </c>
      <c r="AD7" s="73" ph="1">
        <f>AD6*20.428*LOOKUP(AD8,密度!$A$2:$A$50,密度!$V$2:$V$50)</f>
        <v>86163.506335999991</v>
      </c>
      <c r="AE7" s="73" ph="1">
        <f>AE6*20.428</f>
        <v>83959.08</v>
      </c>
    </row>
    <row r="8" spans="1:99" ph="1">
      <c r="B8" s="244" ph="1"/>
      <c r="C8" s="68" t="s" ph="1">
        <v>180</v>
      </c>
      <c r="D8" s="74">
        <v>24</v>
      </c>
      <c r="E8" s="74">
        <v>23</v>
      </c>
      <c r="F8" s="74">
        <v>27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25</v>
      </c>
      <c r="O8" s="74">
        <v>27</v>
      </c>
      <c r="P8" s="74">
        <v>22</v>
      </c>
      <c r="Q8" s="74">
        <v>24</v>
      </c>
      <c r="R8" s="74">
        <v>30</v>
      </c>
      <c r="S8" s="74">
        <v>18</v>
      </c>
      <c r="T8" s="74">
        <v>20</v>
      </c>
      <c r="U8" s="74">
        <v>25</v>
      </c>
      <c r="V8" s="74">
        <v>30</v>
      </c>
      <c r="W8" s="74">
        <v>23</v>
      </c>
      <c r="X8" s="74">
        <v>17</v>
      </c>
      <c r="Y8" s="74">
        <v>21</v>
      </c>
      <c r="Z8" s="74">
        <v>22</v>
      </c>
      <c r="AA8" s="74">
        <v>24</v>
      </c>
      <c r="AB8" s="74">
        <v>15</v>
      </c>
      <c r="AC8" s="74">
        <v>24</v>
      </c>
      <c r="AD8" s="74">
        <v>22</v>
      </c>
      <c r="AE8" s="74">
        <v>30</v>
      </c>
    </row>
    <row r="9" spans="1:99" ht="26.4" ph="1">
      <c r="B9" s="244" ph="1">
        <v>0.66666666666666663</v>
      </c>
      <c r="C9" s="141" t="s" ph="1">
        <v>181</v>
      </c>
      <c r="D9" s="71">
        <v>4937</v>
      </c>
      <c r="E9" s="71">
        <v>4687</v>
      </c>
      <c r="F9" s="71">
        <v>7138</v>
      </c>
      <c r="G9" s="71">
        <v>4716</v>
      </c>
      <c r="H9" s="71">
        <v>1028</v>
      </c>
      <c r="I9" s="71">
        <v>0</v>
      </c>
      <c r="J9" s="71">
        <v>7.8</v>
      </c>
      <c r="K9" s="71">
        <v>7.74</v>
      </c>
      <c r="L9" s="71">
        <v>13.86</v>
      </c>
      <c r="M9" s="71">
        <v>604</v>
      </c>
      <c r="N9" s="71">
        <v>4735</v>
      </c>
      <c r="O9" s="71">
        <v>1487</v>
      </c>
      <c r="P9" s="71">
        <v>1879</v>
      </c>
      <c r="Q9" s="71">
        <v>0</v>
      </c>
      <c r="R9" s="71">
        <v>0</v>
      </c>
      <c r="S9" s="71">
        <v>5502</v>
      </c>
      <c r="T9" s="71">
        <v>7082</v>
      </c>
      <c r="U9" s="71">
        <v>7043</v>
      </c>
      <c r="V9" s="71">
        <v>7068</v>
      </c>
      <c r="W9" s="71">
        <v>3980</v>
      </c>
      <c r="X9" s="71">
        <v>0</v>
      </c>
      <c r="Y9" s="71">
        <v>0</v>
      </c>
      <c r="Z9" s="71">
        <v>2940</v>
      </c>
      <c r="AA9" s="71">
        <v>5084</v>
      </c>
      <c r="AB9" s="71">
        <v>2043</v>
      </c>
      <c r="AC9" s="71">
        <v>4136</v>
      </c>
      <c r="AD9" s="71">
        <v>4395</v>
      </c>
      <c r="AE9" s="71">
        <v>4066</v>
      </c>
    </row>
    <row r="10" spans="1:99" s="72" customFormat="1" ht="22.2" ph="1">
      <c r="B10" s="244" ph="1"/>
      <c r="C10" s="141" t="s" ph="1">
        <v>179</v>
      </c>
      <c r="D10" s="73" ph="1">
        <f>D9*33.183*LOOKUP(D11,密度!$A$2:$A$50,密度!$Q$2:$Q$50)</f>
        <v>155484.16718138999</v>
      </c>
      <c r="E10" s="73" ph="1">
        <f>E9*51.53*LOOKUP(E11,密度!$A$2:$A$50,密度!$B$2:$B$50)</f>
        <v>188724.59535400002</v>
      </c>
      <c r="F10" s="73" ph="1">
        <f>F9*33.183*LOOKUP(F11,密度!$A$2:$A$50,密度!$C$2:$C$50)</f>
        <v>262820.13783839997</v>
      </c>
      <c r="G10" s="73" ph="1">
        <f xml:space="preserve"> (G9+2)*51.53*LOOKUP(G11,密度!$A$2:$A$50,密度!$B$2:$B$50)</f>
        <v>190823.74204600003</v>
      </c>
      <c r="H10" s="73" ph="1">
        <f>(H9)*51.53*LOOKUP(H11,密度!$A$2:$A$50,密度!$B$2:$B$50)</f>
        <v>41578.382116000008</v>
      </c>
      <c r="I10" s="73" ph="1">
        <f>I9*290.8*1.0267</f>
        <v>0</v>
      </c>
      <c r="J10" s="73" ph="1">
        <f>J9*290.8*0.7892</f>
        <v>1790.0950080000002</v>
      </c>
      <c r="K10" s="73" ph="1">
        <f>K9*290.8*1.1126</f>
        <v>2504.2311792000005</v>
      </c>
      <c r="L10" s="73" ph="1">
        <f>L9*290.8*0.777</f>
        <v>3131.6891759999999</v>
      </c>
      <c r="M10" s="73" ph="1">
        <f>M9*33.183*LOOKUP(M11,密度!$A$2:$A$50,密度!$D$2:$D$50)</f>
        <v>20615.7484152</v>
      </c>
      <c r="N10" s="73" ph="1">
        <f>N9*33.183*LOOKUP(N11,密度!$A$2:$A$50,密度!$E$2:$E$50)</f>
        <v>123057.562716</v>
      </c>
      <c r="O10" s="73" ph="1">
        <f>O9*20.428*LOOKUP(O11,密度!$A$2:$A$50,密度!$C$2:$C$50)</f>
        <v>33638.865226399997</v>
      </c>
      <c r="P10" s="73" ph="1">
        <f>P9*51.53*LOOKUP(P11,密度!$A$2:$A$50,密度!$B$2:$B$50)</f>
        <v>75746.095801000003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36635.733842399997</v>
      </c>
      <c r="T10" s="73" ph="1">
        <f>T9*1.5*1.5*3.1416*LOOKUP(T11,密度!$A$2:$A$50,密度!$L$2:$L$50)</f>
        <v>48057.432192</v>
      </c>
      <c r="U10" s="73" ph="1">
        <f>U9*1.5*1.5*3.1416*LOOKUP(U11,密度!$A$2:$A$50,密度!$L$2:$L$50)</f>
        <v>46647.748362600003</v>
      </c>
      <c r="V10" s="73" ph="1">
        <f>V9*1.5*1.5*3.1416*LOOKUP(V11,密度!$A$2:$A$50,密度!$L$2:$L$50)</f>
        <v>46713.408587999998</v>
      </c>
      <c r="W10" s="73" ph="1">
        <f>W9*1.5*1.5*3.1416*LOOKUP(W11,密度!$A$2:$A$50,密度!$L$2:$L$50)</f>
        <v>26416.913291999997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91802.096819999992</v>
      </c>
      <c r="AA10" s="73" ph="1">
        <f>AA9*33.183*LOOKUP(AA11,密度!$A$2:$A$50,密度!$D$2:$D$50)</f>
        <v>172734.3586908</v>
      </c>
      <c r="AB10" s="73" ph="1">
        <f>AB9*20.428*LOOKUP(AB11,密度!$A$2:$A$50,密度!$D$2:$D$50)</f>
        <v>43220.148782400007</v>
      </c>
      <c r="AC10" s="73" ph="1">
        <f>AC9*51.53*LOOKUP(AC11,密度!$A$2:$A$50,密度!$Q$2:$Q$50)</f>
        <v>201776.87845920003</v>
      </c>
      <c r="AD10" s="73" ph="1">
        <f>AD9*20.428*LOOKUP(AD11,密度!$A$2:$A$50,密度!$V$2:$V$50)</f>
        <v>86261.642447999999</v>
      </c>
      <c r="AE10" s="73" ph="1">
        <f>AE9*20.428</f>
        <v>83060.248000000007</v>
      </c>
    </row>
    <row r="11" spans="1:99" ph="1">
      <c r="A11" s="64" t="s" ph="1">
        <v>163</v>
      </c>
      <c r="B11" s="244" ph="1"/>
      <c r="C11" s="141" t="s" ph="1">
        <v>180</v>
      </c>
      <c r="D11" s="74">
        <v>22</v>
      </c>
      <c r="E11" s="74">
        <v>23</v>
      </c>
      <c r="F11" s="74">
        <v>24</v>
      </c>
      <c r="G11" s="74">
        <v>19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25</v>
      </c>
      <c r="O11" s="74">
        <v>27</v>
      </c>
      <c r="P11" s="74">
        <v>22</v>
      </c>
      <c r="Q11" s="74">
        <v>25</v>
      </c>
      <c r="R11" s="74">
        <v>31</v>
      </c>
      <c r="S11" s="74">
        <v>20</v>
      </c>
      <c r="T11" s="74">
        <v>2</v>
      </c>
      <c r="U11" s="74">
        <v>25</v>
      </c>
      <c r="V11" s="74">
        <v>27</v>
      </c>
      <c r="W11" s="74">
        <v>23</v>
      </c>
      <c r="X11" s="74">
        <v>20</v>
      </c>
      <c r="Y11" s="74">
        <v>27</v>
      </c>
      <c r="Z11" s="74">
        <v>21</v>
      </c>
      <c r="AA11" s="74">
        <v>28</v>
      </c>
      <c r="AB11" s="74">
        <v>15</v>
      </c>
      <c r="AC11" s="74">
        <v>25</v>
      </c>
      <c r="AD11" s="74">
        <v>22</v>
      </c>
      <c r="AE11" s="74">
        <v>28</v>
      </c>
    </row>
    <row r="12" spans="1:99" ht="9.9" customHeight="1" ph="1"/>
    <row r="13" spans="1:99" s="72" customFormat="1" ht="29.25" customHeight="1" ph="1">
      <c r="B13" s="221" t="s" ph="1">
        <v>37</v>
      </c>
      <c r="C13" s="141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41" t="s" ph="1">
        <v>178</v>
      </c>
      <c r="D15" s="78">
        <v>0</v>
      </c>
      <c r="E15" s="78">
        <v>72</v>
      </c>
      <c r="F15" s="78">
        <v>3479</v>
      </c>
      <c r="G15" s="78">
        <v>2295</v>
      </c>
      <c r="H15" s="78">
        <v>0</v>
      </c>
      <c r="I15" s="78">
        <v>118</v>
      </c>
      <c r="J15" s="78">
        <v>1652</v>
      </c>
      <c r="K15" s="78">
        <v>324</v>
      </c>
      <c r="L15" s="78">
        <v>3220</v>
      </c>
      <c r="M15" s="78">
        <v>5582</v>
      </c>
      <c r="N15" s="78">
        <v>1159</v>
      </c>
      <c r="O15" s="78">
        <v>6054</v>
      </c>
      <c r="P15" s="78">
        <v>5467</v>
      </c>
      <c r="Q15" s="78">
        <v>3536</v>
      </c>
      <c r="R15" s="78">
        <v>3505</v>
      </c>
      <c r="S15" s="78">
        <v>6905</v>
      </c>
      <c r="T15" s="78">
        <v>6597</v>
      </c>
      <c r="U15" s="78">
        <v>1100</v>
      </c>
      <c r="V15" s="78">
        <v>2373</v>
      </c>
      <c r="W15" s="71">
        <v>-792</v>
      </c>
      <c r="X15" s="78">
        <v>27</v>
      </c>
      <c r="Y15" s="106">
        <v>-9906</v>
      </c>
      <c r="Z15" s="78">
        <v>0</v>
      </c>
      <c r="AA15" s="78">
        <v>4216</v>
      </c>
      <c r="AB15" s="78" ph="1">
        <v>2359</v>
      </c>
      <c r="AC15" s="78" ph="1">
        <v>18</v>
      </c>
      <c r="AD15" s="78">
        <v>51.53</v>
      </c>
      <c r="AE15" s="78">
        <v>5.18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41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477.89390880000002</v>
      </c>
      <c r="F16" s="73" ph="1">
        <f>F15*9.0746*LOOKUP(F17,密度!$A$2:$A$50,密度!$L$2:$L$50)</f>
        <v>29613.1603292</v>
      </c>
      <c r="G16" s="73" ph="1">
        <f>G15*9.0746*LOOKUP(G17,密度!$A$2:$A$50,密度!$B$2:$B$50)</f>
        <v>16273.598149800002</v>
      </c>
      <c r="H16" s="73" ph="1">
        <f>H15*9.0746*LOOKUP(H17,密度!$A$2:$A$50,密度!$L$2:$L$50)</f>
        <v>0</v>
      </c>
      <c r="I16" s="73" ph="1">
        <f>I15*9.0746*LOOKUP(I17,密度!$A$2:$A$50,密度!$U$2:$U$50)</f>
        <v>1100.7852783999999</v>
      </c>
      <c r="J16" s="73" ph="1">
        <f>J15*9.0746*LOOKUP(J17,密度!$A$2:$A$50,密度!$L$2:$L$50)</f>
        <v>14076.773608799998</v>
      </c>
      <c r="K16" s="73" ph="1">
        <f>K15*9.0746*LOOKUP(K17,密度!$A$2:$A$50,密度!$C$2:$C$50)</f>
        <v>3266.8233314399999</v>
      </c>
      <c r="L16" s="73" ph="1">
        <f>L15*9.0746*LOOKUP(L17,密度!$A$2:$A$50,密度!$E$2:$E$50)</f>
        <v>22920.334292799998</v>
      </c>
      <c r="M16" s="73" ph="1">
        <f>M15*9.0746*LOOKUP(M17,密度!$A$2:$A$50,密度!$M$2:$M$50)</f>
        <v>44368.204025480001</v>
      </c>
      <c r="N16" s="73" ph="1">
        <f>N15*9.0746*LOOKUP(N17,密度!$A$2:$A$50,密度!$M$2:$M$50)</f>
        <v>9245.9003167400006</v>
      </c>
      <c r="O16" s="73" ph="1">
        <f>O15*9.0746*LOOKUP(O17,密度!$A$2:$A$50,密度!$G$2:$G$50)</f>
        <v>52751.110789680002</v>
      </c>
      <c r="P16" s="73" ph="1">
        <f ca="1">P15*9.0746*LOOKUP(P17,密度!$A$2:$A$51,密度!$Q$2:$Q$50)</f>
        <v>46968.564957467999</v>
      </c>
      <c r="Q16" s="73" ph="1">
        <f>Q15*9.0746*LOOKUP(Q17,密度!$A$2:$A$50,密度!$Q$2:$Q$50)</f>
        <v>30425.638305920002</v>
      </c>
      <c r="R16" s="73" ph="1">
        <f>MAX(R15*9.0746*LOOKUP(R17,密度!$A$2:$A$50,密度!$B$2:$B$50),0)</f>
        <v>24824.952176499999</v>
      </c>
      <c r="S16" s="73" ph="1">
        <f>S15*9.0746*LOOKUP(S17,密度!$A$2:$A$50,密度!$Q$2:$Q$50)</f>
        <v>59322.835381620003</v>
      </c>
      <c r="T16" s="73" ph="1">
        <f>T15*9.0746*LOOKUP(T17,密度!$A$2:$A$50,密度!$O$2:$O$50)</f>
        <v>55674.576666000001</v>
      </c>
      <c r="U16" s="73" ph="1">
        <f>U15*9.0746*LOOKUP(U17,密度!$A$2:$A$50,密度!$H$2:$H$50)</f>
        <v>9180.5005819999988</v>
      </c>
      <c r="V16" s="73" ph="1">
        <f>MAX(5600*LOOKUP(V17,密度!$A$2:$A$50,密度!$Q$2:$Q$50)+V15*9.0476*LOOKUP(V17,密度!$A$2:$A$50,密度!$Q$2:$Q$50),0)</f>
        <v>25589.769671536003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6091.4984639599998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29895.202527039997</v>
      </c>
      <c r="AB16" s="73" ph="1">
        <f>AB15*9.0746*LOOKUP(AB17,密度!$A$2:$A$50,密度!$L$2:$L$50)</f>
        <v>20079.748553199999</v>
      </c>
      <c r="AC16" s="73" ph="1">
        <f>AC15*9.0746*LOOKUP(AC17,密度!$A$2:$A$50,密度!$L$2:$L$50)</f>
        <v>153.8689176</v>
      </c>
      <c r="AD16" s="73" ph="1">
        <f>AD15*268.68*LOOKUP(AD17,密度!$A$2:$A$50,密度!B2:B50)+IF(AD15&lt;=0,0,1566*LOOKUP(AD17,密度!$A$2:$A$50,密度!B2:B50))</f>
        <v>12014.478279840001</v>
      </c>
      <c r="AE16" s="73" ph="1">
        <f>AE15*268.68*LOOKUP(AE17,密度!$A$2:$A$50,密度!B2:B50)+IF(AE15&lt;=0,0,1566*LOOKUP(AE17,密度!$A$2:$A$50,密度!B2:B50))</f>
        <v>2305.8715670399997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23</v>
      </c>
      <c r="E17" s="74">
        <v>23</v>
      </c>
      <c r="F17" s="74">
        <v>24</v>
      </c>
      <c r="G17" s="74">
        <v>23</v>
      </c>
      <c r="H17" s="74">
        <v>19</v>
      </c>
      <c r="I17" s="74">
        <v>20</v>
      </c>
      <c r="J17" s="74">
        <v>23</v>
      </c>
      <c r="K17" s="74">
        <v>22</v>
      </c>
      <c r="L17" s="74">
        <v>24</v>
      </c>
      <c r="M17" s="74">
        <v>24</v>
      </c>
      <c r="N17" s="74">
        <v>21</v>
      </c>
      <c r="O17" s="74">
        <v>25</v>
      </c>
      <c r="P17" s="74">
        <v>25</v>
      </c>
      <c r="Q17" s="74">
        <v>23</v>
      </c>
      <c r="R17" s="74">
        <v>24</v>
      </c>
      <c r="S17" s="74">
        <v>25</v>
      </c>
      <c r="T17" s="74">
        <v>23</v>
      </c>
      <c r="U17" s="74">
        <v>20</v>
      </c>
      <c r="V17" s="74">
        <v>27</v>
      </c>
      <c r="W17" s="74">
        <v>23</v>
      </c>
      <c r="X17" s="74">
        <v>25</v>
      </c>
      <c r="Y17" s="108">
        <v>25</v>
      </c>
      <c r="Z17" s="74">
        <v>22</v>
      </c>
      <c r="AA17" s="74">
        <v>23</v>
      </c>
      <c r="AB17" s="74">
        <v>24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0</v>
      </c>
      <c r="E18" s="71">
        <v>72</v>
      </c>
      <c r="F18" s="71">
        <v>3476</v>
      </c>
      <c r="G18" s="71">
        <v>2322</v>
      </c>
      <c r="H18" s="71">
        <v>0</v>
      </c>
      <c r="I18" s="71">
        <v>118</v>
      </c>
      <c r="J18" s="71">
        <v>1651</v>
      </c>
      <c r="K18" s="71">
        <v>324</v>
      </c>
      <c r="L18" s="71">
        <v>3218</v>
      </c>
      <c r="M18" s="71">
        <v>6828</v>
      </c>
      <c r="N18" s="71">
        <v>1349</v>
      </c>
      <c r="O18" s="71">
        <v>6052</v>
      </c>
      <c r="P18" s="71">
        <v>5465</v>
      </c>
      <c r="Q18" s="71">
        <v>3535</v>
      </c>
      <c r="R18" s="71">
        <v>3502</v>
      </c>
      <c r="S18" s="71">
        <v>6901</v>
      </c>
      <c r="T18" s="71">
        <v>5156</v>
      </c>
      <c r="U18" s="71">
        <v>1101</v>
      </c>
      <c r="V18" s="71">
        <v>2373</v>
      </c>
      <c r="W18" s="71">
        <v>-792</v>
      </c>
      <c r="X18" s="71">
        <v>27</v>
      </c>
      <c r="Y18" s="109">
        <v>-9906</v>
      </c>
      <c r="Z18" s="71">
        <v>0</v>
      </c>
      <c r="AA18" s="71">
        <v>4216</v>
      </c>
      <c r="AB18" s="71">
        <v>2358</v>
      </c>
      <c r="AC18" s="71">
        <v>28</v>
      </c>
      <c r="AD18" s="71">
        <v>81.36</v>
      </c>
      <c r="AE18" s="71">
        <v>5.15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41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477.38496959999998</v>
      </c>
      <c r="F19" s="73" ph="1">
        <f>F18*9.0746*LOOKUP(F20,密度!$A$2:$A$50,密度!$L$2:$L$50)</f>
        <v>29556.081095200003</v>
      </c>
      <c r="G19" s="73" ph="1">
        <f>G18*9.0746*LOOKUP(G20,密度!$A$2:$A$50,密度!$B$2:$B$50)</f>
        <v>16465.052245679999</v>
      </c>
      <c r="H19" s="73" ph="1">
        <f>H18*9.0746*LOOKUP(H20,密度!$A$2:$A$50,密度!$L$2:$L$50)</f>
        <v>0</v>
      </c>
      <c r="I19" s="73" ph="1">
        <f>I18*9.0746*LOOKUP(I20,密度!$A$2:$A$50,密度!$U$2:$U$50)</f>
        <v>1100.7852783999999</v>
      </c>
      <c r="J19" s="73" ph="1">
        <f>J18*9.0746*LOOKUP(J20,密度!$A$2:$A$50,密度!$L$2:$L$50)</f>
        <v>14068.2525594</v>
      </c>
      <c r="K19" s="73" ph="1">
        <f>K18*9.0746*LOOKUP(K20,密度!$A$2:$A$50,密度!$C$2:$C$50)</f>
        <v>3271.2335870400002</v>
      </c>
      <c r="L19" s="73" ph="1">
        <f>L18*9.0746*LOOKUP(L20,密度!$A$2:$A$50,密度!$E$2:$E$50)</f>
        <v>22906.098060320001</v>
      </c>
      <c r="M19" s="73" ph="1">
        <f>M18*9.0746*LOOKUP(M20,密度!$A$2:$A$50,密度!$M$2:$M$50)</f>
        <v>54340.120437600002</v>
      </c>
      <c r="N19" s="73" ph="1">
        <f>N18*9.0746*LOOKUP(N20,密度!$A$2:$A$50,密度!$M$2:$M$50)</f>
        <v>10761.621680140001</v>
      </c>
      <c r="O19" s="73" ph="1">
        <f>O18*9.0746*LOOKUP(O20,密度!$A$2:$A$50,密度!$G$2:$G$50)</f>
        <v>52733.683927840008</v>
      </c>
      <c r="P19" s="73" ph="1">
        <f ca="1">P18*9.0746*LOOKUP(P20,密度!$A$2:$A$51,密度!$Q$2:$Q$50)</f>
        <v>46987.585046829998</v>
      </c>
      <c r="Q19" s="73" ph="1">
        <f>Q18*9.0746*LOOKUP(Q20,密度!$A$2:$A$50,密度!$Q$2:$Q$50)</f>
        <v>30393.616311170001</v>
      </c>
      <c r="R19" s="73" ph="1">
        <f>MAX(R18*9.0746*LOOKUP(R20,密度!$A$2:$A$50,密度!$B$2:$B$50),0)</f>
        <v>24832.305324880002</v>
      </c>
      <c r="S19" s="73" ph="1">
        <f>S18*9.0746*LOOKUP(S20,密度!$A$2:$A$50,密度!$Q$2:$Q$50)</f>
        <v>59288.470234404005</v>
      </c>
      <c r="T19" s="73" ph="1">
        <f>T18*9.0746*LOOKUP(T20,密度!$A$2:$A$50,密度!$O$2:$O$50)</f>
        <v>43513.432968000001</v>
      </c>
      <c r="U19" s="73" ph="1">
        <f>U18*9.0746*LOOKUP(U20,密度!$A$2:$A$50,密度!$H$2:$H$50)</f>
        <v>9179.8544704799988</v>
      </c>
      <c r="V19" s="73" ph="1">
        <f>MAX(5600*LOOKUP(V20,密度!$A$2:$A$50,密度!$Q$2:$Q$50)+V18*9.0476*LOOKUP(V20,密度!$A$2:$A$50,密度!$Q$2:$Q$50),0)</f>
        <v>25570.820703175999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6078.0566079999999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29929.635189279998</v>
      </c>
      <c r="AB19" s="73" ph="1">
        <f>AB18*9.0746*LOOKUP(AB20,密度!$A$2:$A$50,密度!$L$2:$L$50)</f>
        <v>20071.236578399999</v>
      </c>
      <c r="AC19" s="73" ph="1">
        <f>AC18*9.0746*LOOKUP(AC20,密度!$A$2:$A$50,密度!$L$2:$L$50)</f>
        <v>239.09756079999997</v>
      </c>
      <c r="AD19" s="73" ph="1">
        <f>AD18*268.68*LOOKUP(AD20,密度!$A$2:$A$50,密度!B5:B53)+IF(AD18&lt;=0,0,1566*LOOKUP(AD20,密度!$A$2:$A$50,密度!B5:B53))</f>
        <v>18201.850329600002</v>
      </c>
      <c r="AE19" s="73" ph="1">
        <f>AE18*268.68*LOOKUP(AE20,密度!$A$2:$A$50,密度!B5:B53)+IF(AE18&lt;=0,0,1566*LOOKUP(AE20,密度!$A$2:$A$50,密度!B5:B53))</f>
        <v>2291.9184540000001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24</v>
      </c>
      <c r="E20" s="81">
        <v>24</v>
      </c>
      <c r="F20" s="81">
        <v>25</v>
      </c>
      <c r="G20" s="81">
        <v>23</v>
      </c>
      <c r="H20" s="81">
        <v>19</v>
      </c>
      <c r="I20" s="81">
        <v>20</v>
      </c>
      <c r="J20" s="81">
        <v>23</v>
      </c>
      <c r="K20" s="81">
        <v>20</v>
      </c>
      <c r="L20" s="81">
        <v>24</v>
      </c>
      <c r="M20" s="81">
        <v>23</v>
      </c>
      <c r="N20" s="81">
        <v>21</v>
      </c>
      <c r="O20" s="81">
        <v>25</v>
      </c>
      <c r="P20" s="81">
        <v>24</v>
      </c>
      <c r="Q20" s="81">
        <v>24</v>
      </c>
      <c r="R20" s="81">
        <v>23</v>
      </c>
      <c r="S20" s="81">
        <v>25</v>
      </c>
      <c r="T20" s="81">
        <v>23</v>
      </c>
      <c r="U20" s="81">
        <v>21</v>
      </c>
      <c r="V20" s="81">
        <v>28</v>
      </c>
      <c r="W20" s="81">
        <v>28</v>
      </c>
      <c r="X20" s="81">
        <v>27</v>
      </c>
      <c r="Y20" s="110">
        <v>27</v>
      </c>
      <c r="Z20" s="81">
        <v>23</v>
      </c>
      <c r="AA20" s="81">
        <v>22</v>
      </c>
      <c r="AB20" s="81">
        <v>24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644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645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41" t="s" ph="1">
        <v>178</v>
      </c>
      <c r="D24" s="71">
        <v>90.63</v>
      </c>
      <c r="E24" s="71">
        <v>95.53</v>
      </c>
      <c r="F24" s="71">
        <v>3991</v>
      </c>
      <c r="G24" s="71">
        <v>1137</v>
      </c>
      <c r="H24" s="71">
        <v>3514</v>
      </c>
      <c r="I24" s="71">
        <v>3288</v>
      </c>
      <c r="J24" s="71">
        <v>5459</v>
      </c>
      <c r="K24" s="71">
        <v>0</v>
      </c>
      <c r="L24" s="71">
        <v>0</v>
      </c>
      <c r="M24" s="71">
        <v>5243</v>
      </c>
      <c r="N24" s="71">
        <v>5314</v>
      </c>
      <c r="O24" s="71">
        <v>3697</v>
      </c>
      <c r="P24" s="71">
        <v>886</v>
      </c>
      <c r="Q24" s="90">
        <v>3290</v>
      </c>
      <c r="R24" s="71">
        <v>2312</v>
      </c>
      <c r="S24" s="71">
        <v>1585</v>
      </c>
      <c r="T24" s="71">
        <v>1759</v>
      </c>
      <c r="U24" s="71">
        <v>5536</v>
      </c>
      <c r="V24" s="71">
        <v>9630</v>
      </c>
      <c r="W24" s="71">
        <v>10722</v>
      </c>
      <c r="X24" s="71">
        <v>2692</v>
      </c>
      <c r="Y24" s="71">
        <v>5145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24536.157293016</v>
      </c>
      <c r="E25" s="91" ph="1">
        <f>E24*268.68*LOOKUP(E26,密度!$A$2:$A$50,密度!$C$2:$C$50)+IF(E24&lt;=0,0,1566*LOOKUP(E26,密度!$A$2:$A$50,密度!$C$2:$C$50))</f>
        <v>30198.674143560002</v>
      </c>
      <c r="F25" s="91" ph="1">
        <f>F24*11.702*LOOKUP(F26,密度!$A$2:$A$50,密度!$Q$2:$Q$50)</f>
        <v>44249.390114540001</v>
      </c>
      <c r="G25" s="91" ph="1">
        <f>G24*18.322*LOOKUP(G26,密度!$A$2:$A$50,密度!$B$2:$B$50)</f>
        <v>16259.464976999998</v>
      </c>
      <c r="H25" s="91" ph="1">
        <f>H24*18.322*LOOKUP(H26,密度!$A$2:$A$50,密度!$B$2:$B$50)</f>
        <v>50309.273151199995</v>
      </c>
      <c r="I25" s="91" ph="1">
        <f>I24*18.322*LOOKUP(I26,密度!$A$2:$A$50,密度!$Q$2:$Q$50)</f>
        <v>57175.778310239999</v>
      </c>
      <c r="J25" s="91" ph="1">
        <f>J24*18.322*LOOKUP(J26,密度!$A$2:$A$50,密度!$Q$2:$Q$50)</f>
        <v>94838.772463600006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91086.221657200003</v>
      </c>
      <c r="N25" s="91" ph="1">
        <f>N24*18.322*LOOKUP(N26,密度!$A$2:$A$50,密度!$Q$2:$Q$50)</f>
        <v>92319.699005599992</v>
      </c>
      <c r="O25" s="91" ph="1">
        <f>O24*18.322*LOOKUP(O26,密度!$A$2:$A$50,密度!$C$2:$C$50)</f>
        <v>75261.951817399997</v>
      </c>
      <c r="P25" s="91" ph="1">
        <f>P24*11.702*LOOKUP(P26,密度!$A$2:$A$50,密度!$B$2:$B$50)</f>
        <v>8110.8644955999998</v>
      </c>
      <c r="Q25" s="92" ph="1">
        <f>Q24*18.322*LOOKUP(Q26,密度!$A$2:$A$50,密度!$B$2:$B$50)</f>
        <v>47156.558974</v>
      </c>
      <c r="R25" s="91" ph="1">
        <f>R24*35.891*LOOKUP(R26,密度!$A$2:$A$50,密度!$C$2:$C$50)</f>
        <v>92074.599123199994</v>
      </c>
      <c r="S25" s="91" ph="1">
        <f>S24*35.891*LOOKUP(S26,密度!$A$2:$A$50,密度!$B$2:$B$50)</f>
        <v>44502.883940500004</v>
      </c>
      <c r="T25" s="91" ph="1">
        <f>T24*35.891*LOOKUP(T26,密度!$A$2:$A$50,密度!$Q$2:$Q$50)</f>
        <v>59862.017465800003</v>
      </c>
      <c r="U25" s="91" ph="1">
        <f>U24*35.891</f>
        <v>198692.576</v>
      </c>
      <c r="V25" s="91" ph="1">
        <f>V24*47.051*LOOKUP(V26,密度!$A$2:$A$50,密度!$B$2:$B$50)</f>
        <v>354053.22298199998</v>
      </c>
      <c r="W25" s="91" ph="1">
        <f>W24*47.051*LOOKUP(W26,密度!$A$2:$A$50,密度!$B$2:$B$50)</f>
        <v>393293.24883120001</v>
      </c>
      <c r="X25" s="91" ph="1">
        <f>X24*47.051*LOOKUP(X26,密度!$A$2:$A$50,密度!$I$2:$I$50)</f>
        <v>131727.74368000001</v>
      </c>
      <c r="Y25" s="91" ph="1">
        <f>Y24*47.051*LOOKUP(Y26,密度!$A$2:$A$50,密度!$L$2:$L$50)</f>
        <v>226342.36432500003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24</v>
      </c>
      <c r="G26" s="74">
        <v>24</v>
      </c>
      <c r="H26" s="74">
        <v>23</v>
      </c>
      <c r="I26" s="74">
        <v>22</v>
      </c>
      <c r="J26" s="74">
        <v>23</v>
      </c>
      <c r="K26" s="74">
        <v>22</v>
      </c>
      <c r="L26" s="74">
        <v>23</v>
      </c>
      <c r="M26" s="74">
        <v>23</v>
      </c>
      <c r="N26" s="74">
        <v>23</v>
      </c>
      <c r="O26" s="74">
        <v>22</v>
      </c>
      <c r="P26" s="74">
        <v>22</v>
      </c>
      <c r="Q26" s="93">
        <v>22</v>
      </c>
      <c r="R26" s="74">
        <v>24</v>
      </c>
      <c r="S26" s="74">
        <v>22</v>
      </c>
      <c r="T26" s="74">
        <v>23</v>
      </c>
      <c r="U26" s="74">
        <v>22</v>
      </c>
      <c r="V26" s="74">
        <v>23</v>
      </c>
      <c r="W26" s="74">
        <v>25</v>
      </c>
      <c r="X26" s="74">
        <v>27</v>
      </c>
      <c r="Y26" s="74">
        <v>27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41" t="s" ph="1">
        <v>181</v>
      </c>
      <c r="D27" s="71">
        <v>90.58</v>
      </c>
      <c r="E27" s="71">
        <v>95.51</v>
      </c>
      <c r="F27" s="71">
        <v>3990</v>
      </c>
      <c r="G27" s="71">
        <v>1129</v>
      </c>
      <c r="H27" s="71">
        <v>2834</v>
      </c>
      <c r="I27" s="71">
        <v>3288</v>
      </c>
      <c r="J27" s="71">
        <v>5393</v>
      </c>
      <c r="K27" s="71">
        <v>55</v>
      </c>
      <c r="L27" s="71">
        <v>1128</v>
      </c>
      <c r="M27" s="71">
        <v>5242</v>
      </c>
      <c r="N27" s="71">
        <v>5313</v>
      </c>
      <c r="O27" s="71">
        <v>3694</v>
      </c>
      <c r="P27" s="71">
        <v>886</v>
      </c>
      <c r="Q27" s="90">
        <v>3674</v>
      </c>
      <c r="R27" s="71">
        <v>2312</v>
      </c>
      <c r="S27" s="71">
        <v>1584</v>
      </c>
      <c r="T27" s="71">
        <v>1759</v>
      </c>
      <c r="U27" s="71">
        <v>5455</v>
      </c>
      <c r="V27" s="71">
        <v>9630</v>
      </c>
      <c r="W27" s="71">
        <v>10720</v>
      </c>
      <c r="X27" s="71">
        <v>2672</v>
      </c>
      <c r="Y27" s="71">
        <v>4088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41" t="s" ph="1">
        <v>179</v>
      </c>
      <c r="D28" s="91" ph="1">
        <f>D27*268.68*LOOKUP(D29,密度!$A$2:$A$50,密度!$Q$2:$Q$50)+IF(D27&lt;=0,0,1566*LOOKUP(D29,密度!$A$2:$A$50,密度!$Q$2:$Q$50))</f>
        <v>24523.438787856001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44204.218405200001</v>
      </c>
      <c r="G28" s="91" ph="1">
        <f>G27*18.322*LOOKUP(G29,密度!$A$2:$A$50,密度!$B$2:$B$50)</f>
        <v>16091.280010200002</v>
      </c>
      <c r="H28" s="91" ph="1">
        <f>H27*18.322*LOOKUP(H29,密度!$A$2:$A$50,密度!$B$2:$B$50)</f>
        <v>40392.1058892</v>
      </c>
      <c r="I28" s="91" ph="1">
        <f>I27*18.322*LOOKUP(I29,密度!$A$2:$A$50,密度!$Q$2:$Q$50)</f>
        <v>57034.207880640002</v>
      </c>
      <c r="J28" s="91" ph="1">
        <f>J27*18.322*LOOKUP(J29,密度!$A$2:$A$50,密度!$Q$2:$Q$50)</f>
        <v>93477.740832380005</v>
      </c>
      <c r="K28" s="91" ph="1">
        <f>K27*18.322*LOOKUP(K29,密度!$A$2:$A$50,密度!$Q$2:$Q$50)</f>
        <v>952.60841719999996</v>
      </c>
      <c r="L28" s="91" ph="1">
        <f>L27*18.322*LOOKUP(L29,密度!$A$2:$A$50,密度!$Q$2:$Q$50)</f>
        <v>19537.132629120002</v>
      </c>
      <c r="M28" s="91" ph="1">
        <f>M27*18.322*LOOKUP(M29,密度!$A$2:$A$50,密度!$Q$2:$Q$50)</f>
        <v>90860.433421720008</v>
      </c>
      <c r="N28" s="91" ph="1">
        <f>N27*18.322*LOOKUP(N29,密度!$A$2:$A$50,密度!$Q$2:$Q$50)</f>
        <v>92160.202697639994</v>
      </c>
      <c r="O28" s="91" ph="1">
        <f>O27*18.322*LOOKUP(O29,密度!$A$2:$A$50,密度!$C$2:$C$50)</f>
        <v>74794.790286799995</v>
      </c>
      <c r="P28" s="91" ph="1">
        <f>P27*11.702*LOOKUP(P29,密度!$A$2:$A$50,密度!$B$2:$B$50)</f>
        <v>8055.9142440000005</v>
      </c>
      <c r="Q28" s="92" ph="1">
        <f>Q27*18.322*LOOKUP(Q29,密度!$A$2:$A$50,密度!$B$2:$B$50)</f>
        <v>52418.21230359999</v>
      </c>
      <c r="R28" s="91" ph="1">
        <f>R27*35.891*LOOKUP(R29,密度!$A$2:$A$50,密度!$C$2:$C$50)</f>
        <v>91892.0431408</v>
      </c>
      <c r="S28" s="91" ph="1">
        <f>S27*35.891*LOOKUP(S29,密度!$A$2:$A$50,密度!$B$2:$B$50)</f>
        <v>44224.660497600002</v>
      </c>
      <c r="T28" s="91" ph="1">
        <f>T27*35.891*LOOKUP(T29,密度!$A$2:$A$50,密度!$Q$2:$Q$50)</f>
        <v>59636.00394278</v>
      </c>
      <c r="U28" s="91" ph="1">
        <f>U27*35.891</f>
        <v>195785.405</v>
      </c>
      <c r="V28" s="91" ph="1">
        <f>V27*47.051*LOOKUP(V29,密度!$A$2:$A$50,密度!$B$2:$B$50)</f>
        <v>353645.431965</v>
      </c>
      <c r="W28" s="91" ph="1">
        <f>W27*47.051*LOOKUP(W29,密度!$A$2:$A$50,密度!$B$2:$B$50)</f>
        <v>392765.93886400003</v>
      </c>
      <c r="X28" s="91" ph="1">
        <f>X27*47.051*LOOKUP(X29,密度!$A$2:$A$50,密度!$I$2:$I$50)</f>
        <v>131038.23950560001</v>
      </c>
      <c r="Y28" s="91" ph="1">
        <f>Y27*47.051*LOOKUP(Y29,密度!$A$2:$A$50,密度!$L$2:$L$50)</f>
        <v>180034.44076800003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41" t="s" ph="1">
        <v>180</v>
      </c>
      <c r="D29" s="74">
        <v>25</v>
      </c>
      <c r="E29" s="74">
        <v>25</v>
      </c>
      <c r="F29" s="74">
        <v>25</v>
      </c>
      <c r="G29" s="74">
        <v>27</v>
      </c>
      <c r="H29" s="74">
        <v>27</v>
      </c>
      <c r="I29" s="74">
        <v>25</v>
      </c>
      <c r="J29" s="74">
        <v>26</v>
      </c>
      <c r="K29" s="74">
        <v>27</v>
      </c>
      <c r="L29" s="74">
        <v>27</v>
      </c>
      <c r="M29" s="74">
        <v>26</v>
      </c>
      <c r="N29" s="74">
        <v>25</v>
      </c>
      <c r="O29" s="74">
        <v>30</v>
      </c>
      <c r="P29" s="74">
        <v>28</v>
      </c>
      <c r="Q29" s="93">
        <v>26</v>
      </c>
      <c r="R29" s="74">
        <v>27</v>
      </c>
      <c r="S29" s="74">
        <v>27</v>
      </c>
      <c r="T29" s="74">
        <v>28</v>
      </c>
      <c r="U29" s="74">
        <v>25</v>
      </c>
      <c r="V29" s="74">
        <v>24</v>
      </c>
      <c r="W29" s="74">
        <v>26</v>
      </c>
      <c r="X29" s="74">
        <v>25</v>
      </c>
      <c r="Y29" s="74">
        <v>26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41" t="s" ph="1">
        <v>5</v>
      </c>
      <c r="F32" s="142" t="s" ph="1">
        <v>43</v>
      </c>
      <c r="G32" s="97" t="s" ph="1">
        <v>4</v>
      </c>
      <c r="H32" s="141" t="s" ph="1">
        <v>5</v>
      </c>
      <c r="I32" s="142" t="s" ph="1">
        <v>43</v>
      </c>
      <c r="J32" s="97" t="s" ph="1">
        <v>4</v>
      </c>
      <c r="K32" s="141" t="s" ph="1">
        <v>5</v>
      </c>
      <c r="L32" s="142" t="s" ph="1">
        <v>43</v>
      </c>
      <c r="M32" s="97" t="s" ph="1">
        <v>4</v>
      </c>
      <c r="N32" s="141" t="s" ph="1">
        <v>5</v>
      </c>
      <c r="O32" s="14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1" t="s" ph="1">
        <v>5</v>
      </c>
      <c r="U32" s="99" t="s" ph="1">
        <v>43</v>
      </c>
      <c r="V32" s="97" t="s" ph="1">
        <v>4</v>
      </c>
      <c r="W32" s="141" t="s" ph="1">
        <v>5</v>
      </c>
      <c r="X32" s="99" t="s" ph="1">
        <v>43</v>
      </c>
      <c r="Y32" s="100" t="s" ph="1">
        <v>4</v>
      </c>
      <c r="Z32" s="141" t="s" ph="1">
        <v>5</v>
      </c>
      <c r="AA32" s="142" t="s" ph="1">
        <v>43</v>
      </c>
      <c r="AB32" s="97" t="s" ph="1">
        <v>85</v>
      </c>
      <c r="AC32" s="141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215954.50747320001</v>
      </c>
      <c r="E33" s="193" ph="1">
        <f>M10+I10</f>
        <v>20615.7484152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9" ph="1">
        <v>0</v>
      </c>
      <c r="H33" s="193" ph="1">
        <f>N19</f>
        <v>10761.621680140001</v>
      </c>
      <c r="I33" s="197" ph="1">
        <v>0</v>
      </c>
      <c r="J33" s="201" ph="1">
        <f>F10+O28</f>
        <v>337614.92812519998</v>
      </c>
      <c r="K33" s="193" ph="1">
        <f>O10+K10+E28+R28</f>
        <v>158227.85490492001</v>
      </c>
      <c r="L33" s="203" ph="1">
        <f>BE27</f>
        <v>7100</v>
      </c>
      <c r="M33" s="201" ph="1">
        <f>G10+H10+W28+S28+V28+E10</f>
        <v>1211762.7508426001</v>
      </c>
      <c r="N33" s="193" ph="1">
        <f>L10+P10++G28+H28</f>
        <v>135361.17087640002</v>
      </c>
      <c r="O33" s="197" ph="1">
        <f>BE17</f>
        <v>2270</v>
      </c>
      <c r="P33" s="201" ph="1">
        <f>L19</f>
        <v>22906.098060320001</v>
      </c>
      <c r="Q33" s="193" ph="1">
        <f>J10+N10</f>
        <v>124847.657724</v>
      </c>
      <c r="R33" s="197" ph="1">
        <f>BE23</f>
        <v>890</v>
      </c>
      <c r="S33" s="201" ph="1">
        <f>E10+X28</f>
        <v>319762.83485960006</v>
      </c>
      <c r="T33" s="193" ph="1">
        <f>X19</f>
        <v>6078.0566079999999</v>
      </c>
      <c r="U33" s="182" ph="1">
        <f>BE21</f>
        <v>730</v>
      </c>
      <c r="V33" s="195" ph="1">
        <f ca="1">P19+Q19+S19+M28+N28+J28</f>
        <v>413168.04854414403</v>
      </c>
      <c r="W33" s="195" ph="1">
        <f>D28+F28+V19+T28</f>
        <v>153934.48183901201</v>
      </c>
      <c r="X33" s="197" ph="1">
        <f>BE29+BE31</f>
        <v>10200</v>
      </c>
      <c r="Y33" s="199" ph="1">
        <f>+Q10+R10+S10+T10+U10+V10+W10+X10+Y10</f>
        <v>204471.23627699999</v>
      </c>
      <c r="Z33" s="180" ph="1">
        <f>D10+T19+U19+Y28+Z10</f>
        <v>480013.99220787</v>
      </c>
      <c r="AA33" s="182" ph="1">
        <f>BE19</f>
        <v>1440</v>
      </c>
      <c r="AB33" s="184" ph="1">
        <f>I19</f>
        <v>1100.7852783999999</v>
      </c>
      <c r="AC33" s="186" ph="1">
        <f>AD10</f>
        <v>86261.642447999999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43" t="s" ph="1">
        <v>186</v>
      </c>
      <c r="AA36" s="143" ph="1"/>
      <c r="AB36" s="179" t="s" ph="1">
        <v>642</v>
      </c>
      <c r="AC36" s="179" ph="1"/>
      <c r="AD36" s="179" ph="1"/>
      <c r="AE36" s="179" ph="1"/>
      <c r="BA36" s="64" ph="1">
        <v>2270</v>
      </c>
    </row>
    <row r="37" spans="1:57" s="14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3" t="s" ph="1">
        <v>345</v>
      </c>
      <c r="AI37" s="143" t="s" ph="1">
        <v>212</v>
      </c>
      <c r="AJ37" s="143" t="s" ph="1">
        <v>213</v>
      </c>
      <c r="AK37" s="143" t="s" ph="1">
        <v>214</v>
      </c>
      <c r="AM37" s="143" t="s" ph="1">
        <v>213</v>
      </c>
      <c r="AN37" s="143" t="s" ph="1">
        <v>214</v>
      </c>
      <c r="AO37" s="143" t="s" ph="1">
        <v>215</v>
      </c>
      <c r="AP37" s="143" t="s" ph="1">
        <v>213</v>
      </c>
      <c r="AQ37" s="143" t="s" ph="1">
        <v>214</v>
      </c>
      <c r="AR37" s="143" t="s" ph="1">
        <v>215</v>
      </c>
      <c r="AS37" s="143" t="s" ph="1">
        <v>213</v>
      </c>
      <c r="AT37" s="143" t="s" ph="1">
        <v>214</v>
      </c>
      <c r="AU37" s="143" t="s" ph="1">
        <v>215</v>
      </c>
      <c r="AV37" s="143" t="s" ph="1">
        <v>213</v>
      </c>
      <c r="AW37" s="143" t="s" ph="1">
        <v>214</v>
      </c>
      <c r="AX37" s="143" t="s" ph="1">
        <v>215</v>
      </c>
      <c r="AY37" s="143" t="s" ph="1">
        <v>214</v>
      </c>
      <c r="AZ37" s="143" t="s" ph="1">
        <v>216</v>
      </c>
      <c r="BD37" s="143" t="s" ph="1">
        <v>308</v>
      </c>
      <c r="BE37" s="143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48" priority="96">
      <formula>ABS(D$7-D$10)&gt;=1000</formula>
    </cfRule>
  </conditionalFormatting>
  <conditionalFormatting sqref="E4 E6:E11">
    <cfRule type="expression" dxfId="1647" priority="95">
      <formula>ABS(E$7-E$10)&gt;=1000</formula>
    </cfRule>
  </conditionalFormatting>
  <conditionalFormatting sqref="F4:F11">
    <cfRule type="expression" dxfId="1646" priority="94">
      <formula>ABS(F$7-F$10)&gt;=1000</formula>
    </cfRule>
  </conditionalFormatting>
  <conditionalFormatting sqref="G4:G11">
    <cfRule type="expression" dxfId="1645" priority="93">
      <formula>ABS(G$7-G$10)&gt;=1000</formula>
    </cfRule>
  </conditionalFormatting>
  <conditionalFormatting sqref="H4:H11">
    <cfRule type="expression" dxfId="1644" priority="92">
      <formula>ABS(H$7-H$10)&gt;=1000</formula>
    </cfRule>
  </conditionalFormatting>
  <conditionalFormatting sqref="I4:I11">
    <cfRule type="expression" dxfId="1643" priority="91">
      <formula>ABS(I$7-I$10)&gt;=1000</formula>
    </cfRule>
  </conditionalFormatting>
  <conditionalFormatting sqref="J4:J11">
    <cfRule type="expression" dxfId="1642" priority="90">
      <formula>ABS(J$7-J$10)&gt;=1000</formula>
    </cfRule>
  </conditionalFormatting>
  <conditionalFormatting sqref="K4:K11">
    <cfRule type="expression" dxfId="1641" priority="89">
      <formula>ABS(K$7-K$10)&gt;=1000</formula>
    </cfRule>
  </conditionalFormatting>
  <conditionalFormatting sqref="L4:L11">
    <cfRule type="expression" dxfId="1640" priority="88">
      <formula>ABS(L$7-L$10)&gt;=1000</formula>
    </cfRule>
  </conditionalFormatting>
  <conditionalFormatting sqref="M4 M6:M11">
    <cfRule type="expression" dxfId="1639" priority="87">
      <formula>ABS(M$7-M$10)&gt;=1000</formula>
    </cfRule>
  </conditionalFormatting>
  <conditionalFormatting sqref="N4 N6:N11">
    <cfRule type="expression" dxfId="1638" priority="86">
      <formula>ABS(N$7-N$10)&gt;=1000</formula>
    </cfRule>
  </conditionalFormatting>
  <conditionalFormatting sqref="O4 O6:O11">
    <cfRule type="expression" dxfId="1637" priority="85">
      <formula>ABS(O$7-O$10)&gt;=1000</formula>
    </cfRule>
  </conditionalFormatting>
  <conditionalFormatting sqref="P4 P6:P11">
    <cfRule type="expression" dxfId="1636" priority="84">
      <formula>ABS(P$7-P$10)&gt;=1000</formula>
    </cfRule>
  </conditionalFormatting>
  <conditionalFormatting sqref="Q4:Q11">
    <cfRule type="expression" dxfId="1635" priority="83">
      <formula>ABS(Q$7-Q$10)&gt;=1000</formula>
    </cfRule>
  </conditionalFormatting>
  <conditionalFormatting sqref="R4:R11">
    <cfRule type="expression" dxfId="1634" priority="82">
      <formula>ABS(R$7-R$10)&gt;=1000</formula>
    </cfRule>
  </conditionalFormatting>
  <conditionalFormatting sqref="S4:S11">
    <cfRule type="expression" dxfId="1633" priority="81">
      <formula>ABS(S$7-S$10)&gt;=1000</formula>
    </cfRule>
  </conditionalFormatting>
  <conditionalFormatting sqref="T4:T9 T11">
    <cfRule type="expression" dxfId="1632" priority="80">
      <formula>ABS(T$7-T$10)&gt;=1000</formula>
    </cfRule>
  </conditionalFormatting>
  <conditionalFormatting sqref="U4:U9 U11">
    <cfRule type="expression" dxfId="1631" priority="79">
      <formula>ABS(U$7-U$10)&gt;=1000</formula>
    </cfRule>
  </conditionalFormatting>
  <conditionalFormatting sqref="V4:V9 V11">
    <cfRule type="expression" dxfId="1630" priority="78">
      <formula>ABS(V$7-V$10)&gt;=1000</formula>
    </cfRule>
  </conditionalFormatting>
  <conditionalFormatting sqref="W4:W9 W11">
    <cfRule type="expression" dxfId="1629" priority="77">
      <formula>ABS(W$7-W$10)&gt;=1000</formula>
    </cfRule>
  </conditionalFormatting>
  <conditionalFormatting sqref="X4:X9 X11">
    <cfRule type="expression" dxfId="1628" priority="76">
      <formula>ABS(X$7-X$10)&gt;=1000</formula>
    </cfRule>
  </conditionalFormatting>
  <conditionalFormatting sqref="Y4:Y9 Y11">
    <cfRule type="expression" dxfId="1627" priority="75">
      <formula>ABS(Y$7-Y$10)&gt;=1000</formula>
    </cfRule>
  </conditionalFormatting>
  <conditionalFormatting sqref="Z4:Z11">
    <cfRule type="expression" dxfId="1626" priority="74">
      <formula>ABS(Z$7-Z$10)&gt;=1000</formula>
    </cfRule>
  </conditionalFormatting>
  <conditionalFormatting sqref="AA4:AA11">
    <cfRule type="expression" dxfId="1625" priority="73">
      <formula>ABS(AA$7-AA$10)&gt;=1000</formula>
    </cfRule>
  </conditionalFormatting>
  <conditionalFormatting sqref="AB4:AB11">
    <cfRule type="expression" dxfId="1624" priority="72">
      <formula>ABS(AB$7-AB$10)&gt;=1000</formula>
    </cfRule>
  </conditionalFormatting>
  <conditionalFormatting sqref="AC4 AC6:AC11">
    <cfRule type="expression" dxfId="1623" priority="71">
      <formula>ABS(AC$7-AC$10)&gt;=1000</formula>
    </cfRule>
  </conditionalFormatting>
  <conditionalFormatting sqref="AD4:AD11">
    <cfRule type="expression" dxfId="1622" priority="70">
      <formula>ABS(AD$7-AD$10)&gt;=1000</formula>
    </cfRule>
  </conditionalFormatting>
  <conditionalFormatting sqref="AE4:AE11">
    <cfRule type="expression" dxfId="1621" priority="69">
      <formula>ABS(AE$7-AE$10)&gt;=1000</formula>
    </cfRule>
  </conditionalFormatting>
  <conditionalFormatting sqref="D13:D20">
    <cfRule type="expression" dxfId="1620" priority="68">
      <formula>ABS(D$16-D$19)&gt;=1000</formula>
    </cfRule>
  </conditionalFormatting>
  <conditionalFormatting sqref="E13:E20">
    <cfRule type="expression" dxfId="1619" priority="67">
      <formula>ABS(E$16-E$19)&gt;=1000</formula>
    </cfRule>
  </conditionalFormatting>
  <conditionalFormatting sqref="F13 F15:F20">
    <cfRule type="expression" dxfId="1618" priority="66">
      <formula>ABS(F$16-F$19)&gt;=1000</formula>
    </cfRule>
  </conditionalFormatting>
  <conditionalFormatting sqref="G13:G20">
    <cfRule type="expression" dxfId="1617" priority="65">
      <formula>ABS(G$16-G$19)&gt;=1000</formula>
    </cfRule>
  </conditionalFormatting>
  <conditionalFormatting sqref="H13:H20">
    <cfRule type="expression" dxfId="1616" priority="64">
      <formula>ABS(H$16-H$19)&gt;=1000</formula>
    </cfRule>
  </conditionalFormatting>
  <conditionalFormatting sqref="I13:I20">
    <cfRule type="expression" dxfId="1615" priority="63">
      <formula>ABS(I$16-I$19)&gt;=1000</formula>
    </cfRule>
  </conditionalFormatting>
  <conditionalFormatting sqref="J13:J20">
    <cfRule type="expression" dxfId="1614" priority="62">
      <formula>ABS(J$16-J$19)&gt;=1000</formula>
    </cfRule>
  </conditionalFormatting>
  <conditionalFormatting sqref="L13:L20">
    <cfRule type="expression" dxfId="1613" priority="61">
      <formula>ABS(L$16-L$19)&gt;=1000</formula>
    </cfRule>
  </conditionalFormatting>
  <conditionalFormatting sqref="M13 M15 M17:M18 M20">
    <cfRule type="expression" dxfId="1612" priority="60">
      <formula>ABS(M$16-M$19)&gt;=1000</formula>
    </cfRule>
  </conditionalFormatting>
  <conditionalFormatting sqref="N13:N20">
    <cfRule type="expression" dxfId="1611" priority="59">
      <formula>ABS(N$16-N$19)&gt;=1000</formula>
    </cfRule>
  </conditionalFormatting>
  <conditionalFormatting sqref="O13:O20">
    <cfRule type="expression" dxfId="1610" priority="58">
      <formula>ABS(O$16-O$19)&gt;=1000</formula>
    </cfRule>
  </conditionalFormatting>
  <conditionalFormatting sqref="P13:P20">
    <cfRule type="expression" dxfId="1609" priority="57">
      <formula>ABS(P$16-P$19)&gt;=1000</formula>
    </cfRule>
  </conditionalFormatting>
  <conditionalFormatting sqref="Q13 Q15:Q20">
    <cfRule type="expression" dxfId="1608" priority="56">
      <formula>ABS(Q$16-Q$19)&gt;=1000</formula>
    </cfRule>
  </conditionalFormatting>
  <conditionalFormatting sqref="R13:R20">
    <cfRule type="expression" dxfId="1607" priority="55">
      <formula>ABS(R$16-R$19)&gt;=1000</formula>
    </cfRule>
  </conditionalFormatting>
  <conditionalFormatting sqref="S13:S20">
    <cfRule type="expression" dxfId="1606" priority="54">
      <formula>ABS(S$16-S$19)&gt;=1000</formula>
    </cfRule>
  </conditionalFormatting>
  <conditionalFormatting sqref="T13:T20">
    <cfRule type="expression" dxfId="1605" priority="53">
      <formula>ABS(T$16-T$19)&gt;=1000</formula>
    </cfRule>
  </conditionalFormatting>
  <conditionalFormatting sqref="U13:U20">
    <cfRule type="expression" dxfId="1604" priority="52">
      <formula>ABS(U$16-U$19)&gt;=1000</formula>
    </cfRule>
  </conditionalFormatting>
  <conditionalFormatting sqref="V13:V20">
    <cfRule type="expression" dxfId="1603" priority="51">
      <formula>ABS(V$16-V$19)&gt;=1000</formula>
    </cfRule>
  </conditionalFormatting>
  <conditionalFormatting sqref="W13 W20 W15:W18">
    <cfRule type="expression" dxfId="1602" priority="50">
      <formula>ABS(W$16-W$19)&gt;=1000</formula>
    </cfRule>
  </conditionalFormatting>
  <conditionalFormatting sqref="X13 X15:X20 Y19">
    <cfRule type="expression" dxfId="1601" priority="49">
      <formula>ABS(X$16-X$19)&gt;=1000</formula>
    </cfRule>
  </conditionalFormatting>
  <conditionalFormatting sqref="Y13 Y15:Y18 Y20">
    <cfRule type="expression" dxfId="1600" priority="48">
      <formula>ABS(Y$16-Y$19)&gt;=1000</formula>
    </cfRule>
  </conditionalFormatting>
  <conditionalFormatting sqref="Z13:Z20">
    <cfRule type="expression" dxfId="1599" priority="47">
      <formula>ABS(Z$16-Z$19)&gt;=1000</formula>
    </cfRule>
  </conditionalFormatting>
  <conditionalFormatting sqref="AA13:AA20">
    <cfRule type="expression" dxfId="1598" priority="46">
      <formula>ABS(AA$16-AA$19)&gt;=1000</formula>
    </cfRule>
  </conditionalFormatting>
  <conditionalFormatting sqref="AB13 AB15:AB20">
    <cfRule type="expression" dxfId="1597" priority="45">
      <formula>ABS(AB$16-AB$19)&gt;=1000</formula>
    </cfRule>
  </conditionalFormatting>
  <conditionalFormatting sqref="AC13 AC15:AC20">
    <cfRule type="expression" dxfId="1596" priority="44">
      <formula>ABS(AC$16-AC$19)&gt;=1000</formula>
    </cfRule>
  </conditionalFormatting>
  <conditionalFormatting sqref="AD13:AD20">
    <cfRule type="expression" dxfId="1595" priority="43">
      <formula>ABS(AD$16-AD$19)&gt;=1000</formula>
    </cfRule>
  </conditionalFormatting>
  <conditionalFormatting sqref="AE13:AE20">
    <cfRule type="expression" dxfId="1594" priority="42">
      <formula>ABS(AE$16-AE$19)&gt;=1000</formula>
    </cfRule>
  </conditionalFormatting>
  <conditionalFormatting sqref="D22:D29">
    <cfRule type="expression" dxfId="1593" priority="41">
      <formula>ABS(D$25-D$28)&gt;=1000</formula>
    </cfRule>
  </conditionalFormatting>
  <conditionalFormatting sqref="E22:E29">
    <cfRule type="expression" dxfId="1592" priority="40">
      <formula>ABS(E$25-E$28)&gt;=1000</formula>
    </cfRule>
  </conditionalFormatting>
  <conditionalFormatting sqref="F22:F29">
    <cfRule type="expression" dxfId="1591" priority="39">
      <formula>ABS(F$25-F$28)&gt;=1000</formula>
    </cfRule>
  </conditionalFormatting>
  <conditionalFormatting sqref="G22:G29">
    <cfRule type="expression" dxfId="1590" priority="38">
      <formula>ABS(G$25-G$28)&gt;=1000</formula>
    </cfRule>
  </conditionalFormatting>
  <conditionalFormatting sqref="H22:H29">
    <cfRule type="expression" dxfId="1589" priority="37">
      <formula>ABS(H$25-H$28)&gt;=1000</formula>
    </cfRule>
  </conditionalFormatting>
  <conditionalFormatting sqref="I22 I24:I29">
    <cfRule type="expression" dxfId="1588" priority="36">
      <formula>ABS(I$25-I$28)&gt;=1000</formula>
    </cfRule>
  </conditionalFormatting>
  <conditionalFormatting sqref="J22:J29 K22">
    <cfRule type="expression" dxfId="1587" priority="35">
      <formula>ABS(J$25-J$28)&gt;=1000</formula>
    </cfRule>
  </conditionalFormatting>
  <conditionalFormatting sqref="K23:K29 L25 L28">
    <cfRule type="expression" dxfId="1586" priority="34">
      <formula>ABS(K$25-K$28)&gt;=1000</formula>
    </cfRule>
  </conditionalFormatting>
  <conditionalFormatting sqref="L22:L24 L26:L27 L29">
    <cfRule type="expression" dxfId="1585" priority="33">
      <formula>ABS(L$25-L$28)&gt;=1000</formula>
    </cfRule>
  </conditionalFormatting>
  <conditionalFormatting sqref="M22:M29">
    <cfRule type="expression" dxfId="1584" priority="32">
      <formula>ABS(M$25-M$28)&gt;=1000</formula>
    </cfRule>
  </conditionalFormatting>
  <conditionalFormatting sqref="N22:N29">
    <cfRule type="expression" dxfId="1583" priority="31">
      <formula>ABS(N$25-N$28)&gt;=1000</formula>
    </cfRule>
  </conditionalFormatting>
  <conditionalFormatting sqref="O22:O29">
    <cfRule type="expression" dxfId="1582" priority="30">
      <formula>ABS(O$25-O$28)&gt;=1000</formula>
    </cfRule>
  </conditionalFormatting>
  <conditionalFormatting sqref="P22:P29">
    <cfRule type="expression" dxfId="1581" priority="29">
      <formula>ABS(P$25-P$28)&gt;=1000</formula>
    </cfRule>
  </conditionalFormatting>
  <conditionalFormatting sqref="Q22:Q29">
    <cfRule type="expression" dxfId="1580" priority="28">
      <formula>ABS(Q$25-Q$28)&gt;=1000</formula>
    </cfRule>
  </conditionalFormatting>
  <conditionalFormatting sqref="R22:R29">
    <cfRule type="expression" dxfId="1579" priority="27">
      <formula>ABS(R$25-R$28)&gt;=1000</formula>
    </cfRule>
  </conditionalFormatting>
  <conditionalFormatting sqref="S22:S29">
    <cfRule type="expression" dxfId="1578" priority="26">
      <formula>ABS(S$25-S$28)&gt;=1000</formula>
    </cfRule>
  </conditionalFormatting>
  <conditionalFormatting sqref="T22:T29">
    <cfRule type="expression" dxfId="1577" priority="25">
      <formula>ABS(T$25-T$28)&gt;=1000</formula>
    </cfRule>
  </conditionalFormatting>
  <conditionalFormatting sqref="U22:U29">
    <cfRule type="expression" dxfId="1576" priority="24">
      <formula>ABS(U$25-U$28)&gt;=1000</formula>
    </cfRule>
  </conditionalFormatting>
  <conditionalFormatting sqref="V22:V29">
    <cfRule type="expression" dxfId="1575" priority="23">
      <formula>ABS(V$25-V$28)&gt;=1000</formula>
    </cfRule>
  </conditionalFormatting>
  <conditionalFormatting sqref="W22:W29">
    <cfRule type="expression" dxfId="1574" priority="22">
      <formula>ABS(W$25-W$28)&gt;=1000</formula>
    </cfRule>
  </conditionalFormatting>
  <conditionalFormatting sqref="X22:X29">
    <cfRule type="expression" dxfId="1573" priority="21">
      <formula>ABS(X$25-X$28)&gt;=1000</formula>
    </cfRule>
  </conditionalFormatting>
  <conditionalFormatting sqref="Y22:Y29">
    <cfRule type="expression" dxfId="1572" priority="20">
      <formula>ABS(Y$25-Y$28)&gt;=1000</formula>
    </cfRule>
  </conditionalFormatting>
  <conditionalFormatting sqref="I23">
    <cfRule type="expression" dxfId="1571" priority="19">
      <formula>ABS(I$25-I$28)&gt;=1000</formula>
    </cfRule>
  </conditionalFormatting>
  <conditionalFormatting sqref="F14">
    <cfRule type="expression" dxfId="1570" priority="18">
      <formula>ABS(F$16-F$19)&gt;=1000</formula>
    </cfRule>
  </conditionalFormatting>
  <conditionalFormatting sqref="Q14">
    <cfRule type="expression" dxfId="1569" priority="17">
      <formula>ABS(Q$16-Q$19)&gt;=1000</formula>
    </cfRule>
  </conditionalFormatting>
  <conditionalFormatting sqref="W14">
    <cfRule type="expression" dxfId="1568" priority="16">
      <formula>ABS(W$16-W$19)&gt;=1000</formula>
    </cfRule>
  </conditionalFormatting>
  <conditionalFormatting sqref="Y14">
    <cfRule type="expression" dxfId="1567" priority="15">
      <formula>ABS(Y$16-Y$19)&gt;=1000</formula>
    </cfRule>
  </conditionalFormatting>
  <conditionalFormatting sqref="X14">
    <cfRule type="expression" dxfId="1566" priority="14">
      <formula>ABS(X$16-X$19)&gt;=1000</formula>
    </cfRule>
  </conditionalFormatting>
  <conditionalFormatting sqref="T10:Y10">
    <cfRule type="expression" dxfId="1565" priority="13">
      <formula>ABS(T$7-T$10)&gt;=1000</formula>
    </cfRule>
  </conditionalFormatting>
  <conditionalFormatting sqref="W19">
    <cfRule type="expression" dxfId="1564" priority="12">
      <formula>ABS(W$16-W$19)&gt;=1000</formula>
    </cfRule>
  </conditionalFormatting>
  <conditionalFormatting sqref="AC5">
    <cfRule type="expression" dxfId="1563" priority="11">
      <formula>ABS(AC$7-AC$10)&gt;=1000</formula>
    </cfRule>
  </conditionalFormatting>
  <conditionalFormatting sqref="M14">
    <cfRule type="expression" dxfId="1562" priority="10">
      <formula>ABS(M$16-M$19)&gt;=1000</formula>
    </cfRule>
  </conditionalFormatting>
  <conditionalFormatting sqref="M16">
    <cfRule type="expression" dxfId="1561" priority="9">
      <formula>ABS(M$16-M$19)&gt;=1000</formula>
    </cfRule>
  </conditionalFormatting>
  <conditionalFormatting sqref="M19">
    <cfRule type="expression" dxfId="1560" priority="8">
      <formula>ABS(M$16-M$19)&gt;=1000</formula>
    </cfRule>
  </conditionalFormatting>
  <conditionalFormatting sqref="K13:K20">
    <cfRule type="expression" dxfId="1559" priority="7">
      <formula>ABS(K$16-K$19)&gt;=1000</formula>
    </cfRule>
  </conditionalFormatting>
  <conditionalFormatting sqref="E5">
    <cfRule type="expression" dxfId="1558" priority="6">
      <formula>ABS(E$7-E$10)&gt;=1000</formula>
    </cfRule>
  </conditionalFormatting>
  <conditionalFormatting sqref="AB14:AC14">
    <cfRule type="expression" dxfId="1557" priority="5">
      <formula>ABS(AB$16-AB$19)&gt;=1000</formula>
    </cfRule>
  </conditionalFormatting>
  <conditionalFormatting sqref="M5">
    <cfRule type="expression" dxfId="1556" priority="4">
      <formula>ABS(M$7-M$10)&gt;=1000</formula>
    </cfRule>
  </conditionalFormatting>
  <conditionalFormatting sqref="N5">
    <cfRule type="expression" dxfId="1555" priority="3">
      <formula>ABS(N$7-N$10)&gt;=1000</formula>
    </cfRule>
  </conditionalFormatting>
  <conditionalFormatting sqref="O5">
    <cfRule type="expression" dxfId="1554" priority="2">
      <formula>ABS(O$7-O$10)&gt;=1000</formula>
    </cfRule>
  </conditionalFormatting>
  <conditionalFormatting sqref="P5">
    <cfRule type="expression" dxfId="1553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77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48">
    <pageSetUpPr fitToPage="1"/>
  </sheetPr>
  <dimension ref="A1:CU223"/>
  <sheetViews>
    <sheetView view="pageBreakPreview" zoomScale="80" zoomScaleNormal="100" zoomScaleSheetLayoutView="80" workbookViewId="0">
      <selection activeCell="Y35" sqref="Y3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45809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47" t="s" ph="1">
        <v>178</v>
      </c>
      <c r="D6" s="71">
        <v>4937</v>
      </c>
      <c r="E6" s="71">
        <v>4684</v>
      </c>
      <c r="F6" s="71">
        <v>7138</v>
      </c>
      <c r="G6" s="71">
        <v>4001</v>
      </c>
      <c r="H6" s="71">
        <v>1030</v>
      </c>
      <c r="I6" s="71">
        <v>70.8</v>
      </c>
      <c r="J6" s="71">
        <v>7.8</v>
      </c>
      <c r="K6" s="71">
        <v>7.7</v>
      </c>
      <c r="L6" s="71">
        <v>38.6</v>
      </c>
      <c r="M6" s="71">
        <v>602</v>
      </c>
      <c r="N6" s="71">
        <v>4738</v>
      </c>
      <c r="O6" s="71">
        <v>1484</v>
      </c>
      <c r="P6" s="71">
        <v>2228</v>
      </c>
      <c r="Q6" s="71">
        <v>1850</v>
      </c>
      <c r="R6" s="71">
        <v>0</v>
      </c>
      <c r="S6" s="71">
        <v>0</v>
      </c>
      <c r="T6" s="71">
        <v>1800</v>
      </c>
      <c r="U6" s="71">
        <v>0</v>
      </c>
      <c r="V6" s="71">
        <v>5100</v>
      </c>
      <c r="W6" s="71">
        <v>6900</v>
      </c>
      <c r="X6" s="71">
        <v>4600</v>
      </c>
      <c r="Y6" s="71">
        <v>2450</v>
      </c>
      <c r="Z6" s="71">
        <v>5814</v>
      </c>
      <c r="AA6" s="71">
        <v>4229</v>
      </c>
      <c r="AB6" s="71">
        <v>2043</v>
      </c>
      <c r="AC6" s="71">
        <v>4131</v>
      </c>
      <c r="AD6" s="71">
        <v>4395</v>
      </c>
      <c r="AE6" s="71">
        <v>3630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155099.17967454001</v>
      </c>
      <c r="E7" s="73" ph="1">
        <f>E6*51.53*LOOKUP(E8,密度!$A$2:$A$50,密度!$B$2:$B$50)</f>
        <v>188169.338992</v>
      </c>
      <c r="F7" s="73" ph="1">
        <f>F6*33.183*LOOKUP(F8,密度!$A$2:$A$50,密度!$C$2:$C$50)</f>
        <v>262654.33566059999</v>
      </c>
      <c r="G7" s="73" ph="1">
        <f xml:space="preserve"> (G6+2)*51.53*LOOKUP(G8,密度!$A$2:$A$50,密度!$B$2:$B$50)</f>
        <v>160811.67036399999</v>
      </c>
      <c r="H7" s="73" ph="1">
        <f>(H6)*51.53*LOOKUP(H8,密度!$A$2:$A$50,密度!$B$2:$B$50)</f>
        <v>41377.971639999996</v>
      </c>
      <c r="I7" s="73" ph="1">
        <f>I6*290.8*1.0267</f>
        <v>21138.356688</v>
      </c>
      <c r="J7" s="73" ph="1">
        <f>J6*290.8*0.7892</f>
        <v>1790.0950080000002</v>
      </c>
      <c r="K7" s="73" ph="1">
        <f>K6*290.8*1.1126</f>
        <v>2491.2894160000005</v>
      </c>
      <c r="L7" s="73" ph="1">
        <f>L6*290.8*0.777</f>
        <v>8721.7317600000006</v>
      </c>
      <c r="M7" s="73" ph="1">
        <f>M6*33.183*LOOKUP(M8,密度!$A$2:$A$50,密度!$D$2:$D$50)</f>
        <v>20415.641652000002</v>
      </c>
      <c r="N7" s="73" ph="1">
        <f>N6*33.183*LOOKUP(N8,密度!$A$2:$A$50,密度!$E$2:$E$50)</f>
        <v>123135.52949280001</v>
      </c>
      <c r="O7" s="73" ph="1">
        <f>O6*20.428*LOOKUP(O8,密度!$A$2:$A$50,密度!$C$2:$C$50)</f>
        <v>33501.2744752</v>
      </c>
      <c r="P7" s="73" ph="1">
        <f>P6*51.53*LOOKUP(P8,密度!$A$2:$A$50,密度!$B$2:$B$50)</f>
        <v>89504.971663999997</v>
      </c>
      <c r="Q7" s="73" ph="1">
        <f>Q6*1.5*1.5*3.1416*LOOKUP(W8,密度!$A$2:$A$50,密度!$L$2:$L$50)</f>
        <v>12253.06467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11960.071199999998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33670.569240000004</v>
      </c>
      <c r="W7" s="73" ph="1">
        <f>W6*1.5*1.5*3.1416*LOOKUP(W8,密度!$A$2:$A$50,密度!$L$2:$L$50)</f>
        <v>45700.619579999999</v>
      </c>
      <c r="X7" s="73" ph="1">
        <f>X6*1.5*1.5*3.1416*LOOKUP(X8,密度!$A$2:$A$50,密度!$L$2:$L$50)</f>
        <v>30304.501919999999</v>
      </c>
      <c r="Y7" s="73" ph="1">
        <f>Y6*1.5*1.5*3.1416*LOOKUP(Y8,密度!$A$2:$A$50,密度!$L$2:$L$50)</f>
        <v>16227.031590000001</v>
      </c>
      <c r="Z7" s="73" ph="1">
        <f>Z6*33.183*LOOKUP(Z8,密度!$A$2:$A$50,密度!$L$2:$L$50)</f>
        <v>180578.70043200001</v>
      </c>
      <c r="AA7" s="73" ph="1">
        <f>AA6*33.183*LOOKUP(AA8,密度!$A$2:$A$50,密度!$D$2:$D$50)</f>
        <v>143418.186954</v>
      </c>
      <c r="AB7" s="73" ph="1">
        <f>AB6*20.428*LOOKUP(AB8,密度!$A$2:$A$50,密度!$D$2:$D$50)</f>
        <v>43115.812772400001</v>
      </c>
      <c r="AC7" s="73" ph="1">
        <f>AC6*51.53*LOOKUP(AC8,密度!$A$2:$A$50,密度!$Q$2:$Q$50)</f>
        <v>201532.95089820001</v>
      </c>
      <c r="AD7" s="73" ph="1">
        <f>AD6*20.428*LOOKUP(AD8,密度!$A$2:$A$50,密度!$V$2:$V$50)</f>
        <v>86261.642447999999</v>
      </c>
      <c r="AE7" s="73" ph="1">
        <f>AE6*20.428</f>
        <v>74153.64</v>
      </c>
    </row>
    <row r="8" spans="1:99" ph="1">
      <c r="B8" s="244" ph="1"/>
      <c r="C8" s="68" t="s" ph="1">
        <v>180</v>
      </c>
      <c r="D8" s="74">
        <v>25</v>
      </c>
      <c r="E8" s="74">
        <v>25</v>
      </c>
      <c r="F8" s="74">
        <v>25</v>
      </c>
      <c r="G8" s="74">
        <v>25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25</v>
      </c>
      <c r="O8" s="74">
        <v>30</v>
      </c>
      <c r="P8" s="74">
        <v>25</v>
      </c>
      <c r="Q8" s="74">
        <v>25</v>
      </c>
      <c r="R8" s="74">
        <v>32</v>
      </c>
      <c r="S8" s="74">
        <v>23</v>
      </c>
      <c r="T8" s="74">
        <v>22</v>
      </c>
      <c r="U8" s="74">
        <v>28</v>
      </c>
      <c r="V8" s="74">
        <v>28</v>
      </c>
      <c r="W8" s="74">
        <v>25</v>
      </c>
      <c r="X8" s="74">
        <v>30</v>
      </c>
      <c r="Y8" s="74">
        <v>25</v>
      </c>
      <c r="Z8" s="74">
        <v>26</v>
      </c>
      <c r="AA8" s="74">
        <v>30</v>
      </c>
      <c r="AB8" s="74">
        <v>18</v>
      </c>
      <c r="AC8" s="74">
        <v>25</v>
      </c>
      <c r="AD8" s="74">
        <v>25</v>
      </c>
      <c r="AE8" s="74">
        <v>30</v>
      </c>
    </row>
    <row r="9" spans="1:99" ht="26.4" ph="1">
      <c r="B9" s="244" ph="1">
        <v>0.66666666666666663</v>
      </c>
      <c r="C9" s="147" t="s" ph="1">
        <v>181</v>
      </c>
      <c r="D9" s="71">
        <v>4937</v>
      </c>
      <c r="E9" s="71">
        <v>4687</v>
      </c>
      <c r="F9" s="71">
        <v>7138</v>
      </c>
      <c r="G9" s="71">
        <v>4716</v>
      </c>
      <c r="H9" s="71">
        <v>1028</v>
      </c>
      <c r="I9" s="71">
        <v>0</v>
      </c>
      <c r="J9" s="71">
        <v>7.8</v>
      </c>
      <c r="K9" s="71">
        <v>7.74</v>
      </c>
      <c r="L9" s="71">
        <v>13.86</v>
      </c>
      <c r="M9" s="71">
        <v>604</v>
      </c>
      <c r="N9" s="71">
        <v>4735</v>
      </c>
      <c r="O9" s="71">
        <v>1487</v>
      </c>
      <c r="P9" s="71">
        <v>1879</v>
      </c>
      <c r="Q9" s="71">
        <v>0</v>
      </c>
      <c r="R9" s="71">
        <v>0</v>
      </c>
      <c r="S9" s="71">
        <v>5502</v>
      </c>
      <c r="T9" s="71">
        <v>7082</v>
      </c>
      <c r="U9" s="71">
        <v>7043</v>
      </c>
      <c r="V9" s="71">
        <v>7068</v>
      </c>
      <c r="W9" s="71">
        <v>3980</v>
      </c>
      <c r="X9" s="71">
        <v>0</v>
      </c>
      <c r="Y9" s="71">
        <v>0</v>
      </c>
      <c r="Z9" s="71">
        <v>2940</v>
      </c>
      <c r="AA9" s="71">
        <v>5084</v>
      </c>
      <c r="AB9" s="71">
        <v>2043</v>
      </c>
      <c r="AC9" s="71">
        <v>4136</v>
      </c>
      <c r="AD9" s="71">
        <v>4395</v>
      </c>
      <c r="AE9" s="71">
        <v>4066</v>
      </c>
    </row>
    <row r="10" spans="1:99" s="72" customFormat="1" ht="22.2" ph="1">
      <c r="B10" s="244" ph="1"/>
      <c r="C10" s="147" t="s" ph="1">
        <v>179</v>
      </c>
      <c r="D10" s="73" ph="1">
        <f>D9*33.183*LOOKUP(D11,密度!$A$2:$A$50,密度!$Q$2:$Q$50)</f>
        <v>155484.16718138999</v>
      </c>
      <c r="E10" s="73" ph="1">
        <f>E9*51.53*LOOKUP(E11,密度!$A$2:$A$50,密度!$B$2:$B$50)</f>
        <v>188724.59535400002</v>
      </c>
      <c r="F10" s="73" ph="1">
        <f>F9*33.183*LOOKUP(F11,密度!$A$2:$A$50,密度!$C$2:$C$50)</f>
        <v>262820.13783839997</v>
      </c>
      <c r="G10" s="73" ph="1">
        <f xml:space="preserve"> (G9+2)*51.53*LOOKUP(G11,密度!$A$2:$A$50,密度!$B$2:$B$50)</f>
        <v>190823.74204600003</v>
      </c>
      <c r="H10" s="73" ph="1">
        <f>(H9)*51.53*LOOKUP(H11,密度!$A$2:$A$50,密度!$B$2:$B$50)</f>
        <v>41578.382116000008</v>
      </c>
      <c r="I10" s="73" ph="1">
        <f>I9*290.8*1.0267</f>
        <v>0</v>
      </c>
      <c r="J10" s="73" ph="1">
        <f>J9*290.8*0.7892</f>
        <v>1790.0950080000002</v>
      </c>
      <c r="K10" s="73" ph="1">
        <f>K9*290.8*1.1126</f>
        <v>2504.2311792000005</v>
      </c>
      <c r="L10" s="73" ph="1">
        <f>L9*290.8*0.777</f>
        <v>3131.6891759999999</v>
      </c>
      <c r="M10" s="73" ph="1">
        <f>M9*33.183*LOOKUP(M11,密度!$A$2:$A$50,密度!$D$2:$D$50)</f>
        <v>20615.7484152</v>
      </c>
      <c r="N10" s="73" ph="1">
        <f>N9*33.183*LOOKUP(N11,密度!$A$2:$A$50,密度!$E$2:$E$50)</f>
        <v>123057.562716</v>
      </c>
      <c r="O10" s="73" ph="1">
        <f>O9*20.428*LOOKUP(O11,密度!$A$2:$A$50,密度!$C$2:$C$50)</f>
        <v>33638.865226399997</v>
      </c>
      <c r="P10" s="73" ph="1">
        <f>P9*51.53*LOOKUP(P11,密度!$A$2:$A$50,密度!$B$2:$B$50)</f>
        <v>75746.095801000003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36635.733842399997</v>
      </c>
      <c r="T10" s="73" ph="1">
        <f>T9*1.5*1.5*3.1416*LOOKUP(T11,密度!$A$2:$A$50,密度!$L$2:$L$50)</f>
        <v>48057.432192</v>
      </c>
      <c r="U10" s="73" ph="1">
        <f>U9*1.5*1.5*3.1416*LOOKUP(U11,密度!$A$2:$A$50,密度!$L$2:$L$50)</f>
        <v>46647.748362600003</v>
      </c>
      <c r="V10" s="73" ph="1">
        <f>V9*1.5*1.5*3.1416*LOOKUP(V11,密度!$A$2:$A$50,密度!$L$2:$L$50)</f>
        <v>46713.408587999998</v>
      </c>
      <c r="W10" s="73" ph="1">
        <f>W9*1.5*1.5*3.1416*LOOKUP(W11,密度!$A$2:$A$50,密度!$L$2:$L$50)</f>
        <v>26416.913291999997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91802.096819999992</v>
      </c>
      <c r="AA10" s="73" ph="1">
        <f>AA9*33.183*LOOKUP(AA11,密度!$A$2:$A$50,密度!$D$2:$D$50)</f>
        <v>172734.3586908</v>
      </c>
      <c r="AB10" s="73" ph="1">
        <f>AB9*20.428*LOOKUP(AB11,密度!$A$2:$A$50,密度!$D$2:$D$50)</f>
        <v>43220.148782400007</v>
      </c>
      <c r="AC10" s="73" ph="1">
        <f>AC9*51.53*LOOKUP(AC11,密度!$A$2:$A$50,密度!$Q$2:$Q$50)</f>
        <v>201776.87845920003</v>
      </c>
      <c r="AD10" s="73" ph="1">
        <f>AD9*20.428*LOOKUP(AD11,密度!$A$2:$A$50,密度!$V$2:$V$50)</f>
        <v>86261.642447999999</v>
      </c>
      <c r="AE10" s="73" ph="1">
        <f>AE9*20.428</f>
        <v>83060.248000000007</v>
      </c>
    </row>
    <row r="11" spans="1:99" ph="1">
      <c r="A11" s="64" t="s" ph="1">
        <v>163</v>
      </c>
      <c r="B11" s="244" ph="1"/>
      <c r="C11" s="147" t="s" ph="1">
        <v>180</v>
      </c>
      <c r="D11" s="74">
        <v>22</v>
      </c>
      <c r="E11" s="74">
        <v>23</v>
      </c>
      <c r="F11" s="74">
        <v>24</v>
      </c>
      <c r="G11" s="74">
        <v>19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25</v>
      </c>
      <c r="O11" s="74">
        <v>27</v>
      </c>
      <c r="P11" s="74">
        <v>22</v>
      </c>
      <c r="Q11" s="74">
        <v>25</v>
      </c>
      <c r="R11" s="74">
        <v>31</v>
      </c>
      <c r="S11" s="74">
        <v>20</v>
      </c>
      <c r="T11" s="74">
        <v>2</v>
      </c>
      <c r="U11" s="74">
        <v>25</v>
      </c>
      <c r="V11" s="74">
        <v>27</v>
      </c>
      <c r="W11" s="74">
        <v>23</v>
      </c>
      <c r="X11" s="74">
        <v>20</v>
      </c>
      <c r="Y11" s="74">
        <v>27</v>
      </c>
      <c r="Z11" s="74">
        <v>21</v>
      </c>
      <c r="AA11" s="74">
        <v>28</v>
      </c>
      <c r="AB11" s="74">
        <v>15</v>
      </c>
      <c r="AC11" s="74">
        <v>25</v>
      </c>
      <c r="AD11" s="74">
        <v>22</v>
      </c>
      <c r="AE11" s="74">
        <v>28</v>
      </c>
    </row>
    <row r="12" spans="1:99" ht="9.9" customHeight="1" ph="1"/>
    <row r="13" spans="1:99" s="72" customFormat="1" ht="29.25" customHeight="1" ph="1">
      <c r="B13" s="221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47" t="s" ph="1">
        <v>178</v>
      </c>
      <c r="D15" s="78">
        <v>0</v>
      </c>
      <c r="E15" s="78">
        <v>1577</v>
      </c>
      <c r="F15" s="78">
        <v>3477</v>
      </c>
      <c r="G15" s="78">
        <v>2969</v>
      </c>
      <c r="H15" s="78">
        <v>0</v>
      </c>
      <c r="I15" s="78">
        <v>117</v>
      </c>
      <c r="J15" s="78">
        <v>1651</v>
      </c>
      <c r="K15" s="78">
        <v>322</v>
      </c>
      <c r="L15" s="78">
        <v>3224</v>
      </c>
      <c r="M15" s="78">
        <v>6843</v>
      </c>
      <c r="N15" s="78">
        <v>1351</v>
      </c>
      <c r="O15" s="78">
        <v>6061</v>
      </c>
      <c r="P15" s="78">
        <v>5472</v>
      </c>
      <c r="Q15" s="78">
        <v>3536</v>
      </c>
      <c r="R15" s="78">
        <v>3505</v>
      </c>
      <c r="S15" s="78">
        <v>6907</v>
      </c>
      <c r="T15" s="78">
        <v>4304</v>
      </c>
      <c r="U15" s="78">
        <v>1099</v>
      </c>
      <c r="V15" s="78">
        <v>2371</v>
      </c>
      <c r="W15" s="71">
        <v>-792</v>
      </c>
      <c r="X15" s="78">
        <v>23</v>
      </c>
      <c r="Y15" s="106">
        <v>-9908</v>
      </c>
      <c r="Z15" s="78">
        <v>6</v>
      </c>
      <c r="AA15" s="78">
        <v>4219</v>
      </c>
      <c r="AB15" s="78" ph="1">
        <v>2361</v>
      </c>
      <c r="AC15" s="78" ph="1">
        <v>0</v>
      </c>
      <c r="AD15" s="78">
        <v>37.200000000000003</v>
      </c>
      <c r="AE15" s="78">
        <v>84.4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47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10433.762539199999</v>
      </c>
      <c r="F16" s="73" ph="1">
        <f>F15*9.0746*LOOKUP(F17,密度!$A$2:$A$50,密度!$L$2:$L$50)</f>
        <v>29375.269690200003</v>
      </c>
      <c r="G16" s="73" ph="1">
        <f>G15*9.0746*LOOKUP(G17,密度!$A$2:$A$50,密度!$B$2:$B$50)</f>
        <v>20958.560948460003</v>
      </c>
      <c r="H16" s="73" ph="1">
        <f>H15*9.0746*LOOKUP(H17,密度!$A$2:$A$50,密度!$L$2:$L$50)</f>
        <v>0</v>
      </c>
      <c r="I16" s="73" ph="1">
        <f>I15*9.0746*LOOKUP(I17,密度!$A$2:$A$50,密度!$U$2:$U$50)</f>
        <v>1082.9627640000001</v>
      </c>
      <c r="J16" s="73" ph="1">
        <f>J15*9.0746*LOOKUP(J17,密度!$A$2:$A$50,密度!$L$2:$L$50)</f>
        <v>13963.377407200001</v>
      </c>
      <c r="K16" s="73" ph="1">
        <f>K15*9.0746*LOOKUP(K17,密度!$A$2:$A$50,密度!$C$2:$C$50)</f>
        <v>3229.1256281199999</v>
      </c>
      <c r="L16" s="73" ph="1">
        <f>L15*9.0746*LOOKUP(L17,密度!$A$2:$A$50,密度!$E$2:$E$50)</f>
        <v>22849.334622400002</v>
      </c>
      <c r="M16" s="73" ph="1">
        <f>M15*9.0746*LOOKUP(M17,密度!$A$2:$A$50,密度!$M$2:$M$50)</f>
        <v>54149.009361600001</v>
      </c>
      <c r="N16" s="73" ph="1">
        <f>N15*9.0746*LOOKUP(N17,密度!$A$2:$A$50,密度!$M$2:$M$50)</f>
        <v>10728.53750346</v>
      </c>
      <c r="O16" s="73" ph="1">
        <f>O15*9.0746*LOOKUP(O17,密度!$A$2:$A$50,密度!$G$2:$G$50)</f>
        <v>52691.102274799996</v>
      </c>
      <c r="P16" s="73" ph="1">
        <f ca="1">P15*9.0746*LOOKUP(P17,密度!$A$2:$A$51,密度!$Q$2:$Q$50)</f>
        <v>46976.265481536</v>
      </c>
      <c r="Q16" s="73" ph="1">
        <f>Q15*9.0746*LOOKUP(Q17,密度!$A$2:$A$50,密度!$Q$2:$Q$50)</f>
        <v>30356.007811168001</v>
      </c>
      <c r="R16" s="73" ph="1">
        <f>MAX(R15*9.0746*LOOKUP(R17,密度!$A$2:$A$50,密度!$B$2:$B$50),0)</f>
        <v>24659.558516900001</v>
      </c>
      <c r="S16" s="73" ph="1">
        <f>S15*9.0746*LOOKUP(S17,密度!$A$2:$A$50,密度!$Q$2:$Q$50)</f>
        <v>59295.516389066004</v>
      </c>
      <c r="T16" s="73" ph="1">
        <f>T15*9.0746*LOOKUP(T17,密度!$A$2:$A$50,密度!$O$2:$O$50)</f>
        <v>36166.854598400001</v>
      </c>
      <c r="U16" s="73" ph="1">
        <f>U15*9.0746*LOOKUP(U17,密度!$A$2:$A$50,密度!$H$2:$H$50)</f>
        <v>9114.3113570599999</v>
      </c>
      <c r="V16" s="73" ph="1">
        <f>MAX(5600*LOOKUP(V17,密度!$A$2:$A$50,密度!$Q$2:$Q$50)+V15*9.0476*LOOKUP(V17,密度!$A$2:$A$50,密度!$Q$2:$Q$50),0)</f>
        <v>25518.830716468001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6040.418592</v>
      </c>
      <c r="Y16" s="107" ph="1">
        <v>0</v>
      </c>
      <c r="Z16" s="73" ph="1">
        <f>Z15*9.0746*LOOKUP(Z17,密度!$A$2:$A$50,密度!$D$2:$D$50)</f>
        <v>55.6454472</v>
      </c>
      <c r="AA16" s="73" ph="1">
        <f>AA15*9.0746*LOOKUP(AA17,密度!$A$2:$A$50,密度!$B$2:$B$50)</f>
        <v>29847.560877039996</v>
      </c>
      <c r="AB16" s="73" ph="1">
        <f>AB15*9.0746*LOOKUP(AB17,密度!$A$2:$A$50,密度!$L$2:$L$50)</f>
        <v>20075.347372200002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9012.8745216000007</v>
      </c>
      <c r="AE16" s="73" ph="1">
        <f>AE15*268.68*LOOKUP(AE17,密度!$A$2:$A$50,密度!B2:B50)+IF(AE15&lt;=0,0,1566*LOOKUP(AE17,密度!$A$2:$A$50,密度!B2:B50))</f>
        <v>18899.524723199997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26</v>
      </c>
      <c r="E17" s="74">
        <v>26</v>
      </c>
      <c r="F17" s="74">
        <v>31</v>
      </c>
      <c r="G17" s="74">
        <v>27</v>
      </c>
      <c r="H17" s="74">
        <v>27</v>
      </c>
      <c r="I17" s="74">
        <v>30</v>
      </c>
      <c r="J17" s="74">
        <v>30</v>
      </c>
      <c r="K17" s="74">
        <v>30</v>
      </c>
      <c r="L17" s="74">
        <v>27</v>
      </c>
      <c r="M17" s="74">
        <v>28</v>
      </c>
      <c r="N17" s="74">
        <v>25</v>
      </c>
      <c r="O17" s="74">
        <v>27</v>
      </c>
      <c r="P17" s="74">
        <v>26</v>
      </c>
      <c r="Q17" s="74">
        <v>26</v>
      </c>
      <c r="R17" s="74">
        <v>30</v>
      </c>
      <c r="S17" s="74">
        <v>26</v>
      </c>
      <c r="T17" s="74">
        <v>26</v>
      </c>
      <c r="U17" s="74">
        <v>26</v>
      </c>
      <c r="V17" s="74">
        <v>30</v>
      </c>
      <c r="W17" s="74">
        <v>30</v>
      </c>
      <c r="X17" s="74">
        <v>27</v>
      </c>
      <c r="Y17" s="108">
        <v>27</v>
      </c>
      <c r="Z17" s="74">
        <v>30</v>
      </c>
      <c r="AA17" s="74">
        <v>25</v>
      </c>
      <c r="AB17" s="74">
        <v>25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0</v>
      </c>
      <c r="E18" s="71">
        <v>72</v>
      </c>
      <c r="F18" s="71">
        <v>3476</v>
      </c>
      <c r="G18" s="71">
        <v>2322</v>
      </c>
      <c r="H18" s="71">
        <v>0</v>
      </c>
      <c r="I18" s="71">
        <v>118</v>
      </c>
      <c r="J18" s="71">
        <v>1651</v>
      </c>
      <c r="K18" s="71">
        <v>324</v>
      </c>
      <c r="L18" s="71">
        <v>3218</v>
      </c>
      <c r="M18" s="71">
        <v>6828</v>
      </c>
      <c r="N18" s="71">
        <v>1349</v>
      </c>
      <c r="O18" s="71">
        <v>6052</v>
      </c>
      <c r="P18" s="71">
        <v>5465</v>
      </c>
      <c r="Q18" s="71">
        <v>3535</v>
      </c>
      <c r="R18" s="71">
        <v>3502</v>
      </c>
      <c r="S18" s="71">
        <v>6901</v>
      </c>
      <c r="T18" s="71">
        <v>5156</v>
      </c>
      <c r="U18" s="71">
        <v>1101</v>
      </c>
      <c r="V18" s="71">
        <v>2373</v>
      </c>
      <c r="W18" s="71">
        <v>-792</v>
      </c>
      <c r="X18" s="71">
        <v>27</v>
      </c>
      <c r="Y18" s="109">
        <v>-9906</v>
      </c>
      <c r="Z18" s="71">
        <v>0</v>
      </c>
      <c r="AA18" s="71">
        <v>4216</v>
      </c>
      <c r="AB18" s="71">
        <v>2358</v>
      </c>
      <c r="AC18" s="71">
        <v>28</v>
      </c>
      <c r="AD18" s="71">
        <v>81.36</v>
      </c>
      <c r="AE18" s="71">
        <v>5.15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47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477.38496959999998</v>
      </c>
      <c r="F19" s="73" ph="1">
        <f>F18*9.0746*LOOKUP(F20,密度!$A$2:$A$50,密度!$L$2:$L$50)</f>
        <v>29556.081095200003</v>
      </c>
      <c r="G19" s="73" ph="1">
        <f>G18*9.0746*LOOKUP(G20,密度!$A$2:$A$50,密度!$B$2:$B$50)</f>
        <v>16465.052245679999</v>
      </c>
      <c r="H19" s="73" ph="1">
        <f>H18*9.0746*LOOKUP(H20,密度!$A$2:$A$50,密度!$L$2:$L$50)</f>
        <v>0</v>
      </c>
      <c r="I19" s="73" ph="1">
        <f>I18*9.0746*LOOKUP(I20,密度!$A$2:$A$50,密度!$U$2:$U$50)</f>
        <v>1100.7852783999999</v>
      </c>
      <c r="J19" s="73" ph="1">
        <f>J18*9.0746*LOOKUP(J20,密度!$A$2:$A$50,密度!$L$2:$L$50)</f>
        <v>14068.2525594</v>
      </c>
      <c r="K19" s="73" ph="1">
        <f>K18*9.0746*LOOKUP(K20,密度!$A$2:$A$50,密度!$C$2:$C$50)</f>
        <v>3271.2335870400002</v>
      </c>
      <c r="L19" s="73" ph="1">
        <f>L18*9.0746*LOOKUP(L20,密度!$A$2:$A$50,密度!$E$2:$E$50)</f>
        <v>22906.098060320001</v>
      </c>
      <c r="M19" s="73" ph="1">
        <f>M18*9.0746*LOOKUP(M20,密度!$A$2:$A$50,密度!$M$2:$M$50)</f>
        <v>54340.120437600002</v>
      </c>
      <c r="N19" s="73" ph="1">
        <f>N18*9.0746*LOOKUP(N20,密度!$A$2:$A$50,密度!$M$2:$M$50)</f>
        <v>10761.621680140001</v>
      </c>
      <c r="O19" s="73" ph="1">
        <f>O18*9.0746*LOOKUP(O20,密度!$A$2:$A$50,密度!$G$2:$G$50)</f>
        <v>52733.683927840008</v>
      </c>
      <c r="P19" s="73" ph="1">
        <f ca="1">P18*9.0746*LOOKUP(P20,密度!$A$2:$A$51,密度!$Q$2:$Q$50)</f>
        <v>46987.585046829998</v>
      </c>
      <c r="Q19" s="73" ph="1">
        <f>Q18*9.0746*LOOKUP(Q20,密度!$A$2:$A$50,密度!$Q$2:$Q$50)</f>
        <v>30393.616311170001</v>
      </c>
      <c r="R19" s="73" ph="1">
        <f>MAX(R18*9.0746*LOOKUP(R20,密度!$A$2:$A$50,密度!$B$2:$B$50),0)</f>
        <v>24832.305324880002</v>
      </c>
      <c r="S19" s="73" ph="1">
        <f>S18*9.0746*LOOKUP(S20,密度!$A$2:$A$50,密度!$Q$2:$Q$50)</f>
        <v>59288.470234404005</v>
      </c>
      <c r="T19" s="73" ph="1">
        <f>T18*9.0746*LOOKUP(T20,密度!$A$2:$A$50,密度!$O$2:$O$50)</f>
        <v>43513.432968000001</v>
      </c>
      <c r="U19" s="73" ph="1">
        <f>U18*9.0746*LOOKUP(U20,密度!$A$2:$A$50,密度!$H$2:$H$50)</f>
        <v>9179.8544704799988</v>
      </c>
      <c r="V19" s="73" ph="1">
        <f>MAX(5600*LOOKUP(V20,密度!$A$2:$A$50,密度!$Q$2:$Q$50)+V18*9.0476*LOOKUP(V20,密度!$A$2:$A$50,密度!$Q$2:$Q$50),0)</f>
        <v>25570.820703175999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6078.0566079999999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29929.635189279998</v>
      </c>
      <c r="AB19" s="73" ph="1">
        <f>AB18*9.0746*LOOKUP(AB20,密度!$A$2:$A$50,密度!$L$2:$L$50)</f>
        <v>20071.236578399999</v>
      </c>
      <c r="AC19" s="73" ph="1">
        <f>AC18*9.0746*LOOKUP(AC20,密度!$A$2:$A$50,密度!$L$2:$L$50)</f>
        <v>239.09756079999997</v>
      </c>
      <c r="AD19" s="73" ph="1">
        <f>AD18*268.68*LOOKUP(AD20,密度!$A$2:$A$50,密度!B5:B53)+IF(AD18&lt;=0,0,1566*LOOKUP(AD20,密度!$A$2:$A$50,密度!B5:B53))</f>
        <v>18201.850329600002</v>
      </c>
      <c r="AE19" s="73" ph="1">
        <f>AE18*268.68*LOOKUP(AE20,密度!$A$2:$A$50,密度!B5:B53)+IF(AE18&lt;=0,0,1566*LOOKUP(AE20,密度!$A$2:$A$50,密度!B5:B53))</f>
        <v>2291.9184540000001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24</v>
      </c>
      <c r="E20" s="81">
        <v>24</v>
      </c>
      <c r="F20" s="81">
        <v>25</v>
      </c>
      <c r="G20" s="81">
        <v>23</v>
      </c>
      <c r="H20" s="81">
        <v>19</v>
      </c>
      <c r="I20" s="81">
        <v>20</v>
      </c>
      <c r="J20" s="81">
        <v>23</v>
      </c>
      <c r="K20" s="81">
        <v>20</v>
      </c>
      <c r="L20" s="81">
        <v>24</v>
      </c>
      <c r="M20" s="81">
        <v>23</v>
      </c>
      <c r="N20" s="81">
        <v>21</v>
      </c>
      <c r="O20" s="81">
        <v>25</v>
      </c>
      <c r="P20" s="81">
        <v>24</v>
      </c>
      <c r="Q20" s="81">
        <v>24</v>
      </c>
      <c r="R20" s="81">
        <v>23</v>
      </c>
      <c r="S20" s="81">
        <v>25</v>
      </c>
      <c r="T20" s="81">
        <v>23</v>
      </c>
      <c r="U20" s="81">
        <v>21</v>
      </c>
      <c r="V20" s="81">
        <v>28</v>
      </c>
      <c r="W20" s="81">
        <v>28</v>
      </c>
      <c r="X20" s="81">
        <v>27</v>
      </c>
      <c r="Y20" s="110">
        <v>27</v>
      </c>
      <c r="Z20" s="81">
        <v>23</v>
      </c>
      <c r="AA20" s="81">
        <v>22</v>
      </c>
      <c r="AB20" s="81">
        <v>24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644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645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47" t="s" ph="1">
        <v>178</v>
      </c>
      <c r="D24" s="71">
        <v>90.8</v>
      </c>
      <c r="E24" s="71">
        <v>95.5</v>
      </c>
      <c r="F24" s="71">
        <v>3991</v>
      </c>
      <c r="G24" s="71">
        <v>2650</v>
      </c>
      <c r="H24" s="71">
        <v>2270</v>
      </c>
      <c r="I24" s="71">
        <v>3288</v>
      </c>
      <c r="J24" s="71">
        <v>5394</v>
      </c>
      <c r="K24" s="71">
        <v>37</v>
      </c>
      <c r="L24" s="71">
        <v>1129</v>
      </c>
      <c r="M24" s="71">
        <v>5242</v>
      </c>
      <c r="N24" s="71">
        <v>5314</v>
      </c>
      <c r="O24" s="71">
        <v>3689</v>
      </c>
      <c r="P24" s="71">
        <v>879</v>
      </c>
      <c r="Q24" s="90">
        <v>3945</v>
      </c>
      <c r="R24" s="71">
        <v>2309</v>
      </c>
      <c r="S24" s="71">
        <v>1580</v>
      </c>
      <c r="T24" s="71">
        <v>1758</v>
      </c>
      <c r="U24" s="71">
        <v>4790</v>
      </c>
      <c r="V24" s="71">
        <v>9627</v>
      </c>
      <c r="W24" s="71">
        <v>10717</v>
      </c>
      <c r="X24" s="71">
        <v>2660</v>
      </c>
      <c r="Y24" s="71">
        <v>5095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24579.400210560001</v>
      </c>
      <c r="E25" s="91" ph="1">
        <f>E24*268.68*LOOKUP(E26,密度!$A$2:$A$50,密度!$C$2:$C$50)+IF(E24&lt;=0,0,1566*LOOKUP(E26,密度!$A$2:$A$50,密度!$C$2:$C$50))</f>
        <v>30189.735966000004</v>
      </c>
      <c r="F25" s="91" ph="1">
        <f>F24*11.702*LOOKUP(F26,密度!$A$2:$A$50,密度!$Q$2:$Q$50)</f>
        <v>44215.297156680004</v>
      </c>
      <c r="G25" s="91" ph="1">
        <f>G24*18.322*LOOKUP(G26,密度!$A$2:$A$50,密度!$B$2:$B$50)</f>
        <v>37808.454709999991</v>
      </c>
      <c r="H25" s="91" ph="1">
        <f>H24*18.322*LOOKUP(H26,密度!$A$2:$A$50,密度!$B$2:$B$50)</f>
        <v>32424.296823999994</v>
      </c>
      <c r="I25" s="91" ph="1">
        <f>I24*18.322*LOOKUP(I26,密度!$A$2:$A$50,密度!$Q$2:$Q$50)</f>
        <v>57078.185077919996</v>
      </c>
      <c r="J25" s="91" ph="1">
        <f>J24*18.322*LOOKUP(J26,密度!$A$2:$A$50,密度!$Q$2:$Q$50)</f>
        <v>93637.387563960001</v>
      </c>
      <c r="K25" s="91" ph="1">
        <f>K24*18.322*LOOKUP(K26,密度!$A$2:$A$50,密度!$Q$2:$Q$50)</f>
        <v>641.80830035999998</v>
      </c>
      <c r="L25" s="91" ph="1">
        <f>L24*18.322*LOOKUP(L26,密度!$A$2:$A$50,密度!$Q$2:$Q$50)</f>
        <v>19583.826246119999</v>
      </c>
      <c r="M25" s="91" ph="1">
        <f>M24*18.322*LOOKUP(M26,密度!$A$2:$A$50,密度!$Q$2:$Q$50)</f>
        <v>90860.433421720008</v>
      </c>
      <c r="N25" s="91" ph="1">
        <f>N24*18.322*LOOKUP(N26,密度!$A$2:$A$50,密度!$Q$2:$Q$50)</f>
        <v>92108.421061239991</v>
      </c>
      <c r="O25" s="91" ph="1">
        <f>O24*18.322*LOOKUP(O26,密度!$A$2:$A$50,密度!$C$2:$C$50)</f>
        <v>74950.39353619999</v>
      </c>
      <c r="P25" s="91" ph="1">
        <f>P24*11.702*LOOKUP(P26,密度!$A$2:$A$50,密度!$B$2:$B$50)</f>
        <v>8019.0108167999988</v>
      </c>
      <c r="Q25" s="92" ph="1">
        <f>Q24*18.322*LOOKUP(Q26,密度!$A$2:$A$50,密度!$B$2:$B$50)</f>
        <v>56414.766344999996</v>
      </c>
      <c r="R25" s="91" ph="1">
        <f>R24*35.891*LOOKUP(R26,密度!$A$2:$A$50,密度!$C$2:$C$50)</f>
        <v>91897.114539100003</v>
      </c>
      <c r="S25" s="91" ph="1">
        <f>S24*35.891*LOOKUP(S26,密度!$A$2:$A$50,密度!$B$2:$B$50)</f>
        <v>44158.348285999993</v>
      </c>
      <c r="T25" s="91" ph="1">
        <f>T24*35.891*LOOKUP(T26,密度!$A$2:$A$50,密度!$Q$2:$Q$50)</f>
        <v>59735.864907719995</v>
      </c>
      <c r="U25" s="91" ph="1">
        <f>U24*35.891</f>
        <v>171917.88999999998</v>
      </c>
      <c r="V25" s="91" ph="1">
        <f>V24*47.051*LOOKUP(V26,密度!$A$2:$A$50,密度!$B$2:$B$50)</f>
        <v>353127.5980692</v>
      </c>
      <c r="W25" s="91" ph="1">
        <f>W24*47.051*LOOKUP(W26,密度!$A$2:$A$50,密度!$B$2:$B$50)</f>
        <v>393563.66504350002</v>
      </c>
      <c r="X25" s="91" ph="1">
        <f>X24*47.051*LOOKUP(X26,密度!$A$2:$A$50,密度!$I$2:$I$50)</f>
        <v>130024.215174</v>
      </c>
      <c r="Y25" s="91" ph="1">
        <f>Y24*47.051*LOOKUP(Y26,密度!$A$2:$A$50,密度!$L$2:$L$50)</f>
        <v>223903.00523000001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25</v>
      </c>
      <c r="G26" s="74">
        <v>26</v>
      </c>
      <c r="H26" s="74">
        <v>25</v>
      </c>
      <c r="I26" s="74">
        <v>24</v>
      </c>
      <c r="J26" s="74">
        <v>24</v>
      </c>
      <c r="K26" s="74">
        <v>25</v>
      </c>
      <c r="L26" s="74">
        <v>25</v>
      </c>
      <c r="M26" s="74">
        <v>26</v>
      </c>
      <c r="N26" s="74">
        <v>26</v>
      </c>
      <c r="O26" s="74">
        <v>25</v>
      </c>
      <c r="P26" s="74">
        <v>25</v>
      </c>
      <c r="Q26" s="93">
        <v>24</v>
      </c>
      <c r="R26" s="74">
        <v>25</v>
      </c>
      <c r="S26" s="74">
        <v>26</v>
      </c>
      <c r="T26" s="74">
        <v>25</v>
      </c>
      <c r="U26" s="74">
        <v>25</v>
      </c>
      <c r="V26" s="74">
        <v>25</v>
      </c>
      <c r="W26" s="74">
        <v>24</v>
      </c>
      <c r="X26" s="74">
        <v>28</v>
      </c>
      <c r="Y26" s="74">
        <v>28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47" t="s" ph="1">
        <v>181</v>
      </c>
      <c r="D27" s="71">
        <v>90.58</v>
      </c>
      <c r="E27" s="71">
        <v>95.51</v>
      </c>
      <c r="F27" s="71">
        <v>3990</v>
      </c>
      <c r="G27" s="71">
        <v>1129</v>
      </c>
      <c r="H27" s="71">
        <v>2834</v>
      </c>
      <c r="I27" s="71">
        <v>3288</v>
      </c>
      <c r="J27" s="71">
        <v>5393</v>
      </c>
      <c r="K27" s="71">
        <v>55</v>
      </c>
      <c r="L27" s="71">
        <v>1128</v>
      </c>
      <c r="M27" s="71">
        <v>5242</v>
      </c>
      <c r="N27" s="71">
        <v>5313</v>
      </c>
      <c r="O27" s="71">
        <v>3694</v>
      </c>
      <c r="P27" s="71">
        <v>886</v>
      </c>
      <c r="Q27" s="90">
        <v>3674</v>
      </c>
      <c r="R27" s="71">
        <v>2312</v>
      </c>
      <c r="S27" s="71">
        <v>1584</v>
      </c>
      <c r="T27" s="71">
        <v>1759</v>
      </c>
      <c r="U27" s="71">
        <v>5455</v>
      </c>
      <c r="V27" s="71">
        <v>9630</v>
      </c>
      <c r="W27" s="71">
        <v>10720</v>
      </c>
      <c r="X27" s="71">
        <v>2672</v>
      </c>
      <c r="Y27" s="71">
        <v>4088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47" t="s" ph="1">
        <v>179</v>
      </c>
      <c r="D28" s="91" ph="1">
        <f>D27*268.68*LOOKUP(D29,密度!$A$2:$A$50,密度!$Q$2:$Q$50)+IF(D27&lt;=0,0,1566*LOOKUP(D29,密度!$A$2:$A$50,密度!$Q$2:$Q$50))</f>
        <v>24523.438787856001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44204.218405200001</v>
      </c>
      <c r="G28" s="91" ph="1">
        <f>G27*18.322*LOOKUP(G29,密度!$A$2:$A$50,密度!$B$2:$B$50)</f>
        <v>16091.280010200002</v>
      </c>
      <c r="H28" s="91" ph="1">
        <f>H27*18.322*LOOKUP(H29,密度!$A$2:$A$50,密度!$B$2:$B$50)</f>
        <v>40392.1058892</v>
      </c>
      <c r="I28" s="91" ph="1">
        <f>I27*18.322*LOOKUP(I29,密度!$A$2:$A$50,密度!$Q$2:$Q$50)</f>
        <v>57034.207880640002</v>
      </c>
      <c r="J28" s="91" ph="1">
        <f>J27*18.322*LOOKUP(J29,密度!$A$2:$A$50,密度!$Q$2:$Q$50)</f>
        <v>93477.740832380005</v>
      </c>
      <c r="K28" s="91" ph="1">
        <f>K27*18.322*LOOKUP(K29,密度!$A$2:$A$50,密度!$Q$2:$Q$50)</f>
        <v>952.60841719999996</v>
      </c>
      <c r="L28" s="91" ph="1">
        <f>L27*18.322*LOOKUP(L29,密度!$A$2:$A$50,密度!$Q$2:$Q$50)</f>
        <v>19537.132629120002</v>
      </c>
      <c r="M28" s="91" ph="1">
        <f>M27*18.322*LOOKUP(M29,密度!$A$2:$A$50,密度!$Q$2:$Q$50)</f>
        <v>90860.433421720008</v>
      </c>
      <c r="N28" s="91" ph="1">
        <f>N27*18.322*LOOKUP(N29,密度!$A$2:$A$50,密度!$Q$2:$Q$50)</f>
        <v>92160.202697639994</v>
      </c>
      <c r="O28" s="91" ph="1">
        <f>O27*18.322*LOOKUP(O29,密度!$A$2:$A$50,密度!$C$2:$C$50)</f>
        <v>74794.790286799995</v>
      </c>
      <c r="P28" s="91" ph="1">
        <f>P27*11.702*LOOKUP(P29,密度!$A$2:$A$50,密度!$B$2:$B$50)</f>
        <v>8055.9142440000005</v>
      </c>
      <c r="Q28" s="92" ph="1">
        <f>Q27*18.322*LOOKUP(Q29,密度!$A$2:$A$50,密度!$B$2:$B$50)</f>
        <v>52418.21230359999</v>
      </c>
      <c r="R28" s="91" ph="1">
        <f>R27*35.891*LOOKUP(R29,密度!$A$2:$A$50,密度!$C$2:$C$50)</f>
        <v>91892.0431408</v>
      </c>
      <c r="S28" s="91" ph="1">
        <f>S27*35.891*LOOKUP(S29,密度!$A$2:$A$50,密度!$B$2:$B$50)</f>
        <v>44224.660497600002</v>
      </c>
      <c r="T28" s="91" ph="1">
        <f>T27*35.891*LOOKUP(T29,密度!$A$2:$A$50,密度!$Q$2:$Q$50)</f>
        <v>59636.00394278</v>
      </c>
      <c r="U28" s="91" ph="1">
        <f>U27*35.891</f>
        <v>195785.405</v>
      </c>
      <c r="V28" s="91" ph="1">
        <f>V27*47.051*LOOKUP(V29,密度!$A$2:$A$50,密度!$B$2:$B$50)</f>
        <v>353645.431965</v>
      </c>
      <c r="W28" s="91" ph="1">
        <f>W27*47.051*LOOKUP(W29,密度!$A$2:$A$50,密度!$B$2:$B$50)</f>
        <v>392765.93886400003</v>
      </c>
      <c r="X28" s="91" ph="1">
        <f>X27*47.051*LOOKUP(X29,密度!$A$2:$A$50,密度!$I$2:$I$50)</f>
        <v>131038.23950560001</v>
      </c>
      <c r="Y28" s="91" ph="1">
        <f>Y27*47.051*LOOKUP(Y29,密度!$A$2:$A$50,密度!$L$2:$L$50)</f>
        <v>180034.44076800003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47" t="s" ph="1">
        <v>180</v>
      </c>
      <c r="D29" s="74">
        <v>25</v>
      </c>
      <c r="E29" s="74">
        <v>25</v>
      </c>
      <c r="F29" s="74">
        <v>25</v>
      </c>
      <c r="G29" s="74">
        <v>27</v>
      </c>
      <c r="H29" s="74">
        <v>27</v>
      </c>
      <c r="I29" s="74">
        <v>25</v>
      </c>
      <c r="J29" s="74">
        <v>26</v>
      </c>
      <c r="K29" s="74">
        <v>27</v>
      </c>
      <c r="L29" s="74">
        <v>27</v>
      </c>
      <c r="M29" s="74">
        <v>26</v>
      </c>
      <c r="N29" s="74">
        <v>25</v>
      </c>
      <c r="O29" s="74">
        <v>30</v>
      </c>
      <c r="P29" s="74">
        <v>28</v>
      </c>
      <c r="Q29" s="93">
        <v>26</v>
      </c>
      <c r="R29" s="74">
        <v>27</v>
      </c>
      <c r="S29" s="74">
        <v>27</v>
      </c>
      <c r="T29" s="74">
        <v>28</v>
      </c>
      <c r="U29" s="74">
        <v>25</v>
      </c>
      <c r="V29" s="74">
        <v>24</v>
      </c>
      <c r="W29" s="74">
        <v>26</v>
      </c>
      <c r="X29" s="74">
        <v>25</v>
      </c>
      <c r="Y29" s="74">
        <v>26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47" t="s" ph="1">
        <v>5</v>
      </c>
      <c r="F32" s="146" t="s" ph="1">
        <v>43</v>
      </c>
      <c r="G32" s="97" t="s" ph="1">
        <v>4</v>
      </c>
      <c r="H32" s="147" t="s" ph="1">
        <v>5</v>
      </c>
      <c r="I32" s="146" t="s" ph="1">
        <v>43</v>
      </c>
      <c r="J32" s="97" t="s" ph="1">
        <v>4</v>
      </c>
      <c r="K32" s="147" t="s" ph="1">
        <v>5</v>
      </c>
      <c r="L32" s="146" t="s" ph="1">
        <v>43</v>
      </c>
      <c r="M32" s="97" t="s" ph="1">
        <v>4</v>
      </c>
      <c r="N32" s="147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6" t="s" ph="1">
        <v>43</v>
      </c>
      <c r="AB32" s="97" t="s" ph="1">
        <v>85</v>
      </c>
      <c r="AC32" s="147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215954.50747320001</v>
      </c>
      <c r="E33" s="193" ph="1">
        <f>M10+I10</f>
        <v>20615.7484152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9" ph="1">
        <v>0</v>
      </c>
      <c r="H33" s="193" ph="1">
        <f>N19</f>
        <v>10761.621680140001</v>
      </c>
      <c r="I33" s="197" ph="1">
        <v>0</v>
      </c>
      <c r="J33" s="201" ph="1">
        <f>F10+O28</f>
        <v>337614.92812519998</v>
      </c>
      <c r="K33" s="193" ph="1">
        <f>O10+K10+E28+R28</f>
        <v>158227.85490492001</v>
      </c>
      <c r="L33" s="203" ph="1">
        <f>BE27</f>
        <v>7100</v>
      </c>
      <c r="M33" s="201" ph="1">
        <f>G10+H10+W28+S28+V28+E10</f>
        <v>1211762.7508426001</v>
      </c>
      <c r="N33" s="193" ph="1">
        <f>L10+P10++G28+H28</f>
        <v>135361.17087640002</v>
      </c>
      <c r="O33" s="197" ph="1">
        <f>BE17</f>
        <v>2270</v>
      </c>
      <c r="P33" s="201" ph="1">
        <f>L19</f>
        <v>22906.098060320001</v>
      </c>
      <c r="Q33" s="193" ph="1">
        <f>J10+N10</f>
        <v>124847.657724</v>
      </c>
      <c r="R33" s="197" ph="1">
        <f>BE23</f>
        <v>890</v>
      </c>
      <c r="S33" s="201" ph="1">
        <f>E10+X28</f>
        <v>319762.83485960006</v>
      </c>
      <c r="T33" s="193" ph="1">
        <f>X19</f>
        <v>6078.0566079999999</v>
      </c>
      <c r="U33" s="182" ph="1">
        <f>BE21</f>
        <v>730</v>
      </c>
      <c r="V33" s="195" ph="1">
        <f ca="1">P19+Q19+S19+M28+N28+J28</f>
        <v>413168.04854414403</v>
      </c>
      <c r="W33" s="195" ph="1">
        <f>D28+F28+V19+T28</f>
        <v>153934.48183901201</v>
      </c>
      <c r="X33" s="197" ph="1">
        <f>BE29+BE31</f>
        <v>10200</v>
      </c>
      <c r="Y33" s="199" ph="1">
        <f>+Q10+R10+S10+T10+U10+V10+W10+X10+Y10</f>
        <v>204471.23627699999</v>
      </c>
      <c r="Z33" s="180" ph="1">
        <f>D10+T19+U19+Y28+Z10</f>
        <v>480013.99220787</v>
      </c>
      <c r="AA33" s="182" ph="1">
        <f>BE19</f>
        <v>1440</v>
      </c>
      <c r="AB33" s="184" ph="1">
        <f>I19</f>
        <v>1100.7852783999999</v>
      </c>
      <c r="AC33" s="186" ph="1">
        <f>AD10</f>
        <v>86261.642447999999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45" t="s" ph="1">
        <v>186</v>
      </c>
      <c r="AA36" s="145" ph="1"/>
      <c r="AB36" s="179" t="s" ph="1">
        <v>643</v>
      </c>
      <c r="AC36" s="179" ph="1"/>
      <c r="AD36" s="179" ph="1"/>
      <c r="AE36" s="179" ph="1"/>
      <c r="BA36" s="64" ph="1">
        <v>2270</v>
      </c>
    </row>
    <row r="37" spans="1:57" s="14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5" t="s" ph="1">
        <v>345</v>
      </c>
      <c r="AI37" s="145" t="s" ph="1">
        <v>212</v>
      </c>
      <c r="AJ37" s="145" t="s" ph="1">
        <v>213</v>
      </c>
      <c r="AK37" s="145" t="s" ph="1">
        <v>214</v>
      </c>
      <c r="AM37" s="145" t="s" ph="1">
        <v>213</v>
      </c>
      <c r="AN37" s="145" t="s" ph="1">
        <v>214</v>
      </c>
      <c r="AO37" s="145" t="s" ph="1">
        <v>215</v>
      </c>
      <c r="AP37" s="145" t="s" ph="1">
        <v>213</v>
      </c>
      <c r="AQ37" s="145" t="s" ph="1">
        <v>214</v>
      </c>
      <c r="AR37" s="145" t="s" ph="1">
        <v>215</v>
      </c>
      <c r="AS37" s="145" t="s" ph="1">
        <v>213</v>
      </c>
      <c r="AT37" s="145" t="s" ph="1">
        <v>214</v>
      </c>
      <c r="AU37" s="145" t="s" ph="1">
        <v>215</v>
      </c>
      <c r="AV37" s="145" t="s" ph="1">
        <v>213</v>
      </c>
      <c r="AW37" s="145" t="s" ph="1">
        <v>214</v>
      </c>
      <c r="AX37" s="145" t="s" ph="1">
        <v>215</v>
      </c>
      <c r="AY37" s="145" t="s" ph="1">
        <v>214</v>
      </c>
      <c r="AZ37" s="145" t="s" ph="1">
        <v>216</v>
      </c>
      <c r="BD37" s="145" t="s" ph="1">
        <v>308</v>
      </c>
      <c r="BE37" s="145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522" priority="96">
      <formula>ABS(D$7-D$10)&gt;=1000</formula>
    </cfRule>
  </conditionalFormatting>
  <conditionalFormatting sqref="E4 E6:E11">
    <cfRule type="expression" dxfId="1521" priority="95">
      <formula>ABS(E$7-E$10)&gt;=1000</formula>
    </cfRule>
  </conditionalFormatting>
  <conditionalFormatting sqref="F4:F11">
    <cfRule type="expression" dxfId="1520" priority="94">
      <formula>ABS(F$7-F$10)&gt;=1000</formula>
    </cfRule>
  </conditionalFormatting>
  <conditionalFormatting sqref="G4:G11">
    <cfRule type="expression" dxfId="1519" priority="93">
      <formula>ABS(G$7-G$10)&gt;=1000</formula>
    </cfRule>
  </conditionalFormatting>
  <conditionalFormatting sqref="H4:H11">
    <cfRule type="expression" dxfId="1518" priority="92">
      <formula>ABS(H$7-H$10)&gt;=1000</formula>
    </cfRule>
  </conditionalFormatting>
  <conditionalFormatting sqref="I4:I11">
    <cfRule type="expression" dxfId="1517" priority="91">
      <formula>ABS(I$7-I$10)&gt;=1000</formula>
    </cfRule>
  </conditionalFormatting>
  <conditionalFormatting sqref="J4:J11">
    <cfRule type="expression" dxfId="1516" priority="90">
      <formula>ABS(J$7-J$10)&gt;=1000</formula>
    </cfRule>
  </conditionalFormatting>
  <conditionalFormatting sqref="K4:K11">
    <cfRule type="expression" dxfId="1515" priority="89">
      <formula>ABS(K$7-K$10)&gt;=1000</formula>
    </cfRule>
  </conditionalFormatting>
  <conditionalFormatting sqref="L4:L11">
    <cfRule type="expression" dxfId="1514" priority="88">
      <formula>ABS(L$7-L$10)&gt;=1000</formula>
    </cfRule>
  </conditionalFormatting>
  <conditionalFormatting sqref="M4 M6:M11">
    <cfRule type="expression" dxfId="1513" priority="87">
      <formula>ABS(M$7-M$10)&gt;=1000</formula>
    </cfRule>
  </conditionalFormatting>
  <conditionalFormatting sqref="N4 N6:N11">
    <cfRule type="expression" dxfId="1512" priority="86">
      <formula>ABS(N$7-N$10)&gt;=1000</formula>
    </cfRule>
  </conditionalFormatting>
  <conditionalFormatting sqref="O4 O6:O11">
    <cfRule type="expression" dxfId="1511" priority="85">
      <formula>ABS(O$7-O$10)&gt;=1000</formula>
    </cfRule>
  </conditionalFormatting>
  <conditionalFormatting sqref="P4 P6:P11">
    <cfRule type="expression" dxfId="1510" priority="84">
      <formula>ABS(P$7-P$10)&gt;=1000</formula>
    </cfRule>
  </conditionalFormatting>
  <conditionalFormatting sqref="Q4:Q11">
    <cfRule type="expression" dxfId="1509" priority="83">
      <formula>ABS(Q$7-Q$10)&gt;=1000</formula>
    </cfRule>
  </conditionalFormatting>
  <conditionalFormatting sqref="R4:R11">
    <cfRule type="expression" dxfId="1508" priority="82">
      <formula>ABS(R$7-R$10)&gt;=1000</formula>
    </cfRule>
  </conditionalFormatting>
  <conditionalFormatting sqref="S4:S11">
    <cfRule type="expression" dxfId="1507" priority="81">
      <formula>ABS(S$7-S$10)&gt;=1000</formula>
    </cfRule>
  </conditionalFormatting>
  <conditionalFormatting sqref="T4:T9 T11">
    <cfRule type="expression" dxfId="1506" priority="80">
      <formula>ABS(T$7-T$10)&gt;=1000</formula>
    </cfRule>
  </conditionalFormatting>
  <conditionalFormatting sqref="U4:U9 U11">
    <cfRule type="expression" dxfId="1505" priority="79">
      <formula>ABS(U$7-U$10)&gt;=1000</formula>
    </cfRule>
  </conditionalFormatting>
  <conditionalFormatting sqref="V4:V9 V11">
    <cfRule type="expression" dxfId="1504" priority="78">
      <formula>ABS(V$7-V$10)&gt;=1000</formula>
    </cfRule>
  </conditionalFormatting>
  <conditionalFormatting sqref="W4:W9 W11">
    <cfRule type="expression" dxfId="1503" priority="77">
      <formula>ABS(W$7-W$10)&gt;=1000</formula>
    </cfRule>
  </conditionalFormatting>
  <conditionalFormatting sqref="X4:X9 X11">
    <cfRule type="expression" dxfId="1502" priority="76">
      <formula>ABS(X$7-X$10)&gt;=1000</formula>
    </cfRule>
  </conditionalFormatting>
  <conditionalFormatting sqref="Y4:Y9 Y11">
    <cfRule type="expression" dxfId="1501" priority="75">
      <formula>ABS(Y$7-Y$10)&gt;=1000</formula>
    </cfRule>
  </conditionalFormatting>
  <conditionalFormatting sqref="Z4:Z11">
    <cfRule type="expression" dxfId="1500" priority="74">
      <formula>ABS(Z$7-Z$10)&gt;=1000</formula>
    </cfRule>
  </conditionalFormatting>
  <conditionalFormatting sqref="AA4:AA11">
    <cfRule type="expression" dxfId="1499" priority="73">
      <formula>ABS(AA$7-AA$10)&gt;=1000</formula>
    </cfRule>
  </conditionalFormatting>
  <conditionalFormatting sqref="AB4:AB11">
    <cfRule type="expression" dxfId="1498" priority="72">
      <formula>ABS(AB$7-AB$10)&gt;=1000</formula>
    </cfRule>
  </conditionalFormatting>
  <conditionalFormatting sqref="AC4 AC6:AC11">
    <cfRule type="expression" dxfId="1497" priority="71">
      <formula>ABS(AC$7-AC$10)&gt;=1000</formula>
    </cfRule>
  </conditionalFormatting>
  <conditionalFormatting sqref="AD4:AD11">
    <cfRule type="expression" dxfId="1496" priority="70">
      <formula>ABS(AD$7-AD$10)&gt;=1000</formula>
    </cfRule>
  </conditionalFormatting>
  <conditionalFormatting sqref="AE4:AE11">
    <cfRule type="expression" dxfId="1495" priority="69">
      <formula>ABS(AE$7-AE$10)&gt;=1000</formula>
    </cfRule>
  </conditionalFormatting>
  <conditionalFormatting sqref="D13:D20">
    <cfRule type="expression" dxfId="1494" priority="68">
      <formula>ABS(D$16-D$19)&gt;=1000</formula>
    </cfRule>
  </conditionalFormatting>
  <conditionalFormatting sqref="E13:E20">
    <cfRule type="expression" dxfId="1493" priority="67">
      <formula>ABS(E$16-E$19)&gt;=1000</formula>
    </cfRule>
  </conditionalFormatting>
  <conditionalFormatting sqref="F13 F15:F20">
    <cfRule type="expression" dxfId="1492" priority="66">
      <formula>ABS(F$16-F$19)&gt;=1000</formula>
    </cfRule>
  </conditionalFormatting>
  <conditionalFormatting sqref="G13:G20">
    <cfRule type="expression" dxfId="1491" priority="65">
      <formula>ABS(G$16-G$19)&gt;=1000</formula>
    </cfRule>
  </conditionalFormatting>
  <conditionalFormatting sqref="H13:H20">
    <cfRule type="expression" dxfId="1490" priority="64">
      <formula>ABS(H$16-H$19)&gt;=1000</formula>
    </cfRule>
  </conditionalFormatting>
  <conditionalFormatting sqref="I13:I20">
    <cfRule type="expression" dxfId="1489" priority="63">
      <formula>ABS(I$16-I$19)&gt;=1000</formula>
    </cfRule>
  </conditionalFormatting>
  <conditionalFormatting sqref="J13:J20">
    <cfRule type="expression" dxfId="1488" priority="62">
      <formula>ABS(J$16-J$19)&gt;=1000</formula>
    </cfRule>
  </conditionalFormatting>
  <conditionalFormatting sqref="L13:L20">
    <cfRule type="expression" dxfId="1487" priority="61">
      <formula>ABS(L$16-L$19)&gt;=1000</formula>
    </cfRule>
  </conditionalFormatting>
  <conditionalFormatting sqref="M13 M15 M17:M18 M20">
    <cfRule type="expression" dxfId="1486" priority="60">
      <formula>ABS(M$16-M$19)&gt;=1000</formula>
    </cfRule>
  </conditionalFormatting>
  <conditionalFormatting sqref="N13:N20">
    <cfRule type="expression" dxfId="1485" priority="59">
      <formula>ABS(N$16-N$19)&gt;=1000</formula>
    </cfRule>
  </conditionalFormatting>
  <conditionalFormatting sqref="O13:O20">
    <cfRule type="expression" dxfId="1484" priority="58">
      <formula>ABS(O$16-O$19)&gt;=1000</formula>
    </cfRule>
  </conditionalFormatting>
  <conditionalFormatting sqref="P13:P20">
    <cfRule type="expression" dxfId="1483" priority="57">
      <formula>ABS(P$16-P$19)&gt;=1000</formula>
    </cfRule>
  </conditionalFormatting>
  <conditionalFormatting sqref="Q13 Q15:Q20">
    <cfRule type="expression" dxfId="1482" priority="56">
      <formula>ABS(Q$16-Q$19)&gt;=1000</formula>
    </cfRule>
  </conditionalFormatting>
  <conditionalFormatting sqref="R13:R20">
    <cfRule type="expression" dxfId="1481" priority="55">
      <formula>ABS(R$16-R$19)&gt;=1000</formula>
    </cfRule>
  </conditionalFormatting>
  <conditionalFormatting sqref="S13:S20">
    <cfRule type="expression" dxfId="1480" priority="54">
      <formula>ABS(S$16-S$19)&gt;=1000</formula>
    </cfRule>
  </conditionalFormatting>
  <conditionalFormatting sqref="T13:T20">
    <cfRule type="expression" dxfId="1479" priority="53">
      <formula>ABS(T$16-T$19)&gt;=1000</formula>
    </cfRule>
  </conditionalFormatting>
  <conditionalFormatting sqref="U13:U20">
    <cfRule type="expression" dxfId="1478" priority="52">
      <formula>ABS(U$16-U$19)&gt;=1000</formula>
    </cfRule>
  </conditionalFormatting>
  <conditionalFormatting sqref="V13:V20">
    <cfRule type="expression" dxfId="1477" priority="51">
      <formula>ABS(V$16-V$19)&gt;=1000</formula>
    </cfRule>
  </conditionalFormatting>
  <conditionalFormatting sqref="W13 W20 W15:W18">
    <cfRule type="expression" dxfId="1476" priority="50">
      <formula>ABS(W$16-W$19)&gt;=1000</formula>
    </cfRule>
  </conditionalFormatting>
  <conditionalFormatting sqref="X13 X15:X20 Y19">
    <cfRule type="expression" dxfId="1475" priority="49">
      <formula>ABS(X$16-X$19)&gt;=1000</formula>
    </cfRule>
  </conditionalFormatting>
  <conditionalFormatting sqref="Y13 Y15:Y18 Y20">
    <cfRule type="expression" dxfId="1474" priority="48">
      <formula>ABS(Y$16-Y$19)&gt;=1000</formula>
    </cfRule>
  </conditionalFormatting>
  <conditionalFormatting sqref="Z13:Z20">
    <cfRule type="expression" dxfId="1473" priority="47">
      <formula>ABS(Z$16-Z$19)&gt;=1000</formula>
    </cfRule>
  </conditionalFormatting>
  <conditionalFormatting sqref="AA13:AA20">
    <cfRule type="expression" dxfId="1472" priority="46">
      <formula>ABS(AA$16-AA$19)&gt;=1000</formula>
    </cfRule>
  </conditionalFormatting>
  <conditionalFormatting sqref="AB13 AB15:AB20">
    <cfRule type="expression" dxfId="1471" priority="45">
      <formula>ABS(AB$16-AB$19)&gt;=1000</formula>
    </cfRule>
  </conditionalFormatting>
  <conditionalFormatting sqref="AC13 AC15:AC20">
    <cfRule type="expression" dxfId="1470" priority="44">
      <formula>ABS(AC$16-AC$19)&gt;=1000</formula>
    </cfRule>
  </conditionalFormatting>
  <conditionalFormatting sqref="AD13:AD20">
    <cfRule type="expression" dxfId="1469" priority="43">
      <formula>ABS(AD$16-AD$19)&gt;=1000</formula>
    </cfRule>
  </conditionalFormatting>
  <conditionalFormatting sqref="AE13:AE20">
    <cfRule type="expression" dxfId="1468" priority="42">
      <formula>ABS(AE$16-AE$19)&gt;=1000</formula>
    </cfRule>
  </conditionalFormatting>
  <conditionalFormatting sqref="D22:D29">
    <cfRule type="expression" dxfId="1467" priority="41">
      <formula>ABS(D$25-D$28)&gt;=1000</formula>
    </cfRule>
  </conditionalFormatting>
  <conditionalFormatting sqref="E22:E29">
    <cfRule type="expression" dxfId="1466" priority="40">
      <formula>ABS(E$25-E$28)&gt;=1000</formula>
    </cfRule>
  </conditionalFormatting>
  <conditionalFormatting sqref="F22:F29">
    <cfRule type="expression" dxfId="1465" priority="39">
      <formula>ABS(F$25-F$28)&gt;=1000</formula>
    </cfRule>
  </conditionalFormatting>
  <conditionalFormatting sqref="G22:G29">
    <cfRule type="expression" dxfId="1464" priority="38">
      <formula>ABS(G$25-G$28)&gt;=1000</formula>
    </cfRule>
  </conditionalFormatting>
  <conditionalFormatting sqref="H22:H29">
    <cfRule type="expression" dxfId="1463" priority="37">
      <formula>ABS(H$25-H$28)&gt;=1000</formula>
    </cfRule>
  </conditionalFormatting>
  <conditionalFormatting sqref="I22 I24:I29">
    <cfRule type="expression" dxfId="1462" priority="36">
      <formula>ABS(I$25-I$28)&gt;=1000</formula>
    </cfRule>
  </conditionalFormatting>
  <conditionalFormatting sqref="J22:J29 K22">
    <cfRule type="expression" dxfId="1461" priority="35">
      <formula>ABS(J$25-J$28)&gt;=1000</formula>
    </cfRule>
  </conditionalFormatting>
  <conditionalFormatting sqref="K23:K29 L25 L28">
    <cfRule type="expression" dxfId="1460" priority="34">
      <formula>ABS(K$25-K$28)&gt;=1000</formula>
    </cfRule>
  </conditionalFormatting>
  <conditionalFormatting sqref="L22:L24 L26:L27 L29">
    <cfRule type="expression" dxfId="1459" priority="33">
      <formula>ABS(L$25-L$28)&gt;=1000</formula>
    </cfRule>
  </conditionalFormatting>
  <conditionalFormatting sqref="M22:M29">
    <cfRule type="expression" dxfId="1458" priority="32">
      <formula>ABS(M$25-M$28)&gt;=1000</formula>
    </cfRule>
  </conditionalFormatting>
  <conditionalFormatting sqref="N22:N29">
    <cfRule type="expression" dxfId="1457" priority="31">
      <formula>ABS(N$25-N$28)&gt;=1000</formula>
    </cfRule>
  </conditionalFormatting>
  <conditionalFormatting sqref="O22:O29">
    <cfRule type="expression" dxfId="1456" priority="30">
      <formula>ABS(O$25-O$28)&gt;=1000</formula>
    </cfRule>
  </conditionalFormatting>
  <conditionalFormatting sqref="P22:P29">
    <cfRule type="expression" dxfId="1455" priority="29">
      <formula>ABS(P$25-P$28)&gt;=1000</formula>
    </cfRule>
  </conditionalFormatting>
  <conditionalFormatting sqref="Q22:Q29">
    <cfRule type="expression" dxfId="1454" priority="28">
      <formula>ABS(Q$25-Q$28)&gt;=1000</formula>
    </cfRule>
  </conditionalFormatting>
  <conditionalFormatting sqref="R22:R29">
    <cfRule type="expression" dxfId="1453" priority="27">
      <formula>ABS(R$25-R$28)&gt;=1000</formula>
    </cfRule>
  </conditionalFormatting>
  <conditionalFormatting sqref="S22:S29">
    <cfRule type="expression" dxfId="1452" priority="26">
      <formula>ABS(S$25-S$28)&gt;=1000</formula>
    </cfRule>
  </conditionalFormatting>
  <conditionalFormatting sqref="T22:T29">
    <cfRule type="expression" dxfId="1451" priority="25">
      <formula>ABS(T$25-T$28)&gt;=1000</formula>
    </cfRule>
  </conditionalFormatting>
  <conditionalFormatting sqref="U22:U29">
    <cfRule type="expression" dxfId="1450" priority="24">
      <formula>ABS(U$25-U$28)&gt;=1000</formula>
    </cfRule>
  </conditionalFormatting>
  <conditionalFormatting sqref="V22:V29">
    <cfRule type="expression" dxfId="1449" priority="23">
      <formula>ABS(V$25-V$28)&gt;=1000</formula>
    </cfRule>
  </conditionalFormatting>
  <conditionalFormatting sqref="W22:W29">
    <cfRule type="expression" dxfId="1448" priority="22">
      <formula>ABS(W$25-W$28)&gt;=1000</formula>
    </cfRule>
  </conditionalFormatting>
  <conditionalFormatting sqref="X22:X29">
    <cfRule type="expression" dxfId="1447" priority="21">
      <formula>ABS(X$25-X$28)&gt;=1000</formula>
    </cfRule>
  </conditionalFormatting>
  <conditionalFormatting sqref="Y22:Y29">
    <cfRule type="expression" dxfId="1446" priority="20">
      <formula>ABS(Y$25-Y$28)&gt;=1000</formula>
    </cfRule>
  </conditionalFormatting>
  <conditionalFormatting sqref="I23">
    <cfRule type="expression" dxfId="1445" priority="19">
      <formula>ABS(I$25-I$28)&gt;=1000</formula>
    </cfRule>
  </conditionalFormatting>
  <conditionalFormatting sqref="F14">
    <cfRule type="expression" dxfId="1444" priority="18">
      <formula>ABS(F$16-F$19)&gt;=1000</formula>
    </cfRule>
  </conditionalFormatting>
  <conditionalFormatting sqref="Q14">
    <cfRule type="expression" dxfId="1443" priority="17">
      <formula>ABS(Q$16-Q$19)&gt;=1000</formula>
    </cfRule>
  </conditionalFormatting>
  <conditionalFormatting sqref="W14">
    <cfRule type="expression" dxfId="1442" priority="16">
      <formula>ABS(W$16-W$19)&gt;=1000</formula>
    </cfRule>
  </conditionalFormatting>
  <conditionalFormatting sqref="Y14">
    <cfRule type="expression" dxfId="1441" priority="15">
      <formula>ABS(Y$16-Y$19)&gt;=1000</formula>
    </cfRule>
  </conditionalFormatting>
  <conditionalFormatting sqref="X14">
    <cfRule type="expression" dxfId="1440" priority="14">
      <formula>ABS(X$16-X$19)&gt;=1000</formula>
    </cfRule>
  </conditionalFormatting>
  <conditionalFormatting sqref="T10:Y10">
    <cfRule type="expression" dxfId="1439" priority="13">
      <formula>ABS(T$7-T$10)&gt;=1000</formula>
    </cfRule>
  </conditionalFormatting>
  <conditionalFormatting sqref="W19">
    <cfRule type="expression" dxfId="1438" priority="12">
      <formula>ABS(W$16-W$19)&gt;=1000</formula>
    </cfRule>
  </conditionalFormatting>
  <conditionalFormatting sqref="AC5">
    <cfRule type="expression" dxfId="1437" priority="11">
      <formula>ABS(AC$7-AC$10)&gt;=1000</formula>
    </cfRule>
  </conditionalFormatting>
  <conditionalFormatting sqref="M14">
    <cfRule type="expression" dxfId="1436" priority="10">
      <formula>ABS(M$16-M$19)&gt;=1000</formula>
    </cfRule>
  </conditionalFormatting>
  <conditionalFormatting sqref="M16">
    <cfRule type="expression" dxfId="1435" priority="9">
      <formula>ABS(M$16-M$19)&gt;=1000</formula>
    </cfRule>
  </conditionalFormatting>
  <conditionalFormatting sqref="M19">
    <cfRule type="expression" dxfId="1434" priority="8">
      <formula>ABS(M$16-M$19)&gt;=1000</formula>
    </cfRule>
  </conditionalFormatting>
  <conditionalFormatting sqref="K13:K20">
    <cfRule type="expression" dxfId="1433" priority="7">
      <formula>ABS(K$16-K$19)&gt;=1000</formula>
    </cfRule>
  </conditionalFormatting>
  <conditionalFormatting sqref="E5">
    <cfRule type="expression" dxfId="1432" priority="6">
      <formula>ABS(E$7-E$10)&gt;=1000</formula>
    </cfRule>
  </conditionalFormatting>
  <conditionalFormatting sqref="AB14:AC14">
    <cfRule type="expression" dxfId="1431" priority="5">
      <formula>ABS(AB$16-AB$19)&gt;=1000</formula>
    </cfRule>
  </conditionalFormatting>
  <conditionalFormatting sqref="M5">
    <cfRule type="expression" dxfId="1430" priority="4">
      <formula>ABS(M$7-M$10)&gt;=1000</formula>
    </cfRule>
  </conditionalFormatting>
  <conditionalFormatting sqref="N5">
    <cfRule type="expression" dxfId="1429" priority="3">
      <formula>ABS(N$7-N$10)&gt;=1000</formula>
    </cfRule>
  </conditionalFormatting>
  <conditionalFormatting sqref="O5">
    <cfRule type="expression" dxfId="1428" priority="2">
      <formula>ABS(O$7-O$10)&gt;=1000</formula>
    </cfRule>
  </conditionalFormatting>
  <conditionalFormatting sqref="P5">
    <cfRule type="expression" dxfId="1427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98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49">
    <pageSetUpPr fitToPage="1"/>
  </sheetPr>
  <dimension ref="A1:CU223"/>
  <sheetViews>
    <sheetView view="pageBreakPreview" topLeftCell="A4" zoomScale="80" zoomScaleNormal="100" zoomScaleSheetLayoutView="80" workbookViewId="0">
      <selection activeCell="Q18" sqref="Q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45810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47" t="s" ph="1">
        <v>178</v>
      </c>
      <c r="D6" s="71">
        <v>4937</v>
      </c>
      <c r="E6" s="71">
        <v>4699</v>
      </c>
      <c r="F6" s="71">
        <v>7138</v>
      </c>
      <c r="G6" s="71">
        <v>3136</v>
      </c>
      <c r="H6" s="71">
        <v>1032</v>
      </c>
      <c r="I6" s="71">
        <v>41.01</v>
      </c>
      <c r="J6" s="71">
        <v>7.82</v>
      </c>
      <c r="K6" s="71">
        <v>7.72</v>
      </c>
      <c r="L6" s="71">
        <v>63.42</v>
      </c>
      <c r="M6" s="71">
        <v>1589</v>
      </c>
      <c r="N6" s="71">
        <v>4749</v>
      </c>
      <c r="O6" s="71">
        <v>1487</v>
      </c>
      <c r="P6" s="71">
        <v>2130</v>
      </c>
      <c r="Q6" s="71">
        <v>1979</v>
      </c>
      <c r="R6" s="71">
        <v>0</v>
      </c>
      <c r="S6" s="71">
        <v>0</v>
      </c>
      <c r="T6" s="71">
        <v>1906</v>
      </c>
      <c r="U6" s="71">
        <v>0</v>
      </c>
      <c r="V6" s="71">
        <v>5075</v>
      </c>
      <c r="W6" s="71">
        <v>6892</v>
      </c>
      <c r="X6" s="71">
        <v>6705</v>
      </c>
      <c r="Y6" s="71">
        <v>5174</v>
      </c>
      <c r="Z6" s="71">
        <v>5810</v>
      </c>
      <c r="AA6" s="71">
        <v>3509</v>
      </c>
      <c r="AB6" s="71">
        <v>2047</v>
      </c>
      <c r="AC6" s="71">
        <v>4138</v>
      </c>
      <c r="AD6" s="71">
        <v>4400</v>
      </c>
      <c r="AE6" s="71">
        <v>3579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154866.54892572001</v>
      </c>
      <c r="E7" s="73" ph="1">
        <f>E6*51.53*LOOKUP(E8,密度!$A$2:$A$50,密度!$B$2:$B$50)</f>
        <v>188360.29371300002</v>
      </c>
      <c r="F7" s="73" ph="1">
        <f>F6*33.183*LOOKUP(F8,密度!$A$2:$A$50,密度!$C$2:$C$50)</f>
        <v>262464.8474574</v>
      </c>
      <c r="G7" s="73" ph="1">
        <f xml:space="preserve"> (G6+2)*51.53*LOOKUP(G8,密度!$A$2:$A$50,密度!$B$2:$B$50)</f>
        <v>125916.67771800001</v>
      </c>
      <c r="H7" s="73" ph="1">
        <f>(H6)*51.53*LOOKUP(H8,密度!$A$2:$A$50,密度!$B$2:$B$50)</f>
        <v>41554.039343999997</v>
      </c>
      <c r="I7" s="73" ph="1">
        <f>I6*290.8*1.0267</f>
        <v>12244.124403600001</v>
      </c>
      <c r="J7" s="73" ph="1">
        <f>J6*290.8*0.7892</f>
        <v>1794.6849952</v>
      </c>
      <c r="K7" s="73" ph="1">
        <f>K6*290.8*1.1126</f>
        <v>2497.7602976000003</v>
      </c>
      <c r="L7" s="73" ph="1">
        <f>L6*290.8*0.777</f>
        <v>14329.850472</v>
      </c>
      <c r="M7" s="73" ph="1">
        <f>M6*33.183*LOOKUP(M8,密度!$A$2:$A$50,密度!$D$2:$D$50)</f>
        <v>53935.253322299992</v>
      </c>
      <c r="N7" s="73" ph="1">
        <f>N6*33.183*LOOKUP(N8,密度!$A$2:$A$50,密度!$E$2:$E$50)</f>
        <v>123074.71832700001</v>
      </c>
      <c r="O7" s="73" ph="1">
        <f>O6*20.428*LOOKUP(O8,密度!$A$2:$A$50,密度!$C$2:$C$50)</f>
        <v>33538.622987600007</v>
      </c>
      <c r="P7" s="73" ph="1">
        <f>P6*51.53*LOOKUP(P8,密度!$A$2:$A$50,密度!$B$2:$B$50)</f>
        <v>85469.255430000005</v>
      </c>
      <c r="Q7" s="73" ph="1">
        <f>Q6*1.5*1.5*3.1416*LOOKUP(W8,密度!$A$2:$A$50,密度!$L$2:$L$50)</f>
        <v>13079.490039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12637.4410008</v>
      </c>
      <c r="U7" s="73" ph="1">
        <f>U6*1.5*1.5*3.1416*LOOKUP(U8,密度!$A$2:$A$50,密度!$L$2:$L$50)</f>
        <v>0</v>
      </c>
      <c r="V7" s="73" ph="1">
        <f>V6*1.5*1.5*3.1416*LOOKUP(V8,密度!$A$2:$A$50,密度!$L$2:$L$50)</f>
        <v>33505.51743</v>
      </c>
      <c r="W7" s="73" ph="1">
        <f>W6*1.5*1.5*3.1416*LOOKUP(W8,密度!$A$2:$A$50,密度!$L$2:$L$50)</f>
        <v>45550.199772</v>
      </c>
      <c r="X7" s="73" ph="1">
        <f>X6*1.5*1.5*3.1416*LOOKUP(X8,密度!$A$2:$A$50,密度!$L$2:$L$50)</f>
        <v>44219.500479000002</v>
      </c>
      <c r="Y7" s="73" ph="1">
        <f>Y6*1.5*1.5*3.1416*LOOKUP(Y8,密度!$A$2:$A$50,密度!$L$2:$L$50)</f>
        <v>34232.268470399998</v>
      </c>
      <c r="Z7" s="73" ph="1">
        <f>Z6*33.183*LOOKUP(Z8,密度!$A$2:$A$50,密度!$L$2:$L$50)</f>
        <v>180647.25651000001</v>
      </c>
      <c r="AA7" s="73" ph="1">
        <f>AA6*33.183*LOOKUP(AA8,密度!$A$2:$A$50,密度!$D$2:$D$50)</f>
        <v>119326.83784559999</v>
      </c>
      <c r="AB7" s="73" ph="1">
        <f>AB6*20.428*LOOKUP(AB8,密度!$A$2:$A$50,密度!$D$2:$D$50)</f>
        <v>43162.594935200003</v>
      </c>
      <c r="AC7" s="73" ph="1">
        <f>AC6*51.53*LOOKUP(AC8,密度!$A$2:$A$50,密度!$Q$2:$Q$50)</f>
        <v>201723.05537420002</v>
      </c>
      <c r="AD7" s="73" ph="1">
        <f>AD6*20.428*LOOKUP(AD8,密度!$A$2:$A$50,密度!$V$2:$V$50)</f>
        <v>86359.778559999992</v>
      </c>
      <c r="AE7" s="73" ph="1">
        <f>AE6*20.428</f>
        <v>73111.812000000005</v>
      </c>
    </row>
    <row r="8" spans="1:99" ph="1">
      <c r="B8" s="244" ph="1"/>
      <c r="C8" s="68" t="s" ph="1">
        <v>180</v>
      </c>
      <c r="D8" s="74">
        <v>27</v>
      </c>
      <c r="E8" s="74">
        <v>27</v>
      </c>
      <c r="F8" s="74">
        <v>26</v>
      </c>
      <c r="G8" s="74">
        <v>26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27</v>
      </c>
      <c r="O8" s="74">
        <v>31</v>
      </c>
      <c r="P8" s="74">
        <v>26</v>
      </c>
      <c r="Q8" s="74">
        <v>26</v>
      </c>
      <c r="R8" s="74">
        <v>32</v>
      </c>
      <c r="S8" s="74">
        <v>21</v>
      </c>
      <c r="T8" s="74">
        <v>24</v>
      </c>
      <c r="U8" s="74">
        <v>28</v>
      </c>
      <c r="V8" s="74">
        <v>28</v>
      </c>
      <c r="W8" s="74">
        <v>27</v>
      </c>
      <c r="X8" s="74">
        <v>29</v>
      </c>
      <c r="Y8" s="74">
        <v>26</v>
      </c>
      <c r="Z8" s="74">
        <v>25</v>
      </c>
      <c r="AA8" s="74">
        <v>27</v>
      </c>
      <c r="AB8" s="74">
        <v>19</v>
      </c>
      <c r="AC8" s="74">
        <v>26</v>
      </c>
      <c r="AD8" s="74">
        <v>25</v>
      </c>
      <c r="AE8" s="74">
        <v>29</v>
      </c>
    </row>
    <row r="9" spans="1:99" ht="26.4" ph="1">
      <c r="B9" s="244" ph="1">
        <v>0.66666666666666663</v>
      </c>
      <c r="C9" s="147" t="s" ph="1">
        <v>181</v>
      </c>
      <c r="D9" s="71">
        <v>4946</v>
      </c>
      <c r="E9" s="71">
        <v>4701</v>
      </c>
      <c r="F9" s="71">
        <v>7140</v>
      </c>
      <c r="G9" s="71">
        <v>4577</v>
      </c>
      <c r="H9" s="71">
        <v>1030</v>
      </c>
      <c r="I9" s="71">
        <v>12.41</v>
      </c>
      <c r="J9" s="71">
        <v>7.71</v>
      </c>
      <c r="K9" s="71">
        <v>7.82</v>
      </c>
      <c r="L9" s="71">
        <v>35.33</v>
      </c>
      <c r="M9" s="71">
        <v>2107</v>
      </c>
      <c r="N9" s="71">
        <v>4751</v>
      </c>
      <c r="O9" s="71">
        <v>1451</v>
      </c>
      <c r="P9" s="71">
        <v>2025</v>
      </c>
      <c r="Q9" s="71">
        <v>7225</v>
      </c>
      <c r="R9" s="71">
        <v>2245</v>
      </c>
      <c r="S9" s="71">
        <v>1990</v>
      </c>
      <c r="T9" s="71">
        <v>1906</v>
      </c>
      <c r="U9" s="71">
        <v>0</v>
      </c>
      <c r="V9" s="71">
        <v>1526</v>
      </c>
      <c r="W9" s="71">
        <v>6899</v>
      </c>
      <c r="X9" s="71">
        <v>6711</v>
      </c>
      <c r="Y9" s="71">
        <v>5179</v>
      </c>
      <c r="Z9" s="71">
        <v>6600</v>
      </c>
      <c r="AA9" s="71">
        <v>3253</v>
      </c>
      <c r="AB9" s="71">
        <v>2046</v>
      </c>
      <c r="AC9" s="71">
        <v>4138</v>
      </c>
      <c r="AD9" s="71">
        <v>4406</v>
      </c>
      <c r="AE9" s="71">
        <v>3424</v>
      </c>
    </row>
    <row r="10" spans="1:99" s="72" customFormat="1" ht="22.2" ph="1">
      <c r="B10" s="244" ph="1"/>
      <c r="C10" s="147" t="s" ph="1">
        <v>179</v>
      </c>
      <c r="D10" s="73" ph="1">
        <f>D9*33.183*LOOKUP(D11,密度!$A$2:$A$50,密度!$Q$2:$Q$50)</f>
        <v>154822.26090293998</v>
      </c>
      <c r="E10" s="73" ph="1">
        <f>E9*51.53*LOOKUP(E11,密度!$A$2:$A$50,密度!$B$2:$B$50)</f>
        <v>188028.651786</v>
      </c>
      <c r="F10" s="73" ph="1">
        <f>F9*33.183*LOOKUP(F11,密度!$A$2:$A$50,密度!$C$2:$C$50)</f>
        <v>261827.607762</v>
      </c>
      <c r="G10" s="73" ph="1">
        <f xml:space="preserve"> (G9+2)*51.53*LOOKUP(G11,密度!$A$2:$A$50,密度!$B$2:$B$50)</f>
        <v>183337.71098999999</v>
      </c>
      <c r="H10" s="73" ph="1">
        <f>(H9)*51.53*LOOKUP(H11,密度!$A$2:$A$50,密度!$B$2:$B$50)</f>
        <v>41239.974300000002</v>
      </c>
      <c r="I10" s="73" ph="1">
        <f>I9*290.8*1.0267</f>
        <v>3705.1837075999997</v>
      </c>
      <c r="J10" s="73" ph="1">
        <f>J9*290.8*0.7892</f>
        <v>1769.4400656000003</v>
      </c>
      <c r="K10" s="73" ph="1">
        <f>K9*290.8*1.1126</f>
        <v>2530.1147056</v>
      </c>
      <c r="L10" s="73" ph="1">
        <f>L9*290.8*0.777</f>
        <v>7982.8700280000003</v>
      </c>
      <c r="M10" s="73" ph="1">
        <f>M9*33.183*LOOKUP(M11,密度!$A$2:$A$50,密度!$D$2:$D$50)</f>
        <v>71021.262979800013</v>
      </c>
      <c r="N10" s="73" ph="1">
        <f>N9*33.183*LOOKUP(N11,密度!$A$2:$A$50,密度!$E$2:$E$50)</f>
        <v>122590.53190079998</v>
      </c>
      <c r="O10" s="73" ph="1">
        <f>O9*20.428*LOOKUP(O11,密度!$A$2:$A$50,密度!$C$2:$C$50)</f>
        <v>32602.166697200006</v>
      </c>
      <c r="P10" s="73" ph="1">
        <f>P9*51.53*LOOKUP(P11,密度!$A$2:$A$50,密度!$B$2:$B$50)</f>
        <v>80901.198225</v>
      </c>
      <c r="Q10" s="73" ph="1">
        <f>Q9*1.5*1.5*3.1416*LOOKUP(W11,密度!$A$2:$A$50,密度!$L$2:$L$50)</f>
        <v>47648.902455000003</v>
      </c>
      <c r="R10" s="73" ph="1">
        <f>R9*1.5*1.5*3.1416*LOOKUP(R11,密度!$A$2:$A$50,密度!$L$2:$L$50)</f>
        <v>14742.307503</v>
      </c>
      <c r="S10" s="73" ph="1">
        <f>S9*1.5*1.5*3.1416*LOOKUP(S11,密度!$A$2:$A$50,密度!$L$2:$L$50)</f>
        <v>13194.390131999999</v>
      </c>
      <c r="T10" s="73" ph="1">
        <f>T9*1.5*1.5*3.1416*LOOKUP(T11,密度!$A$2:$A$50,密度!$L$2:$L$50)</f>
        <v>12610.495497600001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10074.762482400001</v>
      </c>
      <c r="W10" s="73" ph="1">
        <f>W9*1.5*1.5*3.1416*LOOKUP(W11,密度!$A$2:$A$50,密度!$L$2:$L$50)</f>
        <v>45498.931216199999</v>
      </c>
      <c r="X10" s="73" ph="1">
        <f>X9*1.5*1.5*3.1416*LOOKUP(X11,密度!$A$2:$A$50,密度!$L$2:$L$50)</f>
        <v>44211.633127200002</v>
      </c>
      <c r="Y10" s="73" ph="1">
        <f>Y9*1.5*1.5*3.1416*LOOKUP(Y11,密度!$A$2:$A$50,密度!$L$2:$L$50)</f>
        <v>34228.741239000003</v>
      </c>
      <c r="Z10" s="73" ph="1">
        <f>Z9*33.183*LOOKUP(Z11,密度!$A$2:$A$50,密度!$L$2:$L$50)</f>
        <v>203020.23060000001</v>
      </c>
      <c r="AA10" s="73" ph="1">
        <f>AA9*33.183*LOOKUP(AA11,密度!$A$2:$A$50,密度!$D$2:$D$50)</f>
        <v>109369.16374680001</v>
      </c>
      <c r="AB10" s="73" ph="1">
        <f>AB9*20.428*LOOKUP(AB11,密度!$A$2:$A$50,密度!$D$2:$D$50)</f>
        <v>43028.660796000004</v>
      </c>
      <c r="AC10" s="73" ph="1">
        <f>AC9*51.53*LOOKUP(AC11,密度!$A$2:$A$50,密度!$Q$2:$Q$50)</f>
        <v>201275.26998020001</v>
      </c>
      <c r="AD10" s="73" ph="1">
        <f>AD9*20.428*LOOKUP(AD11,密度!$A$2:$A$50,密度!$V$2:$V$50)</f>
        <v>86189.523436799995</v>
      </c>
      <c r="AE10" s="73" ph="1">
        <f>AE9*20.428</f>
        <v>69945.472000000009</v>
      </c>
    </row>
    <row r="11" spans="1:99" ph="1">
      <c r="A11" s="64" t="s" ph="1">
        <v>163</v>
      </c>
      <c r="B11" s="244" ph="1"/>
      <c r="C11" s="147" t="s" ph="1">
        <v>180</v>
      </c>
      <c r="D11" s="74">
        <v>30</v>
      </c>
      <c r="E11" s="74">
        <v>29</v>
      </c>
      <c r="F11" s="74">
        <v>30</v>
      </c>
      <c r="G11" s="74">
        <v>28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37</v>
      </c>
      <c r="N11" s="74">
        <v>30</v>
      </c>
      <c r="O11" s="74">
        <v>35</v>
      </c>
      <c r="P11" s="74">
        <v>30</v>
      </c>
      <c r="Q11" s="74">
        <v>29</v>
      </c>
      <c r="R11" s="74">
        <v>33</v>
      </c>
      <c r="S11" s="74">
        <v>24</v>
      </c>
      <c r="T11" s="74">
        <v>26</v>
      </c>
      <c r="U11" s="74">
        <v>31</v>
      </c>
      <c r="V11" s="74">
        <v>28</v>
      </c>
      <c r="W11" s="74">
        <v>29</v>
      </c>
      <c r="X11" s="74">
        <v>30</v>
      </c>
      <c r="Y11" s="74">
        <v>27</v>
      </c>
      <c r="Z11" s="74">
        <v>35</v>
      </c>
      <c r="AA11" s="74">
        <v>40</v>
      </c>
      <c r="AB11" s="74">
        <v>22</v>
      </c>
      <c r="AC11" s="74">
        <v>29</v>
      </c>
      <c r="AD11" s="74">
        <v>31</v>
      </c>
      <c r="AE11" s="74">
        <v>31</v>
      </c>
    </row>
    <row r="12" spans="1:99" ht="9.9" customHeight="1" ph="1"/>
    <row r="13" spans="1:99" s="72" customFormat="1" ht="29.25" customHeight="1" ph="1">
      <c r="B13" s="221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47" t="s" ph="1">
        <v>178</v>
      </c>
      <c r="D15" s="78">
        <v>0</v>
      </c>
      <c r="E15" s="78">
        <v>1580</v>
      </c>
      <c r="F15" s="78">
        <v>3482</v>
      </c>
      <c r="G15" s="78">
        <v>3056</v>
      </c>
      <c r="H15" s="78">
        <v>0</v>
      </c>
      <c r="I15" s="78">
        <v>118</v>
      </c>
      <c r="J15" s="78">
        <v>1655</v>
      </c>
      <c r="K15" s="78">
        <v>324</v>
      </c>
      <c r="L15" s="78">
        <v>3229</v>
      </c>
      <c r="M15" s="78">
        <v>6855</v>
      </c>
      <c r="N15" s="78">
        <v>2132</v>
      </c>
      <c r="O15" s="78">
        <v>6071</v>
      </c>
      <c r="P15" s="78">
        <v>5483</v>
      </c>
      <c r="Q15" s="78">
        <v>3545</v>
      </c>
      <c r="R15" s="78">
        <v>3511</v>
      </c>
      <c r="S15" s="78">
        <v>6919</v>
      </c>
      <c r="T15" s="78">
        <v>4311</v>
      </c>
      <c r="U15" s="78">
        <v>1102</v>
      </c>
      <c r="V15" s="78">
        <v>2372</v>
      </c>
      <c r="W15" s="71">
        <v>-792</v>
      </c>
      <c r="X15" s="78">
        <v>26</v>
      </c>
      <c r="Y15" s="106">
        <v>-9907</v>
      </c>
      <c r="Z15" s="78">
        <v>0</v>
      </c>
      <c r="AA15" s="78">
        <v>4226</v>
      </c>
      <c r="AB15" s="78" ph="1">
        <v>2366</v>
      </c>
      <c r="AC15" s="78" ph="1">
        <v>0</v>
      </c>
      <c r="AD15" s="78">
        <v>5.51</v>
      </c>
      <c r="AE15" s="78">
        <v>55.11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47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10442.442780000001</v>
      </c>
      <c r="F16" s="73" ph="1">
        <f>F15*9.0746*LOOKUP(F17,密度!$A$2:$A$50,密度!$L$2:$L$50)</f>
        <v>29480.707467600001</v>
      </c>
      <c r="G16" s="73" ph="1">
        <f>G15*9.0746*LOOKUP(G17,密度!$A$2:$A$50,密度!$B$2:$B$50)</f>
        <v>21572.705375040001</v>
      </c>
      <c r="H16" s="73" ph="1">
        <f>H15*9.0746*LOOKUP(H17,密度!$A$2:$A$50,密度!$L$2:$L$50)</f>
        <v>0</v>
      </c>
      <c r="I16" s="73" ph="1">
        <f>I15*9.0746*LOOKUP(I17,密度!$A$2:$A$50,密度!$U$2:$U$50)</f>
        <v>1095.4312643999999</v>
      </c>
      <c r="J16" s="73" ph="1">
        <f>J15*9.0746*LOOKUP(J17,密度!$A$2:$A$50,密度!$L$2:$L$50)</f>
        <v>14012.225979000001</v>
      </c>
      <c r="K16" s="73" ph="1">
        <f>K15*9.0746*LOOKUP(K17,密度!$A$2:$A$50,密度!$C$2:$C$50)</f>
        <v>3255.9447009599999</v>
      </c>
      <c r="L16" s="73" ph="1">
        <f>L15*9.0746*LOOKUP(L17,密度!$A$2:$A$50,密度!$E$2:$E$50)</f>
        <v>22849.608675320003</v>
      </c>
      <c r="M16" s="73" ph="1">
        <f>M15*9.0746*LOOKUP(M17,密度!$A$2:$A$50,密度!$M$2:$M$50)</f>
        <v>54243.965976</v>
      </c>
      <c r="N16" s="73" ph="1">
        <f>N15*9.0746*LOOKUP(N17,密度!$A$2:$A$50,密度!$M$2:$M$50)</f>
        <v>16930.60100472</v>
      </c>
      <c r="O16" s="73" ph="1">
        <f>O15*9.0746*LOOKUP(O17,密度!$A$2:$A$50,密度!$G$2:$G$50)</f>
        <v>52722.945046199995</v>
      </c>
      <c r="P16" s="73" ph="1">
        <f ca="1">P15*9.0746*LOOKUP(P17,密度!$A$2:$A$51,密度!$Q$2:$Q$50)</f>
        <v>47000.542758916003</v>
      </c>
      <c r="Q16" s="73" ph="1">
        <f>Q15*9.0746*LOOKUP(Q17,密度!$A$2:$A$50,密度!$Q$2:$Q$50)</f>
        <v>30387.912471340002</v>
      </c>
      <c r="R16" s="73" ph="1">
        <f>MAX(R15*9.0746*LOOKUP(R17,密度!$A$2:$A$50,密度!$B$2:$B$50),0)</f>
        <v>24730.446569719999</v>
      </c>
      <c r="S16" s="73" ph="1">
        <f>S15*9.0746*LOOKUP(S17,密度!$A$2:$A$50,密度!$Q$2:$Q$50)</f>
        <v>59353.955633368008</v>
      </c>
      <c r="T16" s="73" ph="1">
        <f>T15*9.0746*LOOKUP(T17,密度!$A$2:$A$50,密度!$O$2:$O$50)</f>
        <v>36225.676155599998</v>
      </c>
      <c r="U16" s="73" ph="1">
        <f>U15*9.0746*LOOKUP(U17,密度!$A$2:$A$50,密度!$H$2:$H$50)</f>
        <v>9147.1913552400001</v>
      </c>
      <c r="V16" s="73" ph="1">
        <f>MAX(5600*LOOKUP(V17,密度!$A$2:$A$50,密度!$Q$2:$Q$50)+V15*9.0476*LOOKUP(V17,密度!$A$2:$A$50,密度!$Q$2:$Q$50),0)</f>
        <v>25562.274159263998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6068.6471039999997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29862.568450519997</v>
      </c>
      <c r="AB16" s="73" ph="1">
        <f>AB15*9.0746*LOOKUP(AB17,密度!$A$2:$A$50,密度!$L$2:$L$50)</f>
        <v>20031.979858800001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12764.35556208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28</v>
      </c>
      <c r="E17" s="74">
        <v>27</v>
      </c>
      <c r="F17" s="74">
        <v>29</v>
      </c>
      <c r="G17" s="74">
        <v>27</v>
      </c>
      <c r="H17" s="74">
        <v>25</v>
      </c>
      <c r="I17" s="74">
        <v>27</v>
      </c>
      <c r="J17" s="74">
        <v>29</v>
      </c>
      <c r="K17" s="74">
        <v>27</v>
      </c>
      <c r="L17" s="74">
        <v>28</v>
      </c>
      <c r="M17" s="74">
        <v>28</v>
      </c>
      <c r="N17" s="74">
        <v>25</v>
      </c>
      <c r="O17" s="74">
        <v>28</v>
      </c>
      <c r="P17" s="74">
        <v>28</v>
      </c>
      <c r="Q17" s="74">
        <v>28</v>
      </c>
      <c r="R17" s="74">
        <v>29</v>
      </c>
      <c r="S17" s="74">
        <v>27</v>
      </c>
      <c r="T17" s="74">
        <v>27</v>
      </c>
      <c r="U17" s="74">
        <v>25</v>
      </c>
      <c r="V17" s="74">
        <v>28</v>
      </c>
      <c r="W17" s="74">
        <v>27</v>
      </c>
      <c r="X17" s="74">
        <v>27</v>
      </c>
      <c r="Y17" s="108">
        <v>28</v>
      </c>
      <c r="Z17" s="74">
        <v>28</v>
      </c>
      <c r="AA17" s="74">
        <v>26</v>
      </c>
      <c r="AB17" s="74">
        <v>29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0</v>
      </c>
      <c r="E18" s="71">
        <v>3079</v>
      </c>
      <c r="F18" s="71">
        <v>3486</v>
      </c>
      <c r="G18" s="71">
        <v>3683</v>
      </c>
      <c r="H18" s="71">
        <v>0</v>
      </c>
      <c r="I18" s="71">
        <v>117</v>
      </c>
      <c r="J18" s="71">
        <v>1657</v>
      </c>
      <c r="K18" s="71">
        <v>323</v>
      </c>
      <c r="L18" s="71">
        <v>3234</v>
      </c>
      <c r="M18" s="71">
        <v>3891</v>
      </c>
      <c r="N18" s="71">
        <v>3204</v>
      </c>
      <c r="O18" s="71">
        <v>6076</v>
      </c>
      <c r="P18" s="71">
        <v>5488</v>
      </c>
      <c r="Q18" s="71">
        <v>1665</v>
      </c>
      <c r="R18" s="71">
        <v>3515</v>
      </c>
      <c r="S18" s="71">
        <v>6926</v>
      </c>
      <c r="T18" s="71">
        <v>3728</v>
      </c>
      <c r="U18" s="71">
        <v>2870</v>
      </c>
      <c r="V18" s="71">
        <v>2370</v>
      </c>
      <c r="W18" s="71">
        <v>-792</v>
      </c>
      <c r="X18" s="71">
        <v>24</v>
      </c>
      <c r="Y18" s="109">
        <v>-9907</v>
      </c>
      <c r="Z18" s="71">
        <v>0</v>
      </c>
      <c r="AA18" s="71">
        <v>4230</v>
      </c>
      <c r="AB18" s="71">
        <v>2368</v>
      </c>
      <c r="AC18" s="71">
        <v>0</v>
      </c>
      <c r="AD18" s="71">
        <v>11.23</v>
      </c>
      <c r="AE18" s="71">
        <v>84.21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47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20284.252480800002</v>
      </c>
      <c r="F19" s="73" ph="1">
        <f>F18*9.0746*LOOKUP(F20,密度!$A$2:$A$50,密度!$L$2:$L$50)</f>
        <v>29356.403596800003</v>
      </c>
      <c r="G19" s="73" ph="1">
        <f>G18*9.0746*LOOKUP(G20,密度!$A$2:$A$50,密度!$B$2:$B$50)</f>
        <v>25911.884170539997</v>
      </c>
      <c r="H19" s="73" ph="1">
        <f>H18*9.0746*LOOKUP(H20,密度!$A$2:$A$50,密度!$L$2:$L$50)</f>
        <v>0</v>
      </c>
      <c r="I19" s="73" ph="1">
        <f>I18*9.0746*LOOKUP(I20,密度!$A$2:$A$50,密度!$U$2:$U$50)</f>
        <v>1075.10597532</v>
      </c>
      <c r="J19" s="73" ph="1">
        <f>J18*9.0746*LOOKUP(J20,密度!$A$2:$A$50,密度!$L$2:$L$50)</f>
        <v>13969.0127338</v>
      </c>
      <c r="K19" s="73" ph="1">
        <f>K18*9.0746*LOOKUP(K20,密度!$A$2:$A$50,密度!$C$2:$C$50)</f>
        <v>3217.7569692400002</v>
      </c>
      <c r="L19" s="73" ph="1">
        <f>L18*9.0746*LOOKUP(L20,密度!$A$2:$A$50,密度!$E$2:$E$50)</f>
        <v>22820.426576639999</v>
      </c>
      <c r="M19" s="73" ph="1">
        <f>M18*9.0746*LOOKUP(M20,密度!$A$2:$A$50,密度!$M$2:$M$50)</f>
        <v>30642.089476452005</v>
      </c>
      <c r="N19" s="73" ph="1">
        <f>N18*9.0746*LOOKUP(N20,密度!$A$2:$A$50,密度!$M$2:$M$50)</f>
        <v>25353.4160448</v>
      </c>
      <c r="O19" s="73" ph="1">
        <f>O18*9.0746*LOOKUP(O20,密度!$A$2:$A$50,密度!$G$2:$G$50)</f>
        <v>52639.551287119997</v>
      </c>
      <c r="P19" s="73" ph="1">
        <f ca="1">P18*9.0746*LOOKUP(P20,密度!$A$2:$A$51,密度!$Q$2:$Q$50)</f>
        <v>47009.040032864003</v>
      </c>
      <c r="Q19" s="73" ph="1">
        <f>Q18*9.0746*LOOKUP(Q20,密度!$A$2:$A$50,密度!$Q$2:$Q$50)</f>
        <v>14252.970125970001</v>
      </c>
      <c r="R19" s="73" ph="1">
        <f>MAX(R18*9.0746*LOOKUP(R20,密度!$A$2:$A$50,密度!$B$2:$B$50),0)</f>
        <v>24729.913890700002</v>
      </c>
      <c r="S19" s="73" ph="1">
        <f>S18*9.0746*LOOKUP(S20,密度!$A$2:$A$50,密度!$Q$2:$Q$50)</f>
        <v>59288.931587068</v>
      </c>
      <c r="T19" s="73" ph="1">
        <f>T18*9.0746*LOOKUP(T20,密度!$A$2:$A$50,密度!$O$2:$O$50)</f>
        <v>31326.680748800005</v>
      </c>
      <c r="U19" s="73" ph="1">
        <f>U18*9.0746*LOOKUP(U20,密度!$A$2:$A$50,密度!$H$2:$H$50)</f>
        <v>23726.176921999999</v>
      </c>
      <c r="V19" s="73" ph="1">
        <f>MAX(5600*LOOKUP(V20,密度!$A$2:$A$50,密度!$Q$2:$Q$50)+V18*9.0476*LOOKUP(V20,密度!$A$2:$A$50,密度!$Q$2:$Q$50),0)</f>
        <v>25510.295843960001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6030.0498118400001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29825.578566000004</v>
      </c>
      <c r="AB19" s="73" ph="1">
        <f>AB18*9.0746*LOOKUP(AB20,密度!$A$2:$A$50,密度!$L$2:$L$50)</f>
        <v>20027.4244096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3561.2057628000002</v>
      </c>
      <c r="AE19" s="73" ph="1">
        <f>AE18*268.68*LOOKUP(AE20,密度!$A$2:$A$50,密度!B5:B53)+IF(AE18&lt;=0,0,1566*LOOKUP(AE20,密度!$A$2:$A$50,密度!B5:B53))</f>
        <v>18796.8287556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30</v>
      </c>
      <c r="E20" s="81">
        <v>30</v>
      </c>
      <c r="F20" s="81">
        <v>34</v>
      </c>
      <c r="G20" s="81">
        <v>30</v>
      </c>
      <c r="H20" s="81">
        <v>32</v>
      </c>
      <c r="I20" s="81">
        <v>38</v>
      </c>
      <c r="J20" s="81">
        <v>33</v>
      </c>
      <c r="K20" s="81">
        <v>37</v>
      </c>
      <c r="L20" s="81">
        <v>30</v>
      </c>
      <c r="M20" s="81">
        <v>32</v>
      </c>
      <c r="N20" s="81">
        <v>28</v>
      </c>
      <c r="O20" s="81">
        <v>30</v>
      </c>
      <c r="P20" s="81">
        <v>29</v>
      </c>
      <c r="Q20" s="81">
        <v>30</v>
      </c>
      <c r="R20" s="81">
        <v>30</v>
      </c>
      <c r="S20" s="81">
        <v>30</v>
      </c>
      <c r="T20" s="81">
        <v>29</v>
      </c>
      <c r="U20" s="81">
        <v>29</v>
      </c>
      <c r="V20" s="81">
        <v>30</v>
      </c>
      <c r="W20" s="81">
        <v>31</v>
      </c>
      <c r="X20" s="81">
        <v>30</v>
      </c>
      <c r="Y20" s="110">
        <v>31</v>
      </c>
      <c r="Z20" s="81">
        <v>32</v>
      </c>
      <c r="AA20" s="81">
        <v>28</v>
      </c>
      <c r="AB20" s="81">
        <v>30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645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47" t="s" ph="1">
        <v>178</v>
      </c>
      <c r="D24" s="71">
        <v>91.03</v>
      </c>
      <c r="E24" s="71">
        <v>95.72</v>
      </c>
      <c r="F24" s="71">
        <v>3997</v>
      </c>
      <c r="G24" s="71">
        <v>3399</v>
      </c>
      <c r="H24" s="71">
        <v>2725</v>
      </c>
      <c r="I24" s="71">
        <v>3294</v>
      </c>
      <c r="J24" s="71">
        <v>5404</v>
      </c>
      <c r="K24" s="71">
        <v>37</v>
      </c>
      <c r="L24" s="71">
        <v>1132</v>
      </c>
      <c r="M24" s="71">
        <v>5250</v>
      </c>
      <c r="N24" s="71">
        <v>5322</v>
      </c>
      <c r="O24" s="71">
        <v>3691</v>
      </c>
      <c r="P24" s="71">
        <v>884</v>
      </c>
      <c r="Q24" s="90">
        <v>3585</v>
      </c>
      <c r="R24" s="71">
        <v>2311</v>
      </c>
      <c r="S24" s="71">
        <v>1584</v>
      </c>
      <c r="T24" s="71">
        <v>1761</v>
      </c>
      <c r="U24" s="71">
        <v>4310</v>
      </c>
      <c r="V24" s="71">
        <v>9635</v>
      </c>
      <c r="W24" s="71">
        <v>10730</v>
      </c>
      <c r="X24" s="71">
        <v>2693</v>
      </c>
      <c r="Y24" s="71">
        <v>5086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24637.905334296003</v>
      </c>
      <c r="E25" s="91" ph="1">
        <f>E24*268.68*LOOKUP(E26,密度!$A$2:$A$50,密度!$C$2:$C$50)+IF(E24&lt;=0,0,1566*LOOKUP(E26,密度!$A$2:$A$50,密度!$C$2:$C$50))</f>
        <v>30255.282601440002</v>
      </c>
      <c r="F25" s="91" ph="1">
        <f>F24*11.702*LOOKUP(F26,密度!$A$2:$A$50,密度!$Q$2:$Q$50)</f>
        <v>44248.560910820001</v>
      </c>
      <c r="G25" s="91" ph="1">
        <f>G24*18.322*LOOKUP(G26,密度!$A$2:$A$50,密度!$B$2:$B$50)</f>
        <v>48444.872236199997</v>
      </c>
      <c r="H25" s="91" ph="1">
        <f>H24*18.322*LOOKUP(H26,密度!$A$2:$A$50,密度!$B$2:$B$50)</f>
        <v>38838.563354999998</v>
      </c>
      <c r="I25" s="91" ph="1">
        <f>I24*18.322*LOOKUP(I26,密度!$A$2:$A$50,密度!$Q$2:$Q$50)</f>
        <v>57095.434508040002</v>
      </c>
      <c r="J25" s="91" ph="1">
        <f>J24*18.322*LOOKUP(J26,密度!$A$2:$A$50,密度!$Q$2:$Q$50)</f>
        <v>93668.405610639995</v>
      </c>
      <c r="K25" s="91" ph="1">
        <f>K24*18.322*LOOKUP(K26,密度!$A$2:$A$50,密度!$Q$2:$Q$50)</f>
        <v>641.32698142000004</v>
      </c>
      <c r="L25" s="91" ph="1">
        <f>L24*18.322*LOOKUP(L26,密度!$A$2:$A$50,密度!$Q$2:$Q$50)</f>
        <v>19621.138999120001</v>
      </c>
      <c r="M25" s="91" ph="1">
        <f>M24*18.322*LOOKUP(M26,密度!$A$2:$A$50,密度!$Q$2:$Q$50)</f>
        <v>91067.393970000005</v>
      </c>
      <c r="N25" s="91" ph="1">
        <f>N24*18.322*LOOKUP(N26,密度!$A$2:$A$50,密度!$Q$2:$Q$50)</f>
        <v>92177.854478879992</v>
      </c>
      <c r="O25" s="91" ph="1">
        <f>O24*18.322*LOOKUP(O26,密度!$A$2:$A$50,密度!$C$2:$C$50)</f>
        <v>74936.926866199996</v>
      </c>
      <c r="P25" s="91" ph="1">
        <f>P24*11.702*LOOKUP(P26,密度!$A$2:$A$50,密度!$B$2:$B$50)</f>
        <v>8055.3151015999993</v>
      </c>
      <c r="Q25" s="92" ph="1">
        <f>Q24*18.322*LOOKUP(Q26,密度!$A$2:$A$50,密度!$B$2:$B$50)</f>
        <v>51148.418918999996</v>
      </c>
      <c r="R25" s="91" ph="1">
        <f>R24*35.891*LOOKUP(R26,密度!$A$2:$A$50,密度!$C$2:$C$50)</f>
        <v>91910.358318099999</v>
      </c>
      <c r="S25" s="91" ph="1">
        <f>S24*35.891*LOOKUP(S26,密度!$A$2:$A$50,密度!$B$2:$B$50)</f>
        <v>44224.660497600002</v>
      </c>
      <c r="T25" s="91" ph="1">
        <f>T24*35.891*LOOKUP(T26,密度!$A$2:$A$50,密度!$Q$2:$Q$50)</f>
        <v>59748.053491320003</v>
      </c>
      <c r="U25" s="91" ph="1">
        <f>U24*35.891</f>
        <v>154690.21</v>
      </c>
      <c r="V25" s="91" ph="1">
        <f>V24*47.051*LOOKUP(V26,密度!$A$2:$A$50,密度!$B$2:$B$50)</f>
        <v>353013.0429995</v>
      </c>
      <c r="W25" s="91" ph="1">
        <f>W24*47.051*LOOKUP(W26,密度!$A$2:$A$50,密度!$B$2:$B$50)</f>
        <v>393132.32500100002</v>
      </c>
      <c r="X25" s="91" ph="1">
        <f>X24*47.051*LOOKUP(X26,密度!$A$2:$A$50,密度!$I$2:$I$50)</f>
        <v>131637.29754269999</v>
      </c>
      <c r="Y25" s="91" ph="1">
        <f>Y24*47.051*LOOKUP(Y26,密度!$A$2:$A$50,密度!$L$2:$L$50)</f>
        <v>223268.193138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26</v>
      </c>
      <c r="G26" s="74">
        <v>27</v>
      </c>
      <c r="H26" s="74">
        <v>27</v>
      </c>
      <c r="I26" s="74">
        <v>26</v>
      </c>
      <c r="J26" s="74">
        <v>26</v>
      </c>
      <c r="K26" s="74">
        <v>26</v>
      </c>
      <c r="L26" s="74">
        <v>26</v>
      </c>
      <c r="M26" s="74">
        <v>25</v>
      </c>
      <c r="N26" s="74">
        <v>27</v>
      </c>
      <c r="O26" s="74">
        <v>26</v>
      </c>
      <c r="P26" s="74">
        <v>26</v>
      </c>
      <c r="Q26" s="93">
        <v>26</v>
      </c>
      <c r="R26" s="74">
        <v>26</v>
      </c>
      <c r="S26" s="74">
        <v>27</v>
      </c>
      <c r="T26" s="74">
        <v>27</v>
      </c>
      <c r="U26" s="74">
        <v>26</v>
      </c>
      <c r="V26" s="74">
        <v>26</v>
      </c>
      <c r="W26" s="74">
        <v>26</v>
      </c>
      <c r="X26" s="74">
        <v>28</v>
      </c>
      <c r="Y26" s="74">
        <v>29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47" t="s" ph="1">
        <v>181</v>
      </c>
      <c r="D27" s="71">
        <v>91.12</v>
      </c>
      <c r="E27" s="71">
        <v>95.61</v>
      </c>
      <c r="F27" s="71">
        <v>3999</v>
      </c>
      <c r="G27" s="71">
        <v>2849</v>
      </c>
      <c r="H27" s="71">
        <v>1962</v>
      </c>
      <c r="I27" s="71">
        <v>3294</v>
      </c>
      <c r="J27" s="71">
        <v>5406</v>
      </c>
      <c r="K27" s="71">
        <v>35</v>
      </c>
      <c r="L27" s="71">
        <v>1127</v>
      </c>
      <c r="M27" s="71">
        <v>5250</v>
      </c>
      <c r="N27" s="71">
        <v>5321</v>
      </c>
      <c r="O27" s="71">
        <v>3687</v>
      </c>
      <c r="P27" s="71">
        <v>882</v>
      </c>
      <c r="Q27" s="90">
        <v>3743</v>
      </c>
      <c r="R27" s="71">
        <v>2258</v>
      </c>
      <c r="S27" s="71">
        <v>1581</v>
      </c>
      <c r="T27" s="71">
        <v>1760</v>
      </c>
      <c r="U27" s="71">
        <v>4040</v>
      </c>
      <c r="V27" s="71">
        <v>9637</v>
      </c>
      <c r="W27" s="71">
        <v>10732</v>
      </c>
      <c r="X27" s="71">
        <v>2667</v>
      </c>
      <c r="Y27" s="71">
        <v>4030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47" t="s" ph="1">
        <v>179</v>
      </c>
      <c r="D28" s="91" ph="1">
        <f>D27*268.68*LOOKUP(D29,密度!$A$2:$A$50,密度!$Q$2:$Q$50)+IF(D27&lt;=0,0,1566*LOOKUP(D29,密度!$A$2:$A$50,密度!$Q$2:$Q$50))</f>
        <v>24660.798643584003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44270.701796940004</v>
      </c>
      <c r="G28" s="91" ph="1">
        <f>G27*18.322*LOOKUP(G29,密度!$A$2:$A$50,密度!$B$2:$B$50)</f>
        <v>40605.896146200001</v>
      </c>
      <c r="H28" s="91" ph="1">
        <f>H27*18.322*LOOKUP(H29,密度!$A$2:$A$50,密度!$B$2:$B$50)</f>
        <v>27963.765615599998</v>
      </c>
      <c r="I28" s="91" ph="1">
        <f>I27*18.322*LOOKUP(I29,密度!$A$2:$A$50,密度!$Q$2:$Q$50)</f>
        <v>57052.58411376</v>
      </c>
      <c r="J28" s="91" ph="1">
        <f>J27*18.322*LOOKUP(J29,密度!$A$2:$A$50,密度!$Q$2:$Q$50)</f>
        <v>93632.74733423999</v>
      </c>
      <c r="K28" s="91" ph="1">
        <f>K27*18.322*LOOKUP(K29,密度!$A$2:$A$50,密度!$Q$2:$Q$50)</f>
        <v>605.75646740000002</v>
      </c>
      <c r="L28" s="91" ph="1">
        <f>L27*18.322*LOOKUP(L29,密度!$A$2:$A$50,密度!$Q$2:$Q$50)</f>
        <v>19519.812476080002</v>
      </c>
      <c r="M28" s="91" ph="1">
        <f>M27*18.322*LOOKUP(M29,密度!$A$2:$A$50,密度!$Q$2:$Q$50)</f>
        <v>90999.098715</v>
      </c>
      <c r="N28" s="91" ph="1">
        <f>N27*18.322*LOOKUP(N29,密度!$A$2:$A$50,密度!$Q$2:$Q$50)</f>
        <v>92160.534325839995</v>
      </c>
      <c r="O28" s="91" ph="1">
        <f>O27*18.322*LOOKUP(O29,密度!$A$2:$A$50,密度!$C$2:$C$50)</f>
        <v>74855.716433399997</v>
      </c>
      <c r="P28" s="91" ph="1">
        <f>P27*11.702*LOOKUP(P29,密度!$A$2:$A$50,密度!$B$2:$B$50)</f>
        <v>8019.5444280000011</v>
      </c>
      <c r="Q28" s="92" ph="1">
        <f>Q27*18.322*LOOKUP(Q29,密度!$A$2:$A$50,密度!$B$2:$B$50)</f>
        <v>53286.074141999998</v>
      </c>
      <c r="R28" s="91" ph="1">
        <f>R27*35.891*LOOKUP(R29,密度!$A$2:$A$50,密度!$C$2:$C$50)</f>
        <v>89745.775697199992</v>
      </c>
      <c r="S28" s="91" ph="1">
        <f>S27*35.891*LOOKUP(S29,密度!$A$2:$A$50,密度!$B$2:$B$50)</f>
        <v>44140.901670899999</v>
      </c>
      <c r="T28" s="91" ph="1">
        <f>T27*35.891*LOOKUP(T29,密度!$A$2:$A$50,密度!$Q$2:$Q$50)</f>
        <v>59714.125011199998</v>
      </c>
      <c r="U28" s="91" ph="1">
        <f>U27*35.891</f>
        <v>144999.63999999998</v>
      </c>
      <c r="V28" s="91" ph="1">
        <f>V27*47.051*LOOKUP(V29,密度!$A$2:$A$50,密度!$B$2:$B$50)</f>
        <v>353086.32022689999</v>
      </c>
      <c r="W28" s="91" ph="1">
        <f>W27*47.051*LOOKUP(W29,密度!$A$2:$A$50,密度!$B$2:$B$50)</f>
        <v>393205.60222839995</v>
      </c>
      <c r="X28" s="91" ph="1">
        <f>X27*47.051*LOOKUP(X29,密度!$A$2:$A$50,密度!$I$2:$I$50)</f>
        <v>130366.3841613</v>
      </c>
      <c r="Y28" s="91" ph="1">
        <f>Y27*47.051*LOOKUP(Y29,密度!$A$2:$A$50,密度!$L$2:$L$50)</f>
        <v>177100.90502000001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47" t="s" ph="1">
        <v>180</v>
      </c>
      <c r="D29" s="74">
        <v>25</v>
      </c>
      <c r="E29" s="74">
        <v>25</v>
      </c>
      <c r="F29" s="74">
        <v>26</v>
      </c>
      <c r="G29" s="74">
        <v>27</v>
      </c>
      <c r="H29" s="74">
        <v>27</v>
      </c>
      <c r="I29" s="74">
        <v>27</v>
      </c>
      <c r="J29" s="74">
        <v>27</v>
      </c>
      <c r="K29" s="74">
        <v>28</v>
      </c>
      <c r="L29" s="74">
        <v>27</v>
      </c>
      <c r="M29" s="74">
        <v>26</v>
      </c>
      <c r="N29" s="74">
        <v>27</v>
      </c>
      <c r="O29" s="74">
        <v>26</v>
      </c>
      <c r="P29" s="74">
        <v>28</v>
      </c>
      <c r="Q29" s="93">
        <v>28</v>
      </c>
      <c r="R29" s="74">
        <v>27</v>
      </c>
      <c r="S29" s="74">
        <v>27</v>
      </c>
      <c r="T29" s="74">
        <v>27</v>
      </c>
      <c r="U29" s="74">
        <v>28</v>
      </c>
      <c r="V29" s="74">
        <v>26</v>
      </c>
      <c r="W29" s="74">
        <v>26</v>
      </c>
      <c r="X29" s="74">
        <v>28</v>
      </c>
      <c r="Y29" s="74">
        <v>28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47" t="s" ph="1">
        <v>5</v>
      </c>
      <c r="F32" s="146" t="s" ph="1">
        <v>43</v>
      </c>
      <c r="G32" s="97" t="s" ph="1">
        <v>4</v>
      </c>
      <c r="H32" s="147" t="s" ph="1">
        <v>5</v>
      </c>
      <c r="I32" s="146" t="s" ph="1">
        <v>43</v>
      </c>
      <c r="J32" s="97" t="s" ph="1">
        <v>4</v>
      </c>
      <c r="K32" s="147" t="s" ph="1">
        <v>5</v>
      </c>
      <c r="L32" s="146" t="s" ph="1">
        <v>43</v>
      </c>
      <c r="M32" s="97" t="s" ph="1">
        <v>4</v>
      </c>
      <c r="N32" s="147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6" t="s" ph="1">
        <v>43</v>
      </c>
      <c r="AB32" s="97" t="s" ph="1">
        <v>85</v>
      </c>
      <c r="AC32" s="147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152397.82454280002</v>
      </c>
      <c r="E33" s="193" ph="1">
        <f>M10+I10</f>
        <v>74726.446687400006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9" ph="1">
        <v>0</v>
      </c>
      <c r="H33" s="193" ph="1">
        <f>N19</f>
        <v>25353.4160448</v>
      </c>
      <c r="I33" s="197" ph="1">
        <v>0</v>
      </c>
      <c r="J33" s="201" ph="1">
        <f>F10+O28</f>
        <v>336683.3241954</v>
      </c>
      <c r="K33" s="193" ph="1">
        <f>O10+K10+E28+R28</f>
        <v>155100.56638372</v>
      </c>
      <c r="L33" s="203" ph="1">
        <f>BE27</f>
        <v>7100</v>
      </c>
      <c r="M33" s="201" ph="1">
        <f>G10+H10+W28+S28+V28+E10</f>
        <v>1203039.1612022</v>
      </c>
      <c r="N33" s="193" ph="1">
        <f>L10+P10++G28+H28</f>
        <v>157453.73001480001</v>
      </c>
      <c r="O33" s="197" ph="1">
        <f>BE17</f>
        <v>2270</v>
      </c>
      <c r="P33" s="201" ph="1">
        <f>L19</f>
        <v>22820.426576639999</v>
      </c>
      <c r="Q33" s="193" ph="1">
        <f>J10+N10</f>
        <v>124359.97196639999</v>
      </c>
      <c r="R33" s="197" ph="1">
        <f>BE23</f>
        <v>890</v>
      </c>
      <c r="S33" s="201" ph="1">
        <f>E10+X28</f>
        <v>318395.03594730003</v>
      </c>
      <c r="T33" s="193" ph="1">
        <f>X19</f>
        <v>6030.0498118400001</v>
      </c>
      <c r="U33" s="182" ph="1">
        <f>BE21</f>
        <v>730</v>
      </c>
      <c r="V33" s="195" ph="1">
        <f ca="1">P19+Q19+S19+M28+N28+J28</f>
        <v>397343.32212098199</v>
      </c>
      <c r="W33" s="195" ph="1">
        <f>D28+F28+V19+T28</f>
        <v>154155.92129568401</v>
      </c>
      <c r="X33" s="197" ph="1">
        <f>BE29+BE31</f>
        <v>10200</v>
      </c>
      <c r="Y33" s="199" ph="1">
        <f>+Q10+R10+S10+T10+U10+V10+W10+X10+Y10</f>
        <v>222210.16365240002</v>
      </c>
      <c r="Z33" s="180" ph="1">
        <f>D10+T19+U19+Y28+Z10</f>
        <v>589996.25419373997</v>
      </c>
      <c r="AA33" s="182" ph="1">
        <f>BE19</f>
        <v>1440</v>
      </c>
      <c r="AB33" s="184" ph="1">
        <f>I19</f>
        <v>1075.10597532</v>
      </c>
      <c r="AC33" s="186" ph="1">
        <f>AD10</f>
        <v>86189.523436799995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45" t="s" ph="1">
        <v>186</v>
      </c>
      <c r="AA36" s="145" ph="1"/>
      <c r="AB36" s="179" t="s" ph="1">
        <v>646</v>
      </c>
      <c r="AC36" s="179" ph="1"/>
      <c r="AD36" s="179" ph="1"/>
      <c r="AE36" s="179" ph="1"/>
      <c r="BA36" s="64" ph="1">
        <v>2270</v>
      </c>
    </row>
    <row r="37" spans="1:57" s="14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5" t="s" ph="1">
        <v>345</v>
      </c>
      <c r="AI37" s="145" t="s" ph="1">
        <v>212</v>
      </c>
      <c r="AJ37" s="145" t="s" ph="1">
        <v>213</v>
      </c>
      <c r="AK37" s="145" t="s" ph="1">
        <v>214</v>
      </c>
      <c r="AM37" s="145" t="s" ph="1">
        <v>213</v>
      </c>
      <c r="AN37" s="145" t="s" ph="1">
        <v>214</v>
      </c>
      <c r="AO37" s="145" t="s" ph="1">
        <v>215</v>
      </c>
      <c r="AP37" s="145" t="s" ph="1">
        <v>213</v>
      </c>
      <c r="AQ37" s="145" t="s" ph="1">
        <v>214</v>
      </c>
      <c r="AR37" s="145" t="s" ph="1">
        <v>215</v>
      </c>
      <c r="AS37" s="145" t="s" ph="1">
        <v>213</v>
      </c>
      <c r="AT37" s="145" t="s" ph="1">
        <v>214</v>
      </c>
      <c r="AU37" s="145" t="s" ph="1">
        <v>215</v>
      </c>
      <c r="AV37" s="145" t="s" ph="1">
        <v>213</v>
      </c>
      <c r="AW37" s="145" t="s" ph="1">
        <v>214</v>
      </c>
      <c r="AX37" s="145" t="s" ph="1">
        <v>215</v>
      </c>
      <c r="AY37" s="145" t="s" ph="1">
        <v>214</v>
      </c>
      <c r="AZ37" s="145" t="s" ph="1">
        <v>216</v>
      </c>
      <c r="BD37" s="145" t="s" ph="1">
        <v>308</v>
      </c>
      <c r="BE37" s="145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96" priority="97">
      <formula>ABS(D$7-D$10)&gt;=1000</formula>
    </cfRule>
  </conditionalFormatting>
  <conditionalFormatting sqref="E4 E6:E11">
    <cfRule type="expression" dxfId="1395" priority="96">
      <formula>ABS(E$7-E$10)&gt;=1000</formula>
    </cfRule>
  </conditionalFormatting>
  <conditionalFormatting sqref="F4:F11">
    <cfRule type="expression" dxfId="1394" priority="95">
      <formula>ABS(F$7-F$10)&gt;=1000</formula>
    </cfRule>
  </conditionalFormatting>
  <conditionalFormatting sqref="G4:G11">
    <cfRule type="expression" dxfId="1393" priority="94">
      <formula>ABS(G$7-G$10)&gt;=1000</formula>
    </cfRule>
  </conditionalFormatting>
  <conditionalFormatting sqref="H4:H11">
    <cfRule type="expression" dxfId="1392" priority="93">
      <formula>ABS(H$7-H$10)&gt;=1000</formula>
    </cfRule>
  </conditionalFormatting>
  <conditionalFormatting sqref="I4:I11">
    <cfRule type="expression" dxfId="1391" priority="92">
      <formula>ABS(I$7-I$10)&gt;=1000</formula>
    </cfRule>
  </conditionalFormatting>
  <conditionalFormatting sqref="J4:J11">
    <cfRule type="expression" dxfId="1390" priority="91">
      <formula>ABS(J$7-J$10)&gt;=1000</formula>
    </cfRule>
  </conditionalFormatting>
  <conditionalFormatting sqref="K4:K11">
    <cfRule type="expression" dxfId="1389" priority="90">
      <formula>ABS(K$7-K$10)&gt;=1000</formula>
    </cfRule>
  </conditionalFormatting>
  <conditionalFormatting sqref="L4:L11">
    <cfRule type="expression" dxfId="1388" priority="89">
      <formula>ABS(L$7-L$10)&gt;=1000</formula>
    </cfRule>
  </conditionalFormatting>
  <conditionalFormatting sqref="M4 M6:M11">
    <cfRule type="expression" dxfId="1387" priority="88">
      <formula>ABS(M$7-M$10)&gt;=1000</formula>
    </cfRule>
  </conditionalFormatting>
  <conditionalFormatting sqref="N4 N6:N11">
    <cfRule type="expression" dxfId="1386" priority="87">
      <formula>ABS(N$7-N$10)&gt;=1000</formula>
    </cfRule>
  </conditionalFormatting>
  <conditionalFormatting sqref="O4 O6:O11">
    <cfRule type="expression" dxfId="1385" priority="86">
      <formula>ABS(O$7-O$10)&gt;=1000</formula>
    </cfRule>
  </conditionalFormatting>
  <conditionalFormatting sqref="P4 P6:P11">
    <cfRule type="expression" dxfId="1384" priority="85">
      <formula>ABS(P$7-P$10)&gt;=1000</formula>
    </cfRule>
  </conditionalFormatting>
  <conditionalFormatting sqref="Q4:Q11">
    <cfRule type="expression" dxfId="1383" priority="84">
      <formula>ABS(Q$7-Q$10)&gt;=1000</formula>
    </cfRule>
  </conditionalFormatting>
  <conditionalFormatting sqref="R4:R11">
    <cfRule type="expression" dxfId="1382" priority="83">
      <formula>ABS(R$7-R$10)&gt;=1000</formula>
    </cfRule>
  </conditionalFormatting>
  <conditionalFormatting sqref="S4:S11">
    <cfRule type="expression" dxfId="1381" priority="82">
      <formula>ABS(S$7-S$10)&gt;=1000</formula>
    </cfRule>
  </conditionalFormatting>
  <conditionalFormatting sqref="T4:T9 T11">
    <cfRule type="expression" dxfId="1380" priority="81">
      <formula>ABS(T$7-T$10)&gt;=1000</formula>
    </cfRule>
  </conditionalFormatting>
  <conditionalFormatting sqref="U4:U9 U11">
    <cfRule type="expression" dxfId="1379" priority="80">
      <formula>ABS(U$7-U$10)&gt;=1000</formula>
    </cfRule>
  </conditionalFormatting>
  <conditionalFormatting sqref="V4:V9 V11">
    <cfRule type="expression" dxfId="1378" priority="79">
      <formula>ABS(V$7-V$10)&gt;=1000</formula>
    </cfRule>
  </conditionalFormatting>
  <conditionalFormatting sqref="W4:W9 W11">
    <cfRule type="expression" dxfId="1377" priority="78">
      <formula>ABS(W$7-W$10)&gt;=1000</formula>
    </cfRule>
  </conditionalFormatting>
  <conditionalFormatting sqref="X4:X9 X11">
    <cfRule type="expression" dxfId="1376" priority="77">
      <formula>ABS(X$7-X$10)&gt;=1000</formula>
    </cfRule>
  </conditionalFormatting>
  <conditionalFormatting sqref="Y4:Y9 Y11">
    <cfRule type="expression" dxfId="1375" priority="76">
      <formula>ABS(Y$7-Y$10)&gt;=1000</formula>
    </cfRule>
  </conditionalFormatting>
  <conditionalFormatting sqref="Z4:Z11">
    <cfRule type="expression" dxfId="1374" priority="75">
      <formula>ABS(Z$7-Z$10)&gt;=1000</formula>
    </cfRule>
  </conditionalFormatting>
  <conditionalFormatting sqref="AA4:AA11">
    <cfRule type="expression" dxfId="1373" priority="74">
      <formula>ABS(AA$7-AA$10)&gt;=1000</formula>
    </cfRule>
  </conditionalFormatting>
  <conditionalFormatting sqref="AB4:AB11">
    <cfRule type="expression" dxfId="1372" priority="73">
      <formula>ABS(AB$7-AB$10)&gt;=1000</formula>
    </cfRule>
  </conditionalFormatting>
  <conditionalFormatting sqref="AC4 AC6:AC11">
    <cfRule type="expression" dxfId="1371" priority="72">
      <formula>ABS(AC$7-AC$10)&gt;=1000</formula>
    </cfRule>
  </conditionalFormatting>
  <conditionalFormatting sqref="AD4:AD11">
    <cfRule type="expression" dxfId="1370" priority="71">
      <formula>ABS(AD$7-AD$10)&gt;=1000</formula>
    </cfRule>
  </conditionalFormatting>
  <conditionalFormatting sqref="AE4:AE11">
    <cfRule type="expression" dxfId="1369" priority="70">
      <formula>ABS(AE$7-AE$10)&gt;=1000</formula>
    </cfRule>
  </conditionalFormatting>
  <conditionalFormatting sqref="D13:D20">
    <cfRule type="expression" dxfId="1368" priority="69">
      <formula>ABS(D$16-D$19)&gt;=1000</formula>
    </cfRule>
  </conditionalFormatting>
  <conditionalFormatting sqref="E13:E20">
    <cfRule type="expression" dxfId="1367" priority="68">
      <formula>ABS(E$16-E$19)&gt;=1000</formula>
    </cfRule>
  </conditionalFormatting>
  <conditionalFormatting sqref="F13 F15:F20">
    <cfRule type="expression" dxfId="1366" priority="67">
      <formula>ABS(F$16-F$19)&gt;=1000</formula>
    </cfRule>
  </conditionalFormatting>
  <conditionalFormatting sqref="G13:G20">
    <cfRule type="expression" dxfId="1365" priority="66">
      <formula>ABS(G$16-G$19)&gt;=1000</formula>
    </cfRule>
  </conditionalFormatting>
  <conditionalFormatting sqref="H13:H20">
    <cfRule type="expression" dxfId="1364" priority="65">
      <formula>ABS(H$16-H$19)&gt;=1000</formula>
    </cfRule>
  </conditionalFormatting>
  <conditionalFormatting sqref="I13:I20">
    <cfRule type="expression" dxfId="1363" priority="64">
      <formula>ABS(I$16-I$19)&gt;=1000</formula>
    </cfRule>
  </conditionalFormatting>
  <conditionalFormatting sqref="J13:J20">
    <cfRule type="expression" dxfId="1362" priority="63">
      <formula>ABS(J$16-J$19)&gt;=1000</formula>
    </cfRule>
  </conditionalFormatting>
  <conditionalFormatting sqref="L13:L20">
    <cfRule type="expression" dxfId="1361" priority="62">
      <formula>ABS(L$16-L$19)&gt;=1000</formula>
    </cfRule>
  </conditionalFormatting>
  <conditionalFormatting sqref="M13 M15 M17:M18 M20">
    <cfRule type="expression" dxfId="1360" priority="61">
      <formula>ABS(M$16-M$19)&gt;=1000</formula>
    </cfRule>
  </conditionalFormatting>
  <conditionalFormatting sqref="N13:N20">
    <cfRule type="expression" dxfId="1359" priority="60">
      <formula>ABS(N$16-N$19)&gt;=1000</formula>
    </cfRule>
  </conditionalFormatting>
  <conditionalFormatting sqref="O13:O20">
    <cfRule type="expression" dxfId="1358" priority="59">
      <formula>ABS(O$16-O$19)&gt;=1000</formula>
    </cfRule>
  </conditionalFormatting>
  <conditionalFormatting sqref="P13:P20">
    <cfRule type="expression" dxfId="1357" priority="58">
      <formula>ABS(P$16-P$19)&gt;=1000</formula>
    </cfRule>
  </conditionalFormatting>
  <conditionalFormatting sqref="Q13 Q15:Q20">
    <cfRule type="expression" dxfId="1356" priority="57">
      <formula>ABS(Q$16-Q$19)&gt;=1000</formula>
    </cfRule>
  </conditionalFormatting>
  <conditionalFormatting sqref="R13:R20">
    <cfRule type="expression" dxfId="1355" priority="56">
      <formula>ABS(R$16-R$19)&gt;=1000</formula>
    </cfRule>
  </conditionalFormatting>
  <conditionalFormatting sqref="S13:S20">
    <cfRule type="expression" dxfId="1354" priority="55">
      <formula>ABS(S$16-S$19)&gt;=1000</formula>
    </cfRule>
  </conditionalFormatting>
  <conditionalFormatting sqref="T13:T20">
    <cfRule type="expression" dxfId="1353" priority="54">
      <formula>ABS(T$16-T$19)&gt;=1000</formula>
    </cfRule>
  </conditionalFormatting>
  <conditionalFormatting sqref="U13:U20">
    <cfRule type="expression" dxfId="1352" priority="53">
      <formula>ABS(U$16-U$19)&gt;=1000</formula>
    </cfRule>
  </conditionalFormatting>
  <conditionalFormatting sqref="V13:V20">
    <cfRule type="expression" dxfId="1351" priority="52">
      <formula>ABS(V$16-V$19)&gt;=1000</formula>
    </cfRule>
  </conditionalFormatting>
  <conditionalFormatting sqref="W13 W20 W15:W18">
    <cfRule type="expression" dxfId="1350" priority="51">
      <formula>ABS(W$16-W$19)&gt;=1000</formula>
    </cfRule>
  </conditionalFormatting>
  <conditionalFormatting sqref="X13 X15:X20 Y19">
    <cfRule type="expression" dxfId="1349" priority="50">
      <formula>ABS(X$16-X$19)&gt;=1000</formula>
    </cfRule>
  </conditionalFormatting>
  <conditionalFormatting sqref="Y13 Y15:Y18 Y20">
    <cfRule type="expression" dxfId="1348" priority="49">
      <formula>ABS(Y$16-Y$19)&gt;=1000</formula>
    </cfRule>
  </conditionalFormatting>
  <conditionalFormatting sqref="Z13:Z20">
    <cfRule type="expression" dxfId="1347" priority="48">
      <formula>ABS(Z$16-Z$19)&gt;=1000</formula>
    </cfRule>
  </conditionalFormatting>
  <conditionalFormatting sqref="AA13:AA20">
    <cfRule type="expression" dxfId="1346" priority="47">
      <formula>ABS(AA$16-AA$19)&gt;=1000</formula>
    </cfRule>
  </conditionalFormatting>
  <conditionalFormatting sqref="AB13 AB15:AB20">
    <cfRule type="expression" dxfId="1345" priority="46">
      <formula>ABS(AB$16-AB$19)&gt;=1000</formula>
    </cfRule>
  </conditionalFormatting>
  <conditionalFormatting sqref="AC13 AC15:AC20">
    <cfRule type="expression" dxfId="1344" priority="45">
      <formula>ABS(AC$16-AC$19)&gt;=1000</formula>
    </cfRule>
  </conditionalFormatting>
  <conditionalFormatting sqref="AD13:AD20">
    <cfRule type="expression" dxfId="1343" priority="44">
      <formula>ABS(AD$16-AD$19)&gt;=1000</formula>
    </cfRule>
  </conditionalFormatting>
  <conditionalFormatting sqref="AE13:AE20">
    <cfRule type="expression" dxfId="1342" priority="43">
      <formula>ABS(AE$16-AE$19)&gt;=1000</formula>
    </cfRule>
  </conditionalFormatting>
  <conditionalFormatting sqref="D22:D29">
    <cfRule type="expression" dxfId="1341" priority="42">
      <formula>ABS(D$25-D$28)&gt;=1000</formula>
    </cfRule>
  </conditionalFormatting>
  <conditionalFormatting sqref="E22:E29">
    <cfRule type="expression" dxfId="1340" priority="41">
      <formula>ABS(E$25-E$28)&gt;=1000</formula>
    </cfRule>
  </conditionalFormatting>
  <conditionalFormatting sqref="F22:F29">
    <cfRule type="expression" dxfId="1339" priority="40">
      <formula>ABS(F$25-F$28)&gt;=1000</formula>
    </cfRule>
  </conditionalFormatting>
  <conditionalFormatting sqref="G22:G29">
    <cfRule type="expression" dxfId="1338" priority="39">
      <formula>ABS(G$25-G$28)&gt;=1000</formula>
    </cfRule>
  </conditionalFormatting>
  <conditionalFormatting sqref="H22:H29">
    <cfRule type="expression" dxfId="1337" priority="38">
      <formula>ABS(H$25-H$28)&gt;=1000</formula>
    </cfRule>
  </conditionalFormatting>
  <conditionalFormatting sqref="I22 I24:I29">
    <cfRule type="expression" dxfId="1336" priority="37">
      <formula>ABS(I$25-I$28)&gt;=1000</formula>
    </cfRule>
  </conditionalFormatting>
  <conditionalFormatting sqref="J22:J29 K22">
    <cfRule type="expression" dxfId="1335" priority="36">
      <formula>ABS(J$25-J$28)&gt;=1000</formula>
    </cfRule>
  </conditionalFormatting>
  <conditionalFormatting sqref="K23:K29 L25 L28">
    <cfRule type="expression" dxfId="1334" priority="35">
      <formula>ABS(K$25-K$28)&gt;=1000</formula>
    </cfRule>
  </conditionalFormatting>
  <conditionalFormatting sqref="L22 L26:L27 L29 L24">
    <cfRule type="expression" dxfId="1333" priority="34">
      <formula>ABS(L$25-L$28)&gt;=1000</formula>
    </cfRule>
  </conditionalFormatting>
  <conditionalFormatting sqref="M22:M29">
    <cfRule type="expression" dxfId="1332" priority="33">
      <formula>ABS(M$25-M$28)&gt;=1000</formula>
    </cfRule>
  </conditionalFormatting>
  <conditionalFormatting sqref="N22:N29">
    <cfRule type="expression" dxfId="1331" priority="32">
      <formula>ABS(N$25-N$28)&gt;=1000</formula>
    </cfRule>
  </conditionalFormatting>
  <conditionalFormatting sqref="O22:O29">
    <cfRule type="expression" dxfId="1330" priority="31">
      <formula>ABS(O$25-O$28)&gt;=1000</formula>
    </cfRule>
  </conditionalFormatting>
  <conditionalFormatting sqref="P22:P29">
    <cfRule type="expression" dxfId="1329" priority="30">
      <formula>ABS(P$25-P$28)&gt;=1000</formula>
    </cfRule>
  </conditionalFormatting>
  <conditionalFormatting sqref="Q22:Q29">
    <cfRule type="expression" dxfId="1328" priority="29">
      <formula>ABS(Q$25-Q$28)&gt;=1000</formula>
    </cfRule>
  </conditionalFormatting>
  <conditionalFormatting sqref="R22:R29">
    <cfRule type="expression" dxfId="1327" priority="28">
      <formula>ABS(R$25-R$28)&gt;=1000</formula>
    </cfRule>
  </conditionalFormatting>
  <conditionalFormatting sqref="S22:S29">
    <cfRule type="expression" dxfId="1326" priority="27">
      <formula>ABS(S$25-S$28)&gt;=1000</formula>
    </cfRule>
  </conditionalFormatting>
  <conditionalFormatting sqref="T22:T29">
    <cfRule type="expression" dxfId="1325" priority="26">
      <formula>ABS(T$25-T$28)&gt;=1000</formula>
    </cfRule>
  </conditionalFormatting>
  <conditionalFormatting sqref="U22:U29">
    <cfRule type="expression" dxfId="1324" priority="25">
      <formula>ABS(U$25-U$28)&gt;=1000</formula>
    </cfRule>
  </conditionalFormatting>
  <conditionalFormatting sqref="V22:V29">
    <cfRule type="expression" dxfId="1323" priority="24">
      <formula>ABS(V$25-V$28)&gt;=1000</formula>
    </cfRule>
  </conditionalFormatting>
  <conditionalFormatting sqref="W22:W29">
    <cfRule type="expression" dxfId="1322" priority="23">
      <formula>ABS(W$25-W$28)&gt;=1000</formula>
    </cfRule>
  </conditionalFormatting>
  <conditionalFormatting sqref="X22:X29">
    <cfRule type="expression" dxfId="1321" priority="22">
      <formula>ABS(X$25-X$28)&gt;=1000</formula>
    </cfRule>
  </conditionalFormatting>
  <conditionalFormatting sqref="Y22:Y29">
    <cfRule type="expression" dxfId="1320" priority="21">
      <formula>ABS(Y$25-Y$28)&gt;=1000</formula>
    </cfRule>
  </conditionalFormatting>
  <conditionalFormatting sqref="I23">
    <cfRule type="expression" dxfId="1319" priority="20">
      <formula>ABS(I$25-I$28)&gt;=1000</formula>
    </cfRule>
  </conditionalFormatting>
  <conditionalFormatting sqref="F14">
    <cfRule type="expression" dxfId="1318" priority="19">
      <formula>ABS(F$16-F$19)&gt;=1000</formula>
    </cfRule>
  </conditionalFormatting>
  <conditionalFormatting sqref="Q14">
    <cfRule type="expression" dxfId="1317" priority="18">
      <formula>ABS(Q$16-Q$19)&gt;=1000</formula>
    </cfRule>
  </conditionalFormatting>
  <conditionalFormatting sqref="W14">
    <cfRule type="expression" dxfId="1316" priority="17">
      <formula>ABS(W$16-W$19)&gt;=1000</formula>
    </cfRule>
  </conditionalFormatting>
  <conditionalFormatting sqref="Y14">
    <cfRule type="expression" dxfId="1315" priority="16">
      <formula>ABS(Y$16-Y$19)&gt;=1000</formula>
    </cfRule>
  </conditionalFormatting>
  <conditionalFormatting sqref="X14">
    <cfRule type="expression" dxfId="1314" priority="15">
      <formula>ABS(X$16-X$19)&gt;=1000</formula>
    </cfRule>
  </conditionalFormatting>
  <conditionalFormatting sqref="T10:Y10">
    <cfRule type="expression" dxfId="1313" priority="14">
      <formula>ABS(T$7-T$10)&gt;=1000</formula>
    </cfRule>
  </conditionalFormatting>
  <conditionalFormatting sqref="W19">
    <cfRule type="expression" dxfId="1312" priority="13">
      <formula>ABS(W$16-W$19)&gt;=1000</formula>
    </cfRule>
  </conditionalFormatting>
  <conditionalFormatting sqref="AC5">
    <cfRule type="expression" dxfId="1311" priority="12">
      <formula>ABS(AC$7-AC$10)&gt;=1000</formula>
    </cfRule>
  </conditionalFormatting>
  <conditionalFormatting sqref="M14">
    <cfRule type="expression" dxfId="1310" priority="11">
      <formula>ABS(M$16-M$19)&gt;=1000</formula>
    </cfRule>
  </conditionalFormatting>
  <conditionalFormatting sqref="M16">
    <cfRule type="expression" dxfId="1309" priority="10">
      <formula>ABS(M$16-M$19)&gt;=1000</formula>
    </cfRule>
  </conditionalFormatting>
  <conditionalFormatting sqref="M19">
    <cfRule type="expression" dxfId="1308" priority="9">
      <formula>ABS(M$16-M$19)&gt;=1000</formula>
    </cfRule>
  </conditionalFormatting>
  <conditionalFormatting sqref="K13:K20">
    <cfRule type="expression" dxfId="1307" priority="8">
      <formula>ABS(K$16-K$19)&gt;=1000</formula>
    </cfRule>
  </conditionalFormatting>
  <conditionalFormatting sqref="E5">
    <cfRule type="expression" dxfId="1306" priority="7">
      <formula>ABS(E$7-E$10)&gt;=1000</formula>
    </cfRule>
  </conditionalFormatting>
  <conditionalFormatting sqref="AB14:AC14">
    <cfRule type="expression" dxfId="1305" priority="6">
      <formula>ABS(AB$16-AB$19)&gt;=1000</formula>
    </cfRule>
  </conditionalFormatting>
  <conditionalFormatting sqref="M5">
    <cfRule type="expression" dxfId="1304" priority="5">
      <formula>ABS(M$7-M$10)&gt;=1000</formula>
    </cfRule>
  </conditionalFormatting>
  <conditionalFormatting sqref="N5">
    <cfRule type="expression" dxfId="1303" priority="4">
      <formula>ABS(N$7-N$10)&gt;=1000</formula>
    </cfRule>
  </conditionalFormatting>
  <conditionalFormatting sqref="O5">
    <cfRule type="expression" dxfId="1302" priority="3">
      <formula>ABS(O$7-O$10)&gt;=1000</formula>
    </cfRule>
  </conditionalFormatting>
  <conditionalFormatting sqref="P5">
    <cfRule type="expression" dxfId="1301" priority="2">
      <formula>ABS(P$7-P$10)&gt;=1000</formula>
    </cfRule>
  </conditionalFormatting>
  <conditionalFormatting sqref="L23">
    <cfRule type="expression" dxfId="1300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18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0">
    <pageSetUpPr fitToPage="1"/>
  </sheetPr>
  <dimension ref="A1:CU223"/>
  <sheetViews>
    <sheetView view="pageBreakPreview" zoomScale="80" zoomScaleNormal="100" zoomScaleSheetLayoutView="80" workbookViewId="0">
      <selection activeCell="Y24" sqref="Y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45811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48" t="s" ph="1">
        <v>178</v>
      </c>
      <c r="D6" s="71">
        <v>4947</v>
      </c>
      <c r="E6" s="71">
        <v>4704</v>
      </c>
      <c r="F6" s="71">
        <v>7138</v>
      </c>
      <c r="G6" s="71">
        <v>3963</v>
      </c>
      <c r="H6" s="71">
        <v>1032</v>
      </c>
      <c r="I6" s="71">
        <v>46.61</v>
      </c>
      <c r="J6" s="71">
        <v>7.81</v>
      </c>
      <c r="K6" s="71">
        <v>7.72</v>
      </c>
      <c r="L6" s="71">
        <v>38.619999999999997</v>
      </c>
      <c r="M6" s="71">
        <v>2375</v>
      </c>
      <c r="N6" s="71">
        <v>4751</v>
      </c>
      <c r="O6" s="71">
        <v>1034</v>
      </c>
      <c r="P6" s="71">
        <v>2547</v>
      </c>
      <c r="Q6" s="71">
        <v>7228</v>
      </c>
      <c r="R6" s="71">
        <v>2246</v>
      </c>
      <c r="S6" s="71">
        <v>1993</v>
      </c>
      <c r="T6" s="71">
        <v>1908</v>
      </c>
      <c r="U6" s="71">
        <v>0</v>
      </c>
      <c r="V6" s="71">
        <v>0</v>
      </c>
      <c r="W6" s="71">
        <v>3951</v>
      </c>
      <c r="X6" s="71">
        <v>6710</v>
      </c>
      <c r="Y6" s="71">
        <v>5178</v>
      </c>
      <c r="Z6" s="71">
        <v>7015</v>
      </c>
      <c r="AA6" s="71">
        <v>2696</v>
      </c>
      <c r="AB6" s="71">
        <v>2048</v>
      </c>
      <c r="AC6" s="71">
        <v>4141</v>
      </c>
      <c r="AD6" s="71">
        <v>4403</v>
      </c>
      <c r="AE6" s="71">
        <v>3423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155180.23446132001</v>
      </c>
      <c r="E7" s="73" ph="1">
        <f>E6*51.53*LOOKUP(E8,密度!$A$2:$A$50,密度!$B$2:$B$50)</f>
        <v>188754.63734399999</v>
      </c>
      <c r="F7" s="73" ph="1">
        <f>F6*33.183*LOOKUP(F8,密度!$A$2:$A$50,密度!$C$2:$C$50)</f>
        <v>262654.33566059999</v>
      </c>
      <c r="G7" s="73" ph="1">
        <f xml:space="preserve"> (G6+2)*51.53*LOOKUP(G8,密度!$A$2:$A$50,密度!$B$2:$B$50)</f>
        <v>159101.21961500001</v>
      </c>
      <c r="H7" s="73" ph="1">
        <f>(H6)*51.53*LOOKUP(H8,密度!$A$2:$A$50,密度!$B$2:$B$50)</f>
        <v>41410.456151999999</v>
      </c>
      <c r="I7" s="73" ph="1">
        <f>I6*290.8*1.0267</f>
        <v>13916.084819599999</v>
      </c>
      <c r="J7" s="73" ph="1">
        <f>J6*290.8*0.7892</f>
        <v>1792.3900016000002</v>
      </c>
      <c r="K7" s="73" ph="1">
        <f>K6*290.8*1.1126</f>
        <v>2497.7602976000003</v>
      </c>
      <c r="L7" s="73" ph="1">
        <f>L6*290.8*0.777</f>
        <v>8726.2507920000007</v>
      </c>
      <c r="M7" s="73" ph="1">
        <f>M6*33.183*LOOKUP(M8,密度!$A$2:$A$50,密度!$D$2:$D$50)</f>
        <v>80693.175037499997</v>
      </c>
      <c r="N7" s="73" ph="1">
        <f>N6*33.183*LOOKUP(N8,密度!$A$2:$A$50,密度!$E$2:$E$50)</f>
        <v>123126.550173</v>
      </c>
      <c r="O7" s="73" ph="1">
        <f>O6*20.428*LOOKUP(O8,密度!$A$2:$A$50,密度!$C$2:$C$50)</f>
        <v>23359.430256800002</v>
      </c>
      <c r="P7" s="73" ph="1">
        <f>P6*51.53*LOOKUP(P8,密度!$A$2:$A$50,密度!$B$2:$B$50)</f>
        <v>102320.091036</v>
      </c>
      <c r="Q7" s="73" ph="1">
        <f>Q6*1.5*1.5*3.1416*LOOKUP(W8,密度!$A$2:$A$50,密度!$L$2:$L$50)</f>
        <v>47770.871147999998</v>
      </c>
      <c r="R7" s="73" ph="1">
        <f>R6*1.5*1.5*3.1416*LOOKUP(R8,密度!$A$2:$A$50,密度!$L$2:$L$50)</f>
        <v>14780.626383600002</v>
      </c>
      <c r="S7" s="73" ph="1">
        <f>S6*1.5*1.5*3.1416*LOOKUP(S8,密度!$A$2:$A$50,密度!$L$2:$L$50)</f>
        <v>13270.632051599998</v>
      </c>
      <c r="T7" s="73" ph="1">
        <f>T6*1.5*1.5*3.1416*LOOKUP(T8,密度!$A$2:$A$50,密度!$L$2:$L$50)</f>
        <v>12650.701694400001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26112.716091000002</v>
      </c>
      <c r="X7" s="73" ph="1">
        <f>X6*1.5*1.5*3.1416*LOOKUP(X8,密度!$A$2:$A$50,密度!$L$2:$L$50)</f>
        <v>44205.045191999998</v>
      </c>
      <c r="Y7" s="73" ph="1">
        <f>Y6*1.5*1.5*3.1416*LOOKUP(Y8,密度!$A$2:$A$50,密度!$L$2:$L$50)</f>
        <v>34222.132098000002</v>
      </c>
      <c r="Z7" s="73" ph="1">
        <f>Z6*33.183*LOOKUP(Z8,密度!$A$2:$A$50,密度!$L$2:$L$50)</f>
        <v>218346.46281</v>
      </c>
      <c r="AA7" s="73" ph="1">
        <f>AA6*33.183*LOOKUP(AA8,密度!$A$2:$A$50,密度!$D$2:$D$50)</f>
        <v>91680.009926400002</v>
      </c>
      <c r="AB7" s="73" ph="1">
        <f>AB6*20.428*LOOKUP(AB8,密度!$A$2:$A$50,密度!$D$2:$D$50)</f>
        <v>43183.680716800001</v>
      </c>
      <c r="AC7" s="73" ph="1">
        <f>AC6*51.53*LOOKUP(AC8,密度!$A$2:$A$50,密度!$Q$2:$Q$50)</f>
        <v>202020.80602020002</v>
      </c>
      <c r="AD7" s="73" ph="1">
        <f>AD6*20.428*LOOKUP(AD8,密度!$A$2:$A$50,密度!$V$2:$V$50)</f>
        <v>86418.660227200002</v>
      </c>
      <c r="AE7" s="73" ph="1">
        <f>AE6*20.428</f>
        <v>69925.044000000009</v>
      </c>
    </row>
    <row r="8" spans="1:99" ph="1">
      <c r="B8" s="244" ph="1"/>
      <c r="C8" s="68" t="s" ph="1">
        <v>180</v>
      </c>
      <c r="D8" s="74">
        <v>27</v>
      </c>
      <c r="E8" s="74">
        <v>26</v>
      </c>
      <c r="F8" s="74">
        <v>25</v>
      </c>
      <c r="G8" s="74">
        <v>26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29</v>
      </c>
      <c r="P8" s="74">
        <v>25</v>
      </c>
      <c r="Q8" s="74">
        <v>27</v>
      </c>
      <c r="R8" s="74">
        <v>31</v>
      </c>
      <c r="S8" s="74">
        <v>20</v>
      </c>
      <c r="T8" s="74">
        <v>24</v>
      </c>
      <c r="U8" s="74">
        <v>26</v>
      </c>
      <c r="V8" s="74">
        <v>28</v>
      </c>
      <c r="W8" s="74">
        <v>27</v>
      </c>
      <c r="X8" s="74">
        <v>30</v>
      </c>
      <c r="Y8" s="74">
        <v>27</v>
      </c>
      <c r="Z8" s="74">
        <v>24</v>
      </c>
      <c r="AA8" s="74">
        <v>27</v>
      </c>
      <c r="AB8" s="74">
        <v>19</v>
      </c>
      <c r="AC8" s="74">
        <v>25</v>
      </c>
      <c r="AD8" s="74">
        <v>24</v>
      </c>
      <c r="AE8" s="74">
        <v>28</v>
      </c>
    </row>
    <row r="9" spans="1:99" ht="26.4" ph="1">
      <c r="B9" s="244" ph="1">
        <v>0.66666666666666663</v>
      </c>
      <c r="C9" s="148" t="s" ph="1">
        <v>181</v>
      </c>
      <c r="D9" s="71">
        <v>4946</v>
      </c>
      <c r="E9" s="71">
        <v>4704</v>
      </c>
      <c r="F9" s="71">
        <v>7138</v>
      </c>
      <c r="G9" s="71">
        <v>7107</v>
      </c>
      <c r="H9" s="71">
        <v>1030</v>
      </c>
      <c r="I9" s="71">
        <v>10.41</v>
      </c>
      <c r="J9" s="71">
        <v>7.81</v>
      </c>
      <c r="K9" s="71">
        <v>17.920000000000002</v>
      </c>
      <c r="L9" s="71">
        <v>15.61</v>
      </c>
      <c r="M9" s="71">
        <v>2953</v>
      </c>
      <c r="N9" s="71">
        <v>4750</v>
      </c>
      <c r="O9" s="71">
        <v>1034</v>
      </c>
      <c r="P9" s="71">
        <v>2387</v>
      </c>
      <c r="Q9" s="71">
        <v>7226</v>
      </c>
      <c r="R9" s="71">
        <v>4801</v>
      </c>
      <c r="S9" s="71">
        <v>1992</v>
      </c>
      <c r="T9" s="71">
        <v>1907</v>
      </c>
      <c r="U9" s="71">
        <v>0</v>
      </c>
      <c r="V9" s="71">
        <v>0</v>
      </c>
      <c r="W9" s="71">
        <v>197</v>
      </c>
      <c r="X9" s="71">
        <v>6708</v>
      </c>
      <c r="Y9" s="71">
        <v>5178</v>
      </c>
      <c r="Z9" s="71">
        <v>4731</v>
      </c>
      <c r="AA9" s="71">
        <v>2437</v>
      </c>
      <c r="AB9" s="71">
        <v>2046</v>
      </c>
      <c r="AC9" s="71">
        <v>4140</v>
      </c>
      <c r="AD9" s="71">
        <v>4401</v>
      </c>
      <c r="AE9" s="71">
        <v>3298</v>
      </c>
    </row>
    <row r="10" spans="1:99" s="72" customFormat="1" ht="22.2" ph="1">
      <c r="B10" s="244" ph="1"/>
      <c r="C10" s="148" t="s" ph="1">
        <v>179</v>
      </c>
      <c r="D10" s="73" ph="1">
        <f>D9*33.183*LOOKUP(D11,密度!$A$2:$A$50,密度!$Q$2:$Q$50)</f>
        <v>155148.86590775999</v>
      </c>
      <c r="E10" s="73" ph="1">
        <f>E9*51.53*LOOKUP(E11,密度!$A$2:$A$50,密度!$B$2:$B$50)</f>
        <v>188754.63734399999</v>
      </c>
      <c r="F10" s="73" ph="1">
        <f>F9*33.183*LOOKUP(F11,密度!$A$2:$A$50,密度!$C$2:$C$50)</f>
        <v>262654.33566059999</v>
      </c>
      <c r="G10" s="73" ph="1">
        <f xml:space="preserve"> (G9+2)*51.53*LOOKUP(G11,密度!$A$2:$A$50,密度!$B$2:$B$50)</f>
        <v>285588.34989200003</v>
      </c>
      <c r="H10" s="73" ph="1">
        <f>(H9)*51.53*LOOKUP(H11,密度!$A$2:$A$50,密度!$B$2:$B$50)</f>
        <v>41521.276570000002</v>
      </c>
      <c r="I10" s="73" ph="1">
        <f>I9*290.8*1.0267</f>
        <v>3108.0549876</v>
      </c>
      <c r="J10" s="73" ph="1">
        <f>J9*290.8*0.7892</f>
        <v>1792.3900016000002</v>
      </c>
      <c r="K10" s="73" ph="1">
        <f>K9*290.8*1.1126</f>
        <v>5797.9099136000004</v>
      </c>
      <c r="L10" s="73" ph="1">
        <f>L9*290.8*0.777</f>
        <v>3527.104476</v>
      </c>
      <c r="M10" s="73" ph="1">
        <f>M9*33.183*LOOKUP(M11,密度!$A$2:$A$50,密度!$D$2:$D$50)</f>
        <v>100331.34563610001</v>
      </c>
      <c r="N10" s="73" ph="1">
        <f>N9*33.183*LOOKUP(N11,密度!$A$2:$A$50,密度!$E$2:$E$50)</f>
        <v>123100.63425</v>
      </c>
      <c r="O10" s="73" ph="1">
        <f>O9*20.428*LOOKUP(O11,密度!$A$2:$A$50,密度!$C$2:$C$50)</f>
        <v>23422.797912800001</v>
      </c>
      <c r="P10" s="73" ph="1">
        <f>P9*51.53*LOOKUP(P11,密度!$A$2:$A$50,密度!$B$2:$B$50)</f>
        <v>95892.444955999992</v>
      </c>
      <c r="Q10" s="73" ph="1">
        <f>Q9*1.5*1.5*3.1416*LOOKUP(W11,密度!$A$2:$A$50,密度!$L$2:$L$50)</f>
        <v>47757.652866000004</v>
      </c>
      <c r="R10" s="73" ph="1">
        <f>R9*1.5*1.5*3.1416*LOOKUP(R11,密度!$A$2:$A$50,密度!$L$2:$L$50)</f>
        <v>31594.740546599998</v>
      </c>
      <c r="S10" s="73" ph="1">
        <f>S9*1.5*1.5*3.1416*LOOKUP(S11,密度!$A$2:$A$50,密度!$L$2:$L$50)</f>
        <v>13263.973430399999</v>
      </c>
      <c r="T10" s="73" ph="1">
        <f>T9*1.5*1.5*3.1416*LOOKUP(T11,密度!$A$2:$A$50,密度!$L$2:$L$50)</f>
        <v>12644.0713476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1302.0007770000002</v>
      </c>
      <c r="X10" s="73" ph="1">
        <f>X9*1.5*1.5*3.1416*LOOKUP(X11,密度!$A$2:$A$50,密度!$L$2:$L$50)</f>
        <v>44239.285490400005</v>
      </c>
      <c r="Y10" s="73" ph="1">
        <f>Y9*1.5*1.5*3.1416*LOOKUP(Y11,密度!$A$2:$A$50,密度!$L$2:$L$50)</f>
        <v>34258.733308800001</v>
      </c>
      <c r="Z10" s="73" ph="1">
        <f>Z9*33.183*LOOKUP(Z11,密度!$A$2:$A$50,密度!$L$2:$L$50)</f>
        <v>147412.45784699998</v>
      </c>
      <c r="AA10" s="73" ph="1">
        <f>AA9*33.183*LOOKUP(AA11,密度!$A$2:$A$50,密度!$D$2:$D$50)</f>
        <v>83026.119125700003</v>
      </c>
      <c r="AB10" s="73" ph="1">
        <f>AB9*20.428*LOOKUP(AB11,密度!$A$2:$A$50,密度!$D$2:$D$50)</f>
        <v>43179.125272799996</v>
      </c>
      <c r="AC10" s="73" ph="1">
        <f>AC9*51.53*LOOKUP(AC11,密度!$A$2:$A$50,密度!$Q$2:$Q$50)</f>
        <v>201972.02050800002</v>
      </c>
      <c r="AD10" s="73" ph="1">
        <f>AD9*20.428*LOOKUP(AD11,密度!$A$2:$A$50,密度!$V$2:$V$50)</f>
        <v>86379.40578239999</v>
      </c>
      <c r="AE10" s="73" ph="1">
        <f>AE9*20.428</f>
        <v>67371.544000000009</v>
      </c>
    </row>
    <row r="11" spans="1:99" ph="1">
      <c r="A11" s="64" t="s" ph="1">
        <v>163</v>
      </c>
      <c r="B11" s="244" ph="1"/>
      <c r="C11" s="148" t="s" ph="1">
        <v>180</v>
      </c>
      <c r="D11" s="74">
        <v>27</v>
      </c>
      <c r="E11" s="74">
        <v>26</v>
      </c>
      <c r="F11" s="74">
        <v>25</v>
      </c>
      <c r="G11" s="74">
        <v>25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27</v>
      </c>
      <c r="O11" s="74">
        <v>25</v>
      </c>
      <c r="P11" s="74">
        <v>25</v>
      </c>
      <c r="Q11" s="74">
        <v>27</v>
      </c>
      <c r="R11" s="74">
        <v>31</v>
      </c>
      <c r="S11" s="74">
        <v>20</v>
      </c>
      <c r="T11" s="74">
        <v>24</v>
      </c>
      <c r="U11" s="74">
        <v>26</v>
      </c>
      <c r="V11" s="74">
        <v>27</v>
      </c>
      <c r="W11" s="74">
        <v>27</v>
      </c>
      <c r="X11" s="74">
        <v>29</v>
      </c>
      <c r="Y11" s="74">
        <v>26</v>
      </c>
      <c r="Z11" s="74">
        <v>23</v>
      </c>
      <c r="AA11" s="74">
        <v>25</v>
      </c>
      <c r="AB11" s="74">
        <v>18</v>
      </c>
      <c r="AC11" s="74">
        <v>25</v>
      </c>
      <c r="AD11" s="74">
        <v>24</v>
      </c>
      <c r="AE11" s="74">
        <v>27</v>
      </c>
    </row>
    <row r="12" spans="1:99" ht="9.9" customHeight="1" ph="1"/>
    <row r="13" spans="1:99" s="72" customFormat="1" ht="29.25" customHeight="1" ph="1">
      <c r="B13" s="221" t="s" ph="1">
        <v>37</v>
      </c>
      <c r="C13" s="148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48" t="s" ph="1">
        <v>178</v>
      </c>
      <c r="D15" s="78">
        <v>0</v>
      </c>
      <c r="E15" s="78">
        <v>3078</v>
      </c>
      <c r="F15" s="78">
        <v>3487</v>
      </c>
      <c r="G15" s="78">
        <v>3754</v>
      </c>
      <c r="H15" s="78">
        <v>0</v>
      </c>
      <c r="I15" s="78">
        <v>118</v>
      </c>
      <c r="J15" s="78">
        <v>1656</v>
      </c>
      <c r="K15" s="78">
        <v>325</v>
      </c>
      <c r="L15" s="78">
        <v>3233</v>
      </c>
      <c r="M15" s="78">
        <v>3886</v>
      </c>
      <c r="N15" s="78">
        <v>3205</v>
      </c>
      <c r="O15" s="78">
        <v>6074</v>
      </c>
      <c r="P15" s="78">
        <v>5486</v>
      </c>
      <c r="Q15" s="78">
        <v>1665</v>
      </c>
      <c r="R15" s="78">
        <v>3514</v>
      </c>
      <c r="S15" s="78">
        <v>6923</v>
      </c>
      <c r="T15" s="78">
        <v>3729</v>
      </c>
      <c r="U15" s="78">
        <v>2871</v>
      </c>
      <c r="V15" s="78">
        <v>2371</v>
      </c>
      <c r="W15" s="71">
        <v>-792</v>
      </c>
      <c r="X15" s="78">
        <v>27</v>
      </c>
      <c r="Y15" s="106">
        <v>-9907</v>
      </c>
      <c r="Z15" s="78">
        <v>0</v>
      </c>
      <c r="AA15" s="78">
        <v>4230</v>
      </c>
      <c r="AB15" s="78" ph="1">
        <v>2368</v>
      </c>
      <c r="AC15" s="78" ph="1">
        <v>0</v>
      </c>
      <c r="AD15" s="78">
        <v>80.010000000000005</v>
      </c>
      <c r="AE15" s="78">
        <v>5.61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48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20342.935998000001</v>
      </c>
      <c r="F16" s="73" ph="1">
        <f>F15*9.0746*LOOKUP(F17,密度!$A$2:$A$50,密度!$L$2:$L$50)</f>
        <v>29554.683606800001</v>
      </c>
      <c r="G16" s="73" ph="1">
        <f>G15*9.0746*LOOKUP(G17,密度!$A$2:$A$50,密度!$B$2:$B$50)</f>
        <v>26527.231889079998</v>
      </c>
      <c r="H16" s="73" ph="1">
        <f>H15*9.0746*LOOKUP(H17,密度!$A$2:$A$50,密度!$L$2:$L$50)</f>
        <v>0</v>
      </c>
      <c r="I16" s="73" ph="1">
        <f>I15*9.0746*LOOKUP(I17,密度!$A$2:$A$50,密度!$U$2:$U$50)</f>
        <v>1096.5020672000001</v>
      </c>
      <c r="J16" s="73" ph="1">
        <f>J15*9.0746*LOOKUP(J17,密度!$A$2:$A$50,密度!$L$2:$L$50)</f>
        <v>14050.747656000001</v>
      </c>
      <c r="K16" s="73" ph="1">
        <f>K15*9.0746*LOOKUP(K17,密度!$A$2:$A$50,密度!$C$2:$C$50)</f>
        <v>3265.9939129999998</v>
      </c>
      <c r="L16" s="73" ph="1">
        <f>L15*9.0746*LOOKUP(L17,密度!$A$2:$A$50,密度!$E$2:$E$50)</f>
        <v>22877.914167640003</v>
      </c>
      <c r="M16" s="73" ph="1">
        <f>M15*9.0746*LOOKUP(M17,密度!$A$2:$A$50,密度!$M$2:$M$50)</f>
        <v>30750.116963200002</v>
      </c>
      <c r="N16" s="73" ph="1">
        <f>N15*9.0746*LOOKUP(N17,密度!$A$2:$A$50,密度!$M$2:$M$50)</f>
        <v>25451.4897843</v>
      </c>
      <c r="O16" s="73" ph="1">
        <f>O15*9.0746*LOOKUP(O17,密度!$A$2:$A$50,密度!$G$2:$G$50)</f>
        <v>52748.998222800001</v>
      </c>
      <c r="P16" s="73" ph="1">
        <f ca="1">P15*9.0746*LOOKUP(P17,密度!$A$2:$A$51,密度!$Q$2:$Q$50)</f>
        <v>47061.10718379201</v>
      </c>
      <c r="Q16" s="73" ph="1">
        <f>Q15*9.0746*LOOKUP(Q17,密度!$A$2:$A$50,密度!$Q$2:$Q$50)</f>
        <v>14272.46100558</v>
      </c>
      <c r="R16" s="73" ph="1">
        <f>MAX(R15*9.0746*LOOKUP(R17,密度!$A$2:$A$50,密度!$B$2:$B$50),0)</f>
        <v>24777.0881988</v>
      </c>
      <c r="S16" s="73" ph="1">
        <f>S15*9.0746*LOOKUP(S17,密度!$A$2:$A$50,密度!$Q$2:$Q$50)</f>
        <v>59344.292817796006</v>
      </c>
      <c r="T16" s="73" ph="1">
        <f>T15*9.0746*LOOKUP(T17,密度!$A$2:$A$50,密度!$O$2:$O$50)</f>
        <v>31335.083828400002</v>
      </c>
      <c r="U16" s="73" ph="1">
        <f>U15*9.0746*LOOKUP(U17,密度!$A$2:$A$50,密度!$H$2:$H$50)</f>
        <v>23830.840636019999</v>
      </c>
      <c r="V16" s="73" ph="1">
        <f>MAX(5600*LOOKUP(V17,密度!$A$2:$A$50,密度!$Q$2:$Q$50)+V15*9.0476*LOOKUP(V17,密度!$A$2:$A$50,密度!$Q$2:$Q$50),0)</f>
        <v>25553.727615352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6083.9008931999997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29890.834014600001</v>
      </c>
      <c r="AB16" s="73" ph="1">
        <f>AB15*9.0746*LOOKUP(AB17,密度!$A$2:$A$50,密度!$L$2:$L$50)</f>
        <v>20070.401715200001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17979.982469279999</v>
      </c>
      <c r="AE16" s="73" ph="1">
        <f>AE15*268.68*LOOKUP(AE17,密度!$A$2:$A$50,密度!B2:B50)+IF(AE15&lt;=0,0,1566*LOOKUP(AE17,密度!$A$2:$A$50,密度!B2:B50))</f>
        <v>2395.9406260799997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28</v>
      </c>
      <c r="E17" s="74">
        <v>27</v>
      </c>
      <c r="F17" s="74">
        <v>28</v>
      </c>
      <c r="G17" s="74">
        <v>26</v>
      </c>
      <c r="H17" s="74">
        <v>24</v>
      </c>
      <c r="I17" s="74">
        <v>26</v>
      </c>
      <c r="J17" s="74">
        <v>27</v>
      </c>
      <c r="K17" s="74">
        <v>27</v>
      </c>
      <c r="L17" s="74">
        <v>28</v>
      </c>
      <c r="M17" s="74">
        <v>28</v>
      </c>
      <c r="N17" s="74">
        <v>25</v>
      </c>
      <c r="O17" s="74">
        <v>28</v>
      </c>
      <c r="P17" s="74">
        <v>27</v>
      </c>
      <c r="Q17" s="74">
        <v>28</v>
      </c>
      <c r="R17" s="74">
        <v>28</v>
      </c>
      <c r="S17" s="74">
        <v>28</v>
      </c>
      <c r="T17" s="74">
        <v>26</v>
      </c>
      <c r="U17" s="74">
        <v>25</v>
      </c>
      <c r="V17" s="74">
        <v>28</v>
      </c>
      <c r="W17" s="74">
        <v>26</v>
      </c>
      <c r="X17" s="74">
        <v>26</v>
      </c>
      <c r="Y17" s="108">
        <v>26</v>
      </c>
      <c r="Z17" s="74">
        <v>26</v>
      </c>
      <c r="AA17" s="74">
        <v>26</v>
      </c>
      <c r="AB17" s="74">
        <v>28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0</v>
      </c>
      <c r="E18" s="71">
        <v>3076</v>
      </c>
      <c r="F18" s="71">
        <v>3486</v>
      </c>
      <c r="G18" s="71">
        <v>3788</v>
      </c>
      <c r="H18" s="71">
        <v>1825</v>
      </c>
      <c r="I18" s="71">
        <v>118</v>
      </c>
      <c r="J18" s="71">
        <v>1655</v>
      </c>
      <c r="K18" s="71">
        <v>325</v>
      </c>
      <c r="L18" s="71">
        <v>3229</v>
      </c>
      <c r="M18" s="71">
        <v>928</v>
      </c>
      <c r="N18" s="71">
        <v>3204</v>
      </c>
      <c r="O18" s="71">
        <v>6072</v>
      </c>
      <c r="P18" s="71">
        <v>7159</v>
      </c>
      <c r="Q18" s="71">
        <v>0</v>
      </c>
      <c r="R18" s="71">
        <v>3511</v>
      </c>
      <c r="S18" s="71">
        <v>6918</v>
      </c>
      <c r="T18" s="71">
        <v>2757</v>
      </c>
      <c r="U18" s="71">
        <v>4670</v>
      </c>
      <c r="V18" s="71">
        <v>2371</v>
      </c>
      <c r="W18" s="71">
        <v>-792</v>
      </c>
      <c r="X18" s="71">
        <v>26</v>
      </c>
      <c r="Y18" s="109">
        <v>-9906</v>
      </c>
      <c r="Z18" s="71">
        <v>0</v>
      </c>
      <c r="AA18" s="71">
        <v>4228</v>
      </c>
      <c r="AB18" s="71">
        <v>2366</v>
      </c>
      <c r="AC18" s="71">
        <v>0</v>
      </c>
      <c r="AD18" s="71">
        <v>85.61</v>
      </c>
      <c r="AE18" s="71">
        <v>40.909999999999997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48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20329.717715999999</v>
      </c>
      <c r="F19" s="73" ph="1">
        <f>F18*9.0746*LOOKUP(F20,密度!$A$2:$A$50,密度!$L$2:$L$50)</f>
        <v>29546.2079304</v>
      </c>
      <c r="G19" s="73" ph="1">
        <f>G18*9.0746*LOOKUP(G20,密度!$A$2:$A$50,密度!$B$2:$B$50)</f>
        <v>26767.489183760001</v>
      </c>
      <c r="H19" s="73" ph="1">
        <f>H18*9.0746*LOOKUP(H20,密度!$A$2:$A$50,密度!$L$2:$L$50)</f>
        <v>15352.181415000001</v>
      </c>
      <c r="I19" s="73" ph="1">
        <f>I18*9.0746*LOOKUP(I20,密度!$A$2:$A$50,密度!$U$2:$U$50)</f>
        <v>1097.5728699999997</v>
      </c>
      <c r="J19" s="73" ph="1">
        <f>J18*9.0746*LOOKUP(J20,密度!$A$2:$A$50,密度!$L$2:$L$50)</f>
        <v>14042.262905000001</v>
      </c>
      <c r="K19" s="73" ph="1">
        <f>K18*9.0746*LOOKUP(K20,密度!$A$2:$A$50,密度!$C$2:$C$50)</f>
        <v>3270.4177804999999</v>
      </c>
      <c r="L19" s="73" ph="1">
        <f>L18*9.0746*LOOKUP(L20,密度!$A$2:$A$50,密度!$E$2:$E$50)</f>
        <v>22884.770935400004</v>
      </c>
      <c r="M19" s="73" ph="1">
        <f>M18*9.0746*LOOKUP(M20,密度!$A$2:$A$50,密度!$M$2:$M$50)</f>
        <v>7352.5748652800003</v>
      </c>
      <c r="N19" s="73" ph="1">
        <f>N18*9.0746*LOOKUP(N20,密度!$A$2:$A$50,密度!$M$2:$M$50)</f>
        <v>25414.473583440002</v>
      </c>
      <c r="O19" s="73" ph="1">
        <f>O18*9.0746*LOOKUP(O20,密度!$A$2:$A$50,密度!$G$2:$G$50)</f>
        <v>52731.629438399999</v>
      </c>
      <c r="P19" s="73" ph="1">
        <f ca="1">P18*9.0746*LOOKUP(P20,密度!$A$2:$A$51,密度!$Q$2:$Q$50)</f>
        <v>61412.771842647999</v>
      </c>
      <c r="Q19" s="73" ph="1">
        <f>Q18*9.0746*LOOKUP(Q20,密度!$A$2:$A$50,密度!$Q$2:$Q$50)</f>
        <v>0</v>
      </c>
      <c r="R19" s="73" ph="1">
        <f>MAX(R18*9.0746*LOOKUP(R20,密度!$A$2:$A$50,密度!$B$2:$B$50),0)</f>
        <v>24730.446569719999</v>
      </c>
      <c r="S19" s="73" ph="1">
        <f>S18*9.0746*LOOKUP(S20,密度!$A$2:$A$50,密度!$Q$2:$Q$50)</f>
        <v>59301.432574536004</v>
      </c>
      <c r="T19" s="73" ph="1">
        <f>T18*9.0746*LOOKUP(T20,密度!$A$2:$A$50,密度!$O$2:$O$50)</f>
        <v>23167.290457200001</v>
      </c>
      <c r="U19" s="73" ph="1">
        <f>U18*9.0746*LOOKUP(U20,密度!$A$2:$A$50,密度!$H$2:$H$50)</f>
        <v>38687.224927800002</v>
      </c>
      <c r="V19" s="73" ph="1">
        <f>MAX(5600*LOOKUP(V20,密度!$A$2:$A$50,密度!$Q$2:$Q$50)+V18*9.0476*LOOKUP(V20,密度!$A$2:$A$50,密度!$Q$2:$Q$50),0)</f>
        <v>25553.727615352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6074.482341599999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29876.701232559997</v>
      </c>
      <c r="AB19" s="73" ph="1">
        <f>AB18*9.0746*LOOKUP(AB20,密度!$A$2:$A$50,密度!$L$2:$L$50)</f>
        <v>20053.450362400003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19089.098859600002</v>
      </c>
      <c r="AE19" s="73" ph="1">
        <f>AE18*268.68*LOOKUP(AE20,密度!$A$2:$A$50,密度!B5:B53)+IF(AE18&lt;=0,0,1566*LOOKUP(AE20,密度!$A$2:$A$50,密度!B5:B53))</f>
        <v>9757.3319675999992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27</v>
      </c>
      <c r="E20" s="81">
        <v>27</v>
      </c>
      <c r="F20" s="81">
        <v>28</v>
      </c>
      <c r="G20" s="81">
        <v>26</v>
      </c>
      <c r="H20" s="81">
        <v>35</v>
      </c>
      <c r="I20" s="81">
        <v>25</v>
      </c>
      <c r="J20" s="81">
        <v>27</v>
      </c>
      <c r="K20" s="81">
        <v>25</v>
      </c>
      <c r="L20" s="81">
        <v>27</v>
      </c>
      <c r="M20" s="81">
        <v>27</v>
      </c>
      <c r="N20" s="81">
        <v>26</v>
      </c>
      <c r="O20" s="81">
        <v>28</v>
      </c>
      <c r="P20" s="81">
        <v>27</v>
      </c>
      <c r="Q20" s="81">
        <v>25</v>
      </c>
      <c r="R20" s="81">
        <v>29</v>
      </c>
      <c r="S20" s="81">
        <v>28</v>
      </c>
      <c r="T20" s="81">
        <v>26</v>
      </c>
      <c r="U20" s="81">
        <v>27</v>
      </c>
      <c r="V20" s="81">
        <v>28</v>
      </c>
      <c r="W20" s="81">
        <v>26</v>
      </c>
      <c r="X20" s="81">
        <v>26</v>
      </c>
      <c r="Y20" s="110">
        <v>25</v>
      </c>
      <c r="Z20" s="81">
        <v>25</v>
      </c>
      <c r="AA20" s="81">
        <v>26</v>
      </c>
      <c r="AB20" s="81">
        <v>28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645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48" t="s" ph="1">
        <v>178</v>
      </c>
      <c r="D24" s="71">
        <v>91.03</v>
      </c>
      <c r="E24" s="71">
        <v>95.71</v>
      </c>
      <c r="F24" s="71">
        <v>3999</v>
      </c>
      <c r="G24" s="71">
        <v>2492</v>
      </c>
      <c r="H24" s="71">
        <v>3095</v>
      </c>
      <c r="I24" s="71">
        <v>3298</v>
      </c>
      <c r="J24" s="71">
        <v>5410</v>
      </c>
      <c r="K24" s="71">
        <v>38</v>
      </c>
      <c r="L24" s="71">
        <v>1133</v>
      </c>
      <c r="M24" s="71">
        <v>5254</v>
      </c>
      <c r="N24" s="71">
        <v>5327</v>
      </c>
      <c r="O24" s="71">
        <v>3692</v>
      </c>
      <c r="P24" s="71">
        <v>885</v>
      </c>
      <c r="Q24" s="90">
        <v>2372</v>
      </c>
      <c r="R24" s="71">
        <v>1745</v>
      </c>
      <c r="S24" s="71">
        <v>1587</v>
      </c>
      <c r="T24" s="71">
        <v>1762</v>
      </c>
      <c r="U24" s="71">
        <v>4936</v>
      </c>
      <c r="V24" s="71">
        <v>9637</v>
      </c>
      <c r="W24" s="71">
        <v>10737</v>
      </c>
      <c r="X24" s="71">
        <v>2698</v>
      </c>
      <c r="Y24" s="71">
        <v>4310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24637.905334296003</v>
      </c>
      <c r="E25" s="91" ph="1">
        <f>E24*268.68*LOOKUP(E26,密度!$A$2:$A$50,密度!$C$2:$C$50)+IF(E24&lt;=0,0,1566*LOOKUP(E26,密度!$A$2:$A$50,密度!$C$2:$C$50))</f>
        <v>30252.303208919999</v>
      </c>
      <c r="F25" s="91" ph="1">
        <f>F24*11.702*LOOKUP(F26,密度!$A$2:$A$50,密度!$Q$2:$Q$50)</f>
        <v>44204.719016760006</v>
      </c>
      <c r="G25" s="91" ph="1">
        <f>G24*18.322*LOOKUP(G26,密度!$A$2:$A$50,密度!$B$2:$B$50)</f>
        <v>35476.595448</v>
      </c>
      <c r="H25" s="91" ph="1">
        <f>H24*18.322*LOOKUP(H26,密度!$A$2:$A$50,密度!$B$2:$B$50)</f>
        <v>44061.020429999997</v>
      </c>
      <c r="I25" s="91" ph="1">
        <f>I24*18.322*LOOKUP(I26,密度!$A$2:$A$50,密度!$Q$2:$Q$50)</f>
        <v>57121.864725920001</v>
      </c>
      <c r="J25" s="91" ph="1">
        <f>J24*18.322*LOOKUP(J26,密度!$A$2:$A$50,密度!$Q$2:$Q$50)</f>
        <v>93702.02794639999</v>
      </c>
      <c r="K25" s="91" ph="1">
        <f>K24*18.322*LOOKUP(K26,密度!$A$2:$A$50,密度!$Q$2:$Q$50)</f>
        <v>658.66014308000001</v>
      </c>
      <c r="L25" s="91" ph="1">
        <f>L24*18.322*LOOKUP(L26,密度!$A$2:$A$50,密度!$Q$2:$Q$50)</f>
        <v>19623.733394319999</v>
      </c>
      <c r="M25" s="91" ph="1">
        <f>M24*18.322*LOOKUP(M26,密度!$A$2:$A$50,密度!$Q$2:$Q$50)</f>
        <v>91000.084072160011</v>
      </c>
      <c r="N25" s="91" ph="1">
        <f>N24*18.322*LOOKUP(N26,密度!$A$2:$A$50,密度!$Q$2:$Q$50)</f>
        <v>92196.134338279997</v>
      </c>
      <c r="O25" s="91" ph="1">
        <f>O24*18.322*LOOKUP(O26,密度!$A$2:$A$50,密度!$C$2:$C$50)</f>
        <v>74855.762238399999</v>
      </c>
      <c r="P25" s="91" ph="1">
        <f>P24*11.702*LOOKUP(P26,密度!$A$2:$A$50,密度!$B$2:$B$50)</f>
        <v>8046.8217900000009</v>
      </c>
      <c r="Q25" s="92" ph="1">
        <f>Q24*18.322*LOOKUP(Q26,密度!$A$2:$A$50,密度!$B$2:$B$50)</f>
        <v>33807.365973600005</v>
      </c>
      <c r="R25" s="91" ph="1">
        <f>R24*35.891*LOOKUP(R26,密度!$A$2:$A$50,密度!$C$2:$C$50)</f>
        <v>69356.234982999988</v>
      </c>
      <c r="S25" s="91" ph="1">
        <f>S24*35.891*LOOKUP(S26,密度!$A$2:$A$50,密度!$B$2:$B$50)</f>
        <v>44308.419324300005</v>
      </c>
      <c r="T25" s="91" ph="1">
        <f>T24*35.891*LOOKUP(T26,密度!$A$2:$A$50,密度!$Q$2:$Q$50)</f>
        <v>59826.882330259999</v>
      </c>
      <c r="U25" s="91" ph="1">
        <f>U24*35.891</f>
        <v>177157.976</v>
      </c>
      <c r="V25" s="91" ph="1">
        <f>V24*47.051*LOOKUP(V26,密度!$A$2:$A$50,密度!$B$2:$B$50)</f>
        <v>352723.57583730004</v>
      </c>
      <c r="W25" s="91" ph="1">
        <f>W24*47.051*LOOKUP(W26,密度!$A$2:$A$50,密度!$B$2:$B$50)</f>
        <v>392529.978099</v>
      </c>
      <c r="X25" s="91" ph="1">
        <f>X24*47.051*LOOKUP(X26,密度!$A$2:$A$50,密度!$I$2:$I$50)</f>
        <v>132021.34192000001</v>
      </c>
      <c r="Y25" s="91" ph="1">
        <f>Y24*47.051*LOOKUP(Y26,密度!$A$2:$A$50,密度!$L$2:$L$50)</f>
        <v>189405.68254000001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28</v>
      </c>
      <c r="G26" s="74">
        <v>28</v>
      </c>
      <c r="H26" s="74">
        <v>28</v>
      </c>
      <c r="I26" s="74">
        <v>27</v>
      </c>
      <c r="J26" s="74">
        <v>27</v>
      </c>
      <c r="K26" s="74">
        <v>26</v>
      </c>
      <c r="L26" s="74">
        <v>27</v>
      </c>
      <c r="M26" s="74">
        <v>27</v>
      </c>
      <c r="N26" s="74">
        <v>28</v>
      </c>
      <c r="O26" s="74">
        <v>28</v>
      </c>
      <c r="P26" s="74">
        <v>28</v>
      </c>
      <c r="Q26" s="93">
        <v>27</v>
      </c>
      <c r="R26" s="74">
        <v>27</v>
      </c>
      <c r="S26" s="74">
        <v>27</v>
      </c>
      <c r="T26" s="74">
        <v>26</v>
      </c>
      <c r="U26" s="74">
        <v>28</v>
      </c>
      <c r="V26" s="74">
        <v>27</v>
      </c>
      <c r="W26" s="74">
        <v>28</v>
      </c>
      <c r="X26" s="74">
        <v>27</v>
      </c>
      <c r="Y26" s="74">
        <v>28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48" t="s" ph="1">
        <v>181</v>
      </c>
      <c r="D27" s="71">
        <v>90.91</v>
      </c>
      <c r="E27" s="71">
        <v>95.71</v>
      </c>
      <c r="F27" s="71">
        <v>3997</v>
      </c>
      <c r="G27" s="71">
        <v>2129</v>
      </c>
      <c r="H27" s="71">
        <v>2580</v>
      </c>
      <c r="I27" s="71">
        <v>3295</v>
      </c>
      <c r="J27" s="71">
        <v>5408</v>
      </c>
      <c r="K27" s="71">
        <v>38</v>
      </c>
      <c r="L27" s="71">
        <v>1132</v>
      </c>
      <c r="M27" s="71">
        <v>5252</v>
      </c>
      <c r="N27" s="71">
        <v>5324</v>
      </c>
      <c r="O27" s="71">
        <v>3691</v>
      </c>
      <c r="P27" s="71">
        <v>884</v>
      </c>
      <c r="Q27" s="90">
        <v>2821</v>
      </c>
      <c r="R27" s="71">
        <v>1744</v>
      </c>
      <c r="S27" s="71">
        <v>1586</v>
      </c>
      <c r="T27" s="71">
        <v>1762</v>
      </c>
      <c r="U27" s="71">
        <v>6030</v>
      </c>
      <c r="V27" s="71">
        <v>9638</v>
      </c>
      <c r="W27" s="71">
        <v>10735</v>
      </c>
      <c r="X27" s="71">
        <v>1849</v>
      </c>
      <c r="Y27" s="71">
        <v>4885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48" t="s" ph="1">
        <v>179</v>
      </c>
      <c r="D28" s="91" ph="1">
        <f>D27*268.68*LOOKUP(D29,密度!$A$2:$A$50,密度!$Q$2:$Q$50)+IF(D27&lt;=0,0,1566*LOOKUP(D29,密度!$A$2:$A$50,密度!$Q$2:$Q$50))</f>
        <v>24607.380921912001</v>
      </c>
      <c r="E28" s="91" ph="1">
        <f>E27*268.68*LOOKUP(E29,密度!$A$2:$A$50,密度!$C$2:$C$50)+IF(E27&lt;=0,0,1566*LOOKUP(E29,密度!$A$2:$A$50,密度!$C$2:$C$50))</f>
        <v>30252.303208919999</v>
      </c>
      <c r="F28" s="91" ph="1">
        <f>F27*11.702*LOOKUP(F29,密度!$A$2:$A$50,密度!$Q$2:$Q$50)</f>
        <v>44215.35215608</v>
      </c>
      <c r="G28" s="91" ph="1">
        <f>G27*18.322*LOOKUP(G29,密度!$A$2:$A$50,密度!$B$2:$B$50)</f>
        <v>30308.857026000001</v>
      </c>
      <c r="H28" s="91" ph="1">
        <f>H27*18.322*LOOKUP(H29,密度!$A$2:$A$50,密度!$B$2:$B$50)</f>
        <v>36729.380519999999</v>
      </c>
      <c r="I28" s="91" ph="1">
        <f>I27*18.322*LOOKUP(I29,密度!$A$2:$A$50,密度!$Q$2:$Q$50)</f>
        <v>57069.904266800004</v>
      </c>
      <c r="J28" s="91" ph="1">
        <f>J27*18.322*LOOKUP(J29,密度!$A$2:$A$50,密度!$Q$2:$Q$50)</f>
        <v>93598.027877119996</v>
      </c>
      <c r="K28" s="91" ph="1">
        <f>K27*18.322*LOOKUP(K29,密度!$A$2:$A$50,密度!$Q$2:$Q$50)</f>
        <v>657.67845032000002</v>
      </c>
      <c r="L28" s="91" ph="1">
        <f>L27*18.322*LOOKUP(L29,密度!$A$2:$A$50,密度!$Q$2:$Q$50)</f>
        <v>19606.413241280003</v>
      </c>
      <c r="M28" s="91" ph="1">
        <f>M27*18.322*LOOKUP(M29,密度!$A$2:$A$50,密度!$Q$2:$Q$50)</f>
        <v>90898.08476528</v>
      </c>
      <c r="N28" s="91" ph="1">
        <f>N27*18.322*LOOKUP(N29,密度!$A$2:$A$50,密度!$Q$2:$Q$50)</f>
        <v>92144.212355359996</v>
      </c>
      <c r="O28" s="91" ph="1">
        <f>O27*18.322*LOOKUP(O29,密度!$A$2:$A$50,密度!$C$2:$C$50)</f>
        <v>74889.588314799985</v>
      </c>
      <c r="P28" s="91" ph="1">
        <f>P27*11.702*LOOKUP(P29,密度!$A$2:$A$50,密度!$B$2:$B$50)</f>
        <v>8047.0394471999998</v>
      </c>
      <c r="Q28" s="92" ph="1">
        <f>Q27*18.322*LOOKUP(Q29,密度!$A$2:$A$50,密度!$B$2:$B$50)</f>
        <v>40248.170089399995</v>
      </c>
      <c r="R28" s="91" ph="1">
        <f>R27*35.891*LOOKUP(R29,密度!$A$2:$A$50,密度!$C$2:$C$50)</f>
        <v>69316.489289599995</v>
      </c>
      <c r="S28" s="91" ph="1">
        <f>S27*35.891*LOOKUP(S29,密度!$A$2:$A$50,密度!$B$2:$B$50)</f>
        <v>44280.499715400001</v>
      </c>
      <c r="T28" s="91" ph="1">
        <f>T27*35.891*LOOKUP(T29,密度!$A$2:$A$50,密度!$Q$2:$Q$50)</f>
        <v>59737.71401204</v>
      </c>
      <c r="U28" s="91" ph="1">
        <f>U27*35.891</f>
        <v>216422.72999999998</v>
      </c>
      <c r="V28" s="91" ph="1">
        <f>V27*47.051*LOOKUP(V29,密度!$A$2:$A$50,密度!$B$2:$B$50)</f>
        <v>352352.04702599999</v>
      </c>
      <c r="W28" s="91" ph="1">
        <f>W27*47.051*LOOKUP(W29,密度!$A$2:$A$50,密度!$B$2:$B$50)</f>
        <v>392911.44408150006</v>
      </c>
      <c r="X28" s="91" ph="1">
        <f>X27*47.051*LOOKUP(X29,密度!$A$2:$A$50,密度!$I$2:$I$50)</f>
        <v>90381.493931099991</v>
      </c>
      <c r="Y28" s="91" ph="1">
        <f>Y27*47.051*LOOKUP(Y29,密度!$A$2:$A$50,密度!$L$2:$L$50)</f>
        <v>214674.42209000001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48" t="s" ph="1">
        <v>180</v>
      </c>
      <c r="D29" s="74">
        <v>25</v>
      </c>
      <c r="E29" s="74">
        <v>25</v>
      </c>
      <c r="F29" s="74">
        <v>27</v>
      </c>
      <c r="G29" s="74">
        <v>28</v>
      </c>
      <c r="H29" s="74">
        <v>28</v>
      </c>
      <c r="I29" s="74">
        <v>27</v>
      </c>
      <c r="J29" s="74">
        <v>28</v>
      </c>
      <c r="K29" s="74">
        <v>28</v>
      </c>
      <c r="L29" s="74">
        <v>27</v>
      </c>
      <c r="M29" s="74">
        <v>28</v>
      </c>
      <c r="N29" s="74">
        <v>28</v>
      </c>
      <c r="O29" s="74">
        <v>27</v>
      </c>
      <c r="P29" s="74">
        <v>27</v>
      </c>
      <c r="Q29" s="93">
        <v>26</v>
      </c>
      <c r="R29" s="74">
        <v>27</v>
      </c>
      <c r="S29" s="74">
        <v>27</v>
      </c>
      <c r="T29" s="74">
        <v>28</v>
      </c>
      <c r="U29" s="74">
        <v>28</v>
      </c>
      <c r="V29" s="74">
        <v>28</v>
      </c>
      <c r="W29" s="74">
        <v>27</v>
      </c>
      <c r="X29" s="74">
        <v>28</v>
      </c>
      <c r="Y29" s="74">
        <v>28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48" t="s" ph="1">
        <v>5</v>
      </c>
      <c r="F32" s="149" t="s" ph="1">
        <v>43</v>
      </c>
      <c r="G32" s="97" t="s" ph="1">
        <v>4</v>
      </c>
      <c r="H32" s="148" t="s" ph="1">
        <v>5</v>
      </c>
      <c r="I32" s="149" t="s" ph="1">
        <v>43</v>
      </c>
      <c r="J32" s="97" t="s" ph="1">
        <v>4</v>
      </c>
      <c r="K32" s="148" t="s" ph="1">
        <v>5</v>
      </c>
      <c r="L32" s="149" t="s" ph="1">
        <v>43</v>
      </c>
      <c r="M32" s="97" t="s" ph="1">
        <v>4</v>
      </c>
      <c r="N32" s="148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8" t="s" ph="1">
        <v>5</v>
      </c>
      <c r="U32" s="99" t="s" ph="1">
        <v>43</v>
      </c>
      <c r="V32" s="97" t="s" ph="1">
        <v>4</v>
      </c>
      <c r="W32" s="148" t="s" ph="1">
        <v>5</v>
      </c>
      <c r="X32" s="99" t="s" ph="1">
        <v>43</v>
      </c>
      <c r="Y32" s="100" t="s" ph="1">
        <v>4</v>
      </c>
      <c r="Z32" s="148" t="s" ph="1">
        <v>5</v>
      </c>
      <c r="AA32" s="149" t="s" ph="1">
        <v>43</v>
      </c>
      <c r="AB32" s="97" t="s" ph="1">
        <v>85</v>
      </c>
      <c r="AC32" s="148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126205.2443985</v>
      </c>
      <c r="E33" s="193" ph="1">
        <f>M10+I10</f>
        <v>103439.40062370001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9" ph="1">
        <v>0</v>
      </c>
      <c r="H33" s="193" ph="1">
        <f>N19</f>
        <v>25414.473583440002</v>
      </c>
      <c r="I33" s="197" ph="1">
        <v>0</v>
      </c>
      <c r="J33" s="201" ph="1">
        <f>F10+O28</f>
        <v>337543.92397539999</v>
      </c>
      <c r="K33" s="193" ph="1">
        <f>O10+K10+E28+R28</f>
        <v>128789.50032491999</v>
      </c>
      <c r="L33" s="203" ph="1">
        <f>BE27</f>
        <v>7100</v>
      </c>
      <c r="M33" s="201" ph="1">
        <f>G10+H10+W28+S28+V28+E10</f>
        <v>1305408.2546289</v>
      </c>
      <c r="N33" s="193" ph="1">
        <f>L10+P10++G28+H28</f>
        <v>166457.78697799999</v>
      </c>
      <c r="O33" s="197" ph="1">
        <f>BE17</f>
        <v>2270</v>
      </c>
      <c r="P33" s="201" ph="1">
        <f>L19</f>
        <v>22884.770935400004</v>
      </c>
      <c r="Q33" s="193" ph="1">
        <f>J10+N10</f>
        <v>124893.0242516</v>
      </c>
      <c r="R33" s="197" ph="1">
        <f>BE23</f>
        <v>890</v>
      </c>
      <c r="S33" s="201" ph="1">
        <f>E10+X28</f>
        <v>279136.13127509999</v>
      </c>
      <c r="T33" s="193" ph="1">
        <f>X19</f>
        <v>6074.482341599999</v>
      </c>
      <c r="U33" s="182" ph="1">
        <f>BE21</f>
        <v>730</v>
      </c>
      <c r="V33" s="195" ph="1">
        <f ca="1">P19+Q19+S19+M28+N28+J28</f>
        <v>397354.529414944</v>
      </c>
      <c r="W33" s="195" ph="1">
        <f>D28+F28+V19+T28</f>
        <v>154114.17470538401</v>
      </c>
      <c r="X33" s="197" ph="1">
        <f>BE29+BE31</f>
        <v>10200</v>
      </c>
      <c r="Y33" s="199" ph="1">
        <f>+Q10+R10+S10+T10+U10+V10+W10+X10+Y10</f>
        <v>185060.45776680001</v>
      </c>
      <c r="Z33" s="180" ph="1">
        <f>D10+T19+U19+Y28+Z10</f>
        <v>579090.26122976001</v>
      </c>
      <c r="AA33" s="182" ph="1">
        <f>BE19</f>
        <v>1440</v>
      </c>
      <c r="AB33" s="184" ph="1">
        <f>I19</f>
        <v>1097.5728699999997</v>
      </c>
      <c r="AC33" s="186" ph="1">
        <f>AD10</f>
        <v>86379.40578239999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50" t="s" ph="1">
        <v>186</v>
      </c>
      <c r="AA36" s="150" ph="1"/>
      <c r="AB36" s="179" t="s" ph="1">
        <v>646</v>
      </c>
      <c r="AC36" s="179" ph="1"/>
      <c r="AD36" s="179" ph="1"/>
      <c r="AE36" s="179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345</v>
      </c>
      <c r="AI37" s="150" t="s" ph="1">
        <v>212</v>
      </c>
      <c r="AJ37" s="150" t="s" ph="1">
        <v>213</v>
      </c>
      <c r="AK37" s="150" t="s" ph="1">
        <v>214</v>
      </c>
      <c r="AM37" s="150" t="s" ph="1">
        <v>213</v>
      </c>
      <c r="AN37" s="150" t="s" ph="1">
        <v>214</v>
      </c>
      <c r="AO37" s="150" t="s" ph="1">
        <v>215</v>
      </c>
      <c r="AP37" s="150" t="s" ph="1">
        <v>213</v>
      </c>
      <c r="AQ37" s="150" t="s" ph="1">
        <v>214</v>
      </c>
      <c r="AR37" s="150" t="s" ph="1">
        <v>215</v>
      </c>
      <c r="AS37" s="150" t="s" ph="1">
        <v>213</v>
      </c>
      <c r="AT37" s="150" t="s" ph="1">
        <v>214</v>
      </c>
      <c r="AU37" s="150" t="s" ph="1">
        <v>215</v>
      </c>
      <c r="AV37" s="150" t="s" ph="1">
        <v>213</v>
      </c>
      <c r="AW37" s="150" t="s" ph="1">
        <v>214</v>
      </c>
      <c r="AX37" s="150" t="s" ph="1">
        <v>215</v>
      </c>
      <c r="AY37" s="150" t="s" ph="1">
        <v>214</v>
      </c>
      <c r="AZ37" s="150" t="s" ph="1">
        <v>216</v>
      </c>
      <c r="BD37" s="150" t="s" ph="1">
        <v>308</v>
      </c>
      <c r="BE37" s="150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69" priority="97">
      <formula>ABS(D$7-D$10)&gt;=1000</formula>
    </cfRule>
  </conditionalFormatting>
  <conditionalFormatting sqref="E4 E6:E11">
    <cfRule type="expression" dxfId="1268" priority="96">
      <formula>ABS(E$7-E$10)&gt;=1000</formula>
    </cfRule>
  </conditionalFormatting>
  <conditionalFormatting sqref="F4:F11">
    <cfRule type="expression" dxfId="1267" priority="95">
      <formula>ABS(F$7-F$10)&gt;=1000</formula>
    </cfRule>
  </conditionalFormatting>
  <conditionalFormatting sqref="G4:G11">
    <cfRule type="expression" dxfId="1266" priority="94">
      <formula>ABS(G$7-G$10)&gt;=1000</formula>
    </cfRule>
  </conditionalFormatting>
  <conditionalFormatting sqref="H4:H11">
    <cfRule type="expression" dxfId="1265" priority="93">
      <formula>ABS(H$7-H$10)&gt;=1000</formula>
    </cfRule>
  </conditionalFormatting>
  <conditionalFormatting sqref="I4:I11">
    <cfRule type="expression" dxfId="1264" priority="92">
      <formula>ABS(I$7-I$10)&gt;=1000</formula>
    </cfRule>
  </conditionalFormatting>
  <conditionalFormatting sqref="J4:J11">
    <cfRule type="expression" dxfId="1263" priority="91">
      <formula>ABS(J$7-J$10)&gt;=1000</formula>
    </cfRule>
  </conditionalFormatting>
  <conditionalFormatting sqref="K4:K11">
    <cfRule type="expression" dxfId="1262" priority="90">
      <formula>ABS(K$7-K$10)&gt;=1000</formula>
    </cfRule>
  </conditionalFormatting>
  <conditionalFormatting sqref="L4:L11">
    <cfRule type="expression" dxfId="1261" priority="89">
      <formula>ABS(L$7-L$10)&gt;=1000</formula>
    </cfRule>
  </conditionalFormatting>
  <conditionalFormatting sqref="M4 M6:M11">
    <cfRule type="expression" dxfId="1260" priority="88">
      <formula>ABS(M$7-M$10)&gt;=1000</formula>
    </cfRule>
  </conditionalFormatting>
  <conditionalFormatting sqref="N4 N6:N11">
    <cfRule type="expression" dxfId="1259" priority="87">
      <formula>ABS(N$7-N$10)&gt;=1000</formula>
    </cfRule>
  </conditionalFormatting>
  <conditionalFormatting sqref="O4 O6:O11">
    <cfRule type="expression" dxfId="1258" priority="86">
      <formula>ABS(O$7-O$10)&gt;=1000</formula>
    </cfRule>
  </conditionalFormatting>
  <conditionalFormatting sqref="P4 P6:P11">
    <cfRule type="expression" dxfId="1257" priority="85">
      <formula>ABS(P$7-P$10)&gt;=1000</formula>
    </cfRule>
  </conditionalFormatting>
  <conditionalFormatting sqref="Q4:Q11">
    <cfRule type="expression" dxfId="1256" priority="84">
      <formula>ABS(Q$7-Q$10)&gt;=1000</formula>
    </cfRule>
  </conditionalFormatting>
  <conditionalFormatting sqref="R4:R11">
    <cfRule type="expression" dxfId="1255" priority="83">
      <formula>ABS(R$7-R$10)&gt;=1000</formula>
    </cfRule>
  </conditionalFormatting>
  <conditionalFormatting sqref="S4:S11">
    <cfRule type="expression" dxfId="1254" priority="82">
      <formula>ABS(S$7-S$10)&gt;=1000</formula>
    </cfRule>
  </conditionalFormatting>
  <conditionalFormatting sqref="T4:T9 T11">
    <cfRule type="expression" dxfId="1253" priority="81">
      <formula>ABS(T$7-T$10)&gt;=1000</formula>
    </cfRule>
  </conditionalFormatting>
  <conditionalFormatting sqref="U4:U9 U11">
    <cfRule type="expression" dxfId="1252" priority="80">
      <formula>ABS(U$7-U$10)&gt;=1000</formula>
    </cfRule>
  </conditionalFormatting>
  <conditionalFormatting sqref="V4:V9 V11">
    <cfRule type="expression" dxfId="1251" priority="79">
      <formula>ABS(V$7-V$10)&gt;=1000</formula>
    </cfRule>
  </conditionalFormatting>
  <conditionalFormatting sqref="W4:W9 W11">
    <cfRule type="expression" dxfId="1250" priority="78">
      <formula>ABS(W$7-W$10)&gt;=1000</formula>
    </cfRule>
  </conditionalFormatting>
  <conditionalFormatting sqref="X4:X9 X11">
    <cfRule type="expression" dxfId="1249" priority="77">
      <formula>ABS(X$7-X$10)&gt;=1000</formula>
    </cfRule>
  </conditionalFormatting>
  <conditionalFormatting sqref="Y4:Y9 Y11">
    <cfRule type="expression" dxfId="1248" priority="76">
      <formula>ABS(Y$7-Y$10)&gt;=1000</formula>
    </cfRule>
  </conditionalFormatting>
  <conditionalFormatting sqref="Z4:Z11">
    <cfRule type="expression" dxfId="1247" priority="75">
      <formula>ABS(Z$7-Z$10)&gt;=1000</formula>
    </cfRule>
  </conditionalFormatting>
  <conditionalFormatting sqref="AA4:AA11">
    <cfRule type="expression" dxfId="1246" priority="74">
      <formula>ABS(AA$7-AA$10)&gt;=1000</formula>
    </cfRule>
  </conditionalFormatting>
  <conditionalFormatting sqref="AB4:AB11">
    <cfRule type="expression" dxfId="1245" priority="73">
      <formula>ABS(AB$7-AB$10)&gt;=1000</formula>
    </cfRule>
  </conditionalFormatting>
  <conditionalFormatting sqref="AC4 AC6:AC11">
    <cfRule type="expression" dxfId="1244" priority="72">
      <formula>ABS(AC$7-AC$10)&gt;=1000</formula>
    </cfRule>
  </conditionalFormatting>
  <conditionalFormatting sqref="AD4:AD11">
    <cfRule type="expression" dxfId="1243" priority="71">
      <formula>ABS(AD$7-AD$10)&gt;=1000</formula>
    </cfRule>
  </conditionalFormatting>
  <conditionalFormatting sqref="AE4:AE11">
    <cfRule type="expression" dxfId="1242" priority="70">
      <formula>ABS(AE$7-AE$10)&gt;=1000</formula>
    </cfRule>
  </conditionalFormatting>
  <conditionalFormatting sqref="D13:D20">
    <cfRule type="expression" dxfId="1241" priority="69">
      <formula>ABS(D$16-D$19)&gt;=1000</formula>
    </cfRule>
  </conditionalFormatting>
  <conditionalFormatting sqref="E13:E20">
    <cfRule type="expression" dxfId="1240" priority="68">
      <formula>ABS(E$16-E$19)&gt;=1000</formula>
    </cfRule>
  </conditionalFormatting>
  <conditionalFormatting sqref="F13 F15:F20">
    <cfRule type="expression" dxfId="1239" priority="67">
      <formula>ABS(F$16-F$19)&gt;=1000</formula>
    </cfRule>
  </conditionalFormatting>
  <conditionalFormatting sqref="G13:G20">
    <cfRule type="expression" dxfId="1238" priority="66">
      <formula>ABS(G$16-G$19)&gt;=1000</formula>
    </cfRule>
  </conditionalFormatting>
  <conditionalFormatting sqref="H13:H20">
    <cfRule type="expression" dxfId="1237" priority="65">
      <formula>ABS(H$16-H$19)&gt;=1000</formula>
    </cfRule>
  </conditionalFormatting>
  <conditionalFormatting sqref="I13:I20">
    <cfRule type="expression" dxfId="1236" priority="64">
      <formula>ABS(I$16-I$19)&gt;=1000</formula>
    </cfRule>
  </conditionalFormatting>
  <conditionalFormatting sqref="J13:J20">
    <cfRule type="expression" dxfId="1235" priority="63">
      <formula>ABS(J$16-J$19)&gt;=1000</formula>
    </cfRule>
  </conditionalFormatting>
  <conditionalFormatting sqref="L13:L20">
    <cfRule type="expression" dxfId="1234" priority="62">
      <formula>ABS(L$16-L$19)&gt;=1000</formula>
    </cfRule>
  </conditionalFormatting>
  <conditionalFormatting sqref="M13 M15 M17:M18 M20">
    <cfRule type="expression" dxfId="1233" priority="61">
      <formula>ABS(M$16-M$19)&gt;=1000</formula>
    </cfRule>
  </conditionalFormatting>
  <conditionalFormatting sqref="N13:N20">
    <cfRule type="expression" dxfId="1232" priority="60">
      <formula>ABS(N$16-N$19)&gt;=1000</formula>
    </cfRule>
  </conditionalFormatting>
  <conditionalFormatting sqref="O13:O20">
    <cfRule type="expression" dxfId="1231" priority="59">
      <formula>ABS(O$16-O$19)&gt;=1000</formula>
    </cfRule>
  </conditionalFormatting>
  <conditionalFormatting sqref="P13:P20">
    <cfRule type="expression" dxfId="1230" priority="58">
      <formula>ABS(P$16-P$19)&gt;=1000</formula>
    </cfRule>
  </conditionalFormatting>
  <conditionalFormatting sqref="Q13 Q15:Q20">
    <cfRule type="expression" dxfId="1229" priority="57">
      <formula>ABS(Q$16-Q$19)&gt;=1000</formula>
    </cfRule>
  </conditionalFormatting>
  <conditionalFormatting sqref="R13:R20">
    <cfRule type="expression" dxfId="1228" priority="56">
      <formula>ABS(R$16-R$19)&gt;=1000</formula>
    </cfRule>
  </conditionalFormatting>
  <conditionalFormatting sqref="S13:S20">
    <cfRule type="expression" dxfId="1227" priority="55">
      <formula>ABS(S$16-S$19)&gt;=1000</formula>
    </cfRule>
  </conditionalFormatting>
  <conditionalFormatting sqref="T13:T20">
    <cfRule type="expression" dxfId="1226" priority="54">
      <formula>ABS(T$16-T$19)&gt;=1000</formula>
    </cfRule>
  </conditionalFormatting>
  <conditionalFormatting sqref="U13:U20">
    <cfRule type="expression" dxfId="1225" priority="53">
      <formula>ABS(U$16-U$19)&gt;=1000</formula>
    </cfRule>
  </conditionalFormatting>
  <conditionalFormatting sqref="V13:V20">
    <cfRule type="expression" dxfId="1224" priority="52">
      <formula>ABS(V$16-V$19)&gt;=1000</formula>
    </cfRule>
  </conditionalFormatting>
  <conditionalFormatting sqref="W13 W20 W15:W18">
    <cfRule type="expression" dxfId="1223" priority="51">
      <formula>ABS(W$16-W$19)&gt;=1000</formula>
    </cfRule>
  </conditionalFormatting>
  <conditionalFormatting sqref="X13 X15:X20 Y19">
    <cfRule type="expression" dxfId="1222" priority="50">
      <formula>ABS(X$16-X$19)&gt;=1000</formula>
    </cfRule>
  </conditionalFormatting>
  <conditionalFormatting sqref="Y13 Y15:Y18 Y20">
    <cfRule type="expression" dxfId="1221" priority="49">
      <formula>ABS(Y$16-Y$19)&gt;=1000</formula>
    </cfRule>
  </conditionalFormatting>
  <conditionalFormatting sqref="Z13:Z20">
    <cfRule type="expression" dxfId="1220" priority="48">
      <formula>ABS(Z$16-Z$19)&gt;=1000</formula>
    </cfRule>
  </conditionalFormatting>
  <conditionalFormatting sqref="AA13:AA20">
    <cfRule type="expression" dxfId="1219" priority="47">
      <formula>ABS(AA$16-AA$19)&gt;=1000</formula>
    </cfRule>
  </conditionalFormatting>
  <conditionalFormatting sqref="AB13 AB15:AB20">
    <cfRule type="expression" dxfId="1218" priority="46">
      <formula>ABS(AB$16-AB$19)&gt;=1000</formula>
    </cfRule>
  </conditionalFormatting>
  <conditionalFormatting sqref="AC13 AC15:AC20">
    <cfRule type="expression" dxfId="1217" priority="45">
      <formula>ABS(AC$16-AC$19)&gt;=1000</formula>
    </cfRule>
  </conditionalFormatting>
  <conditionalFormatting sqref="AD13:AD20">
    <cfRule type="expression" dxfId="1216" priority="44">
      <formula>ABS(AD$16-AD$19)&gt;=1000</formula>
    </cfRule>
  </conditionalFormatting>
  <conditionalFormatting sqref="AE13:AE20">
    <cfRule type="expression" dxfId="1215" priority="43">
      <formula>ABS(AE$16-AE$19)&gt;=1000</formula>
    </cfRule>
  </conditionalFormatting>
  <conditionalFormatting sqref="D22:D29">
    <cfRule type="expression" dxfId="1214" priority="42">
      <formula>ABS(D$25-D$28)&gt;=1000</formula>
    </cfRule>
  </conditionalFormatting>
  <conditionalFormatting sqref="E22:E29">
    <cfRule type="expression" dxfId="1213" priority="41">
      <formula>ABS(E$25-E$28)&gt;=1000</formula>
    </cfRule>
  </conditionalFormatting>
  <conditionalFormatting sqref="F22:F29">
    <cfRule type="expression" dxfId="1212" priority="40">
      <formula>ABS(F$25-F$28)&gt;=1000</formula>
    </cfRule>
  </conditionalFormatting>
  <conditionalFormatting sqref="G22:G29">
    <cfRule type="expression" dxfId="1211" priority="39">
      <formula>ABS(G$25-G$28)&gt;=1000</formula>
    </cfRule>
  </conditionalFormatting>
  <conditionalFormatting sqref="H22:H29">
    <cfRule type="expression" dxfId="1210" priority="38">
      <formula>ABS(H$25-H$28)&gt;=1000</formula>
    </cfRule>
  </conditionalFormatting>
  <conditionalFormatting sqref="I22 I24:I29">
    <cfRule type="expression" dxfId="1209" priority="37">
      <formula>ABS(I$25-I$28)&gt;=1000</formula>
    </cfRule>
  </conditionalFormatting>
  <conditionalFormatting sqref="J22:J29 K22">
    <cfRule type="expression" dxfId="1208" priority="36">
      <formula>ABS(J$25-J$28)&gt;=1000</formula>
    </cfRule>
  </conditionalFormatting>
  <conditionalFormatting sqref="K23:K29 L25 L28">
    <cfRule type="expression" dxfId="1207" priority="35">
      <formula>ABS(K$25-K$28)&gt;=1000</formula>
    </cfRule>
  </conditionalFormatting>
  <conditionalFormatting sqref="L22 L26:L27 L29 L24">
    <cfRule type="expression" dxfId="1206" priority="34">
      <formula>ABS(L$25-L$28)&gt;=1000</formula>
    </cfRule>
  </conditionalFormatting>
  <conditionalFormatting sqref="M22:M29">
    <cfRule type="expression" dxfId="1205" priority="33">
      <formula>ABS(M$25-M$28)&gt;=1000</formula>
    </cfRule>
  </conditionalFormatting>
  <conditionalFormatting sqref="N22:N29">
    <cfRule type="expression" dxfId="1204" priority="32">
      <formula>ABS(N$25-N$28)&gt;=1000</formula>
    </cfRule>
  </conditionalFormatting>
  <conditionalFormatting sqref="O22:O29">
    <cfRule type="expression" dxfId="1203" priority="31">
      <formula>ABS(O$25-O$28)&gt;=1000</formula>
    </cfRule>
  </conditionalFormatting>
  <conditionalFormatting sqref="P22:P29">
    <cfRule type="expression" dxfId="1202" priority="30">
      <formula>ABS(P$25-P$28)&gt;=1000</formula>
    </cfRule>
  </conditionalFormatting>
  <conditionalFormatting sqref="Q22:Q29">
    <cfRule type="expression" dxfId="1201" priority="29">
      <formula>ABS(Q$25-Q$28)&gt;=1000</formula>
    </cfRule>
  </conditionalFormatting>
  <conditionalFormatting sqref="R22:R29">
    <cfRule type="expression" dxfId="1200" priority="28">
      <formula>ABS(R$25-R$28)&gt;=1000</formula>
    </cfRule>
  </conditionalFormatting>
  <conditionalFormatting sqref="S22:S29">
    <cfRule type="expression" dxfId="1199" priority="27">
      <formula>ABS(S$25-S$28)&gt;=1000</formula>
    </cfRule>
  </conditionalFormatting>
  <conditionalFormatting sqref="T22:T29">
    <cfRule type="expression" dxfId="1198" priority="26">
      <formula>ABS(T$25-T$28)&gt;=1000</formula>
    </cfRule>
  </conditionalFormatting>
  <conditionalFormatting sqref="U22:U29">
    <cfRule type="expression" dxfId="1197" priority="25">
      <formula>ABS(U$25-U$28)&gt;=1000</formula>
    </cfRule>
  </conditionalFormatting>
  <conditionalFormatting sqref="V22:V29">
    <cfRule type="expression" dxfId="1196" priority="24">
      <formula>ABS(V$25-V$28)&gt;=1000</formula>
    </cfRule>
  </conditionalFormatting>
  <conditionalFormatting sqref="W22:W29">
    <cfRule type="expression" dxfId="1195" priority="23">
      <formula>ABS(W$25-W$28)&gt;=1000</formula>
    </cfRule>
  </conditionalFormatting>
  <conditionalFormatting sqref="X22:X29">
    <cfRule type="expression" dxfId="1194" priority="22">
      <formula>ABS(X$25-X$28)&gt;=1000</formula>
    </cfRule>
  </conditionalFormatting>
  <conditionalFormatting sqref="Y22:Y29">
    <cfRule type="expression" dxfId="1193" priority="21">
      <formula>ABS(Y$25-Y$28)&gt;=1000</formula>
    </cfRule>
  </conditionalFormatting>
  <conditionalFormatting sqref="I23">
    <cfRule type="expression" dxfId="1192" priority="20">
      <formula>ABS(I$25-I$28)&gt;=1000</formula>
    </cfRule>
  </conditionalFormatting>
  <conditionalFormatting sqref="F14">
    <cfRule type="expression" dxfId="1191" priority="19">
      <formula>ABS(F$16-F$19)&gt;=1000</formula>
    </cfRule>
  </conditionalFormatting>
  <conditionalFormatting sqref="Q14">
    <cfRule type="expression" dxfId="1190" priority="18">
      <formula>ABS(Q$16-Q$19)&gt;=1000</formula>
    </cfRule>
  </conditionalFormatting>
  <conditionalFormatting sqref="W14">
    <cfRule type="expression" dxfId="1189" priority="17">
      <formula>ABS(W$16-W$19)&gt;=1000</formula>
    </cfRule>
  </conditionalFormatting>
  <conditionalFormatting sqref="Y14">
    <cfRule type="expression" dxfId="1188" priority="16">
      <formula>ABS(Y$16-Y$19)&gt;=1000</formula>
    </cfRule>
  </conditionalFormatting>
  <conditionalFormatting sqref="X14">
    <cfRule type="expression" dxfId="1187" priority="15">
      <formula>ABS(X$16-X$19)&gt;=1000</formula>
    </cfRule>
  </conditionalFormatting>
  <conditionalFormatting sqref="T10:Y10">
    <cfRule type="expression" dxfId="1186" priority="14">
      <formula>ABS(T$7-T$10)&gt;=1000</formula>
    </cfRule>
  </conditionalFormatting>
  <conditionalFormatting sqref="W19">
    <cfRule type="expression" dxfId="1185" priority="13">
      <formula>ABS(W$16-W$19)&gt;=1000</formula>
    </cfRule>
  </conditionalFormatting>
  <conditionalFormatting sqref="AC5">
    <cfRule type="expression" dxfId="1184" priority="12">
      <formula>ABS(AC$7-AC$10)&gt;=1000</formula>
    </cfRule>
  </conditionalFormatting>
  <conditionalFormatting sqref="M14">
    <cfRule type="expression" dxfId="1183" priority="11">
      <formula>ABS(M$16-M$19)&gt;=1000</formula>
    </cfRule>
  </conditionalFormatting>
  <conditionalFormatting sqref="M16">
    <cfRule type="expression" dxfId="1182" priority="10">
      <formula>ABS(M$16-M$19)&gt;=1000</formula>
    </cfRule>
  </conditionalFormatting>
  <conditionalFormatting sqref="M19">
    <cfRule type="expression" dxfId="1181" priority="9">
      <formula>ABS(M$16-M$19)&gt;=1000</formula>
    </cfRule>
  </conditionalFormatting>
  <conditionalFormatting sqref="K13:K20">
    <cfRule type="expression" dxfId="1180" priority="8">
      <formula>ABS(K$16-K$19)&gt;=1000</formula>
    </cfRule>
  </conditionalFormatting>
  <conditionalFormatting sqref="E5">
    <cfRule type="expression" dxfId="1179" priority="7">
      <formula>ABS(E$7-E$10)&gt;=1000</formula>
    </cfRule>
  </conditionalFormatting>
  <conditionalFormatting sqref="AB14:AC14">
    <cfRule type="expression" dxfId="1178" priority="6">
      <formula>ABS(AB$16-AB$19)&gt;=1000</formula>
    </cfRule>
  </conditionalFormatting>
  <conditionalFormatting sqref="M5">
    <cfRule type="expression" dxfId="1177" priority="5">
      <formula>ABS(M$7-M$10)&gt;=1000</formula>
    </cfRule>
  </conditionalFormatting>
  <conditionalFormatting sqref="N5">
    <cfRule type="expression" dxfId="1176" priority="4">
      <formula>ABS(N$7-N$10)&gt;=1000</formula>
    </cfRule>
  </conditionalFormatting>
  <conditionalFormatting sqref="O5">
    <cfRule type="expression" dxfId="1175" priority="3">
      <formula>ABS(O$7-O$10)&gt;=1000</formula>
    </cfRule>
  </conditionalFormatting>
  <conditionalFormatting sqref="P5">
    <cfRule type="expression" dxfId="1174" priority="2">
      <formula>ABS(P$7-P$10)&gt;=1000</formula>
    </cfRule>
  </conditionalFormatting>
  <conditionalFormatting sqref="L23">
    <cfRule type="expression" dxfId="1173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39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1">
    <pageSetUpPr fitToPage="1"/>
  </sheetPr>
  <dimension ref="A1:CU223"/>
  <sheetViews>
    <sheetView view="pageBreakPreview" topLeftCell="A4" zoomScale="80" zoomScaleNormal="100" zoomScaleSheetLayoutView="80" workbookViewId="0">
      <selection activeCell="Y24" sqref="Y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45812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53" t="s" ph="1">
        <v>178</v>
      </c>
      <c r="D6" s="71">
        <v>4942</v>
      </c>
      <c r="E6" s="71">
        <v>4701</v>
      </c>
      <c r="F6" s="71">
        <v>7138</v>
      </c>
      <c r="G6" s="71">
        <v>6566</v>
      </c>
      <c r="H6" s="71">
        <v>1030</v>
      </c>
      <c r="I6" s="71">
        <v>47.12</v>
      </c>
      <c r="J6" s="71">
        <v>7.82</v>
      </c>
      <c r="K6" s="71">
        <v>7.71</v>
      </c>
      <c r="L6" s="71">
        <v>41.92</v>
      </c>
      <c r="M6" s="71">
        <v>3200</v>
      </c>
      <c r="N6" s="71">
        <v>4669</v>
      </c>
      <c r="O6" s="71">
        <v>1032</v>
      </c>
      <c r="P6" s="71">
        <v>2784</v>
      </c>
      <c r="Q6" s="71">
        <v>7218</v>
      </c>
      <c r="R6" s="71">
        <v>6987</v>
      </c>
      <c r="S6" s="71">
        <v>1990</v>
      </c>
      <c r="T6" s="71">
        <v>1905</v>
      </c>
      <c r="U6" s="71">
        <v>0</v>
      </c>
      <c r="V6" s="71">
        <v>0</v>
      </c>
      <c r="W6" s="71">
        <v>0</v>
      </c>
      <c r="X6" s="71">
        <v>1135</v>
      </c>
      <c r="Y6" s="71">
        <v>5171</v>
      </c>
      <c r="Z6" s="71">
        <v>4715</v>
      </c>
      <c r="AA6" s="71">
        <v>1826</v>
      </c>
      <c r="AB6" s="71">
        <v>2045</v>
      </c>
      <c r="AC6" s="71">
        <v>4136</v>
      </c>
      <c r="AD6" s="71">
        <v>4399</v>
      </c>
      <c r="AE6" s="71">
        <v>3302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155023.39169352001</v>
      </c>
      <c r="E7" s="73" ph="1">
        <f>E6*51.53*LOOKUP(E8,密度!$A$2:$A$50,密度!$B$2:$B$50)</f>
        <v>188852.276388</v>
      </c>
      <c r="F7" s="73" ph="1">
        <f>F6*33.183*LOOKUP(F8,密度!$A$2:$A$50,密度!$C$2:$C$50)</f>
        <v>262820.13783839997</v>
      </c>
      <c r="G7" s="73" ph="1">
        <f xml:space="preserve"> (G6+2)*51.53*LOOKUP(G8,密度!$A$2:$A$50,密度!$B$2:$B$50)</f>
        <v>263854.87158399995</v>
      </c>
      <c r="H7" s="73" ph="1">
        <f>(H6)*51.53*LOOKUP(H8,密度!$A$2:$A$50,密度!$B$2:$B$50)</f>
        <v>41616.813190000001</v>
      </c>
      <c r="I7" s="73" ph="1">
        <f>I6*290.8*1.0267</f>
        <v>14068.352643199998</v>
      </c>
      <c r="J7" s="73" ph="1">
        <f>J6*290.8*0.7892</f>
        <v>1794.6849952</v>
      </c>
      <c r="K7" s="73" ph="1">
        <f>K6*290.8*1.1126</f>
        <v>2494.5248568000002</v>
      </c>
      <c r="L7" s="73" ph="1">
        <f>L6*290.8*0.777</f>
        <v>9471.8910720000003</v>
      </c>
      <c r="M7" s="73" ph="1">
        <f>M6*33.183*LOOKUP(M8,密度!$A$2:$A$50,密度!$D$2:$D$50)</f>
        <v>108925.18848000001</v>
      </c>
      <c r="N7" s="73" ph="1">
        <f>N6*33.183*LOOKUP(N8,密度!$A$2:$A$50,密度!$E$2:$E$50)</f>
        <v>121001.444487</v>
      </c>
      <c r="O7" s="73" ph="1">
        <f>O6*20.428*LOOKUP(O8,密度!$A$2:$A$50,密度!$C$2:$C$50)</f>
        <v>23345.870150399998</v>
      </c>
      <c r="P7" s="73" ph="1">
        <f>P6*51.53*LOOKUP(P8,密度!$A$2:$A$50,密度!$B$2:$B$50)</f>
        <v>111841.04179199999</v>
      </c>
      <c r="Q7" s="73" ph="1">
        <f>Q6*1.5*1.5*3.1416*LOOKUP(W8,密度!$A$2:$A$50,密度!$L$2:$L$50)</f>
        <v>47806.822047599999</v>
      </c>
      <c r="R7" s="73" ph="1">
        <f>R6*1.5*1.5*3.1416*LOOKUP(R8,密度!$A$2:$A$50,密度!$L$2:$L$50)</f>
        <v>46029.903242400003</v>
      </c>
      <c r="S7" s="73" ph="1">
        <f>S6*1.5*1.5*3.1416*LOOKUP(S8,密度!$A$2:$A$50,密度!$L$2:$L$50)</f>
        <v>13250.656187999999</v>
      </c>
      <c r="T7" s="73" ph="1">
        <f>T6*1.5*1.5*3.1416*LOOKUP(T8,密度!$A$2:$A$50,密度!$L$2:$L$50)</f>
        <v>12644.276336999998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7517.4207570000008</v>
      </c>
      <c r="Y7" s="73" ph="1">
        <f>Y6*1.5*1.5*3.1416*LOOKUP(Y8,密度!$A$2:$A$50,密度!$L$2:$L$50)</f>
        <v>34248.971572200004</v>
      </c>
      <c r="Z7" s="73" ph="1">
        <f>Z6*33.183*LOOKUP(Z8,密度!$A$2:$A$50,密度!$L$2:$L$50)</f>
        <v>146913.916455</v>
      </c>
      <c r="AA7" s="73" ph="1">
        <f>AA6*33.183*LOOKUP(AA8,密度!$A$2:$A$50,密度!$D$2:$D$50)</f>
        <v>62209.968618599996</v>
      </c>
      <c r="AB7" s="73" ph="1">
        <f>AB6*20.428*LOOKUP(AB8,密度!$A$2:$A$50,密度!$D$2:$D$50)</f>
        <v>43191.441314000003</v>
      </c>
      <c r="AC7" s="73" ph="1">
        <f>AC6*51.53*LOOKUP(AC8,密度!$A$2:$A$50,密度!$Q$2:$Q$50)</f>
        <v>202088.04545600002</v>
      </c>
      <c r="AD7" s="73" ph="1">
        <f>AD6*20.428*LOOKUP(AD8,密度!$A$2:$A$50,密度!$V$2:$V$50)</f>
        <v>86340.151337599993</v>
      </c>
      <c r="AE7" s="73" ph="1">
        <f>AE6*20.428</f>
        <v>67453.256000000008</v>
      </c>
    </row>
    <row r="8" spans="1:99" ph="1">
      <c r="B8" s="244" ph="1"/>
      <c r="C8" s="68" t="s" ph="1">
        <v>180</v>
      </c>
      <c r="D8" s="74">
        <v>27</v>
      </c>
      <c r="E8" s="74">
        <v>25</v>
      </c>
      <c r="F8" s="74">
        <v>24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27</v>
      </c>
      <c r="P8" s="74">
        <v>25</v>
      </c>
      <c r="Q8" s="74">
        <v>26</v>
      </c>
      <c r="R8" s="74">
        <v>30</v>
      </c>
      <c r="S8" s="74">
        <v>20</v>
      </c>
      <c r="T8" s="74">
        <v>23</v>
      </c>
      <c r="U8" s="74">
        <v>24</v>
      </c>
      <c r="V8" s="74">
        <v>28</v>
      </c>
      <c r="W8" s="74">
        <v>25</v>
      </c>
      <c r="X8" s="74">
        <v>25</v>
      </c>
      <c r="Y8" s="74">
        <v>25</v>
      </c>
      <c r="Z8" s="74">
        <v>23</v>
      </c>
      <c r="AA8" s="74">
        <v>25</v>
      </c>
      <c r="AB8" s="74">
        <v>17</v>
      </c>
      <c r="AC8" s="74">
        <v>23</v>
      </c>
      <c r="AD8" s="74">
        <v>24</v>
      </c>
      <c r="AE8" s="74">
        <v>22</v>
      </c>
    </row>
    <row r="9" spans="1:99" ht="26.4" ph="1">
      <c r="B9" s="244" ph="1">
        <v>0.66666666666666663</v>
      </c>
      <c r="C9" s="153" t="s" ph="1">
        <v>181</v>
      </c>
      <c r="D9" s="71">
        <v>4943</v>
      </c>
      <c r="E9" s="71">
        <v>4703</v>
      </c>
      <c r="F9" s="71">
        <v>7138</v>
      </c>
      <c r="G9" s="71">
        <v>6656</v>
      </c>
      <c r="H9" s="71">
        <v>1030</v>
      </c>
      <c r="I9" s="71">
        <v>20.61</v>
      </c>
      <c r="J9" s="71">
        <v>7.82</v>
      </c>
      <c r="K9" s="71">
        <v>7.74</v>
      </c>
      <c r="L9" s="71">
        <v>40.01</v>
      </c>
      <c r="M9" s="71">
        <v>3714</v>
      </c>
      <c r="N9" s="71">
        <v>4670</v>
      </c>
      <c r="O9" s="71">
        <v>1032</v>
      </c>
      <c r="P9" s="71">
        <v>2674</v>
      </c>
      <c r="Q9" s="71">
        <v>7222</v>
      </c>
      <c r="R9" s="71">
        <v>6992</v>
      </c>
      <c r="S9" s="71">
        <v>4439</v>
      </c>
      <c r="T9" s="71">
        <v>4013</v>
      </c>
      <c r="U9" s="71">
        <v>0</v>
      </c>
      <c r="V9" s="71">
        <v>0</v>
      </c>
      <c r="W9" s="71">
        <v>0</v>
      </c>
      <c r="X9" s="71">
        <v>0</v>
      </c>
      <c r="Y9" s="71">
        <v>2239</v>
      </c>
      <c r="Z9" s="71">
        <v>1813</v>
      </c>
      <c r="AA9" s="71">
        <v>1550</v>
      </c>
      <c r="AB9" s="71">
        <v>1888</v>
      </c>
      <c r="AC9" s="71">
        <v>4138</v>
      </c>
      <c r="AD9" s="71">
        <v>4400</v>
      </c>
      <c r="AE9" s="71">
        <v>3157</v>
      </c>
    </row>
    <row r="10" spans="1:99" s="72" customFormat="1" ht="22.2" ph="1">
      <c r="B10" s="244" ph="1"/>
      <c r="C10" s="153" t="s" ph="1">
        <v>179</v>
      </c>
      <c r="D10" s="73" ph="1">
        <f>D9*33.183*LOOKUP(D11,密度!$A$2:$A$50,密度!$Q$2:$Q$50)</f>
        <v>155054.76024708</v>
      </c>
      <c r="E10" s="73" ph="1">
        <f>E9*51.53*LOOKUP(E11,密度!$A$2:$A$50,密度!$B$2:$B$50)</f>
        <v>188714.51093299998</v>
      </c>
      <c r="F10" s="73" ph="1">
        <f>F9*33.183*LOOKUP(F11,密度!$A$2:$A$50,密度!$C$2:$C$50)</f>
        <v>262654.33566059999</v>
      </c>
      <c r="G10" s="73" ph="1">
        <f xml:space="preserve"> (G9+2)*51.53*LOOKUP(G11,密度!$A$2:$A$50,密度!$B$2:$B$50)</f>
        <v>267161.64443799999</v>
      </c>
      <c r="H10" s="73" ph="1">
        <f>(H9)*51.53*LOOKUP(H11,密度!$A$2:$A$50,密度!$B$2:$B$50)</f>
        <v>41425.739950000003</v>
      </c>
      <c r="I10" s="73" ph="1">
        <f>I9*290.8*1.0267</f>
        <v>6153.4114595999999</v>
      </c>
      <c r="J10" s="73" ph="1">
        <f>J9*290.8*0.7892</f>
        <v>1794.6849952</v>
      </c>
      <c r="K10" s="73" ph="1">
        <f>K9*290.8*1.1126</f>
        <v>2504.2311792000005</v>
      </c>
      <c r="L10" s="73" ph="1">
        <f>L9*290.8*0.777</f>
        <v>9040.3235160000004</v>
      </c>
      <c r="M10" s="73" ph="1">
        <f>M9*33.183*LOOKUP(M11,密度!$A$2:$A$50,密度!$D$2:$D$50)</f>
        <v>126187.1377218</v>
      </c>
      <c r="N10" s="73" ph="1">
        <f>N9*33.183*LOOKUP(N11,密度!$A$2:$A$50,密度!$E$2:$E$50)</f>
        <v>121027.36040999999</v>
      </c>
      <c r="O10" s="73" ph="1">
        <f>O9*20.428*LOOKUP(O11,密度!$A$2:$A$50,密度!$C$2:$C$50)</f>
        <v>23253.110688000001</v>
      </c>
      <c r="P10" s="73" ph="1">
        <f>P9*51.53*LOOKUP(P11,密度!$A$2:$A$50,密度!$B$2:$B$50)</f>
        <v>107187.79003800001</v>
      </c>
      <c r="Q10" s="73" ph="1">
        <f>Q9*1.5*1.5*3.1416*LOOKUP(W11,密度!$A$2:$A$50,密度!$L$2:$L$50)</f>
        <v>47629.1174436</v>
      </c>
      <c r="R10" s="73" ph="1">
        <f>R9*1.5*1.5*3.1416*LOOKUP(R11,密度!$A$2:$A$50,密度!$L$2:$L$50)</f>
        <v>46013.419267200006</v>
      </c>
      <c r="S10" s="73" ph="1">
        <f>S9*1.5*1.5*3.1416*LOOKUP(S11,密度!$A$2:$A$50,密度!$L$2:$L$50)</f>
        <v>29588.997022199997</v>
      </c>
      <c r="T10" s="73" ph="1">
        <f>T9*1.5*1.5*3.1416*LOOKUP(T11,密度!$A$2:$A$50,密度!$L$2:$L$50)</f>
        <v>26635.948000199998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14813.693294400002</v>
      </c>
      <c r="Z10" s="73" ph="1">
        <f>Z9*33.183*LOOKUP(Z11,密度!$A$2:$A$50,密度!$L$2:$L$50)</f>
        <v>56430.810701999995</v>
      </c>
      <c r="AA10" s="73" ph="1">
        <f>AA9*33.183*LOOKUP(AA11,密度!$A$2:$A$50,密度!$D$2:$D$50)</f>
        <v>52662.914235000004</v>
      </c>
      <c r="AB10" s="73" ph="1">
        <f>AB9*20.428*LOOKUP(AB11,密度!$A$2:$A$50,密度!$D$2:$D$50)</f>
        <v>39844.666918399998</v>
      </c>
      <c r="AC10" s="73" ph="1">
        <f>AC9*51.53*LOOKUP(AC11,密度!$A$2:$A$50,密度!$Q$2:$Q$50)</f>
        <v>201723.05537420002</v>
      </c>
      <c r="AD10" s="73" ph="1">
        <f>AD9*20.428*LOOKUP(AD11,密度!$A$2:$A$50,密度!$V$2:$V$50)</f>
        <v>86359.778559999992</v>
      </c>
      <c r="AE10" s="73" ph="1">
        <f>AE9*20.428</f>
        <v>64491.196000000004</v>
      </c>
    </row>
    <row r="11" spans="1:99" ph="1">
      <c r="A11" s="64" t="s" ph="1">
        <v>163</v>
      </c>
      <c r="B11" s="244" ph="1"/>
      <c r="C11" s="153" t="s" ph="1">
        <v>180</v>
      </c>
      <c r="D11" s="74">
        <v>27</v>
      </c>
      <c r="E11" s="74">
        <v>26</v>
      </c>
      <c r="F11" s="74">
        <v>25</v>
      </c>
      <c r="G11" s="74">
        <v>26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27</v>
      </c>
      <c r="O11" s="74">
        <v>32</v>
      </c>
      <c r="P11" s="74">
        <v>27</v>
      </c>
      <c r="Q11" s="74">
        <v>27</v>
      </c>
      <c r="R11" s="74">
        <v>31</v>
      </c>
      <c r="S11" s="74">
        <v>19</v>
      </c>
      <c r="T11" s="74">
        <v>23</v>
      </c>
      <c r="U11" s="74">
        <v>26</v>
      </c>
      <c r="V11" s="74">
        <v>28</v>
      </c>
      <c r="W11" s="74">
        <v>29</v>
      </c>
      <c r="X11" s="74">
        <v>30</v>
      </c>
      <c r="Y11" s="74">
        <v>26</v>
      </c>
      <c r="Z11" s="74">
        <v>24</v>
      </c>
      <c r="AA11" s="74">
        <v>28</v>
      </c>
      <c r="AB11" s="74">
        <v>18</v>
      </c>
      <c r="AC11" s="74">
        <v>26</v>
      </c>
      <c r="AD11" s="74">
        <v>25</v>
      </c>
      <c r="AE11" s="74">
        <v>28</v>
      </c>
    </row>
    <row r="12" spans="1:99" ht="9.9" customHeight="1" ph="1"/>
    <row r="13" spans="1:99" s="72" customFormat="1" ht="29.25" customHeight="1" ph="1">
      <c r="B13" s="221" t="s" ph="1">
        <v>37</v>
      </c>
      <c r="C13" s="15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53" t="s" ph="1">
        <v>178</v>
      </c>
      <c r="D15" s="78">
        <v>0</v>
      </c>
      <c r="E15" s="78">
        <v>3071</v>
      </c>
      <c r="F15" s="78">
        <v>3484</v>
      </c>
      <c r="G15" s="78">
        <v>3834</v>
      </c>
      <c r="H15" s="78">
        <v>1815</v>
      </c>
      <c r="I15" s="78">
        <v>117</v>
      </c>
      <c r="J15" s="78">
        <v>1653</v>
      </c>
      <c r="K15" s="78">
        <v>324</v>
      </c>
      <c r="L15" s="78">
        <v>3223</v>
      </c>
      <c r="M15" s="78">
        <v>925</v>
      </c>
      <c r="N15" s="78">
        <v>3199</v>
      </c>
      <c r="O15" s="78">
        <v>6064</v>
      </c>
      <c r="P15" s="78">
        <v>7149</v>
      </c>
      <c r="Q15" s="78">
        <v>0</v>
      </c>
      <c r="R15" s="78">
        <v>3508</v>
      </c>
      <c r="S15" s="78">
        <v>6909</v>
      </c>
      <c r="T15" s="78">
        <v>2753</v>
      </c>
      <c r="U15" s="78">
        <v>4664</v>
      </c>
      <c r="V15" s="78">
        <v>2370</v>
      </c>
      <c r="W15" s="71">
        <v>-792</v>
      </c>
      <c r="X15" s="78">
        <v>26</v>
      </c>
      <c r="Y15" s="106">
        <v>-9907</v>
      </c>
      <c r="Z15" s="78">
        <v>0</v>
      </c>
      <c r="AA15" s="78">
        <v>4221</v>
      </c>
      <c r="AB15" s="78" ph="1">
        <v>2361</v>
      </c>
      <c r="AC15" s="78" ph="1">
        <v>0</v>
      </c>
      <c r="AD15" s="78">
        <v>24.41</v>
      </c>
      <c r="AE15" s="78">
        <v>5.43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53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20318.379681600003</v>
      </c>
      <c r="F16" s="73" ph="1">
        <f>F15*9.0746*LOOKUP(F17,密度!$A$2:$A$50,密度!$L$2:$L$50)</f>
        <v>29560.872484000003</v>
      </c>
      <c r="G16" s="73" ph="1">
        <f>G15*9.0746*LOOKUP(G17,密度!$A$2:$A$50,密度!$B$2:$B$50)</f>
        <v>27123.855985439997</v>
      </c>
      <c r="H16" s="73" ph="1">
        <f>H15*9.0746*LOOKUP(H17,密度!$A$2:$A$50,密度!$L$2:$L$50)</f>
        <v>15350.411868000003</v>
      </c>
      <c r="I16" s="73" ph="1">
        <f>I15*9.0746*LOOKUP(I17,密度!$A$2:$A$50,密度!$U$2:$U$50)</f>
        <v>1088.271405</v>
      </c>
      <c r="J16" s="73" ph="1">
        <f>J15*9.0746*LOOKUP(J17,密度!$A$2:$A$50,密度!$L$2:$L$50)</f>
        <v>14040.293716800001</v>
      </c>
      <c r="K16" s="73" ph="1">
        <f>K15*9.0746*LOOKUP(K17,密度!$A$2:$A$50,密度!$C$2:$C$50)</f>
        <v>3262.4130758399997</v>
      </c>
      <c r="L16" s="73" ph="1">
        <f>L15*9.0746*LOOKUP(L17,密度!$A$2:$A$50,密度!$E$2:$E$50)</f>
        <v>22842.2473598</v>
      </c>
      <c r="M16" s="73" ph="1">
        <f>M15*9.0746*LOOKUP(M17,密度!$A$2:$A$50,密度!$M$2:$M$50)</f>
        <v>7345.5937755000004</v>
      </c>
      <c r="N16" s="73" ph="1">
        <f>N15*9.0746*LOOKUP(N17,密度!$A$2:$A$50,密度!$M$2:$M$50)</f>
        <v>25374.813044139999</v>
      </c>
      <c r="O16" s="73" ph="1">
        <f>O15*9.0746*LOOKUP(O17,密度!$A$2:$A$50,密度!$G$2:$G$50)</f>
        <v>52662.154300800001</v>
      </c>
      <c r="P16" s="73" ph="1">
        <f ca="1">P15*9.0746*LOOKUP(P17,密度!$A$2:$A$51,密度!$Q$2:$Q$50)</f>
        <v>61373.048597862005</v>
      </c>
      <c r="Q16" s="73" ph="1">
        <f>Q15*9.0746*LOOKUP(Q17,密度!$A$2:$A$50,密度!$Q$2:$Q$50)</f>
        <v>0</v>
      </c>
      <c r="R16" s="73" ph="1">
        <f>MAX(R15*9.0746*LOOKUP(R17,密度!$A$2:$A$50,密度!$B$2:$B$50),0)</f>
        <v>24734.782413600002</v>
      </c>
      <c r="S16" s="73" ph="1">
        <f>S15*9.0746*LOOKUP(S17,密度!$A$2:$A$50,密度!$Q$2:$Q$50)</f>
        <v>59312.686076742008</v>
      </c>
      <c r="T16" s="73" ph="1">
        <f>T15*9.0746*LOOKUP(T17,密度!$A$2:$A$50,密度!$O$2:$O$50)</f>
        <v>23133.678138800002</v>
      </c>
      <c r="U16" s="73" ph="1">
        <f>U15*9.0746*LOOKUP(U17,密度!$A$2:$A$50,密度!$H$2:$H$50)</f>
        <v>38713.702795679994</v>
      </c>
      <c r="V16" s="73" ph="1">
        <f>MAX(5600*LOOKUP(V17,密度!$A$2:$A$50,密度!$Q$2:$Q$50)+V15*9.0476*LOOKUP(V17,密度!$A$2:$A$50,密度!$Q$2:$Q$50),0)</f>
        <v>25564.111039840001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6082.0681504800004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29861.709993359997</v>
      </c>
      <c r="AB16" s="73" ph="1">
        <f>AB15*9.0746*LOOKUP(AB17,密度!$A$2:$A$50,密度!$L$2:$L$50)</f>
        <v>20032.497111000001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6333.8436724799994</v>
      </c>
      <c r="AE16" s="73" ph="1">
        <f>AE15*268.68*LOOKUP(AE17,密度!$A$2:$A$50,密度!B2:B50)+IF(AE15&lt;=0,0,1566*LOOKUP(AE17,密度!$A$2:$A$50,密度!B2:B50))</f>
        <v>2358.2372990399999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25</v>
      </c>
      <c r="E17" s="74">
        <v>26</v>
      </c>
      <c r="F17" s="74">
        <v>27</v>
      </c>
      <c r="G17" s="74">
        <v>25</v>
      </c>
      <c r="H17" s="74">
        <v>30</v>
      </c>
      <c r="I17" s="74">
        <v>25</v>
      </c>
      <c r="J17" s="74">
        <v>26</v>
      </c>
      <c r="K17" s="74">
        <v>24</v>
      </c>
      <c r="L17" s="74">
        <v>27</v>
      </c>
      <c r="M17" s="74">
        <v>25</v>
      </c>
      <c r="N17" s="74">
        <v>26</v>
      </c>
      <c r="O17" s="74">
        <v>28</v>
      </c>
      <c r="P17" s="74">
        <v>26</v>
      </c>
      <c r="Q17" s="74">
        <v>24</v>
      </c>
      <c r="R17" s="74">
        <v>28</v>
      </c>
      <c r="S17" s="74">
        <v>26</v>
      </c>
      <c r="T17" s="74">
        <v>25</v>
      </c>
      <c r="U17" s="74">
        <v>25</v>
      </c>
      <c r="V17" s="74">
        <v>27</v>
      </c>
      <c r="W17" s="74">
        <v>24</v>
      </c>
      <c r="X17" s="74">
        <v>25</v>
      </c>
      <c r="Y17" s="108">
        <v>25</v>
      </c>
      <c r="Z17" s="74">
        <v>25</v>
      </c>
      <c r="AA17" s="74">
        <v>25</v>
      </c>
      <c r="AB17" s="74">
        <v>27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0</v>
      </c>
      <c r="E18" s="71">
        <v>3074</v>
      </c>
      <c r="F18" s="71">
        <v>3484</v>
      </c>
      <c r="G18" s="71">
        <v>3875</v>
      </c>
      <c r="H18" s="71">
        <v>2146</v>
      </c>
      <c r="I18" s="71">
        <v>117</v>
      </c>
      <c r="J18" s="71">
        <v>1653</v>
      </c>
      <c r="K18" s="71">
        <v>892</v>
      </c>
      <c r="L18" s="71">
        <v>5634</v>
      </c>
      <c r="M18" s="71">
        <v>926</v>
      </c>
      <c r="N18" s="71">
        <v>4756</v>
      </c>
      <c r="O18" s="71">
        <v>6067</v>
      </c>
      <c r="P18" s="71">
        <v>7153</v>
      </c>
      <c r="Q18" s="71">
        <v>0</v>
      </c>
      <c r="R18" s="71">
        <v>3509</v>
      </c>
      <c r="S18" s="71">
        <v>6913</v>
      </c>
      <c r="T18" s="71">
        <v>2752</v>
      </c>
      <c r="U18" s="71">
        <v>4666</v>
      </c>
      <c r="V18" s="71">
        <v>596</v>
      </c>
      <c r="W18" s="71">
        <v>-792</v>
      </c>
      <c r="X18" s="71">
        <v>25</v>
      </c>
      <c r="Y18" s="109">
        <v>-9907</v>
      </c>
      <c r="Z18" s="71">
        <v>0</v>
      </c>
      <c r="AA18" s="71">
        <v>4223</v>
      </c>
      <c r="AB18" s="71">
        <v>2363</v>
      </c>
      <c r="AC18" s="71">
        <v>0</v>
      </c>
      <c r="AD18" s="71">
        <v>47.91</v>
      </c>
      <c r="AE18" s="71">
        <v>5.01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53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20294.770557600001</v>
      </c>
      <c r="F19" s="73" ph="1">
        <f>F18*9.0746*LOOKUP(F20,密度!$A$2:$A$50,密度!$L$2:$L$50)</f>
        <v>29466.0247648</v>
      </c>
      <c r="G19" s="73" ph="1">
        <f>G18*9.0746*LOOKUP(G20,密度!$A$2:$A$50,密度!$B$2:$B$50)</f>
        <v>27322.486275000003</v>
      </c>
      <c r="H19" s="73" ph="1">
        <f>H18*9.0746*LOOKUP(H20,密度!$A$2:$A$50,密度!$L$2:$L$50)</f>
        <v>18149.853371199999</v>
      </c>
      <c r="I19" s="73" ph="1">
        <f>I18*9.0746*LOOKUP(I20,密度!$A$2:$A$50,密度!$U$2:$U$50)</f>
        <v>1082.9627640000001</v>
      </c>
      <c r="J19" s="73" ph="1">
        <f>J18*9.0746*LOOKUP(J20,密度!$A$2:$A$50,密度!$L$2:$L$50)</f>
        <v>13995.292775400001</v>
      </c>
      <c r="K19" s="73" ph="1">
        <f>K18*9.0746*LOOKUP(K20,密度!$A$2:$A$50,密度!$C$2:$C$50)</f>
        <v>8951.7553248800014</v>
      </c>
      <c r="L19" s="73" ph="1">
        <f>L18*9.0746*LOOKUP(L20,密度!$A$2:$A$50,密度!$E$2:$E$50)</f>
        <v>39929.637488400003</v>
      </c>
      <c r="M19" s="73" ph="1">
        <f>M18*9.0746*LOOKUP(M20,密度!$A$2:$A$50,密度!$M$2:$M$50)</f>
        <v>7309.8389440400006</v>
      </c>
      <c r="N19" s="73" ph="1">
        <f>N18*9.0746*LOOKUP(N20,密度!$A$2:$A$50,密度!$M$2:$M$50)</f>
        <v>37725.104982159995</v>
      </c>
      <c r="O19" s="73" ph="1">
        <f>O18*9.0746*LOOKUP(O20,密度!$A$2:$A$50,密度!$G$2:$G$50)</f>
        <v>52688.207477399999</v>
      </c>
      <c r="P19" s="73" ph="1">
        <f ca="1">P18*9.0746*LOOKUP(P20,密度!$A$2:$A$51,密度!$Q$2:$Q$50)</f>
        <v>61361.301437416005</v>
      </c>
      <c r="Q19" s="73" ph="1">
        <f>Q18*9.0746*LOOKUP(Q20,密度!$A$2:$A$50,密度!$Q$2:$Q$50)</f>
        <v>0</v>
      </c>
      <c r="R19" s="73" ph="1">
        <f>MAX(R18*9.0746*LOOKUP(R20,密度!$A$2:$A$50,密度!$B$2:$B$50),0)</f>
        <v>24716.35916068</v>
      </c>
      <c r="S19" s="73" ph="1">
        <f>S18*9.0746*LOOKUP(S20,密度!$A$2:$A$50,密度!$Q$2:$Q$50)</f>
        <v>59258.572331276002</v>
      </c>
      <c r="T19" s="73" ph="1">
        <f>T18*9.0746*LOOKUP(T20,密度!$A$2:$A$50,密度!$O$2:$O$50)</f>
        <v>23125.275059200001</v>
      </c>
      <c r="U19" s="73" ph="1">
        <f>U18*9.0746*LOOKUP(U20,密度!$A$2:$A$50,密度!$H$2:$H$50)</f>
        <v>38654.088118439999</v>
      </c>
      <c r="V19" s="73" ph="1">
        <f>MAX(5600*LOOKUP(V20,密度!$A$2:$A$50,密度!$Q$2:$Q$50)+V18*9.0476*LOOKUP(V20,密度!$A$2:$A$50,密度!$Q$2:$Q$50),0)</f>
        <v>10383.612171551998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6059.2376000000004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29875.859109679997</v>
      </c>
      <c r="AB19" s="73" ph="1">
        <f>AB18*9.0746*LOOKUP(AB20,密度!$A$2:$A$50,密度!$L$2:$L$50)</f>
        <v>20049.466613000001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11218.682487599999</v>
      </c>
      <c r="AE19" s="73" ph="1">
        <f>AE18*268.68*LOOKUP(AE20,密度!$A$2:$A$50,密度!B5:B53)+IF(AE18&lt;=0,0,1566*LOOKUP(AE20,密度!$A$2:$A$50,密度!B5:B53))</f>
        <v>2262.6914435999997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27</v>
      </c>
      <c r="E20" s="81">
        <v>28</v>
      </c>
      <c r="F20" s="81">
        <v>30</v>
      </c>
      <c r="G20" s="81">
        <v>28</v>
      </c>
      <c r="H20" s="81">
        <v>30</v>
      </c>
      <c r="I20" s="81">
        <v>30</v>
      </c>
      <c r="J20" s="81">
        <v>29</v>
      </c>
      <c r="K20" s="81">
        <v>29</v>
      </c>
      <c r="L20" s="81">
        <v>27</v>
      </c>
      <c r="M20" s="81">
        <v>30</v>
      </c>
      <c r="N20" s="81">
        <v>26</v>
      </c>
      <c r="O20" s="81">
        <v>28</v>
      </c>
      <c r="P20" s="81">
        <v>27</v>
      </c>
      <c r="Q20" s="81">
        <v>28</v>
      </c>
      <c r="R20" s="81">
        <v>29</v>
      </c>
      <c r="S20" s="81">
        <v>28</v>
      </c>
      <c r="T20" s="81">
        <v>27</v>
      </c>
      <c r="U20" s="81">
        <v>27</v>
      </c>
      <c r="V20" s="81">
        <v>28</v>
      </c>
      <c r="W20" s="81">
        <v>26</v>
      </c>
      <c r="X20" s="81">
        <v>27</v>
      </c>
      <c r="Y20" s="110">
        <v>26</v>
      </c>
      <c r="Z20" s="81">
        <v>28</v>
      </c>
      <c r="AA20" s="81">
        <v>25</v>
      </c>
      <c r="AB20" s="81">
        <v>27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645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53" t="s" ph="1">
        <v>178</v>
      </c>
      <c r="D24" s="71">
        <v>90.82</v>
      </c>
      <c r="E24" s="71">
        <v>95.62</v>
      </c>
      <c r="F24" s="71">
        <v>3993</v>
      </c>
      <c r="G24" s="71">
        <v>2882</v>
      </c>
      <c r="H24" s="71">
        <v>3338</v>
      </c>
      <c r="I24" s="71">
        <v>3291</v>
      </c>
      <c r="J24" s="71">
        <v>5402</v>
      </c>
      <c r="K24" s="71">
        <v>38</v>
      </c>
      <c r="L24" s="71">
        <v>1131</v>
      </c>
      <c r="M24" s="71">
        <v>5247</v>
      </c>
      <c r="N24" s="71">
        <v>5321</v>
      </c>
      <c r="O24" s="71">
        <v>3690</v>
      </c>
      <c r="P24" s="71">
        <v>883</v>
      </c>
      <c r="Q24" s="90">
        <v>1828</v>
      </c>
      <c r="R24" s="71">
        <v>1743</v>
      </c>
      <c r="S24" s="71">
        <v>1586</v>
      </c>
      <c r="T24" s="71">
        <v>1760</v>
      </c>
      <c r="U24" s="71">
        <v>5964</v>
      </c>
      <c r="V24" s="71">
        <v>9630</v>
      </c>
      <c r="W24" s="71">
        <v>10732</v>
      </c>
      <c r="X24" s="71">
        <v>1364</v>
      </c>
      <c r="Y24" s="71">
        <v>5737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24584.487612624001</v>
      </c>
      <c r="E25" s="91" ph="1">
        <f>E24*268.68*LOOKUP(E26,密度!$A$2:$A$50,密度!$C$2:$C$50)+IF(E24&lt;=0,0,1566*LOOKUP(E26,密度!$A$2:$A$50,密度!$C$2:$C$50))</f>
        <v>30225.488676240006</v>
      </c>
      <c r="F25" s="91" ph="1">
        <f>F24*11.702*LOOKUP(F26,密度!$A$2:$A$50,密度!$Q$2:$Q$50)</f>
        <v>44204.279138580001</v>
      </c>
      <c r="G25" s="91" ph="1">
        <f>G24*18.322*LOOKUP(G26,密度!$A$2:$A$50,密度!$B$2:$B$50)</f>
        <v>41118.477914799994</v>
      </c>
      <c r="H25" s="91" ph="1">
        <f>H24*18.322*LOOKUP(H26,密度!$A$2:$A$50,密度!$B$2:$B$50)</f>
        <v>47624.385593199993</v>
      </c>
      <c r="I25" s="91" ph="1">
        <f>I24*18.322*LOOKUP(I26,密度!$A$2:$A$50,密度!$Q$2:$Q$50)</f>
        <v>57000.623654640003</v>
      </c>
      <c r="J25" s="91" ph="1">
        <f>J24*18.322*LOOKUP(J26,密度!$A$2:$A$50,密度!$Q$2:$Q$50)</f>
        <v>93563.466722079989</v>
      </c>
      <c r="K25" s="91" ph="1">
        <f>K24*18.322*LOOKUP(K26,密度!$A$2:$A$50,密度!$Q$2:$Q$50)</f>
        <v>658.66014308000001</v>
      </c>
      <c r="L25" s="91" ph="1">
        <f>L24*18.322*LOOKUP(L26,密度!$A$2:$A$50,密度!$Q$2:$Q$50)</f>
        <v>19589.093088240003</v>
      </c>
      <c r="M25" s="91" ph="1">
        <f>M24*18.322*LOOKUP(M26,密度!$A$2:$A$50,密度!$Q$2:$Q$50)</f>
        <v>90878.843000880006</v>
      </c>
      <c r="N25" s="91" ph="1">
        <f>N24*18.322*LOOKUP(N26,密度!$A$2:$A$50,密度!$Q$2:$Q$50)</f>
        <v>92092.290372439995</v>
      </c>
      <c r="O25" s="91" ph="1">
        <f>O24*18.322*LOOKUP(O26,密度!$A$2:$A$50,密度!$C$2:$C$50)</f>
        <v>74869.298531999986</v>
      </c>
      <c r="P25" s="91" ph="1">
        <f>P24*11.702*LOOKUP(P26,密度!$A$2:$A$50,密度!$B$2:$B$50)</f>
        <v>8037.9364614000006</v>
      </c>
      <c r="Q25" s="92" ph="1">
        <f>Q24*18.322*LOOKUP(Q26,密度!$A$2:$A$50,密度!$B$2:$B$50)</f>
        <v>26023.762632000002</v>
      </c>
      <c r="R25" s="91" ph="1">
        <f>R24*35.891*LOOKUP(R26,密度!$A$2:$A$50,密度!$C$2:$C$50)</f>
        <v>69320.534205300006</v>
      </c>
      <c r="S25" s="91" ph="1">
        <f>S24*35.891*LOOKUP(S26,密度!$A$2:$A$50,密度!$B$2:$B$50)</f>
        <v>44229.268901999996</v>
      </c>
      <c r="T25" s="91" ph="1">
        <f>T24*35.891*LOOKUP(T26,密度!$A$2:$A$50,密度!$Q$2:$Q$50)</f>
        <v>59669.9072992</v>
      </c>
      <c r="U25" s="91" ph="1">
        <f>U24*35.891</f>
        <v>214053.924</v>
      </c>
      <c r="V25" s="91" ph="1">
        <f>V24*47.051*LOOKUP(V26,密度!$A$2:$A$50,密度!$B$2:$B$50)</f>
        <v>352059.57801</v>
      </c>
      <c r="W25" s="91" ph="1">
        <f>W24*47.051*LOOKUP(W26,密度!$A$2:$A$50,密度!$B$2:$B$50)</f>
        <v>392801.64116280002</v>
      </c>
      <c r="X25" s="91" ph="1">
        <f>X24*47.051*LOOKUP(X26,密度!$A$2:$A$50,密度!$I$2:$I$50)</f>
        <v>66674.071239600002</v>
      </c>
      <c r="Y25" s="91" ph="1">
        <f>Y24*47.051*LOOKUP(Y26,密度!$A$2:$A$50,密度!$L$2:$L$50)</f>
        <v>252116.10225800003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26</v>
      </c>
      <c r="G26" s="74">
        <v>26</v>
      </c>
      <c r="H26" s="74">
        <v>26</v>
      </c>
      <c r="I26" s="74">
        <v>27</v>
      </c>
      <c r="J26" s="74">
        <v>27</v>
      </c>
      <c r="K26" s="74">
        <v>26</v>
      </c>
      <c r="L26" s="74">
        <v>27</v>
      </c>
      <c r="M26" s="74">
        <v>27</v>
      </c>
      <c r="N26" s="74">
        <v>28</v>
      </c>
      <c r="O26" s="74">
        <v>27</v>
      </c>
      <c r="P26" s="74">
        <v>27</v>
      </c>
      <c r="Q26" s="93">
        <v>28</v>
      </c>
      <c r="R26" s="74">
        <v>26</v>
      </c>
      <c r="S26" s="74">
        <v>28</v>
      </c>
      <c r="T26" s="74">
        <v>28</v>
      </c>
      <c r="U26" s="74">
        <v>27</v>
      </c>
      <c r="V26" s="74">
        <v>28</v>
      </c>
      <c r="W26" s="74">
        <v>27</v>
      </c>
      <c r="X26" s="74">
        <v>28</v>
      </c>
      <c r="Y26" s="74">
        <v>28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53" t="s" ph="1">
        <v>181</v>
      </c>
      <c r="D27" s="71">
        <v>90.81</v>
      </c>
      <c r="E27" s="71">
        <v>95.61</v>
      </c>
      <c r="F27" s="71">
        <v>3993</v>
      </c>
      <c r="G27" s="71">
        <v>2367</v>
      </c>
      <c r="H27" s="71">
        <v>3111</v>
      </c>
      <c r="I27" s="71">
        <v>3291</v>
      </c>
      <c r="J27" s="71">
        <v>5402</v>
      </c>
      <c r="K27" s="71">
        <v>37</v>
      </c>
      <c r="L27" s="71">
        <v>1129</v>
      </c>
      <c r="M27" s="71">
        <v>5247</v>
      </c>
      <c r="N27" s="71">
        <v>5321</v>
      </c>
      <c r="O27" s="71">
        <v>3689</v>
      </c>
      <c r="P27" s="71">
        <v>881</v>
      </c>
      <c r="Q27" s="90">
        <v>1570</v>
      </c>
      <c r="R27" s="71">
        <v>1742</v>
      </c>
      <c r="S27" s="71">
        <v>1584</v>
      </c>
      <c r="T27" s="71">
        <v>1759</v>
      </c>
      <c r="U27" s="71">
        <v>5951</v>
      </c>
      <c r="V27" s="71">
        <v>9629</v>
      </c>
      <c r="W27" s="71">
        <v>10731</v>
      </c>
      <c r="X27" s="71">
        <v>1354</v>
      </c>
      <c r="Y27" s="71">
        <v>6327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53" t="s" ph="1">
        <v>179</v>
      </c>
      <c r="D28" s="91" ph="1">
        <f>D27*268.68*LOOKUP(D29,密度!$A$2:$A$50,密度!$Q$2:$Q$50)+IF(D27&lt;=0,0,1566*LOOKUP(D29,密度!$A$2:$A$50,密度!$Q$2:$Q$50))</f>
        <v>24581.943911592003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44171.103617520006</v>
      </c>
      <c r="G28" s="91" ph="1">
        <f>G27*18.322*LOOKUP(G29,密度!$A$2:$A$50,密度!$B$2:$B$50)</f>
        <v>33736.102554600002</v>
      </c>
      <c r="H28" s="91" ph="1">
        <f>H27*18.322*LOOKUP(H29,密度!$A$2:$A$50,密度!$B$2:$B$50)</f>
        <v>44288.799533999998</v>
      </c>
      <c r="I28" s="91" ph="1">
        <f>I27*18.322*LOOKUP(I29,密度!$A$2:$A$50,密度!$Q$2:$Q$50)</f>
        <v>57000.623654640003</v>
      </c>
      <c r="J28" s="91" ph="1">
        <f>J27*18.322*LOOKUP(J29,密度!$A$2:$A$50,密度!$Q$2:$Q$50)</f>
        <v>93563.466722079989</v>
      </c>
      <c r="K28" s="91" ph="1">
        <f>K27*18.322*LOOKUP(K29,密度!$A$2:$A$50,密度!$Q$2:$Q$50)</f>
        <v>640.37112267999998</v>
      </c>
      <c r="L28" s="91" ph="1">
        <f>L27*18.322*LOOKUP(L29,密度!$A$2:$A$50,密度!$Q$2:$Q$50)</f>
        <v>19554.452782160002</v>
      </c>
      <c r="M28" s="91" ph="1">
        <f>M27*18.322*LOOKUP(M29,密度!$A$2:$A$50,密度!$Q$2:$Q$50)</f>
        <v>90878.843000880006</v>
      </c>
      <c r="N28" s="91" ph="1">
        <f>N27*18.322*LOOKUP(N29,密度!$A$2:$A$50,密度!$Q$2:$Q$50)</f>
        <v>92160.534325839995</v>
      </c>
      <c r="O28" s="91" ph="1">
        <f>O27*18.322*LOOKUP(O29,密度!$A$2:$A$50,密度!$C$2:$C$50)</f>
        <v>74849.008749199988</v>
      </c>
      <c r="P28" s="91" ph="1">
        <f>P27*11.702*LOOKUP(P29,密度!$A$2:$A$50,密度!$B$2:$B$50)</f>
        <v>8027.9780593999994</v>
      </c>
      <c r="Q28" s="92" ph="1">
        <f>Q27*18.322*LOOKUP(Q29,密度!$A$2:$A$50,密度!$B$2:$B$50)</f>
        <v>22376.713565999999</v>
      </c>
      <c r="R28" s="91" ph="1">
        <f>R27*35.891*LOOKUP(R29,密度!$A$2:$A$50,密度!$C$2:$C$50)</f>
        <v>69186.980205200001</v>
      </c>
      <c r="S28" s="91" ph="1">
        <f>S27*35.891*LOOKUP(S29,密度!$A$2:$A$50,密度!$B$2:$B$50)</f>
        <v>44128.013212799997</v>
      </c>
      <c r="T28" s="91" ph="1">
        <f>T27*35.891*LOOKUP(T29,密度!$A$2:$A$50,密度!$Q$2:$Q$50)</f>
        <v>59636.00394278</v>
      </c>
      <c r="U28" s="91" ph="1">
        <f>U27*35.891</f>
        <v>213587.34099999999</v>
      </c>
      <c r="V28" s="91" ph="1">
        <f>V27*47.051*LOOKUP(V29,密度!$A$2:$A$50,密度!$B$2:$B$50)</f>
        <v>352430.76805410004</v>
      </c>
      <c r="W28" s="91" ph="1">
        <f>W27*47.051*LOOKUP(W29,密度!$A$2:$A$50,密度!$B$2:$B$50)</f>
        <v>392310.62633700005</v>
      </c>
      <c r="X28" s="91" ph="1">
        <f>X27*47.051*LOOKUP(X29,密度!$A$2:$A$50,密度!$I$2:$I$50)</f>
        <v>66185.258400599996</v>
      </c>
      <c r="Y28" s="91" ph="1">
        <f>Y27*47.051*LOOKUP(Y29,密度!$A$2:$A$50,密度!$L$2:$L$50)</f>
        <v>277746.33464100002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53" t="s" ph="1">
        <v>180</v>
      </c>
      <c r="D29" s="74">
        <v>25</v>
      </c>
      <c r="E29" s="74">
        <v>25</v>
      </c>
      <c r="F29" s="74">
        <v>27</v>
      </c>
      <c r="G29" s="74">
        <v>27</v>
      </c>
      <c r="H29" s="74">
        <v>28</v>
      </c>
      <c r="I29" s="74">
        <v>27</v>
      </c>
      <c r="J29" s="74">
        <v>27</v>
      </c>
      <c r="K29" s="74">
        <v>28</v>
      </c>
      <c r="L29" s="74">
        <v>27</v>
      </c>
      <c r="M29" s="74">
        <v>27</v>
      </c>
      <c r="N29" s="74">
        <v>27</v>
      </c>
      <c r="O29" s="74">
        <v>27</v>
      </c>
      <c r="P29" s="74">
        <v>26</v>
      </c>
      <c r="Q29" s="93">
        <v>27</v>
      </c>
      <c r="R29" s="74">
        <v>28</v>
      </c>
      <c r="S29" s="74">
        <v>29</v>
      </c>
      <c r="T29" s="74">
        <v>28</v>
      </c>
      <c r="U29" s="74">
        <v>27</v>
      </c>
      <c r="V29" s="74">
        <v>27</v>
      </c>
      <c r="W29" s="74">
        <v>28</v>
      </c>
      <c r="X29" s="74">
        <v>28</v>
      </c>
      <c r="Y29" s="74">
        <v>29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92507.581153400009</v>
      </c>
      <c r="E33" s="193" ph="1">
        <f>M10+I10</f>
        <v>132340.54918139998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9" ph="1">
        <v>0</v>
      </c>
      <c r="H33" s="193" ph="1">
        <f>N19</f>
        <v>37725.104982159995</v>
      </c>
      <c r="I33" s="197" ph="1">
        <v>0</v>
      </c>
      <c r="J33" s="201" ph="1">
        <f>F10+O28</f>
        <v>337503.34440979996</v>
      </c>
      <c r="K33" s="193" ph="1">
        <f>O10+K10+E28+R28</f>
        <v>125166.83135612</v>
      </c>
      <c r="L33" s="203" ph="1">
        <f>BE27</f>
        <v>7100</v>
      </c>
      <c r="M33" s="201" ph="1">
        <f>G10+H10+W28+S28+V28+E10</f>
        <v>1286171.3029249001</v>
      </c>
      <c r="N33" s="193" ph="1">
        <f>L10+P10++G28+H28</f>
        <v>194253.01564260002</v>
      </c>
      <c r="O33" s="197" ph="1">
        <f>BE17</f>
        <v>2270</v>
      </c>
      <c r="P33" s="201" ph="1">
        <f>L19</f>
        <v>39929.637488400003</v>
      </c>
      <c r="Q33" s="193" ph="1">
        <f>J10+N10</f>
        <v>122822.0454052</v>
      </c>
      <c r="R33" s="197" ph="1">
        <f>BE23</f>
        <v>890</v>
      </c>
      <c r="S33" s="201" ph="1">
        <f>E10+X28</f>
        <v>254899.76933359998</v>
      </c>
      <c r="T33" s="193" ph="1">
        <f>X19</f>
        <v>6059.2376000000004</v>
      </c>
      <c r="U33" s="182" ph="1">
        <f>BE21</f>
        <v>730</v>
      </c>
      <c r="V33" s="195" ph="1">
        <f ca="1">P19+Q19+S19+M28+N28+J28</f>
        <v>397222.71781749197</v>
      </c>
      <c r="W33" s="195" ph="1">
        <f>D28+F28+V19+T28</f>
        <v>138772.66364344402</v>
      </c>
      <c r="X33" s="197" ph="1">
        <f>BE29+BE31</f>
        <v>10200</v>
      </c>
      <c r="Y33" s="199" ph="1">
        <f>+Q10+R10+S10+T10+U10+V10+W10+X10+Y10</f>
        <v>164681.17502759999</v>
      </c>
      <c r="Z33" s="180" ph="1">
        <f>D10+T19+U19+Y28+Z10</f>
        <v>551011.26876772009</v>
      </c>
      <c r="AA33" s="182" ph="1">
        <f>BE19</f>
        <v>1440</v>
      </c>
      <c r="AB33" s="184" ph="1">
        <f>I19</f>
        <v>1082.9627640000001</v>
      </c>
      <c r="AC33" s="186" ph="1">
        <f>AD10</f>
        <v>86359.778559999992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51" t="s" ph="1">
        <v>186</v>
      </c>
      <c r="AA36" s="151" ph="1"/>
      <c r="AB36" s="179" t="s" ph="1">
        <v>646</v>
      </c>
      <c r="AC36" s="179" ph="1"/>
      <c r="AD36" s="179" ph="1"/>
      <c r="AE36" s="179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345</v>
      </c>
      <c r="AI37" s="151" t="s" ph="1">
        <v>212</v>
      </c>
      <c r="AJ37" s="151" t="s" ph="1">
        <v>213</v>
      </c>
      <c r="AK37" s="151" t="s" ph="1">
        <v>214</v>
      </c>
      <c r="AM37" s="151" t="s" ph="1">
        <v>213</v>
      </c>
      <c r="AN37" s="151" t="s" ph="1">
        <v>214</v>
      </c>
      <c r="AO37" s="151" t="s" ph="1">
        <v>215</v>
      </c>
      <c r="AP37" s="151" t="s" ph="1">
        <v>213</v>
      </c>
      <c r="AQ37" s="151" t="s" ph="1">
        <v>214</v>
      </c>
      <c r="AR37" s="151" t="s" ph="1">
        <v>215</v>
      </c>
      <c r="AS37" s="151" t="s" ph="1">
        <v>213</v>
      </c>
      <c r="AT37" s="151" t="s" ph="1">
        <v>214</v>
      </c>
      <c r="AU37" s="151" t="s" ph="1">
        <v>215</v>
      </c>
      <c r="AV37" s="151" t="s" ph="1">
        <v>213</v>
      </c>
      <c r="AW37" s="151" t="s" ph="1">
        <v>214</v>
      </c>
      <c r="AX37" s="151" t="s" ph="1">
        <v>215</v>
      </c>
      <c r="AY37" s="151" t="s" ph="1">
        <v>214</v>
      </c>
      <c r="AZ37" s="151" t="s" ph="1">
        <v>216</v>
      </c>
      <c r="BD37" s="151" t="s" ph="1">
        <v>308</v>
      </c>
      <c r="BE37" s="15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142" priority="97">
      <formula>ABS(D$7-D$10)&gt;=1000</formula>
    </cfRule>
  </conditionalFormatting>
  <conditionalFormatting sqref="E4 E6:E11">
    <cfRule type="expression" dxfId="1141" priority="96">
      <formula>ABS(E$7-E$10)&gt;=1000</formula>
    </cfRule>
  </conditionalFormatting>
  <conditionalFormatting sqref="F4:F11">
    <cfRule type="expression" dxfId="1140" priority="95">
      <formula>ABS(F$7-F$10)&gt;=1000</formula>
    </cfRule>
  </conditionalFormatting>
  <conditionalFormatting sqref="G4:G11">
    <cfRule type="expression" dxfId="1139" priority="94">
      <formula>ABS(G$7-G$10)&gt;=1000</formula>
    </cfRule>
  </conditionalFormatting>
  <conditionalFormatting sqref="H4:H11">
    <cfRule type="expression" dxfId="1138" priority="93">
      <formula>ABS(H$7-H$10)&gt;=1000</formula>
    </cfRule>
  </conditionalFormatting>
  <conditionalFormatting sqref="I4:I11">
    <cfRule type="expression" dxfId="1137" priority="92">
      <formula>ABS(I$7-I$10)&gt;=1000</formula>
    </cfRule>
  </conditionalFormatting>
  <conditionalFormatting sqref="J4:J11">
    <cfRule type="expression" dxfId="1136" priority="91">
      <formula>ABS(J$7-J$10)&gt;=1000</formula>
    </cfRule>
  </conditionalFormatting>
  <conditionalFormatting sqref="K4:K11">
    <cfRule type="expression" dxfId="1135" priority="90">
      <formula>ABS(K$7-K$10)&gt;=1000</formula>
    </cfRule>
  </conditionalFormatting>
  <conditionalFormatting sqref="L4:L11">
    <cfRule type="expression" dxfId="1134" priority="89">
      <formula>ABS(L$7-L$10)&gt;=1000</formula>
    </cfRule>
  </conditionalFormatting>
  <conditionalFormatting sqref="M4 M6:M11">
    <cfRule type="expression" dxfId="1133" priority="88">
      <formula>ABS(M$7-M$10)&gt;=1000</formula>
    </cfRule>
  </conditionalFormatting>
  <conditionalFormatting sqref="N4 N6:N11">
    <cfRule type="expression" dxfId="1132" priority="87">
      <formula>ABS(N$7-N$10)&gt;=1000</formula>
    </cfRule>
  </conditionalFormatting>
  <conditionalFormatting sqref="O4 O6:O11">
    <cfRule type="expression" dxfId="1131" priority="86">
      <formula>ABS(O$7-O$10)&gt;=1000</formula>
    </cfRule>
  </conditionalFormatting>
  <conditionalFormatting sqref="P4 P6:P11">
    <cfRule type="expression" dxfId="1130" priority="85">
      <formula>ABS(P$7-P$10)&gt;=1000</formula>
    </cfRule>
  </conditionalFormatting>
  <conditionalFormatting sqref="Q4:Q11">
    <cfRule type="expression" dxfId="1129" priority="84">
      <formula>ABS(Q$7-Q$10)&gt;=1000</formula>
    </cfRule>
  </conditionalFormatting>
  <conditionalFormatting sqref="R4:R11">
    <cfRule type="expression" dxfId="1128" priority="83">
      <formula>ABS(R$7-R$10)&gt;=1000</formula>
    </cfRule>
  </conditionalFormatting>
  <conditionalFormatting sqref="S4:S11">
    <cfRule type="expression" dxfId="1127" priority="82">
      <formula>ABS(S$7-S$10)&gt;=1000</formula>
    </cfRule>
  </conditionalFormatting>
  <conditionalFormatting sqref="T4:T9 T11">
    <cfRule type="expression" dxfId="1126" priority="81">
      <formula>ABS(T$7-T$10)&gt;=1000</formula>
    </cfRule>
  </conditionalFormatting>
  <conditionalFormatting sqref="U4:U9 U11">
    <cfRule type="expression" dxfId="1125" priority="80">
      <formula>ABS(U$7-U$10)&gt;=1000</formula>
    </cfRule>
  </conditionalFormatting>
  <conditionalFormatting sqref="V4:V9 V11">
    <cfRule type="expression" dxfId="1124" priority="79">
      <formula>ABS(V$7-V$10)&gt;=1000</formula>
    </cfRule>
  </conditionalFormatting>
  <conditionalFormatting sqref="W4:W9 W11">
    <cfRule type="expression" dxfId="1123" priority="78">
      <formula>ABS(W$7-W$10)&gt;=1000</formula>
    </cfRule>
  </conditionalFormatting>
  <conditionalFormatting sqref="X4:X9 X11">
    <cfRule type="expression" dxfId="1122" priority="77">
      <formula>ABS(X$7-X$10)&gt;=1000</formula>
    </cfRule>
  </conditionalFormatting>
  <conditionalFormatting sqref="Y4:Y9 Y11">
    <cfRule type="expression" dxfId="1121" priority="76">
      <formula>ABS(Y$7-Y$10)&gt;=1000</formula>
    </cfRule>
  </conditionalFormatting>
  <conditionalFormatting sqref="Z4:Z11">
    <cfRule type="expression" dxfId="1120" priority="75">
      <formula>ABS(Z$7-Z$10)&gt;=1000</formula>
    </cfRule>
  </conditionalFormatting>
  <conditionalFormatting sqref="AA4:AA11">
    <cfRule type="expression" dxfId="1119" priority="74">
      <formula>ABS(AA$7-AA$10)&gt;=1000</formula>
    </cfRule>
  </conditionalFormatting>
  <conditionalFormatting sqref="AB4:AB11">
    <cfRule type="expression" dxfId="1118" priority="73">
      <formula>ABS(AB$7-AB$10)&gt;=1000</formula>
    </cfRule>
  </conditionalFormatting>
  <conditionalFormatting sqref="AC4 AC6:AC11">
    <cfRule type="expression" dxfId="1117" priority="72">
      <formula>ABS(AC$7-AC$10)&gt;=1000</formula>
    </cfRule>
  </conditionalFormatting>
  <conditionalFormatting sqref="AD4:AD11">
    <cfRule type="expression" dxfId="1116" priority="71">
      <formula>ABS(AD$7-AD$10)&gt;=1000</formula>
    </cfRule>
  </conditionalFormatting>
  <conditionalFormatting sqref="AE4:AE11">
    <cfRule type="expression" dxfId="1115" priority="70">
      <formula>ABS(AE$7-AE$10)&gt;=1000</formula>
    </cfRule>
  </conditionalFormatting>
  <conditionalFormatting sqref="D13:D20">
    <cfRule type="expression" dxfId="1114" priority="69">
      <formula>ABS(D$16-D$19)&gt;=1000</formula>
    </cfRule>
  </conditionalFormatting>
  <conditionalFormatting sqref="E13:E20">
    <cfRule type="expression" dxfId="1113" priority="68">
      <formula>ABS(E$16-E$19)&gt;=1000</formula>
    </cfRule>
  </conditionalFormatting>
  <conditionalFormatting sqref="F13 F15:F20">
    <cfRule type="expression" dxfId="1112" priority="67">
      <formula>ABS(F$16-F$19)&gt;=1000</formula>
    </cfRule>
  </conditionalFormatting>
  <conditionalFormatting sqref="G13:G20">
    <cfRule type="expression" dxfId="1111" priority="66">
      <formula>ABS(G$16-G$19)&gt;=1000</formula>
    </cfRule>
  </conditionalFormatting>
  <conditionalFormatting sqref="H13:H20">
    <cfRule type="expression" dxfId="1110" priority="65">
      <formula>ABS(H$16-H$19)&gt;=1000</formula>
    </cfRule>
  </conditionalFormatting>
  <conditionalFormatting sqref="I13:I20">
    <cfRule type="expression" dxfId="1109" priority="64">
      <formula>ABS(I$16-I$19)&gt;=1000</formula>
    </cfRule>
  </conditionalFormatting>
  <conditionalFormatting sqref="J13:J20">
    <cfRule type="expression" dxfId="1108" priority="63">
      <formula>ABS(J$16-J$19)&gt;=1000</formula>
    </cfRule>
  </conditionalFormatting>
  <conditionalFormatting sqref="L13:L20">
    <cfRule type="expression" dxfId="1107" priority="62">
      <formula>ABS(L$16-L$19)&gt;=1000</formula>
    </cfRule>
  </conditionalFormatting>
  <conditionalFormatting sqref="M13 M15 M17:M18 M20">
    <cfRule type="expression" dxfId="1106" priority="61">
      <formula>ABS(M$16-M$19)&gt;=1000</formula>
    </cfRule>
  </conditionalFormatting>
  <conditionalFormatting sqref="N13:N20">
    <cfRule type="expression" dxfId="1105" priority="60">
      <formula>ABS(N$16-N$19)&gt;=1000</formula>
    </cfRule>
  </conditionalFormatting>
  <conditionalFormatting sqref="O13:O20">
    <cfRule type="expression" dxfId="1104" priority="59">
      <formula>ABS(O$16-O$19)&gt;=1000</formula>
    </cfRule>
  </conditionalFormatting>
  <conditionalFormatting sqref="P13:P20">
    <cfRule type="expression" dxfId="1103" priority="58">
      <formula>ABS(P$16-P$19)&gt;=1000</formula>
    </cfRule>
  </conditionalFormatting>
  <conditionalFormatting sqref="Q13 Q15:Q20">
    <cfRule type="expression" dxfId="1102" priority="57">
      <formula>ABS(Q$16-Q$19)&gt;=1000</formula>
    </cfRule>
  </conditionalFormatting>
  <conditionalFormatting sqref="R13:R20">
    <cfRule type="expression" dxfId="1101" priority="56">
      <formula>ABS(R$16-R$19)&gt;=1000</formula>
    </cfRule>
  </conditionalFormatting>
  <conditionalFormatting sqref="S13:S20">
    <cfRule type="expression" dxfId="1100" priority="55">
      <formula>ABS(S$16-S$19)&gt;=1000</formula>
    </cfRule>
  </conditionalFormatting>
  <conditionalFormatting sqref="T13:T20">
    <cfRule type="expression" dxfId="1099" priority="54">
      <formula>ABS(T$16-T$19)&gt;=1000</formula>
    </cfRule>
  </conditionalFormatting>
  <conditionalFormatting sqref="U13:U20">
    <cfRule type="expression" dxfId="1098" priority="53">
      <formula>ABS(U$16-U$19)&gt;=1000</formula>
    </cfRule>
  </conditionalFormatting>
  <conditionalFormatting sqref="V13:V20">
    <cfRule type="expression" dxfId="1097" priority="52">
      <formula>ABS(V$16-V$19)&gt;=1000</formula>
    </cfRule>
  </conditionalFormatting>
  <conditionalFormatting sqref="W13 W20 W15:W18">
    <cfRule type="expression" dxfId="1096" priority="51">
      <formula>ABS(W$16-W$19)&gt;=1000</formula>
    </cfRule>
  </conditionalFormatting>
  <conditionalFormatting sqref="X13 X15:X20 Y19">
    <cfRule type="expression" dxfId="1095" priority="50">
      <formula>ABS(X$16-X$19)&gt;=1000</formula>
    </cfRule>
  </conditionalFormatting>
  <conditionalFormatting sqref="Y13 Y15:Y18 Y20">
    <cfRule type="expression" dxfId="1094" priority="49">
      <formula>ABS(Y$16-Y$19)&gt;=1000</formula>
    </cfRule>
  </conditionalFormatting>
  <conditionalFormatting sqref="Z13:Z20">
    <cfRule type="expression" dxfId="1093" priority="48">
      <formula>ABS(Z$16-Z$19)&gt;=1000</formula>
    </cfRule>
  </conditionalFormatting>
  <conditionalFormatting sqref="AA13:AA20">
    <cfRule type="expression" dxfId="1092" priority="47">
      <formula>ABS(AA$16-AA$19)&gt;=1000</formula>
    </cfRule>
  </conditionalFormatting>
  <conditionalFormatting sqref="AB13 AB15:AB20">
    <cfRule type="expression" dxfId="1091" priority="46">
      <formula>ABS(AB$16-AB$19)&gt;=1000</formula>
    </cfRule>
  </conditionalFormatting>
  <conditionalFormatting sqref="AC13 AC15:AC20">
    <cfRule type="expression" dxfId="1090" priority="45">
      <formula>ABS(AC$16-AC$19)&gt;=1000</formula>
    </cfRule>
  </conditionalFormatting>
  <conditionalFormatting sqref="AD13:AD20">
    <cfRule type="expression" dxfId="1089" priority="44">
      <formula>ABS(AD$16-AD$19)&gt;=1000</formula>
    </cfRule>
  </conditionalFormatting>
  <conditionalFormatting sqref="AE13:AE20">
    <cfRule type="expression" dxfId="1088" priority="43">
      <formula>ABS(AE$16-AE$19)&gt;=1000</formula>
    </cfRule>
  </conditionalFormatting>
  <conditionalFormatting sqref="D22:D29">
    <cfRule type="expression" dxfId="1087" priority="42">
      <formula>ABS(D$25-D$28)&gt;=1000</formula>
    </cfRule>
  </conditionalFormatting>
  <conditionalFormatting sqref="E22:E29">
    <cfRule type="expression" dxfId="1086" priority="41">
      <formula>ABS(E$25-E$28)&gt;=1000</formula>
    </cfRule>
  </conditionalFormatting>
  <conditionalFormatting sqref="F22:F29">
    <cfRule type="expression" dxfId="1085" priority="40">
      <formula>ABS(F$25-F$28)&gt;=1000</formula>
    </cfRule>
  </conditionalFormatting>
  <conditionalFormatting sqref="G22:G29">
    <cfRule type="expression" dxfId="1084" priority="39">
      <formula>ABS(G$25-G$28)&gt;=1000</formula>
    </cfRule>
  </conditionalFormatting>
  <conditionalFormatting sqref="H22:H29">
    <cfRule type="expression" dxfId="1083" priority="38">
      <formula>ABS(H$25-H$28)&gt;=1000</formula>
    </cfRule>
  </conditionalFormatting>
  <conditionalFormatting sqref="I22 I24:I29">
    <cfRule type="expression" dxfId="1082" priority="37">
      <formula>ABS(I$25-I$28)&gt;=1000</formula>
    </cfRule>
  </conditionalFormatting>
  <conditionalFormatting sqref="J22:J29 K22">
    <cfRule type="expression" dxfId="1081" priority="36">
      <formula>ABS(J$25-J$28)&gt;=1000</formula>
    </cfRule>
  </conditionalFormatting>
  <conditionalFormatting sqref="K23:K29 L25 L28">
    <cfRule type="expression" dxfId="1080" priority="35">
      <formula>ABS(K$25-K$28)&gt;=1000</formula>
    </cfRule>
  </conditionalFormatting>
  <conditionalFormatting sqref="L22 L26:L27 L29 L24">
    <cfRule type="expression" dxfId="1079" priority="34">
      <formula>ABS(L$25-L$28)&gt;=1000</formula>
    </cfRule>
  </conditionalFormatting>
  <conditionalFormatting sqref="M22:M29">
    <cfRule type="expression" dxfId="1078" priority="33">
      <formula>ABS(M$25-M$28)&gt;=1000</formula>
    </cfRule>
  </conditionalFormatting>
  <conditionalFormatting sqref="N22:N29">
    <cfRule type="expression" dxfId="1077" priority="32">
      <formula>ABS(N$25-N$28)&gt;=1000</formula>
    </cfRule>
  </conditionalFormatting>
  <conditionalFormatting sqref="O22:O29">
    <cfRule type="expression" dxfId="1076" priority="31">
      <formula>ABS(O$25-O$28)&gt;=1000</formula>
    </cfRule>
  </conditionalFormatting>
  <conditionalFormatting sqref="P22:P29">
    <cfRule type="expression" dxfId="1075" priority="30">
      <formula>ABS(P$25-P$28)&gt;=1000</formula>
    </cfRule>
  </conditionalFormatting>
  <conditionalFormatting sqref="Q22:Q29">
    <cfRule type="expression" dxfId="1074" priority="29">
      <formula>ABS(Q$25-Q$28)&gt;=1000</formula>
    </cfRule>
  </conditionalFormatting>
  <conditionalFormatting sqref="R22:R29">
    <cfRule type="expression" dxfId="1073" priority="28">
      <formula>ABS(R$25-R$28)&gt;=1000</formula>
    </cfRule>
  </conditionalFormatting>
  <conditionalFormatting sqref="S22:S29">
    <cfRule type="expression" dxfId="1072" priority="27">
      <formula>ABS(S$25-S$28)&gt;=1000</formula>
    </cfRule>
  </conditionalFormatting>
  <conditionalFormatting sqref="T22:T29">
    <cfRule type="expression" dxfId="1071" priority="26">
      <formula>ABS(T$25-T$28)&gt;=1000</formula>
    </cfRule>
  </conditionalFormatting>
  <conditionalFormatting sqref="U22:U29">
    <cfRule type="expression" dxfId="1070" priority="25">
      <formula>ABS(U$25-U$28)&gt;=1000</formula>
    </cfRule>
  </conditionalFormatting>
  <conditionalFormatting sqref="V22:V29">
    <cfRule type="expression" dxfId="1069" priority="24">
      <formula>ABS(V$25-V$28)&gt;=1000</formula>
    </cfRule>
  </conditionalFormatting>
  <conditionalFormatting sqref="W22:W29">
    <cfRule type="expression" dxfId="1068" priority="23">
      <formula>ABS(W$25-W$28)&gt;=1000</formula>
    </cfRule>
  </conditionalFormatting>
  <conditionalFormatting sqref="X22:X29">
    <cfRule type="expression" dxfId="1067" priority="22">
      <formula>ABS(X$25-X$28)&gt;=1000</formula>
    </cfRule>
  </conditionalFormatting>
  <conditionalFormatting sqref="Y22:Y29">
    <cfRule type="expression" dxfId="1066" priority="21">
      <formula>ABS(Y$25-Y$28)&gt;=1000</formula>
    </cfRule>
  </conditionalFormatting>
  <conditionalFormatting sqref="I23">
    <cfRule type="expression" dxfId="1065" priority="20">
      <formula>ABS(I$25-I$28)&gt;=1000</formula>
    </cfRule>
  </conditionalFormatting>
  <conditionalFormatting sqref="F14">
    <cfRule type="expression" dxfId="1064" priority="19">
      <formula>ABS(F$16-F$19)&gt;=1000</formula>
    </cfRule>
  </conditionalFormatting>
  <conditionalFormatting sqref="Q14">
    <cfRule type="expression" dxfId="1063" priority="18">
      <formula>ABS(Q$16-Q$19)&gt;=1000</formula>
    </cfRule>
  </conditionalFormatting>
  <conditionalFormatting sqref="W14">
    <cfRule type="expression" dxfId="1062" priority="17">
      <formula>ABS(W$16-W$19)&gt;=1000</formula>
    </cfRule>
  </conditionalFormatting>
  <conditionalFormatting sqref="Y14">
    <cfRule type="expression" dxfId="1061" priority="16">
      <formula>ABS(Y$16-Y$19)&gt;=1000</formula>
    </cfRule>
  </conditionalFormatting>
  <conditionalFormatting sqref="X14">
    <cfRule type="expression" dxfId="1060" priority="15">
      <formula>ABS(X$16-X$19)&gt;=1000</formula>
    </cfRule>
  </conditionalFormatting>
  <conditionalFormatting sqref="T10:Y10">
    <cfRule type="expression" dxfId="1059" priority="14">
      <formula>ABS(T$7-T$10)&gt;=1000</formula>
    </cfRule>
  </conditionalFormatting>
  <conditionalFormatting sqref="W19">
    <cfRule type="expression" dxfId="1058" priority="13">
      <formula>ABS(W$16-W$19)&gt;=1000</formula>
    </cfRule>
  </conditionalFormatting>
  <conditionalFormatting sqref="AC5">
    <cfRule type="expression" dxfId="1057" priority="12">
      <formula>ABS(AC$7-AC$10)&gt;=1000</formula>
    </cfRule>
  </conditionalFormatting>
  <conditionalFormatting sqref="M14">
    <cfRule type="expression" dxfId="1056" priority="11">
      <formula>ABS(M$16-M$19)&gt;=1000</formula>
    </cfRule>
  </conditionalFormatting>
  <conditionalFormatting sqref="M16">
    <cfRule type="expression" dxfId="1055" priority="10">
      <formula>ABS(M$16-M$19)&gt;=1000</formula>
    </cfRule>
  </conditionalFormatting>
  <conditionalFormatting sqref="M19">
    <cfRule type="expression" dxfId="1054" priority="9">
      <formula>ABS(M$16-M$19)&gt;=1000</formula>
    </cfRule>
  </conditionalFormatting>
  <conditionalFormatting sqref="K13:K20">
    <cfRule type="expression" dxfId="1053" priority="8">
      <formula>ABS(K$16-K$19)&gt;=1000</formula>
    </cfRule>
  </conditionalFormatting>
  <conditionalFormatting sqref="E5">
    <cfRule type="expression" dxfId="1052" priority="7">
      <formula>ABS(E$7-E$10)&gt;=1000</formula>
    </cfRule>
  </conditionalFormatting>
  <conditionalFormatting sqref="AB14:AC14">
    <cfRule type="expression" dxfId="1051" priority="6">
      <formula>ABS(AB$16-AB$19)&gt;=1000</formula>
    </cfRule>
  </conditionalFormatting>
  <conditionalFormatting sqref="M5">
    <cfRule type="expression" dxfId="1050" priority="5">
      <formula>ABS(M$7-M$10)&gt;=1000</formula>
    </cfRule>
  </conditionalFormatting>
  <conditionalFormatting sqref="N5">
    <cfRule type="expression" dxfId="1049" priority="4">
      <formula>ABS(N$7-N$10)&gt;=1000</formula>
    </cfRule>
  </conditionalFormatting>
  <conditionalFormatting sqref="O5">
    <cfRule type="expression" dxfId="1048" priority="3">
      <formula>ABS(O$7-O$10)&gt;=1000</formula>
    </cfRule>
  </conditionalFormatting>
  <conditionalFormatting sqref="P5">
    <cfRule type="expression" dxfId="1047" priority="2">
      <formula>ABS(P$7-P$10)&gt;=1000</formula>
    </cfRule>
  </conditionalFormatting>
  <conditionalFormatting sqref="L23">
    <cfRule type="expression" dxfId="1046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59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2">
    <pageSetUpPr fitToPage="1"/>
  </sheetPr>
  <dimension ref="A1:CU223"/>
  <sheetViews>
    <sheetView view="pageBreakPreview" zoomScale="80" zoomScaleNormal="100" zoomScaleSheetLayoutView="80" workbookViewId="0">
      <selection activeCell="G4" sqref="G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45813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53" t="s" ph="1">
        <v>178</v>
      </c>
      <c r="D6" s="71">
        <v>4940</v>
      </c>
      <c r="E6" s="71">
        <v>4701</v>
      </c>
      <c r="F6" s="71">
        <v>7138</v>
      </c>
      <c r="G6" s="71">
        <v>6088</v>
      </c>
      <c r="H6" s="71">
        <v>1028</v>
      </c>
      <c r="I6" s="71">
        <v>25.62</v>
      </c>
      <c r="J6" s="71">
        <v>7.71</v>
      </c>
      <c r="K6" s="71">
        <v>17.91</v>
      </c>
      <c r="L6" s="71">
        <v>65.92</v>
      </c>
      <c r="M6" s="71">
        <v>4021</v>
      </c>
      <c r="N6" s="71">
        <v>4442</v>
      </c>
      <c r="O6" s="71">
        <v>1031</v>
      </c>
      <c r="P6" s="71">
        <v>2938</v>
      </c>
      <c r="Q6" s="71">
        <v>7212</v>
      </c>
      <c r="R6" s="71">
        <v>6992</v>
      </c>
      <c r="S6" s="71">
        <v>4439</v>
      </c>
      <c r="T6" s="71">
        <v>4013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1827</v>
      </c>
      <c r="AA6" s="71">
        <v>1184</v>
      </c>
      <c r="AB6" s="71">
        <v>1887</v>
      </c>
      <c r="AC6" s="71">
        <v>4136</v>
      </c>
      <c r="AD6" s="71">
        <v>4397</v>
      </c>
      <c r="AE6" s="71">
        <v>3330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154960.65458639999</v>
      </c>
      <c r="E7" s="73" ph="1">
        <f>E6*51.53*LOOKUP(E8,密度!$A$2:$A$50,密度!$B$2:$B$50)</f>
        <v>188440.464087</v>
      </c>
      <c r="F7" s="73" ph="1">
        <f>F6*33.183*LOOKUP(F8,密度!$A$2:$A$50,密度!$C$2:$C$50)</f>
        <v>262654.33566059999</v>
      </c>
      <c r="G7" s="73" ph="1">
        <f xml:space="preserve"> (G6+2)*51.53*LOOKUP(G8,密度!$A$2:$A$50,密度!$B$2:$B$50)</f>
        <v>244369.84299</v>
      </c>
      <c r="H7" s="73" ph="1">
        <f>(H6)*51.53*LOOKUP(H8,密度!$A$2:$A$50,密度!$B$2:$B$50)</f>
        <v>41440.652732000002</v>
      </c>
      <c r="I7" s="73" ph="1">
        <f>I6*290.8*1.0267</f>
        <v>7649.2189031999997</v>
      </c>
      <c r="J7" s="73" ph="1">
        <f>J6*290.8*0.7892</f>
        <v>1769.4400656000003</v>
      </c>
      <c r="K7" s="73" ph="1">
        <f>K6*290.8*1.1126</f>
        <v>5794.6744728000003</v>
      </c>
      <c r="L7" s="73" ph="1">
        <f>L6*290.8*0.777</f>
        <v>14894.729472000001</v>
      </c>
      <c r="M7" s="73" ph="1">
        <f>M6*33.183*LOOKUP(M8,密度!$A$2:$A$50,密度!$D$2:$D$50)</f>
        <v>136617.79234769999</v>
      </c>
      <c r="N7" s="73" ph="1">
        <f>N6*33.183*LOOKUP(N8,密度!$A$2:$A$50,密度!$E$2:$E$50)</f>
        <v>115118.529966</v>
      </c>
      <c r="O7" s="73" ph="1">
        <f>O6*20.428*LOOKUP(O8,密度!$A$2:$A$50,密度!$C$2:$C$50)</f>
        <v>23291.656281200001</v>
      </c>
      <c r="P7" s="73" ph="1">
        <f>P6*51.53*LOOKUP(P8,密度!$A$2:$A$50,密度!$B$2:$B$50)</f>
        <v>117770.27940600002</v>
      </c>
      <c r="Q7" s="73" ph="1">
        <f>Q6*1.5*1.5*3.1416*LOOKUP(W8,密度!$A$2:$A$50,密度!$L$2:$L$50)</f>
        <v>47665.124892</v>
      </c>
      <c r="R7" s="73" ph="1">
        <f>R6*1.5*1.5*3.1416*LOOKUP(R8,密度!$A$2:$A$50,密度!$L$2:$L$50)</f>
        <v>46013.419267200006</v>
      </c>
      <c r="S7" s="73" ph="1">
        <f>S6*1.5*1.5*3.1416*LOOKUP(S8,密度!$A$2:$A$50,密度!$L$2:$L$50)</f>
        <v>29588.997022199997</v>
      </c>
      <c r="T7" s="73" ph="1">
        <f>T6*1.5*1.5*3.1416*LOOKUP(T8,密度!$A$2:$A$50,密度!$L$2:$L$50)</f>
        <v>26635.948000199998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56684.693835000005</v>
      </c>
      <c r="AA7" s="73" ph="1">
        <f>AA6*33.183*LOOKUP(AA8,密度!$A$2:$A$50,密度!$D$2:$D$50)</f>
        <v>40263.031065599993</v>
      </c>
      <c r="AB7" s="73" ph="1">
        <f>AB6*20.428*LOOKUP(AB8,密度!$A$2:$A$50,密度!$D$2:$D$50)</f>
        <v>39854.400860399997</v>
      </c>
      <c r="AC7" s="73" ph="1">
        <f>AC6*51.53*LOOKUP(AC8,密度!$A$2:$A$50,密度!$Q$2:$Q$50)</f>
        <v>201776.87845920003</v>
      </c>
      <c r="AD7" s="73" ph="1">
        <f>AD6*20.428*LOOKUP(AD8,密度!$A$2:$A$50,密度!$V$2:$V$50)</f>
        <v>86300.896892799996</v>
      </c>
      <c r="AE7" s="73" ph="1">
        <f>AE6*20.428</f>
        <v>68025.240000000005</v>
      </c>
    </row>
    <row r="8" spans="1:99" ph="1">
      <c r="B8" s="244" ph="1"/>
      <c r="C8" s="68" t="s" ph="1">
        <v>180</v>
      </c>
      <c r="D8" s="74">
        <v>27</v>
      </c>
      <c r="E8" s="74">
        <v>27</v>
      </c>
      <c r="F8" s="74">
        <v>25</v>
      </c>
      <c r="G8" s="74">
        <v>26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29</v>
      </c>
      <c r="P8" s="74">
        <v>27</v>
      </c>
      <c r="Q8" s="74">
        <v>26</v>
      </c>
      <c r="R8" s="74">
        <v>31</v>
      </c>
      <c r="S8" s="74">
        <v>19</v>
      </c>
      <c r="T8" s="74">
        <v>23</v>
      </c>
      <c r="U8" s="74">
        <v>26</v>
      </c>
      <c r="V8" s="74">
        <v>27</v>
      </c>
      <c r="W8" s="74">
        <v>27</v>
      </c>
      <c r="X8" s="74">
        <v>28</v>
      </c>
      <c r="Y8" s="74">
        <v>26</v>
      </c>
      <c r="Z8" s="74">
        <v>27</v>
      </c>
      <c r="AA8" s="74">
        <v>27</v>
      </c>
      <c r="AB8" s="74">
        <v>17</v>
      </c>
      <c r="AC8" s="74">
        <v>25</v>
      </c>
      <c r="AD8" s="74">
        <v>25</v>
      </c>
      <c r="AE8" s="74">
        <v>29</v>
      </c>
    </row>
    <row r="9" spans="1:99" ht="26.4" ph="1">
      <c r="B9" s="244" ph="1">
        <v>0.66666666666666663</v>
      </c>
      <c r="C9" s="153" t="s" ph="1">
        <v>181</v>
      </c>
      <c r="D9" s="71">
        <v>4942</v>
      </c>
      <c r="E9" s="71">
        <v>4699</v>
      </c>
      <c r="F9" s="71">
        <v>7140</v>
      </c>
      <c r="G9" s="71">
        <v>8426</v>
      </c>
      <c r="H9" s="71">
        <v>1030</v>
      </c>
      <c r="I9" s="71">
        <v>13.41</v>
      </c>
      <c r="J9" s="71">
        <v>7.82</v>
      </c>
      <c r="K9" s="71">
        <v>7.62</v>
      </c>
      <c r="L9" s="71">
        <v>50.91</v>
      </c>
      <c r="M9" s="71">
        <v>4418</v>
      </c>
      <c r="N9" s="71">
        <v>4444</v>
      </c>
      <c r="O9" s="71">
        <v>1009</v>
      </c>
      <c r="P9" s="71">
        <v>2723</v>
      </c>
      <c r="Q9" s="71">
        <v>5876</v>
      </c>
      <c r="R9" s="71">
        <v>6999</v>
      </c>
      <c r="S9" s="71">
        <v>4443</v>
      </c>
      <c r="T9" s="71">
        <v>6736</v>
      </c>
      <c r="U9" s="71">
        <v>4814</v>
      </c>
      <c r="V9" s="71">
        <v>0</v>
      </c>
      <c r="W9" s="71">
        <v>0</v>
      </c>
      <c r="X9" s="71">
        <v>0</v>
      </c>
      <c r="Y9" s="71">
        <v>0</v>
      </c>
      <c r="Z9" s="71">
        <v>1806</v>
      </c>
      <c r="AA9" s="71">
        <v>896</v>
      </c>
      <c r="AB9" s="71">
        <v>1550</v>
      </c>
      <c r="AC9" s="71">
        <v>4136</v>
      </c>
      <c r="AD9" s="71">
        <v>4402</v>
      </c>
      <c r="AE9" s="71">
        <v>3501</v>
      </c>
    </row>
    <row r="10" spans="1:99" s="72" customFormat="1" ht="22.2" ph="1">
      <c r="B10" s="244" ph="1"/>
      <c r="C10" s="153" t="s" ph="1">
        <v>179</v>
      </c>
      <c r="D10" s="73" ph="1">
        <f>D9*33.183*LOOKUP(D11,密度!$A$2:$A$50,密度!$Q$2:$Q$50)</f>
        <v>154908.59842332001</v>
      </c>
      <c r="E10" s="73" ph="1">
        <f>E9*51.53*LOOKUP(E11,密度!$A$2:$A$50,密度!$B$2:$B$50)</f>
        <v>187948.65661400001</v>
      </c>
      <c r="F10" s="73" ph="1">
        <f>F9*33.183*LOOKUP(F11,密度!$A$2:$A$50,密度!$C$2:$C$50)</f>
        <v>262372.53898799996</v>
      </c>
      <c r="G10" s="73" ph="1">
        <f xml:space="preserve"> (G9+2)*51.53*LOOKUP(G11,密度!$A$2:$A$50,密度!$B$2:$B$50)</f>
        <v>337837.95603600005</v>
      </c>
      <c r="H10" s="73" ph="1">
        <f>(H9)*51.53*LOOKUP(H11,密度!$A$2:$A$50,密度!$B$2:$B$50)</f>
        <v>41330.203329999997</v>
      </c>
      <c r="I10" s="73" ph="1">
        <f>I9*290.8*1.0267</f>
        <v>4003.7480676</v>
      </c>
      <c r="J10" s="73" ph="1">
        <f>J9*290.8*0.7892</f>
        <v>1794.6849952</v>
      </c>
      <c r="K10" s="73" ph="1">
        <f>K9*290.8*1.1126</f>
        <v>2465.4058896000001</v>
      </c>
      <c r="L10" s="73" ph="1">
        <f>L9*290.8*0.777</f>
        <v>11503.195956</v>
      </c>
      <c r="M10" s="73" ph="1">
        <f>M9*33.183*LOOKUP(M11,密度!$A$2:$A$50,密度!$D$2:$D$50)</f>
        <v>149446.58238360001</v>
      </c>
      <c r="N10" s="73" ph="1">
        <f>N9*33.183*LOOKUP(N11,密度!$A$2:$A$50,密度!$E$2:$E$50)</f>
        <v>114993.40350960002</v>
      </c>
      <c r="O10" s="73" ph="1">
        <f>O9*20.428*LOOKUP(O11,密度!$A$2:$A$50,密度!$C$2:$C$50)</f>
        <v>22648.302977600004</v>
      </c>
      <c r="P10" s="73" ph="1">
        <f>P9*51.53*LOOKUP(P11,密度!$A$2:$A$50,密度!$B$2:$B$50)</f>
        <v>108787.14210700001</v>
      </c>
      <c r="Q10" s="73" ph="1">
        <f>Q9*1.5*1.5*3.1416*LOOKUP(W11,密度!$A$2:$A$50,密度!$L$2:$L$50)</f>
        <v>38461.496673599999</v>
      </c>
      <c r="R10" s="73" ph="1">
        <f>R9*1.5*1.5*3.1416*LOOKUP(R11,密度!$A$2:$A$50,密度!$L$2:$L$50)</f>
        <v>45960.539070600003</v>
      </c>
      <c r="S10" s="73" ph="1">
        <f>S9*1.5*1.5*3.1416*LOOKUP(S11,密度!$A$2:$A$50,密度!$L$2:$L$50)</f>
        <v>29552.848201799996</v>
      </c>
      <c r="T10" s="73" ph="1">
        <f>T9*1.5*1.5*3.1416*LOOKUP(T11,密度!$A$2:$A$50,密度!$L$2:$L$50)</f>
        <v>44709.630134399995</v>
      </c>
      <c r="U10" s="73" ph="1">
        <f>U9*1.5*1.5*3.1416*LOOKUP(U11,密度!$A$2:$A$50,密度!$L$2:$L$50)</f>
        <v>31850.433014400005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56033.145630000006</v>
      </c>
      <c r="AA10" s="73" ph="1">
        <f>AA9*33.183*LOOKUP(AA11,密度!$A$2:$A$50,密度!$D$2:$D$50)</f>
        <v>30255.250636800003</v>
      </c>
      <c r="AB10" s="73" ph="1">
        <f>AB9*20.428*LOOKUP(AB11,密度!$A$2:$A$50,密度!$D$2:$D$50)</f>
        <v>32657.630760000004</v>
      </c>
      <c r="AC10" s="73" ph="1">
        <f>AC9*51.53*LOOKUP(AC11,密度!$A$2:$A$50,密度!$Q$2:$Q$50)</f>
        <v>201050.11170640003</v>
      </c>
      <c r="AD10" s="73" ph="1">
        <f>AD9*20.428*LOOKUP(AD11,密度!$A$2:$A$50,密度!$V$2:$V$50)</f>
        <v>86111.276025600004</v>
      </c>
      <c r="AE10" s="73" ph="1">
        <f>AE9*20.428</f>
        <v>71518.428</v>
      </c>
    </row>
    <row r="11" spans="1:99" ph="1">
      <c r="A11" s="64" t="s" ph="1">
        <v>163</v>
      </c>
      <c r="B11" s="244" ph="1"/>
      <c r="C11" s="153" t="s" ph="1">
        <v>180</v>
      </c>
      <c r="D11" s="74">
        <v>28</v>
      </c>
      <c r="E11" s="74">
        <v>29</v>
      </c>
      <c r="F11" s="74">
        <v>27</v>
      </c>
      <c r="G11" s="74">
        <v>27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28</v>
      </c>
      <c r="O11" s="74">
        <v>36</v>
      </c>
      <c r="P11" s="74">
        <v>30</v>
      </c>
      <c r="Q11" s="74">
        <v>28</v>
      </c>
      <c r="R11" s="74">
        <v>33</v>
      </c>
      <c r="S11" s="74">
        <v>21</v>
      </c>
      <c r="T11" s="74">
        <v>23</v>
      </c>
      <c r="U11" s="74">
        <v>26</v>
      </c>
      <c r="V11" s="74">
        <v>28</v>
      </c>
      <c r="W11" s="74">
        <v>36</v>
      </c>
      <c r="X11" s="74">
        <v>25</v>
      </c>
      <c r="Y11" s="74">
        <v>32</v>
      </c>
      <c r="Z11" s="74">
        <v>27</v>
      </c>
      <c r="AA11" s="74">
        <v>35</v>
      </c>
      <c r="AB11" s="74">
        <v>20</v>
      </c>
      <c r="AC11" s="74">
        <v>30</v>
      </c>
      <c r="AD11" s="74">
        <v>27</v>
      </c>
      <c r="AE11" s="74">
        <v>34</v>
      </c>
    </row>
    <row r="12" spans="1:99" ht="9.9" customHeight="1" ph="1"/>
    <row r="13" spans="1:99" s="72" customFormat="1" ht="29.25" customHeight="1" ph="1">
      <c r="B13" s="221" t="s" ph="1">
        <v>37</v>
      </c>
      <c r="C13" s="15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53" t="s" ph="1">
        <v>178</v>
      </c>
      <c r="D15" s="78">
        <v>0</v>
      </c>
      <c r="E15" s="78">
        <v>3071</v>
      </c>
      <c r="F15" s="78">
        <v>3483</v>
      </c>
      <c r="G15" s="78">
        <v>3929</v>
      </c>
      <c r="H15" s="78">
        <v>2142</v>
      </c>
      <c r="I15" s="78">
        <v>117</v>
      </c>
      <c r="J15" s="78">
        <v>1652</v>
      </c>
      <c r="K15" s="78">
        <v>892</v>
      </c>
      <c r="L15" s="78">
        <v>5631</v>
      </c>
      <c r="M15" s="78">
        <v>924</v>
      </c>
      <c r="N15" s="78">
        <v>4754</v>
      </c>
      <c r="O15" s="78">
        <v>6072</v>
      </c>
      <c r="P15" s="78">
        <v>7148</v>
      </c>
      <c r="Q15" s="78">
        <v>0</v>
      </c>
      <c r="R15" s="78">
        <v>3507</v>
      </c>
      <c r="S15" s="78">
        <v>6909</v>
      </c>
      <c r="T15" s="78">
        <v>2750</v>
      </c>
      <c r="U15" s="78">
        <v>4662</v>
      </c>
      <c r="V15" s="78">
        <v>594</v>
      </c>
      <c r="W15" s="71">
        <v>-792</v>
      </c>
      <c r="X15" s="78">
        <v>25</v>
      </c>
      <c r="Y15" s="106">
        <v>-9908</v>
      </c>
      <c r="Z15" s="78">
        <v>0</v>
      </c>
      <c r="AA15" s="78">
        <v>4221</v>
      </c>
      <c r="AB15" s="78" ph="1">
        <v>2362</v>
      </c>
      <c r="AC15" s="78" ph="1">
        <v>0</v>
      </c>
      <c r="AD15" s="78">
        <v>75.11</v>
      </c>
      <c r="AE15" s="78">
        <v>27.62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53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20296.672011000002</v>
      </c>
      <c r="F16" s="73" ph="1">
        <f>F15*9.0746*LOOKUP(F17,密度!$A$2:$A$50,密度!$L$2:$L$50)</f>
        <v>29457.5672376</v>
      </c>
      <c r="G16" s="73" ph="1">
        <f>G15*9.0746*LOOKUP(G17,密度!$A$2:$A$50,密度!$B$2:$B$50)</f>
        <v>27763.85031758</v>
      </c>
      <c r="H16" s="73" ph="1">
        <f>H15*9.0746*LOOKUP(H17,密度!$A$2:$A$50,密度!$L$2:$L$50)</f>
        <v>18174.336642000002</v>
      </c>
      <c r="I16" s="73" ph="1">
        <f>I15*9.0746*LOOKUP(I17,密度!$A$2:$A$50,密度!$U$2:$U$50)</f>
        <v>1087.2096768000001</v>
      </c>
      <c r="J16" s="73" ph="1">
        <f>J15*9.0746*LOOKUP(J17,密度!$A$2:$A$50,密度!$L$2:$L$50)</f>
        <v>14001.817412800001</v>
      </c>
      <c r="K16" s="73" ph="1">
        <f>K15*9.0746*LOOKUP(K17,密度!$A$2:$A$50,密度!$C$2:$C$50)</f>
        <v>8976.03895448</v>
      </c>
      <c r="L16" s="73" ph="1">
        <f>L15*9.0746*LOOKUP(L17,密度!$A$2:$A$50,密度!$E$2:$E$50)</f>
        <v>39908.375700600001</v>
      </c>
      <c r="M16" s="73" ph="1">
        <f>M15*9.0746*LOOKUP(M17,密度!$A$2:$A$50,密度!$M$2:$M$50)</f>
        <v>7311.6593088000009</v>
      </c>
      <c r="N16" s="73" ph="1">
        <f>N15*9.0746*LOOKUP(N17,密度!$A$2:$A$50,密度!$M$2:$M$50)</f>
        <v>37752.381414839998</v>
      </c>
      <c r="O16" s="73" ph="1">
        <f>O15*9.0746*LOOKUP(O17,密度!$A$2:$A$50,密度!$G$2:$G$50)</f>
        <v>52786.730409600001</v>
      </c>
      <c r="P16" s="73" ph="1">
        <f ca="1">P15*9.0746*LOOKUP(P17,密度!$A$2:$A$51,密度!$Q$2:$Q$50)</f>
        <v>61318.409433056004</v>
      </c>
      <c r="Q16" s="73" ph="1">
        <f>Q15*9.0746*LOOKUP(Q17,密度!$A$2:$A$50,密度!$Q$2:$Q$50)</f>
        <v>0</v>
      </c>
      <c r="R16" s="73" ph="1">
        <f>MAX(R15*9.0746*LOOKUP(R17,密度!$A$2:$A$50,密度!$B$2:$B$50),0)</f>
        <v>24756.373609380003</v>
      </c>
      <c r="S16" s="73" ph="1">
        <f>S15*9.0746*LOOKUP(S17,密度!$A$2:$A$50,密度!$Q$2:$Q$50)</f>
        <v>59268.171624648006</v>
      </c>
      <c r="T16" s="73" ph="1">
        <f>T15*9.0746*LOOKUP(T17,密度!$A$2:$A$50,密度!$O$2:$O$50)</f>
        <v>23108.468900000003</v>
      </c>
      <c r="U16" s="73" ph="1">
        <f>U15*9.0746*LOOKUP(U17,密度!$A$2:$A$50,密度!$H$2:$H$50)</f>
        <v>38663.257094280001</v>
      </c>
      <c r="V16" s="73" ph="1">
        <f>MAX(5600*LOOKUP(V17,密度!$A$2:$A$50,密度!$Q$2:$Q$50)+V15*9.0476*LOOKUP(V17,密度!$A$2:$A$50,密度!$Q$2:$Q$50),0)</f>
        <v>10374.201075808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6065.0637899999992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29861.709993359997</v>
      </c>
      <c r="AB16" s="73" ph="1">
        <f>AB15*9.0746*LOOKUP(AB17,密度!$A$2:$A$50,密度!$L$2:$L$50)</f>
        <v>20062.4160672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16953.614122079998</v>
      </c>
      <c r="AE16" s="73" ph="1">
        <f>AE15*268.68*LOOKUP(AE17,密度!$A$2:$A$50,密度!B2:B50)+IF(AE15&lt;=0,0,1566*LOOKUP(AE17,密度!$A$2:$A$50,密度!B2:B50))</f>
        <v>7006.2196713600006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27</v>
      </c>
      <c r="E17" s="74">
        <v>27</v>
      </c>
      <c r="F17" s="74">
        <v>30</v>
      </c>
      <c r="G17" s="74">
        <v>26</v>
      </c>
      <c r="H17" s="74">
        <v>27</v>
      </c>
      <c r="I17" s="74">
        <v>26</v>
      </c>
      <c r="J17" s="74">
        <v>28</v>
      </c>
      <c r="K17" s="74">
        <v>25</v>
      </c>
      <c r="L17" s="74">
        <v>27</v>
      </c>
      <c r="M17" s="74">
        <v>28</v>
      </c>
      <c r="N17" s="74">
        <v>25</v>
      </c>
      <c r="O17" s="74">
        <v>27</v>
      </c>
      <c r="P17" s="74">
        <v>27</v>
      </c>
      <c r="Q17" s="74">
        <v>27</v>
      </c>
      <c r="R17" s="74">
        <v>27</v>
      </c>
      <c r="S17" s="74">
        <v>27</v>
      </c>
      <c r="T17" s="74">
        <v>26</v>
      </c>
      <c r="U17" s="74">
        <v>26</v>
      </c>
      <c r="V17" s="74">
        <v>27</v>
      </c>
      <c r="W17" s="74">
        <v>26</v>
      </c>
      <c r="X17" s="74">
        <v>26</v>
      </c>
      <c r="Y17" s="108">
        <v>27</v>
      </c>
      <c r="Z17" s="74">
        <v>27</v>
      </c>
      <c r="AA17" s="74">
        <v>25</v>
      </c>
      <c r="AB17" s="74">
        <v>26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0</v>
      </c>
      <c r="E18" s="71">
        <v>4708</v>
      </c>
      <c r="F18" s="71">
        <v>3483</v>
      </c>
      <c r="G18" s="71">
        <v>3970</v>
      </c>
      <c r="H18" s="71">
        <v>3753</v>
      </c>
      <c r="I18" s="71">
        <v>116</v>
      </c>
      <c r="J18" s="71">
        <v>1653</v>
      </c>
      <c r="K18" s="71">
        <v>892</v>
      </c>
      <c r="L18" s="71">
        <v>5641</v>
      </c>
      <c r="M18" s="71">
        <v>2778</v>
      </c>
      <c r="N18" s="71">
        <v>3784</v>
      </c>
      <c r="O18" s="71">
        <v>6078</v>
      </c>
      <c r="P18" s="71">
        <v>7157</v>
      </c>
      <c r="Q18" s="71">
        <v>0</v>
      </c>
      <c r="R18" s="71">
        <v>3510</v>
      </c>
      <c r="S18" s="71">
        <v>6916</v>
      </c>
      <c r="T18" s="71">
        <v>2752</v>
      </c>
      <c r="U18" s="71">
        <v>6459</v>
      </c>
      <c r="V18" s="71">
        <v>595</v>
      </c>
      <c r="W18" s="71">
        <v>-792</v>
      </c>
      <c r="X18" s="71">
        <v>24</v>
      </c>
      <c r="Y18" s="109">
        <v>-9907</v>
      </c>
      <c r="Z18" s="71">
        <v>0</v>
      </c>
      <c r="AA18" s="71">
        <v>4223</v>
      </c>
      <c r="AB18" s="71">
        <v>2364</v>
      </c>
      <c r="AC18" s="71">
        <v>0</v>
      </c>
      <c r="AD18" s="71">
        <v>74.81</v>
      </c>
      <c r="AE18" s="71">
        <v>56.62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53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31082.556859200005</v>
      </c>
      <c r="F19" s="73" ph="1">
        <f>F18*9.0746*LOOKUP(F20,密度!$A$2:$A$50,密度!$L$2:$L$50)</f>
        <v>29299.533078600001</v>
      </c>
      <c r="G19" s="73" ph="1">
        <f>G18*9.0746*LOOKUP(G20,密度!$A$2:$A$50,密度!$B$2:$B$50)</f>
        <v>28024.751419800003</v>
      </c>
      <c r="H19" s="73" ph="1">
        <f>H18*9.0746*LOOKUP(H20,密度!$A$2:$A$50,密度!$L$2:$L$50)</f>
        <v>31672.985634000001</v>
      </c>
      <c r="I19" s="73" ph="1">
        <f>I18*9.0746*LOOKUP(I20,密度!$A$2:$A$50,密度!$U$2:$U$50)</f>
        <v>1067.6012811200001</v>
      </c>
      <c r="J19" s="73" ph="1">
        <f>J18*9.0746*LOOKUP(J20,密度!$A$2:$A$50,密度!$L$2:$L$50)</f>
        <v>13965.292147800001</v>
      </c>
      <c r="K19" s="73" ph="1">
        <f>K18*9.0746*LOOKUP(K20,密度!$A$2:$A$50,密度!$C$2:$C$50)</f>
        <v>8911.2826088799993</v>
      </c>
      <c r="L19" s="73" ph="1">
        <f>L18*9.0746*LOOKUP(L20,密度!$A$2:$A$50,密度!$E$2:$E$50)</f>
        <v>39917.820544280003</v>
      </c>
      <c r="M19" s="73" ph="1">
        <f>M18*9.0746*LOOKUP(M20,密度!$A$2:$A$50,密度!$M$2:$M$50)</f>
        <v>21929.51683212</v>
      </c>
      <c r="N19" s="73" ph="1">
        <f>N18*9.0746*LOOKUP(N20,密度!$A$2:$A$50,密度!$M$2:$M$50)</f>
        <v>29980.757855839998</v>
      </c>
      <c r="O19" s="73" ph="1">
        <f>O18*9.0746*LOOKUP(O20,密度!$A$2:$A$50,密度!$G$2:$G$50)</f>
        <v>52723.064830919997</v>
      </c>
      <c r="P19" s="73" ph="1">
        <f ca="1">P18*9.0746*LOOKUP(P20,密度!$A$2:$A$51,密度!$Q$2:$Q$50)</f>
        <v>61350.152202363999</v>
      </c>
      <c r="Q19" s="73" ph="1">
        <f>Q18*9.0746*LOOKUP(Q20,密度!$A$2:$A$50,密度!$Q$2:$Q$50)</f>
        <v>0</v>
      </c>
      <c r="R19" s="73" ph="1">
        <f>MAX(R18*9.0746*LOOKUP(R20,密度!$A$2:$A$50,密度!$B$2:$B$50),0)</f>
        <v>24694.736203799999</v>
      </c>
      <c r="S19" s="73" ph="1">
        <f>S18*9.0746*LOOKUP(S20,密度!$A$2:$A$50,密度!$Q$2:$Q$50)</f>
        <v>59240.984123048009</v>
      </c>
      <c r="T19" s="73" ph="1">
        <f>T18*9.0746*LOOKUP(T20,密度!$A$2:$A$50,密度!$O$2:$O$50)</f>
        <v>23125.275059200001</v>
      </c>
      <c r="U19" s="73" ph="1">
        <f>U18*9.0746*LOOKUP(U20,密度!$A$2:$A$50,密度!$H$2:$H$50)</f>
        <v>53507.662914060005</v>
      </c>
      <c r="V19" s="73" ph="1">
        <f>MAX(5600*LOOKUP(V20,密度!$A$2:$A$50,密度!$Q$2:$Q$50)+V18*9.0476*LOOKUP(V20,密度!$A$2:$A$50,密度!$Q$2:$Q$50),0)</f>
        <v>10352.659650759999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6030.0498118400001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29810.711648820001</v>
      </c>
      <c r="AB19" s="73" ph="1">
        <f>AB18*9.0746*LOOKUP(AB20,密度!$A$2:$A$50,密度!$L$2:$L$50)</f>
        <v>20036.4990096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16834.443771600003</v>
      </c>
      <c r="AE19" s="73" ph="1">
        <f>AE18*268.68*LOOKUP(AE20,密度!$A$2:$A$50,密度!B5:B53)+IF(AE18&lt;=0,0,1566*LOOKUP(AE20,密度!$A$2:$A$50,密度!B5:B53))</f>
        <v>13037.0200632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29</v>
      </c>
      <c r="E20" s="81">
        <v>28</v>
      </c>
      <c r="F20" s="81">
        <v>35</v>
      </c>
      <c r="G20" s="81">
        <v>27</v>
      </c>
      <c r="H20" s="81">
        <v>32</v>
      </c>
      <c r="I20" s="81">
        <v>36</v>
      </c>
      <c r="J20" s="81">
        <v>31</v>
      </c>
      <c r="K20" s="81">
        <v>34</v>
      </c>
      <c r="L20" s="81">
        <v>28</v>
      </c>
      <c r="M20" s="81">
        <v>30</v>
      </c>
      <c r="N20" s="81">
        <v>27</v>
      </c>
      <c r="O20" s="81">
        <v>29</v>
      </c>
      <c r="P20" s="81">
        <v>28</v>
      </c>
      <c r="Q20" s="81">
        <v>31</v>
      </c>
      <c r="R20" s="81">
        <v>30</v>
      </c>
      <c r="S20" s="81">
        <v>29</v>
      </c>
      <c r="T20" s="81">
        <v>28</v>
      </c>
      <c r="U20" s="81">
        <v>27</v>
      </c>
      <c r="V20" s="81">
        <v>31</v>
      </c>
      <c r="W20" s="81">
        <v>29</v>
      </c>
      <c r="X20" s="81">
        <v>30</v>
      </c>
      <c r="Y20" s="110">
        <v>31</v>
      </c>
      <c r="Z20" s="81">
        <v>34</v>
      </c>
      <c r="AA20" s="81">
        <v>27</v>
      </c>
      <c r="AB20" s="81">
        <v>28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645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53" t="s" ph="1">
        <v>178</v>
      </c>
      <c r="D24" s="71">
        <v>90.81</v>
      </c>
      <c r="E24" s="71">
        <v>95.61</v>
      </c>
      <c r="F24" s="71">
        <v>3994</v>
      </c>
      <c r="G24" s="71">
        <v>2365</v>
      </c>
      <c r="H24" s="71">
        <v>2455</v>
      </c>
      <c r="I24" s="71">
        <v>3289</v>
      </c>
      <c r="J24" s="71">
        <v>5399</v>
      </c>
      <c r="K24" s="71">
        <v>37</v>
      </c>
      <c r="L24" s="71">
        <v>1130</v>
      </c>
      <c r="M24" s="71">
        <v>5244</v>
      </c>
      <c r="N24" s="71">
        <v>5319</v>
      </c>
      <c r="O24" s="71">
        <v>3688</v>
      </c>
      <c r="P24" s="71">
        <v>882</v>
      </c>
      <c r="Q24" s="90">
        <v>983</v>
      </c>
      <c r="R24" s="71">
        <v>1742</v>
      </c>
      <c r="S24" s="71">
        <v>1583</v>
      </c>
      <c r="T24" s="71">
        <v>1760</v>
      </c>
      <c r="U24" s="71">
        <v>5931</v>
      </c>
      <c r="V24" s="71">
        <v>9627</v>
      </c>
      <c r="W24" s="71">
        <v>10728</v>
      </c>
      <c r="X24" s="71">
        <v>1353</v>
      </c>
      <c r="Y24" s="71">
        <v>6735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24581.943911592003</v>
      </c>
      <c r="E25" s="91" ph="1">
        <f>E24*268.68*LOOKUP(E26,密度!$A$2:$A$50,密度!$C$2:$C$50)+IF(E24&lt;=0,0,1566*LOOKUP(E26,密度!$A$2:$A$50,密度!$C$2:$C$50))</f>
        <v>30222.509283720003</v>
      </c>
      <c r="F25" s="91" ph="1">
        <f>F24*11.702*LOOKUP(F26,密度!$A$2:$A$50,密度!$Q$2:$Q$50)</f>
        <v>44182.165752159999</v>
      </c>
      <c r="G25" s="91" ph="1">
        <f>G24*18.322*LOOKUP(G26,密度!$A$2:$A$50,密度!$B$2:$B$50)</f>
        <v>33707.597186999999</v>
      </c>
      <c r="H25" s="91" ph="1">
        <f>H24*18.322*LOOKUP(H26,密度!$A$2:$A$50,密度!$B$2:$B$50)</f>
        <v>34990.338728999996</v>
      </c>
      <c r="I25" s="91" ph="1">
        <f>I24*18.322*LOOKUP(I26,密度!$A$2:$A$50,密度!$Q$2:$Q$50)</f>
        <v>57008.768699740001</v>
      </c>
      <c r="J25" s="91" ph="1">
        <f>J24*18.322*LOOKUP(J26,密度!$A$2:$A$50,密度!$Q$2:$Q$50)</f>
        <v>93511.506262960014</v>
      </c>
      <c r="K25" s="91" ph="1">
        <f>K24*18.322*LOOKUP(K26,密度!$A$2:$A$50,密度!$Q$2:$Q$50)</f>
        <v>640.84566247999999</v>
      </c>
      <c r="L25" s="91" ph="1">
        <f>L24*18.322*LOOKUP(L26,密度!$A$2:$A$50,密度!$Q$2:$Q$50)</f>
        <v>19557.280233199999</v>
      </c>
      <c r="M25" s="91" ph="1">
        <f>M24*18.322*LOOKUP(M26,密度!$A$2:$A$50,密度!$Q$2:$Q$50)</f>
        <v>90826.882541760002</v>
      </c>
      <c r="N25" s="91" ph="1">
        <f>N24*18.322*LOOKUP(N26,密度!$A$2:$A$50,密度!$Q$2:$Q$50)</f>
        <v>92125.894019760002</v>
      </c>
      <c r="O25" s="91" ph="1">
        <f>O24*18.322*LOOKUP(O26,密度!$A$2:$A$50,密度!$C$2:$C$50)</f>
        <v>74876.019041599997</v>
      </c>
      <c r="P25" s="91" ph="1">
        <f>P24*11.702*LOOKUP(P26,密度!$A$2:$A$50,密度!$B$2:$B$50)</f>
        <v>8037.0904068</v>
      </c>
      <c r="Q25" s="92" ph="1">
        <f>Q24*18.322*LOOKUP(Q26,密度!$A$2:$A$50,密度!$B$2:$B$50)</f>
        <v>14010.388175399999</v>
      </c>
      <c r="R25" s="91" ph="1">
        <f>R24*35.891*LOOKUP(R26,密度!$A$2:$A$50,密度!$C$2:$C$50)</f>
        <v>69236.997902799994</v>
      </c>
      <c r="S25" s="91" ph="1">
        <f>S24*35.891*LOOKUP(S26,密度!$A$2:$A$50,密度!$B$2:$B$50)</f>
        <v>44196.740888699998</v>
      </c>
      <c r="T25" s="91" ph="1">
        <f>T24*35.891*LOOKUP(T26,密度!$A$2:$A$50,密度!$Q$2:$Q$50)</f>
        <v>59669.9072992</v>
      </c>
      <c r="U25" s="91" ph="1">
        <f>U24*35.891</f>
        <v>212869.52099999998</v>
      </c>
      <c r="V25" s="91" ph="1">
        <f>V24*47.051*LOOKUP(V26,密度!$A$2:$A$50,密度!$B$2:$B$50)</f>
        <v>352357.5661083</v>
      </c>
      <c r="W25" s="91" ph="1">
        <f>W24*47.051*LOOKUP(W26,密度!$A$2:$A$50,密度!$B$2:$B$50)</f>
        <v>392655.23727120005</v>
      </c>
      <c r="X25" s="91" ph="1">
        <f>X24*47.051*LOOKUP(X26,密度!$A$2:$A$50,密度!$I$2:$I$50)</f>
        <v>66136.377116699994</v>
      </c>
      <c r="Y25" s="91" ph="1">
        <f>Y24*47.051*LOOKUP(Y26,密度!$A$2:$A$50,密度!$L$2:$L$50)</f>
        <v>295973.84499000001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27</v>
      </c>
      <c r="G26" s="74">
        <v>27</v>
      </c>
      <c r="H26" s="74">
        <v>27</v>
      </c>
      <c r="I26" s="74">
        <v>26</v>
      </c>
      <c r="J26" s="74">
        <v>27</v>
      </c>
      <c r="K26" s="74">
        <v>27</v>
      </c>
      <c r="L26" s="74">
        <v>28</v>
      </c>
      <c r="M26" s="74">
        <v>27</v>
      </c>
      <c r="N26" s="74">
        <v>27</v>
      </c>
      <c r="O26" s="74">
        <v>26</v>
      </c>
      <c r="P26" s="74">
        <v>26</v>
      </c>
      <c r="Q26" s="93">
        <v>27</v>
      </c>
      <c r="R26" s="74">
        <v>27</v>
      </c>
      <c r="S26" s="74">
        <v>27</v>
      </c>
      <c r="T26" s="74">
        <v>28</v>
      </c>
      <c r="U26" s="74">
        <v>28</v>
      </c>
      <c r="V26" s="74">
        <v>27</v>
      </c>
      <c r="W26" s="74">
        <v>27</v>
      </c>
      <c r="X26" s="74">
        <v>28</v>
      </c>
      <c r="Y26" s="74">
        <v>28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53" t="s" ph="1">
        <v>181</v>
      </c>
      <c r="D27" s="71">
        <v>90.92</v>
      </c>
      <c r="E27" s="71">
        <v>95.61</v>
      </c>
      <c r="F27" s="71">
        <v>3996</v>
      </c>
      <c r="G27" s="71">
        <v>1867</v>
      </c>
      <c r="H27" s="71">
        <v>1971</v>
      </c>
      <c r="I27" s="71">
        <v>3291</v>
      </c>
      <c r="J27" s="71">
        <v>5401</v>
      </c>
      <c r="K27" s="71">
        <v>36</v>
      </c>
      <c r="L27" s="71">
        <v>1126</v>
      </c>
      <c r="M27" s="71">
        <v>5246</v>
      </c>
      <c r="N27" s="71">
        <v>5319</v>
      </c>
      <c r="O27" s="71">
        <v>3685</v>
      </c>
      <c r="P27" s="71">
        <v>880</v>
      </c>
      <c r="Q27" s="90">
        <v>752</v>
      </c>
      <c r="R27" s="71">
        <v>1739</v>
      </c>
      <c r="S27" s="71">
        <v>2193</v>
      </c>
      <c r="T27" s="71">
        <v>1758</v>
      </c>
      <c r="U27" s="71">
        <v>5782</v>
      </c>
      <c r="V27" s="71">
        <v>9630</v>
      </c>
      <c r="W27" s="71">
        <v>10730</v>
      </c>
      <c r="X27" s="71">
        <v>1920</v>
      </c>
      <c r="Y27" s="71">
        <v>5135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53" t="s" ph="1">
        <v>179</v>
      </c>
      <c r="D28" s="91" ph="1">
        <f>D27*268.68*LOOKUP(D29,密度!$A$2:$A$50,密度!$Q$2:$Q$50)+IF(D27&lt;=0,0,1566*LOOKUP(D29,密度!$A$2:$A$50,密度!$Q$2:$Q$50))</f>
        <v>24609.924622944003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44204.290021440007</v>
      </c>
      <c r="G28" s="91" ph="1">
        <f>G27*18.322*LOOKUP(G29,密度!$A$2:$A$50,密度!$B$2:$B$50)</f>
        <v>26578.974198</v>
      </c>
      <c r="H28" s="91" ph="1">
        <f>H27*18.322*LOOKUP(H29,密度!$A$2:$A$50,密度!$B$2:$B$50)</f>
        <v>28059.538374</v>
      </c>
      <c r="I28" s="91" ph="1">
        <f>I27*18.322*LOOKUP(I29,密度!$A$2:$A$50,密度!$Q$2:$Q$50)</f>
        <v>56958.41526324</v>
      </c>
      <c r="J28" s="91" ph="1">
        <f>J27*18.322*LOOKUP(J29,密度!$A$2:$A$50,密度!$Q$2:$Q$50)</f>
        <v>93546.146569039993</v>
      </c>
      <c r="K28" s="91" ph="1">
        <f>K27*18.322*LOOKUP(K29,密度!$A$2:$A$50,密度!$Q$2:$Q$50)</f>
        <v>624.46213007999995</v>
      </c>
      <c r="L28" s="91" ph="1">
        <f>L27*18.322*LOOKUP(L29,密度!$A$2:$A$50,密度!$Q$2:$Q$50)</f>
        <v>19517.14002916</v>
      </c>
      <c r="M28" s="91" ph="1">
        <f>M27*18.322*LOOKUP(M29,密度!$A$2:$A$50,密度!$Q$2:$Q$50)</f>
        <v>90861.522847840009</v>
      </c>
      <c r="N28" s="91" ph="1">
        <f>N27*18.322*LOOKUP(N29,密度!$A$2:$A$50,密度!$Q$2:$Q$50)</f>
        <v>92125.894019760002</v>
      </c>
      <c r="O28" s="91" ph="1">
        <f>O27*18.322*LOOKUP(O29,密度!$A$2:$A$50,密度!$C$2:$C$50)</f>
        <v>74815.111216999998</v>
      </c>
      <c r="P28" s="91" ph="1">
        <f>P27*11.702*LOOKUP(P29,密度!$A$2:$A$50,密度!$B$2:$B$50)</f>
        <v>8018.8657119999998</v>
      </c>
      <c r="Q28" s="92" ph="1">
        <f>Q27*18.322*LOOKUP(Q29,密度!$A$2:$A$50,密度!$B$2:$B$50)</f>
        <v>10705.617888000001</v>
      </c>
      <c r="R28" s="91" ph="1">
        <f>R27*35.891*LOOKUP(R29,密度!$A$2:$A$50,密度!$C$2:$C$50)</f>
        <v>69117.760822600001</v>
      </c>
      <c r="S28" s="91" ph="1">
        <f>S27*35.891*LOOKUP(S29,密度!$A$2:$A$50,密度!$B$2:$B$50)</f>
        <v>61290.6694881</v>
      </c>
      <c r="T28" s="91" ph="1">
        <f>T27*35.891*LOOKUP(T29,密度!$A$2:$A$50,密度!$Q$2:$Q$50)</f>
        <v>59691.066479339999</v>
      </c>
      <c r="U28" s="91" ph="1">
        <f>U27*35.891</f>
        <v>207521.76199999999</v>
      </c>
      <c r="V28" s="91" ph="1">
        <f>V27*47.051*LOOKUP(V29,密度!$A$2:$A$50,密度!$B$2:$B$50)</f>
        <v>352467.36902700004</v>
      </c>
      <c r="W28" s="91" ph="1">
        <f>W27*47.051*LOOKUP(W29,密度!$A$2:$A$50,密度!$B$2:$B$50)</f>
        <v>393132.32500100002</v>
      </c>
      <c r="X28" s="91" ph="1">
        <f>X27*47.051*LOOKUP(X29,密度!$A$2:$A$50,密度!$I$2:$I$50)</f>
        <v>93852.065087999988</v>
      </c>
      <c r="Y28" s="91" ph="1">
        <f>Y27*47.051*LOOKUP(Y29,密度!$A$2:$A$50,密度!$L$2:$L$50)</f>
        <v>225177.61682000002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53" t="s" ph="1">
        <v>180</v>
      </c>
      <c r="D29" s="74">
        <v>25</v>
      </c>
      <c r="E29" s="74">
        <v>25</v>
      </c>
      <c r="F29" s="74">
        <v>27</v>
      </c>
      <c r="G29" s="74">
        <v>28</v>
      </c>
      <c r="H29" s="74">
        <v>28</v>
      </c>
      <c r="I29" s="74">
        <v>28</v>
      </c>
      <c r="J29" s="74">
        <v>27</v>
      </c>
      <c r="K29" s="74">
        <v>25</v>
      </c>
      <c r="L29" s="74">
        <v>26</v>
      </c>
      <c r="M29" s="74">
        <v>27</v>
      </c>
      <c r="N29" s="74">
        <v>27</v>
      </c>
      <c r="O29" s="74">
        <v>26</v>
      </c>
      <c r="P29" s="74">
        <v>26</v>
      </c>
      <c r="Q29" s="93">
        <v>28</v>
      </c>
      <c r="R29" s="74">
        <v>27</v>
      </c>
      <c r="S29" s="74">
        <v>26</v>
      </c>
      <c r="T29" s="74">
        <v>26</v>
      </c>
      <c r="U29" s="74">
        <v>27</v>
      </c>
      <c r="V29" s="74">
        <v>27</v>
      </c>
      <c r="W29" s="74">
        <v>26</v>
      </c>
      <c r="X29" s="74">
        <v>28</v>
      </c>
      <c r="Y29" s="74">
        <v>30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62912.881396800003</v>
      </c>
      <c r="E33" s="193" ph="1">
        <f>M10+I10</f>
        <v>153450.33045120002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9" ph="1">
        <v>0</v>
      </c>
      <c r="H33" s="193" ph="1">
        <f>N19</f>
        <v>29980.757855839998</v>
      </c>
      <c r="I33" s="197" ph="1">
        <v>0</v>
      </c>
      <c r="J33" s="201" ph="1">
        <f>F10+O28</f>
        <v>337187.65020499995</v>
      </c>
      <c r="K33" s="193" ph="1">
        <f>O10+K10+E28+R28</f>
        <v>124453.97897352</v>
      </c>
      <c r="L33" s="203" ph="1">
        <f>BE27</f>
        <v>7100</v>
      </c>
      <c r="M33" s="201" ph="1">
        <f>G10+H10+W28+S28+V28+E10</f>
        <v>1374007.1794961002</v>
      </c>
      <c r="N33" s="193" ph="1">
        <f>L10+P10++G28+H28</f>
        <v>174928.85063500001</v>
      </c>
      <c r="O33" s="197" ph="1">
        <f>BE17</f>
        <v>2270</v>
      </c>
      <c r="P33" s="201" ph="1">
        <f>L19</f>
        <v>39917.820544280003</v>
      </c>
      <c r="Q33" s="193" ph="1">
        <f>J10+N10</f>
        <v>116788.08850480002</v>
      </c>
      <c r="R33" s="197" ph="1">
        <f>BE23</f>
        <v>890</v>
      </c>
      <c r="S33" s="201" ph="1">
        <f>E10+X28</f>
        <v>281800.72170200001</v>
      </c>
      <c r="T33" s="193" ph="1">
        <f>X19</f>
        <v>6030.0498118400001</v>
      </c>
      <c r="U33" s="182" ph="1">
        <f>BE21</f>
        <v>730</v>
      </c>
      <c r="V33" s="195" ph="1">
        <f ca="1">P19+Q19+S19+M28+N28+J28</f>
        <v>397124.69976205204</v>
      </c>
      <c r="W33" s="195" ph="1">
        <f>D28+F28+V19+T28</f>
        <v>138857.94077448401</v>
      </c>
      <c r="X33" s="197" ph="1">
        <f>BE29+BE31</f>
        <v>10200</v>
      </c>
      <c r="Y33" s="199" ph="1">
        <f>+Q10+R10+S10+T10+U10+V10+W10+X10+Y10</f>
        <v>190534.94709480001</v>
      </c>
      <c r="Z33" s="180" ph="1">
        <f>D10+T19+U19+Y28+Z10</f>
        <v>512752.29884658003</v>
      </c>
      <c r="AA33" s="182" ph="1">
        <f>BE19</f>
        <v>1440</v>
      </c>
      <c r="AB33" s="184" ph="1">
        <f>I19</f>
        <v>1067.6012811200001</v>
      </c>
      <c r="AC33" s="186" ph="1">
        <f>AD10</f>
        <v>86111.276025600004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51" t="s" ph="1">
        <v>186</v>
      </c>
      <c r="AA36" s="151" ph="1"/>
      <c r="AB36" s="179" t="s" ph="1">
        <v>646</v>
      </c>
      <c r="AC36" s="179" ph="1"/>
      <c r="AD36" s="179" ph="1"/>
      <c r="AE36" s="179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345</v>
      </c>
      <c r="AI37" s="151" t="s" ph="1">
        <v>212</v>
      </c>
      <c r="AJ37" s="151" t="s" ph="1">
        <v>213</v>
      </c>
      <c r="AK37" s="151" t="s" ph="1">
        <v>214</v>
      </c>
      <c r="AM37" s="151" t="s" ph="1">
        <v>213</v>
      </c>
      <c r="AN37" s="151" t="s" ph="1">
        <v>214</v>
      </c>
      <c r="AO37" s="151" t="s" ph="1">
        <v>215</v>
      </c>
      <c r="AP37" s="151" t="s" ph="1">
        <v>213</v>
      </c>
      <c r="AQ37" s="151" t="s" ph="1">
        <v>214</v>
      </c>
      <c r="AR37" s="151" t="s" ph="1">
        <v>215</v>
      </c>
      <c r="AS37" s="151" t="s" ph="1">
        <v>213</v>
      </c>
      <c r="AT37" s="151" t="s" ph="1">
        <v>214</v>
      </c>
      <c r="AU37" s="151" t="s" ph="1">
        <v>215</v>
      </c>
      <c r="AV37" s="151" t="s" ph="1">
        <v>213</v>
      </c>
      <c r="AW37" s="151" t="s" ph="1">
        <v>214</v>
      </c>
      <c r="AX37" s="151" t="s" ph="1">
        <v>215</v>
      </c>
      <c r="AY37" s="151" t="s" ph="1">
        <v>214</v>
      </c>
      <c r="AZ37" s="151" t="s" ph="1">
        <v>216</v>
      </c>
      <c r="BD37" s="151" t="s" ph="1">
        <v>308</v>
      </c>
      <c r="BE37" s="15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015" priority="97">
      <formula>ABS(D$7-D$10)&gt;=1000</formula>
    </cfRule>
  </conditionalFormatting>
  <conditionalFormatting sqref="E4 E6:E11">
    <cfRule type="expression" dxfId="1014" priority="96">
      <formula>ABS(E$7-E$10)&gt;=1000</formula>
    </cfRule>
  </conditionalFormatting>
  <conditionalFormatting sqref="F4:F11">
    <cfRule type="expression" dxfId="1013" priority="95">
      <formula>ABS(F$7-F$10)&gt;=1000</formula>
    </cfRule>
  </conditionalFormatting>
  <conditionalFormatting sqref="G4:G11">
    <cfRule type="expression" dxfId="1012" priority="94">
      <formula>ABS(G$7-G$10)&gt;=1000</formula>
    </cfRule>
  </conditionalFormatting>
  <conditionalFormatting sqref="H4:H11">
    <cfRule type="expression" dxfId="1011" priority="93">
      <formula>ABS(H$7-H$10)&gt;=1000</formula>
    </cfRule>
  </conditionalFormatting>
  <conditionalFormatting sqref="I4:I11">
    <cfRule type="expression" dxfId="1010" priority="92">
      <formula>ABS(I$7-I$10)&gt;=1000</formula>
    </cfRule>
  </conditionalFormatting>
  <conditionalFormatting sqref="J4:J11">
    <cfRule type="expression" dxfId="1009" priority="91">
      <formula>ABS(J$7-J$10)&gt;=1000</formula>
    </cfRule>
  </conditionalFormatting>
  <conditionalFormatting sqref="K4:K11">
    <cfRule type="expression" dxfId="1008" priority="90">
      <formula>ABS(K$7-K$10)&gt;=1000</formula>
    </cfRule>
  </conditionalFormatting>
  <conditionalFormatting sqref="L4:L11">
    <cfRule type="expression" dxfId="1007" priority="89">
      <formula>ABS(L$7-L$10)&gt;=1000</formula>
    </cfRule>
  </conditionalFormatting>
  <conditionalFormatting sqref="M4 M6:M11">
    <cfRule type="expression" dxfId="1006" priority="88">
      <formula>ABS(M$7-M$10)&gt;=1000</formula>
    </cfRule>
  </conditionalFormatting>
  <conditionalFormatting sqref="N4 N6:N11">
    <cfRule type="expression" dxfId="1005" priority="87">
      <formula>ABS(N$7-N$10)&gt;=1000</formula>
    </cfRule>
  </conditionalFormatting>
  <conditionalFormatting sqref="O4 O6:O11">
    <cfRule type="expression" dxfId="1004" priority="86">
      <formula>ABS(O$7-O$10)&gt;=1000</formula>
    </cfRule>
  </conditionalFormatting>
  <conditionalFormatting sqref="P4 P6:P11">
    <cfRule type="expression" dxfId="1003" priority="85">
      <formula>ABS(P$7-P$10)&gt;=1000</formula>
    </cfRule>
  </conditionalFormatting>
  <conditionalFormatting sqref="Q4:Q11">
    <cfRule type="expression" dxfId="1002" priority="84">
      <formula>ABS(Q$7-Q$10)&gt;=1000</formula>
    </cfRule>
  </conditionalFormatting>
  <conditionalFormatting sqref="R4:R11">
    <cfRule type="expression" dxfId="1001" priority="83">
      <formula>ABS(R$7-R$10)&gt;=1000</formula>
    </cfRule>
  </conditionalFormatting>
  <conditionalFormatting sqref="S4:S11">
    <cfRule type="expression" dxfId="1000" priority="82">
      <formula>ABS(S$7-S$10)&gt;=1000</formula>
    </cfRule>
  </conditionalFormatting>
  <conditionalFormatting sqref="T4:T9 T11">
    <cfRule type="expression" dxfId="999" priority="81">
      <formula>ABS(T$7-T$10)&gt;=1000</formula>
    </cfRule>
  </conditionalFormatting>
  <conditionalFormatting sqref="U4:U9 U11">
    <cfRule type="expression" dxfId="998" priority="80">
      <formula>ABS(U$7-U$10)&gt;=1000</formula>
    </cfRule>
  </conditionalFormatting>
  <conditionalFormatting sqref="V4:V9 V11">
    <cfRule type="expression" dxfId="997" priority="79">
      <formula>ABS(V$7-V$10)&gt;=1000</formula>
    </cfRule>
  </conditionalFormatting>
  <conditionalFormatting sqref="W4:W9 W11">
    <cfRule type="expression" dxfId="996" priority="78">
      <formula>ABS(W$7-W$10)&gt;=1000</formula>
    </cfRule>
  </conditionalFormatting>
  <conditionalFormatting sqref="X4:X9 X11">
    <cfRule type="expression" dxfId="995" priority="77">
      <formula>ABS(X$7-X$10)&gt;=1000</formula>
    </cfRule>
  </conditionalFormatting>
  <conditionalFormatting sqref="Y4:Y9 Y11">
    <cfRule type="expression" dxfId="994" priority="76">
      <formula>ABS(Y$7-Y$10)&gt;=1000</formula>
    </cfRule>
  </conditionalFormatting>
  <conditionalFormatting sqref="Z4:Z11">
    <cfRule type="expression" dxfId="993" priority="75">
      <formula>ABS(Z$7-Z$10)&gt;=1000</formula>
    </cfRule>
  </conditionalFormatting>
  <conditionalFormatting sqref="AA4:AA11">
    <cfRule type="expression" dxfId="992" priority="74">
      <formula>ABS(AA$7-AA$10)&gt;=1000</formula>
    </cfRule>
  </conditionalFormatting>
  <conditionalFormatting sqref="AB4:AB11">
    <cfRule type="expression" dxfId="991" priority="73">
      <formula>ABS(AB$7-AB$10)&gt;=1000</formula>
    </cfRule>
  </conditionalFormatting>
  <conditionalFormatting sqref="AC4 AC6:AC11">
    <cfRule type="expression" dxfId="990" priority="72">
      <formula>ABS(AC$7-AC$10)&gt;=1000</formula>
    </cfRule>
  </conditionalFormatting>
  <conditionalFormatting sqref="AD4:AD11">
    <cfRule type="expression" dxfId="989" priority="71">
      <formula>ABS(AD$7-AD$10)&gt;=1000</formula>
    </cfRule>
  </conditionalFormatting>
  <conditionalFormatting sqref="AE4:AE11">
    <cfRule type="expression" dxfId="988" priority="70">
      <formula>ABS(AE$7-AE$10)&gt;=1000</formula>
    </cfRule>
  </conditionalFormatting>
  <conditionalFormatting sqref="D13:D20">
    <cfRule type="expression" dxfId="987" priority="69">
      <formula>ABS(D$16-D$19)&gt;=1000</formula>
    </cfRule>
  </conditionalFormatting>
  <conditionalFormatting sqref="E13:E20">
    <cfRule type="expression" dxfId="986" priority="68">
      <formula>ABS(E$16-E$19)&gt;=1000</formula>
    </cfRule>
  </conditionalFormatting>
  <conditionalFormatting sqref="F13 F15:F20">
    <cfRule type="expression" dxfId="985" priority="67">
      <formula>ABS(F$16-F$19)&gt;=1000</formula>
    </cfRule>
  </conditionalFormatting>
  <conditionalFormatting sqref="G13:G20">
    <cfRule type="expression" dxfId="984" priority="66">
      <formula>ABS(G$16-G$19)&gt;=1000</formula>
    </cfRule>
  </conditionalFormatting>
  <conditionalFormatting sqref="H13:H20">
    <cfRule type="expression" dxfId="983" priority="65">
      <formula>ABS(H$16-H$19)&gt;=1000</formula>
    </cfRule>
  </conditionalFormatting>
  <conditionalFormatting sqref="I13:I20">
    <cfRule type="expression" dxfId="982" priority="64">
      <formula>ABS(I$16-I$19)&gt;=1000</formula>
    </cfRule>
  </conditionalFormatting>
  <conditionalFormatting sqref="J13:J20">
    <cfRule type="expression" dxfId="981" priority="63">
      <formula>ABS(J$16-J$19)&gt;=1000</formula>
    </cfRule>
  </conditionalFormatting>
  <conditionalFormatting sqref="L13:L20">
    <cfRule type="expression" dxfId="980" priority="62">
      <formula>ABS(L$16-L$19)&gt;=1000</formula>
    </cfRule>
  </conditionalFormatting>
  <conditionalFormatting sqref="M13 M15 M17:M18 M20">
    <cfRule type="expression" dxfId="979" priority="61">
      <formula>ABS(M$16-M$19)&gt;=1000</formula>
    </cfRule>
  </conditionalFormatting>
  <conditionalFormatting sqref="N13:N20">
    <cfRule type="expression" dxfId="978" priority="60">
      <formula>ABS(N$16-N$19)&gt;=1000</formula>
    </cfRule>
  </conditionalFormatting>
  <conditionalFormatting sqref="O13:O20">
    <cfRule type="expression" dxfId="977" priority="59">
      <formula>ABS(O$16-O$19)&gt;=1000</formula>
    </cfRule>
  </conditionalFormatting>
  <conditionalFormatting sqref="P13:P20">
    <cfRule type="expression" dxfId="976" priority="58">
      <formula>ABS(P$16-P$19)&gt;=1000</formula>
    </cfRule>
  </conditionalFormatting>
  <conditionalFormatting sqref="Q13 Q15:Q20">
    <cfRule type="expression" dxfId="975" priority="57">
      <formula>ABS(Q$16-Q$19)&gt;=1000</formula>
    </cfRule>
  </conditionalFormatting>
  <conditionalFormatting sqref="R13:R20">
    <cfRule type="expression" dxfId="974" priority="56">
      <formula>ABS(R$16-R$19)&gt;=1000</formula>
    </cfRule>
  </conditionalFormatting>
  <conditionalFormatting sqref="S13:S20">
    <cfRule type="expression" dxfId="973" priority="55">
      <formula>ABS(S$16-S$19)&gt;=1000</formula>
    </cfRule>
  </conditionalFormatting>
  <conditionalFormatting sqref="T13:T20">
    <cfRule type="expression" dxfId="972" priority="54">
      <formula>ABS(T$16-T$19)&gt;=1000</formula>
    </cfRule>
  </conditionalFormatting>
  <conditionalFormatting sqref="U13:U20">
    <cfRule type="expression" dxfId="971" priority="53">
      <formula>ABS(U$16-U$19)&gt;=1000</formula>
    </cfRule>
  </conditionalFormatting>
  <conditionalFormatting sqref="V13:V20">
    <cfRule type="expression" dxfId="970" priority="52">
      <formula>ABS(V$16-V$19)&gt;=1000</formula>
    </cfRule>
  </conditionalFormatting>
  <conditionalFormatting sqref="W13 W20 W15:W18">
    <cfRule type="expression" dxfId="969" priority="51">
      <formula>ABS(W$16-W$19)&gt;=1000</formula>
    </cfRule>
  </conditionalFormatting>
  <conditionalFormatting sqref="X13 X15:X20 Y19">
    <cfRule type="expression" dxfId="968" priority="50">
      <formula>ABS(X$16-X$19)&gt;=1000</formula>
    </cfRule>
  </conditionalFormatting>
  <conditionalFormatting sqref="Y13 Y15:Y18 Y20">
    <cfRule type="expression" dxfId="967" priority="49">
      <formula>ABS(Y$16-Y$19)&gt;=1000</formula>
    </cfRule>
  </conditionalFormatting>
  <conditionalFormatting sqref="Z13:Z20">
    <cfRule type="expression" dxfId="966" priority="48">
      <formula>ABS(Z$16-Z$19)&gt;=1000</formula>
    </cfRule>
  </conditionalFormatting>
  <conditionalFormatting sqref="AA13:AA20">
    <cfRule type="expression" dxfId="965" priority="47">
      <formula>ABS(AA$16-AA$19)&gt;=1000</formula>
    </cfRule>
  </conditionalFormatting>
  <conditionalFormatting sqref="AB13 AB15:AB20">
    <cfRule type="expression" dxfId="964" priority="46">
      <formula>ABS(AB$16-AB$19)&gt;=1000</formula>
    </cfRule>
  </conditionalFormatting>
  <conditionalFormatting sqref="AC13 AC15:AC20">
    <cfRule type="expression" dxfId="963" priority="45">
      <formula>ABS(AC$16-AC$19)&gt;=1000</formula>
    </cfRule>
  </conditionalFormatting>
  <conditionalFormatting sqref="AD13:AD20">
    <cfRule type="expression" dxfId="962" priority="44">
      <formula>ABS(AD$16-AD$19)&gt;=1000</formula>
    </cfRule>
  </conditionalFormatting>
  <conditionalFormatting sqref="AE13:AE20">
    <cfRule type="expression" dxfId="961" priority="43">
      <formula>ABS(AE$16-AE$19)&gt;=1000</formula>
    </cfRule>
  </conditionalFormatting>
  <conditionalFormatting sqref="D22:D29">
    <cfRule type="expression" dxfId="960" priority="42">
      <formula>ABS(D$25-D$28)&gt;=1000</formula>
    </cfRule>
  </conditionalFormatting>
  <conditionalFormatting sqref="E22:E29">
    <cfRule type="expression" dxfId="959" priority="41">
      <formula>ABS(E$25-E$28)&gt;=1000</formula>
    </cfRule>
  </conditionalFormatting>
  <conditionalFormatting sqref="F22:F29">
    <cfRule type="expression" dxfId="958" priority="40">
      <formula>ABS(F$25-F$28)&gt;=1000</formula>
    </cfRule>
  </conditionalFormatting>
  <conditionalFormatting sqref="G22:G29">
    <cfRule type="expression" dxfId="957" priority="39">
      <formula>ABS(G$25-G$28)&gt;=1000</formula>
    </cfRule>
  </conditionalFormatting>
  <conditionalFormatting sqref="H22:H29">
    <cfRule type="expression" dxfId="956" priority="38">
      <formula>ABS(H$25-H$28)&gt;=1000</formula>
    </cfRule>
  </conditionalFormatting>
  <conditionalFormatting sqref="I22 I24:I29">
    <cfRule type="expression" dxfId="955" priority="37">
      <formula>ABS(I$25-I$28)&gt;=1000</formula>
    </cfRule>
  </conditionalFormatting>
  <conditionalFormatting sqref="J22:J29 K22">
    <cfRule type="expression" dxfId="954" priority="36">
      <formula>ABS(J$25-J$28)&gt;=1000</formula>
    </cfRule>
  </conditionalFormatting>
  <conditionalFormatting sqref="K23:K29 L25 L28">
    <cfRule type="expression" dxfId="953" priority="35">
      <formula>ABS(K$25-K$28)&gt;=1000</formula>
    </cfRule>
  </conditionalFormatting>
  <conditionalFormatting sqref="L22 L26:L27 L29 L24">
    <cfRule type="expression" dxfId="952" priority="34">
      <formula>ABS(L$25-L$28)&gt;=1000</formula>
    </cfRule>
  </conditionalFormatting>
  <conditionalFormatting sqref="M22:M29">
    <cfRule type="expression" dxfId="951" priority="33">
      <formula>ABS(M$25-M$28)&gt;=1000</formula>
    </cfRule>
  </conditionalFormatting>
  <conditionalFormatting sqref="N22:N29">
    <cfRule type="expression" dxfId="950" priority="32">
      <formula>ABS(N$25-N$28)&gt;=1000</formula>
    </cfRule>
  </conditionalFormatting>
  <conditionalFormatting sqref="O22:O29">
    <cfRule type="expression" dxfId="949" priority="31">
      <formula>ABS(O$25-O$28)&gt;=1000</formula>
    </cfRule>
  </conditionalFormatting>
  <conditionalFormatting sqref="P22:P29">
    <cfRule type="expression" dxfId="948" priority="30">
      <formula>ABS(P$25-P$28)&gt;=1000</formula>
    </cfRule>
  </conditionalFormatting>
  <conditionalFormatting sqref="Q22:Q29">
    <cfRule type="expression" dxfId="947" priority="29">
      <formula>ABS(Q$25-Q$28)&gt;=1000</formula>
    </cfRule>
  </conditionalFormatting>
  <conditionalFormatting sqref="R22:R29">
    <cfRule type="expression" dxfId="946" priority="28">
      <formula>ABS(R$25-R$28)&gt;=1000</formula>
    </cfRule>
  </conditionalFormatting>
  <conditionalFormatting sqref="S22:S29">
    <cfRule type="expression" dxfId="945" priority="27">
      <formula>ABS(S$25-S$28)&gt;=1000</formula>
    </cfRule>
  </conditionalFormatting>
  <conditionalFormatting sqref="T22:T29">
    <cfRule type="expression" dxfId="944" priority="26">
      <formula>ABS(T$25-T$28)&gt;=1000</formula>
    </cfRule>
  </conditionalFormatting>
  <conditionalFormatting sqref="U22:U29">
    <cfRule type="expression" dxfId="943" priority="25">
      <formula>ABS(U$25-U$28)&gt;=1000</formula>
    </cfRule>
  </conditionalFormatting>
  <conditionalFormatting sqref="V22:V29">
    <cfRule type="expression" dxfId="942" priority="24">
      <formula>ABS(V$25-V$28)&gt;=1000</formula>
    </cfRule>
  </conditionalFormatting>
  <conditionalFormatting sqref="W22:W29">
    <cfRule type="expression" dxfId="941" priority="23">
      <formula>ABS(W$25-W$28)&gt;=1000</formula>
    </cfRule>
  </conditionalFormatting>
  <conditionalFormatting sqref="X22:X29">
    <cfRule type="expression" dxfId="940" priority="22">
      <formula>ABS(X$25-X$28)&gt;=1000</formula>
    </cfRule>
  </conditionalFormatting>
  <conditionalFormatting sqref="Y22:Y29">
    <cfRule type="expression" dxfId="939" priority="21">
      <formula>ABS(Y$25-Y$28)&gt;=1000</formula>
    </cfRule>
  </conditionalFormatting>
  <conditionalFormatting sqref="I23">
    <cfRule type="expression" dxfId="938" priority="20">
      <formula>ABS(I$25-I$28)&gt;=1000</formula>
    </cfRule>
  </conditionalFormatting>
  <conditionalFormatting sqref="F14">
    <cfRule type="expression" dxfId="937" priority="19">
      <formula>ABS(F$16-F$19)&gt;=1000</formula>
    </cfRule>
  </conditionalFormatting>
  <conditionalFormatting sqref="Q14">
    <cfRule type="expression" dxfId="936" priority="18">
      <formula>ABS(Q$16-Q$19)&gt;=1000</formula>
    </cfRule>
  </conditionalFormatting>
  <conditionalFormatting sqref="W14">
    <cfRule type="expression" dxfId="935" priority="17">
      <formula>ABS(W$16-W$19)&gt;=1000</formula>
    </cfRule>
  </conditionalFormatting>
  <conditionalFormatting sqref="Y14">
    <cfRule type="expression" dxfId="934" priority="16">
      <formula>ABS(Y$16-Y$19)&gt;=1000</formula>
    </cfRule>
  </conditionalFormatting>
  <conditionalFormatting sqref="X14">
    <cfRule type="expression" dxfId="933" priority="15">
      <formula>ABS(X$16-X$19)&gt;=1000</formula>
    </cfRule>
  </conditionalFormatting>
  <conditionalFormatting sqref="T10:Y10">
    <cfRule type="expression" dxfId="932" priority="14">
      <formula>ABS(T$7-T$10)&gt;=1000</formula>
    </cfRule>
  </conditionalFormatting>
  <conditionalFormatting sqref="W19">
    <cfRule type="expression" dxfId="931" priority="13">
      <formula>ABS(W$16-W$19)&gt;=1000</formula>
    </cfRule>
  </conditionalFormatting>
  <conditionalFormatting sqref="AC5">
    <cfRule type="expression" dxfId="930" priority="12">
      <formula>ABS(AC$7-AC$10)&gt;=1000</formula>
    </cfRule>
  </conditionalFormatting>
  <conditionalFormatting sqref="M14">
    <cfRule type="expression" dxfId="929" priority="11">
      <formula>ABS(M$16-M$19)&gt;=1000</formula>
    </cfRule>
  </conditionalFormatting>
  <conditionalFormatting sqref="M16">
    <cfRule type="expression" dxfId="928" priority="10">
      <formula>ABS(M$16-M$19)&gt;=1000</formula>
    </cfRule>
  </conditionalFormatting>
  <conditionalFormatting sqref="M19">
    <cfRule type="expression" dxfId="927" priority="9">
      <formula>ABS(M$16-M$19)&gt;=1000</formula>
    </cfRule>
  </conditionalFormatting>
  <conditionalFormatting sqref="K13:K20">
    <cfRule type="expression" dxfId="926" priority="8">
      <formula>ABS(K$16-K$19)&gt;=1000</formula>
    </cfRule>
  </conditionalFormatting>
  <conditionalFormatting sqref="E5">
    <cfRule type="expression" dxfId="925" priority="7">
      <formula>ABS(E$7-E$10)&gt;=1000</formula>
    </cfRule>
  </conditionalFormatting>
  <conditionalFormatting sqref="AB14:AC14">
    <cfRule type="expression" dxfId="924" priority="6">
      <formula>ABS(AB$16-AB$19)&gt;=1000</formula>
    </cfRule>
  </conditionalFormatting>
  <conditionalFormatting sqref="M5">
    <cfRule type="expression" dxfId="923" priority="5">
      <formula>ABS(M$7-M$10)&gt;=1000</formula>
    </cfRule>
  </conditionalFormatting>
  <conditionalFormatting sqref="N5">
    <cfRule type="expression" dxfId="922" priority="4">
      <formula>ABS(N$7-N$10)&gt;=1000</formula>
    </cfRule>
  </conditionalFormatting>
  <conditionalFormatting sqref="O5">
    <cfRule type="expression" dxfId="921" priority="3">
      <formula>ABS(O$7-O$10)&gt;=1000</formula>
    </cfRule>
  </conditionalFormatting>
  <conditionalFormatting sqref="P5">
    <cfRule type="expression" dxfId="920" priority="2">
      <formula>ABS(P$7-P$10)&gt;=1000</formula>
    </cfRule>
  </conditionalFormatting>
  <conditionalFormatting sqref="L23">
    <cfRule type="expression" dxfId="919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69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3">
    <pageSetUpPr fitToPage="1"/>
  </sheetPr>
  <dimension ref="A1:CU223"/>
  <sheetViews>
    <sheetView view="pageBreakPreview" zoomScale="80" zoomScaleNormal="100" zoomScaleSheetLayoutView="80" workbookViewId="0">
      <selection activeCell="W4" sqref="W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45814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54" t="s" ph="1">
        <v>178</v>
      </c>
      <c r="D6" s="71">
        <v>4942</v>
      </c>
      <c r="E6" s="71">
        <v>4701</v>
      </c>
      <c r="F6" s="71">
        <v>7138</v>
      </c>
      <c r="G6" s="71">
        <v>7818</v>
      </c>
      <c r="H6" s="71">
        <v>1030</v>
      </c>
      <c r="I6" s="71">
        <v>51.21</v>
      </c>
      <c r="J6" s="71">
        <v>7.83</v>
      </c>
      <c r="K6" s="71">
        <v>17.52</v>
      </c>
      <c r="L6" s="71">
        <v>41.33</v>
      </c>
      <c r="M6" s="71">
        <v>4641</v>
      </c>
      <c r="N6" s="71">
        <v>4443</v>
      </c>
      <c r="O6" s="71">
        <v>1009</v>
      </c>
      <c r="P6" s="71">
        <v>3414</v>
      </c>
      <c r="Q6" s="71">
        <v>3171</v>
      </c>
      <c r="R6" s="71">
        <v>6998</v>
      </c>
      <c r="S6" s="71">
        <v>4443</v>
      </c>
      <c r="T6" s="71">
        <v>6734</v>
      </c>
      <c r="U6" s="71">
        <v>4817</v>
      </c>
      <c r="V6" s="71">
        <v>0</v>
      </c>
      <c r="W6" s="71">
        <v>0</v>
      </c>
      <c r="X6" s="71">
        <v>0</v>
      </c>
      <c r="Y6" s="71">
        <v>0</v>
      </c>
      <c r="Z6" s="71">
        <v>2373</v>
      </c>
      <c r="AA6" s="71">
        <v>914</v>
      </c>
      <c r="AB6" s="71">
        <v>1551</v>
      </c>
      <c r="AC6" s="71">
        <v>4138</v>
      </c>
      <c r="AD6" s="71">
        <v>4399</v>
      </c>
      <c r="AE6" s="71">
        <v>3501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155023.39169352001</v>
      </c>
      <c r="E7" s="73" ph="1">
        <f>E6*51.53*LOOKUP(E8,密度!$A$2:$A$50,密度!$B$2:$B$50)</f>
        <v>188634.25811099997</v>
      </c>
      <c r="F7" s="73" ph="1">
        <f>F6*33.183*LOOKUP(F8,密度!$A$2:$A$50,密度!$C$2:$C$50)</f>
        <v>262654.33566059999</v>
      </c>
      <c r="G7" s="73" ph="1">
        <f xml:space="preserve"> (G6+2)*51.53*LOOKUP(G8,密度!$A$2:$A$50,密度!$B$2:$B$50)</f>
        <v>313788.53402000002</v>
      </c>
      <c r="H7" s="73" ph="1">
        <f>(H6)*51.53*LOOKUP(H8,密度!$A$2:$A$50,密度!$B$2:$B$50)</f>
        <v>41569.044880000001</v>
      </c>
      <c r="I7" s="73" ph="1">
        <f>I6*290.8*1.0267</f>
        <v>15289.4808756</v>
      </c>
      <c r="J7" s="73" ph="1">
        <f>J6*290.8*0.7892</f>
        <v>1796.9799888</v>
      </c>
      <c r="K7" s="73" ph="1">
        <f>K6*290.8*1.1126</f>
        <v>5668.4922815999998</v>
      </c>
      <c r="L7" s="73" ph="1">
        <f>L6*290.8*0.777</f>
        <v>9338.5796279999995</v>
      </c>
      <c r="M7" s="73" ph="1">
        <f>M6*33.183*LOOKUP(M8,密度!$A$2:$A$50,密度!$D$2:$D$50)</f>
        <v>157821.56011439997</v>
      </c>
      <c r="N7" s="73" ph="1">
        <f>N6*33.183*LOOKUP(N8,密度!$A$2:$A$50,密度!$E$2:$E$50)</f>
        <v>115144.445889</v>
      </c>
      <c r="O7" s="73" ph="1">
        <f>O6*20.428*LOOKUP(O8,密度!$A$2:$A$50,密度!$C$2:$C$50)</f>
        <v>22794.647126800006</v>
      </c>
      <c r="P7" s="73" ph="1">
        <f>P6*51.53*LOOKUP(P8,密度!$A$2:$A$50,密度!$B$2:$B$50)</f>
        <v>136850.82841800002</v>
      </c>
      <c r="Q7" s="73" ph="1">
        <f>Q6*1.5*1.5*3.1416*LOOKUP(W8,密度!$A$2:$A$50,密度!$L$2:$L$50)</f>
        <v>20980.0006416</v>
      </c>
      <c r="R7" s="73" ph="1">
        <f>R6*1.5*1.5*3.1416*LOOKUP(R8,密度!$A$2:$A$50,密度!$L$2:$L$50)</f>
        <v>46052.904466799999</v>
      </c>
      <c r="S7" s="73" ph="1">
        <f>S6*1.5*1.5*3.1416*LOOKUP(S8,密度!$A$2:$A$50,密度!$L$2:$L$50)</f>
        <v>29584.253991599999</v>
      </c>
      <c r="T7" s="73" ph="1">
        <f>T6*1.5*1.5*3.1416*LOOKUP(T8,密度!$A$2:$A$50,密度!$L$2:$L$50)</f>
        <v>44743.955256000001</v>
      </c>
      <c r="U7" s="73" ph="1">
        <f>U6*1.5*1.5*3.1416*LOOKUP(U8,密度!$A$2:$A$50,密度!$L$2:$L$50)</f>
        <v>31870.2816432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73939.920201000001</v>
      </c>
      <c r="AA7" s="73" ph="1">
        <f>AA6*33.183*LOOKUP(AA8,密度!$A$2:$A$50,密度!$D$2:$D$50)</f>
        <v>31139.053295399997</v>
      </c>
      <c r="AB7" s="73" ph="1">
        <f>AB6*20.428*LOOKUP(AB8,密度!$A$2:$A$50,密度!$D$2:$D$50)</f>
        <v>32757.909769200003</v>
      </c>
      <c r="AC7" s="73" ph="1">
        <f>AC6*51.53*LOOKUP(AC8,密度!$A$2:$A$50,密度!$Q$2:$Q$50)</f>
        <v>201874.44948360001</v>
      </c>
      <c r="AD7" s="73" ph="1">
        <f>AD6*20.428*LOOKUP(AD8,密度!$A$2:$A$50,密度!$V$2:$V$50)</f>
        <v>86340.151337599993</v>
      </c>
      <c r="AE7" s="73" ph="1">
        <f>AE6*20.428</f>
        <v>71518.428</v>
      </c>
    </row>
    <row r="8" spans="1:99" ph="1">
      <c r="B8" s="244" ph="1"/>
      <c r="C8" s="68" t="s" ph="1">
        <v>180</v>
      </c>
      <c r="D8" s="74">
        <v>27</v>
      </c>
      <c r="E8" s="74">
        <v>26</v>
      </c>
      <c r="F8" s="74">
        <v>25</v>
      </c>
      <c r="G8" s="74">
        <v>26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27</v>
      </c>
      <c r="O8" s="74">
        <v>29</v>
      </c>
      <c r="P8" s="74">
        <v>27</v>
      </c>
      <c r="Q8" s="74">
        <v>27</v>
      </c>
      <c r="R8" s="74">
        <v>31</v>
      </c>
      <c r="S8" s="74">
        <v>20</v>
      </c>
      <c r="T8" s="74">
        <v>22</v>
      </c>
      <c r="U8" s="74">
        <v>26</v>
      </c>
      <c r="V8" s="74">
        <v>28</v>
      </c>
      <c r="W8" s="74">
        <v>26</v>
      </c>
      <c r="X8" s="74">
        <v>28</v>
      </c>
      <c r="Y8" s="74">
        <v>26</v>
      </c>
      <c r="Z8" s="74">
        <v>23</v>
      </c>
      <c r="AA8" s="74">
        <v>25</v>
      </c>
      <c r="AB8" s="74">
        <v>17</v>
      </c>
      <c r="AC8" s="74">
        <v>25</v>
      </c>
      <c r="AD8" s="74">
        <v>25</v>
      </c>
      <c r="AE8" s="74">
        <v>31</v>
      </c>
    </row>
    <row r="9" spans="1:99" ht="26.4" ph="1">
      <c r="B9" s="244" ph="1">
        <v>0.66666666666666663</v>
      </c>
      <c r="C9" s="154" t="s" ph="1">
        <v>181</v>
      </c>
      <c r="D9" s="71">
        <v>4943</v>
      </c>
      <c r="E9" s="71">
        <v>4699</v>
      </c>
      <c r="F9" s="71">
        <v>7141</v>
      </c>
      <c r="G9" s="71">
        <v>8829</v>
      </c>
      <c r="H9" s="71">
        <v>2017</v>
      </c>
      <c r="I9" s="71">
        <v>21.82</v>
      </c>
      <c r="J9" s="71">
        <v>7.81</v>
      </c>
      <c r="K9" s="71">
        <v>7.82</v>
      </c>
      <c r="L9" s="71">
        <v>44.51</v>
      </c>
      <c r="M9" s="71">
        <v>5184</v>
      </c>
      <c r="N9" s="71">
        <v>4445</v>
      </c>
      <c r="O9" s="71">
        <v>1007</v>
      </c>
      <c r="P9" s="71">
        <v>3266</v>
      </c>
      <c r="Q9" s="71">
        <v>0</v>
      </c>
      <c r="R9" s="71">
        <v>5976</v>
      </c>
      <c r="S9" s="71">
        <v>4446</v>
      </c>
      <c r="T9" s="71">
        <v>6742</v>
      </c>
      <c r="U9" s="71">
        <v>6821</v>
      </c>
      <c r="V9" s="71">
        <v>2483</v>
      </c>
      <c r="W9" s="71">
        <v>0</v>
      </c>
      <c r="X9" s="71">
        <v>1709</v>
      </c>
      <c r="Y9" s="71">
        <v>0</v>
      </c>
      <c r="Z9" s="71">
        <v>3265</v>
      </c>
      <c r="AA9" s="71">
        <v>615</v>
      </c>
      <c r="AB9" s="71">
        <v>2510</v>
      </c>
      <c r="AC9" s="71">
        <v>4136</v>
      </c>
      <c r="AD9" s="71">
        <v>4433</v>
      </c>
      <c r="AE9" s="71">
        <v>3405</v>
      </c>
    </row>
    <row r="10" spans="1:99" s="72" customFormat="1" ht="22.2" ph="1">
      <c r="B10" s="244" ph="1"/>
      <c r="C10" s="154" t="s" ph="1">
        <v>179</v>
      </c>
      <c r="D10" s="73" ph="1">
        <f>D9*33.183*LOOKUP(D11,密度!$A$2:$A$50,密度!$Q$2:$Q$50)</f>
        <v>154728.35334477</v>
      </c>
      <c r="E10" s="73" ph="1">
        <f>E9*51.53*LOOKUP(E11,密度!$A$2:$A$50,密度!$B$2:$B$50)</f>
        <v>187948.65661400001</v>
      </c>
      <c r="F10" s="73" ph="1">
        <f>F9*33.183*LOOKUP(F11,密度!$A$2:$A$50,密度!$C$2:$C$50)</f>
        <v>262053.84613770002</v>
      </c>
      <c r="G10" s="73" ph="1">
        <f xml:space="preserve"> (G9+2)*51.53*LOOKUP(G11,密度!$A$2:$A$50,密度!$B$2:$B$50)</f>
        <v>353992.28639700002</v>
      </c>
      <c r="H10" s="73" ph="1">
        <f>(H9)*51.53*LOOKUP(H11,密度!$A$2:$A$50,密度!$B$2:$B$50)</f>
        <v>81028.513396000009</v>
      </c>
      <c r="I10" s="73" ph="1">
        <f>I9*290.8*1.0267</f>
        <v>6514.6743352000003</v>
      </c>
      <c r="J10" s="73" ph="1">
        <f>J9*290.8*0.7892</f>
        <v>1792.3900016000002</v>
      </c>
      <c r="K10" s="73" ph="1">
        <f>K9*290.8*1.1126</f>
        <v>2530.1147056</v>
      </c>
      <c r="L10" s="73" ph="1">
        <f>L9*290.8*0.777</f>
        <v>10057.105716</v>
      </c>
      <c r="M10" s="73" ph="1">
        <f>M9*33.183*LOOKUP(M11,密度!$A$2:$A$50,密度!$D$2:$D$50)</f>
        <v>174600.98207999999</v>
      </c>
      <c r="N10" s="73" ph="1">
        <f>N9*33.183*LOOKUP(N11,密度!$A$2:$A$50,密度!$E$2:$E$50)</f>
        <v>114694.78305599999</v>
      </c>
      <c r="O10" s="73" ph="1">
        <f>O9*20.428*LOOKUP(O11,密度!$A$2:$A$50,密度!$C$2:$C$50)</f>
        <v>22517.012221599998</v>
      </c>
      <c r="P10" s="73" ph="1">
        <f>P9*51.53*LOOKUP(P11,密度!$A$2:$A$50,密度!$B$2:$B$50)</f>
        <v>130480.64859400001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39158.290987200002</v>
      </c>
      <c r="S10" s="73" ph="1">
        <f>S9*1.5*1.5*3.1416*LOOKUP(S11,密度!$A$2:$A$50,密度!$L$2:$L$50)</f>
        <v>29509.948868399995</v>
      </c>
      <c r="T10" s="73" ph="1">
        <f>T9*1.5*1.5*3.1416*LOOKUP(T11,密度!$A$2:$A$50,密度!$L$2:$L$50)</f>
        <v>44701.798125599998</v>
      </c>
      <c r="U10" s="73" ph="1">
        <f>U9*1.5*1.5*3.1416*LOOKUP(U11,密度!$A$2:$A$50,密度!$L$2:$L$50)</f>
        <v>45129.165681600003</v>
      </c>
      <c r="V10" s="73" ph="1">
        <f>V9*1.5*1.5*3.1416*LOOKUP(V11,密度!$A$2:$A$50,密度!$L$2:$L$50)</f>
        <v>16392.9457692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11258.781256800001</v>
      </c>
      <c r="Y10" s="73" ph="1">
        <f>Y9*1.5*1.5*3.1416*LOOKUP(Y11,密度!$A$2:$A$50,密度!$L$2:$L$50)</f>
        <v>0</v>
      </c>
      <c r="Z10" s="73" ph="1">
        <f>Z9*33.183*LOOKUP(Z11,密度!$A$2:$A$50,密度!$L$2:$L$50)</f>
        <v>100650.177855</v>
      </c>
      <c r="AA10" s="73" ph="1">
        <f>AA9*33.183*LOOKUP(AA11,密度!$A$2:$A$50,密度!$D$2:$D$50)</f>
        <v>20587.131395999997</v>
      </c>
      <c r="AB10" s="73" ph="1">
        <f>AB9*20.428*LOOKUP(AB11,密度!$A$2:$A$50,密度!$D$2:$D$50)</f>
        <v>52838.145539999998</v>
      </c>
      <c r="AC10" s="73" ph="1">
        <f>AC9*51.53*LOOKUP(AC11,密度!$A$2:$A$50,密度!$Q$2:$Q$50)</f>
        <v>201325.04692960001</v>
      </c>
      <c r="AD10" s="73" ph="1">
        <f>AD9*20.428*LOOKUP(AD11,密度!$A$2:$A$50,密度!$V$2:$V$50)</f>
        <v>86717.693462400013</v>
      </c>
      <c r="AE10" s="73" ph="1">
        <f>AE9*20.428</f>
        <v>69557.34</v>
      </c>
    </row>
    <row r="11" spans="1:99" ph="1">
      <c r="A11" s="64" t="s" ph="1">
        <v>163</v>
      </c>
      <c r="B11" s="244" ph="1"/>
      <c r="C11" s="154" t="s" ph="1">
        <v>180</v>
      </c>
      <c r="D11" s="74">
        <v>30</v>
      </c>
      <c r="E11" s="74">
        <v>29</v>
      </c>
      <c r="F11" s="74">
        <v>29</v>
      </c>
      <c r="G11" s="74">
        <v>27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38</v>
      </c>
      <c r="N11" s="74">
        <v>30</v>
      </c>
      <c r="O11" s="74">
        <v>40</v>
      </c>
      <c r="P11" s="74">
        <v>30</v>
      </c>
      <c r="Q11" s="74">
        <v>39</v>
      </c>
      <c r="R11" s="74">
        <v>35</v>
      </c>
      <c r="S11" s="74">
        <v>23</v>
      </c>
      <c r="T11" s="74">
        <v>24</v>
      </c>
      <c r="U11" s="74">
        <v>26</v>
      </c>
      <c r="V11" s="74">
        <v>28</v>
      </c>
      <c r="W11" s="74">
        <v>42</v>
      </c>
      <c r="X11" s="74">
        <v>30</v>
      </c>
      <c r="Y11" s="74">
        <v>32</v>
      </c>
      <c r="Z11" s="74">
        <v>33</v>
      </c>
      <c r="AA11" s="74">
        <v>45</v>
      </c>
      <c r="AB11" s="74">
        <v>21</v>
      </c>
      <c r="AC11" s="74">
        <v>28</v>
      </c>
      <c r="AD11" s="74">
        <v>30</v>
      </c>
      <c r="AE11" s="74">
        <v>33</v>
      </c>
    </row>
    <row r="12" spans="1:99" ht="9.9" customHeight="1" ph="1"/>
    <row r="13" spans="1:99" s="72" customFormat="1" ht="29.25" customHeight="1" ph="1">
      <c r="B13" s="221" t="s" ph="1">
        <v>37</v>
      </c>
      <c r="C13" s="154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54" t="s" ph="1">
        <v>178</v>
      </c>
      <c r="D15" s="78">
        <v>0</v>
      </c>
      <c r="E15" s="78">
        <v>4707</v>
      </c>
      <c r="F15" s="78">
        <v>3483</v>
      </c>
      <c r="G15" s="78">
        <v>4024</v>
      </c>
      <c r="H15" s="78">
        <v>3743</v>
      </c>
      <c r="I15" s="78">
        <v>118</v>
      </c>
      <c r="J15" s="78">
        <v>1653</v>
      </c>
      <c r="K15" s="78">
        <v>893</v>
      </c>
      <c r="L15" s="78">
        <v>5635</v>
      </c>
      <c r="M15" s="78">
        <v>5588</v>
      </c>
      <c r="N15" s="78">
        <v>936</v>
      </c>
      <c r="O15" s="78">
        <v>6075</v>
      </c>
      <c r="P15" s="78">
        <v>7153</v>
      </c>
      <c r="Q15" s="78">
        <v>0</v>
      </c>
      <c r="R15" s="78">
        <v>3508</v>
      </c>
      <c r="S15" s="78">
        <v>6912</v>
      </c>
      <c r="T15" s="78">
        <v>2751</v>
      </c>
      <c r="U15" s="78">
        <v>6457</v>
      </c>
      <c r="V15" s="78">
        <v>596</v>
      </c>
      <c r="W15" s="71">
        <v>-792</v>
      </c>
      <c r="X15" s="78">
        <v>25</v>
      </c>
      <c r="Y15" s="106">
        <v>-9907</v>
      </c>
      <c r="Z15" s="78">
        <v>0</v>
      </c>
      <c r="AA15" s="78">
        <v>2769</v>
      </c>
      <c r="AB15" s="78" ph="1">
        <v>2363</v>
      </c>
      <c r="AC15" s="78" ph="1">
        <v>0</v>
      </c>
      <c r="AD15" s="78">
        <v>17.91</v>
      </c>
      <c r="AE15" s="78">
        <v>5.42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54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31075.954786799997</v>
      </c>
      <c r="F16" s="73" ph="1">
        <f>F15*9.0746*LOOKUP(F17,密度!$A$2:$A$50,密度!$L$2:$L$50)</f>
        <v>29489.1740694</v>
      </c>
      <c r="G16" s="73" ph="1">
        <f>G15*9.0746*LOOKUP(G17,密度!$A$2:$A$50,密度!$B$2:$B$50)</f>
        <v>28435.157464479998</v>
      </c>
      <c r="H16" s="73" ph="1">
        <f>H15*9.0746*LOOKUP(H17,密度!$A$2:$A$50,密度!$L$2:$L$50)</f>
        <v>31690.490537400001</v>
      </c>
      <c r="I16" s="73" ph="1">
        <f>I15*9.0746*LOOKUP(I17,密度!$A$2:$A$50,密度!$U$2:$U$50)</f>
        <v>1096.5020672000001</v>
      </c>
      <c r="J16" s="73" ph="1">
        <f>J15*9.0746*LOOKUP(J17,密度!$A$2:$A$50,密度!$L$2:$L$50)</f>
        <v>14025.293403000001</v>
      </c>
      <c r="K16" s="73" ph="1">
        <f>K15*9.0746*LOOKUP(K17,密度!$A$2:$A$50,密度!$C$2:$C$50)</f>
        <v>8986.1017784199994</v>
      </c>
      <c r="L16" s="73" ph="1">
        <f>L15*9.0746*LOOKUP(L17,密度!$A$2:$A$50,密度!$E$2:$E$50)</f>
        <v>39875.362305800001</v>
      </c>
      <c r="M16" s="73" ph="1">
        <f>M15*9.0746*LOOKUP(M17,密度!$A$2:$A$50,密度!$M$2:$M$50)</f>
        <v>44218.130105600001</v>
      </c>
      <c r="N16" s="73" ph="1">
        <f>N15*9.0746*LOOKUP(N17,密度!$A$2:$A$50,密度!$M$2:$M$50)</f>
        <v>7415.9591313600004</v>
      </c>
      <c r="O16" s="73" ph="1">
        <f>O15*9.0746*LOOKUP(O17,密度!$A$2:$A$50,密度!$G$2:$G$50)</f>
        <v>52757.682614999998</v>
      </c>
      <c r="P16" s="73" ph="1">
        <f ca="1">P15*9.0746*LOOKUP(P17,密度!$A$2:$A$51,密度!$Q$2:$Q$50)</f>
        <v>61361.301437416005</v>
      </c>
      <c r="Q16" s="73" ph="1">
        <f>Q15*9.0746*LOOKUP(Q17,密度!$A$2:$A$50,密度!$Q$2:$Q$50)</f>
        <v>0</v>
      </c>
      <c r="R16" s="73" ph="1">
        <f>MAX(R15*9.0746*LOOKUP(R17,密度!$A$2:$A$50,密度!$B$2:$B$50),0)</f>
        <v>24734.782413600002</v>
      </c>
      <c r="S16" s="73" ph="1">
        <f>S15*9.0746*LOOKUP(S17,密度!$A$2:$A$50,密度!$Q$2:$Q$50)</f>
        <v>59250.000282624002</v>
      </c>
      <c r="T16" s="73" ph="1">
        <f>T15*9.0746*LOOKUP(T17,密度!$A$2:$A$50,密度!$O$2:$O$50)</f>
        <v>23116.871979600004</v>
      </c>
      <c r="U16" s="73" ph="1">
        <f>U15*9.0746*LOOKUP(U17,密度!$A$2:$A$50,密度!$H$2:$H$50)</f>
        <v>53549.689201580004</v>
      </c>
      <c r="V16" s="73" ph="1">
        <f>MAX(5600*LOOKUP(V17,密度!$A$2:$A$50,密度!$Q$2:$Q$50)+V15*9.0476*LOOKUP(V17,密度!$A$2:$A$50,密度!$Q$2:$Q$50),0)</f>
        <v>10391.306830271998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6059.2376000000004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19566.836734379998</v>
      </c>
      <c r="AB16" s="73" ph="1">
        <f>AB15*9.0746*LOOKUP(AB17,密度!$A$2:$A$50,密度!$L$2:$L$50)</f>
        <v>20028.023333200003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4972.3346404799995</v>
      </c>
      <c r="AE16" s="73" ph="1">
        <f>AE15*268.68*LOOKUP(AE17,密度!$A$2:$A$50,密度!B2:B50)+IF(AE15&lt;=0,0,1566*LOOKUP(AE17,密度!$A$2:$A$50,密度!B2:B50))</f>
        <v>2356.14266976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27</v>
      </c>
      <c r="E17" s="74">
        <v>28</v>
      </c>
      <c r="F17" s="74">
        <v>29</v>
      </c>
      <c r="G17" s="74">
        <v>26</v>
      </c>
      <c r="H17" s="74">
        <v>29</v>
      </c>
      <c r="I17" s="74">
        <v>26</v>
      </c>
      <c r="J17" s="74">
        <v>27</v>
      </c>
      <c r="K17" s="74">
        <v>25</v>
      </c>
      <c r="L17" s="74">
        <v>28</v>
      </c>
      <c r="M17" s="74">
        <v>28</v>
      </c>
      <c r="N17" s="74">
        <v>27</v>
      </c>
      <c r="O17" s="74">
        <v>28</v>
      </c>
      <c r="P17" s="74">
        <v>27</v>
      </c>
      <c r="Q17" s="74">
        <v>26</v>
      </c>
      <c r="R17" s="74">
        <v>28</v>
      </c>
      <c r="S17" s="74">
        <v>28</v>
      </c>
      <c r="T17" s="74">
        <v>26</v>
      </c>
      <c r="U17" s="74">
        <v>26</v>
      </c>
      <c r="V17" s="74">
        <v>27</v>
      </c>
      <c r="W17" s="74">
        <v>26</v>
      </c>
      <c r="X17" s="74">
        <v>27</v>
      </c>
      <c r="Y17" s="108">
        <v>27</v>
      </c>
      <c r="Z17" s="74">
        <v>26</v>
      </c>
      <c r="AA17" s="74">
        <v>26</v>
      </c>
      <c r="AB17" s="74">
        <v>28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0</v>
      </c>
      <c r="E18" s="71">
        <v>4713</v>
      </c>
      <c r="F18" s="71">
        <v>3484</v>
      </c>
      <c r="G18" s="71">
        <v>4118</v>
      </c>
      <c r="H18" s="71">
        <v>3742</v>
      </c>
      <c r="I18" s="71">
        <v>116</v>
      </c>
      <c r="J18" s="71">
        <v>1654</v>
      </c>
      <c r="K18" s="71">
        <v>892</v>
      </c>
      <c r="L18" s="71">
        <v>5643</v>
      </c>
      <c r="M18" s="71">
        <v>3172</v>
      </c>
      <c r="N18" s="71">
        <v>419</v>
      </c>
      <c r="O18" s="71">
        <v>6079</v>
      </c>
      <c r="P18" s="71">
        <v>7159</v>
      </c>
      <c r="Q18" s="71">
        <v>0</v>
      </c>
      <c r="R18" s="71">
        <v>3511</v>
      </c>
      <c r="S18" s="71">
        <v>6919</v>
      </c>
      <c r="T18" s="71">
        <v>2068</v>
      </c>
      <c r="U18" s="71">
        <v>6458</v>
      </c>
      <c r="V18" s="71">
        <v>594</v>
      </c>
      <c r="W18" s="71">
        <v>-792</v>
      </c>
      <c r="X18" s="71">
        <v>25</v>
      </c>
      <c r="Y18" s="109">
        <v>-9908</v>
      </c>
      <c r="Z18" s="71">
        <v>0</v>
      </c>
      <c r="AA18" s="71">
        <v>1317</v>
      </c>
      <c r="AB18" s="71">
        <v>2364</v>
      </c>
      <c r="AC18" s="71">
        <v>0</v>
      </c>
      <c r="AD18" s="71">
        <v>42.51</v>
      </c>
      <c r="AE18" s="71">
        <v>5.41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54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31082.252909400006</v>
      </c>
      <c r="F19" s="73" ph="1">
        <f>F18*9.0746*LOOKUP(F20,密度!$A$2:$A$50,密度!$L$2:$L$50)</f>
        <v>29371.177045600001</v>
      </c>
      <c r="G19" s="73" ph="1">
        <f>G18*9.0746*LOOKUP(G20,密度!$A$2:$A$50,密度!$B$2:$B$50)</f>
        <v>29035.870575600002</v>
      </c>
      <c r="H19" s="73" ph="1">
        <f>H18*9.0746*LOOKUP(H20,密度!$A$2:$A$50,密度!$L$2:$L$50)</f>
        <v>31648.066782400001</v>
      </c>
      <c r="I19" s="73" ph="1">
        <f>I18*9.0746*LOOKUP(I20,密度!$A$2:$A$50,密度!$U$2:$U$50)</f>
        <v>1067.6012811200001</v>
      </c>
      <c r="J19" s="73" ph="1">
        <f>J18*9.0746*LOOKUP(J20,密度!$A$2:$A$50,密度!$L$2:$L$50)</f>
        <v>13973.7406004</v>
      </c>
      <c r="K19" s="73" ph="1">
        <f>K18*9.0746*LOOKUP(K20,密度!$A$2:$A$50,密度!$C$2:$C$50)</f>
        <v>8945.2796903199996</v>
      </c>
      <c r="L19" s="73" ph="1">
        <f>L18*9.0746*LOOKUP(L20,密度!$A$2:$A$50,密度!$E$2:$E$50)</f>
        <v>39875.64452586</v>
      </c>
      <c r="M19" s="73" ph="1">
        <f>M18*9.0746*LOOKUP(M20,密度!$A$2:$A$50,密度!$M$2:$M$50)</f>
        <v>25039.750680879999</v>
      </c>
      <c r="N19" s="73" ph="1">
        <f>N18*9.0746*LOOKUP(N20,密度!$A$2:$A$50,密度!$M$2:$M$50)</f>
        <v>3307.5837122600001</v>
      </c>
      <c r="O19" s="73" ph="1">
        <f>O18*9.0746*LOOKUP(O20,密度!$A$2:$A$50,密度!$G$2:$G$50)</f>
        <v>52665.541848979999</v>
      </c>
      <c r="P19" s="73" ph="1">
        <f ca="1">P18*9.0746*LOOKUP(P20,密度!$A$2:$A$51,密度!$Q$2:$Q$50)</f>
        <v>61367.296299668</v>
      </c>
      <c r="Q19" s="73" ph="1">
        <f>Q18*9.0746*LOOKUP(Q20,密度!$A$2:$A$50,密度!$Q$2:$Q$50)</f>
        <v>0</v>
      </c>
      <c r="R19" s="73" ph="1">
        <f>MAX(R18*9.0746*LOOKUP(R20,密度!$A$2:$A$50,密度!$B$2:$B$50),0)</f>
        <v>24701.77174118</v>
      </c>
      <c r="S19" s="73" ph="1">
        <f>S18*9.0746*LOOKUP(S20,密度!$A$2:$A$50,密度!$Q$2:$Q$50)</f>
        <v>59229.009190142002</v>
      </c>
      <c r="T19" s="73" ph="1">
        <f>T18*9.0746*LOOKUP(T20,密度!$A$2:$A$50,密度!$O$2:$O$50)</f>
        <v>17377.568612800002</v>
      </c>
      <c r="U19" s="73" ph="1">
        <f>U18*9.0746*LOOKUP(U20,密度!$A$2:$A$50,密度!$H$2:$H$50)</f>
        <v>53499.378711720005</v>
      </c>
      <c r="V19" s="73" ph="1">
        <f>MAX(5600*LOOKUP(V20,密度!$A$2:$A$50,密度!$Q$2:$Q$50)+V18*9.0476*LOOKUP(V20,密度!$A$2:$A$50,密度!$Q$2:$Q$50),0)</f>
        <v>10336.669057359999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6026.610936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9286.1198514000007</v>
      </c>
      <c r="AB19" s="73" ph="1">
        <f>AB18*9.0746*LOOKUP(AB20,密度!$A$2:$A$50,密度!$L$2:$L$50)</f>
        <v>20015.0466552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10091.354943599999</v>
      </c>
      <c r="AE19" s="73" ph="1">
        <f>AE18*268.68*LOOKUP(AE20,密度!$A$2:$A$50,密度!B5:B53)+IF(AE18&lt;=0,0,1566*LOOKUP(AE20,密度!$A$2:$A$50,密度!B5:B53))</f>
        <v>2346.1971875999998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29</v>
      </c>
      <c r="E20" s="81">
        <v>29</v>
      </c>
      <c r="F20" s="81">
        <v>33</v>
      </c>
      <c r="G20" s="81">
        <v>28</v>
      </c>
      <c r="H20" s="81">
        <v>30</v>
      </c>
      <c r="I20" s="81">
        <v>36</v>
      </c>
      <c r="J20" s="81">
        <v>31</v>
      </c>
      <c r="K20" s="81">
        <v>30</v>
      </c>
      <c r="L20" s="81">
        <v>29</v>
      </c>
      <c r="M20" s="81">
        <v>30</v>
      </c>
      <c r="N20" s="81">
        <v>30</v>
      </c>
      <c r="O20" s="81">
        <v>30</v>
      </c>
      <c r="P20" s="81">
        <v>28</v>
      </c>
      <c r="Q20" s="81">
        <v>30</v>
      </c>
      <c r="R20" s="81">
        <v>30</v>
      </c>
      <c r="S20" s="81">
        <v>30</v>
      </c>
      <c r="T20" s="81">
        <v>29</v>
      </c>
      <c r="U20" s="81">
        <v>27</v>
      </c>
      <c r="V20" s="81">
        <v>32</v>
      </c>
      <c r="W20" s="81">
        <v>30</v>
      </c>
      <c r="X20" s="81">
        <v>32</v>
      </c>
      <c r="Y20" s="110">
        <v>30</v>
      </c>
      <c r="Z20" s="81">
        <v>33</v>
      </c>
      <c r="AA20" s="81">
        <v>28</v>
      </c>
      <c r="AB20" s="81">
        <v>29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645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54" t="s" ph="1">
        <v>178</v>
      </c>
      <c r="D24" s="71">
        <v>90.91</v>
      </c>
      <c r="E24" s="71">
        <v>95.62</v>
      </c>
      <c r="F24" s="71">
        <v>3997</v>
      </c>
      <c r="G24" s="71">
        <v>3012</v>
      </c>
      <c r="H24" s="71">
        <v>1972</v>
      </c>
      <c r="I24" s="71">
        <v>3292</v>
      </c>
      <c r="J24" s="71">
        <v>5403</v>
      </c>
      <c r="K24" s="71">
        <v>37</v>
      </c>
      <c r="L24" s="71">
        <v>1130</v>
      </c>
      <c r="M24" s="71">
        <v>5247</v>
      </c>
      <c r="N24" s="71">
        <v>5321</v>
      </c>
      <c r="O24" s="71">
        <v>3688</v>
      </c>
      <c r="P24" s="71">
        <v>2750</v>
      </c>
      <c r="Q24" s="90">
        <v>122</v>
      </c>
      <c r="R24" s="71">
        <v>1743</v>
      </c>
      <c r="S24" s="71">
        <v>2197</v>
      </c>
      <c r="T24" s="71">
        <v>1760</v>
      </c>
      <c r="U24" s="71">
        <v>5351</v>
      </c>
      <c r="V24" s="71">
        <v>9629</v>
      </c>
      <c r="W24" s="71">
        <v>10732</v>
      </c>
      <c r="X24" s="71">
        <v>1944</v>
      </c>
      <c r="Y24" s="71">
        <v>5134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24607.380921912001</v>
      </c>
      <c r="E25" s="91" ph="1">
        <f>E24*268.68*LOOKUP(E26,密度!$A$2:$A$50,密度!$C$2:$C$50)+IF(E24&lt;=0,0,1566*LOOKUP(E26,密度!$A$2:$A$50,密度!$C$2:$C$50))</f>
        <v>30225.488676240006</v>
      </c>
      <c r="F25" s="91" ph="1">
        <f>F24*11.702*LOOKUP(F26,密度!$A$2:$A$50,密度!$Q$2:$Q$50)</f>
        <v>44215.35215608</v>
      </c>
      <c r="G25" s="91" ph="1">
        <f>G24*18.322*LOOKUP(G26,密度!$A$2:$A$50,密度!$B$2:$B$50)</f>
        <v>42929.083605599997</v>
      </c>
      <c r="H25" s="91" ph="1">
        <f>H24*18.322*LOOKUP(H26,密度!$A$2:$A$50,密度!$B$2:$B$50)</f>
        <v>28106.292453599999</v>
      </c>
      <c r="I25" s="91" ph="1">
        <f>I24*18.322*LOOKUP(I26,密度!$A$2:$A$50,密度!$Q$2:$Q$50)</f>
        <v>57017.94380768</v>
      </c>
      <c r="J25" s="91" ph="1">
        <f>J24*18.322*LOOKUP(J26,密度!$A$2:$A$50,密度!$Q$2:$Q$50)</f>
        <v>93580.78687512</v>
      </c>
      <c r="K25" s="91" ph="1">
        <f>K24*18.322*LOOKUP(K26,密度!$A$2:$A$50,密度!$Q$2:$Q$50)</f>
        <v>640.37112267999998</v>
      </c>
      <c r="L25" s="91" ph="1">
        <f>L24*18.322*LOOKUP(L26,密度!$A$2:$A$50,密度!$Q$2:$Q$50)</f>
        <v>19586.4726758</v>
      </c>
      <c r="M25" s="91" ph="1">
        <f>M24*18.322*LOOKUP(M26,密度!$A$2:$A$50,密度!$Q$2:$Q$50)</f>
        <v>90811.548127080008</v>
      </c>
      <c r="N25" s="91" ph="1">
        <f>N24*18.322*LOOKUP(N26,密度!$A$2:$A$50,密度!$Q$2:$Q$50)</f>
        <v>92160.534325839995</v>
      </c>
      <c r="O25" s="91" ph="1">
        <f>O24*18.322*LOOKUP(O26,密度!$A$2:$A$50,密度!$C$2:$C$50)</f>
        <v>74727.361662399999</v>
      </c>
      <c r="P25" s="91" ph="1">
        <f>P24*11.702*LOOKUP(P26,密度!$A$2:$A$50,密度!$B$2:$B$50)</f>
        <v>25004.248500000002</v>
      </c>
      <c r="Q25" s="92" ph="1">
        <f>Q24*18.322*LOOKUP(Q26,密度!$A$2:$A$50,密度!$B$2:$B$50)</f>
        <v>1736.8156680000002</v>
      </c>
      <c r="R25" s="91" ph="1">
        <f>R24*35.891*LOOKUP(R26,密度!$A$2:$A$50,密度!$C$2:$C$50)</f>
        <v>69276.743596200002</v>
      </c>
      <c r="S25" s="91" ph="1">
        <f>S24*35.891*LOOKUP(S26,密度!$A$2:$A$50,密度!$B$2:$B$50)</f>
        <v>61339.380753300007</v>
      </c>
      <c r="T25" s="91" ph="1">
        <f>T24*35.891*LOOKUP(T26,密度!$A$2:$A$50,密度!$Q$2:$Q$50)</f>
        <v>59714.125011199998</v>
      </c>
      <c r="U25" s="91" ph="1">
        <f>U24*35.891</f>
        <v>192052.74099999998</v>
      </c>
      <c r="V25" s="91" ph="1">
        <f>V24*47.051*LOOKUP(V26,密度!$A$2:$A$50,密度!$B$2:$B$50)</f>
        <v>352023.01938300004</v>
      </c>
      <c r="W25" s="91" ph="1">
        <f>W24*47.051*LOOKUP(W26,密度!$A$2:$A$50,密度!$B$2:$B$50)</f>
        <v>392801.64116280002</v>
      </c>
      <c r="X25" s="91" ph="1">
        <f>X24*47.051*LOOKUP(X26,密度!$A$2:$A$50,密度!$I$2:$I$50)</f>
        <v>95025.215901599993</v>
      </c>
      <c r="Y25" s="91" ph="1">
        <f>Y24*47.051*LOOKUP(Y26,密度!$A$2:$A$50,密度!$L$2:$L$50)</f>
        <v>225616.88495600002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27</v>
      </c>
      <c r="G26" s="74">
        <v>27</v>
      </c>
      <c r="H26" s="74">
        <v>27</v>
      </c>
      <c r="I26" s="74">
        <v>27</v>
      </c>
      <c r="J26" s="74">
        <v>27</v>
      </c>
      <c r="K26" s="74">
        <v>28</v>
      </c>
      <c r="L26" s="74">
        <v>26</v>
      </c>
      <c r="M26" s="74">
        <v>28</v>
      </c>
      <c r="N26" s="74">
        <v>27</v>
      </c>
      <c r="O26" s="74">
        <v>29</v>
      </c>
      <c r="P26" s="74">
        <v>28</v>
      </c>
      <c r="Q26" s="93">
        <v>28</v>
      </c>
      <c r="R26" s="74">
        <v>27</v>
      </c>
      <c r="S26" s="74">
        <v>27</v>
      </c>
      <c r="T26" s="74">
        <v>27</v>
      </c>
      <c r="U26" s="74">
        <v>29</v>
      </c>
      <c r="V26" s="74">
        <v>28</v>
      </c>
      <c r="W26" s="74">
        <v>27</v>
      </c>
      <c r="X26" s="74">
        <v>28</v>
      </c>
      <c r="Y26" s="74">
        <v>28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54" t="s" ph="1">
        <v>181</v>
      </c>
      <c r="D27" s="71">
        <v>90.91</v>
      </c>
      <c r="E27" s="71">
        <v>95.61</v>
      </c>
      <c r="F27" s="71">
        <v>3997</v>
      </c>
      <c r="G27" s="71">
        <v>2497</v>
      </c>
      <c r="H27" s="71">
        <v>1969</v>
      </c>
      <c r="I27" s="71">
        <v>2351</v>
      </c>
      <c r="J27" s="71">
        <v>5403</v>
      </c>
      <c r="K27" s="71">
        <v>34</v>
      </c>
      <c r="L27" s="71">
        <v>1125</v>
      </c>
      <c r="M27" s="71">
        <v>5248</v>
      </c>
      <c r="N27" s="71">
        <v>5319</v>
      </c>
      <c r="O27" s="71">
        <v>3684</v>
      </c>
      <c r="P27" s="71">
        <v>2750</v>
      </c>
      <c r="Q27" s="90">
        <v>323</v>
      </c>
      <c r="R27" s="71">
        <v>1738</v>
      </c>
      <c r="S27" s="71">
        <v>2805</v>
      </c>
      <c r="T27" s="71">
        <v>1757</v>
      </c>
      <c r="U27" s="71">
        <v>5600</v>
      </c>
      <c r="V27" s="71">
        <v>9631</v>
      </c>
      <c r="W27" s="71">
        <v>10732</v>
      </c>
      <c r="X27" s="71">
        <v>2546</v>
      </c>
      <c r="Y27" s="71">
        <v>4064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54" t="s" ph="1">
        <v>179</v>
      </c>
      <c r="D28" s="91" ph="1">
        <f>D27*268.68*LOOKUP(D29,密度!$A$2:$A$50,密度!$Q$2:$Q$50)+IF(D27&lt;=0,0,1566*LOOKUP(D29,密度!$A$2:$A$50,密度!$Q$2:$Q$50))</f>
        <v>24607.380921912001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44150.337833420002</v>
      </c>
      <c r="G28" s="91" ph="1">
        <f>G27*18.322*LOOKUP(G29,密度!$A$2:$A$50,密度!$B$2:$B$50)</f>
        <v>35547.776418000001</v>
      </c>
      <c r="H28" s="91" ph="1">
        <f>H27*18.322*LOOKUP(H29,密度!$A$2:$A$50,密度!$B$2:$B$50)</f>
        <v>28002.205171599999</v>
      </c>
      <c r="I28" s="91" ph="1">
        <f>I27*18.322*LOOKUP(I29,密度!$A$2:$A$50,密度!$Q$2:$Q$50)</f>
        <v>40659.805516460001</v>
      </c>
      <c r="J28" s="91" ph="1">
        <f>J27*18.322*LOOKUP(J29,密度!$A$2:$A$50,密度!$Q$2:$Q$50)</f>
        <v>93511.491238919989</v>
      </c>
      <c r="K28" s="91" ph="1">
        <f>K27*18.322*LOOKUP(K29,密度!$A$2:$A$50,密度!$Q$2:$Q$50)</f>
        <v>588.44913975999998</v>
      </c>
      <c r="L28" s="91" ph="1">
        <f>L27*18.322*LOOKUP(L29,密度!$A$2:$A$50,密度!$Q$2:$Q$50)</f>
        <v>19456.521142500002</v>
      </c>
      <c r="M28" s="91" ph="1">
        <f>M27*18.322*LOOKUP(M29,密度!$A$2:$A$50,密度!$Q$2:$Q$50)</f>
        <v>90828.855454720004</v>
      </c>
      <c r="N28" s="91" ph="1">
        <f>N27*18.322*LOOKUP(N29,密度!$A$2:$A$50,密度!$Q$2:$Q$50)</f>
        <v>91990.431961740003</v>
      </c>
      <c r="O28" s="91" ph="1">
        <f>O27*18.322*LOOKUP(O29,密度!$A$2:$A$50,密度!$C$2:$C$50)</f>
        <v>74592.313864799988</v>
      </c>
      <c r="P28" s="91" ph="1">
        <f>P27*11.702*LOOKUP(P29,密度!$A$2:$A$50,密度!$B$2:$B$50)</f>
        <v>24978.504099999998</v>
      </c>
      <c r="Q28" s="92" ph="1">
        <f>Q27*18.322*LOOKUP(Q29,密度!$A$2:$A$50,密度!$B$2:$B$50)</f>
        <v>4598.2906619999994</v>
      </c>
      <c r="R28" s="91" ph="1">
        <f>R27*35.891*LOOKUP(R29,密度!$A$2:$A$50,密度!$C$2:$C$50)</f>
        <v>68984.447292199999</v>
      </c>
      <c r="S28" s="91" ph="1">
        <f>S27*35.891*LOOKUP(S29,密度!$A$2:$A$50,密度!$B$2:$B$50)</f>
        <v>78143.356730999993</v>
      </c>
      <c r="T28" s="91" ph="1">
        <f>T27*35.891*LOOKUP(T29,密度!$A$2:$A$50,密度!$Q$2:$Q$50)</f>
        <v>59568.197229939993</v>
      </c>
      <c r="U28" s="91" ph="1">
        <f>U27*35.891</f>
        <v>200989.59999999998</v>
      </c>
      <c r="V28" s="91" ph="1">
        <f>V27*47.051*LOOKUP(V29,密度!$A$2:$A$50,密度!$B$2:$B$50)</f>
        <v>351733.61809220002</v>
      </c>
      <c r="W28" s="91" ph="1">
        <f>W27*47.051*LOOKUP(W29,密度!$A$2:$A$50,密度!$B$2:$B$50)</f>
        <v>392347.18496400001</v>
      </c>
      <c r="X28" s="91" ph="1">
        <f>X27*47.051*LOOKUP(X29,密度!$A$2:$A$50,密度!$I$2:$I$50)</f>
        <v>124451.7488094</v>
      </c>
      <c r="Y28" s="91" ph="1">
        <f>Y27*47.051*LOOKUP(Y29,密度!$A$2:$A$50,密度!$L$2:$L$50)</f>
        <v>178403.841312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54" t="s" ph="1">
        <v>180</v>
      </c>
      <c r="D29" s="74">
        <v>25</v>
      </c>
      <c r="E29" s="74">
        <v>25</v>
      </c>
      <c r="F29" s="74">
        <v>29</v>
      </c>
      <c r="G29" s="74">
        <v>28</v>
      </c>
      <c r="H29" s="74">
        <v>29</v>
      </c>
      <c r="I29" s="74">
        <v>29</v>
      </c>
      <c r="J29" s="74">
        <v>28</v>
      </c>
      <c r="K29" s="74">
        <v>28</v>
      </c>
      <c r="L29" s="74">
        <v>29</v>
      </c>
      <c r="M29" s="74">
        <v>28</v>
      </c>
      <c r="N29" s="74">
        <v>29</v>
      </c>
      <c r="O29" s="74">
        <v>30</v>
      </c>
      <c r="P29" s="74">
        <v>29</v>
      </c>
      <c r="Q29" s="93">
        <v>28</v>
      </c>
      <c r="R29" s="74">
        <v>29</v>
      </c>
      <c r="S29" s="74">
        <v>29</v>
      </c>
      <c r="T29" s="74">
        <v>28</v>
      </c>
      <c r="U29" s="74">
        <v>29</v>
      </c>
      <c r="V29" s="74">
        <v>29</v>
      </c>
      <c r="W29" s="74">
        <v>28</v>
      </c>
      <c r="X29" s="74">
        <v>28</v>
      </c>
      <c r="Y29" s="74">
        <v>29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73425.276935999995</v>
      </c>
      <c r="E33" s="193" ph="1">
        <f>M10+I10</f>
        <v>181115.65641519998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9" ph="1">
        <v>0</v>
      </c>
      <c r="H33" s="193" ph="1">
        <f>N19</f>
        <v>3307.5837122600001</v>
      </c>
      <c r="I33" s="197" ph="1">
        <v>0</v>
      </c>
      <c r="J33" s="201" ph="1">
        <f>F10+O28</f>
        <v>336646.16000249999</v>
      </c>
      <c r="K33" s="193" ph="1">
        <f>O10+K10+E28+R28</f>
        <v>124254.08350312</v>
      </c>
      <c r="L33" s="203" ph="1">
        <f>BE27</f>
        <v>7100</v>
      </c>
      <c r="M33" s="201" ph="1">
        <f>G10+H10+W28+S28+V28+E10</f>
        <v>1445193.6161942002</v>
      </c>
      <c r="N33" s="193" ph="1">
        <f>L10+P10++G28+H28</f>
        <v>204087.73589960003</v>
      </c>
      <c r="O33" s="197" ph="1">
        <f>BE17</f>
        <v>2270</v>
      </c>
      <c r="P33" s="201" ph="1">
        <f>L19</f>
        <v>39875.64452586</v>
      </c>
      <c r="Q33" s="193" ph="1">
        <f>J10+N10</f>
        <v>116487.17305759998</v>
      </c>
      <c r="R33" s="197" ph="1">
        <f>BE23</f>
        <v>890</v>
      </c>
      <c r="S33" s="201" ph="1">
        <f>E10+X28</f>
        <v>312400.40542339999</v>
      </c>
      <c r="T33" s="193" ph="1">
        <f>X19</f>
        <v>6026.610936</v>
      </c>
      <c r="U33" s="182" ph="1">
        <f>BE21</f>
        <v>730</v>
      </c>
      <c r="V33" s="195" ph="1">
        <f ca="1">P19+Q19+S19+M28+N28+J28</f>
        <v>396927.08414518996</v>
      </c>
      <c r="W33" s="195" ph="1">
        <f>D28+F28+V19+T28</f>
        <v>138662.58504263201</v>
      </c>
      <c r="X33" s="197" ph="1">
        <f>BE29+BE31</f>
        <v>10200</v>
      </c>
      <c r="Y33" s="199" ph="1">
        <f>+Q10+R10+S10+T10+U10+V10+W10+X10+Y10</f>
        <v>186150.9306888</v>
      </c>
      <c r="Z33" s="180" ph="1">
        <f>D10+T19+U19+Y28+Z10</f>
        <v>504659.31983629003</v>
      </c>
      <c r="AA33" s="182" ph="1">
        <f>BE19</f>
        <v>1440</v>
      </c>
      <c r="AB33" s="184" ph="1">
        <f>I19</f>
        <v>1067.6012811200001</v>
      </c>
      <c r="AC33" s="186" ph="1">
        <f>AD10</f>
        <v>86717.693462400013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56" t="s" ph="1">
        <v>186</v>
      </c>
      <c r="AA36" s="156" ph="1"/>
      <c r="AB36" s="179" t="s" ph="1">
        <v>646</v>
      </c>
      <c r="AC36" s="179" ph="1"/>
      <c r="AD36" s="179" ph="1"/>
      <c r="AE36" s="179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345</v>
      </c>
      <c r="AI37" s="156" t="s" ph="1">
        <v>212</v>
      </c>
      <c r="AJ37" s="156" t="s" ph="1">
        <v>213</v>
      </c>
      <c r="AK37" s="156" t="s" ph="1">
        <v>214</v>
      </c>
      <c r="AM37" s="156" t="s" ph="1">
        <v>213</v>
      </c>
      <c r="AN37" s="156" t="s" ph="1">
        <v>214</v>
      </c>
      <c r="AO37" s="156" t="s" ph="1">
        <v>215</v>
      </c>
      <c r="AP37" s="156" t="s" ph="1">
        <v>213</v>
      </c>
      <c r="AQ37" s="156" t="s" ph="1">
        <v>214</v>
      </c>
      <c r="AR37" s="156" t="s" ph="1">
        <v>215</v>
      </c>
      <c r="AS37" s="156" t="s" ph="1">
        <v>213</v>
      </c>
      <c r="AT37" s="156" t="s" ph="1">
        <v>214</v>
      </c>
      <c r="AU37" s="156" t="s" ph="1">
        <v>215</v>
      </c>
      <c r="AV37" s="156" t="s" ph="1">
        <v>213</v>
      </c>
      <c r="AW37" s="156" t="s" ph="1">
        <v>214</v>
      </c>
      <c r="AX37" s="156" t="s" ph="1">
        <v>215</v>
      </c>
      <c r="AY37" s="156" t="s" ph="1">
        <v>214</v>
      </c>
      <c r="AZ37" s="156" t="s" ph="1">
        <v>216</v>
      </c>
      <c r="BD37" s="156" t="s" ph="1">
        <v>308</v>
      </c>
      <c r="BE37" s="156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888" priority="97">
      <formula>ABS(D$7-D$10)&gt;=1000</formula>
    </cfRule>
  </conditionalFormatting>
  <conditionalFormatting sqref="E4 E6:E11">
    <cfRule type="expression" dxfId="887" priority="96">
      <formula>ABS(E$7-E$10)&gt;=1000</formula>
    </cfRule>
  </conditionalFormatting>
  <conditionalFormatting sqref="F4:F11">
    <cfRule type="expression" dxfId="886" priority="95">
      <formula>ABS(F$7-F$10)&gt;=1000</formula>
    </cfRule>
  </conditionalFormatting>
  <conditionalFormatting sqref="G4:G11">
    <cfRule type="expression" dxfId="885" priority="94">
      <formula>ABS(G$7-G$10)&gt;=1000</formula>
    </cfRule>
  </conditionalFormatting>
  <conditionalFormatting sqref="H4:H11">
    <cfRule type="expression" dxfId="884" priority="93">
      <formula>ABS(H$7-H$10)&gt;=1000</formula>
    </cfRule>
  </conditionalFormatting>
  <conditionalFormatting sqref="I4:I11">
    <cfRule type="expression" dxfId="883" priority="92">
      <formula>ABS(I$7-I$10)&gt;=1000</formula>
    </cfRule>
  </conditionalFormatting>
  <conditionalFormatting sqref="J4:J11">
    <cfRule type="expression" dxfId="882" priority="91">
      <formula>ABS(J$7-J$10)&gt;=1000</formula>
    </cfRule>
  </conditionalFormatting>
  <conditionalFormatting sqref="K4:K11">
    <cfRule type="expression" dxfId="881" priority="90">
      <formula>ABS(K$7-K$10)&gt;=1000</formula>
    </cfRule>
  </conditionalFormatting>
  <conditionalFormatting sqref="L4:L11">
    <cfRule type="expression" dxfId="880" priority="89">
      <formula>ABS(L$7-L$10)&gt;=1000</formula>
    </cfRule>
  </conditionalFormatting>
  <conditionalFormatting sqref="M4 M6:M11">
    <cfRule type="expression" dxfId="879" priority="88">
      <formula>ABS(M$7-M$10)&gt;=1000</formula>
    </cfRule>
  </conditionalFormatting>
  <conditionalFormatting sqref="N4 N6:N11">
    <cfRule type="expression" dxfId="878" priority="87">
      <formula>ABS(N$7-N$10)&gt;=1000</formula>
    </cfRule>
  </conditionalFormatting>
  <conditionalFormatting sqref="O4 O6:O11">
    <cfRule type="expression" dxfId="877" priority="86">
      <formula>ABS(O$7-O$10)&gt;=1000</formula>
    </cfRule>
  </conditionalFormatting>
  <conditionalFormatting sqref="P4 P6:P11">
    <cfRule type="expression" dxfId="876" priority="85">
      <formula>ABS(P$7-P$10)&gt;=1000</formula>
    </cfRule>
  </conditionalFormatting>
  <conditionalFormatting sqref="Q4:Q11">
    <cfRule type="expression" dxfId="875" priority="84">
      <formula>ABS(Q$7-Q$10)&gt;=1000</formula>
    </cfRule>
  </conditionalFormatting>
  <conditionalFormatting sqref="R4:R11">
    <cfRule type="expression" dxfId="874" priority="83">
      <formula>ABS(R$7-R$10)&gt;=1000</formula>
    </cfRule>
  </conditionalFormatting>
  <conditionalFormatting sqref="S4:S11">
    <cfRule type="expression" dxfId="873" priority="82">
      <formula>ABS(S$7-S$10)&gt;=1000</formula>
    </cfRule>
  </conditionalFormatting>
  <conditionalFormatting sqref="T4:T9 T11">
    <cfRule type="expression" dxfId="872" priority="81">
      <formula>ABS(T$7-T$10)&gt;=1000</formula>
    </cfRule>
  </conditionalFormatting>
  <conditionalFormatting sqref="U4:U9 U11">
    <cfRule type="expression" dxfId="871" priority="80">
      <formula>ABS(U$7-U$10)&gt;=1000</formula>
    </cfRule>
  </conditionalFormatting>
  <conditionalFormatting sqref="V4:V9 V11">
    <cfRule type="expression" dxfId="870" priority="79">
      <formula>ABS(V$7-V$10)&gt;=1000</formula>
    </cfRule>
  </conditionalFormatting>
  <conditionalFormatting sqref="W4:W9 W11">
    <cfRule type="expression" dxfId="869" priority="78">
      <formula>ABS(W$7-W$10)&gt;=1000</formula>
    </cfRule>
  </conditionalFormatting>
  <conditionalFormatting sqref="X4:X9 X11">
    <cfRule type="expression" dxfId="868" priority="77">
      <formula>ABS(X$7-X$10)&gt;=1000</formula>
    </cfRule>
  </conditionalFormatting>
  <conditionalFormatting sqref="Y4:Y9 Y11">
    <cfRule type="expression" dxfId="867" priority="76">
      <formula>ABS(Y$7-Y$10)&gt;=1000</formula>
    </cfRule>
  </conditionalFormatting>
  <conditionalFormatting sqref="Z4:Z11">
    <cfRule type="expression" dxfId="866" priority="75">
      <formula>ABS(Z$7-Z$10)&gt;=1000</formula>
    </cfRule>
  </conditionalFormatting>
  <conditionalFormatting sqref="AA4:AA11">
    <cfRule type="expression" dxfId="865" priority="74">
      <formula>ABS(AA$7-AA$10)&gt;=1000</formula>
    </cfRule>
  </conditionalFormatting>
  <conditionalFormatting sqref="AB4:AB11">
    <cfRule type="expression" dxfId="864" priority="73">
      <formula>ABS(AB$7-AB$10)&gt;=1000</formula>
    </cfRule>
  </conditionalFormatting>
  <conditionalFormatting sqref="AC4 AC6:AC11">
    <cfRule type="expression" dxfId="863" priority="72">
      <formula>ABS(AC$7-AC$10)&gt;=1000</formula>
    </cfRule>
  </conditionalFormatting>
  <conditionalFormatting sqref="AD4:AD11">
    <cfRule type="expression" dxfId="862" priority="71">
      <formula>ABS(AD$7-AD$10)&gt;=1000</formula>
    </cfRule>
  </conditionalFormatting>
  <conditionalFormatting sqref="AE4:AE11">
    <cfRule type="expression" dxfId="861" priority="70">
      <formula>ABS(AE$7-AE$10)&gt;=1000</formula>
    </cfRule>
  </conditionalFormatting>
  <conditionalFormatting sqref="D13:D20">
    <cfRule type="expression" dxfId="860" priority="69">
      <formula>ABS(D$16-D$19)&gt;=1000</formula>
    </cfRule>
  </conditionalFormatting>
  <conditionalFormatting sqref="E13:E20">
    <cfRule type="expression" dxfId="859" priority="68">
      <formula>ABS(E$16-E$19)&gt;=1000</formula>
    </cfRule>
  </conditionalFormatting>
  <conditionalFormatting sqref="F13 F15:F20">
    <cfRule type="expression" dxfId="858" priority="67">
      <formula>ABS(F$16-F$19)&gt;=1000</formula>
    </cfRule>
  </conditionalFormatting>
  <conditionalFormatting sqref="G13:G20">
    <cfRule type="expression" dxfId="857" priority="66">
      <formula>ABS(G$16-G$19)&gt;=1000</formula>
    </cfRule>
  </conditionalFormatting>
  <conditionalFormatting sqref="H13:H20">
    <cfRule type="expression" dxfId="856" priority="65">
      <formula>ABS(H$16-H$19)&gt;=1000</formula>
    </cfRule>
  </conditionalFormatting>
  <conditionalFormatting sqref="I13:I20">
    <cfRule type="expression" dxfId="855" priority="64">
      <formula>ABS(I$16-I$19)&gt;=1000</formula>
    </cfRule>
  </conditionalFormatting>
  <conditionalFormatting sqref="J13:J20">
    <cfRule type="expression" dxfId="854" priority="63">
      <formula>ABS(J$16-J$19)&gt;=1000</formula>
    </cfRule>
  </conditionalFormatting>
  <conditionalFormatting sqref="L13:L20">
    <cfRule type="expression" dxfId="853" priority="62">
      <formula>ABS(L$16-L$19)&gt;=1000</formula>
    </cfRule>
  </conditionalFormatting>
  <conditionalFormatting sqref="M13 M15 M17:M18 M20">
    <cfRule type="expression" dxfId="852" priority="61">
      <formula>ABS(M$16-M$19)&gt;=1000</formula>
    </cfRule>
  </conditionalFormatting>
  <conditionalFormatting sqref="N13:N20">
    <cfRule type="expression" dxfId="851" priority="60">
      <formula>ABS(N$16-N$19)&gt;=1000</formula>
    </cfRule>
  </conditionalFormatting>
  <conditionalFormatting sqref="O13:O20">
    <cfRule type="expression" dxfId="850" priority="59">
      <formula>ABS(O$16-O$19)&gt;=1000</formula>
    </cfRule>
  </conditionalFormatting>
  <conditionalFormatting sqref="P13:P20">
    <cfRule type="expression" dxfId="849" priority="58">
      <formula>ABS(P$16-P$19)&gt;=1000</formula>
    </cfRule>
  </conditionalFormatting>
  <conditionalFormatting sqref="Q13 Q15:Q20">
    <cfRule type="expression" dxfId="848" priority="57">
      <formula>ABS(Q$16-Q$19)&gt;=1000</formula>
    </cfRule>
  </conditionalFormatting>
  <conditionalFormatting sqref="R13:R20">
    <cfRule type="expression" dxfId="847" priority="56">
      <formula>ABS(R$16-R$19)&gt;=1000</formula>
    </cfRule>
  </conditionalFormatting>
  <conditionalFormatting sqref="S13:S20">
    <cfRule type="expression" dxfId="846" priority="55">
      <formula>ABS(S$16-S$19)&gt;=1000</formula>
    </cfRule>
  </conditionalFormatting>
  <conditionalFormatting sqref="T13:T20">
    <cfRule type="expression" dxfId="845" priority="54">
      <formula>ABS(T$16-T$19)&gt;=1000</formula>
    </cfRule>
  </conditionalFormatting>
  <conditionalFormatting sqref="U13:U20">
    <cfRule type="expression" dxfId="844" priority="53">
      <formula>ABS(U$16-U$19)&gt;=1000</formula>
    </cfRule>
  </conditionalFormatting>
  <conditionalFormatting sqref="V13:V20">
    <cfRule type="expression" dxfId="843" priority="52">
      <formula>ABS(V$16-V$19)&gt;=1000</formula>
    </cfRule>
  </conditionalFormatting>
  <conditionalFormatting sqref="W13 W20 W15:W18">
    <cfRule type="expression" dxfId="842" priority="51">
      <formula>ABS(W$16-W$19)&gt;=1000</formula>
    </cfRule>
  </conditionalFormatting>
  <conditionalFormatting sqref="X13 X15:X20 Y19">
    <cfRule type="expression" dxfId="841" priority="50">
      <formula>ABS(X$16-X$19)&gt;=1000</formula>
    </cfRule>
  </conditionalFormatting>
  <conditionalFormatting sqref="Y13 Y15:Y18 Y20">
    <cfRule type="expression" dxfId="840" priority="49">
      <formula>ABS(Y$16-Y$19)&gt;=1000</formula>
    </cfRule>
  </conditionalFormatting>
  <conditionalFormatting sqref="Z13:Z20">
    <cfRule type="expression" dxfId="839" priority="48">
      <formula>ABS(Z$16-Z$19)&gt;=1000</formula>
    </cfRule>
  </conditionalFormatting>
  <conditionalFormatting sqref="AA13:AA20">
    <cfRule type="expression" dxfId="838" priority="47">
      <formula>ABS(AA$16-AA$19)&gt;=1000</formula>
    </cfRule>
  </conditionalFormatting>
  <conditionalFormatting sqref="AB13 AB15:AB20">
    <cfRule type="expression" dxfId="837" priority="46">
      <formula>ABS(AB$16-AB$19)&gt;=1000</formula>
    </cfRule>
  </conditionalFormatting>
  <conditionalFormatting sqref="AC13 AC15:AC20">
    <cfRule type="expression" dxfId="836" priority="45">
      <formula>ABS(AC$16-AC$19)&gt;=1000</formula>
    </cfRule>
  </conditionalFormatting>
  <conditionalFormatting sqref="AD13:AD20">
    <cfRule type="expression" dxfId="835" priority="44">
      <formula>ABS(AD$16-AD$19)&gt;=1000</formula>
    </cfRule>
  </conditionalFormatting>
  <conditionalFormatting sqref="AE13:AE20">
    <cfRule type="expression" dxfId="834" priority="43">
      <formula>ABS(AE$16-AE$19)&gt;=1000</formula>
    </cfRule>
  </conditionalFormatting>
  <conditionalFormatting sqref="D22:D29">
    <cfRule type="expression" dxfId="833" priority="42">
      <formula>ABS(D$25-D$28)&gt;=1000</formula>
    </cfRule>
  </conditionalFormatting>
  <conditionalFormatting sqref="E22:E29">
    <cfRule type="expression" dxfId="832" priority="41">
      <formula>ABS(E$25-E$28)&gt;=1000</formula>
    </cfRule>
  </conditionalFormatting>
  <conditionalFormatting sqref="F22:F29">
    <cfRule type="expression" dxfId="831" priority="40">
      <formula>ABS(F$25-F$28)&gt;=1000</formula>
    </cfRule>
  </conditionalFormatting>
  <conditionalFormatting sqref="G22:G29">
    <cfRule type="expression" dxfId="830" priority="39">
      <formula>ABS(G$25-G$28)&gt;=1000</formula>
    </cfRule>
  </conditionalFormatting>
  <conditionalFormatting sqref="H22:H29">
    <cfRule type="expression" dxfId="829" priority="38">
      <formula>ABS(H$25-H$28)&gt;=1000</formula>
    </cfRule>
  </conditionalFormatting>
  <conditionalFormatting sqref="I22 I24:I29">
    <cfRule type="expression" dxfId="828" priority="37">
      <formula>ABS(I$25-I$28)&gt;=1000</formula>
    </cfRule>
  </conditionalFormatting>
  <conditionalFormatting sqref="J22:J29 K22">
    <cfRule type="expression" dxfId="827" priority="36">
      <formula>ABS(J$25-J$28)&gt;=1000</formula>
    </cfRule>
  </conditionalFormatting>
  <conditionalFormatting sqref="K23:K29 L25 L28">
    <cfRule type="expression" dxfId="826" priority="35">
      <formula>ABS(K$25-K$28)&gt;=1000</formula>
    </cfRule>
  </conditionalFormatting>
  <conditionalFormatting sqref="L22 L26:L27 L29 L24">
    <cfRule type="expression" dxfId="825" priority="34">
      <formula>ABS(L$25-L$28)&gt;=1000</formula>
    </cfRule>
  </conditionalFormatting>
  <conditionalFormatting sqref="M22:M29">
    <cfRule type="expression" dxfId="824" priority="33">
      <formula>ABS(M$25-M$28)&gt;=1000</formula>
    </cfRule>
  </conditionalFormatting>
  <conditionalFormatting sqref="N22:N29">
    <cfRule type="expression" dxfId="823" priority="32">
      <formula>ABS(N$25-N$28)&gt;=1000</formula>
    </cfRule>
  </conditionalFormatting>
  <conditionalFormatting sqref="O22:O29">
    <cfRule type="expression" dxfId="822" priority="31">
      <formula>ABS(O$25-O$28)&gt;=1000</formula>
    </cfRule>
  </conditionalFormatting>
  <conditionalFormatting sqref="P22:P29">
    <cfRule type="expression" dxfId="821" priority="30">
      <formula>ABS(P$25-P$28)&gt;=1000</formula>
    </cfRule>
  </conditionalFormatting>
  <conditionalFormatting sqref="Q22:Q29">
    <cfRule type="expression" dxfId="820" priority="29">
      <formula>ABS(Q$25-Q$28)&gt;=1000</formula>
    </cfRule>
  </conditionalFormatting>
  <conditionalFormatting sqref="R22:R29">
    <cfRule type="expression" dxfId="819" priority="28">
      <formula>ABS(R$25-R$28)&gt;=1000</formula>
    </cfRule>
  </conditionalFormatting>
  <conditionalFormatting sqref="S22:S29">
    <cfRule type="expression" dxfId="818" priority="27">
      <formula>ABS(S$25-S$28)&gt;=1000</formula>
    </cfRule>
  </conditionalFormatting>
  <conditionalFormatting sqref="T22:T29">
    <cfRule type="expression" dxfId="817" priority="26">
      <formula>ABS(T$25-T$28)&gt;=1000</formula>
    </cfRule>
  </conditionalFormatting>
  <conditionalFormatting sqref="U22:U29">
    <cfRule type="expression" dxfId="816" priority="25">
      <formula>ABS(U$25-U$28)&gt;=1000</formula>
    </cfRule>
  </conditionalFormatting>
  <conditionalFormatting sqref="V22:V29">
    <cfRule type="expression" dxfId="815" priority="24">
      <formula>ABS(V$25-V$28)&gt;=1000</formula>
    </cfRule>
  </conditionalFormatting>
  <conditionalFormatting sqref="W22:W29">
    <cfRule type="expression" dxfId="814" priority="23">
      <formula>ABS(W$25-W$28)&gt;=1000</formula>
    </cfRule>
  </conditionalFormatting>
  <conditionalFormatting sqref="X22:X29">
    <cfRule type="expression" dxfId="813" priority="22">
      <formula>ABS(X$25-X$28)&gt;=1000</formula>
    </cfRule>
  </conditionalFormatting>
  <conditionalFormatting sqref="Y22:Y29">
    <cfRule type="expression" dxfId="812" priority="21">
      <formula>ABS(Y$25-Y$28)&gt;=1000</formula>
    </cfRule>
  </conditionalFormatting>
  <conditionalFormatting sqref="I23">
    <cfRule type="expression" dxfId="811" priority="20">
      <formula>ABS(I$25-I$28)&gt;=1000</formula>
    </cfRule>
  </conditionalFormatting>
  <conditionalFormatting sqref="F14">
    <cfRule type="expression" dxfId="810" priority="19">
      <formula>ABS(F$16-F$19)&gt;=1000</formula>
    </cfRule>
  </conditionalFormatting>
  <conditionalFormatting sqref="Q14">
    <cfRule type="expression" dxfId="809" priority="18">
      <formula>ABS(Q$16-Q$19)&gt;=1000</formula>
    </cfRule>
  </conditionalFormatting>
  <conditionalFormatting sqref="W14">
    <cfRule type="expression" dxfId="808" priority="17">
      <formula>ABS(W$16-W$19)&gt;=1000</formula>
    </cfRule>
  </conditionalFormatting>
  <conditionalFormatting sqref="Y14">
    <cfRule type="expression" dxfId="807" priority="16">
      <formula>ABS(Y$16-Y$19)&gt;=1000</formula>
    </cfRule>
  </conditionalFormatting>
  <conditionalFormatting sqref="X14">
    <cfRule type="expression" dxfId="806" priority="15">
      <formula>ABS(X$16-X$19)&gt;=1000</formula>
    </cfRule>
  </conditionalFormatting>
  <conditionalFormatting sqref="T10:Y10">
    <cfRule type="expression" dxfId="805" priority="14">
      <formula>ABS(T$7-T$10)&gt;=1000</formula>
    </cfRule>
  </conditionalFormatting>
  <conditionalFormatting sqref="W19">
    <cfRule type="expression" dxfId="804" priority="13">
      <formula>ABS(W$16-W$19)&gt;=1000</formula>
    </cfRule>
  </conditionalFormatting>
  <conditionalFormatting sqref="AC5">
    <cfRule type="expression" dxfId="803" priority="12">
      <formula>ABS(AC$7-AC$10)&gt;=1000</formula>
    </cfRule>
  </conditionalFormatting>
  <conditionalFormatting sqref="M14">
    <cfRule type="expression" dxfId="802" priority="11">
      <formula>ABS(M$16-M$19)&gt;=1000</formula>
    </cfRule>
  </conditionalFormatting>
  <conditionalFormatting sqref="M16">
    <cfRule type="expression" dxfId="801" priority="10">
      <formula>ABS(M$16-M$19)&gt;=1000</formula>
    </cfRule>
  </conditionalFormatting>
  <conditionalFormatting sqref="M19">
    <cfRule type="expression" dxfId="800" priority="9">
      <formula>ABS(M$16-M$19)&gt;=1000</formula>
    </cfRule>
  </conditionalFormatting>
  <conditionalFormatting sqref="K13:K20">
    <cfRule type="expression" dxfId="799" priority="8">
      <formula>ABS(K$16-K$19)&gt;=1000</formula>
    </cfRule>
  </conditionalFormatting>
  <conditionalFormatting sqref="E5">
    <cfRule type="expression" dxfId="798" priority="7">
      <formula>ABS(E$7-E$10)&gt;=1000</formula>
    </cfRule>
  </conditionalFormatting>
  <conditionalFormatting sqref="AB14:AC14">
    <cfRule type="expression" dxfId="797" priority="6">
      <formula>ABS(AB$16-AB$19)&gt;=1000</formula>
    </cfRule>
  </conditionalFormatting>
  <conditionalFormatting sqref="M5">
    <cfRule type="expression" dxfId="796" priority="5">
      <formula>ABS(M$7-M$10)&gt;=1000</formula>
    </cfRule>
  </conditionalFormatting>
  <conditionalFormatting sqref="N5">
    <cfRule type="expression" dxfId="795" priority="4">
      <formula>ABS(N$7-N$10)&gt;=1000</formula>
    </cfRule>
  </conditionalFormatting>
  <conditionalFormatting sqref="O5">
    <cfRule type="expression" dxfId="794" priority="3">
      <formula>ABS(O$7-O$10)&gt;=1000</formula>
    </cfRule>
  </conditionalFormatting>
  <conditionalFormatting sqref="P5">
    <cfRule type="expression" dxfId="793" priority="2">
      <formula>ABS(P$7-P$10)&gt;=1000</formula>
    </cfRule>
  </conditionalFormatting>
  <conditionalFormatting sqref="L23">
    <cfRule type="expression" dxfId="792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90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4">
    <pageSetUpPr fitToPage="1"/>
  </sheetPr>
  <dimension ref="A1:CU223"/>
  <sheetViews>
    <sheetView view="pageBreakPreview" zoomScale="80" zoomScaleNormal="100" zoomScaleSheetLayoutView="80" workbookViewId="0">
      <selection activeCell="AF22" sqref="AF2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45817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59" t="s" ph="1">
        <v>178</v>
      </c>
      <c r="D6" s="71">
        <v>4951</v>
      </c>
      <c r="E6" s="71">
        <v>4709</v>
      </c>
      <c r="F6" s="71">
        <v>7138</v>
      </c>
      <c r="G6" s="71">
        <v>6418</v>
      </c>
      <c r="H6" s="71">
        <v>981</v>
      </c>
      <c r="I6" s="71">
        <v>63.31</v>
      </c>
      <c r="J6" s="71">
        <v>7.71</v>
      </c>
      <c r="K6" s="71">
        <v>7.72</v>
      </c>
      <c r="L6" s="71">
        <v>40.31</v>
      </c>
      <c r="M6" s="71">
        <v>6005</v>
      </c>
      <c r="N6" s="71">
        <v>4454</v>
      </c>
      <c r="O6" s="71">
        <v>1010</v>
      </c>
      <c r="P6" s="71">
        <v>5036</v>
      </c>
      <c r="Q6" s="71">
        <v>0</v>
      </c>
      <c r="R6" s="71">
        <v>0</v>
      </c>
      <c r="S6" s="71">
        <v>0</v>
      </c>
      <c r="T6" s="71">
        <v>5315</v>
      </c>
      <c r="U6" s="71">
        <v>6840</v>
      </c>
      <c r="V6" s="71">
        <v>4991</v>
      </c>
      <c r="W6" s="71">
        <v>6972</v>
      </c>
      <c r="X6" s="71">
        <v>6683</v>
      </c>
      <c r="Y6" s="71">
        <v>0</v>
      </c>
      <c r="Z6" s="71">
        <v>5635</v>
      </c>
      <c r="AA6" s="71">
        <v>556</v>
      </c>
      <c r="AB6" s="71">
        <v>3471</v>
      </c>
      <c r="AC6" s="71">
        <v>4145</v>
      </c>
      <c r="AD6" s="71">
        <v>4406</v>
      </c>
      <c r="AE6" s="71">
        <v>3003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155077.34691969</v>
      </c>
      <c r="E7" s="73" ph="1">
        <f>E6*51.53*LOOKUP(E8,密度!$A$2:$A$50,密度!$B$2:$B$50)</f>
        <v>188761.14558300003</v>
      </c>
      <c r="F7" s="73" ph="1">
        <f>F6*33.183*LOOKUP(F8,密度!$A$2:$A$50,密度!$C$2:$C$50)</f>
        <v>262464.8474574</v>
      </c>
      <c r="G7" s="73" ph="1">
        <f xml:space="preserve"> (G6+2)*51.53*LOOKUP(G8,密度!$A$2:$A$50,密度!$B$2:$B$50)</f>
        <v>257346.90054000003</v>
      </c>
      <c r="H7" s="73" ph="1">
        <f>(H6)*51.53*LOOKUP(H8,密度!$A$2:$A$50,密度!$B$2:$B$50)</f>
        <v>39455.000865000002</v>
      </c>
      <c r="I7" s="73" ph="1">
        <f>I6*290.8*1.0267</f>
        <v>18902.1096316</v>
      </c>
      <c r="J7" s="73" ph="1">
        <f>J6*290.8*0.7892</f>
        <v>1769.4400656000003</v>
      </c>
      <c r="K7" s="73" ph="1">
        <f>K6*290.8*1.1126</f>
        <v>2497.7602976000003</v>
      </c>
      <c r="L7" s="73" ph="1">
        <f>L6*290.8*0.777</f>
        <v>9108.1089960000008</v>
      </c>
      <c r="M7" s="73" ph="1">
        <f>M6*33.183*LOOKUP(M8,密度!$A$2:$A$50,密度!$D$2:$D$50)</f>
        <v>203647.72113000002</v>
      </c>
      <c r="N7" s="73" ph="1">
        <f>N6*33.183*LOOKUP(N8,密度!$A$2:$A$50,密度!$E$2:$E$50)</f>
        <v>115089.58775339999</v>
      </c>
      <c r="O7" s="73" ph="1">
        <f>O6*20.428*LOOKUP(O8,密度!$A$2:$A$50,密度!$C$2:$C$50)</f>
        <v>22780.100348000004</v>
      </c>
      <c r="P7" s="73" ph="1">
        <f>P6*51.53*LOOKUP(P8,密度!$A$2:$A$50,密度!$B$2:$B$50)</f>
        <v>201427.84309600003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35165.154023999996</v>
      </c>
      <c r="U7" s="73" ph="1">
        <f>U6*1.5*1.5*3.1416*LOOKUP(U8,密度!$A$2:$A$50,密度!$L$2:$L$50)</f>
        <v>45158.175216000003</v>
      </c>
      <c r="V7" s="73" ph="1">
        <f>V6*1.5*1.5*3.1416*LOOKUP(V8,密度!$A$2:$A$50,密度!$L$2:$L$50)</f>
        <v>32950.943348399996</v>
      </c>
      <c r="W7" s="73" ph="1">
        <f>W6*1.5*1.5*3.1416*LOOKUP(W8,密度!$A$2:$A$50,密度!$L$2:$L$50)</f>
        <v>46029.648772799999</v>
      </c>
      <c r="X7" s="73" ph="1">
        <f>X6*1.5*1.5*3.1416*LOOKUP(X8,密度!$A$2:$A$50,密度!$L$2:$L$50)</f>
        <v>44027.170941600001</v>
      </c>
      <c r="Y7" s="73" ph="1">
        <f>Y6*1.5*1.5*3.1416*LOOKUP(Y8,密度!$A$2:$A$50,密度!$L$2:$L$50)</f>
        <v>0</v>
      </c>
      <c r="Z7" s="73" ph="1">
        <f>Z6*33.183*LOOKUP(Z8,密度!$A$2:$A$50,密度!$L$2:$L$50)</f>
        <v>174832.10167499998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73068.208434</v>
      </c>
      <c r="AC7" s="73" ph="1">
        <f>AC6*51.53*LOOKUP(AC8,密度!$A$2:$A$50,密度!$Q$2:$Q$50)</f>
        <v>201912.64764200003</v>
      </c>
      <c r="AD7" s="73" ph="1">
        <f>AD6*20.428*LOOKUP(AD8,密度!$A$2:$A$50,密度!$V$2:$V$50)</f>
        <v>86189.523436799995</v>
      </c>
      <c r="AE7" s="73" ph="1">
        <f>AE6*20.428</f>
        <v>61345.284</v>
      </c>
    </row>
    <row r="8" spans="1:99" ph="1">
      <c r="B8" s="244" ph="1"/>
      <c r="C8" s="68" t="s" ph="1">
        <v>180</v>
      </c>
      <c r="D8" s="74">
        <v>29</v>
      </c>
      <c r="E8" s="74">
        <v>27</v>
      </c>
      <c r="F8" s="74">
        <v>26</v>
      </c>
      <c r="G8" s="74">
        <v>27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29</v>
      </c>
      <c r="O8" s="74">
        <v>31</v>
      </c>
      <c r="P8" s="74">
        <v>29</v>
      </c>
      <c r="Q8" s="74">
        <v>27</v>
      </c>
      <c r="R8" s="74">
        <v>33</v>
      </c>
      <c r="S8" s="74">
        <v>23</v>
      </c>
      <c r="T8" s="74">
        <v>26</v>
      </c>
      <c r="U8" s="74">
        <v>28</v>
      </c>
      <c r="V8" s="74">
        <v>28</v>
      </c>
      <c r="W8" s="74">
        <v>28</v>
      </c>
      <c r="X8" s="74">
        <v>30</v>
      </c>
      <c r="Y8" s="74">
        <v>27</v>
      </c>
      <c r="Z8" s="74">
        <v>27</v>
      </c>
      <c r="AA8" s="74">
        <v>28</v>
      </c>
      <c r="AB8" s="74">
        <v>21</v>
      </c>
      <c r="AC8" s="74">
        <v>27</v>
      </c>
      <c r="AD8" s="74">
        <v>26</v>
      </c>
      <c r="AE8" s="74">
        <v>32</v>
      </c>
    </row>
    <row r="9" spans="1:99" ht="26.4" ph="1">
      <c r="B9" s="244" ph="1">
        <v>0.66666666666666663</v>
      </c>
      <c r="C9" s="159" t="s" ph="1">
        <v>181</v>
      </c>
      <c r="D9" s="71">
        <v>4955</v>
      </c>
      <c r="E9" s="71">
        <v>4709</v>
      </c>
      <c r="F9" s="71">
        <v>7141</v>
      </c>
      <c r="G9" s="71">
        <v>7856</v>
      </c>
      <c r="H9" s="71">
        <v>981</v>
      </c>
      <c r="I9" s="71">
        <v>63.41</v>
      </c>
      <c r="J9" s="71">
        <v>7.82</v>
      </c>
      <c r="K9" s="71">
        <v>7.83</v>
      </c>
      <c r="L9" s="71">
        <v>37.82</v>
      </c>
      <c r="M9" s="71">
        <v>5431</v>
      </c>
      <c r="N9" s="71">
        <v>4256</v>
      </c>
      <c r="O9" s="71">
        <v>1010</v>
      </c>
      <c r="P9" s="71">
        <v>4745</v>
      </c>
      <c r="Q9" s="71">
        <v>0</v>
      </c>
      <c r="R9" s="71">
        <v>0</v>
      </c>
      <c r="S9" s="71">
        <v>0</v>
      </c>
      <c r="T9" s="71">
        <v>841</v>
      </c>
      <c r="U9" s="71">
        <v>6847</v>
      </c>
      <c r="V9" s="71">
        <v>4997</v>
      </c>
      <c r="W9" s="71">
        <v>6982</v>
      </c>
      <c r="X9" s="71">
        <v>6692</v>
      </c>
      <c r="Y9" s="71">
        <v>2722</v>
      </c>
      <c r="Z9" s="71">
        <v>6627</v>
      </c>
      <c r="AA9" s="71">
        <v>556</v>
      </c>
      <c r="AB9" s="71">
        <v>3764</v>
      </c>
      <c r="AC9" s="71">
        <v>4145</v>
      </c>
      <c r="AD9" s="71">
        <v>4413</v>
      </c>
      <c r="AE9" s="71">
        <v>2822</v>
      </c>
    </row>
    <row r="10" spans="1:99" s="72" customFormat="1" ht="22.2" ph="1">
      <c r="B10" s="244" ph="1"/>
      <c r="C10" s="159" t="s" ph="1">
        <v>179</v>
      </c>
      <c r="D10" s="73" ph="1">
        <f>D9*33.183*LOOKUP(D11,密度!$A$2:$A$50,密度!$Q$2:$Q$50)</f>
        <v>154980.66725369997</v>
      </c>
      <c r="E10" s="73" ph="1">
        <f>E9*51.53*LOOKUP(E11,密度!$A$2:$A$50,密度!$B$2:$B$50)</f>
        <v>187911.85388800001</v>
      </c>
      <c r="F10" s="73" ph="1">
        <f>F9*33.183*LOOKUP(F11,密度!$A$2:$A$50,密度!$C$2:$C$50)</f>
        <v>261864.27829529997</v>
      </c>
      <c r="G10" s="73" ph="1">
        <f xml:space="preserve"> (G9+2)*51.53*LOOKUP(G11,密度!$A$2:$A$50,密度!$B$2:$B$50)</f>
        <v>314301.03078799997</v>
      </c>
      <c r="H10" s="73" ph="1">
        <f>(H9)*51.53*LOOKUP(H11,密度!$A$2:$A$50,密度!$B$2:$B$50)</f>
        <v>39192.136029000001</v>
      </c>
      <c r="I10" s="73" ph="1">
        <f>I9*290.8*1.0267</f>
        <v>18931.966067599998</v>
      </c>
      <c r="J10" s="73" ph="1">
        <f>J9*290.8*0.7892</f>
        <v>1794.6849952</v>
      </c>
      <c r="K10" s="73" ph="1">
        <f>K9*290.8*1.1126</f>
        <v>2533.3501464000001</v>
      </c>
      <c r="L10" s="73" ph="1">
        <f>L9*290.8*0.777</f>
        <v>8545.4895120000001</v>
      </c>
      <c r="M10" s="73" ph="1">
        <f>M9*33.183*LOOKUP(M11,密度!$A$2:$A$50,密度!$D$2:$D$50)</f>
        <v>182595.73572360002</v>
      </c>
      <c r="N10" s="73" ph="1">
        <f>N9*33.183*LOOKUP(N11,密度!$A$2:$A$50,密度!$E$2:$E$50)</f>
        <v>109495.99979135999</v>
      </c>
      <c r="O10" s="73" ph="1">
        <f>O9*20.428*LOOKUP(O11,密度!$A$2:$A$50,密度!$C$2:$C$50)</f>
        <v>22563.461407999999</v>
      </c>
      <c r="P10" s="73" ph="1">
        <f>P9*51.53*LOOKUP(P11,密度!$A$2:$A$50,密度!$B$2:$B$50)</f>
        <v>189128.36897499999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5522.6194254000002</v>
      </c>
      <c r="U10" s="73" ph="1">
        <f>U9*1.5*1.5*3.1416*LOOKUP(U11,密度!$A$2:$A$50,密度!$L$2:$L$50)</f>
        <v>45155.991018600005</v>
      </c>
      <c r="V10" s="73" ph="1">
        <f>V9*1.5*1.5*3.1416*LOOKUP(V11,密度!$A$2:$A$50,密度!$L$2:$L$50)</f>
        <v>32990.555782800002</v>
      </c>
      <c r="W10" s="73" ph="1">
        <f>W9*1.5*1.5*3.1416*LOOKUP(W11,密度!$A$2:$A$50,密度!$L$2:$L$50)</f>
        <v>45996.963566400002</v>
      </c>
      <c r="X10" s="73" ph="1">
        <f>X9*1.5*1.5*3.1416*LOOKUP(X11,密度!$A$2:$A$50,密度!$L$2:$L$50)</f>
        <v>43991.856216</v>
      </c>
      <c r="Y10" s="73" ph="1">
        <f>Y9*1.5*1.5*3.1416*LOOKUP(Y11,密度!$A$2:$A$50,密度!$L$2:$L$50)</f>
        <v>18009.3225312</v>
      </c>
      <c r="Z10" s="73" ph="1">
        <f>Z9*33.183*LOOKUP(Z11,密度!$A$2:$A$50,密度!$L$2:$L$50)</f>
        <v>203850.76790700003</v>
      </c>
      <c r="AA10" s="73" ph="1">
        <f>AA9*33.183*LOOKUP(AA11,密度!$A$2:$A$50,密度!$D$2:$D$50)</f>
        <v>18612.105782399998</v>
      </c>
      <c r="AB10" s="73" ph="1">
        <f>AB9*20.428*LOOKUP(AB11,密度!$A$2:$A$50,密度!$D$2:$D$50)</f>
        <v>78943.981486399993</v>
      </c>
      <c r="AC10" s="73" ph="1">
        <f>AC9*51.53*LOOKUP(AC11,密度!$A$2:$A$50,密度!$Q$2:$Q$50)</f>
        <v>201487.59986050002</v>
      </c>
      <c r="AD10" s="73" ph="1">
        <f>AD9*20.428*LOOKUP(AD11,密度!$A$2:$A$50,密度!$V$2:$V$50)</f>
        <v>86326.456406400015</v>
      </c>
      <c r="AE10" s="73" ph="1">
        <f>AE9*20.428</f>
        <v>57647.815999999999</v>
      </c>
    </row>
    <row r="11" spans="1:99" ph="1">
      <c r="A11" s="64" t="s" ph="1">
        <v>163</v>
      </c>
      <c r="B11" s="244" ph="1"/>
      <c r="C11" s="159" t="s" ph="1">
        <v>180</v>
      </c>
      <c r="D11" s="74">
        <v>31</v>
      </c>
      <c r="E11" s="74">
        <v>31</v>
      </c>
      <c r="F11" s="74">
        <v>30</v>
      </c>
      <c r="G11" s="74">
        <v>29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32</v>
      </c>
      <c r="O11" s="74">
        <v>41</v>
      </c>
      <c r="P11" s="74">
        <v>32</v>
      </c>
      <c r="Q11" s="74">
        <v>41</v>
      </c>
      <c r="R11" s="74">
        <v>40</v>
      </c>
      <c r="S11" s="74">
        <v>28</v>
      </c>
      <c r="T11" s="74">
        <v>33</v>
      </c>
      <c r="U11" s="74">
        <v>29</v>
      </c>
      <c r="V11" s="74">
        <v>28</v>
      </c>
      <c r="W11" s="74">
        <v>30</v>
      </c>
      <c r="X11" s="74">
        <v>32</v>
      </c>
      <c r="Y11" s="74">
        <v>26</v>
      </c>
      <c r="Z11" s="74">
        <v>35</v>
      </c>
      <c r="AA11" s="74">
        <v>45</v>
      </c>
      <c r="AB11" s="74">
        <v>25</v>
      </c>
      <c r="AC11" s="74">
        <v>30</v>
      </c>
      <c r="AD11" s="74">
        <v>33</v>
      </c>
      <c r="AE11" s="74">
        <v>36</v>
      </c>
    </row>
    <row r="12" spans="1:99" ht="9.9" customHeight="1" ph="1"/>
    <row r="13" spans="1:99" s="72" customFormat="1" ht="29.25" customHeight="1" ph="1">
      <c r="B13" s="221" t="s" ph="1">
        <v>37</v>
      </c>
      <c r="C13" s="15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59" t="s" ph="1">
        <v>178</v>
      </c>
      <c r="D15" s="78">
        <v>1598</v>
      </c>
      <c r="E15" s="78">
        <v>4719</v>
      </c>
      <c r="F15" s="78">
        <v>3706</v>
      </c>
      <c r="G15" s="78">
        <v>4353</v>
      </c>
      <c r="H15" s="78">
        <v>3733</v>
      </c>
      <c r="I15" s="78">
        <v>118</v>
      </c>
      <c r="J15" s="78">
        <v>1657</v>
      </c>
      <c r="K15" s="78">
        <v>895</v>
      </c>
      <c r="L15" s="78">
        <v>5651</v>
      </c>
      <c r="M15" s="78">
        <v>3580</v>
      </c>
      <c r="N15" s="78">
        <v>2438</v>
      </c>
      <c r="O15" s="78">
        <v>6088</v>
      </c>
      <c r="P15" s="78">
        <v>7170</v>
      </c>
      <c r="Q15" s="78">
        <v>0</v>
      </c>
      <c r="R15" s="78">
        <v>3515</v>
      </c>
      <c r="S15" s="78">
        <v>6930</v>
      </c>
      <c r="T15" s="78">
        <v>1378</v>
      </c>
      <c r="U15" s="78">
        <v>6466</v>
      </c>
      <c r="V15" s="78">
        <v>595</v>
      </c>
      <c r="W15" s="71">
        <v>-792</v>
      </c>
      <c r="X15" s="78">
        <v>25</v>
      </c>
      <c r="Y15" s="106">
        <v>-9909</v>
      </c>
      <c r="Z15" s="78">
        <v>0</v>
      </c>
      <c r="AA15" s="78">
        <v>0</v>
      </c>
      <c r="AB15" s="78" ph="1">
        <v>2369</v>
      </c>
      <c r="AC15" s="78" ph="1">
        <v>0</v>
      </c>
      <c r="AD15" s="78">
        <v>84.61</v>
      </c>
      <c r="AE15" s="78">
        <v>0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59" t="s" ph="1">
        <v>179</v>
      </c>
      <c r="D16" s="73" ph="1">
        <f>D15*7.0686*LOOKUP(D17,密度!$A$2:$A$50,密度!$L$2:$L$50)</f>
        <v>10538.816072399999</v>
      </c>
      <c r="E16" s="73" ph="1">
        <f>E15*7.0686*LOOKUP(E17,密度!$A$2:$A$50,密度!$L$2:$L$50)</f>
        <v>31155.179655600004</v>
      </c>
      <c r="F16" s="73" ph="1">
        <f>F15*9.0746*LOOKUP(F17,密度!$A$2:$A$50,密度!$L$2:$L$50)</f>
        <v>31309.965335600005</v>
      </c>
      <c r="G16" s="73" ph="1">
        <f>G15*9.0746*LOOKUP(G17,密度!$A$2:$A$50,密度!$B$2:$B$50)</f>
        <v>30692.847162600003</v>
      </c>
      <c r="H16" s="73" ph="1">
        <f>H15*9.0746*LOOKUP(H17,密度!$A$2:$A$50,密度!$L$2:$L$50)</f>
        <v>31673.575483000004</v>
      </c>
      <c r="I16" s="73" ph="1">
        <f>I15*9.0746*LOOKUP(I17,密度!$A$2:$A$50,密度!$U$2:$U$50)</f>
        <v>1095.4312643999999</v>
      </c>
      <c r="J16" s="73" ph="1">
        <f>J15*9.0746*LOOKUP(J17,密度!$A$2:$A$50,密度!$L$2:$L$50)</f>
        <v>14029.1591826</v>
      </c>
      <c r="K16" s="73" ph="1">
        <f>K15*9.0746*LOOKUP(K17,密度!$A$2:$A$50,密度!$C$2:$C$50)</f>
        <v>8994.0447757999991</v>
      </c>
      <c r="L16" s="73" ph="1">
        <f>L15*9.0746*LOOKUP(L17,密度!$A$2:$A$50,密度!$E$2:$E$50)</f>
        <v>39875.767032959993</v>
      </c>
      <c r="M16" s="73" ph="1">
        <f>M15*9.0746*LOOKUP(M17,密度!$A$2:$A$50,密度!$M$2:$M$50)</f>
        <v>28260.500453199998</v>
      </c>
      <c r="N16" s="73" ph="1">
        <f>N15*9.0746*LOOKUP(N17,密度!$A$2:$A$50,密度!$M$2:$M$50)</f>
        <v>19338.478962680001</v>
      </c>
      <c r="O16" s="73" ph="1">
        <f>O15*9.0746*LOOKUP(O17,密度!$A$2:$A$50,密度!$G$2:$G$50)</f>
        <v>52743.513534559999</v>
      </c>
      <c r="P16" s="73" ph="1">
        <f ca="1">P15*9.0746*LOOKUP(P17,密度!$A$2:$A$51,密度!$Q$2:$Q$50)</f>
        <v>61416.69406626001</v>
      </c>
      <c r="Q16" s="73" ph="1">
        <f>Q15*9.0746*LOOKUP(Q17,密度!$A$2:$A$50,密度!$Q$2:$Q$50)</f>
        <v>0</v>
      </c>
      <c r="R16" s="73" ph="1">
        <f>MAX(R15*9.0746*LOOKUP(R17,密度!$A$2:$A$50,密度!$B$2:$B$50),0)</f>
        <v>24729.913890700002</v>
      </c>
      <c r="S16" s="73" ph="1">
        <f>S15*9.0746*LOOKUP(S17,密度!$A$2:$A$50,密度!$Q$2:$Q$50)</f>
        <v>59360.905143540003</v>
      </c>
      <c r="T16" s="73" ph="1">
        <f>T15*9.0746*LOOKUP(T17,密度!$A$2:$A$50,密度!$O$2:$O$50)</f>
        <v>11579.443688800002</v>
      </c>
      <c r="U16" s="73" ph="1">
        <f>U15*9.0746*LOOKUP(U17,密度!$A$2:$A$50,密度!$H$2:$H$50)</f>
        <v>53624.328694040007</v>
      </c>
      <c r="V16" s="73" ph="1">
        <f>MAX(5600*LOOKUP(V17,密度!$A$2:$A$50,密度!$Q$2:$Q$50)+V15*9.0476*LOOKUP(V17,密度!$A$2:$A$50,密度!$Q$2:$Q$50),0)</f>
        <v>10367.48713546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6052.828790999999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20035.8819368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18943.511938079999</v>
      </c>
      <c r="AE16" s="73" ph="1">
        <f>AE15*268.68*LOOKUP(AE17,密度!$A$2:$A$50,密度!B2:B50)+IF(AE15&lt;=0,0,1566*LOOKUP(AE17,密度!$A$2:$A$50,密度!B2:B50))</f>
        <v>0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29</v>
      </c>
      <c r="E17" s="74">
        <v>28</v>
      </c>
      <c r="F17" s="74">
        <v>31</v>
      </c>
      <c r="G17" s="74">
        <v>28</v>
      </c>
      <c r="H17" s="74">
        <v>27</v>
      </c>
      <c r="I17" s="74">
        <v>27</v>
      </c>
      <c r="J17" s="74">
        <v>29</v>
      </c>
      <c r="K17" s="74">
        <v>27</v>
      </c>
      <c r="L17" s="74">
        <v>30</v>
      </c>
      <c r="M17" s="74">
        <v>30</v>
      </c>
      <c r="N17" s="74">
        <v>26</v>
      </c>
      <c r="O17" s="74">
        <v>30</v>
      </c>
      <c r="P17" s="74">
        <v>29</v>
      </c>
      <c r="Q17" s="74">
        <v>28</v>
      </c>
      <c r="R17" s="74">
        <v>30</v>
      </c>
      <c r="S17" s="74">
        <v>29</v>
      </c>
      <c r="T17" s="74">
        <v>28</v>
      </c>
      <c r="U17" s="74">
        <v>26</v>
      </c>
      <c r="V17" s="74">
        <v>29</v>
      </c>
      <c r="W17" s="74">
        <v>28</v>
      </c>
      <c r="X17" s="74">
        <v>28</v>
      </c>
      <c r="Y17" s="108">
        <v>28</v>
      </c>
      <c r="Z17" s="74">
        <v>29</v>
      </c>
      <c r="AA17" s="74">
        <v>26</v>
      </c>
      <c r="AB17" s="74">
        <v>30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1599</v>
      </c>
      <c r="E18" s="71">
        <v>4727</v>
      </c>
      <c r="F18" s="71">
        <v>3708</v>
      </c>
      <c r="G18" s="71">
        <v>4384</v>
      </c>
      <c r="H18" s="71">
        <v>3736</v>
      </c>
      <c r="I18" s="71">
        <v>117</v>
      </c>
      <c r="J18" s="71">
        <v>1660</v>
      </c>
      <c r="K18" s="71">
        <v>1735</v>
      </c>
      <c r="L18" s="71">
        <v>5666</v>
      </c>
      <c r="M18" s="71">
        <v>5077</v>
      </c>
      <c r="N18" s="71">
        <v>2972</v>
      </c>
      <c r="O18" s="71">
        <v>6097</v>
      </c>
      <c r="P18" s="71">
        <v>7179</v>
      </c>
      <c r="Q18" s="71">
        <v>0</v>
      </c>
      <c r="R18" s="71">
        <v>3520</v>
      </c>
      <c r="S18" s="71">
        <v>6938</v>
      </c>
      <c r="T18" s="71">
        <v>844</v>
      </c>
      <c r="U18" s="71">
        <v>6473</v>
      </c>
      <c r="V18" s="71">
        <v>594</v>
      </c>
      <c r="W18" s="71">
        <v>-792</v>
      </c>
      <c r="X18" s="71">
        <v>24</v>
      </c>
      <c r="Y18" s="109">
        <v>-9907</v>
      </c>
      <c r="Z18" s="71">
        <v>0</v>
      </c>
      <c r="AA18" s="71">
        <v>0</v>
      </c>
      <c r="AB18" s="71">
        <v>2372</v>
      </c>
      <c r="AC18" s="71">
        <v>0</v>
      </c>
      <c r="AD18" s="71">
        <v>83.92</v>
      </c>
      <c r="AE18" s="71">
        <v>20.21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59" t="s" ph="1">
        <v>179</v>
      </c>
      <c r="D19" s="73" ph="1">
        <f>D18*7.0686*LOOKUP(D20,密度!$A$2:$A$50,密度!$L$2:$L$50)</f>
        <v>10500.200310600001</v>
      </c>
      <c r="E19" s="73" ph="1">
        <f>E18*7.0686*LOOKUP(E20,密度!$A$2:$A$50,密度!$L$2:$L$50)</f>
        <v>31007.5166016</v>
      </c>
      <c r="F19" s="73" ph="1">
        <f>F18*9.0746*LOOKUP(F20,密度!$A$2:$A$50,密度!$L$2:$L$50)</f>
        <v>31225.916390400005</v>
      </c>
      <c r="G19" s="73" ph="1">
        <f>G18*9.0746*LOOKUP(G20,密度!$A$2:$A$50,密度!$B$2:$B$50)</f>
        <v>30843.79587392</v>
      </c>
      <c r="H19" s="73" ph="1">
        <f>H18*9.0746*LOOKUP(H20,密度!$A$2:$A$50,密度!$L$2:$L$50)</f>
        <v>31326.099974400004</v>
      </c>
      <c r="I19" s="73" ph="1">
        <f>I18*9.0746*LOOKUP(I20,密度!$A$2:$A$50,密度!$U$2:$U$50)</f>
        <v>1077.6541229999998</v>
      </c>
      <c r="J19" s="73" ph="1">
        <f>J18*9.0746*LOOKUP(J20,密度!$A$2:$A$50,密度!$L$2:$L$50)</f>
        <v>13994.303644000001</v>
      </c>
      <c r="K19" s="73" ph="1">
        <f>K18*9.0746*LOOKUP(K20,密度!$A$2:$A$50,密度!$C$2:$C$50)</f>
        <v>17366.107393000002</v>
      </c>
      <c r="L19" s="73" ph="1">
        <f>L18*9.0746*LOOKUP(L20,密度!$A$2:$A$50,密度!$E$2:$E$50)</f>
        <v>39864.383128752001</v>
      </c>
      <c r="M19" s="73" ph="1">
        <f>M18*9.0746*LOOKUP(M20,密度!$A$2:$A$50,密度!$M$2:$M$50)</f>
        <v>39885.230388824006</v>
      </c>
      <c r="N19" s="73" ph="1">
        <f>N18*9.0746*LOOKUP(N20,密度!$A$2:$A$50,密度!$M$2:$M$50)</f>
        <v>23460.951772880002</v>
      </c>
      <c r="O19" s="73" ph="1">
        <f>O18*9.0746*LOOKUP(O20,密度!$A$2:$A$50,密度!$G$2:$G$50)</f>
        <v>52766.710662301994</v>
      </c>
      <c r="P19" s="73" ph="1">
        <f ca="1">P18*9.0746*LOOKUP(P20,密度!$A$2:$A$51,密度!$Q$2:$Q$50)</f>
        <v>61361.538647460002</v>
      </c>
      <c r="Q19" s="73" ph="1">
        <f>Q18*9.0746*LOOKUP(Q20,密度!$A$2:$A$50,密度!$Q$2:$Q$50)</f>
        <v>0</v>
      </c>
      <c r="R19" s="73" ph="1">
        <f>MAX(R18*9.0746*LOOKUP(R20,密度!$A$2:$A$50,密度!$B$2:$B$50),0)</f>
        <v>24707.594912</v>
      </c>
      <c r="S19" s="73" ph="1">
        <f>S18*9.0746*LOOKUP(S20,密度!$A$2:$A$50,密度!$Q$2:$Q$50)</f>
        <v>59301.623504119998</v>
      </c>
      <c r="T19" s="73" ph="1">
        <f>T18*9.0746*LOOKUP(T20,密度!$A$2:$A$50,密度!$O$2:$O$50)</f>
        <v>7055.4361628800007</v>
      </c>
      <c r="U19" s="73" ph="1">
        <f>U18*9.0746*LOOKUP(U20,密度!$A$2:$A$50,密度!$H$2:$H$50)</f>
        <v>53340.515497264001</v>
      </c>
      <c r="V19" s="73" ph="1">
        <f>MAX(5600*LOOKUP(V20,密度!$A$2:$A$50,密度!$Q$2:$Q$50)+V18*9.0476*LOOKUP(V20,密度!$A$2:$A$50,密度!$Q$2:$Q$50),0)</f>
        <v>10322.292757896001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6004.3380424320003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20039.7295672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18736.2870912</v>
      </c>
      <c r="AE19" s="73" ph="1">
        <f>AE18*268.68*LOOKUP(AE20,密度!$A$2:$A$50,密度!B5:B53)+IF(AE18&lt;=0,0,1566*LOOKUP(AE20,密度!$A$2:$A$50,密度!B5:B53))</f>
        <v>5435.9097156000007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33</v>
      </c>
      <c r="E20" s="81">
        <v>34</v>
      </c>
      <c r="F20" s="81">
        <v>34</v>
      </c>
      <c r="G20" s="81">
        <v>30</v>
      </c>
      <c r="H20" s="81">
        <v>38</v>
      </c>
      <c r="I20" s="81">
        <v>35</v>
      </c>
      <c r="J20" s="81">
        <v>33</v>
      </c>
      <c r="K20" s="81">
        <v>32</v>
      </c>
      <c r="L20" s="81">
        <v>32</v>
      </c>
      <c r="M20" s="81">
        <v>34</v>
      </c>
      <c r="N20" s="81">
        <v>30</v>
      </c>
      <c r="O20" s="81">
        <v>31</v>
      </c>
      <c r="P20" s="81">
        <v>32</v>
      </c>
      <c r="Q20" s="81">
        <v>34</v>
      </c>
      <c r="R20" s="81">
        <v>32</v>
      </c>
      <c r="S20" s="81">
        <v>32</v>
      </c>
      <c r="T20" s="81">
        <v>33</v>
      </c>
      <c r="U20" s="81">
        <v>32</v>
      </c>
      <c r="V20" s="81">
        <v>34</v>
      </c>
      <c r="W20" s="81">
        <v>34</v>
      </c>
      <c r="X20" s="81">
        <v>34</v>
      </c>
      <c r="Y20" s="110">
        <v>34</v>
      </c>
      <c r="Z20" s="81">
        <v>34</v>
      </c>
      <c r="AA20" s="81">
        <v>32</v>
      </c>
      <c r="AB20" s="81">
        <v>31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645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59" t="s" ph="1">
        <v>178</v>
      </c>
      <c r="D24" s="71">
        <v>91.12</v>
      </c>
      <c r="E24" s="71">
        <v>95.81</v>
      </c>
      <c r="F24" s="71">
        <v>4003</v>
      </c>
      <c r="G24" s="71">
        <v>2482</v>
      </c>
      <c r="H24" s="71">
        <v>1596</v>
      </c>
      <c r="I24" s="71">
        <v>2358</v>
      </c>
      <c r="J24" s="71">
        <v>5418</v>
      </c>
      <c r="K24" s="71">
        <v>37</v>
      </c>
      <c r="L24" s="71">
        <v>1132</v>
      </c>
      <c r="M24" s="71">
        <v>5261</v>
      </c>
      <c r="N24" s="71">
        <v>5331</v>
      </c>
      <c r="O24" s="71">
        <v>3691</v>
      </c>
      <c r="P24" s="71">
        <v>3064</v>
      </c>
      <c r="Q24" s="90">
        <v>971</v>
      </c>
      <c r="R24" s="71">
        <v>1743</v>
      </c>
      <c r="S24" s="71">
        <v>4065</v>
      </c>
      <c r="T24" s="71">
        <v>1763</v>
      </c>
      <c r="U24" s="71">
        <v>4697</v>
      </c>
      <c r="V24" s="71">
        <v>9643</v>
      </c>
      <c r="W24" s="71">
        <v>10748</v>
      </c>
      <c r="X24" s="71">
        <v>2070</v>
      </c>
      <c r="Y24" s="71">
        <v>4044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24660.798643584003</v>
      </c>
      <c r="E25" s="91" ph="1">
        <f>E24*268.68*LOOKUP(E26,密度!$A$2:$A$50,密度!$C$2:$C$50)+IF(E24&lt;=0,0,1566*LOOKUP(E26,密度!$A$2:$A$50,密度!$C$2:$C$50))</f>
        <v>30282.097134120002</v>
      </c>
      <c r="F25" s="91" ph="1">
        <f>F24*11.702*LOOKUP(F26,密度!$A$2:$A$50,密度!$Q$2:$Q$50)</f>
        <v>44188.50718298</v>
      </c>
      <c r="G25" s="91" ph="1">
        <f>G24*18.322*LOOKUP(G26,密度!$A$2:$A$50,密度!$B$2:$B$50)</f>
        <v>35256.925661199995</v>
      </c>
      <c r="H25" s="91" ph="1">
        <f>H24*18.322*LOOKUP(H26,密度!$A$2:$A$50,密度!$B$2:$B$50)</f>
        <v>22671.254373600001</v>
      </c>
      <c r="I25" s="91" ph="1">
        <f>I24*18.322*LOOKUP(I26,密度!$A$2:$A$50,密度!$Q$2:$Q$50)</f>
        <v>40754.946349079997</v>
      </c>
      <c r="J25" s="91" ph="1">
        <f>J24*18.322*LOOKUP(J26,密度!$A$2:$A$50,密度!$Q$2:$Q$50)</f>
        <v>93702.605822279991</v>
      </c>
      <c r="K25" s="91" ph="1">
        <f>K24*18.322*LOOKUP(K26,密度!$A$2:$A$50,密度!$Q$2:$Q$50)</f>
        <v>639.90336202000003</v>
      </c>
      <c r="L25" s="91" ph="1">
        <f>L24*18.322*LOOKUP(L26,密度!$A$2:$A$50,密度!$Q$2:$Q$50)</f>
        <v>19549.58426032</v>
      </c>
      <c r="M25" s="91" ph="1">
        <f>M24*18.322*LOOKUP(M26,密度!$A$2:$A$50,密度!$Q$2:$Q$50)</f>
        <v>90929.504979860008</v>
      </c>
      <c r="N25" s="91" ph="1">
        <f>N24*18.322*LOOKUP(N26,密度!$A$2:$A$50,密度!$Q$2:$Q$50)</f>
        <v>92139.363438059998</v>
      </c>
      <c r="O25" s="91" ph="1">
        <f>O24*18.322*LOOKUP(O26,密度!$A$2:$A$50,密度!$C$2:$C$50)</f>
        <v>74788.148561800001</v>
      </c>
      <c r="P25" s="91" ph="1">
        <f>P24*11.702*LOOKUP(P26,密度!$A$2:$A$50,密度!$B$2:$B$50)</f>
        <v>27830.5951136</v>
      </c>
      <c r="Q25" s="92" ph="1">
        <f>Q24*18.322*LOOKUP(Q26,密度!$A$2:$A$50,密度!$B$2:$B$50)</f>
        <v>13793.1002486</v>
      </c>
      <c r="R25" s="91" ph="1">
        <f>R24*35.891*LOOKUP(R26,密度!$A$2:$A$50,密度!$C$2:$C$50)</f>
        <v>69132.860166300001</v>
      </c>
      <c r="S25" s="91" ph="1">
        <f>S24*35.891*LOOKUP(S26,密度!$A$2:$A$50,密度!$B$2:$B$50)</f>
        <v>113245.18542299999</v>
      </c>
      <c r="T25" s="91" ph="1">
        <f>T24*35.891*LOOKUP(T26,密度!$A$2:$A$50,密度!$Q$2:$Q$50)</f>
        <v>59727.957043690003</v>
      </c>
      <c r="U25" s="91" ph="1">
        <f>U24*35.891</f>
        <v>168580.027</v>
      </c>
      <c r="V25" s="91" ph="1">
        <f>V24*47.051*LOOKUP(V26,密度!$A$2:$A$50,密度!$B$2:$B$50)</f>
        <v>352171.86992660002</v>
      </c>
      <c r="W25" s="91" ph="1">
        <f>W24*47.051*LOOKUP(W26,密度!$A$2:$A$50,密度!$B$2:$B$50)</f>
        <v>391617.29221119999</v>
      </c>
      <c r="X25" s="91" ph="1">
        <f>X24*47.051*LOOKUP(X26,密度!$A$2:$A$50,密度!$I$2:$I$50)</f>
        <v>100960.247862</v>
      </c>
      <c r="Y25" s="91" ph="1">
        <f>Y24*47.051*LOOKUP(Y26,密度!$A$2:$A$50,密度!$L$2:$L$50)</f>
        <v>177525.86965200002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30</v>
      </c>
      <c r="G26" s="74">
        <v>30</v>
      </c>
      <c r="H26" s="74">
        <v>30</v>
      </c>
      <c r="I26" s="74">
        <v>30</v>
      </c>
      <c r="J26" s="74">
        <v>29</v>
      </c>
      <c r="K26" s="74">
        <v>29</v>
      </c>
      <c r="L26" s="74">
        <v>31</v>
      </c>
      <c r="M26" s="74">
        <v>30</v>
      </c>
      <c r="N26" s="74">
        <v>30</v>
      </c>
      <c r="O26" s="74">
        <v>29</v>
      </c>
      <c r="P26" s="74">
        <v>29</v>
      </c>
      <c r="Q26" s="93">
        <v>30</v>
      </c>
      <c r="R26" s="74">
        <v>30</v>
      </c>
      <c r="S26" s="74">
        <v>29</v>
      </c>
      <c r="T26" s="74">
        <v>29</v>
      </c>
      <c r="U26" s="74">
        <v>29</v>
      </c>
      <c r="V26" s="74">
        <v>29</v>
      </c>
      <c r="W26" s="74">
        <v>31</v>
      </c>
      <c r="X26" s="74">
        <v>30</v>
      </c>
      <c r="Y26" s="74">
        <v>29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59" t="s" ph="1">
        <v>181</v>
      </c>
      <c r="D27" s="71">
        <v>91.21</v>
      </c>
      <c r="E27" s="71">
        <v>95.81</v>
      </c>
      <c r="F27" s="71">
        <v>4006</v>
      </c>
      <c r="G27" s="71">
        <v>1996</v>
      </c>
      <c r="H27" s="71">
        <v>1125</v>
      </c>
      <c r="I27" s="71">
        <v>2358</v>
      </c>
      <c r="J27" s="71">
        <v>5419</v>
      </c>
      <c r="K27" s="71">
        <v>34</v>
      </c>
      <c r="L27" s="71">
        <v>1128</v>
      </c>
      <c r="M27" s="71">
        <v>5263</v>
      </c>
      <c r="N27" s="71">
        <v>5331</v>
      </c>
      <c r="O27" s="71">
        <v>3688</v>
      </c>
      <c r="P27" s="71">
        <v>1937</v>
      </c>
      <c r="Q27" s="90">
        <v>1318</v>
      </c>
      <c r="R27" s="71">
        <v>1739</v>
      </c>
      <c r="S27" s="71">
        <v>4693</v>
      </c>
      <c r="T27" s="71">
        <v>1761</v>
      </c>
      <c r="U27" s="71">
        <v>4531</v>
      </c>
      <c r="V27" s="71">
        <v>9646</v>
      </c>
      <c r="W27" s="71">
        <v>10751</v>
      </c>
      <c r="X27" s="71">
        <v>2335</v>
      </c>
      <c r="Y27" s="71">
        <v>2993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59" t="s" ph="1">
        <v>179</v>
      </c>
      <c r="D28" s="91" ph="1">
        <f>D27*268.68*LOOKUP(D29,密度!$A$2:$A$50,密度!$Q$2:$Q$50)+IF(D27&lt;=0,0,1566*LOOKUP(D29,密度!$A$2:$A$50,密度!$Q$2:$Q$50))</f>
        <v>24683.691952871999</v>
      </c>
      <c r="E28" s="91" ph="1">
        <f>E27*268.68*LOOKUP(E29,密度!$A$2:$A$50,密度!$C$2:$C$50)+IF(E27&lt;=0,0,1566*LOOKUP(E29,密度!$A$2:$A$50,密度!$C$2:$C$50))</f>
        <v>30282.097134120002</v>
      </c>
      <c r="F28" s="91" ph="1">
        <f>F27*11.702*LOOKUP(F29,密度!$A$2:$A$50,密度!$Q$2:$Q$50)</f>
        <v>44186.465066960001</v>
      </c>
      <c r="G28" s="91" ph="1">
        <f>G27*18.322*LOOKUP(G29,密度!$A$2:$A$50,密度!$B$2:$B$50)</f>
        <v>28320.359372799998</v>
      </c>
      <c r="H28" s="91" ph="1">
        <f>H27*18.322*LOOKUP(H29,密度!$A$2:$A$50,密度!$B$2:$B$50)</f>
        <v>15962.126399999999</v>
      </c>
      <c r="I28" s="91" ph="1">
        <f>I27*18.322*LOOKUP(I29,密度!$A$2:$A$50,密度!$Q$2:$Q$50)</f>
        <v>40754.946349079997</v>
      </c>
      <c r="J28" s="91" ph="1">
        <f>J27*18.322*LOOKUP(J29,密度!$A$2:$A$50,密度!$Q$2:$Q$50)</f>
        <v>93660.328356939994</v>
      </c>
      <c r="K28" s="91" ph="1">
        <f>K27*18.322*LOOKUP(K29,密度!$A$2:$A$50,密度!$Q$2:$Q$50)</f>
        <v>587.17832583999996</v>
      </c>
      <c r="L28" s="91" ph="1">
        <f>L27*18.322*LOOKUP(L29,密度!$A$2:$A$50,密度!$Q$2:$Q$50)</f>
        <v>19480.50445728</v>
      </c>
      <c r="M28" s="91" ph="1">
        <f>M27*18.322*LOOKUP(M29,密度!$A$2:$A$50,密度!$Q$2:$Q$50)</f>
        <v>90964.072364380001</v>
      </c>
      <c r="N28" s="91" ph="1">
        <f>N27*18.322*LOOKUP(N29,密度!$A$2:$A$50,密度!$Q$2:$Q$50)</f>
        <v>92139.363438059998</v>
      </c>
      <c r="O28" s="91" ph="1">
        <f>O27*18.322*LOOKUP(O29,密度!$A$2:$A$50,密度!$C$2:$C$50)</f>
        <v>74605.732897599999</v>
      </c>
      <c r="P28" s="91" ph="1">
        <f>P27*11.702*LOOKUP(P29,密度!$A$2:$A$50,密度!$B$2:$B$50)</f>
        <v>17532.749689</v>
      </c>
      <c r="Q28" s="92" ph="1">
        <f>Q27*18.322*LOOKUP(Q29,密度!$A$2:$A$50,密度!$B$2:$B$50)</f>
        <v>18700.5178624</v>
      </c>
      <c r="R28" s="91" ph="1">
        <f>R27*35.891*LOOKUP(R29,密度!$A$2:$A$50,密度!$C$2:$C$50)</f>
        <v>68843.137247000006</v>
      </c>
      <c r="S28" s="91" ph="1">
        <f>S27*35.891*LOOKUP(S29,密度!$A$2:$A$50,密度!$B$2:$B$50)</f>
        <v>130437.19694719999</v>
      </c>
      <c r="T28" s="91" ph="1">
        <f>T27*35.891*LOOKUP(T29,密度!$A$2:$A$50,密度!$Q$2:$Q$50)</f>
        <v>59531.895636899993</v>
      </c>
      <c r="U28" s="91" ph="1">
        <f>U27*35.891</f>
        <v>162622.12099999998</v>
      </c>
      <c r="V28" s="91" ph="1">
        <f>V27*47.051*LOOKUP(V29,密度!$A$2:$A$50,密度!$B$2:$B$50)</f>
        <v>351056.02723099996</v>
      </c>
      <c r="W28" s="91" ph="1">
        <f>W27*47.051*LOOKUP(W29,密度!$A$2:$A$50,密度!$B$2:$B$50)</f>
        <v>391726.60109440004</v>
      </c>
      <c r="X28" s="91" ph="1">
        <f>X27*47.051*LOOKUP(X29,密度!$A$2:$A$50,密度!$I$2:$I$50)</f>
        <v>113885.11051100001</v>
      </c>
      <c r="Y28" s="91" ph="1">
        <f>Y27*47.051*LOOKUP(Y29,密度!$A$2:$A$50,密度!$L$2:$L$50)</f>
        <v>130965.98799000002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59" t="s" ph="1">
        <v>180</v>
      </c>
      <c r="D29" s="74">
        <v>25</v>
      </c>
      <c r="E29" s="74">
        <v>25</v>
      </c>
      <c r="F29" s="74">
        <v>31</v>
      </c>
      <c r="G29" s="74">
        <v>31</v>
      </c>
      <c r="H29" s="74">
        <v>31</v>
      </c>
      <c r="I29" s="74">
        <v>30</v>
      </c>
      <c r="J29" s="74">
        <v>30</v>
      </c>
      <c r="K29" s="74">
        <v>31</v>
      </c>
      <c r="L29" s="74">
        <v>31</v>
      </c>
      <c r="M29" s="74">
        <v>30</v>
      </c>
      <c r="N29" s="74">
        <v>30</v>
      </c>
      <c r="O29" s="74">
        <v>31</v>
      </c>
      <c r="P29" s="74">
        <v>32</v>
      </c>
      <c r="Q29" s="93">
        <v>31</v>
      </c>
      <c r="R29" s="74">
        <v>32</v>
      </c>
      <c r="S29" s="74">
        <v>31</v>
      </c>
      <c r="T29" s="74">
        <v>32</v>
      </c>
      <c r="U29" s="74">
        <v>31</v>
      </c>
      <c r="V29" s="74">
        <v>32</v>
      </c>
      <c r="W29" s="74">
        <v>31</v>
      </c>
      <c r="X29" s="74">
        <v>30</v>
      </c>
      <c r="Y29" s="74">
        <v>32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97556.087268799994</v>
      </c>
      <c r="E33" s="193" ph="1">
        <f>M10+I10</f>
        <v>201527.70179120003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9" ph="1">
        <v>0</v>
      </c>
      <c r="H33" s="193" ph="1">
        <f>N19</f>
        <v>23460.951772880002</v>
      </c>
      <c r="I33" s="197" ph="1">
        <v>0</v>
      </c>
      <c r="J33" s="201" ph="1">
        <f>F10+O28</f>
        <v>336470.01119289995</v>
      </c>
      <c r="K33" s="193" ph="1">
        <f>O10+K10+E28+R28</f>
        <v>124222.04593552</v>
      </c>
      <c r="L33" s="203" ph="1">
        <f>BE27</f>
        <v>7100</v>
      </c>
      <c r="M33" s="201" ph="1">
        <f>G10+H10+W28+S28+V28+E10</f>
        <v>1414624.8459775997</v>
      </c>
      <c r="N33" s="193" ph="1">
        <f>L10+P10++G28+H28</f>
        <v>241956.34425979998</v>
      </c>
      <c r="O33" s="197" ph="1">
        <f>BE17</f>
        <v>2270</v>
      </c>
      <c r="P33" s="201" ph="1">
        <f>L19</f>
        <v>39864.383128752001</v>
      </c>
      <c r="Q33" s="193" ph="1">
        <f>J10+N10</f>
        <v>111290.68478656</v>
      </c>
      <c r="R33" s="197" ph="1">
        <f>BE23</f>
        <v>890</v>
      </c>
      <c r="S33" s="201" ph="1">
        <f>E10+X28</f>
        <v>301796.96439900005</v>
      </c>
      <c r="T33" s="193" ph="1">
        <f>X19</f>
        <v>6004.3380424320003</v>
      </c>
      <c r="U33" s="182" ph="1">
        <f>BE21</f>
        <v>730</v>
      </c>
      <c r="V33" s="195" ph="1">
        <f ca="1">P19+Q19+S19+M28+N28+J28</f>
        <v>397426.92631096003</v>
      </c>
      <c r="W33" s="195" ph="1">
        <f>D28+F28+V19+T28</f>
        <v>138724.34541462798</v>
      </c>
      <c r="X33" s="197" ph="1">
        <f>BE29+BE31</f>
        <v>10200</v>
      </c>
      <c r="Y33" s="199" ph="1">
        <f>+Q10+R10+S10+T10+U10+V10+W10+X10+Y10</f>
        <v>191667.3085404</v>
      </c>
      <c r="Z33" s="180" ph="1">
        <f>D10+T19+U19+Y28+Z10</f>
        <v>550193.37481084408</v>
      </c>
      <c r="AA33" s="182" ph="1">
        <f>BE19</f>
        <v>1440</v>
      </c>
      <c r="AB33" s="184" ph="1">
        <f>I19</f>
        <v>1077.6541229999998</v>
      </c>
      <c r="AC33" s="186" ph="1">
        <f>AD10</f>
        <v>86326.456406400015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57" t="s" ph="1">
        <v>186</v>
      </c>
      <c r="AA36" s="157" ph="1"/>
      <c r="AB36" s="179" t="s" ph="1">
        <v>646</v>
      </c>
      <c r="AC36" s="179" ph="1"/>
      <c r="AD36" s="179" ph="1"/>
      <c r="AE36" s="179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345</v>
      </c>
      <c r="AI37" s="157" t="s" ph="1">
        <v>212</v>
      </c>
      <c r="AJ37" s="157" t="s" ph="1">
        <v>213</v>
      </c>
      <c r="AK37" s="157" t="s" ph="1">
        <v>214</v>
      </c>
      <c r="AM37" s="157" t="s" ph="1">
        <v>213</v>
      </c>
      <c r="AN37" s="157" t="s" ph="1">
        <v>214</v>
      </c>
      <c r="AO37" s="157" t="s" ph="1">
        <v>215</v>
      </c>
      <c r="AP37" s="157" t="s" ph="1">
        <v>213</v>
      </c>
      <c r="AQ37" s="157" t="s" ph="1">
        <v>214</v>
      </c>
      <c r="AR37" s="157" t="s" ph="1">
        <v>215</v>
      </c>
      <c r="AS37" s="157" t="s" ph="1">
        <v>213</v>
      </c>
      <c r="AT37" s="157" t="s" ph="1">
        <v>214</v>
      </c>
      <c r="AU37" s="157" t="s" ph="1">
        <v>215</v>
      </c>
      <c r="AV37" s="157" t="s" ph="1">
        <v>213</v>
      </c>
      <c r="AW37" s="157" t="s" ph="1">
        <v>214</v>
      </c>
      <c r="AX37" s="157" t="s" ph="1">
        <v>215</v>
      </c>
      <c r="AY37" s="157" t="s" ph="1">
        <v>214</v>
      </c>
      <c r="AZ37" s="157" t="s" ph="1">
        <v>216</v>
      </c>
      <c r="BD37" s="157" t="s" ph="1">
        <v>308</v>
      </c>
      <c r="BE37" s="157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761" priority="97">
      <formula>ABS(D$7-D$10)&gt;=1000</formula>
    </cfRule>
  </conditionalFormatting>
  <conditionalFormatting sqref="E4 E6:E11">
    <cfRule type="expression" dxfId="760" priority="96">
      <formula>ABS(E$7-E$10)&gt;=1000</formula>
    </cfRule>
  </conditionalFormatting>
  <conditionalFormatting sqref="F4:F11">
    <cfRule type="expression" dxfId="759" priority="95">
      <formula>ABS(F$7-F$10)&gt;=1000</formula>
    </cfRule>
  </conditionalFormatting>
  <conditionalFormatting sqref="G4:G11">
    <cfRule type="expression" dxfId="758" priority="94">
      <formula>ABS(G$7-G$10)&gt;=1000</formula>
    </cfRule>
  </conditionalFormatting>
  <conditionalFormatting sqref="H4:H11">
    <cfRule type="expression" dxfId="757" priority="93">
      <formula>ABS(H$7-H$10)&gt;=1000</formula>
    </cfRule>
  </conditionalFormatting>
  <conditionalFormatting sqref="I4:I11">
    <cfRule type="expression" dxfId="756" priority="92">
      <formula>ABS(I$7-I$10)&gt;=1000</formula>
    </cfRule>
  </conditionalFormatting>
  <conditionalFormatting sqref="J4:J11">
    <cfRule type="expression" dxfId="755" priority="91">
      <formula>ABS(J$7-J$10)&gt;=1000</formula>
    </cfRule>
  </conditionalFormatting>
  <conditionalFormatting sqref="K4:K11">
    <cfRule type="expression" dxfId="754" priority="90">
      <formula>ABS(K$7-K$10)&gt;=1000</formula>
    </cfRule>
  </conditionalFormatting>
  <conditionalFormatting sqref="L4:L11">
    <cfRule type="expression" dxfId="753" priority="89">
      <formula>ABS(L$7-L$10)&gt;=1000</formula>
    </cfRule>
  </conditionalFormatting>
  <conditionalFormatting sqref="M4 M6:M11">
    <cfRule type="expression" dxfId="752" priority="88">
      <formula>ABS(M$7-M$10)&gt;=1000</formula>
    </cfRule>
  </conditionalFormatting>
  <conditionalFormatting sqref="N4 N6:N11">
    <cfRule type="expression" dxfId="751" priority="87">
      <formula>ABS(N$7-N$10)&gt;=1000</formula>
    </cfRule>
  </conditionalFormatting>
  <conditionalFormatting sqref="O4 O6:O11">
    <cfRule type="expression" dxfId="750" priority="86">
      <formula>ABS(O$7-O$10)&gt;=1000</formula>
    </cfRule>
  </conditionalFormatting>
  <conditionalFormatting sqref="P4 P6:P11">
    <cfRule type="expression" dxfId="749" priority="85">
      <formula>ABS(P$7-P$10)&gt;=1000</formula>
    </cfRule>
  </conditionalFormatting>
  <conditionalFormatting sqref="Q4:Q11">
    <cfRule type="expression" dxfId="748" priority="84">
      <formula>ABS(Q$7-Q$10)&gt;=1000</formula>
    </cfRule>
  </conditionalFormatting>
  <conditionalFormatting sqref="R4:R11">
    <cfRule type="expression" dxfId="747" priority="83">
      <formula>ABS(R$7-R$10)&gt;=1000</formula>
    </cfRule>
  </conditionalFormatting>
  <conditionalFormatting sqref="S4:S11">
    <cfRule type="expression" dxfId="746" priority="82">
      <formula>ABS(S$7-S$10)&gt;=1000</formula>
    </cfRule>
  </conditionalFormatting>
  <conditionalFormatting sqref="T4:T9 T11">
    <cfRule type="expression" dxfId="745" priority="81">
      <formula>ABS(T$7-T$10)&gt;=1000</formula>
    </cfRule>
  </conditionalFormatting>
  <conditionalFormatting sqref="U4:U9 U11">
    <cfRule type="expression" dxfId="744" priority="80">
      <formula>ABS(U$7-U$10)&gt;=1000</formula>
    </cfRule>
  </conditionalFormatting>
  <conditionalFormatting sqref="V4:V9 V11">
    <cfRule type="expression" dxfId="743" priority="79">
      <formula>ABS(V$7-V$10)&gt;=1000</formula>
    </cfRule>
  </conditionalFormatting>
  <conditionalFormatting sqref="W4:W9 W11">
    <cfRule type="expression" dxfId="742" priority="78">
      <formula>ABS(W$7-W$10)&gt;=1000</formula>
    </cfRule>
  </conditionalFormatting>
  <conditionalFormatting sqref="X4:X9 X11">
    <cfRule type="expression" dxfId="741" priority="77">
      <formula>ABS(X$7-X$10)&gt;=1000</formula>
    </cfRule>
  </conditionalFormatting>
  <conditionalFormatting sqref="Y4:Y9 Y11">
    <cfRule type="expression" dxfId="740" priority="76">
      <formula>ABS(Y$7-Y$10)&gt;=1000</formula>
    </cfRule>
  </conditionalFormatting>
  <conditionalFormatting sqref="Z4:Z11">
    <cfRule type="expression" dxfId="739" priority="75">
      <formula>ABS(Z$7-Z$10)&gt;=1000</formula>
    </cfRule>
  </conditionalFormatting>
  <conditionalFormatting sqref="AA4:AA11">
    <cfRule type="expression" dxfId="738" priority="74">
      <formula>ABS(AA$7-AA$10)&gt;=1000</formula>
    </cfRule>
  </conditionalFormatting>
  <conditionalFormatting sqref="AB4:AB11">
    <cfRule type="expression" dxfId="737" priority="73">
      <formula>ABS(AB$7-AB$10)&gt;=1000</formula>
    </cfRule>
  </conditionalFormatting>
  <conditionalFormatting sqref="AC4 AC6:AC11">
    <cfRule type="expression" dxfId="736" priority="72">
      <formula>ABS(AC$7-AC$10)&gt;=1000</formula>
    </cfRule>
  </conditionalFormatting>
  <conditionalFormatting sqref="AD4:AD11">
    <cfRule type="expression" dxfId="735" priority="71">
      <formula>ABS(AD$7-AD$10)&gt;=1000</formula>
    </cfRule>
  </conditionalFormatting>
  <conditionalFormatting sqref="AE4:AE11">
    <cfRule type="expression" dxfId="734" priority="70">
      <formula>ABS(AE$7-AE$10)&gt;=1000</formula>
    </cfRule>
  </conditionalFormatting>
  <conditionalFormatting sqref="D13:D20">
    <cfRule type="expression" dxfId="733" priority="69">
      <formula>ABS(D$16-D$19)&gt;=1000</formula>
    </cfRule>
  </conditionalFormatting>
  <conditionalFormatting sqref="E13:E20">
    <cfRule type="expression" dxfId="732" priority="68">
      <formula>ABS(E$16-E$19)&gt;=1000</formula>
    </cfRule>
  </conditionalFormatting>
  <conditionalFormatting sqref="F13 F15:F20">
    <cfRule type="expression" dxfId="731" priority="67">
      <formula>ABS(F$16-F$19)&gt;=1000</formula>
    </cfRule>
  </conditionalFormatting>
  <conditionalFormatting sqref="G13:G20">
    <cfRule type="expression" dxfId="730" priority="66">
      <formula>ABS(G$16-G$19)&gt;=1000</formula>
    </cfRule>
  </conditionalFormatting>
  <conditionalFormatting sqref="H13:H20">
    <cfRule type="expression" dxfId="729" priority="65">
      <formula>ABS(H$16-H$19)&gt;=1000</formula>
    </cfRule>
  </conditionalFormatting>
  <conditionalFormatting sqref="I13:I20">
    <cfRule type="expression" dxfId="728" priority="64">
      <formula>ABS(I$16-I$19)&gt;=1000</formula>
    </cfRule>
  </conditionalFormatting>
  <conditionalFormatting sqref="J13:J20">
    <cfRule type="expression" dxfId="727" priority="63">
      <formula>ABS(J$16-J$19)&gt;=1000</formula>
    </cfRule>
  </conditionalFormatting>
  <conditionalFormatting sqref="L13:L20">
    <cfRule type="expression" dxfId="726" priority="62">
      <formula>ABS(L$16-L$19)&gt;=1000</formula>
    </cfRule>
  </conditionalFormatting>
  <conditionalFormatting sqref="M13 M15 M17:M18 M20">
    <cfRule type="expression" dxfId="725" priority="61">
      <formula>ABS(M$16-M$19)&gt;=1000</formula>
    </cfRule>
  </conditionalFormatting>
  <conditionalFormatting sqref="N13:N20">
    <cfRule type="expression" dxfId="724" priority="60">
      <formula>ABS(N$16-N$19)&gt;=1000</formula>
    </cfRule>
  </conditionalFormatting>
  <conditionalFormatting sqref="O13:O20">
    <cfRule type="expression" dxfId="723" priority="59">
      <formula>ABS(O$16-O$19)&gt;=1000</formula>
    </cfRule>
  </conditionalFormatting>
  <conditionalFormatting sqref="P13:P20">
    <cfRule type="expression" dxfId="722" priority="58">
      <formula>ABS(P$16-P$19)&gt;=1000</formula>
    </cfRule>
  </conditionalFormatting>
  <conditionalFormatting sqref="Q13 Q15:Q20">
    <cfRule type="expression" dxfId="721" priority="57">
      <formula>ABS(Q$16-Q$19)&gt;=1000</formula>
    </cfRule>
  </conditionalFormatting>
  <conditionalFormatting sqref="R13:R20">
    <cfRule type="expression" dxfId="720" priority="56">
      <formula>ABS(R$16-R$19)&gt;=1000</formula>
    </cfRule>
  </conditionalFormatting>
  <conditionalFormatting sqref="S13:S20">
    <cfRule type="expression" dxfId="719" priority="55">
      <formula>ABS(S$16-S$19)&gt;=1000</formula>
    </cfRule>
  </conditionalFormatting>
  <conditionalFormatting sqref="T13:T20">
    <cfRule type="expression" dxfId="718" priority="54">
      <formula>ABS(T$16-T$19)&gt;=1000</formula>
    </cfRule>
  </conditionalFormatting>
  <conditionalFormatting sqref="U13:U20">
    <cfRule type="expression" dxfId="717" priority="53">
      <formula>ABS(U$16-U$19)&gt;=1000</formula>
    </cfRule>
  </conditionalFormatting>
  <conditionalFormatting sqref="V13:V20">
    <cfRule type="expression" dxfId="716" priority="52">
      <formula>ABS(V$16-V$19)&gt;=1000</formula>
    </cfRule>
  </conditionalFormatting>
  <conditionalFormatting sqref="W13 W20 W15:W18">
    <cfRule type="expression" dxfId="715" priority="51">
      <formula>ABS(W$16-W$19)&gt;=1000</formula>
    </cfRule>
  </conditionalFormatting>
  <conditionalFormatting sqref="X13 X15:X20 Y19">
    <cfRule type="expression" dxfId="714" priority="50">
      <formula>ABS(X$16-X$19)&gt;=1000</formula>
    </cfRule>
  </conditionalFormatting>
  <conditionalFormatting sqref="Y13 Y15:Y18 Y20">
    <cfRule type="expression" dxfId="713" priority="49">
      <formula>ABS(Y$16-Y$19)&gt;=1000</formula>
    </cfRule>
  </conditionalFormatting>
  <conditionalFormatting sqref="Z13:Z20">
    <cfRule type="expression" dxfId="712" priority="48">
      <formula>ABS(Z$16-Z$19)&gt;=1000</formula>
    </cfRule>
  </conditionalFormatting>
  <conditionalFormatting sqref="AA13:AA20">
    <cfRule type="expression" dxfId="711" priority="47">
      <formula>ABS(AA$16-AA$19)&gt;=1000</formula>
    </cfRule>
  </conditionalFormatting>
  <conditionalFormatting sqref="AB13 AB15:AB20">
    <cfRule type="expression" dxfId="710" priority="46">
      <formula>ABS(AB$16-AB$19)&gt;=1000</formula>
    </cfRule>
  </conditionalFormatting>
  <conditionalFormatting sqref="AC13 AC15:AC20">
    <cfRule type="expression" dxfId="709" priority="45">
      <formula>ABS(AC$16-AC$19)&gt;=1000</formula>
    </cfRule>
  </conditionalFormatting>
  <conditionalFormatting sqref="AD13:AD20">
    <cfRule type="expression" dxfId="708" priority="44">
      <formula>ABS(AD$16-AD$19)&gt;=1000</formula>
    </cfRule>
  </conditionalFormatting>
  <conditionalFormatting sqref="AE13:AE20">
    <cfRule type="expression" dxfId="707" priority="43">
      <formula>ABS(AE$16-AE$19)&gt;=1000</formula>
    </cfRule>
  </conditionalFormatting>
  <conditionalFormatting sqref="D22:D29">
    <cfRule type="expression" dxfId="706" priority="42">
      <formula>ABS(D$25-D$28)&gt;=1000</formula>
    </cfRule>
  </conditionalFormatting>
  <conditionalFormatting sqref="E22:E29">
    <cfRule type="expression" dxfId="705" priority="41">
      <formula>ABS(E$25-E$28)&gt;=1000</formula>
    </cfRule>
  </conditionalFormatting>
  <conditionalFormatting sqref="F22:F29">
    <cfRule type="expression" dxfId="704" priority="40">
      <formula>ABS(F$25-F$28)&gt;=1000</formula>
    </cfRule>
  </conditionalFormatting>
  <conditionalFormatting sqref="G22:G29">
    <cfRule type="expression" dxfId="703" priority="39">
      <formula>ABS(G$25-G$28)&gt;=1000</formula>
    </cfRule>
  </conditionalFormatting>
  <conditionalFormatting sqref="H22:H29">
    <cfRule type="expression" dxfId="702" priority="38">
      <formula>ABS(H$25-H$28)&gt;=1000</formula>
    </cfRule>
  </conditionalFormatting>
  <conditionalFormatting sqref="I22 I24:I29">
    <cfRule type="expression" dxfId="701" priority="37">
      <formula>ABS(I$25-I$28)&gt;=1000</formula>
    </cfRule>
  </conditionalFormatting>
  <conditionalFormatting sqref="J22:J29 K22">
    <cfRule type="expression" dxfId="700" priority="36">
      <formula>ABS(J$25-J$28)&gt;=1000</formula>
    </cfRule>
  </conditionalFormatting>
  <conditionalFormatting sqref="K23:K29 L25 L28">
    <cfRule type="expression" dxfId="699" priority="35">
      <formula>ABS(K$25-K$28)&gt;=1000</formula>
    </cfRule>
  </conditionalFormatting>
  <conditionalFormatting sqref="L22 L26:L27 L29 L24">
    <cfRule type="expression" dxfId="698" priority="34">
      <formula>ABS(L$25-L$28)&gt;=1000</formula>
    </cfRule>
  </conditionalFormatting>
  <conditionalFormatting sqref="M22:M29">
    <cfRule type="expression" dxfId="697" priority="33">
      <formula>ABS(M$25-M$28)&gt;=1000</formula>
    </cfRule>
  </conditionalFormatting>
  <conditionalFormatting sqref="N22:N29">
    <cfRule type="expression" dxfId="696" priority="32">
      <formula>ABS(N$25-N$28)&gt;=1000</formula>
    </cfRule>
  </conditionalFormatting>
  <conditionalFormatting sqref="O22:O29">
    <cfRule type="expression" dxfId="695" priority="31">
      <formula>ABS(O$25-O$28)&gt;=1000</formula>
    </cfRule>
  </conditionalFormatting>
  <conditionalFormatting sqref="P22:P29">
    <cfRule type="expression" dxfId="694" priority="30">
      <formula>ABS(P$25-P$28)&gt;=1000</formula>
    </cfRule>
  </conditionalFormatting>
  <conditionalFormatting sqref="Q22:Q29">
    <cfRule type="expression" dxfId="693" priority="29">
      <formula>ABS(Q$25-Q$28)&gt;=1000</formula>
    </cfRule>
  </conditionalFormatting>
  <conditionalFormatting sqref="R22:R29">
    <cfRule type="expression" dxfId="692" priority="28">
      <formula>ABS(R$25-R$28)&gt;=1000</formula>
    </cfRule>
  </conditionalFormatting>
  <conditionalFormatting sqref="S22:S29">
    <cfRule type="expression" dxfId="691" priority="27">
      <formula>ABS(S$25-S$28)&gt;=1000</formula>
    </cfRule>
  </conditionalFormatting>
  <conditionalFormatting sqref="T22:T29">
    <cfRule type="expression" dxfId="690" priority="26">
      <formula>ABS(T$25-T$28)&gt;=1000</formula>
    </cfRule>
  </conditionalFormatting>
  <conditionalFormatting sqref="U22:U29">
    <cfRule type="expression" dxfId="689" priority="25">
      <formula>ABS(U$25-U$28)&gt;=1000</formula>
    </cfRule>
  </conditionalFormatting>
  <conditionalFormatting sqref="V22:V29">
    <cfRule type="expression" dxfId="688" priority="24">
      <formula>ABS(V$25-V$28)&gt;=1000</formula>
    </cfRule>
  </conditionalFormatting>
  <conditionalFormatting sqref="W22:W29">
    <cfRule type="expression" dxfId="687" priority="23">
      <formula>ABS(W$25-W$28)&gt;=1000</formula>
    </cfRule>
  </conditionalFormatting>
  <conditionalFormatting sqref="X22:X29">
    <cfRule type="expression" dxfId="686" priority="22">
      <formula>ABS(X$25-X$28)&gt;=1000</formula>
    </cfRule>
  </conditionalFormatting>
  <conditionalFormatting sqref="Y22:Y29">
    <cfRule type="expression" dxfId="685" priority="21">
      <formula>ABS(Y$25-Y$28)&gt;=1000</formula>
    </cfRule>
  </conditionalFormatting>
  <conditionalFormatting sqref="I23">
    <cfRule type="expression" dxfId="684" priority="20">
      <formula>ABS(I$25-I$28)&gt;=1000</formula>
    </cfRule>
  </conditionalFormatting>
  <conditionalFormatting sqref="F14">
    <cfRule type="expression" dxfId="683" priority="19">
      <formula>ABS(F$16-F$19)&gt;=1000</formula>
    </cfRule>
  </conditionalFormatting>
  <conditionalFormatting sqref="Q14">
    <cfRule type="expression" dxfId="682" priority="18">
      <formula>ABS(Q$16-Q$19)&gt;=1000</formula>
    </cfRule>
  </conditionalFormatting>
  <conditionalFormatting sqref="W14">
    <cfRule type="expression" dxfId="681" priority="17">
      <formula>ABS(W$16-W$19)&gt;=1000</formula>
    </cfRule>
  </conditionalFormatting>
  <conditionalFormatting sqref="Y14">
    <cfRule type="expression" dxfId="680" priority="16">
      <formula>ABS(Y$16-Y$19)&gt;=1000</formula>
    </cfRule>
  </conditionalFormatting>
  <conditionalFormatting sqref="X14">
    <cfRule type="expression" dxfId="679" priority="15">
      <formula>ABS(X$16-X$19)&gt;=1000</formula>
    </cfRule>
  </conditionalFormatting>
  <conditionalFormatting sqref="T10:Y10">
    <cfRule type="expression" dxfId="678" priority="14">
      <formula>ABS(T$7-T$10)&gt;=1000</formula>
    </cfRule>
  </conditionalFormatting>
  <conditionalFormatting sqref="W19">
    <cfRule type="expression" dxfId="677" priority="13">
      <formula>ABS(W$16-W$19)&gt;=1000</formula>
    </cfRule>
  </conditionalFormatting>
  <conditionalFormatting sqref="AC5">
    <cfRule type="expression" dxfId="676" priority="12">
      <formula>ABS(AC$7-AC$10)&gt;=1000</formula>
    </cfRule>
  </conditionalFormatting>
  <conditionalFormatting sqref="M14">
    <cfRule type="expression" dxfId="675" priority="11">
      <formula>ABS(M$16-M$19)&gt;=1000</formula>
    </cfRule>
  </conditionalFormatting>
  <conditionalFormatting sqref="M16">
    <cfRule type="expression" dxfId="674" priority="10">
      <formula>ABS(M$16-M$19)&gt;=1000</formula>
    </cfRule>
  </conditionalFormatting>
  <conditionalFormatting sqref="M19">
    <cfRule type="expression" dxfId="673" priority="9">
      <formula>ABS(M$16-M$19)&gt;=1000</formula>
    </cfRule>
  </conditionalFormatting>
  <conditionalFormatting sqref="K13:K20">
    <cfRule type="expression" dxfId="672" priority="8">
      <formula>ABS(K$16-K$19)&gt;=1000</formula>
    </cfRule>
  </conditionalFormatting>
  <conditionalFormatting sqref="E5">
    <cfRule type="expression" dxfId="671" priority="7">
      <formula>ABS(E$7-E$10)&gt;=1000</formula>
    </cfRule>
  </conditionalFormatting>
  <conditionalFormatting sqref="AB14:AC14">
    <cfRule type="expression" dxfId="670" priority="6">
      <formula>ABS(AB$16-AB$19)&gt;=1000</formula>
    </cfRule>
  </conditionalFormatting>
  <conditionalFormatting sqref="M5">
    <cfRule type="expression" dxfId="669" priority="5">
      <formula>ABS(M$7-M$10)&gt;=1000</formula>
    </cfRule>
  </conditionalFormatting>
  <conditionalFormatting sqref="N5">
    <cfRule type="expression" dxfId="668" priority="4">
      <formula>ABS(N$7-N$10)&gt;=1000</formula>
    </cfRule>
  </conditionalFormatting>
  <conditionalFormatting sqref="O5">
    <cfRule type="expression" dxfId="667" priority="3">
      <formula>ABS(O$7-O$10)&gt;=1000</formula>
    </cfRule>
  </conditionalFormatting>
  <conditionalFormatting sqref="P5">
    <cfRule type="expression" dxfId="666" priority="2">
      <formula>ABS(P$7-P$10)&gt;=1000</formula>
    </cfRule>
  </conditionalFormatting>
  <conditionalFormatting sqref="L23">
    <cfRule type="expression" dxfId="665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10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5">
    <pageSetUpPr fitToPage="1"/>
  </sheetPr>
  <dimension ref="A1:CU223"/>
  <sheetViews>
    <sheetView view="pageBreakPreview" zoomScale="80" zoomScaleNormal="100" zoomScaleSheetLayoutView="80" workbookViewId="0">
      <selection activeCell="AF22" sqref="AF2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45818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60" t="s" ph="1">
        <v>178</v>
      </c>
      <c r="D6" s="71">
        <v>4955</v>
      </c>
      <c r="E6" s="71">
        <v>4713</v>
      </c>
      <c r="F6" s="71">
        <v>7138</v>
      </c>
      <c r="G6" s="71">
        <v>7247</v>
      </c>
      <c r="H6" s="71">
        <v>841</v>
      </c>
      <c r="I6" s="71">
        <v>63.41</v>
      </c>
      <c r="J6" s="71">
        <v>7.72</v>
      </c>
      <c r="K6" s="71">
        <v>7.71</v>
      </c>
      <c r="L6" s="71">
        <v>42.92</v>
      </c>
      <c r="M6" s="71">
        <v>5431</v>
      </c>
      <c r="N6" s="71">
        <v>4255</v>
      </c>
      <c r="O6" s="71">
        <v>1011</v>
      </c>
      <c r="P6" s="71">
        <v>5165</v>
      </c>
      <c r="Q6" s="71">
        <v>52</v>
      </c>
      <c r="R6" s="71">
        <v>0</v>
      </c>
      <c r="S6" s="71">
        <v>0</v>
      </c>
      <c r="T6" s="71">
        <v>0</v>
      </c>
      <c r="U6" s="71">
        <v>3052</v>
      </c>
      <c r="V6" s="71">
        <v>4997</v>
      </c>
      <c r="W6" s="71">
        <v>6981</v>
      </c>
      <c r="X6" s="71">
        <v>6692</v>
      </c>
      <c r="Y6" s="71">
        <v>2724</v>
      </c>
      <c r="Z6" s="71">
        <v>6977</v>
      </c>
      <c r="AA6" s="71">
        <v>558</v>
      </c>
      <c r="AB6" s="71">
        <v>4364</v>
      </c>
      <c r="AC6" s="71">
        <v>4147</v>
      </c>
      <c r="AD6" s="71">
        <v>4411</v>
      </c>
      <c r="AE6" s="71">
        <v>3386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155103.98357744998</v>
      </c>
      <c r="E7" s="73" ph="1">
        <f>E6*51.53*LOOKUP(E8,密度!$A$2:$A$50,密度!$B$2:$B$50)</f>
        <v>188702.91153000001</v>
      </c>
      <c r="F7" s="73" ph="1">
        <f>F6*33.183*LOOKUP(F8,密度!$A$2:$A$50,密度!$C$2:$C$50)</f>
        <v>262299.04527959996</v>
      </c>
      <c r="G7" s="73" ph="1">
        <f xml:space="preserve"> (G6+2)*51.53*LOOKUP(G8,密度!$A$2:$A$50,密度!$B$2:$B$50)</f>
        <v>290241.33369000006</v>
      </c>
      <c r="H7" s="73" ph="1">
        <f>(H6)*51.53*LOOKUP(H8,密度!$A$2:$A$50,密度!$B$2:$B$50)</f>
        <v>33785.314707999998</v>
      </c>
      <c r="I7" s="73" ph="1">
        <f>I6*290.8*1.0267</f>
        <v>18931.966067599998</v>
      </c>
      <c r="J7" s="73" ph="1">
        <f>J6*290.8*0.7892</f>
        <v>1771.7350592</v>
      </c>
      <c r="K7" s="73" ph="1">
        <f>K6*290.8*1.1126</f>
        <v>2494.5248568000002</v>
      </c>
      <c r="L7" s="73" ph="1">
        <f>L6*290.8*0.777</f>
        <v>9697.8426720000007</v>
      </c>
      <c r="M7" s="73" ph="1">
        <f>M6*33.183*LOOKUP(M8,密度!$A$2:$A$50,密度!$D$2:$D$50)</f>
        <v>184181.644206</v>
      </c>
      <c r="N7" s="73" ph="1">
        <f>N6*33.183*LOOKUP(N8,密度!$A$2:$A$50,密度!$E$2:$E$50)</f>
        <v>109792.193904</v>
      </c>
      <c r="O7" s="73" ph="1">
        <f>O6*20.428*LOOKUP(O8,密度!$A$2:$A$50,密度!$C$2:$C$50)</f>
        <v>22802.654902800004</v>
      </c>
      <c r="P7" s="73" ph="1">
        <f>P6*51.53*LOOKUP(P8,密度!$A$2:$A$50,密度!$B$2:$B$50)</f>
        <v>206587.53169</v>
      </c>
      <c r="Q7" s="73" ph="1">
        <f>Q6*1.5*1.5*3.1416*LOOKUP(W8,密度!$A$2:$A$50,密度!$L$2:$L$50)</f>
        <v>342.94019760000003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20106.378230400001</v>
      </c>
      <c r="V7" s="73" ph="1">
        <f>V6*1.5*1.5*3.1416*LOOKUP(V8,密度!$A$2:$A$50,密度!$L$2:$L$50)</f>
        <v>33025.877576999999</v>
      </c>
      <c r="W7" s="73" ph="1">
        <f>W6*1.5*1.5*3.1416*LOOKUP(W8,密度!$A$2:$A$50,密度!$L$2:$L$50)</f>
        <v>46039.7215278</v>
      </c>
      <c r="X7" s="73" ph="1">
        <f>X6*1.5*1.5*3.1416*LOOKUP(X8,密度!$A$2:$A$50,密度!$L$2:$L$50)</f>
        <v>44086.4623584</v>
      </c>
      <c r="Y7" s="73" ph="1">
        <f>Y6*1.5*1.5*3.1416*LOOKUP(Y8,密度!$A$2:$A$50,密度!$L$2:$L$50)</f>
        <v>18003.300083999999</v>
      </c>
      <c r="Z7" s="73" ph="1">
        <f>Z6*33.183*LOOKUP(Z8,密度!$A$2:$A$50,密度!$L$2:$L$50)</f>
        <v>216006.09900300001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91777.651864000014</v>
      </c>
      <c r="AC7" s="73" ph="1">
        <f>AC6*51.53*LOOKUP(AC8,密度!$A$2:$A$50,密度!$Q$2:$Q$50)</f>
        <v>201713.03639630001</v>
      </c>
      <c r="AD7" s="73" ph="1">
        <f>AD6*20.428*LOOKUP(AD8,密度!$A$2:$A$50,密度!$V$2:$V$50)</f>
        <v>86287.332700800005</v>
      </c>
      <c r="AE7" s="73" ph="1">
        <f>AE6*20.428</f>
        <v>69169.207999999999</v>
      </c>
    </row>
    <row r="8" spans="1:99" ph="1">
      <c r="B8" s="244" ph="1"/>
      <c r="C8" s="68" t="s" ph="1">
        <v>180</v>
      </c>
      <c r="D8" s="74">
        <v>30</v>
      </c>
      <c r="E8" s="74">
        <v>28</v>
      </c>
      <c r="F8" s="74">
        <v>27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31</v>
      </c>
      <c r="P8" s="74">
        <v>29</v>
      </c>
      <c r="Q8" s="74">
        <v>27</v>
      </c>
      <c r="R8" s="74">
        <v>34</v>
      </c>
      <c r="S8" s="74">
        <v>25</v>
      </c>
      <c r="T8" s="74">
        <v>25</v>
      </c>
      <c r="U8" s="74">
        <v>30</v>
      </c>
      <c r="V8" s="74">
        <v>27</v>
      </c>
      <c r="W8" s="74">
        <v>29</v>
      </c>
      <c r="X8" s="74">
        <v>30</v>
      </c>
      <c r="Y8" s="74">
        <v>27</v>
      </c>
      <c r="Z8" s="74">
        <v>29</v>
      </c>
      <c r="AA8" s="74">
        <v>28</v>
      </c>
      <c r="AB8" s="74">
        <v>22</v>
      </c>
      <c r="AC8" s="74">
        <v>29</v>
      </c>
      <c r="AD8" s="74">
        <v>27</v>
      </c>
      <c r="AE8" s="74">
        <v>36</v>
      </c>
    </row>
    <row r="9" spans="1:99" ht="26.4" ph="1">
      <c r="B9" s="244" ph="1">
        <v>0.66666666666666663</v>
      </c>
      <c r="C9" s="160" t="s" ph="1">
        <v>181</v>
      </c>
      <c r="D9" s="71">
        <v>4957</v>
      </c>
      <c r="E9" s="71">
        <v>4713</v>
      </c>
      <c r="F9" s="71">
        <v>7141</v>
      </c>
      <c r="G9" s="71">
        <v>8607</v>
      </c>
      <c r="H9" s="71">
        <v>1030</v>
      </c>
      <c r="I9" s="71">
        <v>63.31</v>
      </c>
      <c r="J9" s="71">
        <v>7.81</v>
      </c>
      <c r="K9" s="71">
        <v>7.62</v>
      </c>
      <c r="L9" s="71">
        <v>45.71</v>
      </c>
      <c r="M9" s="71">
        <v>5322</v>
      </c>
      <c r="N9" s="71">
        <v>4258</v>
      </c>
      <c r="O9" s="71">
        <v>45</v>
      </c>
      <c r="P9" s="71">
        <v>4911</v>
      </c>
      <c r="Q9" s="71">
        <v>3966</v>
      </c>
      <c r="R9" s="71">
        <v>0</v>
      </c>
      <c r="S9" s="71">
        <v>0</v>
      </c>
      <c r="T9" s="71">
        <v>0</v>
      </c>
      <c r="U9" s="71">
        <v>0</v>
      </c>
      <c r="V9" s="71">
        <v>3020</v>
      </c>
      <c r="W9" s="71">
        <v>6990</v>
      </c>
      <c r="X9" s="71">
        <v>6699</v>
      </c>
      <c r="Y9" s="71">
        <v>5085</v>
      </c>
      <c r="Z9" s="71">
        <v>4683</v>
      </c>
      <c r="AA9" s="71">
        <v>556</v>
      </c>
      <c r="AB9" s="71">
        <v>4249</v>
      </c>
      <c r="AC9" s="71">
        <v>4149</v>
      </c>
      <c r="AD9" s="71">
        <v>4414</v>
      </c>
      <c r="AE9" s="71">
        <v>3342</v>
      </c>
    </row>
    <row r="10" spans="1:99" s="72" customFormat="1" ht="22.2" ph="1">
      <c r="B10" s="244" ph="1"/>
      <c r="C10" s="160" t="s" ph="1">
        <v>179</v>
      </c>
      <c r="D10" s="73" ph="1">
        <f>D9*33.183*LOOKUP(D11,密度!$A$2:$A$50,密度!$Q$2:$Q$50)</f>
        <v>154931.3705889</v>
      </c>
      <c r="E10" s="73" ph="1">
        <f>E9*51.53*LOOKUP(E11,密度!$A$2:$A$50,密度!$B$2:$B$50)</f>
        <v>188071.47321600001</v>
      </c>
      <c r="F10" s="73" ph="1">
        <f>F9*33.183*LOOKUP(F11,密度!$A$2:$A$50,密度!$C$2:$C$50)</f>
        <v>261864.27829529997</v>
      </c>
      <c r="G10" s="73" ph="1">
        <f xml:space="preserve"> (G9+2)*51.53*LOOKUP(G11,密度!$A$2:$A$50,密度!$B$2:$B$50)</f>
        <v>343939.95828100003</v>
      </c>
      <c r="H10" s="73" ph="1">
        <f>(H9)*51.53*LOOKUP(H11,密度!$A$2:$A$50,密度!$B$2:$B$50)</f>
        <v>41239.974300000002</v>
      </c>
      <c r="I10" s="73" ph="1">
        <f>I9*290.8*1.0267</f>
        <v>18902.1096316</v>
      </c>
      <c r="J10" s="73" ph="1">
        <f>J9*290.8*0.7892</f>
        <v>1792.3900016000002</v>
      </c>
      <c r="K10" s="73" ph="1">
        <f>K9*290.8*1.1126</f>
        <v>2465.4058896000001</v>
      </c>
      <c r="L10" s="73" ph="1">
        <f>L9*290.8*0.777</f>
        <v>10328.247636</v>
      </c>
      <c r="M10" s="73" ph="1">
        <f>M9*33.183*LOOKUP(M11,密度!$A$2:$A$50,密度!$D$2:$D$50)</f>
        <v>178931.04502320001</v>
      </c>
      <c r="N10" s="73" ph="1">
        <f>N9*33.183*LOOKUP(N11,密度!$A$2:$A$50,密度!$E$2:$E$50)</f>
        <v>109547.45467848</v>
      </c>
      <c r="O10" s="73" ph="1">
        <f>O9*20.428*LOOKUP(O11,密度!$A$2:$A$50,密度!$C$2:$C$50)</f>
        <v>1002.3611040000001</v>
      </c>
      <c r="P10" s="73" ph="1">
        <f>P9*51.53*LOOKUP(P11,密度!$A$2:$A$50,密度!$B$2:$B$50)</f>
        <v>195972.62995200002</v>
      </c>
      <c r="Q10" s="73" ph="1">
        <f>Q9*1.5*1.5*3.1416*LOOKUP(W11,密度!$A$2:$A$50,密度!$L$2:$L$50)</f>
        <v>26099.716935600001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19938.258647999999</v>
      </c>
      <c r="W10" s="73" ph="1">
        <f>W9*1.5*1.5*3.1416*LOOKUP(W11,密度!$A$2:$A$50,密度!$L$2:$L$50)</f>
        <v>46000.257533999997</v>
      </c>
      <c r="X10" s="73" ph="1">
        <f>X9*1.5*1.5*3.1416*LOOKUP(X11,密度!$A$2:$A$50,密度!$L$2:$L$50)</f>
        <v>43990.520250599999</v>
      </c>
      <c r="Y10" s="73" ph="1">
        <f>Y9*1.5*1.5*3.1416*LOOKUP(Y11,密度!$A$2:$A$50,密度!$L$2:$L$50)</f>
        <v>33535.594322999998</v>
      </c>
      <c r="Z10" s="73" ph="1">
        <f>Z9*33.183*LOOKUP(Z11,密度!$A$2:$A$50,密度!$L$2:$L$50)</f>
        <v>144052.08180300001</v>
      </c>
      <c r="AA10" s="73" ph="1">
        <f>AA9*33.183*LOOKUP(AA11,密度!$A$2:$A$50,密度!$D$2:$D$50)</f>
        <v>18564.320935079999</v>
      </c>
      <c r="AB10" s="73" ph="1">
        <f>AB9*20.428*LOOKUP(AB11,密度!$A$2:$A$50,密度!$D$2:$D$50)</f>
        <v>89116.093872400001</v>
      </c>
      <c r="AC10" s="73" ph="1">
        <f>AC9*51.53*LOOKUP(AC11,密度!$A$2:$A$50,密度!$Q$2:$Q$50)</f>
        <v>200546.77181939999</v>
      </c>
      <c r="AD10" s="73" ph="1">
        <f>AD9*20.428*LOOKUP(AD11,密度!$A$2:$A$50,密度!$V$2:$V$50)</f>
        <v>86346.018259200006</v>
      </c>
      <c r="AE10" s="73" ph="1">
        <f>AE9*20.428</f>
        <v>68270.376000000004</v>
      </c>
    </row>
    <row r="11" spans="1:99" ph="1">
      <c r="A11" s="64" t="s" ph="1">
        <v>163</v>
      </c>
      <c r="B11" s="244" ph="1"/>
      <c r="C11" s="160" t="s" ph="1">
        <v>180</v>
      </c>
      <c r="D11" s="74">
        <v>32</v>
      </c>
      <c r="E11" s="74">
        <v>31</v>
      </c>
      <c r="F11" s="74">
        <v>30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32</v>
      </c>
      <c r="O11" s="74">
        <v>44</v>
      </c>
      <c r="P11" s="74">
        <v>31</v>
      </c>
      <c r="Q11" s="74">
        <v>30</v>
      </c>
      <c r="R11" s="74">
        <v>40</v>
      </c>
      <c r="S11" s="74">
        <v>27</v>
      </c>
      <c r="T11" s="74">
        <v>38</v>
      </c>
      <c r="U11" s="74">
        <v>33</v>
      </c>
      <c r="V11" s="74">
        <v>28</v>
      </c>
      <c r="W11" s="74">
        <v>31</v>
      </c>
      <c r="X11" s="74">
        <v>33</v>
      </c>
      <c r="Y11" s="74">
        <v>29</v>
      </c>
      <c r="Z11" s="74">
        <v>35</v>
      </c>
      <c r="AA11" s="74">
        <v>48</v>
      </c>
      <c r="AB11" s="74">
        <v>25</v>
      </c>
      <c r="AC11" s="74">
        <v>38</v>
      </c>
      <c r="AD11" s="74">
        <v>34</v>
      </c>
      <c r="AE11" s="74">
        <v>39</v>
      </c>
    </row>
    <row r="12" spans="1:99" ht="9.9" customHeight="1" ph="1"/>
    <row r="13" spans="1:99" s="72" customFormat="1" ht="29.25" customHeight="1" ph="1">
      <c r="B13" s="221" t="s" ph="1">
        <v>37</v>
      </c>
      <c r="C13" s="16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60" t="s" ph="1">
        <v>178</v>
      </c>
      <c r="D15" s="78">
        <v>1599</v>
      </c>
      <c r="E15" s="78">
        <v>4722</v>
      </c>
      <c r="F15" s="78">
        <v>3707</v>
      </c>
      <c r="G15" s="78">
        <v>4461</v>
      </c>
      <c r="H15" s="78">
        <v>3734</v>
      </c>
      <c r="I15" s="78">
        <v>117</v>
      </c>
      <c r="J15" s="78">
        <v>1660</v>
      </c>
      <c r="K15" s="78">
        <v>1787</v>
      </c>
      <c r="L15" s="78">
        <v>5659</v>
      </c>
      <c r="M15" s="78">
        <v>6422</v>
      </c>
      <c r="N15" s="78">
        <v>1616</v>
      </c>
      <c r="O15" s="78">
        <v>6094</v>
      </c>
      <c r="P15" s="78">
        <v>7176</v>
      </c>
      <c r="Q15" s="78">
        <v>0</v>
      </c>
      <c r="R15" s="78">
        <v>3518</v>
      </c>
      <c r="S15" s="78">
        <v>6934</v>
      </c>
      <c r="T15" s="78">
        <v>1245</v>
      </c>
      <c r="U15" s="78">
        <v>6056</v>
      </c>
      <c r="V15" s="78">
        <v>595</v>
      </c>
      <c r="W15" s="71">
        <v>-792</v>
      </c>
      <c r="X15" s="78">
        <v>25</v>
      </c>
      <c r="Y15" s="106">
        <v>-9909</v>
      </c>
      <c r="Z15" s="78">
        <v>0</v>
      </c>
      <c r="AA15" s="78">
        <v>0</v>
      </c>
      <c r="AB15" s="78" ph="1">
        <v>2372</v>
      </c>
      <c r="AC15" s="78" ph="1">
        <v>0</v>
      </c>
      <c r="AD15" s="78">
        <v>5.62</v>
      </c>
      <c r="AE15" s="78">
        <v>72.61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60" t="s" ph="1">
        <v>179</v>
      </c>
      <c r="D16" s="73" ph="1">
        <f>D15*7.0686*LOOKUP(D17,密度!$A$2:$A$50,密度!$L$2:$L$50)</f>
        <v>10545.4110762</v>
      </c>
      <c r="E16" s="73" ph="1">
        <f>E15*7.0686*LOOKUP(E17,密度!$A$2:$A$50,密度!$L$2:$L$50)</f>
        <v>31174.9858728</v>
      </c>
      <c r="F16" s="73" ph="1">
        <f>F15*9.0746*LOOKUP(F17,密度!$A$2:$A$50,密度!$L$2:$L$50)</f>
        <v>31251.134703800006</v>
      </c>
      <c r="G16" s="73" ph="1">
        <f>G15*9.0746*LOOKUP(G17,密度!$A$2:$A$50,密度!$B$2:$B$50)</f>
        <v>31454.351296200002</v>
      </c>
      <c r="H16" s="73" ph="1">
        <f>H15*9.0746*LOOKUP(H17,密度!$A$2:$A$50,密度!$L$2:$L$50)</f>
        <v>31648.175677600004</v>
      </c>
      <c r="I16" s="73" ph="1">
        <f>I15*9.0746*LOOKUP(I17,密度!$A$2:$A$50,密度!$U$2:$U$50)</f>
        <v>1085.0862204</v>
      </c>
      <c r="J16" s="73" ph="1">
        <f>J15*9.0746*LOOKUP(J17,密度!$A$2:$A$50,密度!$L$2:$L$50)</f>
        <v>14039.495152000001</v>
      </c>
      <c r="K16" s="73" ph="1">
        <f>K15*9.0746*LOOKUP(K17,密度!$A$2:$A$50,密度!$C$2:$C$50)</f>
        <v>17933.617450180001</v>
      </c>
      <c r="L16" s="73" ph="1">
        <f>L15*9.0746*LOOKUP(L17,密度!$A$2:$A$50,密度!$E$2:$E$50)</f>
        <v>39873.162169030002</v>
      </c>
      <c r="M16" s="73" ph="1">
        <f>M15*9.0746*LOOKUP(M17,密度!$A$2:$A$50,密度!$M$2:$M$50)</f>
        <v>50881.719595720002</v>
      </c>
      <c r="N16" s="73" ph="1">
        <f>N15*9.0746*LOOKUP(N17,密度!$A$2:$A$50,密度!$M$2:$M$50)</f>
        <v>12756.695176640002</v>
      </c>
      <c r="O16" s="73" ph="1">
        <f>O15*9.0746*LOOKUP(O17,密度!$A$2:$A$50,密度!$G$2:$G$50)</f>
        <v>52795.494658279997</v>
      </c>
      <c r="P16" s="73" ph="1">
        <f ca="1">P15*9.0746*LOOKUP(P17,密度!$A$2:$A$51,密度!$Q$2:$Q$50)</f>
        <v>61429.017191568004</v>
      </c>
      <c r="Q16" s="73" ph="1">
        <f>Q15*9.0746*LOOKUP(Q17,密度!$A$2:$A$50,密度!$Q$2:$Q$50)</f>
        <v>0</v>
      </c>
      <c r="R16" s="73" ph="1">
        <f>MAX(R15*9.0746*LOOKUP(R17,密度!$A$2:$A$50,密度!$B$2:$B$50),0)</f>
        <v>24751.020502840001</v>
      </c>
      <c r="S16" s="73" ph="1">
        <f>S15*9.0746*LOOKUP(S17,密度!$A$2:$A$50,密度!$Q$2:$Q$50)</f>
        <v>59357.414326411999</v>
      </c>
      <c r="T16" s="73" ph="1">
        <f>T15*9.0746*LOOKUP(T17,密度!$A$2:$A$50,密度!$O$2:$O$50)</f>
        <v>10461.834102000001</v>
      </c>
      <c r="U16" s="73" ph="1">
        <f>U15*9.0746*LOOKUP(U17,密度!$A$2:$A$50,密度!$H$2:$H$50)</f>
        <v>50064.713393600003</v>
      </c>
      <c r="V16" s="73" ph="1">
        <f>MAX(5600*LOOKUP(V17,密度!$A$2:$A$50,密度!$Q$2:$Q$50)+V15*9.0476*LOOKUP(V17,密度!$A$2:$A$50,密度!$Q$2:$Q$50),0)</f>
        <v>10360.897142260001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6045.8373630000006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20061.254518400001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2398.0352553599996</v>
      </c>
      <c r="AE16" s="73" ph="1">
        <f>AE15*268.68*LOOKUP(AE17,密度!$A$2:$A$50,密度!B2:B50)+IF(AE15&lt;=0,0,1566*LOOKUP(AE17,密度!$A$2:$A$50,密度!B2:B50))</f>
        <v>16429.95680208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29</v>
      </c>
      <c r="E17" s="74">
        <v>28</v>
      </c>
      <c r="F17" s="74">
        <v>33</v>
      </c>
      <c r="G17" s="74">
        <v>28</v>
      </c>
      <c r="H17" s="74">
        <v>28</v>
      </c>
      <c r="I17" s="74">
        <v>28</v>
      </c>
      <c r="J17" s="74">
        <v>30</v>
      </c>
      <c r="K17" s="74">
        <v>29</v>
      </c>
      <c r="L17" s="74">
        <v>31</v>
      </c>
      <c r="M17" s="74">
        <v>27</v>
      </c>
      <c r="N17" s="74">
        <v>30</v>
      </c>
      <c r="O17" s="74">
        <v>30</v>
      </c>
      <c r="P17" s="74">
        <v>30</v>
      </c>
      <c r="Q17" s="74">
        <v>29</v>
      </c>
      <c r="R17" s="74">
        <v>30</v>
      </c>
      <c r="S17" s="74">
        <v>30</v>
      </c>
      <c r="T17" s="74">
        <v>28</v>
      </c>
      <c r="U17" s="74">
        <v>29</v>
      </c>
      <c r="V17" s="74">
        <v>30</v>
      </c>
      <c r="W17" s="74">
        <v>29</v>
      </c>
      <c r="X17" s="74">
        <v>29</v>
      </c>
      <c r="Y17" s="108">
        <v>29</v>
      </c>
      <c r="Z17" s="74">
        <v>29</v>
      </c>
      <c r="AA17" s="74">
        <v>28</v>
      </c>
      <c r="AB17" s="74">
        <v>30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1601</v>
      </c>
      <c r="E18" s="71">
        <v>4729</v>
      </c>
      <c r="F18" s="71">
        <v>1991</v>
      </c>
      <c r="G18" s="71">
        <v>2663</v>
      </c>
      <c r="H18" s="71">
        <v>3737</v>
      </c>
      <c r="I18" s="71">
        <v>117</v>
      </c>
      <c r="J18" s="71">
        <v>1661</v>
      </c>
      <c r="K18" s="71">
        <v>1787</v>
      </c>
      <c r="L18" s="71">
        <v>5670</v>
      </c>
      <c r="M18" s="71">
        <v>3459</v>
      </c>
      <c r="N18" s="71">
        <v>3743</v>
      </c>
      <c r="O18" s="71">
        <v>6101</v>
      </c>
      <c r="P18" s="71">
        <v>7182</v>
      </c>
      <c r="Q18" s="71">
        <v>0</v>
      </c>
      <c r="R18" s="71">
        <v>3520</v>
      </c>
      <c r="S18" s="71">
        <v>6941</v>
      </c>
      <c r="T18" s="71">
        <v>2563</v>
      </c>
      <c r="U18" s="71">
        <v>4732</v>
      </c>
      <c r="V18" s="71">
        <v>595</v>
      </c>
      <c r="W18" s="71">
        <v>-792</v>
      </c>
      <c r="X18" s="71">
        <v>24</v>
      </c>
      <c r="Y18" s="109">
        <v>-9906</v>
      </c>
      <c r="Z18" s="71">
        <v>0</v>
      </c>
      <c r="AA18" s="71">
        <v>0</v>
      </c>
      <c r="AB18" s="71">
        <v>2374</v>
      </c>
      <c r="AC18" s="71">
        <v>0</v>
      </c>
      <c r="AD18" s="71">
        <v>19.61</v>
      </c>
      <c r="AE18" s="71">
        <v>84.62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60" t="s" ph="1">
        <v>179</v>
      </c>
      <c r="D19" s="73" ph="1">
        <f>D18*7.0686*LOOKUP(D20,密度!$A$2:$A$50,密度!$L$2:$L$50)</f>
        <v>10524.650598000002</v>
      </c>
      <c r="E19" s="73" ph="1">
        <f>E18*7.0686*LOOKUP(E20,密度!$A$2:$A$50,密度!$L$2:$L$50)</f>
        <v>31120.918151399997</v>
      </c>
      <c r="F19" s="73" ph="1">
        <f>F18*9.0746*LOOKUP(F20,密度!$A$2:$A$50,密度!$L$2:$L$50)</f>
        <v>16748.599012200004</v>
      </c>
      <c r="G19" s="73" ph="1">
        <f>G18*9.0746*LOOKUP(G20,密度!$A$2:$A$50,密度!$B$2:$B$50)</f>
        <v>18713.886949120002</v>
      </c>
      <c r="H19" s="73" ph="1">
        <f>H18*9.0746*LOOKUP(H20,密度!$A$2:$A$50,密度!$L$2:$L$50)</f>
        <v>31605.779146400004</v>
      </c>
      <c r="I19" s="73" ph="1">
        <f>I18*9.0746*LOOKUP(I20,密度!$A$2:$A$50,密度!$U$2:$U$50)</f>
        <v>1076.8047404399999</v>
      </c>
      <c r="J19" s="73" ph="1">
        <f>J18*9.0746*LOOKUP(J20,密度!$A$2:$A$50,密度!$L$2:$L$50)</f>
        <v>14002.733947400002</v>
      </c>
      <c r="K19" s="73" ph="1">
        <f>K18*9.0746*LOOKUP(K20,密度!$A$2:$A$50,密度!$C$2:$C$50)</f>
        <v>17886.590150600001</v>
      </c>
      <c r="L19" s="73" ph="1">
        <f>L18*9.0746*LOOKUP(L20,密度!$A$2:$A$50,密度!$E$2:$E$50)</f>
        <v>39892.526004240004</v>
      </c>
      <c r="M19" s="73" ph="1">
        <f>M18*9.0746*LOOKUP(M20,密度!$A$2:$A$50,密度!$M$2:$M$50)</f>
        <v>27141.162427338004</v>
      </c>
      <c r="N19" s="73" ph="1">
        <f>N18*9.0746*LOOKUP(N20,密度!$A$2:$A$50,密度!$M$2:$M$50)</f>
        <v>29547.221563220002</v>
      </c>
      <c r="O19" s="73" ph="1">
        <f>O18*9.0746*LOOKUP(O20,密度!$A$2:$A$50,密度!$G$2:$G$50)</f>
        <v>52742.089185344004</v>
      </c>
      <c r="P19" s="73" ph="1">
        <f ca="1">P18*9.0746*LOOKUP(P20,密度!$A$2:$A$51,密度!$Q$2:$Q$50)</f>
        <v>61387.180744680001</v>
      </c>
      <c r="Q19" s="73" ph="1">
        <f>Q18*9.0746*LOOKUP(Q20,密度!$A$2:$A$50,密度!$Q$2:$Q$50)</f>
        <v>0</v>
      </c>
      <c r="R19" s="73" ph="1">
        <f>MAX(R18*9.0746*LOOKUP(R20,密度!$A$2:$A$50,密度!$B$2:$B$50),0)</f>
        <v>24682.040838400004</v>
      </c>
      <c r="S19" s="73" ph="1">
        <f>S18*9.0746*LOOKUP(S20,密度!$A$2:$A$50,密度!$Q$2:$Q$50)</f>
        <v>59327.265601339997</v>
      </c>
      <c r="T19" s="73" ph="1">
        <f>T18*9.0746*LOOKUP(T20,密度!$A$2:$A$50,密度!$O$2:$O$50)</f>
        <v>21444.060215600002</v>
      </c>
      <c r="U19" s="73" ph="1">
        <f>U18*9.0746*LOOKUP(U20,密度!$A$2:$A$50,密度!$H$2:$H$50)</f>
        <v>38952.217041192001</v>
      </c>
      <c r="V19" s="73" ph="1">
        <f>MAX(5600*LOOKUP(V20,密度!$A$2:$A$50,密度!$Q$2:$Q$50)+V18*9.0476*LOOKUP(V20,密度!$A$2:$A$50,密度!$Q$2:$Q$50),0)</f>
        <v>10330.802839979999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6010.7950704960003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20056.626472399999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5310.6510995999997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32</v>
      </c>
      <c r="E20" s="81">
        <v>31</v>
      </c>
      <c r="F20" s="81">
        <v>35</v>
      </c>
      <c r="G20" s="81">
        <v>31</v>
      </c>
      <c r="H20" s="81">
        <v>30</v>
      </c>
      <c r="I20" s="81">
        <v>36</v>
      </c>
      <c r="J20" s="81">
        <v>33</v>
      </c>
      <c r="K20" s="81">
        <v>32</v>
      </c>
      <c r="L20" s="81">
        <v>32</v>
      </c>
      <c r="M20" s="81">
        <v>35</v>
      </c>
      <c r="N20" s="81">
        <v>30</v>
      </c>
      <c r="O20" s="81">
        <v>32</v>
      </c>
      <c r="P20" s="81">
        <v>32</v>
      </c>
      <c r="Q20" s="81">
        <v>34</v>
      </c>
      <c r="R20" s="81">
        <v>33</v>
      </c>
      <c r="S20" s="81">
        <v>32</v>
      </c>
      <c r="T20" s="81">
        <v>32</v>
      </c>
      <c r="U20" s="81">
        <v>33</v>
      </c>
      <c r="V20" s="81">
        <v>34</v>
      </c>
      <c r="W20" s="81">
        <v>34</v>
      </c>
      <c r="X20" s="81">
        <v>33</v>
      </c>
      <c r="Y20" s="110">
        <v>34</v>
      </c>
      <c r="Z20" s="81">
        <v>34</v>
      </c>
      <c r="AA20" s="81">
        <v>32</v>
      </c>
      <c r="AB20" s="81">
        <v>31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645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60" t="s" ph="1">
        <v>178</v>
      </c>
      <c r="D24" s="71">
        <v>91.12</v>
      </c>
      <c r="E24" s="71">
        <v>95.82</v>
      </c>
      <c r="F24" s="71">
        <v>4006</v>
      </c>
      <c r="G24" s="71">
        <v>1996</v>
      </c>
      <c r="H24" s="71">
        <v>2261</v>
      </c>
      <c r="I24" s="71">
        <v>2360</v>
      </c>
      <c r="J24" s="71">
        <v>5421</v>
      </c>
      <c r="K24" s="71">
        <v>37</v>
      </c>
      <c r="L24" s="71">
        <v>1134</v>
      </c>
      <c r="M24" s="71">
        <v>5265</v>
      </c>
      <c r="N24" s="71">
        <v>5335</v>
      </c>
      <c r="O24" s="71">
        <v>3694</v>
      </c>
      <c r="P24" s="71">
        <v>362</v>
      </c>
      <c r="Q24" s="90">
        <v>1339</v>
      </c>
      <c r="R24" s="71">
        <v>1743</v>
      </c>
      <c r="S24" s="71">
        <v>4696</v>
      </c>
      <c r="T24" s="71">
        <v>1764</v>
      </c>
      <c r="U24" s="71">
        <v>4657</v>
      </c>
      <c r="V24" s="71">
        <v>9648</v>
      </c>
      <c r="W24" s="71">
        <v>10754</v>
      </c>
      <c r="X24" s="71">
        <v>2195</v>
      </c>
      <c r="Y24" s="71">
        <v>2899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24660.798643584003</v>
      </c>
      <c r="E25" s="91" ph="1">
        <f>E24*268.68*LOOKUP(E26,密度!$A$2:$A$50,密度!$C$2:$C$50)+IF(E24&lt;=0,0,1566*LOOKUP(E26,密度!$A$2:$A$50,密度!$C$2:$C$50))</f>
        <v>30285.076526639998</v>
      </c>
      <c r="F25" s="91" ph="1">
        <f>F24*11.702*LOOKUP(F26,密度!$A$2:$A$50,密度!$Q$2:$Q$50)</f>
        <v>44221.623725960002</v>
      </c>
      <c r="G25" s="91" ph="1">
        <f>G24*18.322*LOOKUP(G26,密度!$A$2:$A$50,密度!$B$2:$B$50)</f>
        <v>28353.273013599999</v>
      </c>
      <c r="H25" s="91" ph="1">
        <f>H24*18.322*LOOKUP(H26,密度!$A$2:$A$50,密度!$B$2:$B$50)</f>
        <v>32154.893800400001</v>
      </c>
      <c r="I25" s="91" ph="1">
        <f>I24*18.322*LOOKUP(I26,密度!$A$2:$A$50,密度!$Q$2:$Q$50)</f>
        <v>40789.513733599997</v>
      </c>
      <c r="J25" s="91" ph="1">
        <f>J24*18.322*LOOKUP(J26,密度!$A$2:$A$50,密度!$Q$2:$Q$50)</f>
        <v>93694.895741459986</v>
      </c>
      <c r="K25" s="91" ph="1">
        <f>K24*18.322*LOOKUP(K26,密度!$A$2:$A$50,密度!$Q$2:$Q$50)</f>
        <v>639.49661361999995</v>
      </c>
      <c r="L25" s="91" ph="1">
        <f>L24*18.322*LOOKUP(L26,密度!$A$2:$A$50,密度!$Q$2:$Q$50)</f>
        <v>19599.707022839997</v>
      </c>
      <c r="M25" s="91" ph="1">
        <f>M24*18.322*LOOKUP(M26,密度!$A$2:$A$50,密度!$Q$2:$Q$50)</f>
        <v>90998.639748900008</v>
      </c>
      <c r="N25" s="91" ph="1">
        <f>N24*18.322*LOOKUP(N26,密度!$A$2:$A$50,密度!$Q$2:$Q$50)</f>
        <v>92267.146929099996</v>
      </c>
      <c r="O25" s="91" ph="1">
        <f>O24*18.322*LOOKUP(O26,密度!$A$2:$A$50,密度!$C$2:$C$50)</f>
        <v>74896.312488799987</v>
      </c>
      <c r="P25" s="91" ph="1">
        <f>P24*11.702*LOOKUP(P26,密度!$A$2:$A$50,密度!$B$2:$B$50)</f>
        <v>3288.0794487999997</v>
      </c>
      <c r="Q25" s="92" ph="1">
        <f>Q24*18.322*LOOKUP(Q26,密度!$A$2:$A$50,密度!$B$2:$B$50)</f>
        <v>19042.637239600001</v>
      </c>
      <c r="R25" s="91" ph="1">
        <f>R24*35.891*LOOKUP(R26,密度!$A$2:$A$50,密度!$C$2:$C$50)</f>
        <v>69182.906576699999</v>
      </c>
      <c r="S25" s="91" ph="1">
        <f>S24*35.891*LOOKUP(S26,密度!$A$2:$A$50,密度!$B$2:$B$50)</f>
        <v>130672.2686408</v>
      </c>
      <c r="T25" s="91" ph="1">
        <f>T24*35.891*LOOKUP(T26,密度!$A$2:$A$50,密度!$Q$2:$Q$50)</f>
        <v>59723.848600919999</v>
      </c>
      <c r="U25" s="91" ph="1">
        <f>U24*35.891</f>
        <v>167144.38699999999</v>
      </c>
      <c r="V25" s="91" ph="1">
        <f>V24*47.051*LOOKUP(V26,密度!$A$2:$A$50,密度!$B$2:$B$50)</f>
        <v>353126.18653920002</v>
      </c>
      <c r="W25" s="91" ph="1">
        <f>W24*47.051*LOOKUP(W26,密度!$A$2:$A$50,密度!$B$2:$B$50)</f>
        <v>393606.86256660003</v>
      </c>
      <c r="X25" s="91" ph="1">
        <f>X24*47.051*LOOKUP(X26,密度!$A$2:$A$50,密度!$I$2:$I$50)</f>
        <v>107170.48582650001</v>
      </c>
      <c r="Y25" s="91" ph="1">
        <f>Y24*47.051*LOOKUP(Y26,密度!$A$2:$A$50,密度!$L$2:$L$50)</f>
        <v>127125.59126800002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30</v>
      </c>
      <c r="G26" s="74">
        <v>30</v>
      </c>
      <c r="H26" s="74">
        <v>29</v>
      </c>
      <c r="I26" s="74">
        <v>30</v>
      </c>
      <c r="J26" s="74">
        <v>30</v>
      </c>
      <c r="K26" s="74">
        <v>30</v>
      </c>
      <c r="L26" s="74">
        <v>30</v>
      </c>
      <c r="M26" s="74">
        <v>30</v>
      </c>
      <c r="N26" s="74">
        <v>29</v>
      </c>
      <c r="O26" s="74">
        <v>28</v>
      </c>
      <c r="P26" s="74">
        <v>29</v>
      </c>
      <c r="Q26" s="93">
        <v>29</v>
      </c>
      <c r="R26" s="74">
        <v>29</v>
      </c>
      <c r="S26" s="74">
        <v>30</v>
      </c>
      <c r="T26" s="74">
        <v>30</v>
      </c>
      <c r="U26" s="74">
        <v>28</v>
      </c>
      <c r="V26" s="74">
        <v>27</v>
      </c>
      <c r="W26" s="74">
        <v>27</v>
      </c>
      <c r="X26" s="74">
        <v>29</v>
      </c>
      <c r="Y26" s="74">
        <v>30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60" t="s" ph="1">
        <v>181</v>
      </c>
      <c r="D27" s="71">
        <v>91.21</v>
      </c>
      <c r="E27" s="71">
        <v>95.92</v>
      </c>
      <c r="F27" s="71">
        <v>4008</v>
      </c>
      <c r="G27" s="71">
        <v>1464</v>
      </c>
      <c r="H27" s="71">
        <v>1724</v>
      </c>
      <c r="I27" s="71">
        <v>2359</v>
      </c>
      <c r="J27" s="71">
        <v>5421</v>
      </c>
      <c r="K27" s="71">
        <v>1165</v>
      </c>
      <c r="L27" s="71">
        <v>1129</v>
      </c>
      <c r="M27" s="71">
        <v>5266</v>
      </c>
      <c r="N27" s="71">
        <v>5335</v>
      </c>
      <c r="O27" s="71">
        <v>3691</v>
      </c>
      <c r="P27" s="71">
        <v>360</v>
      </c>
      <c r="Q27" s="90">
        <v>2073</v>
      </c>
      <c r="R27" s="71">
        <v>1740</v>
      </c>
      <c r="S27" s="71">
        <v>4809</v>
      </c>
      <c r="T27" s="71">
        <v>1762</v>
      </c>
      <c r="U27" s="71">
        <v>4595</v>
      </c>
      <c r="V27" s="71">
        <v>9651</v>
      </c>
      <c r="W27" s="71">
        <v>10758</v>
      </c>
      <c r="X27" s="71">
        <v>2765</v>
      </c>
      <c r="Y27" s="71">
        <v>3660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60" t="s" ph="1">
        <v>179</v>
      </c>
      <c r="D28" s="91" ph="1">
        <f>D27*268.68*LOOKUP(D29,密度!$A$2:$A$50,密度!$Q$2:$Q$50)+IF(D27&lt;=0,0,1566*LOOKUP(D29,密度!$A$2:$A$50,密度!$Q$2:$Q$50))</f>
        <v>24683.691952871999</v>
      </c>
      <c r="E28" s="91" ph="1">
        <f>E27*268.68*LOOKUP(E29,密度!$A$2:$A$50,密度!$C$2:$C$50)+IF(E27&lt;=0,0,1566*LOOKUP(E29,密度!$A$2:$A$50,密度!$C$2:$C$50))</f>
        <v>30314.870451840005</v>
      </c>
      <c r="F28" s="91" ph="1">
        <f>F27*11.702*LOOKUP(F29,密度!$A$2:$A$50,密度!$Q$2:$Q$50)</f>
        <v>44176.632110400002</v>
      </c>
      <c r="G28" s="91" ph="1">
        <f>G27*18.322*LOOKUP(G29,密度!$A$2:$A$50,密度!$B$2:$B$50)</f>
        <v>20772.047155199998</v>
      </c>
      <c r="H28" s="91" ph="1">
        <f>H27*18.322*LOOKUP(H29,密度!$A$2:$A$50,密度!$B$2:$B$50)</f>
        <v>24432.643507999997</v>
      </c>
      <c r="I28" s="91" ph="1">
        <f>I27*18.322*LOOKUP(I29,密度!$A$2:$A$50,密度!$Q$2:$Q$50)</f>
        <v>40739.813842839998</v>
      </c>
      <c r="J28" s="91" ph="1">
        <f>J27*18.322*LOOKUP(J29,密度!$A$2:$A$50,密度!$Q$2:$Q$50)</f>
        <v>93620.403069959983</v>
      </c>
      <c r="K28" s="91" ph="1">
        <f>K27*18.322*LOOKUP(K29,密度!$A$2:$A$50,密度!$Q$2:$Q$50)</f>
        <v>20119.492635399998</v>
      </c>
      <c r="L28" s="91" ph="1">
        <f>L27*18.322*LOOKUP(L29,密度!$A$2:$A$50,密度!$Q$2:$Q$50)</f>
        <v>19483.708242199998</v>
      </c>
      <c r="M28" s="91" ph="1">
        <f>M27*18.322*LOOKUP(M29,密度!$A$2:$A$50,密度!$Q$2:$Q$50)</f>
        <v>90943.560702160001</v>
      </c>
      <c r="N28" s="91" ph="1">
        <f>N27*18.322*LOOKUP(N29,密度!$A$2:$A$50,密度!$Q$2:$Q$50)</f>
        <v>92068.718752999994</v>
      </c>
      <c r="O28" s="91" ph="1">
        <f>O27*18.322*LOOKUP(O29,密度!$A$2:$A$50,密度!$C$2:$C$50)</f>
        <v>74524.405203999995</v>
      </c>
      <c r="P28" s="91" ph="1">
        <f>P27*11.702*LOOKUP(P29,密度!$A$2:$A$50,密度!$B$2:$B$50)</f>
        <v>3262.3303679999999</v>
      </c>
      <c r="Q28" s="92" ph="1">
        <f>Q27*18.322*LOOKUP(Q29,密度!$A$2:$A$50,密度!$B$2:$B$50)</f>
        <v>29412.8782464</v>
      </c>
      <c r="R28" s="91" ph="1">
        <f>R27*35.891*LOOKUP(R29,密度!$A$2:$A$50,密度!$C$2:$C$50)</f>
        <v>68882.725019999998</v>
      </c>
      <c r="S28" s="91" ph="1">
        <f>S27*35.891*LOOKUP(S29,密度!$A$2:$A$50,密度!$B$2:$B$50)</f>
        <v>133661.29983359997</v>
      </c>
      <c r="T28" s="91" ph="1">
        <f>T27*35.891*LOOKUP(T29,密度!$A$2:$A$50,密度!$Q$2:$Q$50)</f>
        <v>59524.595407499997</v>
      </c>
      <c r="U28" s="91" ph="1">
        <f>U27*35.891</f>
        <v>164919.14499999999</v>
      </c>
      <c r="V28" s="91" ph="1">
        <f>V27*47.051*LOOKUP(V29,密度!$A$2:$A$50,密度!$B$2:$B$50)</f>
        <v>350874.72561270004</v>
      </c>
      <c r="W28" s="91" ph="1">
        <f>W27*47.051*LOOKUP(W29,密度!$A$2:$A$50,密度!$B$2:$B$50)</f>
        <v>391526.09796300001</v>
      </c>
      <c r="X28" s="91" ph="1">
        <f>X27*47.051*LOOKUP(X29,密度!$A$2:$A$50,密度!$I$2:$I$50)</f>
        <v>134857.52914900001</v>
      </c>
      <c r="Y28" s="91" ph="1">
        <f>Y27*47.051*LOOKUP(Y29,密度!$A$2:$A$50,密度!$L$2:$L$50)</f>
        <v>159979.98714000001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60" t="s" ph="1">
        <v>180</v>
      </c>
      <c r="D29" s="74">
        <v>25</v>
      </c>
      <c r="E29" s="74">
        <v>25</v>
      </c>
      <c r="F29" s="74">
        <v>32</v>
      </c>
      <c r="G29" s="74">
        <v>31</v>
      </c>
      <c r="H29" s="74">
        <v>32</v>
      </c>
      <c r="I29" s="74">
        <v>31</v>
      </c>
      <c r="J29" s="74">
        <v>31</v>
      </c>
      <c r="K29" s="74">
        <v>31</v>
      </c>
      <c r="L29" s="74">
        <v>32</v>
      </c>
      <c r="M29" s="74">
        <v>31</v>
      </c>
      <c r="N29" s="74">
        <v>32</v>
      </c>
      <c r="O29" s="74">
        <v>33</v>
      </c>
      <c r="P29" s="74">
        <v>31</v>
      </c>
      <c r="Q29" s="93">
        <v>31</v>
      </c>
      <c r="R29" s="74">
        <v>32</v>
      </c>
      <c r="S29" s="74">
        <v>31</v>
      </c>
      <c r="T29" s="74">
        <v>33</v>
      </c>
      <c r="U29" s="74">
        <v>32</v>
      </c>
      <c r="V29" s="74">
        <v>33</v>
      </c>
      <c r="W29" s="74">
        <v>32</v>
      </c>
      <c r="X29" s="74">
        <v>30</v>
      </c>
      <c r="Y29" s="74">
        <v>33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107680.41480748</v>
      </c>
      <c r="E33" s="193" ph="1">
        <f>M10+I10</f>
        <v>197833.15465480002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9" ph="1">
        <v>0</v>
      </c>
      <c r="H33" s="193" ph="1">
        <f>N19</f>
        <v>29547.221563220002</v>
      </c>
      <c r="I33" s="197" ph="1">
        <v>0</v>
      </c>
      <c r="J33" s="201" ph="1">
        <f>F10+O28</f>
        <v>336388.68349929998</v>
      </c>
      <c r="K33" s="193" ph="1">
        <f>O10+K10+E28+R28</f>
        <v>102665.36246544</v>
      </c>
      <c r="L33" s="203" ph="1">
        <f>BE27</f>
        <v>7100</v>
      </c>
      <c r="M33" s="201" ph="1">
        <f>G10+H10+W28+S28+V28+E10</f>
        <v>1449313.5292062999</v>
      </c>
      <c r="N33" s="193" ph="1">
        <f>L10+P10++G28+H28</f>
        <v>251505.56825120005</v>
      </c>
      <c r="O33" s="197" ph="1">
        <f>BE17</f>
        <v>2270</v>
      </c>
      <c r="P33" s="201" ph="1">
        <f>L19</f>
        <v>39892.526004240004</v>
      </c>
      <c r="Q33" s="193" ph="1">
        <f>J10+N10</f>
        <v>111339.84468008</v>
      </c>
      <c r="R33" s="197" ph="1">
        <f>BE23</f>
        <v>890</v>
      </c>
      <c r="S33" s="201" ph="1">
        <f>E10+X28</f>
        <v>322929.00236500002</v>
      </c>
      <c r="T33" s="193" ph="1">
        <f>X19</f>
        <v>6010.7950704960003</v>
      </c>
      <c r="U33" s="182" ph="1">
        <f>BE21</f>
        <v>730</v>
      </c>
      <c r="V33" s="195" ph="1">
        <f ca="1">P19+Q19+S19+M28+N28+J28</f>
        <v>397347.12887113995</v>
      </c>
      <c r="W33" s="195" ph="1">
        <f>D28+F28+V19+T28</f>
        <v>138715.722310752</v>
      </c>
      <c r="X33" s="197" ph="1">
        <f>BE29+BE31</f>
        <v>10200</v>
      </c>
      <c r="Y33" s="199" ph="1">
        <f>+Q10+R10+S10+T10+U10+V10+W10+X10+Y10</f>
        <v>169564.3476912</v>
      </c>
      <c r="Z33" s="180" ph="1">
        <f>D10+T19+U19+Y28+Z10</f>
        <v>519359.71678869199</v>
      </c>
      <c r="AA33" s="182" ph="1">
        <f>BE19</f>
        <v>1440</v>
      </c>
      <c r="AB33" s="184" ph="1">
        <f>I19</f>
        <v>1076.8047404399999</v>
      </c>
      <c r="AC33" s="186" ph="1">
        <f>AD10</f>
        <v>86346.018259200006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62" t="s" ph="1">
        <v>186</v>
      </c>
      <c r="AA36" s="162" ph="1"/>
      <c r="AB36" s="179" t="s" ph="1">
        <v>646</v>
      </c>
      <c r="AC36" s="179" ph="1"/>
      <c r="AD36" s="179" ph="1"/>
      <c r="AE36" s="179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345</v>
      </c>
      <c r="AI37" s="162" t="s" ph="1">
        <v>212</v>
      </c>
      <c r="AJ37" s="162" t="s" ph="1">
        <v>213</v>
      </c>
      <c r="AK37" s="162" t="s" ph="1">
        <v>214</v>
      </c>
      <c r="AM37" s="162" t="s" ph="1">
        <v>213</v>
      </c>
      <c r="AN37" s="162" t="s" ph="1">
        <v>214</v>
      </c>
      <c r="AO37" s="162" t="s" ph="1">
        <v>215</v>
      </c>
      <c r="AP37" s="162" t="s" ph="1">
        <v>213</v>
      </c>
      <c r="AQ37" s="162" t="s" ph="1">
        <v>214</v>
      </c>
      <c r="AR37" s="162" t="s" ph="1">
        <v>215</v>
      </c>
      <c r="AS37" s="162" t="s" ph="1">
        <v>213</v>
      </c>
      <c r="AT37" s="162" t="s" ph="1">
        <v>214</v>
      </c>
      <c r="AU37" s="162" t="s" ph="1">
        <v>215</v>
      </c>
      <c r="AV37" s="162" t="s" ph="1">
        <v>213</v>
      </c>
      <c r="AW37" s="162" t="s" ph="1">
        <v>214</v>
      </c>
      <c r="AX37" s="162" t="s" ph="1">
        <v>215</v>
      </c>
      <c r="AY37" s="162" t="s" ph="1">
        <v>214</v>
      </c>
      <c r="AZ37" s="162" t="s" ph="1">
        <v>216</v>
      </c>
      <c r="BD37" s="162" t="s" ph="1">
        <v>308</v>
      </c>
      <c r="BE37" s="16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34" priority="97">
      <formula>ABS(D$7-D$10)&gt;=1000</formula>
    </cfRule>
  </conditionalFormatting>
  <conditionalFormatting sqref="E4 E6:E11">
    <cfRule type="expression" dxfId="633" priority="96">
      <formula>ABS(E$7-E$10)&gt;=1000</formula>
    </cfRule>
  </conditionalFormatting>
  <conditionalFormatting sqref="F4:F11">
    <cfRule type="expression" dxfId="632" priority="95">
      <formula>ABS(F$7-F$10)&gt;=1000</formula>
    </cfRule>
  </conditionalFormatting>
  <conditionalFormatting sqref="G4:G11">
    <cfRule type="expression" dxfId="631" priority="94">
      <formula>ABS(G$7-G$10)&gt;=1000</formula>
    </cfRule>
  </conditionalFormatting>
  <conditionalFormatting sqref="H4:H11">
    <cfRule type="expression" dxfId="630" priority="93">
      <formula>ABS(H$7-H$10)&gt;=1000</formula>
    </cfRule>
  </conditionalFormatting>
  <conditionalFormatting sqref="I4:I11">
    <cfRule type="expression" dxfId="629" priority="92">
      <formula>ABS(I$7-I$10)&gt;=1000</formula>
    </cfRule>
  </conditionalFormatting>
  <conditionalFormatting sqref="J4:J11">
    <cfRule type="expression" dxfId="628" priority="91">
      <formula>ABS(J$7-J$10)&gt;=1000</formula>
    </cfRule>
  </conditionalFormatting>
  <conditionalFormatting sqref="K4:K11">
    <cfRule type="expression" dxfId="627" priority="90">
      <formula>ABS(K$7-K$10)&gt;=1000</formula>
    </cfRule>
  </conditionalFormatting>
  <conditionalFormatting sqref="L4:L11">
    <cfRule type="expression" dxfId="626" priority="89">
      <formula>ABS(L$7-L$10)&gt;=1000</formula>
    </cfRule>
  </conditionalFormatting>
  <conditionalFormatting sqref="M4 M6:M11">
    <cfRule type="expression" dxfId="625" priority="88">
      <formula>ABS(M$7-M$10)&gt;=1000</formula>
    </cfRule>
  </conditionalFormatting>
  <conditionalFormatting sqref="N4 N6:N11">
    <cfRule type="expression" dxfId="624" priority="87">
      <formula>ABS(N$7-N$10)&gt;=1000</formula>
    </cfRule>
  </conditionalFormatting>
  <conditionalFormatting sqref="O4 O6:O11">
    <cfRule type="expression" dxfId="623" priority="86">
      <formula>ABS(O$7-O$10)&gt;=1000</formula>
    </cfRule>
  </conditionalFormatting>
  <conditionalFormatting sqref="P4 P6:P11">
    <cfRule type="expression" dxfId="622" priority="85">
      <formula>ABS(P$7-P$10)&gt;=1000</formula>
    </cfRule>
  </conditionalFormatting>
  <conditionalFormatting sqref="Q4:Q11">
    <cfRule type="expression" dxfId="621" priority="84">
      <formula>ABS(Q$7-Q$10)&gt;=1000</formula>
    </cfRule>
  </conditionalFormatting>
  <conditionalFormatting sqref="R4:R11">
    <cfRule type="expression" dxfId="620" priority="83">
      <formula>ABS(R$7-R$10)&gt;=1000</formula>
    </cfRule>
  </conditionalFormatting>
  <conditionalFormatting sqref="S4:S11">
    <cfRule type="expression" dxfId="619" priority="82">
      <formula>ABS(S$7-S$10)&gt;=1000</formula>
    </cfRule>
  </conditionalFormatting>
  <conditionalFormatting sqref="T4:T9 T11">
    <cfRule type="expression" dxfId="618" priority="81">
      <formula>ABS(T$7-T$10)&gt;=1000</formula>
    </cfRule>
  </conditionalFormatting>
  <conditionalFormatting sqref="U4:U9 U11">
    <cfRule type="expression" dxfId="617" priority="80">
      <formula>ABS(U$7-U$10)&gt;=1000</formula>
    </cfRule>
  </conditionalFormatting>
  <conditionalFormatting sqref="V4:V9 V11">
    <cfRule type="expression" dxfId="616" priority="79">
      <formula>ABS(V$7-V$10)&gt;=1000</formula>
    </cfRule>
  </conditionalFormatting>
  <conditionalFormatting sqref="W4:W9 W11">
    <cfRule type="expression" dxfId="615" priority="78">
      <formula>ABS(W$7-W$10)&gt;=1000</formula>
    </cfRule>
  </conditionalFormatting>
  <conditionalFormatting sqref="X4:X9 X11">
    <cfRule type="expression" dxfId="614" priority="77">
      <formula>ABS(X$7-X$10)&gt;=1000</formula>
    </cfRule>
  </conditionalFormatting>
  <conditionalFormatting sqref="Y4:Y9 Y11">
    <cfRule type="expression" dxfId="613" priority="76">
      <formula>ABS(Y$7-Y$10)&gt;=1000</formula>
    </cfRule>
  </conditionalFormatting>
  <conditionalFormatting sqref="Z4:Z11">
    <cfRule type="expression" dxfId="612" priority="75">
      <formula>ABS(Z$7-Z$10)&gt;=1000</formula>
    </cfRule>
  </conditionalFormatting>
  <conditionalFormatting sqref="AA4:AA11">
    <cfRule type="expression" dxfId="611" priority="74">
      <formula>ABS(AA$7-AA$10)&gt;=1000</formula>
    </cfRule>
  </conditionalFormatting>
  <conditionalFormatting sqref="AB4:AB11">
    <cfRule type="expression" dxfId="610" priority="73">
      <formula>ABS(AB$7-AB$10)&gt;=1000</formula>
    </cfRule>
  </conditionalFormatting>
  <conditionalFormatting sqref="AC4 AC6:AC11">
    <cfRule type="expression" dxfId="609" priority="72">
      <formula>ABS(AC$7-AC$10)&gt;=1000</formula>
    </cfRule>
  </conditionalFormatting>
  <conditionalFormatting sqref="AD4:AD11">
    <cfRule type="expression" dxfId="608" priority="71">
      <formula>ABS(AD$7-AD$10)&gt;=1000</formula>
    </cfRule>
  </conditionalFormatting>
  <conditionalFormatting sqref="AE4:AE11">
    <cfRule type="expression" dxfId="607" priority="70">
      <formula>ABS(AE$7-AE$10)&gt;=1000</formula>
    </cfRule>
  </conditionalFormatting>
  <conditionalFormatting sqref="D13:D20">
    <cfRule type="expression" dxfId="606" priority="69">
      <formula>ABS(D$16-D$19)&gt;=1000</formula>
    </cfRule>
  </conditionalFormatting>
  <conditionalFormatting sqref="E13:E20">
    <cfRule type="expression" dxfId="605" priority="68">
      <formula>ABS(E$16-E$19)&gt;=1000</formula>
    </cfRule>
  </conditionalFormatting>
  <conditionalFormatting sqref="F13 F15:F20">
    <cfRule type="expression" dxfId="604" priority="67">
      <formula>ABS(F$16-F$19)&gt;=1000</formula>
    </cfRule>
  </conditionalFormatting>
  <conditionalFormatting sqref="G13:G20">
    <cfRule type="expression" dxfId="603" priority="66">
      <formula>ABS(G$16-G$19)&gt;=1000</formula>
    </cfRule>
  </conditionalFormatting>
  <conditionalFormatting sqref="H13:H20">
    <cfRule type="expression" dxfId="602" priority="65">
      <formula>ABS(H$16-H$19)&gt;=1000</formula>
    </cfRule>
  </conditionalFormatting>
  <conditionalFormatting sqref="I13:I20">
    <cfRule type="expression" dxfId="601" priority="64">
      <formula>ABS(I$16-I$19)&gt;=1000</formula>
    </cfRule>
  </conditionalFormatting>
  <conditionalFormatting sqref="J13:J20">
    <cfRule type="expression" dxfId="600" priority="63">
      <formula>ABS(J$16-J$19)&gt;=1000</formula>
    </cfRule>
  </conditionalFormatting>
  <conditionalFormatting sqref="L13:L20">
    <cfRule type="expression" dxfId="599" priority="62">
      <formula>ABS(L$16-L$19)&gt;=1000</formula>
    </cfRule>
  </conditionalFormatting>
  <conditionalFormatting sqref="M13 M15 M17:M18 M20">
    <cfRule type="expression" dxfId="598" priority="61">
      <formula>ABS(M$16-M$19)&gt;=1000</formula>
    </cfRule>
  </conditionalFormatting>
  <conditionalFormatting sqref="N13:N20">
    <cfRule type="expression" dxfId="597" priority="60">
      <formula>ABS(N$16-N$19)&gt;=1000</formula>
    </cfRule>
  </conditionalFormatting>
  <conditionalFormatting sqref="O13:O20">
    <cfRule type="expression" dxfId="596" priority="59">
      <formula>ABS(O$16-O$19)&gt;=1000</formula>
    </cfRule>
  </conditionalFormatting>
  <conditionalFormatting sqref="P13:P20">
    <cfRule type="expression" dxfId="595" priority="58">
      <formula>ABS(P$16-P$19)&gt;=1000</formula>
    </cfRule>
  </conditionalFormatting>
  <conditionalFormatting sqref="Q13 Q15:Q20">
    <cfRule type="expression" dxfId="594" priority="57">
      <formula>ABS(Q$16-Q$19)&gt;=1000</formula>
    </cfRule>
  </conditionalFormatting>
  <conditionalFormatting sqref="R13:R20">
    <cfRule type="expression" dxfId="593" priority="56">
      <formula>ABS(R$16-R$19)&gt;=1000</formula>
    </cfRule>
  </conditionalFormatting>
  <conditionalFormatting sqref="S13:S20">
    <cfRule type="expression" dxfId="592" priority="55">
      <formula>ABS(S$16-S$19)&gt;=1000</formula>
    </cfRule>
  </conditionalFormatting>
  <conditionalFormatting sqref="T13:T20">
    <cfRule type="expression" dxfId="591" priority="54">
      <formula>ABS(T$16-T$19)&gt;=1000</formula>
    </cfRule>
  </conditionalFormatting>
  <conditionalFormatting sqref="U13:U20">
    <cfRule type="expression" dxfId="590" priority="53">
      <formula>ABS(U$16-U$19)&gt;=1000</formula>
    </cfRule>
  </conditionalFormatting>
  <conditionalFormatting sqref="V13:V20">
    <cfRule type="expression" dxfId="589" priority="52">
      <formula>ABS(V$16-V$19)&gt;=1000</formula>
    </cfRule>
  </conditionalFormatting>
  <conditionalFormatting sqref="W13 W20 W15:W18">
    <cfRule type="expression" dxfId="588" priority="51">
      <formula>ABS(W$16-W$19)&gt;=1000</formula>
    </cfRule>
  </conditionalFormatting>
  <conditionalFormatting sqref="X13 X15:X20 Y19">
    <cfRule type="expression" dxfId="587" priority="50">
      <formula>ABS(X$16-X$19)&gt;=1000</formula>
    </cfRule>
  </conditionalFormatting>
  <conditionalFormatting sqref="Y13 Y15:Y18 Y20">
    <cfRule type="expression" dxfId="586" priority="49">
      <formula>ABS(Y$16-Y$19)&gt;=1000</formula>
    </cfRule>
  </conditionalFormatting>
  <conditionalFormatting sqref="Z13:Z20">
    <cfRule type="expression" dxfId="585" priority="48">
      <formula>ABS(Z$16-Z$19)&gt;=1000</formula>
    </cfRule>
  </conditionalFormatting>
  <conditionalFormatting sqref="AA13:AA20">
    <cfRule type="expression" dxfId="584" priority="47">
      <formula>ABS(AA$16-AA$19)&gt;=1000</formula>
    </cfRule>
  </conditionalFormatting>
  <conditionalFormatting sqref="AB13 AB15:AB20">
    <cfRule type="expression" dxfId="583" priority="46">
      <formula>ABS(AB$16-AB$19)&gt;=1000</formula>
    </cfRule>
  </conditionalFormatting>
  <conditionalFormatting sqref="AC13 AC15:AC20">
    <cfRule type="expression" dxfId="582" priority="45">
      <formula>ABS(AC$16-AC$19)&gt;=1000</formula>
    </cfRule>
  </conditionalFormatting>
  <conditionalFormatting sqref="AD13:AD20">
    <cfRule type="expression" dxfId="581" priority="44">
      <formula>ABS(AD$16-AD$19)&gt;=1000</formula>
    </cfRule>
  </conditionalFormatting>
  <conditionalFormatting sqref="AE13:AE20">
    <cfRule type="expression" dxfId="580" priority="43">
      <formula>ABS(AE$16-AE$19)&gt;=1000</formula>
    </cfRule>
  </conditionalFormatting>
  <conditionalFormatting sqref="D22:D29">
    <cfRule type="expression" dxfId="579" priority="42">
      <formula>ABS(D$25-D$28)&gt;=1000</formula>
    </cfRule>
  </conditionalFormatting>
  <conditionalFormatting sqref="E22:E29">
    <cfRule type="expression" dxfId="578" priority="41">
      <formula>ABS(E$25-E$28)&gt;=1000</formula>
    </cfRule>
  </conditionalFormatting>
  <conditionalFormatting sqref="F22:F29">
    <cfRule type="expression" dxfId="577" priority="40">
      <formula>ABS(F$25-F$28)&gt;=1000</formula>
    </cfRule>
  </conditionalFormatting>
  <conditionalFormatting sqref="G22:G29">
    <cfRule type="expression" dxfId="576" priority="39">
      <formula>ABS(G$25-G$28)&gt;=1000</formula>
    </cfRule>
  </conditionalFormatting>
  <conditionalFormatting sqref="H22:H29">
    <cfRule type="expression" dxfId="575" priority="38">
      <formula>ABS(H$25-H$28)&gt;=1000</formula>
    </cfRule>
  </conditionalFormatting>
  <conditionalFormatting sqref="I22 I24:I29">
    <cfRule type="expression" dxfId="574" priority="37">
      <formula>ABS(I$25-I$28)&gt;=1000</formula>
    </cfRule>
  </conditionalFormatting>
  <conditionalFormatting sqref="J22:J29 K22">
    <cfRule type="expression" dxfId="573" priority="36">
      <formula>ABS(J$25-J$28)&gt;=1000</formula>
    </cfRule>
  </conditionalFormatting>
  <conditionalFormatting sqref="K23:K29 L25 L28">
    <cfRule type="expression" dxfId="572" priority="35">
      <formula>ABS(K$25-K$28)&gt;=1000</formula>
    </cfRule>
  </conditionalFormatting>
  <conditionalFormatting sqref="L22 L26:L27 L29 L24">
    <cfRule type="expression" dxfId="571" priority="34">
      <formula>ABS(L$25-L$28)&gt;=1000</formula>
    </cfRule>
  </conditionalFormatting>
  <conditionalFormatting sqref="M22:M29">
    <cfRule type="expression" dxfId="570" priority="33">
      <formula>ABS(M$25-M$28)&gt;=1000</formula>
    </cfRule>
  </conditionalFormatting>
  <conditionalFormatting sqref="N22:N29">
    <cfRule type="expression" dxfId="569" priority="32">
      <formula>ABS(N$25-N$28)&gt;=1000</formula>
    </cfRule>
  </conditionalFormatting>
  <conditionalFormatting sqref="O22:O29">
    <cfRule type="expression" dxfId="568" priority="31">
      <formula>ABS(O$25-O$28)&gt;=1000</formula>
    </cfRule>
  </conditionalFormatting>
  <conditionalFormatting sqref="P22:P29">
    <cfRule type="expression" dxfId="567" priority="30">
      <formula>ABS(P$25-P$28)&gt;=1000</formula>
    </cfRule>
  </conditionalFormatting>
  <conditionalFormatting sqref="Q22:Q29">
    <cfRule type="expression" dxfId="566" priority="29">
      <formula>ABS(Q$25-Q$28)&gt;=1000</formula>
    </cfRule>
  </conditionalFormatting>
  <conditionalFormatting sqref="R22:R29">
    <cfRule type="expression" dxfId="565" priority="28">
      <formula>ABS(R$25-R$28)&gt;=1000</formula>
    </cfRule>
  </conditionalFormatting>
  <conditionalFormatting sqref="S22:S29">
    <cfRule type="expression" dxfId="564" priority="27">
      <formula>ABS(S$25-S$28)&gt;=1000</formula>
    </cfRule>
  </conditionalFormatting>
  <conditionalFormatting sqref="T22:T29">
    <cfRule type="expression" dxfId="563" priority="26">
      <formula>ABS(T$25-T$28)&gt;=1000</formula>
    </cfRule>
  </conditionalFormatting>
  <conditionalFormatting sqref="U22:U29">
    <cfRule type="expression" dxfId="562" priority="25">
      <formula>ABS(U$25-U$28)&gt;=1000</formula>
    </cfRule>
  </conditionalFormatting>
  <conditionalFormatting sqref="V22:V29">
    <cfRule type="expression" dxfId="561" priority="24">
      <formula>ABS(V$25-V$28)&gt;=1000</formula>
    </cfRule>
  </conditionalFormatting>
  <conditionalFormatting sqref="W22:W29">
    <cfRule type="expression" dxfId="560" priority="23">
      <formula>ABS(W$25-W$28)&gt;=1000</formula>
    </cfRule>
  </conditionalFormatting>
  <conditionalFormatting sqref="X22:X29">
    <cfRule type="expression" dxfId="559" priority="22">
      <formula>ABS(X$25-X$28)&gt;=1000</formula>
    </cfRule>
  </conditionalFormatting>
  <conditionalFormatting sqref="Y22:Y29">
    <cfRule type="expression" dxfId="558" priority="21">
      <formula>ABS(Y$25-Y$28)&gt;=1000</formula>
    </cfRule>
  </conditionalFormatting>
  <conditionalFormatting sqref="I23">
    <cfRule type="expression" dxfId="557" priority="20">
      <formula>ABS(I$25-I$28)&gt;=1000</formula>
    </cfRule>
  </conditionalFormatting>
  <conditionalFormatting sqref="F14">
    <cfRule type="expression" dxfId="556" priority="19">
      <formula>ABS(F$16-F$19)&gt;=1000</formula>
    </cfRule>
  </conditionalFormatting>
  <conditionalFormatting sqref="Q14">
    <cfRule type="expression" dxfId="555" priority="18">
      <formula>ABS(Q$16-Q$19)&gt;=1000</formula>
    </cfRule>
  </conditionalFormatting>
  <conditionalFormatting sqref="W14">
    <cfRule type="expression" dxfId="554" priority="17">
      <formula>ABS(W$16-W$19)&gt;=1000</formula>
    </cfRule>
  </conditionalFormatting>
  <conditionalFormatting sqref="Y14">
    <cfRule type="expression" dxfId="553" priority="16">
      <formula>ABS(Y$16-Y$19)&gt;=1000</formula>
    </cfRule>
  </conditionalFormatting>
  <conditionalFormatting sqref="X14">
    <cfRule type="expression" dxfId="552" priority="15">
      <formula>ABS(X$16-X$19)&gt;=1000</formula>
    </cfRule>
  </conditionalFormatting>
  <conditionalFormatting sqref="T10:Y10">
    <cfRule type="expression" dxfId="551" priority="14">
      <formula>ABS(T$7-T$10)&gt;=1000</formula>
    </cfRule>
  </conditionalFormatting>
  <conditionalFormatting sqref="W19">
    <cfRule type="expression" dxfId="550" priority="13">
      <formula>ABS(W$16-W$19)&gt;=1000</formula>
    </cfRule>
  </conditionalFormatting>
  <conditionalFormatting sqref="AC5">
    <cfRule type="expression" dxfId="549" priority="12">
      <formula>ABS(AC$7-AC$10)&gt;=1000</formula>
    </cfRule>
  </conditionalFormatting>
  <conditionalFormatting sqref="M14">
    <cfRule type="expression" dxfId="548" priority="11">
      <formula>ABS(M$16-M$19)&gt;=1000</formula>
    </cfRule>
  </conditionalFormatting>
  <conditionalFormatting sqref="M16">
    <cfRule type="expression" dxfId="547" priority="10">
      <formula>ABS(M$16-M$19)&gt;=1000</formula>
    </cfRule>
  </conditionalFormatting>
  <conditionalFormatting sqref="M19">
    <cfRule type="expression" dxfId="546" priority="9">
      <formula>ABS(M$16-M$19)&gt;=1000</formula>
    </cfRule>
  </conditionalFormatting>
  <conditionalFormatting sqref="K13:K20">
    <cfRule type="expression" dxfId="545" priority="8">
      <formula>ABS(K$16-K$19)&gt;=1000</formula>
    </cfRule>
  </conditionalFormatting>
  <conditionalFormatting sqref="E5">
    <cfRule type="expression" dxfId="544" priority="7">
      <formula>ABS(E$7-E$10)&gt;=1000</formula>
    </cfRule>
  </conditionalFormatting>
  <conditionalFormatting sqref="AB14:AC14">
    <cfRule type="expression" dxfId="543" priority="6">
      <formula>ABS(AB$16-AB$19)&gt;=1000</formula>
    </cfRule>
  </conditionalFormatting>
  <conditionalFormatting sqref="M5">
    <cfRule type="expression" dxfId="542" priority="5">
      <formula>ABS(M$7-M$10)&gt;=1000</formula>
    </cfRule>
  </conditionalFormatting>
  <conditionalFormatting sqref="N5">
    <cfRule type="expression" dxfId="541" priority="4">
      <formula>ABS(N$7-N$10)&gt;=1000</formula>
    </cfRule>
  </conditionalFormatting>
  <conditionalFormatting sqref="O5">
    <cfRule type="expression" dxfId="540" priority="3">
      <formula>ABS(O$7-O$10)&gt;=1000</formula>
    </cfRule>
  </conditionalFormatting>
  <conditionalFormatting sqref="P5">
    <cfRule type="expression" dxfId="539" priority="2">
      <formula>ABS(P$7-P$10)&gt;=1000</formula>
    </cfRule>
  </conditionalFormatting>
  <conditionalFormatting sqref="L23">
    <cfRule type="expression" dxfId="538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31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6">
    <pageSetUpPr fitToPage="1"/>
  </sheetPr>
  <dimension ref="A1:CU223"/>
  <sheetViews>
    <sheetView view="pageBreakPreview" zoomScale="80" zoomScaleNormal="100" zoomScaleSheetLayoutView="80" workbookViewId="0">
      <selection activeCell="AF22" sqref="AF2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45819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65" t="s" ph="1">
        <v>178</v>
      </c>
      <c r="D6" s="71">
        <v>4957</v>
      </c>
      <c r="E6" s="71">
        <v>4714</v>
      </c>
      <c r="F6" s="71">
        <v>7138</v>
      </c>
      <c r="G6" s="71">
        <v>8098</v>
      </c>
      <c r="H6" s="71">
        <v>536</v>
      </c>
      <c r="I6" s="71">
        <v>63.31</v>
      </c>
      <c r="J6" s="71">
        <v>7.72</v>
      </c>
      <c r="K6" s="71">
        <v>7.62</v>
      </c>
      <c r="L6" s="71">
        <v>42.91</v>
      </c>
      <c r="M6" s="71">
        <v>5319</v>
      </c>
      <c r="N6" s="71">
        <v>4032</v>
      </c>
      <c r="O6" s="71">
        <v>46</v>
      </c>
      <c r="P6" s="71">
        <v>5577</v>
      </c>
      <c r="Q6" s="71">
        <v>4040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5389</v>
      </c>
      <c r="X6" s="71">
        <v>6697</v>
      </c>
      <c r="Y6" s="71">
        <v>5086</v>
      </c>
      <c r="Z6" s="71">
        <v>4668</v>
      </c>
      <c r="AA6" s="71">
        <v>558</v>
      </c>
      <c r="AB6" s="71">
        <v>4249</v>
      </c>
      <c r="AC6" s="71">
        <v>4149</v>
      </c>
      <c r="AD6" s="71">
        <v>4410</v>
      </c>
      <c r="AE6" s="71">
        <v>3438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155166.58861623</v>
      </c>
      <c r="E7" s="73" ph="1">
        <f>E6*51.53*LOOKUP(E8,密度!$A$2:$A$50,密度!$B$2:$B$50)</f>
        <v>188548.62040400002</v>
      </c>
      <c r="F7" s="73" ph="1">
        <f>F6*33.183*LOOKUP(F8,密度!$A$2:$A$50,密度!$C$2:$C$50)</f>
        <v>262299.04527959996</v>
      </c>
      <c r="G7" s="73" ph="1">
        <f xml:space="preserve"> (G6+2)*51.53*LOOKUP(G8,密度!$A$2:$A$50,密度!$B$2:$B$50)</f>
        <v>324314.36100000003</v>
      </c>
      <c r="H7" s="73" ph="1">
        <f>(H6)*51.53*LOOKUP(H8,密度!$A$2:$A$50,密度!$B$2:$B$50)</f>
        <v>21557.472440000001</v>
      </c>
      <c r="I7" s="73" ph="1">
        <f>I6*290.8*1.0267</f>
        <v>18902.1096316</v>
      </c>
      <c r="J7" s="73" ph="1">
        <f>J6*290.8*0.7892</f>
        <v>1771.7350592</v>
      </c>
      <c r="K7" s="73" ph="1">
        <f>K6*290.8*1.1126</f>
        <v>2465.4058896000001</v>
      </c>
      <c r="L7" s="73" ph="1">
        <f>L6*290.8*0.777</f>
        <v>9695.5831559999988</v>
      </c>
      <c r="M7" s="73" ph="1">
        <f>M6*33.183*LOOKUP(M8,密度!$A$2:$A$50,密度!$D$2:$D$50)</f>
        <v>180542.23563330001</v>
      </c>
      <c r="N7" s="73" ph="1">
        <f>N6*33.183*LOOKUP(N8,密度!$A$2:$A$50,密度!$E$2:$E$50)</f>
        <v>104038.10242559999</v>
      </c>
      <c r="O7" s="73" ph="1">
        <f>O6*20.428*LOOKUP(O8,密度!$A$2:$A$50,密度!$C$2:$C$50)</f>
        <v>1038.4492088</v>
      </c>
      <c r="P7" s="73" ph="1">
        <f>P6*51.53*LOOKUP(P8,密度!$A$2:$A$50,密度!$B$2:$B$50)</f>
        <v>223066.53712200001</v>
      </c>
      <c r="Q7" s="73" ph="1">
        <f>Q6*1.5*1.5*3.1416*LOOKUP(W8,密度!$A$2:$A$50,密度!$L$2:$L$50)</f>
        <v>26615.258208000003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35502.382792800003</v>
      </c>
      <c r="X7" s="73" ph="1">
        <f>X6*1.5*1.5*3.1416*LOOKUP(X8,密度!$A$2:$A$50,密度!$L$2:$L$50)</f>
        <v>44450.770933799999</v>
      </c>
      <c r="Y7" s="73" ph="1">
        <f>Y6*1.5*1.5*3.1416*LOOKUP(Y8,密度!$A$2:$A$50,密度!$L$2:$L$50)</f>
        <v>33614.091125999999</v>
      </c>
      <c r="Z7" s="73" ph="1">
        <f>Z6*33.183*LOOKUP(Z8,密度!$A$2:$A$50,密度!$L$2:$L$50)</f>
        <v>144829.85814000003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89281.011159200003</v>
      </c>
      <c r="AC7" s="73" ph="1">
        <f>AC6*51.53*LOOKUP(AC8,密度!$A$2:$A$50,密度!$Q$2:$Q$50)</f>
        <v>201957.8384214</v>
      </c>
      <c r="AD7" s="73" ph="1">
        <f>AD6*20.428*LOOKUP(AD8,密度!$A$2:$A$50,密度!$V$2:$V$50)</f>
        <v>86267.770848000015</v>
      </c>
      <c r="AE7" s="73" ph="1">
        <f>AE6*20.428</f>
        <v>70231.464000000007</v>
      </c>
    </row>
    <row r="8" spans="1:99" ph="1">
      <c r="B8" s="244" ph="1"/>
      <c r="C8" s="68" t="s" ph="1">
        <v>180</v>
      </c>
      <c r="D8" s="74">
        <v>30</v>
      </c>
      <c r="E8" s="74">
        <v>29</v>
      </c>
      <c r="F8" s="74">
        <v>27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30</v>
      </c>
      <c r="P8" s="74">
        <v>29</v>
      </c>
      <c r="Q8" s="74">
        <v>29</v>
      </c>
      <c r="R8" s="74">
        <v>33</v>
      </c>
      <c r="S8" s="74">
        <v>24</v>
      </c>
      <c r="T8" s="74">
        <v>28</v>
      </c>
      <c r="U8" s="74">
        <v>28</v>
      </c>
      <c r="V8" s="74">
        <v>28</v>
      </c>
      <c r="W8" s="74">
        <v>30</v>
      </c>
      <c r="X8" s="74">
        <v>23</v>
      </c>
      <c r="Y8" s="74">
        <v>27</v>
      </c>
      <c r="Z8" s="74">
        <v>27</v>
      </c>
      <c r="AA8" s="74">
        <v>28</v>
      </c>
      <c r="AB8" s="74">
        <v>23</v>
      </c>
      <c r="AC8" s="74">
        <v>28</v>
      </c>
      <c r="AD8" s="74">
        <v>27</v>
      </c>
      <c r="AE8" s="74">
        <v>36</v>
      </c>
    </row>
    <row r="9" spans="1:99" ht="26.4" ph="1">
      <c r="B9" s="244" ph="1">
        <v>0.66666666666666663</v>
      </c>
      <c r="C9" s="165" t="s" ph="1">
        <v>181</v>
      </c>
      <c r="D9" s="71">
        <v>4959</v>
      </c>
      <c r="E9" s="71">
        <v>4713</v>
      </c>
      <c r="F9" s="71">
        <v>7141</v>
      </c>
      <c r="G9" s="71">
        <v>8246</v>
      </c>
      <c r="H9" s="71">
        <v>1906</v>
      </c>
      <c r="I9" s="71">
        <v>63.31</v>
      </c>
      <c r="J9" s="71">
        <v>7.72</v>
      </c>
      <c r="K9" s="71">
        <v>7.73</v>
      </c>
      <c r="L9" s="71">
        <v>36.81</v>
      </c>
      <c r="M9" s="71">
        <v>5321</v>
      </c>
      <c r="N9" s="71">
        <v>3847</v>
      </c>
      <c r="O9" s="71">
        <v>45</v>
      </c>
      <c r="P9" s="71">
        <v>5308</v>
      </c>
      <c r="Q9" s="71">
        <v>6586</v>
      </c>
      <c r="R9" s="71">
        <v>4990</v>
      </c>
      <c r="S9" s="71">
        <v>0</v>
      </c>
      <c r="T9" s="71">
        <v>0</v>
      </c>
      <c r="U9" s="71">
        <v>0</v>
      </c>
      <c r="V9" s="71">
        <v>0</v>
      </c>
      <c r="W9" s="71">
        <v>168</v>
      </c>
      <c r="X9" s="71">
        <v>6702</v>
      </c>
      <c r="Y9" s="71">
        <v>5092</v>
      </c>
      <c r="Z9" s="71">
        <v>2388</v>
      </c>
      <c r="AA9" s="71">
        <v>558</v>
      </c>
      <c r="AB9" s="71">
        <v>4251</v>
      </c>
      <c r="AC9" s="71">
        <v>4150</v>
      </c>
      <c r="AD9" s="71">
        <v>4415</v>
      </c>
      <c r="AE9" s="71">
        <v>3328</v>
      </c>
    </row>
    <row r="10" spans="1:99" s="72" customFormat="1" ht="22.2" ph="1">
      <c r="B10" s="244" ph="1"/>
      <c r="C10" s="165" t="s" ph="1">
        <v>179</v>
      </c>
      <c r="D10" s="73" ph="1">
        <f>D9*33.183*LOOKUP(D11,密度!$A$2:$A$50,密度!$Q$2:$Q$50)</f>
        <v>155105.77778226</v>
      </c>
      <c r="E10" s="73" ph="1">
        <f>E9*51.53*LOOKUP(E11,密度!$A$2:$A$50,密度!$B$2:$B$50)</f>
        <v>187658.60970300002</v>
      </c>
      <c r="F10" s="73" ph="1">
        <f>F9*33.183*LOOKUP(F11,密度!$A$2:$A$50,密度!$C$2:$C$50)</f>
        <v>262053.84613770002</v>
      </c>
      <c r="G10" s="73" ph="1">
        <f xml:space="preserve"> (G9+2)*51.53*LOOKUP(G11,密度!$A$2:$A$50,密度!$B$2:$B$50)</f>
        <v>329135.054336</v>
      </c>
      <c r="H10" s="73" ph="1">
        <f>(H9)*51.53*LOOKUP(H11,密度!$A$2:$A$50,密度!$B$2:$B$50)</f>
        <v>76313.971860000005</v>
      </c>
      <c r="I10" s="73" ph="1">
        <f>I9*290.8*1.0267</f>
        <v>18902.1096316</v>
      </c>
      <c r="J10" s="73" ph="1">
        <f>J9*290.8*0.7892</f>
        <v>1771.7350592</v>
      </c>
      <c r="K10" s="73" ph="1">
        <f>K9*290.8*1.1126</f>
        <v>2500.9957383999999</v>
      </c>
      <c r="L10" s="73" ph="1">
        <f>L9*290.8*0.777</f>
        <v>8317.2783960000015</v>
      </c>
      <c r="M10" s="73" ph="1">
        <f>M9*33.183*LOOKUP(M11,密度!$A$2:$A$50,密度!$D$2:$D$50)</f>
        <v>179515.40760809998</v>
      </c>
      <c r="N10" s="73" ph="1">
        <f>N9*33.183*LOOKUP(N11,密度!$A$2:$A$50,密度!$E$2:$E$50)</f>
        <v>98973.475375320006</v>
      </c>
      <c r="O10" s="73" ph="1">
        <f>O9*20.428*LOOKUP(O11,密度!$A$2:$A$50,密度!$C$2:$C$50)</f>
        <v>1006.221996</v>
      </c>
      <c r="P10" s="73" ph="1">
        <f>P9*51.53*LOOKUP(P11,密度!$A$2:$A$50,密度!$B$2:$B$50)</f>
        <v>211568.67913999999</v>
      </c>
      <c r="Q10" s="73" ph="1">
        <f>Q9*1.5*1.5*3.1416*LOOKUP(W11,密度!$A$2:$A$50,密度!$L$2:$L$50)</f>
        <v>43015.710830399999</v>
      </c>
      <c r="R10" s="73" ph="1">
        <f>R9*1.5*1.5*3.1416*LOOKUP(R11,密度!$A$2:$A$50,密度!$L$2:$L$50)</f>
        <v>32732.707392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1097.2729151999999</v>
      </c>
      <c r="X10" s="73" ph="1">
        <f>X9*1.5*1.5*3.1416*LOOKUP(X11,密度!$A$2:$A$50,密度!$L$2:$L$50)</f>
        <v>44341.8367392</v>
      </c>
      <c r="Y10" s="73" ph="1">
        <f>Y9*1.5*1.5*3.1416*LOOKUP(Y11,密度!$A$2:$A$50,密度!$L$2:$L$50)</f>
        <v>33617.752660799997</v>
      </c>
      <c r="Z10" s="73" ph="1">
        <f>Z9*33.183*LOOKUP(Z11,密度!$A$2:$A$50,密度!$L$2:$L$50)</f>
        <v>73694.133719999998</v>
      </c>
      <c r="AA10" s="73" ph="1">
        <f>AA9*33.183*LOOKUP(AA11,密度!$A$2:$A$50,密度!$D$2:$D$50)</f>
        <v>18760.526704800002</v>
      </c>
      <c r="AB10" s="73" ph="1">
        <f>AB9*20.428*LOOKUP(AB11,密度!$A$2:$A$50,密度!$D$2:$D$50)</f>
        <v>89158.04072759999</v>
      </c>
      <c r="AC10" s="73" ph="1">
        <f>AC9*51.53*LOOKUP(AC11,密度!$A$2:$A$50,密度!$Q$2:$Q$50)</f>
        <v>201570.26170999999</v>
      </c>
      <c r="AD10" s="73" ph="1">
        <f>AD9*20.428*LOOKUP(AD11,密度!$A$2:$A$50,密度!$V$2:$V$50)</f>
        <v>86365.580112000011</v>
      </c>
      <c r="AE10" s="73" ph="1">
        <f>AE9*20.428</f>
        <v>67984.384000000005</v>
      </c>
    </row>
    <row r="11" spans="1:99" ph="1">
      <c r="A11" s="64" t="s" ph="1">
        <v>163</v>
      </c>
      <c r="B11" s="244" ph="1"/>
      <c r="C11" s="165" t="s" ph="1">
        <v>180</v>
      </c>
      <c r="D11" s="74">
        <v>31</v>
      </c>
      <c r="E11" s="74">
        <v>33</v>
      </c>
      <c r="F11" s="74">
        <v>29</v>
      </c>
      <c r="G11" s="74">
        <v>31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36</v>
      </c>
      <c r="N11" s="74">
        <v>32</v>
      </c>
      <c r="O11" s="74">
        <v>40</v>
      </c>
      <c r="P11" s="74">
        <v>32</v>
      </c>
      <c r="Q11" s="74">
        <v>30</v>
      </c>
      <c r="R11" s="74">
        <v>34</v>
      </c>
      <c r="S11" s="74">
        <v>27</v>
      </c>
      <c r="T11" s="74">
        <v>35</v>
      </c>
      <c r="U11" s="74">
        <v>32</v>
      </c>
      <c r="V11" s="74">
        <v>28</v>
      </c>
      <c r="W11" s="74">
        <v>38</v>
      </c>
      <c r="X11" s="74">
        <v>26</v>
      </c>
      <c r="Y11" s="74">
        <v>28</v>
      </c>
      <c r="Z11" s="74">
        <v>32</v>
      </c>
      <c r="AA11" s="74">
        <v>40</v>
      </c>
      <c r="AB11" s="74">
        <v>25</v>
      </c>
      <c r="AC11" s="74">
        <v>31</v>
      </c>
      <c r="AD11" s="74">
        <v>32</v>
      </c>
      <c r="AE11" s="74">
        <v>37</v>
      </c>
    </row>
    <row r="12" spans="1:99" ht="9.9" customHeight="1" ph="1"/>
    <row r="13" spans="1:99" s="72" customFormat="1" ht="29.25" customHeight="1" ph="1">
      <c r="B13" s="221" t="s" ph="1">
        <v>37</v>
      </c>
      <c r="C13" s="165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65" t="s" ph="1">
        <v>178</v>
      </c>
      <c r="D15" s="78">
        <v>1600</v>
      </c>
      <c r="E15" s="78">
        <v>4724</v>
      </c>
      <c r="F15" s="78">
        <v>1988</v>
      </c>
      <c r="G15" s="78">
        <v>2708</v>
      </c>
      <c r="H15" s="78">
        <v>3733</v>
      </c>
      <c r="I15" s="78">
        <v>117</v>
      </c>
      <c r="J15" s="78">
        <v>1659</v>
      </c>
      <c r="K15" s="78">
        <v>1787</v>
      </c>
      <c r="L15" s="78">
        <v>5660</v>
      </c>
      <c r="M15" s="78">
        <v>3453</v>
      </c>
      <c r="N15" s="78">
        <v>4191</v>
      </c>
      <c r="O15" s="78">
        <v>6096</v>
      </c>
      <c r="P15" s="78">
        <v>7177</v>
      </c>
      <c r="Q15" s="78">
        <v>0</v>
      </c>
      <c r="R15" s="78">
        <v>3518</v>
      </c>
      <c r="S15" s="78">
        <v>6935</v>
      </c>
      <c r="T15" s="78">
        <v>6625</v>
      </c>
      <c r="U15" s="78">
        <v>2366</v>
      </c>
      <c r="V15" s="78">
        <v>595</v>
      </c>
      <c r="W15" s="71">
        <v>-792</v>
      </c>
      <c r="X15" s="78">
        <v>26</v>
      </c>
      <c r="Y15" s="106">
        <v>-9909</v>
      </c>
      <c r="Z15" s="78">
        <v>0</v>
      </c>
      <c r="AA15" s="78">
        <v>0</v>
      </c>
      <c r="AB15" s="78" ph="1">
        <v>2372</v>
      </c>
      <c r="AC15" s="78" ph="1">
        <v>0</v>
      </c>
      <c r="AD15" s="78">
        <v>71.92</v>
      </c>
      <c r="AE15" s="78">
        <v>5.53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65" t="s" ph="1">
        <v>179</v>
      </c>
      <c r="D16" s="73" ph="1">
        <f>D15*7.0686*LOOKUP(D17,密度!$A$2:$A$50,密度!$L$2:$L$50)</f>
        <v>10563.315840000001</v>
      </c>
      <c r="E16" s="73" ph="1">
        <f>E15*7.0686*LOOKUP(E17,密度!$A$2:$A$50,密度!$L$2:$L$50)</f>
        <v>31154.797951200006</v>
      </c>
      <c r="F16" s="73" ph="1">
        <f>F15*9.0746*LOOKUP(F17,密度!$A$2:$A$50,密度!$L$2:$L$50)</f>
        <v>16777.483464000001</v>
      </c>
      <c r="G16" s="73" ph="1">
        <f>G15*9.0746*LOOKUP(G17,密度!$A$2:$A$50,密度!$B$2:$B$50)</f>
        <v>19052.23522504</v>
      </c>
      <c r="H16" s="73" ph="1">
        <f>H15*9.0746*LOOKUP(H17,密度!$A$2:$A$50,密度!$L$2:$L$50)</f>
        <v>31639.700001200003</v>
      </c>
      <c r="I16" s="73" ph="1">
        <f>I15*9.0746*LOOKUP(I17,密度!$A$2:$A$50,密度!$U$2:$U$50)</f>
        <v>1086.1479485999998</v>
      </c>
      <c r="J16" s="73" ph="1">
        <f>J15*9.0746*LOOKUP(J17,密度!$A$2:$A$50,密度!$L$2:$L$50)</f>
        <v>14031.037624800001</v>
      </c>
      <c r="K16" s="73" ph="1">
        <f>K15*9.0746*LOOKUP(K17,密度!$A$2:$A$50,密度!$C$2:$C$50)</f>
        <v>17933.617450180001</v>
      </c>
      <c r="L16" s="73" ph="1">
        <f>L15*9.0746*LOOKUP(L17,密度!$A$2:$A$50,密度!$E$2:$E$50)</f>
        <v>39939.274713600003</v>
      </c>
      <c r="M16" s="73" ph="1">
        <f>M15*9.0746*LOOKUP(M17,密度!$A$2:$A$50,密度!$M$2:$M$50)</f>
        <v>27192.787191516003</v>
      </c>
      <c r="N16" s="73" ph="1">
        <f>N15*9.0746*LOOKUP(N17,密度!$A$2:$A$50,密度!$M$2:$M$50)</f>
        <v>33163.597579200003</v>
      </c>
      <c r="O16" s="73" ph="1">
        <f>O15*9.0746*LOOKUP(O17,密度!$A$2:$A$50,密度!$G$2:$G$50)</f>
        <v>52812.821699519998</v>
      </c>
      <c r="P16" s="73" ph="1">
        <f ca="1">P15*9.0746*LOOKUP(P17,密度!$A$2:$A$51,密度!$Q$2:$Q$50)</f>
        <v>61437.577533986005</v>
      </c>
      <c r="Q16" s="73" ph="1">
        <f>Q15*9.0746*LOOKUP(Q17,密度!$A$2:$A$50,密度!$Q$2:$Q$50)</f>
        <v>0</v>
      </c>
      <c r="R16" s="73" ph="1">
        <f>MAX(R15*9.0746*LOOKUP(R17,密度!$A$2:$A$50,密度!$B$2:$B$50),0)</f>
        <v>24751.020502840001</v>
      </c>
      <c r="S16" s="73" ph="1">
        <f>S15*9.0746*LOOKUP(S17,密度!$A$2:$A$50,密度!$Q$2:$Q$50)</f>
        <v>59365.97466883</v>
      </c>
      <c r="T16" s="73" ph="1">
        <f>T15*9.0746*LOOKUP(T17,密度!$A$2:$A$50,密度!$O$2:$O$50)</f>
        <v>55670.402350000004</v>
      </c>
      <c r="U16" s="73" ph="1">
        <f>U15*9.0746*LOOKUP(U17,密度!$A$2:$A$50,密度!$H$2:$H$50)</f>
        <v>19559.6287796</v>
      </c>
      <c r="V16" s="73" ph="1">
        <f>MAX(5600*LOOKUP(V17,密度!$A$2:$A$50,密度!$Q$2:$Q$50)+V15*9.0476*LOOKUP(V17,密度!$A$2:$A$50,密度!$Q$2:$Q$50),0)</f>
        <v>10360.897142260001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6055.2260575200007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20061.254518400001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16285.427381759999</v>
      </c>
      <c r="AE16" s="73" ph="1">
        <f>AE15*268.68*LOOKUP(AE17,密度!$A$2:$A$50,密度!B2:B50)+IF(AE15&lt;=0,0,1566*LOOKUP(AE17,密度!$A$2:$A$50,密度!B2:B50))</f>
        <v>2379.1835918400002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28</v>
      </c>
      <c r="E17" s="74">
        <v>29</v>
      </c>
      <c r="F17" s="74">
        <v>32</v>
      </c>
      <c r="G17" s="74">
        <v>30</v>
      </c>
      <c r="H17" s="74">
        <v>28</v>
      </c>
      <c r="I17" s="74">
        <v>27</v>
      </c>
      <c r="J17" s="74">
        <v>30</v>
      </c>
      <c r="K17" s="74">
        <v>29</v>
      </c>
      <c r="L17" s="74">
        <v>30</v>
      </c>
      <c r="M17" s="74">
        <v>32</v>
      </c>
      <c r="N17" s="74">
        <v>28</v>
      </c>
      <c r="O17" s="74">
        <v>30</v>
      </c>
      <c r="P17" s="74">
        <v>30</v>
      </c>
      <c r="Q17" s="74">
        <v>28</v>
      </c>
      <c r="R17" s="74">
        <v>30</v>
      </c>
      <c r="S17" s="74">
        <v>30</v>
      </c>
      <c r="T17" s="74">
        <v>28</v>
      </c>
      <c r="U17" s="74">
        <v>29</v>
      </c>
      <c r="V17" s="74">
        <v>30</v>
      </c>
      <c r="W17" s="74">
        <v>28</v>
      </c>
      <c r="X17" s="74">
        <v>29</v>
      </c>
      <c r="Y17" s="108">
        <v>29</v>
      </c>
      <c r="Z17" s="74">
        <v>29</v>
      </c>
      <c r="AA17" s="74">
        <v>27</v>
      </c>
      <c r="AB17" s="74">
        <v>30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3246</v>
      </c>
      <c r="E18" s="71">
        <v>4729</v>
      </c>
      <c r="F18" s="71">
        <v>2468</v>
      </c>
      <c r="G18" s="71">
        <v>2743</v>
      </c>
      <c r="H18" s="71">
        <v>3736</v>
      </c>
      <c r="I18" s="71">
        <v>117</v>
      </c>
      <c r="J18" s="71">
        <v>1661</v>
      </c>
      <c r="K18" s="71">
        <v>1787</v>
      </c>
      <c r="L18" s="71">
        <v>5670</v>
      </c>
      <c r="M18" s="71">
        <v>5761</v>
      </c>
      <c r="N18" s="71">
        <v>1900</v>
      </c>
      <c r="O18" s="71">
        <v>6102</v>
      </c>
      <c r="P18" s="71">
        <v>7181</v>
      </c>
      <c r="Q18" s="71">
        <v>0</v>
      </c>
      <c r="R18" s="71">
        <v>3521</v>
      </c>
      <c r="S18" s="71">
        <v>6941</v>
      </c>
      <c r="T18" s="71">
        <v>5348</v>
      </c>
      <c r="U18" s="71">
        <v>2366</v>
      </c>
      <c r="V18" s="71">
        <v>595</v>
      </c>
      <c r="W18" s="71">
        <v>-792</v>
      </c>
      <c r="X18" s="71">
        <v>25</v>
      </c>
      <c r="Y18" s="109">
        <v>-9907</v>
      </c>
      <c r="Z18" s="71">
        <v>0</v>
      </c>
      <c r="AA18" s="71">
        <v>0</v>
      </c>
      <c r="AB18" s="71">
        <v>2375</v>
      </c>
      <c r="AC18" s="71">
        <v>0</v>
      </c>
      <c r="AD18" s="71">
        <v>84.51</v>
      </c>
      <c r="AE18" s="71">
        <v>18.11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65" t="s" ph="1">
        <v>179</v>
      </c>
      <c r="D19" s="73" ph="1">
        <f>D18*7.0686*LOOKUP(D20,密度!$A$2:$A$50,密度!$L$2:$L$50)</f>
        <v>21338.548308000001</v>
      </c>
      <c r="E19" s="73" ph="1">
        <f>E18*7.0686*LOOKUP(E20,密度!$A$2:$A$50,密度!$L$2:$L$50)</f>
        <v>31120.918151399997</v>
      </c>
      <c r="F19" s="73" ph="1">
        <f>F18*9.0746*LOOKUP(F20,密度!$A$2:$A$50,密度!$L$2:$L$50)</f>
        <v>20738.800452799998</v>
      </c>
      <c r="G19" s="73" ph="1">
        <f>G18*9.0746*LOOKUP(G20,密度!$A$2:$A$50,密度!$B$2:$B$50)</f>
        <v>19298.479033340001</v>
      </c>
      <c r="H19" s="73" ph="1">
        <f>H18*9.0746*LOOKUP(H20,密度!$A$2:$A$50,密度!$L$2:$L$50)</f>
        <v>31597.321619200004</v>
      </c>
      <c r="I19" s="73" ph="1">
        <f>I18*9.0746*LOOKUP(I20,密度!$A$2:$A$50,密度!$U$2:$U$50)</f>
        <v>1078.7158512000001</v>
      </c>
      <c r="J19" s="73" ph="1">
        <f>J18*9.0746*LOOKUP(J20,密度!$A$2:$A$50,密度!$L$2:$L$50)</f>
        <v>14002.733947400002</v>
      </c>
      <c r="K19" s="73" ph="1">
        <f>K18*9.0746*LOOKUP(K20,密度!$A$2:$A$50,密度!$C$2:$C$50)</f>
        <v>17886.590150600001</v>
      </c>
      <c r="L19" s="73" ph="1">
        <f>L18*9.0746*LOOKUP(L20,密度!$A$2:$A$50,密度!$E$2:$E$50)</f>
        <v>39834.384134580003</v>
      </c>
      <c r="M19" s="73" ph="1">
        <f>M18*9.0746*LOOKUP(M20,密度!$A$2:$A$50,密度!$M$2:$M$50)</f>
        <v>45203.884574702002</v>
      </c>
      <c r="N19" s="73" ph="1">
        <f>N18*9.0746*LOOKUP(N20,密度!$A$2:$A$50,密度!$M$2:$M$50)</f>
        <v>14998.589626000001</v>
      </c>
      <c r="O19" s="73" ph="1">
        <f>O18*9.0746*LOOKUP(O20,密度!$A$2:$A$50,密度!$G$2:$G$50)</f>
        <v>52750.734012288005</v>
      </c>
      <c r="P19" s="73" ph="1">
        <f ca="1">P18*9.0746*LOOKUP(P20,密度!$A$2:$A$51,密度!$Q$2:$Q$50)</f>
        <v>61378.633378940001</v>
      </c>
      <c r="Q19" s="73" ph="1">
        <f>Q18*9.0746*LOOKUP(Q20,密度!$A$2:$A$50,密度!$Q$2:$Q$50)</f>
        <v>0</v>
      </c>
      <c r="R19" s="73" ph="1">
        <f>MAX(R18*9.0746*LOOKUP(R20,密度!$A$2:$A$50,密度!$B$2:$B$50),0)</f>
        <v>24714.614115100001</v>
      </c>
      <c r="S19" s="73" ph="1">
        <f>S18*9.0746*LOOKUP(S20,密度!$A$2:$A$50,密度!$Q$2:$Q$50)</f>
        <v>59286.324182250006</v>
      </c>
      <c r="T19" s="73" ph="1">
        <f>T18*9.0746*LOOKUP(T20,密度!$A$2:$A$50,密度!$O$2:$O$50)</f>
        <v>44745.545857600002</v>
      </c>
      <c r="U19" s="73" ph="1">
        <f>U18*9.0746*LOOKUP(U20,密度!$A$2:$A$50,密度!$H$2:$H$50)</f>
        <v>19517.76129758</v>
      </c>
      <c r="V19" s="73" ph="1">
        <f>MAX(5600*LOOKUP(V20,密度!$A$2:$A$50,密度!$Q$2:$Q$50)+V18*9.0476*LOOKUP(V20,密度!$A$2:$A$50,密度!$Q$2:$Q$50),0)</f>
        <v>10338.051832499999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6026.610936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20065.074925000001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18859.458063600003</v>
      </c>
      <c r="AE19" s="73" ph="1">
        <f>AE18*268.68*LOOKUP(AE20,密度!$A$2:$A$50,密度!B5:B53)+IF(AE18&lt;=0,0,1566*LOOKUP(AE20,密度!$A$2:$A$50,密度!B5:B53))</f>
        <v>4997.5045596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32</v>
      </c>
      <c r="E20" s="81">
        <v>31</v>
      </c>
      <c r="F20" s="81">
        <v>36</v>
      </c>
      <c r="G20" s="81">
        <v>30</v>
      </c>
      <c r="H20" s="81">
        <v>30</v>
      </c>
      <c r="I20" s="81">
        <v>34</v>
      </c>
      <c r="J20" s="81">
        <v>33</v>
      </c>
      <c r="K20" s="81">
        <v>32</v>
      </c>
      <c r="L20" s="81">
        <v>33</v>
      </c>
      <c r="M20" s="81">
        <v>35</v>
      </c>
      <c r="N20" s="81">
        <v>30</v>
      </c>
      <c r="O20" s="81">
        <v>32</v>
      </c>
      <c r="P20" s="81">
        <v>32</v>
      </c>
      <c r="Q20" s="81">
        <v>33</v>
      </c>
      <c r="R20" s="81">
        <v>32</v>
      </c>
      <c r="S20" s="81">
        <v>33</v>
      </c>
      <c r="T20" s="81">
        <v>30</v>
      </c>
      <c r="U20" s="81">
        <v>31</v>
      </c>
      <c r="V20" s="81">
        <v>33</v>
      </c>
      <c r="W20" s="81">
        <v>33</v>
      </c>
      <c r="X20" s="81">
        <v>32</v>
      </c>
      <c r="Y20" s="110">
        <v>33</v>
      </c>
      <c r="Z20" s="81">
        <v>32</v>
      </c>
      <c r="AA20" s="81">
        <v>31</v>
      </c>
      <c r="AB20" s="81">
        <v>31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645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65" t="s" ph="1">
        <v>178</v>
      </c>
      <c r="D24" s="71">
        <v>91.14</v>
      </c>
      <c r="E24" s="71">
        <v>95.82</v>
      </c>
      <c r="F24" s="71">
        <v>4007</v>
      </c>
      <c r="G24" s="71">
        <v>2206</v>
      </c>
      <c r="H24" s="71">
        <v>1734</v>
      </c>
      <c r="I24" s="71">
        <v>2360</v>
      </c>
      <c r="J24" s="71">
        <v>5422</v>
      </c>
      <c r="K24" s="71">
        <v>1171</v>
      </c>
      <c r="L24" s="71">
        <v>1134</v>
      </c>
      <c r="M24" s="71">
        <v>5266</v>
      </c>
      <c r="N24" s="71">
        <v>5337</v>
      </c>
      <c r="O24" s="71">
        <v>3695</v>
      </c>
      <c r="P24" s="71">
        <v>365</v>
      </c>
      <c r="Q24" s="90">
        <v>2156</v>
      </c>
      <c r="R24" s="71">
        <v>1744</v>
      </c>
      <c r="S24" s="71">
        <v>4814</v>
      </c>
      <c r="T24" s="71">
        <v>1765</v>
      </c>
      <c r="U24" s="71">
        <v>4306</v>
      </c>
      <c r="V24" s="71">
        <v>9651</v>
      </c>
      <c r="W24" s="71">
        <v>10760</v>
      </c>
      <c r="X24" s="71">
        <v>2795</v>
      </c>
      <c r="Y24" s="71">
        <v>4224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24665.886045648003</v>
      </c>
      <c r="E25" s="91" ph="1">
        <f>E24*268.68*LOOKUP(E26,密度!$A$2:$A$50,密度!$C$2:$C$50)+IF(E24&lt;=0,0,1566*LOOKUP(E26,密度!$A$2:$A$50,密度!$C$2:$C$50))</f>
        <v>30285.076526639998</v>
      </c>
      <c r="F25" s="91" ph="1">
        <f>F24*11.702*LOOKUP(F26,密度!$A$2:$A$50,密度!$Q$2:$Q$50)</f>
        <v>44232.66257362</v>
      </c>
      <c r="G25" s="91" ph="1">
        <f>G24*18.322*LOOKUP(G26,密度!$A$2:$A$50,密度!$B$2:$B$50)</f>
        <v>31336.332799599997</v>
      </c>
      <c r="H25" s="91" ph="1">
        <f>H24*18.322*LOOKUP(H26,密度!$A$2:$A$50,密度!$B$2:$B$50)</f>
        <v>24602.957491199999</v>
      </c>
      <c r="I25" s="91" ph="1">
        <f>I24*18.322*LOOKUP(I26,密度!$A$2:$A$50,密度!$Q$2:$Q$50)</f>
        <v>40789.513733599997</v>
      </c>
      <c r="J25" s="91" ph="1">
        <f>J24*18.322*LOOKUP(J26,密度!$A$2:$A$50,密度!$Q$2:$Q$50)</f>
        <v>93712.179433719997</v>
      </c>
      <c r="K25" s="91" ph="1">
        <f>K24*18.322*LOOKUP(K26,密度!$A$2:$A$50,密度!$Q$2:$Q$50)</f>
        <v>20223.112339959996</v>
      </c>
      <c r="L25" s="91" ph="1">
        <f>L24*18.322*LOOKUP(L26,密度!$A$2:$A$50,密度!$Q$2:$Q$50)</f>
        <v>19584.124161839998</v>
      </c>
      <c r="M25" s="91" ph="1">
        <f>M24*18.322*LOOKUP(M26,密度!$A$2:$A$50,密度!$Q$2:$Q$50)</f>
        <v>91015.923441160005</v>
      </c>
      <c r="N25" s="91" ph="1">
        <f>N24*18.322*LOOKUP(N26,密度!$A$2:$A$50,密度!$Q$2:$Q$50)</f>
        <v>92169.727206119991</v>
      </c>
      <c r="O25" s="91" ph="1">
        <f>O24*18.322*LOOKUP(O26,密度!$A$2:$A$50,密度!$C$2:$C$50)</f>
        <v>74815.037928999984</v>
      </c>
      <c r="P25" s="91" ph="1">
        <f>P24*11.702*LOOKUP(P26,密度!$A$2:$A$50,密度!$B$2:$B$50)</f>
        <v>3311.4846189999998</v>
      </c>
      <c r="Q25" s="92" ph="1">
        <f>Q24*18.322*LOOKUP(Q26,密度!$A$2:$A$50,密度!$B$2:$B$50)</f>
        <v>30661.632478399999</v>
      </c>
      <c r="R25" s="91" ph="1">
        <f>R24*35.891*LOOKUP(R26,密度!$A$2:$A$50,密度!$C$2:$C$50)</f>
        <v>69172.523310399993</v>
      </c>
      <c r="S25" s="91" ph="1">
        <f>S24*35.891*LOOKUP(S26,密度!$A$2:$A$50,密度!$B$2:$B$50)</f>
        <v>133955.7711322</v>
      </c>
      <c r="T25" s="91" ph="1">
        <f>T24*35.891*LOOKUP(T26,密度!$A$2:$A$50,密度!$Q$2:$Q$50)</f>
        <v>59795.714226950004</v>
      </c>
      <c r="U25" s="91" ph="1">
        <f>U24*35.891</f>
        <v>154546.64599999998</v>
      </c>
      <c r="V25" s="91" ph="1">
        <f>V24*47.051*LOOKUP(V26,密度!$A$2:$A$50,密度!$B$2:$B$50)</f>
        <v>352464.0378162</v>
      </c>
      <c r="W25" s="91" ph="1">
        <f>W24*47.051*LOOKUP(W26,密度!$A$2:$A$50,密度!$B$2:$B$50)</f>
        <v>392054.52774400002</v>
      </c>
      <c r="X25" s="91" ph="1">
        <f>X24*47.051*LOOKUP(X26,密度!$A$2:$A$50,密度!$I$2:$I$50)</f>
        <v>136465.37944650001</v>
      </c>
      <c r="Y25" s="91" ph="1">
        <f>Y24*47.051*LOOKUP(Y26,密度!$A$2:$A$50,密度!$L$2:$L$50)</f>
        <v>185228.87116800001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30</v>
      </c>
      <c r="G26" s="74">
        <v>30</v>
      </c>
      <c r="H26" s="74">
        <v>31</v>
      </c>
      <c r="I26" s="74">
        <v>30</v>
      </c>
      <c r="J26" s="74">
        <v>30</v>
      </c>
      <c r="K26" s="74">
        <v>31</v>
      </c>
      <c r="L26" s="74">
        <v>31</v>
      </c>
      <c r="M26" s="74">
        <v>30</v>
      </c>
      <c r="N26" s="74">
        <v>31</v>
      </c>
      <c r="O26" s="74">
        <v>30</v>
      </c>
      <c r="P26" s="74">
        <v>30</v>
      </c>
      <c r="Q26" s="93">
        <v>29</v>
      </c>
      <c r="R26" s="74">
        <v>30</v>
      </c>
      <c r="S26" s="74">
        <v>30</v>
      </c>
      <c r="T26" s="74">
        <v>29</v>
      </c>
      <c r="U26" s="74">
        <v>29</v>
      </c>
      <c r="V26" s="74">
        <v>29</v>
      </c>
      <c r="W26" s="74">
        <v>31</v>
      </c>
      <c r="X26" s="74">
        <v>29</v>
      </c>
      <c r="Y26" s="74">
        <v>30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65" t="s" ph="1">
        <v>181</v>
      </c>
      <c r="D27" s="71">
        <v>91.12</v>
      </c>
      <c r="E27" s="71">
        <v>95.71</v>
      </c>
      <c r="F27" s="71">
        <v>4009</v>
      </c>
      <c r="G27" s="71">
        <v>1512</v>
      </c>
      <c r="H27" s="71">
        <v>1414</v>
      </c>
      <c r="I27" s="71">
        <v>2360</v>
      </c>
      <c r="J27" s="71">
        <v>5421</v>
      </c>
      <c r="K27" s="71">
        <v>1169</v>
      </c>
      <c r="L27" s="71">
        <v>2352</v>
      </c>
      <c r="M27" s="71">
        <v>5267</v>
      </c>
      <c r="N27" s="71">
        <v>5337</v>
      </c>
      <c r="O27" s="71">
        <v>3692</v>
      </c>
      <c r="P27" s="71">
        <v>363</v>
      </c>
      <c r="Q27" s="90">
        <v>2537</v>
      </c>
      <c r="R27" s="71">
        <v>1741</v>
      </c>
      <c r="S27" s="71">
        <v>5443</v>
      </c>
      <c r="T27" s="71">
        <v>1763</v>
      </c>
      <c r="U27" s="71">
        <v>4405</v>
      </c>
      <c r="V27" s="71">
        <v>9652</v>
      </c>
      <c r="W27" s="71">
        <v>10761</v>
      </c>
      <c r="X27" s="71">
        <v>3375</v>
      </c>
      <c r="Y27" s="71">
        <v>4980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65" t="s" ph="1">
        <v>179</v>
      </c>
      <c r="D28" s="91" ph="1">
        <f>D27*268.68*LOOKUP(D29,密度!$A$2:$A$50,密度!$Q$2:$Q$50)+IF(D27&lt;=0,0,1566*LOOKUP(D29,密度!$A$2:$A$50,密度!$Q$2:$Q$50))</f>
        <v>24660.798643584003</v>
      </c>
      <c r="E28" s="91" ph="1">
        <f>E27*268.68*LOOKUP(E29,密度!$A$2:$A$50,密度!$C$2:$C$50)+IF(E27&lt;=0,0,1566*LOOKUP(E29,密度!$A$2:$A$50,密度!$C$2:$C$50))</f>
        <v>30252.303208919999</v>
      </c>
      <c r="F28" s="91" ph="1">
        <f>F27*11.702*LOOKUP(F29,密度!$A$2:$A$50,密度!$Q$2:$Q$50)</f>
        <v>44157.160567500003</v>
      </c>
      <c r="G28" s="91" ph="1">
        <f>G27*18.322*LOOKUP(G29,密度!$A$2:$A$50,密度!$B$2:$B$50)</f>
        <v>21453.097881599999</v>
      </c>
      <c r="H28" s="91" ph="1">
        <f>H27*18.322*LOOKUP(H29,密度!$A$2:$A$50,密度!$B$2:$B$50)</f>
        <v>20039.302737999998</v>
      </c>
      <c r="I28" s="91" ph="1">
        <f>I27*18.322*LOOKUP(I29,密度!$A$2:$A$50,密度!$Q$2:$Q$50)</f>
        <v>40727.680647999994</v>
      </c>
      <c r="J28" s="91" ph="1">
        <f>J27*18.322*LOOKUP(J29,密度!$A$2:$A$50,密度!$Q$2:$Q$50)</f>
        <v>93620.403069959983</v>
      </c>
      <c r="K28" s="91" ph="1">
        <f>K27*18.322*LOOKUP(K29,密度!$A$2:$A$50,密度!$Q$2:$Q$50)</f>
        <v>20174.007914199996</v>
      </c>
      <c r="L28" s="91" ph="1">
        <f>L27*18.322*LOOKUP(L29,密度!$A$2:$A$50,密度!$Q$2:$Q$50)</f>
        <v>40561.61004</v>
      </c>
      <c r="M28" s="91" ph="1">
        <f>M27*18.322*LOOKUP(M29,密度!$A$2:$A$50,密度!$Q$2:$Q$50)</f>
        <v>90960.830652920005</v>
      </c>
      <c r="N28" s="91" ph="1">
        <f>N27*18.322*LOOKUP(N29,密度!$A$2:$A$50,密度!$Q$2:$Q$50)</f>
        <v>92039.673802499994</v>
      </c>
      <c r="O28" s="91" ph="1">
        <f>O27*18.322*LOOKUP(O29,密度!$A$2:$A$50,密度!$C$2:$C$50)</f>
        <v>74612.240871999995</v>
      </c>
      <c r="P28" s="91" ph="1">
        <f>P27*11.702*LOOKUP(P29,密度!$A$2:$A$50,密度!$B$2:$B$50)</f>
        <v>3285.6934109999997</v>
      </c>
      <c r="Q28" s="92" ph="1">
        <f>Q27*18.322*LOOKUP(Q29,密度!$A$2:$A$50,密度!$B$2:$B$50)</f>
        <v>35954.533978999993</v>
      </c>
      <c r="R28" s="91" ph="1">
        <f>R27*35.891*LOOKUP(R29,密度!$A$2:$A$50,密度!$C$2:$C$50)</f>
        <v>68991.0476471</v>
      </c>
      <c r="S28" s="91" ph="1">
        <f>S27*35.891*LOOKUP(S29,密度!$A$2:$A$50,密度!$B$2:$B$50)</f>
        <v>151106.87050549997</v>
      </c>
      <c r="T28" s="91" ph="1">
        <f>T27*35.891*LOOKUP(T29,密度!$A$2:$A$50,密度!$Q$2:$Q$50)</f>
        <v>59599.507102699994</v>
      </c>
      <c r="U28" s="91" ph="1">
        <f>U27*35.891</f>
        <v>158099.85499999998</v>
      </c>
      <c r="V28" s="91" ph="1">
        <f>V27*47.051*LOOKUP(V29,密度!$A$2:$A$50,密度!$B$2:$B$50)</f>
        <v>352091.83617560001</v>
      </c>
      <c r="W28" s="91" ph="1">
        <f>W27*47.051*LOOKUP(W29,密度!$A$2:$A$50,密度!$B$2:$B$50)</f>
        <v>392546.64826830005</v>
      </c>
      <c r="X28" s="91" ph="1">
        <f>X27*47.051*LOOKUP(X29,密度!$A$2:$A$50,密度!$I$2:$I$50)</f>
        <v>164783.77661250002</v>
      </c>
      <c r="Y28" s="91" ph="1">
        <f>Y27*47.051*LOOKUP(Y29,密度!$A$2:$A$50,密度!$L$2:$L$50)</f>
        <v>218146.31538000001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65" t="s" ph="1">
        <v>180</v>
      </c>
      <c r="D29" s="74">
        <v>25</v>
      </c>
      <c r="E29" s="74">
        <v>25</v>
      </c>
      <c r="F29" s="74">
        <v>33</v>
      </c>
      <c r="G29" s="74">
        <v>31</v>
      </c>
      <c r="H29" s="74">
        <v>32</v>
      </c>
      <c r="I29" s="74">
        <v>32</v>
      </c>
      <c r="J29" s="74">
        <v>31</v>
      </c>
      <c r="K29" s="74">
        <v>32</v>
      </c>
      <c r="L29" s="74">
        <v>33</v>
      </c>
      <c r="M29" s="74">
        <v>31</v>
      </c>
      <c r="N29" s="74">
        <v>33</v>
      </c>
      <c r="O29" s="74">
        <v>32</v>
      </c>
      <c r="P29" s="74">
        <v>32</v>
      </c>
      <c r="Q29" s="93">
        <v>32</v>
      </c>
      <c r="R29" s="74">
        <v>31</v>
      </c>
      <c r="S29" s="74">
        <v>32</v>
      </c>
      <c r="T29" s="74">
        <v>32</v>
      </c>
      <c r="U29" s="74">
        <v>31</v>
      </c>
      <c r="V29" s="74">
        <v>30</v>
      </c>
      <c r="W29" s="74">
        <v>30</v>
      </c>
      <c r="X29" s="74">
        <v>29</v>
      </c>
      <c r="Y29" s="74">
        <v>31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65" t="s" ph="1">
        <v>5</v>
      </c>
      <c r="F32" s="164" t="s" ph="1">
        <v>43</v>
      </c>
      <c r="G32" s="97" t="s" ph="1">
        <v>4</v>
      </c>
      <c r="H32" s="165" t="s" ph="1">
        <v>5</v>
      </c>
      <c r="I32" s="164" t="s" ph="1">
        <v>43</v>
      </c>
      <c r="J32" s="97" t="s" ph="1">
        <v>4</v>
      </c>
      <c r="K32" s="165" t="s" ph="1">
        <v>5</v>
      </c>
      <c r="L32" s="164" t="s" ph="1">
        <v>43</v>
      </c>
      <c r="M32" s="97" t="s" ph="1">
        <v>4</v>
      </c>
      <c r="N32" s="165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4" t="s" ph="1">
        <v>43</v>
      </c>
      <c r="AB32" s="97" t="s" ph="1">
        <v>85</v>
      </c>
      <c r="AC32" s="165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107918.56743239998</v>
      </c>
      <c r="E33" s="193" ph="1">
        <f>M10+I10</f>
        <v>198417.51723969998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9" ph="1">
        <v>0</v>
      </c>
      <c r="H33" s="193" ph="1">
        <f>N19</f>
        <v>14998.589626000001</v>
      </c>
      <c r="I33" s="197" ph="1">
        <v>0</v>
      </c>
      <c r="J33" s="201" ph="1">
        <f>F10+O28</f>
        <v>336666.08700970002</v>
      </c>
      <c r="K33" s="193" ph="1">
        <f>O10+K10+E28+R28</f>
        <v>102750.56859042001</v>
      </c>
      <c r="L33" s="203" ph="1">
        <f>BE27</f>
        <v>7100</v>
      </c>
      <c r="M33" s="201" ph="1">
        <f>G10+H10+W28+S28+V28+E10</f>
        <v>1488852.9908483999</v>
      </c>
      <c r="N33" s="193" ph="1">
        <f>L10+P10++G28+H28</f>
        <v>261378.3581556</v>
      </c>
      <c r="O33" s="197" ph="1">
        <f>BE17</f>
        <v>2270</v>
      </c>
      <c r="P33" s="201" ph="1">
        <f>L19</f>
        <v>39834.384134580003</v>
      </c>
      <c r="Q33" s="193" ph="1">
        <f>J10+N10</f>
        <v>100745.21043452001</v>
      </c>
      <c r="R33" s="197" ph="1">
        <f>BE23</f>
        <v>890</v>
      </c>
      <c r="S33" s="201" ph="1">
        <f>E10+X28</f>
        <v>352442.38631550001</v>
      </c>
      <c r="T33" s="193" ph="1">
        <f>X19</f>
        <v>6026.610936</v>
      </c>
      <c r="U33" s="182" ph="1">
        <f>BE21</f>
        <v>730</v>
      </c>
      <c r="V33" s="195" ph="1">
        <f ca="1">P19+Q19+S19+M28+N28+J28</f>
        <v>397285.86508657003</v>
      </c>
      <c r="W33" s="195" ph="1">
        <f>D28+F28+V19+T28</f>
        <v>138755.51814628398</v>
      </c>
      <c r="X33" s="197" ph="1">
        <f>BE29+BE31</f>
        <v>10200</v>
      </c>
      <c r="Y33" s="199" ph="1">
        <f>+Q10+R10+S10+T10+U10+V10+W10+X10+Y10</f>
        <v>154805.28053759999</v>
      </c>
      <c r="Z33" s="180" ph="1">
        <f>D10+T19+U19+Y28+Z10</f>
        <v>511209.53403744003</v>
      </c>
      <c r="AA33" s="182" ph="1">
        <f>BE19</f>
        <v>1440</v>
      </c>
      <c r="AB33" s="184" ph="1">
        <f>I19</f>
        <v>1078.7158512000001</v>
      </c>
      <c r="AC33" s="186" ph="1">
        <f>AD10</f>
        <v>86365.580112000011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63" t="s" ph="1">
        <v>186</v>
      </c>
      <c r="AA36" s="163" ph="1"/>
      <c r="AB36" s="179" t="s" ph="1">
        <v>646</v>
      </c>
      <c r="AC36" s="179" ph="1"/>
      <c r="AD36" s="179" ph="1"/>
      <c r="AE36" s="179" ph="1"/>
      <c r="BA36" s="64" ph="1">
        <v>2270</v>
      </c>
    </row>
    <row r="37" spans="1:57" s="16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3" t="s" ph="1">
        <v>345</v>
      </c>
      <c r="AI37" s="163" t="s" ph="1">
        <v>212</v>
      </c>
      <c r="AJ37" s="163" t="s" ph="1">
        <v>213</v>
      </c>
      <c r="AK37" s="163" t="s" ph="1">
        <v>214</v>
      </c>
      <c r="AM37" s="163" t="s" ph="1">
        <v>213</v>
      </c>
      <c r="AN37" s="163" t="s" ph="1">
        <v>214</v>
      </c>
      <c r="AO37" s="163" t="s" ph="1">
        <v>215</v>
      </c>
      <c r="AP37" s="163" t="s" ph="1">
        <v>213</v>
      </c>
      <c r="AQ37" s="163" t="s" ph="1">
        <v>214</v>
      </c>
      <c r="AR37" s="163" t="s" ph="1">
        <v>215</v>
      </c>
      <c r="AS37" s="163" t="s" ph="1">
        <v>213</v>
      </c>
      <c r="AT37" s="163" t="s" ph="1">
        <v>214</v>
      </c>
      <c r="AU37" s="163" t="s" ph="1">
        <v>215</v>
      </c>
      <c r="AV37" s="163" t="s" ph="1">
        <v>213</v>
      </c>
      <c r="AW37" s="163" t="s" ph="1">
        <v>214</v>
      </c>
      <c r="AX37" s="163" t="s" ph="1">
        <v>215</v>
      </c>
      <c r="AY37" s="163" t="s" ph="1">
        <v>214</v>
      </c>
      <c r="AZ37" s="163" t="s" ph="1">
        <v>216</v>
      </c>
      <c r="BD37" s="163" t="s" ph="1">
        <v>308</v>
      </c>
      <c r="BE37" s="163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507" priority="97">
      <formula>ABS(D$7-D$10)&gt;=1000</formula>
    </cfRule>
  </conditionalFormatting>
  <conditionalFormatting sqref="E4 E6:E11">
    <cfRule type="expression" dxfId="506" priority="96">
      <formula>ABS(E$7-E$10)&gt;=1000</formula>
    </cfRule>
  </conditionalFormatting>
  <conditionalFormatting sqref="F4:F11">
    <cfRule type="expression" dxfId="505" priority="95">
      <formula>ABS(F$7-F$10)&gt;=1000</formula>
    </cfRule>
  </conditionalFormatting>
  <conditionalFormatting sqref="G4:G11">
    <cfRule type="expression" dxfId="504" priority="94">
      <formula>ABS(G$7-G$10)&gt;=1000</formula>
    </cfRule>
  </conditionalFormatting>
  <conditionalFormatting sqref="H4:H11">
    <cfRule type="expression" dxfId="503" priority="93">
      <formula>ABS(H$7-H$10)&gt;=1000</formula>
    </cfRule>
  </conditionalFormatting>
  <conditionalFormatting sqref="I4:I11">
    <cfRule type="expression" dxfId="502" priority="92">
      <formula>ABS(I$7-I$10)&gt;=1000</formula>
    </cfRule>
  </conditionalFormatting>
  <conditionalFormatting sqref="J4:J11">
    <cfRule type="expression" dxfId="501" priority="91">
      <formula>ABS(J$7-J$10)&gt;=1000</formula>
    </cfRule>
  </conditionalFormatting>
  <conditionalFormatting sqref="K4:K11">
    <cfRule type="expression" dxfId="500" priority="90">
      <formula>ABS(K$7-K$10)&gt;=1000</formula>
    </cfRule>
  </conditionalFormatting>
  <conditionalFormatting sqref="L4:L11">
    <cfRule type="expression" dxfId="499" priority="89">
      <formula>ABS(L$7-L$10)&gt;=1000</formula>
    </cfRule>
  </conditionalFormatting>
  <conditionalFormatting sqref="M4 M6:M11">
    <cfRule type="expression" dxfId="498" priority="88">
      <formula>ABS(M$7-M$10)&gt;=1000</formula>
    </cfRule>
  </conditionalFormatting>
  <conditionalFormatting sqref="N4 N6:N11">
    <cfRule type="expression" dxfId="497" priority="87">
      <formula>ABS(N$7-N$10)&gt;=1000</formula>
    </cfRule>
  </conditionalFormatting>
  <conditionalFormatting sqref="O4 O6:O11">
    <cfRule type="expression" dxfId="496" priority="86">
      <formula>ABS(O$7-O$10)&gt;=1000</formula>
    </cfRule>
  </conditionalFormatting>
  <conditionalFormatting sqref="P4 P6:P11">
    <cfRule type="expression" dxfId="495" priority="85">
      <formula>ABS(P$7-P$10)&gt;=1000</formula>
    </cfRule>
  </conditionalFormatting>
  <conditionalFormatting sqref="Q4:Q11">
    <cfRule type="expression" dxfId="494" priority="84">
      <formula>ABS(Q$7-Q$10)&gt;=1000</formula>
    </cfRule>
  </conditionalFormatting>
  <conditionalFormatting sqref="R4:R11">
    <cfRule type="expression" dxfId="493" priority="83">
      <formula>ABS(R$7-R$10)&gt;=1000</formula>
    </cfRule>
  </conditionalFormatting>
  <conditionalFormatting sqref="S4:S11">
    <cfRule type="expression" dxfId="492" priority="82">
      <formula>ABS(S$7-S$10)&gt;=1000</formula>
    </cfRule>
  </conditionalFormatting>
  <conditionalFormatting sqref="T4:T9 T11">
    <cfRule type="expression" dxfId="491" priority="81">
      <formula>ABS(T$7-T$10)&gt;=1000</formula>
    </cfRule>
  </conditionalFormatting>
  <conditionalFormatting sqref="U4:U9 U11">
    <cfRule type="expression" dxfId="490" priority="80">
      <formula>ABS(U$7-U$10)&gt;=1000</formula>
    </cfRule>
  </conditionalFormatting>
  <conditionalFormatting sqref="V4:V9 V11">
    <cfRule type="expression" dxfId="489" priority="79">
      <formula>ABS(V$7-V$10)&gt;=1000</formula>
    </cfRule>
  </conditionalFormatting>
  <conditionalFormatting sqref="W4:W9 W11">
    <cfRule type="expression" dxfId="488" priority="78">
      <formula>ABS(W$7-W$10)&gt;=1000</formula>
    </cfRule>
  </conditionalFormatting>
  <conditionalFormatting sqref="X4:X9 X11">
    <cfRule type="expression" dxfId="487" priority="77">
      <formula>ABS(X$7-X$10)&gt;=1000</formula>
    </cfRule>
  </conditionalFormatting>
  <conditionalFormatting sqref="Y4:Y9 Y11">
    <cfRule type="expression" dxfId="486" priority="76">
      <formula>ABS(Y$7-Y$10)&gt;=1000</formula>
    </cfRule>
  </conditionalFormatting>
  <conditionalFormatting sqref="Z4:Z11">
    <cfRule type="expression" dxfId="485" priority="75">
      <formula>ABS(Z$7-Z$10)&gt;=1000</formula>
    </cfRule>
  </conditionalFormatting>
  <conditionalFormatting sqref="AA4:AA11">
    <cfRule type="expression" dxfId="484" priority="74">
      <formula>ABS(AA$7-AA$10)&gt;=1000</formula>
    </cfRule>
  </conditionalFormatting>
  <conditionalFormatting sqref="AB4:AB11">
    <cfRule type="expression" dxfId="483" priority="73">
      <formula>ABS(AB$7-AB$10)&gt;=1000</formula>
    </cfRule>
  </conditionalFormatting>
  <conditionalFormatting sqref="AC4 AC6:AC11">
    <cfRule type="expression" dxfId="482" priority="72">
      <formula>ABS(AC$7-AC$10)&gt;=1000</formula>
    </cfRule>
  </conditionalFormatting>
  <conditionalFormatting sqref="AD4:AD11">
    <cfRule type="expression" dxfId="481" priority="71">
      <formula>ABS(AD$7-AD$10)&gt;=1000</formula>
    </cfRule>
  </conditionalFormatting>
  <conditionalFormatting sqref="AE4:AE11">
    <cfRule type="expression" dxfId="480" priority="70">
      <formula>ABS(AE$7-AE$10)&gt;=1000</formula>
    </cfRule>
  </conditionalFormatting>
  <conditionalFormatting sqref="D13:D20">
    <cfRule type="expression" dxfId="479" priority="69">
      <formula>ABS(D$16-D$19)&gt;=1000</formula>
    </cfRule>
  </conditionalFormatting>
  <conditionalFormatting sqref="E13:E20">
    <cfRule type="expression" dxfId="478" priority="68">
      <formula>ABS(E$16-E$19)&gt;=1000</formula>
    </cfRule>
  </conditionalFormatting>
  <conditionalFormatting sqref="F13 F15:F20">
    <cfRule type="expression" dxfId="477" priority="67">
      <formula>ABS(F$16-F$19)&gt;=1000</formula>
    </cfRule>
  </conditionalFormatting>
  <conditionalFormatting sqref="G13:G20">
    <cfRule type="expression" dxfId="476" priority="66">
      <formula>ABS(G$16-G$19)&gt;=1000</formula>
    </cfRule>
  </conditionalFormatting>
  <conditionalFormatting sqref="H13:H20">
    <cfRule type="expression" dxfId="475" priority="65">
      <formula>ABS(H$16-H$19)&gt;=1000</formula>
    </cfRule>
  </conditionalFormatting>
  <conditionalFormatting sqref="I13:I20">
    <cfRule type="expression" dxfId="474" priority="64">
      <formula>ABS(I$16-I$19)&gt;=1000</formula>
    </cfRule>
  </conditionalFormatting>
  <conditionalFormatting sqref="J13:J20">
    <cfRule type="expression" dxfId="473" priority="63">
      <formula>ABS(J$16-J$19)&gt;=1000</formula>
    </cfRule>
  </conditionalFormatting>
  <conditionalFormatting sqref="L13:L20">
    <cfRule type="expression" dxfId="472" priority="62">
      <formula>ABS(L$16-L$19)&gt;=1000</formula>
    </cfRule>
  </conditionalFormatting>
  <conditionalFormatting sqref="M13 M15 M17:M18 M20">
    <cfRule type="expression" dxfId="471" priority="61">
      <formula>ABS(M$16-M$19)&gt;=1000</formula>
    </cfRule>
  </conditionalFormatting>
  <conditionalFormatting sqref="N13:N20">
    <cfRule type="expression" dxfId="470" priority="60">
      <formula>ABS(N$16-N$19)&gt;=1000</formula>
    </cfRule>
  </conditionalFormatting>
  <conditionalFormatting sqref="O13:O20">
    <cfRule type="expression" dxfId="469" priority="59">
      <formula>ABS(O$16-O$19)&gt;=1000</formula>
    </cfRule>
  </conditionalFormatting>
  <conditionalFormatting sqref="P13:P20">
    <cfRule type="expression" dxfId="468" priority="58">
      <formula>ABS(P$16-P$19)&gt;=1000</formula>
    </cfRule>
  </conditionalFormatting>
  <conditionalFormatting sqref="Q13 Q15:Q20">
    <cfRule type="expression" dxfId="467" priority="57">
      <formula>ABS(Q$16-Q$19)&gt;=1000</formula>
    </cfRule>
  </conditionalFormatting>
  <conditionalFormatting sqref="R13:R20">
    <cfRule type="expression" dxfId="466" priority="56">
      <formula>ABS(R$16-R$19)&gt;=1000</formula>
    </cfRule>
  </conditionalFormatting>
  <conditionalFormatting sqref="S13:S20">
    <cfRule type="expression" dxfId="465" priority="55">
      <formula>ABS(S$16-S$19)&gt;=1000</formula>
    </cfRule>
  </conditionalFormatting>
  <conditionalFormatting sqref="T13:T20">
    <cfRule type="expression" dxfId="464" priority="54">
      <formula>ABS(T$16-T$19)&gt;=1000</formula>
    </cfRule>
  </conditionalFormatting>
  <conditionalFormatting sqref="U13:U20">
    <cfRule type="expression" dxfId="463" priority="53">
      <formula>ABS(U$16-U$19)&gt;=1000</formula>
    </cfRule>
  </conditionalFormatting>
  <conditionalFormatting sqref="V13:V20">
    <cfRule type="expression" dxfId="462" priority="52">
      <formula>ABS(V$16-V$19)&gt;=1000</formula>
    </cfRule>
  </conditionalFormatting>
  <conditionalFormatting sqref="W13 W20 W15:W18">
    <cfRule type="expression" dxfId="461" priority="51">
      <formula>ABS(W$16-W$19)&gt;=1000</formula>
    </cfRule>
  </conditionalFormatting>
  <conditionalFormatting sqref="X13 X15:X20 Y19">
    <cfRule type="expression" dxfId="460" priority="50">
      <formula>ABS(X$16-X$19)&gt;=1000</formula>
    </cfRule>
  </conditionalFormatting>
  <conditionalFormatting sqref="Y13 Y15:Y18 Y20">
    <cfRule type="expression" dxfId="459" priority="49">
      <formula>ABS(Y$16-Y$19)&gt;=1000</formula>
    </cfRule>
  </conditionalFormatting>
  <conditionalFormatting sqref="Z13:Z20">
    <cfRule type="expression" dxfId="458" priority="48">
      <formula>ABS(Z$16-Z$19)&gt;=1000</formula>
    </cfRule>
  </conditionalFormatting>
  <conditionalFormatting sqref="AA13:AA20">
    <cfRule type="expression" dxfId="457" priority="47">
      <formula>ABS(AA$16-AA$19)&gt;=1000</formula>
    </cfRule>
  </conditionalFormatting>
  <conditionalFormatting sqref="AB13 AB15:AB20">
    <cfRule type="expression" dxfId="456" priority="46">
      <formula>ABS(AB$16-AB$19)&gt;=1000</formula>
    </cfRule>
  </conditionalFormatting>
  <conditionalFormatting sqref="AC13 AC15:AC20">
    <cfRule type="expression" dxfId="455" priority="45">
      <formula>ABS(AC$16-AC$19)&gt;=1000</formula>
    </cfRule>
  </conditionalFormatting>
  <conditionalFormatting sqref="AD13:AD20">
    <cfRule type="expression" dxfId="454" priority="44">
      <formula>ABS(AD$16-AD$19)&gt;=1000</formula>
    </cfRule>
  </conditionalFormatting>
  <conditionalFormatting sqref="AE13:AE20">
    <cfRule type="expression" dxfId="453" priority="43">
      <formula>ABS(AE$16-AE$19)&gt;=1000</formula>
    </cfRule>
  </conditionalFormatting>
  <conditionalFormatting sqref="D22:D29">
    <cfRule type="expression" dxfId="452" priority="42">
      <formula>ABS(D$25-D$28)&gt;=1000</formula>
    </cfRule>
  </conditionalFormatting>
  <conditionalFormatting sqref="E22:E29">
    <cfRule type="expression" dxfId="451" priority="41">
      <formula>ABS(E$25-E$28)&gt;=1000</formula>
    </cfRule>
  </conditionalFormatting>
  <conditionalFormatting sqref="F22:F29">
    <cfRule type="expression" dxfId="450" priority="40">
      <formula>ABS(F$25-F$28)&gt;=1000</formula>
    </cfRule>
  </conditionalFormatting>
  <conditionalFormatting sqref="G22:G29">
    <cfRule type="expression" dxfId="449" priority="39">
      <formula>ABS(G$25-G$28)&gt;=1000</formula>
    </cfRule>
  </conditionalFormatting>
  <conditionalFormatting sqref="H22:H29">
    <cfRule type="expression" dxfId="448" priority="38">
      <formula>ABS(H$25-H$28)&gt;=1000</formula>
    </cfRule>
  </conditionalFormatting>
  <conditionalFormatting sqref="I22 I24:I29">
    <cfRule type="expression" dxfId="447" priority="37">
      <formula>ABS(I$25-I$28)&gt;=1000</formula>
    </cfRule>
  </conditionalFormatting>
  <conditionalFormatting sqref="J22:J29 K22">
    <cfRule type="expression" dxfId="446" priority="36">
      <formula>ABS(J$25-J$28)&gt;=1000</formula>
    </cfRule>
  </conditionalFormatting>
  <conditionalFormatting sqref="K23:K29 L25 L28">
    <cfRule type="expression" dxfId="445" priority="35">
      <formula>ABS(K$25-K$28)&gt;=1000</formula>
    </cfRule>
  </conditionalFormatting>
  <conditionalFormatting sqref="L22 L26:L27 L29 L24">
    <cfRule type="expression" dxfId="444" priority="34">
      <formula>ABS(L$25-L$28)&gt;=1000</formula>
    </cfRule>
  </conditionalFormatting>
  <conditionalFormatting sqref="M22:M29">
    <cfRule type="expression" dxfId="443" priority="33">
      <formula>ABS(M$25-M$28)&gt;=1000</formula>
    </cfRule>
  </conditionalFormatting>
  <conditionalFormatting sqref="N22:N29">
    <cfRule type="expression" dxfId="442" priority="32">
      <formula>ABS(N$25-N$28)&gt;=1000</formula>
    </cfRule>
  </conditionalFormatting>
  <conditionalFormatting sqref="O22:O29">
    <cfRule type="expression" dxfId="441" priority="31">
      <formula>ABS(O$25-O$28)&gt;=1000</formula>
    </cfRule>
  </conditionalFormatting>
  <conditionalFormatting sqref="P22:P29">
    <cfRule type="expression" dxfId="440" priority="30">
      <formula>ABS(P$25-P$28)&gt;=1000</formula>
    </cfRule>
  </conditionalFormatting>
  <conditionalFormatting sqref="Q22:Q29">
    <cfRule type="expression" dxfId="439" priority="29">
      <formula>ABS(Q$25-Q$28)&gt;=1000</formula>
    </cfRule>
  </conditionalFormatting>
  <conditionalFormatting sqref="R22:R29">
    <cfRule type="expression" dxfId="438" priority="28">
      <formula>ABS(R$25-R$28)&gt;=1000</formula>
    </cfRule>
  </conditionalFormatting>
  <conditionalFormatting sqref="S22:S29">
    <cfRule type="expression" dxfId="437" priority="27">
      <formula>ABS(S$25-S$28)&gt;=1000</formula>
    </cfRule>
  </conditionalFormatting>
  <conditionalFormatting sqref="T22:T29">
    <cfRule type="expression" dxfId="436" priority="26">
      <formula>ABS(T$25-T$28)&gt;=1000</formula>
    </cfRule>
  </conditionalFormatting>
  <conditionalFormatting sqref="U22:U29">
    <cfRule type="expression" dxfId="435" priority="25">
      <formula>ABS(U$25-U$28)&gt;=1000</formula>
    </cfRule>
  </conditionalFormatting>
  <conditionalFormatting sqref="V22:V29">
    <cfRule type="expression" dxfId="434" priority="24">
      <formula>ABS(V$25-V$28)&gt;=1000</formula>
    </cfRule>
  </conditionalFormatting>
  <conditionalFormatting sqref="W22:W29">
    <cfRule type="expression" dxfId="433" priority="23">
      <formula>ABS(W$25-W$28)&gt;=1000</formula>
    </cfRule>
  </conditionalFormatting>
  <conditionalFormatting sqref="X22:X29">
    <cfRule type="expression" dxfId="432" priority="22">
      <formula>ABS(X$25-X$28)&gt;=1000</formula>
    </cfRule>
  </conditionalFormatting>
  <conditionalFormatting sqref="Y22:Y29">
    <cfRule type="expression" dxfId="431" priority="21">
      <formula>ABS(Y$25-Y$28)&gt;=1000</formula>
    </cfRule>
  </conditionalFormatting>
  <conditionalFormatting sqref="I23">
    <cfRule type="expression" dxfId="430" priority="20">
      <formula>ABS(I$25-I$28)&gt;=1000</formula>
    </cfRule>
  </conditionalFormatting>
  <conditionalFormatting sqref="F14">
    <cfRule type="expression" dxfId="429" priority="19">
      <formula>ABS(F$16-F$19)&gt;=1000</formula>
    </cfRule>
  </conditionalFormatting>
  <conditionalFormatting sqref="Q14">
    <cfRule type="expression" dxfId="428" priority="18">
      <formula>ABS(Q$16-Q$19)&gt;=1000</formula>
    </cfRule>
  </conditionalFormatting>
  <conditionalFormatting sqref="W14">
    <cfRule type="expression" dxfId="427" priority="17">
      <formula>ABS(W$16-W$19)&gt;=1000</formula>
    </cfRule>
  </conditionalFormatting>
  <conditionalFormatting sqref="Y14">
    <cfRule type="expression" dxfId="426" priority="16">
      <formula>ABS(Y$16-Y$19)&gt;=1000</formula>
    </cfRule>
  </conditionalFormatting>
  <conditionalFormatting sqref="X14">
    <cfRule type="expression" dxfId="425" priority="15">
      <formula>ABS(X$16-X$19)&gt;=1000</formula>
    </cfRule>
  </conditionalFormatting>
  <conditionalFormatting sqref="T10:Y10">
    <cfRule type="expression" dxfId="424" priority="14">
      <formula>ABS(T$7-T$10)&gt;=1000</formula>
    </cfRule>
  </conditionalFormatting>
  <conditionalFormatting sqref="W19">
    <cfRule type="expression" dxfId="423" priority="13">
      <formula>ABS(W$16-W$19)&gt;=1000</formula>
    </cfRule>
  </conditionalFormatting>
  <conditionalFormatting sqref="AC5">
    <cfRule type="expression" dxfId="422" priority="12">
      <formula>ABS(AC$7-AC$10)&gt;=1000</formula>
    </cfRule>
  </conditionalFormatting>
  <conditionalFormatting sqref="M14">
    <cfRule type="expression" dxfId="421" priority="11">
      <formula>ABS(M$16-M$19)&gt;=1000</formula>
    </cfRule>
  </conditionalFormatting>
  <conditionalFormatting sqref="M16">
    <cfRule type="expression" dxfId="420" priority="10">
      <formula>ABS(M$16-M$19)&gt;=1000</formula>
    </cfRule>
  </conditionalFormatting>
  <conditionalFormatting sqref="M19">
    <cfRule type="expression" dxfId="419" priority="9">
      <formula>ABS(M$16-M$19)&gt;=1000</formula>
    </cfRule>
  </conditionalFormatting>
  <conditionalFormatting sqref="K13:K20">
    <cfRule type="expression" dxfId="418" priority="8">
      <formula>ABS(K$16-K$19)&gt;=1000</formula>
    </cfRule>
  </conditionalFormatting>
  <conditionalFormatting sqref="E5">
    <cfRule type="expression" dxfId="417" priority="7">
      <formula>ABS(E$7-E$10)&gt;=1000</formula>
    </cfRule>
  </conditionalFormatting>
  <conditionalFormatting sqref="AB14:AC14">
    <cfRule type="expression" dxfId="416" priority="6">
      <formula>ABS(AB$16-AB$19)&gt;=1000</formula>
    </cfRule>
  </conditionalFormatting>
  <conditionalFormatting sqref="M5">
    <cfRule type="expression" dxfId="415" priority="5">
      <formula>ABS(M$7-M$10)&gt;=1000</formula>
    </cfRule>
  </conditionalFormatting>
  <conditionalFormatting sqref="N5">
    <cfRule type="expression" dxfId="414" priority="4">
      <formula>ABS(N$7-N$10)&gt;=1000</formula>
    </cfRule>
  </conditionalFormatting>
  <conditionalFormatting sqref="O5">
    <cfRule type="expression" dxfId="413" priority="3">
      <formula>ABS(O$7-O$10)&gt;=1000</formula>
    </cfRule>
  </conditionalFormatting>
  <conditionalFormatting sqref="P5">
    <cfRule type="expression" dxfId="412" priority="2">
      <formula>ABS(P$7-P$10)&gt;=1000</formula>
    </cfRule>
  </conditionalFormatting>
  <conditionalFormatting sqref="L23">
    <cfRule type="expression" dxfId="411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51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7">
    <pageSetUpPr fitToPage="1"/>
  </sheetPr>
  <dimension ref="A1:CU223"/>
  <sheetViews>
    <sheetView view="pageBreakPreview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45820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65" t="s" ph="1">
        <v>178</v>
      </c>
      <c r="D6" s="71">
        <v>4956</v>
      </c>
      <c r="E6" s="71">
        <v>4713</v>
      </c>
      <c r="F6" s="71">
        <v>7138</v>
      </c>
      <c r="G6" s="71">
        <v>7626</v>
      </c>
      <c r="H6" s="71">
        <v>2295</v>
      </c>
      <c r="I6" s="71">
        <v>63.31</v>
      </c>
      <c r="J6" s="71">
        <v>7.71</v>
      </c>
      <c r="K6" s="71">
        <v>7.63</v>
      </c>
      <c r="L6" s="71">
        <v>40.520000000000003</v>
      </c>
      <c r="M6" s="71">
        <v>5320</v>
      </c>
      <c r="N6" s="71">
        <v>3844</v>
      </c>
      <c r="O6" s="71">
        <v>46</v>
      </c>
      <c r="P6" s="71">
        <v>5685</v>
      </c>
      <c r="Q6" s="71">
        <v>6586</v>
      </c>
      <c r="R6" s="71">
        <v>4993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2480</v>
      </c>
      <c r="Y6" s="71">
        <v>5091</v>
      </c>
      <c r="Z6" s="71">
        <v>2453</v>
      </c>
      <c r="AA6" s="71">
        <v>556</v>
      </c>
      <c r="AB6" s="71">
        <v>4250</v>
      </c>
      <c r="AC6" s="71">
        <v>4149</v>
      </c>
      <c r="AD6" s="71">
        <v>4410</v>
      </c>
      <c r="AE6" s="71">
        <v>3290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155135.28609683999</v>
      </c>
      <c r="E7" s="73" ph="1">
        <f>E6*51.53*LOOKUP(E8,密度!$A$2:$A$50,密度!$B$2:$B$50)</f>
        <v>188508.622818</v>
      </c>
      <c r="F7" s="73" ph="1">
        <f>F6*33.183*LOOKUP(F8,密度!$A$2:$A$50,密度!$C$2:$C$50)</f>
        <v>262299.04527959996</v>
      </c>
      <c r="G7" s="73" ph="1">
        <f xml:space="preserve"> (G6+2)*51.53*LOOKUP(G8,密度!$A$2:$A$50,密度!$B$2:$B$50)</f>
        <v>305101.58600800001</v>
      </c>
      <c r="H7" s="73" ph="1">
        <f>(H6)*51.53*LOOKUP(H8,密度!$A$2:$A$50,密度!$B$2:$B$50)</f>
        <v>92302.983674999996</v>
      </c>
      <c r="I7" s="73" ph="1">
        <f>I6*290.8*1.0267</f>
        <v>18902.1096316</v>
      </c>
      <c r="J7" s="73" ph="1">
        <f>J6*290.8*0.7892</f>
        <v>1769.4400656000003</v>
      </c>
      <c r="K7" s="73" ph="1">
        <f>K6*290.8*1.1126</f>
        <v>2468.6413304000002</v>
      </c>
      <c r="L7" s="73" ph="1">
        <f>L6*290.8*0.777</f>
        <v>9155.5588320000024</v>
      </c>
      <c r="M7" s="73" ph="1">
        <f>M6*33.183*LOOKUP(M8,密度!$A$2:$A$50,密度!$D$2:$D$50)</f>
        <v>180576.17852399999</v>
      </c>
      <c r="N7" s="73" ph="1">
        <f>N6*33.183*LOOKUP(N8,密度!$A$2:$A$50,密度!$E$2:$E$50)</f>
        <v>99187.119475200001</v>
      </c>
      <c r="O7" s="73" ph="1">
        <f>O6*20.428*LOOKUP(O8,密度!$A$2:$A$50,密度!$C$2:$C$50)</f>
        <v>1037.5095208</v>
      </c>
      <c r="P7" s="73" ph="1">
        <f>P6*51.53*LOOKUP(P8,密度!$A$2:$A$50,密度!$B$2:$B$50)</f>
        <v>227386.27640999999</v>
      </c>
      <c r="Q7" s="73" ph="1">
        <f>Q6*1.5*1.5*3.1416*LOOKUP(W8,密度!$A$2:$A$50,密度!$L$2:$L$50)</f>
        <v>43434.6950268</v>
      </c>
      <c r="R7" s="73" ph="1">
        <f>R6*1.5*1.5*3.1416*LOOKUP(R8,密度!$A$2:$A$50,密度!$L$2:$L$50)</f>
        <v>32787.679894200002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16443.260063999998</v>
      </c>
      <c r="Y7" s="73" ph="1">
        <f>Y6*1.5*1.5*3.1416*LOOKUP(Y8,密度!$A$2:$A$50,密度!$L$2:$L$50)</f>
        <v>33611.1505884</v>
      </c>
      <c r="Z7" s="73" ph="1">
        <f>Z6*33.183*LOOKUP(Z8,密度!$A$2:$A$50,密度!$L$2:$L$50)</f>
        <v>75944.239767000006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89302.023399999991</v>
      </c>
      <c r="AC7" s="73" ph="1">
        <f>AC6*51.53*LOOKUP(AC8,密度!$A$2:$A$50,密度!$Q$2:$Q$50)</f>
        <v>201957.8384214</v>
      </c>
      <c r="AD7" s="73" ph="1">
        <f>AD6*20.428*LOOKUP(AD8,密度!$A$2:$A$50,密度!$V$2:$V$50)</f>
        <v>86267.770848000015</v>
      </c>
      <c r="AE7" s="73" ph="1">
        <f>AE6*20.428</f>
        <v>67208.12000000001</v>
      </c>
    </row>
    <row r="8" spans="1:99" ph="1">
      <c r="B8" s="244" ph="1"/>
      <c r="C8" s="68" t="s" ph="1">
        <v>180</v>
      </c>
      <c r="D8" s="74">
        <v>30</v>
      </c>
      <c r="E8" s="74">
        <v>29</v>
      </c>
      <c r="F8" s="74">
        <v>27</v>
      </c>
      <c r="G8" s="74">
        <v>29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31</v>
      </c>
      <c r="P8" s="74">
        <v>29</v>
      </c>
      <c r="Q8" s="74">
        <v>29</v>
      </c>
      <c r="R8" s="74">
        <v>33</v>
      </c>
      <c r="S8" s="74">
        <v>24</v>
      </c>
      <c r="T8" s="74">
        <v>25</v>
      </c>
      <c r="U8" s="74">
        <v>28</v>
      </c>
      <c r="V8" s="74">
        <v>29</v>
      </c>
      <c r="W8" s="74">
        <v>29</v>
      </c>
      <c r="X8" s="74">
        <v>24</v>
      </c>
      <c r="Y8" s="74">
        <v>28</v>
      </c>
      <c r="Z8" s="74">
        <v>29</v>
      </c>
      <c r="AA8" s="74">
        <v>28</v>
      </c>
      <c r="AB8" s="74">
        <v>23</v>
      </c>
      <c r="AC8" s="74">
        <v>28</v>
      </c>
      <c r="AD8" s="74">
        <v>27</v>
      </c>
      <c r="AE8" s="74">
        <v>34</v>
      </c>
    </row>
    <row r="9" spans="1:99" ht="26.4" ph="1">
      <c r="B9" s="244" ph="1">
        <v>0.66666666666666663</v>
      </c>
      <c r="C9" s="165" t="s" ph="1">
        <v>181</v>
      </c>
      <c r="D9" s="71">
        <v>5132</v>
      </c>
      <c r="E9" s="71">
        <v>4714</v>
      </c>
      <c r="F9" s="71">
        <v>7141</v>
      </c>
      <c r="G9" s="71">
        <v>7318</v>
      </c>
      <c r="H9" s="71">
        <v>2297</v>
      </c>
      <c r="I9" s="71">
        <v>63.31</v>
      </c>
      <c r="J9" s="71">
        <v>7.81</v>
      </c>
      <c r="K9" s="71">
        <v>7.71</v>
      </c>
      <c r="L9" s="71">
        <v>8.7100000000000009</v>
      </c>
      <c r="M9" s="71">
        <v>5321</v>
      </c>
      <c r="N9" s="71">
        <v>3846</v>
      </c>
      <c r="O9" s="71">
        <v>45</v>
      </c>
      <c r="P9" s="71">
        <v>5660</v>
      </c>
      <c r="Q9" s="71">
        <v>6592</v>
      </c>
      <c r="R9" s="71">
        <v>7009</v>
      </c>
      <c r="S9" s="71">
        <v>2611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2763</v>
      </c>
      <c r="Z9" s="71">
        <v>3488</v>
      </c>
      <c r="AA9" s="71">
        <v>558</v>
      </c>
      <c r="AB9" s="71">
        <v>4125</v>
      </c>
      <c r="AC9" s="71">
        <v>4151</v>
      </c>
      <c r="AD9" s="71">
        <v>4417</v>
      </c>
      <c r="AE9" s="71">
        <v>3350</v>
      </c>
    </row>
    <row r="10" spans="1:99" s="72" customFormat="1" ht="22.2" ph="1">
      <c r="B10" s="244" ph="1"/>
      <c r="C10" s="165" t="s" ph="1">
        <v>179</v>
      </c>
      <c r="D10" s="73" ph="1">
        <f>D9*33.183*LOOKUP(D11,密度!$A$2:$A$50,密度!$Q$2:$Q$50)</f>
        <v>160516.80814247997</v>
      </c>
      <c r="E10" s="73" ph="1">
        <f>E9*51.53*LOOKUP(E11,密度!$A$2:$A$50,密度!$B$2:$B$50)</f>
        <v>187892.75687000001</v>
      </c>
      <c r="F10" s="73" ph="1">
        <f>F9*33.183*LOOKUP(F11,密度!$A$2:$A$50,密度!$C$2:$C$50)</f>
        <v>262053.84613770002</v>
      </c>
      <c r="G10" s="73" ph="1">
        <f xml:space="preserve"> (G9+2)*51.53*LOOKUP(G11,密度!$A$2:$A$50,密度!$B$2:$B$50)</f>
        <v>292103.37024000002</v>
      </c>
      <c r="H10" s="73" ph="1">
        <f>(H9)*51.53*LOOKUP(H11,密度!$A$2:$A$50,密度!$B$2:$B$50)</f>
        <v>91969.146570000012</v>
      </c>
      <c r="I10" s="73" ph="1">
        <f>I9*290.8*1.0267</f>
        <v>18902.1096316</v>
      </c>
      <c r="J10" s="73" ph="1">
        <f>J9*290.8*0.7892</f>
        <v>1792.3900016000002</v>
      </c>
      <c r="K10" s="73" ph="1">
        <f>K9*290.8*1.1126</f>
        <v>2494.5248568000002</v>
      </c>
      <c r="L10" s="73" ph="1">
        <f>L9*290.8*0.777</f>
        <v>1968.0384360000003</v>
      </c>
      <c r="M10" s="73" ph="1">
        <f>M9*33.183*LOOKUP(M11,密度!$A$2:$A$50,密度!$D$2:$D$50)</f>
        <v>179992.13781419999</v>
      </c>
      <c r="N10" s="73" ph="1">
        <f>N9*33.183*LOOKUP(N11,密度!$A$2:$A$50,密度!$E$2:$E$50)</f>
        <v>99091.960586100002</v>
      </c>
      <c r="O10" s="73" ph="1">
        <f>O9*20.428*LOOKUP(O11,密度!$A$2:$A$50,密度!$C$2:$C$50)</f>
        <v>1011.0940740000001</v>
      </c>
      <c r="P10" s="73" ph="1">
        <f>P9*51.53*LOOKUP(P11,密度!$A$2:$A$50,密度!$B$2:$B$50)</f>
        <v>225598.85529999997</v>
      </c>
      <c r="Q10" s="73" ph="1">
        <f>Q9*1.5*1.5*3.1416*LOOKUP(W11,密度!$A$2:$A$50,密度!$L$2:$L$50)</f>
        <v>43381.072627200003</v>
      </c>
      <c r="R10" s="73" ph="1">
        <f>R9*1.5*1.5*3.1416*LOOKUP(R11,密度!$A$2:$A$50,密度!$L$2:$L$50)</f>
        <v>45976.662547200001</v>
      </c>
      <c r="S10" s="73" ph="1">
        <f>S9*1.5*1.5*3.1416*LOOKUP(S11,密度!$A$2:$A$50,密度!$L$2:$L$50)</f>
        <v>17293.3793802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18202.464957600001</v>
      </c>
      <c r="Z10" s="73" ph="1">
        <f>Z9*33.183*LOOKUP(Z11,密度!$A$2:$A$50,密度!$L$2:$L$50)</f>
        <v>107756.08502400001</v>
      </c>
      <c r="AA10" s="73" ph="1">
        <f>AA9*33.183*LOOKUP(AA11,密度!$A$2:$A$50,密度!$D$2:$D$50)</f>
        <v>18825.3331038</v>
      </c>
      <c r="AB10" s="73" ph="1">
        <f>AB9*20.428*LOOKUP(AB11,密度!$A$2:$A$50,密度!$D$2:$D$50)</f>
        <v>86515.388849999988</v>
      </c>
      <c r="AC10" s="73" ph="1">
        <f>AC9*51.53*LOOKUP(AC11,密度!$A$2:$A$50,密度!$Q$2:$Q$50)</f>
        <v>201473.38015699998</v>
      </c>
      <c r="AD10" s="73" ph="1">
        <f>AD9*20.428*LOOKUP(AD11,密度!$A$2:$A$50,密度!$V$2:$V$50)</f>
        <v>86404.703817600006</v>
      </c>
      <c r="AE10" s="73" ph="1">
        <f>AE9*20.428</f>
        <v>68433.8</v>
      </c>
    </row>
    <row r="11" spans="1:99" ph="1">
      <c r="A11" s="64" t="s" ph="1">
        <v>163</v>
      </c>
      <c r="B11" s="244" ph="1"/>
      <c r="C11" s="165" t="s" ph="1">
        <v>180</v>
      </c>
      <c r="D11" s="74">
        <v>31</v>
      </c>
      <c r="E11" s="74">
        <v>32</v>
      </c>
      <c r="F11" s="74">
        <v>29</v>
      </c>
      <c r="G11" s="74">
        <v>31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31</v>
      </c>
      <c r="O11" s="74">
        <v>35</v>
      </c>
      <c r="P11" s="74">
        <v>32</v>
      </c>
      <c r="Q11" s="74">
        <v>30</v>
      </c>
      <c r="R11" s="74">
        <v>34</v>
      </c>
      <c r="S11" s="74">
        <v>25</v>
      </c>
      <c r="T11" s="74">
        <v>31</v>
      </c>
      <c r="U11" s="74">
        <v>31</v>
      </c>
      <c r="V11" s="74">
        <v>28</v>
      </c>
      <c r="W11" s="74">
        <v>31</v>
      </c>
      <c r="X11" s="74">
        <v>28</v>
      </c>
      <c r="Y11" s="74">
        <v>30</v>
      </c>
      <c r="Z11" s="74">
        <v>31</v>
      </c>
      <c r="AA11" s="74">
        <v>36</v>
      </c>
      <c r="AB11" s="74">
        <v>25</v>
      </c>
      <c r="AC11" s="74">
        <v>32</v>
      </c>
      <c r="AD11" s="74">
        <v>30</v>
      </c>
      <c r="AE11" s="74">
        <v>37</v>
      </c>
    </row>
    <row r="12" spans="1:99" ht="9.9" customHeight="1" ph="1"/>
    <row r="13" spans="1:99" s="72" customFormat="1" ht="29.25" customHeight="1" ph="1">
      <c r="B13" s="221" t="s" ph="1">
        <v>37</v>
      </c>
      <c r="C13" s="165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65" t="s" ph="1">
        <v>178</v>
      </c>
      <c r="D15" s="78">
        <v>3244</v>
      </c>
      <c r="E15" s="78">
        <v>4724</v>
      </c>
      <c r="F15" s="78">
        <v>2458</v>
      </c>
      <c r="G15" s="78">
        <v>2805</v>
      </c>
      <c r="H15" s="78">
        <v>3733</v>
      </c>
      <c r="I15" s="78">
        <v>117</v>
      </c>
      <c r="J15" s="78">
        <v>1659</v>
      </c>
      <c r="K15" s="78">
        <v>1787</v>
      </c>
      <c r="L15" s="78">
        <v>5661</v>
      </c>
      <c r="M15" s="78">
        <v>6636</v>
      </c>
      <c r="N15" s="78">
        <v>998</v>
      </c>
      <c r="O15" s="78">
        <v>6097</v>
      </c>
      <c r="P15" s="78">
        <v>7175</v>
      </c>
      <c r="Q15" s="78">
        <v>0</v>
      </c>
      <c r="R15" s="78">
        <v>3517</v>
      </c>
      <c r="S15" s="78">
        <v>6935</v>
      </c>
      <c r="T15" s="78">
        <v>4402</v>
      </c>
      <c r="U15" s="78">
        <v>2364</v>
      </c>
      <c r="V15" s="78">
        <v>596</v>
      </c>
      <c r="W15" s="71">
        <v>-792</v>
      </c>
      <c r="X15" s="78">
        <v>26</v>
      </c>
      <c r="Y15" s="106">
        <v>-9909</v>
      </c>
      <c r="Z15" s="78">
        <v>0</v>
      </c>
      <c r="AA15" s="78">
        <v>0</v>
      </c>
      <c r="AB15" s="78" ph="1">
        <v>2372</v>
      </c>
      <c r="AC15" s="78" ph="1">
        <v>0</v>
      </c>
      <c r="AD15" s="78">
        <v>5.77</v>
      </c>
      <c r="AE15" s="78">
        <v>76.709999999999994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65" t="s" ph="1">
        <v>179</v>
      </c>
      <c r="D16" s="73" ph="1">
        <f>D15*7.0686*LOOKUP(D17,密度!$A$2:$A$50,密度!$L$2:$L$50)</f>
        <v>21394.192327200002</v>
      </c>
      <c r="E16" s="73" ph="1">
        <f>E15*7.0686*LOOKUP(E17,密度!$A$2:$A$50,密度!$L$2:$L$50)</f>
        <v>31121.405884800006</v>
      </c>
      <c r="F16" s="73" ph="1">
        <f>F15*9.0746*LOOKUP(F17,密度!$A$2:$A$50,密度!$L$2:$L$50)</f>
        <v>20632.46429</v>
      </c>
      <c r="G16" s="73" ph="1">
        <f>G15*9.0746*LOOKUP(G17,密度!$A$2:$A$50,密度!$B$2:$B$50)</f>
        <v>19757.5911786</v>
      </c>
      <c r="H16" s="73" ph="1">
        <f>H15*9.0746*LOOKUP(H17,密度!$A$2:$A$50,密度!$L$2:$L$50)</f>
        <v>31639.700001200003</v>
      </c>
      <c r="I16" s="73" ph="1">
        <f>I15*9.0746*LOOKUP(I17,密度!$A$2:$A$50,密度!$U$2:$U$50)</f>
        <v>1084.0244921999999</v>
      </c>
      <c r="J16" s="73" ph="1">
        <f>J15*9.0746*LOOKUP(J17,密度!$A$2:$A$50,密度!$L$2:$L$50)</f>
        <v>14031.037624800001</v>
      </c>
      <c r="K16" s="73" ph="1">
        <f>K15*9.0746*LOOKUP(K17,密度!$A$2:$A$50,密度!$C$2:$C$50)</f>
        <v>17920.64440202</v>
      </c>
      <c r="L16" s="73" ph="1">
        <f>L15*9.0746*LOOKUP(L17,密度!$A$2:$A$50,密度!$E$2:$E$50)</f>
        <v>39946.331122560005</v>
      </c>
      <c r="M16" s="73" ph="1">
        <f>M15*9.0746*LOOKUP(M17,密度!$A$2:$A$50,密度!$M$2:$M$50)</f>
        <v>52196.06215471201</v>
      </c>
      <c r="N16" s="73" ph="1">
        <f>N15*9.0746*LOOKUP(N17,密度!$A$2:$A$50,密度!$M$2:$M$50)</f>
        <v>7916.2436442799999</v>
      </c>
      <c r="O16" s="73" ph="1">
        <f>O15*9.0746*LOOKUP(O17,密度!$A$2:$A$50,密度!$G$2:$G$50)</f>
        <v>52821.485220139999</v>
      </c>
      <c r="P16" s="73" ph="1">
        <f ca="1">P15*9.0746*LOOKUP(P17,密度!$A$2:$A$51,密度!$Q$2:$Q$50)</f>
        <v>61420.456849150003</v>
      </c>
      <c r="Q16" s="73" ph="1">
        <f>Q15*9.0746*LOOKUP(Q17,密度!$A$2:$A$50,密度!$Q$2:$Q$50)</f>
        <v>0</v>
      </c>
      <c r="R16" s="73" ph="1">
        <f>MAX(R15*9.0746*LOOKUP(R17,密度!$A$2:$A$50,密度!$B$2:$B$50),0)</f>
        <v>24743.98496546</v>
      </c>
      <c r="S16" s="73" ph="1">
        <f>S15*9.0746*LOOKUP(S17,密度!$A$2:$A$50,密度!$Q$2:$Q$50)</f>
        <v>59318.775405580003</v>
      </c>
      <c r="T16" s="73" ph="1">
        <f>T15*9.0746*LOOKUP(T17,密度!$A$2:$A$50,密度!$O$2:$O$50)</f>
        <v>36990.356399199998</v>
      </c>
      <c r="U16" s="73" ph="1">
        <f>U15*9.0746*LOOKUP(U17,密度!$A$2:$A$50,密度!$H$2:$H$50)</f>
        <v>19521.642503999999</v>
      </c>
      <c r="V16" s="73" ph="1">
        <f>MAX(5600*LOOKUP(V17,密度!$A$2:$A$50,密度!$Q$2:$Q$50)+V15*9.0476*LOOKUP(V17,密度!$A$2:$A$50,密度!$Q$2:$Q$50),0)</f>
        <v>10339.312922064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6055.2260575200007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20039.7295672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2429.4546945599996</v>
      </c>
      <c r="AE16" s="73" ph="1">
        <f>AE15*268.68*LOOKUP(AE17,密度!$A$2:$A$50,密度!B2:B50)+IF(AE15&lt;=0,0,1566*LOOKUP(AE17,密度!$A$2:$A$50,密度!B2:B50))</f>
        <v>17288.754806879995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29</v>
      </c>
      <c r="E17" s="74">
        <v>30</v>
      </c>
      <c r="F17" s="74">
        <v>37</v>
      </c>
      <c r="G17" s="74">
        <v>29</v>
      </c>
      <c r="H17" s="74">
        <v>28</v>
      </c>
      <c r="I17" s="74">
        <v>29</v>
      </c>
      <c r="J17" s="74">
        <v>30</v>
      </c>
      <c r="K17" s="74">
        <v>30</v>
      </c>
      <c r="L17" s="74">
        <v>30</v>
      </c>
      <c r="M17" s="74">
        <v>33</v>
      </c>
      <c r="N17" s="74">
        <v>26</v>
      </c>
      <c r="O17" s="74">
        <v>30</v>
      </c>
      <c r="P17" s="74">
        <v>30</v>
      </c>
      <c r="Q17" s="74">
        <v>28</v>
      </c>
      <c r="R17" s="74">
        <v>30</v>
      </c>
      <c r="S17" s="74">
        <v>31</v>
      </c>
      <c r="T17" s="74">
        <v>28</v>
      </c>
      <c r="U17" s="74">
        <v>30</v>
      </c>
      <c r="V17" s="74">
        <v>34</v>
      </c>
      <c r="W17" s="74">
        <v>30</v>
      </c>
      <c r="X17" s="74">
        <v>29</v>
      </c>
      <c r="Y17" s="108">
        <v>29</v>
      </c>
      <c r="Z17" s="74">
        <v>29</v>
      </c>
      <c r="AA17" s="74">
        <v>27</v>
      </c>
      <c r="AB17" s="74">
        <v>31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3248</v>
      </c>
      <c r="E18" s="71">
        <v>4730</v>
      </c>
      <c r="F18" s="71">
        <v>2456</v>
      </c>
      <c r="G18" s="71">
        <v>2846</v>
      </c>
      <c r="H18" s="71">
        <v>3735</v>
      </c>
      <c r="I18" s="71">
        <v>117</v>
      </c>
      <c r="J18" s="71">
        <v>1661</v>
      </c>
      <c r="K18" s="71">
        <v>1787</v>
      </c>
      <c r="L18" s="71">
        <v>5672</v>
      </c>
      <c r="M18" s="71">
        <v>4180</v>
      </c>
      <c r="N18" s="71">
        <v>1567</v>
      </c>
      <c r="O18" s="71">
        <v>6104</v>
      </c>
      <c r="P18" s="71">
        <v>7182</v>
      </c>
      <c r="Q18" s="71">
        <v>0</v>
      </c>
      <c r="R18" s="71">
        <v>3522</v>
      </c>
      <c r="S18" s="71">
        <v>6942</v>
      </c>
      <c r="T18" s="71">
        <v>3449</v>
      </c>
      <c r="U18" s="71">
        <v>2365</v>
      </c>
      <c r="V18" s="71">
        <v>595</v>
      </c>
      <c r="W18" s="71">
        <v>-792</v>
      </c>
      <c r="X18" s="71">
        <v>26</v>
      </c>
      <c r="Y18" s="109">
        <v>-9907</v>
      </c>
      <c r="Z18" s="71">
        <v>0</v>
      </c>
      <c r="AA18" s="71">
        <v>0</v>
      </c>
      <c r="AB18" s="71">
        <v>2375</v>
      </c>
      <c r="AC18" s="71">
        <v>0</v>
      </c>
      <c r="AD18" s="71">
        <v>11.81</v>
      </c>
      <c r="AE18" s="71">
        <v>84.41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65" t="s" ph="1">
        <v>179</v>
      </c>
      <c r="D19" s="73" ph="1">
        <f>D18*7.0686*LOOKUP(D20,密度!$A$2:$A$50,密度!$L$2:$L$50)</f>
        <v>21351.695904</v>
      </c>
      <c r="E19" s="73" ph="1">
        <f>E18*7.0686*LOOKUP(E20,密度!$A$2:$A$50,密度!$L$2:$L$50)</f>
        <v>31060.630062000004</v>
      </c>
      <c r="F19" s="73" ph="1">
        <f>F18*9.0746*LOOKUP(F20,密度!$A$2:$A$50,密度!$L$2:$L$50)</f>
        <v>20637.963497600002</v>
      </c>
      <c r="G19" s="73" ph="1">
        <f>G18*9.0746*LOOKUP(G20,密度!$A$2:$A$50,密度!$B$2:$B$50)</f>
        <v>20023.13938348</v>
      </c>
      <c r="H19" s="73" ph="1">
        <f>H18*9.0746*LOOKUP(H20,密度!$A$2:$A$50,密度!$L$2:$L$50)</f>
        <v>31554.970461000004</v>
      </c>
      <c r="I19" s="73" ph="1">
        <f>I18*9.0746*LOOKUP(I20,密度!$A$2:$A$50,密度!$U$2:$U$50)</f>
        <v>1077.6541229999998</v>
      </c>
      <c r="J19" s="73" ph="1">
        <f>J18*9.0746*LOOKUP(J20,密度!$A$2:$A$50,密度!$L$2:$L$50)</f>
        <v>14002.733947400002</v>
      </c>
      <c r="K19" s="73" ph="1">
        <f>K18*9.0746*LOOKUP(K20,密度!$A$2:$A$50,密度!$C$2:$C$50)</f>
        <v>17886.590150600001</v>
      </c>
      <c r="L19" s="73" ph="1">
        <f>L18*9.0746*LOOKUP(L20,密度!$A$2:$A$50,密度!$E$2:$E$50)</f>
        <v>39906.597441984006</v>
      </c>
      <c r="M19" s="73" ph="1">
        <f>M18*9.0746*LOOKUP(M20,密度!$A$2:$A$50,密度!$M$2:$M$50)</f>
        <v>32798.513716760004</v>
      </c>
      <c r="N19" s="73" ph="1">
        <f>N18*9.0746*LOOKUP(N20,密度!$A$2:$A$50,密度!$M$2:$M$50)</f>
        <v>12369.88944418</v>
      </c>
      <c r="O19" s="73" ph="1">
        <f>O18*9.0746*LOOKUP(O20,密度!$A$2:$A$50,密度!$G$2:$G$50)</f>
        <v>52708.754912688004</v>
      </c>
      <c r="P19" s="73" ph="1">
        <f ca="1">P18*9.0746*LOOKUP(P20,密度!$A$2:$A$51,密度!$Q$2:$Q$50)</f>
        <v>61387.180744680001</v>
      </c>
      <c r="Q19" s="73" ph="1">
        <f>Q18*9.0746*LOOKUP(Q20,密度!$A$2:$A$50,密度!$Q$2:$Q$50)</f>
        <v>0</v>
      </c>
      <c r="R19" s="73" ph="1">
        <f>MAX(R18*9.0746*LOOKUP(R20,密度!$A$2:$A$50,密度!$B$2:$B$50),0)</f>
        <v>24721.633318199998</v>
      </c>
      <c r="S19" s="73" ph="1">
        <f>S18*9.0746*LOOKUP(S20,密度!$A$2:$A$50,密度!$Q$2:$Q$50)</f>
        <v>59378.650160855999</v>
      </c>
      <c r="T19" s="73" ph="1">
        <f>T18*9.0746*LOOKUP(T20,密度!$A$2:$A$50,密度!$O$2:$O$50)</f>
        <v>28882.066995119996</v>
      </c>
      <c r="U19" s="73" ph="1">
        <f>U18*9.0746*LOOKUP(U20,密度!$A$2:$A$50,密度!$H$2:$H$50)</f>
        <v>19509.512032450002</v>
      </c>
      <c r="V19" s="73" ph="1">
        <f>MAX(5600*LOOKUP(V20,密度!$A$2:$A$50,密度!$Q$2:$Q$50)+V18*9.0476*LOOKUP(V20,密度!$A$2:$A$50,密度!$Q$2:$Q$50),0)</f>
        <v>10316.634354599999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6029.4926597040003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20043.52275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3682.2890916000006</v>
      </c>
      <c r="AE19" s="73" ph="1">
        <f>AE18*268.68*LOOKUP(AE20,密度!$A$2:$A$50,密度!B5:B53)+IF(AE18&lt;=0,0,1566*LOOKUP(AE20,密度!$A$2:$A$50,密度!B5:B53))</f>
        <v>18838.581627600001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32</v>
      </c>
      <c r="E20" s="81">
        <v>33</v>
      </c>
      <c r="F20" s="81">
        <v>36</v>
      </c>
      <c r="G20" s="81">
        <v>30</v>
      </c>
      <c r="H20" s="81">
        <v>31</v>
      </c>
      <c r="I20" s="81">
        <v>35</v>
      </c>
      <c r="J20" s="81">
        <v>33</v>
      </c>
      <c r="K20" s="81">
        <v>32</v>
      </c>
      <c r="L20" s="81">
        <v>32</v>
      </c>
      <c r="M20" s="81">
        <v>35</v>
      </c>
      <c r="N20" s="81">
        <v>30</v>
      </c>
      <c r="O20" s="81">
        <v>33</v>
      </c>
      <c r="P20" s="81">
        <v>32</v>
      </c>
      <c r="Q20" s="81">
        <v>33</v>
      </c>
      <c r="R20" s="81">
        <v>32</v>
      </c>
      <c r="S20" s="81">
        <v>31</v>
      </c>
      <c r="T20" s="81">
        <v>31</v>
      </c>
      <c r="U20" s="81">
        <v>31</v>
      </c>
      <c r="V20" s="81">
        <v>36</v>
      </c>
      <c r="W20" s="81">
        <v>36</v>
      </c>
      <c r="X20" s="81">
        <v>33</v>
      </c>
      <c r="Y20" s="110">
        <v>34</v>
      </c>
      <c r="Z20" s="81">
        <v>34</v>
      </c>
      <c r="AA20" s="81">
        <v>32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647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65" t="s" ph="1">
        <v>178</v>
      </c>
      <c r="D24" s="71">
        <v>91.02</v>
      </c>
      <c r="E24" s="71">
        <v>95.71</v>
      </c>
      <c r="F24" s="71">
        <v>3362</v>
      </c>
      <c r="G24" s="71">
        <v>2355</v>
      </c>
      <c r="H24" s="71">
        <v>1415</v>
      </c>
      <c r="I24" s="71">
        <v>2359</v>
      </c>
      <c r="J24" s="71">
        <v>5419</v>
      </c>
      <c r="K24" s="71">
        <v>1170</v>
      </c>
      <c r="L24" s="71">
        <v>2353</v>
      </c>
      <c r="M24" s="71">
        <v>5266</v>
      </c>
      <c r="N24" s="71">
        <v>5338</v>
      </c>
      <c r="O24" s="71">
        <v>3695</v>
      </c>
      <c r="P24" s="71">
        <v>370</v>
      </c>
      <c r="Q24" s="90">
        <v>2544</v>
      </c>
      <c r="R24" s="71">
        <v>1744</v>
      </c>
      <c r="S24" s="71">
        <v>5003</v>
      </c>
      <c r="T24" s="71">
        <v>1705</v>
      </c>
      <c r="U24" s="71">
        <v>4560</v>
      </c>
      <c r="V24" s="71">
        <v>9651</v>
      </c>
      <c r="W24" s="71">
        <v>10762</v>
      </c>
      <c r="X24" s="71">
        <v>2937</v>
      </c>
      <c r="Y24" s="71">
        <v>5603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24635.361633264001</v>
      </c>
      <c r="E25" s="91" ph="1">
        <f>E24*268.68*LOOKUP(E26,密度!$A$2:$A$50,密度!$C$2:$C$50)+IF(E24&lt;=0,0,1566*LOOKUP(E26,密度!$A$2:$A$50,密度!$C$2:$C$50))</f>
        <v>30252.303208919999</v>
      </c>
      <c r="F25" s="91" ph="1">
        <f>F24*11.702*LOOKUP(F26,密度!$A$2:$A$50,密度!$Q$2:$Q$50)</f>
        <v>37112.605832920002</v>
      </c>
      <c r="G25" s="91" ph="1">
        <f>G24*18.322*LOOKUP(G26,密度!$A$2:$A$50,密度!$B$2:$B$50)</f>
        <v>33414.051263999994</v>
      </c>
      <c r="H25" s="91" ph="1">
        <f>H24*18.322*LOOKUP(H26,密度!$A$2:$A$50,密度!$B$2:$B$50)</f>
        <v>20076.807871999998</v>
      </c>
      <c r="I25" s="91" ph="1">
        <f>I24*18.322*LOOKUP(I26,密度!$A$2:$A$50,密度!$Q$2:$Q$50)</f>
        <v>40772.230041340001</v>
      </c>
      <c r="J25" s="91" ph="1">
        <f>J24*18.322*LOOKUP(J26,密度!$A$2:$A$50,密度!$Q$2:$Q$50)</f>
        <v>93585.863168439988</v>
      </c>
      <c r="K25" s="91" ph="1">
        <f>K24*18.322*LOOKUP(K26,密度!$A$2:$A$50,密度!$Q$2:$Q$50)</f>
        <v>20205.842389199999</v>
      </c>
      <c r="L25" s="91" ph="1">
        <f>L24*18.322*LOOKUP(L26,密度!$A$2:$A$50,密度!$Q$2:$Q$50)</f>
        <v>40636.19413828</v>
      </c>
      <c r="M25" s="91" ph="1">
        <f>M24*18.322*LOOKUP(M26,密度!$A$2:$A$50,密度!$Q$2:$Q$50)</f>
        <v>91015.923441160005</v>
      </c>
      <c r="N25" s="91" ph="1">
        <f>N24*18.322*LOOKUP(N26,密度!$A$2:$A$50,密度!$Q$2:$Q$50)</f>
        <v>92260.349283880001</v>
      </c>
      <c r="O25" s="91" ph="1">
        <f>O24*18.322*LOOKUP(O26,密度!$A$2:$A$50,密度!$C$2:$C$50)</f>
        <v>74916.587613999989</v>
      </c>
      <c r="P25" s="91" ph="1">
        <f>P24*11.702*LOOKUP(P26,密度!$A$2:$A$50,密度!$B$2:$B$50)</f>
        <v>3368.104746</v>
      </c>
      <c r="Q25" s="92" ph="1">
        <f>Q24*18.322*LOOKUP(Q26,密度!$A$2:$A$50,密度!$B$2:$B$50)</f>
        <v>36179.5886016</v>
      </c>
      <c r="R25" s="91" ph="1">
        <f>R24*35.891*LOOKUP(R26,密度!$A$2:$A$50,密度!$C$2:$C$50)</f>
        <v>69266.414166399991</v>
      </c>
      <c r="S25" s="91" ph="1">
        <f>S24*35.891*LOOKUP(S26,密度!$A$2:$A$50,密度!$B$2:$B$50)</f>
        <v>139214.94037689999</v>
      </c>
      <c r="T25" s="91" ph="1">
        <f>T24*35.891*LOOKUP(T26,密度!$A$2:$A$50,密度!$Q$2:$Q$50)</f>
        <v>57680.386619899997</v>
      </c>
      <c r="U25" s="91" ph="1">
        <f>U24*35.891</f>
        <v>163662.96</v>
      </c>
      <c r="V25" s="91" ph="1">
        <f>V24*47.051*LOOKUP(V26,密度!$A$2:$A$50,密度!$B$2:$B$50)</f>
        <v>353235.9894579</v>
      </c>
      <c r="W25" s="91" ph="1">
        <f>W24*47.051*LOOKUP(W26,密度!$A$2:$A$50,密度!$B$2:$B$50)</f>
        <v>393038.85348440002</v>
      </c>
      <c r="X25" s="91" ph="1">
        <f>X24*47.051*LOOKUP(X26,密度!$A$2:$A$50,密度!$I$2:$I$50)</f>
        <v>143246.49660420002</v>
      </c>
      <c r="Y25" s="91" ph="1">
        <f>Y24*47.051*LOOKUP(Y26,密度!$A$2:$A$50,密度!$L$2:$L$50)</f>
        <v>244909.25353700004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30</v>
      </c>
      <c r="G26" s="74">
        <v>31</v>
      </c>
      <c r="H26" s="74">
        <v>31</v>
      </c>
      <c r="I26" s="74">
        <v>30</v>
      </c>
      <c r="J26" s="74">
        <v>31</v>
      </c>
      <c r="K26" s="74">
        <v>31</v>
      </c>
      <c r="L26" s="74">
        <v>31</v>
      </c>
      <c r="M26" s="74">
        <v>30</v>
      </c>
      <c r="N26" s="74">
        <v>30</v>
      </c>
      <c r="O26" s="74">
        <v>28</v>
      </c>
      <c r="P26" s="74">
        <v>27</v>
      </c>
      <c r="Q26" s="93">
        <v>29</v>
      </c>
      <c r="R26" s="74">
        <v>28</v>
      </c>
      <c r="S26" s="74">
        <v>30</v>
      </c>
      <c r="T26" s="74">
        <v>31</v>
      </c>
      <c r="U26" s="74">
        <v>30</v>
      </c>
      <c r="V26" s="74">
        <v>27</v>
      </c>
      <c r="W26" s="74">
        <v>29</v>
      </c>
      <c r="X26" s="74">
        <v>30</v>
      </c>
      <c r="Y26" s="74">
        <v>33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65" t="s" ph="1">
        <v>181</v>
      </c>
      <c r="D27" s="71">
        <v>91.21</v>
      </c>
      <c r="E27" s="71">
        <v>95.82</v>
      </c>
      <c r="F27" s="71">
        <v>3362</v>
      </c>
      <c r="G27" s="71">
        <v>1788</v>
      </c>
      <c r="H27" s="71">
        <v>1407</v>
      </c>
      <c r="I27" s="71">
        <v>2361</v>
      </c>
      <c r="J27" s="71">
        <v>5419</v>
      </c>
      <c r="K27" s="71">
        <v>1169</v>
      </c>
      <c r="L27" s="71">
        <v>2350</v>
      </c>
      <c r="M27" s="71">
        <v>5268</v>
      </c>
      <c r="N27" s="71">
        <v>5337</v>
      </c>
      <c r="O27" s="71">
        <v>3694</v>
      </c>
      <c r="P27" s="71">
        <v>741</v>
      </c>
      <c r="Q27" s="90">
        <v>2764</v>
      </c>
      <c r="R27" s="71">
        <v>1742</v>
      </c>
      <c r="S27" s="71">
        <v>5393</v>
      </c>
      <c r="T27" s="71">
        <v>1764</v>
      </c>
      <c r="U27" s="71">
        <v>4481</v>
      </c>
      <c r="V27" s="71">
        <v>9653</v>
      </c>
      <c r="W27" s="71">
        <v>10764</v>
      </c>
      <c r="X27" s="71">
        <v>3053</v>
      </c>
      <c r="Y27" s="71">
        <v>3990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65" t="s" ph="1">
        <v>179</v>
      </c>
      <c r="D28" s="91" ph="1">
        <f>D27*268.68*LOOKUP(D29,密度!$A$2:$A$50,密度!$Q$2:$Q$50)+IF(D27&lt;=0,0,1566*LOOKUP(D29,密度!$A$2:$A$50,密度!$Q$2:$Q$50))</f>
        <v>24683.691952871999</v>
      </c>
      <c r="E28" s="91" ph="1">
        <f>E27*268.68*LOOKUP(E29,密度!$A$2:$A$50,密度!$C$2:$C$50)+IF(E27&lt;=0,0,1566*LOOKUP(E29,密度!$A$2:$A$50,密度!$C$2:$C$50))</f>
        <v>30285.076526639998</v>
      </c>
      <c r="F28" s="91" ph="1">
        <f>F27*11.702*LOOKUP(F29,密度!$A$2:$A$50,密度!$Q$2:$Q$50)</f>
        <v>37056.3465956</v>
      </c>
      <c r="G28" s="91" ph="1">
        <f>G27*18.322*LOOKUP(G29,密度!$A$2:$A$50,密度!$B$2:$B$50)</f>
        <v>25369.139558399998</v>
      </c>
      <c r="H28" s="91" ph="1">
        <f>H27*18.322*LOOKUP(H29,密度!$A$2:$A$50,密度!$B$2:$B$50)</f>
        <v>19940.098268999998</v>
      </c>
      <c r="I28" s="91" ph="1">
        <f>I27*18.322*LOOKUP(I29,密度!$A$2:$A$50,密度!$Q$2:$Q$50)</f>
        <v>40774.35374436</v>
      </c>
      <c r="J28" s="91" ph="1">
        <f>J27*18.322*LOOKUP(J29,密度!$A$2:$A$50,密度!$Q$2:$Q$50)</f>
        <v>93585.863168439988</v>
      </c>
      <c r="K28" s="91" ph="1">
        <f>K27*18.322*LOOKUP(K29,密度!$A$2:$A$50,密度!$Q$2:$Q$50)</f>
        <v>20174.007914199996</v>
      </c>
      <c r="L28" s="91" ph="1">
        <f>L27*18.322*LOOKUP(L29,密度!$A$2:$A$50,密度!$Q$2:$Q$50)</f>
        <v>40527.118875</v>
      </c>
      <c r="M28" s="91" ph="1">
        <f>M27*18.322*LOOKUP(M29,密度!$A$2:$A$50,密度!$Q$2:$Q$50)</f>
        <v>90978.100603679995</v>
      </c>
      <c r="N28" s="91" ph="1">
        <f>N27*18.322*LOOKUP(N29,密度!$A$2:$A$50,密度!$Q$2:$Q$50)</f>
        <v>92039.673802499994</v>
      </c>
      <c r="O28" s="91" ph="1">
        <f>O27*18.322*LOOKUP(O29,密度!$A$2:$A$50,密度!$C$2:$C$50)</f>
        <v>74652.659203999996</v>
      </c>
      <c r="P28" s="91" ph="1">
        <f>P27*11.702*LOOKUP(P29,密度!$A$2:$A$50,密度!$B$2:$B$50)</f>
        <v>6707.1592770000007</v>
      </c>
      <c r="Q28" s="92" ph="1">
        <f>Q27*18.322*LOOKUP(Q29,密度!$A$2:$A$50,密度!$B$2:$B$50)</f>
        <v>39171.593187999992</v>
      </c>
      <c r="R28" s="91" ph="1">
        <f>R27*35.891*LOOKUP(R29,密度!$A$2:$A$50,密度!$C$2:$C$50)</f>
        <v>68961.900565999997</v>
      </c>
      <c r="S28" s="91" ph="1">
        <f>S27*35.891*LOOKUP(S29,密度!$A$2:$A$50,密度!$B$2:$B$50)</f>
        <v>149563.93795010002</v>
      </c>
      <c r="T28" s="91" ph="1">
        <f>T27*35.891*LOOKUP(T29,密度!$A$2:$A$50,密度!$Q$2:$Q$50)</f>
        <v>59761.83563532</v>
      </c>
      <c r="U28" s="91" ph="1">
        <f>U27*35.891</f>
        <v>160827.571</v>
      </c>
      <c r="V28" s="91" ph="1">
        <f>V27*47.051*LOOKUP(V29,密度!$A$2:$A$50,密度!$B$2:$B$50)</f>
        <v>351719.54984320002</v>
      </c>
      <c r="W28" s="91" ph="1">
        <f>W27*47.051*LOOKUP(W29,密度!$A$2:$A$50,密度!$B$2:$B$50)</f>
        <v>391744.46165399998</v>
      </c>
      <c r="X28" s="91" ph="1">
        <f>X27*47.051*LOOKUP(X29,密度!$A$2:$A$50,密度!$I$2:$I$50)</f>
        <v>148904.1723298</v>
      </c>
      <c r="Y28" s="91" ph="1">
        <f>Y27*47.051*LOOKUP(Y29,密度!$A$2:$A$50,密度!$L$2:$L$50)</f>
        <v>174028.94523000004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65" t="s" ph="1">
        <v>180</v>
      </c>
      <c r="D29" s="74">
        <v>25</v>
      </c>
      <c r="E29" s="74">
        <v>25</v>
      </c>
      <c r="F29" s="74">
        <v>32</v>
      </c>
      <c r="G29" s="74">
        <v>31</v>
      </c>
      <c r="H29" s="74">
        <v>32</v>
      </c>
      <c r="I29" s="74">
        <v>31</v>
      </c>
      <c r="J29" s="74">
        <v>31</v>
      </c>
      <c r="K29" s="74">
        <v>32</v>
      </c>
      <c r="L29" s="74">
        <v>33</v>
      </c>
      <c r="M29" s="74">
        <v>31</v>
      </c>
      <c r="N29" s="74">
        <v>33</v>
      </c>
      <c r="O29" s="74">
        <v>32</v>
      </c>
      <c r="P29" s="74">
        <v>32</v>
      </c>
      <c r="Q29" s="93">
        <v>32</v>
      </c>
      <c r="R29" s="74">
        <v>32</v>
      </c>
      <c r="S29" s="74">
        <v>33</v>
      </c>
      <c r="T29" s="74">
        <v>29</v>
      </c>
      <c r="U29" s="74">
        <v>30</v>
      </c>
      <c r="V29" s="74">
        <v>31</v>
      </c>
      <c r="W29" s="74">
        <v>32</v>
      </c>
      <c r="X29" s="74">
        <v>30</v>
      </c>
      <c r="Y29" s="74">
        <v>35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65" t="s" ph="1">
        <v>5</v>
      </c>
      <c r="F32" s="164" t="s" ph="1">
        <v>43</v>
      </c>
      <c r="G32" s="97" t="s" ph="1">
        <v>4</v>
      </c>
      <c r="H32" s="165" t="s" ph="1">
        <v>5</v>
      </c>
      <c r="I32" s="164" t="s" ph="1">
        <v>43</v>
      </c>
      <c r="J32" s="97" t="s" ph="1">
        <v>4</v>
      </c>
      <c r="K32" s="165" t="s" ph="1">
        <v>5</v>
      </c>
      <c r="L32" s="164" t="s" ph="1">
        <v>43</v>
      </c>
      <c r="M32" s="97" t="s" ph="1">
        <v>4</v>
      </c>
      <c r="N32" s="165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4" t="s" ph="1">
        <v>43</v>
      </c>
      <c r="AB32" s="97" t="s" ph="1">
        <v>85</v>
      </c>
      <c r="AC32" s="165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105340.72195379999</v>
      </c>
      <c r="E33" s="193" ph="1">
        <f>M10+I10</f>
        <v>198894.24744579999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19" ph="1">
        <v>0</v>
      </c>
      <c r="H33" s="193" ph="1">
        <f>N19</f>
        <v>12369.88944418</v>
      </c>
      <c r="I33" s="197" ph="1">
        <v>0</v>
      </c>
      <c r="J33" s="201" ph="1">
        <f>F10+O28</f>
        <v>336706.50534170005</v>
      </c>
      <c r="K33" s="193" ph="1">
        <f>O10+K10+E28+R28</f>
        <v>102752.59602344</v>
      </c>
      <c r="L33" s="203" ph="1">
        <f>BE27</f>
        <v>7100</v>
      </c>
      <c r="M33" s="201" ph="1">
        <f>G10+H10+W28+S28+V28+E10</f>
        <v>1464993.2231273002</v>
      </c>
      <c r="N33" s="193" ph="1">
        <f>L10+P10++G28+H28</f>
        <v>272876.13156339998</v>
      </c>
      <c r="O33" s="197" ph="1">
        <f>BE17</f>
        <v>2270</v>
      </c>
      <c r="P33" s="201" ph="1">
        <f>L19</f>
        <v>39906.597441984006</v>
      </c>
      <c r="Q33" s="193" ph="1">
        <f>J10+N10</f>
        <v>100884.3505877</v>
      </c>
      <c r="R33" s="197" ph="1">
        <f>BE23</f>
        <v>890</v>
      </c>
      <c r="S33" s="201" ph="1">
        <f>E10+X28</f>
        <v>336796.92919980001</v>
      </c>
      <c r="T33" s="193" ph="1">
        <f>X19</f>
        <v>6029.4926597040003</v>
      </c>
      <c r="U33" s="182" ph="1">
        <f>BE21</f>
        <v>730</v>
      </c>
      <c r="V33" s="195" ph="1">
        <f ca="1">P19+Q19+S19+M28+N28+J28</f>
        <v>397369.46848015598</v>
      </c>
      <c r="W33" s="195" ph="1">
        <f>D28+F28+V19+T28</f>
        <v>131818.50853839199</v>
      </c>
      <c r="X33" s="197" ph="1">
        <f>BE29+BE31</f>
        <v>10200</v>
      </c>
      <c r="Y33" s="199" ph="1">
        <f>+Q10+R10+S10+T10+U10+V10+W10+X10+Y10</f>
        <v>124853.5795122</v>
      </c>
      <c r="Z33" s="180" ph="1">
        <f>D10+T19+U19+Y28+Z10</f>
        <v>490693.41742405004</v>
      </c>
      <c r="AA33" s="182" ph="1">
        <f>BE19</f>
        <v>1440</v>
      </c>
      <c r="AB33" s="184" ph="1">
        <f>I19</f>
        <v>1077.6541229999998</v>
      </c>
      <c r="AC33" s="186" ph="1">
        <f>AD10</f>
        <v>86404.703817600006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63" t="s" ph="1">
        <v>186</v>
      </c>
      <c r="AA36" s="163" ph="1"/>
      <c r="AB36" s="179" t="s" ph="1">
        <v>646</v>
      </c>
      <c r="AC36" s="179" ph="1"/>
      <c r="AD36" s="179" ph="1"/>
      <c r="AE36" s="179" ph="1"/>
      <c r="BA36" s="64" ph="1">
        <v>2270</v>
      </c>
    </row>
    <row r="37" spans="1:57" s="16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3" t="s" ph="1">
        <v>345</v>
      </c>
      <c r="AI37" s="163" t="s" ph="1">
        <v>212</v>
      </c>
      <c r="AJ37" s="163" t="s" ph="1">
        <v>213</v>
      </c>
      <c r="AK37" s="163" t="s" ph="1">
        <v>214</v>
      </c>
      <c r="AM37" s="163" t="s" ph="1">
        <v>213</v>
      </c>
      <c r="AN37" s="163" t="s" ph="1">
        <v>214</v>
      </c>
      <c r="AO37" s="163" t="s" ph="1">
        <v>215</v>
      </c>
      <c r="AP37" s="163" t="s" ph="1">
        <v>213</v>
      </c>
      <c r="AQ37" s="163" t="s" ph="1">
        <v>214</v>
      </c>
      <c r="AR37" s="163" t="s" ph="1">
        <v>215</v>
      </c>
      <c r="AS37" s="163" t="s" ph="1">
        <v>213</v>
      </c>
      <c r="AT37" s="163" t="s" ph="1">
        <v>214</v>
      </c>
      <c r="AU37" s="163" t="s" ph="1">
        <v>215</v>
      </c>
      <c r="AV37" s="163" t="s" ph="1">
        <v>213</v>
      </c>
      <c r="AW37" s="163" t="s" ph="1">
        <v>214</v>
      </c>
      <c r="AX37" s="163" t="s" ph="1">
        <v>215</v>
      </c>
      <c r="AY37" s="163" t="s" ph="1">
        <v>214</v>
      </c>
      <c r="AZ37" s="163" t="s" ph="1">
        <v>216</v>
      </c>
      <c r="BD37" s="163" t="s" ph="1">
        <v>308</v>
      </c>
      <c r="BE37" s="163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380" priority="97">
      <formula>ABS(D$7-D$10)&gt;=1000</formula>
    </cfRule>
  </conditionalFormatting>
  <conditionalFormatting sqref="E4 E6:E11">
    <cfRule type="expression" dxfId="379" priority="96">
      <formula>ABS(E$7-E$10)&gt;=1000</formula>
    </cfRule>
  </conditionalFormatting>
  <conditionalFormatting sqref="F4:F11">
    <cfRule type="expression" dxfId="378" priority="95">
      <formula>ABS(F$7-F$10)&gt;=1000</formula>
    </cfRule>
  </conditionalFormatting>
  <conditionalFormatting sqref="G4:G11">
    <cfRule type="expression" dxfId="377" priority="94">
      <formula>ABS(G$7-G$10)&gt;=1000</formula>
    </cfRule>
  </conditionalFormatting>
  <conditionalFormatting sqref="H4:H11">
    <cfRule type="expression" dxfId="376" priority="93">
      <formula>ABS(H$7-H$10)&gt;=1000</formula>
    </cfRule>
  </conditionalFormatting>
  <conditionalFormatting sqref="I4:I11">
    <cfRule type="expression" dxfId="375" priority="92">
      <formula>ABS(I$7-I$10)&gt;=1000</formula>
    </cfRule>
  </conditionalFormatting>
  <conditionalFormatting sqref="J4:J11">
    <cfRule type="expression" dxfId="374" priority="91">
      <formula>ABS(J$7-J$10)&gt;=1000</formula>
    </cfRule>
  </conditionalFormatting>
  <conditionalFormatting sqref="K4:K11">
    <cfRule type="expression" dxfId="373" priority="90">
      <formula>ABS(K$7-K$10)&gt;=1000</formula>
    </cfRule>
  </conditionalFormatting>
  <conditionalFormatting sqref="L4:L11">
    <cfRule type="expression" dxfId="372" priority="89">
      <formula>ABS(L$7-L$10)&gt;=1000</formula>
    </cfRule>
  </conditionalFormatting>
  <conditionalFormatting sqref="M4 M6:M11">
    <cfRule type="expression" dxfId="371" priority="88">
      <formula>ABS(M$7-M$10)&gt;=1000</formula>
    </cfRule>
  </conditionalFormatting>
  <conditionalFormatting sqref="N4 N6:N11">
    <cfRule type="expression" dxfId="370" priority="87">
      <formula>ABS(N$7-N$10)&gt;=1000</formula>
    </cfRule>
  </conditionalFormatting>
  <conditionalFormatting sqref="O4 O6:O11">
    <cfRule type="expression" dxfId="369" priority="86">
      <formula>ABS(O$7-O$10)&gt;=1000</formula>
    </cfRule>
  </conditionalFormatting>
  <conditionalFormatting sqref="P4 P6:P11">
    <cfRule type="expression" dxfId="368" priority="85">
      <formula>ABS(P$7-P$10)&gt;=1000</formula>
    </cfRule>
  </conditionalFormatting>
  <conditionalFormatting sqref="Q4:Q11">
    <cfRule type="expression" dxfId="367" priority="84">
      <formula>ABS(Q$7-Q$10)&gt;=1000</formula>
    </cfRule>
  </conditionalFormatting>
  <conditionalFormatting sqref="R4:R11">
    <cfRule type="expression" dxfId="366" priority="83">
      <formula>ABS(R$7-R$10)&gt;=1000</formula>
    </cfRule>
  </conditionalFormatting>
  <conditionalFormatting sqref="S4:S11">
    <cfRule type="expression" dxfId="365" priority="82">
      <formula>ABS(S$7-S$10)&gt;=1000</formula>
    </cfRule>
  </conditionalFormatting>
  <conditionalFormatting sqref="T4:T9 T11">
    <cfRule type="expression" dxfId="364" priority="81">
      <formula>ABS(T$7-T$10)&gt;=1000</formula>
    </cfRule>
  </conditionalFormatting>
  <conditionalFormatting sqref="U4:U9 U11">
    <cfRule type="expression" dxfId="363" priority="80">
      <formula>ABS(U$7-U$10)&gt;=1000</formula>
    </cfRule>
  </conditionalFormatting>
  <conditionalFormatting sqref="V4:V9 V11">
    <cfRule type="expression" dxfId="362" priority="79">
      <formula>ABS(V$7-V$10)&gt;=1000</formula>
    </cfRule>
  </conditionalFormatting>
  <conditionalFormatting sqref="W4:W9 W11">
    <cfRule type="expression" dxfId="361" priority="78">
      <formula>ABS(W$7-W$10)&gt;=1000</formula>
    </cfRule>
  </conditionalFormatting>
  <conditionalFormatting sqref="X4:X9 X11">
    <cfRule type="expression" dxfId="360" priority="77">
      <formula>ABS(X$7-X$10)&gt;=1000</formula>
    </cfRule>
  </conditionalFormatting>
  <conditionalFormatting sqref="Y4:Y9 Y11">
    <cfRule type="expression" dxfId="359" priority="76">
      <formula>ABS(Y$7-Y$10)&gt;=1000</formula>
    </cfRule>
  </conditionalFormatting>
  <conditionalFormatting sqref="Z4:Z11">
    <cfRule type="expression" dxfId="358" priority="75">
      <formula>ABS(Z$7-Z$10)&gt;=1000</formula>
    </cfRule>
  </conditionalFormatting>
  <conditionalFormatting sqref="AA4:AA11">
    <cfRule type="expression" dxfId="357" priority="74">
      <formula>ABS(AA$7-AA$10)&gt;=1000</formula>
    </cfRule>
  </conditionalFormatting>
  <conditionalFormatting sqref="AB4:AB11">
    <cfRule type="expression" dxfId="356" priority="73">
      <formula>ABS(AB$7-AB$10)&gt;=1000</formula>
    </cfRule>
  </conditionalFormatting>
  <conditionalFormatting sqref="AC4 AC6:AC11">
    <cfRule type="expression" dxfId="355" priority="72">
      <formula>ABS(AC$7-AC$10)&gt;=1000</formula>
    </cfRule>
  </conditionalFormatting>
  <conditionalFormatting sqref="AD4:AD11">
    <cfRule type="expression" dxfId="354" priority="71">
      <formula>ABS(AD$7-AD$10)&gt;=1000</formula>
    </cfRule>
  </conditionalFormatting>
  <conditionalFormatting sqref="AE4:AE11">
    <cfRule type="expression" dxfId="353" priority="70">
      <formula>ABS(AE$7-AE$10)&gt;=1000</formula>
    </cfRule>
  </conditionalFormatting>
  <conditionalFormatting sqref="D13:D20">
    <cfRule type="expression" dxfId="352" priority="69">
      <formula>ABS(D$16-D$19)&gt;=1000</formula>
    </cfRule>
  </conditionalFormatting>
  <conditionalFormatting sqref="E13:E20">
    <cfRule type="expression" dxfId="351" priority="68">
      <formula>ABS(E$16-E$19)&gt;=1000</formula>
    </cfRule>
  </conditionalFormatting>
  <conditionalFormatting sqref="F13 F15:F20">
    <cfRule type="expression" dxfId="350" priority="67">
      <formula>ABS(F$16-F$19)&gt;=1000</formula>
    </cfRule>
  </conditionalFormatting>
  <conditionalFormatting sqref="G13:G20">
    <cfRule type="expression" dxfId="349" priority="66">
      <formula>ABS(G$16-G$19)&gt;=1000</formula>
    </cfRule>
  </conditionalFormatting>
  <conditionalFormatting sqref="H13:H20">
    <cfRule type="expression" dxfId="348" priority="65">
      <formula>ABS(H$16-H$19)&gt;=1000</formula>
    </cfRule>
  </conditionalFormatting>
  <conditionalFormatting sqref="I13:I20">
    <cfRule type="expression" dxfId="347" priority="64">
      <formula>ABS(I$16-I$19)&gt;=1000</formula>
    </cfRule>
  </conditionalFormatting>
  <conditionalFormatting sqref="J13:J20">
    <cfRule type="expression" dxfId="346" priority="63">
      <formula>ABS(J$16-J$19)&gt;=1000</formula>
    </cfRule>
  </conditionalFormatting>
  <conditionalFormatting sqref="L13:L20">
    <cfRule type="expression" dxfId="345" priority="62">
      <formula>ABS(L$16-L$19)&gt;=1000</formula>
    </cfRule>
  </conditionalFormatting>
  <conditionalFormatting sqref="M13 M15 M17:M18 M20">
    <cfRule type="expression" dxfId="344" priority="61">
      <formula>ABS(M$16-M$19)&gt;=1000</formula>
    </cfRule>
  </conditionalFormatting>
  <conditionalFormatting sqref="N13:N20">
    <cfRule type="expression" dxfId="343" priority="60">
      <formula>ABS(N$16-N$19)&gt;=1000</formula>
    </cfRule>
  </conditionalFormatting>
  <conditionalFormatting sqref="O13:O20">
    <cfRule type="expression" dxfId="342" priority="59">
      <formula>ABS(O$16-O$19)&gt;=1000</formula>
    </cfRule>
  </conditionalFormatting>
  <conditionalFormatting sqref="P13:P20">
    <cfRule type="expression" dxfId="341" priority="58">
      <formula>ABS(P$16-P$19)&gt;=1000</formula>
    </cfRule>
  </conditionalFormatting>
  <conditionalFormatting sqref="Q13 Q15:Q20">
    <cfRule type="expression" dxfId="340" priority="57">
      <formula>ABS(Q$16-Q$19)&gt;=1000</formula>
    </cfRule>
  </conditionalFormatting>
  <conditionalFormatting sqref="R13:R20">
    <cfRule type="expression" dxfId="339" priority="56">
      <formula>ABS(R$16-R$19)&gt;=1000</formula>
    </cfRule>
  </conditionalFormatting>
  <conditionalFormatting sqref="S13:S20">
    <cfRule type="expression" dxfId="338" priority="55">
      <formula>ABS(S$16-S$19)&gt;=1000</formula>
    </cfRule>
  </conditionalFormatting>
  <conditionalFormatting sqref="T13:T20">
    <cfRule type="expression" dxfId="337" priority="54">
      <formula>ABS(T$16-T$19)&gt;=1000</formula>
    </cfRule>
  </conditionalFormatting>
  <conditionalFormatting sqref="U13:U20">
    <cfRule type="expression" dxfId="336" priority="53">
      <formula>ABS(U$16-U$19)&gt;=1000</formula>
    </cfRule>
  </conditionalFormatting>
  <conditionalFormatting sqref="V13:V20">
    <cfRule type="expression" dxfId="335" priority="52">
      <formula>ABS(V$16-V$19)&gt;=1000</formula>
    </cfRule>
  </conditionalFormatting>
  <conditionalFormatting sqref="W13 W20 W15:W18">
    <cfRule type="expression" dxfId="334" priority="51">
      <formula>ABS(W$16-W$19)&gt;=1000</formula>
    </cfRule>
  </conditionalFormatting>
  <conditionalFormatting sqref="X13 X15:X20 Y19">
    <cfRule type="expression" dxfId="333" priority="50">
      <formula>ABS(X$16-X$19)&gt;=1000</formula>
    </cfRule>
  </conditionalFormatting>
  <conditionalFormatting sqref="Y13 Y15:Y18 Y20">
    <cfRule type="expression" dxfId="332" priority="49">
      <formula>ABS(Y$16-Y$19)&gt;=1000</formula>
    </cfRule>
  </conditionalFormatting>
  <conditionalFormatting sqref="Z13:Z20">
    <cfRule type="expression" dxfId="331" priority="48">
      <formula>ABS(Z$16-Z$19)&gt;=1000</formula>
    </cfRule>
  </conditionalFormatting>
  <conditionalFormatting sqref="AA13:AA20">
    <cfRule type="expression" dxfId="330" priority="47">
      <formula>ABS(AA$16-AA$19)&gt;=1000</formula>
    </cfRule>
  </conditionalFormatting>
  <conditionalFormatting sqref="AB13 AB15:AB20">
    <cfRule type="expression" dxfId="329" priority="46">
      <formula>ABS(AB$16-AB$19)&gt;=1000</formula>
    </cfRule>
  </conditionalFormatting>
  <conditionalFormatting sqref="AC13 AC15:AC20">
    <cfRule type="expression" dxfId="328" priority="45">
      <formula>ABS(AC$16-AC$19)&gt;=1000</formula>
    </cfRule>
  </conditionalFormatting>
  <conditionalFormatting sqref="AD13:AD20">
    <cfRule type="expression" dxfId="327" priority="44">
      <formula>ABS(AD$16-AD$19)&gt;=1000</formula>
    </cfRule>
  </conditionalFormatting>
  <conditionalFormatting sqref="AE13:AE20">
    <cfRule type="expression" dxfId="326" priority="43">
      <formula>ABS(AE$16-AE$19)&gt;=1000</formula>
    </cfRule>
  </conditionalFormatting>
  <conditionalFormatting sqref="D22:D29">
    <cfRule type="expression" dxfId="325" priority="42">
      <formula>ABS(D$25-D$28)&gt;=1000</formula>
    </cfRule>
  </conditionalFormatting>
  <conditionalFormatting sqref="E22:E29">
    <cfRule type="expression" dxfId="324" priority="41">
      <formula>ABS(E$25-E$28)&gt;=1000</formula>
    </cfRule>
  </conditionalFormatting>
  <conditionalFormatting sqref="F22:F29">
    <cfRule type="expression" dxfId="323" priority="40">
      <formula>ABS(F$25-F$28)&gt;=1000</formula>
    </cfRule>
  </conditionalFormatting>
  <conditionalFormatting sqref="G22:G29">
    <cfRule type="expression" dxfId="322" priority="39">
      <formula>ABS(G$25-G$28)&gt;=1000</formula>
    </cfRule>
  </conditionalFormatting>
  <conditionalFormatting sqref="H22:H29">
    <cfRule type="expression" dxfId="321" priority="38">
      <formula>ABS(H$25-H$28)&gt;=1000</formula>
    </cfRule>
  </conditionalFormatting>
  <conditionalFormatting sqref="I22 I24:I29">
    <cfRule type="expression" dxfId="320" priority="37">
      <formula>ABS(I$25-I$28)&gt;=1000</formula>
    </cfRule>
  </conditionalFormatting>
  <conditionalFormatting sqref="J22:J29 K22">
    <cfRule type="expression" dxfId="319" priority="36">
      <formula>ABS(J$25-J$28)&gt;=1000</formula>
    </cfRule>
  </conditionalFormatting>
  <conditionalFormatting sqref="K23:K29 L25 L28">
    <cfRule type="expression" dxfId="318" priority="35">
      <formula>ABS(K$25-K$28)&gt;=1000</formula>
    </cfRule>
  </conditionalFormatting>
  <conditionalFormatting sqref="L22 L26:L27 L29 L24">
    <cfRule type="expression" dxfId="317" priority="34">
      <formula>ABS(L$25-L$28)&gt;=1000</formula>
    </cfRule>
  </conditionalFormatting>
  <conditionalFormatting sqref="M22:M29">
    <cfRule type="expression" dxfId="316" priority="33">
      <formula>ABS(M$25-M$28)&gt;=1000</formula>
    </cfRule>
  </conditionalFormatting>
  <conditionalFormatting sqref="N22:N29">
    <cfRule type="expression" dxfId="315" priority="32">
      <formula>ABS(N$25-N$28)&gt;=1000</formula>
    </cfRule>
  </conditionalFormatting>
  <conditionalFormatting sqref="O22:O29">
    <cfRule type="expression" dxfId="314" priority="31">
      <formula>ABS(O$25-O$28)&gt;=1000</formula>
    </cfRule>
  </conditionalFormatting>
  <conditionalFormatting sqref="P22:P29">
    <cfRule type="expression" dxfId="313" priority="30">
      <formula>ABS(P$25-P$28)&gt;=1000</formula>
    </cfRule>
  </conditionalFormatting>
  <conditionalFormatting sqref="Q22:Q29">
    <cfRule type="expression" dxfId="312" priority="29">
      <formula>ABS(Q$25-Q$28)&gt;=1000</formula>
    </cfRule>
  </conditionalFormatting>
  <conditionalFormatting sqref="R22:R29">
    <cfRule type="expression" dxfId="311" priority="28">
      <formula>ABS(R$25-R$28)&gt;=1000</formula>
    </cfRule>
  </conditionalFormatting>
  <conditionalFormatting sqref="S22:S29">
    <cfRule type="expression" dxfId="310" priority="27">
      <formula>ABS(S$25-S$28)&gt;=1000</formula>
    </cfRule>
  </conditionalFormatting>
  <conditionalFormatting sqref="T22:T29">
    <cfRule type="expression" dxfId="309" priority="26">
      <formula>ABS(T$25-T$28)&gt;=1000</formula>
    </cfRule>
  </conditionalFormatting>
  <conditionalFormatting sqref="U22:U29">
    <cfRule type="expression" dxfId="308" priority="25">
      <formula>ABS(U$25-U$28)&gt;=1000</formula>
    </cfRule>
  </conditionalFormatting>
  <conditionalFormatting sqref="V22:V29">
    <cfRule type="expression" dxfId="307" priority="24">
      <formula>ABS(V$25-V$28)&gt;=1000</formula>
    </cfRule>
  </conditionalFormatting>
  <conditionalFormatting sqref="W22:W29">
    <cfRule type="expression" dxfId="306" priority="23">
      <formula>ABS(W$25-W$28)&gt;=1000</formula>
    </cfRule>
  </conditionalFormatting>
  <conditionalFormatting sqref="X22:X29">
    <cfRule type="expression" dxfId="305" priority="22">
      <formula>ABS(X$25-X$28)&gt;=1000</formula>
    </cfRule>
  </conditionalFormatting>
  <conditionalFormatting sqref="Y22:Y29">
    <cfRule type="expression" dxfId="304" priority="21">
      <formula>ABS(Y$25-Y$28)&gt;=1000</formula>
    </cfRule>
  </conditionalFormatting>
  <conditionalFormatting sqref="I23">
    <cfRule type="expression" dxfId="303" priority="20">
      <formula>ABS(I$25-I$28)&gt;=1000</formula>
    </cfRule>
  </conditionalFormatting>
  <conditionalFormatting sqref="F14">
    <cfRule type="expression" dxfId="302" priority="19">
      <formula>ABS(F$16-F$19)&gt;=1000</formula>
    </cfRule>
  </conditionalFormatting>
  <conditionalFormatting sqref="Q14">
    <cfRule type="expression" dxfId="301" priority="18">
      <formula>ABS(Q$16-Q$19)&gt;=1000</formula>
    </cfRule>
  </conditionalFormatting>
  <conditionalFormatting sqref="W14">
    <cfRule type="expression" dxfId="300" priority="17">
      <formula>ABS(W$16-W$19)&gt;=1000</formula>
    </cfRule>
  </conditionalFormatting>
  <conditionalFormatting sqref="Y14">
    <cfRule type="expression" dxfId="299" priority="16">
      <formula>ABS(Y$16-Y$19)&gt;=1000</formula>
    </cfRule>
  </conditionalFormatting>
  <conditionalFormatting sqref="X14">
    <cfRule type="expression" dxfId="298" priority="15">
      <formula>ABS(X$16-X$19)&gt;=1000</formula>
    </cfRule>
  </conditionalFormatting>
  <conditionalFormatting sqref="T10:Y10">
    <cfRule type="expression" dxfId="297" priority="14">
      <formula>ABS(T$7-T$10)&gt;=1000</formula>
    </cfRule>
  </conditionalFormatting>
  <conditionalFormatting sqref="W19">
    <cfRule type="expression" dxfId="296" priority="13">
      <formula>ABS(W$16-W$19)&gt;=1000</formula>
    </cfRule>
  </conditionalFormatting>
  <conditionalFormatting sqref="AC5">
    <cfRule type="expression" dxfId="295" priority="12">
      <formula>ABS(AC$7-AC$10)&gt;=1000</formula>
    </cfRule>
  </conditionalFormatting>
  <conditionalFormatting sqref="M14">
    <cfRule type="expression" dxfId="294" priority="11">
      <formula>ABS(M$16-M$19)&gt;=1000</formula>
    </cfRule>
  </conditionalFormatting>
  <conditionalFormatting sqref="M16">
    <cfRule type="expression" dxfId="293" priority="10">
      <formula>ABS(M$16-M$19)&gt;=1000</formula>
    </cfRule>
  </conditionalFormatting>
  <conditionalFormatting sqref="M19">
    <cfRule type="expression" dxfId="292" priority="9">
      <formula>ABS(M$16-M$19)&gt;=1000</formula>
    </cfRule>
  </conditionalFormatting>
  <conditionalFormatting sqref="K13:K20">
    <cfRule type="expression" dxfId="291" priority="8">
      <formula>ABS(K$16-K$19)&gt;=1000</formula>
    </cfRule>
  </conditionalFormatting>
  <conditionalFormatting sqref="E5">
    <cfRule type="expression" dxfId="290" priority="7">
      <formula>ABS(E$7-E$10)&gt;=1000</formula>
    </cfRule>
  </conditionalFormatting>
  <conditionalFormatting sqref="AB14:AC14">
    <cfRule type="expression" dxfId="289" priority="6">
      <formula>ABS(AB$16-AB$19)&gt;=1000</formula>
    </cfRule>
  </conditionalFormatting>
  <conditionalFormatting sqref="M5">
    <cfRule type="expression" dxfId="288" priority="5">
      <formula>ABS(M$7-M$10)&gt;=1000</formula>
    </cfRule>
  </conditionalFormatting>
  <conditionalFormatting sqref="N5">
    <cfRule type="expression" dxfId="287" priority="4">
      <formula>ABS(N$7-N$10)&gt;=1000</formula>
    </cfRule>
  </conditionalFormatting>
  <conditionalFormatting sqref="O5">
    <cfRule type="expression" dxfId="286" priority="3">
      <formula>ABS(O$7-O$10)&gt;=1000</formula>
    </cfRule>
  </conditionalFormatting>
  <conditionalFormatting sqref="P5">
    <cfRule type="expression" dxfId="285" priority="2">
      <formula>ABS(P$7-P$10)&gt;=1000</formula>
    </cfRule>
  </conditionalFormatting>
  <conditionalFormatting sqref="L23">
    <cfRule type="expression" dxfId="284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62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8">
    <pageSetUpPr fitToPage="1"/>
  </sheetPr>
  <dimension ref="A1:CU223"/>
  <sheetViews>
    <sheetView view="pageBreakPreview" topLeftCell="A7" zoomScale="80" zoomScaleNormal="100" zoomScaleSheetLayoutView="80" workbookViewId="0">
      <selection activeCell="V15" sqref="V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45821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65" t="s" ph="1">
        <v>178</v>
      </c>
      <c r="D6" s="71">
        <v>5128</v>
      </c>
      <c r="E6" s="71">
        <v>4716</v>
      </c>
      <c r="F6" s="71">
        <v>7138</v>
      </c>
      <c r="G6" s="71">
        <v>6706</v>
      </c>
      <c r="H6" s="71">
        <v>2298</v>
      </c>
      <c r="I6" s="71">
        <v>63.21</v>
      </c>
      <c r="J6" s="71">
        <v>7.82</v>
      </c>
      <c r="K6" s="71">
        <v>7.71</v>
      </c>
      <c r="L6" s="71">
        <v>57.32</v>
      </c>
      <c r="M6" s="71">
        <v>5319</v>
      </c>
      <c r="N6" s="71">
        <v>3844</v>
      </c>
      <c r="O6" s="71">
        <v>47</v>
      </c>
      <c r="P6" s="71">
        <v>5498</v>
      </c>
      <c r="Q6" s="71">
        <v>5389</v>
      </c>
      <c r="R6" s="71">
        <v>7008</v>
      </c>
      <c r="S6" s="71">
        <v>2614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4171</v>
      </c>
      <c r="AA6" s="71">
        <v>556</v>
      </c>
      <c r="AB6" s="71">
        <v>4121</v>
      </c>
      <c r="AC6" s="71">
        <v>4150</v>
      </c>
      <c r="AD6" s="71">
        <v>4410</v>
      </c>
      <c r="AE6" s="71">
        <v>3353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160621.41688632002</v>
      </c>
      <c r="E7" s="73" ph="1">
        <f>E6*51.53*LOOKUP(E8,密度!$A$2:$A$50,密度!$B$2:$B$50)</f>
        <v>189041.74189200002</v>
      </c>
      <c r="F7" s="73" ph="1">
        <f>F6*33.183*LOOKUP(F8,密度!$A$2:$A$50,密度!$C$2:$C$50)</f>
        <v>262464.8474574</v>
      </c>
      <c r="G7" s="73" ph="1">
        <f xml:space="preserve"> (G6+2)*51.53*LOOKUP(G8,密度!$A$2:$A$50,密度!$B$2:$B$50)</f>
        <v>268891.434396</v>
      </c>
      <c r="H7" s="73" ph="1">
        <f>(H6)*51.53*LOOKUP(H8,密度!$A$2:$A$50,密度!$B$2:$B$50)</f>
        <v>92636.789862000005</v>
      </c>
      <c r="I7" s="73" ph="1">
        <f>I6*290.8*1.0267</f>
        <v>18872.253195599998</v>
      </c>
      <c r="J7" s="73" ph="1">
        <f>J6*290.8*0.7892</f>
        <v>1794.6849952</v>
      </c>
      <c r="K7" s="73" ph="1">
        <f>K6*290.8*1.1126</f>
        <v>2494.5248568000002</v>
      </c>
      <c r="L7" s="73" ph="1">
        <f>L6*290.8*0.777</f>
        <v>12951.545711999999</v>
      </c>
      <c r="M7" s="73" ph="1">
        <f>M6*33.183*LOOKUP(M8,密度!$A$2:$A$50,密度!$D$2:$D$50)</f>
        <v>180718.73601030002</v>
      </c>
      <c r="N7" s="73" ph="1">
        <f>N6*33.183*LOOKUP(N8,密度!$A$2:$A$50,密度!$E$2:$E$50)</f>
        <v>99327.430472399996</v>
      </c>
      <c r="O7" s="73" ph="1">
        <f>O6*20.428*LOOKUP(O8,密度!$A$2:$A$50,密度!$C$2:$C$50)</f>
        <v>1061.7922844</v>
      </c>
      <c r="P7" s="73" ph="1">
        <f>P6*51.53*LOOKUP(P8,密度!$A$2:$A$50,密度!$B$2:$B$50)</f>
        <v>220388.35812600001</v>
      </c>
      <c r="Q7" s="73" ph="1">
        <f>Q6*1.5*1.5*3.1416*LOOKUP(W8,密度!$A$2:$A$50,密度!$L$2:$L$50)</f>
        <v>35730.938905199997</v>
      </c>
      <c r="R7" s="73" ph="1">
        <f>R6*1.5*1.5*3.1416*LOOKUP(R8,密度!$A$2:$A$50,密度!$L$2:$L$50)</f>
        <v>46168.249881600001</v>
      </c>
      <c r="S7" s="73" ph="1">
        <f>S6*1.5*1.5*3.1416*LOOKUP(S8,密度!$A$2:$A$50,密度!$L$2:$L$50)</f>
        <v>17257.817253600002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129686.69654100001</v>
      </c>
      <c r="AA7" s="73" ph="1">
        <f>AA6*33.183*LOOKUP(AA8,密度!$A$2:$A$50,密度!$D$2:$D$50)</f>
        <v>18925.751498400001</v>
      </c>
      <c r="AB7" s="73" ph="1">
        <f>AB6*20.428*LOOKUP(AB8,密度!$A$2:$A$50,密度!$D$2:$D$50)</f>
        <v>86751.393534000003</v>
      </c>
      <c r="AC7" s="73" ph="1">
        <f>AC6*51.53*LOOKUP(AC8,密度!$A$2:$A$50,密度!$Q$2:$Q$50)</f>
        <v>202308.04248500001</v>
      </c>
      <c r="AD7" s="73" ph="1">
        <f>AD6*20.428*LOOKUP(AD8,密度!$A$2:$A$50,密度!$V$2:$V$50)</f>
        <v>86267.770848000015</v>
      </c>
      <c r="AE7" s="73" ph="1">
        <f>AE6*20.428</f>
        <v>68495.084000000003</v>
      </c>
    </row>
    <row r="8" spans="1:99" ph="1">
      <c r="B8" s="244" ph="1"/>
      <c r="C8" s="68" t="s" ph="1">
        <v>180</v>
      </c>
      <c r="D8" s="74">
        <v>29</v>
      </c>
      <c r="E8" s="74">
        <v>27</v>
      </c>
      <c r="F8" s="74">
        <v>26</v>
      </c>
      <c r="G8" s="74">
        <v>27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29</v>
      </c>
      <c r="O8" s="74">
        <v>29</v>
      </c>
      <c r="P8" s="74">
        <v>27</v>
      </c>
      <c r="Q8" s="74">
        <v>28</v>
      </c>
      <c r="R8" s="74">
        <v>30</v>
      </c>
      <c r="S8" s="74">
        <v>28</v>
      </c>
      <c r="T8" s="74">
        <v>22</v>
      </c>
      <c r="U8" s="74">
        <v>26</v>
      </c>
      <c r="V8" s="74">
        <v>28</v>
      </c>
      <c r="W8" s="74">
        <v>24</v>
      </c>
      <c r="X8" s="74">
        <v>22</v>
      </c>
      <c r="Y8" s="74">
        <v>25</v>
      </c>
      <c r="Z8" s="74">
        <v>25</v>
      </c>
      <c r="AA8" s="74">
        <v>26</v>
      </c>
      <c r="AB8" s="74">
        <v>21</v>
      </c>
      <c r="AC8" s="74">
        <v>26</v>
      </c>
      <c r="AD8" s="74">
        <v>26</v>
      </c>
      <c r="AE8" s="74">
        <v>32</v>
      </c>
    </row>
    <row r="9" spans="1:99" ht="26.4" ph="1">
      <c r="B9" s="244" ph="1">
        <v>0.66666666666666663</v>
      </c>
      <c r="C9" s="165" t="s" ph="1">
        <v>181</v>
      </c>
      <c r="D9" s="71">
        <v>5123</v>
      </c>
      <c r="E9" s="71">
        <v>4713</v>
      </c>
      <c r="F9" s="71">
        <v>7138</v>
      </c>
      <c r="G9" s="71">
        <v>6401</v>
      </c>
      <c r="H9" s="71">
        <v>2173</v>
      </c>
      <c r="I9" s="71">
        <v>63.11</v>
      </c>
      <c r="J9" s="71">
        <v>7.81</v>
      </c>
      <c r="K9" s="71">
        <v>7.71</v>
      </c>
      <c r="L9" s="71">
        <v>33.21</v>
      </c>
      <c r="M9" s="71">
        <v>5314</v>
      </c>
      <c r="N9" s="71">
        <v>3839</v>
      </c>
      <c r="O9" s="71">
        <v>47</v>
      </c>
      <c r="P9" s="71">
        <v>5245</v>
      </c>
      <c r="Q9" s="71">
        <v>4756</v>
      </c>
      <c r="R9" s="71">
        <v>7002</v>
      </c>
      <c r="S9" s="71">
        <v>4869</v>
      </c>
      <c r="T9" s="71">
        <v>2430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4306</v>
      </c>
      <c r="AA9" s="71">
        <v>555</v>
      </c>
      <c r="AB9" s="71">
        <v>3994</v>
      </c>
      <c r="AC9" s="71">
        <v>4147</v>
      </c>
      <c r="AD9" s="71">
        <v>4406</v>
      </c>
      <c r="AE9" s="71">
        <v>3281</v>
      </c>
    </row>
    <row r="10" spans="1:99" s="72" customFormat="1" ht="22.2" ph="1">
      <c r="B10" s="244" ph="1"/>
      <c r="C10" s="165" t="s" ph="1">
        <v>179</v>
      </c>
      <c r="D10" s="73" ph="1">
        <f>D9*33.183*LOOKUP(D11,密度!$A$2:$A$50,密度!$Q$2:$Q$50)</f>
        <v>160582.10233157998</v>
      </c>
      <c r="E10" s="73" ph="1">
        <f>E9*51.53*LOOKUP(E11,密度!$A$2:$A$50,密度!$B$2:$B$50)</f>
        <v>189115.775043</v>
      </c>
      <c r="F10" s="73" ph="1">
        <f>F9*33.183*LOOKUP(F11,密度!$A$2:$A$50,密度!$C$2:$C$50)</f>
        <v>262654.33566059999</v>
      </c>
      <c r="G10" s="73" ph="1">
        <f xml:space="preserve"> (G9+2)*51.53*LOOKUP(G11,密度!$A$2:$A$50,密度!$B$2:$B$50)</f>
        <v>256929.409633</v>
      </c>
      <c r="H10" s="73" ph="1">
        <f>(H9)*51.53*LOOKUP(H11,密度!$A$2:$A$50,密度!$B$2:$B$50)</f>
        <v>87698.577208000002</v>
      </c>
      <c r="I10" s="73" ph="1">
        <f>I9*290.8*1.0267</f>
        <v>18842.396759599997</v>
      </c>
      <c r="J10" s="73" ph="1">
        <f>J9*290.8*0.7892</f>
        <v>1792.3900016000002</v>
      </c>
      <c r="K10" s="73" ph="1">
        <f>K9*290.8*1.1126</f>
        <v>2494.5248568000002</v>
      </c>
      <c r="L10" s="73" ph="1">
        <f>L9*290.8*0.777</f>
        <v>7503.8526360000005</v>
      </c>
      <c r="M10" s="73" ph="1">
        <f>M9*33.183*LOOKUP(M11,密度!$A$2:$A$50,密度!$D$2:$D$50)</f>
        <v>180883.89111960001</v>
      </c>
      <c r="N10" s="73" ph="1">
        <f>N9*33.183*LOOKUP(N11,密度!$A$2:$A$50,密度!$E$2:$E$50)</f>
        <v>99338.360952600007</v>
      </c>
      <c r="O10" s="73" ph="1">
        <f>O9*20.428*LOOKUP(O11,密度!$A$2:$A$50,密度!$C$2:$C$50)</f>
        <v>1066.7848876</v>
      </c>
      <c r="P10" s="73" ph="1">
        <f>P9*51.53*LOOKUP(P11,密度!$A$2:$A$50,密度!$B$2:$B$50)</f>
        <v>210706.27306000001</v>
      </c>
      <c r="Q10" s="73" ph="1">
        <f>Q9*1.5*1.5*3.1416*LOOKUP(W11,密度!$A$2:$A$50,密度!$L$2:$L$50)</f>
        <v>31500.3111192</v>
      </c>
      <c r="R10" s="73" ph="1">
        <f>R9*1.5*1.5*3.1416*LOOKUP(R11,密度!$A$2:$A$50,密度!$L$2:$L$50)</f>
        <v>46079.227933200003</v>
      </c>
      <c r="S10" s="73" ph="1">
        <f>S9*1.5*1.5*3.1416*LOOKUP(S11,密度!$A$2:$A$50,密度!$L$2:$L$50)</f>
        <v>32248.741555799999</v>
      </c>
      <c r="T10" s="73" ph="1">
        <f>T9*1.5*1.5*3.1416*LOOKUP(T11,密度!$A$2:$A$50,密度!$L$2:$L$50)</f>
        <v>16146.09612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134312.83811999997</v>
      </c>
      <c r="AA10" s="73" ph="1">
        <f>AA9*33.183*LOOKUP(AA11,密度!$A$2:$A$50,密度!$D$2:$D$50)</f>
        <v>18924.862194000001</v>
      </c>
      <c r="AB10" s="73" ph="1">
        <f>AB9*20.428*LOOKUP(AB11,密度!$A$2:$A$50,密度!$D$2:$D$50)</f>
        <v>84216.6117104</v>
      </c>
      <c r="AC10" s="73" ph="1">
        <f>AC9*51.53*LOOKUP(AC11,密度!$A$2:$A$50,密度!$Q$2:$Q$50)</f>
        <v>202313.51909340001</v>
      </c>
      <c r="AD10" s="73" ph="1">
        <f>AD9*20.428*LOOKUP(AD11,密度!$A$2:$A$50,密度!$V$2:$V$50)</f>
        <v>86477.541894399998</v>
      </c>
      <c r="AE10" s="73" ph="1">
        <f>AE9*20.428</f>
        <v>67024.267999999996</v>
      </c>
    </row>
    <row r="11" spans="1:99" ph="1">
      <c r="A11" s="64" t="s" ph="1">
        <v>163</v>
      </c>
      <c r="B11" s="244" ph="1"/>
      <c r="C11" s="165" t="s" ph="1">
        <v>180</v>
      </c>
      <c r="D11" s="74">
        <v>28</v>
      </c>
      <c r="E11" s="74">
        <v>26</v>
      </c>
      <c r="F11" s="74">
        <v>25</v>
      </c>
      <c r="G11" s="74">
        <v>26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28</v>
      </c>
      <c r="O11" s="74">
        <v>22</v>
      </c>
      <c r="P11" s="74">
        <v>25</v>
      </c>
      <c r="Q11" s="74">
        <v>27</v>
      </c>
      <c r="R11" s="74">
        <v>31</v>
      </c>
      <c r="S11" s="74">
        <v>25</v>
      </c>
      <c r="T11" s="74">
        <v>22</v>
      </c>
      <c r="U11" s="74">
        <v>25</v>
      </c>
      <c r="V11" s="74">
        <v>28</v>
      </c>
      <c r="W11" s="74">
        <v>25</v>
      </c>
      <c r="X11" s="74">
        <v>25</v>
      </c>
      <c r="Y11" s="74">
        <v>24</v>
      </c>
      <c r="Z11" s="74">
        <v>22</v>
      </c>
      <c r="AA11" s="74">
        <v>24</v>
      </c>
      <c r="AB11" s="74">
        <v>19</v>
      </c>
      <c r="AC11" s="74">
        <v>25</v>
      </c>
      <c r="AD11" s="74">
        <v>24</v>
      </c>
      <c r="AE11" s="74">
        <v>29</v>
      </c>
    </row>
    <row r="12" spans="1:99" ht="9.9" customHeight="1" ph="1"/>
    <row r="13" spans="1:99" s="72" customFormat="1" ht="29.25" customHeight="1" ph="1">
      <c r="B13" s="221" t="s" ph="1">
        <v>37</v>
      </c>
      <c r="C13" s="165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65" t="s" ph="1">
        <v>178</v>
      </c>
      <c r="D15" s="78">
        <v>3244</v>
      </c>
      <c r="E15" s="78">
        <v>4724</v>
      </c>
      <c r="F15" s="78">
        <v>2449</v>
      </c>
      <c r="G15" s="78">
        <v>2906</v>
      </c>
      <c r="H15" s="78">
        <v>3731</v>
      </c>
      <c r="I15" s="78">
        <v>118</v>
      </c>
      <c r="J15" s="78">
        <v>1660</v>
      </c>
      <c r="K15" s="78">
        <v>1787</v>
      </c>
      <c r="L15" s="78">
        <v>5655</v>
      </c>
      <c r="M15" s="78">
        <v>5484</v>
      </c>
      <c r="N15" s="78">
        <v>231</v>
      </c>
      <c r="O15" s="78">
        <v>6094</v>
      </c>
      <c r="P15" s="78">
        <v>7172</v>
      </c>
      <c r="Q15" s="78">
        <v>0</v>
      </c>
      <c r="R15" s="78">
        <v>3516</v>
      </c>
      <c r="S15" s="78">
        <v>6931</v>
      </c>
      <c r="T15" s="78">
        <v>3444</v>
      </c>
      <c r="U15" s="78">
        <v>2363</v>
      </c>
      <c r="V15" s="78">
        <v>-596</v>
      </c>
      <c r="W15" s="71">
        <v>-792</v>
      </c>
      <c r="X15" s="78">
        <v>27</v>
      </c>
      <c r="Y15" s="106">
        <v>-9907</v>
      </c>
      <c r="Z15" s="78">
        <v>0</v>
      </c>
      <c r="AA15" s="78">
        <v>0</v>
      </c>
      <c r="AB15" s="78" ph="1">
        <v>2372</v>
      </c>
      <c r="AC15" s="78" ph="1">
        <v>0</v>
      </c>
      <c r="AD15" s="78">
        <v>75.209999999999994</v>
      </c>
      <c r="AE15" s="78">
        <v>41.93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65" t="s" ph="1">
        <v>179</v>
      </c>
      <c r="D16" s="73" ph="1">
        <f>D15*7.0686*LOOKUP(D17,密度!$A$2:$A$50,密度!$L$2:$L$50)</f>
        <v>21417.122865600002</v>
      </c>
      <c r="E16" s="73" ph="1">
        <f>E15*7.0686*LOOKUP(E17,密度!$A$2:$A$50,密度!$L$2:$L$50)</f>
        <v>31154.797951200006</v>
      </c>
      <c r="F16" s="73" ph="1">
        <f>F15*9.0746*LOOKUP(F17,密度!$A$2:$A$50,密度!$L$2:$L$50)</f>
        <v>20668.036722000001</v>
      </c>
      <c r="G16" s="73" ph="1">
        <f>G15*9.0746*LOOKUP(G17,密度!$A$2:$A$50,密度!$B$2:$B$50)</f>
        <v>20490.1019652</v>
      </c>
      <c r="H16" s="73" ph="1">
        <f>H15*9.0746*LOOKUP(H17,密度!$A$2:$A$50,密度!$L$2:$L$50)</f>
        <v>31690.463313600005</v>
      </c>
      <c r="I16" s="73" ph="1">
        <f>I15*9.0746*LOOKUP(I17,密度!$A$2:$A$50,密度!$U$2:$U$50)</f>
        <v>1096.5020672000001</v>
      </c>
      <c r="J16" s="73" ph="1">
        <f>J15*9.0746*LOOKUP(J17,密度!$A$2:$A$50,密度!$L$2:$L$50)</f>
        <v>14069.622824000002</v>
      </c>
      <c r="K16" s="73" ph="1">
        <f>K15*9.0746*LOOKUP(K17,密度!$A$2:$A$50,密度!$C$2:$C$50)</f>
        <v>17944.96886732</v>
      </c>
      <c r="L16" s="73" ph="1">
        <f>L15*9.0746*LOOKUP(L17,密度!$A$2:$A$50,密度!$E$2:$E$50)</f>
        <v>39903.992668800005</v>
      </c>
      <c r="M16" s="73" ph="1">
        <f>M15*9.0746*LOOKUP(M17,密度!$A$2:$A$50,密度!$M$2:$M$50)</f>
        <v>43345.407674400005</v>
      </c>
      <c r="N16" s="73" ph="1">
        <f>N15*9.0746*LOOKUP(N17,密度!$A$2:$A$50,密度!$M$2:$M$50)</f>
        <v>1834.4131482600003</v>
      </c>
      <c r="O16" s="73" ph="1">
        <f>O15*9.0746*LOOKUP(O17,密度!$A$2:$A$50,密度!$G$2:$G$50)</f>
        <v>52861.855393159996</v>
      </c>
      <c r="P16" s="73" ph="1">
        <f ca="1">P15*9.0746*LOOKUP(P17,密度!$A$2:$A$51,密度!$Q$2:$Q$50)</f>
        <v>61478.732932144005</v>
      </c>
      <c r="Q16" s="73" ph="1">
        <f>Q15*9.0746*LOOKUP(Q17,密度!$A$2:$A$50,密度!$Q$2:$Q$50)</f>
        <v>0</v>
      </c>
      <c r="R16" s="73" ph="1">
        <f>MAX(R15*9.0746*LOOKUP(R17,密度!$A$2:$A$50,密度!$B$2:$B$50),0)</f>
        <v>24736.949428079999</v>
      </c>
      <c r="S16" s="73" ph="1">
        <f>S15*9.0746*LOOKUP(S17,密度!$A$2:$A$50,密度!$Q$2:$Q$50)</f>
        <v>59331.733299158004</v>
      </c>
      <c r="T16" s="73" ph="1">
        <f>T15*9.0746*LOOKUP(T17,密度!$A$2:$A$50,密度!$O$2:$O$50)</f>
        <v>28940.206142400002</v>
      </c>
      <c r="U16" s="73" ph="1">
        <f>U15*9.0746*LOOKUP(U17,密度!$A$2:$A$50,密度!$H$2:$H$50)</f>
        <v>19556.2711776</v>
      </c>
      <c r="V16" s="73" ph="1">
        <f>MAX(5600*LOOKUP(V17,密度!$A$2:$A$50,密度!$Q$2:$Q$50)+V15*9.0476*LOOKUP(V17,密度!$A$2:$A$50,密度!$Q$2:$Q$50),0)</f>
        <v>196.13182844800122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6071.6278942799991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20061.254518400001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16974.560414879998</v>
      </c>
      <c r="AE16" s="73" ph="1">
        <f>AE15*268.68*LOOKUP(AE17,密度!$A$2:$A$50,密度!B2:B50)+IF(AE15&lt;=0,0,1566*LOOKUP(AE17,密度!$A$2:$A$50,密度!B2:B50))</f>
        <v>10003.634171039999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28</v>
      </c>
      <c r="E17" s="74">
        <v>29</v>
      </c>
      <c r="F17" s="74">
        <v>32</v>
      </c>
      <c r="G17" s="74">
        <v>28</v>
      </c>
      <c r="H17" s="74">
        <v>26</v>
      </c>
      <c r="I17" s="74">
        <v>26</v>
      </c>
      <c r="J17" s="74">
        <v>28</v>
      </c>
      <c r="K17" s="74">
        <v>28</v>
      </c>
      <c r="L17" s="74">
        <v>30</v>
      </c>
      <c r="M17" s="74">
        <v>29</v>
      </c>
      <c r="N17" s="74">
        <v>25</v>
      </c>
      <c r="O17" s="74">
        <v>29</v>
      </c>
      <c r="P17" s="74">
        <v>28</v>
      </c>
      <c r="Q17" s="74">
        <v>26</v>
      </c>
      <c r="R17" s="74">
        <v>30</v>
      </c>
      <c r="S17" s="74">
        <v>30</v>
      </c>
      <c r="T17" s="74">
        <v>28</v>
      </c>
      <c r="U17" s="74">
        <v>28</v>
      </c>
      <c r="V17" s="74">
        <v>28</v>
      </c>
      <c r="W17" s="74">
        <v>28</v>
      </c>
      <c r="X17" s="74">
        <v>28</v>
      </c>
      <c r="Y17" s="108">
        <v>27</v>
      </c>
      <c r="Z17" s="74">
        <v>27</v>
      </c>
      <c r="AA17" s="74">
        <v>25</v>
      </c>
      <c r="AB17" s="74">
        <v>30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3238</v>
      </c>
      <c r="E18" s="71">
        <v>4711</v>
      </c>
      <c r="F18" s="71">
        <v>2444</v>
      </c>
      <c r="G18" s="71">
        <v>2938</v>
      </c>
      <c r="H18" s="71">
        <v>3725</v>
      </c>
      <c r="I18" s="71">
        <v>118</v>
      </c>
      <c r="J18" s="71">
        <v>1660</v>
      </c>
      <c r="K18" s="71">
        <v>1786</v>
      </c>
      <c r="L18" s="71">
        <v>5638</v>
      </c>
      <c r="M18" s="71">
        <v>2512</v>
      </c>
      <c r="N18" s="71">
        <v>1287</v>
      </c>
      <c r="O18" s="71">
        <v>6082</v>
      </c>
      <c r="P18" s="71">
        <v>7157</v>
      </c>
      <c r="Q18" s="71">
        <v>0</v>
      </c>
      <c r="R18" s="71">
        <v>3511</v>
      </c>
      <c r="S18" s="71">
        <v>6918</v>
      </c>
      <c r="T18" s="71">
        <v>3438</v>
      </c>
      <c r="U18" s="71">
        <v>2362</v>
      </c>
      <c r="V18" s="71">
        <v>-548</v>
      </c>
      <c r="W18" s="71">
        <v>-368</v>
      </c>
      <c r="X18" s="71">
        <v>27</v>
      </c>
      <c r="Y18" s="109">
        <v>-9905</v>
      </c>
      <c r="Z18" s="71">
        <v>0</v>
      </c>
      <c r="AA18" s="71">
        <v>0</v>
      </c>
      <c r="AB18" s="71">
        <v>2368</v>
      </c>
      <c r="AC18" s="71">
        <v>27</v>
      </c>
      <c r="AD18" s="71">
        <v>84.41</v>
      </c>
      <c r="AE18" s="71">
        <v>15.51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65" t="s" ph="1">
        <v>179</v>
      </c>
      <c r="D19" s="73" ph="1">
        <f>D18*7.0686*LOOKUP(D20,密度!$A$2:$A$50,密度!$L$2:$L$50)</f>
        <v>21423.286684800001</v>
      </c>
      <c r="E19" s="73" ph="1">
        <f>E18*7.0686*LOOKUP(E20,密度!$A$2:$A$50,密度!$L$2:$L$50)</f>
        <v>31202.2636002</v>
      </c>
      <c r="F19" s="73" ph="1">
        <f>F18*9.0746*LOOKUP(F20,密度!$A$2:$A$50,密度!$L$2:$L$50)</f>
        <v>20714.553121600002</v>
      </c>
      <c r="G19" s="73" ph="1">
        <f>G18*9.0746*LOOKUP(G20,密度!$A$2:$A$50,密度!$B$2:$B$50)</f>
        <v>20785.05187408</v>
      </c>
      <c r="H19" s="73" ph="1">
        <f>H18*9.0746*LOOKUP(H20,密度!$A$2:$A$50,密度!$L$2:$L$50)</f>
        <v>31673.303245000003</v>
      </c>
      <c r="I19" s="73" ph="1">
        <f>I18*9.0746*LOOKUP(I20,密度!$A$2:$A$50,密度!$U$2:$U$50)</f>
        <v>1097.5728699999997</v>
      </c>
      <c r="J19" s="73" ph="1">
        <f>J18*9.0746*LOOKUP(J20,密度!$A$2:$A$50,密度!$L$2:$L$50)</f>
        <v>14084.686660000001</v>
      </c>
      <c r="K19" s="73" ph="1">
        <f>K18*9.0746*LOOKUP(K20,密度!$A$2:$A$50,密度!$C$2:$C$50)</f>
        <v>17959.237768360003</v>
      </c>
      <c r="L19" s="73" ph="1">
        <f>L18*9.0746*LOOKUP(L20,密度!$A$2:$A$50,密度!$E$2:$E$50)</f>
        <v>39957.986538800003</v>
      </c>
      <c r="M19" s="73" ph="1">
        <f>M18*9.0746*LOOKUP(M20,密度!$A$2:$A$50,密度!$M$2:$M$50)</f>
        <v>19902.659549119999</v>
      </c>
      <c r="N19" s="73" ph="1">
        <f>N18*9.0746*LOOKUP(N20,密度!$A$2:$A$50,密度!$M$2:$M$50)</f>
        <v>10242.491945400001</v>
      </c>
      <c r="O19" s="73" ph="1">
        <f>O18*9.0746*LOOKUP(O20,密度!$A$2:$A$50,密度!$G$2:$G$50)</f>
        <v>52818.473360399999</v>
      </c>
      <c r="P19" s="73" ph="1">
        <f ca="1">P18*9.0746*LOOKUP(P20,密度!$A$2:$A$51,密度!$Q$2:$Q$50)</f>
        <v>61441.727348566004</v>
      </c>
      <c r="Q19" s="73" ph="1">
        <f>Q18*9.0746*LOOKUP(Q20,密度!$A$2:$A$50,密度!$Q$2:$Q$50)</f>
        <v>0</v>
      </c>
      <c r="R19" s="73" ph="1">
        <f>MAX(R18*9.0746*LOOKUP(R20,密度!$A$2:$A$50,密度!$B$2:$B$50),0)</f>
        <v>24755.935306200001</v>
      </c>
      <c r="S19" s="73" ph="1">
        <f>S18*9.0746*LOOKUP(S20,密度!$A$2:$A$50,密度!$Q$2:$Q$50)</f>
        <v>59434.522110072008</v>
      </c>
      <c r="T19" s="73" ph="1">
        <f>T18*9.0746*LOOKUP(T20,密度!$A$2:$A$50,密度!$O$2:$O$50)</f>
        <v>28889.787664800002</v>
      </c>
      <c r="U19" s="73" ph="1">
        <f>U18*9.0746*LOOKUP(U20,密度!$A$2:$A$50,密度!$H$2:$H$50)</f>
        <v>19605.867496439998</v>
      </c>
      <c r="V19" s="73" ph="1">
        <f>MAX(5600*LOOKUP(V20,密度!$A$2:$A$50,密度!$Q$2:$Q$50)+V18*9.0476*LOOKUP(V20,密度!$A$2:$A$50,密度!$Q$2:$Q$50),0)</f>
        <v>607.72679644800064</v>
      </c>
      <c r="W19" s="73" ph="1">
        <f>MAX(5600*LOOKUP(W20,密度!$A$2:$A$50,密度!$Q$2:$Q$50)+W18*9.0476*LOOKUP(W20,密度!$A$2:$A$50,密度!$Q$2:$Q$50),0)</f>
        <v>2147.9452216959999</v>
      </c>
      <c r="X19" s="73" ph="1">
        <f>MAX(5600*LOOKUP(X20,密度!$A$2:$A$50,密度!$I$2:$I$50)+X18*9.0476*LOOKUP(X20,密度!$A$2:$A$50,密度!$I$2:$I$50),0)</f>
        <v>6091.4984639599998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20070.401715200001</v>
      </c>
      <c r="AC19" s="73" ph="1">
        <f>AC18*9.0746*LOOKUP(AC20,密度!$A$2:$A$50,密度!$L$2:$L$50)</f>
        <v>230.0683338</v>
      </c>
      <c r="AD19" s="73" ph="1">
        <f>AD18*268.68*LOOKUP(AD20,密度!$A$2:$A$50,密度!B5:B53)+IF(AD18&lt;=0,0,1566*LOOKUP(AD20,密度!$A$2:$A$50,密度!B5:B53))</f>
        <v>18838.581627600001</v>
      </c>
      <c r="AE19" s="73" ph="1">
        <f>AE18*268.68*LOOKUP(AE20,密度!$A$2:$A$50,密度!B5:B53)+IF(AE18&lt;=0,0,1566*LOOKUP(AE20,密度!$A$2:$A$50,密度!B5:B53))</f>
        <v>4454.7172236000006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26</v>
      </c>
      <c r="E20" s="81">
        <v>25</v>
      </c>
      <c r="F20" s="81">
        <v>28</v>
      </c>
      <c r="G20" s="81">
        <v>25</v>
      </c>
      <c r="H20" s="81">
        <v>25</v>
      </c>
      <c r="I20" s="81">
        <v>25</v>
      </c>
      <c r="J20" s="81">
        <v>27</v>
      </c>
      <c r="K20" s="81">
        <v>26</v>
      </c>
      <c r="L20" s="81">
        <v>27</v>
      </c>
      <c r="M20" s="81">
        <v>27</v>
      </c>
      <c r="N20" s="81">
        <v>23</v>
      </c>
      <c r="O20" s="81">
        <v>28</v>
      </c>
      <c r="P20" s="81">
        <v>26</v>
      </c>
      <c r="Q20" s="81">
        <v>24</v>
      </c>
      <c r="R20" s="81">
        <v>28</v>
      </c>
      <c r="S20" s="81">
        <v>25</v>
      </c>
      <c r="T20" s="81">
        <v>25</v>
      </c>
      <c r="U20" s="81">
        <v>25</v>
      </c>
      <c r="V20" s="81">
        <v>25</v>
      </c>
      <c r="W20" s="81">
        <v>26</v>
      </c>
      <c r="X20" s="81">
        <v>25</v>
      </c>
      <c r="Y20" s="110">
        <v>26</v>
      </c>
      <c r="Z20" s="81">
        <v>25</v>
      </c>
      <c r="AA20" s="81">
        <v>24</v>
      </c>
      <c r="AB20" s="81">
        <v>28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647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65" t="s" ph="1">
        <v>178</v>
      </c>
      <c r="D24" s="71">
        <v>91.03</v>
      </c>
      <c r="E24" s="71">
        <v>95.72</v>
      </c>
      <c r="F24" s="71">
        <v>1888</v>
      </c>
      <c r="G24" s="71">
        <v>1786</v>
      </c>
      <c r="H24" s="71">
        <v>1846</v>
      </c>
      <c r="I24" s="71">
        <v>2360</v>
      </c>
      <c r="J24" s="71">
        <v>5412</v>
      </c>
      <c r="K24" s="71">
        <v>1171</v>
      </c>
      <c r="L24" s="71">
        <v>2354</v>
      </c>
      <c r="M24" s="71">
        <v>5265</v>
      </c>
      <c r="N24" s="71">
        <v>5337</v>
      </c>
      <c r="O24" s="71">
        <v>3696</v>
      </c>
      <c r="P24" s="71">
        <v>743</v>
      </c>
      <c r="Q24" s="90">
        <v>2938</v>
      </c>
      <c r="R24" s="71">
        <v>1745</v>
      </c>
      <c r="S24" s="71">
        <v>5393</v>
      </c>
      <c r="T24" s="71">
        <v>1765</v>
      </c>
      <c r="U24" s="71">
        <v>4321</v>
      </c>
      <c r="V24" s="71">
        <v>9649</v>
      </c>
      <c r="W24" s="71">
        <v>10763</v>
      </c>
      <c r="X24" s="71">
        <v>3052</v>
      </c>
      <c r="Y24" s="71">
        <v>3964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24637.905334296003</v>
      </c>
      <c r="E25" s="91" ph="1">
        <f>E24*268.68*LOOKUP(E26,密度!$A$2:$A$50,密度!$C$2:$C$50)+IF(E24&lt;=0,0,1566*LOOKUP(E26,密度!$A$2:$A$50,密度!$C$2:$C$50))</f>
        <v>30255.282601440002</v>
      </c>
      <c r="F25" s="91" ph="1">
        <f>F24*11.702*LOOKUP(F26,密度!$A$2:$A$50,密度!$Q$2:$Q$50)</f>
        <v>20824.774350079999</v>
      </c>
      <c r="G25" s="91" ph="1">
        <f>G24*18.322*LOOKUP(G26,密度!$A$2:$A$50,密度!$B$2:$B$50)</f>
        <v>25370.213227599997</v>
      </c>
      <c r="H25" s="91" ph="1">
        <f>H24*18.322*LOOKUP(H26,密度!$A$2:$A$50,密度!$B$2:$B$50)</f>
        <v>26192.075852799997</v>
      </c>
      <c r="I25" s="91" ph="1">
        <f>I24*18.322*LOOKUP(I26,密度!$A$2:$A$50,密度!$Q$2:$Q$50)</f>
        <v>40789.513733599997</v>
      </c>
      <c r="J25" s="91" ph="1">
        <f>J24*18.322*LOOKUP(J26,密度!$A$2:$A$50,密度!$Q$2:$Q$50)</f>
        <v>93539.34251111999</v>
      </c>
      <c r="K25" s="91" ph="1">
        <f>K24*18.322*LOOKUP(K26,密度!$A$2:$A$50,密度!$Q$2:$Q$50)</f>
        <v>20239.203636459999</v>
      </c>
      <c r="L25" s="91" ph="1">
        <f>L24*18.322*LOOKUP(L26,密度!$A$2:$A$50,密度!$Q$2:$Q$50)</f>
        <v>40711.689572839998</v>
      </c>
      <c r="M25" s="91" ph="1">
        <f>M24*18.322*LOOKUP(M26,密度!$A$2:$A$50,密度!$Q$2:$Q$50)</f>
        <v>90998.639748900008</v>
      </c>
      <c r="N25" s="91" ph="1">
        <f>N24*18.322*LOOKUP(N26,密度!$A$2:$A$50,密度!$Q$2:$Q$50)</f>
        <v>92301.736300019998</v>
      </c>
      <c r="O25" s="91" ph="1">
        <f>O24*18.322*LOOKUP(O26,密度!$A$2:$A$50,密度!$C$2:$C$50)</f>
        <v>74767.5674592</v>
      </c>
      <c r="P25" s="91" ph="1">
        <f>P24*11.702*LOOKUP(P26,密度!$A$2:$A$50,密度!$B$2:$B$50)</f>
        <v>6733.0873983999991</v>
      </c>
      <c r="Q25" s="92" ph="1">
        <f>Q24*18.322*LOOKUP(Q26,密度!$A$2:$A$50,密度!$B$2:$B$50)</f>
        <v>41734.426910800001</v>
      </c>
      <c r="R25" s="91" ph="1">
        <f>R24*35.891*LOOKUP(R26,密度!$A$2:$A$50,密度!$C$2:$C$50)</f>
        <v>69080.663885000002</v>
      </c>
      <c r="S25" s="91" ph="1">
        <f>S24*35.891*LOOKUP(S26,密度!$A$2:$A$50,密度!$B$2:$B$50)</f>
        <v>149892.9902272</v>
      </c>
      <c r="T25" s="91" ph="1">
        <f>T24*35.891*LOOKUP(T26,密度!$A$2:$A$50,密度!$Q$2:$Q$50)</f>
        <v>59710.194946699994</v>
      </c>
      <c r="U25" s="91" ph="1">
        <f>U24*35.891</f>
        <v>155085.011</v>
      </c>
      <c r="V25" s="91" ph="1">
        <f>V24*47.051*LOOKUP(V26,密度!$A$2:$A$50,密度!$B$2:$B$50)</f>
        <v>351165.20907650003</v>
      </c>
      <c r="W25" s="91" ph="1">
        <f>W24*47.051*LOOKUP(W26,密度!$A$2:$A$50,密度!$B$2:$B$50)</f>
        <v>392163.83662720001</v>
      </c>
      <c r="X25" s="91" ph="1">
        <f>X24*47.051*LOOKUP(X26,密度!$A$2:$A$50,密度!$I$2:$I$50)</f>
        <v>148855.3992632</v>
      </c>
      <c r="Y25" s="91" ph="1">
        <f>Y24*47.051*LOOKUP(Y26,密度!$A$2:$A$50,密度!$L$2:$L$50)</f>
        <v>173454.45252000002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31</v>
      </c>
      <c r="G26" s="74">
        <v>30</v>
      </c>
      <c r="H26" s="74">
        <v>31</v>
      </c>
      <c r="I26" s="74">
        <v>30</v>
      </c>
      <c r="J26" s="74">
        <v>30</v>
      </c>
      <c r="K26" s="74">
        <v>30</v>
      </c>
      <c r="L26" s="74">
        <v>29</v>
      </c>
      <c r="M26" s="74">
        <v>30</v>
      </c>
      <c r="N26" s="74">
        <v>29</v>
      </c>
      <c r="O26" s="74">
        <v>31</v>
      </c>
      <c r="P26" s="74">
        <v>31</v>
      </c>
      <c r="Q26" s="93">
        <v>30</v>
      </c>
      <c r="R26" s="74">
        <v>32</v>
      </c>
      <c r="S26" s="74">
        <v>31</v>
      </c>
      <c r="T26" s="74">
        <v>31</v>
      </c>
      <c r="U26" s="74">
        <v>30</v>
      </c>
      <c r="V26" s="74">
        <v>32</v>
      </c>
      <c r="W26" s="74">
        <v>31</v>
      </c>
      <c r="X26" s="74">
        <v>30</v>
      </c>
      <c r="Y26" s="74">
        <v>32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65" t="s" ph="1">
        <v>181</v>
      </c>
      <c r="D27" s="71">
        <v>4.91</v>
      </c>
      <c r="E27" s="71">
        <v>95.61</v>
      </c>
      <c r="F27" s="71">
        <v>3107</v>
      </c>
      <c r="G27" s="71">
        <v>1123</v>
      </c>
      <c r="H27" s="71">
        <v>2168</v>
      </c>
      <c r="I27" s="71">
        <v>2357</v>
      </c>
      <c r="J27" s="71">
        <v>5404</v>
      </c>
      <c r="K27" s="71">
        <v>2388</v>
      </c>
      <c r="L27" s="71">
        <v>3569</v>
      </c>
      <c r="M27" s="71">
        <v>5267</v>
      </c>
      <c r="N27" s="71">
        <v>5332</v>
      </c>
      <c r="O27" s="71">
        <v>3694</v>
      </c>
      <c r="P27" s="71">
        <v>1018</v>
      </c>
      <c r="Q27" s="90">
        <v>3461</v>
      </c>
      <c r="R27" s="71">
        <v>1744</v>
      </c>
      <c r="S27" s="71">
        <v>6010</v>
      </c>
      <c r="T27" s="71">
        <v>1764</v>
      </c>
      <c r="U27" s="71">
        <v>4137</v>
      </c>
      <c r="V27" s="71">
        <v>9639</v>
      </c>
      <c r="W27" s="71">
        <v>10755</v>
      </c>
      <c r="X27" s="71">
        <v>2679</v>
      </c>
      <c r="Y27" s="71">
        <v>2910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65" t="s" ph="1">
        <v>179</v>
      </c>
      <c r="D28" s="91" ph="1">
        <f>D27*268.68*LOOKUP(D29,密度!$A$2:$A$50,密度!$Q$2:$Q$50)+IF(D27&lt;=0,0,1566*LOOKUP(D29,密度!$A$2:$A$50,密度!$Q$2:$Q$50))</f>
        <v>2731.5520467120004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34297.699679620004</v>
      </c>
      <c r="G28" s="91" ph="1">
        <f>G27*18.322*LOOKUP(G29,密度!$A$2:$A$50,密度!$B$2:$B$50)</f>
        <v>15987.245862</v>
      </c>
      <c r="H28" s="91" ph="1">
        <f>H27*18.322*LOOKUP(H29,密度!$A$2:$A$50,密度!$B$2:$B$50)</f>
        <v>30832.290915199999</v>
      </c>
      <c r="I28" s="91" ph="1">
        <f>I27*18.322*LOOKUP(I29,密度!$A$2:$A$50,密度!$Q$2:$Q$50)</f>
        <v>40763.573629220002</v>
      </c>
      <c r="J28" s="91" ph="1">
        <f>J27*18.322*LOOKUP(J29,密度!$A$2:$A$50,密度!$Q$2:$Q$50)</f>
        <v>93528.798566559984</v>
      </c>
      <c r="K28" s="91" ph="1">
        <f>K27*18.322*LOOKUP(K29,密度!$A$2:$A$50,密度!$Q$2:$Q$50)</f>
        <v>41299.70887848</v>
      </c>
      <c r="L28" s="91" ph="1">
        <f>L27*18.322*LOOKUP(L29,密度!$A$2:$A$50,密度!$Q$2:$Q$50)</f>
        <v>61685.497675939994</v>
      </c>
      <c r="M28" s="91" ph="1">
        <f>M27*18.322*LOOKUP(M29,密度!$A$2:$A$50,密度!$Q$2:$Q$50)</f>
        <v>91091.108317820006</v>
      </c>
      <c r="N28" s="91" ph="1">
        <f>N27*18.322*LOOKUP(N29,密度!$A$2:$A$50,密度!$Q$2:$Q$50)</f>
        <v>92215.262872720006</v>
      </c>
      <c r="O28" s="91" ph="1">
        <f>O27*18.322*LOOKUP(O29,密度!$A$2:$A$50,密度!$C$2:$C$50)</f>
        <v>74794.790286799995</v>
      </c>
      <c r="P28" s="91" ph="1">
        <f>P27*11.702*LOOKUP(P29,密度!$A$2:$A$50,密度!$B$2:$B$50)</f>
        <v>9235.8666907999996</v>
      </c>
      <c r="Q28" s="92" ph="1">
        <f>Q27*18.322*LOOKUP(Q29,密度!$A$2:$A$50,密度!$B$2:$B$50)</f>
        <v>49220.737480399999</v>
      </c>
      <c r="R28" s="91" ph="1">
        <f>R27*35.891*LOOKUP(R29,密度!$A$2:$A$50,密度!$C$2:$C$50)</f>
        <v>69172.523310399993</v>
      </c>
      <c r="S28" s="91" ph="1">
        <f>S27*35.891*LOOKUP(S29,密度!$A$2:$A$50,密度!$B$2:$B$50)</f>
        <v>167041.882304</v>
      </c>
      <c r="T28" s="91" ph="1">
        <f>T27*35.891*LOOKUP(T29,密度!$A$2:$A$50,密度!$Q$2:$Q$50)</f>
        <v>59723.848600919999</v>
      </c>
      <c r="U28" s="91" ph="1">
        <f>U27*35.891</f>
        <v>148481.06699999998</v>
      </c>
      <c r="V28" s="91" ph="1">
        <f>V27*47.051*LOOKUP(V29,密度!$A$2:$A$50,密度!$B$2:$B$50)</f>
        <v>351617.61385170004</v>
      </c>
      <c r="W28" s="91" ph="1">
        <f>W27*47.051*LOOKUP(W29,密度!$A$2:$A$50,密度!$B$2:$B$50)</f>
        <v>392327.7764265</v>
      </c>
      <c r="X28" s="91" ph="1">
        <f>X27*47.051*LOOKUP(X29,密度!$A$2:$A$50,密度!$I$2:$I$50)</f>
        <v>130663.04542139999</v>
      </c>
      <c r="Y28" s="91" ph="1">
        <f>Y27*47.051*LOOKUP(Y29,密度!$A$2:$A$50,密度!$L$2:$L$50)</f>
        <v>127744.87653000001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65" t="s" ph="1">
        <v>180</v>
      </c>
      <c r="D29" s="74">
        <v>25</v>
      </c>
      <c r="E29" s="74">
        <v>25</v>
      </c>
      <c r="F29" s="74">
        <v>30</v>
      </c>
      <c r="G29" s="74">
        <v>28</v>
      </c>
      <c r="H29" s="74">
        <v>29</v>
      </c>
      <c r="I29" s="74">
        <v>29</v>
      </c>
      <c r="J29" s="74">
        <v>28</v>
      </c>
      <c r="K29" s="74">
        <v>29</v>
      </c>
      <c r="L29" s="74">
        <v>30</v>
      </c>
      <c r="M29" s="74">
        <v>29</v>
      </c>
      <c r="N29" s="74">
        <v>29</v>
      </c>
      <c r="O29" s="74">
        <v>30</v>
      </c>
      <c r="P29" s="74">
        <v>30</v>
      </c>
      <c r="Q29" s="93">
        <v>29</v>
      </c>
      <c r="R29" s="74">
        <v>30</v>
      </c>
      <c r="S29" s="74">
        <v>31</v>
      </c>
      <c r="T29" s="74">
        <v>30</v>
      </c>
      <c r="U29" s="74">
        <v>32</v>
      </c>
      <c r="V29" s="74">
        <v>30</v>
      </c>
      <c r="W29" s="74">
        <v>30</v>
      </c>
      <c r="X29" s="74">
        <v>30</v>
      </c>
      <c r="Y29" s="74">
        <v>29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65" t="s" ph="1">
        <v>5</v>
      </c>
      <c r="F32" s="164" t="s" ph="1">
        <v>43</v>
      </c>
      <c r="G32" s="97" t="s" ph="1">
        <v>4</v>
      </c>
      <c r="H32" s="165" t="s" ph="1">
        <v>5</v>
      </c>
      <c r="I32" s="164" t="s" ph="1">
        <v>43</v>
      </c>
      <c r="J32" s="97" t="s" ph="1">
        <v>4</v>
      </c>
      <c r="K32" s="165" t="s" ph="1">
        <v>5</v>
      </c>
      <c r="L32" s="164" t="s" ph="1">
        <v>43</v>
      </c>
      <c r="M32" s="97" t="s" ph="1">
        <v>4</v>
      </c>
      <c r="N32" s="165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4" t="s" ph="1">
        <v>43</v>
      </c>
      <c r="AB32" s="97" t="s" ph="1">
        <v>85</v>
      </c>
      <c r="AC32" s="165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103141.4739044</v>
      </c>
      <c r="E33" s="193" ph="1">
        <f>M10+I10</f>
        <v>199726.28787920001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19" ph="1">
        <v>0</v>
      </c>
      <c r="H33" s="193" ph="1">
        <f>N19</f>
        <v>10242.491945400001</v>
      </c>
      <c r="I33" s="197" ph="1">
        <v>0</v>
      </c>
      <c r="J33" s="201" ph="1">
        <f>F10+O28</f>
        <v>337449.1259474</v>
      </c>
      <c r="K33" s="193" ph="1">
        <f>O10+K10+E28+R28</f>
        <v>102956.34233851999</v>
      </c>
      <c r="L33" s="203" ph="1">
        <f>BE27</f>
        <v>7100</v>
      </c>
      <c r="M33" s="201" ph="1">
        <f>G10+H10+W28+S28+V28+E10</f>
        <v>1444731.0344662</v>
      </c>
      <c r="N33" s="193" ph="1">
        <f>L10+P10++G28+H28</f>
        <v>265029.66247320001</v>
      </c>
      <c r="O33" s="197" ph="1">
        <f>BE17</f>
        <v>2270</v>
      </c>
      <c r="P33" s="201" ph="1">
        <f>L19</f>
        <v>39957.986538800003</v>
      </c>
      <c r="Q33" s="193" ph="1">
        <f>J10+N10</f>
        <v>101130.7509542</v>
      </c>
      <c r="R33" s="197" ph="1">
        <f>BE23</f>
        <v>890</v>
      </c>
      <c r="S33" s="201" ph="1">
        <f>E10+X28</f>
        <v>319778.82046439999</v>
      </c>
      <c r="T33" s="193" ph="1">
        <f>X19</f>
        <v>6091.4984639599998</v>
      </c>
      <c r="U33" s="182" ph="1">
        <f>BE21</f>
        <v>730</v>
      </c>
      <c r="V33" s="195" ph="1">
        <f ca="1">P19+Q19+S19+M28+N28+J28</f>
        <v>397711.41921573802</v>
      </c>
      <c r="W33" s="195" ph="1">
        <f>D28+F28+V19+T28</f>
        <v>97360.827123700001</v>
      </c>
      <c r="X33" s="197" ph="1">
        <f>BE29+BE31</f>
        <v>10200</v>
      </c>
      <c r="Y33" s="199" ph="1">
        <f>+Q10+R10+S10+T10+U10+V10+W10+X10+Y10</f>
        <v>125974.3767282</v>
      </c>
      <c r="Z33" s="180" ph="1">
        <f>D10+T19+U19+Y28+Z10</f>
        <v>471135.47214281996</v>
      </c>
      <c r="AA33" s="182" ph="1">
        <f>BE19</f>
        <v>1440</v>
      </c>
      <c r="AB33" s="184" ph="1">
        <f>I19</f>
        <v>1097.5728699999997</v>
      </c>
      <c r="AC33" s="186" ph="1">
        <f>AD10</f>
        <v>86477.541894399998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63" t="s" ph="1">
        <v>186</v>
      </c>
      <c r="AA36" s="163" ph="1"/>
      <c r="AB36" s="179" t="s" ph="1">
        <v>646</v>
      </c>
      <c r="AC36" s="179" ph="1"/>
      <c r="AD36" s="179" ph="1"/>
      <c r="AE36" s="179" ph="1"/>
      <c r="BA36" s="64" ph="1">
        <v>2270</v>
      </c>
    </row>
    <row r="37" spans="1:57" s="16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3" t="s" ph="1">
        <v>345</v>
      </c>
      <c r="AI37" s="163" t="s" ph="1">
        <v>212</v>
      </c>
      <c r="AJ37" s="163" t="s" ph="1">
        <v>213</v>
      </c>
      <c r="AK37" s="163" t="s" ph="1">
        <v>214</v>
      </c>
      <c r="AM37" s="163" t="s" ph="1">
        <v>213</v>
      </c>
      <c r="AN37" s="163" t="s" ph="1">
        <v>214</v>
      </c>
      <c r="AO37" s="163" t="s" ph="1">
        <v>215</v>
      </c>
      <c r="AP37" s="163" t="s" ph="1">
        <v>213</v>
      </c>
      <c r="AQ37" s="163" t="s" ph="1">
        <v>214</v>
      </c>
      <c r="AR37" s="163" t="s" ph="1">
        <v>215</v>
      </c>
      <c r="AS37" s="163" t="s" ph="1">
        <v>213</v>
      </c>
      <c r="AT37" s="163" t="s" ph="1">
        <v>214</v>
      </c>
      <c r="AU37" s="163" t="s" ph="1">
        <v>215</v>
      </c>
      <c r="AV37" s="163" t="s" ph="1">
        <v>213</v>
      </c>
      <c r="AW37" s="163" t="s" ph="1">
        <v>214</v>
      </c>
      <c r="AX37" s="163" t="s" ph="1">
        <v>215</v>
      </c>
      <c r="AY37" s="163" t="s" ph="1">
        <v>214</v>
      </c>
      <c r="AZ37" s="163" t="s" ph="1">
        <v>216</v>
      </c>
      <c r="BD37" s="163" t="s" ph="1">
        <v>308</v>
      </c>
      <c r="BE37" s="163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3" priority="97">
      <formula>ABS(D$7-D$10)&gt;=1000</formula>
    </cfRule>
  </conditionalFormatting>
  <conditionalFormatting sqref="E4 E6:E11">
    <cfRule type="expression" dxfId="252" priority="96">
      <formula>ABS(E$7-E$10)&gt;=1000</formula>
    </cfRule>
  </conditionalFormatting>
  <conditionalFormatting sqref="F4:F11">
    <cfRule type="expression" dxfId="251" priority="95">
      <formula>ABS(F$7-F$10)&gt;=1000</formula>
    </cfRule>
  </conditionalFormatting>
  <conditionalFormatting sqref="G4:G11">
    <cfRule type="expression" dxfId="250" priority="94">
      <formula>ABS(G$7-G$10)&gt;=1000</formula>
    </cfRule>
  </conditionalFormatting>
  <conditionalFormatting sqref="H4:H11">
    <cfRule type="expression" dxfId="249" priority="93">
      <formula>ABS(H$7-H$10)&gt;=1000</formula>
    </cfRule>
  </conditionalFormatting>
  <conditionalFormatting sqref="I4:I11">
    <cfRule type="expression" dxfId="248" priority="92">
      <formula>ABS(I$7-I$10)&gt;=1000</formula>
    </cfRule>
  </conditionalFormatting>
  <conditionalFormatting sqref="J4:J11">
    <cfRule type="expression" dxfId="247" priority="91">
      <formula>ABS(J$7-J$10)&gt;=1000</formula>
    </cfRule>
  </conditionalFormatting>
  <conditionalFormatting sqref="K4:K11">
    <cfRule type="expression" dxfId="246" priority="90">
      <formula>ABS(K$7-K$10)&gt;=1000</formula>
    </cfRule>
  </conditionalFormatting>
  <conditionalFormatting sqref="L4:L11">
    <cfRule type="expression" dxfId="245" priority="89">
      <formula>ABS(L$7-L$10)&gt;=1000</formula>
    </cfRule>
  </conditionalFormatting>
  <conditionalFormatting sqref="M4 M6:M11">
    <cfRule type="expression" dxfId="244" priority="88">
      <formula>ABS(M$7-M$10)&gt;=1000</formula>
    </cfRule>
  </conditionalFormatting>
  <conditionalFormatting sqref="N4 N6:N11">
    <cfRule type="expression" dxfId="243" priority="87">
      <formula>ABS(N$7-N$10)&gt;=1000</formula>
    </cfRule>
  </conditionalFormatting>
  <conditionalFormatting sqref="O4 O6:O11">
    <cfRule type="expression" dxfId="242" priority="86">
      <formula>ABS(O$7-O$10)&gt;=1000</formula>
    </cfRule>
  </conditionalFormatting>
  <conditionalFormatting sqref="P4 P6:P11">
    <cfRule type="expression" dxfId="241" priority="85">
      <formula>ABS(P$7-P$10)&gt;=1000</formula>
    </cfRule>
  </conditionalFormatting>
  <conditionalFormatting sqref="Q4:Q11">
    <cfRule type="expression" dxfId="240" priority="84">
      <formula>ABS(Q$7-Q$10)&gt;=1000</formula>
    </cfRule>
  </conditionalFormatting>
  <conditionalFormatting sqref="R4:R11">
    <cfRule type="expression" dxfId="239" priority="83">
      <formula>ABS(R$7-R$10)&gt;=1000</formula>
    </cfRule>
  </conditionalFormatting>
  <conditionalFormatting sqref="S4:S11">
    <cfRule type="expression" dxfId="238" priority="82">
      <formula>ABS(S$7-S$10)&gt;=1000</formula>
    </cfRule>
  </conditionalFormatting>
  <conditionalFormatting sqref="T4:T9 T11">
    <cfRule type="expression" dxfId="237" priority="81">
      <formula>ABS(T$7-T$10)&gt;=1000</formula>
    </cfRule>
  </conditionalFormatting>
  <conditionalFormatting sqref="U4:U9 U11">
    <cfRule type="expression" dxfId="236" priority="80">
      <formula>ABS(U$7-U$10)&gt;=1000</formula>
    </cfRule>
  </conditionalFormatting>
  <conditionalFormatting sqref="V4:V9 V11">
    <cfRule type="expression" dxfId="235" priority="79">
      <formula>ABS(V$7-V$10)&gt;=1000</formula>
    </cfRule>
  </conditionalFormatting>
  <conditionalFormatting sqref="W4:W9 W11">
    <cfRule type="expression" dxfId="234" priority="78">
      <formula>ABS(W$7-W$10)&gt;=1000</formula>
    </cfRule>
  </conditionalFormatting>
  <conditionalFormatting sqref="X4:X9 X11">
    <cfRule type="expression" dxfId="233" priority="77">
      <formula>ABS(X$7-X$10)&gt;=1000</formula>
    </cfRule>
  </conditionalFormatting>
  <conditionalFormatting sqref="Y4:Y9 Y11">
    <cfRule type="expression" dxfId="232" priority="76">
      <formula>ABS(Y$7-Y$10)&gt;=1000</formula>
    </cfRule>
  </conditionalFormatting>
  <conditionalFormatting sqref="Z4:Z11">
    <cfRule type="expression" dxfId="231" priority="75">
      <formula>ABS(Z$7-Z$10)&gt;=1000</formula>
    </cfRule>
  </conditionalFormatting>
  <conditionalFormatting sqref="AA4:AA11">
    <cfRule type="expression" dxfId="230" priority="74">
      <formula>ABS(AA$7-AA$10)&gt;=1000</formula>
    </cfRule>
  </conditionalFormatting>
  <conditionalFormatting sqref="AB4:AB11">
    <cfRule type="expression" dxfId="229" priority="73">
      <formula>ABS(AB$7-AB$10)&gt;=1000</formula>
    </cfRule>
  </conditionalFormatting>
  <conditionalFormatting sqref="AC4 AC6:AC11">
    <cfRule type="expression" dxfId="228" priority="72">
      <formula>ABS(AC$7-AC$10)&gt;=1000</formula>
    </cfRule>
  </conditionalFormatting>
  <conditionalFormatting sqref="AD4:AD11">
    <cfRule type="expression" dxfId="227" priority="71">
      <formula>ABS(AD$7-AD$10)&gt;=1000</formula>
    </cfRule>
  </conditionalFormatting>
  <conditionalFormatting sqref="AE4:AE11">
    <cfRule type="expression" dxfId="226" priority="70">
      <formula>ABS(AE$7-AE$10)&gt;=1000</formula>
    </cfRule>
  </conditionalFormatting>
  <conditionalFormatting sqref="D13:D20">
    <cfRule type="expression" dxfId="225" priority="69">
      <formula>ABS(D$16-D$19)&gt;=1000</formula>
    </cfRule>
  </conditionalFormatting>
  <conditionalFormatting sqref="E13:E20">
    <cfRule type="expression" dxfId="224" priority="68">
      <formula>ABS(E$16-E$19)&gt;=1000</formula>
    </cfRule>
  </conditionalFormatting>
  <conditionalFormatting sqref="F13 F15:F20">
    <cfRule type="expression" dxfId="223" priority="67">
      <formula>ABS(F$16-F$19)&gt;=1000</formula>
    </cfRule>
  </conditionalFormatting>
  <conditionalFormatting sqref="G13:G20">
    <cfRule type="expression" dxfId="222" priority="66">
      <formula>ABS(G$16-G$19)&gt;=1000</formula>
    </cfRule>
  </conditionalFormatting>
  <conditionalFormatting sqref="H13:H20">
    <cfRule type="expression" dxfId="221" priority="65">
      <formula>ABS(H$16-H$19)&gt;=1000</formula>
    </cfRule>
  </conditionalFormatting>
  <conditionalFormatting sqref="I13:I20">
    <cfRule type="expression" dxfId="220" priority="64">
      <formula>ABS(I$16-I$19)&gt;=1000</formula>
    </cfRule>
  </conditionalFormatting>
  <conditionalFormatting sqref="J13:J20">
    <cfRule type="expression" dxfId="219" priority="63">
      <formula>ABS(J$16-J$19)&gt;=1000</formula>
    </cfRule>
  </conditionalFormatting>
  <conditionalFormatting sqref="L13:L20">
    <cfRule type="expression" dxfId="218" priority="62">
      <formula>ABS(L$16-L$19)&gt;=1000</formula>
    </cfRule>
  </conditionalFormatting>
  <conditionalFormatting sqref="M13 M15 M17:M18 M20">
    <cfRule type="expression" dxfId="217" priority="61">
      <formula>ABS(M$16-M$19)&gt;=1000</formula>
    </cfRule>
  </conditionalFormatting>
  <conditionalFormatting sqref="N13:N20">
    <cfRule type="expression" dxfId="216" priority="60">
      <formula>ABS(N$16-N$19)&gt;=1000</formula>
    </cfRule>
  </conditionalFormatting>
  <conditionalFormatting sqref="O13:O20">
    <cfRule type="expression" dxfId="215" priority="59">
      <formula>ABS(O$16-O$19)&gt;=1000</formula>
    </cfRule>
  </conditionalFormatting>
  <conditionalFormatting sqref="P13:P20">
    <cfRule type="expression" dxfId="214" priority="58">
      <formula>ABS(P$16-P$19)&gt;=1000</formula>
    </cfRule>
  </conditionalFormatting>
  <conditionalFormatting sqref="Q13 Q15:Q20">
    <cfRule type="expression" dxfId="213" priority="57">
      <formula>ABS(Q$16-Q$19)&gt;=1000</formula>
    </cfRule>
  </conditionalFormatting>
  <conditionalFormatting sqref="R13:R20">
    <cfRule type="expression" dxfId="212" priority="56">
      <formula>ABS(R$16-R$19)&gt;=1000</formula>
    </cfRule>
  </conditionalFormatting>
  <conditionalFormatting sqref="S13:S20">
    <cfRule type="expression" dxfId="211" priority="55">
      <formula>ABS(S$16-S$19)&gt;=1000</formula>
    </cfRule>
  </conditionalFormatting>
  <conditionalFormatting sqref="T13:T20">
    <cfRule type="expression" dxfId="210" priority="54">
      <formula>ABS(T$16-T$19)&gt;=1000</formula>
    </cfRule>
  </conditionalFormatting>
  <conditionalFormatting sqref="U13:U20">
    <cfRule type="expression" dxfId="209" priority="53">
      <formula>ABS(U$16-U$19)&gt;=1000</formula>
    </cfRule>
  </conditionalFormatting>
  <conditionalFormatting sqref="V13:V20">
    <cfRule type="expression" dxfId="208" priority="52">
      <formula>ABS(V$16-V$19)&gt;=1000</formula>
    </cfRule>
  </conditionalFormatting>
  <conditionalFormatting sqref="W13 W20 W15:W18">
    <cfRule type="expression" dxfId="207" priority="51">
      <formula>ABS(W$16-W$19)&gt;=1000</formula>
    </cfRule>
  </conditionalFormatting>
  <conditionalFormatting sqref="X13 X15:X20 Y19">
    <cfRule type="expression" dxfId="206" priority="50">
      <formula>ABS(X$16-X$19)&gt;=1000</formula>
    </cfRule>
  </conditionalFormatting>
  <conditionalFormatting sqref="Y13 Y15:Y18 Y20">
    <cfRule type="expression" dxfId="205" priority="49">
      <formula>ABS(Y$16-Y$19)&gt;=1000</formula>
    </cfRule>
  </conditionalFormatting>
  <conditionalFormatting sqref="Z13:Z20">
    <cfRule type="expression" dxfId="204" priority="48">
      <formula>ABS(Z$16-Z$19)&gt;=1000</formula>
    </cfRule>
  </conditionalFormatting>
  <conditionalFormatting sqref="AA13:AA20">
    <cfRule type="expression" dxfId="203" priority="47">
      <formula>ABS(AA$16-AA$19)&gt;=1000</formula>
    </cfRule>
  </conditionalFormatting>
  <conditionalFormatting sqref="AB13 AB15:AB20">
    <cfRule type="expression" dxfId="202" priority="46">
      <formula>ABS(AB$16-AB$19)&gt;=1000</formula>
    </cfRule>
  </conditionalFormatting>
  <conditionalFormatting sqref="AC13 AC15:AC20">
    <cfRule type="expression" dxfId="201" priority="45">
      <formula>ABS(AC$16-AC$19)&gt;=1000</formula>
    </cfRule>
  </conditionalFormatting>
  <conditionalFormatting sqref="AD13:AD20">
    <cfRule type="expression" dxfId="200" priority="44">
      <formula>ABS(AD$16-AD$19)&gt;=1000</formula>
    </cfRule>
  </conditionalFormatting>
  <conditionalFormatting sqref="AE13:AE20">
    <cfRule type="expression" dxfId="199" priority="43">
      <formula>ABS(AE$16-AE$19)&gt;=1000</formula>
    </cfRule>
  </conditionalFormatting>
  <conditionalFormatting sqref="D22:D29">
    <cfRule type="expression" dxfId="198" priority="42">
      <formula>ABS(D$25-D$28)&gt;=1000</formula>
    </cfRule>
  </conditionalFormatting>
  <conditionalFormatting sqref="E22:E29">
    <cfRule type="expression" dxfId="197" priority="41">
      <formula>ABS(E$25-E$28)&gt;=1000</formula>
    </cfRule>
  </conditionalFormatting>
  <conditionalFormatting sqref="F22:F29">
    <cfRule type="expression" dxfId="196" priority="40">
      <formula>ABS(F$25-F$28)&gt;=1000</formula>
    </cfRule>
  </conditionalFormatting>
  <conditionalFormatting sqref="G22:G29">
    <cfRule type="expression" dxfId="195" priority="39">
      <formula>ABS(G$25-G$28)&gt;=1000</formula>
    </cfRule>
  </conditionalFormatting>
  <conditionalFormatting sqref="H22:H29">
    <cfRule type="expression" dxfId="194" priority="38">
      <formula>ABS(H$25-H$28)&gt;=1000</formula>
    </cfRule>
  </conditionalFormatting>
  <conditionalFormatting sqref="I22 I24:I29">
    <cfRule type="expression" dxfId="193" priority="37">
      <formula>ABS(I$25-I$28)&gt;=1000</formula>
    </cfRule>
  </conditionalFormatting>
  <conditionalFormatting sqref="J22:J29 K22">
    <cfRule type="expression" dxfId="192" priority="36">
      <formula>ABS(J$25-J$28)&gt;=1000</formula>
    </cfRule>
  </conditionalFormatting>
  <conditionalFormatting sqref="K23:K29 L25 L28">
    <cfRule type="expression" dxfId="191" priority="35">
      <formula>ABS(K$25-K$28)&gt;=1000</formula>
    </cfRule>
  </conditionalFormatting>
  <conditionalFormatting sqref="L22 L26:L27 L29 L24">
    <cfRule type="expression" dxfId="190" priority="34">
      <formula>ABS(L$25-L$28)&gt;=1000</formula>
    </cfRule>
  </conditionalFormatting>
  <conditionalFormatting sqref="M22:M29">
    <cfRule type="expression" dxfId="189" priority="33">
      <formula>ABS(M$25-M$28)&gt;=1000</formula>
    </cfRule>
  </conditionalFormatting>
  <conditionalFormatting sqref="N22:N29">
    <cfRule type="expression" dxfId="188" priority="32">
      <formula>ABS(N$25-N$28)&gt;=1000</formula>
    </cfRule>
  </conditionalFormatting>
  <conditionalFormatting sqref="O22:O29">
    <cfRule type="expression" dxfId="187" priority="31">
      <formula>ABS(O$25-O$28)&gt;=1000</formula>
    </cfRule>
  </conditionalFormatting>
  <conditionalFormatting sqref="P22:P29">
    <cfRule type="expression" dxfId="186" priority="30">
      <formula>ABS(P$25-P$28)&gt;=1000</formula>
    </cfRule>
  </conditionalFormatting>
  <conditionalFormatting sqref="Q22:Q29">
    <cfRule type="expression" dxfId="185" priority="29">
      <formula>ABS(Q$25-Q$28)&gt;=1000</formula>
    </cfRule>
  </conditionalFormatting>
  <conditionalFormatting sqref="R22:R29">
    <cfRule type="expression" dxfId="184" priority="28">
      <formula>ABS(R$25-R$28)&gt;=1000</formula>
    </cfRule>
  </conditionalFormatting>
  <conditionalFormatting sqref="S22:S29">
    <cfRule type="expression" dxfId="183" priority="27">
      <formula>ABS(S$25-S$28)&gt;=1000</formula>
    </cfRule>
  </conditionalFormatting>
  <conditionalFormatting sqref="T22:T29">
    <cfRule type="expression" dxfId="182" priority="26">
      <formula>ABS(T$25-T$28)&gt;=1000</formula>
    </cfRule>
  </conditionalFormatting>
  <conditionalFormatting sqref="U22:U29">
    <cfRule type="expression" dxfId="181" priority="25">
      <formula>ABS(U$25-U$28)&gt;=1000</formula>
    </cfRule>
  </conditionalFormatting>
  <conditionalFormatting sqref="V22:V29">
    <cfRule type="expression" dxfId="180" priority="24">
      <formula>ABS(V$25-V$28)&gt;=1000</formula>
    </cfRule>
  </conditionalFormatting>
  <conditionalFormatting sqref="W22:W29">
    <cfRule type="expression" dxfId="179" priority="23">
      <formula>ABS(W$25-W$28)&gt;=1000</formula>
    </cfRule>
  </conditionalFormatting>
  <conditionalFormatting sqref="X22:X29">
    <cfRule type="expression" dxfId="178" priority="22">
      <formula>ABS(X$25-X$28)&gt;=1000</formula>
    </cfRule>
  </conditionalFormatting>
  <conditionalFormatting sqref="Y22:Y29">
    <cfRule type="expression" dxfId="177" priority="21">
      <formula>ABS(Y$25-Y$28)&gt;=1000</formula>
    </cfRule>
  </conditionalFormatting>
  <conditionalFormatting sqref="I23">
    <cfRule type="expression" dxfId="176" priority="20">
      <formula>ABS(I$25-I$28)&gt;=1000</formula>
    </cfRule>
  </conditionalFormatting>
  <conditionalFormatting sqref="F14">
    <cfRule type="expression" dxfId="175" priority="19">
      <formula>ABS(F$16-F$19)&gt;=1000</formula>
    </cfRule>
  </conditionalFormatting>
  <conditionalFormatting sqref="Q14">
    <cfRule type="expression" dxfId="174" priority="18">
      <formula>ABS(Q$16-Q$19)&gt;=1000</formula>
    </cfRule>
  </conditionalFormatting>
  <conditionalFormatting sqref="W14">
    <cfRule type="expression" dxfId="173" priority="17">
      <formula>ABS(W$16-W$19)&gt;=1000</formula>
    </cfRule>
  </conditionalFormatting>
  <conditionalFormatting sqref="Y14">
    <cfRule type="expression" dxfId="172" priority="16">
      <formula>ABS(Y$16-Y$19)&gt;=1000</formula>
    </cfRule>
  </conditionalFormatting>
  <conditionalFormatting sqref="X14">
    <cfRule type="expression" dxfId="171" priority="15">
      <formula>ABS(X$16-X$19)&gt;=1000</formula>
    </cfRule>
  </conditionalFormatting>
  <conditionalFormatting sqref="T10:Y10">
    <cfRule type="expression" dxfId="170" priority="14">
      <formula>ABS(T$7-T$10)&gt;=1000</formula>
    </cfRule>
  </conditionalFormatting>
  <conditionalFormatting sqref="W19">
    <cfRule type="expression" dxfId="169" priority="13">
      <formula>ABS(W$16-W$19)&gt;=1000</formula>
    </cfRule>
  </conditionalFormatting>
  <conditionalFormatting sqref="AC5">
    <cfRule type="expression" dxfId="168" priority="12">
      <formula>ABS(AC$7-AC$10)&gt;=1000</formula>
    </cfRule>
  </conditionalFormatting>
  <conditionalFormatting sqref="M14">
    <cfRule type="expression" dxfId="167" priority="11">
      <formula>ABS(M$16-M$19)&gt;=1000</formula>
    </cfRule>
  </conditionalFormatting>
  <conditionalFormatting sqref="M16">
    <cfRule type="expression" dxfId="166" priority="10">
      <formula>ABS(M$16-M$19)&gt;=1000</formula>
    </cfRule>
  </conditionalFormatting>
  <conditionalFormatting sqref="M19">
    <cfRule type="expression" dxfId="165" priority="9">
      <formula>ABS(M$16-M$19)&gt;=1000</formula>
    </cfRule>
  </conditionalFormatting>
  <conditionalFormatting sqref="K13:K20">
    <cfRule type="expression" dxfId="164" priority="8">
      <formula>ABS(K$16-K$19)&gt;=1000</formula>
    </cfRule>
  </conditionalFormatting>
  <conditionalFormatting sqref="E5">
    <cfRule type="expression" dxfId="163" priority="7">
      <formula>ABS(E$7-E$10)&gt;=1000</formula>
    </cfRule>
  </conditionalFormatting>
  <conditionalFormatting sqref="AB14:AC14">
    <cfRule type="expression" dxfId="162" priority="6">
      <formula>ABS(AB$16-AB$19)&gt;=1000</formula>
    </cfRule>
  </conditionalFormatting>
  <conditionalFormatting sqref="M5">
    <cfRule type="expression" dxfId="161" priority="5">
      <formula>ABS(M$7-M$10)&gt;=1000</formula>
    </cfRule>
  </conditionalFormatting>
  <conditionalFormatting sqref="N5">
    <cfRule type="expression" dxfId="160" priority="4">
      <formula>ABS(N$7-N$10)&gt;=1000</formula>
    </cfRule>
  </conditionalFormatting>
  <conditionalFormatting sqref="O5">
    <cfRule type="expression" dxfId="159" priority="3">
      <formula>ABS(O$7-O$10)&gt;=1000</formula>
    </cfRule>
  </conditionalFormatting>
  <conditionalFormatting sqref="P5">
    <cfRule type="expression" dxfId="158" priority="2">
      <formula>ABS(P$7-P$10)&gt;=1000</formula>
    </cfRule>
  </conditionalFormatting>
  <conditionalFormatting sqref="L23">
    <cfRule type="expression" dxfId="157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72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9">
    <pageSetUpPr fitToPage="1"/>
  </sheetPr>
  <dimension ref="A1:CU223"/>
  <sheetViews>
    <sheetView tabSelected="1" view="pageBreakPreview" zoomScale="80" zoomScaleNormal="100" zoomScaleSheetLayoutView="80" workbookViewId="0">
      <selection activeCell="V15" sqref="V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5" t="s" ph="1">
        <v>162</v>
      </c>
      <c r="C1" s="245" ph="1"/>
      <c r="D1" s="245" ph="1"/>
      <c r="E1" s="245" ph="1"/>
      <c r="F1" s="245" ph="1"/>
      <c r="G1" s="245" ph="1"/>
      <c r="H1" s="245" ph="1"/>
      <c r="I1" s="245" ph="1"/>
      <c r="J1" s="245" ph="1"/>
      <c r="K1" s="245" ph="1"/>
      <c r="L1" s="245" ph="1"/>
      <c r="M1" s="245" ph="1"/>
      <c r="N1" s="245" ph="1"/>
      <c r="O1" s="245" ph="1"/>
      <c r="P1" s="245" ph="1"/>
      <c r="Q1" s="245" ph="1"/>
      <c r="R1" s="245" ph="1"/>
      <c r="S1" s="245" ph="1"/>
      <c r="T1" s="245" ph="1"/>
      <c r="U1" s="245" ph="1"/>
      <c r="V1" s="245" ph="1"/>
      <c r="W1" s="245" ph="1"/>
      <c r="X1" s="245" ph="1"/>
      <c r="Y1" s="245" ph="1"/>
      <c r="Z1" s="245" ph="1"/>
      <c r="AA1" s="245" ph="1"/>
      <c r="AB1" s="245" ph="1"/>
      <c r="AC1" s="245" ph="1"/>
      <c r="AD1" s="245" ph="1"/>
      <c r="AE1" s="245" ph="1"/>
    </row>
    <row r="2" spans="1:99" s="66" customFormat="1" ht="24" customHeight="1" ph="1">
      <c r="B2" s="246" t="s" ph="1">
        <v>82</v>
      </c>
      <c r="C2" s="246" ph="1"/>
      <c r="D2" s="246" ph="1"/>
      <c r="E2" s="246" ph="1"/>
      <c r="F2" s="246" ph="1"/>
      <c r="G2" s="246" ph="1"/>
      <c r="H2" s="246" ph="1"/>
      <c r="I2" s="246" ph="1"/>
      <c r="J2" s="246" ph="1"/>
      <c r="K2" s="246" ph="1"/>
      <c r="L2" s="246" ph="1"/>
      <c r="M2" s="246" ph="1"/>
      <c r="N2" s="246" ph="1"/>
      <c r="O2" s="246" ph="1"/>
      <c r="P2" s="246" ph="1"/>
      <c r="Q2" s="246" ph="1"/>
      <c r="R2" s="246" ph="1"/>
      <c r="S2" s="246" ph="1"/>
      <c r="T2" s="246" ph="1"/>
      <c r="U2" s="246" ph="1"/>
      <c r="V2" s="246" ph="1"/>
      <c r="W2" s="246" ph="1"/>
      <c r="X2" s="246" ph="1"/>
      <c r="Y2" s="246" ph="1"/>
      <c r="Z2" s="246" ph="1"/>
      <c r="AA2" s="246" ph="1"/>
      <c r="AB2" s="246" ph="1"/>
      <c r="AC2" s="246" ph="1"/>
      <c r="AD2" s="246" ph="1"/>
      <c r="AE2" s="246" ph="1"/>
    </row>
    <row r="3" spans="1:99" ht="21" customHeight="1" ph="1">
      <c r="B3" s="247" ph="1">
        <v>45824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</row>
    <row r="4" spans="1:99" s="69" customFormat="1" ph="1">
      <c r="A4" s="65" ph="1"/>
      <c r="B4" s="226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6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4" ph="1">
        <v>0.33333333333333331</v>
      </c>
      <c r="C6" s="166" t="s" ph="1">
        <v>178</v>
      </c>
      <c r="D6" s="71">
        <v>5124</v>
      </c>
      <c r="E6" s="71">
        <v>5148</v>
      </c>
      <c r="F6" s="71">
        <v>7138</v>
      </c>
      <c r="G6" s="71">
        <v>5503</v>
      </c>
      <c r="H6" s="71">
        <v>2636</v>
      </c>
      <c r="I6" s="71">
        <v>63.31</v>
      </c>
      <c r="J6" s="71">
        <v>7.82</v>
      </c>
      <c r="K6" s="71">
        <v>7.71</v>
      </c>
      <c r="L6" s="71">
        <v>61.62</v>
      </c>
      <c r="M6" s="71">
        <v>5316</v>
      </c>
      <c r="N6" s="71">
        <v>3841</v>
      </c>
      <c r="O6" s="71">
        <v>47</v>
      </c>
      <c r="P6" s="71">
        <v>4442</v>
      </c>
      <c r="Q6" s="71">
        <v>0</v>
      </c>
      <c r="R6" s="71">
        <v>0</v>
      </c>
      <c r="S6" s="71">
        <v>4880</v>
      </c>
      <c r="T6" s="71">
        <v>7193</v>
      </c>
      <c r="U6" s="71">
        <v>4884</v>
      </c>
      <c r="V6" s="71">
        <v>2281</v>
      </c>
      <c r="W6" s="71">
        <v>0</v>
      </c>
      <c r="X6" s="71">
        <v>0</v>
      </c>
      <c r="Y6" s="71">
        <v>0</v>
      </c>
      <c r="Z6" s="71">
        <v>6486</v>
      </c>
      <c r="AA6" s="71">
        <v>556</v>
      </c>
      <c r="AB6" s="71">
        <v>3995</v>
      </c>
      <c r="AC6" s="71">
        <v>4141</v>
      </c>
      <c r="AD6" s="71">
        <v>4406</v>
      </c>
      <c r="AE6" s="71">
        <v>3010</v>
      </c>
    </row>
    <row r="7" spans="1:99" s="72" customFormat="1" ht="22.2" ph="1">
      <c r="B7" s="244" ph="1"/>
      <c r="C7" s="68" t="s" ph="1">
        <v>179</v>
      </c>
      <c r="D7" s="73" ph="1">
        <f>D6*33.183*LOOKUP(D8,密度!$A$2:$A$50,密度!$Q$2:$Q$50)</f>
        <v>160613.44765704</v>
      </c>
      <c r="E7" s="73" ph="1">
        <f>E6*51.53*LOOKUP(E8,密度!$A$2:$A$50,密度!$B$2:$B$50)</f>
        <v>206358.54267600001</v>
      </c>
      <c r="F7" s="73" ph="1">
        <f>F6*33.183*LOOKUP(F8,密度!$A$2:$A$50,密度!$C$2:$C$50)</f>
        <v>262654.33566059999</v>
      </c>
      <c r="G7" s="73" ph="1">
        <f xml:space="preserve"> (G6+2)*51.53*LOOKUP(G8,密度!$A$2:$A$50,密度!$B$2:$B$50)</f>
        <v>220668.95443500002</v>
      </c>
      <c r="H7" s="73" ph="1">
        <f>(H6)*51.53*LOOKUP(H8,密度!$A$2:$A$50,密度!$B$2:$B$50)</f>
        <v>106017.71894000001</v>
      </c>
      <c r="I7" s="73" ph="1">
        <f>I6*290.8*1.0267</f>
        <v>18902.1096316</v>
      </c>
      <c r="J7" s="73" ph="1">
        <f>J6*290.8*0.7892</f>
        <v>1794.6849952</v>
      </c>
      <c r="K7" s="73" ph="1">
        <f>K6*290.8*1.1126</f>
        <v>2494.5248568000002</v>
      </c>
      <c r="L7" s="73" ph="1">
        <f>L6*290.8*0.777</f>
        <v>13923.137592000001</v>
      </c>
      <c r="M7" s="73" ph="1">
        <f>M6*33.183*LOOKUP(M8,密度!$A$2:$A$50,密度!$D$2:$D$50)</f>
        <v>181110.73010759999</v>
      </c>
      <c r="N7" s="73" ph="1">
        <f>N6*33.183*LOOKUP(N8,密度!$A$2:$A$50,密度!$E$2:$E$50)</f>
        <v>99543.060243000014</v>
      </c>
      <c r="O7" s="73" ph="1">
        <f>O6*20.428*LOOKUP(O8,密度!$A$2:$A$50,密度!$C$2:$C$50)</f>
        <v>1062.4643656000001</v>
      </c>
      <c r="P7" s="73" ph="1">
        <f>P6*51.53*LOOKUP(P8,密度!$A$2:$A$50,密度!$B$2:$B$50)</f>
        <v>178447.52429599999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32390.587151999996</v>
      </c>
      <c r="T7" s="73" ph="1">
        <f>T6*1.5*1.5*3.1416*LOOKUP(T8,密度!$A$2:$A$50,密度!$L$2:$L$50)</f>
        <v>47742.928972199996</v>
      </c>
      <c r="U7" s="73" ph="1">
        <f>U6*1.5*1.5*3.1416*LOOKUP(U8,密度!$A$2:$A$50,密度!$L$2:$L$50)</f>
        <v>32313.567686400002</v>
      </c>
      <c r="V7" s="73" ph="1">
        <f>V6*1.5*1.5*3.1416*LOOKUP(V8,密度!$A$2:$A$50,密度!$L$2:$L$50)</f>
        <v>15059.3271444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201880.99184399997</v>
      </c>
      <c r="AA7" s="73" ph="1">
        <f>AA6*33.183*LOOKUP(AA8,密度!$A$2:$A$50,密度!$D$2:$D$50)</f>
        <v>18942.356271599998</v>
      </c>
      <c r="AB7" s="73" ph="1">
        <f>AB6*20.428*LOOKUP(AB8,密度!$A$2:$A$50,密度!$D$2:$D$50)</f>
        <v>84098.960729999992</v>
      </c>
      <c r="AC7" s="73" ph="1">
        <f>AC6*51.53*LOOKUP(AC8,密度!$A$2:$A$50,密度!$Q$2:$Q$50)</f>
        <v>202020.80602020002</v>
      </c>
      <c r="AD7" s="73" ph="1">
        <f>AD6*20.428*LOOKUP(AD8,密度!$A$2:$A$50,密度!$V$2:$V$50)</f>
        <v>86477.541894399998</v>
      </c>
      <c r="AE7" s="73" ph="1">
        <f>AE6*20.428</f>
        <v>61488.280000000006</v>
      </c>
    </row>
    <row r="8" spans="1:99" ph="1">
      <c r="B8" s="244" ph="1"/>
      <c r="C8" s="68" t="s" ph="1">
        <v>180</v>
      </c>
      <c r="D8" s="74">
        <v>28</v>
      </c>
      <c r="E8" s="74">
        <v>27</v>
      </c>
      <c r="F8" s="74">
        <v>25</v>
      </c>
      <c r="G8" s="74">
        <v>27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27</v>
      </c>
      <c r="O8" s="74">
        <v>28</v>
      </c>
      <c r="P8" s="74">
        <v>25</v>
      </c>
      <c r="Q8" s="74">
        <v>25</v>
      </c>
      <c r="R8" s="74">
        <v>30</v>
      </c>
      <c r="S8" s="74">
        <v>23</v>
      </c>
      <c r="T8" s="74">
        <v>23</v>
      </c>
      <c r="U8" s="74">
        <v>26</v>
      </c>
      <c r="V8" s="74">
        <v>28</v>
      </c>
      <c r="W8" s="74">
        <v>25</v>
      </c>
      <c r="X8" s="74">
        <v>26</v>
      </c>
      <c r="Y8" s="74">
        <v>24</v>
      </c>
      <c r="Z8" s="74">
        <v>24</v>
      </c>
      <c r="AA8" s="74">
        <v>25</v>
      </c>
      <c r="AB8" s="74">
        <v>21</v>
      </c>
      <c r="AC8" s="74">
        <v>25</v>
      </c>
      <c r="AD8" s="74">
        <v>25</v>
      </c>
      <c r="AE8" s="74">
        <v>28</v>
      </c>
    </row>
    <row r="9" spans="1:99" ht="26.4" ph="1">
      <c r="B9" s="244" ph="1">
        <v>0.66666666666666663</v>
      </c>
      <c r="C9" s="166" t="s" ph="1">
        <v>181</v>
      </c>
      <c r="D9" s="71">
        <v>5123</v>
      </c>
      <c r="E9" s="71">
        <v>4713</v>
      </c>
      <c r="F9" s="71">
        <v>7138</v>
      </c>
      <c r="G9" s="71">
        <v>6401</v>
      </c>
      <c r="H9" s="71">
        <v>2173</v>
      </c>
      <c r="I9" s="71">
        <v>63.11</v>
      </c>
      <c r="J9" s="71">
        <v>7.81</v>
      </c>
      <c r="K9" s="71">
        <v>7.71</v>
      </c>
      <c r="L9" s="71">
        <v>33.21</v>
      </c>
      <c r="M9" s="71">
        <v>5314</v>
      </c>
      <c r="N9" s="71">
        <v>3839</v>
      </c>
      <c r="O9" s="71">
        <v>47</v>
      </c>
      <c r="P9" s="71">
        <v>5245</v>
      </c>
      <c r="Q9" s="71">
        <v>4756</v>
      </c>
      <c r="R9" s="71">
        <v>7002</v>
      </c>
      <c r="S9" s="71">
        <v>4869</v>
      </c>
      <c r="T9" s="71">
        <v>2430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4306</v>
      </c>
      <c r="AA9" s="71">
        <v>555</v>
      </c>
      <c r="AB9" s="71">
        <v>3994</v>
      </c>
      <c r="AC9" s="71">
        <v>4147</v>
      </c>
      <c r="AD9" s="71">
        <v>4406</v>
      </c>
      <c r="AE9" s="71">
        <v>3281</v>
      </c>
    </row>
    <row r="10" spans="1:99" s="72" customFormat="1" ht="22.2" ph="1">
      <c r="B10" s="244" ph="1"/>
      <c r="C10" s="166" t="s" ph="1">
        <v>179</v>
      </c>
      <c r="D10" s="73" ph="1">
        <f>D9*33.183*LOOKUP(D11,密度!$A$2:$A$50,密度!$Q$2:$Q$50)</f>
        <v>160582.10233157998</v>
      </c>
      <c r="E10" s="73" ph="1">
        <f>E9*51.53*LOOKUP(E11,密度!$A$2:$A$50,密度!$B$2:$B$50)</f>
        <v>189115.775043</v>
      </c>
      <c r="F10" s="73" ph="1">
        <f>F9*33.183*LOOKUP(F11,密度!$A$2:$A$50,密度!$C$2:$C$50)</f>
        <v>262654.33566059999</v>
      </c>
      <c r="G10" s="73" ph="1">
        <f xml:space="preserve"> (G9+2)*51.53*LOOKUP(G11,密度!$A$2:$A$50,密度!$B$2:$B$50)</f>
        <v>256929.409633</v>
      </c>
      <c r="H10" s="73" ph="1">
        <f>(H9)*51.53*LOOKUP(H11,密度!$A$2:$A$50,密度!$B$2:$B$50)</f>
        <v>87698.577208000002</v>
      </c>
      <c r="I10" s="73" ph="1">
        <f>I9*290.8*1.0267</f>
        <v>18842.396759599997</v>
      </c>
      <c r="J10" s="73" ph="1">
        <f>J9*290.8*0.7892</f>
        <v>1792.3900016000002</v>
      </c>
      <c r="K10" s="73" ph="1">
        <f>K9*290.8*1.1126</f>
        <v>2494.5248568000002</v>
      </c>
      <c r="L10" s="73" ph="1">
        <f>L9*290.8*0.777</f>
        <v>7503.8526360000005</v>
      </c>
      <c r="M10" s="73" ph="1">
        <f>M9*33.183*LOOKUP(M11,密度!$A$2:$A$50,密度!$D$2:$D$50)</f>
        <v>180883.89111960001</v>
      </c>
      <c r="N10" s="73" ph="1">
        <f>N9*33.183*LOOKUP(N11,密度!$A$2:$A$50,密度!$E$2:$E$50)</f>
        <v>99338.360952600007</v>
      </c>
      <c r="O10" s="73" ph="1">
        <f>O9*20.428*LOOKUP(O11,密度!$A$2:$A$50,密度!$C$2:$C$50)</f>
        <v>1066.7848876</v>
      </c>
      <c r="P10" s="73" ph="1">
        <f>P9*51.53*LOOKUP(P11,密度!$A$2:$A$50,密度!$B$2:$B$50)</f>
        <v>210706.27306000001</v>
      </c>
      <c r="Q10" s="73" ph="1">
        <f>Q9*1.5*1.5*3.1416*LOOKUP(W11,密度!$A$2:$A$50,密度!$L$2:$L$50)</f>
        <v>31500.3111192</v>
      </c>
      <c r="R10" s="73" ph="1">
        <f>R9*1.5*1.5*3.1416*LOOKUP(R11,密度!$A$2:$A$50,密度!$L$2:$L$50)</f>
        <v>46079.227933200003</v>
      </c>
      <c r="S10" s="73" ph="1">
        <f>S9*1.5*1.5*3.1416*LOOKUP(S11,密度!$A$2:$A$50,密度!$L$2:$L$50)</f>
        <v>32248.741555799999</v>
      </c>
      <c r="T10" s="73" ph="1">
        <f>T9*1.5*1.5*3.1416*LOOKUP(T11,密度!$A$2:$A$50,密度!$L$2:$L$50)</f>
        <v>16146.09612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134312.83811999997</v>
      </c>
      <c r="AA10" s="73" ph="1">
        <f>AA9*33.183*LOOKUP(AA11,密度!$A$2:$A$50,密度!$D$2:$D$50)</f>
        <v>18924.862194000001</v>
      </c>
      <c r="AB10" s="73" ph="1">
        <f>AB9*20.428*LOOKUP(AB11,密度!$A$2:$A$50,密度!$D$2:$D$50)</f>
        <v>84216.6117104</v>
      </c>
      <c r="AC10" s="73" ph="1">
        <f>AC9*51.53*LOOKUP(AC11,密度!$A$2:$A$50,密度!$Q$2:$Q$50)</f>
        <v>202313.51909340001</v>
      </c>
      <c r="AD10" s="73" ph="1">
        <f>AD9*20.428*LOOKUP(AD11,密度!$A$2:$A$50,密度!$V$2:$V$50)</f>
        <v>86477.541894399998</v>
      </c>
      <c r="AE10" s="73" ph="1">
        <f>AE9*20.428</f>
        <v>67024.267999999996</v>
      </c>
    </row>
    <row r="11" spans="1:99" ph="1">
      <c r="A11" s="64" t="s" ph="1">
        <v>163</v>
      </c>
      <c r="B11" s="244" ph="1"/>
      <c r="C11" s="166" t="s" ph="1">
        <v>180</v>
      </c>
      <c r="D11" s="74">
        <v>28</v>
      </c>
      <c r="E11" s="74">
        <v>26</v>
      </c>
      <c r="F11" s="74">
        <v>25</v>
      </c>
      <c r="G11" s="74">
        <v>26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28</v>
      </c>
      <c r="O11" s="74">
        <v>22</v>
      </c>
      <c r="P11" s="74">
        <v>25</v>
      </c>
      <c r="Q11" s="74">
        <v>27</v>
      </c>
      <c r="R11" s="74">
        <v>31</v>
      </c>
      <c r="S11" s="74">
        <v>25</v>
      </c>
      <c r="T11" s="74">
        <v>22</v>
      </c>
      <c r="U11" s="74">
        <v>25</v>
      </c>
      <c r="V11" s="74">
        <v>28</v>
      </c>
      <c r="W11" s="74">
        <v>25</v>
      </c>
      <c r="X11" s="74">
        <v>25</v>
      </c>
      <c r="Y11" s="74">
        <v>24</v>
      </c>
      <c r="Z11" s="74">
        <v>22</v>
      </c>
      <c r="AA11" s="74">
        <v>24</v>
      </c>
      <c r="AB11" s="74">
        <v>19</v>
      </c>
      <c r="AC11" s="74">
        <v>25</v>
      </c>
      <c r="AD11" s="74">
        <v>24</v>
      </c>
      <c r="AE11" s="74">
        <v>29</v>
      </c>
    </row>
    <row r="12" spans="1:99" ht="9.9" customHeight="1" ph="1"/>
    <row r="13" spans="1:99" s="72" customFormat="1" ht="29.25" customHeight="1" ph="1">
      <c r="B13" s="221" t="s" ph="1">
        <v>37</v>
      </c>
      <c r="C13" s="16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22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23" ph="1">
        <v>0.33333333333333331</v>
      </c>
      <c r="C15" s="166" t="s" ph="1">
        <v>178</v>
      </c>
      <c r="D15" s="78">
        <v>4788</v>
      </c>
      <c r="E15" s="78">
        <v>4717</v>
      </c>
      <c r="F15" s="78">
        <v>2438</v>
      </c>
      <c r="G15" s="78">
        <v>814</v>
      </c>
      <c r="H15" s="78">
        <v>3726</v>
      </c>
      <c r="I15" s="78">
        <v>118</v>
      </c>
      <c r="J15" s="78">
        <v>1687</v>
      </c>
      <c r="K15" s="78">
        <v>1786</v>
      </c>
      <c r="L15" s="78">
        <v>5646</v>
      </c>
      <c r="M15" s="78">
        <v>2514</v>
      </c>
      <c r="N15" s="78">
        <v>2326</v>
      </c>
      <c r="O15" s="78">
        <v>6086</v>
      </c>
      <c r="P15" s="78">
        <v>7164</v>
      </c>
      <c r="Q15" s="78">
        <v>0</v>
      </c>
      <c r="R15" s="78">
        <v>3513</v>
      </c>
      <c r="S15" s="78">
        <v>6925</v>
      </c>
      <c r="T15" s="78">
        <v>3439</v>
      </c>
      <c r="U15" s="78">
        <v>2362</v>
      </c>
      <c r="V15" s="78">
        <v>-547</v>
      </c>
      <c r="W15" s="71">
        <v>-370</v>
      </c>
      <c r="X15" s="78">
        <v>27</v>
      </c>
      <c r="Y15" s="106">
        <v>-9908</v>
      </c>
      <c r="Z15" s="78">
        <v>0</v>
      </c>
      <c r="AA15" s="78">
        <v>0</v>
      </c>
      <c r="AB15" s="78" ph="1">
        <v>2369</v>
      </c>
      <c r="AC15" s="78" ph="1">
        <v>22</v>
      </c>
      <c r="AD15" s="78">
        <v>42.31</v>
      </c>
      <c r="AE15" s="78">
        <v>84.11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24" ph="1"/>
      <c r="C16" s="166" t="s" ph="1">
        <v>179</v>
      </c>
      <c r="D16" s="73" ph="1">
        <f>D15*7.0686*LOOKUP(D17,密度!$A$2:$A$50,密度!$L$2:$L$50)</f>
        <v>31610.722651200002</v>
      </c>
      <c r="E16" s="73" ph="1">
        <f>E15*7.0686*LOOKUP(E17,密度!$A$2:$A$50,密度!$L$2:$L$50)</f>
        <v>31175.318096999999</v>
      </c>
      <c r="F16" s="73" ph="1">
        <f>F15*9.0746*LOOKUP(F17,密度!$A$2:$A$50,密度!$L$2:$L$50)</f>
        <v>20685.822938000001</v>
      </c>
      <c r="G16" s="73" ph="1">
        <f>G15*9.0746*LOOKUP(G17,密度!$A$2:$A$50,密度!$B$2:$B$50)</f>
        <v>5765.3383942</v>
      </c>
      <c r="H16" s="73" ph="1">
        <f>H15*9.0746*LOOKUP(H17,密度!$A$2:$A$50,密度!$L$2:$L$50)</f>
        <v>31681.806145200004</v>
      </c>
      <c r="I16" s="73" ph="1">
        <f>I15*9.0746*LOOKUP(I17,密度!$A$2:$A$50,密度!$U$2:$U$50)</f>
        <v>1097.5728699999997</v>
      </c>
      <c r="J16" s="73" ph="1">
        <f>J15*9.0746*LOOKUP(J17,密度!$A$2:$A$50,密度!$L$2:$L$50)</f>
        <v>14313.774937000002</v>
      </c>
      <c r="K16" s="73" ph="1">
        <f>K15*9.0746*LOOKUP(K17,密度!$A$2:$A$50,密度!$C$2:$C$50)</f>
        <v>17959.237768360003</v>
      </c>
      <c r="L16" s="73" ph="1">
        <f>L15*9.0746*LOOKUP(L17,密度!$A$2:$A$50,密度!$E$2:$E$50)</f>
        <v>40014.684639599996</v>
      </c>
      <c r="M16" s="73" ph="1">
        <f>M15*9.0746*LOOKUP(M17,密度!$A$2:$A$50,密度!$M$2:$M$50)</f>
        <v>19893.410716799997</v>
      </c>
      <c r="N16" s="73" ph="1">
        <f>N15*9.0746*LOOKUP(N17,密度!$A$2:$A$50,密度!$M$2:$M$50)</f>
        <v>18471.190401960001</v>
      </c>
      <c r="O16" s="73" ph="1">
        <f>O15*9.0746*LOOKUP(O17,密度!$A$2:$A$50,密度!$G$2:$G$50)</f>
        <v>52853.210929199995</v>
      </c>
      <c r="P16" s="73" ph="1">
        <f ca="1">P15*9.0746*LOOKUP(P17,密度!$A$2:$A$51,密度!$Q$2:$Q$50)</f>
        <v>61455.663847008</v>
      </c>
      <c r="Q16" s="73" ph="1">
        <f>Q15*9.0746*LOOKUP(Q17,密度!$A$2:$A$50,密度!$Q$2:$Q$50)</f>
        <v>0</v>
      </c>
      <c r="R16" s="73" ph="1">
        <f>MAX(R15*9.0746*LOOKUP(R17,密度!$A$2:$A$50,密度!$B$2:$B$50),0)</f>
        <v>24770.0372346</v>
      </c>
      <c r="S16" s="73" ph="1">
        <f>S15*9.0746*LOOKUP(S17,密度!$A$2:$A$50,密度!$Q$2:$Q$50)</f>
        <v>59361.436915100006</v>
      </c>
      <c r="T16" s="73" ph="1">
        <f>T15*9.0746*LOOKUP(T17,密度!$A$2:$A$50,密度!$O$2:$O$50)</f>
        <v>28898.190744400003</v>
      </c>
      <c r="U16" s="73" ph="1">
        <f>U15*9.0746*LOOKUP(U17,密度!$A$2:$A$50,密度!$H$2:$H$50)</f>
        <v>19567.28592708</v>
      </c>
      <c r="V16" s="73" ph="1">
        <f>MAX(5600*LOOKUP(V17,密度!$A$2:$A$50,密度!$Q$2:$Q$50)+V15*9.0476*LOOKUP(V17,密度!$A$2:$A$50,密度!$Q$2:$Q$50),0)</f>
        <v>615.83033768400037</v>
      </c>
      <c r="W16" s="73" ph="1">
        <f>MAX(5600*LOOKUP(W17,密度!$A$2:$A$50,密度!$Q$2:$Q$50)+W15*9.0476*LOOKUP(W17,密度!$A$2:$A$50,密度!$Q$2:$Q$50),0)</f>
        <v>2129.2274241600007</v>
      </c>
      <c r="X16" s="73" ph="1">
        <f>MAX(5600*LOOKUP(X17,密度!$A$2:$A$50,密度!$I$2:$I$50)+X15*9.0476*LOOKUP(X17,密度!$A$2:$A$50,密度!$I$2:$I$50),0)</f>
        <v>6078.0566079999999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20057.379664200002</v>
      </c>
      <c r="AC16" s="73" ph="1">
        <f>AC15*9.0746*LOOKUP(AC17,密度!$A$2:$A$50,密度!$L$2:$L$50)</f>
        <v>187.46308679999999</v>
      </c>
      <c r="AD16" s="73" ph="1">
        <f>AD15*268.68*LOOKUP(AD17,密度!$A$2:$A$50,密度!B2:B50)+IF(AD15&lt;=0,0,1566*LOOKUP(AD17,密度!$A$2:$A$50,密度!B2:B50))</f>
        <v>10083.23008368</v>
      </c>
      <c r="AE16" s="73" ph="1">
        <f>AE15*268.68*LOOKUP(AE17,密度!$A$2:$A$50,密度!B2:B50)+IF(AE15&lt;=0,0,1566*LOOKUP(AE17,密度!$A$2:$A$50,密度!B2:B50))</f>
        <v>18838.780474079998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25" ph="1"/>
      <c r="C17" s="79" t="s" ph="1">
        <v>180</v>
      </c>
      <c r="D17" s="74">
        <v>28</v>
      </c>
      <c r="E17" s="74">
        <v>27</v>
      </c>
      <c r="F17" s="74">
        <v>27</v>
      </c>
      <c r="G17" s="74">
        <v>24</v>
      </c>
      <c r="H17" s="74">
        <v>25</v>
      </c>
      <c r="I17" s="74">
        <v>25</v>
      </c>
      <c r="J17" s="74">
        <v>27</v>
      </c>
      <c r="K17" s="74">
        <v>26</v>
      </c>
      <c r="L17" s="74">
        <v>27</v>
      </c>
      <c r="M17" s="74">
        <v>28</v>
      </c>
      <c r="N17" s="74">
        <v>25</v>
      </c>
      <c r="O17" s="74">
        <v>28</v>
      </c>
      <c r="P17" s="74">
        <v>27</v>
      </c>
      <c r="Q17" s="74">
        <v>25</v>
      </c>
      <c r="R17" s="74">
        <v>28</v>
      </c>
      <c r="S17" s="74">
        <v>28</v>
      </c>
      <c r="T17" s="74">
        <v>25</v>
      </c>
      <c r="U17" s="74">
        <v>27</v>
      </c>
      <c r="V17" s="74">
        <v>26</v>
      </c>
      <c r="W17" s="74">
        <v>27</v>
      </c>
      <c r="X17" s="74">
        <v>27</v>
      </c>
      <c r="Y17" s="108">
        <v>27</v>
      </c>
      <c r="Z17" s="74">
        <v>25</v>
      </c>
      <c r="AA17" s="74">
        <v>23</v>
      </c>
      <c r="AB17" s="74">
        <v>29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23" ph="1">
        <v>0.66666666666666663</v>
      </c>
      <c r="C18" s="79" t="s" ph="1">
        <v>181</v>
      </c>
      <c r="D18" s="71">
        <v>3238</v>
      </c>
      <c r="E18" s="71">
        <v>4711</v>
      </c>
      <c r="F18" s="71">
        <v>2444</v>
      </c>
      <c r="G18" s="71">
        <v>2938</v>
      </c>
      <c r="H18" s="71">
        <v>3725</v>
      </c>
      <c r="I18" s="71">
        <v>118</v>
      </c>
      <c r="J18" s="71">
        <v>1660</v>
      </c>
      <c r="K18" s="71">
        <v>1786</v>
      </c>
      <c r="L18" s="71">
        <v>5638</v>
      </c>
      <c r="M18" s="71">
        <v>2512</v>
      </c>
      <c r="N18" s="71">
        <v>1287</v>
      </c>
      <c r="O18" s="71">
        <v>6082</v>
      </c>
      <c r="P18" s="71">
        <v>7157</v>
      </c>
      <c r="Q18" s="71">
        <v>0</v>
      </c>
      <c r="R18" s="71">
        <v>3511</v>
      </c>
      <c r="S18" s="71">
        <v>6918</v>
      </c>
      <c r="T18" s="71">
        <v>3438</v>
      </c>
      <c r="U18" s="71">
        <v>2362</v>
      </c>
      <c r="V18" s="71">
        <v>-548</v>
      </c>
      <c r="W18" s="71">
        <v>-368</v>
      </c>
      <c r="X18" s="71">
        <v>27</v>
      </c>
      <c r="Y18" s="109">
        <v>-9905</v>
      </c>
      <c r="Z18" s="71">
        <v>0</v>
      </c>
      <c r="AA18" s="71">
        <v>0</v>
      </c>
      <c r="AB18" s="71">
        <v>2368</v>
      </c>
      <c r="AC18" s="71">
        <v>27</v>
      </c>
      <c r="AD18" s="71">
        <v>84.41</v>
      </c>
      <c r="AE18" s="71">
        <v>15.51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24" ph="1"/>
      <c r="C19" s="166" t="s" ph="1">
        <v>179</v>
      </c>
      <c r="D19" s="73" ph="1">
        <f>D18*7.0686*LOOKUP(D20,密度!$A$2:$A$50,密度!$L$2:$L$50)</f>
        <v>21423.286684800001</v>
      </c>
      <c r="E19" s="73" ph="1">
        <f>E18*7.0686*LOOKUP(E20,密度!$A$2:$A$50,密度!$L$2:$L$50)</f>
        <v>31202.2636002</v>
      </c>
      <c r="F19" s="73" ph="1">
        <f>F18*9.0746*LOOKUP(F20,密度!$A$2:$A$50,密度!$L$2:$L$50)</f>
        <v>20714.553121600002</v>
      </c>
      <c r="G19" s="73" ph="1">
        <f>G18*9.0746*LOOKUP(G20,密度!$A$2:$A$50,密度!$B$2:$B$50)</f>
        <v>20785.05187408</v>
      </c>
      <c r="H19" s="73" ph="1">
        <f>H18*9.0746*LOOKUP(H20,密度!$A$2:$A$50,密度!$L$2:$L$50)</f>
        <v>31673.303245000003</v>
      </c>
      <c r="I19" s="73" ph="1">
        <f>I18*9.0746*LOOKUP(I20,密度!$A$2:$A$50,密度!$U$2:$U$50)</f>
        <v>1097.5728699999997</v>
      </c>
      <c r="J19" s="73" ph="1">
        <f>J18*9.0746*LOOKUP(J20,密度!$A$2:$A$50,密度!$L$2:$L$50)</f>
        <v>14084.686660000001</v>
      </c>
      <c r="K19" s="73" ph="1">
        <f>K18*9.0746*LOOKUP(K20,密度!$A$2:$A$50,密度!$C$2:$C$50)</f>
        <v>17959.237768360003</v>
      </c>
      <c r="L19" s="73" ph="1">
        <f>L18*9.0746*LOOKUP(L20,密度!$A$2:$A$50,密度!$E$2:$E$50)</f>
        <v>39957.986538800003</v>
      </c>
      <c r="M19" s="73" ph="1">
        <f>M18*9.0746*LOOKUP(M20,密度!$A$2:$A$50,密度!$M$2:$M$50)</f>
        <v>19902.659549119999</v>
      </c>
      <c r="N19" s="73" ph="1">
        <f>N18*9.0746*LOOKUP(N20,密度!$A$2:$A$50,密度!$M$2:$M$50)</f>
        <v>10242.491945400001</v>
      </c>
      <c r="O19" s="73" ph="1">
        <f>O18*9.0746*LOOKUP(O20,密度!$A$2:$A$50,密度!$G$2:$G$50)</f>
        <v>52818.473360399999</v>
      </c>
      <c r="P19" s="73" ph="1">
        <f ca="1">P18*9.0746*LOOKUP(P20,密度!$A$2:$A$51,密度!$Q$2:$Q$50)</f>
        <v>61441.727348566004</v>
      </c>
      <c r="Q19" s="73" ph="1">
        <f>Q18*9.0746*LOOKUP(Q20,密度!$A$2:$A$50,密度!$Q$2:$Q$50)</f>
        <v>0</v>
      </c>
      <c r="R19" s="73" ph="1">
        <f>MAX(R18*9.0746*LOOKUP(R20,密度!$A$2:$A$50,密度!$B$2:$B$50),0)</f>
        <v>24755.935306200001</v>
      </c>
      <c r="S19" s="73" ph="1">
        <f>S18*9.0746*LOOKUP(S20,密度!$A$2:$A$50,密度!$Q$2:$Q$50)</f>
        <v>59434.522110072008</v>
      </c>
      <c r="T19" s="73" ph="1">
        <f>T18*9.0746*LOOKUP(T20,密度!$A$2:$A$50,密度!$O$2:$O$50)</f>
        <v>28889.787664800002</v>
      </c>
      <c r="U19" s="73" ph="1">
        <f>U18*9.0746*LOOKUP(U20,密度!$A$2:$A$50,密度!$H$2:$H$50)</f>
        <v>19605.867496439998</v>
      </c>
      <c r="V19" s="73" ph="1">
        <f>MAX(5600*LOOKUP(V20,密度!$A$2:$A$50,密度!$Q$2:$Q$50)+V18*9.0476*LOOKUP(V20,密度!$A$2:$A$50,密度!$Q$2:$Q$50),0)</f>
        <v>607.72679644800064</v>
      </c>
      <c r="W19" s="73" ph="1">
        <f>MAX(5600*LOOKUP(W20,密度!$A$2:$A$50,密度!$Q$2:$Q$50)+W18*9.0476*LOOKUP(W20,密度!$A$2:$A$50,密度!$Q$2:$Q$50),0)</f>
        <v>2147.9452216959999</v>
      </c>
      <c r="X19" s="73" ph="1">
        <f>MAX(5600*LOOKUP(X20,密度!$A$2:$A$50,密度!$I$2:$I$50)+X18*9.0476*LOOKUP(X20,密度!$A$2:$A$50,密度!$I$2:$I$50),0)</f>
        <v>6091.4984639599998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20070.401715200001</v>
      </c>
      <c r="AC19" s="73" ph="1">
        <f>AC18*9.0746*LOOKUP(AC20,密度!$A$2:$A$50,密度!$L$2:$L$50)</f>
        <v>230.0683338</v>
      </c>
      <c r="AD19" s="73" ph="1">
        <f>AD18*268.68*LOOKUP(AD20,密度!$A$2:$A$50,密度!B5:B53)+IF(AD18&lt;=0,0,1566*LOOKUP(AD20,密度!$A$2:$A$50,密度!B5:B53))</f>
        <v>18838.581627600001</v>
      </c>
      <c r="AE19" s="73" ph="1">
        <f>AE18*268.68*LOOKUP(AE20,密度!$A$2:$A$50,密度!B5:B53)+IF(AE18&lt;=0,0,1566*LOOKUP(AE20,密度!$A$2:$A$50,密度!B5:B53))</f>
        <v>4454.7172236000006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24" ph="1"/>
      <c r="C20" s="80" t="s" ph="1">
        <v>180</v>
      </c>
      <c r="D20" s="81">
        <v>26</v>
      </c>
      <c r="E20" s="81">
        <v>25</v>
      </c>
      <c r="F20" s="81">
        <v>28</v>
      </c>
      <c r="G20" s="81">
        <v>25</v>
      </c>
      <c r="H20" s="81">
        <v>25</v>
      </c>
      <c r="I20" s="81">
        <v>25</v>
      </c>
      <c r="J20" s="81">
        <v>27</v>
      </c>
      <c r="K20" s="81">
        <v>26</v>
      </c>
      <c r="L20" s="81">
        <v>27</v>
      </c>
      <c r="M20" s="81">
        <v>27</v>
      </c>
      <c r="N20" s="81">
        <v>23</v>
      </c>
      <c r="O20" s="81">
        <v>28</v>
      </c>
      <c r="P20" s="81">
        <v>26</v>
      </c>
      <c r="Q20" s="81">
        <v>24</v>
      </c>
      <c r="R20" s="81">
        <v>28</v>
      </c>
      <c r="S20" s="81">
        <v>25</v>
      </c>
      <c r="T20" s="81">
        <v>25</v>
      </c>
      <c r="U20" s="81">
        <v>25</v>
      </c>
      <c r="V20" s="81">
        <v>25</v>
      </c>
      <c r="W20" s="81">
        <v>26</v>
      </c>
      <c r="X20" s="81">
        <v>25</v>
      </c>
      <c r="Y20" s="110">
        <v>26</v>
      </c>
      <c r="Z20" s="81">
        <v>25</v>
      </c>
      <c r="AA20" s="81">
        <v>24</v>
      </c>
      <c r="AB20" s="81">
        <v>28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22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2" t="s" ph="1">
        <v>69</v>
      </c>
      <c r="AA22" s="233"/>
      <c r="AB22" s="233"/>
      <c r="AC22" s="233"/>
      <c r="AD22" s="233"/>
      <c r="AE22" s="234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26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35" t="s" ph="1">
        <v>647</v>
      </c>
      <c r="AA23" s="236"/>
      <c r="AB23" s="236"/>
      <c r="AC23" s="236"/>
      <c r="AD23" s="236"/>
      <c r="AE23" s="237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44" ph="1">
        <v>0.33333333333333331</v>
      </c>
      <c r="C24" s="166" t="s" ph="1">
        <v>178</v>
      </c>
      <c r="D24" s="71">
        <v>4.12</v>
      </c>
      <c r="E24" s="71">
        <v>95.72</v>
      </c>
      <c r="F24" s="71">
        <v>183</v>
      </c>
      <c r="G24" s="71">
        <v>1055</v>
      </c>
      <c r="H24" s="71">
        <v>1849</v>
      </c>
      <c r="I24" s="71">
        <v>2357</v>
      </c>
      <c r="J24" s="71">
        <v>2547</v>
      </c>
      <c r="K24" s="71">
        <v>2388</v>
      </c>
      <c r="L24" s="71">
        <v>3571</v>
      </c>
      <c r="M24" s="71">
        <v>5262</v>
      </c>
      <c r="N24" s="71">
        <v>5333</v>
      </c>
      <c r="O24" s="71">
        <v>3694</v>
      </c>
      <c r="P24" s="71">
        <v>1021</v>
      </c>
      <c r="Q24" s="90">
        <v>916</v>
      </c>
      <c r="R24" s="71">
        <v>1745</v>
      </c>
      <c r="S24" s="71">
        <v>6632</v>
      </c>
      <c r="T24" s="71">
        <v>1764</v>
      </c>
      <c r="U24" s="71">
        <v>4103</v>
      </c>
      <c r="V24" s="71">
        <v>9635</v>
      </c>
      <c r="W24" s="71">
        <v>10751</v>
      </c>
      <c r="X24" s="71">
        <v>2679</v>
      </c>
      <c r="Y24" s="71">
        <v>3109</v>
      </c>
      <c r="Z24" s="238"/>
      <c r="AA24" s="239"/>
      <c r="AB24" s="239"/>
      <c r="AC24" s="239"/>
      <c r="AD24" s="239"/>
      <c r="AE24" s="240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44" ph="1"/>
      <c r="C25" s="68" t="s" ph="1">
        <v>179</v>
      </c>
      <c r="D25" s="91" ph="1">
        <f>D24*268.68*LOOKUP(D26,密度!$A$2:$A$50,密度!$Q$2:$Q$50)+IF(D24&lt;=0,0,1566*LOOKUP(D26,密度!$A$2:$A$50,密度!$Q$2:$Q$50))</f>
        <v>2530.5996651840001</v>
      </c>
      <c r="E25" s="91" ph="1">
        <f>E24*268.68*LOOKUP(E26,密度!$A$2:$A$50,密度!$C$2:$C$50)+IF(E24&lt;=0,0,1566*LOOKUP(E26,密度!$A$2:$A$50,密度!$C$2:$C$50))</f>
        <v>30255.282601440002</v>
      </c>
      <c r="F25" s="91" ph="1">
        <f>F24*11.702*LOOKUP(F26,密度!$A$2:$A$50,密度!$Q$2:$Q$50)</f>
        <v>2020.1091217799999</v>
      </c>
      <c r="G25" s="91" ph="1">
        <f>G24*18.322*LOOKUP(G26,密度!$A$2:$A$50,密度!$B$2:$B$50)</f>
        <v>15019.184670000001</v>
      </c>
      <c r="H25" s="91" ph="1">
        <f>H24*18.322*LOOKUP(H26,密度!$A$2:$A$50,密度!$B$2:$B$50)</f>
        <v>26295.620803599999</v>
      </c>
      <c r="I25" s="91" ph="1">
        <f>I24*18.322*LOOKUP(I26,密度!$A$2:$A$50,密度!$Q$2:$Q$50)</f>
        <v>40763.573629220002</v>
      </c>
      <c r="J25" s="91" ph="1">
        <f>J24*18.322*LOOKUP(J26,密度!$A$2:$A$50,密度!$Q$2:$Q$50)</f>
        <v>44114.429792880001</v>
      </c>
      <c r="K25" s="91" ph="1">
        <f>K24*18.322*LOOKUP(K26,密度!$A$2:$A$50,密度!$Q$2:$Q$50)</f>
        <v>41273.457116880003</v>
      </c>
      <c r="L25" s="91" ph="1">
        <f>L24*18.322*LOOKUP(L26,密度!$A$2:$A$50,密度!$Q$2:$Q$50)</f>
        <v>61759.321777659999</v>
      </c>
      <c r="M25" s="91" ph="1">
        <f>M24*18.322*LOOKUP(M26,密度!$A$2:$A$50,密度!$Q$2:$Q$50)</f>
        <v>91004.634890519999</v>
      </c>
      <c r="N25" s="91" ph="1">
        <f>N24*18.322*LOOKUP(N26,密度!$A$2:$A$50,密度!$Q$2:$Q$50)</f>
        <v>92232.557558179993</v>
      </c>
      <c r="O25" s="91" ph="1">
        <f>O24*18.322*LOOKUP(O26,密度!$A$2:$A$50,密度!$C$2:$C$50)</f>
        <v>74794.790286799995</v>
      </c>
      <c r="P25" s="91" ph="1">
        <f>P24*11.702*LOOKUP(P26,密度!$A$2:$A$50,密度!$B$2:$B$50)</f>
        <v>9263.0843726000003</v>
      </c>
      <c r="Q25" s="92" ph="1">
        <f>Q24*18.322*LOOKUP(Q26,密度!$A$2:$A$50,密度!$B$2:$B$50)</f>
        <v>13026.927342399998</v>
      </c>
      <c r="R25" s="91" ph="1">
        <f>R24*35.891*LOOKUP(R26,密度!$A$2:$A$50,密度!$C$2:$C$50)</f>
        <v>69212.186454499999</v>
      </c>
      <c r="S25" s="91" ph="1">
        <f>S24*35.891*LOOKUP(S26,密度!$A$2:$A$50,密度!$B$2:$B$50)</f>
        <v>184329.74433279998</v>
      </c>
      <c r="T25" s="91" ph="1">
        <f>T24*35.891*LOOKUP(T26,密度!$A$2:$A$50,密度!$Q$2:$Q$50)</f>
        <v>59723.848600919999</v>
      </c>
      <c r="U25" s="91" ph="1">
        <f>U24*35.891</f>
        <v>147260.77299999999</v>
      </c>
      <c r="V25" s="91" ph="1">
        <f>V24*47.051*LOOKUP(V26,密度!$A$2:$A$50,密度!$B$2:$B$50)</f>
        <v>351471.69929050002</v>
      </c>
      <c r="W25" s="91" ph="1">
        <f>W24*47.051*LOOKUP(W26,密度!$A$2:$A$50,密度!$B$2:$B$50)</f>
        <v>391726.60109440004</v>
      </c>
      <c r="X25" s="91" ph="1">
        <f>X24*47.051*LOOKUP(X26,密度!$A$2:$A$50,密度!$I$2:$I$50)</f>
        <v>130952.95956809999</v>
      </c>
      <c r="Y25" s="91" ph="1">
        <f>Y24*47.051*LOOKUP(Y26,密度!$A$2:$A$50,密度!$L$2:$L$50)</f>
        <v>136334.41298800003</v>
      </c>
      <c r="Z25" s="238"/>
      <c r="AA25" s="239"/>
      <c r="AB25" s="239"/>
      <c r="AC25" s="239"/>
      <c r="AD25" s="239"/>
      <c r="AE25" s="240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44" ph="1"/>
      <c r="C26" s="68" t="s" ph="1">
        <v>180</v>
      </c>
      <c r="D26" s="74">
        <v>25</v>
      </c>
      <c r="E26" s="74">
        <v>25</v>
      </c>
      <c r="F26" s="74">
        <v>30</v>
      </c>
      <c r="G26" s="74">
        <v>28</v>
      </c>
      <c r="H26" s="74">
        <v>29</v>
      </c>
      <c r="I26" s="74">
        <v>29</v>
      </c>
      <c r="J26" s="74">
        <v>27</v>
      </c>
      <c r="K26" s="74">
        <v>30</v>
      </c>
      <c r="L26" s="74">
        <v>29</v>
      </c>
      <c r="M26" s="74">
        <v>29</v>
      </c>
      <c r="N26" s="74">
        <v>29</v>
      </c>
      <c r="O26" s="74">
        <v>30</v>
      </c>
      <c r="P26" s="74">
        <v>30</v>
      </c>
      <c r="Q26" s="93">
        <v>29</v>
      </c>
      <c r="R26" s="74">
        <v>30</v>
      </c>
      <c r="S26" s="74">
        <v>31</v>
      </c>
      <c r="T26" s="74">
        <v>30</v>
      </c>
      <c r="U26" s="74">
        <v>30</v>
      </c>
      <c r="V26" s="74">
        <v>30</v>
      </c>
      <c r="W26" s="74">
        <v>31</v>
      </c>
      <c r="X26" s="74">
        <v>28</v>
      </c>
      <c r="Y26" s="74">
        <v>30</v>
      </c>
      <c r="Z26" s="238"/>
      <c r="AA26" s="239"/>
      <c r="AB26" s="239"/>
      <c r="AC26" s="239"/>
      <c r="AD26" s="239"/>
      <c r="AE26" s="240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44" ph="1">
        <v>0.66666666666666663</v>
      </c>
      <c r="C27" s="166" t="s" ph="1">
        <v>181</v>
      </c>
      <c r="D27" s="71">
        <v>4.91</v>
      </c>
      <c r="E27" s="71">
        <v>95.61</v>
      </c>
      <c r="F27" s="71">
        <v>3107</v>
      </c>
      <c r="G27" s="71">
        <v>1123</v>
      </c>
      <c r="H27" s="71">
        <v>2168</v>
      </c>
      <c r="I27" s="71">
        <v>2357</v>
      </c>
      <c r="J27" s="71">
        <v>5404</v>
      </c>
      <c r="K27" s="71">
        <v>2388</v>
      </c>
      <c r="L27" s="71">
        <v>3569</v>
      </c>
      <c r="M27" s="71">
        <v>5267</v>
      </c>
      <c r="N27" s="71">
        <v>5332</v>
      </c>
      <c r="O27" s="71">
        <v>3694</v>
      </c>
      <c r="P27" s="71">
        <v>1018</v>
      </c>
      <c r="Q27" s="90">
        <v>3461</v>
      </c>
      <c r="R27" s="71">
        <v>1744</v>
      </c>
      <c r="S27" s="71">
        <v>6010</v>
      </c>
      <c r="T27" s="71">
        <v>1764</v>
      </c>
      <c r="U27" s="71">
        <v>4137</v>
      </c>
      <c r="V27" s="71">
        <v>9639</v>
      </c>
      <c r="W27" s="71">
        <v>10755</v>
      </c>
      <c r="X27" s="71">
        <v>2679</v>
      </c>
      <c r="Y27" s="71">
        <v>2910</v>
      </c>
      <c r="Z27" s="238"/>
      <c r="AA27" s="239"/>
      <c r="AB27" s="239"/>
      <c r="AC27" s="239"/>
      <c r="AD27" s="239"/>
      <c r="AE27" s="240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44" ph="1"/>
      <c r="C28" s="166" t="s" ph="1">
        <v>179</v>
      </c>
      <c r="D28" s="91" ph="1">
        <f>D27*268.68*LOOKUP(D29,密度!$A$2:$A$50,密度!$Q$2:$Q$50)+IF(D27&lt;=0,0,1566*LOOKUP(D29,密度!$A$2:$A$50,密度!$Q$2:$Q$50))</f>
        <v>2731.5520467120004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34297.699679620004</v>
      </c>
      <c r="G28" s="91" ph="1">
        <f>G27*18.322*LOOKUP(G29,密度!$A$2:$A$50,密度!$B$2:$B$50)</f>
        <v>15987.245862</v>
      </c>
      <c r="H28" s="91" ph="1">
        <f>H27*18.322*LOOKUP(H29,密度!$A$2:$A$50,密度!$B$2:$B$50)</f>
        <v>30832.290915199999</v>
      </c>
      <c r="I28" s="91" ph="1">
        <f>I27*18.322*LOOKUP(I29,密度!$A$2:$A$50,密度!$Q$2:$Q$50)</f>
        <v>40763.573629220002</v>
      </c>
      <c r="J28" s="91" ph="1">
        <f>J27*18.322*LOOKUP(J29,密度!$A$2:$A$50,密度!$Q$2:$Q$50)</f>
        <v>93528.798566559984</v>
      </c>
      <c r="K28" s="91" ph="1">
        <f>K27*18.322*LOOKUP(K29,密度!$A$2:$A$50,密度!$Q$2:$Q$50)</f>
        <v>41299.70887848</v>
      </c>
      <c r="L28" s="91" ph="1">
        <f>L27*18.322*LOOKUP(L29,密度!$A$2:$A$50,密度!$Q$2:$Q$50)</f>
        <v>61685.497675939994</v>
      </c>
      <c r="M28" s="91" ph="1">
        <f>M27*18.322*LOOKUP(M29,密度!$A$2:$A$50,密度!$Q$2:$Q$50)</f>
        <v>91091.108317820006</v>
      </c>
      <c r="N28" s="91" ph="1">
        <f>N27*18.322*LOOKUP(N29,密度!$A$2:$A$50,密度!$Q$2:$Q$50)</f>
        <v>92215.262872720006</v>
      </c>
      <c r="O28" s="91" ph="1">
        <f>O27*18.322*LOOKUP(O29,密度!$A$2:$A$50,密度!$C$2:$C$50)</f>
        <v>74794.790286799995</v>
      </c>
      <c r="P28" s="91" ph="1">
        <f>P27*11.702*LOOKUP(P29,密度!$A$2:$A$50,密度!$B$2:$B$50)</f>
        <v>9235.8666907999996</v>
      </c>
      <c r="Q28" s="92" ph="1">
        <f>Q27*18.322*LOOKUP(Q29,密度!$A$2:$A$50,密度!$B$2:$B$50)</f>
        <v>49220.737480399999</v>
      </c>
      <c r="R28" s="91" ph="1">
        <f>R27*35.891*LOOKUP(R29,密度!$A$2:$A$50,密度!$C$2:$C$50)</f>
        <v>69172.523310399993</v>
      </c>
      <c r="S28" s="91" ph="1">
        <f>S27*35.891*LOOKUP(S29,密度!$A$2:$A$50,密度!$B$2:$B$50)</f>
        <v>167041.882304</v>
      </c>
      <c r="T28" s="91" ph="1">
        <f>T27*35.891*LOOKUP(T29,密度!$A$2:$A$50,密度!$Q$2:$Q$50)</f>
        <v>59723.848600919999</v>
      </c>
      <c r="U28" s="91" ph="1">
        <f>U27*35.891</f>
        <v>148481.06699999998</v>
      </c>
      <c r="V28" s="91" ph="1">
        <f>V27*47.051*LOOKUP(V29,密度!$A$2:$A$50,密度!$B$2:$B$50)</f>
        <v>351617.61385170004</v>
      </c>
      <c r="W28" s="91" ph="1">
        <f>W27*47.051*LOOKUP(W29,密度!$A$2:$A$50,密度!$B$2:$B$50)</f>
        <v>392327.7764265</v>
      </c>
      <c r="X28" s="91" ph="1">
        <f>X27*47.051*LOOKUP(X29,密度!$A$2:$A$50,密度!$I$2:$I$50)</f>
        <v>130663.04542139999</v>
      </c>
      <c r="Y28" s="91" ph="1">
        <f>Y27*47.051*LOOKUP(Y29,密度!$A$2:$A$50,密度!$L$2:$L$50)</f>
        <v>127744.87653000001</v>
      </c>
      <c r="Z28" s="238"/>
      <c r="AA28" s="239"/>
      <c r="AB28" s="239"/>
      <c r="AC28" s="239"/>
      <c r="AD28" s="239"/>
      <c r="AE28" s="240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44" ph="1"/>
      <c r="C29" s="166" t="s" ph="1">
        <v>180</v>
      </c>
      <c r="D29" s="74">
        <v>25</v>
      </c>
      <c r="E29" s="74">
        <v>25</v>
      </c>
      <c r="F29" s="74">
        <v>30</v>
      </c>
      <c r="G29" s="74">
        <v>28</v>
      </c>
      <c r="H29" s="74">
        <v>29</v>
      </c>
      <c r="I29" s="74">
        <v>29</v>
      </c>
      <c r="J29" s="74">
        <v>28</v>
      </c>
      <c r="K29" s="74">
        <v>29</v>
      </c>
      <c r="L29" s="74">
        <v>30</v>
      </c>
      <c r="M29" s="74">
        <v>29</v>
      </c>
      <c r="N29" s="74">
        <v>29</v>
      </c>
      <c r="O29" s="74">
        <v>30</v>
      </c>
      <c r="P29" s="74">
        <v>30</v>
      </c>
      <c r="Q29" s="93">
        <v>29</v>
      </c>
      <c r="R29" s="74">
        <v>30</v>
      </c>
      <c r="S29" s="74">
        <v>31</v>
      </c>
      <c r="T29" s="74">
        <v>30</v>
      </c>
      <c r="U29" s="74">
        <v>32</v>
      </c>
      <c r="V29" s="74">
        <v>30</v>
      </c>
      <c r="W29" s="74">
        <v>30</v>
      </c>
      <c r="X29" s="74">
        <v>30</v>
      </c>
      <c r="Y29" s="74">
        <v>29</v>
      </c>
      <c r="Z29" s="241"/>
      <c r="AA29" s="242"/>
      <c r="AB29" s="242"/>
      <c r="AC29" s="242"/>
      <c r="AD29" s="242"/>
      <c r="AE29" s="243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27" t="s" ph="1">
        <v>35</v>
      </c>
      <c r="C31" s="228" ph="1"/>
      <c r="D31" s="231" t="s" ph="1">
        <v>9</v>
      </c>
      <c r="E31" s="206" ph="1"/>
      <c r="F31" s="207" ph="1"/>
      <c r="G31" s="231" t="s" ph="1">
        <v>18</v>
      </c>
      <c r="H31" s="206" ph="1"/>
      <c r="I31" s="207" ph="1"/>
      <c r="J31" s="205" t="s" ph="1">
        <v>1</v>
      </c>
      <c r="K31" s="206" ph="1"/>
      <c r="L31" s="207" ph="1"/>
      <c r="M31" s="205" t="s" ph="1">
        <v>7</v>
      </c>
      <c r="N31" s="206" ph="1"/>
      <c r="O31" s="207" ph="1"/>
      <c r="P31" s="205" t="s" ph="1">
        <v>41</v>
      </c>
      <c r="Q31" s="206"/>
      <c r="R31" s="207"/>
      <c r="S31" s="205" t="s" ph="1">
        <v>2</v>
      </c>
      <c r="T31" s="206"/>
      <c r="U31" s="207"/>
      <c r="V31" s="205" t="s" ph="1">
        <v>71</v>
      </c>
      <c r="W31" s="206" ph="1"/>
      <c r="X31" s="207" ph="1"/>
      <c r="Y31" s="205" t="s" ph="1">
        <v>3</v>
      </c>
      <c r="Z31" s="206" ph="1"/>
      <c r="AA31" s="207" ph="1"/>
      <c r="AB31" s="208" t="s">
        <v>42</v>
      </c>
      <c r="AC31" s="209"/>
      <c r="AD31" s="209"/>
      <c r="AE31" s="210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9" ph="1"/>
      <c r="C32" s="230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11" t="s" ph="1">
        <v>83</v>
      </c>
      <c r="AE32" s="212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193" ph="1">
        <f>AA10+AB10+Z19</f>
        <v>103141.4739044</v>
      </c>
      <c r="E33" s="193" ph="1">
        <f>M10+I10</f>
        <v>199726.28787920001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19" ph="1">
        <v>0</v>
      </c>
      <c r="H33" s="193" ph="1">
        <f>N19</f>
        <v>10242.491945400001</v>
      </c>
      <c r="I33" s="197" ph="1">
        <v>0</v>
      </c>
      <c r="J33" s="201" ph="1">
        <f>F10+O28</f>
        <v>337449.1259474</v>
      </c>
      <c r="K33" s="193" ph="1">
        <f>O10+K10+E28+R28</f>
        <v>102956.34233851999</v>
      </c>
      <c r="L33" s="203" ph="1">
        <f>BE27</f>
        <v>7100</v>
      </c>
      <c r="M33" s="201" ph="1">
        <f>G10+H10+W28+S28+V28+E10</f>
        <v>1444731.0344662</v>
      </c>
      <c r="N33" s="193" ph="1">
        <f>L10+P10++G28+H28</f>
        <v>265029.66247320001</v>
      </c>
      <c r="O33" s="197" ph="1">
        <f>BE17</f>
        <v>2270</v>
      </c>
      <c r="P33" s="201" ph="1">
        <f>L19</f>
        <v>39957.986538800003</v>
      </c>
      <c r="Q33" s="193" ph="1">
        <f>J10+N10</f>
        <v>101130.7509542</v>
      </c>
      <c r="R33" s="197" ph="1">
        <f>BE23</f>
        <v>890</v>
      </c>
      <c r="S33" s="201" ph="1">
        <f>E10+X28</f>
        <v>319778.82046439999</v>
      </c>
      <c r="T33" s="193" ph="1">
        <f>X19</f>
        <v>6091.4984639599998</v>
      </c>
      <c r="U33" s="182" ph="1">
        <f>BE21</f>
        <v>730</v>
      </c>
      <c r="V33" s="195" ph="1">
        <f ca="1">P19+Q19+S19+M28+N28+J28</f>
        <v>397711.41921573802</v>
      </c>
      <c r="W33" s="195" ph="1">
        <f>D28+F28+V19+T28</f>
        <v>97360.827123700001</v>
      </c>
      <c r="X33" s="197" ph="1">
        <f>BE29+BE31</f>
        <v>10200</v>
      </c>
      <c r="Y33" s="199" ph="1">
        <f>+Q10+R10+S10+T10+U10+V10+W10+X10+Y10</f>
        <v>125974.3767282</v>
      </c>
      <c r="Z33" s="180" ph="1">
        <f>D10+T19+U19+Y28+Z10</f>
        <v>471135.47214281996</v>
      </c>
      <c r="AA33" s="182" ph="1">
        <f>BE19</f>
        <v>1440</v>
      </c>
      <c r="AB33" s="184" ph="1">
        <f>I19</f>
        <v>1097.5728699999997</v>
      </c>
      <c r="AC33" s="186" ph="1">
        <f>AD10</f>
        <v>86477.541894399998</v>
      </c>
      <c r="AD33" s="188" ph="1">
        <v>0</v>
      </c>
      <c r="AE33" s="189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194" ph="1"/>
      <c r="E34" s="194" ph="1"/>
      <c r="F34" s="218" ph="1"/>
      <c r="G34" s="220" ph="1"/>
      <c r="H34" s="194" ph="1"/>
      <c r="I34" s="198" ph="1"/>
      <c r="J34" s="202" ph="1"/>
      <c r="K34" s="194" ph="1"/>
      <c r="L34" s="204" ph="1"/>
      <c r="M34" s="202" ph="1"/>
      <c r="N34" s="194" ph="1"/>
      <c r="O34" s="198" ph="1"/>
      <c r="P34" s="202" ph="1"/>
      <c r="Q34" s="194" ph="1"/>
      <c r="R34" s="198" ph="1"/>
      <c r="S34" s="202" ph="1"/>
      <c r="T34" s="194"/>
      <c r="U34" s="183"/>
      <c r="V34" s="196" ph="1"/>
      <c r="W34" s="196" ph="1"/>
      <c r="X34" s="198" ph="1"/>
      <c r="Y34" s="200" ph="1"/>
      <c r="Z34" s="181" ph="1"/>
      <c r="AA34" s="183" ph="1"/>
      <c r="AB34" s="185"/>
      <c r="AC34" s="187"/>
      <c r="AD34" s="190"/>
      <c r="AE34" s="191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92" t="s" ph="1">
        <v>640</v>
      </c>
      <c r="AD35" s="192"/>
      <c r="AE35" s="192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78" t="s" ph="1">
        <v>184</v>
      </c>
      <c r="J36" s="178" ph="1"/>
      <c r="K36" s="101" ph="1"/>
      <c r="P36" s="101" ph="1"/>
      <c r="R36" s="178" t="s" ph="1">
        <v>185</v>
      </c>
      <c r="S36" s="178" ph="1"/>
      <c r="Y36" s="102" ph="1"/>
      <c r="Z36" s="168" t="s" ph="1">
        <v>186</v>
      </c>
      <c r="AA36" s="168" ph="1"/>
      <c r="AB36" s="179" t="s" ph="1">
        <v>646</v>
      </c>
      <c r="AC36" s="179" ph="1"/>
      <c r="AD36" s="179" ph="1"/>
      <c r="AE36" s="179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345</v>
      </c>
      <c r="AI37" s="168" t="s" ph="1">
        <v>212</v>
      </c>
      <c r="AJ37" s="168" t="s" ph="1">
        <v>213</v>
      </c>
      <c r="AK37" s="168" t="s" ph="1">
        <v>214</v>
      </c>
      <c r="AM37" s="168" t="s" ph="1">
        <v>213</v>
      </c>
      <c r="AN37" s="168" t="s" ph="1">
        <v>214</v>
      </c>
      <c r="AO37" s="168" t="s" ph="1">
        <v>215</v>
      </c>
      <c r="AP37" s="168" t="s" ph="1">
        <v>213</v>
      </c>
      <c r="AQ37" s="168" t="s" ph="1">
        <v>214</v>
      </c>
      <c r="AR37" s="168" t="s" ph="1">
        <v>215</v>
      </c>
      <c r="AS37" s="168" t="s" ph="1">
        <v>213</v>
      </c>
      <c r="AT37" s="168" t="s" ph="1">
        <v>214</v>
      </c>
      <c r="AU37" s="168" t="s" ph="1">
        <v>215</v>
      </c>
      <c r="AV37" s="168" t="s" ph="1">
        <v>213</v>
      </c>
      <c r="AW37" s="168" t="s" ph="1">
        <v>214</v>
      </c>
      <c r="AX37" s="168" t="s" ph="1">
        <v>215</v>
      </c>
      <c r="AY37" s="168" t="s" ph="1">
        <v>214</v>
      </c>
      <c r="AZ37" s="168" t="s" ph="1">
        <v>216</v>
      </c>
      <c r="BD37" s="168" t="s" ph="1">
        <v>308</v>
      </c>
      <c r="BE37" s="16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6" priority="97">
      <formula>ABS(D$7-D$10)&gt;=1000</formula>
    </cfRule>
  </conditionalFormatting>
  <conditionalFormatting sqref="E4 E6:E11">
    <cfRule type="expression" dxfId="125" priority="96">
      <formula>ABS(E$7-E$10)&gt;=1000</formula>
    </cfRule>
  </conditionalFormatting>
  <conditionalFormatting sqref="F4:F11">
    <cfRule type="expression" dxfId="124" priority="95">
      <formula>ABS(F$7-F$10)&gt;=1000</formula>
    </cfRule>
  </conditionalFormatting>
  <conditionalFormatting sqref="G4:G11">
    <cfRule type="expression" dxfId="123" priority="94">
      <formula>ABS(G$7-G$10)&gt;=1000</formula>
    </cfRule>
  </conditionalFormatting>
  <conditionalFormatting sqref="H4:H11">
    <cfRule type="expression" dxfId="122" priority="93">
      <formula>ABS(H$7-H$10)&gt;=1000</formula>
    </cfRule>
  </conditionalFormatting>
  <conditionalFormatting sqref="I4:I11">
    <cfRule type="expression" dxfId="121" priority="92">
      <formula>ABS(I$7-I$10)&gt;=1000</formula>
    </cfRule>
  </conditionalFormatting>
  <conditionalFormatting sqref="J4:J11">
    <cfRule type="expression" dxfId="120" priority="91">
      <formula>ABS(J$7-J$10)&gt;=1000</formula>
    </cfRule>
  </conditionalFormatting>
  <conditionalFormatting sqref="K4:K11">
    <cfRule type="expression" dxfId="119" priority="90">
      <formula>ABS(K$7-K$10)&gt;=1000</formula>
    </cfRule>
  </conditionalFormatting>
  <conditionalFormatting sqref="L4:L11">
    <cfRule type="expression" dxfId="118" priority="89">
      <formula>ABS(L$7-L$10)&gt;=1000</formula>
    </cfRule>
  </conditionalFormatting>
  <conditionalFormatting sqref="M4 M6:M11">
    <cfRule type="expression" dxfId="117" priority="88">
      <formula>ABS(M$7-M$10)&gt;=1000</formula>
    </cfRule>
  </conditionalFormatting>
  <conditionalFormatting sqref="N4 N6:N11">
    <cfRule type="expression" dxfId="116" priority="87">
      <formula>ABS(N$7-N$10)&gt;=1000</formula>
    </cfRule>
  </conditionalFormatting>
  <conditionalFormatting sqref="O4 O6:O11">
    <cfRule type="expression" dxfId="115" priority="86">
      <formula>ABS(O$7-O$10)&gt;=1000</formula>
    </cfRule>
  </conditionalFormatting>
  <conditionalFormatting sqref="P4 P6:P11">
    <cfRule type="expression" dxfId="114" priority="85">
      <formula>ABS(P$7-P$10)&gt;=1000</formula>
    </cfRule>
  </conditionalFormatting>
  <conditionalFormatting sqref="Q4:Q11">
    <cfRule type="expression" dxfId="113" priority="84">
      <formula>ABS(Q$7-Q$10)&gt;=1000</formula>
    </cfRule>
  </conditionalFormatting>
  <conditionalFormatting sqref="R4:R11">
    <cfRule type="expression" dxfId="112" priority="83">
      <formula>ABS(R$7-R$10)&gt;=1000</formula>
    </cfRule>
  </conditionalFormatting>
  <conditionalFormatting sqref="S4:S11">
    <cfRule type="expression" dxfId="111" priority="82">
      <formula>ABS(S$7-S$10)&gt;=1000</formula>
    </cfRule>
  </conditionalFormatting>
  <conditionalFormatting sqref="T4:T9 T11">
    <cfRule type="expression" dxfId="110" priority="81">
      <formula>ABS(T$7-T$10)&gt;=1000</formula>
    </cfRule>
  </conditionalFormatting>
  <conditionalFormatting sqref="U4:U9 U11">
    <cfRule type="expression" dxfId="109" priority="80">
      <formula>ABS(U$7-U$10)&gt;=1000</formula>
    </cfRule>
  </conditionalFormatting>
  <conditionalFormatting sqref="V4:V9 V11">
    <cfRule type="expression" dxfId="108" priority="79">
      <formula>ABS(V$7-V$10)&gt;=1000</formula>
    </cfRule>
  </conditionalFormatting>
  <conditionalFormatting sqref="W4:W9 W11">
    <cfRule type="expression" dxfId="107" priority="78">
      <formula>ABS(W$7-W$10)&gt;=1000</formula>
    </cfRule>
  </conditionalFormatting>
  <conditionalFormatting sqref="X4:X9 X11">
    <cfRule type="expression" dxfId="106" priority="77">
      <formula>ABS(X$7-X$10)&gt;=1000</formula>
    </cfRule>
  </conditionalFormatting>
  <conditionalFormatting sqref="Y4:Y9 Y11">
    <cfRule type="expression" dxfId="105" priority="76">
      <formula>ABS(Y$7-Y$10)&gt;=1000</formula>
    </cfRule>
  </conditionalFormatting>
  <conditionalFormatting sqref="Z4:Z11">
    <cfRule type="expression" dxfId="104" priority="75">
      <formula>ABS(Z$7-Z$10)&gt;=1000</formula>
    </cfRule>
  </conditionalFormatting>
  <conditionalFormatting sqref="AA4:AA11">
    <cfRule type="expression" dxfId="103" priority="74">
      <formula>ABS(AA$7-AA$10)&gt;=1000</formula>
    </cfRule>
  </conditionalFormatting>
  <conditionalFormatting sqref="AB4:AB11">
    <cfRule type="expression" dxfId="102" priority="73">
      <formula>ABS(AB$7-AB$10)&gt;=1000</formula>
    </cfRule>
  </conditionalFormatting>
  <conditionalFormatting sqref="AC4 AC6:AC11">
    <cfRule type="expression" dxfId="101" priority="72">
      <formula>ABS(AC$7-AC$10)&gt;=1000</formula>
    </cfRule>
  </conditionalFormatting>
  <conditionalFormatting sqref="AD4:AD11">
    <cfRule type="expression" dxfId="100" priority="71">
      <formula>ABS(AD$7-AD$10)&gt;=1000</formula>
    </cfRule>
  </conditionalFormatting>
  <conditionalFormatting sqref="AE4:AE11">
    <cfRule type="expression" dxfId="99" priority="70">
      <formula>ABS(AE$7-AE$10)&gt;=1000</formula>
    </cfRule>
  </conditionalFormatting>
  <conditionalFormatting sqref="D13:D20">
    <cfRule type="expression" dxfId="98" priority="69">
      <formula>ABS(D$16-D$19)&gt;=1000</formula>
    </cfRule>
  </conditionalFormatting>
  <conditionalFormatting sqref="E13:E20">
    <cfRule type="expression" dxfId="97" priority="68">
      <formula>ABS(E$16-E$19)&gt;=1000</formula>
    </cfRule>
  </conditionalFormatting>
  <conditionalFormatting sqref="F13 F15:F20">
    <cfRule type="expression" dxfId="96" priority="67">
      <formula>ABS(F$16-F$19)&gt;=1000</formula>
    </cfRule>
  </conditionalFormatting>
  <conditionalFormatting sqref="G13:G20">
    <cfRule type="expression" dxfId="95" priority="66">
      <formula>ABS(G$16-G$19)&gt;=1000</formula>
    </cfRule>
  </conditionalFormatting>
  <conditionalFormatting sqref="H13:H20">
    <cfRule type="expression" dxfId="94" priority="65">
      <formula>ABS(H$16-H$19)&gt;=1000</formula>
    </cfRule>
  </conditionalFormatting>
  <conditionalFormatting sqref="I13:I20">
    <cfRule type="expression" dxfId="93" priority="64">
      <formula>ABS(I$16-I$19)&gt;=1000</formula>
    </cfRule>
  </conditionalFormatting>
  <conditionalFormatting sqref="J13:J20">
    <cfRule type="expression" dxfId="92" priority="63">
      <formula>ABS(J$16-J$19)&gt;=1000</formula>
    </cfRule>
  </conditionalFormatting>
  <conditionalFormatting sqref="L13:L20">
    <cfRule type="expression" dxfId="91" priority="62">
      <formula>ABS(L$16-L$19)&gt;=1000</formula>
    </cfRule>
  </conditionalFormatting>
  <conditionalFormatting sqref="M13 M15 M17:M18 M20">
    <cfRule type="expression" dxfId="90" priority="61">
      <formula>ABS(M$16-M$19)&gt;=1000</formula>
    </cfRule>
  </conditionalFormatting>
  <conditionalFormatting sqref="N13:N20">
    <cfRule type="expression" dxfId="89" priority="60">
      <formula>ABS(N$16-N$19)&gt;=1000</formula>
    </cfRule>
  </conditionalFormatting>
  <conditionalFormatting sqref="O13:O20">
    <cfRule type="expression" dxfId="88" priority="59">
      <formula>ABS(O$16-O$19)&gt;=1000</formula>
    </cfRule>
  </conditionalFormatting>
  <conditionalFormatting sqref="P13:P20">
    <cfRule type="expression" dxfId="87" priority="58">
      <formula>ABS(P$16-P$19)&gt;=1000</formula>
    </cfRule>
  </conditionalFormatting>
  <conditionalFormatting sqref="Q13 Q15:Q20">
    <cfRule type="expression" dxfId="86" priority="57">
      <formula>ABS(Q$16-Q$19)&gt;=1000</formula>
    </cfRule>
  </conditionalFormatting>
  <conditionalFormatting sqref="R13:R20">
    <cfRule type="expression" dxfId="85" priority="56">
      <formula>ABS(R$16-R$19)&gt;=1000</formula>
    </cfRule>
  </conditionalFormatting>
  <conditionalFormatting sqref="S13:S20">
    <cfRule type="expression" dxfId="84" priority="55">
      <formula>ABS(S$16-S$19)&gt;=1000</formula>
    </cfRule>
  </conditionalFormatting>
  <conditionalFormatting sqref="T13:T20">
    <cfRule type="expression" dxfId="83" priority="54">
      <formula>ABS(T$16-T$19)&gt;=1000</formula>
    </cfRule>
  </conditionalFormatting>
  <conditionalFormatting sqref="U13:U20">
    <cfRule type="expression" dxfId="82" priority="53">
      <formula>ABS(U$16-U$19)&gt;=1000</formula>
    </cfRule>
  </conditionalFormatting>
  <conditionalFormatting sqref="V13:V20">
    <cfRule type="expression" dxfId="81" priority="52">
      <formula>ABS(V$16-V$19)&gt;=1000</formula>
    </cfRule>
  </conditionalFormatting>
  <conditionalFormatting sqref="W13 W20 W15:W18">
    <cfRule type="expression" dxfId="80" priority="51">
      <formula>ABS(W$16-W$19)&gt;=1000</formula>
    </cfRule>
  </conditionalFormatting>
  <conditionalFormatting sqref="X13 X15:X20 Y19">
    <cfRule type="expression" dxfId="79" priority="50">
      <formula>ABS(X$16-X$19)&gt;=1000</formula>
    </cfRule>
  </conditionalFormatting>
  <conditionalFormatting sqref="Y13 Y15:Y18 Y20">
    <cfRule type="expression" dxfId="78" priority="49">
      <formula>ABS(Y$16-Y$19)&gt;=1000</formula>
    </cfRule>
  </conditionalFormatting>
  <conditionalFormatting sqref="Z13:Z20">
    <cfRule type="expression" dxfId="77" priority="48">
      <formula>ABS(Z$16-Z$19)&gt;=1000</formula>
    </cfRule>
  </conditionalFormatting>
  <conditionalFormatting sqref="AA13:AA20">
    <cfRule type="expression" dxfId="76" priority="47">
      <formula>ABS(AA$16-AA$19)&gt;=1000</formula>
    </cfRule>
  </conditionalFormatting>
  <conditionalFormatting sqref="AB13 AB15:AB20">
    <cfRule type="expression" dxfId="75" priority="46">
      <formula>ABS(AB$16-AB$19)&gt;=1000</formula>
    </cfRule>
  </conditionalFormatting>
  <conditionalFormatting sqref="AC13 AC15:AC20">
    <cfRule type="expression" dxfId="74" priority="45">
      <formula>ABS(AC$16-AC$19)&gt;=1000</formula>
    </cfRule>
  </conditionalFormatting>
  <conditionalFormatting sqref="AD13:AD20">
    <cfRule type="expression" dxfId="73" priority="44">
      <formula>ABS(AD$16-AD$19)&gt;=1000</formula>
    </cfRule>
  </conditionalFormatting>
  <conditionalFormatting sqref="AE13:AE20">
    <cfRule type="expression" dxfId="72" priority="43">
      <formula>ABS(AE$16-AE$19)&gt;=1000</formula>
    </cfRule>
  </conditionalFormatting>
  <conditionalFormatting sqref="D22:D29">
    <cfRule type="expression" dxfId="71" priority="42">
      <formula>ABS(D$25-D$28)&gt;=1000</formula>
    </cfRule>
  </conditionalFormatting>
  <conditionalFormatting sqref="E22:E29">
    <cfRule type="expression" dxfId="70" priority="41">
      <formula>ABS(E$25-E$28)&gt;=1000</formula>
    </cfRule>
  </conditionalFormatting>
  <conditionalFormatting sqref="F22:F29">
    <cfRule type="expression" dxfId="69" priority="40">
      <formula>ABS(F$25-F$28)&gt;=1000</formula>
    </cfRule>
  </conditionalFormatting>
  <conditionalFormatting sqref="G22:G29">
    <cfRule type="expression" dxfId="68" priority="39">
      <formula>ABS(G$25-G$28)&gt;=1000</formula>
    </cfRule>
  </conditionalFormatting>
  <conditionalFormatting sqref="H22:H29">
    <cfRule type="expression" dxfId="67" priority="38">
      <formula>ABS(H$25-H$28)&gt;=1000</formula>
    </cfRule>
  </conditionalFormatting>
  <conditionalFormatting sqref="I22 I24:I29">
    <cfRule type="expression" dxfId="66" priority="37">
      <formula>ABS(I$25-I$28)&gt;=1000</formula>
    </cfRule>
  </conditionalFormatting>
  <conditionalFormatting sqref="J22:J29 K22">
    <cfRule type="expression" dxfId="65" priority="36">
      <formula>ABS(J$25-J$28)&gt;=1000</formula>
    </cfRule>
  </conditionalFormatting>
  <conditionalFormatting sqref="K23:K29 L25 L28">
    <cfRule type="expression" dxfId="64" priority="35">
      <formula>ABS(K$25-K$28)&gt;=1000</formula>
    </cfRule>
  </conditionalFormatting>
  <conditionalFormatting sqref="L22 L26:L27 L29 L24">
    <cfRule type="expression" dxfId="63" priority="34">
      <formula>ABS(L$25-L$28)&gt;=1000</formula>
    </cfRule>
  </conditionalFormatting>
  <conditionalFormatting sqref="M22:M29">
    <cfRule type="expression" dxfId="62" priority="33">
      <formula>ABS(M$25-M$28)&gt;=1000</formula>
    </cfRule>
  </conditionalFormatting>
  <conditionalFormatting sqref="N22:N29">
    <cfRule type="expression" dxfId="61" priority="32">
      <formula>ABS(N$25-N$28)&gt;=1000</formula>
    </cfRule>
  </conditionalFormatting>
  <conditionalFormatting sqref="O22:O29">
    <cfRule type="expression" dxfId="60" priority="31">
      <formula>ABS(O$25-O$28)&gt;=1000</formula>
    </cfRule>
  </conditionalFormatting>
  <conditionalFormatting sqref="P22:P29">
    <cfRule type="expression" dxfId="59" priority="30">
      <formula>ABS(P$25-P$28)&gt;=1000</formula>
    </cfRule>
  </conditionalFormatting>
  <conditionalFormatting sqref="Q22:Q29">
    <cfRule type="expression" dxfId="58" priority="29">
      <formula>ABS(Q$25-Q$28)&gt;=1000</formula>
    </cfRule>
  </conditionalFormatting>
  <conditionalFormatting sqref="R22:R29">
    <cfRule type="expression" dxfId="57" priority="28">
      <formula>ABS(R$25-R$28)&gt;=1000</formula>
    </cfRule>
  </conditionalFormatting>
  <conditionalFormatting sqref="S22:S29">
    <cfRule type="expression" dxfId="56" priority="27">
      <formula>ABS(S$25-S$28)&gt;=1000</formula>
    </cfRule>
  </conditionalFormatting>
  <conditionalFormatting sqref="T22:T29">
    <cfRule type="expression" dxfId="55" priority="26">
      <formula>ABS(T$25-T$28)&gt;=1000</formula>
    </cfRule>
  </conditionalFormatting>
  <conditionalFormatting sqref="U22:U29">
    <cfRule type="expression" dxfId="54" priority="25">
      <formula>ABS(U$25-U$28)&gt;=1000</formula>
    </cfRule>
  </conditionalFormatting>
  <conditionalFormatting sqref="V22:V29">
    <cfRule type="expression" dxfId="53" priority="24">
      <formula>ABS(V$25-V$28)&gt;=1000</formula>
    </cfRule>
  </conditionalFormatting>
  <conditionalFormatting sqref="W22:W29">
    <cfRule type="expression" dxfId="52" priority="23">
      <formula>ABS(W$25-W$28)&gt;=1000</formula>
    </cfRule>
  </conditionalFormatting>
  <conditionalFormatting sqref="X22:X29">
    <cfRule type="expression" dxfId="51" priority="22">
      <formula>ABS(X$25-X$28)&gt;=1000</formula>
    </cfRule>
  </conditionalFormatting>
  <conditionalFormatting sqref="Y22:Y29">
    <cfRule type="expression" dxfId="50" priority="21">
      <formula>ABS(Y$25-Y$28)&gt;=1000</formula>
    </cfRule>
  </conditionalFormatting>
  <conditionalFormatting sqref="I23">
    <cfRule type="expression" dxfId="49" priority="20">
      <formula>ABS(I$25-I$28)&gt;=1000</formula>
    </cfRule>
  </conditionalFormatting>
  <conditionalFormatting sqref="F14">
    <cfRule type="expression" dxfId="48" priority="19">
      <formula>ABS(F$16-F$19)&gt;=1000</formula>
    </cfRule>
  </conditionalFormatting>
  <conditionalFormatting sqref="Q14">
    <cfRule type="expression" dxfId="47" priority="18">
      <formula>ABS(Q$16-Q$19)&gt;=1000</formula>
    </cfRule>
  </conditionalFormatting>
  <conditionalFormatting sqref="W14">
    <cfRule type="expression" dxfId="46" priority="17">
      <formula>ABS(W$16-W$19)&gt;=1000</formula>
    </cfRule>
  </conditionalFormatting>
  <conditionalFormatting sqref="Y14">
    <cfRule type="expression" dxfId="45" priority="16">
      <formula>ABS(Y$16-Y$19)&gt;=1000</formula>
    </cfRule>
  </conditionalFormatting>
  <conditionalFormatting sqref="X14">
    <cfRule type="expression" dxfId="44" priority="15">
      <formula>ABS(X$16-X$19)&gt;=1000</formula>
    </cfRule>
  </conditionalFormatting>
  <conditionalFormatting sqref="T10:Y10">
    <cfRule type="expression" dxfId="43" priority="14">
      <formula>ABS(T$7-T$10)&gt;=1000</formula>
    </cfRule>
  </conditionalFormatting>
  <conditionalFormatting sqref="W19">
    <cfRule type="expression" dxfId="42" priority="13">
      <formula>ABS(W$16-W$19)&gt;=1000</formula>
    </cfRule>
  </conditionalFormatting>
  <conditionalFormatting sqref="AC5">
    <cfRule type="expression" dxfId="41" priority="12">
      <formula>ABS(AC$7-AC$10)&gt;=1000</formula>
    </cfRule>
  </conditionalFormatting>
  <conditionalFormatting sqref="M14">
    <cfRule type="expression" dxfId="40" priority="11">
      <formula>ABS(M$16-M$19)&gt;=1000</formula>
    </cfRule>
  </conditionalFormatting>
  <conditionalFormatting sqref="M16">
    <cfRule type="expression" dxfId="39" priority="10">
      <formula>ABS(M$16-M$19)&gt;=1000</formula>
    </cfRule>
  </conditionalFormatting>
  <conditionalFormatting sqref="M19">
    <cfRule type="expression" dxfId="38" priority="9">
      <formula>ABS(M$16-M$19)&gt;=1000</formula>
    </cfRule>
  </conditionalFormatting>
  <conditionalFormatting sqref="K13:K20">
    <cfRule type="expression" dxfId="37" priority="8">
      <formula>ABS(K$16-K$19)&gt;=1000</formula>
    </cfRule>
  </conditionalFormatting>
  <conditionalFormatting sqref="E5">
    <cfRule type="expression" dxfId="36" priority="7">
      <formula>ABS(E$7-E$10)&gt;=1000</formula>
    </cfRule>
  </conditionalFormatting>
  <conditionalFormatting sqref="AB14:AC14">
    <cfRule type="expression" dxfId="35" priority="6">
      <formula>ABS(AB$16-AB$19)&gt;=1000</formula>
    </cfRule>
  </conditionalFormatting>
  <conditionalFormatting sqref="M5">
    <cfRule type="expression" dxfId="34" priority="5">
      <formula>ABS(M$7-M$10)&gt;=1000</formula>
    </cfRule>
  </conditionalFormatting>
  <conditionalFormatting sqref="N5">
    <cfRule type="expression" dxfId="33" priority="4">
      <formula>ABS(N$7-N$10)&gt;=1000</formula>
    </cfRule>
  </conditionalFormatting>
  <conditionalFormatting sqref="O5">
    <cfRule type="expression" dxfId="32" priority="3">
      <formula>ABS(O$7-O$10)&gt;=1000</formula>
    </cfRule>
  </conditionalFormatting>
  <conditionalFormatting sqref="P5">
    <cfRule type="expression" dxfId="31" priority="2">
      <formula>ABS(P$7-P$10)&gt;=1000</formula>
    </cfRule>
  </conditionalFormatting>
  <conditionalFormatting sqref="L23">
    <cfRule type="expression" dxfId="30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92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已命名的範圍</vt:lpstr>
      </vt:variant>
      <vt:variant>
        <vt:i4>15</vt:i4>
      </vt:variant>
    </vt:vector>
  </HeadingPairs>
  <TitlesOfParts>
    <vt:vector size="30" baseType="lpstr">
      <vt:lpstr>新增</vt:lpstr>
      <vt:lpstr>密度</vt:lpstr>
      <vt:lpstr>5.29</vt:lpstr>
      <vt:lpstr>6.1</vt:lpstr>
      <vt:lpstr>6.2</vt:lpstr>
      <vt:lpstr>6.3</vt:lpstr>
      <vt:lpstr>6.4</vt:lpstr>
      <vt:lpstr>6.5</vt:lpstr>
      <vt:lpstr>6.6</vt:lpstr>
      <vt:lpstr>6.9</vt:lpstr>
      <vt:lpstr>6.10</vt:lpstr>
      <vt:lpstr>6.11</vt:lpstr>
      <vt:lpstr>6.12</vt:lpstr>
      <vt:lpstr>6.13</vt:lpstr>
      <vt:lpstr>6.16</vt:lpstr>
      <vt:lpstr>'5.29'!Print_Area</vt:lpstr>
      <vt:lpstr>'6.1'!Print_Area</vt:lpstr>
      <vt:lpstr>'6.10'!Print_Area</vt:lpstr>
      <vt:lpstr>'6.11'!Print_Area</vt:lpstr>
      <vt:lpstr>'6.12'!Print_Area</vt:lpstr>
      <vt:lpstr>'6.13'!Print_Area</vt:lpstr>
      <vt:lpstr>'6.16'!Print_Area</vt:lpstr>
      <vt:lpstr>'6.2'!Print_Area</vt:lpstr>
      <vt:lpstr>'6.3'!Print_Area</vt:lpstr>
      <vt:lpstr>'6.4'!Print_Area</vt:lpstr>
      <vt:lpstr>'6.5'!Print_Area</vt:lpstr>
      <vt:lpstr>'6.6'!Print_Area</vt:lpstr>
      <vt:lpstr>'6.9'!Print_Area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2025-06-15T23:36:42Z</cp:lastPrinted>
  <dcterms:created xsi:type="dcterms:W3CDTF">2006-09-16T00:00:00Z</dcterms:created>
  <dcterms:modified xsi:type="dcterms:W3CDTF">2025-06-16T00:40:01Z</dcterms:modified>
</cp:coreProperties>
</file>