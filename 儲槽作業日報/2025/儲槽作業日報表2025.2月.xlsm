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4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5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7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8.xml" ContentType="application/vnd.openxmlformats-officedocument.drawing+xml"/>
  <Override PartName="/xl/ctrlProps/ctrlProp7.xml" ContentType="application/vnd.ms-excel.controlproperties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9.xml" ContentType="application/vnd.openxmlformats-officedocument.drawing+xml"/>
  <Override PartName="/xl/ctrlProps/ctrlProp8.xml" ContentType="application/vnd.ms-excel.controlproperties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11.xml" ContentType="application/vnd.openxmlformats-officedocument.drawing+xml"/>
  <Override PartName="/xl/ctrlProps/ctrlProp10.xml" ContentType="application/vnd.ms-excel.controlproperties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drawings/drawing12.xml" ContentType="application/vnd.openxmlformats-officedocument.drawing+xml"/>
  <Override PartName="/xl/ctrlProps/ctrlProp11.xml" ContentType="application/vnd.ms-excel.controlproperties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13.xml" ContentType="application/vnd.openxmlformats-officedocument.drawing+xml"/>
  <Override PartName="/xl/ctrlProps/ctrlProp12.xml" ContentType="application/vnd.ms-excel.controlproperties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14.xml" ContentType="application/vnd.openxmlformats-officedocument.drawing+xml"/>
  <Override PartName="/xl/ctrlProps/ctrlProp13.xml" ContentType="application/vnd.ms-excel.controlproperties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15.xml" ContentType="application/vnd.openxmlformats-officedocument.drawing+xml"/>
  <Override PartName="/xl/ctrlProps/ctrlProp14.xml" ContentType="application/vnd.ms-excel.controlproperties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16.xml" ContentType="application/vnd.openxmlformats-officedocument.drawing+xml"/>
  <Override PartName="/xl/ctrlProps/ctrlProp15.xml" ContentType="application/vnd.ms-excel.controlproperties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drawings/drawing17.xml" ContentType="application/vnd.openxmlformats-officedocument.drawing+xml"/>
  <Override PartName="/xl/ctrlProps/ctrlProp16.xml" ContentType="application/vnd.ms-excel.controlproperties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drawings/drawing18.xml" ContentType="application/vnd.openxmlformats-officedocument.drawing+xml"/>
  <Override PartName="/xl/ctrlProps/ctrlProp17.xml" ContentType="application/vnd.ms-excel.controlproperties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drawings/drawing19.xml" ContentType="application/vnd.openxmlformats-officedocument.drawing+xml"/>
  <Override PartName="/xl/ctrlProps/ctrlProp18.xml" ContentType="application/vnd.ms-excel.controlproperties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drawings/drawing20.xml" ContentType="application/vnd.openxmlformats-officedocument.drawing+xml"/>
  <Override PartName="/xl/ctrlProps/ctrlProp19.xml" ContentType="application/vnd.ms-excel.controlproperties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drawings/drawing21.xml" ContentType="application/vnd.openxmlformats-officedocument.drawing+xml"/>
  <Override PartName="/xl/ctrlProps/ctrlProp20.xml" ContentType="application/vnd.ms-excel.controlproperties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drawings/drawing22.xml" ContentType="application/vnd.openxmlformats-officedocument.drawing+xml"/>
  <Override PartName="/xl/ctrlProps/ctrlProp21.xml" ContentType="application/vnd.ms-excel.controlproperties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儲槽作業日報\儲槽作業日報\2025\"/>
    </mc:Choice>
  </mc:AlternateContent>
  <bookViews>
    <workbookView xWindow="0" yWindow="0" windowWidth="2160" windowHeight="0" firstSheet="10" activeTab="22"/>
  </bookViews>
  <sheets>
    <sheet name="新增" sheetId="1727" r:id="rId1"/>
    <sheet name="密度" sheetId="13" r:id="rId2"/>
    <sheet name="1.24" sheetId="1812" r:id="rId3"/>
    <sheet name="2.1" sheetId="1813" r:id="rId4"/>
    <sheet name="2.3" sheetId="1814" r:id="rId5"/>
    <sheet name="2.4" sheetId="1815" r:id="rId6"/>
    <sheet name="2.5" sheetId="1816" r:id="rId7"/>
    <sheet name="2.6" sheetId="1817" r:id="rId8"/>
    <sheet name="2.7" sheetId="1818" r:id="rId9"/>
    <sheet name="2.10" sheetId="1819" r:id="rId10"/>
    <sheet name="2.11" sheetId="1820" r:id="rId11"/>
    <sheet name="2.12" sheetId="1821" r:id="rId12"/>
    <sheet name="2.13" sheetId="1822" r:id="rId13"/>
    <sheet name="2.14" sheetId="1823" r:id="rId14"/>
    <sheet name="2.17" sheetId="1824" r:id="rId15"/>
    <sheet name="2.18" sheetId="1825" r:id="rId16"/>
    <sheet name="2.19" sheetId="1826" r:id="rId17"/>
    <sheet name="2.20" sheetId="1827" r:id="rId18"/>
    <sheet name="2.21" sheetId="1828" r:id="rId19"/>
    <sheet name="2.24" sheetId="1829" r:id="rId20"/>
    <sheet name="2.25" sheetId="1830" r:id="rId21"/>
    <sheet name="2.26" sheetId="1831" r:id="rId22"/>
    <sheet name="2.27" sheetId="1832" r:id="rId23"/>
  </sheets>
  <definedNames>
    <definedName name="_xlnm.Print_Area" localSheetId="2">'1.24'!$B$1:$AE$36</definedName>
    <definedName name="_xlnm.Print_Area" localSheetId="3">'2.1'!$B$1:$AE$36</definedName>
    <definedName name="_xlnm.Print_Area" localSheetId="9">'2.10'!$B$1:$AE$36</definedName>
    <definedName name="_xlnm.Print_Area" localSheetId="10">'2.11'!$B$1:$AE$36</definedName>
    <definedName name="_xlnm.Print_Area" localSheetId="11">'2.12'!$B$1:$AE$36</definedName>
    <definedName name="_xlnm.Print_Area" localSheetId="12">'2.13'!$B$1:$AE$36</definedName>
    <definedName name="_xlnm.Print_Area" localSheetId="13">'2.14'!$B$1:$AE$36</definedName>
    <definedName name="_xlnm.Print_Area" localSheetId="14">'2.17'!$B$1:$AE$36</definedName>
    <definedName name="_xlnm.Print_Area" localSheetId="15">'2.18'!$B$1:$AE$36</definedName>
    <definedName name="_xlnm.Print_Area" localSheetId="16">'2.19'!$B$1:$AE$36</definedName>
    <definedName name="_xlnm.Print_Area" localSheetId="17">'2.20'!$B$1:$AE$36</definedName>
    <definedName name="_xlnm.Print_Area" localSheetId="18">'2.21'!$B$1:$AE$36</definedName>
    <definedName name="_xlnm.Print_Area" localSheetId="19">'2.24'!$B$1:$AE$36</definedName>
    <definedName name="_xlnm.Print_Area" localSheetId="20">'2.25'!$B$1:$AE$36</definedName>
    <definedName name="_xlnm.Print_Area" localSheetId="21">'2.26'!$B$1:$AE$36</definedName>
    <definedName name="_xlnm.Print_Area" localSheetId="22">'2.27'!$B$1:$AE$36</definedName>
    <definedName name="_xlnm.Print_Area" localSheetId="4">'2.3'!$B$1:$AE$36</definedName>
    <definedName name="_xlnm.Print_Area" localSheetId="5">'2.4'!$B$1:$AE$36</definedName>
    <definedName name="_xlnm.Print_Area" localSheetId="6">'2.5'!$B$1:$AE$36</definedName>
    <definedName name="_xlnm.Print_Area" localSheetId="7">'2.6'!$B$1:$AE$36</definedName>
    <definedName name="_xlnm.Print_Area" localSheetId="8">'2.7'!$B$1:$AE$36</definedName>
    <definedName name="_xlnm.Print_Area" localSheetId="1">密度!$A$1:$W$51</definedName>
    <definedName name="_xlnm.Print_Area" localSheetId="0">新增!$A$1:$M$45</definedName>
    <definedName name="Z_512059F6_F0DC_4056_8FD0_37088AB81F9E_.wvu.PrintArea" localSheetId="2" hidden="1">'1.24'!$B$3:$AE$36</definedName>
    <definedName name="Z_512059F6_F0DC_4056_8FD0_37088AB81F9E_.wvu.PrintArea" localSheetId="3" hidden="1">'2.1'!$B$3:$AE$36</definedName>
    <definedName name="Z_512059F6_F0DC_4056_8FD0_37088AB81F9E_.wvu.PrintArea" localSheetId="9" hidden="1">'2.10'!$B$3:$AE$36</definedName>
    <definedName name="Z_512059F6_F0DC_4056_8FD0_37088AB81F9E_.wvu.PrintArea" localSheetId="10" hidden="1">'2.11'!$B$3:$AE$36</definedName>
    <definedName name="Z_512059F6_F0DC_4056_8FD0_37088AB81F9E_.wvu.PrintArea" localSheetId="11" hidden="1">'2.12'!$B$3:$AE$36</definedName>
    <definedName name="Z_512059F6_F0DC_4056_8FD0_37088AB81F9E_.wvu.PrintArea" localSheetId="12" hidden="1">'2.13'!$B$3:$AE$36</definedName>
    <definedName name="Z_512059F6_F0DC_4056_8FD0_37088AB81F9E_.wvu.PrintArea" localSheetId="13" hidden="1">'2.14'!$B$3:$AE$36</definedName>
    <definedName name="Z_512059F6_F0DC_4056_8FD0_37088AB81F9E_.wvu.PrintArea" localSheetId="14" hidden="1">'2.17'!$B$3:$AE$36</definedName>
    <definedName name="Z_512059F6_F0DC_4056_8FD0_37088AB81F9E_.wvu.PrintArea" localSheetId="15" hidden="1">'2.18'!$B$3:$AE$36</definedName>
    <definedName name="Z_512059F6_F0DC_4056_8FD0_37088AB81F9E_.wvu.PrintArea" localSheetId="16" hidden="1">'2.19'!$B$3:$AE$36</definedName>
    <definedName name="Z_512059F6_F0DC_4056_8FD0_37088AB81F9E_.wvu.PrintArea" localSheetId="17" hidden="1">'2.20'!$B$3:$AE$36</definedName>
    <definedName name="Z_512059F6_F0DC_4056_8FD0_37088AB81F9E_.wvu.PrintArea" localSheetId="18" hidden="1">'2.21'!$B$3:$AE$36</definedName>
    <definedName name="Z_512059F6_F0DC_4056_8FD0_37088AB81F9E_.wvu.PrintArea" localSheetId="19" hidden="1">'2.24'!$B$3:$AE$36</definedName>
    <definedName name="Z_512059F6_F0DC_4056_8FD0_37088AB81F9E_.wvu.PrintArea" localSheetId="20" hidden="1">'2.25'!$B$3:$AE$36</definedName>
    <definedName name="Z_512059F6_F0DC_4056_8FD0_37088AB81F9E_.wvu.PrintArea" localSheetId="21" hidden="1">'2.26'!$B$3:$AE$36</definedName>
    <definedName name="Z_512059F6_F0DC_4056_8FD0_37088AB81F9E_.wvu.PrintArea" localSheetId="22" hidden="1">'2.27'!$B$3:$AE$36</definedName>
    <definedName name="Z_512059F6_F0DC_4056_8FD0_37088AB81F9E_.wvu.PrintArea" localSheetId="4" hidden="1">'2.3'!$B$3:$AE$36</definedName>
    <definedName name="Z_512059F6_F0DC_4056_8FD0_37088AB81F9E_.wvu.PrintArea" localSheetId="5" hidden="1">'2.4'!$B$3:$AE$36</definedName>
    <definedName name="Z_512059F6_F0DC_4056_8FD0_37088AB81F9E_.wvu.PrintArea" localSheetId="6" hidden="1">'2.5'!$B$3:$AE$36</definedName>
    <definedName name="Z_512059F6_F0DC_4056_8FD0_37088AB81F9E_.wvu.PrintArea" localSheetId="7" hidden="1">'2.6'!$B$3:$AE$36</definedName>
    <definedName name="Z_512059F6_F0DC_4056_8FD0_37088AB81F9E_.wvu.PrintArea" localSheetId="8" hidden="1">'2.7'!$B$3:$AE$36</definedName>
    <definedName name="Z_68643476_8805_447E_8170_A582EA1D0343_.wvu.PrintArea" localSheetId="2" hidden="1">'1.24'!$B$3:$AE$36</definedName>
    <definedName name="Z_68643476_8805_447E_8170_A582EA1D0343_.wvu.PrintArea" localSheetId="3" hidden="1">'2.1'!$B$3:$AE$36</definedName>
    <definedName name="Z_68643476_8805_447E_8170_A582EA1D0343_.wvu.PrintArea" localSheetId="9" hidden="1">'2.10'!$B$3:$AE$36</definedName>
    <definedName name="Z_68643476_8805_447E_8170_A582EA1D0343_.wvu.PrintArea" localSheetId="10" hidden="1">'2.11'!$B$3:$AE$36</definedName>
    <definedName name="Z_68643476_8805_447E_8170_A582EA1D0343_.wvu.PrintArea" localSheetId="11" hidden="1">'2.12'!$B$3:$AE$36</definedName>
    <definedName name="Z_68643476_8805_447E_8170_A582EA1D0343_.wvu.PrintArea" localSheetId="12" hidden="1">'2.13'!$B$3:$AE$36</definedName>
    <definedName name="Z_68643476_8805_447E_8170_A582EA1D0343_.wvu.PrintArea" localSheetId="13" hidden="1">'2.14'!$B$3:$AE$36</definedName>
    <definedName name="Z_68643476_8805_447E_8170_A582EA1D0343_.wvu.PrintArea" localSheetId="14" hidden="1">'2.17'!$B$3:$AE$36</definedName>
    <definedName name="Z_68643476_8805_447E_8170_A582EA1D0343_.wvu.PrintArea" localSheetId="15" hidden="1">'2.18'!$B$3:$AE$36</definedName>
    <definedName name="Z_68643476_8805_447E_8170_A582EA1D0343_.wvu.PrintArea" localSheetId="16" hidden="1">'2.19'!$B$3:$AE$36</definedName>
    <definedName name="Z_68643476_8805_447E_8170_A582EA1D0343_.wvu.PrintArea" localSheetId="17" hidden="1">'2.20'!$B$3:$AE$36</definedName>
    <definedName name="Z_68643476_8805_447E_8170_A582EA1D0343_.wvu.PrintArea" localSheetId="18" hidden="1">'2.21'!$B$3:$AE$36</definedName>
    <definedName name="Z_68643476_8805_447E_8170_A582EA1D0343_.wvu.PrintArea" localSheetId="19" hidden="1">'2.24'!$B$3:$AE$36</definedName>
    <definedName name="Z_68643476_8805_447E_8170_A582EA1D0343_.wvu.PrintArea" localSheetId="20" hidden="1">'2.25'!$B$3:$AE$36</definedName>
    <definedName name="Z_68643476_8805_447E_8170_A582EA1D0343_.wvu.PrintArea" localSheetId="21" hidden="1">'2.26'!$B$3:$AE$36</definedName>
    <definedName name="Z_68643476_8805_447E_8170_A582EA1D0343_.wvu.PrintArea" localSheetId="22" hidden="1">'2.27'!$B$3:$AE$36</definedName>
    <definedName name="Z_68643476_8805_447E_8170_A582EA1D0343_.wvu.PrintArea" localSheetId="4" hidden="1">'2.3'!$B$3:$AE$36</definedName>
    <definedName name="Z_68643476_8805_447E_8170_A582EA1D0343_.wvu.PrintArea" localSheetId="5" hidden="1">'2.4'!$B$3:$AE$36</definedName>
    <definedName name="Z_68643476_8805_447E_8170_A582EA1D0343_.wvu.PrintArea" localSheetId="6" hidden="1">'2.5'!$B$3:$AE$36</definedName>
    <definedName name="Z_68643476_8805_447E_8170_A582EA1D0343_.wvu.PrintArea" localSheetId="7" hidden="1">'2.6'!$B$3:$AE$36</definedName>
    <definedName name="Z_68643476_8805_447E_8170_A582EA1D0343_.wvu.PrintArea" localSheetId="8" hidden="1">'2.7'!$B$3:$AE$36</definedName>
    <definedName name="Z_8E5926ED_4EBD_4129_B8FF_799CC47580D7_.wvu.PrintArea" localSheetId="2" hidden="1">'1.24'!$B$3:$AE$36</definedName>
    <definedName name="Z_8E5926ED_4EBD_4129_B8FF_799CC47580D7_.wvu.PrintArea" localSheetId="3" hidden="1">'2.1'!$B$3:$AE$36</definedName>
    <definedName name="Z_8E5926ED_4EBD_4129_B8FF_799CC47580D7_.wvu.PrintArea" localSheetId="9" hidden="1">'2.10'!$B$3:$AE$36</definedName>
    <definedName name="Z_8E5926ED_4EBD_4129_B8FF_799CC47580D7_.wvu.PrintArea" localSheetId="10" hidden="1">'2.11'!$B$3:$AE$36</definedName>
    <definedName name="Z_8E5926ED_4EBD_4129_B8FF_799CC47580D7_.wvu.PrintArea" localSheetId="11" hidden="1">'2.12'!$B$3:$AE$36</definedName>
    <definedName name="Z_8E5926ED_4EBD_4129_B8FF_799CC47580D7_.wvu.PrintArea" localSheetId="12" hidden="1">'2.13'!$B$3:$AE$36</definedName>
    <definedName name="Z_8E5926ED_4EBD_4129_B8FF_799CC47580D7_.wvu.PrintArea" localSheetId="13" hidden="1">'2.14'!$B$3:$AE$36</definedName>
    <definedName name="Z_8E5926ED_4EBD_4129_B8FF_799CC47580D7_.wvu.PrintArea" localSheetId="14" hidden="1">'2.17'!$B$3:$AE$36</definedName>
    <definedName name="Z_8E5926ED_4EBD_4129_B8FF_799CC47580D7_.wvu.PrintArea" localSheetId="15" hidden="1">'2.18'!$B$3:$AE$36</definedName>
    <definedName name="Z_8E5926ED_4EBD_4129_B8FF_799CC47580D7_.wvu.PrintArea" localSheetId="16" hidden="1">'2.19'!$B$3:$AE$36</definedName>
    <definedName name="Z_8E5926ED_4EBD_4129_B8FF_799CC47580D7_.wvu.PrintArea" localSheetId="17" hidden="1">'2.20'!$B$3:$AE$36</definedName>
    <definedName name="Z_8E5926ED_4EBD_4129_B8FF_799CC47580D7_.wvu.PrintArea" localSheetId="18" hidden="1">'2.21'!$B$3:$AE$36</definedName>
    <definedName name="Z_8E5926ED_4EBD_4129_B8FF_799CC47580D7_.wvu.PrintArea" localSheetId="19" hidden="1">'2.24'!$B$3:$AE$36</definedName>
    <definedName name="Z_8E5926ED_4EBD_4129_B8FF_799CC47580D7_.wvu.PrintArea" localSheetId="20" hidden="1">'2.25'!$B$3:$AE$36</definedName>
    <definedName name="Z_8E5926ED_4EBD_4129_B8FF_799CC47580D7_.wvu.PrintArea" localSheetId="21" hidden="1">'2.26'!$B$3:$AE$36</definedName>
    <definedName name="Z_8E5926ED_4EBD_4129_B8FF_799CC47580D7_.wvu.PrintArea" localSheetId="22" hidden="1">'2.27'!$B$3:$AE$36</definedName>
    <definedName name="Z_8E5926ED_4EBD_4129_B8FF_799CC47580D7_.wvu.PrintArea" localSheetId="4" hidden="1">'2.3'!$B$3:$AE$36</definedName>
    <definedName name="Z_8E5926ED_4EBD_4129_B8FF_799CC47580D7_.wvu.PrintArea" localSheetId="5" hidden="1">'2.4'!$B$3:$AE$36</definedName>
    <definedName name="Z_8E5926ED_4EBD_4129_B8FF_799CC47580D7_.wvu.PrintArea" localSheetId="6" hidden="1">'2.5'!$B$3:$AE$36</definedName>
    <definedName name="Z_8E5926ED_4EBD_4129_B8FF_799CC47580D7_.wvu.PrintArea" localSheetId="7" hidden="1">'2.6'!$B$3:$AE$36</definedName>
    <definedName name="Z_8E5926ED_4EBD_4129_B8FF_799CC47580D7_.wvu.PrintArea" localSheetId="8" hidden="1">'2.7'!$B$3:$AE$36</definedName>
    <definedName name="Z_8FA8B620_C56C_11DB_A857_00055D5FD5FF_.wvu.PrintArea" localSheetId="2" hidden="1">'1.24'!$B$3:$AE$36</definedName>
    <definedName name="Z_8FA8B620_C56C_11DB_A857_00055D5FD5FF_.wvu.PrintArea" localSheetId="3" hidden="1">'2.1'!$B$3:$AE$36</definedName>
    <definedName name="Z_8FA8B620_C56C_11DB_A857_00055D5FD5FF_.wvu.PrintArea" localSheetId="9" hidden="1">'2.10'!$B$3:$AE$36</definedName>
    <definedName name="Z_8FA8B620_C56C_11DB_A857_00055D5FD5FF_.wvu.PrintArea" localSheetId="10" hidden="1">'2.11'!$B$3:$AE$36</definedName>
    <definedName name="Z_8FA8B620_C56C_11DB_A857_00055D5FD5FF_.wvu.PrintArea" localSheetId="11" hidden="1">'2.12'!$B$3:$AE$36</definedName>
    <definedName name="Z_8FA8B620_C56C_11DB_A857_00055D5FD5FF_.wvu.PrintArea" localSheetId="12" hidden="1">'2.13'!$B$3:$AE$36</definedName>
    <definedName name="Z_8FA8B620_C56C_11DB_A857_00055D5FD5FF_.wvu.PrintArea" localSheetId="13" hidden="1">'2.14'!$B$3:$AE$36</definedName>
    <definedName name="Z_8FA8B620_C56C_11DB_A857_00055D5FD5FF_.wvu.PrintArea" localSheetId="14" hidden="1">'2.17'!$B$3:$AE$36</definedName>
    <definedName name="Z_8FA8B620_C56C_11DB_A857_00055D5FD5FF_.wvu.PrintArea" localSheetId="15" hidden="1">'2.18'!$B$3:$AE$36</definedName>
    <definedName name="Z_8FA8B620_C56C_11DB_A857_00055D5FD5FF_.wvu.PrintArea" localSheetId="16" hidden="1">'2.19'!$B$3:$AE$36</definedName>
    <definedName name="Z_8FA8B620_C56C_11DB_A857_00055D5FD5FF_.wvu.PrintArea" localSheetId="17" hidden="1">'2.20'!$B$3:$AE$36</definedName>
    <definedName name="Z_8FA8B620_C56C_11DB_A857_00055D5FD5FF_.wvu.PrintArea" localSheetId="18" hidden="1">'2.21'!$B$3:$AE$36</definedName>
    <definedName name="Z_8FA8B620_C56C_11DB_A857_00055D5FD5FF_.wvu.PrintArea" localSheetId="19" hidden="1">'2.24'!$B$3:$AE$36</definedName>
    <definedName name="Z_8FA8B620_C56C_11DB_A857_00055D5FD5FF_.wvu.PrintArea" localSheetId="20" hidden="1">'2.25'!$B$3:$AE$36</definedName>
    <definedName name="Z_8FA8B620_C56C_11DB_A857_00055D5FD5FF_.wvu.PrintArea" localSheetId="21" hidden="1">'2.26'!$B$3:$AE$36</definedName>
    <definedName name="Z_8FA8B620_C56C_11DB_A857_00055D5FD5FF_.wvu.PrintArea" localSheetId="22" hidden="1">'2.27'!$B$3:$AE$36</definedName>
    <definedName name="Z_8FA8B620_C56C_11DB_A857_00055D5FD5FF_.wvu.PrintArea" localSheetId="4" hidden="1">'2.3'!$B$3:$AE$36</definedName>
    <definedName name="Z_8FA8B620_C56C_11DB_A857_00055D5FD5FF_.wvu.PrintArea" localSheetId="5" hidden="1">'2.4'!$B$3:$AE$36</definedName>
    <definedName name="Z_8FA8B620_C56C_11DB_A857_00055D5FD5FF_.wvu.PrintArea" localSheetId="6" hidden="1">'2.5'!$B$3:$AE$36</definedName>
    <definedName name="Z_8FA8B620_C56C_11DB_A857_00055D5FD5FF_.wvu.PrintArea" localSheetId="7" hidden="1">'2.6'!$B$3:$AE$36</definedName>
    <definedName name="Z_8FA8B620_C56C_11DB_A857_00055D5FD5FF_.wvu.PrintArea" localSheetId="8" hidden="1">'2.7'!$B$3:$AE$36</definedName>
    <definedName name="Z_A3DB5619_047E_4CE2_8C39_700CFD25F2CB_.wvu.PrintArea" localSheetId="2" hidden="1">'1.24'!$B$3:$AE$36</definedName>
    <definedName name="Z_A3DB5619_047E_4CE2_8C39_700CFD25F2CB_.wvu.PrintArea" localSheetId="3" hidden="1">'2.1'!$B$3:$AE$36</definedName>
    <definedName name="Z_A3DB5619_047E_4CE2_8C39_700CFD25F2CB_.wvu.PrintArea" localSheetId="9" hidden="1">'2.10'!$B$3:$AE$36</definedName>
    <definedName name="Z_A3DB5619_047E_4CE2_8C39_700CFD25F2CB_.wvu.PrintArea" localSheetId="10" hidden="1">'2.11'!$B$3:$AE$36</definedName>
    <definedName name="Z_A3DB5619_047E_4CE2_8C39_700CFD25F2CB_.wvu.PrintArea" localSheetId="11" hidden="1">'2.12'!$B$3:$AE$36</definedName>
    <definedName name="Z_A3DB5619_047E_4CE2_8C39_700CFD25F2CB_.wvu.PrintArea" localSheetId="12" hidden="1">'2.13'!$B$3:$AE$36</definedName>
    <definedName name="Z_A3DB5619_047E_4CE2_8C39_700CFD25F2CB_.wvu.PrintArea" localSheetId="13" hidden="1">'2.14'!$B$3:$AE$36</definedName>
    <definedName name="Z_A3DB5619_047E_4CE2_8C39_700CFD25F2CB_.wvu.PrintArea" localSheetId="14" hidden="1">'2.17'!$B$3:$AE$36</definedName>
    <definedName name="Z_A3DB5619_047E_4CE2_8C39_700CFD25F2CB_.wvu.PrintArea" localSheetId="15" hidden="1">'2.18'!$B$3:$AE$36</definedName>
    <definedName name="Z_A3DB5619_047E_4CE2_8C39_700CFD25F2CB_.wvu.PrintArea" localSheetId="16" hidden="1">'2.19'!$B$3:$AE$36</definedName>
    <definedName name="Z_A3DB5619_047E_4CE2_8C39_700CFD25F2CB_.wvu.PrintArea" localSheetId="17" hidden="1">'2.20'!$B$3:$AE$36</definedName>
    <definedName name="Z_A3DB5619_047E_4CE2_8C39_700CFD25F2CB_.wvu.PrintArea" localSheetId="18" hidden="1">'2.21'!$B$3:$AE$36</definedName>
    <definedName name="Z_A3DB5619_047E_4CE2_8C39_700CFD25F2CB_.wvu.PrintArea" localSheetId="19" hidden="1">'2.24'!$B$3:$AE$36</definedName>
    <definedName name="Z_A3DB5619_047E_4CE2_8C39_700CFD25F2CB_.wvu.PrintArea" localSheetId="20" hidden="1">'2.25'!$B$3:$AE$36</definedName>
    <definedName name="Z_A3DB5619_047E_4CE2_8C39_700CFD25F2CB_.wvu.PrintArea" localSheetId="21" hidden="1">'2.26'!$B$3:$AE$36</definedName>
    <definedName name="Z_A3DB5619_047E_4CE2_8C39_700CFD25F2CB_.wvu.PrintArea" localSheetId="22" hidden="1">'2.27'!$B$3:$AE$36</definedName>
    <definedName name="Z_A3DB5619_047E_4CE2_8C39_700CFD25F2CB_.wvu.PrintArea" localSheetId="4" hidden="1">'2.3'!$B$3:$AE$36</definedName>
    <definedName name="Z_A3DB5619_047E_4CE2_8C39_700CFD25F2CB_.wvu.PrintArea" localSheetId="5" hidden="1">'2.4'!$B$3:$AE$36</definedName>
    <definedName name="Z_A3DB5619_047E_4CE2_8C39_700CFD25F2CB_.wvu.PrintArea" localSheetId="6" hidden="1">'2.5'!$B$3:$AE$36</definedName>
    <definedName name="Z_A3DB5619_047E_4CE2_8C39_700CFD25F2CB_.wvu.PrintArea" localSheetId="7" hidden="1">'2.6'!$B$3:$AE$36</definedName>
    <definedName name="Z_A3DB5619_047E_4CE2_8C39_700CFD25F2CB_.wvu.PrintArea" localSheetId="8" hidden="1">'2.7'!$B$3:$AE$36</definedName>
    <definedName name="Z_D903F940_B812_11DB_B168_0010B575B8B2_.wvu.PrintArea" localSheetId="2" hidden="1">'1.24'!$B$3:$AE$36</definedName>
    <definedName name="Z_D903F940_B812_11DB_B168_0010B575B8B2_.wvu.PrintArea" localSheetId="3" hidden="1">'2.1'!$B$3:$AE$36</definedName>
    <definedName name="Z_D903F940_B812_11DB_B168_0010B575B8B2_.wvu.PrintArea" localSheetId="9" hidden="1">'2.10'!$B$3:$AE$36</definedName>
    <definedName name="Z_D903F940_B812_11DB_B168_0010B575B8B2_.wvu.PrintArea" localSheetId="10" hidden="1">'2.11'!$B$3:$AE$36</definedName>
    <definedName name="Z_D903F940_B812_11DB_B168_0010B575B8B2_.wvu.PrintArea" localSheetId="11" hidden="1">'2.12'!$B$3:$AE$36</definedName>
    <definedName name="Z_D903F940_B812_11DB_B168_0010B575B8B2_.wvu.PrintArea" localSheetId="12" hidden="1">'2.13'!$B$3:$AE$36</definedName>
    <definedName name="Z_D903F940_B812_11DB_B168_0010B575B8B2_.wvu.PrintArea" localSheetId="13" hidden="1">'2.14'!$B$3:$AE$36</definedName>
    <definedName name="Z_D903F940_B812_11DB_B168_0010B575B8B2_.wvu.PrintArea" localSheetId="14" hidden="1">'2.17'!$B$3:$AE$36</definedName>
    <definedName name="Z_D903F940_B812_11DB_B168_0010B575B8B2_.wvu.PrintArea" localSheetId="15" hidden="1">'2.18'!$B$3:$AE$36</definedName>
    <definedName name="Z_D903F940_B812_11DB_B168_0010B575B8B2_.wvu.PrintArea" localSheetId="16" hidden="1">'2.19'!$B$3:$AE$36</definedName>
    <definedName name="Z_D903F940_B812_11DB_B168_0010B575B8B2_.wvu.PrintArea" localSheetId="17" hidden="1">'2.20'!$B$3:$AE$36</definedName>
    <definedName name="Z_D903F940_B812_11DB_B168_0010B575B8B2_.wvu.PrintArea" localSheetId="18" hidden="1">'2.21'!$B$3:$AE$36</definedName>
    <definedName name="Z_D903F940_B812_11DB_B168_0010B575B8B2_.wvu.PrintArea" localSheetId="19" hidden="1">'2.24'!$B$3:$AE$36</definedName>
    <definedName name="Z_D903F940_B812_11DB_B168_0010B575B8B2_.wvu.PrintArea" localSheetId="20" hidden="1">'2.25'!$B$3:$AE$36</definedName>
    <definedName name="Z_D903F940_B812_11DB_B168_0010B575B8B2_.wvu.PrintArea" localSheetId="21" hidden="1">'2.26'!$B$3:$AE$36</definedName>
    <definedName name="Z_D903F940_B812_11DB_B168_0010B575B8B2_.wvu.PrintArea" localSheetId="22" hidden="1">'2.27'!$B$3:$AE$36</definedName>
    <definedName name="Z_D903F940_B812_11DB_B168_0010B575B8B2_.wvu.PrintArea" localSheetId="4" hidden="1">'2.3'!$B$3:$AE$36</definedName>
    <definedName name="Z_D903F940_B812_11DB_B168_0010B575B8B2_.wvu.PrintArea" localSheetId="5" hidden="1">'2.4'!$B$3:$AE$36</definedName>
    <definedName name="Z_D903F940_B812_11DB_B168_0010B575B8B2_.wvu.PrintArea" localSheetId="6" hidden="1">'2.5'!$B$3:$AE$36</definedName>
    <definedName name="Z_D903F940_B812_11DB_B168_0010B575B8B2_.wvu.PrintArea" localSheetId="7" hidden="1">'2.6'!$B$3:$AE$36</definedName>
    <definedName name="Z_D903F940_B812_11DB_B168_0010B575B8B2_.wvu.PrintArea" localSheetId="8" hidden="1">'2.7'!$B$3:$AE$36</definedName>
    <definedName name="取樣回收每月庫存表" localSheetId="2" hidden="1">'1.24'!#REF!</definedName>
    <definedName name="取樣回收每月庫存表" localSheetId="3" hidden="1">'2.1'!#REF!</definedName>
    <definedName name="取樣回收每月庫存表" localSheetId="9" hidden="1">'2.10'!#REF!</definedName>
    <definedName name="取樣回收每月庫存表" localSheetId="10" hidden="1">'2.11'!#REF!</definedName>
    <definedName name="取樣回收每月庫存表" localSheetId="11" hidden="1">'2.12'!#REF!</definedName>
    <definedName name="取樣回收每月庫存表" localSheetId="12" hidden="1">'2.13'!#REF!</definedName>
    <definedName name="取樣回收每月庫存表" localSheetId="13" hidden="1">'2.14'!#REF!</definedName>
    <definedName name="取樣回收每月庫存表" localSheetId="14" hidden="1">'2.17'!#REF!</definedName>
    <definedName name="取樣回收每月庫存表" localSheetId="15" hidden="1">'2.18'!#REF!</definedName>
    <definedName name="取樣回收每月庫存表" localSheetId="16" hidden="1">'2.19'!#REF!</definedName>
    <definedName name="取樣回收每月庫存表" localSheetId="17" hidden="1">'2.20'!#REF!</definedName>
    <definedName name="取樣回收每月庫存表" localSheetId="18" hidden="1">'2.21'!#REF!</definedName>
    <definedName name="取樣回收每月庫存表" localSheetId="19" hidden="1">'2.24'!#REF!</definedName>
    <definedName name="取樣回收每月庫存表" localSheetId="20" hidden="1">'2.25'!#REF!</definedName>
    <definedName name="取樣回收每月庫存表" localSheetId="21" hidden="1">'2.26'!#REF!</definedName>
    <definedName name="取樣回收每月庫存表" localSheetId="22" hidden="1">'2.27'!#REF!</definedName>
    <definedName name="取樣回收每月庫存表" localSheetId="4" hidden="1">'2.3'!#REF!</definedName>
    <definedName name="取樣回收每月庫存表" localSheetId="5" hidden="1">'2.4'!#REF!</definedName>
    <definedName name="取樣回收每月庫存表" localSheetId="6" hidden="1">'2.5'!#REF!</definedName>
    <definedName name="取樣回收每月庫存表" localSheetId="7" hidden="1">'2.6'!#REF!</definedName>
    <definedName name="取樣回收每月庫存表" localSheetId="8" hidden="1">'2.7'!#REF!</definedName>
    <definedName name="取樣回收每月庫存表_0620更新" localSheetId="2" hidden="1">'1.24'!$AG$13:$BH$189</definedName>
    <definedName name="取樣回收每月庫存表_0620更新" localSheetId="3" hidden="1">'2.1'!$AG$13:$BH$189</definedName>
    <definedName name="取樣回收每月庫存表_0620更新" localSheetId="9" hidden="1">'2.10'!$AG$13:$BH$189</definedName>
    <definedName name="取樣回收每月庫存表_0620更新" localSheetId="10" hidden="1">'2.11'!$AG$13:$BH$189</definedName>
    <definedName name="取樣回收每月庫存表_0620更新" localSheetId="11" hidden="1">'2.12'!$AG$13:$BH$189</definedName>
    <definedName name="取樣回收每月庫存表_0620更新" localSheetId="12" hidden="1">'2.13'!$AG$13:$BH$189</definedName>
    <definedName name="取樣回收每月庫存表_0620更新" localSheetId="13" hidden="1">'2.14'!$AG$13:$BH$189</definedName>
    <definedName name="取樣回收每月庫存表_0620更新" localSheetId="14" hidden="1">'2.17'!$AG$13:$BH$189</definedName>
    <definedName name="取樣回收每月庫存表_0620更新" localSheetId="15" hidden="1">'2.18'!$AG$13:$BH$189</definedName>
    <definedName name="取樣回收每月庫存表_0620更新" localSheetId="16" hidden="1">'2.19'!$AG$13:$BH$189</definedName>
    <definedName name="取樣回收每月庫存表_0620更新" localSheetId="17" hidden="1">'2.20'!$AG$13:$BH$189</definedName>
    <definedName name="取樣回收每月庫存表_0620更新" localSheetId="18" hidden="1">'2.21'!$AG$13:$BH$189</definedName>
    <definedName name="取樣回收每月庫存表_0620更新" localSheetId="19" hidden="1">'2.24'!$AG$13:$BH$189</definedName>
    <definedName name="取樣回收每月庫存表_0620更新" localSheetId="20" hidden="1">'2.25'!$AG$13:$BH$189</definedName>
    <definedName name="取樣回收每月庫存表_0620更新" localSheetId="21" hidden="1">'2.26'!$AG$13:$BH$189</definedName>
    <definedName name="取樣回收每月庫存表_0620更新" localSheetId="22" hidden="1">'2.27'!$AG$13:$BH$189</definedName>
    <definedName name="取樣回收每月庫存表_0620更新" localSheetId="4" hidden="1">'2.3'!$AG$13:$BH$189</definedName>
    <definedName name="取樣回收每月庫存表_0620更新" localSheetId="5" hidden="1">'2.4'!$AG$13:$BH$189</definedName>
    <definedName name="取樣回收每月庫存表_0620更新" localSheetId="6" hidden="1">'2.5'!$AG$13:$BH$189</definedName>
    <definedName name="取樣回收每月庫存表_0620更新" localSheetId="7" hidden="1">'2.6'!$AG$13:$BH$189</definedName>
    <definedName name="取樣回收每月庫存表_0620更新" localSheetId="8" hidden="1">'2.7'!$AG$13:$BH$189</definedName>
    <definedName name="複本_14_取樣回收每月庫存表" localSheetId="2" hidden="1">'1.24'!#REF!</definedName>
    <definedName name="複本_14_取樣回收每月庫存表" localSheetId="3" hidden="1">'2.1'!#REF!</definedName>
    <definedName name="複本_14_取樣回收每月庫存表" localSheetId="9" hidden="1">'2.10'!#REF!</definedName>
    <definedName name="複本_14_取樣回收每月庫存表" localSheetId="10" hidden="1">'2.11'!#REF!</definedName>
    <definedName name="複本_14_取樣回收每月庫存表" localSheetId="11" hidden="1">'2.12'!#REF!</definedName>
    <definedName name="複本_14_取樣回收每月庫存表" localSheetId="12" hidden="1">'2.13'!#REF!</definedName>
    <definedName name="複本_14_取樣回收每月庫存表" localSheetId="13" hidden="1">'2.14'!#REF!</definedName>
    <definedName name="複本_14_取樣回收每月庫存表" localSheetId="14" hidden="1">'2.17'!#REF!</definedName>
    <definedName name="複本_14_取樣回收每月庫存表" localSheetId="15" hidden="1">'2.18'!#REF!</definedName>
    <definedName name="複本_14_取樣回收每月庫存表" localSheetId="16" hidden="1">'2.19'!#REF!</definedName>
    <definedName name="複本_14_取樣回收每月庫存表" localSheetId="17" hidden="1">'2.20'!#REF!</definedName>
    <definedName name="複本_14_取樣回收每月庫存表" localSheetId="18" hidden="1">'2.21'!#REF!</definedName>
    <definedName name="複本_14_取樣回收每月庫存表" localSheetId="19" hidden="1">'2.24'!#REF!</definedName>
    <definedName name="複本_14_取樣回收每月庫存表" localSheetId="20" hidden="1">'2.25'!#REF!</definedName>
    <definedName name="複本_14_取樣回收每月庫存表" localSheetId="21" hidden="1">'2.26'!#REF!</definedName>
    <definedName name="複本_14_取樣回收每月庫存表" localSheetId="22" hidden="1">'2.27'!#REF!</definedName>
    <definedName name="複本_14_取樣回收每月庫存表" localSheetId="4" hidden="1">'2.3'!#REF!</definedName>
    <definedName name="複本_14_取樣回收每月庫存表" localSheetId="5" hidden="1">'2.4'!#REF!</definedName>
    <definedName name="複本_14_取樣回收每月庫存表" localSheetId="6" hidden="1">'2.5'!#REF!</definedName>
    <definedName name="複本_14_取樣回收每月庫存表" localSheetId="7" hidden="1">'2.6'!#REF!</definedName>
    <definedName name="複本_14_取樣回收每月庫存表" localSheetId="8" hidden="1">'2.7'!#REF!</definedName>
  </definedNames>
  <calcPr calcId="162913"/>
</workbook>
</file>

<file path=xl/calcChain.xml><?xml version="1.0" encoding="utf-8"?>
<calcChain xmlns="http://schemas.openxmlformats.org/spreadsheetml/2006/main">
  <c r="AA33" i="1832" l="1"/>
  <c r="X33" i="1832"/>
  <c r="U33" i="1832"/>
  <c r="R33" i="1832"/>
  <c r="O33" i="1832"/>
  <c r="L33" i="1832"/>
  <c r="F33" i="1832"/>
  <c r="Y28" i="1832"/>
  <c r="X28" i="1832"/>
  <c r="W28" i="1832"/>
  <c r="V28" i="1832"/>
  <c r="U28" i="1832"/>
  <c r="T28" i="1832"/>
  <c r="S28" i="1832"/>
  <c r="R28" i="1832"/>
  <c r="Q28" i="1832"/>
  <c r="P28" i="1832"/>
  <c r="O28" i="1832"/>
  <c r="N28" i="1832"/>
  <c r="M28" i="1832"/>
  <c r="L28" i="1832"/>
  <c r="K28" i="1832"/>
  <c r="J28" i="1832"/>
  <c r="I28" i="1832"/>
  <c r="H28" i="1832"/>
  <c r="G28" i="1832"/>
  <c r="F28" i="1832"/>
  <c r="E28" i="1832"/>
  <c r="D28" i="1832"/>
  <c r="Y25" i="1832"/>
  <c r="X25" i="1832"/>
  <c r="W25" i="1832"/>
  <c r="V25" i="1832"/>
  <c r="U25" i="1832"/>
  <c r="T25" i="1832"/>
  <c r="S25" i="1832"/>
  <c r="R25" i="1832"/>
  <c r="Q25" i="1832"/>
  <c r="P25" i="1832"/>
  <c r="O25" i="1832"/>
  <c r="N25" i="1832"/>
  <c r="M25" i="1832"/>
  <c r="L25" i="1832"/>
  <c r="K25" i="1832"/>
  <c r="J25" i="1832"/>
  <c r="I25" i="1832"/>
  <c r="H25" i="1832"/>
  <c r="G25" i="1832"/>
  <c r="F25" i="1832"/>
  <c r="E25" i="1832"/>
  <c r="D25" i="1832"/>
  <c r="AE19" i="1832"/>
  <c r="AD19" i="1832"/>
  <c r="AC19" i="1832"/>
  <c r="AB19" i="1832"/>
  <c r="AA19" i="1832"/>
  <c r="Z19" i="1832"/>
  <c r="Y19" i="1832"/>
  <c r="X19" i="1832"/>
  <c r="T33" i="1832" s="1"/>
  <c r="W19" i="1832"/>
  <c r="V19" i="1832"/>
  <c r="U19" i="1832"/>
  <c r="T19" i="1832"/>
  <c r="S19" i="1832"/>
  <c r="R19" i="1832"/>
  <c r="Q19" i="1832"/>
  <c r="P19" i="1832"/>
  <c r="O19" i="1832"/>
  <c r="N19" i="1832"/>
  <c r="H33" i="1832" s="1"/>
  <c r="M19" i="1832"/>
  <c r="L19" i="1832"/>
  <c r="P33" i="1832" s="1"/>
  <c r="K19" i="1832"/>
  <c r="J19" i="1832"/>
  <c r="I19" i="1832"/>
  <c r="AB33" i="1832" s="1"/>
  <c r="H19" i="1832"/>
  <c r="G19" i="1832"/>
  <c r="F19" i="1832"/>
  <c r="E19" i="1832"/>
  <c r="D19" i="1832"/>
  <c r="AE16" i="1832"/>
  <c r="AD16" i="1832"/>
  <c r="AC16" i="1832"/>
  <c r="AB16" i="1832"/>
  <c r="AA16" i="1832"/>
  <c r="Z16" i="1832"/>
  <c r="Y16" i="1832"/>
  <c r="X16" i="1832"/>
  <c r="W16" i="1832"/>
  <c r="V16" i="1832"/>
  <c r="U16" i="1832"/>
  <c r="T16" i="1832"/>
  <c r="S16" i="1832"/>
  <c r="R16" i="1832"/>
  <c r="Q16" i="1832"/>
  <c r="P16" i="1832"/>
  <c r="O16" i="1832"/>
  <c r="N16" i="1832"/>
  <c r="M16" i="1832"/>
  <c r="L16" i="1832"/>
  <c r="K16" i="1832"/>
  <c r="J16" i="1832"/>
  <c r="I16" i="1832"/>
  <c r="H16" i="1832"/>
  <c r="G16" i="1832"/>
  <c r="F16" i="1832"/>
  <c r="E16" i="1832"/>
  <c r="D16" i="1832"/>
  <c r="AE10" i="1832"/>
  <c r="AD10" i="1832"/>
  <c r="AC33" i="1832" s="1"/>
  <c r="AC10" i="1832"/>
  <c r="AB10" i="1832"/>
  <c r="AA10" i="1832"/>
  <c r="Z10" i="1832"/>
  <c r="Y10" i="1832"/>
  <c r="X10" i="1832"/>
  <c r="W10" i="1832"/>
  <c r="V10" i="1832"/>
  <c r="U10" i="1832"/>
  <c r="T10" i="1832"/>
  <c r="S10" i="1832"/>
  <c r="R10" i="1832"/>
  <c r="Q10" i="1832"/>
  <c r="P10" i="1832"/>
  <c r="O10" i="1832"/>
  <c r="N10" i="1832"/>
  <c r="M10" i="1832"/>
  <c r="L10" i="1832"/>
  <c r="K10" i="1832"/>
  <c r="J10" i="1832"/>
  <c r="I10" i="1832"/>
  <c r="H10" i="1832"/>
  <c r="G10" i="1832"/>
  <c r="F10" i="1832"/>
  <c r="E10" i="1832"/>
  <c r="D10" i="1832"/>
  <c r="Z33" i="1832" s="1"/>
  <c r="AE7" i="1832"/>
  <c r="AD7" i="1832"/>
  <c r="AC7" i="1832"/>
  <c r="AB7" i="1832"/>
  <c r="AA7" i="1832"/>
  <c r="Z7" i="1832"/>
  <c r="Y7" i="1832"/>
  <c r="X7" i="1832"/>
  <c r="W7" i="1832"/>
  <c r="V7" i="1832"/>
  <c r="U7" i="1832"/>
  <c r="T7" i="1832"/>
  <c r="S7" i="1832"/>
  <c r="R7" i="1832"/>
  <c r="Q7" i="1832"/>
  <c r="P7" i="1832"/>
  <c r="O7" i="1832"/>
  <c r="N7" i="1832"/>
  <c r="M7" i="1832"/>
  <c r="L7" i="1832"/>
  <c r="K7" i="1832"/>
  <c r="J7" i="1832"/>
  <c r="I7" i="1832"/>
  <c r="H7" i="1832"/>
  <c r="G7" i="1832"/>
  <c r="F7" i="1832"/>
  <c r="E7" i="1832"/>
  <c r="D7" i="1832"/>
  <c r="S33" i="1832" l="1"/>
  <c r="N33" i="1832"/>
  <c r="J33" i="1832"/>
  <c r="V33" i="1832"/>
  <c r="D33" i="1832"/>
  <c r="Y33" i="1832"/>
  <c r="K33" i="1832"/>
  <c r="Q33" i="1832"/>
  <c r="E33" i="1832"/>
  <c r="M33" i="1832"/>
  <c r="W33" i="1832"/>
  <c r="AA33" i="1831"/>
  <c r="X33" i="1831"/>
  <c r="U33" i="1831"/>
  <c r="R33" i="1831"/>
  <c r="O33" i="1831"/>
  <c r="L33" i="1831"/>
  <c r="F33" i="1831"/>
  <c r="Y28" i="1831"/>
  <c r="X28" i="1831"/>
  <c r="W28" i="1831"/>
  <c r="V28" i="1831"/>
  <c r="U28" i="1831"/>
  <c r="T28" i="1831"/>
  <c r="S28" i="1831"/>
  <c r="R28" i="1831"/>
  <c r="Q28" i="1831"/>
  <c r="P28" i="1831"/>
  <c r="O28" i="1831"/>
  <c r="N28" i="1831"/>
  <c r="M28" i="1831"/>
  <c r="L28" i="1831"/>
  <c r="K28" i="1831"/>
  <c r="J28" i="1831"/>
  <c r="I28" i="1831"/>
  <c r="H28" i="1831"/>
  <c r="G28" i="1831"/>
  <c r="F28" i="1831"/>
  <c r="E28" i="1831"/>
  <c r="D28" i="1831"/>
  <c r="Y25" i="1831"/>
  <c r="X25" i="1831"/>
  <c r="W25" i="1831"/>
  <c r="V25" i="1831"/>
  <c r="U25" i="1831"/>
  <c r="T25" i="1831"/>
  <c r="S25" i="1831"/>
  <c r="R25" i="1831"/>
  <c r="Q25" i="1831"/>
  <c r="P25" i="1831"/>
  <c r="O25" i="1831"/>
  <c r="N25" i="1831"/>
  <c r="M25" i="1831"/>
  <c r="L25" i="1831"/>
  <c r="K25" i="1831"/>
  <c r="J25" i="1831"/>
  <c r="I25" i="1831"/>
  <c r="H25" i="1831"/>
  <c r="G25" i="1831"/>
  <c r="F25" i="1831"/>
  <c r="E25" i="1831"/>
  <c r="D25" i="1831"/>
  <c r="AE19" i="1831"/>
  <c r="AD19" i="1831"/>
  <c r="AC19" i="1831"/>
  <c r="AB19" i="1831"/>
  <c r="AA19" i="1831"/>
  <c r="Z19" i="1831"/>
  <c r="Y19" i="1831"/>
  <c r="X19" i="1831"/>
  <c r="T33" i="1831" s="1"/>
  <c r="W19" i="1831"/>
  <c r="V19" i="1831"/>
  <c r="U19" i="1831"/>
  <c r="T19" i="1831"/>
  <c r="S19" i="1831"/>
  <c r="R19" i="1831"/>
  <c r="Q19" i="1831"/>
  <c r="P19" i="1831"/>
  <c r="O19" i="1831"/>
  <c r="N19" i="1831"/>
  <c r="H33" i="1831" s="1"/>
  <c r="M19" i="1831"/>
  <c r="L19" i="1831"/>
  <c r="P33" i="1831" s="1"/>
  <c r="K19" i="1831"/>
  <c r="J19" i="1831"/>
  <c r="I19" i="1831"/>
  <c r="AB33" i="1831" s="1"/>
  <c r="H19" i="1831"/>
  <c r="G19" i="1831"/>
  <c r="F19" i="1831"/>
  <c r="E19" i="1831"/>
  <c r="D19" i="1831"/>
  <c r="AE16" i="1831"/>
  <c r="AD16" i="1831"/>
  <c r="AC16" i="1831"/>
  <c r="AB16" i="1831"/>
  <c r="AA16" i="1831"/>
  <c r="Z16" i="1831"/>
  <c r="Y16" i="1831"/>
  <c r="X16" i="1831"/>
  <c r="W16" i="1831"/>
  <c r="V16" i="1831"/>
  <c r="U16" i="1831"/>
  <c r="T16" i="1831"/>
  <c r="S16" i="1831"/>
  <c r="R16" i="1831"/>
  <c r="Q16" i="1831"/>
  <c r="P16" i="1831"/>
  <c r="O16" i="1831"/>
  <c r="N16" i="1831"/>
  <c r="M16" i="1831"/>
  <c r="L16" i="1831"/>
  <c r="K16" i="1831"/>
  <c r="J16" i="1831"/>
  <c r="I16" i="1831"/>
  <c r="H16" i="1831"/>
  <c r="G16" i="1831"/>
  <c r="F16" i="1831"/>
  <c r="E16" i="1831"/>
  <c r="D16" i="1831"/>
  <c r="AE10" i="1831"/>
  <c r="AD10" i="1831"/>
  <c r="AC33" i="1831" s="1"/>
  <c r="AC10" i="1831"/>
  <c r="AB10" i="1831"/>
  <c r="AA10" i="1831"/>
  <c r="Z10" i="1831"/>
  <c r="Y10" i="1831"/>
  <c r="X10" i="1831"/>
  <c r="W10" i="1831"/>
  <c r="V10" i="1831"/>
  <c r="U10" i="1831"/>
  <c r="T10" i="1831"/>
  <c r="S10" i="1831"/>
  <c r="R10" i="1831"/>
  <c r="Q10" i="1831"/>
  <c r="P10" i="1831"/>
  <c r="O10" i="1831"/>
  <c r="N10" i="1831"/>
  <c r="M10" i="1831"/>
  <c r="L10" i="1831"/>
  <c r="K10" i="1831"/>
  <c r="J10" i="1831"/>
  <c r="Q33" i="1831" s="1"/>
  <c r="I10" i="1831"/>
  <c r="H10" i="1831"/>
  <c r="G10" i="1831"/>
  <c r="F10" i="1831"/>
  <c r="E10" i="1831"/>
  <c r="D10" i="1831"/>
  <c r="Z33" i="1831" s="1"/>
  <c r="AE7" i="1831"/>
  <c r="AD7" i="1831"/>
  <c r="AC7" i="1831"/>
  <c r="AB7" i="1831"/>
  <c r="AA7" i="1831"/>
  <c r="Z7" i="1831"/>
  <c r="Y7" i="1831"/>
  <c r="X7" i="1831"/>
  <c r="W7" i="1831"/>
  <c r="V7" i="1831"/>
  <c r="U7" i="1831"/>
  <c r="T7" i="1831"/>
  <c r="S7" i="1831"/>
  <c r="R7" i="1831"/>
  <c r="Q7" i="1831"/>
  <c r="P7" i="1831"/>
  <c r="O7" i="1831"/>
  <c r="N7" i="1831"/>
  <c r="M7" i="1831"/>
  <c r="L7" i="1831"/>
  <c r="K7" i="1831"/>
  <c r="J7" i="1831"/>
  <c r="I7" i="1831"/>
  <c r="H7" i="1831"/>
  <c r="G7" i="1831"/>
  <c r="F7" i="1831"/>
  <c r="E7" i="1831"/>
  <c r="D7" i="1831"/>
  <c r="S33" i="1831" l="1"/>
  <c r="J33" i="1831"/>
  <c r="K33" i="1831"/>
  <c r="W33" i="1831"/>
  <c r="D33" i="1831"/>
  <c r="Y33" i="1831"/>
  <c r="N33" i="1831"/>
  <c r="E33" i="1831"/>
  <c r="M33" i="1831"/>
  <c r="V33" i="1831"/>
  <c r="AA33" i="1830"/>
  <c r="X33" i="1830"/>
  <c r="U33" i="1830"/>
  <c r="R33" i="1830"/>
  <c r="O33" i="1830"/>
  <c r="L33" i="1830"/>
  <c r="F33" i="1830"/>
  <c r="Y28" i="1830"/>
  <c r="X28" i="1830"/>
  <c r="W28" i="1830"/>
  <c r="V28" i="1830"/>
  <c r="U28" i="1830"/>
  <c r="T28" i="1830"/>
  <c r="S28" i="1830"/>
  <c r="R28" i="1830"/>
  <c r="Q28" i="1830"/>
  <c r="P28" i="1830"/>
  <c r="O28" i="1830"/>
  <c r="N28" i="1830"/>
  <c r="M28" i="1830"/>
  <c r="L28" i="1830"/>
  <c r="K28" i="1830"/>
  <c r="J28" i="1830"/>
  <c r="I28" i="1830"/>
  <c r="H28" i="1830"/>
  <c r="G28" i="1830"/>
  <c r="F28" i="1830"/>
  <c r="E28" i="1830"/>
  <c r="D28" i="1830"/>
  <c r="Y25" i="1830"/>
  <c r="X25" i="1830"/>
  <c r="W25" i="1830"/>
  <c r="V25" i="1830"/>
  <c r="U25" i="1830"/>
  <c r="T25" i="1830"/>
  <c r="S25" i="1830"/>
  <c r="R25" i="1830"/>
  <c r="Q25" i="1830"/>
  <c r="P25" i="1830"/>
  <c r="O25" i="1830"/>
  <c r="N25" i="1830"/>
  <c r="M25" i="1830"/>
  <c r="L25" i="1830"/>
  <c r="K25" i="1830"/>
  <c r="J25" i="1830"/>
  <c r="I25" i="1830"/>
  <c r="H25" i="1830"/>
  <c r="G25" i="1830"/>
  <c r="F25" i="1830"/>
  <c r="E25" i="1830"/>
  <c r="D25" i="1830"/>
  <c r="AE19" i="1830"/>
  <c r="AD19" i="1830"/>
  <c r="AC19" i="1830"/>
  <c r="AB19" i="1830"/>
  <c r="AA19" i="1830"/>
  <c r="Z19" i="1830"/>
  <c r="Y19" i="1830"/>
  <c r="X19" i="1830"/>
  <c r="T33" i="1830" s="1"/>
  <c r="W19" i="1830"/>
  <c r="V19" i="1830"/>
  <c r="U19" i="1830"/>
  <c r="T19" i="1830"/>
  <c r="S19" i="1830"/>
  <c r="R19" i="1830"/>
  <c r="Q19" i="1830"/>
  <c r="P19" i="1830"/>
  <c r="O19" i="1830"/>
  <c r="N19" i="1830"/>
  <c r="H33" i="1830" s="1"/>
  <c r="M19" i="1830"/>
  <c r="L19" i="1830"/>
  <c r="P33" i="1830" s="1"/>
  <c r="K19" i="1830"/>
  <c r="J19" i="1830"/>
  <c r="I19" i="1830"/>
  <c r="AB33" i="1830" s="1"/>
  <c r="H19" i="1830"/>
  <c r="G19" i="1830"/>
  <c r="F19" i="1830"/>
  <c r="E19" i="1830"/>
  <c r="D19" i="1830"/>
  <c r="AE16" i="1830"/>
  <c r="AD16" i="1830"/>
  <c r="AC16" i="1830"/>
  <c r="AB16" i="1830"/>
  <c r="AA16" i="1830"/>
  <c r="Z16" i="1830"/>
  <c r="Y16" i="1830"/>
  <c r="X16" i="1830"/>
  <c r="W16" i="1830"/>
  <c r="V16" i="1830"/>
  <c r="U16" i="1830"/>
  <c r="T16" i="1830"/>
  <c r="S16" i="1830"/>
  <c r="R16" i="1830"/>
  <c r="Q16" i="1830"/>
  <c r="P16" i="1830"/>
  <c r="O16" i="1830"/>
  <c r="N16" i="1830"/>
  <c r="M16" i="1830"/>
  <c r="L16" i="1830"/>
  <c r="K16" i="1830"/>
  <c r="J16" i="1830"/>
  <c r="I16" i="1830"/>
  <c r="H16" i="1830"/>
  <c r="G16" i="1830"/>
  <c r="F16" i="1830"/>
  <c r="E16" i="1830"/>
  <c r="D16" i="1830"/>
  <c r="AE10" i="1830"/>
  <c r="AD10" i="1830"/>
  <c r="AC33" i="1830" s="1"/>
  <c r="AC10" i="1830"/>
  <c r="AB10" i="1830"/>
  <c r="AA10" i="1830"/>
  <c r="Z10" i="1830"/>
  <c r="Y10" i="1830"/>
  <c r="X10" i="1830"/>
  <c r="W10" i="1830"/>
  <c r="V10" i="1830"/>
  <c r="U10" i="1830"/>
  <c r="T10" i="1830"/>
  <c r="S10" i="1830"/>
  <c r="R10" i="1830"/>
  <c r="Q10" i="1830"/>
  <c r="P10" i="1830"/>
  <c r="O10" i="1830"/>
  <c r="N10" i="1830"/>
  <c r="M10" i="1830"/>
  <c r="L10" i="1830"/>
  <c r="K10" i="1830"/>
  <c r="J10" i="1830"/>
  <c r="Q33" i="1830" s="1"/>
  <c r="I10" i="1830"/>
  <c r="H10" i="1830"/>
  <c r="G10" i="1830"/>
  <c r="F10" i="1830"/>
  <c r="E10" i="1830"/>
  <c r="S33" i="1830" s="1"/>
  <c r="D10" i="1830"/>
  <c r="Z33" i="1830" s="1"/>
  <c r="AE7" i="1830"/>
  <c r="AD7" i="1830"/>
  <c r="AC7" i="1830"/>
  <c r="AB7" i="1830"/>
  <c r="AA7" i="1830"/>
  <c r="Z7" i="1830"/>
  <c r="Y7" i="1830"/>
  <c r="X7" i="1830"/>
  <c r="W7" i="1830"/>
  <c r="V7" i="1830"/>
  <c r="U7" i="1830"/>
  <c r="T7" i="1830"/>
  <c r="S7" i="1830"/>
  <c r="R7" i="1830"/>
  <c r="Q7" i="1830"/>
  <c r="P7" i="1830"/>
  <c r="O7" i="1830"/>
  <c r="N7" i="1830"/>
  <c r="M7" i="1830"/>
  <c r="L7" i="1830"/>
  <c r="K7" i="1830"/>
  <c r="J7" i="1830"/>
  <c r="I7" i="1830"/>
  <c r="H7" i="1830"/>
  <c r="G7" i="1830"/>
  <c r="F7" i="1830"/>
  <c r="E7" i="1830"/>
  <c r="D7" i="1830"/>
  <c r="J33" i="1830" l="1"/>
  <c r="K33" i="1830"/>
  <c r="W33" i="1830"/>
  <c r="D33" i="1830"/>
  <c r="Y33" i="1830"/>
  <c r="N33" i="1830"/>
  <c r="E33" i="1830"/>
  <c r="M33" i="1830"/>
  <c r="V33" i="1830"/>
  <c r="AA33" i="1829" l="1"/>
  <c r="X33" i="1829"/>
  <c r="U33" i="1829"/>
  <c r="R33" i="1829"/>
  <c r="O33" i="1829"/>
  <c r="L33" i="1829"/>
  <c r="F33" i="1829"/>
  <c r="Y28" i="1829"/>
  <c r="X28" i="1829"/>
  <c r="W28" i="1829"/>
  <c r="V28" i="1829"/>
  <c r="U28" i="1829"/>
  <c r="T28" i="1829"/>
  <c r="S28" i="1829"/>
  <c r="R28" i="1829"/>
  <c r="Q28" i="1829"/>
  <c r="P28" i="1829"/>
  <c r="O28" i="1829"/>
  <c r="N28" i="1829"/>
  <c r="M28" i="1829"/>
  <c r="L28" i="1829"/>
  <c r="K28" i="1829"/>
  <c r="J28" i="1829"/>
  <c r="I28" i="1829"/>
  <c r="H28" i="1829"/>
  <c r="G28" i="1829"/>
  <c r="F28" i="1829"/>
  <c r="E28" i="1829"/>
  <c r="D28" i="1829"/>
  <c r="Y25" i="1829"/>
  <c r="X25" i="1829"/>
  <c r="W25" i="1829"/>
  <c r="V25" i="1829"/>
  <c r="U25" i="1829"/>
  <c r="T25" i="1829"/>
  <c r="S25" i="1829"/>
  <c r="R25" i="1829"/>
  <c r="Q25" i="1829"/>
  <c r="P25" i="1829"/>
  <c r="O25" i="1829"/>
  <c r="N25" i="1829"/>
  <c r="M25" i="1829"/>
  <c r="L25" i="1829"/>
  <c r="K25" i="1829"/>
  <c r="J25" i="1829"/>
  <c r="I25" i="1829"/>
  <c r="H25" i="1829"/>
  <c r="G25" i="1829"/>
  <c r="F25" i="1829"/>
  <c r="E25" i="1829"/>
  <c r="D25" i="1829"/>
  <c r="AE19" i="1829"/>
  <c r="AD19" i="1829"/>
  <c r="AC19" i="1829"/>
  <c r="AB19" i="1829"/>
  <c r="AA19" i="1829"/>
  <c r="Z19" i="1829"/>
  <c r="Y19" i="1829"/>
  <c r="X19" i="1829"/>
  <c r="T33" i="1829" s="1"/>
  <c r="W19" i="1829"/>
  <c r="V19" i="1829"/>
  <c r="U19" i="1829"/>
  <c r="T19" i="1829"/>
  <c r="S19" i="1829"/>
  <c r="R19" i="1829"/>
  <c r="Q19" i="1829"/>
  <c r="P19" i="1829"/>
  <c r="O19" i="1829"/>
  <c r="N19" i="1829"/>
  <c r="H33" i="1829" s="1"/>
  <c r="M19" i="1829"/>
  <c r="L19" i="1829"/>
  <c r="P33" i="1829" s="1"/>
  <c r="K19" i="1829"/>
  <c r="J19" i="1829"/>
  <c r="I19" i="1829"/>
  <c r="AB33" i="1829" s="1"/>
  <c r="H19" i="1829"/>
  <c r="G19" i="1829"/>
  <c r="F19" i="1829"/>
  <c r="E19" i="1829"/>
  <c r="D19" i="1829"/>
  <c r="AE16" i="1829"/>
  <c r="AD16" i="1829"/>
  <c r="AC16" i="1829"/>
  <c r="AB16" i="1829"/>
  <c r="AA16" i="1829"/>
  <c r="Z16" i="1829"/>
  <c r="Y16" i="1829"/>
  <c r="X16" i="1829"/>
  <c r="W16" i="1829"/>
  <c r="V16" i="1829"/>
  <c r="U16" i="1829"/>
  <c r="T16" i="1829"/>
  <c r="S16" i="1829"/>
  <c r="R16" i="1829"/>
  <c r="Q16" i="1829"/>
  <c r="P16" i="1829"/>
  <c r="O16" i="1829"/>
  <c r="N16" i="1829"/>
  <c r="M16" i="1829"/>
  <c r="L16" i="1829"/>
  <c r="K16" i="1829"/>
  <c r="J16" i="1829"/>
  <c r="I16" i="1829"/>
  <c r="H16" i="1829"/>
  <c r="G16" i="1829"/>
  <c r="F16" i="1829"/>
  <c r="E16" i="1829"/>
  <c r="D16" i="1829"/>
  <c r="AE10" i="1829"/>
  <c r="AD10" i="1829"/>
  <c r="AC33" i="1829" s="1"/>
  <c r="AC10" i="1829"/>
  <c r="AB10" i="1829"/>
  <c r="AA10" i="1829"/>
  <c r="Z10" i="1829"/>
  <c r="Y10" i="1829"/>
  <c r="X10" i="1829"/>
  <c r="W10" i="1829"/>
  <c r="V10" i="1829"/>
  <c r="U10" i="1829"/>
  <c r="T10" i="1829"/>
  <c r="S10" i="1829"/>
  <c r="R10" i="1829"/>
  <c r="Q10" i="1829"/>
  <c r="P10" i="1829"/>
  <c r="O10" i="1829"/>
  <c r="N10" i="1829"/>
  <c r="M10" i="1829"/>
  <c r="L10" i="1829"/>
  <c r="K10" i="1829"/>
  <c r="J10" i="1829"/>
  <c r="Q33" i="1829" s="1"/>
  <c r="I10" i="1829"/>
  <c r="H10" i="1829"/>
  <c r="G10" i="1829"/>
  <c r="F10" i="1829"/>
  <c r="E10" i="1829"/>
  <c r="S33" i="1829" s="1"/>
  <c r="D10" i="1829"/>
  <c r="Z33" i="1829" s="1"/>
  <c r="AE7" i="1829"/>
  <c r="AD7" i="1829"/>
  <c r="AC7" i="1829"/>
  <c r="AB7" i="1829"/>
  <c r="AA7" i="1829"/>
  <c r="Z7" i="1829"/>
  <c r="Y7" i="1829"/>
  <c r="X7" i="1829"/>
  <c r="W7" i="1829"/>
  <c r="V7" i="1829"/>
  <c r="U7" i="1829"/>
  <c r="T7" i="1829"/>
  <c r="S7" i="1829"/>
  <c r="R7" i="1829"/>
  <c r="Q7" i="1829"/>
  <c r="P7" i="1829"/>
  <c r="O7" i="1829"/>
  <c r="N7" i="1829"/>
  <c r="M7" i="1829"/>
  <c r="L7" i="1829"/>
  <c r="K7" i="1829"/>
  <c r="J7" i="1829"/>
  <c r="I7" i="1829"/>
  <c r="H7" i="1829"/>
  <c r="G7" i="1829"/>
  <c r="F7" i="1829"/>
  <c r="E7" i="1829"/>
  <c r="D7" i="1829"/>
  <c r="J33" i="1829" l="1"/>
  <c r="K33" i="1829"/>
  <c r="W33" i="1829"/>
  <c r="D33" i="1829"/>
  <c r="Y33" i="1829"/>
  <c r="N33" i="1829"/>
  <c r="E33" i="1829"/>
  <c r="M33" i="1829"/>
  <c r="V33" i="1829"/>
  <c r="AA33" i="1828"/>
  <c r="X33" i="1828"/>
  <c r="U33" i="1828"/>
  <c r="R33" i="1828"/>
  <c r="O33" i="1828"/>
  <c r="L33" i="1828"/>
  <c r="F33" i="1828"/>
  <c r="Y28" i="1828"/>
  <c r="X28" i="1828"/>
  <c r="W28" i="1828"/>
  <c r="V28" i="1828"/>
  <c r="U28" i="1828"/>
  <c r="T28" i="1828"/>
  <c r="S28" i="1828"/>
  <c r="R28" i="1828"/>
  <c r="Q28" i="1828"/>
  <c r="P28" i="1828"/>
  <c r="O28" i="1828"/>
  <c r="N28" i="1828"/>
  <c r="M28" i="1828"/>
  <c r="L28" i="1828"/>
  <c r="K28" i="1828"/>
  <c r="J28" i="1828"/>
  <c r="I28" i="1828"/>
  <c r="H28" i="1828"/>
  <c r="G28" i="1828"/>
  <c r="F28" i="1828"/>
  <c r="E28" i="1828"/>
  <c r="D28" i="1828"/>
  <c r="Y25" i="1828"/>
  <c r="X25" i="1828"/>
  <c r="W25" i="1828"/>
  <c r="V25" i="1828"/>
  <c r="U25" i="1828"/>
  <c r="T25" i="1828"/>
  <c r="S25" i="1828"/>
  <c r="R25" i="1828"/>
  <c r="Q25" i="1828"/>
  <c r="P25" i="1828"/>
  <c r="O25" i="1828"/>
  <c r="N25" i="1828"/>
  <c r="M25" i="1828"/>
  <c r="L25" i="1828"/>
  <c r="K25" i="1828"/>
  <c r="J25" i="1828"/>
  <c r="I25" i="1828"/>
  <c r="H25" i="1828"/>
  <c r="G25" i="1828"/>
  <c r="F25" i="1828"/>
  <c r="E25" i="1828"/>
  <c r="D25" i="1828"/>
  <c r="AE19" i="1828"/>
  <c r="AD19" i="1828"/>
  <c r="AC19" i="1828"/>
  <c r="AB19" i="1828"/>
  <c r="AA19" i="1828"/>
  <c r="Z19" i="1828"/>
  <c r="Y19" i="1828"/>
  <c r="X19" i="1828"/>
  <c r="T33" i="1828" s="1"/>
  <c r="W19" i="1828"/>
  <c r="V19" i="1828"/>
  <c r="U19" i="1828"/>
  <c r="T19" i="1828"/>
  <c r="S19" i="1828"/>
  <c r="R19" i="1828"/>
  <c r="Q19" i="1828"/>
  <c r="P19" i="1828"/>
  <c r="O19" i="1828"/>
  <c r="N19" i="1828"/>
  <c r="H33" i="1828" s="1"/>
  <c r="M19" i="1828"/>
  <c r="L19" i="1828"/>
  <c r="P33" i="1828" s="1"/>
  <c r="K19" i="1828"/>
  <c r="J19" i="1828"/>
  <c r="I19" i="1828"/>
  <c r="AB33" i="1828" s="1"/>
  <c r="H19" i="1828"/>
  <c r="G19" i="1828"/>
  <c r="F19" i="1828"/>
  <c r="E19" i="1828"/>
  <c r="D19" i="1828"/>
  <c r="AE16" i="1828"/>
  <c r="AD16" i="1828"/>
  <c r="AC16" i="1828"/>
  <c r="AB16" i="1828"/>
  <c r="AA16" i="1828"/>
  <c r="Z16" i="1828"/>
  <c r="Y16" i="1828"/>
  <c r="X16" i="1828"/>
  <c r="W16" i="1828"/>
  <c r="V16" i="1828"/>
  <c r="U16" i="1828"/>
  <c r="T16" i="1828"/>
  <c r="S16" i="1828"/>
  <c r="R16" i="1828"/>
  <c r="Q16" i="1828"/>
  <c r="P16" i="1828"/>
  <c r="O16" i="1828"/>
  <c r="N16" i="1828"/>
  <c r="M16" i="1828"/>
  <c r="L16" i="1828"/>
  <c r="K16" i="1828"/>
  <c r="J16" i="1828"/>
  <c r="I16" i="1828"/>
  <c r="H16" i="1828"/>
  <c r="G16" i="1828"/>
  <c r="F16" i="1828"/>
  <c r="E16" i="1828"/>
  <c r="D16" i="1828"/>
  <c r="AE10" i="1828"/>
  <c r="AD10" i="1828"/>
  <c r="AC33" i="1828" s="1"/>
  <c r="AC10" i="1828"/>
  <c r="AB10" i="1828"/>
  <c r="AA10" i="1828"/>
  <c r="Z10" i="1828"/>
  <c r="Y10" i="1828"/>
  <c r="X10" i="1828"/>
  <c r="W10" i="1828"/>
  <c r="V10" i="1828"/>
  <c r="U10" i="1828"/>
  <c r="T10" i="1828"/>
  <c r="S10" i="1828"/>
  <c r="R10" i="1828"/>
  <c r="Q10" i="1828"/>
  <c r="P10" i="1828"/>
  <c r="O10" i="1828"/>
  <c r="N10" i="1828"/>
  <c r="M10" i="1828"/>
  <c r="L10" i="1828"/>
  <c r="K10" i="1828"/>
  <c r="J10" i="1828"/>
  <c r="Q33" i="1828" s="1"/>
  <c r="I10" i="1828"/>
  <c r="H10" i="1828"/>
  <c r="G10" i="1828"/>
  <c r="F10" i="1828"/>
  <c r="E10" i="1828"/>
  <c r="D10" i="1828"/>
  <c r="Z33" i="1828" s="1"/>
  <c r="AE7" i="1828"/>
  <c r="AD7" i="1828"/>
  <c r="AC7" i="1828"/>
  <c r="AB7" i="1828"/>
  <c r="AA7" i="1828"/>
  <c r="Z7" i="1828"/>
  <c r="Y7" i="1828"/>
  <c r="X7" i="1828"/>
  <c r="W7" i="1828"/>
  <c r="V7" i="1828"/>
  <c r="U7" i="1828"/>
  <c r="T7" i="1828"/>
  <c r="S7" i="1828"/>
  <c r="R7" i="1828"/>
  <c r="Q7" i="1828"/>
  <c r="P7" i="1828"/>
  <c r="O7" i="1828"/>
  <c r="N7" i="1828"/>
  <c r="M7" i="1828"/>
  <c r="L7" i="1828"/>
  <c r="K7" i="1828"/>
  <c r="J7" i="1828"/>
  <c r="I7" i="1828"/>
  <c r="H7" i="1828"/>
  <c r="G7" i="1828"/>
  <c r="F7" i="1828"/>
  <c r="E7" i="1828"/>
  <c r="D7" i="1828"/>
  <c r="S33" i="1828" l="1"/>
  <c r="W33" i="1828"/>
  <c r="J33" i="1828"/>
  <c r="K33" i="1828"/>
  <c r="D33" i="1828"/>
  <c r="Y33" i="1828"/>
  <c r="N33" i="1828"/>
  <c r="E33" i="1828"/>
  <c r="M33" i="1828"/>
  <c r="V33" i="1828"/>
  <c r="AA33" i="1827"/>
  <c r="X33" i="1827"/>
  <c r="U33" i="1827"/>
  <c r="R33" i="1827"/>
  <c r="O33" i="1827"/>
  <c r="L33" i="1827"/>
  <c r="F33" i="1827"/>
  <c r="Y28" i="1827"/>
  <c r="X28" i="1827"/>
  <c r="W28" i="1827"/>
  <c r="V28" i="1827"/>
  <c r="U28" i="1827"/>
  <c r="T28" i="1827"/>
  <c r="S28" i="1827"/>
  <c r="R28" i="1827"/>
  <c r="Q28" i="1827"/>
  <c r="P28" i="1827"/>
  <c r="O28" i="1827"/>
  <c r="N28" i="1827"/>
  <c r="M28" i="1827"/>
  <c r="L28" i="1827"/>
  <c r="K28" i="1827"/>
  <c r="J28" i="1827"/>
  <c r="I28" i="1827"/>
  <c r="H28" i="1827"/>
  <c r="G28" i="1827"/>
  <c r="F28" i="1827"/>
  <c r="E28" i="1827"/>
  <c r="D28" i="1827"/>
  <c r="Y25" i="1827"/>
  <c r="X25" i="1827"/>
  <c r="W25" i="1827"/>
  <c r="V25" i="1827"/>
  <c r="U25" i="1827"/>
  <c r="T25" i="1827"/>
  <c r="S25" i="1827"/>
  <c r="R25" i="1827"/>
  <c r="Q25" i="1827"/>
  <c r="P25" i="1827"/>
  <c r="O25" i="1827"/>
  <c r="N25" i="1827"/>
  <c r="M25" i="1827"/>
  <c r="L25" i="1827"/>
  <c r="K25" i="1827"/>
  <c r="J25" i="1827"/>
  <c r="I25" i="1827"/>
  <c r="H25" i="1827"/>
  <c r="G25" i="1827"/>
  <c r="F25" i="1827"/>
  <c r="E25" i="1827"/>
  <c r="D25" i="1827"/>
  <c r="AE19" i="1827"/>
  <c r="AD19" i="1827"/>
  <c r="AC19" i="1827"/>
  <c r="AB19" i="1827"/>
  <c r="AA19" i="1827"/>
  <c r="Z19" i="1827"/>
  <c r="Y19" i="1827"/>
  <c r="X19" i="1827"/>
  <c r="T33" i="1827" s="1"/>
  <c r="W19" i="1827"/>
  <c r="V19" i="1827"/>
  <c r="U19" i="1827"/>
  <c r="T19" i="1827"/>
  <c r="S19" i="1827"/>
  <c r="R19" i="1827"/>
  <c r="Q19" i="1827"/>
  <c r="P19" i="1827"/>
  <c r="O19" i="1827"/>
  <c r="N19" i="1827"/>
  <c r="H33" i="1827" s="1"/>
  <c r="M19" i="1827"/>
  <c r="L19" i="1827"/>
  <c r="P33" i="1827" s="1"/>
  <c r="K19" i="1827"/>
  <c r="J19" i="1827"/>
  <c r="I19" i="1827"/>
  <c r="AB33" i="1827" s="1"/>
  <c r="H19" i="1827"/>
  <c r="G19" i="1827"/>
  <c r="F19" i="1827"/>
  <c r="E19" i="1827"/>
  <c r="D19" i="1827"/>
  <c r="AE16" i="1827"/>
  <c r="AD16" i="1827"/>
  <c r="AC16" i="1827"/>
  <c r="AB16" i="1827"/>
  <c r="AA16" i="1827"/>
  <c r="Z16" i="1827"/>
  <c r="Y16" i="1827"/>
  <c r="X16" i="1827"/>
  <c r="W16" i="1827"/>
  <c r="V16" i="1827"/>
  <c r="U16" i="1827"/>
  <c r="T16" i="1827"/>
  <c r="S16" i="1827"/>
  <c r="R16" i="1827"/>
  <c r="Q16" i="1827"/>
  <c r="P16" i="1827"/>
  <c r="O16" i="1827"/>
  <c r="N16" i="1827"/>
  <c r="M16" i="1827"/>
  <c r="L16" i="1827"/>
  <c r="K16" i="1827"/>
  <c r="J16" i="1827"/>
  <c r="I16" i="1827"/>
  <c r="H16" i="1827"/>
  <c r="G16" i="1827"/>
  <c r="F16" i="1827"/>
  <c r="E16" i="1827"/>
  <c r="D16" i="1827"/>
  <c r="AE10" i="1827"/>
  <c r="AD10" i="1827"/>
  <c r="AC33" i="1827" s="1"/>
  <c r="AC10" i="1827"/>
  <c r="AB10" i="1827"/>
  <c r="AA10" i="1827"/>
  <c r="Z10" i="1827"/>
  <c r="Y10" i="1827"/>
  <c r="X10" i="1827"/>
  <c r="W10" i="1827"/>
  <c r="V10" i="1827"/>
  <c r="U10" i="1827"/>
  <c r="T10" i="1827"/>
  <c r="S10" i="1827"/>
  <c r="R10" i="1827"/>
  <c r="Q10" i="1827"/>
  <c r="P10" i="1827"/>
  <c r="O10" i="1827"/>
  <c r="N10" i="1827"/>
  <c r="M10" i="1827"/>
  <c r="L10" i="1827"/>
  <c r="K10" i="1827"/>
  <c r="J10" i="1827"/>
  <c r="Q33" i="1827" s="1"/>
  <c r="I10" i="1827"/>
  <c r="H10" i="1827"/>
  <c r="G10" i="1827"/>
  <c r="F10" i="1827"/>
  <c r="E10" i="1827"/>
  <c r="S33" i="1827" s="1"/>
  <c r="D10" i="1827"/>
  <c r="Z33" i="1827" s="1"/>
  <c r="AE7" i="1827"/>
  <c r="AD7" i="1827"/>
  <c r="AC7" i="1827"/>
  <c r="AB7" i="1827"/>
  <c r="AA7" i="1827"/>
  <c r="Z7" i="1827"/>
  <c r="Y7" i="1827"/>
  <c r="X7" i="1827"/>
  <c r="W7" i="1827"/>
  <c r="V7" i="1827"/>
  <c r="U7" i="1827"/>
  <c r="T7" i="1827"/>
  <c r="S7" i="1827"/>
  <c r="R7" i="1827"/>
  <c r="Q7" i="1827"/>
  <c r="P7" i="1827"/>
  <c r="O7" i="1827"/>
  <c r="N7" i="1827"/>
  <c r="M7" i="1827"/>
  <c r="L7" i="1827"/>
  <c r="K7" i="1827"/>
  <c r="J7" i="1827"/>
  <c r="I7" i="1827"/>
  <c r="H7" i="1827"/>
  <c r="G7" i="1827"/>
  <c r="F7" i="1827"/>
  <c r="E7" i="1827"/>
  <c r="D7" i="1827"/>
  <c r="J33" i="1827" l="1"/>
  <c r="K33" i="1827"/>
  <c r="W33" i="1827"/>
  <c r="D33" i="1827"/>
  <c r="Y33" i="1827"/>
  <c r="N33" i="1827"/>
  <c r="E33" i="1827"/>
  <c r="M33" i="1827"/>
  <c r="V33" i="1827"/>
  <c r="AA33" i="1826"/>
  <c r="X33" i="1826"/>
  <c r="U33" i="1826"/>
  <c r="R33" i="1826"/>
  <c r="O33" i="1826"/>
  <c r="L33" i="1826"/>
  <c r="F33" i="1826"/>
  <c r="Y28" i="1826"/>
  <c r="X28" i="1826"/>
  <c r="W28" i="1826"/>
  <c r="V28" i="1826"/>
  <c r="U28" i="1826"/>
  <c r="T28" i="1826"/>
  <c r="S28" i="1826"/>
  <c r="R28" i="1826"/>
  <c r="Q28" i="1826"/>
  <c r="P28" i="1826"/>
  <c r="O28" i="1826"/>
  <c r="N28" i="1826"/>
  <c r="M28" i="1826"/>
  <c r="L28" i="1826"/>
  <c r="K28" i="1826"/>
  <c r="J28" i="1826"/>
  <c r="I28" i="1826"/>
  <c r="H28" i="1826"/>
  <c r="G28" i="1826"/>
  <c r="F28" i="1826"/>
  <c r="E28" i="1826"/>
  <c r="D28" i="1826"/>
  <c r="Y25" i="1826"/>
  <c r="X25" i="1826"/>
  <c r="W25" i="1826"/>
  <c r="V25" i="1826"/>
  <c r="U25" i="1826"/>
  <c r="T25" i="1826"/>
  <c r="S25" i="1826"/>
  <c r="R25" i="1826"/>
  <c r="Q25" i="1826"/>
  <c r="P25" i="1826"/>
  <c r="O25" i="1826"/>
  <c r="N25" i="1826"/>
  <c r="M25" i="1826"/>
  <c r="L25" i="1826"/>
  <c r="K25" i="1826"/>
  <c r="J25" i="1826"/>
  <c r="I25" i="1826"/>
  <c r="H25" i="1826"/>
  <c r="G25" i="1826"/>
  <c r="F25" i="1826"/>
  <c r="E25" i="1826"/>
  <c r="D25" i="1826"/>
  <c r="AE19" i="1826"/>
  <c r="AD19" i="1826"/>
  <c r="AC19" i="1826"/>
  <c r="AB19" i="1826"/>
  <c r="AA19" i="1826"/>
  <c r="Z19" i="1826"/>
  <c r="Y19" i="1826"/>
  <c r="X19" i="1826"/>
  <c r="T33" i="1826" s="1"/>
  <c r="W19" i="1826"/>
  <c r="V19" i="1826"/>
  <c r="U19" i="1826"/>
  <c r="T19" i="1826"/>
  <c r="S19" i="1826"/>
  <c r="R19" i="1826"/>
  <c r="Q19" i="1826"/>
  <c r="P19" i="1826"/>
  <c r="O19" i="1826"/>
  <c r="N19" i="1826"/>
  <c r="H33" i="1826" s="1"/>
  <c r="M19" i="1826"/>
  <c r="L19" i="1826"/>
  <c r="P33" i="1826" s="1"/>
  <c r="K19" i="1826"/>
  <c r="J19" i="1826"/>
  <c r="I19" i="1826"/>
  <c r="AB33" i="1826" s="1"/>
  <c r="H19" i="1826"/>
  <c r="G19" i="1826"/>
  <c r="F19" i="1826"/>
  <c r="E19" i="1826"/>
  <c r="D19" i="1826"/>
  <c r="AE16" i="1826"/>
  <c r="AD16" i="1826"/>
  <c r="AC16" i="1826"/>
  <c r="AB16" i="1826"/>
  <c r="AA16" i="1826"/>
  <c r="Z16" i="1826"/>
  <c r="Y16" i="1826"/>
  <c r="X16" i="1826"/>
  <c r="W16" i="1826"/>
  <c r="V16" i="1826"/>
  <c r="U16" i="1826"/>
  <c r="T16" i="1826"/>
  <c r="S16" i="1826"/>
  <c r="R16" i="1826"/>
  <c r="Q16" i="1826"/>
  <c r="P16" i="1826"/>
  <c r="O16" i="1826"/>
  <c r="N16" i="1826"/>
  <c r="M16" i="1826"/>
  <c r="L16" i="1826"/>
  <c r="K16" i="1826"/>
  <c r="J16" i="1826"/>
  <c r="I16" i="1826"/>
  <c r="H16" i="1826"/>
  <c r="G16" i="1826"/>
  <c r="F16" i="1826"/>
  <c r="E16" i="1826"/>
  <c r="D16" i="1826"/>
  <c r="AE10" i="1826"/>
  <c r="AD10" i="1826"/>
  <c r="AC33" i="1826" s="1"/>
  <c r="AC10" i="1826"/>
  <c r="AB10" i="1826"/>
  <c r="AA10" i="1826"/>
  <c r="Z10" i="1826"/>
  <c r="Y10" i="1826"/>
  <c r="X10" i="1826"/>
  <c r="W10" i="1826"/>
  <c r="V10" i="1826"/>
  <c r="U10" i="1826"/>
  <c r="T10" i="1826"/>
  <c r="S10" i="1826"/>
  <c r="R10" i="1826"/>
  <c r="Q10" i="1826"/>
  <c r="P10" i="1826"/>
  <c r="O10" i="1826"/>
  <c r="N10" i="1826"/>
  <c r="M10" i="1826"/>
  <c r="L10" i="1826"/>
  <c r="K10" i="1826"/>
  <c r="J10" i="1826"/>
  <c r="Q33" i="1826" s="1"/>
  <c r="I10" i="1826"/>
  <c r="H10" i="1826"/>
  <c r="G10" i="1826"/>
  <c r="F10" i="1826"/>
  <c r="E10" i="1826"/>
  <c r="D10" i="1826"/>
  <c r="Z33" i="1826" s="1"/>
  <c r="AE7" i="1826"/>
  <c r="AD7" i="1826"/>
  <c r="AC7" i="1826"/>
  <c r="AB7" i="1826"/>
  <c r="AA7" i="1826"/>
  <c r="Z7" i="1826"/>
  <c r="Y7" i="1826"/>
  <c r="X7" i="1826"/>
  <c r="W7" i="1826"/>
  <c r="V7" i="1826"/>
  <c r="U7" i="1826"/>
  <c r="T7" i="1826"/>
  <c r="S7" i="1826"/>
  <c r="R7" i="1826"/>
  <c r="Q7" i="1826"/>
  <c r="P7" i="1826"/>
  <c r="O7" i="1826"/>
  <c r="N7" i="1826"/>
  <c r="M7" i="1826"/>
  <c r="L7" i="1826"/>
  <c r="K7" i="1826"/>
  <c r="J7" i="1826"/>
  <c r="I7" i="1826"/>
  <c r="H7" i="1826"/>
  <c r="G7" i="1826"/>
  <c r="F7" i="1826"/>
  <c r="E7" i="1826"/>
  <c r="D7" i="1826"/>
  <c r="S33" i="1826" l="1"/>
  <c r="J33" i="1826"/>
  <c r="K33" i="1826"/>
  <c r="W33" i="1826"/>
  <c r="D33" i="1826"/>
  <c r="Y33" i="1826"/>
  <c r="N33" i="1826"/>
  <c r="E33" i="1826"/>
  <c r="M33" i="1826"/>
  <c r="V33" i="1826"/>
  <c r="AA33" i="1825"/>
  <c r="X33" i="1825"/>
  <c r="U33" i="1825"/>
  <c r="R33" i="1825"/>
  <c r="O33" i="1825"/>
  <c r="L33" i="1825"/>
  <c r="F33" i="1825"/>
  <c r="Y28" i="1825"/>
  <c r="X28" i="1825"/>
  <c r="W28" i="1825"/>
  <c r="V28" i="1825"/>
  <c r="U28" i="1825"/>
  <c r="T28" i="1825"/>
  <c r="S28" i="1825"/>
  <c r="R28" i="1825"/>
  <c r="Q28" i="1825"/>
  <c r="P28" i="1825"/>
  <c r="O28" i="1825"/>
  <c r="N28" i="1825"/>
  <c r="M28" i="1825"/>
  <c r="L28" i="1825"/>
  <c r="K28" i="1825"/>
  <c r="J28" i="1825"/>
  <c r="I28" i="1825"/>
  <c r="H28" i="1825"/>
  <c r="G28" i="1825"/>
  <c r="F28" i="1825"/>
  <c r="E28" i="1825"/>
  <c r="D28" i="1825"/>
  <c r="Y25" i="1825"/>
  <c r="X25" i="1825"/>
  <c r="W25" i="1825"/>
  <c r="V25" i="1825"/>
  <c r="U25" i="1825"/>
  <c r="T25" i="1825"/>
  <c r="S25" i="1825"/>
  <c r="R25" i="1825"/>
  <c r="Q25" i="1825"/>
  <c r="P25" i="1825"/>
  <c r="O25" i="1825"/>
  <c r="N25" i="1825"/>
  <c r="M25" i="1825"/>
  <c r="L25" i="1825"/>
  <c r="K25" i="1825"/>
  <c r="J25" i="1825"/>
  <c r="I25" i="1825"/>
  <c r="H25" i="1825"/>
  <c r="G25" i="1825"/>
  <c r="F25" i="1825"/>
  <c r="E25" i="1825"/>
  <c r="D25" i="1825"/>
  <c r="AE19" i="1825"/>
  <c r="AD19" i="1825"/>
  <c r="AC19" i="1825"/>
  <c r="AB19" i="1825"/>
  <c r="AA19" i="1825"/>
  <c r="Z19" i="1825"/>
  <c r="Y19" i="1825"/>
  <c r="X19" i="1825"/>
  <c r="T33" i="1825" s="1"/>
  <c r="W19" i="1825"/>
  <c r="V19" i="1825"/>
  <c r="U19" i="1825"/>
  <c r="T19" i="1825"/>
  <c r="S19" i="1825"/>
  <c r="R19" i="1825"/>
  <c r="Q19" i="1825"/>
  <c r="P19" i="1825"/>
  <c r="O19" i="1825"/>
  <c r="N19" i="1825"/>
  <c r="H33" i="1825" s="1"/>
  <c r="M19" i="1825"/>
  <c r="L19" i="1825"/>
  <c r="P33" i="1825" s="1"/>
  <c r="K19" i="1825"/>
  <c r="J19" i="1825"/>
  <c r="I19" i="1825"/>
  <c r="AB33" i="1825" s="1"/>
  <c r="H19" i="1825"/>
  <c r="G19" i="1825"/>
  <c r="F19" i="1825"/>
  <c r="E19" i="1825"/>
  <c r="D19" i="1825"/>
  <c r="AE16" i="1825"/>
  <c r="AD16" i="1825"/>
  <c r="AC16" i="1825"/>
  <c r="AB16" i="1825"/>
  <c r="AA16" i="1825"/>
  <c r="Z16" i="1825"/>
  <c r="Y16" i="1825"/>
  <c r="X16" i="1825"/>
  <c r="W16" i="1825"/>
  <c r="V16" i="1825"/>
  <c r="U16" i="1825"/>
  <c r="T16" i="1825"/>
  <c r="S16" i="1825"/>
  <c r="R16" i="1825"/>
  <c r="Q16" i="1825"/>
  <c r="P16" i="1825"/>
  <c r="O16" i="1825"/>
  <c r="N16" i="1825"/>
  <c r="M16" i="1825"/>
  <c r="L16" i="1825"/>
  <c r="K16" i="1825"/>
  <c r="J16" i="1825"/>
  <c r="I16" i="1825"/>
  <c r="H16" i="1825"/>
  <c r="G16" i="1825"/>
  <c r="F16" i="1825"/>
  <c r="E16" i="1825"/>
  <c r="D16" i="1825"/>
  <c r="AE10" i="1825"/>
  <c r="AD10" i="1825"/>
  <c r="AC33" i="1825" s="1"/>
  <c r="AC10" i="1825"/>
  <c r="AB10" i="1825"/>
  <c r="AA10" i="1825"/>
  <c r="Z10" i="1825"/>
  <c r="Y10" i="1825"/>
  <c r="X10" i="1825"/>
  <c r="W10" i="1825"/>
  <c r="V10" i="1825"/>
  <c r="U10" i="1825"/>
  <c r="T10" i="1825"/>
  <c r="S10" i="1825"/>
  <c r="R10" i="1825"/>
  <c r="Q10" i="1825"/>
  <c r="P10" i="1825"/>
  <c r="O10" i="1825"/>
  <c r="N10" i="1825"/>
  <c r="M10" i="1825"/>
  <c r="L10" i="1825"/>
  <c r="K10" i="1825"/>
  <c r="J10" i="1825"/>
  <c r="Q33" i="1825" s="1"/>
  <c r="I10" i="1825"/>
  <c r="H10" i="1825"/>
  <c r="G10" i="1825"/>
  <c r="F10" i="1825"/>
  <c r="E10" i="1825"/>
  <c r="D10" i="1825"/>
  <c r="Z33" i="1825" s="1"/>
  <c r="AE7" i="1825"/>
  <c r="AD7" i="1825"/>
  <c r="AC7" i="1825"/>
  <c r="AB7" i="1825"/>
  <c r="AA7" i="1825"/>
  <c r="Z7" i="1825"/>
  <c r="Y7" i="1825"/>
  <c r="X7" i="1825"/>
  <c r="W7" i="1825"/>
  <c r="V7" i="1825"/>
  <c r="U7" i="1825"/>
  <c r="T7" i="1825"/>
  <c r="S7" i="1825"/>
  <c r="R7" i="1825"/>
  <c r="Q7" i="1825"/>
  <c r="P7" i="1825"/>
  <c r="O7" i="1825"/>
  <c r="N7" i="1825"/>
  <c r="M7" i="1825"/>
  <c r="L7" i="1825"/>
  <c r="K7" i="1825"/>
  <c r="J7" i="1825"/>
  <c r="I7" i="1825"/>
  <c r="H7" i="1825"/>
  <c r="G7" i="1825"/>
  <c r="F7" i="1825"/>
  <c r="E7" i="1825"/>
  <c r="D7" i="1825"/>
  <c r="S33" i="1825" l="1"/>
  <c r="J33" i="1825"/>
  <c r="W33" i="1825"/>
  <c r="D33" i="1825"/>
  <c r="Y33" i="1825"/>
  <c r="N33" i="1825"/>
  <c r="K33" i="1825"/>
  <c r="E33" i="1825"/>
  <c r="M33" i="1825"/>
  <c r="V33" i="1825"/>
  <c r="AA33" i="1824"/>
  <c r="X33" i="1824"/>
  <c r="U33" i="1824"/>
  <c r="R33" i="1824"/>
  <c r="O33" i="1824"/>
  <c r="L33" i="1824"/>
  <c r="F33" i="1824"/>
  <c r="Y28" i="1824"/>
  <c r="X28" i="1824"/>
  <c r="W28" i="1824"/>
  <c r="V28" i="1824"/>
  <c r="U28" i="1824"/>
  <c r="T28" i="1824"/>
  <c r="S28" i="1824"/>
  <c r="R28" i="1824"/>
  <c r="Q28" i="1824"/>
  <c r="P28" i="1824"/>
  <c r="O28" i="1824"/>
  <c r="N28" i="1824"/>
  <c r="M28" i="1824"/>
  <c r="L28" i="1824"/>
  <c r="K28" i="1824"/>
  <c r="J28" i="1824"/>
  <c r="I28" i="1824"/>
  <c r="H28" i="1824"/>
  <c r="G28" i="1824"/>
  <c r="F28" i="1824"/>
  <c r="E28" i="1824"/>
  <c r="D28" i="1824"/>
  <c r="Y25" i="1824"/>
  <c r="X25" i="1824"/>
  <c r="W25" i="1824"/>
  <c r="V25" i="1824"/>
  <c r="U25" i="1824"/>
  <c r="T25" i="1824"/>
  <c r="S25" i="1824"/>
  <c r="R25" i="1824"/>
  <c r="Q25" i="1824"/>
  <c r="P25" i="1824"/>
  <c r="O25" i="1824"/>
  <c r="N25" i="1824"/>
  <c r="M25" i="1824"/>
  <c r="L25" i="1824"/>
  <c r="K25" i="1824"/>
  <c r="J25" i="1824"/>
  <c r="I25" i="1824"/>
  <c r="H25" i="1824"/>
  <c r="G25" i="1824"/>
  <c r="F25" i="1824"/>
  <c r="E25" i="1824"/>
  <c r="D25" i="1824"/>
  <c r="AE19" i="1824"/>
  <c r="AD19" i="1824"/>
  <c r="AC19" i="1824"/>
  <c r="AB19" i="1824"/>
  <c r="AA19" i="1824"/>
  <c r="Z19" i="1824"/>
  <c r="Y19" i="1824"/>
  <c r="X19" i="1824"/>
  <c r="T33" i="1824" s="1"/>
  <c r="W19" i="1824"/>
  <c r="V19" i="1824"/>
  <c r="U19" i="1824"/>
  <c r="T19" i="1824"/>
  <c r="S19" i="1824"/>
  <c r="R19" i="1824"/>
  <c r="Q19" i="1824"/>
  <c r="P19" i="1824"/>
  <c r="O19" i="1824"/>
  <c r="N19" i="1824"/>
  <c r="H33" i="1824" s="1"/>
  <c r="M19" i="1824"/>
  <c r="L19" i="1824"/>
  <c r="P33" i="1824" s="1"/>
  <c r="K19" i="1824"/>
  <c r="J19" i="1824"/>
  <c r="I19" i="1824"/>
  <c r="AB33" i="1824" s="1"/>
  <c r="H19" i="1824"/>
  <c r="G19" i="1824"/>
  <c r="F19" i="1824"/>
  <c r="E19" i="1824"/>
  <c r="D19" i="1824"/>
  <c r="AE16" i="1824"/>
  <c r="AD16" i="1824"/>
  <c r="AC16" i="1824"/>
  <c r="AB16" i="1824"/>
  <c r="AA16" i="1824"/>
  <c r="Z16" i="1824"/>
  <c r="Y16" i="1824"/>
  <c r="X16" i="1824"/>
  <c r="W16" i="1824"/>
  <c r="V16" i="1824"/>
  <c r="U16" i="1824"/>
  <c r="T16" i="1824"/>
  <c r="S16" i="1824"/>
  <c r="R16" i="1824"/>
  <c r="Q16" i="1824"/>
  <c r="P16" i="1824"/>
  <c r="O16" i="1824"/>
  <c r="N16" i="1824"/>
  <c r="M16" i="1824"/>
  <c r="L16" i="1824"/>
  <c r="K16" i="1824"/>
  <c r="J16" i="1824"/>
  <c r="I16" i="1824"/>
  <c r="H16" i="1824"/>
  <c r="G16" i="1824"/>
  <c r="F16" i="1824"/>
  <c r="E16" i="1824"/>
  <c r="D16" i="1824"/>
  <c r="AE10" i="1824"/>
  <c r="AD10" i="1824"/>
  <c r="AC33" i="1824" s="1"/>
  <c r="AC10" i="1824"/>
  <c r="AB10" i="1824"/>
  <c r="AA10" i="1824"/>
  <c r="Z10" i="1824"/>
  <c r="Y10" i="1824"/>
  <c r="X10" i="1824"/>
  <c r="W10" i="1824"/>
  <c r="V10" i="1824"/>
  <c r="U10" i="1824"/>
  <c r="T10" i="1824"/>
  <c r="S10" i="1824"/>
  <c r="R10" i="1824"/>
  <c r="Q10" i="1824"/>
  <c r="P10" i="1824"/>
  <c r="O10" i="1824"/>
  <c r="N10" i="1824"/>
  <c r="M10" i="1824"/>
  <c r="L10" i="1824"/>
  <c r="K10" i="1824"/>
  <c r="J10" i="1824"/>
  <c r="Q33" i="1824" s="1"/>
  <c r="I10" i="1824"/>
  <c r="H10" i="1824"/>
  <c r="G10" i="1824"/>
  <c r="F10" i="1824"/>
  <c r="E10" i="1824"/>
  <c r="D10" i="1824"/>
  <c r="Z33" i="1824" s="1"/>
  <c r="AE7" i="1824"/>
  <c r="AD7" i="1824"/>
  <c r="AC7" i="1824"/>
  <c r="AB7" i="1824"/>
  <c r="AA7" i="1824"/>
  <c r="Z7" i="1824"/>
  <c r="Y7" i="1824"/>
  <c r="X7" i="1824"/>
  <c r="W7" i="1824"/>
  <c r="V7" i="1824"/>
  <c r="U7" i="1824"/>
  <c r="T7" i="1824"/>
  <c r="S7" i="1824"/>
  <c r="R7" i="1824"/>
  <c r="Q7" i="1824"/>
  <c r="P7" i="1824"/>
  <c r="O7" i="1824"/>
  <c r="N7" i="1824"/>
  <c r="M7" i="1824"/>
  <c r="L7" i="1824"/>
  <c r="K7" i="1824"/>
  <c r="J7" i="1824"/>
  <c r="I7" i="1824"/>
  <c r="H7" i="1824"/>
  <c r="G7" i="1824"/>
  <c r="F7" i="1824"/>
  <c r="E7" i="1824"/>
  <c r="D7" i="1824"/>
  <c r="S33" i="1824" l="1"/>
  <c r="J33" i="1824"/>
  <c r="K33" i="1824"/>
  <c r="W33" i="1824"/>
  <c r="D33" i="1824"/>
  <c r="Y33" i="1824"/>
  <c r="N33" i="1824"/>
  <c r="E33" i="1824"/>
  <c r="M33" i="1824"/>
  <c r="V33" i="1824"/>
  <c r="AA33" i="1823"/>
  <c r="X33" i="1823"/>
  <c r="U33" i="1823"/>
  <c r="R33" i="1823"/>
  <c r="O33" i="1823"/>
  <c r="L33" i="1823"/>
  <c r="F33" i="1823"/>
  <c r="Y28" i="1823"/>
  <c r="X28" i="1823"/>
  <c r="W28" i="1823"/>
  <c r="V28" i="1823"/>
  <c r="U28" i="1823"/>
  <c r="T28" i="1823"/>
  <c r="S28" i="1823"/>
  <c r="R28" i="1823"/>
  <c r="Q28" i="1823"/>
  <c r="P28" i="1823"/>
  <c r="O28" i="1823"/>
  <c r="N28" i="1823"/>
  <c r="M28" i="1823"/>
  <c r="L28" i="1823"/>
  <c r="K28" i="1823"/>
  <c r="J28" i="1823"/>
  <c r="I28" i="1823"/>
  <c r="H28" i="1823"/>
  <c r="G28" i="1823"/>
  <c r="F28" i="1823"/>
  <c r="E28" i="1823"/>
  <c r="D28" i="1823"/>
  <c r="Y25" i="1823"/>
  <c r="X25" i="1823"/>
  <c r="W25" i="1823"/>
  <c r="V25" i="1823"/>
  <c r="U25" i="1823"/>
  <c r="T25" i="1823"/>
  <c r="S25" i="1823"/>
  <c r="R25" i="1823"/>
  <c r="Q25" i="1823"/>
  <c r="P25" i="1823"/>
  <c r="O25" i="1823"/>
  <c r="N25" i="1823"/>
  <c r="M25" i="1823"/>
  <c r="L25" i="1823"/>
  <c r="K25" i="1823"/>
  <c r="J25" i="1823"/>
  <c r="I25" i="1823"/>
  <c r="H25" i="1823"/>
  <c r="G25" i="1823"/>
  <c r="F25" i="1823"/>
  <c r="E25" i="1823"/>
  <c r="D25" i="1823"/>
  <c r="AE19" i="1823"/>
  <c r="AD19" i="1823"/>
  <c r="AC19" i="1823"/>
  <c r="AB19" i="1823"/>
  <c r="AA19" i="1823"/>
  <c r="Z19" i="1823"/>
  <c r="Y19" i="1823"/>
  <c r="X19" i="1823"/>
  <c r="T33" i="1823" s="1"/>
  <c r="W19" i="1823"/>
  <c r="V19" i="1823"/>
  <c r="U19" i="1823"/>
  <c r="T19" i="1823"/>
  <c r="S19" i="1823"/>
  <c r="R19" i="1823"/>
  <c r="Q19" i="1823"/>
  <c r="P19" i="1823"/>
  <c r="O19" i="1823"/>
  <c r="N19" i="1823"/>
  <c r="H33" i="1823" s="1"/>
  <c r="M19" i="1823"/>
  <c r="L19" i="1823"/>
  <c r="P33" i="1823" s="1"/>
  <c r="K19" i="1823"/>
  <c r="J19" i="1823"/>
  <c r="I19" i="1823"/>
  <c r="AB33" i="1823" s="1"/>
  <c r="H19" i="1823"/>
  <c r="G19" i="1823"/>
  <c r="F19" i="1823"/>
  <c r="E19" i="1823"/>
  <c r="D19" i="1823"/>
  <c r="AE16" i="1823"/>
  <c r="AD16" i="1823"/>
  <c r="AC16" i="1823"/>
  <c r="AB16" i="1823"/>
  <c r="AA16" i="1823"/>
  <c r="Z16" i="1823"/>
  <c r="Y16" i="1823"/>
  <c r="X16" i="1823"/>
  <c r="W16" i="1823"/>
  <c r="V16" i="1823"/>
  <c r="U16" i="1823"/>
  <c r="T16" i="1823"/>
  <c r="S16" i="1823"/>
  <c r="R16" i="1823"/>
  <c r="Q16" i="1823"/>
  <c r="P16" i="1823"/>
  <c r="O16" i="1823"/>
  <c r="N16" i="1823"/>
  <c r="M16" i="1823"/>
  <c r="L16" i="1823"/>
  <c r="K16" i="1823"/>
  <c r="J16" i="1823"/>
  <c r="I16" i="1823"/>
  <c r="H16" i="1823"/>
  <c r="G16" i="1823"/>
  <c r="F16" i="1823"/>
  <c r="E16" i="1823"/>
  <c r="D16" i="1823"/>
  <c r="AE10" i="1823"/>
  <c r="AD10" i="1823"/>
  <c r="AC33" i="1823" s="1"/>
  <c r="AC10" i="1823"/>
  <c r="AB10" i="1823"/>
  <c r="AA10" i="1823"/>
  <c r="Z10" i="1823"/>
  <c r="Y10" i="1823"/>
  <c r="X10" i="1823"/>
  <c r="W10" i="1823"/>
  <c r="V10" i="1823"/>
  <c r="U10" i="1823"/>
  <c r="T10" i="1823"/>
  <c r="S10" i="1823"/>
  <c r="R10" i="1823"/>
  <c r="Q10" i="1823"/>
  <c r="P10" i="1823"/>
  <c r="N33" i="1823" s="1"/>
  <c r="O10" i="1823"/>
  <c r="N10" i="1823"/>
  <c r="Q33" i="1823" s="1"/>
  <c r="M10" i="1823"/>
  <c r="L10" i="1823"/>
  <c r="K10" i="1823"/>
  <c r="J10" i="1823"/>
  <c r="I10" i="1823"/>
  <c r="H10" i="1823"/>
  <c r="G10" i="1823"/>
  <c r="F10" i="1823"/>
  <c r="J33" i="1823" s="1"/>
  <c r="E10" i="1823"/>
  <c r="S33" i="1823" s="1"/>
  <c r="D10" i="1823"/>
  <c r="AE7" i="1823"/>
  <c r="AD7" i="1823"/>
  <c r="AC7" i="1823"/>
  <c r="AB7" i="1823"/>
  <c r="AA7" i="1823"/>
  <c r="Z7" i="1823"/>
  <c r="Y7" i="1823"/>
  <c r="X7" i="1823"/>
  <c r="W7" i="1823"/>
  <c r="V7" i="1823"/>
  <c r="U7" i="1823"/>
  <c r="T7" i="1823"/>
  <c r="S7" i="1823"/>
  <c r="R7" i="1823"/>
  <c r="Q7" i="1823"/>
  <c r="P7" i="1823"/>
  <c r="O7" i="1823"/>
  <c r="N7" i="1823"/>
  <c r="M7" i="1823"/>
  <c r="L7" i="1823"/>
  <c r="K7" i="1823"/>
  <c r="J7" i="1823"/>
  <c r="I7" i="1823"/>
  <c r="H7" i="1823"/>
  <c r="G7" i="1823"/>
  <c r="F7" i="1823"/>
  <c r="E7" i="1823"/>
  <c r="D7" i="1823"/>
  <c r="W33" i="1823" l="1"/>
  <c r="Z33" i="1823"/>
  <c r="D33" i="1823"/>
  <c r="Y33" i="1823"/>
  <c r="K33" i="1823"/>
  <c r="E33" i="1823"/>
  <c r="M33" i="1823"/>
  <c r="V33" i="1823"/>
  <c r="AA33" i="1822"/>
  <c r="X33" i="1822"/>
  <c r="U33" i="1822"/>
  <c r="R33" i="1822"/>
  <c r="O33" i="1822"/>
  <c r="L33" i="1822"/>
  <c r="F33" i="1822"/>
  <c r="Y28" i="1822"/>
  <c r="X28" i="1822"/>
  <c r="W28" i="1822"/>
  <c r="V28" i="1822"/>
  <c r="U28" i="1822"/>
  <c r="T28" i="1822"/>
  <c r="S28" i="1822"/>
  <c r="R28" i="1822"/>
  <c r="Q28" i="1822"/>
  <c r="P28" i="1822"/>
  <c r="O28" i="1822"/>
  <c r="N28" i="1822"/>
  <c r="M28" i="1822"/>
  <c r="L28" i="1822"/>
  <c r="K28" i="1822"/>
  <c r="J28" i="1822"/>
  <c r="I28" i="1822"/>
  <c r="H28" i="1822"/>
  <c r="G28" i="1822"/>
  <c r="F28" i="1822"/>
  <c r="E28" i="1822"/>
  <c r="D28" i="1822"/>
  <c r="Y25" i="1822"/>
  <c r="X25" i="1822"/>
  <c r="W25" i="1822"/>
  <c r="V25" i="1822"/>
  <c r="U25" i="1822"/>
  <c r="T25" i="1822"/>
  <c r="S25" i="1822"/>
  <c r="R25" i="1822"/>
  <c r="Q25" i="1822"/>
  <c r="P25" i="1822"/>
  <c r="O25" i="1822"/>
  <c r="N25" i="1822"/>
  <c r="M25" i="1822"/>
  <c r="L25" i="1822"/>
  <c r="K25" i="1822"/>
  <c r="J25" i="1822"/>
  <c r="I25" i="1822"/>
  <c r="H25" i="1822"/>
  <c r="G25" i="1822"/>
  <c r="F25" i="1822"/>
  <c r="E25" i="1822"/>
  <c r="D25" i="1822"/>
  <c r="AE19" i="1822"/>
  <c r="AD19" i="1822"/>
  <c r="AC19" i="1822"/>
  <c r="AB19" i="1822"/>
  <c r="AA19" i="1822"/>
  <c r="Z19" i="1822"/>
  <c r="Y19" i="1822"/>
  <c r="X19" i="1822"/>
  <c r="T33" i="1822" s="1"/>
  <c r="W19" i="1822"/>
  <c r="V19" i="1822"/>
  <c r="U19" i="1822"/>
  <c r="T19" i="1822"/>
  <c r="S19" i="1822"/>
  <c r="R19" i="1822"/>
  <c r="Q19" i="1822"/>
  <c r="P19" i="1822"/>
  <c r="O19" i="1822"/>
  <c r="N19" i="1822"/>
  <c r="H33" i="1822" s="1"/>
  <c r="M19" i="1822"/>
  <c r="L19" i="1822"/>
  <c r="P33" i="1822" s="1"/>
  <c r="K19" i="1822"/>
  <c r="J19" i="1822"/>
  <c r="I19" i="1822"/>
  <c r="AB33" i="1822" s="1"/>
  <c r="H19" i="1822"/>
  <c r="G19" i="1822"/>
  <c r="F19" i="1822"/>
  <c r="E19" i="1822"/>
  <c r="D19" i="1822"/>
  <c r="AE16" i="1822"/>
  <c r="AD16" i="1822"/>
  <c r="AC16" i="1822"/>
  <c r="AB16" i="1822"/>
  <c r="AA16" i="1822"/>
  <c r="Z16" i="1822"/>
  <c r="Y16" i="1822"/>
  <c r="X16" i="1822"/>
  <c r="W16" i="1822"/>
  <c r="V16" i="1822"/>
  <c r="U16" i="1822"/>
  <c r="T16" i="1822"/>
  <c r="S16" i="1822"/>
  <c r="R16" i="1822"/>
  <c r="Q16" i="1822"/>
  <c r="P16" i="1822"/>
  <c r="O16" i="1822"/>
  <c r="N16" i="1822"/>
  <c r="M16" i="1822"/>
  <c r="L16" i="1822"/>
  <c r="K16" i="1822"/>
  <c r="J16" i="1822"/>
  <c r="I16" i="1822"/>
  <c r="H16" i="1822"/>
  <c r="G16" i="1822"/>
  <c r="F16" i="1822"/>
  <c r="E16" i="1822"/>
  <c r="D16" i="1822"/>
  <c r="AE10" i="1822"/>
  <c r="AD10" i="1822"/>
  <c r="AC33" i="1822" s="1"/>
  <c r="AC10" i="1822"/>
  <c r="AB10" i="1822"/>
  <c r="AA10" i="1822"/>
  <c r="Z10" i="1822"/>
  <c r="Y10" i="1822"/>
  <c r="X10" i="1822"/>
  <c r="W10" i="1822"/>
  <c r="V10" i="1822"/>
  <c r="U10" i="1822"/>
  <c r="T10" i="1822"/>
  <c r="S10" i="1822"/>
  <c r="R10" i="1822"/>
  <c r="Q10" i="1822"/>
  <c r="P10" i="1822"/>
  <c r="O10" i="1822"/>
  <c r="N10" i="1822"/>
  <c r="M10" i="1822"/>
  <c r="L10" i="1822"/>
  <c r="K10" i="1822"/>
  <c r="J10" i="1822"/>
  <c r="Q33" i="1822" s="1"/>
  <c r="I10" i="1822"/>
  <c r="H10" i="1822"/>
  <c r="G10" i="1822"/>
  <c r="F10" i="1822"/>
  <c r="E10" i="1822"/>
  <c r="D10" i="1822"/>
  <c r="Z33" i="1822" s="1"/>
  <c r="AE7" i="1822"/>
  <c r="AD7" i="1822"/>
  <c r="AC7" i="1822"/>
  <c r="AB7" i="1822"/>
  <c r="AA7" i="1822"/>
  <c r="Z7" i="1822"/>
  <c r="Y7" i="1822"/>
  <c r="X7" i="1822"/>
  <c r="W7" i="1822"/>
  <c r="V7" i="1822"/>
  <c r="U7" i="1822"/>
  <c r="T7" i="1822"/>
  <c r="S7" i="1822"/>
  <c r="R7" i="1822"/>
  <c r="Q7" i="1822"/>
  <c r="P7" i="1822"/>
  <c r="O7" i="1822"/>
  <c r="N7" i="1822"/>
  <c r="M7" i="1822"/>
  <c r="L7" i="1822"/>
  <c r="K7" i="1822"/>
  <c r="J7" i="1822"/>
  <c r="I7" i="1822"/>
  <c r="H7" i="1822"/>
  <c r="G7" i="1822"/>
  <c r="F7" i="1822"/>
  <c r="E7" i="1822"/>
  <c r="D7" i="1822"/>
  <c r="S33" i="1822" l="1"/>
  <c r="J33" i="1822"/>
  <c r="K33" i="1822"/>
  <c r="W33" i="1822"/>
  <c r="D33" i="1822"/>
  <c r="Y33" i="1822"/>
  <c r="N33" i="1822"/>
  <c r="E33" i="1822"/>
  <c r="M33" i="1822"/>
  <c r="V33" i="1822"/>
  <c r="AA33" i="1821"/>
  <c r="X33" i="1821"/>
  <c r="U33" i="1821"/>
  <c r="R33" i="1821"/>
  <c r="O33" i="1821"/>
  <c r="L33" i="1821"/>
  <c r="F33" i="1821"/>
  <c r="Y28" i="1821"/>
  <c r="X28" i="1821"/>
  <c r="W28" i="1821"/>
  <c r="V28" i="1821"/>
  <c r="U28" i="1821"/>
  <c r="T28" i="1821"/>
  <c r="S28" i="1821"/>
  <c r="R28" i="1821"/>
  <c r="Q28" i="1821"/>
  <c r="P28" i="1821"/>
  <c r="O28" i="1821"/>
  <c r="N28" i="1821"/>
  <c r="M28" i="1821"/>
  <c r="L28" i="1821"/>
  <c r="K28" i="1821"/>
  <c r="J28" i="1821"/>
  <c r="I28" i="1821"/>
  <c r="H28" i="1821"/>
  <c r="G28" i="1821"/>
  <c r="F28" i="1821"/>
  <c r="E28" i="1821"/>
  <c r="D28" i="1821"/>
  <c r="Y25" i="1821"/>
  <c r="X25" i="1821"/>
  <c r="W25" i="1821"/>
  <c r="V25" i="1821"/>
  <c r="U25" i="1821"/>
  <c r="T25" i="1821"/>
  <c r="S25" i="1821"/>
  <c r="R25" i="1821"/>
  <c r="Q25" i="1821"/>
  <c r="P25" i="1821"/>
  <c r="O25" i="1821"/>
  <c r="N25" i="1821"/>
  <c r="M25" i="1821"/>
  <c r="L25" i="1821"/>
  <c r="K25" i="1821"/>
  <c r="J25" i="1821"/>
  <c r="I25" i="1821"/>
  <c r="H25" i="1821"/>
  <c r="G25" i="1821"/>
  <c r="F25" i="1821"/>
  <c r="E25" i="1821"/>
  <c r="D25" i="1821"/>
  <c r="AE19" i="1821"/>
  <c r="AD19" i="1821"/>
  <c r="AC19" i="1821"/>
  <c r="AB19" i="1821"/>
  <c r="AA19" i="1821"/>
  <c r="Z19" i="1821"/>
  <c r="Y19" i="1821"/>
  <c r="X19" i="1821"/>
  <c r="T33" i="1821" s="1"/>
  <c r="W19" i="1821"/>
  <c r="V19" i="1821"/>
  <c r="U19" i="1821"/>
  <c r="T19" i="1821"/>
  <c r="S19" i="1821"/>
  <c r="R19" i="1821"/>
  <c r="Q19" i="1821"/>
  <c r="P19" i="1821"/>
  <c r="O19" i="1821"/>
  <c r="N19" i="1821"/>
  <c r="H33" i="1821" s="1"/>
  <c r="M19" i="1821"/>
  <c r="L19" i="1821"/>
  <c r="P33" i="1821" s="1"/>
  <c r="K19" i="1821"/>
  <c r="J19" i="1821"/>
  <c r="I19" i="1821"/>
  <c r="AB33" i="1821" s="1"/>
  <c r="H19" i="1821"/>
  <c r="G19" i="1821"/>
  <c r="F19" i="1821"/>
  <c r="E19" i="1821"/>
  <c r="D19" i="1821"/>
  <c r="AE16" i="1821"/>
  <c r="AD16" i="1821"/>
  <c r="AC16" i="1821"/>
  <c r="AB16" i="1821"/>
  <c r="AA16" i="1821"/>
  <c r="Z16" i="1821"/>
  <c r="Y16" i="1821"/>
  <c r="X16" i="1821"/>
  <c r="W16" i="1821"/>
  <c r="V16" i="1821"/>
  <c r="U16" i="1821"/>
  <c r="T16" i="1821"/>
  <c r="S16" i="1821"/>
  <c r="R16" i="1821"/>
  <c r="Q16" i="1821"/>
  <c r="P16" i="1821"/>
  <c r="O16" i="1821"/>
  <c r="N16" i="1821"/>
  <c r="M16" i="1821"/>
  <c r="L16" i="1821"/>
  <c r="K16" i="1821"/>
  <c r="J16" i="1821"/>
  <c r="I16" i="1821"/>
  <c r="H16" i="1821"/>
  <c r="G16" i="1821"/>
  <c r="F16" i="1821"/>
  <c r="E16" i="1821"/>
  <c r="D16" i="1821"/>
  <c r="AE10" i="1821"/>
  <c r="AD10" i="1821"/>
  <c r="AC33" i="1821" s="1"/>
  <c r="AC10" i="1821"/>
  <c r="AB10" i="1821"/>
  <c r="AA10" i="1821"/>
  <c r="Z10" i="1821"/>
  <c r="Y10" i="1821"/>
  <c r="X10" i="1821"/>
  <c r="W10" i="1821"/>
  <c r="V10" i="1821"/>
  <c r="U10" i="1821"/>
  <c r="T10" i="1821"/>
  <c r="S10" i="1821"/>
  <c r="R10" i="1821"/>
  <c r="Q10" i="1821"/>
  <c r="P10" i="1821"/>
  <c r="O10" i="1821"/>
  <c r="N10" i="1821"/>
  <c r="M10" i="1821"/>
  <c r="L10" i="1821"/>
  <c r="K10" i="1821"/>
  <c r="J10" i="1821"/>
  <c r="Q33" i="1821" s="1"/>
  <c r="I10" i="1821"/>
  <c r="H10" i="1821"/>
  <c r="G10" i="1821"/>
  <c r="F10" i="1821"/>
  <c r="E10" i="1821"/>
  <c r="S33" i="1821" s="1"/>
  <c r="D10" i="1821"/>
  <c r="Z33" i="1821" s="1"/>
  <c r="AE7" i="1821"/>
  <c r="AD7" i="1821"/>
  <c r="AC7" i="1821"/>
  <c r="AB7" i="1821"/>
  <c r="AA7" i="1821"/>
  <c r="Z7" i="1821"/>
  <c r="Y7" i="1821"/>
  <c r="X7" i="1821"/>
  <c r="W7" i="1821"/>
  <c r="V7" i="1821"/>
  <c r="U7" i="1821"/>
  <c r="T7" i="1821"/>
  <c r="S7" i="1821"/>
  <c r="R7" i="1821"/>
  <c r="Q7" i="1821"/>
  <c r="P7" i="1821"/>
  <c r="O7" i="1821"/>
  <c r="N7" i="1821"/>
  <c r="M7" i="1821"/>
  <c r="L7" i="1821"/>
  <c r="K7" i="1821"/>
  <c r="J7" i="1821"/>
  <c r="I7" i="1821"/>
  <c r="H7" i="1821"/>
  <c r="G7" i="1821"/>
  <c r="F7" i="1821"/>
  <c r="E7" i="1821"/>
  <c r="D7" i="1821"/>
  <c r="J33" i="1821" l="1"/>
  <c r="K33" i="1821"/>
  <c r="W33" i="1821"/>
  <c r="D33" i="1821"/>
  <c r="Y33" i="1821"/>
  <c r="N33" i="1821"/>
  <c r="E33" i="1821"/>
  <c r="M33" i="1821"/>
  <c r="V33" i="1821"/>
  <c r="AA33" i="1820" l="1"/>
  <c r="X33" i="1820"/>
  <c r="U33" i="1820"/>
  <c r="R33" i="1820"/>
  <c r="O33" i="1820"/>
  <c r="L33" i="1820"/>
  <c r="F33" i="1820"/>
  <c r="Y28" i="1820"/>
  <c r="X28" i="1820"/>
  <c r="W28" i="1820"/>
  <c r="V28" i="1820"/>
  <c r="U28" i="1820"/>
  <c r="T28" i="1820"/>
  <c r="S28" i="1820"/>
  <c r="R28" i="1820"/>
  <c r="Q28" i="1820"/>
  <c r="P28" i="1820"/>
  <c r="O28" i="1820"/>
  <c r="N28" i="1820"/>
  <c r="M28" i="1820"/>
  <c r="L28" i="1820"/>
  <c r="K28" i="1820"/>
  <c r="J28" i="1820"/>
  <c r="I28" i="1820"/>
  <c r="H28" i="1820"/>
  <c r="G28" i="1820"/>
  <c r="F28" i="1820"/>
  <c r="E28" i="1820"/>
  <c r="D28" i="1820"/>
  <c r="Y25" i="1820"/>
  <c r="X25" i="1820"/>
  <c r="W25" i="1820"/>
  <c r="V25" i="1820"/>
  <c r="U25" i="1820"/>
  <c r="T25" i="1820"/>
  <c r="S25" i="1820"/>
  <c r="R25" i="1820"/>
  <c r="Q25" i="1820"/>
  <c r="P25" i="1820"/>
  <c r="O25" i="1820"/>
  <c r="N25" i="1820"/>
  <c r="M25" i="1820"/>
  <c r="L25" i="1820"/>
  <c r="K25" i="1820"/>
  <c r="J25" i="1820"/>
  <c r="I25" i="1820"/>
  <c r="H25" i="1820"/>
  <c r="G25" i="1820"/>
  <c r="F25" i="1820"/>
  <c r="E25" i="1820"/>
  <c r="D25" i="1820"/>
  <c r="AE19" i="1820"/>
  <c r="AD19" i="1820"/>
  <c r="AC19" i="1820"/>
  <c r="AB19" i="1820"/>
  <c r="AA19" i="1820"/>
  <c r="Z19" i="1820"/>
  <c r="Y19" i="1820"/>
  <c r="X19" i="1820"/>
  <c r="T33" i="1820" s="1"/>
  <c r="W19" i="1820"/>
  <c r="V19" i="1820"/>
  <c r="U19" i="1820"/>
  <c r="T19" i="1820"/>
  <c r="S19" i="1820"/>
  <c r="R19" i="1820"/>
  <c r="Q19" i="1820"/>
  <c r="P19" i="1820"/>
  <c r="O19" i="1820"/>
  <c r="N19" i="1820"/>
  <c r="H33" i="1820" s="1"/>
  <c r="M19" i="1820"/>
  <c r="L19" i="1820"/>
  <c r="P33" i="1820" s="1"/>
  <c r="K19" i="1820"/>
  <c r="J19" i="1820"/>
  <c r="I19" i="1820"/>
  <c r="AB33" i="1820" s="1"/>
  <c r="H19" i="1820"/>
  <c r="G19" i="1820"/>
  <c r="F19" i="1820"/>
  <c r="E19" i="1820"/>
  <c r="D19" i="1820"/>
  <c r="AE16" i="1820"/>
  <c r="AD16" i="1820"/>
  <c r="AC16" i="1820"/>
  <c r="AB16" i="1820"/>
  <c r="AA16" i="1820"/>
  <c r="Z16" i="1820"/>
  <c r="Y16" i="1820"/>
  <c r="X16" i="1820"/>
  <c r="W16" i="1820"/>
  <c r="V16" i="1820"/>
  <c r="U16" i="1820"/>
  <c r="T16" i="1820"/>
  <c r="S16" i="1820"/>
  <c r="R16" i="1820"/>
  <c r="Q16" i="1820"/>
  <c r="P16" i="1820"/>
  <c r="O16" i="1820"/>
  <c r="N16" i="1820"/>
  <c r="M16" i="1820"/>
  <c r="L16" i="1820"/>
  <c r="K16" i="1820"/>
  <c r="J16" i="1820"/>
  <c r="I16" i="1820"/>
  <c r="H16" i="1820"/>
  <c r="G16" i="1820"/>
  <c r="F16" i="1820"/>
  <c r="E16" i="1820"/>
  <c r="D16" i="1820"/>
  <c r="AE10" i="1820"/>
  <c r="AD10" i="1820"/>
  <c r="AC33" i="1820" s="1"/>
  <c r="AC10" i="1820"/>
  <c r="AB10" i="1820"/>
  <c r="AA10" i="1820"/>
  <c r="Z10" i="1820"/>
  <c r="Y10" i="1820"/>
  <c r="X10" i="1820"/>
  <c r="W10" i="1820"/>
  <c r="V10" i="1820"/>
  <c r="U10" i="1820"/>
  <c r="T10" i="1820"/>
  <c r="S10" i="1820"/>
  <c r="R10" i="1820"/>
  <c r="Q10" i="1820"/>
  <c r="P10" i="1820"/>
  <c r="O10" i="1820"/>
  <c r="N10" i="1820"/>
  <c r="M10" i="1820"/>
  <c r="L10" i="1820"/>
  <c r="K10" i="1820"/>
  <c r="J10" i="1820"/>
  <c r="I10" i="1820"/>
  <c r="H10" i="1820"/>
  <c r="G10" i="1820"/>
  <c r="F10" i="1820"/>
  <c r="E10" i="1820"/>
  <c r="D10" i="1820"/>
  <c r="AE7" i="1820"/>
  <c r="AD7" i="1820"/>
  <c r="AC7" i="1820"/>
  <c r="AB7" i="1820"/>
  <c r="AA7" i="1820"/>
  <c r="Z7" i="1820"/>
  <c r="Y7" i="1820"/>
  <c r="X7" i="1820"/>
  <c r="W7" i="1820"/>
  <c r="V7" i="1820"/>
  <c r="U7" i="1820"/>
  <c r="T7" i="1820"/>
  <c r="S7" i="1820"/>
  <c r="R7" i="1820"/>
  <c r="Q7" i="1820"/>
  <c r="P7" i="1820"/>
  <c r="O7" i="1820"/>
  <c r="N7" i="1820"/>
  <c r="M7" i="1820"/>
  <c r="L7" i="1820"/>
  <c r="K7" i="1820"/>
  <c r="J7" i="1820"/>
  <c r="I7" i="1820"/>
  <c r="H7" i="1820"/>
  <c r="G7" i="1820"/>
  <c r="F7" i="1820"/>
  <c r="E7" i="1820"/>
  <c r="D7" i="1820"/>
  <c r="S33" i="1820" l="1"/>
  <c r="J33" i="1820"/>
  <c r="W33" i="1820"/>
  <c r="D33" i="1820"/>
  <c r="Z33" i="1820"/>
  <c r="Y33" i="1820"/>
  <c r="K33" i="1820"/>
  <c r="Q33" i="1820"/>
  <c r="N33" i="1820"/>
  <c r="E33" i="1820"/>
  <c r="M33" i="1820"/>
  <c r="V33" i="1820"/>
  <c r="AA33" i="1819"/>
  <c r="X33" i="1819"/>
  <c r="U33" i="1819"/>
  <c r="R33" i="1819"/>
  <c r="O33" i="1819"/>
  <c r="L33" i="1819"/>
  <c r="F33" i="1819"/>
  <c r="Y28" i="1819"/>
  <c r="X28" i="1819"/>
  <c r="W28" i="1819"/>
  <c r="V28" i="1819"/>
  <c r="U28" i="1819"/>
  <c r="T28" i="1819"/>
  <c r="S28" i="1819"/>
  <c r="R28" i="1819"/>
  <c r="Q28" i="1819"/>
  <c r="P28" i="1819"/>
  <c r="O28" i="1819"/>
  <c r="N28" i="1819"/>
  <c r="M28" i="1819"/>
  <c r="L28" i="1819"/>
  <c r="K28" i="1819"/>
  <c r="J28" i="1819"/>
  <c r="I28" i="1819"/>
  <c r="H28" i="1819"/>
  <c r="G28" i="1819"/>
  <c r="F28" i="1819"/>
  <c r="E28" i="1819"/>
  <c r="D28" i="1819"/>
  <c r="Y25" i="1819"/>
  <c r="X25" i="1819"/>
  <c r="W25" i="1819"/>
  <c r="V25" i="1819"/>
  <c r="U25" i="1819"/>
  <c r="T25" i="1819"/>
  <c r="S25" i="1819"/>
  <c r="R25" i="1819"/>
  <c r="Q25" i="1819"/>
  <c r="P25" i="1819"/>
  <c r="O25" i="1819"/>
  <c r="N25" i="1819"/>
  <c r="M25" i="1819"/>
  <c r="L25" i="1819"/>
  <c r="K25" i="1819"/>
  <c r="J25" i="1819"/>
  <c r="I25" i="1819"/>
  <c r="H25" i="1819"/>
  <c r="G25" i="1819"/>
  <c r="F25" i="1819"/>
  <c r="E25" i="1819"/>
  <c r="D25" i="1819"/>
  <c r="AE19" i="1819"/>
  <c r="AD19" i="1819"/>
  <c r="AC19" i="1819"/>
  <c r="AB19" i="1819"/>
  <c r="AA19" i="1819"/>
  <c r="Z19" i="1819"/>
  <c r="Y19" i="1819"/>
  <c r="X19" i="1819"/>
  <c r="T33" i="1819" s="1"/>
  <c r="W19" i="1819"/>
  <c r="V19" i="1819"/>
  <c r="U19" i="1819"/>
  <c r="T19" i="1819"/>
  <c r="S19" i="1819"/>
  <c r="R19" i="1819"/>
  <c r="Q19" i="1819"/>
  <c r="P19" i="1819"/>
  <c r="O19" i="1819"/>
  <c r="N19" i="1819"/>
  <c r="H33" i="1819" s="1"/>
  <c r="M19" i="1819"/>
  <c r="L19" i="1819"/>
  <c r="P33" i="1819" s="1"/>
  <c r="K19" i="1819"/>
  <c r="J19" i="1819"/>
  <c r="I19" i="1819"/>
  <c r="AB33" i="1819" s="1"/>
  <c r="H19" i="1819"/>
  <c r="G19" i="1819"/>
  <c r="F19" i="1819"/>
  <c r="E19" i="1819"/>
  <c r="D19" i="1819"/>
  <c r="AE16" i="1819"/>
  <c r="AD16" i="1819"/>
  <c r="AC16" i="1819"/>
  <c r="AB16" i="1819"/>
  <c r="AA16" i="1819"/>
  <c r="Z16" i="1819"/>
  <c r="Y16" i="1819"/>
  <c r="X16" i="1819"/>
  <c r="W16" i="1819"/>
  <c r="V16" i="1819"/>
  <c r="U16" i="1819"/>
  <c r="T16" i="1819"/>
  <c r="S16" i="1819"/>
  <c r="R16" i="1819"/>
  <c r="Q16" i="1819"/>
  <c r="P16" i="1819"/>
  <c r="O16" i="1819"/>
  <c r="N16" i="1819"/>
  <c r="M16" i="1819"/>
  <c r="L16" i="1819"/>
  <c r="K16" i="1819"/>
  <c r="J16" i="1819"/>
  <c r="I16" i="1819"/>
  <c r="H16" i="1819"/>
  <c r="G16" i="1819"/>
  <c r="F16" i="1819"/>
  <c r="E16" i="1819"/>
  <c r="D16" i="1819"/>
  <c r="AE10" i="1819"/>
  <c r="AD10" i="1819"/>
  <c r="AC33" i="1819" s="1"/>
  <c r="AC10" i="1819"/>
  <c r="AB10" i="1819"/>
  <c r="AA10" i="1819"/>
  <c r="Z10" i="1819"/>
  <c r="Y10" i="1819"/>
  <c r="X10" i="1819"/>
  <c r="W10" i="1819"/>
  <c r="V10" i="1819"/>
  <c r="U10" i="1819"/>
  <c r="T10" i="1819"/>
  <c r="S10" i="1819"/>
  <c r="R10" i="1819"/>
  <c r="Q10" i="1819"/>
  <c r="P10" i="1819"/>
  <c r="O10" i="1819"/>
  <c r="N10" i="1819"/>
  <c r="M10" i="1819"/>
  <c r="L10" i="1819"/>
  <c r="K10" i="1819"/>
  <c r="J10" i="1819"/>
  <c r="Q33" i="1819" s="1"/>
  <c r="I10" i="1819"/>
  <c r="H10" i="1819"/>
  <c r="G10" i="1819"/>
  <c r="F10" i="1819"/>
  <c r="E10" i="1819"/>
  <c r="D10" i="1819"/>
  <c r="Z33" i="1819" s="1"/>
  <c r="AE7" i="1819"/>
  <c r="AD7" i="1819"/>
  <c r="AC7" i="1819"/>
  <c r="AB7" i="1819"/>
  <c r="AA7" i="1819"/>
  <c r="Z7" i="1819"/>
  <c r="Y7" i="1819"/>
  <c r="X7" i="1819"/>
  <c r="W7" i="1819"/>
  <c r="V7" i="1819"/>
  <c r="U7" i="1819"/>
  <c r="T7" i="1819"/>
  <c r="S7" i="1819"/>
  <c r="R7" i="1819"/>
  <c r="Q7" i="1819"/>
  <c r="P7" i="1819"/>
  <c r="O7" i="1819"/>
  <c r="N7" i="1819"/>
  <c r="M7" i="1819"/>
  <c r="L7" i="1819"/>
  <c r="K7" i="1819"/>
  <c r="J7" i="1819"/>
  <c r="I7" i="1819"/>
  <c r="H7" i="1819"/>
  <c r="G7" i="1819"/>
  <c r="F7" i="1819"/>
  <c r="E7" i="1819"/>
  <c r="D7" i="1819"/>
  <c r="S33" i="1819" l="1"/>
  <c r="J33" i="1819"/>
  <c r="K33" i="1819"/>
  <c r="W33" i="1819"/>
  <c r="D33" i="1819"/>
  <c r="Y33" i="1819"/>
  <c r="N33" i="1819"/>
  <c r="E33" i="1819"/>
  <c r="M33" i="1819"/>
  <c r="V33" i="1819"/>
  <c r="AA33" i="1818"/>
  <c r="X33" i="1818"/>
  <c r="U33" i="1818"/>
  <c r="R33" i="1818"/>
  <c r="O33" i="1818"/>
  <c r="L33" i="1818"/>
  <c r="F33" i="1818"/>
  <c r="Y28" i="1818"/>
  <c r="X28" i="1818"/>
  <c r="W28" i="1818"/>
  <c r="V28" i="1818"/>
  <c r="U28" i="1818"/>
  <c r="T28" i="1818"/>
  <c r="S28" i="1818"/>
  <c r="R28" i="1818"/>
  <c r="Q28" i="1818"/>
  <c r="P28" i="1818"/>
  <c r="O28" i="1818"/>
  <c r="N28" i="1818"/>
  <c r="M28" i="1818"/>
  <c r="L28" i="1818"/>
  <c r="K28" i="1818"/>
  <c r="J28" i="1818"/>
  <c r="I28" i="1818"/>
  <c r="H28" i="1818"/>
  <c r="G28" i="1818"/>
  <c r="F28" i="1818"/>
  <c r="E28" i="1818"/>
  <c r="D28" i="1818"/>
  <c r="Y25" i="1818"/>
  <c r="X25" i="1818"/>
  <c r="W25" i="1818"/>
  <c r="V25" i="1818"/>
  <c r="U25" i="1818"/>
  <c r="T25" i="1818"/>
  <c r="S25" i="1818"/>
  <c r="R25" i="1818"/>
  <c r="Q25" i="1818"/>
  <c r="P25" i="1818"/>
  <c r="O25" i="1818"/>
  <c r="N25" i="1818"/>
  <c r="M25" i="1818"/>
  <c r="L25" i="1818"/>
  <c r="K25" i="1818"/>
  <c r="J25" i="1818"/>
  <c r="I25" i="1818"/>
  <c r="H25" i="1818"/>
  <c r="G25" i="1818"/>
  <c r="F25" i="1818"/>
  <c r="E25" i="1818"/>
  <c r="D25" i="1818"/>
  <c r="AE19" i="1818"/>
  <c r="AD19" i="1818"/>
  <c r="AC19" i="1818"/>
  <c r="AB19" i="1818"/>
  <c r="AA19" i="1818"/>
  <c r="Z19" i="1818"/>
  <c r="Y19" i="1818"/>
  <c r="X19" i="1818"/>
  <c r="T33" i="1818" s="1"/>
  <c r="W19" i="1818"/>
  <c r="V19" i="1818"/>
  <c r="U19" i="1818"/>
  <c r="T19" i="1818"/>
  <c r="S19" i="1818"/>
  <c r="R19" i="1818"/>
  <c r="Q19" i="1818"/>
  <c r="P19" i="1818"/>
  <c r="O19" i="1818"/>
  <c r="N19" i="1818"/>
  <c r="H33" i="1818" s="1"/>
  <c r="M19" i="1818"/>
  <c r="L19" i="1818"/>
  <c r="P33" i="1818" s="1"/>
  <c r="K19" i="1818"/>
  <c r="J19" i="1818"/>
  <c r="I19" i="1818"/>
  <c r="AB33" i="1818" s="1"/>
  <c r="H19" i="1818"/>
  <c r="G19" i="1818"/>
  <c r="F19" i="1818"/>
  <c r="E19" i="1818"/>
  <c r="D19" i="1818"/>
  <c r="AE16" i="1818"/>
  <c r="AD16" i="1818"/>
  <c r="AC16" i="1818"/>
  <c r="AB16" i="1818"/>
  <c r="AA16" i="1818"/>
  <c r="Z16" i="1818"/>
  <c r="Y16" i="1818"/>
  <c r="X16" i="1818"/>
  <c r="W16" i="1818"/>
  <c r="V16" i="1818"/>
  <c r="U16" i="1818"/>
  <c r="T16" i="1818"/>
  <c r="S16" i="1818"/>
  <c r="R16" i="1818"/>
  <c r="Q16" i="1818"/>
  <c r="P16" i="1818"/>
  <c r="O16" i="1818"/>
  <c r="N16" i="1818"/>
  <c r="M16" i="1818"/>
  <c r="L16" i="1818"/>
  <c r="K16" i="1818"/>
  <c r="J16" i="1818"/>
  <c r="I16" i="1818"/>
  <c r="H16" i="1818"/>
  <c r="G16" i="1818"/>
  <c r="F16" i="1818"/>
  <c r="E16" i="1818"/>
  <c r="D16" i="1818"/>
  <c r="AE10" i="1818"/>
  <c r="AD10" i="1818"/>
  <c r="AC33" i="1818" s="1"/>
  <c r="AC10" i="1818"/>
  <c r="AB10" i="1818"/>
  <c r="AA10" i="1818"/>
  <c r="Z10" i="1818"/>
  <c r="Y10" i="1818"/>
  <c r="X10" i="1818"/>
  <c r="W10" i="1818"/>
  <c r="V10" i="1818"/>
  <c r="U10" i="1818"/>
  <c r="T10" i="1818"/>
  <c r="S10" i="1818"/>
  <c r="R10" i="1818"/>
  <c r="Q10" i="1818"/>
  <c r="P10" i="1818"/>
  <c r="O10" i="1818"/>
  <c r="N10" i="1818"/>
  <c r="M10" i="1818"/>
  <c r="L10" i="1818"/>
  <c r="K10" i="1818"/>
  <c r="J10" i="1818"/>
  <c r="Q33" i="1818" s="1"/>
  <c r="I10" i="1818"/>
  <c r="H10" i="1818"/>
  <c r="G10" i="1818"/>
  <c r="F10" i="1818"/>
  <c r="E10" i="1818"/>
  <c r="D10" i="1818"/>
  <c r="Z33" i="1818" s="1"/>
  <c r="AE7" i="1818"/>
  <c r="AD7" i="1818"/>
  <c r="AC7" i="1818"/>
  <c r="AB7" i="1818"/>
  <c r="AA7" i="1818"/>
  <c r="Z7" i="1818"/>
  <c r="Y7" i="1818"/>
  <c r="X7" i="1818"/>
  <c r="W7" i="1818"/>
  <c r="V7" i="1818"/>
  <c r="U7" i="1818"/>
  <c r="T7" i="1818"/>
  <c r="S7" i="1818"/>
  <c r="R7" i="1818"/>
  <c r="Q7" i="1818"/>
  <c r="P7" i="1818"/>
  <c r="O7" i="1818"/>
  <c r="N7" i="1818"/>
  <c r="M7" i="1818"/>
  <c r="L7" i="1818"/>
  <c r="K7" i="1818"/>
  <c r="J7" i="1818"/>
  <c r="I7" i="1818"/>
  <c r="H7" i="1818"/>
  <c r="G7" i="1818"/>
  <c r="F7" i="1818"/>
  <c r="E7" i="1818"/>
  <c r="D7" i="1818"/>
  <c r="S33" i="1818" l="1"/>
  <c r="J33" i="1818"/>
  <c r="K33" i="1818"/>
  <c r="W33" i="1818"/>
  <c r="D33" i="1818"/>
  <c r="Y33" i="1818"/>
  <c r="N33" i="1818"/>
  <c r="E33" i="1818"/>
  <c r="M33" i="1818"/>
  <c r="V33" i="1818"/>
  <c r="AA33" i="1817"/>
  <c r="X33" i="1817"/>
  <c r="U33" i="1817"/>
  <c r="R33" i="1817"/>
  <c r="O33" i="1817"/>
  <c r="L33" i="1817"/>
  <c r="F33" i="1817"/>
  <c r="Y28" i="1817"/>
  <c r="X28" i="1817"/>
  <c r="W28" i="1817"/>
  <c r="V28" i="1817"/>
  <c r="U28" i="1817"/>
  <c r="T28" i="1817"/>
  <c r="S28" i="1817"/>
  <c r="R28" i="1817"/>
  <c r="Q28" i="1817"/>
  <c r="P28" i="1817"/>
  <c r="O28" i="1817"/>
  <c r="N28" i="1817"/>
  <c r="M28" i="1817"/>
  <c r="L28" i="1817"/>
  <c r="K28" i="1817"/>
  <c r="J28" i="1817"/>
  <c r="I28" i="1817"/>
  <c r="H28" i="1817"/>
  <c r="G28" i="1817"/>
  <c r="F28" i="1817"/>
  <c r="E28" i="1817"/>
  <c r="D28" i="1817"/>
  <c r="Y25" i="1817"/>
  <c r="X25" i="1817"/>
  <c r="W25" i="1817"/>
  <c r="V25" i="1817"/>
  <c r="U25" i="1817"/>
  <c r="T25" i="1817"/>
  <c r="S25" i="1817"/>
  <c r="R25" i="1817"/>
  <c r="Q25" i="1817"/>
  <c r="P25" i="1817"/>
  <c r="O25" i="1817"/>
  <c r="N25" i="1817"/>
  <c r="M25" i="1817"/>
  <c r="L25" i="1817"/>
  <c r="K25" i="1817"/>
  <c r="J25" i="1817"/>
  <c r="I25" i="1817"/>
  <c r="H25" i="1817"/>
  <c r="G25" i="1817"/>
  <c r="F25" i="1817"/>
  <c r="E25" i="1817"/>
  <c r="D25" i="1817"/>
  <c r="AE19" i="1817"/>
  <c r="AD19" i="1817"/>
  <c r="AC19" i="1817"/>
  <c r="AB19" i="1817"/>
  <c r="AA19" i="1817"/>
  <c r="Z19" i="1817"/>
  <c r="Y19" i="1817"/>
  <c r="X19" i="1817"/>
  <c r="T33" i="1817" s="1"/>
  <c r="W19" i="1817"/>
  <c r="V19" i="1817"/>
  <c r="U19" i="1817"/>
  <c r="T19" i="1817"/>
  <c r="S19" i="1817"/>
  <c r="R19" i="1817"/>
  <c r="Q19" i="1817"/>
  <c r="P19" i="1817"/>
  <c r="O19" i="1817"/>
  <c r="N19" i="1817"/>
  <c r="H33" i="1817" s="1"/>
  <c r="M19" i="1817"/>
  <c r="L19" i="1817"/>
  <c r="P33" i="1817" s="1"/>
  <c r="K19" i="1817"/>
  <c r="J19" i="1817"/>
  <c r="I19" i="1817"/>
  <c r="AB33" i="1817" s="1"/>
  <c r="H19" i="1817"/>
  <c r="G19" i="1817"/>
  <c r="F19" i="1817"/>
  <c r="E19" i="1817"/>
  <c r="D19" i="1817"/>
  <c r="AE16" i="1817"/>
  <c r="AD16" i="1817"/>
  <c r="AC16" i="1817"/>
  <c r="AB16" i="1817"/>
  <c r="AA16" i="1817"/>
  <c r="Z16" i="1817"/>
  <c r="Y16" i="1817"/>
  <c r="X16" i="1817"/>
  <c r="W16" i="1817"/>
  <c r="V16" i="1817"/>
  <c r="U16" i="1817"/>
  <c r="T16" i="1817"/>
  <c r="S16" i="1817"/>
  <c r="R16" i="1817"/>
  <c r="Q16" i="1817"/>
  <c r="P16" i="1817"/>
  <c r="O16" i="1817"/>
  <c r="N16" i="1817"/>
  <c r="M16" i="1817"/>
  <c r="L16" i="1817"/>
  <c r="K16" i="1817"/>
  <c r="J16" i="1817"/>
  <c r="I16" i="1817"/>
  <c r="H16" i="1817"/>
  <c r="G16" i="1817"/>
  <c r="F16" i="1817"/>
  <c r="E16" i="1817"/>
  <c r="D16" i="1817"/>
  <c r="AE10" i="1817"/>
  <c r="AD10" i="1817"/>
  <c r="AC33" i="1817" s="1"/>
  <c r="AC10" i="1817"/>
  <c r="AB10" i="1817"/>
  <c r="AA10" i="1817"/>
  <c r="Z10" i="1817"/>
  <c r="Y10" i="1817"/>
  <c r="X10" i="1817"/>
  <c r="W10" i="1817"/>
  <c r="V10" i="1817"/>
  <c r="U10" i="1817"/>
  <c r="T10" i="1817"/>
  <c r="S10" i="1817"/>
  <c r="R10" i="1817"/>
  <c r="Q10" i="1817"/>
  <c r="P10" i="1817"/>
  <c r="O10" i="1817"/>
  <c r="N10" i="1817"/>
  <c r="M10" i="1817"/>
  <c r="L10" i="1817"/>
  <c r="K10" i="1817"/>
  <c r="J10" i="1817"/>
  <c r="Q33" i="1817" s="1"/>
  <c r="I10" i="1817"/>
  <c r="H10" i="1817"/>
  <c r="G10" i="1817"/>
  <c r="F10" i="1817"/>
  <c r="E10" i="1817"/>
  <c r="S33" i="1817" s="1"/>
  <c r="D10" i="1817"/>
  <c r="Z33" i="1817" s="1"/>
  <c r="AE7" i="1817"/>
  <c r="AD7" i="1817"/>
  <c r="AC7" i="1817"/>
  <c r="AB7" i="1817"/>
  <c r="AA7" i="1817"/>
  <c r="Z7" i="1817"/>
  <c r="Y7" i="1817"/>
  <c r="X7" i="1817"/>
  <c r="W7" i="1817"/>
  <c r="V7" i="1817"/>
  <c r="U7" i="1817"/>
  <c r="T7" i="1817"/>
  <c r="S7" i="1817"/>
  <c r="R7" i="1817"/>
  <c r="Q7" i="1817"/>
  <c r="P7" i="1817"/>
  <c r="O7" i="1817"/>
  <c r="N7" i="1817"/>
  <c r="M7" i="1817"/>
  <c r="L7" i="1817"/>
  <c r="K7" i="1817"/>
  <c r="J7" i="1817"/>
  <c r="I7" i="1817"/>
  <c r="H7" i="1817"/>
  <c r="G7" i="1817"/>
  <c r="F7" i="1817"/>
  <c r="E7" i="1817"/>
  <c r="D7" i="1817"/>
  <c r="W33" i="1817" l="1"/>
  <c r="J33" i="1817"/>
  <c r="K33" i="1817"/>
  <c r="D33" i="1817"/>
  <c r="Y33" i="1817"/>
  <c r="N33" i="1817"/>
  <c r="E33" i="1817"/>
  <c r="M33" i="1817"/>
  <c r="V33" i="1817"/>
  <c r="AA33" i="1816"/>
  <c r="X33" i="1816"/>
  <c r="U33" i="1816"/>
  <c r="R33" i="1816"/>
  <c r="O33" i="1816"/>
  <c r="L33" i="1816"/>
  <c r="F33" i="1816"/>
  <c r="Y28" i="1816"/>
  <c r="X28" i="1816"/>
  <c r="W28" i="1816"/>
  <c r="V28" i="1816"/>
  <c r="U28" i="1816"/>
  <c r="T28" i="1816"/>
  <c r="S28" i="1816"/>
  <c r="R28" i="1816"/>
  <c r="Q28" i="1816"/>
  <c r="P28" i="1816"/>
  <c r="O28" i="1816"/>
  <c r="N28" i="1816"/>
  <c r="M28" i="1816"/>
  <c r="L28" i="1816"/>
  <c r="K28" i="1816"/>
  <c r="J28" i="1816"/>
  <c r="I28" i="1816"/>
  <c r="H28" i="1816"/>
  <c r="G28" i="1816"/>
  <c r="F28" i="1816"/>
  <c r="E28" i="1816"/>
  <c r="D28" i="1816"/>
  <c r="Y25" i="1816"/>
  <c r="X25" i="1816"/>
  <c r="W25" i="1816"/>
  <c r="V25" i="1816"/>
  <c r="U25" i="1816"/>
  <c r="T25" i="1816"/>
  <c r="S25" i="1816"/>
  <c r="R25" i="1816"/>
  <c r="Q25" i="1816"/>
  <c r="P25" i="1816"/>
  <c r="O25" i="1816"/>
  <c r="N25" i="1816"/>
  <c r="M25" i="1816"/>
  <c r="L25" i="1816"/>
  <c r="K25" i="1816"/>
  <c r="J25" i="1816"/>
  <c r="I25" i="1816"/>
  <c r="H25" i="1816"/>
  <c r="G25" i="1816"/>
  <c r="F25" i="1816"/>
  <c r="E25" i="1816"/>
  <c r="D25" i="1816"/>
  <c r="AE19" i="1816"/>
  <c r="AD19" i="1816"/>
  <c r="AC19" i="1816"/>
  <c r="AB19" i="1816"/>
  <c r="AA19" i="1816"/>
  <c r="Z19" i="1816"/>
  <c r="Y19" i="1816"/>
  <c r="X19" i="1816"/>
  <c r="T33" i="1816" s="1"/>
  <c r="W19" i="1816"/>
  <c r="V19" i="1816"/>
  <c r="U19" i="1816"/>
  <c r="T19" i="1816"/>
  <c r="S19" i="1816"/>
  <c r="R19" i="1816"/>
  <c r="Q19" i="1816"/>
  <c r="P19" i="1816"/>
  <c r="O19" i="1816"/>
  <c r="N19" i="1816"/>
  <c r="H33" i="1816" s="1"/>
  <c r="M19" i="1816"/>
  <c r="L19" i="1816"/>
  <c r="P33" i="1816" s="1"/>
  <c r="K19" i="1816"/>
  <c r="J19" i="1816"/>
  <c r="I19" i="1816"/>
  <c r="AB33" i="1816" s="1"/>
  <c r="H19" i="1816"/>
  <c r="G19" i="1816"/>
  <c r="F19" i="1816"/>
  <c r="E19" i="1816"/>
  <c r="D19" i="1816"/>
  <c r="AE16" i="1816"/>
  <c r="AD16" i="1816"/>
  <c r="AC16" i="1816"/>
  <c r="AB16" i="1816"/>
  <c r="AA16" i="1816"/>
  <c r="Z16" i="1816"/>
  <c r="Y16" i="1816"/>
  <c r="X16" i="1816"/>
  <c r="W16" i="1816"/>
  <c r="V16" i="1816"/>
  <c r="U16" i="1816"/>
  <c r="T16" i="1816"/>
  <c r="S16" i="1816"/>
  <c r="R16" i="1816"/>
  <c r="Q16" i="1816"/>
  <c r="P16" i="1816"/>
  <c r="O16" i="1816"/>
  <c r="N16" i="1816"/>
  <c r="M16" i="1816"/>
  <c r="L16" i="1816"/>
  <c r="K16" i="1816"/>
  <c r="J16" i="1816"/>
  <c r="I16" i="1816"/>
  <c r="H16" i="1816"/>
  <c r="G16" i="1816"/>
  <c r="F16" i="1816"/>
  <c r="E16" i="1816"/>
  <c r="D16" i="1816"/>
  <c r="AE10" i="1816"/>
  <c r="AD10" i="1816"/>
  <c r="AC33" i="1816" s="1"/>
  <c r="AC10" i="1816"/>
  <c r="AB10" i="1816"/>
  <c r="AA10" i="1816"/>
  <c r="Z10" i="1816"/>
  <c r="Y10" i="1816"/>
  <c r="X10" i="1816"/>
  <c r="W10" i="1816"/>
  <c r="V10" i="1816"/>
  <c r="U10" i="1816"/>
  <c r="T10" i="1816"/>
  <c r="S10" i="1816"/>
  <c r="R10" i="1816"/>
  <c r="Q10" i="1816"/>
  <c r="P10" i="1816"/>
  <c r="O10" i="1816"/>
  <c r="N10" i="1816"/>
  <c r="M10" i="1816"/>
  <c r="L10" i="1816"/>
  <c r="K10" i="1816"/>
  <c r="J10" i="1816"/>
  <c r="Q33" i="1816" s="1"/>
  <c r="I10" i="1816"/>
  <c r="H10" i="1816"/>
  <c r="G10" i="1816"/>
  <c r="F10" i="1816"/>
  <c r="E10" i="1816"/>
  <c r="S33" i="1816" s="1"/>
  <c r="D10" i="1816"/>
  <c r="AE7" i="1816"/>
  <c r="AD7" i="1816"/>
  <c r="AC7" i="1816"/>
  <c r="AB7" i="1816"/>
  <c r="AA7" i="1816"/>
  <c r="Z7" i="1816"/>
  <c r="Y7" i="1816"/>
  <c r="X7" i="1816"/>
  <c r="W7" i="1816"/>
  <c r="V7" i="1816"/>
  <c r="U7" i="1816"/>
  <c r="T7" i="1816"/>
  <c r="S7" i="1816"/>
  <c r="R7" i="1816"/>
  <c r="Q7" i="1816"/>
  <c r="P7" i="1816"/>
  <c r="O7" i="1816"/>
  <c r="N7" i="1816"/>
  <c r="M7" i="1816"/>
  <c r="L7" i="1816"/>
  <c r="K7" i="1816"/>
  <c r="J7" i="1816"/>
  <c r="I7" i="1816"/>
  <c r="H7" i="1816"/>
  <c r="G7" i="1816"/>
  <c r="F7" i="1816"/>
  <c r="E7" i="1816"/>
  <c r="D7" i="1816"/>
  <c r="AA33" i="1815"/>
  <c r="X33" i="1815"/>
  <c r="U33" i="1815"/>
  <c r="R33" i="1815"/>
  <c r="O33" i="1815"/>
  <c r="L33" i="1815"/>
  <c r="F33" i="1815"/>
  <c r="Y28" i="1815"/>
  <c r="X28" i="1815"/>
  <c r="W28" i="1815"/>
  <c r="V28" i="1815"/>
  <c r="U28" i="1815"/>
  <c r="T28" i="1815"/>
  <c r="S28" i="1815"/>
  <c r="R28" i="1815"/>
  <c r="Q28" i="1815"/>
  <c r="P28" i="1815"/>
  <c r="O28" i="1815"/>
  <c r="N28" i="1815"/>
  <c r="M28" i="1815"/>
  <c r="L28" i="1815"/>
  <c r="K28" i="1815"/>
  <c r="J28" i="1815"/>
  <c r="I28" i="1815"/>
  <c r="H28" i="1815"/>
  <c r="G28" i="1815"/>
  <c r="F28" i="1815"/>
  <c r="E28" i="1815"/>
  <c r="D28" i="1815"/>
  <c r="Y25" i="1815"/>
  <c r="X25" i="1815"/>
  <c r="W25" i="1815"/>
  <c r="V25" i="1815"/>
  <c r="U25" i="1815"/>
  <c r="T25" i="1815"/>
  <c r="S25" i="1815"/>
  <c r="R25" i="1815"/>
  <c r="Q25" i="1815"/>
  <c r="P25" i="1815"/>
  <c r="O25" i="1815"/>
  <c r="N25" i="1815"/>
  <c r="M25" i="1815"/>
  <c r="L25" i="1815"/>
  <c r="K25" i="1815"/>
  <c r="J25" i="1815"/>
  <c r="I25" i="1815"/>
  <c r="H25" i="1815"/>
  <c r="G25" i="1815"/>
  <c r="F25" i="1815"/>
  <c r="E25" i="1815"/>
  <c r="D25" i="1815"/>
  <c r="AE19" i="1815"/>
  <c r="AD19" i="1815"/>
  <c r="AC19" i="1815"/>
  <c r="AB19" i="1815"/>
  <c r="AA19" i="1815"/>
  <c r="Z19" i="1815"/>
  <c r="Y19" i="1815"/>
  <c r="X19" i="1815"/>
  <c r="T33" i="1815" s="1"/>
  <c r="W19" i="1815"/>
  <c r="V19" i="1815"/>
  <c r="U19" i="1815"/>
  <c r="T19" i="1815"/>
  <c r="S19" i="1815"/>
  <c r="R19" i="1815"/>
  <c r="Q19" i="1815"/>
  <c r="P19" i="1815"/>
  <c r="O19" i="1815"/>
  <c r="N19" i="1815"/>
  <c r="H33" i="1815" s="1"/>
  <c r="M19" i="1815"/>
  <c r="L19" i="1815"/>
  <c r="P33" i="1815" s="1"/>
  <c r="K19" i="1815"/>
  <c r="J19" i="1815"/>
  <c r="I19" i="1815"/>
  <c r="AB33" i="1815" s="1"/>
  <c r="H19" i="1815"/>
  <c r="G19" i="1815"/>
  <c r="F19" i="1815"/>
  <c r="E19" i="1815"/>
  <c r="D19" i="1815"/>
  <c r="AE16" i="1815"/>
  <c r="AD16" i="1815"/>
  <c r="AC16" i="1815"/>
  <c r="AB16" i="1815"/>
  <c r="AA16" i="1815"/>
  <c r="Z16" i="1815"/>
  <c r="Y16" i="1815"/>
  <c r="X16" i="1815"/>
  <c r="W16" i="1815"/>
  <c r="V16" i="1815"/>
  <c r="U16" i="1815"/>
  <c r="T16" i="1815"/>
  <c r="S16" i="1815"/>
  <c r="R16" i="1815"/>
  <c r="Q16" i="1815"/>
  <c r="P16" i="1815"/>
  <c r="O16" i="1815"/>
  <c r="N16" i="1815"/>
  <c r="M16" i="1815"/>
  <c r="L16" i="1815"/>
  <c r="K16" i="1815"/>
  <c r="J16" i="1815"/>
  <c r="I16" i="1815"/>
  <c r="H16" i="1815"/>
  <c r="G16" i="1815"/>
  <c r="F16" i="1815"/>
  <c r="E16" i="1815"/>
  <c r="D16" i="1815"/>
  <c r="AE10" i="1815"/>
  <c r="AD10" i="1815"/>
  <c r="AC33" i="1815" s="1"/>
  <c r="AC10" i="1815"/>
  <c r="AB10" i="1815"/>
  <c r="AA10" i="1815"/>
  <c r="Z10" i="1815"/>
  <c r="Y10" i="1815"/>
  <c r="X10" i="1815"/>
  <c r="W10" i="1815"/>
  <c r="V10" i="1815"/>
  <c r="U10" i="1815"/>
  <c r="T10" i="1815"/>
  <c r="S10" i="1815"/>
  <c r="R10" i="1815"/>
  <c r="Q10" i="1815"/>
  <c r="P10" i="1815"/>
  <c r="O10" i="1815"/>
  <c r="N10" i="1815"/>
  <c r="M10" i="1815"/>
  <c r="L10" i="1815"/>
  <c r="K10" i="1815"/>
  <c r="J10" i="1815"/>
  <c r="Q33" i="1815" s="1"/>
  <c r="I10" i="1815"/>
  <c r="H10" i="1815"/>
  <c r="G10" i="1815"/>
  <c r="F10" i="1815"/>
  <c r="E10" i="1815"/>
  <c r="S33" i="1815" s="1"/>
  <c r="D10" i="1815"/>
  <c r="AE7" i="1815"/>
  <c r="AD7" i="1815"/>
  <c r="AC7" i="1815"/>
  <c r="AB7" i="1815"/>
  <c r="AA7" i="1815"/>
  <c r="Z7" i="1815"/>
  <c r="Y7" i="1815"/>
  <c r="X7" i="1815"/>
  <c r="W7" i="1815"/>
  <c r="V7" i="1815"/>
  <c r="U7" i="1815"/>
  <c r="T7" i="1815"/>
  <c r="S7" i="1815"/>
  <c r="R7" i="1815"/>
  <c r="Q7" i="1815"/>
  <c r="P7" i="1815"/>
  <c r="O7" i="1815"/>
  <c r="N7" i="1815"/>
  <c r="M7" i="1815"/>
  <c r="L7" i="1815"/>
  <c r="K7" i="1815"/>
  <c r="J7" i="1815"/>
  <c r="I7" i="1815"/>
  <c r="H7" i="1815"/>
  <c r="G7" i="1815"/>
  <c r="F7" i="1815"/>
  <c r="E7" i="1815"/>
  <c r="D7" i="1815"/>
  <c r="J33" i="1816" l="1"/>
  <c r="K33" i="1816"/>
  <c r="W33" i="1816"/>
  <c r="D33" i="1816"/>
  <c r="Z33" i="1816"/>
  <c r="Y33" i="1816"/>
  <c r="N33" i="1816"/>
  <c r="E33" i="1816"/>
  <c r="M33" i="1816"/>
  <c r="V33" i="1816"/>
  <c r="M33" i="1815"/>
  <c r="J33" i="1815"/>
  <c r="K33" i="1815"/>
  <c r="W33" i="1815"/>
  <c r="D33" i="1815"/>
  <c r="Z33" i="1815"/>
  <c r="Y33" i="1815"/>
  <c r="N33" i="1815"/>
  <c r="E33" i="1815"/>
  <c r="V33" i="1815"/>
  <c r="AA33" i="1814"/>
  <c r="X33" i="1814"/>
  <c r="U33" i="1814"/>
  <c r="R33" i="1814"/>
  <c r="O33" i="1814"/>
  <c r="L33" i="1814"/>
  <c r="F33" i="1814"/>
  <c r="Y28" i="1814"/>
  <c r="X28" i="1814"/>
  <c r="W28" i="1814"/>
  <c r="V28" i="1814"/>
  <c r="U28" i="1814"/>
  <c r="T28" i="1814"/>
  <c r="S28" i="1814"/>
  <c r="R28" i="1814"/>
  <c r="Q28" i="1814"/>
  <c r="P28" i="1814"/>
  <c r="O28" i="1814"/>
  <c r="N28" i="1814"/>
  <c r="M28" i="1814"/>
  <c r="L28" i="1814"/>
  <c r="K28" i="1814"/>
  <c r="J28" i="1814"/>
  <c r="I28" i="1814"/>
  <c r="H28" i="1814"/>
  <c r="G28" i="1814"/>
  <c r="F28" i="1814"/>
  <c r="E28" i="1814"/>
  <c r="D28" i="1814"/>
  <c r="Y25" i="1814"/>
  <c r="X25" i="1814"/>
  <c r="W25" i="1814"/>
  <c r="V25" i="1814"/>
  <c r="U25" i="1814"/>
  <c r="T25" i="1814"/>
  <c r="S25" i="1814"/>
  <c r="R25" i="1814"/>
  <c r="Q25" i="1814"/>
  <c r="P25" i="1814"/>
  <c r="O25" i="1814"/>
  <c r="N25" i="1814"/>
  <c r="M25" i="1814"/>
  <c r="L25" i="1814"/>
  <c r="K25" i="1814"/>
  <c r="J25" i="1814"/>
  <c r="I25" i="1814"/>
  <c r="H25" i="1814"/>
  <c r="G25" i="1814"/>
  <c r="F25" i="1814"/>
  <c r="E25" i="1814"/>
  <c r="D25" i="1814"/>
  <c r="AE19" i="1814"/>
  <c r="AD19" i="1814"/>
  <c r="AC19" i="1814"/>
  <c r="AB19" i="1814"/>
  <c r="AA19" i="1814"/>
  <c r="Z19" i="1814"/>
  <c r="Y19" i="1814"/>
  <c r="X19" i="1814"/>
  <c r="T33" i="1814" s="1"/>
  <c r="W19" i="1814"/>
  <c r="V19" i="1814"/>
  <c r="U19" i="1814"/>
  <c r="T19" i="1814"/>
  <c r="S19" i="1814"/>
  <c r="R19" i="1814"/>
  <c r="Q19" i="1814"/>
  <c r="P19" i="1814"/>
  <c r="O19" i="1814"/>
  <c r="N19" i="1814"/>
  <c r="H33" i="1814" s="1"/>
  <c r="M19" i="1814"/>
  <c r="L19" i="1814"/>
  <c r="P33" i="1814" s="1"/>
  <c r="K19" i="1814"/>
  <c r="J19" i="1814"/>
  <c r="I19" i="1814"/>
  <c r="AB33" i="1814" s="1"/>
  <c r="H19" i="1814"/>
  <c r="G19" i="1814"/>
  <c r="F19" i="1814"/>
  <c r="E19" i="1814"/>
  <c r="D19" i="1814"/>
  <c r="AE16" i="1814"/>
  <c r="AD16" i="1814"/>
  <c r="AC16" i="1814"/>
  <c r="AB16" i="1814"/>
  <c r="AA16" i="1814"/>
  <c r="Z16" i="1814"/>
  <c r="Y16" i="1814"/>
  <c r="X16" i="1814"/>
  <c r="W16" i="1814"/>
  <c r="V16" i="1814"/>
  <c r="U16" i="1814"/>
  <c r="T16" i="1814"/>
  <c r="S16" i="1814"/>
  <c r="R16" i="1814"/>
  <c r="Q16" i="1814"/>
  <c r="P16" i="1814"/>
  <c r="O16" i="1814"/>
  <c r="N16" i="1814"/>
  <c r="M16" i="1814"/>
  <c r="L16" i="1814"/>
  <c r="K16" i="1814"/>
  <c r="J16" i="1814"/>
  <c r="I16" i="1814"/>
  <c r="H16" i="1814"/>
  <c r="G16" i="1814"/>
  <c r="F16" i="1814"/>
  <c r="E16" i="1814"/>
  <c r="D16" i="1814"/>
  <c r="AE10" i="1814"/>
  <c r="AD10" i="1814"/>
  <c r="AC33" i="1814" s="1"/>
  <c r="AC10" i="1814"/>
  <c r="AB10" i="1814"/>
  <c r="AA10" i="1814"/>
  <c r="Z10" i="1814"/>
  <c r="Y10" i="1814"/>
  <c r="X10" i="1814"/>
  <c r="W10" i="1814"/>
  <c r="V10" i="1814"/>
  <c r="U10" i="1814"/>
  <c r="T10" i="1814"/>
  <c r="S10" i="1814"/>
  <c r="R10" i="1814"/>
  <c r="Q10" i="1814"/>
  <c r="P10" i="1814"/>
  <c r="O10" i="1814"/>
  <c r="N10" i="1814"/>
  <c r="M10" i="1814"/>
  <c r="L10" i="1814"/>
  <c r="K10" i="1814"/>
  <c r="J10" i="1814"/>
  <c r="Q33" i="1814" s="1"/>
  <c r="I10" i="1814"/>
  <c r="H10" i="1814"/>
  <c r="G10" i="1814"/>
  <c r="F10" i="1814"/>
  <c r="E10" i="1814"/>
  <c r="S33" i="1814" s="1"/>
  <c r="D10" i="1814"/>
  <c r="Z33" i="1814" s="1"/>
  <c r="AE7" i="1814"/>
  <c r="AD7" i="1814"/>
  <c r="AC7" i="1814"/>
  <c r="AB7" i="1814"/>
  <c r="AA7" i="1814"/>
  <c r="Z7" i="1814"/>
  <c r="Y7" i="1814"/>
  <c r="X7" i="1814"/>
  <c r="W7" i="1814"/>
  <c r="V7" i="1814"/>
  <c r="U7" i="1814"/>
  <c r="T7" i="1814"/>
  <c r="S7" i="1814"/>
  <c r="R7" i="1814"/>
  <c r="Q7" i="1814"/>
  <c r="P7" i="1814"/>
  <c r="O7" i="1814"/>
  <c r="N7" i="1814"/>
  <c r="M7" i="1814"/>
  <c r="L7" i="1814"/>
  <c r="K7" i="1814"/>
  <c r="J7" i="1814"/>
  <c r="I7" i="1814"/>
  <c r="H7" i="1814"/>
  <c r="G7" i="1814"/>
  <c r="F7" i="1814"/>
  <c r="E7" i="1814"/>
  <c r="D7" i="1814"/>
  <c r="J33" i="1814" l="1"/>
  <c r="K33" i="1814"/>
  <c r="W33" i="1814"/>
  <c r="D33" i="1814"/>
  <c r="Y33" i="1814"/>
  <c r="N33" i="1814"/>
  <c r="E33" i="1814"/>
  <c r="M33" i="1814"/>
  <c r="V33" i="1814"/>
  <c r="AA33" i="1813"/>
  <c r="X33" i="1813"/>
  <c r="W33" i="1813"/>
  <c r="U33" i="1813"/>
  <c r="R33" i="1813"/>
  <c r="O33" i="1813"/>
  <c r="L33" i="1813"/>
  <c r="F33" i="1813"/>
  <c r="Y28" i="1813"/>
  <c r="X28" i="1813"/>
  <c r="W28" i="1813"/>
  <c r="V28" i="1813"/>
  <c r="U28" i="1813"/>
  <c r="T28" i="1813"/>
  <c r="S28" i="1813"/>
  <c r="R28" i="1813"/>
  <c r="Q28" i="1813"/>
  <c r="P28" i="1813"/>
  <c r="O28" i="1813"/>
  <c r="N28" i="1813"/>
  <c r="M28" i="1813"/>
  <c r="L28" i="1813"/>
  <c r="K28" i="1813"/>
  <c r="J28" i="1813"/>
  <c r="I28" i="1813"/>
  <c r="H28" i="1813"/>
  <c r="G28" i="1813"/>
  <c r="F28" i="1813"/>
  <c r="E28" i="1813"/>
  <c r="D28" i="1813"/>
  <c r="Y25" i="1813"/>
  <c r="X25" i="1813"/>
  <c r="W25" i="1813"/>
  <c r="V25" i="1813"/>
  <c r="U25" i="1813"/>
  <c r="T25" i="1813"/>
  <c r="S25" i="1813"/>
  <c r="R25" i="1813"/>
  <c r="Q25" i="1813"/>
  <c r="P25" i="1813"/>
  <c r="O25" i="1813"/>
  <c r="N25" i="1813"/>
  <c r="M25" i="1813"/>
  <c r="L25" i="1813"/>
  <c r="K25" i="1813"/>
  <c r="J25" i="1813"/>
  <c r="I25" i="1813"/>
  <c r="H25" i="1813"/>
  <c r="G25" i="1813"/>
  <c r="F25" i="1813"/>
  <c r="E25" i="1813"/>
  <c r="D25" i="1813"/>
  <c r="AE19" i="1813"/>
  <c r="AD19" i="1813"/>
  <c r="AC19" i="1813"/>
  <c r="AB19" i="1813"/>
  <c r="AA19" i="1813"/>
  <c r="Z19" i="1813"/>
  <c r="Y19" i="1813"/>
  <c r="X19" i="1813"/>
  <c r="T33" i="1813" s="1"/>
  <c r="W19" i="1813"/>
  <c r="V19" i="1813"/>
  <c r="U19" i="1813"/>
  <c r="T19" i="1813"/>
  <c r="S19" i="1813"/>
  <c r="R19" i="1813"/>
  <c r="Q19" i="1813"/>
  <c r="P19" i="1813"/>
  <c r="O19" i="1813"/>
  <c r="N19" i="1813"/>
  <c r="H33" i="1813" s="1"/>
  <c r="M19" i="1813"/>
  <c r="L19" i="1813"/>
  <c r="P33" i="1813" s="1"/>
  <c r="K19" i="1813"/>
  <c r="J19" i="1813"/>
  <c r="I19" i="1813"/>
  <c r="AB33" i="1813" s="1"/>
  <c r="H19" i="1813"/>
  <c r="G19" i="1813"/>
  <c r="F19" i="1813"/>
  <c r="E19" i="1813"/>
  <c r="D19" i="1813"/>
  <c r="AE16" i="1813"/>
  <c r="AD16" i="1813"/>
  <c r="AC16" i="1813"/>
  <c r="AB16" i="1813"/>
  <c r="AA16" i="1813"/>
  <c r="Z16" i="1813"/>
  <c r="Y16" i="1813"/>
  <c r="X16" i="1813"/>
  <c r="W16" i="1813"/>
  <c r="V16" i="1813"/>
  <c r="U16" i="1813"/>
  <c r="T16" i="1813"/>
  <c r="S16" i="1813"/>
  <c r="R16" i="1813"/>
  <c r="Q16" i="1813"/>
  <c r="P16" i="1813"/>
  <c r="O16" i="1813"/>
  <c r="N16" i="1813"/>
  <c r="M16" i="1813"/>
  <c r="L16" i="1813"/>
  <c r="K16" i="1813"/>
  <c r="J16" i="1813"/>
  <c r="I16" i="1813"/>
  <c r="H16" i="1813"/>
  <c r="G16" i="1813"/>
  <c r="F16" i="1813"/>
  <c r="E16" i="1813"/>
  <c r="D16" i="1813"/>
  <c r="AE10" i="1813"/>
  <c r="AD10" i="1813"/>
  <c r="AC33" i="1813" s="1"/>
  <c r="AC10" i="1813"/>
  <c r="AB10" i="1813"/>
  <c r="D33" i="1813" s="1"/>
  <c r="AA10" i="1813"/>
  <c r="Z10" i="1813"/>
  <c r="Y10" i="1813"/>
  <c r="X10" i="1813"/>
  <c r="W10" i="1813"/>
  <c r="V10" i="1813"/>
  <c r="U10" i="1813"/>
  <c r="T10" i="1813"/>
  <c r="Y33" i="1813" s="1"/>
  <c r="S10" i="1813"/>
  <c r="R10" i="1813"/>
  <c r="Q10" i="1813"/>
  <c r="P10" i="1813"/>
  <c r="O10" i="1813"/>
  <c r="K33" i="1813" s="1"/>
  <c r="N10" i="1813"/>
  <c r="Q33" i="1813" s="1"/>
  <c r="M10" i="1813"/>
  <c r="E33" i="1813" s="1"/>
  <c r="L10" i="1813"/>
  <c r="N33" i="1813" s="1"/>
  <c r="K10" i="1813"/>
  <c r="J10" i="1813"/>
  <c r="I10" i="1813"/>
  <c r="H10" i="1813"/>
  <c r="G10" i="1813"/>
  <c r="M33" i="1813" s="1"/>
  <c r="F10" i="1813"/>
  <c r="J33" i="1813" s="1"/>
  <c r="E10" i="1813"/>
  <c r="S33" i="1813" s="1"/>
  <c r="D10" i="1813"/>
  <c r="Z33" i="1813" s="1"/>
  <c r="AE7" i="1813"/>
  <c r="AD7" i="1813"/>
  <c r="AC7" i="1813"/>
  <c r="AB7" i="1813"/>
  <c r="AA7" i="1813"/>
  <c r="Z7" i="1813"/>
  <c r="Y7" i="1813"/>
  <c r="X7" i="1813"/>
  <c r="W7" i="1813"/>
  <c r="V7" i="1813"/>
  <c r="U7" i="1813"/>
  <c r="T7" i="1813"/>
  <c r="S7" i="1813"/>
  <c r="R7" i="1813"/>
  <c r="Q7" i="1813"/>
  <c r="P7" i="1813"/>
  <c r="O7" i="1813"/>
  <c r="N7" i="1813"/>
  <c r="M7" i="1813"/>
  <c r="L7" i="1813"/>
  <c r="K7" i="1813"/>
  <c r="J7" i="1813"/>
  <c r="I7" i="1813"/>
  <c r="H7" i="1813"/>
  <c r="G7" i="1813"/>
  <c r="F7" i="1813"/>
  <c r="E7" i="1813"/>
  <c r="D7" i="1813"/>
  <c r="V33" i="1813" l="1"/>
  <c r="AA33" i="1812"/>
  <c r="X33" i="1812"/>
  <c r="U33" i="1812"/>
  <c r="R33" i="1812"/>
  <c r="O33" i="1812"/>
  <c r="L33" i="1812"/>
  <c r="F33" i="1812"/>
  <c r="Y28" i="1812"/>
  <c r="X28" i="1812"/>
  <c r="W28" i="1812"/>
  <c r="V28" i="1812"/>
  <c r="U28" i="1812"/>
  <c r="T28" i="1812"/>
  <c r="S28" i="1812"/>
  <c r="R28" i="1812"/>
  <c r="Q28" i="1812"/>
  <c r="P28" i="1812"/>
  <c r="O28" i="1812"/>
  <c r="N28" i="1812"/>
  <c r="M28" i="1812"/>
  <c r="L28" i="1812"/>
  <c r="K28" i="1812"/>
  <c r="J28" i="1812"/>
  <c r="I28" i="1812"/>
  <c r="H28" i="1812"/>
  <c r="G28" i="1812"/>
  <c r="F28" i="1812"/>
  <c r="E28" i="1812"/>
  <c r="D28" i="1812"/>
  <c r="Y25" i="1812"/>
  <c r="X25" i="1812"/>
  <c r="W25" i="1812"/>
  <c r="V25" i="1812"/>
  <c r="U25" i="1812"/>
  <c r="T25" i="1812"/>
  <c r="S25" i="1812"/>
  <c r="R25" i="1812"/>
  <c r="Q25" i="1812"/>
  <c r="P25" i="1812"/>
  <c r="O25" i="1812"/>
  <c r="N25" i="1812"/>
  <c r="M25" i="1812"/>
  <c r="L25" i="1812"/>
  <c r="K25" i="1812"/>
  <c r="J25" i="1812"/>
  <c r="I25" i="1812"/>
  <c r="H25" i="1812"/>
  <c r="G25" i="1812"/>
  <c r="F25" i="1812"/>
  <c r="E25" i="1812"/>
  <c r="D25" i="1812"/>
  <c r="AE19" i="1812"/>
  <c r="AD19" i="1812"/>
  <c r="AC19" i="1812"/>
  <c r="AB19" i="1812"/>
  <c r="AA19" i="1812"/>
  <c r="Z19" i="1812"/>
  <c r="Y19" i="1812"/>
  <c r="X19" i="1812"/>
  <c r="T33" i="1812" s="1"/>
  <c r="W19" i="1812"/>
  <c r="V19" i="1812"/>
  <c r="U19" i="1812"/>
  <c r="T19" i="1812"/>
  <c r="S19" i="1812"/>
  <c r="R19" i="1812"/>
  <c r="Q19" i="1812"/>
  <c r="P19" i="1812"/>
  <c r="O19" i="1812"/>
  <c r="N19" i="1812"/>
  <c r="H33" i="1812" s="1"/>
  <c r="M19" i="1812"/>
  <c r="L19" i="1812"/>
  <c r="P33" i="1812" s="1"/>
  <c r="K19" i="1812"/>
  <c r="J19" i="1812"/>
  <c r="I19" i="1812"/>
  <c r="AB33" i="1812" s="1"/>
  <c r="H19" i="1812"/>
  <c r="G19" i="1812"/>
  <c r="F19" i="1812"/>
  <c r="E19" i="1812"/>
  <c r="D19" i="1812"/>
  <c r="AE16" i="1812"/>
  <c r="AD16" i="1812"/>
  <c r="AC16" i="1812"/>
  <c r="AB16" i="1812"/>
  <c r="AA16" i="1812"/>
  <c r="Z16" i="1812"/>
  <c r="Y16" i="1812"/>
  <c r="X16" i="1812"/>
  <c r="W16" i="1812"/>
  <c r="V16" i="1812"/>
  <c r="U16" i="1812"/>
  <c r="T16" i="1812"/>
  <c r="S16" i="1812"/>
  <c r="R16" i="1812"/>
  <c r="Q16" i="1812"/>
  <c r="P16" i="1812"/>
  <c r="O16" i="1812"/>
  <c r="N16" i="1812"/>
  <c r="M16" i="1812"/>
  <c r="L16" i="1812"/>
  <c r="K16" i="1812"/>
  <c r="J16" i="1812"/>
  <c r="I16" i="1812"/>
  <c r="H16" i="1812"/>
  <c r="G16" i="1812"/>
  <c r="F16" i="1812"/>
  <c r="E16" i="1812"/>
  <c r="D16" i="1812"/>
  <c r="AE10" i="1812"/>
  <c r="AD10" i="1812"/>
  <c r="AC33" i="1812" s="1"/>
  <c r="AC10" i="1812"/>
  <c r="AB10" i="1812"/>
  <c r="D33" i="1812" s="1"/>
  <c r="AA10" i="1812"/>
  <c r="Z10" i="1812"/>
  <c r="Y10" i="1812"/>
  <c r="X10" i="1812"/>
  <c r="W10" i="1812"/>
  <c r="V10" i="1812"/>
  <c r="U10" i="1812"/>
  <c r="T10" i="1812"/>
  <c r="S10" i="1812"/>
  <c r="R10" i="1812"/>
  <c r="Q10" i="1812"/>
  <c r="P10" i="1812"/>
  <c r="O10" i="1812"/>
  <c r="N10" i="1812"/>
  <c r="Q33" i="1812" s="1"/>
  <c r="M10" i="1812"/>
  <c r="E33" i="1812" s="1"/>
  <c r="L10" i="1812"/>
  <c r="N33" i="1812" s="1"/>
  <c r="K10" i="1812"/>
  <c r="J10" i="1812"/>
  <c r="I10" i="1812"/>
  <c r="H10" i="1812"/>
  <c r="G10" i="1812"/>
  <c r="F10" i="1812"/>
  <c r="J33" i="1812" s="1"/>
  <c r="E10" i="1812"/>
  <c r="S33" i="1812" s="1"/>
  <c r="D10" i="1812"/>
  <c r="AE7" i="1812"/>
  <c r="AD7" i="1812"/>
  <c r="AC7" i="1812"/>
  <c r="AB7" i="1812"/>
  <c r="AA7" i="1812"/>
  <c r="Z7" i="1812"/>
  <c r="Y7" i="1812"/>
  <c r="X7" i="1812"/>
  <c r="W7" i="1812"/>
  <c r="V7" i="1812"/>
  <c r="U7" i="1812"/>
  <c r="T7" i="1812"/>
  <c r="S7" i="1812"/>
  <c r="R7" i="1812"/>
  <c r="Q7" i="1812"/>
  <c r="P7" i="1812"/>
  <c r="O7" i="1812"/>
  <c r="N7" i="1812"/>
  <c r="M7" i="1812"/>
  <c r="L7" i="1812"/>
  <c r="K7" i="1812"/>
  <c r="J7" i="1812"/>
  <c r="I7" i="1812"/>
  <c r="H7" i="1812"/>
  <c r="G7" i="1812"/>
  <c r="F7" i="1812"/>
  <c r="E7" i="1812"/>
  <c r="D7" i="1812"/>
  <c r="K33" i="1812" l="1"/>
  <c r="W33" i="1812"/>
  <c r="Z33" i="1812"/>
  <c r="Y33" i="1812"/>
  <c r="M33" i="1812"/>
  <c r="V33" i="1812"/>
  <c r="S36" i="13" l="1"/>
  <c r="S37" i="13" s="1"/>
  <c r="S38" i="13" s="1"/>
  <c r="S39" i="13" s="1"/>
  <c r="S40" i="13" s="1"/>
  <c r="S41" i="13" s="1"/>
  <c r="S42" i="13" s="1"/>
  <c r="S43" i="13" s="1"/>
  <c r="S44" i="13" s="1"/>
  <c r="S45" i="13" s="1"/>
  <c r="S46" i="13" s="1"/>
  <c r="S47" i="13" s="1"/>
  <c r="S48" i="13" s="1"/>
  <c r="S49" i="13" s="1"/>
  <c r="S50" i="13" s="1"/>
  <c r="S51" i="13" s="1"/>
  <c r="S35" i="13"/>
</calcChain>
</file>

<file path=xl/connections.xml><?xml version="1.0" encoding="utf-8"?>
<connections xmlns="http://schemas.openxmlformats.org/spreadsheetml/2006/main">
  <connection id="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4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5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6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7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8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9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0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4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5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6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7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8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9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0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</connections>
</file>

<file path=xl/sharedStrings.xml><?xml version="1.0" encoding="utf-8"?>
<sst xmlns="http://schemas.openxmlformats.org/spreadsheetml/2006/main" count="29218" uniqueCount="692">
  <si>
    <t>空</t>
    <phoneticPr fontId="3" type="noConversion"/>
  </si>
  <si>
    <t>EG</t>
    <phoneticPr fontId="3" type="noConversion"/>
  </si>
  <si>
    <t>GAA</t>
    <phoneticPr fontId="3" type="noConversion"/>
  </si>
  <si>
    <t>EBR</t>
    <phoneticPr fontId="3" type="noConversion"/>
  </si>
  <si>
    <t>原料</t>
    <phoneticPr fontId="3" type="noConversion"/>
  </si>
  <si>
    <t>成品</t>
    <phoneticPr fontId="3" type="noConversion"/>
  </si>
  <si>
    <r>
      <rPr>
        <sz val="12"/>
        <rFont val="細明體"/>
        <family val="3"/>
        <charset val="136"/>
      </rPr>
      <t>產</t>
    </r>
    <r>
      <rPr>
        <sz val="12"/>
        <rFont val="DotumChe"/>
        <family val="3"/>
        <charset val="129"/>
      </rPr>
      <t>品</t>
    </r>
    <r>
      <rPr>
        <sz val="12"/>
        <rFont val="細明體"/>
        <family val="3"/>
        <charset val="136"/>
      </rPr>
      <t xml:space="preserve">      </t>
    </r>
    <r>
      <rPr>
        <sz val="12"/>
        <rFont val="DotumChe"/>
        <family val="3"/>
        <charset val="129"/>
      </rPr>
      <t>比重</t>
    </r>
    <r>
      <rPr>
        <sz val="12"/>
        <rFont val="細明體"/>
        <family val="3"/>
        <charset val="136"/>
      </rPr>
      <t xml:space="preserve">    </t>
    </r>
    <r>
      <rPr>
        <sz val="12"/>
        <rFont val="DotumChe"/>
        <family val="3"/>
        <charset val="129"/>
      </rPr>
      <t>溫度</t>
    </r>
    <phoneticPr fontId="3" type="noConversion"/>
  </si>
  <si>
    <t>IPA</t>
    <phoneticPr fontId="3" type="noConversion"/>
  </si>
  <si>
    <t>EG</t>
    <phoneticPr fontId="3" type="noConversion"/>
  </si>
  <si>
    <t>NMP</t>
    <phoneticPr fontId="3" type="noConversion"/>
  </si>
  <si>
    <t>Acetone</t>
    <phoneticPr fontId="3" type="noConversion"/>
  </si>
  <si>
    <t>SEP05</t>
    <phoneticPr fontId="3" type="noConversion"/>
  </si>
  <si>
    <t>PMA</t>
    <phoneticPr fontId="3" type="noConversion"/>
  </si>
  <si>
    <t>PM</t>
    <phoneticPr fontId="3" type="noConversion"/>
  </si>
  <si>
    <t>GAA</t>
    <phoneticPr fontId="3" type="noConversion"/>
  </si>
  <si>
    <r>
      <t>BDG+MEA
澄</t>
    </r>
    <r>
      <rPr>
        <sz val="14"/>
        <rFont val="細明體"/>
        <family val="3"/>
        <charset val="136"/>
      </rPr>
      <t>清</t>
    </r>
    <r>
      <rPr>
        <sz val="14"/>
        <rFont val="DotumChe"/>
        <family val="3"/>
        <charset val="129"/>
      </rPr>
      <t>液</t>
    </r>
    <phoneticPr fontId="3" type="noConversion"/>
  </si>
  <si>
    <t>ANONE</t>
    <phoneticPr fontId="3" type="noConversion"/>
  </si>
  <si>
    <t>EBR</t>
    <phoneticPr fontId="3" type="noConversion"/>
  </si>
  <si>
    <t>NBAC</t>
    <phoneticPr fontId="3" type="noConversion"/>
  </si>
  <si>
    <t>EBRUPS</t>
    <phoneticPr fontId="3" type="noConversion"/>
  </si>
  <si>
    <t>2SEP73(EBR)</t>
    <phoneticPr fontId="3" type="noConversion"/>
  </si>
  <si>
    <t>SEP11</t>
    <phoneticPr fontId="3" type="noConversion"/>
  </si>
  <si>
    <t>ETOH</t>
    <phoneticPr fontId="3" type="noConversion"/>
  </si>
  <si>
    <t>PG2</t>
    <phoneticPr fontId="3" type="noConversion"/>
  </si>
  <si>
    <t>EEP</t>
    <phoneticPr fontId="3" type="noConversion"/>
  </si>
  <si>
    <t>HEA     DPM</t>
    <phoneticPr fontId="3" type="noConversion"/>
  </si>
  <si>
    <t>C02</t>
  </si>
  <si>
    <t>C03</t>
  </si>
  <si>
    <t>C04</t>
  </si>
  <si>
    <t>C05</t>
  </si>
  <si>
    <t>C06</t>
  </si>
  <si>
    <t>槽號</t>
    <phoneticPr fontId="3" type="noConversion"/>
  </si>
  <si>
    <t>液位</t>
    <phoneticPr fontId="3" type="noConversion"/>
  </si>
  <si>
    <t>溫度</t>
    <phoneticPr fontId="3" type="noConversion"/>
  </si>
  <si>
    <t>DPM</t>
    <phoneticPr fontId="3" type="noConversion"/>
  </si>
  <si>
    <t xml:space="preserve"> </t>
    <phoneticPr fontId="2" type="noConversion"/>
  </si>
  <si>
    <t>品名</t>
    <phoneticPr fontId="3" type="noConversion"/>
  </si>
  <si>
    <t>時間</t>
    <phoneticPr fontId="3" type="noConversion"/>
  </si>
  <si>
    <t>TPM</t>
    <phoneticPr fontId="3" type="noConversion"/>
  </si>
  <si>
    <t>TK-603</t>
    <phoneticPr fontId="4" type="noConversion"/>
  </si>
  <si>
    <t>TK-641</t>
    <phoneticPr fontId="4" type="noConversion"/>
  </si>
  <si>
    <t>1ACT</t>
    <phoneticPr fontId="3" type="noConversion"/>
  </si>
  <si>
    <t>ACETONE</t>
    <phoneticPr fontId="3" type="noConversion"/>
  </si>
  <si>
    <t>HEA</t>
    <phoneticPr fontId="3" type="noConversion"/>
  </si>
  <si>
    <t>待處理品</t>
    <phoneticPr fontId="3" type="noConversion"/>
  </si>
  <si>
    <t>TK-601</t>
    <phoneticPr fontId="4" type="noConversion"/>
  </si>
  <si>
    <t>TK-602</t>
    <phoneticPr fontId="4" type="noConversion"/>
  </si>
  <si>
    <t>TK-604A</t>
    <phoneticPr fontId="4" type="noConversion"/>
  </si>
  <si>
    <t>TK-604B</t>
    <phoneticPr fontId="4" type="noConversion"/>
  </si>
  <si>
    <t>TK-612</t>
    <phoneticPr fontId="4" type="noConversion"/>
  </si>
  <si>
    <t>TK-621</t>
    <phoneticPr fontId="4" type="noConversion"/>
  </si>
  <si>
    <t>TK-622</t>
    <phoneticPr fontId="4" type="noConversion"/>
  </si>
  <si>
    <t>TK-631</t>
    <phoneticPr fontId="4" type="noConversion"/>
  </si>
  <si>
    <t>TK-643</t>
    <phoneticPr fontId="3" type="noConversion"/>
  </si>
  <si>
    <t>TK-645</t>
    <phoneticPr fontId="3" type="noConversion"/>
  </si>
  <si>
    <t>1GAA</t>
    <phoneticPr fontId="3" type="noConversion"/>
  </si>
  <si>
    <t>1IPA</t>
    <phoneticPr fontId="3" type="noConversion"/>
  </si>
  <si>
    <t>3NMPE4</t>
    <phoneticPr fontId="3" type="noConversion"/>
  </si>
  <si>
    <t>3ACTE4</t>
    <phoneticPr fontId="3" type="noConversion"/>
  </si>
  <si>
    <t>3EGE4</t>
    <phoneticPr fontId="3" type="noConversion"/>
  </si>
  <si>
    <t>2NMPE4</t>
    <phoneticPr fontId="3" type="noConversion"/>
  </si>
  <si>
    <t>2ACTE4</t>
    <phoneticPr fontId="3" type="noConversion"/>
  </si>
  <si>
    <t>NMP-2</t>
    <phoneticPr fontId="3" type="noConversion"/>
  </si>
  <si>
    <t>TK-656</t>
    <phoneticPr fontId="3" type="noConversion"/>
  </si>
  <si>
    <t>TK-660</t>
    <phoneticPr fontId="3" type="noConversion"/>
  </si>
  <si>
    <t xml:space="preserve">1HEA-R </t>
    <phoneticPr fontId="3" type="noConversion"/>
  </si>
  <si>
    <t>TK-651</t>
    <phoneticPr fontId="3" type="noConversion"/>
  </si>
  <si>
    <t>TK-652</t>
    <phoneticPr fontId="3" type="noConversion"/>
  </si>
  <si>
    <t>TK-654</t>
    <phoneticPr fontId="3" type="noConversion"/>
  </si>
  <si>
    <t>TK-657</t>
    <phoneticPr fontId="3" type="noConversion"/>
  </si>
  <si>
    <t>TK-658</t>
    <phoneticPr fontId="3" type="noConversion"/>
  </si>
  <si>
    <t>TK-661</t>
    <phoneticPr fontId="3" type="noConversion"/>
  </si>
  <si>
    <t>TK-662</t>
    <phoneticPr fontId="3" type="noConversion"/>
  </si>
  <si>
    <t>TK-663</t>
    <phoneticPr fontId="3" type="noConversion"/>
  </si>
  <si>
    <t>TK-664</t>
    <phoneticPr fontId="3" type="noConversion"/>
  </si>
  <si>
    <t>TK-665</t>
    <phoneticPr fontId="3" type="noConversion"/>
  </si>
  <si>
    <t>TK-666</t>
    <phoneticPr fontId="3" type="noConversion"/>
  </si>
  <si>
    <t>TK-670</t>
    <phoneticPr fontId="3" type="noConversion"/>
  </si>
  <si>
    <t>GAAups</t>
    <phoneticPr fontId="3" type="noConversion"/>
  </si>
  <si>
    <t>記事欄</t>
    <phoneticPr fontId="3" type="noConversion"/>
  </si>
  <si>
    <r>
      <t>CPN環戊</t>
    </r>
    <r>
      <rPr>
        <sz val="14"/>
        <rFont val="細明體"/>
        <family val="3"/>
        <charset val="136"/>
      </rPr>
      <t>酮</t>
    </r>
    <phoneticPr fontId="3" type="noConversion"/>
  </si>
  <si>
    <t>CPN</t>
    <phoneticPr fontId="3" type="noConversion"/>
  </si>
  <si>
    <t>1CPN</t>
    <phoneticPr fontId="3" type="noConversion"/>
  </si>
  <si>
    <t>DPM-B1</t>
    <phoneticPr fontId="3" type="noConversion"/>
  </si>
  <si>
    <t>C90-INV-01(01)</t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</si>
  <si>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2" type="noConversion"/>
  </si>
  <si>
    <t>TK-671</t>
    <phoneticPr fontId="3" type="noConversion"/>
  </si>
  <si>
    <t>MIBC</t>
    <phoneticPr fontId="3" type="noConversion"/>
  </si>
  <si>
    <t>2IPAE4</t>
    <phoneticPr fontId="3" type="noConversion"/>
  </si>
  <si>
    <t>C08</t>
  </si>
  <si>
    <t>C09</t>
  </si>
  <si>
    <t>604A</t>
  </si>
  <si>
    <t>604B</t>
  </si>
  <si>
    <t>C01</t>
  </si>
  <si>
    <t>C07</t>
  </si>
  <si>
    <t>2EBR-P1</t>
    <phoneticPr fontId="3" type="noConversion"/>
  </si>
  <si>
    <t>1EBR-P1</t>
    <phoneticPr fontId="3" type="noConversion"/>
  </si>
  <si>
    <t>2EBR-P1</t>
    <phoneticPr fontId="2" type="noConversion"/>
  </si>
  <si>
    <t>SEP73(E3)</t>
    <phoneticPr fontId="3" type="noConversion"/>
  </si>
  <si>
    <t>儲槽作業日報表</t>
    <phoneticPr fontId="3" type="noConversion"/>
  </si>
  <si>
    <t>待處理品</t>
    <phoneticPr fontId="2" type="noConversion"/>
  </si>
  <si>
    <t>成品</t>
    <phoneticPr fontId="2" type="noConversion"/>
  </si>
  <si>
    <t>原料</t>
    <phoneticPr fontId="2" type="noConversion"/>
  </si>
  <si>
    <t>TK-677</t>
  </si>
  <si>
    <t>TK-678</t>
  </si>
  <si>
    <t>TK-680</t>
  </si>
  <si>
    <t>TK-681</t>
  </si>
  <si>
    <t>TK-682</t>
  </si>
  <si>
    <t>TK-683</t>
  </si>
  <si>
    <t>TK-684</t>
  </si>
  <si>
    <t>TK-685</t>
  </si>
  <si>
    <t>TK-686</t>
  </si>
  <si>
    <t>TK-687</t>
  </si>
  <si>
    <t>TK-688</t>
  </si>
  <si>
    <t>TK-689</t>
  </si>
  <si>
    <t>TK-690</t>
  </si>
  <si>
    <t>TK-691</t>
  </si>
  <si>
    <t>TK-692</t>
  </si>
  <si>
    <t>TK-693</t>
  </si>
  <si>
    <t>TK-694</t>
  </si>
  <si>
    <t>TK-695</t>
  </si>
  <si>
    <t>TK-696</t>
  </si>
  <si>
    <t>TK-697</t>
  </si>
  <si>
    <t>TK-698</t>
  </si>
  <si>
    <t>EGE4</t>
    <phoneticPr fontId="2" type="noConversion"/>
  </si>
  <si>
    <t>TK-699</t>
  </si>
  <si>
    <t>槽號</t>
    <phoneticPr fontId="2" type="noConversion"/>
  </si>
  <si>
    <t>CPNE4</t>
    <phoneticPr fontId="2" type="noConversion"/>
  </si>
  <si>
    <t>2CPN-P1</t>
    <phoneticPr fontId="2" type="noConversion"/>
  </si>
  <si>
    <t>1EG</t>
    <phoneticPr fontId="3" type="noConversion"/>
  </si>
  <si>
    <t>1CPN-P1</t>
    <phoneticPr fontId="3" type="noConversion"/>
  </si>
  <si>
    <t>1EG</t>
    <phoneticPr fontId="2" type="noConversion"/>
  </si>
  <si>
    <t>TK-611</t>
    <phoneticPr fontId="4" type="noConversion"/>
  </si>
  <si>
    <t>TK-613</t>
    <phoneticPr fontId="4" type="noConversion"/>
  </si>
  <si>
    <t>TK614</t>
    <phoneticPr fontId="4" type="noConversion"/>
  </si>
  <si>
    <t>3IPAE4</t>
    <phoneticPr fontId="3" type="noConversion"/>
  </si>
  <si>
    <t>TK-623</t>
    <phoneticPr fontId="4" type="noConversion"/>
  </si>
  <si>
    <t>2EGE4</t>
    <phoneticPr fontId="3" type="noConversion"/>
  </si>
  <si>
    <t>TK-624</t>
    <phoneticPr fontId="4" type="noConversion"/>
  </si>
  <si>
    <t>TK-C01</t>
    <phoneticPr fontId="4" type="noConversion"/>
  </si>
  <si>
    <t>TK-C02</t>
    <phoneticPr fontId="4" type="noConversion"/>
  </si>
  <si>
    <t>TK-C03</t>
    <phoneticPr fontId="4" type="noConversion"/>
  </si>
  <si>
    <t>TK-C04</t>
    <phoneticPr fontId="4" type="noConversion"/>
  </si>
  <si>
    <t>TK-C05</t>
    <phoneticPr fontId="4" type="noConversion"/>
  </si>
  <si>
    <t>TK-C06</t>
    <phoneticPr fontId="4" type="noConversion"/>
  </si>
  <si>
    <t>TK-C07</t>
    <phoneticPr fontId="4" type="noConversion"/>
  </si>
  <si>
    <t>TK-C08</t>
    <phoneticPr fontId="4" type="noConversion"/>
  </si>
  <si>
    <t>TK-C09</t>
    <phoneticPr fontId="4" type="noConversion"/>
  </si>
  <si>
    <t>TK-632</t>
    <phoneticPr fontId="4" type="noConversion"/>
  </si>
  <si>
    <t>TK-633</t>
    <phoneticPr fontId="4" type="noConversion"/>
  </si>
  <si>
    <t>TK-634</t>
    <phoneticPr fontId="4" type="noConversion"/>
  </si>
  <si>
    <t>TK-642</t>
    <phoneticPr fontId="4" type="noConversion"/>
  </si>
  <si>
    <t>TK-653</t>
    <phoneticPr fontId="3" type="noConversion"/>
  </si>
  <si>
    <t>TK-655</t>
    <phoneticPr fontId="3" type="noConversion"/>
  </si>
  <si>
    <t>TK-659</t>
    <phoneticPr fontId="3" type="noConversion"/>
  </si>
  <si>
    <t>TK-667</t>
    <phoneticPr fontId="3" type="noConversion"/>
  </si>
  <si>
    <t>TK-668</t>
    <phoneticPr fontId="3" type="noConversion"/>
  </si>
  <si>
    <t>TK-669</t>
    <phoneticPr fontId="3" type="noConversion"/>
  </si>
  <si>
    <t>TK-672</t>
    <phoneticPr fontId="3" type="noConversion"/>
  </si>
  <si>
    <t xml:space="preserve"> TK-673</t>
    <phoneticPr fontId="3" type="noConversion"/>
  </si>
  <si>
    <t>TK-674</t>
    <phoneticPr fontId="3" type="noConversion"/>
  </si>
  <si>
    <t>TK-675</t>
    <phoneticPr fontId="3" type="noConversion"/>
  </si>
  <si>
    <t>TK-676</t>
    <phoneticPr fontId="3" type="noConversion"/>
  </si>
  <si>
    <t>2IPAHQ</t>
    <phoneticPr fontId="2" type="noConversion"/>
  </si>
  <si>
    <t>2CPNE3</t>
    <phoneticPr fontId="2" type="noConversion"/>
  </si>
  <si>
    <t>1CPN</t>
    <phoneticPr fontId="2" type="noConversion"/>
  </si>
  <si>
    <t>1IPAHW</t>
    <phoneticPr fontId="2" type="noConversion"/>
  </si>
  <si>
    <t>2EGE4</t>
    <phoneticPr fontId="2" type="noConversion"/>
  </si>
  <si>
    <t>1IPA</t>
    <phoneticPr fontId="2" type="noConversion"/>
  </si>
  <si>
    <t>2IPAE4</t>
    <phoneticPr fontId="2" type="noConversion"/>
  </si>
  <si>
    <t>底面積</t>
    <phoneticPr fontId="2" type="noConversion"/>
  </si>
  <si>
    <t>現為公升還要*密度=公斤KG</t>
    <phoneticPr fontId="2" type="noConversion"/>
  </si>
  <si>
    <t>最高液位</t>
    <phoneticPr fontId="2" type="noConversion"/>
  </si>
  <si>
    <t>675-678</t>
    <phoneticPr fontId="2" type="noConversion"/>
  </si>
  <si>
    <t>1mm</t>
    <phoneticPr fontId="2" type="noConversion"/>
  </si>
  <si>
    <t>4.6L</t>
    <phoneticPr fontId="2" type="noConversion"/>
  </si>
  <si>
    <t>桶底 1566L</t>
    <phoneticPr fontId="2" type="noConversion"/>
  </si>
  <si>
    <t>681-689,691</t>
    <phoneticPr fontId="2" type="noConversion"/>
  </si>
  <si>
    <t>18.322L</t>
    <phoneticPr fontId="2" type="noConversion"/>
  </si>
  <si>
    <t>桶底87L</t>
    <phoneticPr fontId="2" type="noConversion"/>
  </si>
  <si>
    <t>11.702L</t>
    <phoneticPr fontId="2" type="noConversion"/>
  </si>
  <si>
    <t>692-695</t>
    <phoneticPr fontId="2" type="noConversion"/>
  </si>
  <si>
    <t>35.891L</t>
    <phoneticPr fontId="2" type="noConversion"/>
  </si>
  <si>
    <t>696-699</t>
    <phoneticPr fontId="2" type="noConversion"/>
  </si>
  <si>
    <t>47.051L</t>
    <phoneticPr fontId="2" type="noConversion"/>
  </si>
  <si>
    <t>268.26L</t>
    <phoneticPr fontId="2" type="noConversion"/>
  </si>
  <si>
    <t>1026L</t>
    <phoneticPr fontId="2" type="noConversion"/>
  </si>
  <si>
    <t>514.88L</t>
    <phoneticPr fontId="2" type="noConversion"/>
  </si>
  <si>
    <t>2512.3L</t>
    <phoneticPr fontId="2" type="noConversion"/>
  </si>
  <si>
    <t>5453.1L</t>
    <phoneticPr fontId="2" type="noConversion"/>
  </si>
  <si>
    <t>液位</t>
    <phoneticPr fontId="2" type="noConversion"/>
  </si>
  <si>
    <t>CPNE3-R</t>
    <phoneticPr fontId="3" type="noConversion"/>
  </si>
  <si>
    <t xml:space="preserve">鴻勝化學科技股份有限公司                                    </t>
    <phoneticPr fontId="3" type="noConversion"/>
  </si>
  <si>
    <t xml:space="preserve">                                  </t>
    <phoneticPr fontId="2" type="noConversion"/>
  </si>
  <si>
    <t>500KL</t>
    <phoneticPr fontId="2" type="noConversion"/>
  </si>
  <si>
    <t>51.53L</t>
    <phoneticPr fontId="2" type="noConversion"/>
  </si>
  <si>
    <t>250KL</t>
    <phoneticPr fontId="2" type="noConversion"/>
  </si>
  <si>
    <t>33.183L</t>
    <phoneticPr fontId="2" type="noConversion"/>
  </si>
  <si>
    <t>125KL</t>
    <phoneticPr fontId="2" type="noConversion"/>
  </si>
  <si>
    <t>20.428L</t>
    <phoneticPr fontId="2" type="noConversion"/>
  </si>
  <si>
    <t>70KL</t>
    <phoneticPr fontId="2" type="noConversion"/>
  </si>
  <si>
    <t>50KL</t>
    <phoneticPr fontId="2" type="noConversion"/>
  </si>
  <si>
    <t>50KL
C01~C09
643,645</t>
    <phoneticPr fontId="2" type="noConversion"/>
  </si>
  <si>
    <t>上午:</t>
    <phoneticPr fontId="3" type="noConversion"/>
  </si>
  <si>
    <t>年       月       日</t>
    <phoneticPr fontId="3" type="noConversion"/>
  </si>
  <si>
    <t>備    註</t>
    <phoneticPr fontId="3" type="noConversion"/>
  </si>
  <si>
    <t>年         月         日</t>
    <phoneticPr fontId="3" type="noConversion"/>
  </si>
  <si>
    <t>槽　別</t>
    <phoneticPr fontId="3" type="noConversion"/>
  </si>
  <si>
    <t>液位(mm/%)</t>
    <phoneticPr fontId="3" type="noConversion"/>
  </si>
  <si>
    <t>數量(kg)</t>
    <phoneticPr fontId="4" type="noConversion"/>
  </si>
  <si>
    <t>溫度( ℃)</t>
    <phoneticPr fontId="3" type="noConversion"/>
  </si>
  <si>
    <r>
      <t>液位(</t>
    </r>
    <r>
      <rPr>
        <vertAlign val="superscript"/>
        <sz val="8"/>
        <rFont val="微軟正黑體"/>
        <family val="2"/>
        <charset val="136"/>
      </rPr>
      <t>mm</t>
    </r>
    <r>
      <rPr>
        <sz val="8"/>
        <rFont val="微軟正黑體"/>
        <family val="2"/>
        <charset val="136"/>
      </rPr>
      <t>/</t>
    </r>
    <r>
      <rPr>
        <vertAlign val="subscript"/>
        <sz val="8"/>
        <rFont val="微軟正黑體"/>
        <family val="2"/>
        <charset val="136"/>
      </rPr>
      <t>%</t>
    </r>
    <r>
      <rPr>
        <sz val="8"/>
        <rFont val="微軟正黑體"/>
        <family val="2"/>
        <charset val="136"/>
      </rPr>
      <t>)</t>
    </r>
    <phoneticPr fontId="4" type="noConversion"/>
  </si>
  <si>
    <t>總數量
(kg)</t>
    <phoneticPr fontId="3" type="noConversion"/>
  </si>
  <si>
    <t>經(副)理:</t>
    <phoneticPr fontId="4" type="noConversion"/>
  </si>
  <si>
    <t>課長:</t>
    <phoneticPr fontId="4" type="noConversion"/>
  </si>
  <si>
    <t>組(副)長:</t>
    <phoneticPr fontId="4" type="noConversion"/>
  </si>
  <si>
    <t>記錄員:</t>
    <phoneticPr fontId="4" type="noConversion"/>
  </si>
  <si>
    <t>1IPAHW</t>
    <phoneticPr fontId="3" type="noConversion"/>
  </si>
  <si>
    <t>1NBAC-P1</t>
    <phoneticPr fontId="3" type="noConversion"/>
  </si>
  <si>
    <t>2CPN-P1</t>
    <phoneticPr fontId="3" type="noConversion"/>
  </si>
  <si>
    <t>2CPNE3</t>
    <phoneticPr fontId="3" type="noConversion"/>
  </si>
  <si>
    <t>2CPNE4</t>
    <phoneticPr fontId="2" type="noConversion"/>
  </si>
  <si>
    <t>2NBAC-P1</t>
    <phoneticPr fontId="3" type="noConversion"/>
  </si>
  <si>
    <t>EGHW</t>
    <phoneticPr fontId="3" type="noConversion"/>
  </si>
  <si>
    <t>溫度</t>
    <phoneticPr fontId="2" type="noConversion"/>
  </si>
  <si>
    <t>液位</t>
  </si>
  <si>
    <t>1CPN-R(PMA)</t>
    <phoneticPr fontId="3" type="noConversion"/>
  </si>
  <si>
    <t>1CPN-HW</t>
    <phoneticPr fontId="3" type="noConversion"/>
  </si>
  <si>
    <t>GAA</t>
    <phoneticPr fontId="2" type="noConversion"/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</si>
  <si>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</si>
  <si>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</si>
  <si>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</si>
  <si>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</si>
  <si>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</si>
  <si>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</si>
  <si>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</si>
  <si>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</si>
  <si>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</si>
  <si>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</si>
  <si>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</si>
  <si>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</si>
  <si>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</si>
  <si>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</si>
  <si>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</si>
  <si>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</si>
  <si>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</si>
  <si>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F20</t>
  </si>
  <si>
    <t>F21</t>
  </si>
  <si>
    <t>F23</t>
  </si>
  <si>
    <t>品名</t>
  </si>
  <si>
    <t>編號</t>
  </si>
  <si>
    <t>日期</t>
  </si>
  <si>
    <t>重量</t>
  </si>
  <si>
    <t>來源</t>
  </si>
  <si>
    <t>小計</t>
  </si>
  <si>
    <t>IPA-R1</t>
  </si>
  <si>
    <t>備註</t>
  </si>
  <si>
    <t>總量</t>
  </si>
  <si>
    <t xml:space="preserve"> </t>
  </si>
  <si>
    <t>20170627</t>
  </si>
  <si>
    <t>80</t>
  </si>
  <si>
    <t>320</t>
  </si>
  <si>
    <t>BDGE</t>
  </si>
  <si>
    <t>50</t>
  </si>
  <si>
    <t>170</t>
  </si>
  <si>
    <t>160</t>
  </si>
  <si>
    <t>30</t>
  </si>
  <si>
    <t>20161229</t>
  </si>
  <si>
    <t>90</t>
  </si>
  <si>
    <t>60</t>
  </si>
  <si>
    <t>150</t>
  </si>
  <si>
    <t>20170126</t>
  </si>
  <si>
    <t>40</t>
  </si>
  <si>
    <t>GAAHW</t>
  </si>
  <si>
    <t>TK-602</t>
  </si>
  <si>
    <t>420</t>
  </si>
  <si>
    <t>ANONEHW</t>
  </si>
  <si>
    <t>220</t>
  </si>
  <si>
    <t>100</t>
  </si>
  <si>
    <t>ACTHW</t>
  </si>
  <si>
    <t>110</t>
  </si>
  <si>
    <t>180</t>
  </si>
  <si>
    <t>GBLHW</t>
  </si>
  <si>
    <t>3/19</t>
  </si>
  <si>
    <t>E-12</t>
  </si>
  <si>
    <t>8/26</t>
  </si>
  <si>
    <t>6/26</t>
  </si>
  <si>
    <t>53GL(20150916送驗)</t>
  </si>
  <si>
    <t>2/10</t>
  </si>
  <si>
    <t>115</t>
  </si>
  <si>
    <t>GB8704</t>
  </si>
  <si>
    <t>9/15</t>
  </si>
  <si>
    <t>6/22</t>
  </si>
  <si>
    <t>11/18</t>
  </si>
  <si>
    <t>5/27</t>
  </si>
  <si>
    <t>10</t>
  </si>
  <si>
    <t>9/27</t>
  </si>
  <si>
    <t>470</t>
  </si>
  <si>
    <t>20160223</t>
  </si>
  <si>
    <t>161126</t>
  </si>
  <si>
    <t>E-39</t>
  </si>
  <si>
    <t>20131211破桶換桶 970(20150916送驗)</t>
  </si>
  <si>
    <t>GB8705</t>
  </si>
  <si>
    <t>5/6</t>
  </si>
  <si>
    <t>230</t>
  </si>
  <si>
    <t>6/9</t>
  </si>
  <si>
    <t>10/15</t>
  </si>
  <si>
    <t>11/15</t>
  </si>
  <si>
    <t>20140409</t>
  </si>
  <si>
    <t>20150304</t>
  </si>
  <si>
    <t>20150511</t>
  </si>
  <si>
    <t>20150709</t>
  </si>
  <si>
    <t>20151214</t>
  </si>
  <si>
    <t>70</t>
  </si>
  <si>
    <t>(20150916送驗)</t>
  </si>
  <si>
    <t>20140521</t>
  </si>
  <si>
    <t>20141030</t>
  </si>
  <si>
    <t>1GAL</t>
  </si>
  <si>
    <t>20141222</t>
  </si>
  <si>
    <t>20141231</t>
  </si>
  <si>
    <t>20160324</t>
  </si>
  <si>
    <t>20160530</t>
  </si>
  <si>
    <t>20160831</t>
  </si>
  <si>
    <t>130</t>
  </si>
  <si>
    <t>GB8706-1</t>
  </si>
  <si>
    <t>GB8706-2</t>
  </si>
  <si>
    <t>53GL*2(20150916送驗)</t>
  </si>
  <si>
    <t>GB8707</t>
  </si>
  <si>
    <t>E39</t>
  </si>
  <si>
    <t>20170223</t>
  </si>
  <si>
    <t>GB8708</t>
  </si>
  <si>
    <t>NMPHW</t>
  </si>
  <si>
    <t>1010</t>
  </si>
  <si>
    <t>670</t>
  </si>
  <si>
    <t>MEK</t>
  </si>
  <si>
    <t>20</t>
  </si>
  <si>
    <t>EGHW</t>
  </si>
  <si>
    <t>140</t>
  </si>
  <si>
    <t>EEP</t>
  </si>
  <si>
    <t>400</t>
  </si>
  <si>
    <t>190</t>
  </si>
  <si>
    <t>120</t>
  </si>
  <si>
    <t>PG</t>
  </si>
  <si>
    <t>-30</t>
  </si>
  <si>
    <t>-20</t>
  </si>
  <si>
    <t>270</t>
  </si>
  <si>
    <t>1DPM-1
(DPM HAV)</t>
  </si>
  <si>
    <t>總量統計</t>
  </si>
  <si>
    <t>IPA</t>
  </si>
  <si>
    <t>EBR</t>
  </si>
  <si>
    <t>SEP05(E2)</t>
  </si>
  <si>
    <t>GAA</t>
  </si>
  <si>
    <t>ANONE</t>
  </si>
  <si>
    <t>#REF!</t>
  </si>
  <si>
    <t>5,609.0</t>
  </si>
  <si>
    <t>50.0</t>
  </si>
  <si>
    <t>ACT</t>
  </si>
  <si>
    <t>GBL</t>
  </si>
  <si>
    <t>NMP</t>
  </si>
  <si>
    <t>EG</t>
  </si>
  <si>
    <t>DPM HAV</t>
  </si>
  <si>
    <t>Sulfolane</t>
  </si>
  <si>
    <t>83.0</t>
  </si>
  <si>
    <t>4,050.0</t>
  </si>
  <si>
    <t>897.0</t>
  </si>
  <si>
    <t>103.0</t>
  </si>
  <si>
    <t>請直接以10進位，謝謝</t>
  </si>
  <si>
    <t>F19</t>
  </si>
  <si>
    <t>F24</t>
  </si>
  <si>
    <t>F25</t>
  </si>
  <si>
    <t>F26</t>
  </si>
  <si>
    <t>F27</t>
  </si>
  <si>
    <t>F28</t>
  </si>
  <si>
    <t>水份</t>
  </si>
  <si>
    <t>I9101</t>
  </si>
  <si>
    <t>20240326</t>
  </si>
  <si>
    <t>TK-604</t>
  </si>
  <si>
    <t>20240424</t>
  </si>
  <si>
    <t>I9102</t>
  </si>
  <si>
    <t>I9103</t>
  </si>
  <si>
    <t>C41</t>
  </si>
  <si>
    <t>I9104</t>
  </si>
  <si>
    <t>I9105</t>
  </si>
  <si>
    <t xml:space="preserve">1EBRHW
</t>
  </si>
  <si>
    <t>I9106</t>
  </si>
  <si>
    <t>I9107</t>
  </si>
  <si>
    <t>I9108</t>
  </si>
  <si>
    <t>I9109</t>
  </si>
  <si>
    <t>I9110</t>
  </si>
  <si>
    <t>I9111</t>
  </si>
  <si>
    <t>I9112</t>
  </si>
  <si>
    <t>I9113</t>
  </si>
  <si>
    <t>I9114</t>
  </si>
  <si>
    <t>I9115</t>
  </si>
  <si>
    <t>CPNE3</t>
  </si>
  <si>
    <t>I9116</t>
  </si>
  <si>
    <t>I9117</t>
  </si>
  <si>
    <t>CPNHW
(OEM)</t>
  </si>
  <si>
    <t>I9118</t>
  </si>
  <si>
    <t>I9119</t>
  </si>
  <si>
    <t>I9120</t>
  </si>
  <si>
    <t>I9121</t>
  </si>
  <si>
    <t>M
I
B
C
H
W</t>
  </si>
  <si>
    <t>R9101</t>
  </si>
  <si>
    <t>TK-601</t>
  </si>
  <si>
    <t>R9102</t>
  </si>
  <si>
    <t>290</t>
  </si>
  <si>
    <t>R9103</t>
  </si>
  <si>
    <t>0</t>
  </si>
  <si>
    <t>R9104</t>
  </si>
  <si>
    <t>R9105</t>
  </si>
  <si>
    <t>R9106</t>
  </si>
  <si>
    <t>R9107</t>
  </si>
  <si>
    <t>R9108</t>
  </si>
  <si>
    <t>R9109</t>
  </si>
  <si>
    <t>R9110</t>
  </si>
  <si>
    <t>G9101</t>
  </si>
  <si>
    <t>G9102</t>
  </si>
  <si>
    <t>G9103</t>
  </si>
  <si>
    <t>G9104</t>
  </si>
  <si>
    <t>G9105</t>
  </si>
  <si>
    <t>G9106</t>
  </si>
  <si>
    <t>G9107</t>
  </si>
  <si>
    <t>G9108</t>
  </si>
  <si>
    <t>AN9101</t>
  </si>
  <si>
    <t>AN9102</t>
  </si>
  <si>
    <t>-</t>
  </si>
  <si>
    <t>A9101</t>
  </si>
  <si>
    <t>20240425</t>
  </si>
  <si>
    <t>690</t>
  </si>
  <si>
    <t>A9102</t>
  </si>
  <si>
    <t>A9103</t>
  </si>
  <si>
    <t>A9104</t>
  </si>
  <si>
    <t>A9105</t>
  </si>
  <si>
    <t>A9106</t>
  </si>
  <si>
    <t>A9107</t>
  </si>
  <si>
    <t>A9108</t>
  </si>
  <si>
    <t>S208</t>
  </si>
  <si>
    <t>GB9101</t>
  </si>
  <si>
    <t>20210315</t>
  </si>
  <si>
    <t>-50</t>
  </si>
  <si>
    <t>換桶</t>
  </si>
  <si>
    <t>910</t>
  </si>
  <si>
    <t>1140</t>
  </si>
  <si>
    <t>20200818</t>
  </si>
  <si>
    <t>1130</t>
  </si>
  <si>
    <t>20161126</t>
  </si>
  <si>
    <t>2020/7/16</t>
  </si>
  <si>
    <t>研發取用</t>
  </si>
  <si>
    <t>1110</t>
  </si>
  <si>
    <t>20170728</t>
  </si>
  <si>
    <t>20170829</t>
  </si>
  <si>
    <t>20170927</t>
  </si>
  <si>
    <t>20171030</t>
  </si>
  <si>
    <t>20171129</t>
  </si>
  <si>
    <t>20171228</t>
  </si>
  <si>
    <t>20180129</t>
  </si>
  <si>
    <t>20180205</t>
  </si>
  <si>
    <t>-40</t>
  </si>
  <si>
    <t>20180328</t>
  </si>
  <si>
    <t>20180426</t>
  </si>
  <si>
    <t>20180530</t>
  </si>
  <si>
    <t>20180628</t>
  </si>
  <si>
    <t>20181130</t>
  </si>
  <si>
    <t>1150</t>
  </si>
  <si>
    <t>20180730</t>
  </si>
  <si>
    <t>20180890</t>
  </si>
  <si>
    <t>20180927</t>
  </si>
  <si>
    <t>20181030</t>
  </si>
  <si>
    <t>20181227</t>
  </si>
  <si>
    <t>20190130</t>
  </si>
  <si>
    <t>20190226</t>
  </si>
  <si>
    <t>20190328</t>
  </si>
  <si>
    <t>20190429</t>
  </si>
  <si>
    <t>20190530</t>
  </si>
  <si>
    <t>20190628</t>
  </si>
  <si>
    <t>20190730</t>
  </si>
  <si>
    <t>20190816</t>
  </si>
  <si>
    <t>GB8709</t>
  </si>
  <si>
    <t>20190829</t>
  </si>
  <si>
    <t>20190927</t>
  </si>
  <si>
    <t>20191029</t>
  </si>
  <si>
    <t>20191128</t>
  </si>
  <si>
    <t>20191226</t>
  </si>
  <si>
    <t>20200130</t>
  </si>
  <si>
    <t>20200226</t>
  </si>
  <si>
    <t>20200326</t>
  </si>
  <si>
    <t>20200430</t>
  </si>
  <si>
    <t>20200529</t>
  </si>
  <si>
    <t>20200629</t>
  </si>
  <si>
    <t>20200730</t>
  </si>
  <si>
    <t>20200827</t>
  </si>
  <si>
    <t>20200928</t>
  </si>
  <si>
    <t>20201028</t>
  </si>
  <si>
    <t>20201127</t>
  </si>
  <si>
    <t>GB9110</t>
  </si>
  <si>
    <t>20201225</t>
  </si>
  <si>
    <t>20210129</t>
  </si>
  <si>
    <t>20210224</t>
  </si>
  <si>
    <t>20210326</t>
  </si>
  <si>
    <t>1090</t>
  </si>
  <si>
    <t>20210427</t>
  </si>
  <si>
    <t>20210527</t>
  </si>
  <si>
    <t>20210629</t>
  </si>
  <si>
    <t>20210728</t>
  </si>
  <si>
    <t>20210826</t>
  </si>
  <si>
    <t>20210928</t>
  </si>
  <si>
    <t>20211027</t>
  </si>
  <si>
    <t>20211130</t>
  </si>
  <si>
    <t>20211229</t>
  </si>
  <si>
    <t>20220117</t>
  </si>
  <si>
    <t>GB9111</t>
  </si>
  <si>
    <t>20220126</t>
  </si>
  <si>
    <t>20220223</t>
  </si>
  <si>
    <t>20220329</t>
  </si>
  <si>
    <t>20220427</t>
  </si>
  <si>
    <t>20220629</t>
  </si>
  <si>
    <t>1080</t>
  </si>
  <si>
    <t>20220725</t>
  </si>
  <si>
    <t>20220826</t>
  </si>
  <si>
    <t>20220928</t>
  </si>
  <si>
    <t>20221025</t>
  </si>
  <si>
    <t>20221229</t>
  </si>
  <si>
    <t>20230130</t>
  </si>
  <si>
    <t>20230222</t>
  </si>
  <si>
    <t>20230327</t>
  </si>
  <si>
    <t>20230425</t>
  </si>
  <si>
    <t>20230529</t>
  </si>
  <si>
    <t>20230628</t>
  </si>
  <si>
    <t>20230725</t>
  </si>
  <si>
    <t>20230828</t>
  </si>
  <si>
    <t>20230926</t>
  </si>
  <si>
    <t>20231025</t>
  </si>
  <si>
    <t>GB9112</t>
  </si>
  <si>
    <t>20231122</t>
  </si>
  <si>
    <t>20231226</t>
  </si>
  <si>
    <t>8,920</t>
  </si>
  <si>
    <t>E9101</t>
  </si>
  <si>
    <t>E9102</t>
  </si>
  <si>
    <t>20240226</t>
  </si>
  <si>
    <t>350</t>
  </si>
  <si>
    <t>TK603</t>
  </si>
  <si>
    <t>E9103</t>
  </si>
  <si>
    <t>E9104</t>
  </si>
  <si>
    <t>E9105</t>
  </si>
  <si>
    <t>990</t>
  </si>
  <si>
    <t>285</t>
  </si>
  <si>
    <t>20240124</t>
  </si>
  <si>
    <t>20240202</t>
  </si>
  <si>
    <t>E9107</t>
  </si>
  <si>
    <t>E9108</t>
  </si>
  <si>
    <t>E9109</t>
  </si>
  <si>
    <t>E9110</t>
  </si>
  <si>
    <t>E9111</t>
  </si>
  <si>
    <t>C9101</t>
  </si>
  <si>
    <t>C9102</t>
  </si>
  <si>
    <t>C9103</t>
  </si>
  <si>
    <t>C9104</t>
  </si>
  <si>
    <t>20240426</t>
  </si>
  <si>
    <t>870</t>
  </si>
  <si>
    <t>C9105</t>
  </si>
  <si>
    <t>C9106</t>
  </si>
  <si>
    <t>C9107</t>
  </si>
  <si>
    <t>C9108</t>
  </si>
  <si>
    <t>C9109</t>
  </si>
  <si>
    <t>C9110</t>
  </si>
  <si>
    <t>C9111</t>
  </si>
  <si>
    <t>C9112</t>
  </si>
  <si>
    <t>C9113</t>
  </si>
  <si>
    <t>C9114</t>
  </si>
  <si>
    <t>C9115</t>
  </si>
  <si>
    <t>N9101</t>
  </si>
  <si>
    <t>20240320</t>
  </si>
  <si>
    <t>930</t>
  </si>
  <si>
    <t>N9102</t>
  </si>
  <si>
    <t>N9103</t>
  </si>
  <si>
    <t>TK611</t>
  </si>
  <si>
    <t>20240401</t>
  </si>
  <si>
    <t>N9104</t>
  </si>
  <si>
    <t>940</t>
  </si>
  <si>
    <t>N9105</t>
  </si>
  <si>
    <t>N9106</t>
  </si>
  <si>
    <t>N9107</t>
  </si>
  <si>
    <t>N9108</t>
  </si>
  <si>
    <t>N9109</t>
  </si>
  <si>
    <t>N9110</t>
  </si>
  <si>
    <t>N9111</t>
  </si>
  <si>
    <t>N9112</t>
  </si>
  <si>
    <t>N9113</t>
  </si>
  <si>
    <t>N9114</t>
  </si>
  <si>
    <t>N9115</t>
  </si>
  <si>
    <t>N9116</t>
  </si>
  <si>
    <t>N
S
E
H
W</t>
  </si>
  <si>
    <t>NS9101</t>
  </si>
  <si>
    <t>NS9102</t>
  </si>
  <si>
    <t>M9101</t>
  </si>
  <si>
    <t>20220407</t>
  </si>
  <si>
    <t>20230428</t>
  </si>
  <si>
    <t>TK667</t>
  </si>
  <si>
    <t>M9102</t>
  </si>
  <si>
    <t>M9103</t>
  </si>
  <si>
    <t>M9104</t>
  </si>
  <si>
    <t>M9105</t>
  </si>
  <si>
    <t>2,030</t>
  </si>
  <si>
    <t>D9101</t>
  </si>
  <si>
    <t>D9102</t>
  </si>
  <si>
    <t>D9103</t>
  </si>
  <si>
    <t>D9104</t>
  </si>
  <si>
    <t>D9105</t>
  </si>
  <si>
    <t>c</t>
  </si>
  <si>
    <t xml:space="preserve"> </t>
    <phoneticPr fontId="3" type="noConversion"/>
  </si>
  <si>
    <t>20240528</t>
  </si>
  <si>
    <t>250</t>
  </si>
  <si>
    <t>20240516</t>
  </si>
  <si>
    <t>840</t>
  </si>
  <si>
    <t>(回收液)</t>
  </si>
  <si>
    <t>1,440</t>
  </si>
  <si>
    <t>310</t>
  </si>
  <si>
    <t>730</t>
  </si>
  <si>
    <t>200</t>
  </si>
  <si>
    <t>890</t>
  </si>
  <si>
    <t>1030</t>
  </si>
  <si>
    <t>E9106
(5/30重驗)</t>
  </si>
  <si>
    <t>360</t>
  </si>
  <si>
    <t>20240523</t>
  </si>
  <si>
    <t>850</t>
  </si>
  <si>
    <t>880</t>
  </si>
  <si>
    <t>630</t>
  </si>
  <si>
    <t>202406XX</t>
  </si>
  <si>
    <t>TK675等單</t>
  </si>
  <si>
    <t>20240619</t>
  </si>
  <si>
    <t>530</t>
  </si>
  <si>
    <t>2024/6/24 14:52</t>
  </si>
  <si>
    <t>標記1</t>
  </si>
  <si>
    <t>標記2</t>
  </si>
  <si>
    <t>960</t>
  </si>
  <si>
    <t>1020</t>
  </si>
  <si>
    <t>7,100</t>
  </si>
  <si>
    <t>20240624</t>
  </si>
  <si>
    <t>810</t>
  </si>
  <si>
    <t>860</t>
  </si>
  <si>
    <t>9310</t>
  </si>
  <si>
    <t>830</t>
  </si>
  <si>
    <t>3,880</t>
  </si>
  <si>
    <t>2,270.0</t>
  </si>
  <si>
    <t>2EBR95</t>
    <phoneticPr fontId="3" type="noConversion"/>
  </si>
  <si>
    <t>2CPNE4</t>
  </si>
  <si>
    <t>CPNE4R</t>
    <phoneticPr fontId="2" type="noConversion"/>
  </si>
  <si>
    <t>EBR-P4</t>
    <phoneticPr fontId="3" type="noConversion"/>
  </si>
  <si>
    <r>
      <t xml:space="preserve"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 </t>
    </r>
    <r>
      <rPr>
        <u/>
        <sz val="8"/>
        <rFont val="微軟正黑體"/>
        <family val="2"/>
        <charset val="136"/>
      </rPr>
      <t>_16</t>
    </r>
    <r>
      <rPr>
        <sz val="8"/>
        <rFont val="微軟正黑體"/>
        <family val="2"/>
        <charset val="136"/>
      </rPr>
      <t xml:space="preserve">
蒸氣壓力 ______ (最低氣溫低於16度開啟)</t>
    </r>
    <phoneticPr fontId="3" type="noConversion"/>
  </si>
  <si>
    <t>涂敬宗</t>
    <phoneticPr fontId="2" type="noConversion"/>
  </si>
  <si>
    <r>
      <t>EBR</t>
    </r>
    <r>
      <rPr>
        <sz val="7"/>
        <color theme="1"/>
        <rFont val="微軟正黑體"/>
        <family val="2"/>
        <charset val="136"/>
      </rPr>
      <t>廢溶劑</t>
    </r>
    <phoneticPr fontId="3" type="noConversion"/>
  </si>
  <si>
    <t>PMUPS</t>
    <phoneticPr fontId="3" type="noConversion"/>
  </si>
  <si>
    <t>待處理廢水</t>
    <phoneticPr fontId="2" type="noConversion"/>
  </si>
  <si>
    <t>待處理廢水</t>
    <phoneticPr fontId="3" type="noConversion"/>
  </si>
  <si>
    <t>陳志修</t>
    <phoneticPr fontId="2" type="noConversion"/>
  </si>
  <si>
    <t>EBR-P1R</t>
  </si>
  <si>
    <t>NMPUPS</t>
    <phoneticPr fontId="3" type="noConversion"/>
  </si>
  <si>
    <t>ACTUPS</t>
    <phoneticPr fontId="3" type="noConversion"/>
  </si>
  <si>
    <t>EGUPS</t>
  </si>
  <si>
    <t>EGUPS</t>
    <phoneticPr fontId="3" type="noConversion"/>
  </si>
  <si>
    <t>IPAUPS</t>
  </si>
  <si>
    <t>IPAUPS</t>
    <phoneticPr fontId="3" type="noConversion"/>
  </si>
  <si>
    <t>EBR-P1</t>
    <phoneticPr fontId="3" type="noConversion"/>
  </si>
  <si>
    <t>CPN-P1</t>
    <phoneticPr fontId="3" type="noConversion"/>
  </si>
  <si>
    <t>CPN-P1R</t>
  </si>
  <si>
    <t>IPAHW</t>
  </si>
  <si>
    <t>IPAHW</t>
    <phoneticPr fontId="3" type="noConversion"/>
  </si>
  <si>
    <t>EBR95</t>
    <phoneticPr fontId="3" type="noConversion"/>
  </si>
  <si>
    <t>HEAVY ENDS</t>
    <phoneticPr fontId="3" type="noConversion"/>
  </si>
  <si>
    <t>CPN-R</t>
    <phoneticPr fontId="3" type="noConversion"/>
  </si>
  <si>
    <t>NBAC-P1</t>
    <phoneticPr fontId="3" type="noConversion"/>
  </si>
  <si>
    <t>NBAC-P1R</t>
    <phoneticPr fontId="3" type="noConversion"/>
  </si>
  <si>
    <t>CPNE3</t>
    <phoneticPr fontId="3" type="noConversion"/>
  </si>
  <si>
    <t>IPA-BW</t>
    <phoneticPr fontId="3" type="noConversion"/>
  </si>
  <si>
    <t>CPN</t>
  </si>
  <si>
    <t>SEP73E3</t>
    <phoneticPr fontId="3" type="noConversion"/>
  </si>
  <si>
    <t>CPNE4</t>
    <phoneticPr fontId="2" type="noConversion"/>
  </si>
  <si>
    <t>GAAUPS</t>
    <phoneticPr fontId="3" type="noConversion"/>
  </si>
  <si>
    <t>IPAHQ</t>
    <phoneticPr fontId="2" type="noConversion"/>
  </si>
  <si>
    <t>CPNE3(T)</t>
    <phoneticPr fontId="2" type="noConversion"/>
  </si>
  <si>
    <t>CPN</t>
    <phoneticPr fontId="2" type="noConversion"/>
  </si>
  <si>
    <t>CPN-P1</t>
    <phoneticPr fontId="2" type="noConversion"/>
  </si>
  <si>
    <t>IPA-1</t>
  </si>
  <si>
    <t>IPA</t>
    <phoneticPr fontId="2" type="noConversion"/>
  </si>
  <si>
    <t>IPA</t>
    <phoneticPr fontId="2" type="noConversion"/>
  </si>
  <si>
    <t>EBR-P1</t>
    <phoneticPr fontId="2" type="noConversion"/>
  </si>
  <si>
    <r>
      <t xml:space="preserve"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 </t>
    </r>
    <r>
      <rPr>
        <u/>
        <sz val="8"/>
        <rFont val="微軟正黑體"/>
        <family val="2"/>
        <charset val="136"/>
      </rPr>
      <t>_15</t>
    </r>
    <r>
      <rPr>
        <sz val="8"/>
        <rFont val="微軟正黑體"/>
        <family val="2"/>
        <charset val="136"/>
      </rPr>
      <t xml:space="preserve">
蒸氣壓力 ______ (最低氣溫低於16度開啟)</t>
    </r>
    <phoneticPr fontId="3" type="noConversion"/>
  </si>
  <si>
    <r>
      <t xml:space="preserve"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 </t>
    </r>
    <r>
      <rPr>
        <u/>
        <sz val="8"/>
        <rFont val="微軟正黑體"/>
        <family val="2"/>
        <charset val="136"/>
      </rPr>
      <t>16</t>
    </r>
    <r>
      <rPr>
        <sz val="8"/>
        <rFont val="微軟正黑體"/>
        <family val="2"/>
        <charset val="136"/>
      </rPr>
      <t xml:space="preserve">
蒸氣壓力 ______ (最低氣溫低於16度開啟)</t>
    </r>
    <phoneticPr fontId="3" type="noConversion"/>
  </si>
  <si>
    <r>
      <t xml:space="preserve"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 </t>
    </r>
    <r>
      <rPr>
        <u/>
        <sz val="8"/>
        <rFont val="微軟正黑體"/>
        <family val="2"/>
        <charset val="136"/>
      </rPr>
      <t>12</t>
    </r>
    <r>
      <rPr>
        <sz val="8"/>
        <rFont val="微軟正黑體"/>
        <family val="2"/>
        <charset val="136"/>
      </rPr>
      <t xml:space="preserve">
蒸氣壓力 ______ (最低氣溫低於16度開啟)</t>
    </r>
    <phoneticPr fontId="3" type="noConversion"/>
  </si>
  <si>
    <r>
      <t xml:space="preserve"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 </t>
    </r>
    <r>
      <rPr>
        <u/>
        <sz val="8"/>
        <rFont val="微軟正黑體"/>
        <family val="2"/>
        <charset val="136"/>
      </rPr>
      <t>10</t>
    </r>
    <r>
      <rPr>
        <sz val="8"/>
        <rFont val="微軟正黑體"/>
        <family val="2"/>
        <charset val="136"/>
      </rPr>
      <t xml:space="preserve">
蒸氣壓力 ______ (最低氣溫低於16度開啟)</t>
    </r>
    <phoneticPr fontId="3" type="noConversion"/>
  </si>
  <si>
    <t xml:space="preserve">                                                        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</si>
</sst>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4" formatCode="_-&quot;$&quot;* #,##0.00_-;\-&quot;$&quot;* #,##0.00_-;_-&quot;$&quot;* &quot;-&quot;??_-;_-@_-"/>
    <numFmt numFmtId="43" formatCode="_-* #,##0.00_-;\-* #,##0.00_-;_-* &quot;-&quot;??_-;_-@_-"/>
    <numFmt numFmtId="176" formatCode="0_);[Red]\(0\)"/>
    <numFmt numFmtId="177" formatCode="0_ "/>
    <numFmt numFmtId="178" formatCode="_(* #,##0.00_);_(* \(#,##0.00\);_(* &quot;-&quot;??_);_(@_)"/>
    <numFmt numFmtId="179" formatCode="_(&quot;$&quot;* #,##0.00_);_(&quot;$&quot;* \(#,##0.00\);_(&quot;$&quot;* &quot;-&quot;??_);_(@_)"/>
    <numFmt numFmtId="180" formatCode="#,##0.0000"/>
    <numFmt numFmtId="181" formatCode="0.0000_ "/>
    <numFmt numFmtId="182" formatCode="0.0000"/>
    <numFmt numFmtId="183" formatCode="[&lt;0]&quot;0&quot;;0"/>
    <numFmt numFmtId="184" formatCode="m&quot;月&quot;d&quot;日&quot;"/>
  </numFmts>
  <fonts count="37">
    <font>
      <sz val="12"/>
      <color theme="1"/>
      <name val="新細明體"/>
      <family val="2"/>
      <scheme val="minor"/>
    </font>
    <font>
      <sz val="12"/>
      <name val="新細明體"/>
      <family val="1"/>
      <charset val="136"/>
    </font>
    <font>
      <sz val="9"/>
      <name val="新細明體"/>
      <family val="3"/>
      <charset val="136"/>
      <scheme val="minor"/>
    </font>
    <font>
      <sz val="9"/>
      <name val="新細明體"/>
      <family val="1"/>
      <charset val="136"/>
    </font>
    <font>
      <sz val="9"/>
      <name val="細明體"/>
      <family val="3"/>
      <charset val="136"/>
    </font>
    <font>
      <sz val="12"/>
      <color theme="1"/>
      <name val="新細明體"/>
      <family val="1"/>
      <charset val="136"/>
      <scheme val="minor"/>
    </font>
    <font>
      <sz val="12"/>
      <name val="DotumChe"/>
      <family val="3"/>
      <charset val="129"/>
    </font>
    <font>
      <sz val="12"/>
      <name val="細明體"/>
      <family val="3"/>
      <charset val="136"/>
    </font>
    <font>
      <sz val="14"/>
      <name val="DotumChe"/>
      <family val="3"/>
      <charset val="129"/>
    </font>
    <font>
      <b/>
      <sz val="14"/>
      <color rgb="FF0000FF"/>
      <name val="DotumChe"/>
      <family val="3"/>
      <charset val="129"/>
    </font>
    <font>
      <sz val="14"/>
      <name val="細明體"/>
      <family val="3"/>
      <charset val="136"/>
    </font>
    <font>
      <sz val="18"/>
      <color rgb="FFFF0000"/>
      <name val="微軟正黑體"/>
      <family val="2"/>
      <charset val="136"/>
    </font>
    <font>
      <b/>
      <sz val="12"/>
      <name val="微軟正黑體"/>
      <family val="2"/>
      <charset val="136"/>
    </font>
    <font>
      <sz val="12"/>
      <name val="微軟正黑體"/>
      <family val="2"/>
      <charset val="136"/>
    </font>
    <font>
      <sz val="14"/>
      <name val="微軟正黑體"/>
      <family val="2"/>
      <charset val="136"/>
    </font>
    <font>
      <sz val="6"/>
      <name val="微軟正黑體"/>
      <family val="2"/>
      <charset val="136"/>
    </font>
    <font>
      <sz val="16"/>
      <name val="微軟正黑體"/>
      <family val="2"/>
      <charset val="136"/>
    </font>
    <font>
      <sz val="10"/>
      <name val="微軟正黑體"/>
      <family val="2"/>
      <charset val="136"/>
    </font>
    <font>
      <sz val="11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sz val="8"/>
      <name val="微軟正黑體"/>
      <family val="2"/>
      <charset val="136"/>
    </font>
    <font>
      <u/>
      <sz val="16"/>
      <name val="微軟正黑體"/>
      <family val="2"/>
      <charset val="136"/>
    </font>
    <font>
      <sz val="9"/>
      <name val="微軟正黑體"/>
      <family val="2"/>
      <charset val="136"/>
    </font>
    <font>
      <vertAlign val="superscript"/>
      <sz val="8"/>
      <name val="微軟正黑體"/>
      <family val="2"/>
      <charset val="136"/>
    </font>
    <font>
      <vertAlign val="subscript"/>
      <sz val="8"/>
      <name val="微軟正黑體"/>
      <family val="2"/>
      <charset val="136"/>
    </font>
    <font>
      <u/>
      <sz val="9"/>
      <name val="微軟正黑體"/>
      <family val="2"/>
      <charset val="136"/>
    </font>
    <font>
      <sz val="7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7.5"/>
      <name val="微軟正黑體"/>
      <family val="2"/>
      <charset val="136"/>
    </font>
    <font>
      <u/>
      <sz val="9"/>
      <color theme="7" tint="-0.499984740745262"/>
      <name val="微軟正黑體"/>
      <family val="2"/>
      <charset val="136"/>
    </font>
    <font>
      <sz val="9"/>
      <color theme="7" tint="-0.499984740745262"/>
      <name val="微軟正黑體"/>
      <family val="2"/>
      <charset val="136"/>
    </font>
    <font>
      <sz val="8.5"/>
      <name val="微軟正黑體"/>
      <family val="2"/>
      <charset val="136"/>
    </font>
    <font>
      <u/>
      <sz val="8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10"/>
      <color theme="7" tint="-0.499984740745262"/>
      <name val="微軟正黑體"/>
      <family val="2"/>
      <charset val="136"/>
    </font>
    <font>
      <sz val="8"/>
      <color theme="1"/>
      <name val="微軟正黑體"/>
      <family val="2"/>
      <charset val="136"/>
    </font>
    <font>
      <sz val="7"/>
      <color theme="1"/>
      <name val="微軟正黑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59999389629810485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otted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tted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</borders>
  <cellStyleXfs count="23">
    <xf numFmtId="0" fontId="0" fillId="0" borderId="0"/>
    <xf numFmtId="0" fontId="1" fillId="0" borderId="0"/>
    <xf numFmtId="0" fontId="1" fillId="0" borderId="0"/>
    <xf numFmtId="178" fontId="1" fillId="0" borderId="0" applyFont="0" applyFill="0" applyBorder="0" applyAlignment="0" applyProtection="0"/>
    <xf numFmtId="17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>
      <alignment vertical="center"/>
    </xf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65">
    <xf numFmtId="0" fontId="0" fillId="0" borderId="0" xfId="0"/>
    <xf numFmtId="0" fontId="6" fillId="3" borderId="5" xfId="1" applyFont="1" applyFill="1" applyBorder="1" applyAlignment="1">
      <alignment horizontal="left" vertical="center" wrapText="1"/>
    </xf>
    <xf numFmtId="0" fontId="8" fillId="3" borderId="17" xfId="1" applyFont="1" applyFill="1" applyBorder="1" applyAlignment="1">
      <alignment horizontal="center" vertical="center"/>
    </xf>
    <xf numFmtId="49" fontId="9" fillId="4" borderId="17" xfId="1" applyNumberFormat="1" applyFont="1" applyFill="1" applyBorder="1" applyAlignment="1">
      <alignment horizontal="center" vertical="center"/>
    </xf>
    <xf numFmtId="0" fontId="8" fillId="3" borderId="17" xfId="1" applyFont="1" applyFill="1" applyBorder="1" applyAlignment="1">
      <alignment horizontal="center" vertical="center" wrapText="1"/>
    </xf>
    <xf numFmtId="180" fontId="9" fillId="4" borderId="17" xfId="1" applyNumberFormat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8" fillId="0" borderId="18" xfId="1" applyFont="1" applyFill="1" applyBorder="1" applyAlignment="1">
      <alignment horizontal="center" vertical="center" wrapText="1"/>
    </xf>
    <xf numFmtId="0" fontId="8" fillId="0" borderId="19" xfId="1" applyFont="1" applyFill="1" applyBorder="1" applyAlignment="1">
      <alignment horizontal="center" vertical="center"/>
    </xf>
    <xf numFmtId="0" fontId="8" fillId="4" borderId="19" xfId="1" applyFont="1" applyFill="1" applyBorder="1" applyAlignment="1">
      <alignment horizontal="center" vertical="center"/>
    </xf>
    <xf numFmtId="0" fontId="8" fillId="0" borderId="19" xfId="1" applyFont="1" applyFill="1" applyBorder="1" applyAlignment="1">
      <alignment horizontal="center" vertical="center" wrapText="1"/>
    </xf>
    <xf numFmtId="181" fontId="8" fillId="0" borderId="19" xfId="1" applyNumberFormat="1" applyFont="1" applyFill="1" applyBorder="1" applyAlignment="1">
      <alignment horizontal="center" vertical="center"/>
    </xf>
    <xf numFmtId="0" fontId="8" fillId="0" borderId="0" xfId="1" applyFont="1" applyFill="1" applyBorder="1" applyAlignment="1">
      <alignment horizontal="center" vertical="center"/>
    </xf>
    <xf numFmtId="0" fontId="8" fillId="0" borderId="0" xfId="1" applyFont="1" applyFill="1" applyAlignment="1">
      <alignment vertical="center"/>
    </xf>
    <xf numFmtId="0" fontId="8" fillId="0" borderId="19" xfId="1" applyNumberFormat="1" applyFont="1" applyFill="1" applyBorder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/>
    </xf>
    <xf numFmtId="180" fontId="8" fillId="4" borderId="21" xfId="1" applyNumberFormat="1" applyFont="1" applyFill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/>
    </xf>
    <xf numFmtId="180" fontId="8" fillId="4" borderId="22" xfId="1" applyNumberFormat="1" applyFont="1" applyFill="1" applyBorder="1" applyAlignment="1">
      <alignment horizontal="center" vertical="center"/>
    </xf>
    <xf numFmtId="180" fontId="8" fillId="0" borderId="23" xfId="1" applyNumberFormat="1" applyFont="1" applyBorder="1" applyAlignment="1">
      <alignment horizontal="center" vertical="center"/>
    </xf>
    <xf numFmtId="0" fontId="8" fillId="0" borderId="24" xfId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vertical="center"/>
    </xf>
    <xf numFmtId="180" fontId="8" fillId="0" borderId="19" xfId="1" applyNumberFormat="1" applyFont="1" applyBorder="1" applyAlignment="1">
      <alignment horizontal="center" vertical="center"/>
    </xf>
    <xf numFmtId="180" fontId="8" fillId="4" borderId="19" xfId="1" applyNumberFormat="1" applyFont="1" applyFill="1" applyBorder="1" applyAlignment="1">
      <alignment horizontal="center" vertical="center"/>
    </xf>
    <xf numFmtId="180" fontId="8" fillId="0" borderId="0" xfId="1" applyNumberFormat="1" applyFont="1" applyAlignment="1">
      <alignment horizontal="center" vertical="center"/>
    </xf>
    <xf numFmtId="0" fontId="8" fillId="0" borderId="26" xfId="1" applyFont="1" applyBorder="1" applyAlignment="1">
      <alignment horizontal="center" vertical="center"/>
    </xf>
    <xf numFmtId="180" fontId="8" fillId="0" borderId="27" xfId="1" applyNumberFormat="1" applyFont="1" applyBorder="1" applyAlignment="1">
      <alignment horizontal="center" vertical="center"/>
    </xf>
    <xf numFmtId="180" fontId="8" fillId="0" borderId="28" xfId="1" applyNumberFormat="1" applyFont="1" applyBorder="1" applyAlignment="1">
      <alignment horizontal="center" vertical="center"/>
    </xf>
    <xf numFmtId="180" fontId="8" fillId="4" borderId="28" xfId="1" applyNumberFormat="1" applyFont="1" applyFill="1" applyBorder="1" applyAlignment="1">
      <alignment horizontal="center" vertical="center"/>
    </xf>
    <xf numFmtId="180" fontId="8" fillId="4" borderId="27" xfId="1" applyNumberFormat="1" applyFont="1" applyFill="1" applyBorder="1" applyAlignment="1">
      <alignment horizontal="center" vertical="center"/>
    </xf>
    <xf numFmtId="180" fontId="8" fillId="0" borderId="25" xfId="1" applyNumberFormat="1" applyFont="1" applyFill="1" applyBorder="1" applyAlignment="1">
      <alignment horizontal="center" vertical="center"/>
    </xf>
    <xf numFmtId="0" fontId="8" fillId="0" borderId="29" xfId="1" applyFont="1" applyBorder="1" applyAlignment="1">
      <alignment horizontal="center" vertical="center"/>
    </xf>
    <xf numFmtId="180" fontId="8" fillId="0" borderId="30" xfId="1" applyNumberFormat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 wrapText="1"/>
    </xf>
    <xf numFmtId="180" fontId="8" fillId="0" borderId="25" xfId="1" applyNumberFormat="1" applyFont="1" applyBorder="1" applyAlignment="1">
      <alignment horizontal="center" vertical="center" wrapText="1"/>
    </xf>
    <xf numFmtId="180" fontId="8" fillId="0" borderId="27" xfId="1" applyNumberFormat="1" applyFont="1" applyBorder="1" applyAlignment="1">
      <alignment horizontal="center" vertical="center" wrapText="1"/>
    </xf>
    <xf numFmtId="180" fontId="8" fillId="0" borderId="27" xfId="1" applyNumberFormat="1" applyFont="1" applyFill="1" applyBorder="1" applyAlignment="1">
      <alignment horizontal="center" vertical="center"/>
    </xf>
    <xf numFmtId="0" fontId="8" fillId="0" borderId="31" xfId="1" applyFont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 wrapText="1"/>
    </xf>
    <xf numFmtId="180" fontId="8" fillId="0" borderId="22" xfId="1" applyNumberFormat="1" applyFont="1" applyBorder="1" applyAlignment="1">
      <alignment horizontal="center" wrapText="1"/>
    </xf>
    <xf numFmtId="180" fontId="8" fillId="0" borderId="22" xfId="1" applyNumberFormat="1" applyFont="1" applyFill="1" applyBorder="1" applyAlignment="1">
      <alignment horizontal="center" vertical="center"/>
    </xf>
    <xf numFmtId="0" fontId="8" fillId="0" borderId="32" xfId="1" applyFont="1" applyBorder="1" applyAlignment="1">
      <alignment horizontal="center" vertical="center"/>
    </xf>
    <xf numFmtId="180" fontId="8" fillId="0" borderId="33" xfId="1" applyNumberFormat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wrapText="1"/>
    </xf>
    <xf numFmtId="180" fontId="8" fillId="0" borderId="27" xfId="1" applyNumberFormat="1" applyFont="1" applyBorder="1" applyAlignment="1">
      <alignment horizontal="center" wrapText="1"/>
    </xf>
    <xf numFmtId="0" fontId="8" fillId="0" borderId="34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35" xfId="1" applyFont="1" applyBorder="1" applyAlignment="1">
      <alignment horizontal="center" vertical="center"/>
    </xf>
    <xf numFmtId="181" fontId="8" fillId="0" borderId="0" xfId="1" applyNumberFormat="1" applyFont="1" applyAlignment="1">
      <alignment horizontal="center" vertical="center"/>
    </xf>
    <xf numFmtId="0" fontId="8" fillId="0" borderId="36" xfId="1" applyFont="1" applyBorder="1" applyAlignment="1">
      <alignment vertical="center"/>
    </xf>
    <xf numFmtId="180" fontId="8" fillId="0" borderId="0" xfId="1" applyNumberFormat="1" applyFont="1" applyAlignment="1">
      <alignment vertical="center"/>
    </xf>
    <xf numFmtId="182" fontId="8" fillId="0" borderId="19" xfId="1" applyNumberFormat="1" applyFont="1" applyFill="1" applyBorder="1" applyAlignment="1">
      <alignment horizontal="center" vertical="center"/>
    </xf>
    <xf numFmtId="0" fontId="13" fillId="0" borderId="0" xfId="1" applyFont="1" applyAlignment="1">
      <alignment vertical="center"/>
    </xf>
    <xf numFmtId="0" fontId="13" fillId="0" borderId="0" xfId="1" applyFont="1"/>
    <xf numFmtId="0" fontId="13" fillId="0" borderId="0" xfId="1" applyFont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17" fillId="0" borderId="0" xfId="1" applyFont="1" applyAlignment="1">
      <alignment vertical="center" wrapText="1"/>
    </xf>
    <xf numFmtId="0" fontId="15" fillId="0" borderId="0" xfId="1" applyFont="1" applyAlignment="1">
      <alignment vertical="center"/>
    </xf>
    <xf numFmtId="0" fontId="18" fillId="0" borderId="0" xfId="1" applyFont="1" applyAlignment="1">
      <alignment horizontal="right" vertical="center"/>
    </xf>
    <xf numFmtId="0" fontId="19" fillId="0" borderId="0" xfId="1" applyFont="1" applyAlignment="1">
      <alignment vertical="center"/>
    </xf>
    <xf numFmtId="3" fontId="11" fillId="0" borderId="0" xfId="1" applyNumberFormat="1" applyFont="1" applyAlignment="1">
      <alignment horizontal="center" vertical="center"/>
    </xf>
    <xf numFmtId="0" fontId="13" fillId="0" borderId="0" xfId="1" applyFont="1" applyAlignment="1">
      <alignment horizontal="center"/>
    </xf>
    <xf numFmtId="0" fontId="13" fillId="2" borderId="0" xfId="1" applyFont="1" applyFill="1"/>
    <xf numFmtId="0" fontId="13" fillId="2" borderId="0" xfId="1" applyFont="1" applyFill="1" applyBorder="1"/>
    <xf numFmtId="0" fontId="14" fillId="2" borderId="0" xfId="1" applyFont="1" applyFill="1"/>
    <xf numFmtId="0" fontId="17" fillId="2" borderId="3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center"/>
    </xf>
    <xf numFmtId="0" fontId="13" fillId="2" borderId="3" xfId="1" applyFont="1" applyFill="1" applyBorder="1"/>
    <xf numFmtId="0" fontId="20" fillId="2" borderId="3" xfId="1" applyFont="1" applyFill="1" applyBorder="1" applyAlignment="1">
      <alignment horizontal="center" vertical="top" wrapText="1"/>
    </xf>
    <xf numFmtId="183" fontId="22" fillId="2" borderId="3" xfId="2" applyNumberFormat="1" applyFont="1" applyFill="1" applyBorder="1" applyAlignment="1">
      <alignment horizontal="center" vertical="center"/>
    </xf>
    <xf numFmtId="0" fontId="20" fillId="2" borderId="0" xfId="1" applyFont="1" applyFill="1"/>
    <xf numFmtId="177" fontId="22" fillId="2" borderId="3" xfId="1" applyNumberFormat="1" applyFont="1" applyFill="1" applyBorder="1" applyAlignment="1">
      <alignment horizontal="center" vertical="center"/>
    </xf>
    <xf numFmtId="0" fontId="22" fillId="2" borderId="3" xfId="0" applyFont="1" applyFill="1" applyBorder="1" applyAlignment="1">
      <alignment horizontal="center" vertical="center"/>
    </xf>
    <xf numFmtId="176" fontId="13" fillId="2" borderId="0" xfId="1" applyNumberFormat="1" applyFont="1" applyFill="1"/>
    <xf numFmtId="0" fontId="25" fillId="2" borderId="3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top"/>
    </xf>
    <xf numFmtId="183" fontId="22" fillId="2" borderId="4" xfId="2" applyNumberFormat="1" applyFont="1" applyFill="1" applyBorder="1" applyAlignment="1">
      <alignment horizontal="center" vertical="center"/>
    </xf>
    <xf numFmtId="0" fontId="20" fillId="2" borderId="7" xfId="1" applyFont="1" applyFill="1" applyBorder="1" applyAlignment="1">
      <alignment horizontal="center" vertical="center"/>
    </xf>
    <xf numFmtId="0" fontId="20" fillId="2" borderId="39" xfId="1" applyFont="1" applyFill="1" applyBorder="1" applyAlignment="1">
      <alignment horizontal="center" vertical="center"/>
    </xf>
    <xf numFmtId="0" fontId="22" fillId="2" borderId="2" xfId="0" applyFont="1" applyFill="1" applyBorder="1" applyAlignment="1">
      <alignment horizontal="center" vertical="center"/>
    </xf>
    <xf numFmtId="20" fontId="17" fillId="2" borderId="8" xfId="1" applyNumberFormat="1" applyFont="1" applyFill="1" applyBorder="1" applyAlignment="1">
      <alignment horizontal="center" vertical="center"/>
    </xf>
    <xf numFmtId="0" fontId="20" fillId="2" borderId="8" xfId="1" applyFont="1" applyFill="1" applyBorder="1" applyAlignment="1">
      <alignment horizontal="center" vertical="center"/>
    </xf>
    <xf numFmtId="0" fontId="22" fillId="2" borderId="8" xfId="0" applyFont="1" applyFill="1" applyBorder="1" applyAlignment="1">
      <alignment horizontal="center" vertical="center"/>
    </xf>
    <xf numFmtId="0" fontId="17" fillId="2" borderId="4" xfId="1" applyFont="1" applyFill="1" applyBorder="1" applyAlignment="1">
      <alignment horizontal="center" vertical="center"/>
    </xf>
    <xf numFmtId="0" fontId="22" fillId="2" borderId="40" xfId="1" applyFont="1" applyFill="1" applyBorder="1" applyAlignment="1">
      <alignment horizontal="center" vertical="center"/>
    </xf>
    <xf numFmtId="0" fontId="27" fillId="2" borderId="40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top"/>
    </xf>
    <xf numFmtId="0" fontId="27" fillId="2" borderId="3" xfId="1" applyFont="1" applyFill="1" applyBorder="1" applyAlignment="1">
      <alignment horizontal="center" vertical="top"/>
    </xf>
    <xf numFmtId="183" fontId="27" fillId="2" borderId="3" xfId="2" applyNumberFormat="1" applyFont="1" applyFill="1" applyBorder="1" applyAlignment="1">
      <alignment horizontal="center" vertical="center"/>
    </xf>
    <xf numFmtId="183" fontId="22" fillId="2" borderId="3" xfId="1" applyNumberFormat="1" applyFont="1" applyFill="1" applyBorder="1" applyAlignment="1">
      <alignment horizontal="center" vertical="center" wrapText="1"/>
    </xf>
    <xf numFmtId="183" fontId="27" fillId="2" borderId="3" xfId="1" applyNumberFormat="1" applyFont="1" applyFill="1" applyBorder="1" applyAlignment="1">
      <alignment horizontal="center" vertical="center" wrapText="1"/>
    </xf>
    <xf numFmtId="0" fontId="27" fillId="2" borderId="3" xfId="0" applyFont="1" applyFill="1" applyBorder="1" applyAlignment="1">
      <alignment horizontal="center" vertical="center"/>
    </xf>
    <xf numFmtId="0" fontId="28" fillId="2" borderId="1" xfId="1" applyFont="1" applyFill="1" applyBorder="1" applyAlignment="1">
      <alignment horizontal="center" vertical="center"/>
    </xf>
    <xf numFmtId="176" fontId="13" fillId="2" borderId="0" xfId="1" applyNumberFormat="1" applyFont="1" applyFill="1" applyAlignment="1">
      <alignment wrapText="1"/>
    </xf>
    <xf numFmtId="0" fontId="20" fillId="2" borderId="3" xfId="1" applyFont="1" applyFill="1" applyBorder="1" applyAlignment="1">
      <alignment horizontal="center" vertical="center" wrapText="1"/>
    </xf>
    <xf numFmtId="0" fontId="20" fillId="2" borderId="11" xfId="1" applyFont="1" applyFill="1" applyBorder="1" applyAlignment="1">
      <alignment horizontal="center" vertical="center" wrapText="1"/>
    </xf>
    <xf numFmtId="0" fontId="20" fillId="2" borderId="5" xfId="1" applyFont="1" applyFill="1" applyBorder="1" applyAlignment="1">
      <alignment horizontal="center" vertical="center"/>
    </xf>
    <xf numFmtId="0" fontId="15" fillId="2" borderId="12" xfId="1" applyFont="1" applyFill="1" applyBorder="1" applyAlignment="1">
      <alignment horizontal="center" vertical="center" wrapText="1"/>
    </xf>
    <xf numFmtId="176" fontId="20" fillId="2" borderId="11" xfId="1" applyNumberFormat="1" applyFont="1" applyFill="1" applyBorder="1" applyAlignment="1">
      <alignment horizontal="center" vertical="center" wrapText="1"/>
    </xf>
    <xf numFmtId="177" fontId="13" fillId="2" borderId="0" xfId="1" applyNumberFormat="1" applyFont="1" applyFill="1"/>
    <xf numFmtId="9" fontId="13" fillId="2" borderId="0" xfId="5" applyFont="1" applyFill="1"/>
    <xf numFmtId="0" fontId="13" fillId="2" borderId="0" xfId="1" applyFont="1" applyFill="1" applyAlignment="1">
      <alignment horizontal="left" vertical="center"/>
    </xf>
    <xf numFmtId="0" fontId="26" fillId="2" borderId="3" xfId="1" applyFont="1" applyFill="1" applyBorder="1" applyAlignment="1">
      <alignment horizontal="center" vertical="top"/>
    </xf>
    <xf numFmtId="0" fontId="29" fillId="2" borderId="3" xfId="1" applyFont="1" applyFill="1" applyBorder="1" applyAlignment="1">
      <alignment horizontal="center" vertical="center" wrapText="1"/>
    </xf>
    <xf numFmtId="183" fontId="30" fillId="2" borderId="4" xfId="2" applyNumberFormat="1" applyFont="1" applyFill="1" applyBorder="1" applyAlignment="1">
      <alignment horizontal="center" vertical="center"/>
    </xf>
    <xf numFmtId="177" fontId="30" fillId="2" borderId="3" xfId="1" applyNumberFormat="1" applyFont="1" applyFill="1" applyBorder="1" applyAlignment="1">
      <alignment horizontal="center" vertical="center"/>
    </xf>
    <xf numFmtId="0" fontId="30" fillId="2" borderId="3" xfId="0" applyFont="1" applyFill="1" applyBorder="1" applyAlignment="1">
      <alignment horizontal="center" vertical="center"/>
    </xf>
    <xf numFmtId="183" fontId="30" fillId="2" borderId="3" xfId="2" applyNumberFormat="1" applyFont="1" applyFill="1" applyBorder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13" fillId="0" borderId="0" xfId="1" applyFont="1" applyAlignment="1" applyProtection="1">
      <alignment vertical="center"/>
      <protection locked="0"/>
    </xf>
    <xf numFmtId="0" fontId="13" fillId="0" borderId="0" xfId="1" applyFont="1" applyProtection="1">
      <protection locked="0"/>
    </xf>
    <xf numFmtId="0" fontId="12" fillId="0" borderId="23" xfId="1" applyFont="1" applyBorder="1" applyAlignment="1" applyProtection="1">
      <alignment vertical="center"/>
      <protection locked="0"/>
    </xf>
    <xf numFmtId="0" fontId="13" fillId="0" borderId="46" xfId="1" applyFont="1" applyBorder="1" applyAlignment="1" applyProtection="1">
      <alignment horizontal="center" vertical="center"/>
      <protection locked="0"/>
    </xf>
    <xf numFmtId="0" fontId="13" fillId="0" borderId="47" xfId="1" applyFont="1" applyBorder="1" applyAlignment="1" applyProtection="1">
      <alignment horizontal="center" vertical="center"/>
      <protection locked="0"/>
    </xf>
    <xf numFmtId="0" fontId="13" fillId="0" borderId="48" xfId="1" applyFont="1" applyBorder="1" applyAlignment="1" applyProtection="1">
      <alignment horizontal="center" vertical="center"/>
      <protection locked="0"/>
    </xf>
    <xf numFmtId="0" fontId="13" fillId="0" borderId="49" xfId="1" applyFont="1" applyBorder="1" applyAlignment="1" applyProtection="1">
      <alignment horizontal="center" vertical="center"/>
      <protection locked="0"/>
    </xf>
    <xf numFmtId="0" fontId="14" fillId="0" borderId="50" xfId="1" applyFont="1" applyBorder="1" applyAlignment="1" applyProtection="1">
      <alignment horizontal="center" vertical="center"/>
      <protection locked="0"/>
    </xf>
    <xf numFmtId="0" fontId="18" fillId="0" borderId="51" xfId="1" applyFont="1" applyBorder="1" applyAlignment="1" applyProtection="1">
      <alignment horizontal="center" vertical="center"/>
      <protection locked="0"/>
    </xf>
    <xf numFmtId="0" fontId="18" fillId="0" borderId="52" xfId="1" applyFont="1" applyBorder="1" applyAlignment="1" applyProtection="1">
      <alignment vertical="center"/>
      <protection locked="0"/>
    </xf>
    <xf numFmtId="0" fontId="18" fillId="0" borderId="53" xfId="1" applyFont="1" applyBorder="1" applyAlignment="1" applyProtection="1">
      <alignment vertical="center"/>
      <protection locked="0"/>
    </xf>
    <xf numFmtId="0" fontId="18" fillId="0" borderId="51" xfId="1" applyFont="1" applyFill="1" applyBorder="1" applyAlignment="1" applyProtection="1">
      <alignment horizontal="center" vertical="center"/>
      <protection locked="0"/>
    </xf>
    <xf numFmtId="0" fontId="18" fillId="0" borderId="54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  <protection locked="0"/>
    </xf>
    <xf numFmtId="0" fontId="18" fillId="2" borderId="52" xfId="1" applyFont="1" applyFill="1" applyBorder="1" applyAlignment="1" applyProtection="1">
      <alignment vertical="center"/>
      <protection locked="0"/>
    </xf>
    <xf numFmtId="0" fontId="18" fillId="2" borderId="53" xfId="1" applyFont="1" applyFill="1" applyBorder="1" applyAlignment="1" applyProtection="1">
      <alignment vertical="center"/>
      <protection locked="0"/>
    </xf>
    <xf numFmtId="0" fontId="18" fillId="2" borderId="51" xfId="1" applyFont="1" applyFill="1" applyBorder="1" applyAlignment="1" applyProtection="1">
      <alignment horizontal="center" vertical="center"/>
      <protection locked="0"/>
    </xf>
    <xf numFmtId="0" fontId="18" fillId="2" borderId="57" xfId="1" applyFont="1" applyFill="1" applyBorder="1" applyAlignment="1" applyProtection="1">
      <alignment horizontal="center" vertical="center"/>
      <protection locked="0"/>
    </xf>
    <xf numFmtId="0" fontId="18" fillId="0" borderId="58" xfId="1" applyFont="1" applyFill="1" applyBorder="1" applyAlignment="1" applyProtection="1">
      <alignment horizontal="center" vertical="center"/>
      <protection locked="0"/>
    </xf>
    <xf numFmtId="0" fontId="18" fillId="0" borderId="59" xfId="1" applyFont="1" applyBorder="1" applyAlignment="1" applyProtection="1">
      <alignment vertical="center"/>
      <protection locked="0"/>
    </xf>
    <xf numFmtId="0" fontId="18" fillId="0" borderId="58" xfId="1" applyFont="1" applyBorder="1" applyAlignment="1" applyProtection="1">
      <alignment horizontal="center" vertical="center"/>
      <protection locked="0"/>
    </xf>
    <xf numFmtId="0" fontId="18" fillId="0" borderId="63" xfId="1" applyFont="1" applyBorder="1" applyAlignment="1" applyProtection="1">
      <alignment vertical="center"/>
      <protection locked="0"/>
    </xf>
    <xf numFmtId="0" fontId="18" fillId="0" borderId="57" xfId="1" applyFont="1" applyBorder="1" applyAlignment="1" applyProtection="1">
      <alignment horizontal="center" vertical="center"/>
      <protection locked="0"/>
    </xf>
    <xf numFmtId="0" fontId="18" fillId="2" borderId="54" xfId="1" applyFont="1" applyFill="1" applyBorder="1" applyAlignment="1" applyProtection="1">
      <alignment vertical="center"/>
    </xf>
    <xf numFmtId="0" fontId="18" fillId="2" borderId="53" xfId="1" applyFont="1" applyFill="1" applyBorder="1" applyAlignment="1" applyProtection="1">
      <alignment vertical="center"/>
    </xf>
    <xf numFmtId="0" fontId="18" fillId="0" borderId="53" xfId="1" applyFont="1" applyBorder="1" applyAlignment="1" applyProtection="1">
      <alignment vertical="center"/>
    </xf>
    <xf numFmtId="0" fontId="18" fillId="0" borderId="54" xfId="1" applyFont="1" applyBorder="1" applyAlignment="1" applyProtection="1">
      <alignment vertical="center"/>
    </xf>
    <xf numFmtId="184" fontId="13" fillId="2" borderId="0" xfId="1" applyNumberFormat="1" applyFont="1" applyFill="1"/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34" fillId="2" borderId="3" xfId="1" applyFont="1" applyFill="1" applyBorder="1" applyAlignment="1">
      <alignment horizontal="center" vertical="top"/>
    </xf>
    <xf numFmtId="0" fontId="35" fillId="2" borderId="3" xfId="1" applyFont="1" applyFill="1" applyBorder="1" applyAlignment="1">
      <alignment horizontal="center" vertical="top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5" fillId="2" borderId="3" xfId="1" applyFont="1" applyFill="1" applyBorder="1" applyAlignment="1">
      <alignment horizontal="center" vertical="top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0" borderId="0" xfId="1" applyFont="1" applyAlignment="1">
      <alignment horizontal="right" vertical="center"/>
    </xf>
    <xf numFmtId="0" fontId="12" fillId="0" borderId="0" xfId="1" applyFont="1" applyBorder="1" applyAlignment="1" applyProtection="1">
      <alignment horizontal="center" vertical="center"/>
      <protection locked="0"/>
    </xf>
    <xf numFmtId="0" fontId="20" fillId="0" borderId="55" xfId="1" applyFont="1" applyBorder="1" applyAlignment="1" applyProtection="1">
      <alignment horizontal="left" vertical="top" wrapText="1"/>
      <protection locked="0"/>
    </xf>
    <xf numFmtId="0" fontId="20" fillId="0" borderId="56" xfId="1" applyFont="1" applyBorder="1" applyAlignment="1" applyProtection="1">
      <alignment horizontal="left" vertical="top" wrapText="1"/>
      <protection locked="0"/>
    </xf>
    <xf numFmtId="0" fontId="20" fillId="0" borderId="60" xfId="1" applyFont="1" applyBorder="1" applyAlignment="1" applyProtection="1">
      <alignment horizontal="left" vertical="top" wrapText="1"/>
      <protection locked="0"/>
    </xf>
    <xf numFmtId="49" fontId="11" fillId="0" borderId="64" xfId="1" applyNumberFormat="1" applyFont="1" applyBorder="1" applyAlignment="1">
      <alignment horizontal="center" vertical="center" wrapText="1"/>
    </xf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9" fillId="0" borderId="0" xfId="1" applyFont="1" applyAlignment="1">
      <alignment horizontal="left" vertical="center"/>
    </xf>
    <xf numFmtId="0" fontId="17" fillId="2" borderId="40" xfId="1" applyFont="1" applyFill="1" applyBorder="1" applyAlignment="1">
      <alignment horizontal="center" vertical="center"/>
    </xf>
    <xf numFmtId="0" fontId="17" fillId="2" borderId="1" xfId="1" applyFont="1" applyFill="1" applyBorder="1" applyAlignment="1">
      <alignment horizontal="center" vertical="center"/>
    </xf>
    <xf numFmtId="0" fontId="17" fillId="2" borderId="41" xfId="1" applyFont="1" applyFill="1" applyBorder="1" applyAlignment="1">
      <alignment horizontal="center" vertical="center"/>
    </xf>
    <xf numFmtId="0" fontId="20" fillId="2" borderId="37" xfId="1" applyNumberFormat="1" applyFont="1" applyFill="1" applyBorder="1" applyAlignment="1">
      <alignment horizontal="left" vertical="top" wrapText="1"/>
    </xf>
    <xf numFmtId="0" fontId="31" fillId="2" borderId="38" xfId="1" applyNumberFormat="1" applyFont="1" applyFill="1" applyBorder="1" applyAlignment="1">
      <alignment horizontal="left" vertical="top" wrapText="1"/>
    </xf>
    <xf numFmtId="0" fontId="31" fillId="2" borderId="39" xfId="1" applyNumberFormat="1" applyFont="1" applyFill="1" applyBorder="1" applyAlignment="1">
      <alignment horizontal="left" vertical="top" wrapText="1"/>
    </xf>
    <xf numFmtId="0" fontId="31" fillId="2" borderId="18" xfId="1" applyNumberFormat="1" applyFont="1" applyFill="1" applyBorder="1" applyAlignment="1">
      <alignment horizontal="left" vertical="top" wrapText="1"/>
    </xf>
    <xf numFmtId="0" fontId="31" fillId="2" borderId="0" xfId="1" applyNumberFormat="1" applyFont="1" applyFill="1" applyBorder="1" applyAlignment="1">
      <alignment horizontal="left" vertical="top" wrapText="1"/>
    </xf>
    <xf numFmtId="0" fontId="31" fillId="2" borderId="36" xfId="1" applyNumberFormat="1" applyFont="1" applyFill="1" applyBorder="1" applyAlignment="1">
      <alignment horizontal="left" vertical="top" wrapText="1"/>
    </xf>
    <xf numFmtId="0" fontId="31" fillId="2" borderId="40" xfId="1" applyNumberFormat="1" applyFont="1" applyFill="1" applyBorder="1" applyAlignment="1">
      <alignment horizontal="left" vertical="top" wrapText="1"/>
    </xf>
    <xf numFmtId="0" fontId="31" fillId="2" borderId="1" xfId="1" applyNumberFormat="1" applyFont="1" applyFill="1" applyBorder="1" applyAlignment="1">
      <alignment horizontal="left" vertical="top" wrapText="1"/>
    </xf>
    <xf numFmtId="0" fontId="31" fillId="2" borderId="41" xfId="1" applyNumberFormat="1" applyFont="1" applyFill="1" applyBorder="1" applyAlignment="1">
      <alignment horizontal="left" vertical="top" wrapText="1"/>
    </xf>
    <xf numFmtId="20" fontId="17" fillId="2" borderId="3" xfId="1" applyNumberFormat="1" applyFont="1" applyFill="1" applyBorder="1" applyAlignment="1">
      <alignment horizontal="center" vertical="center"/>
    </xf>
    <xf numFmtId="0" fontId="16" fillId="2" borderId="0" xfId="1" applyFont="1" applyFill="1" applyAlignment="1">
      <alignment horizontal="center"/>
    </xf>
    <xf numFmtId="0" fontId="21" fillId="2" borderId="0" xfId="1" applyFont="1" applyFill="1" applyBorder="1" applyAlignment="1">
      <alignment horizontal="center"/>
    </xf>
    <xf numFmtId="31" fontId="13" fillId="2" borderId="1" xfId="1" applyNumberFormat="1" applyFont="1" applyFill="1" applyBorder="1" applyAlignment="1">
      <alignment horizontal="right"/>
    </xf>
    <xf numFmtId="0" fontId="20" fillId="2" borderId="3" xfId="1" applyFont="1" applyFill="1" applyBorder="1" applyAlignment="1">
      <alignment horizontal="center" vertical="center"/>
    </xf>
    <xf numFmtId="0" fontId="14" fillId="2" borderId="10" xfId="1" applyFont="1" applyFill="1" applyBorder="1" applyAlignment="1">
      <alignment horizontal="center" vertical="center"/>
    </xf>
    <xf numFmtId="0" fontId="14" fillId="2" borderId="8" xfId="1" applyFont="1" applyFill="1" applyBorder="1" applyAlignment="1">
      <alignment horizontal="center" vertical="center"/>
    </xf>
    <xf numFmtId="0" fontId="14" fillId="2" borderId="9" xfId="1" applyFont="1" applyFill="1" applyBorder="1" applyAlignment="1">
      <alignment horizontal="center" vertical="center"/>
    </xf>
    <xf numFmtId="0" fontId="20" fillId="2" borderId="2" xfId="1" applyFont="1" applyFill="1" applyBorder="1" applyAlignment="1">
      <alignment horizontal="center" vertical="center"/>
    </xf>
    <xf numFmtId="0" fontId="20" fillId="2" borderId="4" xfId="1" applyFont="1" applyFill="1" applyBorder="1" applyAlignment="1">
      <alignment horizontal="center" vertical="center"/>
    </xf>
    <xf numFmtId="20" fontId="17" fillId="2" borderId="2" xfId="1" applyNumberFormat="1" applyFont="1" applyFill="1" applyBorder="1" applyAlignment="1">
      <alignment horizontal="center" vertical="center"/>
    </xf>
    <xf numFmtId="20" fontId="17" fillId="2" borderId="6" xfId="1" applyNumberFormat="1" applyFont="1" applyFill="1" applyBorder="1" applyAlignment="1">
      <alignment horizontal="center" vertical="center"/>
    </xf>
    <xf numFmtId="20" fontId="17" fillId="2" borderId="4" xfId="1" applyNumberFormat="1" applyFont="1" applyFill="1" applyBorder="1" applyAlignment="1">
      <alignment horizontal="center" vertical="center"/>
    </xf>
    <xf numFmtId="0" fontId="13" fillId="2" borderId="42" xfId="1" applyFont="1" applyFill="1" applyBorder="1" applyAlignment="1">
      <alignment horizontal="center"/>
    </xf>
    <xf numFmtId="0" fontId="13" fillId="2" borderId="43" xfId="1" applyFont="1" applyFill="1" applyBorder="1" applyAlignment="1">
      <alignment horizontal="center"/>
    </xf>
    <xf numFmtId="0" fontId="13" fillId="2" borderId="44" xfId="1" applyFont="1" applyFill="1" applyBorder="1" applyAlignment="1">
      <alignment horizontal="center"/>
    </xf>
    <xf numFmtId="0" fontId="13" fillId="2" borderId="45" xfId="1" applyFont="1" applyFill="1" applyBorder="1" applyAlignment="1">
      <alignment horizontal="center"/>
    </xf>
    <xf numFmtId="0" fontId="14" fillId="2" borderId="5" xfId="1" applyFont="1" applyFill="1" applyBorder="1" applyAlignment="1">
      <alignment horizontal="center" vertical="center"/>
    </xf>
    <xf numFmtId="0" fontId="14" fillId="2" borderId="37" xfId="1" applyFont="1" applyFill="1" applyBorder="1" applyAlignment="1">
      <alignment horizontal="center" vertical="center" wrapText="1"/>
    </xf>
    <xf numFmtId="0" fontId="14" fillId="2" borderId="39" xfId="1" applyFont="1" applyFill="1" applyBorder="1" applyAlignment="1">
      <alignment horizontal="center" vertical="center" wrapText="1"/>
    </xf>
    <xf numFmtId="0" fontId="14" fillId="2" borderId="40" xfId="1" applyFont="1" applyFill="1" applyBorder="1" applyAlignment="1">
      <alignment horizontal="center" vertical="center" wrapText="1"/>
    </xf>
    <xf numFmtId="0" fontId="14" fillId="2" borderId="41" xfId="1" applyFont="1" applyFill="1" applyBorder="1" applyAlignment="1">
      <alignment horizontal="center" vertical="center" wrapText="1"/>
    </xf>
    <xf numFmtId="177" fontId="20" fillId="2" borderId="2" xfId="1" applyNumberFormat="1" applyFont="1" applyFill="1" applyBorder="1" applyAlignment="1">
      <alignment horizontal="center" vertical="center" wrapText="1"/>
    </xf>
    <xf numFmtId="177" fontId="20" fillId="2" borderId="4" xfId="1" applyNumberFormat="1" applyFont="1" applyFill="1" applyBorder="1" applyAlignment="1">
      <alignment horizontal="center" vertical="center" wrapText="1"/>
    </xf>
    <xf numFmtId="176" fontId="20" fillId="2" borderId="13" xfId="3" applyNumberFormat="1" applyFont="1" applyFill="1" applyBorder="1" applyAlignment="1">
      <alignment horizontal="center" vertical="center"/>
    </xf>
    <xf numFmtId="176" fontId="20" fillId="2" borderId="15" xfId="3" applyNumberFormat="1" applyFont="1" applyFill="1" applyBorder="1" applyAlignment="1">
      <alignment horizontal="center" vertical="center"/>
    </xf>
    <xf numFmtId="176" fontId="20" fillId="2" borderId="14" xfId="3" applyNumberFormat="1" applyFont="1" applyFill="1" applyBorder="1" applyAlignment="1">
      <alignment horizontal="center" vertical="center"/>
    </xf>
    <xf numFmtId="176" fontId="20" fillId="2" borderId="16" xfId="3" applyNumberFormat="1" applyFont="1" applyFill="1" applyBorder="1" applyAlignment="1">
      <alignment horizontal="center" vertical="center"/>
    </xf>
    <xf numFmtId="0" fontId="13" fillId="2" borderId="10" xfId="1" applyFont="1" applyFill="1" applyBorder="1" applyAlignment="1">
      <alignment horizontal="center"/>
    </xf>
    <xf numFmtId="0" fontId="13" fillId="2" borderId="8" xfId="1" applyFont="1" applyFill="1" applyBorder="1" applyAlignment="1">
      <alignment horizontal="center"/>
    </xf>
    <xf numFmtId="0" fontId="13" fillId="2" borderId="9" xfId="1" applyFont="1" applyFill="1" applyBorder="1" applyAlignment="1">
      <alignment horizontal="center"/>
    </xf>
    <xf numFmtId="0" fontId="15" fillId="2" borderId="5" xfId="1" applyFont="1" applyFill="1" applyBorder="1" applyAlignment="1">
      <alignment horizontal="center" vertical="center" wrapText="1"/>
    </xf>
    <xf numFmtId="0" fontId="15" fillId="2" borderId="9" xfId="1" applyFont="1" applyFill="1" applyBorder="1" applyAlignment="1">
      <alignment horizontal="center" vertical="center" wrapText="1"/>
    </xf>
    <xf numFmtId="177" fontId="20" fillId="2" borderId="14" xfId="1" applyNumberFormat="1" applyFont="1" applyFill="1" applyBorder="1" applyAlignment="1">
      <alignment horizontal="center" vertical="center" wrapText="1"/>
    </xf>
    <xf numFmtId="177" fontId="20" fillId="2" borderId="16" xfId="1" applyNumberFormat="1" applyFont="1" applyFill="1" applyBorder="1" applyAlignment="1">
      <alignment horizontal="center" vertical="center" wrapText="1"/>
    </xf>
    <xf numFmtId="177" fontId="20" fillId="2" borderId="13" xfId="1" applyNumberFormat="1" applyFont="1" applyFill="1" applyBorder="1" applyAlignment="1">
      <alignment horizontal="center" vertical="center" wrapText="1"/>
    </xf>
    <xf numFmtId="177" fontId="20" fillId="2" borderId="15" xfId="1" applyNumberFormat="1" applyFont="1" applyFill="1" applyBorder="1" applyAlignment="1">
      <alignment horizontal="center" vertical="center" wrapText="1"/>
    </xf>
    <xf numFmtId="177" fontId="20" fillId="2" borderId="13" xfId="4" applyNumberFormat="1" applyFont="1" applyFill="1" applyBorder="1" applyAlignment="1">
      <alignment horizontal="center" vertical="center" wrapText="1"/>
    </xf>
    <xf numFmtId="177" fontId="20" fillId="2" borderId="15" xfId="4" applyNumberFormat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176" fontId="14" fillId="2" borderId="0" xfId="1" applyNumberFormat="1" applyFont="1" applyFill="1" applyAlignment="1">
      <alignment horizontal="center" vertical="center"/>
    </xf>
    <xf numFmtId="177" fontId="20" fillId="2" borderId="2" xfId="1" applyNumberFormat="1" applyFont="1" applyFill="1" applyBorder="1" applyAlignment="1">
      <alignment horizontal="center" vertical="center"/>
    </xf>
    <xf numFmtId="177" fontId="20" fillId="2" borderId="4" xfId="1" applyNumberFormat="1" applyFont="1" applyFill="1" applyBorder="1" applyAlignment="1">
      <alignment horizontal="center" vertical="center"/>
    </xf>
    <xf numFmtId="177" fontId="20" fillId="2" borderId="13" xfId="1" applyNumberFormat="1" applyFont="1" applyFill="1" applyBorder="1" applyAlignment="1">
      <alignment horizontal="center" vertical="center"/>
    </xf>
    <xf numFmtId="177" fontId="20" fillId="2" borderId="15" xfId="1" applyNumberFormat="1" applyFont="1" applyFill="1" applyBorder="1" applyAlignment="1">
      <alignment horizontal="center" vertical="center"/>
    </xf>
    <xf numFmtId="177" fontId="20" fillId="2" borderId="14" xfId="1" applyNumberFormat="1" applyFont="1" applyFill="1" applyBorder="1" applyAlignment="1">
      <alignment horizontal="center" vertical="center"/>
    </xf>
    <xf numFmtId="177" fontId="20" fillId="2" borderId="16" xfId="1" applyNumberFormat="1" applyFont="1" applyFill="1" applyBorder="1" applyAlignment="1">
      <alignment horizontal="center" vertical="center"/>
    </xf>
    <xf numFmtId="176" fontId="20" fillId="2" borderId="2" xfId="1" applyNumberFormat="1" applyFont="1" applyFill="1" applyBorder="1" applyAlignment="1">
      <alignment horizontal="center" vertical="center"/>
    </xf>
    <xf numFmtId="176" fontId="20" fillId="2" borderId="4" xfId="1" applyNumberFormat="1" applyFont="1" applyFill="1" applyBorder="1" applyAlignment="1">
      <alignment horizontal="center" vertical="center"/>
    </xf>
    <xf numFmtId="177" fontId="20" fillId="2" borderId="37" xfId="1" applyNumberFormat="1" applyFont="1" applyFill="1" applyBorder="1" applyAlignment="1">
      <alignment horizontal="center" vertical="center"/>
    </xf>
    <xf numFmtId="177" fontId="20" fillId="2" borderId="61" xfId="1" applyNumberFormat="1" applyFont="1" applyFill="1" applyBorder="1" applyAlignment="1">
      <alignment horizontal="center" vertical="center"/>
    </xf>
    <xf numFmtId="177" fontId="20" fillId="2" borderId="40" xfId="1" applyNumberFormat="1" applyFont="1" applyFill="1" applyBorder="1" applyAlignment="1">
      <alignment horizontal="center" vertical="center"/>
    </xf>
    <xf numFmtId="177" fontId="20" fillId="2" borderId="62" xfId="1" applyNumberFormat="1" applyFont="1" applyFill="1" applyBorder="1" applyAlignment="1">
      <alignment horizontal="center" vertical="center"/>
    </xf>
    <xf numFmtId="0" fontId="13" fillId="2" borderId="38" xfId="1" applyFont="1" applyFill="1" applyBorder="1" applyAlignment="1">
      <alignment horizontal="center"/>
    </xf>
    <xf numFmtId="176" fontId="20" fillId="2" borderId="2" xfId="1" applyNumberFormat="1" applyFont="1" applyFill="1" applyBorder="1" applyAlignment="1">
      <alignment horizontal="center" vertical="center" wrapText="1"/>
    </xf>
    <xf numFmtId="176" fontId="20" fillId="2" borderId="4" xfId="1" applyNumberFormat="1" applyFont="1" applyFill="1" applyBorder="1" applyAlignment="1">
      <alignment horizontal="center" vertical="center" wrapText="1"/>
    </xf>
    <xf numFmtId="176" fontId="20" fillId="2" borderId="14" xfId="1" applyNumberFormat="1" applyFont="1" applyFill="1" applyBorder="1" applyAlignment="1">
      <alignment horizontal="center" vertical="center"/>
    </xf>
    <xf numFmtId="176" fontId="20" fillId="2" borderId="16" xfId="1" applyNumberFormat="1" applyFont="1" applyFill="1" applyBorder="1" applyAlignment="1">
      <alignment horizontal="center" vertical="center"/>
    </xf>
  </cellXfs>
  <cellStyles count="23">
    <cellStyle name="一般" xfId="0" builtinId="0"/>
    <cellStyle name="一般 2" xfId="1"/>
    <cellStyle name="一般 2 2" xfId="6"/>
    <cellStyle name="一般 3" xfId="2"/>
    <cellStyle name="千分位 2" xfId="3"/>
    <cellStyle name="千分位 2 2" xfId="7"/>
    <cellStyle name="千分位 2 2 2" xfId="9"/>
    <cellStyle name="千分位 2 2 2 2" xfId="13"/>
    <cellStyle name="千分位 2 2 2 2 2" xfId="21"/>
    <cellStyle name="千分位 2 2 2 3" xfId="17"/>
    <cellStyle name="千分位 2 2 3" xfId="11"/>
    <cellStyle name="千分位 2 2 3 2" xfId="19"/>
    <cellStyle name="千分位 2 2 4" xfId="15"/>
    <cellStyle name="百分比 2" xfId="5"/>
    <cellStyle name="貨幣 2" xfId="4"/>
    <cellStyle name="貨幣 2 2" xfId="8"/>
    <cellStyle name="貨幣 2 2 2" xfId="10"/>
    <cellStyle name="貨幣 2 2 2 2" xfId="14"/>
    <cellStyle name="貨幣 2 2 2 2 2" xfId="22"/>
    <cellStyle name="貨幣 2 2 2 3" xfId="18"/>
    <cellStyle name="貨幣 2 2 3" xfId="12"/>
    <cellStyle name="貨幣 2 2 3 2" xfId="20"/>
    <cellStyle name="貨幣 2 2 4" xfId="16"/>
  </cellStyles>
  <dxfs count="26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15</xdr:row>
          <xdr:rowOff>247650</xdr:rowOff>
        </xdr:from>
        <xdr:to>
          <xdr:col>14</xdr:col>
          <xdr:colOff>438150</xdr:colOff>
          <xdr:row>21</xdr:row>
          <xdr:rowOff>85725</xdr:rowOff>
        </xdr:to>
        <xdr:sp macro="" textlink="">
          <xdr:nvSpPr>
            <xdr:cNvPr id="2247681" name="CommandButton1" hidden="1">
              <a:extLst>
                <a:ext uri="{63B3BB69-23CF-44E3-9099-C40C66FF867C}">
                  <a14:compatExt spid="_x0000_s2247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25</xdr:row>
          <xdr:rowOff>76200</xdr:rowOff>
        </xdr:from>
        <xdr:to>
          <xdr:col>14</xdr:col>
          <xdr:colOff>419100</xdr:colOff>
          <xdr:row>29</xdr:row>
          <xdr:rowOff>247650</xdr:rowOff>
        </xdr:to>
        <xdr:sp macro="" textlink="">
          <xdr:nvSpPr>
            <xdr:cNvPr id="2247682" name="CommandButton2" hidden="1">
              <a:extLst>
                <a:ext uri="{63B3BB69-23CF-44E3-9099-C40C66FF867C}">
                  <a14:compatExt spid="_x0000_s2247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380801" name="Button 1" hidden="1">
              <a:extLst>
                <a:ext uri="{63B3BB69-23CF-44E3-9099-C40C66FF867C}">
                  <a14:compatExt spid="_x0000_s2380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382849" name="Button 1" hidden="1">
              <a:extLst>
                <a:ext uri="{63B3BB69-23CF-44E3-9099-C40C66FF867C}">
                  <a14:compatExt spid="_x0000_s2382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384897" name="Button 1" hidden="1">
              <a:extLst>
                <a:ext uri="{63B3BB69-23CF-44E3-9099-C40C66FF867C}">
                  <a14:compatExt spid="_x0000_s2384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386945" name="Button 1" hidden="1">
              <a:extLst>
                <a:ext uri="{63B3BB69-23CF-44E3-9099-C40C66FF867C}">
                  <a14:compatExt spid="_x0000_s2386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387969" name="Button 1" hidden="1">
              <a:extLst>
                <a:ext uri="{63B3BB69-23CF-44E3-9099-C40C66FF867C}">
                  <a14:compatExt spid="_x0000_s2387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390017" name="Button 1" hidden="1">
              <a:extLst>
                <a:ext uri="{63B3BB69-23CF-44E3-9099-C40C66FF867C}">
                  <a14:compatExt spid="_x0000_s2390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391041" name="Button 1" hidden="1">
              <a:extLst>
                <a:ext uri="{63B3BB69-23CF-44E3-9099-C40C66FF867C}">
                  <a14:compatExt spid="_x0000_s239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393089" name="Button 1" hidden="1">
              <a:extLst>
                <a:ext uri="{63B3BB69-23CF-44E3-9099-C40C66FF867C}">
                  <a14:compatExt spid="_x0000_s239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395137" name="Button 1" hidden="1">
              <a:extLst>
                <a:ext uri="{63B3BB69-23CF-44E3-9099-C40C66FF867C}">
                  <a14:compatExt spid="_x0000_s2395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396161" name="Button 1" hidden="1">
              <a:extLst>
                <a:ext uri="{63B3BB69-23CF-44E3-9099-C40C66FF867C}">
                  <a14:compatExt spid="_x0000_s239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397185" name="Button 1" hidden="1">
              <a:extLst>
                <a:ext uri="{63B3BB69-23CF-44E3-9099-C40C66FF867C}">
                  <a14:compatExt spid="_x0000_s239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398209" name="Button 1" hidden="1">
              <a:extLst>
                <a:ext uri="{63B3BB69-23CF-44E3-9099-C40C66FF867C}">
                  <a14:compatExt spid="_x0000_s239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400257" name="Button 1" hidden="1">
              <a:extLst>
                <a:ext uri="{63B3BB69-23CF-44E3-9099-C40C66FF867C}">
                  <a14:compatExt spid="_x0000_s2400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401281" name="Button 1" hidden="1">
              <a:extLst>
                <a:ext uri="{63B3BB69-23CF-44E3-9099-C40C66FF867C}">
                  <a14:compatExt spid="_x0000_s240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403329" name="Button 1" hidden="1">
              <a:extLst>
                <a:ext uri="{63B3BB69-23CF-44E3-9099-C40C66FF867C}">
                  <a14:compatExt spid="_x0000_s2403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404353" name="Button 1" hidden="1">
              <a:extLst>
                <a:ext uri="{63B3BB69-23CF-44E3-9099-C40C66FF867C}">
                  <a14:compatExt spid="_x0000_s2404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406401" name="Button 1" hidden="1">
              <a:extLst>
                <a:ext uri="{63B3BB69-23CF-44E3-9099-C40C66FF867C}">
                  <a14:compatExt spid="_x0000_s2406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408449" name="Button 1" hidden="1">
              <a:extLst>
                <a:ext uri="{63B3BB69-23CF-44E3-9099-C40C66FF867C}">
                  <a14:compatExt spid="_x0000_s2408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409473" name="Button 1" hidden="1">
              <a:extLst>
                <a:ext uri="{63B3BB69-23CF-44E3-9099-C40C66FF867C}">
                  <a14:compatExt spid="_x0000_s2409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411521" name="Button 1" hidden="1">
              <a:extLst>
                <a:ext uri="{63B3BB69-23CF-44E3-9099-C40C66FF867C}">
                  <a14:compatExt spid="_x0000_s241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412545" name="Button 1" hidden="1">
              <a:extLst>
                <a:ext uri="{63B3BB69-23CF-44E3-9099-C40C66FF867C}">
                  <a14:compatExt spid="_x0000_s2412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取樣回收每月庫存表 0620更新" connectionId="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.xml><?xml version="1.0" encoding="utf-8"?>
<queryTable xmlns="http://schemas.openxmlformats.org/spreadsheetml/2006/main" name="取樣回收每月庫存表 0620更新" connectionId="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3.xml><?xml version="1.0" encoding="utf-8"?>
<queryTable xmlns="http://schemas.openxmlformats.org/spreadsheetml/2006/main" name="取樣回收每月庫存表 0620更新" connectionId="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4.xml><?xml version="1.0" encoding="utf-8"?>
<queryTable xmlns="http://schemas.openxmlformats.org/spreadsheetml/2006/main" name="取樣回收每月庫存表 0620更新" connectionId="4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5.xml><?xml version="1.0" encoding="utf-8"?>
<queryTable xmlns="http://schemas.openxmlformats.org/spreadsheetml/2006/main" name="取樣回收每月庫存表 0620更新" connectionId="5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6.xml><?xml version="1.0" encoding="utf-8"?>
<queryTable xmlns="http://schemas.openxmlformats.org/spreadsheetml/2006/main" name="取樣回收每月庫存表 0620更新" connectionId="6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7.xml><?xml version="1.0" encoding="utf-8"?>
<queryTable xmlns="http://schemas.openxmlformats.org/spreadsheetml/2006/main" name="取樣回收每月庫存表 0620更新" connectionId="7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8.xml><?xml version="1.0" encoding="utf-8"?>
<queryTable xmlns="http://schemas.openxmlformats.org/spreadsheetml/2006/main" name="取樣回收每月庫存表 0620更新" connectionId="8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9.xml><?xml version="1.0" encoding="utf-8"?>
<queryTable xmlns="http://schemas.openxmlformats.org/spreadsheetml/2006/main" name="取樣回收每月庫存表 0620更新" connectionId="9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0.xml><?xml version="1.0" encoding="utf-8"?>
<queryTable xmlns="http://schemas.openxmlformats.org/spreadsheetml/2006/main" name="取樣回收每月庫存表 0620更新" connectionId="10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1.xml><?xml version="1.0" encoding="utf-8"?>
<queryTable xmlns="http://schemas.openxmlformats.org/spreadsheetml/2006/main" name="取樣回收每月庫存表 0620更新" connectionId="1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2.xml><?xml version="1.0" encoding="utf-8"?>
<queryTable xmlns="http://schemas.openxmlformats.org/spreadsheetml/2006/main" name="取樣回收每月庫存表 0620更新" connectionId="1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3.xml><?xml version="1.0" encoding="utf-8"?>
<queryTable xmlns="http://schemas.openxmlformats.org/spreadsheetml/2006/main" name="取樣回收每月庫存表 0620更新" connectionId="1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4.xml><?xml version="1.0" encoding="utf-8"?>
<queryTable xmlns="http://schemas.openxmlformats.org/spreadsheetml/2006/main" name="取樣回收每月庫存表 0620更新" connectionId="14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5.xml><?xml version="1.0" encoding="utf-8"?>
<queryTable xmlns="http://schemas.openxmlformats.org/spreadsheetml/2006/main" name="取樣回收每月庫存表 0620更新" connectionId="15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6.xml><?xml version="1.0" encoding="utf-8"?>
<queryTable xmlns="http://schemas.openxmlformats.org/spreadsheetml/2006/main" name="取樣回收每月庫存表 0620更新" connectionId="16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7.xml><?xml version="1.0" encoding="utf-8"?>
<queryTable xmlns="http://schemas.openxmlformats.org/spreadsheetml/2006/main" name="取樣回收每月庫存表 0620更新" connectionId="17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8.xml><?xml version="1.0" encoding="utf-8"?>
<queryTable xmlns="http://schemas.openxmlformats.org/spreadsheetml/2006/main" name="取樣回收每月庫存表 0620更新" connectionId="18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9.xml><?xml version="1.0" encoding="utf-8"?>
<queryTable xmlns="http://schemas.openxmlformats.org/spreadsheetml/2006/main" name="取樣回收每月庫存表 0620更新" connectionId="19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0.xml><?xml version="1.0" encoding="utf-8"?>
<queryTable xmlns="http://schemas.openxmlformats.org/spreadsheetml/2006/main" name="取樣回收每月庫存表 0620更新" connectionId="20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1.xml><?xml version="1.0" encoding="utf-8"?>
<queryTable xmlns="http://schemas.openxmlformats.org/spreadsheetml/2006/main" name="取樣回收每月庫存表 0620更新" connectionId="2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table1.xml><?xml version="1.0" encoding="utf-8"?>
<table xmlns="http://schemas.openxmlformats.org/spreadsheetml/2006/main" id="18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" ref="AG13:BH189" tableType="queryTable" totalsRowShown="0" headerRowDxfId="2525" dataDxfId="2524" headerRowCellStyle="一般 2" dataCellStyle="一般 2">
  <autoFilter ref="AG13:BH189"/>
  <tableColumns count="28">
    <tableColumn id="1" uniqueName="1" name="請直接以10進位，謝謝" queryTableFieldId="1" dataDxfId="2523" dataCellStyle="一般 2"/>
    <tableColumn id="2" uniqueName="2" name="F2" queryTableFieldId="2" dataDxfId="2522" dataCellStyle="一般 2"/>
    <tableColumn id="3" uniqueName="3" name="F3" queryTableFieldId="3" dataDxfId="2521" dataCellStyle="一般 2"/>
    <tableColumn id="4" uniqueName="4" name="F4" queryTableFieldId="4" dataDxfId="2520" dataCellStyle="一般 2"/>
    <tableColumn id="5" uniqueName="5" name="F5" queryTableFieldId="5" dataDxfId="2519" dataCellStyle="一般 2"/>
    <tableColumn id="6" uniqueName="6" name="F6" queryTableFieldId="6" dataDxfId="2518" dataCellStyle="一般 2"/>
    <tableColumn id="7" uniqueName="7" name="F7" queryTableFieldId="7" dataDxfId="2517" dataCellStyle="一般 2"/>
    <tableColumn id="8" uniqueName="8" name="F8" queryTableFieldId="8" dataDxfId="2516" dataCellStyle="一般 2"/>
    <tableColumn id="9" uniqueName="9" name="F9" queryTableFieldId="9" dataDxfId="2515" dataCellStyle="一般 2"/>
    <tableColumn id="10" uniqueName="10" name="F10" queryTableFieldId="10" dataDxfId="2514" dataCellStyle="一般 2"/>
    <tableColumn id="11" uniqueName="11" name="F11" queryTableFieldId="11" dataDxfId="2513" dataCellStyle="一般 2"/>
    <tableColumn id="12" uniqueName="12" name="F12" queryTableFieldId="12" dataDxfId="2512" dataCellStyle="一般 2"/>
    <tableColumn id="13" uniqueName="13" name="F13" queryTableFieldId="13" dataDxfId="2511" dataCellStyle="一般 2"/>
    <tableColumn id="14" uniqueName="14" name="F14" queryTableFieldId="14" dataDxfId="2510" dataCellStyle="一般 2"/>
    <tableColumn id="15" uniqueName="15" name="F15" queryTableFieldId="15" dataDxfId="2509" dataCellStyle="一般 2"/>
    <tableColumn id="16" uniqueName="16" name="F16" queryTableFieldId="16" dataDxfId="2508" dataCellStyle="一般 2"/>
    <tableColumn id="17" uniqueName="17" name="F17" queryTableFieldId="17" dataDxfId="2507" dataCellStyle="一般 2"/>
    <tableColumn id="18" uniqueName="18" name="F18" queryTableFieldId="18" dataDxfId="2506" dataCellStyle="一般 2"/>
    <tableColumn id="19" uniqueName="19" name="F19" queryTableFieldId="19" dataDxfId="2505" dataCellStyle="一般 2"/>
    <tableColumn id="20" uniqueName="20" name="F20" queryTableFieldId="20" dataDxfId="2504" dataCellStyle="一般 2"/>
    <tableColumn id="21" uniqueName="21" name="F21" queryTableFieldId="21" dataDxfId="2503" dataCellStyle="一般 2"/>
    <tableColumn id="22" uniqueName="22" name="2024/6/24 14:52" queryTableFieldId="22" dataDxfId="2502" dataCellStyle="一般 2"/>
    <tableColumn id="23" uniqueName="23" name="F23" queryTableFieldId="23" dataDxfId="2501" dataCellStyle="一般 2"/>
    <tableColumn id="24" uniqueName="24" name="F24" queryTableFieldId="24" dataDxfId="2500" dataCellStyle="一般 2"/>
    <tableColumn id="25" uniqueName="25" name="F25" queryTableFieldId="25" dataDxfId="2499" dataCellStyle="一般 2"/>
    <tableColumn id="26" uniqueName="26" name="F26" queryTableFieldId="26" dataDxfId="2498" dataCellStyle="一般 2"/>
    <tableColumn id="27" uniqueName="27" name="F27" queryTableFieldId="27" dataDxfId="2497" dataCellStyle="一般 2"/>
    <tableColumn id="28" uniqueName="28" name="F28" queryTableFieldId="28" dataDxfId="2496" dataCellStyle="一般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" ref="AG13:BH189" tableType="queryTable" totalsRowShown="0" headerRowDxfId="2403" dataDxfId="2402" headerRowCellStyle="一般 2" dataCellStyle="一般 2">
  <autoFilter ref="AG13:BH189"/>
  <tableColumns count="28">
    <tableColumn id="1" uniqueName="1" name="請直接以10進位，謝謝" queryTableFieldId="1" dataDxfId="2401" dataCellStyle="一般 2"/>
    <tableColumn id="2" uniqueName="2" name="F2" queryTableFieldId="2" dataDxfId="2400" dataCellStyle="一般 2"/>
    <tableColumn id="3" uniqueName="3" name="F3" queryTableFieldId="3" dataDxfId="2399" dataCellStyle="一般 2"/>
    <tableColumn id="4" uniqueName="4" name="F4" queryTableFieldId="4" dataDxfId="2398" dataCellStyle="一般 2"/>
    <tableColumn id="5" uniqueName="5" name="F5" queryTableFieldId="5" dataDxfId="2397" dataCellStyle="一般 2"/>
    <tableColumn id="6" uniqueName="6" name="F6" queryTableFieldId="6" dataDxfId="2396" dataCellStyle="一般 2"/>
    <tableColumn id="7" uniqueName="7" name="F7" queryTableFieldId="7" dataDxfId="2395" dataCellStyle="一般 2"/>
    <tableColumn id="8" uniqueName="8" name="F8" queryTableFieldId="8" dataDxfId="2394" dataCellStyle="一般 2"/>
    <tableColumn id="9" uniqueName="9" name="F9" queryTableFieldId="9" dataDxfId="2393" dataCellStyle="一般 2"/>
    <tableColumn id="10" uniqueName="10" name="F10" queryTableFieldId="10" dataDxfId="2392" dataCellStyle="一般 2"/>
    <tableColumn id="11" uniqueName="11" name="F11" queryTableFieldId="11" dataDxfId="2391" dataCellStyle="一般 2"/>
    <tableColumn id="12" uniqueName="12" name="F12" queryTableFieldId="12" dataDxfId="2390" dataCellStyle="一般 2"/>
    <tableColumn id="13" uniqueName="13" name="F13" queryTableFieldId="13" dataDxfId="2389" dataCellStyle="一般 2"/>
    <tableColumn id="14" uniqueName="14" name="F14" queryTableFieldId="14" dataDxfId="2388" dataCellStyle="一般 2"/>
    <tableColumn id="15" uniqueName="15" name="F15" queryTableFieldId="15" dataDxfId="2387" dataCellStyle="一般 2"/>
    <tableColumn id="16" uniqueName="16" name="F16" queryTableFieldId="16" dataDxfId="2386" dataCellStyle="一般 2"/>
    <tableColumn id="17" uniqueName="17" name="F17" queryTableFieldId="17" dataDxfId="2385" dataCellStyle="一般 2"/>
    <tableColumn id="18" uniqueName="18" name="F18" queryTableFieldId="18" dataDxfId="2384" dataCellStyle="一般 2"/>
    <tableColumn id="19" uniqueName="19" name="F19" queryTableFieldId="19" dataDxfId="2383" dataCellStyle="一般 2"/>
    <tableColumn id="20" uniqueName="20" name="F20" queryTableFieldId="20" dataDxfId="2382" dataCellStyle="一般 2"/>
    <tableColumn id="21" uniqueName="21" name="F21" queryTableFieldId="21" dataDxfId="2381" dataCellStyle="一般 2"/>
    <tableColumn id="22" uniqueName="22" name="2024/6/24 14:52" queryTableFieldId="22" dataDxfId="2380" dataCellStyle="一般 2"/>
    <tableColumn id="23" uniqueName="23" name="F23" queryTableFieldId="23" dataDxfId="2379" dataCellStyle="一般 2"/>
    <tableColumn id="24" uniqueName="24" name="F24" queryTableFieldId="24" dataDxfId="2378" dataCellStyle="一般 2"/>
    <tableColumn id="25" uniqueName="25" name="F25" queryTableFieldId="25" dataDxfId="2377" dataCellStyle="一般 2"/>
    <tableColumn id="26" uniqueName="26" name="F26" queryTableFieldId="26" dataDxfId="2376" dataCellStyle="一般 2"/>
    <tableColumn id="27" uniqueName="27" name="F27" queryTableFieldId="27" dataDxfId="2375" dataCellStyle="一般 2"/>
    <tableColumn id="28" uniqueName="28" name="F28" queryTableFieldId="28" dataDxfId="2374" dataCellStyle="一般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" ref="AG13:BH189" tableType="queryTable" totalsRowShown="0" headerRowDxfId="2281" dataDxfId="2280" headerRowCellStyle="一般 2" dataCellStyle="一般 2">
  <autoFilter ref="AG13:BH189"/>
  <tableColumns count="28">
    <tableColumn id="1" uniqueName="1" name="請直接以10進位，謝謝" queryTableFieldId="1" dataDxfId="2279" dataCellStyle="一般 2"/>
    <tableColumn id="2" uniqueName="2" name="F2" queryTableFieldId="2" dataDxfId="2278" dataCellStyle="一般 2"/>
    <tableColumn id="3" uniqueName="3" name="F3" queryTableFieldId="3" dataDxfId="2277" dataCellStyle="一般 2"/>
    <tableColumn id="4" uniqueName="4" name="F4" queryTableFieldId="4" dataDxfId="2276" dataCellStyle="一般 2"/>
    <tableColumn id="5" uniqueName="5" name="F5" queryTableFieldId="5" dataDxfId="2275" dataCellStyle="一般 2"/>
    <tableColumn id="6" uniqueName="6" name="F6" queryTableFieldId="6" dataDxfId="2274" dataCellStyle="一般 2"/>
    <tableColumn id="7" uniqueName="7" name="F7" queryTableFieldId="7" dataDxfId="2273" dataCellStyle="一般 2"/>
    <tableColumn id="8" uniqueName="8" name="F8" queryTableFieldId="8" dataDxfId="2272" dataCellStyle="一般 2"/>
    <tableColumn id="9" uniqueName="9" name="F9" queryTableFieldId="9" dataDxfId="2271" dataCellStyle="一般 2"/>
    <tableColumn id="10" uniqueName="10" name="F10" queryTableFieldId="10" dataDxfId="2270" dataCellStyle="一般 2"/>
    <tableColumn id="11" uniqueName="11" name="F11" queryTableFieldId="11" dataDxfId="2269" dataCellStyle="一般 2"/>
    <tableColumn id="12" uniqueName="12" name="F12" queryTableFieldId="12" dataDxfId="2268" dataCellStyle="一般 2"/>
    <tableColumn id="13" uniqueName="13" name="F13" queryTableFieldId="13" dataDxfId="2267" dataCellStyle="一般 2"/>
    <tableColumn id="14" uniqueName="14" name="F14" queryTableFieldId="14" dataDxfId="2266" dataCellStyle="一般 2"/>
    <tableColumn id="15" uniqueName="15" name="F15" queryTableFieldId="15" dataDxfId="2265" dataCellStyle="一般 2"/>
    <tableColumn id="16" uniqueName="16" name="F16" queryTableFieldId="16" dataDxfId="2264" dataCellStyle="一般 2"/>
    <tableColumn id="17" uniqueName="17" name="F17" queryTableFieldId="17" dataDxfId="2263" dataCellStyle="一般 2"/>
    <tableColumn id="18" uniqueName="18" name="F18" queryTableFieldId="18" dataDxfId="2262" dataCellStyle="一般 2"/>
    <tableColumn id="19" uniqueName="19" name="F19" queryTableFieldId="19" dataDxfId="2261" dataCellStyle="一般 2"/>
    <tableColumn id="20" uniqueName="20" name="F20" queryTableFieldId="20" dataDxfId="2260" dataCellStyle="一般 2"/>
    <tableColumn id="21" uniqueName="21" name="F21" queryTableFieldId="21" dataDxfId="2259" dataCellStyle="一般 2"/>
    <tableColumn id="22" uniqueName="22" name="2024/6/24 14:52" queryTableFieldId="22" dataDxfId="2258" dataCellStyle="一般 2"/>
    <tableColumn id="23" uniqueName="23" name="F23" queryTableFieldId="23" dataDxfId="2257" dataCellStyle="一般 2"/>
    <tableColumn id="24" uniqueName="24" name="F24" queryTableFieldId="24" dataDxfId="2256" dataCellStyle="一般 2"/>
    <tableColumn id="25" uniqueName="25" name="F25" queryTableFieldId="25" dataDxfId="2255" dataCellStyle="一般 2"/>
    <tableColumn id="26" uniqueName="26" name="F26" queryTableFieldId="26" dataDxfId="2254" dataCellStyle="一般 2"/>
    <tableColumn id="27" uniqueName="27" name="F27" queryTableFieldId="27" dataDxfId="2253" dataCellStyle="一般 2"/>
    <tableColumn id="28" uniqueName="28" name="F28" queryTableFieldId="28" dataDxfId="2252" dataCellStyle="一般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" ref="AG13:BH189" tableType="queryTable" totalsRowShown="0" headerRowDxfId="2159" dataDxfId="2158" headerRowCellStyle="一般 2" dataCellStyle="一般 2">
  <autoFilter ref="AG13:BH189"/>
  <tableColumns count="28">
    <tableColumn id="1" uniqueName="1" name="請直接以10進位，謝謝" queryTableFieldId="1" dataDxfId="2157" dataCellStyle="一般 2"/>
    <tableColumn id="2" uniqueName="2" name="F2" queryTableFieldId="2" dataDxfId="2156" dataCellStyle="一般 2"/>
    <tableColumn id="3" uniqueName="3" name="F3" queryTableFieldId="3" dataDxfId="2155" dataCellStyle="一般 2"/>
    <tableColumn id="4" uniqueName="4" name="F4" queryTableFieldId="4" dataDxfId="2154" dataCellStyle="一般 2"/>
    <tableColumn id="5" uniqueName="5" name="F5" queryTableFieldId="5" dataDxfId="2153" dataCellStyle="一般 2"/>
    <tableColumn id="6" uniqueName="6" name="F6" queryTableFieldId="6" dataDxfId="2152" dataCellStyle="一般 2"/>
    <tableColumn id="7" uniqueName="7" name="F7" queryTableFieldId="7" dataDxfId="2151" dataCellStyle="一般 2"/>
    <tableColumn id="8" uniqueName="8" name="F8" queryTableFieldId="8" dataDxfId="2150" dataCellStyle="一般 2"/>
    <tableColumn id="9" uniqueName="9" name="F9" queryTableFieldId="9" dataDxfId="2149" dataCellStyle="一般 2"/>
    <tableColumn id="10" uniqueName="10" name="F10" queryTableFieldId="10" dataDxfId="2148" dataCellStyle="一般 2"/>
    <tableColumn id="11" uniqueName="11" name="F11" queryTableFieldId="11" dataDxfId="2147" dataCellStyle="一般 2"/>
    <tableColumn id="12" uniqueName="12" name="F12" queryTableFieldId="12" dataDxfId="2146" dataCellStyle="一般 2"/>
    <tableColumn id="13" uniqueName="13" name="F13" queryTableFieldId="13" dataDxfId="2145" dataCellStyle="一般 2"/>
    <tableColumn id="14" uniqueName="14" name="F14" queryTableFieldId="14" dataDxfId="2144" dataCellStyle="一般 2"/>
    <tableColumn id="15" uniqueName="15" name="F15" queryTableFieldId="15" dataDxfId="2143" dataCellStyle="一般 2"/>
    <tableColumn id="16" uniqueName="16" name="F16" queryTableFieldId="16" dataDxfId="2142" dataCellStyle="一般 2"/>
    <tableColumn id="17" uniqueName="17" name="F17" queryTableFieldId="17" dataDxfId="2141" dataCellStyle="一般 2"/>
    <tableColumn id="18" uniqueName="18" name="F18" queryTableFieldId="18" dataDxfId="2140" dataCellStyle="一般 2"/>
    <tableColumn id="19" uniqueName="19" name="F19" queryTableFieldId="19" dataDxfId="2139" dataCellStyle="一般 2"/>
    <tableColumn id="20" uniqueName="20" name="F20" queryTableFieldId="20" dataDxfId="2138" dataCellStyle="一般 2"/>
    <tableColumn id="21" uniqueName="21" name="F21" queryTableFieldId="21" dataDxfId="2137" dataCellStyle="一般 2"/>
    <tableColumn id="22" uniqueName="22" name="2024/6/24 14:52" queryTableFieldId="22" dataDxfId="2136" dataCellStyle="一般 2"/>
    <tableColumn id="23" uniqueName="23" name="F23" queryTableFieldId="23" dataDxfId="2135" dataCellStyle="一般 2"/>
    <tableColumn id="24" uniqueName="24" name="F24" queryTableFieldId="24" dataDxfId="2134" dataCellStyle="一般 2"/>
    <tableColumn id="25" uniqueName="25" name="F25" queryTableFieldId="25" dataDxfId="2133" dataCellStyle="一般 2"/>
    <tableColumn id="26" uniqueName="26" name="F26" queryTableFieldId="26" dataDxfId="2132" dataCellStyle="一般 2"/>
    <tableColumn id="27" uniqueName="27" name="F27" queryTableFieldId="27" dataDxfId="2131" dataCellStyle="一般 2"/>
    <tableColumn id="28" uniqueName="28" name="F28" queryTableFieldId="28" dataDxfId="2130" dataCellStyle="一般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" ref="AG13:BH189" tableType="queryTable" totalsRowShown="0" headerRowDxfId="2037" dataDxfId="2036" headerRowCellStyle="一般 2" dataCellStyle="一般 2">
  <autoFilter ref="AG13:BH189"/>
  <tableColumns count="28">
    <tableColumn id="1" uniqueName="1" name="請直接以10進位，謝謝" queryTableFieldId="1" dataDxfId="2035" dataCellStyle="一般 2"/>
    <tableColumn id="2" uniqueName="2" name="F2" queryTableFieldId="2" dataDxfId="2034" dataCellStyle="一般 2"/>
    <tableColumn id="3" uniqueName="3" name="F3" queryTableFieldId="3" dataDxfId="2033" dataCellStyle="一般 2"/>
    <tableColumn id="4" uniqueName="4" name="F4" queryTableFieldId="4" dataDxfId="2032" dataCellStyle="一般 2"/>
    <tableColumn id="5" uniqueName="5" name="F5" queryTableFieldId="5" dataDxfId="2031" dataCellStyle="一般 2"/>
    <tableColumn id="6" uniqueName="6" name="F6" queryTableFieldId="6" dataDxfId="2030" dataCellStyle="一般 2"/>
    <tableColumn id="7" uniqueName="7" name="F7" queryTableFieldId="7" dataDxfId="2029" dataCellStyle="一般 2"/>
    <tableColumn id="8" uniqueName="8" name="F8" queryTableFieldId="8" dataDxfId="2028" dataCellStyle="一般 2"/>
    <tableColumn id="9" uniqueName="9" name="F9" queryTableFieldId="9" dataDxfId="2027" dataCellStyle="一般 2"/>
    <tableColumn id="10" uniqueName="10" name="F10" queryTableFieldId="10" dataDxfId="2026" dataCellStyle="一般 2"/>
    <tableColumn id="11" uniqueName="11" name="F11" queryTableFieldId="11" dataDxfId="2025" dataCellStyle="一般 2"/>
    <tableColumn id="12" uniqueName="12" name="F12" queryTableFieldId="12" dataDxfId="2024" dataCellStyle="一般 2"/>
    <tableColumn id="13" uniqueName="13" name="F13" queryTableFieldId="13" dataDxfId="2023" dataCellStyle="一般 2"/>
    <tableColumn id="14" uniqueName="14" name="F14" queryTableFieldId="14" dataDxfId="2022" dataCellStyle="一般 2"/>
    <tableColumn id="15" uniqueName="15" name="F15" queryTableFieldId="15" dataDxfId="2021" dataCellStyle="一般 2"/>
    <tableColumn id="16" uniqueName="16" name="F16" queryTableFieldId="16" dataDxfId="2020" dataCellStyle="一般 2"/>
    <tableColumn id="17" uniqueName="17" name="F17" queryTableFieldId="17" dataDxfId="2019" dataCellStyle="一般 2"/>
    <tableColumn id="18" uniqueName="18" name="F18" queryTableFieldId="18" dataDxfId="2018" dataCellStyle="一般 2"/>
    <tableColumn id="19" uniqueName="19" name="F19" queryTableFieldId="19" dataDxfId="2017" dataCellStyle="一般 2"/>
    <tableColumn id="20" uniqueName="20" name="F20" queryTableFieldId="20" dataDxfId="2016" dataCellStyle="一般 2"/>
    <tableColumn id="21" uniqueName="21" name="F21" queryTableFieldId="21" dataDxfId="2015" dataCellStyle="一般 2"/>
    <tableColumn id="22" uniqueName="22" name="2024/6/24 14:52" queryTableFieldId="22" dataDxfId="2014" dataCellStyle="一般 2"/>
    <tableColumn id="23" uniqueName="23" name="F23" queryTableFieldId="23" dataDxfId="2013" dataCellStyle="一般 2"/>
    <tableColumn id="24" uniqueName="24" name="F24" queryTableFieldId="24" dataDxfId="2012" dataCellStyle="一般 2"/>
    <tableColumn id="25" uniqueName="25" name="F25" queryTableFieldId="25" dataDxfId="2011" dataCellStyle="一般 2"/>
    <tableColumn id="26" uniqueName="26" name="F26" queryTableFieldId="26" dataDxfId="2010" dataCellStyle="一般 2"/>
    <tableColumn id="27" uniqueName="27" name="F27" queryTableFieldId="27" dataDxfId="2009" dataCellStyle="一般 2"/>
    <tableColumn id="28" uniqueName="28" name="F28" queryTableFieldId="28" dataDxfId="2008" dataCellStyle="一般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" ref="AG13:BH189" tableType="queryTable" totalsRowShown="0" headerRowDxfId="1915" dataDxfId="1914" headerRowCellStyle="一般 2" dataCellStyle="一般 2">
  <autoFilter ref="AG13:BH189"/>
  <tableColumns count="28">
    <tableColumn id="1" uniqueName="1" name="請直接以10進位，謝謝" queryTableFieldId="1" dataDxfId="1913" dataCellStyle="一般 2"/>
    <tableColumn id="2" uniqueName="2" name="F2" queryTableFieldId="2" dataDxfId="1912" dataCellStyle="一般 2"/>
    <tableColumn id="3" uniqueName="3" name="F3" queryTableFieldId="3" dataDxfId="1911" dataCellStyle="一般 2"/>
    <tableColumn id="4" uniqueName="4" name="F4" queryTableFieldId="4" dataDxfId="1910" dataCellStyle="一般 2"/>
    <tableColumn id="5" uniqueName="5" name="F5" queryTableFieldId="5" dataDxfId="1909" dataCellStyle="一般 2"/>
    <tableColumn id="6" uniqueName="6" name="F6" queryTableFieldId="6" dataDxfId="1908" dataCellStyle="一般 2"/>
    <tableColumn id="7" uniqueName="7" name="F7" queryTableFieldId="7" dataDxfId="1907" dataCellStyle="一般 2"/>
    <tableColumn id="8" uniqueName="8" name="F8" queryTableFieldId="8" dataDxfId="1906" dataCellStyle="一般 2"/>
    <tableColumn id="9" uniqueName="9" name="F9" queryTableFieldId="9" dataDxfId="1905" dataCellStyle="一般 2"/>
    <tableColumn id="10" uniqueName="10" name="F10" queryTableFieldId="10" dataDxfId="1904" dataCellStyle="一般 2"/>
    <tableColumn id="11" uniqueName="11" name="F11" queryTableFieldId="11" dataDxfId="1903" dataCellStyle="一般 2"/>
    <tableColumn id="12" uniqueName="12" name="F12" queryTableFieldId="12" dataDxfId="1902" dataCellStyle="一般 2"/>
    <tableColumn id="13" uniqueName="13" name="F13" queryTableFieldId="13" dataDxfId="1901" dataCellStyle="一般 2"/>
    <tableColumn id="14" uniqueName="14" name="F14" queryTableFieldId="14" dataDxfId="1900" dataCellStyle="一般 2"/>
    <tableColumn id="15" uniqueName="15" name="F15" queryTableFieldId="15" dataDxfId="1899" dataCellStyle="一般 2"/>
    <tableColumn id="16" uniqueName="16" name="F16" queryTableFieldId="16" dataDxfId="1898" dataCellStyle="一般 2"/>
    <tableColumn id="17" uniqueName="17" name="F17" queryTableFieldId="17" dataDxfId="1897" dataCellStyle="一般 2"/>
    <tableColumn id="18" uniqueName="18" name="F18" queryTableFieldId="18" dataDxfId="1896" dataCellStyle="一般 2"/>
    <tableColumn id="19" uniqueName="19" name="F19" queryTableFieldId="19" dataDxfId="1895" dataCellStyle="一般 2"/>
    <tableColumn id="20" uniqueName="20" name="F20" queryTableFieldId="20" dataDxfId="1894" dataCellStyle="一般 2"/>
    <tableColumn id="21" uniqueName="21" name="F21" queryTableFieldId="21" dataDxfId="1893" dataCellStyle="一般 2"/>
    <tableColumn id="22" uniqueName="22" name="2024/6/24 14:52" queryTableFieldId="22" dataDxfId="1892" dataCellStyle="一般 2"/>
    <tableColumn id="23" uniqueName="23" name="F23" queryTableFieldId="23" dataDxfId="1891" dataCellStyle="一般 2"/>
    <tableColumn id="24" uniqueName="24" name="F24" queryTableFieldId="24" dataDxfId="1890" dataCellStyle="一般 2"/>
    <tableColumn id="25" uniqueName="25" name="F25" queryTableFieldId="25" dataDxfId="1889" dataCellStyle="一般 2"/>
    <tableColumn id="26" uniqueName="26" name="F26" queryTableFieldId="26" dataDxfId="1888" dataCellStyle="一般 2"/>
    <tableColumn id="27" uniqueName="27" name="F27" queryTableFieldId="27" dataDxfId="1887" dataCellStyle="一般 2"/>
    <tableColumn id="28" uniqueName="28" name="F28" queryTableFieldId="28" dataDxfId="1886" dataCellStyle="一般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" ref="AG13:BH189" tableType="queryTable" totalsRowShown="0" headerRowDxfId="1793" dataDxfId="1792" headerRowCellStyle="一般 2" dataCellStyle="一般 2">
  <autoFilter ref="AG13:BH189"/>
  <tableColumns count="28">
    <tableColumn id="1" uniqueName="1" name="請直接以10進位，謝謝" queryTableFieldId="1" dataDxfId="1791" dataCellStyle="一般 2"/>
    <tableColumn id="2" uniqueName="2" name="F2" queryTableFieldId="2" dataDxfId="1790" dataCellStyle="一般 2"/>
    <tableColumn id="3" uniqueName="3" name="F3" queryTableFieldId="3" dataDxfId="1789" dataCellStyle="一般 2"/>
    <tableColumn id="4" uniqueName="4" name="F4" queryTableFieldId="4" dataDxfId="1788" dataCellStyle="一般 2"/>
    <tableColumn id="5" uniqueName="5" name="F5" queryTableFieldId="5" dataDxfId="1787" dataCellStyle="一般 2"/>
    <tableColumn id="6" uniqueName="6" name="F6" queryTableFieldId="6" dataDxfId="1786" dataCellStyle="一般 2"/>
    <tableColumn id="7" uniqueName="7" name="F7" queryTableFieldId="7" dataDxfId="1785" dataCellStyle="一般 2"/>
    <tableColumn id="8" uniqueName="8" name="F8" queryTableFieldId="8" dataDxfId="1784" dataCellStyle="一般 2"/>
    <tableColumn id="9" uniqueName="9" name="F9" queryTableFieldId="9" dataDxfId="1783" dataCellStyle="一般 2"/>
    <tableColumn id="10" uniqueName="10" name="F10" queryTableFieldId="10" dataDxfId="1782" dataCellStyle="一般 2"/>
    <tableColumn id="11" uniqueName="11" name="F11" queryTableFieldId="11" dataDxfId="1781" dataCellStyle="一般 2"/>
    <tableColumn id="12" uniqueName="12" name="F12" queryTableFieldId="12" dataDxfId="1780" dataCellStyle="一般 2"/>
    <tableColumn id="13" uniqueName="13" name="F13" queryTableFieldId="13" dataDxfId="1779" dataCellStyle="一般 2"/>
    <tableColumn id="14" uniqueName="14" name="F14" queryTableFieldId="14" dataDxfId="1778" dataCellStyle="一般 2"/>
    <tableColumn id="15" uniqueName="15" name="F15" queryTableFieldId="15" dataDxfId="1777" dataCellStyle="一般 2"/>
    <tableColumn id="16" uniqueName="16" name="F16" queryTableFieldId="16" dataDxfId="1776" dataCellStyle="一般 2"/>
    <tableColumn id="17" uniqueName="17" name="F17" queryTableFieldId="17" dataDxfId="1775" dataCellStyle="一般 2"/>
    <tableColumn id="18" uniqueName="18" name="F18" queryTableFieldId="18" dataDxfId="1774" dataCellStyle="一般 2"/>
    <tableColumn id="19" uniqueName="19" name="F19" queryTableFieldId="19" dataDxfId="1773" dataCellStyle="一般 2"/>
    <tableColumn id="20" uniqueName="20" name="F20" queryTableFieldId="20" dataDxfId="1772" dataCellStyle="一般 2"/>
    <tableColumn id="21" uniqueName="21" name="F21" queryTableFieldId="21" dataDxfId="1771" dataCellStyle="一般 2"/>
    <tableColumn id="22" uniqueName="22" name="2024/6/24 14:52" queryTableFieldId="22" dataDxfId="1770" dataCellStyle="一般 2"/>
    <tableColumn id="23" uniqueName="23" name="F23" queryTableFieldId="23" dataDxfId="1769" dataCellStyle="一般 2"/>
    <tableColumn id="24" uniqueName="24" name="F24" queryTableFieldId="24" dataDxfId="1768" dataCellStyle="一般 2"/>
    <tableColumn id="25" uniqueName="25" name="F25" queryTableFieldId="25" dataDxfId="1767" dataCellStyle="一般 2"/>
    <tableColumn id="26" uniqueName="26" name="F26" queryTableFieldId="26" dataDxfId="1766" dataCellStyle="一般 2"/>
    <tableColumn id="27" uniqueName="27" name="F27" queryTableFieldId="27" dataDxfId="1765" dataCellStyle="一般 2"/>
    <tableColumn id="28" uniqueName="28" name="F28" queryTableFieldId="28" dataDxfId="1764" dataCellStyle="一般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" ref="AG13:BH189" tableType="queryTable" totalsRowShown="0" headerRowDxfId="1667" dataDxfId="1666" headerRowCellStyle="一般 2" dataCellStyle="一般 2">
  <autoFilter ref="AG13:BH189"/>
  <tableColumns count="28">
    <tableColumn id="1" uniqueName="1" name="請直接以10進位，謝謝" queryTableFieldId="1" dataDxfId="1665" dataCellStyle="一般 2"/>
    <tableColumn id="2" uniqueName="2" name="F2" queryTableFieldId="2" dataDxfId="1664" dataCellStyle="一般 2"/>
    <tableColumn id="3" uniqueName="3" name="F3" queryTableFieldId="3" dataDxfId="1663" dataCellStyle="一般 2"/>
    <tableColumn id="4" uniqueName="4" name="F4" queryTableFieldId="4" dataDxfId="1662" dataCellStyle="一般 2"/>
    <tableColumn id="5" uniqueName="5" name="F5" queryTableFieldId="5" dataDxfId="1661" dataCellStyle="一般 2"/>
    <tableColumn id="6" uniqueName="6" name="F6" queryTableFieldId="6" dataDxfId="1660" dataCellStyle="一般 2"/>
    <tableColumn id="7" uniqueName="7" name="F7" queryTableFieldId="7" dataDxfId="1659" dataCellStyle="一般 2"/>
    <tableColumn id="8" uniqueName="8" name="F8" queryTableFieldId="8" dataDxfId="1658" dataCellStyle="一般 2"/>
    <tableColumn id="9" uniqueName="9" name="F9" queryTableFieldId="9" dataDxfId="1657" dataCellStyle="一般 2"/>
    <tableColumn id="10" uniqueName="10" name="F10" queryTableFieldId="10" dataDxfId="1656" dataCellStyle="一般 2"/>
    <tableColumn id="11" uniqueName="11" name="F11" queryTableFieldId="11" dataDxfId="1655" dataCellStyle="一般 2"/>
    <tableColumn id="12" uniqueName="12" name="F12" queryTableFieldId="12" dataDxfId="1654" dataCellStyle="一般 2"/>
    <tableColumn id="13" uniqueName="13" name="F13" queryTableFieldId="13" dataDxfId="1653" dataCellStyle="一般 2"/>
    <tableColumn id="14" uniqueName="14" name="F14" queryTableFieldId="14" dataDxfId="1652" dataCellStyle="一般 2"/>
    <tableColumn id="15" uniqueName="15" name="F15" queryTableFieldId="15" dataDxfId="1651" dataCellStyle="一般 2"/>
    <tableColumn id="16" uniqueName="16" name="F16" queryTableFieldId="16" dataDxfId="1650" dataCellStyle="一般 2"/>
    <tableColumn id="17" uniqueName="17" name="F17" queryTableFieldId="17" dataDxfId="1649" dataCellStyle="一般 2"/>
    <tableColumn id="18" uniqueName="18" name="F18" queryTableFieldId="18" dataDxfId="1648" dataCellStyle="一般 2"/>
    <tableColumn id="19" uniqueName="19" name="F19" queryTableFieldId="19" dataDxfId="1647" dataCellStyle="一般 2"/>
    <tableColumn id="20" uniqueName="20" name="F20" queryTableFieldId="20" dataDxfId="1646" dataCellStyle="一般 2"/>
    <tableColumn id="21" uniqueName="21" name="F21" queryTableFieldId="21" dataDxfId="1645" dataCellStyle="一般 2"/>
    <tableColumn id="22" uniqueName="22" name="2024/6/24 14:52" queryTableFieldId="22" dataDxfId="1644" dataCellStyle="一般 2"/>
    <tableColumn id="23" uniqueName="23" name="F23" queryTableFieldId="23" dataDxfId="1643" dataCellStyle="一般 2"/>
    <tableColumn id="24" uniqueName="24" name="F24" queryTableFieldId="24" dataDxfId="1642" dataCellStyle="一般 2"/>
    <tableColumn id="25" uniqueName="25" name="F25" queryTableFieldId="25" dataDxfId="1641" dataCellStyle="一般 2"/>
    <tableColumn id="26" uniqueName="26" name="F26" queryTableFieldId="26" dataDxfId="1640" dataCellStyle="一般 2"/>
    <tableColumn id="27" uniqueName="27" name="F27" queryTableFieldId="27" dataDxfId="1639" dataCellStyle="一般 2"/>
    <tableColumn id="28" uniqueName="28" name="F28" queryTableFieldId="28" dataDxfId="1638" dataCellStyle="一般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" ref="AG13:BH189" tableType="queryTable" totalsRowShown="0" headerRowDxfId="1541" dataDxfId="1540" headerRowCellStyle="一般 2" dataCellStyle="一般 2">
  <autoFilter ref="AG13:BH189"/>
  <tableColumns count="28">
    <tableColumn id="1" uniqueName="1" name="請直接以10進位，謝謝" queryTableFieldId="1" dataDxfId="1539" dataCellStyle="一般 2"/>
    <tableColumn id="2" uniqueName="2" name="F2" queryTableFieldId="2" dataDxfId="1538" dataCellStyle="一般 2"/>
    <tableColumn id="3" uniqueName="3" name="F3" queryTableFieldId="3" dataDxfId="1537" dataCellStyle="一般 2"/>
    <tableColumn id="4" uniqueName="4" name="F4" queryTableFieldId="4" dataDxfId="1536" dataCellStyle="一般 2"/>
    <tableColumn id="5" uniqueName="5" name="F5" queryTableFieldId="5" dataDxfId="1535" dataCellStyle="一般 2"/>
    <tableColumn id="6" uniqueName="6" name="F6" queryTableFieldId="6" dataDxfId="1534" dataCellStyle="一般 2"/>
    <tableColumn id="7" uniqueName="7" name="F7" queryTableFieldId="7" dataDxfId="1533" dataCellStyle="一般 2"/>
    <tableColumn id="8" uniqueName="8" name="F8" queryTableFieldId="8" dataDxfId="1532" dataCellStyle="一般 2"/>
    <tableColumn id="9" uniqueName="9" name="F9" queryTableFieldId="9" dataDxfId="1531" dataCellStyle="一般 2"/>
    <tableColumn id="10" uniqueName="10" name="F10" queryTableFieldId="10" dataDxfId="1530" dataCellStyle="一般 2"/>
    <tableColumn id="11" uniqueName="11" name="F11" queryTableFieldId="11" dataDxfId="1529" dataCellStyle="一般 2"/>
    <tableColumn id="12" uniqueName="12" name="F12" queryTableFieldId="12" dataDxfId="1528" dataCellStyle="一般 2"/>
    <tableColumn id="13" uniqueName="13" name="F13" queryTableFieldId="13" dataDxfId="1527" dataCellStyle="一般 2"/>
    <tableColumn id="14" uniqueName="14" name="F14" queryTableFieldId="14" dataDxfId="1526" dataCellStyle="一般 2"/>
    <tableColumn id="15" uniqueName="15" name="F15" queryTableFieldId="15" dataDxfId="1525" dataCellStyle="一般 2"/>
    <tableColumn id="16" uniqueName="16" name="F16" queryTableFieldId="16" dataDxfId="1524" dataCellStyle="一般 2"/>
    <tableColumn id="17" uniqueName="17" name="F17" queryTableFieldId="17" dataDxfId="1523" dataCellStyle="一般 2"/>
    <tableColumn id="18" uniqueName="18" name="F18" queryTableFieldId="18" dataDxfId="1522" dataCellStyle="一般 2"/>
    <tableColumn id="19" uniqueName="19" name="F19" queryTableFieldId="19" dataDxfId="1521" dataCellStyle="一般 2"/>
    <tableColumn id="20" uniqueName="20" name="F20" queryTableFieldId="20" dataDxfId="1520" dataCellStyle="一般 2"/>
    <tableColumn id="21" uniqueName="21" name="F21" queryTableFieldId="21" dataDxfId="1519" dataCellStyle="一般 2"/>
    <tableColumn id="22" uniqueName="22" name="2024/6/24 14:52" queryTableFieldId="22" dataDxfId="1518" dataCellStyle="一般 2"/>
    <tableColumn id="23" uniqueName="23" name="F23" queryTableFieldId="23" dataDxfId="1517" dataCellStyle="一般 2"/>
    <tableColumn id="24" uniqueName="24" name="F24" queryTableFieldId="24" dataDxfId="1516" dataCellStyle="一般 2"/>
    <tableColumn id="25" uniqueName="25" name="F25" queryTableFieldId="25" dataDxfId="1515" dataCellStyle="一般 2"/>
    <tableColumn id="26" uniqueName="26" name="F26" queryTableFieldId="26" dataDxfId="1514" dataCellStyle="一般 2"/>
    <tableColumn id="27" uniqueName="27" name="F27" queryTableFieldId="27" dataDxfId="1513" dataCellStyle="一般 2"/>
    <tableColumn id="28" uniqueName="28" name="F28" queryTableFieldId="28" dataDxfId="1512" dataCellStyle="一般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" ref="AG13:BH189" tableType="queryTable" totalsRowShown="0" headerRowDxfId="1415" dataDxfId="1414" headerRowCellStyle="一般 2" dataCellStyle="一般 2">
  <autoFilter ref="AG13:BH189"/>
  <tableColumns count="28">
    <tableColumn id="1" uniqueName="1" name="請直接以10進位，謝謝" queryTableFieldId="1" dataDxfId="1413" dataCellStyle="一般 2"/>
    <tableColumn id="2" uniqueName="2" name="F2" queryTableFieldId="2" dataDxfId="1412" dataCellStyle="一般 2"/>
    <tableColumn id="3" uniqueName="3" name="F3" queryTableFieldId="3" dataDxfId="1411" dataCellStyle="一般 2"/>
    <tableColumn id="4" uniqueName="4" name="F4" queryTableFieldId="4" dataDxfId="1410" dataCellStyle="一般 2"/>
    <tableColumn id="5" uniqueName="5" name="F5" queryTableFieldId="5" dataDxfId="1409" dataCellStyle="一般 2"/>
    <tableColumn id="6" uniqueName="6" name="F6" queryTableFieldId="6" dataDxfId="1408" dataCellStyle="一般 2"/>
    <tableColumn id="7" uniqueName="7" name="F7" queryTableFieldId="7" dataDxfId="1407" dataCellStyle="一般 2"/>
    <tableColumn id="8" uniqueName="8" name="F8" queryTableFieldId="8" dataDxfId="1406" dataCellStyle="一般 2"/>
    <tableColumn id="9" uniqueName="9" name="F9" queryTableFieldId="9" dataDxfId="1405" dataCellStyle="一般 2"/>
    <tableColumn id="10" uniqueName="10" name="F10" queryTableFieldId="10" dataDxfId="1404" dataCellStyle="一般 2"/>
    <tableColumn id="11" uniqueName="11" name="F11" queryTableFieldId="11" dataDxfId="1403" dataCellStyle="一般 2"/>
    <tableColumn id="12" uniqueName="12" name="F12" queryTableFieldId="12" dataDxfId="1402" dataCellStyle="一般 2"/>
    <tableColumn id="13" uniqueName="13" name="F13" queryTableFieldId="13" dataDxfId="1401" dataCellStyle="一般 2"/>
    <tableColumn id="14" uniqueName="14" name="F14" queryTableFieldId="14" dataDxfId="1400" dataCellStyle="一般 2"/>
    <tableColumn id="15" uniqueName="15" name="F15" queryTableFieldId="15" dataDxfId="1399" dataCellStyle="一般 2"/>
    <tableColumn id="16" uniqueName="16" name="F16" queryTableFieldId="16" dataDxfId="1398" dataCellStyle="一般 2"/>
    <tableColumn id="17" uniqueName="17" name="F17" queryTableFieldId="17" dataDxfId="1397" dataCellStyle="一般 2"/>
    <tableColumn id="18" uniqueName="18" name="F18" queryTableFieldId="18" dataDxfId="1396" dataCellStyle="一般 2"/>
    <tableColumn id="19" uniqueName="19" name="F19" queryTableFieldId="19" dataDxfId="1395" dataCellStyle="一般 2"/>
    <tableColumn id="20" uniqueName="20" name="F20" queryTableFieldId="20" dataDxfId="1394" dataCellStyle="一般 2"/>
    <tableColumn id="21" uniqueName="21" name="F21" queryTableFieldId="21" dataDxfId="1393" dataCellStyle="一般 2"/>
    <tableColumn id="22" uniqueName="22" name="2024/6/24 14:52" queryTableFieldId="22" dataDxfId="1392" dataCellStyle="一般 2"/>
    <tableColumn id="23" uniqueName="23" name="F23" queryTableFieldId="23" dataDxfId="1391" dataCellStyle="一般 2"/>
    <tableColumn id="24" uniqueName="24" name="F24" queryTableFieldId="24" dataDxfId="1390" dataCellStyle="一般 2"/>
    <tableColumn id="25" uniqueName="25" name="F25" queryTableFieldId="25" dataDxfId="1389" dataCellStyle="一般 2"/>
    <tableColumn id="26" uniqueName="26" name="F26" queryTableFieldId="26" dataDxfId="1388" dataCellStyle="一般 2"/>
    <tableColumn id="27" uniqueName="27" name="F27" queryTableFieldId="27" dataDxfId="1387" dataCellStyle="一般 2"/>
    <tableColumn id="28" uniqueName="28" name="F28" queryTableFieldId="28" dataDxfId="1386" dataCellStyle="一般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" ref="AG13:BH189" tableType="queryTable" totalsRowShown="0" headerRowDxfId="1289" dataDxfId="1288" headerRowCellStyle="一般 2" dataCellStyle="一般 2">
  <autoFilter ref="AG13:BH189"/>
  <tableColumns count="28">
    <tableColumn id="1" uniqueName="1" name="請直接以10進位，謝謝" queryTableFieldId="1" dataDxfId="1287" dataCellStyle="一般 2"/>
    <tableColumn id="2" uniqueName="2" name="F2" queryTableFieldId="2" dataDxfId="1286" dataCellStyle="一般 2"/>
    <tableColumn id="3" uniqueName="3" name="F3" queryTableFieldId="3" dataDxfId="1285" dataCellStyle="一般 2"/>
    <tableColumn id="4" uniqueName="4" name="F4" queryTableFieldId="4" dataDxfId="1284" dataCellStyle="一般 2"/>
    <tableColumn id="5" uniqueName="5" name="F5" queryTableFieldId="5" dataDxfId="1283" dataCellStyle="一般 2"/>
    <tableColumn id="6" uniqueName="6" name="F6" queryTableFieldId="6" dataDxfId="1282" dataCellStyle="一般 2"/>
    <tableColumn id="7" uniqueName="7" name="F7" queryTableFieldId="7" dataDxfId="1281" dataCellStyle="一般 2"/>
    <tableColumn id="8" uniqueName="8" name="F8" queryTableFieldId="8" dataDxfId="1280" dataCellStyle="一般 2"/>
    <tableColumn id="9" uniqueName="9" name="F9" queryTableFieldId="9" dataDxfId="1279" dataCellStyle="一般 2"/>
    <tableColumn id="10" uniqueName="10" name="F10" queryTableFieldId="10" dataDxfId="1278" dataCellStyle="一般 2"/>
    <tableColumn id="11" uniqueName="11" name="F11" queryTableFieldId="11" dataDxfId="1277" dataCellStyle="一般 2"/>
    <tableColumn id="12" uniqueName="12" name="F12" queryTableFieldId="12" dataDxfId="1276" dataCellStyle="一般 2"/>
    <tableColumn id="13" uniqueName="13" name="F13" queryTableFieldId="13" dataDxfId="1275" dataCellStyle="一般 2"/>
    <tableColumn id="14" uniqueName="14" name="F14" queryTableFieldId="14" dataDxfId="1274" dataCellStyle="一般 2"/>
    <tableColumn id="15" uniqueName="15" name="F15" queryTableFieldId="15" dataDxfId="1273" dataCellStyle="一般 2"/>
    <tableColumn id="16" uniqueName="16" name="F16" queryTableFieldId="16" dataDxfId="1272" dataCellStyle="一般 2"/>
    <tableColumn id="17" uniqueName="17" name="F17" queryTableFieldId="17" dataDxfId="1271" dataCellStyle="一般 2"/>
    <tableColumn id="18" uniqueName="18" name="F18" queryTableFieldId="18" dataDxfId="1270" dataCellStyle="一般 2"/>
    <tableColumn id="19" uniqueName="19" name="F19" queryTableFieldId="19" dataDxfId="1269" dataCellStyle="一般 2"/>
    <tableColumn id="20" uniqueName="20" name="F20" queryTableFieldId="20" dataDxfId="1268" dataCellStyle="一般 2"/>
    <tableColumn id="21" uniqueName="21" name="F21" queryTableFieldId="21" dataDxfId="1267" dataCellStyle="一般 2"/>
    <tableColumn id="22" uniqueName="22" name="2024/6/24 14:52" queryTableFieldId="22" dataDxfId="1266" dataCellStyle="一般 2"/>
    <tableColumn id="23" uniqueName="23" name="F23" queryTableFieldId="23" dataDxfId="1265" dataCellStyle="一般 2"/>
    <tableColumn id="24" uniqueName="24" name="F24" queryTableFieldId="24" dataDxfId="1264" dataCellStyle="一般 2"/>
    <tableColumn id="25" uniqueName="25" name="F25" queryTableFieldId="25" dataDxfId="1263" dataCellStyle="一般 2"/>
    <tableColumn id="26" uniqueName="26" name="F26" queryTableFieldId="26" dataDxfId="1262" dataCellStyle="一般 2"/>
    <tableColumn id="27" uniqueName="27" name="F27" queryTableFieldId="27" dataDxfId="1261" dataCellStyle="一般 2"/>
    <tableColumn id="28" uniqueName="28" name="F28" queryTableFieldId="28" dataDxfId="1260" dataCellStyle="一般 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" ref="AG13:BH189" tableType="queryTable" totalsRowShown="0" headerRowDxfId="1163" dataDxfId="1162" headerRowCellStyle="一般 2" dataCellStyle="一般 2">
  <autoFilter ref="AG13:BH189"/>
  <tableColumns count="28">
    <tableColumn id="1" uniqueName="1" name="請直接以10進位，謝謝" queryTableFieldId="1" dataDxfId="1161" dataCellStyle="一般 2"/>
    <tableColumn id="2" uniqueName="2" name="F2" queryTableFieldId="2" dataDxfId="1160" dataCellStyle="一般 2"/>
    <tableColumn id="3" uniqueName="3" name="F3" queryTableFieldId="3" dataDxfId="1159" dataCellStyle="一般 2"/>
    <tableColumn id="4" uniqueName="4" name="F4" queryTableFieldId="4" dataDxfId="1158" dataCellStyle="一般 2"/>
    <tableColumn id="5" uniqueName="5" name="F5" queryTableFieldId="5" dataDxfId="1157" dataCellStyle="一般 2"/>
    <tableColumn id="6" uniqueName="6" name="F6" queryTableFieldId="6" dataDxfId="1156" dataCellStyle="一般 2"/>
    <tableColumn id="7" uniqueName="7" name="F7" queryTableFieldId="7" dataDxfId="1155" dataCellStyle="一般 2"/>
    <tableColumn id="8" uniqueName="8" name="F8" queryTableFieldId="8" dataDxfId="1154" dataCellStyle="一般 2"/>
    <tableColumn id="9" uniqueName="9" name="F9" queryTableFieldId="9" dataDxfId="1153" dataCellStyle="一般 2"/>
    <tableColumn id="10" uniqueName="10" name="F10" queryTableFieldId="10" dataDxfId="1152" dataCellStyle="一般 2"/>
    <tableColumn id="11" uniqueName="11" name="F11" queryTableFieldId="11" dataDxfId="1151" dataCellStyle="一般 2"/>
    <tableColumn id="12" uniqueName="12" name="F12" queryTableFieldId="12" dataDxfId="1150" dataCellStyle="一般 2"/>
    <tableColumn id="13" uniqueName="13" name="F13" queryTableFieldId="13" dataDxfId="1149" dataCellStyle="一般 2"/>
    <tableColumn id="14" uniqueName="14" name="F14" queryTableFieldId="14" dataDxfId="1148" dataCellStyle="一般 2"/>
    <tableColumn id="15" uniqueName="15" name="F15" queryTableFieldId="15" dataDxfId="1147" dataCellStyle="一般 2"/>
    <tableColumn id="16" uniqueName="16" name="F16" queryTableFieldId="16" dataDxfId="1146" dataCellStyle="一般 2"/>
    <tableColumn id="17" uniqueName="17" name="F17" queryTableFieldId="17" dataDxfId="1145" dataCellStyle="一般 2"/>
    <tableColumn id="18" uniqueName="18" name="F18" queryTableFieldId="18" dataDxfId="1144" dataCellStyle="一般 2"/>
    <tableColumn id="19" uniqueName="19" name="F19" queryTableFieldId="19" dataDxfId="1143" dataCellStyle="一般 2"/>
    <tableColumn id="20" uniqueName="20" name="F20" queryTableFieldId="20" dataDxfId="1142" dataCellStyle="一般 2"/>
    <tableColumn id="21" uniqueName="21" name="F21" queryTableFieldId="21" dataDxfId="1141" dataCellStyle="一般 2"/>
    <tableColumn id="22" uniqueName="22" name="2024/6/24 14:52" queryTableFieldId="22" dataDxfId="1140" dataCellStyle="一般 2"/>
    <tableColumn id="23" uniqueName="23" name="F23" queryTableFieldId="23" dataDxfId="1139" dataCellStyle="一般 2"/>
    <tableColumn id="24" uniqueName="24" name="F24" queryTableFieldId="24" dataDxfId="1138" dataCellStyle="一般 2"/>
    <tableColumn id="25" uniqueName="25" name="F25" queryTableFieldId="25" dataDxfId="1137" dataCellStyle="一般 2"/>
    <tableColumn id="26" uniqueName="26" name="F26" queryTableFieldId="26" dataDxfId="1136" dataCellStyle="一般 2"/>
    <tableColumn id="27" uniqueName="27" name="F27" queryTableFieldId="27" dataDxfId="1135" dataCellStyle="一般 2"/>
    <tableColumn id="28" uniqueName="28" name="F28" queryTableFieldId="28" dataDxfId="1134" dataCellStyle="一般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" ref="AG13:BH189" tableType="queryTable" totalsRowShown="0" headerRowDxfId="1037" dataDxfId="1036" headerRowCellStyle="一般 2" dataCellStyle="一般 2">
  <autoFilter ref="AG13:BH189"/>
  <tableColumns count="28">
    <tableColumn id="1" uniqueName="1" name="請直接以10進位，謝謝" queryTableFieldId="1" dataDxfId="1035" dataCellStyle="一般 2"/>
    <tableColumn id="2" uniqueName="2" name="F2" queryTableFieldId="2" dataDxfId="1034" dataCellStyle="一般 2"/>
    <tableColumn id="3" uniqueName="3" name="F3" queryTableFieldId="3" dataDxfId="1033" dataCellStyle="一般 2"/>
    <tableColumn id="4" uniqueName="4" name="F4" queryTableFieldId="4" dataDxfId="1032" dataCellStyle="一般 2"/>
    <tableColumn id="5" uniqueName="5" name="F5" queryTableFieldId="5" dataDxfId="1031" dataCellStyle="一般 2"/>
    <tableColumn id="6" uniqueName="6" name="F6" queryTableFieldId="6" dataDxfId="1030" dataCellStyle="一般 2"/>
    <tableColumn id="7" uniqueName="7" name="F7" queryTableFieldId="7" dataDxfId="1029" dataCellStyle="一般 2"/>
    <tableColumn id="8" uniqueName="8" name="F8" queryTableFieldId="8" dataDxfId="1028" dataCellStyle="一般 2"/>
    <tableColumn id="9" uniqueName="9" name="F9" queryTableFieldId="9" dataDxfId="1027" dataCellStyle="一般 2"/>
    <tableColumn id="10" uniqueName="10" name="F10" queryTableFieldId="10" dataDxfId="1026" dataCellStyle="一般 2"/>
    <tableColumn id="11" uniqueName="11" name="F11" queryTableFieldId="11" dataDxfId="1025" dataCellStyle="一般 2"/>
    <tableColumn id="12" uniqueName="12" name="F12" queryTableFieldId="12" dataDxfId="1024" dataCellStyle="一般 2"/>
    <tableColumn id="13" uniqueName="13" name="F13" queryTableFieldId="13" dataDxfId="1023" dataCellStyle="一般 2"/>
    <tableColumn id="14" uniqueName="14" name="F14" queryTableFieldId="14" dataDxfId="1022" dataCellStyle="一般 2"/>
    <tableColumn id="15" uniqueName="15" name="F15" queryTableFieldId="15" dataDxfId="1021" dataCellStyle="一般 2"/>
    <tableColumn id="16" uniqueName="16" name="F16" queryTableFieldId="16" dataDxfId="1020" dataCellStyle="一般 2"/>
    <tableColumn id="17" uniqueName="17" name="F17" queryTableFieldId="17" dataDxfId="1019" dataCellStyle="一般 2"/>
    <tableColumn id="18" uniqueName="18" name="F18" queryTableFieldId="18" dataDxfId="1018" dataCellStyle="一般 2"/>
    <tableColumn id="19" uniqueName="19" name="F19" queryTableFieldId="19" dataDxfId="1017" dataCellStyle="一般 2"/>
    <tableColumn id="20" uniqueName="20" name="F20" queryTableFieldId="20" dataDxfId="1016" dataCellStyle="一般 2"/>
    <tableColumn id="21" uniqueName="21" name="F21" queryTableFieldId="21" dataDxfId="1015" dataCellStyle="一般 2"/>
    <tableColumn id="22" uniqueName="22" name="2024/6/24 14:52" queryTableFieldId="22" dataDxfId="1014" dataCellStyle="一般 2"/>
    <tableColumn id="23" uniqueName="23" name="F23" queryTableFieldId="23" dataDxfId="1013" dataCellStyle="一般 2"/>
    <tableColumn id="24" uniqueName="24" name="F24" queryTableFieldId="24" dataDxfId="1012" dataCellStyle="一般 2"/>
    <tableColumn id="25" uniqueName="25" name="F25" queryTableFieldId="25" dataDxfId="1011" dataCellStyle="一般 2"/>
    <tableColumn id="26" uniqueName="26" name="F26" queryTableFieldId="26" dataDxfId="1010" dataCellStyle="一般 2"/>
    <tableColumn id="27" uniqueName="27" name="F27" queryTableFieldId="27" dataDxfId="1009" dataCellStyle="一般 2"/>
    <tableColumn id="28" uniqueName="28" name="F28" queryTableFieldId="28" dataDxfId="1008" dataCellStyle="一般 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" ref="AG13:BH189" tableType="queryTable" totalsRowShown="0" headerRowDxfId="911" dataDxfId="910" headerRowCellStyle="一般 2" dataCellStyle="一般 2">
  <autoFilter ref="AG13:BH189"/>
  <tableColumns count="28">
    <tableColumn id="1" uniqueName="1" name="請直接以10進位，謝謝" queryTableFieldId="1" dataDxfId="909" dataCellStyle="一般 2"/>
    <tableColumn id="2" uniqueName="2" name="F2" queryTableFieldId="2" dataDxfId="908" dataCellStyle="一般 2"/>
    <tableColumn id="3" uniqueName="3" name="F3" queryTableFieldId="3" dataDxfId="907" dataCellStyle="一般 2"/>
    <tableColumn id="4" uniqueName="4" name="F4" queryTableFieldId="4" dataDxfId="906" dataCellStyle="一般 2"/>
    <tableColumn id="5" uniqueName="5" name="F5" queryTableFieldId="5" dataDxfId="905" dataCellStyle="一般 2"/>
    <tableColumn id="6" uniqueName="6" name="F6" queryTableFieldId="6" dataDxfId="904" dataCellStyle="一般 2"/>
    <tableColumn id="7" uniqueName="7" name="F7" queryTableFieldId="7" dataDxfId="903" dataCellStyle="一般 2"/>
    <tableColumn id="8" uniqueName="8" name="F8" queryTableFieldId="8" dataDxfId="902" dataCellStyle="一般 2"/>
    <tableColumn id="9" uniqueName="9" name="F9" queryTableFieldId="9" dataDxfId="901" dataCellStyle="一般 2"/>
    <tableColumn id="10" uniqueName="10" name="F10" queryTableFieldId="10" dataDxfId="900" dataCellStyle="一般 2"/>
    <tableColumn id="11" uniqueName="11" name="F11" queryTableFieldId="11" dataDxfId="899" dataCellStyle="一般 2"/>
    <tableColumn id="12" uniqueName="12" name="F12" queryTableFieldId="12" dataDxfId="898" dataCellStyle="一般 2"/>
    <tableColumn id="13" uniqueName="13" name="F13" queryTableFieldId="13" dataDxfId="897" dataCellStyle="一般 2"/>
    <tableColumn id="14" uniqueName="14" name="F14" queryTableFieldId="14" dataDxfId="896" dataCellStyle="一般 2"/>
    <tableColumn id="15" uniqueName="15" name="F15" queryTableFieldId="15" dataDxfId="895" dataCellStyle="一般 2"/>
    <tableColumn id="16" uniqueName="16" name="F16" queryTableFieldId="16" dataDxfId="894" dataCellStyle="一般 2"/>
    <tableColumn id="17" uniqueName="17" name="F17" queryTableFieldId="17" dataDxfId="893" dataCellStyle="一般 2"/>
    <tableColumn id="18" uniqueName="18" name="F18" queryTableFieldId="18" dataDxfId="892" dataCellStyle="一般 2"/>
    <tableColumn id="19" uniqueName="19" name="F19" queryTableFieldId="19" dataDxfId="891" dataCellStyle="一般 2"/>
    <tableColumn id="20" uniqueName="20" name="F20" queryTableFieldId="20" dataDxfId="890" dataCellStyle="一般 2"/>
    <tableColumn id="21" uniqueName="21" name="F21" queryTableFieldId="21" dataDxfId="889" dataCellStyle="一般 2"/>
    <tableColumn id="22" uniqueName="22" name="2024/6/24 14:52" queryTableFieldId="22" dataDxfId="888" dataCellStyle="一般 2"/>
    <tableColumn id="23" uniqueName="23" name="F23" queryTableFieldId="23" dataDxfId="887" dataCellStyle="一般 2"/>
    <tableColumn id="24" uniqueName="24" name="F24" queryTableFieldId="24" dataDxfId="886" dataCellStyle="一般 2"/>
    <tableColumn id="25" uniqueName="25" name="F25" queryTableFieldId="25" dataDxfId="885" dataCellStyle="一般 2"/>
    <tableColumn id="26" uniqueName="26" name="F26" queryTableFieldId="26" dataDxfId="884" dataCellStyle="一般 2"/>
    <tableColumn id="27" uniqueName="27" name="F27" queryTableFieldId="27" dataDxfId="883" dataCellStyle="一般 2"/>
    <tableColumn id="28" uniqueName="28" name="F28" queryTableFieldId="28" dataDxfId="882" dataCellStyle="一般 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4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4" ref="AG13:BH189" tableType="queryTable" totalsRowShown="0" headerRowDxfId="785" dataDxfId="784" headerRowCellStyle="一般 2" dataCellStyle="一般 2">
  <autoFilter ref="AG13:BH189"/>
  <tableColumns count="28">
    <tableColumn id="1" uniqueName="1" name="請直接以10進位，謝謝" queryTableFieldId="1" dataDxfId="783" dataCellStyle="一般 2"/>
    <tableColumn id="2" uniqueName="2" name="F2" queryTableFieldId="2" dataDxfId="782" dataCellStyle="一般 2"/>
    <tableColumn id="3" uniqueName="3" name="F3" queryTableFieldId="3" dataDxfId="781" dataCellStyle="一般 2"/>
    <tableColumn id="4" uniqueName="4" name="F4" queryTableFieldId="4" dataDxfId="780" dataCellStyle="一般 2"/>
    <tableColumn id="5" uniqueName="5" name="F5" queryTableFieldId="5" dataDxfId="779" dataCellStyle="一般 2"/>
    <tableColumn id="6" uniqueName="6" name="F6" queryTableFieldId="6" dataDxfId="778" dataCellStyle="一般 2"/>
    <tableColumn id="7" uniqueName="7" name="F7" queryTableFieldId="7" dataDxfId="777" dataCellStyle="一般 2"/>
    <tableColumn id="8" uniqueName="8" name="F8" queryTableFieldId="8" dataDxfId="776" dataCellStyle="一般 2"/>
    <tableColumn id="9" uniqueName="9" name="F9" queryTableFieldId="9" dataDxfId="775" dataCellStyle="一般 2"/>
    <tableColumn id="10" uniqueName="10" name="F10" queryTableFieldId="10" dataDxfId="774" dataCellStyle="一般 2"/>
    <tableColumn id="11" uniqueName="11" name="F11" queryTableFieldId="11" dataDxfId="773" dataCellStyle="一般 2"/>
    <tableColumn id="12" uniqueName="12" name="F12" queryTableFieldId="12" dataDxfId="772" dataCellStyle="一般 2"/>
    <tableColumn id="13" uniqueName="13" name="F13" queryTableFieldId="13" dataDxfId="771" dataCellStyle="一般 2"/>
    <tableColumn id="14" uniqueName="14" name="F14" queryTableFieldId="14" dataDxfId="770" dataCellStyle="一般 2"/>
    <tableColumn id="15" uniqueName="15" name="F15" queryTableFieldId="15" dataDxfId="769" dataCellStyle="一般 2"/>
    <tableColumn id="16" uniqueName="16" name="F16" queryTableFieldId="16" dataDxfId="768" dataCellStyle="一般 2"/>
    <tableColumn id="17" uniqueName="17" name="F17" queryTableFieldId="17" dataDxfId="767" dataCellStyle="一般 2"/>
    <tableColumn id="18" uniqueName="18" name="F18" queryTableFieldId="18" dataDxfId="766" dataCellStyle="一般 2"/>
    <tableColumn id="19" uniqueName="19" name="F19" queryTableFieldId="19" dataDxfId="765" dataCellStyle="一般 2"/>
    <tableColumn id="20" uniqueName="20" name="F20" queryTableFieldId="20" dataDxfId="764" dataCellStyle="一般 2"/>
    <tableColumn id="21" uniqueName="21" name="F21" queryTableFieldId="21" dataDxfId="763" dataCellStyle="一般 2"/>
    <tableColumn id="22" uniqueName="22" name="2024/6/24 14:52" queryTableFieldId="22" dataDxfId="762" dataCellStyle="一般 2"/>
    <tableColumn id="23" uniqueName="23" name="F23" queryTableFieldId="23" dataDxfId="761" dataCellStyle="一般 2"/>
    <tableColumn id="24" uniqueName="24" name="F24" queryTableFieldId="24" dataDxfId="760" dataCellStyle="一般 2"/>
    <tableColumn id="25" uniqueName="25" name="F25" queryTableFieldId="25" dataDxfId="759" dataCellStyle="一般 2"/>
    <tableColumn id="26" uniqueName="26" name="F26" queryTableFieldId="26" dataDxfId="758" dataCellStyle="一般 2"/>
    <tableColumn id="27" uniqueName="27" name="F27" queryTableFieldId="27" dataDxfId="757" dataCellStyle="一般 2"/>
    <tableColumn id="28" uniqueName="28" name="F28" queryTableFieldId="28" dataDxfId="756" dataCellStyle="一般 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5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5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5" ref="AG13:BH189" tableType="queryTable" totalsRowShown="0" headerRowDxfId="659" dataDxfId="658" headerRowCellStyle="一般 2" dataCellStyle="一般 2">
  <autoFilter ref="AG13:BH189"/>
  <tableColumns count="28">
    <tableColumn id="1" uniqueName="1" name="請直接以10進位，謝謝" queryTableFieldId="1" dataDxfId="657" dataCellStyle="一般 2"/>
    <tableColumn id="2" uniqueName="2" name="F2" queryTableFieldId="2" dataDxfId="656" dataCellStyle="一般 2"/>
    <tableColumn id="3" uniqueName="3" name="F3" queryTableFieldId="3" dataDxfId="655" dataCellStyle="一般 2"/>
    <tableColumn id="4" uniqueName="4" name="F4" queryTableFieldId="4" dataDxfId="654" dataCellStyle="一般 2"/>
    <tableColumn id="5" uniqueName="5" name="F5" queryTableFieldId="5" dataDxfId="653" dataCellStyle="一般 2"/>
    <tableColumn id="6" uniqueName="6" name="F6" queryTableFieldId="6" dataDxfId="652" dataCellStyle="一般 2"/>
    <tableColumn id="7" uniqueName="7" name="F7" queryTableFieldId="7" dataDxfId="651" dataCellStyle="一般 2"/>
    <tableColumn id="8" uniqueName="8" name="F8" queryTableFieldId="8" dataDxfId="650" dataCellStyle="一般 2"/>
    <tableColumn id="9" uniqueName="9" name="F9" queryTableFieldId="9" dataDxfId="649" dataCellStyle="一般 2"/>
    <tableColumn id="10" uniqueName="10" name="F10" queryTableFieldId="10" dataDxfId="648" dataCellStyle="一般 2"/>
    <tableColumn id="11" uniqueName="11" name="F11" queryTableFieldId="11" dataDxfId="647" dataCellStyle="一般 2"/>
    <tableColumn id="12" uniqueName="12" name="F12" queryTableFieldId="12" dataDxfId="646" dataCellStyle="一般 2"/>
    <tableColumn id="13" uniqueName="13" name="F13" queryTableFieldId="13" dataDxfId="645" dataCellStyle="一般 2"/>
    <tableColumn id="14" uniqueName="14" name="F14" queryTableFieldId="14" dataDxfId="644" dataCellStyle="一般 2"/>
    <tableColumn id="15" uniqueName="15" name="F15" queryTableFieldId="15" dataDxfId="643" dataCellStyle="一般 2"/>
    <tableColumn id="16" uniqueName="16" name="F16" queryTableFieldId="16" dataDxfId="642" dataCellStyle="一般 2"/>
    <tableColumn id="17" uniqueName="17" name="F17" queryTableFieldId="17" dataDxfId="641" dataCellStyle="一般 2"/>
    <tableColumn id="18" uniqueName="18" name="F18" queryTableFieldId="18" dataDxfId="640" dataCellStyle="一般 2"/>
    <tableColumn id="19" uniqueName="19" name="F19" queryTableFieldId="19" dataDxfId="639" dataCellStyle="一般 2"/>
    <tableColumn id="20" uniqueName="20" name="F20" queryTableFieldId="20" dataDxfId="638" dataCellStyle="一般 2"/>
    <tableColumn id="21" uniqueName="21" name="F21" queryTableFieldId="21" dataDxfId="637" dataCellStyle="一般 2"/>
    <tableColumn id="22" uniqueName="22" name="2024/6/24 14:52" queryTableFieldId="22" dataDxfId="636" dataCellStyle="一般 2"/>
    <tableColumn id="23" uniqueName="23" name="F23" queryTableFieldId="23" dataDxfId="635" dataCellStyle="一般 2"/>
    <tableColumn id="24" uniqueName="24" name="F24" queryTableFieldId="24" dataDxfId="634" dataCellStyle="一般 2"/>
    <tableColumn id="25" uniqueName="25" name="F25" queryTableFieldId="25" dataDxfId="633" dataCellStyle="一般 2"/>
    <tableColumn id="26" uniqueName="26" name="F26" queryTableFieldId="26" dataDxfId="632" dataCellStyle="一般 2"/>
    <tableColumn id="27" uniqueName="27" name="F27" queryTableFieldId="27" dataDxfId="631" dataCellStyle="一般 2"/>
    <tableColumn id="28" uniqueName="28" name="F28" queryTableFieldId="28" dataDxfId="630" dataCellStyle="一般 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6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6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6" ref="AG13:BH189" tableType="queryTable" totalsRowShown="0" headerRowDxfId="533" dataDxfId="532" headerRowCellStyle="一般 2" dataCellStyle="一般 2">
  <autoFilter ref="AG13:BH189"/>
  <tableColumns count="28">
    <tableColumn id="1" uniqueName="1" name="請直接以10進位，謝謝" queryTableFieldId="1" dataDxfId="531" dataCellStyle="一般 2"/>
    <tableColumn id="2" uniqueName="2" name="F2" queryTableFieldId="2" dataDxfId="530" dataCellStyle="一般 2"/>
    <tableColumn id="3" uniqueName="3" name="F3" queryTableFieldId="3" dataDxfId="529" dataCellStyle="一般 2"/>
    <tableColumn id="4" uniqueName="4" name="F4" queryTableFieldId="4" dataDxfId="528" dataCellStyle="一般 2"/>
    <tableColumn id="5" uniqueName="5" name="F5" queryTableFieldId="5" dataDxfId="527" dataCellStyle="一般 2"/>
    <tableColumn id="6" uniqueName="6" name="F6" queryTableFieldId="6" dataDxfId="526" dataCellStyle="一般 2"/>
    <tableColumn id="7" uniqueName="7" name="F7" queryTableFieldId="7" dataDxfId="525" dataCellStyle="一般 2"/>
    <tableColumn id="8" uniqueName="8" name="F8" queryTableFieldId="8" dataDxfId="524" dataCellStyle="一般 2"/>
    <tableColumn id="9" uniqueName="9" name="F9" queryTableFieldId="9" dataDxfId="523" dataCellStyle="一般 2"/>
    <tableColumn id="10" uniqueName="10" name="F10" queryTableFieldId="10" dataDxfId="522" dataCellStyle="一般 2"/>
    <tableColumn id="11" uniqueName="11" name="F11" queryTableFieldId="11" dataDxfId="521" dataCellStyle="一般 2"/>
    <tableColumn id="12" uniqueName="12" name="F12" queryTableFieldId="12" dataDxfId="520" dataCellStyle="一般 2"/>
    <tableColumn id="13" uniqueName="13" name="F13" queryTableFieldId="13" dataDxfId="519" dataCellStyle="一般 2"/>
    <tableColumn id="14" uniqueName="14" name="F14" queryTableFieldId="14" dataDxfId="518" dataCellStyle="一般 2"/>
    <tableColumn id="15" uniqueName="15" name="F15" queryTableFieldId="15" dataDxfId="517" dataCellStyle="一般 2"/>
    <tableColumn id="16" uniqueName="16" name="F16" queryTableFieldId="16" dataDxfId="516" dataCellStyle="一般 2"/>
    <tableColumn id="17" uniqueName="17" name="F17" queryTableFieldId="17" dataDxfId="515" dataCellStyle="一般 2"/>
    <tableColumn id="18" uniqueName="18" name="F18" queryTableFieldId="18" dataDxfId="514" dataCellStyle="一般 2"/>
    <tableColumn id="19" uniqueName="19" name="F19" queryTableFieldId="19" dataDxfId="513" dataCellStyle="一般 2"/>
    <tableColumn id="20" uniqueName="20" name="F20" queryTableFieldId="20" dataDxfId="512" dataCellStyle="一般 2"/>
    <tableColumn id="21" uniqueName="21" name="F21" queryTableFieldId="21" dataDxfId="511" dataCellStyle="一般 2"/>
    <tableColumn id="22" uniqueName="22" name="2024/6/24 14:52" queryTableFieldId="22" dataDxfId="510" dataCellStyle="一般 2"/>
    <tableColumn id="23" uniqueName="23" name="F23" queryTableFieldId="23" dataDxfId="509" dataCellStyle="一般 2"/>
    <tableColumn id="24" uniqueName="24" name="F24" queryTableFieldId="24" dataDxfId="508" dataCellStyle="一般 2"/>
    <tableColumn id="25" uniqueName="25" name="F25" queryTableFieldId="25" dataDxfId="507" dataCellStyle="一般 2"/>
    <tableColumn id="26" uniqueName="26" name="F26" queryTableFieldId="26" dataDxfId="506" dataCellStyle="一般 2"/>
    <tableColumn id="27" uniqueName="27" name="F27" queryTableFieldId="27" dataDxfId="505" dataCellStyle="一般 2"/>
    <tableColumn id="28" uniqueName="28" name="F28" queryTableFieldId="28" dataDxfId="504" dataCellStyle="一般 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7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7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7" ref="AG13:BH189" tableType="queryTable" totalsRowShown="0" headerRowDxfId="407" dataDxfId="406" headerRowCellStyle="一般 2" dataCellStyle="一般 2">
  <autoFilter ref="AG13:BH189"/>
  <tableColumns count="28">
    <tableColumn id="1" uniqueName="1" name="請直接以10進位，謝謝" queryTableFieldId="1" dataDxfId="405" dataCellStyle="一般 2"/>
    <tableColumn id="2" uniqueName="2" name="F2" queryTableFieldId="2" dataDxfId="404" dataCellStyle="一般 2"/>
    <tableColumn id="3" uniqueName="3" name="F3" queryTableFieldId="3" dataDxfId="403" dataCellStyle="一般 2"/>
    <tableColumn id="4" uniqueName="4" name="F4" queryTableFieldId="4" dataDxfId="402" dataCellStyle="一般 2"/>
    <tableColumn id="5" uniqueName="5" name="F5" queryTableFieldId="5" dataDxfId="401" dataCellStyle="一般 2"/>
    <tableColumn id="6" uniqueName="6" name="F6" queryTableFieldId="6" dataDxfId="400" dataCellStyle="一般 2"/>
    <tableColumn id="7" uniqueName="7" name="F7" queryTableFieldId="7" dataDxfId="399" dataCellStyle="一般 2"/>
    <tableColumn id="8" uniqueName="8" name="F8" queryTableFieldId="8" dataDxfId="398" dataCellStyle="一般 2"/>
    <tableColumn id="9" uniqueName="9" name="F9" queryTableFieldId="9" dataDxfId="397" dataCellStyle="一般 2"/>
    <tableColumn id="10" uniqueName="10" name="F10" queryTableFieldId="10" dataDxfId="396" dataCellStyle="一般 2"/>
    <tableColumn id="11" uniqueName="11" name="F11" queryTableFieldId="11" dataDxfId="395" dataCellStyle="一般 2"/>
    <tableColumn id="12" uniqueName="12" name="F12" queryTableFieldId="12" dataDxfId="394" dataCellStyle="一般 2"/>
    <tableColumn id="13" uniqueName="13" name="F13" queryTableFieldId="13" dataDxfId="393" dataCellStyle="一般 2"/>
    <tableColumn id="14" uniqueName="14" name="F14" queryTableFieldId="14" dataDxfId="392" dataCellStyle="一般 2"/>
    <tableColumn id="15" uniqueName="15" name="F15" queryTableFieldId="15" dataDxfId="391" dataCellStyle="一般 2"/>
    <tableColumn id="16" uniqueName="16" name="F16" queryTableFieldId="16" dataDxfId="390" dataCellStyle="一般 2"/>
    <tableColumn id="17" uniqueName="17" name="F17" queryTableFieldId="17" dataDxfId="389" dataCellStyle="一般 2"/>
    <tableColumn id="18" uniqueName="18" name="F18" queryTableFieldId="18" dataDxfId="388" dataCellStyle="一般 2"/>
    <tableColumn id="19" uniqueName="19" name="F19" queryTableFieldId="19" dataDxfId="387" dataCellStyle="一般 2"/>
    <tableColumn id="20" uniqueName="20" name="F20" queryTableFieldId="20" dataDxfId="386" dataCellStyle="一般 2"/>
    <tableColumn id="21" uniqueName="21" name="F21" queryTableFieldId="21" dataDxfId="385" dataCellStyle="一般 2"/>
    <tableColumn id="22" uniqueName="22" name="2024/6/24 14:52" queryTableFieldId="22" dataDxfId="384" dataCellStyle="一般 2"/>
    <tableColumn id="23" uniqueName="23" name="F23" queryTableFieldId="23" dataDxfId="383" dataCellStyle="一般 2"/>
    <tableColumn id="24" uniqueName="24" name="F24" queryTableFieldId="24" dataDxfId="382" dataCellStyle="一般 2"/>
    <tableColumn id="25" uniqueName="25" name="F25" queryTableFieldId="25" dataDxfId="381" dataCellStyle="一般 2"/>
    <tableColumn id="26" uniqueName="26" name="F26" queryTableFieldId="26" dataDxfId="380" dataCellStyle="一般 2"/>
    <tableColumn id="27" uniqueName="27" name="F27" queryTableFieldId="27" dataDxfId="379" dataCellStyle="一般 2"/>
    <tableColumn id="28" uniqueName="28" name="F28" queryTableFieldId="28" dataDxfId="378" dataCellStyle="一般 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9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8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8" ref="AG13:BH189" tableType="queryTable" totalsRowShown="0" headerRowDxfId="281" dataDxfId="280" headerRowCellStyle="一般 2" dataCellStyle="一般 2">
  <autoFilter ref="AG13:BH189"/>
  <tableColumns count="28">
    <tableColumn id="1" uniqueName="1" name="請直接以10進位，謝謝" queryTableFieldId="1" dataDxfId="279" dataCellStyle="一般 2"/>
    <tableColumn id="2" uniqueName="2" name="F2" queryTableFieldId="2" dataDxfId="278" dataCellStyle="一般 2"/>
    <tableColumn id="3" uniqueName="3" name="F3" queryTableFieldId="3" dataDxfId="277" dataCellStyle="一般 2"/>
    <tableColumn id="4" uniqueName="4" name="F4" queryTableFieldId="4" dataDxfId="276" dataCellStyle="一般 2"/>
    <tableColumn id="5" uniqueName="5" name="F5" queryTableFieldId="5" dataDxfId="275" dataCellStyle="一般 2"/>
    <tableColumn id="6" uniqueName="6" name="F6" queryTableFieldId="6" dataDxfId="274" dataCellStyle="一般 2"/>
    <tableColumn id="7" uniqueName="7" name="F7" queryTableFieldId="7" dataDxfId="273" dataCellStyle="一般 2"/>
    <tableColumn id="8" uniqueName="8" name="F8" queryTableFieldId="8" dataDxfId="272" dataCellStyle="一般 2"/>
    <tableColumn id="9" uniqueName="9" name="F9" queryTableFieldId="9" dataDxfId="271" dataCellStyle="一般 2"/>
    <tableColumn id="10" uniqueName="10" name="F10" queryTableFieldId="10" dataDxfId="270" dataCellStyle="一般 2"/>
    <tableColumn id="11" uniqueName="11" name="F11" queryTableFieldId="11" dataDxfId="269" dataCellStyle="一般 2"/>
    <tableColumn id="12" uniqueName="12" name="F12" queryTableFieldId="12" dataDxfId="268" dataCellStyle="一般 2"/>
    <tableColumn id="13" uniqueName="13" name="F13" queryTableFieldId="13" dataDxfId="267" dataCellStyle="一般 2"/>
    <tableColumn id="14" uniqueName="14" name="F14" queryTableFieldId="14" dataDxfId="266" dataCellStyle="一般 2"/>
    <tableColumn id="15" uniqueName="15" name="F15" queryTableFieldId="15" dataDxfId="265" dataCellStyle="一般 2"/>
    <tableColumn id="16" uniqueName="16" name="F16" queryTableFieldId="16" dataDxfId="264" dataCellStyle="一般 2"/>
    <tableColumn id="17" uniqueName="17" name="F17" queryTableFieldId="17" dataDxfId="263" dataCellStyle="一般 2"/>
    <tableColumn id="18" uniqueName="18" name="F18" queryTableFieldId="18" dataDxfId="262" dataCellStyle="一般 2"/>
    <tableColumn id="19" uniqueName="19" name="F19" queryTableFieldId="19" dataDxfId="261" dataCellStyle="一般 2"/>
    <tableColumn id="20" uniqueName="20" name="F20" queryTableFieldId="20" dataDxfId="260" dataCellStyle="一般 2"/>
    <tableColumn id="21" uniqueName="21" name="F21" queryTableFieldId="21" dataDxfId="259" dataCellStyle="一般 2"/>
    <tableColumn id="22" uniqueName="22" name="2024/6/24 14:52" queryTableFieldId="22" dataDxfId="258" dataCellStyle="一般 2"/>
    <tableColumn id="23" uniqueName="23" name="F23" queryTableFieldId="23" dataDxfId="257" dataCellStyle="一般 2"/>
    <tableColumn id="24" uniqueName="24" name="F24" queryTableFieldId="24" dataDxfId="256" dataCellStyle="一般 2"/>
    <tableColumn id="25" uniqueName="25" name="F25" queryTableFieldId="25" dataDxfId="255" dataCellStyle="一般 2"/>
    <tableColumn id="26" uniqueName="26" name="F26" queryTableFieldId="26" dataDxfId="254" dataCellStyle="一般 2"/>
    <tableColumn id="27" uniqueName="27" name="F27" queryTableFieldId="27" dataDxfId="253" dataCellStyle="一般 2"/>
    <tableColumn id="28" uniqueName="28" name="F28" queryTableFieldId="28" dataDxfId="252" dataCellStyle="一般 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0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9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9" ref="AG13:BH189" tableType="queryTable" totalsRowShown="0" headerRowDxfId="155" dataDxfId="154" headerRowCellStyle="一般 2" dataCellStyle="一般 2">
  <autoFilter ref="AG13:BH189"/>
  <tableColumns count="28">
    <tableColumn id="1" uniqueName="1" name="請直接以10進位，謝謝" queryTableFieldId="1" dataDxfId="153" dataCellStyle="一般 2"/>
    <tableColumn id="2" uniqueName="2" name="F2" queryTableFieldId="2" dataDxfId="152" dataCellStyle="一般 2"/>
    <tableColumn id="3" uniqueName="3" name="F3" queryTableFieldId="3" dataDxfId="151" dataCellStyle="一般 2"/>
    <tableColumn id="4" uniqueName="4" name="F4" queryTableFieldId="4" dataDxfId="150" dataCellStyle="一般 2"/>
    <tableColumn id="5" uniqueName="5" name="F5" queryTableFieldId="5" dataDxfId="149" dataCellStyle="一般 2"/>
    <tableColumn id="6" uniqueName="6" name="F6" queryTableFieldId="6" dataDxfId="148" dataCellStyle="一般 2"/>
    <tableColumn id="7" uniqueName="7" name="F7" queryTableFieldId="7" dataDxfId="147" dataCellStyle="一般 2"/>
    <tableColumn id="8" uniqueName="8" name="F8" queryTableFieldId="8" dataDxfId="146" dataCellStyle="一般 2"/>
    <tableColumn id="9" uniqueName="9" name="F9" queryTableFieldId="9" dataDxfId="145" dataCellStyle="一般 2"/>
    <tableColumn id="10" uniqueName="10" name="F10" queryTableFieldId="10" dataDxfId="144" dataCellStyle="一般 2"/>
    <tableColumn id="11" uniqueName="11" name="F11" queryTableFieldId="11" dataDxfId="143" dataCellStyle="一般 2"/>
    <tableColumn id="12" uniqueName="12" name="F12" queryTableFieldId="12" dataDxfId="142" dataCellStyle="一般 2"/>
    <tableColumn id="13" uniqueName="13" name="F13" queryTableFieldId="13" dataDxfId="141" dataCellStyle="一般 2"/>
    <tableColumn id="14" uniqueName="14" name="F14" queryTableFieldId="14" dataDxfId="140" dataCellStyle="一般 2"/>
    <tableColumn id="15" uniqueName="15" name="F15" queryTableFieldId="15" dataDxfId="139" dataCellStyle="一般 2"/>
    <tableColumn id="16" uniqueName="16" name="F16" queryTableFieldId="16" dataDxfId="138" dataCellStyle="一般 2"/>
    <tableColumn id="17" uniqueName="17" name="F17" queryTableFieldId="17" dataDxfId="137" dataCellStyle="一般 2"/>
    <tableColumn id="18" uniqueName="18" name="F18" queryTableFieldId="18" dataDxfId="136" dataCellStyle="一般 2"/>
    <tableColumn id="19" uniqueName="19" name="F19" queryTableFieldId="19" dataDxfId="135" dataCellStyle="一般 2"/>
    <tableColumn id="20" uniqueName="20" name="F20" queryTableFieldId="20" dataDxfId="134" dataCellStyle="一般 2"/>
    <tableColumn id="21" uniqueName="21" name="F21" queryTableFieldId="21" dataDxfId="133" dataCellStyle="一般 2"/>
    <tableColumn id="22" uniqueName="22" name="2024/6/24 14:52" queryTableFieldId="22" dataDxfId="132" dataCellStyle="一般 2"/>
    <tableColumn id="23" uniqueName="23" name="F23" queryTableFieldId="23" dataDxfId="131" dataCellStyle="一般 2"/>
    <tableColumn id="24" uniqueName="24" name="F24" queryTableFieldId="24" dataDxfId="130" dataCellStyle="一般 2"/>
    <tableColumn id="25" uniqueName="25" name="F25" queryTableFieldId="25" dataDxfId="129" dataCellStyle="一般 2"/>
    <tableColumn id="26" uniqueName="26" name="F26" queryTableFieldId="26" dataDxfId="128" dataCellStyle="一般 2"/>
    <tableColumn id="27" uniqueName="27" name="F27" queryTableFieldId="27" dataDxfId="127" dataCellStyle="一般 2"/>
    <tableColumn id="28" uniqueName="28" name="F28" queryTableFieldId="28" dataDxfId="126" dataCellStyle="一般 2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0" ref="AG13:BH189" tableType="queryTable" totalsRowShown="0" headerRowDxfId="29" dataDxfId="28" headerRowCellStyle="一般 2" dataCellStyle="一般 2">
  <autoFilter ref="AG13:BH189"/>
  <tableColumns count="28">
    <tableColumn id="1" uniqueName="1" name="請直接以10進位，謝謝" queryTableFieldId="1" dataDxfId="27" dataCellStyle="一般 2"/>
    <tableColumn id="2" uniqueName="2" name="F2" queryTableFieldId="2" dataDxfId="26" dataCellStyle="一般 2"/>
    <tableColumn id="3" uniqueName="3" name="F3" queryTableFieldId="3" dataDxfId="25" dataCellStyle="一般 2"/>
    <tableColumn id="4" uniqueName="4" name="F4" queryTableFieldId="4" dataDxfId="24" dataCellStyle="一般 2"/>
    <tableColumn id="5" uniqueName="5" name="F5" queryTableFieldId="5" dataDxfId="23" dataCellStyle="一般 2"/>
    <tableColumn id="6" uniqueName="6" name="F6" queryTableFieldId="6" dataDxfId="22" dataCellStyle="一般 2"/>
    <tableColumn id="7" uniqueName="7" name="F7" queryTableFieldId="7" dataDxfId="21" dataCellStyle="一般 2"/>
    <tableColumn id="8" uniqueName="8" name="F8" queryTableFieldId="8" dataDxfId="20" dataCellStyle="一般 2"/>
    <tableColumn id="9" uniqueName="9" name="F9" queryTableFieldId="9" dataDxfId="19" dataCellStyle="一般 2"/>
    <tableColumn id="10" uniqueName="10" name="F10" queryTableFieldId="10" dataDxfId="18" dataCellStyle="一般 2"/>
    <tableColumn id="11" uniqueName="11" name="F11" queryTableFieldId="11" dataDxfId="17" dataCellStyle="一般 2"/>
    <tableColumn id="12" uniqueName="12" name="F12" queryTableFieldId="12" dataDxfId="16" dataCellStyle="一般 2"/>
    <tableColumn id="13" uniqueName="13" name="F13" queryTableFieldId="13" dataDxfId="15" dataCellStyle="一般 2"/>
    <tableColumn id="14" uniqueName="14" name="F14" queryTableFieldId="14" dataDxfId="14" dataCellStyle="一般 2"/>
    <tableColumn id="15" uniqueName="15" name="F15" queryTableFieldId="15" dataDxfId="13" dataCellStyle="一般 2"/>
    <tableColumn id="16" uniqueName="16" name="F16" queryTableFieldId="16" dataDxfId="12" dataCellStyle="一般 2"/>
    <tableColumn id="17" uniqueName="17" name="F17" queryTableFieldId="17" dataDxfId="11" dataCellStyle="一般 2"/>
    <tableColumn id="18" uniqueName="18" name="F18" queryTableFieldId="18" dataDxfId="10" dataCellStyle="一般 2"/>
    <tableColumn id="19" uniqueName="19" name="F19" queryTableFieldId="19" dataDxfId="9" dataCellStyle="一般 2"/>
    <tableColumn id="20" uniqueName="20" name="F20" queryTableFieldId="20" dataDxfId="8" dataCellStyle="一般 2"/>
    <tableColumn id="21" uniqueName="21" name="F21" queryTableFieldId="21" dataDxfId="7" dataCellStyle="一般 2"/>
    <tableColumn id="22" uniqueName="22" name="2024/6/24 14:52" queryTableFieldId="22" dataDxfId="6" dataCellStyle="一般 2"/>
    <tableColumn id="23" uniqueName="23" name="F23" queryTableFieldId="23" dataDxfId="5" dataCellStyle="一般 2"/>
    <tableColumn id="24" uniqueName="24" name="F24" queryTableFieldId="24" dataDxfId="4" dataCellStyle="一般 2"/>
    <tableColumn id="25" uniqueName="25" name="F25" queryTableFieldId="25" dataDxfId="3" dataCellStyle="一般 2"/>
    <tableColumn id="26" uniqueName="26" name="F26" queryTableFieldId="26" dataDxfId="2" dataCellStyle="一般 2"/>
    <tableColumn id="27" uniqueName="27" name="F27" queryTableFieldId="27" dataDxfId="1" dataCellStyle="一般 2"/>
    <tableColumn id="28" uniqueName="28" name="F28" queryTableFieldId="28" dataDxfId="0" dataCellStyle="一般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8357890-2BA6-4CC5-90A2-87AD6187BD32}">
  <we:reference id="wa104381026" version="1.2.0.0" store="zh-TW" storeType="OMEX"/>
  <we:alternateReferences>
    <we:reference id="WA104381026" version="1.2.0.0" store="WA10438102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5" Type="http://schemas.openxmlformats.org/officeDocument/2006/relationships/table" Target="../tables/table11.xml"/><Relationship Id="rId4" Type="http://schemas.openxmlformats.org/officeDocument/2006/relationships/ctrlProp" Target="../ctrlProps/ctrlProp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table" Target="../tables/table12.xml"/><Relationship Id="rId4" Type="http://schemas.openxmlformats.org/officeDocument/2006/relationships/ctrlProp" Target="../ctrlProps/ctrlProp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5" Type="http://schemas.openxmlformats.org/officeDocument/2006/relationships/table" Target="../tables/table13.xml"/><Relationship Id="rId4" Type="http://schemas.openxmlformats.org/officeDocument/2006/relationships/ctrlProp" Target="../ctrlProps/ctrlProp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5" Type="http://schemas.openxmlformats.org/officeDocument/2006/relationships/table" Target="../tables/table14.xml"/><Relationship Id="rId4" Type="http://schemas.openxmlformats.org/officeDocument/2006/relationships/ctrlProp" Target="../ctrlProps/ctrlProp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5" Type="http://schemas.openxmlformats.org/officeDocument/2006/relationships/table" Target="../tables/table15.xml"/><Relationship Id="rId4" Type="http://schemas.openxmlformats.org/officeDocument/2006/relationships/ctrlProp" Target="../ctrlProps/ctrlProp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5" Type="http://schemas.openxmlformats.org/officeDocument/2006/relationships/table" Target="../tables/table16.xml"/><Relationship Id="rId4" Type="http://schemas.openxmlformats.org/officeDocument/2006/relationships/ctrlProp" Target="../ctrlProps/ctrlProp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5" Type="http://schemas.openxmlformats.org/officeDocument/2006/relationships/table" Target="../tables/table17.xml"/><Relationship Id="rId4" Type="http://schemas.openxmlformats.org/officeDocument/2006/relationships/ctrlProp" Target="../ctrlProps/ctrlProp1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5" Type="http://schemas.openxmlformats.org/officeDocument/2006/relationships/table" Target="../tables/table18.xml"/><Relationship Id="rId4" Type="http://schemas.openxmlformats.org/officeDocument/2006/relationships/ctrlProp" Target="../ctrlProps/ctrlProp1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5" Type="http://schemas.openxmlformats.org/officeDocument/2006/relationships/table" Target="../tables/table19.xml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5" Type="http://schemas.openxmlformats.org/officeDocument/2006/relationships/table" Target="../tables/table20.xml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5" Type="http://schemas.openxmlformats.org/officeDocument/2006/relationships/table" Target="../tables/table21.xml"/><Relationship Id="rId4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1"/>
  <dimension ref="A1:X46"/>
  <sheetViews>
    <sheetView view="pageBreakPreview" topLeftCell="A22" zoomScale="80" zoomScaleNormal="100" zoomScaleSheetLayoutView="80" workbookViewId="0">
      <selection activeCell="G39" sqref="G39"/>
    </sheetView>
  </sheetViews>
  <sheetFormatPr defaultColWidth="9" defaultRowHeight="15.75"/>
  <cols>
    <col min="1" max="1" width="7.375" style="54" customWidth="1"/>
    <col min="2" max="2" width="8.625" style="54" customWidth="1"/>
    <col min="3" max="3" width="6.625" style="54" customWidth="1"/>
    <col min="4" max="4" width="7.375" style="54" customWidth="1"/>
    <col min="5" max="5" width="8.625" style="54" customWidth="1"/>
    <col min="6" max="6" width="6.625" style="54" customWidth="1"/>
    <col min="7" max="7" width="7.375" style="54" customWidth="1"/>
    <col min="8" max="8" width="8.625" style="54" customWidth="1"/>
    <col min="9" max="9" width="6.625" style="54" customWidth="1"/>
    <col min="10" max="10" width="7.375" style="54" customWidth="1"/>
    <col min="11" max="11" width="8.625" style="54" customWidth="1"/>
    <col min="12" max="12" width="6.625" style="54" customWidth="1"/>
    <col min="13" max="13" width="23.875" style="54" customWidth="1"/>
    <col min="14" max="14" width="17.625" style="54" customWidth="1"/>
    <col min="15" max="16" width="11.875" style="54" customWidth="1"/>
    <col min="17" max="17" width="17.5" style="63" customWidth="1"/>
    <col min="18" max="18" width="13.625" style="63" customWidth="1"/>
    <col min="19" max="19" width="14.375" style="63" customWidth="1"/>
    <col min="20" max="20" width="9" style="54"/>
    <col min="21" max="21" width="20.75" style="54" bestFit="1" customWidth="1"/>
    <col min="22" max="22" width="9" style="54"/>
    <col min="23" max="23" width="13.75" style="54" bestFit="1" customWidth="1"/>
    <col min="24" max="16384" width="9" style="54"/>
  </cols>
  <sheetData>
    <row r="1" spans="1:24" s="53" customFormat="1" ht="21" customHeight="1" thickBot="1">
      <c r="A1" s="187" t="s">
        <v>203</v>
      </c>
      <c r="B1" s="187"/>
      <c r="C1" s="111"/>
      <c r="D1" s="111"/>
      <c r="E1" s="112"/>
      <c r="F1" s="111"/>
      <c r="G1" s="113"/>
      <c r="H1" s="113"/>
      <c r="I1" s="113"/>
      <c r="J1" s="113"/>
      <c r="K1" s="113"/>
      <c r="L1" s="113"/>
      <c r="M1" s="113" t="s">
        <v>204</v>
      </c>
      <c r="Q1" s="55"/>
      <c r="R1" s="55"/>
      <c r="S1" s="55"/>
    </row>
    <row r="2" spans="1:24" s="59" customFormat="1" ht="25.7" customHeight="1" thickTop="1" thickBot="1">
      <c r="A2" s="114" t="s">
        <v>126</v>
      </c>
      <c r="B2" s="115" t="s">
        <v>32</v>
      </c>
      <c r="C2" s="116" t="s">
        <v>33</v>
      </c>
      <c r="D2" s="114" t="s">
        <v>31</v>
      </c>
      <c r="E2" s="115" t="s">
        <v>32</v>
      </c>
      <c r="F2" s="116" t="s">
        <v>224</v>
      </c>
      <c r="G2" s="114" t="s">
        <v>31</v>
      </c>
      <c r="H2" s="115" t="s">
        <v>32</v>
      </c>
      <c r="I2" s="117" t="s">
        <v>33</v>
      </c>
      <c r="J2" s="114" t="s">
        <v>31</v>
      </c>
      <c r="K2" s="115" t="s">
        <v>225</v>
      </c>
      <c r="L2" s="117" t="s">
        <v>33</v>
      </c>
      <c r="M2" s="118" t="s">
        <v>205</v>
      </c>
      <c r="N2" s="56"/>
      <c r="O2" s="56"/>
      <c r="P2" s="57" t="s">
        <v>170</v>
      </c>
      <c r="Q2" s="58" t="s">
        <v>171</v>
      </c>
      <c r="S2" s="60" t="s">
        <v>172</v>
      </c>
      <c r="U2" s="140" t="s">
        <v>173</v>
      </c>
      <c r="V2" s="139">
        <v>0.01</v>
      </c>
      <c r="W2" s="140" t="s">
        <v>185</v>
      </c>
      <c r="X2" s="61" t="s">
        <v>176</v>
      </c>
    </row>
    <row r="3" spans="1:24" s="53" customFormat="1" ht="22.15" customHeight="1" thickTop="1">
      <c r="A3" s="119">
        <v>601</v>
      </c>
      <c r="B3" s="120">
        <v>700</v>
      </c>
      <c r="C3" s="121">
        <v>15</v>
      </c>
      <c r="D3" s="122" t="s">
        <v>89</v>
      </c>
      <c r="E3" s="120">
        <v>0</v>
      </c>
      <c r="F3" s="121">
        <v>5</v>
      </c>
      <c r="G3" s="119">
        <v>661</v>
      </c>
      <c r="H3" s="120">
        <v>6923</v>
      </c>
      <c r="I3" s="123">
        <v>20</v>
      </c>
      <c r="J3" s="119">
        <v>681</v>
      </c>
      <c r="K3" s="120">
        <v>3902</v>
      </c>
      <c r="L3" s="124">
        <v>13</v>
      </c>
      <c r="M3" s="188" t="s">
        <v>610</v>
      </c>
      <c r="N3" s="140" t="s">
        <v>173</v>
      </c>
      <c r="O3" s="140" t="s">
        <v>174</v>
      </c>
      <c r="P3" s="140" t="s">
        <v>175</v>
      </c>
      <c r="Q3" s="61" t="s">
        <v>176</v>
      </c>
      <c r="S3" s="53">
        <v>5900</v>
      </c>
      <c r="U3" s="140" t="s">
        <v>177</v>
      </c>
      <c r="V3" s="139">
        <v>0.01</v>
      </c>
      <c r="W3" s="140" t="s">
        <v>186</v>
      </c>
      <c r="X3" s="61" t="s">
        <v>179</v>
      </c>
    </row>
    <row r="4" spans="1:24" s="53" customFormat="1" ht="22.15" customHeight="1">
      <c r="A4" s="119">
        <v>602</v>
      </c>
      <c r="B4" s="120">
        <v>0</v>
      </c>
      <c r="C4" s="121">
        <v>15</v>
      </c>
      <c r="D4" s="122" t="s">
        <v>90</v>
      </c>
      <c r="E4" s="120">
        <v>0</v>
      </c>
      <c r="F4" s="121">
        <v>15</v>
      </c>
      <c r="G4" s="119">
        <v>662</v>
      </c>
      <c r="H4" s="120">
        <v>6987</v>
      </c>
      <c r="I4" s="123">
        <v>22</v>
      </c>
      <c r="J4" s="119">
        <v>682</v>
      </c>
      <c r="K4" s="120">
        <v>2170</v>
      </c>
      <c r="L4" s="134">
        <v>14</v>
      </c>
      <c r="M4" s="189"/>
      <c r="N4" s="140" t="s">
        <v>177</v>
      </c>
      <c r="O4" s="140" t="s">
        <v>174</v>
      </c>
      <c r="P4" s="140" t="s">
        <v>178</v>
      </c>
      <c r="Q4" s="61" t="s">
        <v>179</v>
      </c>
      <c r="S4" s="53">
        <v>5600</v>
      </c>
      <c r="U4" s="62">
        <v>680690</v>
      </c>
      <c r="V4" s="139">
        <v>0.01</v>
      </c>
      <c r="W4" s="140" t="s">
        <v>187</v>
      </c>
      <c r="X4" s="61" t="s">
        <v>179</v>
      </c>
    </row>
    <row r="5" spans="1:24" s="53" customFormat="1" ht="22.15" customHeight="1">
      <c r="A5" s="119">
        <v>603</v>
      </c>
      <c r="B5" s="120">
        <v>6809</v>
      </c>
      <c r="C5" s="121">
        <v>15</v>
      </c>
      <c r="D5" s="122">
        <v>631</v>
      </c>
      <c r="E5" s="120">
        <v>4523</v>
      </c>
      <c r="F5" s="121">
        <v>16</v>
      </c>
      <c r="G5" s="119">
        <v>663</v>
      </c>
      <c r="H5" s="120">
        <v>3487</v>
      </c>
      <c r="I5" s="123">
        <v>18</v>
      </c>
      <c r="J5" s="119">
        <v>683</v>
      </c>
      <c r="K5" s="120">
        <v>2383</v>
      </c>
      <c r="L5" s="134">
        <v>14</v>
      </c>
      <c r="M5" s="189"/>
      <c r="N5" s="62">
        <v>680690</v>
      </c>
      <c r="O5" s="140" t="s">
        <v>174</v>
      </c>
      <c r="P5" s="140" t="s">
        <v>180</v>
      </c>
      <c r="Q5" s="61" t="s">
        <v>179</v>
      </c>
      <c r="S5" s="53">
        <v>4100</v>
      </c>
      <c r="U5" s="140" t="s">
        <v>181</v>
      </c>
      <c r="V5" s="139">
        <v>0.01</v>
      </c>
      <c r="W5" s="140" t="s">
        <v>188</v>
      </c>
      <c r="X5" s="61" t="s">
        <v>179</v>
      </c>
    </row>
    <row r="6" spans="1:24" s="53" customFormat="1" ht="22.15" customHeight="1">
      <c r="A6" s="119" t="s">
        <v>91</v>
      </c>
      <c r="B6" s="125">
        <v>5934</v>
      </c>
      <c r="C6" s="126">
        <v>15</v>
      </c>
      <c r="D6" s="127">
        <v>632</v>
      </c>
      <c r="E6" s="125">
        <v>1627</v>
      </c>
      <c r="F6" s="126">
        <v>15</v>
      </c>
      <c r="G6" s="127">
        <v>664</v>
      </c>
      <c r="H6" s="125">
        <v>5610</v>
      </c>
      <c r="I6" s="124">
        <v>15</v>
      </c>
      <c r="J6" s="127">
        <v>684</v>
      </c>
      <c r="K6" s="125">
        <v>4895</v>
      </c>
      <c r="L6" s="134">
        <v>13</v>
      </c>
      <c r="M6" s="189"/>
      <c r="N6" s="140" t="s">
        <v>181</v>
      </c>
      <c r="O6" s="140" t="s">
        <v>174</v>
      </c>
      <c r="P6" s="140" t="s">
        <v>182</v>
      </c>
      <c r="Q6" s="61" t="s">
        <v>179</v>
      </c>
      <c r="S6" s="53">
        <v>7000</v>
      </c>
      <c r="U6" s="140" t="s">
        <v>183</v>
      </c>
      <c r="V6" s="139">
        <v>0.01</v>
      </c>
      <c r="W6" s="140" t="s">
        <v>189</v>
      </c>
      <c r="X6" s="61" t="s">
        <v>179</v>
      </c>
    </row>
    <row r="7" spans="1:24" s="53" customFormat="1" ht="22.15" customHeight="1">
      <c r="A7" s="119" t="s">
        <v>92</v>
      </c>
      <c r="B7" s="125">
        <v>5471</v>
      </c>
      <c r="C7" s="126">
        <v>9</v>
      </c>
      <c r="D7" s="127">
        <v>633</v>
      </c>
      <c r="E7" s="125">
        <v>2455</v>
      </c>
      <c r="F7" s="126">
        <v>6</v>
      </c>
      <c r="G7" s="127">
        <v>665</v>
      </c>
      <c r="H7" s="125">
        <v>5662</v>
      </c>
      <c r="I7" s="124">
        <v>15</v>
      </c>
      <c r="J7" s="127">
        <v>685</v>
      </c>
      <c r="K7" s="125">
        <v>5606</v>
      </c>
      <c r="L7" s="134">
        <v>14</v>
      </c>
      <c r="M7" s="189"/>
      <c r="N7" s="140" t="s">
        <v>183</v>
      </c>
      <c r="O7" s="140" t="s">
        <v>174</v>
      </c>
      <c r="P7" s="140" t="s">
        <v>184</v>
      </c>
      <c r="Q7" s="61" t="s">
        <v>179</v>
      </c>
      <c r="S7" s="53">
        <v>11590</v>
      </c>
      <c r="X7" s="55"/>
    </row>
    <row r="8" spans="1:24" s="53" customFormat="1" ht="22.15" customHeight="1">
      <c r="A8" s="119">
        <v>611</v>
      </c>
      <c r="B8" s="125">
        <v>27.11</v>
      </c>
      <c r="C8" s="135">
        <v>25</v>
      </c>
      <c r="D8" s="127">
        <v>634</v>
      </c>
      <c r="E8" s="125">
        <v>4889</v>
      </c>
      <c r="F8" s="126">
        <v>17</v>
      </c>
      <c r="G8" s="127">
        <v>666</v>
      </c>
      <c r="H8" s="125">
        <v>1770</v>
      </c>
      <c r="I8" s="124">
        <v>12</v>
      </c>
      <c r="J8" s="127">
        <v>686</v>
      </c>
      <c r="K8" s="125">
        <v>5579</v>
      </c>
      <c r="L8" s="134">
        <v>14</v>
      </c>
      <c r="M8" s="189"/>
      <c r="N8" s="140" t="s">
        <v>194</v>
      </c>
      <c r="O8" s="140" t="s">
        <v>174</v>
      </c>
      <c r="P8" s="140" t="s">
        <v>195</v>
      </c>
      <c r="Q8" s="61" t="s">
        <v>179</v>
      </c>
      <c r="S8" s="53">
        <v>9200</v>
      </c>
    </row>
    <row r="9" spans="1:24" s="53" customFormat="1" ht="22.15" customHeight="1">
      <c r="A9" s="119">
        <v>612</v>
      </c>
      <c r="B9" s="125">
        <v>7.81</v>
      </c>
      <c r="C9" s="135">
        <v>25</v>
      </c>
      <c r="D9" s="127">
        <v>641</v>
      </c>
      <c r="E9" s="125">
        <v>102</v>
      </c>
      <c r="F9" s="126">
        <v>13</v>
      </c>
      <c r="G9" s="127">
        <v>667</v>
      </c>
      <c r="H9" s="125">
        <v>-1641</v>
      </c>
      <c r="I9" s="124">
        <v>15</v>
      </c>
      <c r="J9" s="127">
        <v>687</v>
      </c>
      <c r="K9" s="125">
        <v>5444</v>
      </c>
      <c r="L9" s="134">
        <v>14</v>
      </c>
      <c r="M9" s="189"/>
      <c r="N9" s="140" t="s">
        <v>196</v>
      </c>
      <c r="O9" s="140" t="s">
        <v>174</v>
      </c>
      <c r="P9" s="140" t="s">
        <v>197</v>
      </c>
      <c r="Q9" s="61" t="s">
        <v>179</v>
      </c>
      <c r="S9" s="53">
        <v>6800</v>
      </c>
    </row>
    <row r="10" spans="1:24" s="53" customFormat="1" ht="22.15" customHeight="1">
      <c r="A10" s="119">
        <v>613</v>
      </c>
      <c r="B10" s="125">
        <v>87.01</v>
      </c>
      <c r="C10" s="135">
        <v>25</v>
      </c>
      <c r="D10" s="127">
        <v>642</v>
      </c>
      <c r="E10" s="125">
        <v>1945</v>
      </c>
      <c r="F10" s="126">
        <v>16</v>
      </c>
      <c r="G10" s="127">
        <v>668</v>
      </c>
      <c r="H10" s="125">
        <v>-595</v>
      </c>
      <c r="I10" s="124">
        <v>15</v>
      </c>
      <c r="J10" s="127">
        <v>688</v>
      </c>
      <c r="K10" s="125">
        <v>5357</v>
      </c>
      <c r="L10" s="134">
        <v>14</v>
      </c>
      <c r="M10" s="189"/>
      <c r="N10" s="140" t="s">
        <v>198</v>
      </c>
      <c r="O10" s="139" t="s">
        <v>174</v>
      </c>
      <c r="P10" s="140" t="s">
        <v>199</v>
      </c>
      <c r="Q10" s="61" t="s">
        <v>179</v>
      </c>
      <c r="S10" s="53">
        <v>5500</v>
      </c>
    </row>
    <row r="11" spans="1:24" s="53" customFormat="1" ht="22.15" customHeight="1">
      <c r="A11" s="119">
        <v>614</v>
      </c>
      <c r="B11" s="125">
        <v>39.01</v>
      </c>
      <c r="C11" s="135">
        <v>25</v>
      </c>
      <c r="D11" s="127">
        <v>643</v>
      </c>
      <c r="E11" s="125">
        <v>0</v>
      </c>
      <c r="F11" s="126">
        <v>15</v>
      </c>
      <c r="G11" s="127">
        <v>669</v>
      </c>
      <c r="H11" s="125">
        <v>362</v>
      </c>
      <c r="I11" s="124">
        <v>33</v>
      </c>
      <c r="J11" s="127">
        <v>689</v>
      </c>
      <c r="K11" s="125">
        <v>3515</v>
      </c>
      <c r="L11" s="134">
        <v>13</v>
      </c>
      <c r="M11" s="189"/>
      <c r="N11" s="140" t="s">
        <v>200</v>
      </c>
      <c r="O11" s="139" t="s">
        <v>174</v>
      </c>
      <c r="P11" s="140">
        <v>9.0746000000000002</v>
      </c>
      <c r="Q11" s="61" t="s">
        <v>179</v>
      </c>
      <c r="S11" s="53">
        <v>7100</v>
      </c>
    </row>
    <row r="12" spans="1:24" s="53" customFormat="1" ht="22.15" customHeight="1">
      <c r="A12" s="119">
        <v>621</v>
      </c>
      <c r="B12" s="125">
        <v>3942</v>
      </c>
      <c r="C12" s="126">
        <v>15</v>
      </c>
      <c r="D12" s="127">
        <v>645</v>
      </c>
      <c r="E12" s="125">
        <v>4378</v>
      </c>
      <c r="F12" s="126">
        <v>15</v>
      </c>
      <c r="G12" s="127">
        <v>670</v>
      </c>
      <c r="H12" s="125">
        <v>-9900</v>
      </c>
      <c r="I12" s="124">
        <v>33</v>
      </c>
      <c r="J12" s="127">
        <v>690</v>
      </c>
      <c r="K12" s="125">
        <v>430</v>
      </c>
      <c r="L12" s="124">
        <v>13</v>
      </c>
      <c r="M12" s="189"/>
      <c r="N12" s="62" t="s">
        <v>201</v>
      </c>
      <c r="O12" s="139" t="s">
        <v>174</v>
      </c>
      <c r="P12" s="140">
        <v>9.0746000000000002</v>
      </c>
      <c r="Q12" s="61" t="s">
        <v>179</v>
      </c>
      <c r="S12" s="53">
        <v>5500</v>
      </c>
    </row>
    <row r="13" spans="1:24" s="53" customFormat="1" ht="22.15" customHeight="1">
      <c r="A13" s="119">
        <v>622</v>
      </c>
      <c r="B13" s="125">
        <v>4313</v>
      </c>
      <c r="C13" s="126">
        <v>16</v>
      </c>
      <c r="D13" s="127">
        <v>651</v>
      </c>
      <c r="E13" s="125">
        <v>2767</v>
      </c>
      <c r="F13" s="126">
        <v>15</v>
      </c>
      <c r="G13" s="127">
        <v>671</v>
      </c>
      <c r="H13" s="125">
        <v>0</v>
      </c>
      <c r="I13" s="124">
        <v>16</v>
      </c>
      <c r="J13" s="127">
        <v>691</v>
      </c>
      <c r="K13" s="125">
        <v>1020</v>
      </c>
      <c r="L13" s="134">
        <v>14</v>
      </c>
      <c r="M13" s="189"/>
      <c r="N13" s="191" t="s">
        <v>202</v>
      </c>
      <c r="O13" s="192" t="s">
        <v>174</v>
      </c>
      <c r="P13" s="193">
        <v>7.0686</v>
      </c>
      <c r="Q13" s="194" t="s">
        <v>179</v>
      </c>
      <c r="S13" s="186">
        <v>7000</v>
      </c>
    </row>
    <row r="14" spans="1:24" s="53" customFormat="1" ht="22.15" customHeight="1">
      <c r="A14" s="119">
        <v>623</v>
      </c>
      <c r="B14" s="125">
        <v>2294</v>
      </c>
      <c r="C14" s="126">
        <v>20</v>
      </c>
      <c r="D14" s="127">
        <v>652</v>
      </c>
      <c r="E14" s="125">
        <v>2558</v>
      </c>
      <c r="F14" s="126">
        <v>16</v>
      </c>
      <c r="G14" s="127">
        <v>672</v>
      </c>
      <c r="H14" s="125">
        <v>2501</v>
      </c>
      <c r="I14" s="124">
        <v>13</v>
      </c>
      <c r="J14" s="127">
        <v>692</v>
      </c>
      <c r="K14" s="125">
        <v>6738</v>
      </c>
      <c r="L14" s="134">
        <v>15</v>
      </c>
      <c r="M14" s="189"/>
      <c r="N14" s="191"/>
      <c r="O14" s="192"/>
      <c r="P14" s="193"/>
      <c r="Q14" s="194"/>
      <c r="S14" s="186"/>
    </row>
    <row r="15" spans="1:24" s="53" customFormat="1" ht="22.15" customHeight="1">
      <c r="A15" s="122">
        <v>624</v>
      </c>
      <c r="B15" s="125">
        <v>4308</v>
      </c>
      <c r="C15" s="126">
        <v>18</v>
      </c>
      <c r="D15" s="128">
        <v>653</v>
      </c>
      <c r="E15" s="125">
        <v>111</v>
      </c>
      <c r="F15" s="126">
        <v>15</v>
      </c>
      <c r="G15" s="127">
        <v>673</v>
      </c>
      <c r="H15" s="125">
        <v>6847</v>
      </c>
      <c r="I15" s="124">
        <v>16</v>
      </c>
      <c r="J15" s="127">
        <v>693</v>
      </c>
      <c r="K15" s="125">
        <v>2594</v>
      </c>
      <c r="L15" s="134">
        <v>13</v>
      </c>
      <c r="M15" s="189"/>
      <c r="N15" s="191"/>
      <c r="O15" s="192"/>
      <c r="P15" s="193"/>
      <c r="Q15" s="194"/>
      <c r="R15" s="55"/>
      <c r="S15" s="186"/>
    </row>
    <row r="16" spans="1:24" s="53" customFormat="1" ht="22.15" customHeight="1">
      <c r="A16" s="122" t="s">
        <v>93</v>
      </c>
      <c r="B16" s="125">
        <v>5495</v>
      </c>
      <c r="C16" s="126">
        <v>15</v>
      </c>
      <c r="D16" s="127">
        <v>654</v>
      </c>
      <c r="E16" s="125">
        <v>4299</v>
      </c>
      <c r="F16" s="126">
        <v>15</v>
      </c>
      <c r="G16" s="127">
        <v>674</v>
      </c>
      <c r="H16" s="125">
        <v>6496</v>
      </c>
      <c r="I16" s="124">
        <v>13</v>
      </c>
      <c r="J16" s="127">
        <v>694</v>
      </c>
      <c r="K16" s="125">
        <v>904</v>
      </c>
      <c r="L16" s="134">
        <v>15</v>
      </c>
      <c r="M16" s="189"/>
      <c r="Q16" s="55"/>
      <c r="R16" s="55"/>
      <c r="S16" s="55"/>
    </row>
    <row r="17" spans="1:19" s="53" customFormat="1" ht="22.15" customHeight="1">
      <c r="A17" s="122" t="s">
        <v>26</v>
      </c>
      <c r="B17" s="125">
        <v>4602</v>
      </c>
      <c r="C17" s="126">
        <v>22</v>
      </c>
      <c r="D17" s="128">
        <v>655</v>
      </c>
      <c r="E17" s="125">
        <v>3901</v>
      </c>
      <c r="F17" s="126">
        <v>17</v>
      </c>
      <c r="G17" s="127">
        <v>675</v>
      </c>
      <c r="H17" s="125">
        <v>5.51</v>
      </c>
      <c r="I17" s="134">
        <v>25</v>
      </c>
      <c r="J17" s="127">
        <v>695</v>
      </c>
      <c r="K17" s="125">
        <v>5746</v>
      </c>
      <c r="L17" s="134">
        <v>15</v>
      </c>
      <c r="M17" s="189"/>
      <c r="Q17" s="55"/>
      <c r="R17" s="55"/>
      <c r="S17" s="55"/>
    </row>
    <row r="18" spans="1:19" s="53" customFormat="1" ht="22.15" customHeight="1">
      <c r="A18" s="122" t="s">
        <v>27</v>
      </c>
      <c r="B18" s="125">
        <v>0</v>
      </c>
      <c r="C18" s="126">
        <v>10</v>
      </c>
      <c r="D18" s="127">
        <v>656</v>
      </c>
      <c r="E18" s="125">
        <v>742</v>
      </c>
      <c r="F18" s="126">
        <v>15</v>
      </c>
      <c r="G18" s="127">
        <v>676</v>
      </c>
      <c r="H18" s="125">
        <v>44.01</v>
      </c>
      <c r="I18" s="134">
        <v>25</v>
      </c>
      <c r="J18" s="127">
        <v>696</v>
      </c>
      <c r="K18" s="125">
        <v>8900</v>
      </c>
      <c r="L18" s="134">
        <v>13</v>
      </c>
      <c r="M18" s="189"/>
      <c r="Q18" s="55"/>
      <c r="R18" s="55"/>
      <c r="S18" s="55"/>
    </row>
    <row r="19" spans="1:19" s="53" customFormat="1" ht="22.15" customHeight="1">
      <c r="A19" s="122" t="s">
        <v>28</v>
      </c>
      <c r="B19" s="125">
        <v>0</v>
      </c>
      <c r="C19" s="126">
        <v>11</v>
      </c>
      <c r="D19" s="127">
        <v>657</v>
      </c>
      <c r="E19" s="125">
        <v>5728</v>
      </c>
      <c r="F19" s="126">
        <v>15</v>
      </c>
      <c r="G19" s="127">
        <v>677</v>
      </c>
      <c r="H19" s="125">
        <v>98.41</v>
      </c>
      <c r="I19" s="134">
        <v>25</v>
      </c>
      <c r="J19" s="127">
        <v>697</v>
      </c>
      <c r="K19" s="125">
        <v>2983</v>
      </c>
      <c r="L19" s="134">
        <v>15</v>
      </c>
      <c r="M19" s="189"/>
      <c r="Q19" s="55"/>
      <c r="R19" s="55"/>
      <c r="S19" s="55"/>
    </row>
    <row r="20" spans="1:19" s="53" customFormat="1" ht="22.15" customHeight="1">
      <c r="A20" s="122" t="s">
        <v>29</v>
      </c>
      <c r="B20" s="125">
        <v>0</v>
      </c>
      <c r="C20" s="126">
        <v>15</v>
      </c>
      <c r="D20" s="128">
        <v>658</v>
      </c>
      <c r="E20" s="125">
        <v>115</v>
      </c>
      <c r="F20" s="126">
        <v>15</v>
      </c>
      <c r="G20" s="127">
        <v>678</v>
      </c>
      <c r="H20" s="125">
        <v>95.21</v>
      </c>
      <c r="I20" s="134">
        <v>25</v>
      </c>
      <c r="J20" s="127">
        <v>698</v>
      </c>
      <c r="K20" s="125">
        <v>8191</v>
      </c>
      <c r="L20" s="134">
        <v>52</v>
      </c>
      <c r="M20" s="189"/>
      <c r="Q20" s="55"/>
      <c r="R20" s="55"/>
      <c r="S20" s="55"/>
    </row>
    <row r="21" spans="1:19" s="53" customFormat="1" ht="22.15" customHeight="1">
      <c r="A21" s="122" t="s">
        <v>30</v>
      </c>
      <c r="B21" s="125">
        <v>0</v>
      </c>
      <c r="C21" s="126">
        <v>21</v>
      </c>
      <c r="D21" s="127">
        <v>659</v>
      </c>
      <c r="E21" s="125">
        <v>2293</v>
      </c>
      <c r="F21" s="126">
        <v>15</v>
      </c>
      <c r="G21" s="127">
        <v>680</v>
      </c>
      <c r="H21" s="125">
        <v>4010</v>
      </c>
      <c r="I21" s="134">
        <v>13</v>
      </c>
      <c r="J21" s="127">
        <v>699</v>
      </c>
      <c r="K21" s="125">
        <v>1606</v>
      </c>
      <c r="L21" s="134">
        <v>16</v>
      </c>
      <c r="M21" s="189"/>
      <c r="Q21" s="55"/>
      <c r="R21" s="55"/>
      <c r="S21" s="55"/>
    </row>
    <row r="22" spans="1:19" s="53" customFormat="1" ht="22.15" customHeight="1" thickBot="1">
      <c r="A22" s="129" t="s">
        <v>94</v>
      </c>
      <c r="B22" s="130">
        <v>0</v>
      </c>
      <c r="C22" s="130">
        <v>16</v>
      </c>
      <c r="D22" s="131">
        <v>660</v>
      </c>
      <c r="E22" s="130">
        <v>24</v>
      </c>
      <c r="F22" s="132">
        <v>16</v>
      </c>
      <c r="G22" s="131"/>
      <c r="H22" s="130"/>
      <c r="I22" s="132"/>
      <c r="J22" s="131"/>
      <c r="K22" s="130"/>
      <c r="L22" s="132"/>
      <c r="M22" s="190"/>
      <c r="Q22" s="55"/>
      <c r="R22" s="55"/>
      <c r="S22" s="55"/>
    </row>
    <row r="23" spans="1:19" ht="36.6" customHeight="1" thickTop="1">
      <c r="A23" s="112"/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</row>
    <row r="24" spans="1:19" ht="21" customHeight="1" thickBot="1">
      <c r="A24" s="187"/>
      <c r="B24" s="187"/>
      <c r="C24" s="111"/>
      <c r="D24" s="111"/>
      <c r="E24" s="111"/>
      <c r="F24" s="111"/>
      <c r="G24" s="111"/>
      <c r="H24" s="111"/>
      <c r="I24" s="113"/>
      <c r="J24" s="111"/>
      <c r="K24" s="111"/>
      <c r="L24" s="113"/>
      <c r="M24" s="113" t="s">
        <v>206</v>
      </c>
    </row>
    <row r="25" spans="1:19" ht="20.100000000000001" customHeight="1" thickTop="1" thickBot="1">
      <c r="A25" s="114"/>
      <c r="B25" s="115" t="s">
        <v>190</v>
      </c>
      <c r="C25" s="116" t="s">
        <v>33</v>
      </c>
      <c r="D25" s="114" t="s">
        <v>31</v>
      </c>
      <c r="E25" s="115" t="s">
        <v>190</v>
      </c>
      <c r="F25" s="117" t="s">
        <v>33</v>
      </c>
      <c r="G25" s="114" t="s">
        <v>31</v>
      </c>
      <c r="H25" s="115" t="s">
        <v>32</v>
      </c>
      <c r="I25" s="117" t="s">
        <v>33</v>
      </c>
      <c r="J25" s="114" t="s">
        <v>31</v>
      </c>
      <c r="K25" s="115" t="s">
        <v>32</v>
      </c>
      <c r="L25" s="117" t="s">
        <v>33</v>
      </c>
      <c r="M25" s="118" t="s">
        <v>205</v>
      </c>
    </row>
    <row r="26" spans="1:19" ht="21.75" customHeight="1" thickTop="1">
      <c r="A26" s="119">
        <v>601</v>
      </c>
      <c r="B26" s="120">
        <v>555</v>
      </c>
      <c r="C26" s="121">
        <v>18</v>
      </c>
      <c r="D26" s="122" t="s">
        <v>89</v>
      </c>
      <c r="E26" s="120">
        <v>0</v>
      </c>
      <c r="F26" s="121">
        <v>10</v>
      </c>
      <c r="G26" s="119">
        <v>661</v>
      </c>
      <c r="H26" s="120">
        <v>6920</v>
      </c>
      <c r="I26" s="123">
        <v>21</v>
      </c>
      <c r="J26" s="119">
        <v>681</v>
      </c>
      <c r="K26" s="120">
        <v>3316</v>
      </c>
      <c r="L26" s="124">
        <v>18</v>
      </c>
      <c r="M26" s="188"/>
    </row>
    <row r="27" spans="1:19" ht="21.75" customHeight="1">
      <c r="A27" s="119">
        <v>602</v>
      </c>
      <c r="B27" s="120">
        <v>0</v>
      </c>
      <c r="C27" s="121">
        <v>19</v>
      </c>
      <c r="D27" s="122" t="s">
        <v>90</v>
      </c>
      <c r="E27" s="120">
        <v>0</v>
      </c>
      <c r="F27" s="121">
        <v>20</v>
      </c>
      <c r="G27" s="119">
        <v>662</v>
      </c>
      <c r="H27" s="120">
        <v>6977</v>
      </c>
      <c r="I27" s="123">
        <v>21</v>
      </c>
      <c r="J27" s="119">
        <v>682</v>
      </c>
      <c r="K27" s="120">
        <v>2087</v>
      </c>
      <c r="L27" s="134">
        <v>18</v>
      </c>
      <c r="M27" s="189"/>
    </row>
    <row r="28" spans="1:19" ht="21.75" customHeight="1">
      <c r="A28" s="119">
        <v>603</v>
      </c>
      <c r="B28" s="120">
        <v>6807</v>
      </c>
      <c r="C28" s="121">
        <v>17</v>
      </c>
      <c r="D28" s="122">
        <v>631</v>
      </c>
      <c r="E28" s="120">
        <v>3817</v>
      </c>
      <c r="F28" s="121">
        <v>18</v>
      </c>
      <c r="G28" s="119">
        <v>663</v>
      </c>
      <c r="H28" s="120">
        <v>3490</v>
      </c>
      <c r="I28" s="123">
        <v>20</v>
      </c>
      <c r="J28" s="119">
        <v>683</v>
      </c>
      <c r="K28" s="120">
        <v>2383</v>
      </c>
      <c r="L28" s="134">
        <v>17</v>
      </c>
      <c r="M28" s="189"/>
    </row>
    <row r="29" spans="1:19" ht="21.75" customHeight="1">
      <c r="A29" s="119" t="s">
        <v>91</v>
      </c>
      <c r="B29" s="125">
        <v>5934</v>
      </c>
      <c r="C29" s="126">
        <v>17</v>
      </c>
      <c r="D29" s="122">
        <v>632</v>
      </c>
      <c r="E29" s="125">
        <v>1624</v>
      </c>
      <c r="F29" s="126">
        <v>18</v>
      </c>
      <c r="G29" s="119">
        <v>664</v>
      </c>
      <c r="H29" s="125">
        <v>5612</v>
      </c>
      <c r="I29" s="124">
        <v>17</v>
      </c>
      <c r="J29" s="119">
        <v>684</v>
      </c>
      <c r="K29" s="125">
        <v>4895</v>
      </c>
      <c r="L29" s="134">
        <v>17</v>
      </c>
      <c r="M29" s="189"/>
    </row>
    <row r="30" spans="1:19" ht="21.75" customHeight="1">
      <c r="A30" s="119" t="s">
        <v>92</v>
      </c>
      <c r="B30" s="125">
        <v>7342</v>
      </c>
      <c r="C30" s="126">
        <v>17</v>
      </c>
      <c r="D30" s="122">
        <v>633</v>
      </c>
      <c r="E30" s="125">
        <v>2434</v>
      </c>
      <c r="F30" s="126">
        <v>7</v>
      </c>
      <c r="G30" s="119">
        <v>665</v>
      </c>
      <c r="H30" s="125">
        <v>4338</v>
      </c>
      <c r="I30" s="124">
        <v>18</v>
      </c>
      <c r="J30" s="119">
        <v>685</v>
      </c>
      <c r="K30" s="125">
        <v>5605</v>
      </c>
      <c r="L30" s="134">
        <v>18</v>
      </c>
      <c r="M30" s="189"/>
    </row>
    <row r="31" spans="1:19" ht="21.75" customHeight="1">
      <c r="A31" s="119">
        <v>611</v>
      </c>
      <c r="B31" s="120">
        <v>27.11</v>
      </c>
      <c r="C31" s="136">
        <v>25</v>
      </c>
      <c r="D31" s="122">
        <v>634</v>
      </c>
      <c r="E31" s="125">
        <v>4886</v>
      </c>
      <c r="F31" s="126">
        <v>17</v>
      </c>
      <c r="G31" s="119">
        <v>666</v>
      </c>
      <c r="H31" s="125">
        <v>1769</v>
      </c>
      <c r="I31" s="124">
        <v>15</v>
      </c>
      <c r="J31" s="119">
        <v>686</v>
      </c>
      <c r="K31" s="125">
        <v>5577</v>
      </c>
      <c r="L31" s="134">
        <v>18</v>
      </c>
      <c r="M31" s="189"/>
    </row>
    <row r="32" spans="1:19" ht="21.75" customHeight="1">
      <c r="A32" s="119">
        <v>612</v>
      </c>
      <c r="B32" s="120">
        <v>7.81</v>
      </c>
      <c r="C32" s="136">
        <v>25</v>
      </c>
      <c r="D32" s="122">
        <v>641</v>
      </c>
      <c r="E32" s="125">
        <v>628</v>
      </c>
      <c r="F32" s="126">
        <v>29</v>
      </c>
      <c r="G32" s="119">
        <v>667</v>
      </c>
      <c r="H32" s="125">
        <v>-1641</v>
      </c>
      <c r="I32" s="124">
        <v>15</v>
      </c>
      <c r="J32" s="119">
        <v>687</v>
      </c>
      <c r="K32" s="125">
        <v>5444</v>
      </c>
      <c r="L32" s="134">
        <v>19</v>
      </c>
      <c r="M32" s="189"/>
    </row>
    <row r="33" spans="1:13" ht="21.75" customHeight="1">
      <c r="A33" s="119">
        <v>613</v>
      </c>
      <c r="B33" s="120">
        <v>7.61</v>
      </c>
      <c r="C33" s="136">
        <v>25</v>
      </c>
      <c r="D33" s="122">
        <v>642</v>
      </c>
      <c r="E33" s="125">
        <v>1853</v>
      </c>
      <c r="F33" s="126">
        <v>18</v>
      </c>
      <c r="G33" s="119">
        <v>668</v>
      </c>
      <c r="H33" s="125">
        <v>-595</v>
      </c>
      <c r="I33" s="124">
        <v>15</v>
      </c>
      <c r="J33" s="119">
        <v>688</v>
      </c>
      <c r="K33" s="125">
        <v>5355</v>
      </c>
      <c r="L33" s="134">
        <v>19</v>
      </c>
      <c r="M33" s="189"/>
    </row>
    <row r="34" spans="1:13" ht="21.75" customHeight="1">
      <c r="A34" s="119">
        <v>614</v>
      </c>
      <c r="B34" s="125">
        <v>27.71</v>
      </c>
      <c r="C34" s="136">
        <v>25</v>
      </c>
      <c r="D34" s="122">
        <v>643</v>
      </c>
      <c r="E34" s="125">
        <v>0</v>
      </c>
      <c r="F34" s="126">
        <v>17</v>
      </c>
      <c r="G34" s="119">
        <v>669</v>
      </c>
      <c r="H34" s="125">
        <v>362</v>
      </c>
      <c r="I34" s="124">
        <v>35</v>
      </c>
      <c r="J34" s="119">
        <v>689</v>
      </c>
      <c r="K34" s="125">
        <v>3515</v>
      </c>
      <c r="L34" s="134">
        <v>18</v>
      </c>
      <c r="M34" s="189"/>
    </row>
    <row r="35" spans="1:13" ht="21.75" customHeight="1">
      <c r="A35" s="119">
        <v>621</v>
      </c>
      <c r="B35" s="125">
        <v>3942</v>
      </c>
      <c r="C35" s="126">
        <v>17</v>
      </c>
      <c r="D35" s="122">
        <v>645</v>
      </c>
      <c r="E35" s="125">
        <v>5455</v>
      </c>
      <c r="F35" s="126">
        <v>17</v>
      </c>
      <c r="G35" s="119">
        <v>670</v>
      </c>
      <c r="H35" s="125">
        <v>-9900</v>
      </c>
      <c r="I35" s="124">
        <v>35</v>
      </c>
      <c r="J35" s="119">
        <v>690</v>
      </c>
      <c r="K35" s="125">
        <v>427</v>
      </c>
      <c r="L35" s="124">
        <v>18</v>
      </c>
      <c r="M35" s="189"/>
    </row>
    <row r="36" spans="1:13" ht="21.75" customHeight="1">
      <c r="A36" s="119">
        <v>622</v>
      </c>
      <c r="B36" s="125">
        <v>4314</v>
      </c>
      <c r="C36" s="126">
        <v>17</v>
      </c>
      <c r="D36" s="119">
        <v>651</v>
      </c>
      <c r="E36" s="125">
        <v>709</v>
      </c>
      <c r="F36" s="126">
        <v>17</v>
      </c>
      <c r="G36" s="119">
        <v>671</v>
      </c>
      <c r="H36" s="125">
        <v>0</v>
      </c>
      <c r="I36" s="124">
        <v>21</v>
      </c>
      <c r="J36" s="119">
        <v>691</v>
      </c>
      <c r="K36" s="125">
        <v>1319</v>
      </c>
      <c r="L36" s="134">
        <v>18</v>
      </c>
      <c r="M36" s="189"/>
    </row>
    <row r="37" spans="1:13" ht="21.75" customHeight="1">
      <c r="A37" s="119">
        <v>623</v>
      </c>
      <c r="B37" s="125">
        <v>2543</v>
      </c>
      <c r="C37" s="126">
        <v>23</v>
      </c>
      <c r="D37" s="119">
        <v>652</v>
      </c>
      <c r="E37" s="125">
        <v>2583</v>
      </c>
      <c r="F37" s="126">
        <v>18</v>
      </c>
      <c r="G37" s="119">
        <v>672</v>
      </c>
      <c r="H37" s="125">
        <v>2500</v>
      </c>
      <c r="I37" s="124">
        <v>15</v>
      </c>
      <c r="J37" s="119">
        <v>692</v>
      </c>
      <c r="K37" s="125">
        <v>6735</v>
      </c>
      <c r="L37" s="134">
        <v>18</v>
      </c>
      <c r="M37" s="189"/>
    </row>
    <row r="38" spans="1:13" ht="21.75" customHeight="1">
      <c r="A38" s="122">
        <v>624</v>
      </c>
      <c r="B38" s="125">
        <v>4303</v>
      </c>
      <c r="C38" s="126">
        <v>20</v>
      </c>
      <c r="D38" s="133">
        <v>653</v>
      </c>
      <c r="E38" s="125">
        <v>108</v>
      </c>
      <c r="F38" s="126">
        <v>15</v>
      </c>
      <c r="G38" s="119">
        <v>673</v>
      </c>
      <c r="H38" s="125">
        <v>6852</v>
      </c>
      <c r="I38" s="124">
        <v>17</v>
      </c>
      <c r="J38" s="119">
        <v>693</v>
      </c>
      <c r="K38" s="125">
        <v>2211</v>
      </c>
      <c r="L38" s="134">
        <v>18</v>
      </c>
      <c r="M38" s="189"/>
    </row>
    <row r="39" spans="1:13" ht="21.75" customHeight="1">
      <c r="A39" s="122" t="s">
        <v>93</v>
      </c>
      <c r="B39" s="125">
        <v>1615</v>
      </c>
      <c r="C39" s="126">
        <v>17</v>
      </c>
      <c r="D39" s="119">
        <v>654</v>
      </c>
      <c r="E39" s="125">
        <v>3006</v>
      </c>
      <c r="F39" s="126">
        <v>18</v>
      </c>
      <c r="G39" s="119">
        <v>674</v>
      </c>
      <c r="H39" s="125">
        <v>6499</v>
      </c>
      <c r="I39" s="124">
        <v>16</v>
      </c>
      <c r="J39" s="119">
        <v>694</v>
      </c>
      <c r="K39" s="125">
        <v>902</v>
      </c>
      <c r="L39" s="134">
        <v>19</v>
      </c>
      <c r="M39" s="189"/>
    </row>
    <row r="40" spans="1:13" ht="21.75" customHeight="1">
      <c r="A40" s="122" t="s">
        <v>26</v>
      </c>
      <c r="B40" s="125">
        <v>4605</v>
      </c>
      <c r="C40" s="126">
        <v>24</v>
      </c>
      <c r="D40" s="133">
        <v>655</v>
      </c>
      <c r="E40" s="125">
        <v>4118</v>
      </c>
      <c r="F40" s="126">
        <v>18</v>
      </c>
      <c r="G40" s="119">
        <v>675</v>
      </c>
      <c r="H40" s="120">
        <v>5.41</v>
      </c>
      <c r="I40" s="134">
        <v>25</v>
      </c>
      <c r="J40" s="119">
        <v>695</v>
      </c>
      <c r="K40" s="125">
        <v>5756</v>
      </c>
      <c r="L40" s="134">
        <v>19</v>
      </c>
      <c r="M40" s="189"/>
    </row>
    <row r="41" spans="1:13" ht="21.75" customHeight="1">
      <c r="A41" s="122" t="s">
        <v>27</v>
      </c>
      <c r="B41" s="125">
        <v>2996</v>
      </c>
      <c r="C41" s="126">
        <v>11</v>
      </c>
      <c r="D41" s="119">
        <v>656</v>
      </c>
      <c r="E41" s="125">
        <v>741</v>
      </c>
      <c r="F41" s="126">
        <v>19</v>
      </c>
      <c r="G41" s="119">
        <v>676</v>
      </c>
      <c r="H41" s="120">
        <v>75.91</v>
      </c>
      <c r="I41" s="134">
        <v>25</v>
      </c>
      <c r="J41" s="119">
        <v>696</v>
      </c>
      <c r="K41" s="125">
        <v>10170</v>
      </c>
      <c r="L41" s="134">
        <v>18</v>
      </c>
      <c r="M41" s="189"/>
    </row>
    <row r="42" spans="1:13" ht="21.75" customHeight="1">
      <c r="A42" s="122" t="s">
        <v>28</v>
      </c>
      <c r="B42" s="125">
        <v>0</v>
      </c>
      <c r="C42" s="126">
        <v>19</v>
      </c>
      <c r="D42" s="119">
        <v>657</v>
      </c>
      <c r="E42" s="125">
        <v>5622</v>
      </c>
      <c r="F42" s="126">
        <v>18</v>
      </c>
      <c r="G42" s="119">
        <v>677</v>
      </c>
      <c r="H42" s="120">
        <v>98.21</v>
      </c>
      <c r="I42" s="134">
        <v>25</v>
      </c>
      <c r="J42" s="119">
        <v>697</v>
      </c>
      <c r="K42" s="125">
        <v>1654</v>
      </c>
      <c r="L42" s="134">
        <v>18</v>
      </c>
      <c r="M42" s="189"/>
    </row>
    <row r="43" spans="1:13" ht="21.75" customHeight="1">
      <c r="A43" s="122" t="s">
        <v>29</v>
      </c>
      <c r="B43" s="125">
        <v>0</v>
      </c>
      <c r="C43" s="126">
        <v>19</v>
      </c>
      <c r="D43" s="133">
        <v>658</v>
      </c>
      <c r="E43" s="125">
        <v>113</v>
      </c>
      <c r="F43" s="126">
        <v>22</v>
      </c>
      <c r="G43" s="119">
        <v>678</v>
      </c>
      <c r="H43" s="120">
        <v>95.21</v>
      </c>
      <c r="I43" s="134">
        <v>25</v>
      </c>
      <c r="J43" s="119">
        <v>698</v>
      </c>
      <c r="K43" s="125">
        <v>8188</v>
      </c>
      <c r="L43" s="134">
        <v>55</v>
      </c>
      <c r="M43" s="189"/>
    </row>
    <row r="44" spans="1:13" ht="21.75" customHeight="1">
      <c r="A44" s="122" t="s">
        <v>30</v>
      </c>
      <c r="B44" s="125">
        <v>0</v>
      </c>
      <c r="C44" s="126">
        <v>25</v>
      </c>
      <c r="D44" s="119">
        <v>659</v>
      </c>
      <c r="E44" s="125">
        <v>3332</v>
      </c>
      <c r="F44" s="126">
        <v>18</v>
      </c>
      <c r="G44" s="119">
        <v>680</v>
      </c>
      <c r="H44" s="125">
        <v>4011</v>
      </c>
      <c r="I44" s="137">
        <v>18</v>
      </c>
      <c r="J44" s="119">
        <v>699</v>
      </c>
      <c r="K44" s="125">
        <v>1602</v>
      </c>
      <c r="L44" s="134">
        <v>19</v>
      </c>
      <c r="M44" s="189"/>
    </row>
    <row r="45" spans="1:13" ht="21.75" customHeight="1" thickBot="1">
      <c r="A45" s="129" t="s">
        <v>94</v>
      </c>
      <c r="B45" s="130">
        <v>0</v>
      </c>
      <c r="C45" s="130">
        <v>23</v>
      </c>
      <c r="D45" s="131">
        <v>660</v>
      </c>
      <c r="E45" s="130">
        <v>5598</v>
      </c>
      <c r="F45" s="132">
        <v>17</v>
      </c>
      <c r="G45" s="119"/>
      <c r="H45" s="120"/>
      <c r="I45" s="123"/>
      <c r="J45" s="119"/>
      <c r="K45" s="120"/>
      <c r="L45" s="123"/>
      <c r="M45" s="190"/>
    </row>
    <row r="46" spans="1:13" ht="16.5" thickTop="1"/>
  </sheetData>
  <sheetProtection selectLockedCells="1"/>
  <mergeCells count="9">
    <mergeCell ref="S13:S15"/>
    <mergeCell ref="A24:B24"/>
    <mergeCell ref="M26:M45"/>
    <mergeCell ref="A1:B1"/>
    <mergeCell ref="M3:M22"/>
    <mergeCell ref="N13:N15"/>
    <mergeCell ref="O13:O15"/>
    <mergeCell ref="P13:P15"/>
    <mergeCell ref="Q13:Q15"/>
  </mergeCells>
  <phoneticPr fontId="2" type="noConversion"/>
  <dataValidations count="8">
    <dataValidation type="custom" errorStyle="warning" allowBlank="1" showInputMessage="1" showErrorMessage="1" error="***你在睡喔,醒醒好嗎" sqref="B38 B27 B15 E31 B29:B30 B6:B7 B4 E8">
      <formula1>B4&lt;=9100</formula1>
    </dataValidation>
    <dataValidation type="custom" errorStyle="warning" allowBlank="1" showInputMessage="1" showErrorMessage="1" error="***你在睡喔,醒醒好嗎" sqref="B8:B11 B31:B34 H17:H20 H40:H43">
      <formula1>B8&lt;=100</formula1>
    </dataValidation>
    <dataValidation type="custom" errorStyle="warning" allowBlank="1" showInputMessage="1" showErrorMessage="1" error="***你在睡喔,醒醒好嗎" sqref="B16:B22 H3:H16 B39:B45 E26:E27 E42:E45 E20:E22 E3:E4 H26:H39">
      <formula1>B3&lt;=7400</formula1>
    </dataValidation>
    <dataValidation type="custom" errorStyle="warning" allowBlank="1" showInputMessage="1" showErrorMessage="1" error="***你在睡喔,醒醒好嗎" sqref="E36:E41 E14:E19">
      <formula1>E14&lt;=5500</formula1>
    </dataValidation>
    <dataValidation type="custom" errorStyle="warning" allowBlank="1" showInputMessage="1" showErrorMessage="1" error="***你在睡喔,醒醒好嗎" sqref="H21 K35 H44 K12">
      <formula1>H12&lt;=4100</formula1>
    </dataValidation>
    <dataValidation type="custom" errorStyle="warning" allowBlank="1" showInputMessage="1" showErrorMessage="1" error="***你在睡喔,醒醒好嗎" sqref="E5:E6 K37:K40 B12:B13 B3 B26 B35:B36 E28:E29 B28 B5 K14:K17">
      <formula1>B3&lt;=7000</formula1>
    </dataValidation>
    <dataValidation type="custom" errorStyle="warning" allowBlank="1" showInputMessage="1" showErrorMessage="1" error="***你在睡喔,醒醒好嗎" sqref="K41:K44 K18:K21">
      <formula1>K18&lt;=12000</formula1>
    </dataValidation>
    <dataValidation type="custom" errorStyle="warning" allowBlank="1" showInputMessage="1" showErrorMessage="1" error="***你在睡喔,醒醒好嗎" sqref="K26:K34 E32:E35 K3:K11 B37 E30 K36 B14 E7 K13 E9:E13">
      <formula1>B3&lt;=5600</formula1>
    </dataValidation>
  </dataValidations>
  <printOptions horizontalCentered="1"/>
  <pageMargins left="0.39370078740157483" right="0.19685039370078741" top="0.19685039370078741" bottom="0" header="0" footer="0"/>
  <pageSetup paperSize="9" scale="73" pageOrder="overThenDown" orientation="landscape" horizontalDpi="180" verticalDpi="18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47682" r:id="rId4" name="CommandButton2">
          <controlPr autoLine="0" r:id="rId5">
            <anchor moveWithCells="1">
              <from>
                <xdr:col>13</xdr:col>
                <xdr:colOff>19050</xdr:colOff>
                <xdr:row>25</xdr:row>
                <xdr:rowOff>76200</xdr:rowOff>
              </from>
              <to>
                <xdr:col>14</xdr:col>
                <xdr:colOff>419100</xdr:colOff>
                <xdr:row>29</xdr:row>
                <xdr:rowOff>247650</xdr:rowOff>
              </to>
            </anchor>
          </controlPr>
        </control>
      </mc:Choice>
      <mc:Fallback>
        <control shapeId="2247682" r:id="rId4" name="CommandButton2"/>
      </mc:Fallback>
    </mc:AlternateContent>
    <mc:AlternateContent xmlns:mc="http://schemas.openxmlformats.org/markup-compatibility/2006">
      <mc:Choice Requires="x14">
        <control shapeId="2247681" r:id="rId6" name="CommandButton1">
          <controlPr autoLine="0" r:id="rId7">
            <anchor moveWithCells="1">
              <from>
                <xdr:col>13</xdr:col>
                <xdr:colOff>66675</xdr:colOff>
                <xdr:row>15</xdr:row>
                <xdr:rowOff>247650</xdr:rowOff>
              </from>
              <to>
                <xdr:col>14</xdr:col>
                <xdr:colOff>438150</xdr:colOff>
                <xdr:row>21</xdr:row>
                <xdr:rowOff>85725</xdr:rowOff>
              </to>
            </anchor>
          </controlPr>
        </control>
      </mc:Choice>
      <mc:Fallback>
        <control shapeId="2247681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pageSetUpPr fitToPage="1"/>
  </sheetPr>
  <dimension ref="A1:X94"/>
  <sheetViews>
    <sheetView showRuler="0" view="pageBreakPreview" zoomScale="60" zoomScaleNormal="60" workbookViewId="0">
      <pane ySplit="1" topLeftCell="A2" activePane="bottomLeft" state="frozen"/>
      <selection activeCell="K12" sqref="K12"/>
      <selection pane="bottomLeft" activeCell="N9" sqref="N9"/>
    </sheetView>
  </sheetViews>
  <sheetFormatPr defaultColWidth="9" defaultRowHeight="17.25"/>
  <cols>
    <col min="1" max="1" width="9.5" style="47" customWidth="1"/>
    <col min="2" max="10" width="10.625" style="47" customWidth="1"/>
    <col min="11" max="12" width="10.625" style="6" customWidth="1"/>
    <col min="13" max="13" width="10.625" style="50" customWidth="1"/>
    <col min="14" max="16" width="10.625" style="6" customWidth="1"/>
    <col min="17" max="17" width="12.875" style="47" customWidth="1"/>
    <col min="18" max="18" width="10.625" style="6" customWidth="1"/>
    <col min="19" max="19" width="10.625" style="47" customWidth="1"/>
    <col min="20" max="20" width="10.625" style="6" customWidth="1"/>
    <col min="21" max="21" width="10.625" style="51" customWidth="1"/>
    <col min="22" max="23" width="9.875" style="6" bestFit="1" customWidth="1"/>
    <col min="24" max="24" width="15.5" style="6" bestFit="1" customWidth="1"/>
    <col min="25" max="16384" width="9" style="6"/>
  </cols>
  <sheetData>
    <row r="1" spans="1:24" ht="49.15" customHeight="1">
      <c r="A1" s="1" t="s">
        <v>6</v>
      </c>
      <c r="B1" s="2" t="s">
        <v>7</v>
      </c>
      <c r="C1" s="2" t="s">
        <v>8</v>
      </c>
      <c r="D1" s="2" t="s">
        <v>9</v>
      </c>
      <c r="E1" s="2" t="s">
        <v>10</v>
      </c>
      <c r="F1" s="3" t="s">
        <v>11</v>
      </c>
      <c r="G1" s="2" t="s">
        <v>12</v>
      </c>
      <c r="H1" s="2" t="s">
        <v>13</v>
      </c>
      <c r="I1" s="2" t="s">
        <v>14</v>
      </c>
      <c r="J1" s="4" t="s">
        <v>15</v>
      </c>
      <c r="K1" s="2" t="s">
        <v>16</v>
      </c>
      <c r="L1" s="2" t="s">
        <v>17</v>
      </c>
      <c r="M1" s="2" t="s">
        <v>18</v>
      </c>
      <c r="N1" s="2" t="s">
        <v>19</v>
      </c>
      <c r="O1" s="4" t="s">
        <v>20</v>
      </c>
      <c r="P1" s="3" t="s">
        <v>21</v>
      </c>
      <c r="Q1" s="2" t="s">
        <v>80</v>
      </c>
      <c r="R1" s="2" t="s">
        <v>22</v>
      </c>
      <c r="S1" s="2" t="s">
        <v>23</v>
      </c>
      <c r="T1" s="2" t="s">
        <v>24</v>
      </c>
      <c r="U1" s="5" t="s">
        <v>25</v>
      </c>
      <c r="V1" s="5" t="s">
        <v>34</v>
      </c>
      <c r="W1" s="5" t="s">
        <v>38</v>
      </c>
      <c r="X1" s="5" t="s">
        <v>87</v>
      </c>
    </row>
    <row r="2" spans="1:24" s="13" customFormat="1" ht="26.45" customHeight="1" thickBot="1">
      <c r="A2" s="7">
        <v>1</v>
      </c>
      <c r="B2" s="8">
        <v>0.80020000000000002</v>
      </c>
      <c r="C2" s="8">
        <v>1.1264000000000001</v>
      </c>
      <c r="D2" s="8">
        <v>1.0450999999999999</v>
      </c>
      <c r="E2" s="8">
        <v>0.81089999999999995</v>
      </c>
      <c r="F2" s="9"/>
      <c r="G2" s="8">
        <v>0.80520000000000003</v>
      </c>
      <c r="H2" s="8">
        <v>0.93820000000000003</v>
      </c>
      <c r="I2" s="8">
        <v>1.0691999999999999</v>
      </c>
      <c r="J2" s="10">
        <v>0.98939999999999995</v>
      </c>
      <c r="K2" s="8">
        <v>0.96160000000000001</v>
      </c>
      <c r="L2" s="11">
        <v>0.95099999999999996</v>
      </c>
      <c r="M2" s="8"/>
      <c r="N2" s="11">
        <v>0.94899999999999995</v>
      </c>
      <c r="O2" s="11">
        <v>0.93500000000000005</v>
      </c>
      <c r="P2" s="9"/>
      <c r="Q2" s="27">
        <v>0.95454000000000006</v>
      </c>
      <c r="R2" s="8">
        <v>0.82220000000000004</v>
      </c>
      <c r="S2" s="12">
        <v>1.0519000000000001</v>
      </c>
      <c r="T2" s="8">
        <v>0.96960000000000002</v>
      </c>
      <c r="U2" s="8">
        <v>1.028</v>
      </c>
      <c r="V2" s="16">
        <v>0.96399999999999997</v>
      </c>
      <c r="W2" s="16">
        <v>0.97658999999999996</v>
      </c>
      <c r="X2" s="16">
        <v>0.81481000000000003</v>
      </c>
    </row>
    <row r="3" spans="1:24" s="13" customFormat="1" ht="26.45" customHeight="1" thickTop="1" thickBot="1">
      <c r="A3" s="7">
        <v>2</v>
      </c>
      <c r="B3" s="8">
        <v>0.79930000000000001</v>
      </c>
      <c r="C3" s="8">
        <v>1.1257999999999999</v>
      </c>
      <c r="D3" s="8">
        <v>1.0471999999999999</v>
      </c>
      <c r="E3" s="14">
        <v>0.81</v>
      </c>
      <c r="F3" s="9"/>
      <c r="G3" s="8">
        <v>0.80420000000000003</v>
      </c>
      <c r="H3" s="8">
        <v>0.93730000000000002</v>
      </c>
      <c r="I3" s="8">
        <v>1.0681</v>
      </c>
      <c r="J3" s="10">
        <v>0.98939999999999995</v>
      </c>
      <c r="K3" s="8">
        <v>0.9607</v>
      </c>
      <c r="L3" s="11">
        <v>0.96</v>
      </c>
      <c r="M3" s="8"/>
      <c r="N3" s="11">
        <v>0.94899999999999995</v>
      </c>
      <c r="O3" s="11">
        <v>0.93500000000000005</v>
      </c>
      <c r="P3" s="9"/>
      <c r="Q3" s="27">
        <v>0.95454000000000006</v>
      </c>
      <c r="R3" s="8">
        <v>0.82120000000000004</v>
      </c>
      <c r="S3" s="12">
        <v>1.0511999999999999</v>
      </c>
      <c r="T3" s="8">
        <v>0.96870000000000001</v>
      </c>
      <c r="U3" s="8">
        <v>1.028</v>
      </c>
      <c r="V3" s="16">
        <v>0.96399999999999997</v>
      </c>
      <c r="W3" s="16">
        <v>0.97658999999999996</v>
      </c>
      <c r="X3" s="16">
        <v>0.81481000000000003</v>
      </c>
    </row>
    <row r="4" spans="1:24" s="13" customFormat="1" ht="26.45" customHeight="1" thickTop="1" thickBot="1">
      <c r="A4" s="7">
        <v>3</v>
      </c>
      <c r="B4" s="8">
        <v>0.7984</v>
      </c>
      <c r="C4" s="8">
        <v>1.1251</v>
      </c>
      <c r="D4" s="8">
        <v>1.0463</v>
      </c>
      <c r="E4" s="8">
        <v>0.80910000000000004</v>
      </c>
      <c r="F4" s="9"/>
      <c r="G4" s="8">
        <v>0.80320000000000003</v>
      </c>
      <c r="H4" s="8">
        <v>0.93630000000000002</v>
      </c>
      <c r="I4" s="14">
        <v>1.0669999999999999</v>
      </c>
      <c r="J4" s="10">
        <v>0.98939999999999995</v>
      </c>
      <c r="K4" s="8">
        <v>0.95989999999999998</v>
      </c>
      <c r="L4" s="11">
        <v>0.95899999999999996</v>
      </c>
      <c r="M4" s="8"/>
      <c r="N4" s="11">
        <v>0.94899999999999995</v>
      </c>
      <c r="O4" s="11">
        <v>0.93500000000000005</v>
      </c>
      <c r="P4" s="9"/>
      <c r="Q4" s="27">
        <v>0.95454000000000006</v>
      </c>
      <c r="R4" s="8">
        <v>0.82020000000000004</v>
      </c>
      <c r="S4" s="12">
        <v>1.0504</v>
      </c>
      <c r="T4" s="8">
        <v>0.96789999999999998</v>
      </c>
      <c r="U4" s="8">
        <v>1.028</v>
      </c>
      <c r="V4" s="16">
        <v>0.96399999999999997</v>
      </c>
      <c r="W4" s="16">
        <v>0.97658999999999996</v>
      </c>
      <c r="X4" s="16">
        <v>0.81481000000000003</v>
      </c>
    </row>
    <row r="5" spans="1:24" s="13" customFormat="1" ht="24" customHeight="1" thickTop="1" thickBot="1">
      <c r="A5" s="7">
        <v>4</v>
      </c>
      <c r="B5" s="8">
        <v>0.79749999999999999</v>
      </c>
      <c r="C5" s="8">
        <v>1.1245000000000001</v>
      </c>
      <c r="D5" s="8">
        <v>1.0454000000000001</v>
      </c>
      <c r="E5" s="8">
        <v>0.80820000000000003</v>
      </c>
      <c r="F5" s="9"/>
      <c r="G5" s="8">
        <v>0.80220000000000002</v>
      </c>
      <c r="H5" s="8">
        <v>0.93530000000000002</v>
      </c>
      <c r="I5" s="8">
        <v>1.0659000000000001</v>
      </c>
      <c r="J5" s="10">
        <v>0.98939999999999995</v>
      </c>
      <c r="K5" s="8">
        <v>0.95899999999999996</v>
      </c>
      <c r="L5" s="11">
        <v>0.95799999999999996</v>
      </c>
      <c r="M5" s="8"/>
      <c r="N5" s="11">
        <v>0.94899999999999995</v>
      </c>
      <c r="O5" s="11">
        <v>0.93500000000000005</v>
      </c>
      <c r="P5" s="9"/>
      <c r="Q5" s="27">
        <v>0.95454000000000006</v>
      </c>
      <c r="R5" s="8">
        <v>0.81920000000000004</v>
      </c>
      <c r="S5" s="12">
        <v>1.0497000000000001</v>
      </c>
      <c r="T5" s="8">
        <v>0.96699999999999997</v>
      </c>
      <c r="U5" s="8">
        <v>1.028</v>
      </c>
      <c r="V5" s="16">
        <v>0.96399999999999997</v>
      </c>
      <c r="W5" s="16">
        <v>0.97658999999999996</v>
      </c>
      <c r="X5" s="16">
        <v>0.81481000000000003</v>
      </c>
    </row>
    <row r="6" spans="1:24" ht="22.5" customHeight="1" thickTop="1" thickBot="1">
      <c r="A6" s="15">
        <v>5</v>
      </c>
      <c r="B6" s="16">
        <v>0.79659999999999997</v>
      </c>
      <c r="C6" s="16">
        <v>1.1237999999999999</v>
      </c>
      <c r="D6" s="16">
        <v>1.0445</v>
      </c>
      <c r="E6" s="16">
        <v>0.80730000000000002</v>
      </c>
      <c r="F6" s="17"/>
      <c r="G6" s="16">
        <v>0.80120000000000002</v>
      </c>
      <c r="H6" s="16">
        <v>0.93440000000000001</v>
      </c>
      <c r="I6" s="16">
        <v>1.0648</v>
      </c>
      <c r="J6" s="16">
        <v>0.98939999999999995</v>
      </c>
      <c r="K6" s="16">
        <v>0.95820000000000005</v>
      </c>
      <c r="L6" s="16">
        <v>0.95699999999999996</v>
      </c>
      <c r="M6" s="18"/>
      <c r="N6" s="18">
        <v>0.94899999999999995</v>
      </c>
      <c r="O6" s="18">
        <v>0.93500000000000005</v>
      </c>
      <c r="P6" s="19"/>
      <c r="Q6" s="27">
        <v>0.95454000000000006</v>
      </c>
      <c r="R6" s="18">
        <v>0.81820000000000004</v>
      </c>
      <c r="S6" s="20">
        <v>1.0488</v>
      </c>
      <c r="T6" s="16">
        <v>0.96609999999999996</v>
      </c>
      <c r="U6" s="16">
        <v>1.028</v>
      </c>
      <c r="V6" s="16">
        <v>0.96399999999999997</v>
      </c>
      <c r="W6" s="16">
        <v>0.97658999999999996</v>
      </c>
      <c r="X6" s="16">
        <v>0.81481000000000003</v>
      </c>
    </row>
    <row r="7" spans="1:24" ht="22.5" customHeight="1" thickTop="1" thickBot="1">
      <c r="A7" s="21">
        <v>6</v>
      </c>
      <c r="B7" s="22">
        <v>0.79569999999999996</v>
      </c>
      <c r="C7" s="22">
        <v>1.123</v>
      </c>
      <c r="D7" s="22">
        <v>1.0436000000000001</v>
      </c>
      <c r="E7" s="22">
        <v>0.80620000000000003</v>
      </c>
      <c r="F7" s="22"/>
      <c r="G7" s="22">
        <v>0.80020000000000002</v>
      </c>
      <c r="H7" s="22">
        <v>0.93340000000000001</v>
      </c>
      <c r="I7" s="22">
        <v>1.0637000000000001</v>
      </c>
      <c r="J7" s="22">
        <v>0.98939999999999995</v>
      </c>
      <c r="K7" s="22">
        <v>0.95730000000000004</v>
      </c>
      <c r="L7" s="22">
        <v>0.95599999999999996</v>
      </c>
      <c r="M7" s="16">
        <v>0.88029999999999997</v>
      </c>
      <c r="N7" s="23">
        <v>0.94799999999999995</v>
      </c>
      <c r="O7" s="23">
        <v>0.93500000000000005</v>
      </c>
      <c r="P7" s="24"/>
      <c r="Q7" s="27">
        <v>0.95454000000000006</v>
      </c>
      <c r="R7" s="23">
        <v>0.81720000000000004</v>
      </c>
      <c r="S7" s="25">
        <v>1.0481</v>
      </c>
      <c r="T7" s="22">
        <v>0.96509999999999996</v>
      </c>
      <c r="U7" s="8">
        <v>1.028</v>
      </c>
      <c r="V7" s="16">
        <v>0.96399999999999997</v>
      </c>
      <c r="W7" s="16">
        <v>0.9758</v>
      </c>
      <c r="X7" s="16">
        <v>0.81481000000000003</v>
      </c>
    </row>
    <row r="8" spans="1:24" ht="22.5" customHeight="1" thickTop="1" thickBot="1">
      <c r="A8" s="26">
        <v>7</v>
      </c>
      <c r="B8" s="27">
        <v>0.79479999999999995</v>
      </c>
      <c r="C8" s="27">
        <v>1.1222000000000001</v>
      </c>
      <c r="D8" s="27">
        <v>1.0427</v>
      </c>
      <c r="E8" s="27">
        <v>0.80510000000000004</v>
      </c>
      <c r="F8" s="27"/>
      <c r="G8" s="28">
        <v>0.79920000000000002</v>
      </c>
      <c r="H8" s="28">
        <v>0.9325</v>
      </c>
      <c r="I8" s="28">
        <v>1.0625</v>
      </c>
      <c r="J8" s="28">
        <v>0.98939999999999995</v>
      </c>
      <c r="K8" s="28">
        <v>0.95640000000000003</v>
      </c>
      <c r="L8" s="28">
        <v>0.95499999999999996</v>
      </c>
      <c r="M8" s="22">
        <v>0.88029999999999997</v>
      </c>
      <c r="N8" s="28">
        <v>0.94799999999999995</v>
      </c>
      <c r="O8" s="28">
        <v>0.93500000000000005</v>
      </c>
      <c r="P8" s="29"/>
      <c r="Q8" s="27">
        <v>0.95454000000000006</v>
      </c>
      <c r="R8" s="28">
        <v>0.81620000000000004</v>
      </c>
      <c r="S8" s="25">
        <v>1.0472999999999999</v>
      </c>
      <c r="T8" s="22">
        <v>0.96430000000000005</v>
      </c>
      <c r="U8" s="8">
        <v>1.028</v>
      </c>
      <c r="V8" s="16">
        <v>0.96399999999999997</v>
      </c>
      <c r="W8" s="16">
        <v>0.97501000000000004</v>
      </c>
      <c r="X8" s="16">
        <v>0.81481000000000003</v>
      </c>
    </row>
    <row r="9" spans="1:24" ht="22.5" customHeight="1" thickTop="1" thickBot="1">
      <c r="A9" s="26">
        <v>8</v>
      </c>
      <c r="B9" s="27">
        <v>0.79400000000000004</v>
      </c>
      <c r="C9" s="27">
        <v>1.1214</v>
      </c>
      <c r="D9" s="27">
        <v>1.0418000000000001</v>
      </c>
      <c r="E9" s="27">
        <v>0.80389999999999995</v>
      </c>
      <c r="F9" s="27"/>
      <c r="G9" s="27">
        <v>0.79820000000000002</v>
      </c>
      <c r="H9" s="27">
        <v>0.93149999999999999</v>
      </c>
      <c r="I9" s="27">
        <v>1.0613999999999999</v>
      </c>
      <c r="J9" s="27">
        <v>0.98939999999999995</v>
      </c>
      <c r="K9" s="27">
        <v>0.9556</v>
      </c>
      <c r="L9" s="27">
        <v>0.95399999999999996</v>
      </c>
      <c r="M9" s="27">
        <v>0.88029999999999997</v>
      </c>
      <c r="N9" s="28">
        <v>0.94799999999999995</v>
      </c>
      <c r="O9" s="28">
        <v>0.93500000000000005</v>
      </c>
      <c r="P9" s="29"/>
      <c r="Q9" s="27">
        <v>0.95454000000000006</v>
      </c>
      <c r="R9" s="28">
        <v>0.81520000000000004</v>
      </c>
      <c r="S9" s="27">
        <v>1.0465</v>
      </c>
      <c r="T9" s="22">
        <v>0.96330000000000005</v>
      </c>
      <c r="U9" s="8">
        <v>1.028</v>
      </c>
      <c r="V9" s="16">
        <v>0.96399999999999997</v>
      </c>
      <c r="W9" s="16">
        <v>0.97422000000000009</v>
      </c>
      <c r="X9" s="16">
        <v>0.81481000000000003</v>
      </c>
    </row>
    <row r="10" spans="1:24" ht="22.5" customHeight="1" thickTop="1" thickBot="1">
      <c r="A10" s="26">
        <v>9</v>
      </c>
      <c r="B10" s="27">
        <v>0.79310000000000003</v>
      </c>
      <c r="C10" s="27">
        <v>1.1206</v>
      </c>
      <c r="D10" s="27">
        <v>1.0408999999999999</v>
      </c>
      <c r="E10" s="27">
        <v>0.80269999999999997</v>
      </c>
      <c r="F10" s="27"/>
      <c r="G10" s="27">
        <v>0.79720000000000002</v>
      </c>
      <c r="H10" s="27">
        <v>0.93059999999999998</v>
      </c>
      <c r="I10" s="27">
        <v>1.0603</v>
      </c>
      <c r="J10" s="27">
        <v>0.98939999999999995</v>
      </c>
      <c r="K10" s="27">
        <v>0.95469999999999999</v>
      </c>
      <c r="L10" s="27">
        <v>0.95299999999999996</v>
      </c>
      <c r="M10" s="27">
        <v>0.88029999999999997</v>
      </c>
      <c r="N10" s="27">
        <v>0.94799999999999995</v>
      </c>
      <c r="O10" s="27">
        <v>0.93400000000000005</v>
      </c>
      <c r="P10" s="30"/>
      <c r="Q10" s="27">
        <v>0.95454000000000006</v>
      </c>
      <c r="R10" s="27">
        <v>0.81420000000000003</v>
      </c>
      <c r="S10" s="27">
        <v>1.0458000000000001</v>
      </c>
      <c r="T10" s="27">
        <v>0.96230000000000004</v>
      </c>
      <c r="U10" s="8">
        <v>1.028</v>
      </c>
      <c r="V10" s="16">
        <v>0.96399999999999997</v>
      </c>
      <c r="W10" s="16">
        <v>0.97343000000000013</v>
      </c>
      <c r="X10" s="16">
        <v>0.81481000000000003</v>
      </c>
    </row>
    <row r="11" spans="1:24" ht="22.5" customHeight="1" thickTop="1" thickBot="1">
      <c r="A11" s="15">
        <v>10</v>
      </c>
      <c r="B11" s="16">
        <v>0.7923</v>
      </c>
      <c r="C11" s="16">
        <v>1.1197999999999999</v>
      </c>
      <c r="D11" s="16">
        <v>1.04</v>
      </c>
      <c r="E11" s="16">
        <v>0.80159999999999998</v>
      </c>
      <c r="F11" s="16">
        <v>0.94240000000000002</v>
      </c>
      <c r="G11" s="16">
        <v>0.97619999999999996</v>
      </c>
      <c r="H11" s="16">
        <v>0.92969999999999997</v>
      </c>
      <c r="I11" s="16">
        <v>1.0528999999999999</v>
      </c>
      <c r="J11" s="16">
        <v>0.98850000000000005</v>
      </c>
      <c r="K11" s="16">
        <v>0.95379999999999998</v>
      </c>
      <c r="L11" s="16">
        <v>0.95199999999999996</v>
      </c>
      <c r="M11" s="16">
        <v>0.88029999999999997</v>
      </c>
      <c r="N11" s="16">
        <v>0.94799999999999995</v>
      </c>
      <c r="O11" s="16">
        <v>0.93400000000000005</v>
      </c>
      <c r="P11" s="16">
        <v>0.94511999999999996</v>
      </c>
      <c r="Q11" s="27">
        <v>0.95454000000000006</v>
      </c>
      <c r="R11" s="16">
        <v>0.81320000000000003</v>
      </c>
      <c r="S11" s="16">
        <v>1.0449999999999999</v>
      </c>
      <c r="T11" s="16">
        <v>0.96140000000000003</v>
      </c>
      <c r="U11" s="16">
        <v>1.028</v>
      </c>
      <c r="V11" s="16">
        <v>0.96399999999999997</v>
      </c>
      <c r="W11" s="16">
        <v>0.97264000000000017</v>
      </c>
      <c r="X11" s="16">
        <v>0.81481000000000003</v>
      </c>
    </row>
    <row r="12" spans="1:24" ht="22.5" customHeight="1" thickTop="1" thickBot="1">
      <c r="A12" s="21">
        <v>11</v>
      </c>
      <c r="B12" s="22">
        <v>0.79139999999999999</v>
      </c>
      <c r="C12" s="22">
        <v>1.119</v>
      </c>
      <c r="D12" s="22">
        <v>1.0390999999999999</v>
      </c>
      <c r="E12" s="22">
        <v>0.8004</v>
      </c>
      <c r="F12" s="22">
        <v>0.94155</v>
      </c>
      <c r="G12" s="22">
        <v>0.97519999999999996</v>
      </c>
      <c r="H12" s="22">
        <v>0.92869999999999997</v>
      </c>
      <c r="I12" s="22">
        <v>1.0580000000000001</v>
      </c>
      <c r="J12" s="22">
        <v>0.98770000000000002</v>
      </c>
      <c r="K12" s="22">
        <v>0.95299999999999996</v>
      </c>
      <c r="L12" s="22">
        <v>0.95099999999999996</v>
      </c>
      <c r="M12" s="22">
        <v>0.88029999999999997</v>
      </c>
      <c r="N12" s="22">
        <v>0.94</v>
      </c>
      <c r="O12" s="22">
        <v>0.93400000000000005</v>
      </c>
      <c r="P12" s="22">
        <v>0.94420000000000004</v>
      </c>
      <c r="Q12" s="27">
        <v>0.95454000000000006</v>
      </c>
      <c r="R12" s="31">
        <v>0.81220000000000003</v>
      </c>
      <c r="S12" s="22">
        <v>1.0442</v>
      </c>
      <c r="T12" s="22">
        <v>0.96040000000000003</v>
      </c>
      <c r="U12" s="8">
        <v>1.028</v>
      </c>
      <c r="V12" s="16">
        <v>0.96399999999999997</v>
      </c>
      <c r="W12" s="16">
        <v>0.97192000000000012</v>
      </c>
      <c r="X12" s="16">
        <v>0.8145</v>
      </c>
    </row>
    <row r="13" spans="1:24" ht="22.5" customHeight="1" thickTop="1" thickBot="1">
      <c r="A13" s="26">
        <v>12</v>
      </c>
      <c r="B13" s="27">
        <v>0.79059999999999997</v>
      </c>
      <c r="C13" s="27">
        <v>1.1182000000000001</v>
      </c>
      <c r="D13" s="27">
        <v>1.0383</v>
      </c>
      <c r="E13" s="27">
        <v>0.79930000000000001</v>
      </c>
      <c r="F13" s="27">
        <v>0.94059999999999999</v>
      </c>
      <c r="G13" s="27">
        <v>0.97419999999999995</v>
      </c>
      <c r="H13" s="27">
        <v>0.92769999999999997</v>
      </c>
      <c r="I13" s="27">
        <v>1.0569</v>
      </c>
      <c r="J13" s="27">
        <v>0.9869</v>
      </c>
      <c r="K13" s="27">
        <v>0.95209999999999995</v>
      </c>
      <c r="L13" s="27">
        <v>0.95</v>
      </c>
      <c r="M13" s="27">
        <v>0.88029999999999997</v>
      </c>
      <c r="N13" s="27">
        <v>0.94</v>
      </c>
      <c r="O13" s="27">
        <v>0.93400000000000005</v>
      </c>
      <c r="P13" s="27">
        <v>0.94320999999999999</v>
      </c>
      <c r="Q13" s="27">
        <v>0.95454000000000006</v>
      </c>
      <c r="R13" s="27">
        <v>0.81120000000000003</v>
      </c>
      <c r="S13" s="27">
        <v>1.0434000000000001</v>
      </c>
      <c r="T13" s="22">
        <v>0.96050000000000002</v>
      </c>
      <c r="U13" s="8">
        <v>1.028</v>
      </c>
      <c r="V13" s="16">
        <v>0.96399999999999997</v>
      </c>
      <c r="W13" s="16">
        <v>0.97120000000000006</v>
      </c>
      <c r="X13" s="16">
        <v>0.81410000000000005</v>
      </c>
    </row>
    <row r="14" spans="1:24" ht="22.5" customHeight="1" thickTop="1" thickBot="1">
      <c r="A14" s="26">
        <v>13</v>
      </c>
      <c r="B14" s="27">
        <v>0.78969999999999996</v>
      </c>
      <c r="C14" s="27">
        <v>1.1173999999999999</v>
      </c>
      <c r="D14" s="27">
        <v>1.0374000000000001</v>
      </c>
      <c r="E14" s="27">
        <v>0.79810000000000003</v>
      </c>
      <c r="F14" s="27">
        <v>0.93964999999999999</v>
      </c>
      <c r="G14" s="27">
        <v>0.97319999999999995</v>
      </c>
      <c r="H14" s="27">
        <v>0.92669999999999997</v>
      </c>
      <c r="I14" s="27">
        <v>1.0558000000000001</v>
      </c>
      <c r="J14" s="27">
        <v>0.98609999999999998</v>
      </c>
      <c r="K14" s="27">
        <v>0.95130000000000003</v>
      </c>
      <c r="L14" s="27">
        <v>0.94899999999999995</v>
      </c>
      <c r="M14" s="27">
        <v>0.88029999999999997</v>
      </c>
      <c r="N14" s="27">
        <v>0.94</v>
      </c>
      <c r="O14" s="27">
        <v>0.93400000000000005</v>
      </c>
      <c r="P14" s="27">
        <v>0.94220999999999999</v>
      </c>
      <c r="Q14" s="27">
        <v>0.95454000000000006</v>
      </c>
      <c r="R14" s="27">
        <v>0.81020000000000003</v>
      </c>
      <c r="S14" s="27">
        <v>1.0427</v>
      </c>
      <c r="T14" s="22">
        <v>0.95950000000000002</v>
      </c>
      <c r="U14" s="8">
        <v>1.028</v>
      </c>
      <c r="V14" s="16">
        <v>0.96399999999999997</v>
      </c>
      <c r="W14" s="16">
        <v>0.97048000000000001</v>
      </c>
      <c r="X14" s="16">
        <v>0.81369999999999998</v>
      </c>
    </row>
    <row r="15" spans="1:24" ht="22.5" customHeight="1" thickTop="1" thickBot="1">
      <c r="A15" s="32">
        <v>14</v>
      </c>
      <c r="B15" s="33">
        <v>0.78890000000000005</v>
      </c>
      <c r="C15" s="33">
        <v>1.1166</v>
      </c>
      <c r="D15" s="33">
        <v>1.0365</v>
      </c>
      <c r="E15" s="27">
        <v>0.79700000000000004</v>
      </c>
      <c r="F15" s="27">
        <v>0.93937999999999999</v>
      </c>
      <c r="G15" s="27">
        <v>0.97219999999999995</v>
      </c>
      <c r="H15" s="27">
        <v>0.92569999999999997</v>
      </c>
      <c r="I15" s="27">
        <v>1.0556000000000001</v>
      </c>
      <c r="J15" s="27">
        <v>0.98529999999999995</v>
      </c>
      <c r="K15" s="27">
        <v>0.95040000000000002</v>
      </c>
      <c r="L15" s="27">
        <v>0.94799999999999995</v>
      </c>
      <c r="M15" s="27">
        <v>0.88029999999999997</v>
      </c>
      <c r="N15" s="27">
        <v>0.94</v>
      </c>
      <c r="O15" s="27">
        <v>0.93400000000000005</v>
      </c>
      <c r="P15" s="27">
        <v>0.94116999999999995</v>
      </c>
      <c r="Q15" s="27">
        <v>0.95454000000000006</v>
      </c>
      <c r="R15" s="27">
        <v>0.80920000000000003</v>
      </c>
      <c r="S15" s="27">
        <v>1.0419</v>
      </c>
      <c r="T15" s="27">
        <v>0.95850000000000002</v>
      </c>
      <c r="U15" s="8">
        <v>1.028</v>
      </c>
      <c r="V15" s="16">
        <v>0.96399999999999997</v>
      </c>
      <c r="W15" s="16">
        <v>0.96975999999999996</v>
      </c>
      <c r="X15" s="16">
        <v>0.81330000000000002</v>
      </c>
    </row>
    <row r="16" spans="1:24" ht="22.5" customHeight="1" thickTop="1" thickBot="1">
      <c r="A16" s="15">
        <v>15</v>
      </c>
      <c r="B16" s="16">
        <v>0.78800000000000003</v>
      </c>
      <c r="C16" s="16">
        <v>1.1157999999999999</v>
      </c>
      <c r="D16" s="16">
        <v>1.0356000000000001</v>
      </c>
      <c r="E16" s="16">
        <v>0.79469999999999996</v>
      </c>
      <c r="F16" s="16">
        <v>0.93791999999999998</v>
      </c>
      <c r="G16" s="16">
        <v>0.97119999999999995</v>
      </c>
      <c r="H16" s="16">
        <v>0.92469999999999997</v>
      </c>
      <c r="I16" s="16">
        <v>1.0535000000000001</v>
      </c>
      <c r="J16" s="16">
        <v>0.98450000000000004</v>
      </c>
      <c r="K16" s="34">
        <v>0.94950000000000001</v>
      </c>
      <c r="L16" s="16">
        <v>0.94699999999999995</v>
      </c>
      <c r="M16" s="16">
        <v>0.88029999999999997</v>
      </c>
      <c r="N16" s="16">
        <v>0.94</v>
      </c>
      <c r="O16" s="16">
        <v>0.93400000000000005</v>
      </c>
      <c r="P16" s="16">
        <v>0.94037000000000004</v>
      </c>
      <c r="Q16" s="27">
        <v>0.95454000000000006</v>
      </c>
      <c r="R16" s="16">
        <v>0.80830000000000002</v>
      </c>
      <c r="S16" s="16">
        <v>1.0411999999999999</v>
      </c>
      <c r="T16" s="16">
        <v>0.95750000000000002</v>
      </c>
      <c r="U16" s="16">
        <v>1.028</v>
      </c>
      <c r="V16" s="16">
        <v>0.96399999999999997</v>
      </c>
      <c r="W16" s="16">
        <v>0.9690399999999999</v>
      </c>
      <c r="X16" s="16">
        <v>0.81293000000000004</v>
      </c>
    </row>
    <row r="17" spans="1:24" ht="22.5" customHeight="1" thickTop="1" thickBot="1">
      <c r="A17" s="21">
        <v>16</v>
      </c>
      <c r="B17" s="22">
        <v>0.78720000000000001</v>
      </c>
      <c r="C17" s="22">
        <v>1.1152</v>
      </c>
      <c r="D17" s="22">
        <v>1.0347999999999999</v>
      </c>
      <c r="E17" s="22">
        <v>0.79359999999999997</v>
      </c>
      <c r="F17" s="22">
        <v>0.93676999999999999</v>
      </c>
      <c r="G17" s="22">
        <v>0.97</v>
      </c>
      <c r="H17" s="22">
        <v>0.92369999999999997</v>
      </c>
      <c r="I17" s="22">
        <v>1.0524</v>
      </c>
      <c r="J17" s="22">
        <v>0.98370000000000002</v>
      </c>
      <c r="K17" s="35">
        <v>0.9486</v>
      </c>
      <c r="L17" s="22">
        <v>0.94599999999999995</v>
      </c>
      <c r="M17" s="22">
        <v>0.88029999999999997</v>
      </c>
      <c r="N17" s="22">
        <v>0.94</v>
      </c>
      <c r="O17" s="22">
        <v>0.93400000000000005</v>
      </c>
      <c r="P17" s="22">
        <v>0.93915999999999999</v>
      </c>
      <c r="Q17" s="27">
        <v>0.9536</v>
      </c>
      <c r="R17" s="22">
        <v>0.80740000000000001</v>
      </c>
      <c r="S17" s="22">
        <v>1.0404</v>
      </c>
      <c r="T17" s="22">
        <v>0.95650000000000002</v>
      </c>
      <c r="U17" s="8">
        <v>1.028</v>
      </c>
      <c r="V17" s="16">
        <v>0.96399999999999997</v>
      </c>
      <c r="W17" s="16">
        <v>0.96829999999999994</v>
      </c>
      <c r="X17" s="16">
        <v>0.81200000000000006</v>
      </c>
    </row>
    <row r="18" spans="1:24" ht="22.5" customHeight="1" thickTop="1" thickBot="1">
      <c r="A18" s="26">
        <v>17</v>
      </c>
      <c r="B18" s="27">
        <v>0.78639999999999999</v>
      </c>
      <c r="C18" s="27">
        <v>1.1145</v>
      </c>
      <c r="D18" s="27">
        <v>1.0339</v>
      </c>
      <c r="E18" s="27">
        <v>0.79249999999999998</v>
      </c>
      <c r="F18" s="27">
        <v>0.93696999999999997</v>
      </c>
      <c r="G18" s="27">
        <v>0.96899999999999997</v>
      </c>
      <c r="H18" s="27">
        <v>0.92269999999999996</v>
      </c>
      <c r="I18" s="27">
        <v>1.0516000000000001</v>
      </c>
      <c r="J18" s="27">
        <v>0.98260000000000003</v>
      </c>
      <c r="K18" s="36">
        <v>0.94779999999999998</v>
      </c>
      <c r="L18" s="27">
        <v>0.94499999999999995</v>
      </c>
      <c r="M18" s="27">
        <v>0.88029999999999997</v>
      </c>
      <c r="N18" s="27">
        <v>0.94</v>
      </c>
      <c r="O18" s="27">
        <v>0.93400000000000005</v>
      </c>
      <c r="P18" s="27">
        <v>0.93815000000000004</v>
      </c>
      <c r="Q18" s="27">
        <v>0.95279999999999998</v>
      </c>
      <c r="R18" s="27">
        <v>0.80649999999999999</v>
      </c>
      <c r="S18" s="27">
        <v>1.0397000000000001</v>
      </c>
      <c r="T18" s="22">
        <v>0.95489999999999997</v>
      </c>
      <c r="U18" s="8">
        <v>1.028</v>
      </c>
      <c r="V18" s="16">
        <v>0.96399999999999997</v>
      </c>
      <c r="W18" s="16">
        <v>0.96755999999999998</v>
      </c>
      <c r="X18" s="16">
        <v>0.81110000000000004</v>
      </c>
    </row>
    <row r="19" spans="1:24" ht="22.5" customHeight="1" thickTop="1" thickBot="1">
      <c r="A19" s="26">
        <v>18</v>
      </c>
      <c r="B19" s="27">
        <v>0.78569999999999995</v>
      </c>
      <c r="C19" s="27">
        <v>1.1138999999999999</v>
      </c>
      <c r="D19" s="27">
        <v>1.0330999999999999</v>
      </c>
      <c r="E19" s="27">
        <v>0.79139999999999999</v>
      </c>
      <c r="F19" s="27">
        <v>0.93486000000000002</v>
      </c>
      <c r="G19" s="27">
        <v>0.96799999999999997</v>
      </c>
      <c r="H19" s="27">
        <v>0.92169999999999996</v>
      </c>
      <c r="I19" s="27">
        <v>1.0506</v>
      </c>
      <c r="J19" s="27">
        <v>0.98209999999999997</v>
      </c>
      <c r="K19" s="36">
        <v>0.94689999999999996</v>
      </c>
      <c r="L19" s="27">
        <v>0.94399999999999995</v>
      </c>
      <c r="M19" s="27">
        <v>0.88029999999999997</v>
      </c>
      <c r="N19" s="27">
        <v>0.94</v>
      </c>
      <c r="O19" s="27">
        <v>0.93400000000000005</v>
      </c>
      <c r="P19" s="27">
        <v>0.93713999999999997</v>
      </c>
      <c r="Q19" s="27">
        <v>0.95201000000000002</v>
      </c>
      <c r="R19" s="37">
        <v>0.80569999999999997</v>
      </c>
      <c r="S19" s="27">
        <v>1.0389999999999999</v>
      </c>
      <c r="T19" s="22">
        <v>0.95320000000000005</v>
      </c>
      <c r="U19" s="8">
        <v>1.028</v>
      </c>
      <c r="V19" s="16">
        <v>0.96399999999999997</v>
      </c>
      <c r="W19" s="16">
        <v>0.96682000000000001</v>
      </c>
      <c r="X19" s="16">
        <v>0.81020000000000003</v>
      </c>
    </row>
    <row r="20" spans="1:24" ht="22.5" customHeight="1" thickTop="1" thickBot="1">
      <c r="A20" s="26">
        <v>19</v>
      </c>
      <c r="B20" s="27">
        <v>0.78490000000000004</v>
      </c>
      <c r="C20" s="27">
        <v>1.1132</v>
      </c>
      <c r="D20" s="27">
        <v>1.0322</v>
      </c>
      <c r="E20" s="27">
        <v>0.7903</v>
      </c>
      <c r="F20" s="27">
        <v>0.93391000000000002</v>
      </c>
      <c r="G20" s="27">
        <v>0.96699999999999997</v>
      </c>
      <c r="H20" s="27">
        <v>0.92069999999999996</v>
      </c>
      <c r="I20" s="27">
        <v>1.0494000000000001</v>
      </c>
      <c r="J20" s="27">
        <v>0.98129999999999995</v>
      </c>
      <c r="K20" s="36">
        <v>0.94599999999999995</v>
      </c>
      <c r="L20" s="27">
        <v>0.94299999999999995</v>
      </c>
      <c r="M20" s="27">
        <v>0.88029999999999997</v>
      </c>
      <c r="N20" s="27">
        <v>0.94</v>
      </c>
      <c r="O20" s="27">
        <v>0.93400000000000005</v>
      </c>
      <c r="P20" s="27">
        <v>0.93613000000000002</v>
      </c>
      <c r="Q20" s="27">
        <v>0.95123000000000002</v>
      </c>
      <c r="R20" s="37">
        <v>0.80479999999999996</v>
      </c>
      <c r="S20" s="27">
        <v>1.0371999999999999</v>
      </c>
      <c r="T20" s="22">
        <v>0.9516</v>
      </c>
      <c r="U20" s="8">
        <v>1.028</v>
      </c>
      <c r="V20" s="16">
        <v>0.96399999999999997</v>
      </c>
      <c r="W20" s="16">
        <v>0.96608000000000005</v>
      </c>
      <c r="X20" s="16">
        <v>0.80920000000000003</v>
      </c>
    </row>
    <row r="21" spans="1:24" ht="22.5" customHeight="1" thickTop="1" thickBot="1">
      <c r="A21" s="38">
        <v>20</v>
      </c>
      <c r="B21" s="28">
        <v>0.78410000000000002</v>
      </c>
      <c r="C21" s="28">
        <v>1.1126</v>
      </c>
      <c r="D21" s="28">
        <v>1.0314000000000001</v>
      </c>
      <c r="E21" s="18">
        <v>0.78920000000000001</v>
      </c>
      <c r="F21" s="16">
        <v>0.93288000000000004</v>
      </c>
      <c r="G21" s="18">
        <v>0.96589999999999998</v>
      </c>
      <c r="H21" s="18">
        <v>0.91969999999999996</v>
      </c>
      <c r="I21" s="18">
        <v>1.0483</v>
      </c>
      <c r="J21" s="18">
        <v>0.98050000000000004</v>
      </c>
      <c r="K21" s="39">
        <v>0.94520000000000004</v>
      </c>
      <c r="L21" s="18">
        <v>0.94199999999999995</v>
      </c>
      <c r="M21" s="40">
        <v>0.88029999999999997</v>
      </c>
      <c r="N21" s="18">
        <v>0.94</v>
      </c>
      <c r="O21" s="18">
        <v>0.93</v>
      </c>
      <c r="P21" s="16">
        <v>0.93506</v>
      </c>
      <c r="Q21" s="27">
        <v>0.95038</v>
      </c>
      <c r="R21" s="41">
        <v>0.80369999999999997</v>
      </c>
      <c r="S21" s="18">
        <v>1.0363899999999999</v>
      </c>
      <c r="T21" s="16">
        <v>0.95</v>
      </c>
      <c r="U21" s="16">
        <v>1.028</v>
      </c>
      <c r="V21" s="16">
        <v>0.96399999999999997</v>
      </c>
      <c r="W21" s="16">
        <v>0.96534000000000009</v>
      </c>
      <c r="X21" s="16">
        <v>0.80813999999999997</v>
      </c>
    </row>
    <row r="22" spans="1:24" ht="22.5" customHeight="1" thickTop="1" thickBot="1">
      <c r="A22" s="42">
        <v>21</v>
      </c>
      <c r="B22" s="43">
        <v>0.78320000000000001</v>
      </c>
      <c r="C22" s="43">
        <v>1.1119000000000001</v>
      </c>
      <c r="D22" s="43">
        <v>1.0305</v>
      </c>
      <c r="E22" s="22">
        <v>0.78800000000000003</v>
      </c>
      <c r="F22" s="22">
        <v>0.93198000000000003</v>
      </c>
      <c r="G22" s="22">
        <v>0.96489999999999998</v>
      </c>
      <c r="H22" s="22">
        <v>0.91879999999999995</v>
      </c>
      <c r="I22" s="22">
        <v>1.0469999999999999</v>
      </c>
      <c r="J22" s="22">
        <v>0.97960000000000003</v>
      </c>
      <c r="K22" s="35">
        <v>0.94430000000000003</v>
      </c>
      <c r="L22" s="22">
        <v>0.94099999999999995</v>
      </c>
      <c r="M22" s="44">
        <v>0.87909999999999999</v>
      </c>
      <c r="N22" s="22">
        <v>0.94</v>
      </c>
      <c r="O22" s="22">
        <v>0.93</v>
      </c>
      <c r="P22" s="16">
        <v>0.93506</v>
      </c>
      <c r="Q22" s="27">
        <v>0.94969000000000003</v>
      </c>
      <c r="R22" s="31">
        <v>0.80289999999999995</v>
      </c>
      <c r="S22" s="22">
        <v>1.03566</v>
      </c>
      <c r="T22" s="22">
        <v>0.94889999999999997</v>
      </c>
      <c r="U22" s="8">
        <v>1.028</v>
      </c>
      <c r="V22" s="8">
        <v>0.96079999999999999</v>
      </c>
      <c r="W22" s="52">
        <v>0.96470000000000011</v>
      </c>
      <c r="X22" s="52">
        <v>0.80730000000000002</v>
      </c>
    </row>
    <row r="23" spans="1:24" ht="22.5" customHeight="1" thickTop="1">
      <c r="A23" s="26">
        <v>22</v>
      </c>
      <c r="B23" s="27">
        <v>0.7823</v>
      </c>
      <c r="C23" s="27">
        <v>1.1111</v>
      </c>
      <c r="D23" s="27">
        <v>1.0295000000000001</v>
      </c>
      <c r="E23" s="27">
        <v>0.78680000000000005</v>
      </c>
      <c r="F23" s="27">
        <v>0.93115999999999999</v>
      </c>
      <c r="G23" s="27">
        <v>0.96379999999999999</v>
      </c>
      <c r="H23" s="27">
        <v>0.91779999999999995</v>
      </c>
      <c r="I23" s="27">
        <v>1.0454000000000001</v>
      </c>
      <c r="J23" s="27">
        <v>0.9788</v>
      </c>
      <c r="K23" s="36">
        <v>0.94330000000000003</v>
      </c>
      <c r="L23" s="27">
        <v>0.94</v>
      </c>
      <c r="M23" s="45">
        <v>0.878</v>
      </c>
      <c r="N23" s="27">
        <v>0.93200000000000005</v>
      </c>
      <c r="O23" s="27">
        <v>0.93</v>
      </c>
      <c r="P23" s="27">
        <v>0.93327000000000004</v>
      </c>
      <c r="Q23" s="27">
        <v>0.94908999999999999</v>
      </c>
      <c r="R23" s="37">
        <v>0.80179999999999996</v>
      </c>
      <c r="S23" s="27">
        <v>1.0349299999999999</v>
      </c>
      <c r="T23" s="22">
        <v>0.94730000000000003</v>
      </c>
      <c r="U23" s="8">
        <v>1.028</v>
      </c>
      <c r="V23" s="8">
        <v>0.96079999999999999</v>
      </c>
      <c r="W23" s="52">
        <v>0.96406000000000014</v>
      </c>
      <c r="X23" s="52">
        <v>0.80669999999999997</v>
      </c>
    </row>
    <row r="24" spans="1:24" ht="22.5" customHeight="1">
      <c r="A24" s="26">
        <v>23</v>
      </c>
      <c r="B24" s="27">
        <v>0.78139999999999998</v>
      </c>
      <c r="C24" s="27">
        <v>1.1104000000000001</v>
      </c>
      <c r="D24" s="27">
        <v>1.0286</v>
      </c>
      <c r="E24" s="27">
        <v>0.78559999999999997</v>
      </c>
      <c r="F24" s="27">
        <v>0.93006999999999995</v>
      </c>
      <c r="G24" s="27">
        <v>0.96220000000000006</v>
      </c>
      <c r="H24" s="27">
        <v>0.91669999999999996</v>
      </c>
      <c r="I24" s="27">
        <v>1.0448999999999999</v>
      </c>
      <c r="J24" s="27">
        <v>0.97799999999999998</v>
      </c>
      <c r="K24" s="36">
        <v>0.94240000000000002</v>
      </c>
      <c r="L24" s="27">
        <v>0.93899999999999995</v>
      </c>
      <c r="M24" s="45">
        <v>0.877</v>
      </c>
      <c r="N24" s="27">
        <v>0.93200000000000005</v>
      </c>
      <c r="O24" s="27">
        <v>0.93</v>
      </c>
      <c r="P24" s="27">
        <v>0.93208999999999997</v>
      </c>
      <c r="Q24" s="27">
        <v>0.94820000000000004</v>
      </c>
      <c r="R24" s="37">
        <v>0.80089999999999995</v>
      </c>
      <c r="S24" s="27">
        <v>1.0341899999999999</v>
      </c>
      <c r="T24" s="22">
        <v>0.94599999999999995</v>
      </c>
      <c r="U24" s="8">
        <v>1.0269999999999999</v>
      </c>
      <c r="V24" s="8">
        <v>0.96079999999999999</v>
      </c>
      <c r="W24" s="52">
        <v>0.96342000000000017</v>
      </c>
      <c r="X24" s="52">
        <v>0.80610000000000004</v>
      </c>
    </row>
    <row r="25" spans="1:24" ht="22.5" customHeight="1">
      <c r="A25" s="26">
        <v>24</v>
      </c>
      <c r="B25" s="27">
        <v>0.78049999999999997</v>
      </c>
      <c r="C25" s="27">
        <v>1.1095999999999999</v>
      </c>
      <c r="D25" s="27">
        <v>1.0276000000000001</v>
      </c>
      <c r="E25" s="27">
        <v>0.78439999999999999</v>
      </c>
      <c r="F25" s="27">
        <v>0.92910000000000004</v>
      </c>
      <c r="G25" s="27">
        <v>0.96120000000000005</v>
      </c>
      <c r="H25" s="27">
        <v>0.91569999999999996</v>
      </c>
      <c r="I25" s="27">
        <v>1.0437000000000001</v>
      </c>
      <c r="J25" s="27">
        <v>0.97719999999999996</v>
      </c>
      <c r="K25" s="36">
        <v>0.9415</v>
      </c>
      <c r="L25" s="27">
        <v>0.93799999999999994</v>
      </c>
      <c r="M25" s="45">
        <v>0.87590000000000001</v>
      </c>
      <c r="N25" s="27">
        <v>0.93200000000000005</v>
      </c>
      <c r="O25" s="27">
        <v>0.93</v>
      </c>
      <c r="P25" s="27">
        <v>0.93159999999999998</v>
      </c>
      <c r="Q25" s="27">
        <v>0.94747000000000003</v>
      </c>
      <c r="R25" s="37">
        <v>0.8</v>
      </c>
      <c r="S25" s="27">
        <v>1.03346</v>
      </c>
      <c r="T25" s="22">
        <v>0.9446</v>
      </c>
      <c r="U25" s="8">
        <v>1.026</v>
      </c>
      <c r="V25" s="8">
        <v>0.96079999999999999</v>
      </c>
      <c r="W25" s="52">
        <v>0.96278000000000019</v>
      </c>
      <c r="X25" s="52">
        <v>0.80549999999999999</v>
      </c>
    </row>
    <row r="26" spans="1:24" ht="22.5" customHeight="1" thickBot="1">
      <c r="A26" s="46">
        <v>25</v>
      </c>
      <c r="B26" s="18">
        <v>0.77959999999999996</v>
      </c>
      <c r="C26" s="18">
        <v>1.1089</v>
      </c>
      <c r="D26" s="18">
        <v>1.0266999999999999</v>
      </c>
      <c r="E26" s="18">
        <v>0.78320000000000001</v>
      </c>
      <c r="F26" s="16">
        <v>0.92813000000000001</v>
      </c>
      <c r="G26" s="18">
        <v>0.96020000000000005</v>
      </c>
      <c r="H26" s="18">
        <v>0.91469999999999996</v>
      </c>
      <c r="I26" s="18">
        <v>1.0423</v>
      </c>
      <c r="J26" s="18">
        <v>0.97640000000000005</v>
      </c>
      <c r="K26" s="39">
        <v>0.9405</v>
      </c>
      <c r="L26" s="18">
        <v>0.93700000000000006</v>
      </c>
      <c r="M26" s="40">
        <v>0.87509999999999999</v>
      </c>
      <c r="N26" s="18">
        <v>0.93</v>
      </c>
      <c r="O26" s="18">
        <v>0.92600000000000005</v>
      </c>
      <c r="P26" s="16">
        <v>0.93084</v>
      </c>
      <c r="Q26" s="27">
        <v>0.94674000000000003</v>
      </c>
      <c r="R26" s="41">
        <v>0.79910000000000003</v>
      </c>
      <c r="S26" s="18">
        <v>1.0327299999999999</v>
      </c>
      <c r="T26" s="16">
        <v>0.94330000000000003</v>
      </c>
      <c r="U26" s="16">
        <v>1.0249999999999999</v>
      </c>
      <c r="V26" s="8">
        <v>0.96079999999999999</v>
      </c>
      <c r="W26" s="52">
        <v>0.96214000000000022</v>
      </c>
      <c r="X26" s="52">
        <v>0.80493999999999999</v>
      </c>
    </row>
    <row r="27" spans="1:24" ht="22.5" customHeight="1" thickTop="1" thickBot="1">
      <c r="A27" s="21">
        <v>26</v>
      </c>
      <c r="B27" s="22">
        <v>0.77869999999999995</v>
      </c>
      <c r="C27" s="22">
        <v>1.1081000000000001</v>
      </c>
      <c r="D27" s="22">
        <v>1.0258</v>
      </c>
      <c r="E27" s="22">
        <v>0.78210000000000002</v>
      </c>
      <c r="F27" s="22">
        <v>0.92717000000000005</v>
      </c>
      <c r="G27" s="22">
        <v>0.95899999999999996</v>
      </c>
      <c r="H27" s="22">
        <v>0.91390000000000005</v>
      </c>
      <c r="I27" s="22">
        <v>1.0409999999999999</v>
      </c>
      <c r="J27" s="22">
        <v>0.97550000000000003</v>
      </c>
      <c r="K27" s="35">
        <v>0.93959999999999999</v>
      </c>
      <c r="L27" s="22">
        <v>0.93600000000000005</v>
      </c>
      <c r="M27" s="44">
        <v>0.87409999999999999</v>
      </c>
      <c r="N27" s="22">
        <v>0.93</v>
      </c>
      <c r="O27" s="22">
        <v>0.92600000000000005</v>
      </c>
      <c r="P27" s="22">
        <v>0.92906</v>
      </c>
      <c r="Q27" s="27">
        <v>0.94603000000000004</v>
      </c>
      <c r="R27" s="31">
        <v>0.79820000000000002</v>
      </c>
      <c r="S27" s="22">
        <v>1.031998</v>
      </c>
      <c r="T27" s="22">
        <v>0.94220000000000004</v>
      </c>
      <c r="U27" s="8">
        <v>1.024</v>
      </c>
      <c r="V27" s="16">
        <v>0.95760000000000001</v>
      </c>
      <c r="W27" s="52">
        <v>0.96155000000000024</v>
      </c>
      <c r="X27" s="52">
        <v>0.80459999999999998</v>
      </c>
    </row>
    <row r="28" spans="1:24" ht="22.5" customHeight="1" thickTop="1" thickBot="1">
      <c r="A28" s="26">
        <v>27</v>
      </c>
      <c r="B28" s="27">
        <v>0.77790000000000004</v>
      </c>
      <c r="C28" s="27">
        <v>1.1073999999999999</v>
      </c>
      <c r="D28" s="27">
        <v>1.0247999999999999</v>
      </c>
      <c r="E28" s="27">
        <v>0.78100000000000003</v>
      </c>
      <c r="F28" s="27">
        <v>0.92620999999999998</v>
      </c>
      <c r="G28" s="27">
        <v>0.95799999999999996</v>
      </c>
      <c r="H28" s="27">
        <v>0.91290000000000004</v>
      </c>
      <c r="I28" s="27">
        <v>1.04</v>
      </c>
      <c r="J28" s="27">
        <v>0.97470000000000001</v>
      </c>
      <c r="K28" s="36">
        <v>0.93869999999999998</v>
      </c>
      <c r="L28" s="27">
        <v>0.93500000000000005</v>
      </c>
      <c r="M28" s="45">
        <v>0.87309999999999999</v>
      </c>
      <c r="N28" s="27">
        <v>0.93</v>
      </c>
      <c r="O28" s="27">
        <v>0.92600000000000005</v>
      </c>
      <c r="P28" s="27">
        <v>0.92805000000000004</v>
      </c>
      <c r="Q28" s="27">
        <v>0.94532000000000005</v>
      </c>
      <c r="R28" s="37">
        <v>0.79720000000000002</v>
      </c>
      <c r="S28" s="27">
        <v>1.031266</v>
      </c>
      <c r="T28" s="22">
        <v>0.94120000000000004</v>
      </c>
      <c r="U28" s="8">
        <v>1.0229999999999999</v>
      </c>
      <c r="V28" s="16">
        <v>0.95760000000000001</v>
      </c>
      <c r="W28" s="52">
        <v>0.96096000000000026</v>
      </c>
      <c r="X28" s="52">
        <v>0.80430000000000001</v>
      </c>
    </row>
    <row r="29" spans="1:24" ht="22.5" customHeight="1" thickTop="1" thickBot="1">
      <c r="A29" s="26">
        <v>28</v>
      </c>
      <c r="B29" s="27">
        <v>0.77700000000000002</v>
      </c>
      <c r="C29" s="27">
        <v>1.1066</v>
      </c>
      <c r="D29" s="27">
        <v>1.0239</v>
      </c>
      <c r="E29" s="27">
        <v>0.77980000000000005</v>
      </c>
      <c r="F29" s="27">
        <v>0.92527000000000004</v>
      </c>
      <c r="G29" s="27">
        <v>0.95699999999999996</v>
      </c>
      <c r="H29" s="27">
        <v>0.91200000000000003</v>
      </c>
      <c r="I29" s="27">
        <v>1.0388999999999999</v>
      </c>
      <c r="J29" s="27">
        <v>0.97389999999999999</v>
      </c>
      <c r="K29" s="36">
        <v>0.93779999999999997</v>
      </c>
      <c r="L29" s="27">
        <v>0.93400000000000005</v>
      </c>
      <c r="M29" s="45">
        <v>0.872</v>
      </c>
      <c r="N29" s="27">
        <v>0.93</v>
      </c>
      <c r="O29" s="27">
        <v>0.92600000000000005</v>
      </c>
      <c r="P29" s="27">
        <v>0.92706</v>
      </c>
      <c r="Q29" s="27">
        <v>0.94462000000000002</v>
      </c>
      <c r="R29" s="37">
        <v>0.79630000000000001</v>
      </c>
      <c r="S29" s="27">
        <v>1.0305340000000001</v>
      </c>
      <c r="T29" s="22">
        <v>0.94010000000000005</v>
      </c>
      <c r="U29" s="8">
        <v>1.022</v>
      </c>
      <c r="V29" s="16">
        <v>0.95760000000000001</v>
      </c>
      <c r="W29" s="52">
        <v>0.96037000000000028</v>
      </c>
      <c r="X29" s="52">
        <v>0.80400000000000005</v>
      </c>
    </row>
    <row r="30" spans="1:24" ht="22.5" customHeight="1" thickTop="1" thickBot="1">
      <c r="A30" s="26">
        <v>29</v>
      </c>
      <c r="B30" s="27">
        <v>0.7762</v>
      </c>
      <c r="C30" s="27">
        <v>1.1059000000000001</v>
      </c>
      <c r="D30" s="27">
        <v>1.0228999999999999</v>
      </c>
      <c r="E30" s="27">
        <v>0.77869999999999995</v>
      </c>
      <c r="F30" s="27">
        <v>0.92430000000000001</v>
      </c>
      <c r="G30" s="27">
        <v>0.95589999999999997</v>
      </c>
      <c r="H30" s="27">
        <v>0.91100000000000003</v>
      </c>
      <c r="I30" s="27">
        <v>1.0377000000000001</v>
      </c>
      <c r="J30" s="27">
        <v>0.97309999999999997</v>
      </c>
      <c r="K30" s="36">
        <v>0.93689999999999996</v>
      </c>
      <c r="L30" s="27">
        <v>0.93300000000000005</v>
      </c>
      <c r="M30" s="45">
        <v>0.871</v>
      </c>
      <c r="N30" s="27">
        <v>0.93</v>
      </c>
      <c r="O30" s="27">
        <v>0.92600000000000005</v>
      </c>
      <c r="P30" s="27">
        <v>0.92603000000000002</v>
      </c>
      <c r="Q30" s="27">
        <v>0.94393000000000005</v>
      </c>
      <c r="R30" s="37">
        <v>0.79549999999999998</v>
      </c>
      <c r="S30" s="27">
        <v>1.0298020000000001</v>
      </c>
      <c r="T30" s="22">
        <v>0.93910000000000005</v>
      </c>
      <c r="U30" s="8">
        <v>1.0209999999999999</v>
      </c>
      <c r="V30" s="16">
        <v>0.95760000000000001</v>
      </c>
      <c r="W30" s="52">
        <v>0.9597800000000003</v>
      </c>
      <c r="X30" s="52">
        <v>0.80369999999999997</v>
      </c>
    </row>
    <row r="31" spans="1:24" ht="22.5" customHeight="1" thickTop="1" thickBot="1">
      <c r="A31" s="38">
        <v>30</v>
      </c>
      <c r="B31" s="28">
        <v>0.77529999999999999</v>
      </c>
      <c r="C31" s="28">
        <v>1.1051</v>
      </c>
      <c r="D31" s="28">
        <v>1.022</v>
      </c>
      <c r="E31" s="18">
        <v>0.77759999999999996</v>
      </c>
      <c r="F31" s="16">
        <v>0.92340999999999995</v>
      </c>
      <c r="G31" s="18">
        <v>0.95469999999999999</v>
      </c>
      <c r="H31" s="18">
        <v>0.91</v>
      </c>
      <c r="I31" s="18">
        <v>1.0366</v>
      </c>
      <c r="J31" s="18">
        <v>0.97230000000000005</v>
      </c>
      <c r="K31" s="39">
        <v>0.93600000000000005</v>
      </c>
      <c r="L31" s="18">
        <v>0.93200000000000005</v>
      </c>
      <c r="M31" s="40">
        <v>0.86990000000000001</v>
      </c>
      <c r="N31" s="18">
        <v>0.93</v>
      </c>
      <c r="O31" s="18">
        <v>0.92200000000000004</v>
      </c>
      <c r="P31" s="16">
        <v>0.92508999999999997</v>
      </c>
      <c r="Q31" s="27">
        <v>0.94333</v>
      </c>
      <c r="R31" s="41">
        <v>0.79459999999999997</v>
      </c>
      <c r="S31" s="18">
        <v>1.0289999999999999</v>
      </c>
      <c r="T31" s="16">
        <v>0.93810000000000004</v>
      </c>
      <c r="U31" s="16">
        <v>1.02</v>
      </c>
      <c r="V31" s="16">
        <v>0.95760000000000001</v>
      </c>
      <c r="W31" s="52">
        <v>0.95919000000000032</v>
      </c>
      <c r="X31" s="52">
        <v>0.80335999999999996</v>
      </c>
    </row>
    <row r="32" spans="1:24" ht="22.5" customHeight="1" thickTop="1" thickBot="1">
      <c r="A32" s="42">
        <v>31</v>
      </c>
      <c r="B32" s="43">
        <v>0.77439999999999998</v>
      </c>
      <c r="C32" s="43">
        <v>1.1041000000000001</v>
      </c>
      <c r="D32" s="43">
        <v>1.0210999999999999</v>
      </c>
      <c r="E32" s="22">
        <v>0.77644999999999997</v>
      </c>
      <c r="F32" s="22">
        <v>0.92235</v>
      </c>
      <c r="G32" s="22">
        <v>0.95370999999999995</v>
      </c>
      <c r="H32" s="22">
        <v>0.90905000000000002</v>
      </c>
      <c r="I32" s="22">
        <v>1.0355099999999999</v>
      </c>
      <c r="J32" s="22">
        <v>0.97140000000000004</v>
      </c>
      <c r="K32" s="35">
        <v>0.93510000000000004</v>
      </c>
      <c r="L32" s="22">
        <v>0.93100000000000005</v>
      </c>
      <c r="M32" s="44">
        <v>0.86887000000000003</v>
      </c>
      <c r="N32" s="22">
        <v>0.93</v>
      </c>
      <c r="O32" s="22">
        <v>0.92279999999999995</v>
      </c>
      <c r="P32" s="22">
        <v>0.92406999999999995</v>
      </c>
      <c r="Q32" s="27">
        <v>0.94257999999999997</v>
      </c>
      <c r="R32" s="31">
        <v>0.79379999999999995</v>
      </c>
      <c r="S32" s="22">
        <v>1.028268</v>
      </c>
      <c r="T32" s="22">
        <v>0.93710000000000004</v>
      </c>
      <c r="U32" s="8">
        <v>1.0189999999999999</v>
      </c>
      <c r="V32" s="16">
        <v>0.95760000000000001</v>
      </c>
      <c r="W32" s="52">
        <v>0.95860000000000034</v>
      </c>
      <c r="X32" s="52">
        <v>0.80249999999999999</v>
      </c>
    </row>
    <row r="33" spans="1:24" ht="22.5" customHeight="1" thickTop="1" thickBot="1">
      <c r="A33" s="26">
        <v>32</v>
      </c>
      <c r="B33" s="27">
        <v>0.77349999999999997</v>
      </c>
      <c r="C33" s="27">
        <v>1.103</v>
      </c>
      <c r="D33" s="27">
        <v>1.0202</v>
      </c>
      <c r="E33" s="27">
        <v>0.77532000000000001</v>
      </c>
      <c r="F33" s="27">
        <v>0.9214</v>
      </c>
      <c r="G33" s="27">
        <v>0.95264000000000004</v>
      </c>
      <c r="H33" s="27">
        <v>0.90808</v>
      </c>
      <c r="I33" s="27">
        <v>1.0344</v>
      </c>
      <c r="J33" s="27">
        <v>0.97060000000000002</v>
      </c>
      <c r="K33" s="36">
        <v>0.93420000000000003</v>
      </c>
      <c r="L33" s="27">
        <v>0.93</v>
      </c>
      <c r="M33" s="45">
        <v>0.86782000000000004</v>
      </c>
      <c r="N33" s="27">
        <v>0.93</v>
      </c>
      <c r="O33" s="27">
        <v>0.92200000000000004</v>
      </c>
      <c r="P33" s="27">
        <v>0.92298000000000002</v>
      </c>
      <c r="Q33" s="27">
        <v>0.94189999999999996</v>
      </c>
      <c r="R33" s="37">
        <v>0.79300000000000004</v>
      </c>
      <c r="S33" s="27">
        <v>1.027536</v>
      </c>
      <c r="T33" s="22">
        <v>0.93600000000000005</v>
      </c>
      <c r="U33" s="8">
        <v>1.018</v>
      </c>
      <c r="V33" s="16">
        <v>0.95760000000000001</v>
      </c>
      <c r="W33" s="52">
        <v>0.95801000000000036</v>
      </c>
      <c r="X33" s="52">
        <v>0.80159999999999998</v>
      </c>
    </row>
    <row r="34" spans="1:24" ht="22.5" customHeight="1" thickTop="1" thickBot="1">
      <c r="A34" s="26">
        <v>33</v>
      </c>
      <c r="B34" s="27">
        <v>0.77270000000000005</v>
      </c>
      <c r="C34" s="27">
        <v>1.1020000000000001</v>
      </c>
      <c r="D34" s="27">
        <v>1.0194000000000001</v>
      </c>
      <c r="E34" s="27">
        <v>0.77419000000000004</v>
      </c>
      <c r="F34" s="27">
        <v>0.92042999999999997</v>
      </c>
      <c r="G34" s="27">
        <v>0.95157000000000003</v>
      </c>
      <c r="H34" s="27">
        <v>0.90710999999999997</v>
      </c>
      <c r="I34" s="27">
        <v>1.03329</v>
      </c>
      <c r="J34" s="27">
        <v>0.9698</v>
      </c>
      <c r="K34" s="36">
        <v>0.93330000000000002</v>
      </c>
      <c r="L34" s="27">
        <v>0.92900000000000005</v>
      </c>
      <c r="M34" s="45">
        <v>0.86677000000000004</v>
      </c>
      <c r="N34" s="27">
        <v>0.93</v>
      </c>
      <c r="O34" s="27">
        <v>0.92120000000000002</v>
      </c>
      <c r="P34" s="27">
        <v>0.92198999999999998</v>
      </c>
      <c r="Q34" s="27">
        <v>0.94125000000000003</v>
      </c>
      <c r="R34" s="37">
        <v>0.7923</v>
      </c>
      <c r="S34" s="27">
        <v>1.0268040000000001</v>
      </c>
      <c r="T34" s="22">
        <v>0.93500000000000005</v>
      </c>
      <c r="U34" s="8">
        <v>1.0169999999999999</v>
      </c>
      <c r="V34" s="16">
        <v>0.95760000000000001</v>
      </c>
      <c r="W34" s="52">
        <v>0.95742000000000038</v>
      </c>
      <c r="X34" s="52">
        <v>0.80069999999999997</v>
      </c>
    </row>
    <row r="35" spans="1:24" ht="22.5" customHeight="1" thickTop="1" thickBot="1">
      <c r="A35" s="26">
        <v>34</v>
      </c>
      <c r="B35" s="27">
        <v>0.77180000000000004</v>
      </c>
      <c r="C35" s="27">
        <v>1.1009</v>
      </c>
      <c r="D35" s="27">
        <v>1.0185</v>
      </c>
      <c r="E35" s="27">
        <v>0.77305999999999997</v>
      </c>
      <c r="F35" s="27">
        <v>0.91946000000000006</v>
      </c>
      <c r="G35" s="27">
        <v>0.95050000000000001</v>
      </c>
      <c r="H35" s="27">
        <v>0.90613999999999995</v>
      </c>
      <c r="I35" s="27">
        <v>1.0321800000000001</v>
      </c>
      <c r="J35" s="27">
        <v>0.96899999999999997</v>
      </c>
      <c r="K35" s="36">
        <v>0.93240000000000001</v>
      </c>
      <c r="L35" s="27">
        <v>0.92800000000000005</v>
      </c>
      <c r="M35" s="45">
        <v>0.86572000000000005</v>
      </c>
      <c r="N35" s="27">
        <v>0.93</v>
      </c>
      <c r="O35" s="27">
        <v>0.9204</v>
      </c>
      <c r="P35" s="27">
        <v>0.92093999999999998</v>
      </c>
      <c r="Q35" s="27">
        <v>0.94059000000000004</v>
      </c>
      <c r="R35" s="37">
        <v>0.79159999999999997</v>
      </c>
      <c r="S35" s="27">
        <f>S34-0.000732</f>
        <v>1.0260720000000001</v>
      </c>
      <c r="T35" s="22">
        <v>0.93400000000000005</v>
      </c>
      <c r="U35" s="8">
        <v>1.016</v>
      </c>
      <c r="V35" s="16">
        <v>0.95760000000000001</v>
      </c>
      <c r="W35" s="52">
        <v>0.9568300000000004</v>
      </c>
      <c r="X35" s="52">
        <v>0.79979999999999996</v>
      </c>
    </row>
    <row r="36" spans="1:24" ht="22.5" customHeight="1" thickTop="1" thickBot="1">
      <c r="A36" s="46">
        <v>35</v>
      </c>
      <c r="B36" s="18">
        <v>0.77090000000000003</v>
      </c>
      <c r="C36" s="18">
        <v>1.0999000000000001</v>
      </c>
      <c r="D36" s="18">
        <v>1.0176000000000001</v>
      </c>
      <c r="E36" s="18">
        <v>0.77193000000000001</v>
      </c>
      <c r="F36" s="16">
        <v>0.91851000000000005</v>
      </c>
      <c r="G36" s="18">
        <v>0.94943</v>
      </c>
      <c r="H36" s="18">
        <v>0.90517000000000003</v>
      </c>
      <c r="I36" s="18">
        <v>1.0310699999999999</v>
      </c>
      <c r="J36" s="18">
        <v>0.96819999999999995</v>
      </c>
      <c r="K36" s="39">
        <v>0.93149999999999999</v>
      </c>
      <c r="L36" s="18">
        <v>0.92700000000000005</v>
      </c>
      <c r="M36" s="40">
        <v>0.86467000000000005</v>
      </c>
      <c r="N36" s="18">
        <v>0.93</v>
      </c>
      <c r="O36" s="18">
        <v>0.91959999999999997</v>
      </c>
      <c r="P36" s="16">
        <v>0.91995000000000005</v>
      </c>
      <c r="Q36" s="27">
        <v>0.93994</v>
      </c>
      <c r="R36" s="41">
        <v>0.79079999999999995</v>
      </c>
      <c r="S36" s="18">
        <f>S35-0.000732</f>
        <v>1.0253400000000001</v>
      </c>
      <c r="T36" s="16">
        <v>0.93300000000000005</v>
      </c>
      <c r="U36" s="16">
        <v>1.0149999999999999</v>
      </c>
      <c r="V36" s="16">
        <v>0.95760000000000001</v>
      </c>
      <c r="W36" s="52">
        <v>0.95624000000000042</v>
      </c>
      <c r="X36" s="52">
        <v>0.79900000000000004</v>
      </c>
    </row>
    <row r="37" spans="1:24" ht="22.5" customHeight="1" thickTop="1" thickBot="1">
      <c r="A37" s="21">
        <v>36</v>
      </c>
      <c r="B37" s="22">
        <v>0.77</v>
      </c>
      <c r="C37" s="22">
        <v>1.0988</v>
      </c>
      <c r="D37" s="22">
        <v>1.0166999999999999</v>
      </c>
      <c r="E37" s="22">
        <v>0.77080000000000004</v>
      </c>
      <c r="F37" s="22">
        <v>0.91754999999999998</v>
      </c>
      <c r="G37" s="22">
        <v>0.94835999999999998</v>
      </c>
      <c r="H37" s="22">
        <v>0.9042</v>
      </c>
      <c r="I37" s="22">
        <v>1.02996</v>
      </c>
      <c r="J37" s="22">
        <v>0.96730000000000005</v>
      </c>
      <c r="K37" s="35">
        <v>0.93059999999999998</v>
      </c>
      <c r="L37" s="22">
        <v>0.92600000000000005</v>
      </c>
      <c r="M37" s="44">
        <v>0.86362000000000005</v>
      </c>
      <c r="N37" s="22">
        <v>0.93</v>
      </c>
      <c r="O37" s="22">
        <v>0.91879999999999995</v>
      </c>
      <c r="P37" s="22">
        <v>0.91888999999999998</v>
      </c>
      <c r="Q37" s="27">
        <v>0.93930000000000002</v>
      </c>
      <c r="R37" s="31">
        <v>0.79008</v>
      </c>
      <c r="S37" s="22">
        <f t="shared" ref="S37:S51" si="0">S36-0.000732</f>
        <v>1.0246080000000002</v>
      </c>
      <c r="T37" s="22">
        <v>0.93194666666666703</v>
      </c>
      <c r="U37" s="8">
        <v>1.0142</v>
      </c>
      <c r="V37" s="16">
        <v>0.95760000000000001</v>
      </c>
      <c r="W37" s="52">
        <v>0.95565000000000044</v>
      </c>
      <c r="X37" s="52">
        <v>0.7984</v>
      </c>
    </row>
    <row r="38" spans="1:24" ht="22.5" customHeight="1" thickTop="1" thickBot="1">
      <c r="A38" s="26">
        <v>37</v>
      </c>
      <c r="B38" s="27">
        <v>0.76910000000000001</v>
      </c>
      <c r="C38" s="27">
        <v>1.0978000000000001</v>
      </c>
      <c r="D38" s="27">
        <v>1.0158</v>
      </c>
      <c r="E38" s="27">
        <v>0.76929999999999998</v>
      </c>
      <c r="F38" s="27">
        <v>0.91654000000000002</v>
      </c>
      <c r="G38" s="27">
        <v>0.94699999999999995</v>
      </c>
      <c r="H38" s="27">
        <v>0.90310000000000001</v>
      </c>
      <c r="I38" s="27">
        <v>1.0287999999999999</v>
      </c>
      <c r="J38" s="27">
        <v>0.96650000000000003</v>
      </c>
      <c r="K38" s="36">
        <v>0.92979999999999996</v>
      </c>
      <c r="L38" s="27">
        <v>0.92500000000000004</v>
      </c>
      <c r="M38" s="45">
        <v>0.86270000000000002</v>
      </c>
      <c r="N38" s="27">
        <v>0.92600000000000005</v>
      </c>
      <c r="O38" s="27">
        <v>0.92200000000000004</v>
      </c>
      <c r="P38" s="27">
        <v>0.91785000000000005</v>
      </c>
      <c r="Q38" s="27">
        <v>0.93864999999999998</v>
      </c>
      <c r="R38" s="37">
        <v>0.78934000000000004</v>
      </c>
      <c r="S38" s="27">
        <f t="shared" si="0"/>
        <v>1.0238760000000002</v>
      </c>
      <c r="T38" s="22">
        <v>0.930922424242424</v>
      </c>
      <c r="U38" s="8">
        <v>1.0134000000000001</v>
      </c>
      <c r="V38" s="16">
        <v>0.95760000000000001</v>
      </c>
      <c r="W38" s="52">
        <v>0.95506000000000046</v>
      </c>
      <c r="X38" s="52">
        <v>0.79779999999999995</v>
      </c>
    </row>
    <row r="39" spans="1:24" ht="22.5" customHeight="1" thickTop="1" thickBot="1">
      <c r="A39" s="26">
        <v>38</v>
      </c>
      <c r="B39" s="27">
        <v>0.76829999999999998</v>
      </c>
      <c r="C39" s="27">
        <v>1.0967</v>
      </c>
      <c r="D39" s="27">
        <v>1.0149999999999999</v>
      </c>
      <c r="E39" s="27">
        <v>0.7681</v>
      </c>
      <c r="F39" s="27">
        <v>0.91556999999999999</v>
      </c>
      <c r="G39" s="27">
        <v>0.94589999999999996</v>
      </c>
      <c r="H39" s="27">
        <v>0.90210000000000001</v>
      </c>
      <c r="I39" s="27">
        <v>1.0277000000000001</v>
      </c>
      <c r="J39" s="27">
        <v>0.9657</v>
      </c>
      <c r="K39" s="36">
        <v>0.92889999999999995</v>
      </c>
      <c r="L39" s="27">
        <v>0.92400000000000004</v>
      </c>
      <c r="M39" s="45">
        <v>0.86170000000000002</v>
      </c>
      <c r="N39" s="27">
        <v>0.92600000000000005</v>
      </c>
      <c r="O39" s="27">
        <v>0.92200000000000004</v>
      </c>
      <c r="P39" s="27">
        <v>0.91686000000000001</v>
      </c>
      <c r="Q39" s="27">
        <v>0.93801999999999996</v>
      </c>
      <c r="R39" s="37">
        <v>0.78859999999999997</v>
      </c>
      <c r="S39" s="27">
        <f t="shared" si="0"/>
        <v>1.0231440000000003</v>
      </c>
      <c r="T39" s="22">
        <v>0.92989818181818196</v>
      </c>
      <c r="U39" s="8">
        <v>1.0125999999999999</v>
      </c>
      <c r="V39" s="16">
        <v>0.95760000000000001</v>
      </c>
      <c r="W39" s="52">
        <v>0.95447000000000048</v>
      </c>
      <c r="X39" s="52">
        <v>0.79720000000000002</v>
      </c>
    </row>
    <row r="40" spans="1:24" ht="22.5" customHeight="1" thickTop="1" thickBot="1">
      <c r="A40" s="26">
        <v>39</v>
      </c>
      <c r="B40" s="27">
        <v>0.76739999999999997</v>
      </c>
      <c r="C40" s="27">
        <v>1.0956999999999999</v>
      </c>
      <c r="D40" s="27">
        <v>1.0141</v>
      </c>
      <c r="E40" s="27">
        <v>0.76700000000000002</v>
      </c>
      <c r="F40" s="27">
        <v>0.91459999999999997</v>
      </c>
      <c r="G40" s="27">
        <v>0.94489999999999996</v>
      </c>
      <c r="H40" s="27">
        <v>0.90110000000000001</v>
      </c>
      <c r="I40" s="27">
        <v>1.0265</v>
      </c>
      <c r="J40" s="27">
        <v>0.96489999999999998</v>
      </c>
      <c r="K40" s="36">
        <v>0.92810000000000004</v>
      </c>
      <c r="L40" s="27">
        <v>0.92300000000000004</v>
      </c>
      <c r="M40" s="45">
        <v>0.86070000000000002</v>
      </c>
      <c r="N40" s="27">
        <v>0.92600000000000005</v>
      </c>
      <c r="O40" s="27">
        <v>0.92200000000000004</v>
      </c>
      <c r="P40" s="27">
        <v>0.91579999999999995</v>
      </c>
      <c r="Q40" s="27">
        <v>0.93740000000000001</v>
      </c>
      <c r="R40" s="37">
        <v>0.78786</v>
      </c>
      <c r="S40" s="27">
        <f t="shared" si="0"/>
        <v>1.0224120000000003</v>
      </c>
      <c r="T40" s="22">
        <v>0.92887393939393903</v>
      </c>
      <c r="U40" s="8">
        <v>1.0118</v>
      </c>
      <c r="V40" s="16">
        <v>0.95760000000000001</v>
      </c>
      <c r="W40" s="52">
        <v>0.95388000000000051</v>
      </c>
      <c r="X40" s="52">
        <v>0.79659999999999997</v>
      </c>
    </row>
    <row r="41" spans="1:24" ht="22.5" customHeight="1" thickTop="1" thickBot="1">
      <c r="A41" s="46">
        <v>40</v>
      </c>
      <c r="B41" s="18">
        <v>0.76649999999999996</v>
      </c>
      <c r="C41" s="18">
        <v>1.0946</v>
      </c>
      <c r="D41" s="18">
        <v>1.0132000000000001</v>
      </c>
      <c r="E41" s="18">
        <v>0.76580000000000004</v>
      </c>
      <c r="F41" s="16">
        <v>0.91366000000000003</v>
      </c>
      <c r="G41" s="18">
        <v>0.94389999999999996</v>
      </c>
      <c r="H41" s="18">
        <v>0.9002</v>
      </c>
      <c r="I41" s="18">
        <v>1.0254000000000001</v>
      </c>
      <c r="J41" s="18">
        <v>0.96409999999999996</v>
      </c>
      <c r="K41" s="39">
        <v>0.92720000000000002</v>
      </c>
      <c r="L41" s="18">
        <v>0.92200000000000004</v>
      </c>
      <c r="M41" s="40">
        <v>0.85970000000000002</v>
      </c>
      <c r="N41" s="18">
        <v>0.92600000000000005</v>
      </c>
      <c r="O41" s="18">
        <v>0.92200000000000004</v>
      </c>
      <c r="P41" s="16">
        <v>0.91478000000000004</v>
      </c>
      <c r="Q41" s="27">
        <v>0.93681999999999999</v>
      </c>
      <c r="R41" s="41">
        <v>0.78712000000000004</v>
      </c>
      <c r="S41" s="18">
        <f t="shared" si="0"/>
        <v>1.0216800000000004</v>
      </c>
      <c r="T41" s="16">
        <v>0.92784969696969699</v>
      </c>
      <c r="U41" s="16">
        <v>1.0109999999999999</v>
      </c>
      <c r="V41" s="16">
        <v>0.95760000000000001</v>
      </c>
      <c r="W41" s="52">
        <v>0.95329000000000053</v>
      </c>
      <c r="X41" s="52">
        <v>0.79620000000000002</v>
      </c>
    </row>
    <row r="42" spans="1:24" ht="22.5" customHeight="1" thickTop="1" thickBot="1">
      <c r="A42" s="21">
        <v>41</v>
      </c>
      <c r="B42" s="22">
        <v>0.76559999999999995</v>
      </c>
      <c r="C42" s="22">
        <v>1.0935999999999999</v>
      </c>
      <c r="D42" s="22">
        <v>1.0123</v>
      </c>
      <c r="E42" s="22">
        <v>0.76459999999999995</v>
      </c>
      <c r="F42" s="22">
        <v>0.91269</v>
      </c>
      <c r="G42" s="22">
        <v>0.94289999999999996</v>
      </c>
      <c r="H42" s="22">
        <v>0.8992</v>
      </c>
      <c r="I42" s="22">
        <v>1.0265</v>
      </c>
      <c r="J42" s="22">
        <v>0.96330000000000005</v>
      </c>
      <c r="K42" s="22">
        <v>0.9264</v>
      </c>
      <c r="L42" s="22">
        <v>0.92100000000000004</v>
      </c>
      <c r="M42" s="44">
        <v>0.85870000000000002</v>
      </c>
      <c r="N42" s="22">
        <v>0.92600000000000005</v>
      </c>
      <c r="O42" s="22">
        <v>0.92200000000000004</v>
      </c>
      <c r="P42" s="22">
        <v>0.91374999999999995</v>
      </c>
      <c r="Q42" s="27">
        <v>0.93681999999999999</v>
      </c>
      <c r="R42" s="31">
        <v>0.78637999999999997</v>
      </c>
      <c r="S42" s="22">
        <f t="shared" si="0"/>
        <v>1.0209480000000004</v>
      </c>
      <c r="T42" s="22">
        <v>0.92682545454545395</v>
      </c>
      <c r="U42" s="8">
        <v>1.0098</v>
      </c>
      <c r="V42" s="16">
        <v>0.95760000000000001</v>
      </c>
      <c r="W42" s="52">
        <v>0.95329000000000053</v>
      </c>
      <c r="X42" s="52">
        <v>0.79620000000000002</v>
      </c>
    </row>
    <row r="43" spans="1:24" ht="22.5" customHeight="1" thickTop="1" thickBot="1">
      <c r="A43" s="26">
        <v>42</v>
      </c>
      <c r="B43" s="27">
        <v>0.76470000000000005</v>
      </c>
      <c r="C43" s="27">
        <v>1.0925</v>
      </c>
      <c r="D43" s="27">
        <v>1.0114000000000001</v>
      </c>
      <c r="E43" s="27">
        <v>0.76349999999999996</v>
      </c>
      <c r="F43" s="27">
        <v>0.91171999999999997</v>
      </c>
      <c r="G43" s="22">
        <v>0.94189999999999996</v>
      </c>
      <c r="H43" s="22">
        <v>0.8982</v>
      </c>
      <c r="I43" s="22">
        <v>1.0277000000000001</v>
      </c>
      <c r="J43" s="27">
        <v>0.96250000000000002</v>
      </c>
      <c r="K43" s="22">
        <v>0.92549999999999999</v>
      </c>
      <c r="L43" s="22">
        <v>0.92</v>
      </c>
      <c r="M43" s="45">
        <v>0.85770000000000002</v>
      </c>
      <c r="N43" s="22">
        <v>0.92600000000000005</v>
      </c>
      <c r="O43" s="27">
        <v>0.92200000000000004</v>
      </c>
      <c r="P43" s="27">
        <v>0.91273000000000004</v>
      </c>
      <c r="Q43" s="27">
        <v>0.93681999999999999</v>
      </c>
      <c r="R43" s="37">
        <v>0.78564000000000001</v>
      </c>
      <c r="S43" s="27">
        <f t="shared" si="0"/>
        <v>1.0202160000000005</v>
      </c>
      <c r="T43" s="22">
        <v>0.92580121212121202</v>
      </c>
      <c r="U43" s="8">
        <v>1.0085999999999999</v>
      </c>
      <c r="V43" s="16">
        <v>0.95760000000000001</v>
      </c>
      <c r="W43" s="52">
        <v>0.95329000000000053</v>
      </c>
      <c r="X43" s="52">
        <v>0.79620000000000002</v>
      </c>
    </row>
    <row r="44" spans="1:24" ht="22.5" customHeight="1" thickTop="1" thickBot="1">
      <c r="A44" s="26">
        <v>43</v>
      </c>
      <c r="B44" s="27">
        <v>0.76390000000000002</v>
      </c>
      <c r="C44" s="27">
        <v>1.0914999999999999</v>
      </c>
      <c r="D44" s="27">
        <v>1.0105999999999999</v>
      </c>
      <c r="E44" s="27">
        <v>0.76229999999999998</v>
      </c>
      <c r="F44" s="27">
        <v>0.91073000000000004</v>
      </c>
      <c r="G44" s="27">
        <v>0.94089999999999996</v>
      </c>
      <c r="H44" s="27">
        <v>0.8972</v>
      </c>
      <c r="I44" s="27">
        <v>1.0287999999999999</v>
      </c>
      <c r="J44" s="27">
        <v>0.9617</v>
      </c>
      <c r="K44" s="27">
        <v>0.92459999999999998</v>
      </c>
      <c r="L44" s="27">
        <v>0.91900000000000004</v>
      </c>
      <c r="M44" s="45">
        <v>0.85670000000000002</v>
      </c>
      <c r="N44" s="22">
        <v>0.92600000000000005</v>
      </c>
      <c r="O44" s="27">
        <v>0.92200000000000004</v>
      </c>
      <c r="P44" s="27">
        <v>0.91168000000000005</v>
      </c>
      <c r="Q44" s="27">
        <v>0.93681999999999999</v>
      </c>
      <c r="R44" s="37">
        <v>0.78490000000000004</v>
      </c>
      <c r="S44" s="27">
        <f t="shared" si="0"/>
        <v>1.0194840000000005</v>
      </c>
      <c r="T44" s="22">
        <v>0.92477696969696899</v>
      </c>
      <c r="U44" s="8">
        <v>1.0074000000000001</v>
      </c>
      <c r="V44" s="16">
        <v>0.95760000000000001</v>
      </c>
      <c r="W44" s="52">
        <v>0.95329000000000053</v>
      </c>
      <c r="X44" s="52">
        <v>0.79620000000000002</v>
      </c>
    </row>
    <row r="45" spans="1:24" ht="22.5" customHeight="1" thickTop="1" thickBot="1">
      <c r="A45" s="26">
        <v>44</v>
      </c>
      <c r="B45" s="27">
        <v>0.76300000000000001</v>
      </c>
      <c r="C45" s="27">
        <v>1.0904</v>
      </c>
      <c r="D45" s="27">
        <v>1.0097</v>
      </c>
      <c r="E45" s="27">
        <v>0.76119999999999999</v>
      </c>
      <c r="F45" s="27">
        <v>0.90983999999999998</v>
      </c>
      <c r="G45" s="27">
        <v>0.93389999999999995</v>
      </c>
      <c r="H45" s="22">
        <v>0.8962</v>
      </c>
      <c r="I45" s="22">
        <v>1.0299</v>
      </c>
      <c r="J45" s="27">
        <v>0.96089999999999998</v>
      </c>
      <c r="K45" s="27">
        <v>0.92369999999999997</v>
      </c>
      <c r="L45" s="27">
        <v>0.91800000000000004</v>
      </c>
      <c r="M45" s="45">
        <v>0.85570000000000002</v>
      </c>
      <c r="N45" s="22">
        <v>0.92600000000000005</v>
      </c>
      <c r="O45" s="27">
        <v>0.92200000000000004</v>
      </c>
      <c r="P45" s="27">
        <v>0.91064999999999996</v>
      </c>
      <c r="Q45" s="27">
        <v>0.93681999999999999</v>
      </c>
      <c r="R45" s="37">
        <v>0.78415999999999997</v>
      </c>
      <c r="S45" s="27">
        <f t="shared" si="0"/>
        <v>1.0187520000000005</v>
      </c>
      <c r="T45" s="22">
        <v>0.92375272727272695</v>
      </c>
      <c r="U45" s="8">
        <v>1.0062</v>
      </c>
      <c r="V45" s="16">
        <v>0.95760000000000001</v>
      </c>
      <c r="W45" s="52">
        <v>0.95329000000000053</v>
      </c>
      <c r="X45" s="52">
        <v>0.79620000000000002</v>
      </c>
    </row>
    <row r="46" spans="1:24" ht="22.5" customHeight="1" thickTop="1" thickBot="1">
      <c r="A46" s="46">
        <v>45</v>
      </c>
      <c r="B46" s="18">
        <v>0.7621</v>
      </c>
      <c r="C46" s="18">
        <v>1.0893999999999999</v>
      </c>
      <c r="D46" s="18">
        <v>1.0087999999999999</v>
      </c>
      <c r="E46" s="18">
        <v>0.76</v>
      </c>
      <c r="F46" s="16">
        <v>0.90878000000000003</v>
      </c>
      <c r="G46" s="18">
        <v>0.93889999999999996</v>
      </c>
      <c r="H46" s="18">
        <v>0.8952</v>
      </c>
      <c r="I46" s="18">
        <v>1.0310999999999999</v>
      </c>
      <c r="J46" s="18">
        <v>0.96009999999999995</v>
      </c>
      <c r="K46" s="18">
        <v>0.92279999999999995</v>
      </c>
      <c r="L46" s="18">
        <v>0.91700000000000004</v>
      </c>
      <c r="M46" s="40">
        <v>0.85470000000000002</v>
      </c>
      <c r="N46" s="16">
        <v>0.92600000000000005</v>
      </c>
      <c r="O46" s="18">
        <v>0.92200000000000004</v>
      </c>
      <c r="P46" s="16">
        <v>0.90963000000000005</v>
      </c>
      <c r="Q46" s="27">
        <v>0.93681999999999999</v>
      </c>
      <c r="R46" s="41">
        <v>0.78342000000000001</v>
      </c>
      <c r="S46" s="18">
        <f t="shared" si="0"/>
        <v>1.0180200000000006</v>
      </c>
      <c r="T46" s="16">
        <v>0.92272848484848502</v>
      </c>
      <c r="U46" s="16">
        <v>1.0049999999999999</v>
      </c>
      <c r="V46" s="16">
        <v>0.95760000000000001</v>
      </c>
      <c r="W46" s="52">
        <v>0.95329000000000053</v>
      </c>
      <c r="X46" s="52">
        <v>0.79620000000000002</v>
      </c>
    </row>
    <row r="47" spans="1:24" ht="18.75" thickTop="1" thickBot="1">
      <c r="A47" s="47">
        <v>46</v>
      </c>
      <c r="B47" s="22">
        <v>0.76124999999999998</v>
      </c>
      <c r="C47" s="22">
        <v>1.08833</v>
      </c>
      <c r="D47" s="22">
        <v>1.0079499999999999</v>
      </c>
      <c r="E47" s="22">
        <v>0.75887000000000004</v>
      </c>
      <c r="F47" s="22">
        <v>0.90781999999999996</v>
      </c>
      <c r="G47" s="22">
        <v>0.93489999999999995</v>
      </c>
      <c r="H47" s="22">
        <v>0.89419999999999999</v>
      </c>
      <c r="I47" s="22">
        <v>1.0322199999999999</v>
      </c>
      <c r="J47" s="22">
        <v>0.95930000000000004</v>
      </c>
      <c r="K47" s="22">
        <v>0.92190000000000005</v>
      </c>
      <c r="L47" s="22">
        <v>0.91600000000000004</v>
      </c>
      <c r="M47" s="44">
        <v>0.85370000000000001</v>
      </c>
      <c r="N47" s="22">
        <v>0.92600000000000005</v>
      </c>
      <c r="O47" s="22">
        <v>0.92200000000000004</v>
      </c>
      <c r="P47" s="22">
        <v>0.90856000000000003</v>
      </c>
      <c r="Q47" s="27">
        <v>0.93681999999999999</v>
      </c>
      <c r="R47" s="31">
        <v>0.78268000000000004</v>
      </c>
      <c r="S47" s="22">
        <f t="shared" si="0"/>
        <v>1.0172880000000006</v>
      </c>
      <c r="T47" s="22">
        <v>0.92170424242424398</v>
      </c>
      <c r="U47" s="8">
        <v>1.0038</v>
      </c>
      <c r="V47" s="16">
        <v>0.95760000000000001</v>
      </c>
      <c r="W47" s="52">
        <v>0.95329000000000053</v>
      </c>
      <c r="X47" s="52">
        <v>0.79620000000000002</v>
      </c>
    </row>
    <row r="48" spans="1:24" ht="18.75" thickTop="1" thickBot="1">
      <c r="A48" s="47">
        <v>47</v>
      </c>
      <c r="B48" s="27">
        <v>0.76037999999999994</v>
      </c>
      <c r="C48" s="27">
        <v>1.08728</v>
      </c>
      <c r="D48" s="27">
        <v>1.00708</v>
      </c>
      <c r="E48" s="27">
        <v>0.75771999999999995</v>
      </c>
      <c r="F48" s="27">
        <v>0.90683000000000002</v>
      </c>
      <c r="G48" s="22">
        <v>0.93330000000000002</v>
      </c>
      <c r="H48" s="22">
        <v>0.89319999999999999</v>
      </c>
      <c r="I48" s="22">
        <v>1.0333600000000001</v>
      </c>
      <c r="J48" s="27">
        <v>0.95850000000000002</v>
      </c>
      <c r="K48" s="22">
        <v>0.92100000000000004</v>
      </c>
      <c r="L48" s="22">
        <v>0.91500000000000004</v>
      </c>
      <c r="M48" s="45">
        <v>0.85270000000000001</v>
      </c>
      <c r="N48" s="22">
        <v>0.92600000000000005</v>
      </c>
      <c r="O48" s="27">
        <v>0.92200000000000004</v>
      </c>
      <c r="P48" s="27">
        <v>0.90751999999999999</v>
      </c>
      <c r="Q48" s="27">
        <v>0.93681999999999999</v>
      </c>
      <c r="R48" s="37">
        <v>0.78193999999999997</v>
      </c>
      <c r="S48" s="27">
        <f t="shared" si="0"/>
        <v>1.0165560000000007</v>
      </c>
      <c r="T48" s="22">
        <v>0.92068000000000205</v>
      </c>
      <c r="U48" s="8">
        <v>1.0025999999999999</v>
      </c>
      <c r="V48" s="16">
        <v>0.95760000000000001</v>
      </c>
      <c r="W48" s="52">
        <v>0.95329000000000053</v>
      </c>
      <c r="X48" s="52">
        <v>0.79620000000000002</v>
      </c>
    </row>
    <row r="49" spans="1:24" ht="18.75" thickTop="1" thickBot="1">
      <c r="A49" s="47">
        <v>48</v>
      </c>
      <c r="B49" s="27">
        <v>0.75951000000000002</v>
      </c>
      <c r="C49" s="27">
        <v>1.08623</v>
      </c>
      <c r="D49" s="27">
        <v>1.00621</v>
      </c>
      <c r="E49" s="27">
        <v>0.75656999999999996</v>
      </c>
      <c r="F49" s="27">
        <v>0.90585000000000004</v>
      </c>
      <c r="G49" s="27">
        <v>0.93169999999999997</v>
      </c>
      <c r="H49" s="27">
        <v>0.89219999999999999</v>
      </c>
      <c r="I49" s="27">
        <v>1.0345</v>
      </c>
      <c r="J49" s="27">
        <v>0.9577</v>
      </c>
      <c r="K49" s="27">
        <v>0.92010000000000003</v>
      </c>
      <c r="L49" s="27">
        <v>0.91400000000000003</v>
      </c>
      <c r="M49" s="45">
        <v>0.85170000000000001</v>
      </c>
      <c r="N49" s="22">
        <v>0.92600000000000005</v>
      </c>
      <c r="O49" s="27">
        <v>0.92200000000000004</v>
      </c>
      <c r="P49" s="27">
        <v>0.90647999999999995</v>
      </c>
      <c r="Q49" s="27">
        <v>0.93681999999999999</v>
      </c>
      <c r="R49" s="37">
        <v>0.78120000000000001</v>
      </c>
      <c r="S49" s="27">
        <f t="shared" si="0"/>
        <v>1.0158240000000007</v>
      </c>
      <c r="T49" s="22">
        <v>0.91965575757576001</v>
      </c>
      <c r="U49" s="8">
        <v>1.0014000000000001</v>
      </c>
      <c r="V49" s="16">
        <v>0.95760000000000001</v>
      </c>
      <c r="W49" s="52">
        <v>0.95329000000000053</v>
      </c>
      <c r="X49" s="52">
        <v>0.79620000000000002</v>
      </c>
    </row>
    <row r="50" spans="1:24" ht="18.75" thickTop="1" thickBot="1">
      <c r="A50" s="47">
        <v>49</v>
      </c>
      <c r="B50" s="27">
        <v>0.75863999999999998</v>
      </c>
      <c r="C50" s="27">
        <v>1.08518</v>
      </c>
      <c r="D50" s="27">
        <v>1.0053399999999999</v>
      </c>
      <c r="E50" s="27">
        <v>0.75541999999999998</v>
      </c>
      <c r="F50" s="27">
        <v>0.90488000000000002</v>
      </c>
      <c r="G50" s="27">
        <v>0.93010000000000004</v>
      </c>
      <c r="H50" s="22">
        <v>0.89119999999999999</v>
      </c>
      <c r="I50" s="22">
        <v>1.0356399999999999</v>
      </c>
      <c r="J50" s="27">
        <v>0.95689999999999997</v>
      </c>
      <c r="K50" s="27">
        <v>0.91920000000000002</v>
      </c>
      <c r="L50" s="27">
        <v>0.91300000000000003</v>
      </c>
      <c r="M50" s="45">
        <v>0.85070000000000001</v>
      </c>
      <c r="N50" s="22">
        <v>0.92600000000000005</v>
      </c>
      <c r="O50" s="27">
        <v>0.92200000000000004</v>
      </c>
      <c r="P50" s="27">
        <v>0.90542999999999996</v>
      </c>
      <c r="Q50" s="27">
        <v>0.93681999999999999</v>
      </c>
      <c r="R50" s="37">
        <v>0.78046000000000004</v>
      </c>
      <c r="S50" s="27">
        <f t="shared" si="0"/>
        <v>1.0150920000000008</v>
      </c>
      <c r="T50" s="22">
        <v>0.91863151515151897</v>
      </c>
      <c r="U50" s="8">
        <v>1.0002</v>
      </c>
      <c r="V50" s="16">
        <v>0.95760000000000001</v>
      </c>
      <c r="W50" s="52">
        <v>0.95329000000000053</v>
      </c>
      <c r="X50" s="52">
        <v>0.79620000000000002</v>
      </c>
    </row>
    <row r="51" spans="1:24" ht="18.75" thickTop="1" thickBot="1">
      <c r="A51" s="48">
        <v>50</v>
      </c>
      <c r="B51" s="18">
        <v>0.75777000000000005</v>
      </c>
      <c r="C51" s="18">
        <v>1.08413</v>
      </c>
      <c r="D51" s="18">
        <v>1.00447</v>
      </c>
      <c r="E51" s="18">
        <v>0.75427</v>
      </c>
      <c r="F51" s="16">
        <v>0.90390999999999999</v>
      </c>
      <c r="G51" s="18">
        <v>0.92849999999999999</v>
      </c>
      <c r="H51" s="18">
        <v>0.89019999999999999</v>
      </c>
      <c r="I51" s="18">
        <v>1.03678</v>
      </c>
      <c r="J51" s="18">
        <v>0.95609999999999995</v>
      </c>
      <c r="K51" s="18">
        <v>0.91830000000000001</v>
      </c>
      <c r="L51" s="18">
        <v>0.91200000000000003</v>
      </c>
      <c r="M51" s="40">
        <v>0.84970000000000001</v>
      </c>
      <c r="N51" s="16">
        <v>0.92600000000000005</v>
      </c>
      <c r="O51" s="18">
        <v>0.92200000000000004</v>
      </c>
      <c r="P51" s="16">
        <v>0.90439000000000003</v>
      </c>
      <c r="Q51" s="27">
        <v>0.93681999999999999</v>
      </c>
      <c r="R51" s="41">
        <v>0.77971999999999997</v>
      </c>
      <c r="S51" s="18">
        <f t="shared" si="0"/>
        <v>1.0143600000000008</v>
      </c>
      <c r="T51" s="16">
        <v>0.91760727272727705</v>
      </c>
      <c r="U51" s="16">
        <v>0.999</v>
      </c>
      <c r="V51" s="16">
        <v>0.95760000000000001</v>
      </c>
      <c r="W51" s="52">
        <v>0.95329000000000053</v>
      </c>
      <c r="X51" s="52">
        <v>0.79620000000000002</v>
      </c>
    </row>
    <row r="52" spans="1:24" ht="18" thickTop="1">
      <c r="B52" s="49"/>
      <c r="C52" s="49"/>
      <c r="D52" s="49"/>
      <c r="E52" s="49"/>
      <c r="F52" s="49"/>
      <c r="G52" s="49"/>
      <c r="H52" s="49"/>
      <c r="I52" s="49"/>
      <c r="J52" s="49"/>
      <c r="U52" s="8"/>
    </row>
    <row r="53" spans="1:24">
      <c r="U53" s="8"/>
    </row>
    <row r="54" spans="1:24">
      <c r="U54" s="8"/>
    </row>
    <row r="55" spans="1:24">
      <c r="U55" s="8"/>
    </row>
    <row r="56" spans="1:24">
      <c r="U56" s="8"/>
    </row>
    <row r="57" spans="1:24">
      <c r="U57" s="8"/>
    </row>
    <row r="58" spans="1:24">
      <c r="U58" s="8"/>
    </row>
    <row r="59" spans="1:24">
      <c r="U59" s="8"/>
    </row>
    <row r="60" spans="1:24">
      <c r="U60" s="8"/>
    </row>
    <row r="61" spans="1:24">
      <c r="U61" s="8"/>
    </row>
    <row r="62" spans="1:24">
      <c r="U62" s="8"/>
    </row>
    <row r="63" spans="1:24">
      <c r="U63" s="8"/>
    </row>
    <row r="64" spans="1:24">
      <c r="U64" s="8"/>
    </row>
    <row r="65" spans="21:21">
      <c r="U65" s="8"/>
    </row>
    <row r="66" spans="21:21">
      <c r="U66" s="8"/>
    </row>
    <row r="67" spans="21:21">
      <c r="U67" s="8"/>
    </row>
    <row r="68" spans="21:21">
      <c r="U68" s="8"/>
    </row>
    <row r="69" spans="21:21">
      <c r="U69" s="8"/>
    </row>
    <row r="70" spans="21:21">
      <c r="U70" s="8"/>
    </row>
    <row r="71" spans="21:21">
      <c r="U71" s="8"/>
    </row>
    <row r="72" spans="21:21">
      <c r="U72" s="8"/>
    </row>
    <row r="73" spans="21:21">
      <c r="U73" s="8"/>
    </row>
    <row r="74" spans="21:21">
      <c r="U74" s="8"/>
    </row>
    <row r="75" spans="21:21">
      <c r="U75" s="8"/>
    </row>
    <row r="76" spans="21:21">
      <c r="U76" s="8"/>
    </row>
    <row r="77" spans="21:21">
      <c r="U77" s="8"/>
    </row>
    <row r="78" spans="21:21">
      <c r="U78" s="8"/>
    </row>
    <row r="79" spans="21:21">
      <c r="U79" s="8"/>
    </row>
    <row r="80" spans="21:21">
      <c r="U80" s="8"/>
    </row>
    <row r="81" spans="21:21">
      <c r="U81" s="8"/>
    </row>
    <row r="82" spans="21:21">
      <c r="U82" s="8"/>
    </row>
    <row r="83" spans="21:21">
      <c r="U83" s="8"/>
    </row>
    <row r="84" spans="21:21">
      <c r="U84" s="8"/>
    </row>
    <row r="85" spans="21:21">
      <c r="U85" s="8"/>
    </row>
    <row r="86" spans="21:21">
      <c r="U86" s="8"/>
    </row>
    <row r="87" spans="21:21">
      <c r="U87" s="8"/>
    </row>
    <row r="88" spans="21:21">
      <c r="U88" s="8"/>
    </row>
    <row r="89" spans="21:21">
      <c r="U89" s="8"/>
    </row>
    <row r="90" spans="21:21">
      <c r="U90" s="8"/>
    </row>
    <row r="91" spans="21:21">
      <c r="U91" s="8"/>
    </row>
    <row r="92" spans="21:21">
      <c r="U92" s="8"/>
    </row>
    <row r="93" spans="21:21">
      <c r="U93" s="8"/>
    </row>
    <row r="94" spans="21:21">
      <c r="U94" s="8"/>
    </row>
  </sheetData>
  <phoneticPr fontId="2" type="noConversion"/>
  <pageMargins left="0.42" right="0.2" top="0.36" bottom="0.43" header="0.5" footer="0.5"/>
  <pageSetup paperSize="9" scale="48" orientation="landscape" verticalDpi="18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63">
    <pageSetUpPr fitToPage="1"/>
  </sheetPr>
  <dimension ref="A1:CU223"/>
  <sheetViews>
    <sheetView view="pageBreakPreview" zoomScale="70" zoomScaleNormal="100" zoomScaleSheetLayoutView="70" workbookViewId="0">
      <selection activeCell="D14" sqref="D14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08" t="s" ph="1">
        <v>192</v>
      </c>
      <c r="C1" s="208" ph="1"/>
      <c r="D1" s="208" ph="1"/>
      <c r="E1" s="208" ph="1"/>
      <c r="F1" s="208" ph="1"/>
      <c r="G1" s="208" ph="1"/>
      <c r="H1" s="208" ph="1"/>
      <c r="I1" s="208" ph="1"/>
      <c r="J1" s="208" ph="1"/>
      <c r="K1" s="208" ph="1"/>
      <c r="L1" s="208" ph="1"/>
      <c r="M1" s="208" ph="1"/>
      <c r="N1" s="208" ph="1"/>
      <c r="O1" s="208" ph="1"/>
      <c r="P1" s="208" ph="1"/>
      <c r="Q1" s="208" ph="1"/>
      <c r="R1" s="208" ph="1"/>
      <c r="S1" s="208" ph="1"/>
      <c r="T1" s="208" ph="1"/>
      <c r="U1" s="208" ph="1"/>
      <c r="V1" s="208" ph="1"/>
      <c r="W1" s="208" ph="1"/>
      <c r="X1" s="208" ph="1"/>
      <c r="Y1" s="208" ph="1"/>
      <c r="Z1" s="208" ph="1"/>
      <c r="AA1" s="208" ph="1"/>
      <c r="AB1" s="208" ph="1"/>
      <c r="AC1" s="208" ph="1"/>
      <c r="AD1" s="208" ph="1"/>
      <c r="AE1" s="208" ph="1"/>
    </row>
    <row r="2" spans="1:99" s="66" customFormat="1" ht="24" customHeight="1" ph="1">
      <c r="B2" s="209" t="s" ph="1">
        <v>99</v>
      </c>
      <c r="C2" s="209" ph="1"/>
      <c r="D2" s="209" ph="1"/>
      <c r="E2" s="209" ph="1"/>
      <c r="F2" s="209" ph="1"/>
      <c r="G2" s="209" ph="1"/>
      <c r="H2" s="209" ph="1"/>
      <c r="I2" s="209" ph="1"/>
      <c r="J2" s="209" ph="1"/>
      <c r="K2" s="209" ph="1"/>
      <c r="L2" s="209" ph="1"/>
      <c r="M2" s="209" ph="1"/>
      <c r="N2" s="209" ph="1"/>
      <c r="O2" s="209" ph="1"/>
      <c r="P2" s="209" ph="1"/>
      <c r="Q2" s="209" ph="1"/>
      <c r="R2" s="209" ph="1"/>
      <c r="S2" s="209" ph="1"/>
      <c r="T2" s="209" ph="1"/>
      <c r="U2" s="209" ph="1"/>
      <c r="V2" s="209" ph="1"/>
      <c r="W2" s="209" ph="1"/>
      <c r="X2" s="209" ph="1"/>
      <c r="Y2" s="209" ph="1"/>
      <c r="Z2" s="209" ph="1"/>
      <c r="AA2" s="209" ph="1"/>
      <c r="AB2" s="209" ph="1"/>
      <c r="AC2" s="209" ph="1"/>
      <c r="AD2" s="209" ph="1"/>
      <c r="AE2" s="209" ph="1"/>
    </row>
    <row r="3" spans="1:99" ht="21" customHeight="1" ph="1">
      <c r="B3" s="210" ph="1">
        <v>45681</v>
      </c>
      <c r="C3" s="210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210"/>
      <c r="R3" s="210"/>
      <c r="S3" s="210"/>
      <c r="T3" s="210"/>
      <c r="U3" s="210"/>
      <c r="V3" s="210"/>
      <c r="W3" s="210"/>
      <c r="X3" s="210"/>
      <c r="Y3" s="210"/>
      <c r="Z3" s="210"/>
      <c r="AA3" s="210"/>
      <c r="AB3" s="210"/>
      <c r="AC3" s="210"/>
      <c r="AD3" s="210"/>
      <c r="AE3" s="210"/>
    </row>
    <row r="4" spans="1:99" s="69" customFormat="1" ph="1">
      <c r="A4" s="65" ph="1"/>
      <c r="B4" s="211" t="s" ph="1">
        <v>37</v>
      </c>
      <c r="C4" s="67" t="s" ph="1">
        <v>207</v>
      </c>
      <c r="D4" s="68" t="s" ph="1">
        <v>45</v>
      </c>
      <c r="E4" s="68" t="s" ph="1">
        <v>46</v>
      </c>
      <c r="F4" s="68" t="s" ph="1">
        <v>39</v>
      </c>
      <c r="G4" s="68" t="s" ph="1">
        <v>47</v>
      </c>
      <c r="H4" s="68" t="s" ph="1">
        <v>48</v>
      </c>
      <c r="I4" s="68" t="s" ph="1">
        <v>132</v>
      </c>
      <c r="J4" s="68" t="s" ph="1">
        <v>49</v>
      </c>
      <c r="K4" s="68" t="s" ph="1">
        <v>133</v>
      </c>
      <c r="L4" s="68" t="s" ph="1">
        <v>134</v>
      </c>
      <c r="M4" s="68" t="s" ph="1">
        <v>50</v>
      </c>
      <c r="N4" s="68" t="s" ph="1">
        <v>51</v>
      </c>
      <c r="O4" s="68" t="s" ph="1">
        <v>136</v>
      </c>
      <c r="P4" s="68" t="s" ph="1">
        <v>138</v>
      </c>
      <c r="Q4" s="68" t="s" ph="1">
        <v>139</v>
      </c>
      <c r="R4" s="68" t="s" ph="1">
        <v>140</v>
      </c>
      <c r="S4" s="68" t="s" ph="1">
        <v>141</v>
      </c>
      <c r="T4" s="68" t="s" ph="1">
        <v>142</v>
      </c>
      <c r="U4" s="68" t="s" ph="1">
        <v>143</v>
      </c>
      <c r="V4" s="68" t="s" ph="1">
        <v>144</v>
      </c>
      <c r="W4" s="68" t="s" ph="1">
        <v>145</v>
      </c>
      <c r="X4" s="68" t="s" ph="1">
        <v>146</v>
      </c>
      <c r="Y4" s="68" t="s" ph="1">
        <v>147</v>
      </c>
      <c r="Z4" s="68" t="s" ph="1">
        <v>52</v>
      </c>
      <c r="AA4" s="68" t="s" ph="1">
        <v>148</v>
      </c>
      <c r="AB4" s="68" t="s" ph="1">
        <v>149</v>
      </c>
      <c r="AC4" s="68" t="s" ph="1">
        <v>150</v>
      </c>
      <c r="AD4" s="68" t="s" ph="1">
        <v>40</v>
      </c>
      <c r="AE4" s="68" t="s" ph="1">
        <v>151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1" ph="1"/>
      <c r="C5" s="67" t="s" ph="1">
        <v>36</v>
      </c>
      <c r="D5" s="70" t="s" ph="1">
        <v>191</v>
      </c>
      <c r="E5" s="70" t="s" ph="1">
        <v>55</v>
      </c>
      <c r="F5" s="70" t="s" ph="1">
        <v>129</v>
      </c>
      <c r="G5" s="70" t="s" ph="1">
        <v>56</v>
      </c>
      <c r="H5" s="70" t="s" ph="1">
        <v>56</v>
      </c>
      <c r="I5" s="70" t="s" ph="1">
        <v>57</v>
      </c>
      <c r="J5" s="70" t="s" ph="1">
        <v>58</v>
      </c>
      <c r="K5" s="70" t="s" ph="1">
        <v>59</v>
      </c>
      <c r="L5" s="70" t="s" ph="1">
        <v>135</v>
      </c>
      <c r="M5" s="70" t="s" ph="1">
        <v>60</v>
      </c>
      <c r="N5" s="70" t="s" ph="1">
        <v>61</v>
      </c>
      <c r="O5" s="70" t="s" ph="1">
        <v>137</v>
      </c>
      <c r="P5" s="70" t="s" ph="1">
        <v>88</v>
      </c>
      <c r="Q5" s="70" t="s" ph="1">
        <v>96</v>
      </c>
      <c r="R5" s="70" t="s" ph="1">
        <v>96</v>
      </c>
      <c r="S5" s="70" t="s" ph="1">
        <v>96</v>
      </c>
      <c r="T5" s="70" t="s" ph="1">
        <v>96</v>
      </c>
      <c r="U5" s="70" t="s" ph="1">
        <v>96</v>
      </c>
      <c r="V5" s="70" t="s" ph="1">
        <v>96</v>
      </c>
      <c r="W5" s="70" t="s" ph="1">
        <v>96</v>
      </c>
      <c r="X5" s="70" t="s" ph="1">
        <v>96</v>
      </c>
      <c r="Y5" s="70" t="s" ph="1">
        <v>96</v>
      </c>
      <c r="Z5" s="70" t="s" ph="1">
        <v>95</v>
      </c>
      <c r="AA5" s="70" t="s" ph="1">
        <v>62</v>
      </c>
      <c r="AB5" s="70" t="s" ph="1">
        <v>62</v>
      </c>
      <c r="AC5" s="70" t="s" ph="1">
        <v>219</v>
      </c>
      <c r="AD5" s="70" t="s" ph="1">
        <v>83</v>
      </c>
      <c r="AE5" s="70" t="s" ph="1">
        <v>654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07" ph="1">
        <v>0.33333333333333331</v>
      </c>
      <c r="C6" s="143" t="s" ph="1">
        <v>208</v>
      </c>
      <c r="D6" s="71">
        <v>4100</v>
      </c>
      <c r="E6" s="71">
        <v>0</v>
      </c>
      <c r="F6" s="71">
        <v>6361</v>
      </c>
      <c r="G6" s="71">
        <v>8886</v>
      </c>
      <c r="H6" s="71">
        <v>3503</v>
      </c>
      <c r="I6" s="71">
        <v>39.11</v>
      </c>
      <c r="J6" s="71">
        <v>80.02</v>
      </c>
      <c r="K6" s="71">
        <v>82.15</v>
      </c>
      <c r="L6" s="71">
        <v>45.01</v>
      </c>
      <c r="M6" s="71">
        <v>4992</v>
      </c>
      <c r="N6" s="71">
        <v>5236</v>
      </c>
      <c r="O6" s="71">
        <v>4119</v>
      </c>
      <c r="P6" s="71">
        <v>6591</v>
      </c>
      <c r="Q6" s="71">
        <v>0</v>
      </c>
      <c r="R6" s="71">
        <v>0</v>
      </c>
      <c r="S6" s="71">
        <v>0</v>
      </c>
      <c r="T6" s="71">
        <v>0</v>
      </c>
      <c r="U6" s="71">
        <v>6263</v>
      </c>
      <c r="V6" s="71">
        <v>3251</v>
      </c>
      <c r="W6" s="71">
        <v>0</v>
      </c>
      <c r="X6" s="71">
        <v>0</v>
      </c>
      <c r="Y6" s="71">
        <v>1000</v>
      </c>
      <c r="Z6" s="71">
        <v>5811</v>
      </c>
      <c r="AA6" s="71">
        <v>1716</v>
      </c>
      <c r="AB6" s="71">
        <v>3538</v>
      </c>
      <c r="AC6" s="71">
        <v>7332</v>
      </c>
      <c r="AD6" s="71">
        <v>255</v>
      </c>
      <c r="AE6" s="71">
        <v>3523</v>
      </c>
    </row>
    <row r="7" spans="1:99" s="72" customFormat="1" ht="22.5" ph="1">
      <c r="B7" s="207" ph="1"/>
      <c r="C7" s="68" t="s" ph="1">
        <v>209</v>
      </c>
      <c r="D7" s="73" ph="1">
        <f>D6*33.183*LOOKUP(D8,密度!$A$2:$A$50,密度!$Q$2:$Q$50)</f>
        <v>129737.56607999999</v>
      </c>
      <c r="E7" s="73" ph="1">
        <f>E6*51.53*LOOKUP(E8,密度!$A$2:$A$50,密度!$I$2:$I$50)</f>
        <v>0</v>
      </c>
      <c r="F7" s="73" ph="1">
        <f>F6*33.183*LOOKUP(F8,密度!$A$2:$A$50,密度!$C$2:$C$50)</f>
        <v>235118.74047569997</v>
      </c>
      <c r="G7" s="73" ph="1">
        <f xml:space="preserve"> (G6+2)*51.53*LOOKUP(G8,密度!$A$2:$A$50,密度!$B$2:$B$50)</f>
        <v>360536.529408</v>
      </c>
      <c r="H7" s="73" ph="1">
        <f>(H6)*51.53*LOOKUP(H8,密度!$A$2:$A$50,密度!$B$2:$B$50)</f>
        <v>142855.28952600001</v>
      </c>
      <c r="I7" s="73" ph="1">
        <f>I6*290.8*1.0267</f>
        <v>11676.8521196</v>
      </c>
      <c r="J7" s="73" ph="1">
        <f>J6*290.8*0.7892</f>
        <v>18364.538787199999</v>
      </c>
      <c r="K7" s="73" ph="1">
        <f>K6*290.8*1.1126</f>
        <v>26579.146172000001</v>
      </c>
      <c r="L7" s="73" ph="1">
        <f>L6*290.8*0.777</f>
        <v>10170.081516</v>
      </c>
      <c r="M7" s="73" ph="1">
        <f>M6*33.183*LOOKUP(M8,密度!$A$2:$A$50,密度!$D$2:$D$50)</f>
        <v>171414.13985279997</v>
      </c>
      <c r="N7" s="73" ph="1">
        <f>N6*33.183*LOOKUP(N8,密度!$A$2:$A$50,密度!$E$2:$E$50)</f>
        <v>137693.85399</v>
      </c>
      <c r="O7" s="73" ph="1">
        <f>O6*20.428*LOOKUP(O8,密度!$A$2:$A$50,密度!$C$2:$C$50)</f>
        <v>93491.211745199995</v>
      </c>
      <c r="P7" s="73" ph="1">
        <f>P6*51.53*LOOKUP(P8,密度!$A$2:$A$50,密度!$B$2:$B$50)</f>
        <v>267360.065856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41880.027142799998</v>
      </c>
      <c r="V7" s="73" ph="1">
        <f>V6*1.5*1.5*3.1416*LOOKUP(V8,密度!$A$2:$A$50,密度!$L$2:$L$50)</f>
        <v>21624.1975026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6686.8955999999989</v>
      </c>
      <c r="Z7" s="73" ph="1">
        <f>Z6*33.183*LOOKUP(Z8,密度!$A$2:$A$50,密度!$L$2:$L$50)</f>
        <v>182220.96028499998</v>
      </c>
      <c r="AA7" s="73" ph="1">
        <f>AA6*33.183*LOOKUP(AA8,密度!$A$2:$A$50,密度!$D$2:$D$50)</f>
        <v>58923.610574399994</v>
      </c>
      <c r="AB7" s="73" ph="1">
        <f>AB6*20.428*LOOKUP(AB8,密度!$A$2:$A$50,密度!$D$2:$D$50)</f>
        <v>75360.375072800001</v>
      </c>
      <c r="AC7" s="73" ph="1">
        <f>AC6*51.53*LOOKUP(AC8,密度!$A$2:$A$50,密度!$Q$2:$Q$50)</f>
        <v>360642.35553840006</v>
      </c>
      <c r="AD7" s="73" ph="1">
        <f>AD6*20.428*LOOKUP(AD8,密度!$A$2:$A$50,密度!$V$2:$V$50)</f>
        <v>5021.61096</v>
      </c>
      <c r="AE7" s="73" ph="1">
        <f>AE6*20.428</f>
        <v>71967.843999999997</v>
      </c>
    </row>
    <row r="8" spans="1:99" ph="1">
      <c r="B8" s="207" ph="1"/>
      <c r="C8" s="68" t="s" ph="1">
        <v>210</v>
      </c>
      <c r="D8" s="74">
        <v>16</v>
      </c>
      <c r="E8" s="74">
        <v>15</v>
      </c>
      <c r="F8" s="74">
        <v>18</v>
      </c>
      <c r="G8" s="74">
        <v>16</v>
      </c>
      <c r="H8" s="74">
        <v>11</v>
      </c>
      <c r="I8" s="74">
        <v>25</v>
      </c>
      <c r="J8" s="74">
        <v>25</v>
      </c>
      <c r="K8" s="74">
        <v>25</v>
      </c>
      <c r="L8" s="74">
        <v>25</v>
      </c>
      <c r="M8" s="74">
        <v>16</v>
      </c>
      <c r="N8" s="74">
        <v>17</v>
      </c>
      <c r="O8" s="74">
        <v>22</v>
      </c>
      <c r="P8" s="74">
        <v>16</v>
      </c>
      <c r="Q8" s="74">
        <v>15</v>
      </c>
      <c r="R8" s="74">
        <v>23</v>
      </c>
      <c r="S8" s="74">
        <v>10</v>
      </c>
      <c r="T8" s="74">
        <v>13</v>
      </c>
      <c r="U8" s="74">
        <v>16</v>
      </c>
      <c r="V8" s="74">
        <v>21</v>
      </c>
      <c r="W8" s="74">
        <v>17</v>
      </c>
      <c r="X8" s="74">
        <v>8</v>
      </c>
      <c r="Y8" s="74">
        <v>16</v>
      </c>
      <c r="Z8" s="74">
        <v>17</v>
      </c>
      <c r="AA8" s="74">
        <v>16</v>
      </c>
      <c r="AB8" s="74">
        <v>7</v>
      </c>
      <c r="AC8" s="74">
        <v>14</v>
      </c>
      <c r="AD8" s="74">
        <v>14</v>
      </c>
      <c r="AE8" s="74">
        <v>21</v>
      </c>
    </row>
    <row r="9" spans="1:99" ph="1">
      <c r="B9" s="207" ph="1">
        <v>0.66666666666666663</v>
      </c>
      <c r="C9" s="143" t="s" ph="1">
        <v>211</v>
      </c>
      <c r="D9" s="71">
        <v>4100</v>
      </c>
      <c r="E9" s="71">
        <v>0</v>
      </c>
      <c r="F9" s="71">
        <v>7138</v>
      </c>
      <c r="G9" s="71">
        <v>8886</v>
      </c>
      <c r="H9" s="71">
        <v>3220</v>
      </c>
      <c r="I9" s="71">
        <v>39.119999999999997</v>
      </c>
      <c r="J9" s="71">
        <v>80.12</v>
      </c>
      <c r="K9" s="71">
        <v>82.13</v>
      </c>
      <c r="L9" s="71">
        <v>33.11</v>
      </c>
      <c r="M9" s="71">
        <v>4993</v>
      </c>
      <c r="N9" s="71">
        <v>5238</v>
      </c>
      <c r="O9" s="71">
        <v>3231</v>
      </c>
      <c r="P9" s="71">
        <v>6440</v>
      </c>
      <c r="Q9" s="71">
        <v>0</v>
      </c>
      <c r="R9" s="71">
        <v>0</v>
      </c>
      <c r="S9" s="71">
        <v>0</v>
      </c>
      <c r="T9" s="71">
        <v>0</v>
      </c>
      <c r="U9" s="71">
        <v>5524</v>
      </c>
      <c r="V9" s="71">
        <v>0</v>
      </c>
      <c r="W9" s="71">
        <v>6650</v>
      </c>
      <c r="X9" s="71">
        <v>0</v>
      </c>
      <c r="Y9" s="71">
        <v>1000</v>
      </c>
      <c r="Z9" s="71">
        <v>4804</v>
      </c>
      <c r="AA9" s="71">
        <v>1714</v>
      </c>
      <c r="AB9" s="71">
        <v>3212</v>
      </c>
      <c r="AC9" s="71">
        <v>7330</v>
      </c>
      <c r="AD9" s="71">
        <v>241</v>
      </c>
      <c r="AE9" s="71">
        <v>3807</v>
      </c>
    </row>
    <row r="10" spans="1:99" s="72" customFormat="1" ht="22.5" ph="1">
      <c r="B10" s="207" ph="1"/>
      <c r="C10" s="143" t="s" ph="1">
        <v>209</v>
      </c>
      <c r="D10" s="73" ph="1">
        <f>D9*33.183*LOOKUP(D11,密度!$A$2:$A$50,密度!$Q$2:$Q$50)</f>
        <v>129628.72583999998</v>
      </c>
      <c r="E10" s="73" ph="1">
        <f>E9*51.53*LOOKUP(E11,密度!$A$2:$A$50,密度!$I$2:$I$50)</f>
        <v>0</v>
      </c>
      <c r="F10" s="73" ph="1">
        <f>F9*33.183*LOOKUP(F11,密度!$A$2:$A$50,密度!$C$2:$C$50)</f>
        <v>263672.8347528</v>
      </c>
      <c r="G10" s="73" ph="1">
        <f xml:space="preserve"> (G9+2)*51.53*LOOKUP(G11,密度!$A$2:$A$50,密度!$B$2:$B$50)</f>
        <v>360170.130496</v>
      </c>
      <c r="H10" s="73" ph="1">
        <f>(H9)*51.53*LOOKUP(H11,密度!$A$2:$A$50,密度!$B$2:$B$50)</f>
        <v>131032.23602</v>
      </c>
      <c r="I10" s="73" ph="1">
        <f>I9*290.8*1.0267</f>
        <v>11679.837763199999</v>
      </c>
      <c r="J10" s="73" ph="1">
        <f>J9*290.8*0.7892</f>
        <v>18387.4887232</v>
      </c>
      <c r="K10" s="73" ph="1">
        <f>K9*290.8*1.1126</f>
        <v>26572.675290399999</v>
      </c>
      <c r="L10" s="73" ph="1">
        <f>L9*290.8*0.777</f>
        <v>7481.2574760000007</v>
      </c>
      <c r="M10" s="73" ph="1">
        <f>M9*33.183*LOOKUP(M11,密度!$A$2:$A$50,密度!$D$2:$D$50)</f>
        <v>171166.8169989</v>
      </c>
      <c r="N10" s="73" ph="1">
        <f>N9*33.183*LOOKUP(N11,密度!$A$2:$A$50,密度!$E$2:$E$50)</f>
        <v>137555.25523559999</v>
      </c>
      <c r="O10" s="73" ph="1">
        <f>O9*20.428*LOOKUP(O11,密度!$A$2:$A$50,密度!$C$2:$C$50)</f>
        <v>73289.584627200005</v>
      </c>
      <c r="P10" s="73" ph="1">
        <f>P9*51.53*LOOKUP(P11,密度!$A$2:$A$50,密度!$B$2:$B$50)</f>
        <v>260471.57668000003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36899.364347999996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44373.843359999999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6665.6897999999992</v>
      </c>
      <c r="Z10" s="73" ph="1">
        <f>Z9*33.183*LOOKUP(Z11,密度!$A$2:$A$50,密度!$L$2:$L$50)</f>
        <v>150484.10860800001</v>
      </c>
      <c r="AA10" s="73" ph="1">
        <f>AA9*33.183*LOOKUP(AA11,密度!$A$2:$A$50,密度!$D$2:$D$50)</f>
        <v>58758.246412199995</v>
      </c>
      <c r="AB10" s="73" ph="1">
        <f>AB9*20.428*LOOKUP(AB11,密度!$A$2:$A$50,密度!$D$2:$D$50)</f>
        <v>68357.431964800009</v>
      </c>
      <c r="AC10" s="73" ph="1">
        <f>AC9*51.53*LOOKUP(AC11,密度!$A$2:$A$50,密度!$Q$2:$Q$50)</f>
        <v>360188.92864</v>
      </c>
      <c r="AD10" s="73" ph="1">
        <f>AD9*20.428*LOOKUP(AD11,密度!$A$2:$A$50,密度!$V$2:$V$50)</f>
        <v>4745.9146719999999</v>
      </c>
      <c r="AE10" s="73" ph="1">
        <f>AE9*20.428</f>
        <v>77769.396000000008</v>
      </c>
    </row>
    <row r="11" spans="1:99" ph="1">
      <c r="A11" s="64" t="s" ph="1">
        <v>193</v>
      </c>
      <c r="B11" s="207" ph="1"/>
      <c r="C11" s="143" t="s" ph="1">
        <v>210</v>
      </c>
      <c r="D11" s="74">
        <v>17</v>
      </c>
      <c r="E11" s="74">
        <v>18</v>
      </c>
      <c r="F11" s="74">
        <v>19</v>
      </c>
      <c r="G11" s="74">
        <v>17</v>
      </c>
      <c r="H11" s="74">
        <v>13</v>
      </c>
      <c r="I11" s="74">
        <v>25</v>
      </c>
      <c r="J11" s="74">
        <v>25</v>
      </c>
      <c r="K11" s="74">
        <v>25</v>
      </c>
      <c r="L11" s="74">
        <v>25</v>
      </c>
      <c r="M11" s="74">
        <v>18</v>
      </c>
      <c r="N11" s="74">
        <v>18</v>
      </c>
      <c r="O11" s="74">
        <v>23</v>
      </c>
      <c r="P11" s="74">
        <v>19</v>
      </c>
      <c r="Q11" s="74">
        <v>21</v>
      </c>
      <c r="R11" s="74">
        <v>25</v>
      </c>
      <c r="S11" s="74">
        <v>13</v>
      </c>
      <c r="T11" s="74">
        <v>20</v>
      </c>
      <c r="U11" s="74">
        <v>17</v>
      </c>
      <c r="V11" s="74">
        <v>24</v>
      </c>
      <c r="W11" s="74">
        <v>18</v>
      </c>
      <c r="X11" s="74">
        <v>15</v>
      </c>
      <c r="Y11" s="74">
        <v>19</v>
      </c>
      <c r="Z11" s="74">
        <v>18</v>
      </c>
      <c r="AA11" s="74">
        <v>18</v>
      </c>
      <c r="AB11" s="74">
        <v>8</v>
      </c>
      <c r="AC11" s="74">
        <v>16</v>
      </c>
      <c r="AD11" s="74">
        <v>20</v>
      </c>
      <c r="AE11" s="74">
        <v>28</v>
      </c>
    </row>
    <row r="12" spans="1:99" ht="9.9499999999999993" customHeight="1" ph="1"/>
    <row r="13" spans="1:99" s="72" customFormat="1" ht="29.25" customHeight="1" ph="1">
      <c r="B13" s="215" t="s" ph="1">
        <v>37</v>
      </c>
      <c r="C13" s="143" t="s" ph="1">
        <v>207</v>
      </c>
      <c r="D13" s="76" t="s" ph="1">
        <v>53</v>
      </c>
      <c r="E13" s="76" t="s" ph="1">
        <v>54</v>
      </c>
      <c r="F13" s="76" t="s" ph="1">
        <v>66</v>
      </c>
      <c r="G13" s="76" t="s" ph="1">
        <v>67</v>
      </c>
      <c r="H13" s="76" t="s" ph="1">
        <v>152</v>
      </c>
      <c r="I13" s="76" t="s" ph="1">
        <v>68</v>
      </c>
      <c r="J13" s="76" t="s" ph="1">
        <v>153</v>
      </c>
      <c r="K13" s="76" t="s" ph="1">
        <v>63</v>
      </c>
      <c r="L13" s="76" t="s" ph="1">
        <v>69</v>
      </c>
      <c r="M13" s="76" t="s" ph="1">
        <v>70</v>
      </c>
      <c r="N13" s="76" t="s" ph="1">
        <v>154</v>
      </c>
      <c r="O13" s="76" t="s" ph="1">
        <v>64</v>
      </c>
      <c r="P13" s="76" t="s" ph="1">
        <v>71</v>
      </c>
      <c r="Q13" s="76" t="s" ph="1">
        <v>72</v>
      </c>
      <c r="R13" s="76" t="s" ph="1">
        <v>73</v>
      </c>
      <c r="S13" s="76" t="s" ph="1">
        <v>74</v>
      </c>
      <c r="T13" s="76" t="s" ph="1">
        <v>75</v>
      </c>
      <c r="U13" s="76" t="s" ph="1">
        <v>76</v>
      </c>
      <c r="V13" s="76" t="s" ph="1">
        <v>155</v>
      </c>
      <c r="W13" s="76" t="s" ph="1">
        <v>156</v>
      </c>
      <c r="X13" s="76" t="s" ph="1">
        <v>157</v>
      </c>
      <c r="Y13" s="105" t="s" ph="1">
        <v>77</v>
      </c>
      <c r="Z13" s="76" t="s" ph="1">
        <v>86</v>
      </c>
      <c r="AA13" s="76" t="s" ph="1">
        <v>158</v>
      </c>
      <c r="AB13" s="76" t="s" ph="1">
        <v>159</v>
      </c>
      <c r="AC13" s="76" t="s" ph="1">
        <v>160</v>
      </c>
      <c r="AD13" s="76" t="s" ph="1">
        <v>161</v>
      </c>
      <c r="AE13" s="76" t="s" ph="1">
        <v>162</v>
      </c>
      <c r="AG13" s="72" t="s" ph="1">
        <v>366</v>
      </c>
      <c r="AH13" s="72" t="s" ph="1">
        <v>229</v>
      </c>
      <c r="AI13" s="72" t="s" ph="1">
        <v>230</v>
      </c>
      <c r="AJ13" s="72" t="s" ph="1">
        <v>231</v>
      </c>
      <c r="AK13" s="72" t="s" ph="1">
        <v>232</v>
      </c>
      <c r="AL13" s="72" t="s" ph="1">
        <v>233</v>
      </c>
      <c r="AM13" s="72" t="s" ph="1">
        <v>234</v>
      </c>
      <c r="AN13" s="72" t="s" ph="1">
        <v>235</v>
      </c>
      <c r="AO13" s="72" t="s" ph="1">
        <v>236</v>
      </c>
      <c r="AP13" s="72" t="s" ph="1">
        <v>237</v>
      </c>
      <c r="AQ13" s="72" t="s" ph="1">
        <v>238</v>
      </c>
      <c r="AR13" s="72" t="s" ph="1">
        <v>239</v>
      </c>
      <c r="AS13" s="72" t="s" ph="1">
        <v>240</v>
      </c>
      <c r="AT13" s="72" t="s" ph="1">
        <v>241</v>
      </c>
      <c r="AU13" s="72" t="s" ph="1">
        <v>242</v>
      </c>
      <c r="AV13" s="72" t="s" ph="1">
        <v>243</v>
      </c>
      <c r="AW13" s="72" t="s" ph="1">
        <v>244</v>
      </c>
      <c r="AX13" s="72" t="s" ph="1">
        <v>245</v>
      </c>
      <c r="AY13" s="72" t="s" ph="1">
        <v>367</v>
      </c>
      <c r="AZ13" s="72" t="s" ph="1">
        <v>246</v>
      </c>
      <c r="BA13" s="72" t="s" ph="1">
        <v>247</v>
      </c>
      <c r="BB13" s="72" t="s" ph="1">
        <v>632</v>
      </c>
      <c r="BC13" s="72" t="s" ph="1">
        <v>248</v>
      </c>
      <c r="BD13" s="72" t="s" ph="1">
        <v>368</v>
      </c>
      <c r="BE13" s="72" t="s" ph="1">
        <v>369</v>
      </c>
      <c r="BF13" s="72" t="s" ph="1">
        <v>370</v>
      </c>
      <c r="BG13" s="72" t="s" ph="1">
        <v>371</v>
      </c>
      <c r="BH13" s="72" t="s" ph="1">
        <v>372</v>
      </c>
    </row>
    <row r="14" spans="1:99" s="72" customFormat="1" ht="24" ph="1">
      <c r="B14" s="216" ph="1"/>
      <c r="C14" s="67" t="s" ph="1">
        <v>36</v>
      </c>
      <c r="D14" s="77" t="s" ph="1">
        <v>130</v>
      </c>
      <c r="E14" s="77" t="s" ph="1">
        <v>130</v>
      </c>
      <c r="F14" s="142" t="s" ph="1">
        <v>651</v>
      </c>
      <c r="G14" s="77" t="s" ph="1">
        <v>217</v>
      </c>
      <c r="H14" s="77" t="s" ph="1">
        <v>645</v>
      </c>
      <c r="I14" s="77" t="s" ph="1">
        <v>65</v>
      </c>
      <c r="J14" s="77" t="s" ph="1">
        <v>227</v>
      </c>
      <c r="K14" s="77" t="s" ph="1">
        <v>223</v>
      </c>
      <c r="L14" s="77" t="s" ph="1">
        <v>41</v>
      </c>
      <c r="M14" s="104" t="s" ph="1">
        <v>222</v>
      </c>
      <c r="N14" s="104" t="s" ph="1">
        <v>218</v>
      </c>
      <c r="O14" s="104" t="s" ph="1">
        <v>226</v>
      </c>
      <c r="P14" s="77" t="s" ph="1">
        <v>82</v>
      </c>
      <c r="Q14" s="77" t="s" ph="1">
        <v>82</v>
      </c>
      <c r="R14" s="88" t="s" ph="1">
        <v>7</v>
      </c>
      <c r="S14" s="77" t="s" ph="1">
        <v>82</v>
      </c>
      <c r="T14" s="77" t="s" ph="1">
        <v>98</v>
      </c>
      <c r="U14" s="77" t="s" ph="1">
        <v>652</v>
      </c>
      <c r="V14" s="77" t="s" ph="1">
        <v>646</v>
      </c>
      <c r="W14" s="77" t="s" ph="1">
        <v>220</v>
      </c>
      <c r="X14" s="77" t="s" ph="1">
        <v>78</v>
      </c>
      <c r="Y14" s="141" t="s" ph="1">
        <v>0</v>
      </c>
      <c r="Z14" s="77" t="s" ph="1">
        <v>62</v>
      </c>
      <c r="AA14" s="77" t="s" ph="1">
        <v>88</v>
      </c>
      <c r="AB14" s="77" t="s" ph="1">
        <v>648</v>
      </c>
      <c r="AC14" s="77" t="s" ph="1">
        <v>648</v>
      </c>
      <c r="AD14" s="77" t="s" ph="1">
        <v>135</v>
      </c>
      <c r="AE14" s="77" t="s" ph="1">
        <v>135</v>
      </c>
      <c r="AG14" s="72" t="s" ph="1">
        <v>249</v>
      </c>
      <c r="AI14" s="72" t="s" ph="1">
        <v>250</v>
      </c>
      <c r="AJ14" s="72" t="s" ph="1">
        <v>373</v>
      </c>
      <c r="AK14" s="72" t="s" ph="1">
        <v>251</v>
      </c>
      <c r="AM14" s="72" t="s" ph="1">
        <v>253</v>
      </c>
      <c r="AN14" s="72" t="s" ph="1">
        <v>251</v>
      </c>
      <c r="AO14" s="72" t="s" ph="1">
        <v>252</v>
      </c>
      <c r="AP14" s="72" t="s" ph="1">
        <v>253</v>
      </c>
      <c r="AQ14" s="72" t="s" ph="1">
        <v>251</v>
      </c>
      <c r="AR14" s="72" t="s" ph="1">
        <v>252</v>
      </c>
      <c r="AS14" s="72" t="s" ph="1">
        <v>253</v>
      </c>
      <c r="AT14" s="72" t="s" ph="1">
        <v>251</v>
      </c>
      <c r="AU14" s="72" t="s" ph="1">
        <v>252</v>
      </c>
      <c r="AV14" s="72" t="s" ph="1">
        <v>253</v>
      </c>
      <c r="AW14" s="72" t="s" ph="1">
        <v>251</v>
      </c>
      <c r="AX14" s="72" t="s" ph="1">
        <v>252</v>
      </c>
      <c r="AY14" s="72" t="s" ph="1">
        <v>253</v>
      </c>
      <c r="AZ14" s="72" t="s" ph="1">
        <v>252</v>
      </c>
    </row>
    <row r="15" spans="1:99" ph="1">
      <c r="B15" s="217" ph="1">
        <v>0.33333333333333331</v>
      </c>
      <c r="C15" s="143" t="s" ph="1">
        <v>208</v>
      </c>
      <c r="D15" s="78">
        <v>1970</v>
      </c>
      <c r="E15" s="78">
        <v>73</v>
      </c>
      <c r="F15" s="78">
        <v>1770</v>
      </c>
      <c r="G15" s="78">
        <v>2576</v>
      </c>
      <c r="H15" s="78">
        <v>2870</v>
      </c>
      <c r="I15" s="78">
        <v>6</v>
      </c>
      <c r="J15" s="78">
        <v>392</v>
      </c>
      <c r="K15" s="78">
        <v>1408</v>
      </c>
      <c r="L15" s="78">
        <v>6527</v>
      </c>
      <c r="M15" s="78">
        <v>3147</v>
      </c>
      <c r="N15" s="78">
        <v>1585</v>
      </c>
      <c r="O15" s="78">
        <v>233</v>
      </c>
      <c r="P15" s="78">
        <v>1100</v>
      </c>
      <c r="Q15" s="78">
        <v>2713</v>
      </c>
      <c r="R15" s="78">
        <v>3495</v>
      </c>
      <c r="S15" s="78">
        <v>5613</v>
      </c>
      <c r="T15" s="78">
        <v>3386</v>
      </c>
      <c r="U15" s="78">
        <v>4389</v>
      </c>
      <c r="V15" s="78">
        <v>-1640</v>
      </c>
      <c r="W15" s="78">
        <v>-595</v>
      </c>
      <c r="X15" s="78">
        <v>940</v>
      </c>
      <c r="Y15" s="106">
        <v>-9901</v>
      </c>
      <c r="Z15" s="78">
        <v>0</v>
      </c>
      <c r="AA15" s="78">
        <v>25</v>
      </c>
      <c r="AB15" s="78" ph="1">
        <v>746</v>
      </c>
      <c r="AC15" s="78" ph="1">
        <v>6504</v>
      </c>
      <c r="AD15" s="78">
        <v>63.82</v>
      </c>
      <c r="AE15" s="78">
        <v>5.41</v>
      </c>
      <c r="AG15" s="64" t="s" ph="1">
        <v>255</v>
      </c>
      <c r="AH15" s="64" ph="1">
        <v>1</v>
      </c>
      <c r="AI15" s="64" t="s" ph="1">
        <v>374</v>
      </c>
      <c r="AK15" s="64" t="s" ph="1">
        <v>628</v>
      </c>
      <c r="AM15" s="64" t="s" ph="1">
        <v>376</v>
      </c>
      <c r="AZ15" s="64" t="s" ph="1">
        <v>257</v>
      </c>
      <c r="BA15" s="64" ph="1">
        <v>0</v>
      </c>
    </row>
    <row r="16" spans="1:99" s="72" customFormat="1" ht="22.5" ph="1">
      <c r="B16" s="218" ph="1"/>
      <c r="C16" s="143" t="s" ph="1">
        <v>209</v>
      </c>
      <c r="D16" s="73" ph="1">
        <f>D15*7.0686*LOOKUP(D17,密度!$A$2:$A$50,密度!$L$2:$L$50)</f>
        <v>13173.184331999999</v>
      </c>
      <c r="E16" s="73" ph="1">
        <f>E15*7.0686*LOOKUP(E17,密度!$A$2:$A$50,密度!$L$2:$L$50)</f>
        <v>488.14337879999994</v>
      </c>
      <c r="F16" s="73" ph="1">
        <f>F15*9.0746*LOOKUP(F17,密度!$A$2:$A$50,密度!$L$2:$L$50)</f>
        <v>15194.691732000001</v>
      </c>
      <c r="G16" s="73" ph="1">
        <f>G15*9.0746*LOOKUP(G17,密度!$A$2:$A$50,密度!$B$2:$B$50)</f>
        <v>18401.72070912</v>
      </c>
      <c r="H16" s="73" ph="1">
        <f>H15*9.0746*LOOKUP(H17,密度!$A$2:$A$50,密度!$L$2:$L$50)</f>
        <v>24715.852797999996</v>
      </c>
      <c r="I16" s="73" ph="1">
        <f>I15*9.0746*LOOKUP(I17,密度!$A$2:$A$50,密度!$U$2:$U$50)</f>
        <v>55.972132800000004</v>
      </c>
      <c r="J16" s="73" ph="1">
        <f>J15*9.0746*LOOKUP(J17,密度!$A$2:$A$50,密度!$L$2:$L$50)</f>
        <v>3361.5948239999998</v>
      </c>
      <c r="K16" s="73" ph="1">
        <f>K15*9.0746*LOOKUP(K17,密度!$A$2:$A$50,密度!$C$2:$C$50)</f>
        <v>14223.39736576</v>
      </c>
      <c r="L16" s="73" ph="1">
        <f>L15*9.0746*LOOKUP(L17,密度!$A$2:$A$50,密度!$E$2:$E$50)</f>
        <v>46939.7070035</v>
      </c>
      <c r="M16" s="73" ph="1">
        <f>M15*9.0746*LOOKUP(M17,密度!$A$2:$A$50,密度!$M$2:$M$50)</f>
        <v>25139.40158586</v>
      </c>
      <c r="N16" s="73" ph="1">
        <f>N15*9.0746*LOOKUP(N17,密度!$A$2:$A$50,密度!$M$2:$M$50)</f>
        <v>12661.567052299999</v>
      </c>
      <c r="O16" s="73" ph="1">
        <f>O15*9.0746*LOOKUP(O17,密度!$A$2:$A$50,密度!$G$2:$G$50)</f>
        <v>2046.7215824</v>
      </c>
      <c r="P16" s="73" ph="1">
        <f ca="1">P15*9.0746*LOOKUP(P17,密度!$A$2:$A$51,密度!$Q$2:$Q$50)</f>
        <v>9518.8924159999988</v>
      </c>
      <c r="Q16" s="73" ph="1">
        <f>Q15*9.0746*LOOKUP(Q17,密度!$A$2:$A$50,密度!$Q$2:$Q$50)</f>
        <v>23477.050113280002</v>
      </c>
      <c r="R16" s="73" ph="1">
        <f>MAX(R15*9.0746*LOOKUP(R17,密度!$A$2:$A$50,密度!$B$2:$B$50),0)</f>
        <v>24893.674122300003</v>
      </c>
      <c r="S16" s="73" ph="1">
        <f>S15*9.0746*LOOKUP(S17,密度!$A$2:$A$50,密度!$Q$2:$Q$50)</f>
        <v>48572.311937279999</v>
      </c>
      <c r="T16" s="73" ph="1">
        <f>T15*9.0746*LOOKUP(T17,密度!$A$2:$A$50,密度!$O$2:$O$50)</f>
        <v>28698.640290400002</v>
      </c>
      <c r="U16" s="73" ph="1">
        <f>U15*9.0746*LOOKUP(U17,密度!$A$2:$A$50,密度!$H$2:$H$50)</f>
        <v>36829.339419179996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206.8278181200003</v>
      </c>
      <c r="X16" s="73" ph="1">
        <f>MAX(5600*LOOKUP(X17,密度!$A$2:$A$50,密度!$I$2:$I$50)+X15*9.0476*LOOKUP(X17,密度!$A$2:$A$50,密度!$I$2:$I$50),0)</f>
        <v>14542.978396079998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178.97379850000002</v>
      </c>
      <c r="AB16" s="73" ph="1">
        <f>AB15*9.0746*LOOKUP(AB17,密度!$A$2:$A$50,密度!$L$2:$L$50)</f>
        <v>6397.3207619999994</v>
      </c>
      <c r="AC16" s="73" ph="1">
        <f>AC15*9.0746*LOOKUP(AC17,密度!$A$2:$A$50,密度!$L$2:$L$50)</f>
        <v>55893.0748848</v>
      </c>
      <c r="AD16" s="73" ph="1">
        <f>AD15*268.68*LOOKUP(AD17,密度!$A$2:$A$50,密度!B2:B50)+IF(AD15&lt;=0,0,1566*LOOKUP(AD17,密度!$A$2:$A$50,密度!B2:B50))</f>
        <v>14588.777664960002</v>
      </c>
      <c r="AE16" s="73" ph="1">
        <f>AE15*268.68*LOOKUP(AE17,密度!$A$2:$A$50,密度!B2:B50)+IF(AE15&lt;=0,0,1566*LOOKUP(AE17,密度!$A$2:$A$50,密度!B2:B50))</f>
        <v>2354.0480404800001</v>
      </c>
      <c r="AH16" s="72" ph="1">
        <v>2</v>
      </c>
      <c r="AI16" s="72" t="s" ph="1">
        <v>378</v>
      </c>
      <c r="AZ16" s="72" t="s" ph="1">
        <v>257</v>
      </c>
      <c r="BA16" s="72" ph="1">
        <v>0</v>
      </c>
    </row>
    <row r="17" spans="1:57" ph="1">
      <c r="A17" s="64" t="s" ph="1">
        <v>85</v>
      </c>
      <c r="B17" s="219" ph="1"/>
      <c r="C17" s="79" t="s" ph="1">
        <v>210</v>
      </c>
      <c r="D17" s="74">
        <v>16</v>
      </c>
      <c r="E17" s="74">
        <v>16</v>
      </c>
      <c r="F17" s="74">
        <v>16</v>
      </c>
      <c r="G17" s="74">
        <v>16</v>
      </c>
      <c r="H17" s="74">
        <v>13</v>
      </c>
      <c r="I17" s="74">
        <v>15</v>
      </c>
      <c r="J17" s="74">
        <v>17</v>
      </c>
      <c r="K17" s="74">
        <v>19</v>
      </c>
      <c r="L17" s="74">
        <v>17</v>
      </c>
      <c r="M17" s="74">
        <v>18</v>
      </c>
      <c r="N17" s="74">
        <v>15</v>
      </c>
      <c r="O17" s="74">
        <v>18</v>
      </c>
      <c r="P17" s="74">
        <v>16</v>
      </c>
      <c r="Q17" s="74">
        <v>16</v>
      </c>
      <c r="R17" s="74">
        <v>19</v>
      </c>
      <c r="S17" s="74">
        <v>16</v>
      </c>
      <c r="T17" s="74">
        <v>17</v>
      </c>
      <c r="U17" s="74">
        <v>15</v>
      </c>
      <c r="V17" s="74">
        <v>17</v>
      </c>
      <c r="W17" s="74">
        <v>15</v>
      </c>
      <c r="X17" s="74">
        <v>35</v>
      </c>
      <c r="Y17" s="108">
        <v>35</v>
      </c>
      <c r="Z17" s="74">
        <v>17</v>
      </c>
      <c r="AA17" s="74">
        <v>14</v>
      </c>
      <c r="AB17" s="74">
        <v>17</v>
      </c>
      <c r="AC17" s="74">
        <v>15</v>
      </c>
      <c r="AD17" s="74">
        <v>25</v>
      </c>
      <c r="AE17" s="74">
        <v>25</v>
      </c>
      <c r="AH17" s="64" ph="1">
        <v>3</v>
      </c>
      <c r="AI17" s="64" t="s" ph="1">
        <v>379</v>
      </c>
      <c r="AK17" s="64" t="s" ph="1">
        <v>611</v>
      </c>
      <c r="AL17" s="64" ph="1">
        <v>80</v>
      </c>
      <c r="AM17" s="64" t="s" ph="1">
        <v>376</v>
      </c>
      <c r="AZ17" s="64" t="s" ph="1">
        <v>257</v>
      </c>
      <c r="BA17" s="64" ph="1">
        <v>80</v>
      </c>
      <c r="BD17" s="64" t="s" ph="1">
        <v>255</v>
      </c>
      <c r="BE17" s="64" ph="1">
        <v>2270</v>
      </c>
    </row>
    <row r="18" spans="1:57" ph="1">
      <c r="B18" s="217" ph="1">
        <v>0.66666666666666663</v>
      </c>
      <c r="C18" s="79" t="s" ph="1">
        <v>211</v>
      </c>
      <c r="D18" s="71">
        <v>3100</v>
      </c>
      <c r="E18" s="71">
        <v>73</v>
      </c>
      <c r="F18" s="71">
        <v>1770</v>
      </c>
      <c r="G18" s="71">
        <v>2617</v>
      </c>
      <c r="H18" s="71">
        <v>2871</v>
      </c>
      <c r="I18" s="71">
        <v>13</v>
      </c>
      <c r="J18" s="71">
        <v>391</v>
      </c>
      <c r="K18" s="71">
        <v>1407</v>
      </c>
      <c r="L18" s="71">
        <v>6536</v>
      </c>
      <c r="M18" s="71">
        <v>203</v>
      </c>
      <c r="N18" s="71">
        <v>2319</v>
      </c>
      <c r="O18" s="71">
        <v>231</v>
      </c>
      <c r="P18" s="71">
        <v>1100</v>
      </c>
      <c r="Q18" s="71">
        <v>2718</v>
      </c>
      <c r="R18" s="71">
        <v>3496</v>
      </c>
      <c r="S18" s="71">
        <v>5618</v>
      </c>
      <c r="T18" s="71">
        <v>3391</v>
      </c>
      <c r="U18" s="71">
        <v>6156</v>
      </c>
      <c r="V18" s="71">
        <v>-1643</v>
      </c>
      <c r="W18" s="71">
        <v>-595</v>
      </c>
      <c r="X18" s="71">
        <v>938</v>
      </c>
      <c r="Y18" s="109">
        <v>-9901</v>
      </c>
      <c r="Z18" s="71">
        <v>0</v>
      </c>
      <c r="AA18" s="71">
        <v>25</v>
      </c>
      <c r="AB18" s="71">
        <v>744</v>
      </c>
      <c r="AC18" s="71">
        <v>6510</v>
      </c>
      <c r="AD18" s="71">
        <v>84.65</v>
      </c>
      <c r="AE18" s="71">
        <v>8.81</v>
      </c>
      <c r="AH18" s="64" ph="1">
        <v>4</v>
      </c>
      <c r="AI18" s="64" t="s" ph="1">
        <v>381</v>
      </c>
      <c r="AJ18" s="64" t="s" ph="1">
        <v>629</v>
      </c>
      <c r="AK18" s="64" t="s" ph="1">
        <v>628</v>
      </c>
      <c r="AL18" s="64" ph="1">
        <v>740</v>
      </c>
      <c r="AM18" s="64" t="s" ph="1">
        <v>380</v>
      </c>
      <c r="AZ18" s="64" t="s" ph="1">
        <v>257</v>
      </c>
      <c r="BA18" s="64" ph="1">
        <v>740</v>
      </c>
    </row>
    <row r="19" spans="1:57" s="72" customFormat="1" ht="22.5" ph="1">
      <c r="B19" s="218" ph="1"/>
      <c r="C19" s="143" t="s" ph="1">
        <v>209</v>
      </c>
      <c r="D19" s="73" ph="1">
        <f>D18*7.0686*LOOKUP(D20,密度!$A$2:$A$50,密度!$L$2:$L$50)</f>
        <v>20707.4637</v>
      </c>
      <c r="E19" s="73" ph="1">
        <f>E18*7.0686*LOOKUP(E20,密度!$A$2:$A$50,密度!$L$2:$L$50)</f>
        <v>487.62737099999993</v>
      </c>
      <c r="F19" s="73" ph="1">
        <f>F18*9.0746*LOOKUP(F20,密度!$A$2:$A$50,密度!$L$2:$L$50)</f>
        <v>15162.567648</v>
      </c>
      <c r="G19" s="73" ph="1">
        <f>G18*9.0746*LOOKUP(G20,密度!$A$2:$A$50,密度!$B$2:$B$50)</f>
        <v>18658.982896739999</v>
      </c>
      <c r="H19" s="73" ph="1">
        <f>H18*9.0746*LOOKUP(H20,密度!$A$2:$A$50,密度!$L$2:$L$50)</f>
        <v>24672.358240199999</v>
      </c>
      <c r="I19" s="73" ph="1">
        <f>I18*9.0746*LOOKUP(I20,密度!$A$2:$A$50,密度!$U$2:$U$50)</f>
        <v>121.2729544</v>
      </c>
      <c r="J19" s="73" ph="1">
        <f>J18*9.0746*LOOKUP(J20,密度!$A$2:$A$50,密度!$L$2:$L$50)</f>
        <v>3342.3748211999996</v>
      </c>
      <c r="K19" s="73" ph="1">
        <f>K18*9.0746*LOOKUP(K20,密度!$A$2:$A$50,密度!$C$2:$C$50)</f>
        <v>14213.29552104</v>
      </c>
      <c r="L19" s="73" ph="1">
        <f>L18*9.0746*LOOKUP(L20,密度!$A$2:$A$50,密度!$E$2:$E$50)</f>
        <v>46939.188843839998</v>
      </c>
      <c r="M19" s="73" ph="1">
        <f>M18*9.0746*LOOKUP(M20,密度!$A$2:$A$50,密度!$M$2:$M$50)</f>
        <v>1619.4286145799999</v>
      </c>
      <c r="N19" s="73" ph="1">
        <f>N18*9.0746*LOOKUP(N20,密度!$A$2:$A$50,密度!$M$2:$M$50)</f>
        <v>18525.030911220001</v>
      </c>
      <c r="O19" s="73" ph="1">
        <f>O18*9.0746*LOOKUP(O20,密度!$A$2:$A$50,密度!$G$2:$G$50)</f>
        <v>2024.7510683400003</v>
      </c>
      <c r="P19" s="73" ph="1">
        <f ca="1">P18*9.0746*LOOKUP(P20,密度!$A$2:$A$51,密度!$Q$2:$Q$50)</f>
        <v>9473.8733253999999</v>
      </c>
      <c r="Q19" s="73" ph="1">
        <f>Q18*9.0746*LOOKUP(Q20,密度!$A$2:$A$50,密度!$Q$2:$Q$50)</f>
        <v>23500.58599584</v>
      </c>
      <c r="R19" s="73" ph="1">
        <f>MAX(R18*9.0746*LOOKUP(R20,密度!$A$2:$A$50,密度!$B$2:$B$50),0)</f>
        <v>24846.864613120004</v>
      </c>
      <c r="S19" s="73" ph="1">
        <f>S18*9.0746*LOOKUP(S20,密度!$A$2:$A$50,密度!$Q$2:$Q$50)</f>
        <v>48534.519676627999</v>
      </c>
      <c r="T19" s="73" ph="1">
        <f>T18*9.0746*LOOKUP(T20,密度!$A$2:$A$50,密度!$O$2:$O$50)</f>
        <v>28741.018672400001</v>
      </c>
      <c r="U19" s="73" ph="1">
        <f>U18*9.0746*LOOKUP(U20,密度!$A$2:$A$50,密度!$H$2:$H$50)</f>
        <v>51545.00933352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206.27962278000086</v>
      </c>
      <c r="X19" s="73" ph="1">
        <f>MAX(5600*LOOKUP(X20,密度!$A$2:$A$50,密度!$I$2:$I$50)+X18*9.0476*LOOKUP(X20,密度!$A$2:$A$50,密度!$I$2:$I$50),0)</f>
        <v>14571.22951872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178.40663599999999</v>
      </c>
      <c r="AB19" s="73" ph="1">
        <f>AB18*9.0746*LOOKUP(AB20,密度!$A$2:$A$50,密度!$L$2:$L$50)</f>
        <v>6353.1637584</v>
      </c>
      <c r="AC19" s="73" ph="1">
        <f>AC18*9.0746*LOOKUP(AC20,密度!$A$2:$A$50,密度!$L$2:$L$50)</f>
        <v>55826.48547</v>
      </c>
      <c r="AD19" s="73" ph="1">
        <f>AD18*268.68*LOOKUP(AD20,密度!$A$2:$A$50,密度!B5:B53)+IF(AD18&lt;=0,0,1566*LOOKUP(AD20,密度!$A$2:$A$50,密度!B5:B53))</f>
        <v>18888.685074000001</v>
      </c>
      <c r="AE19" s="73" ph="1">
        <f>AE18*268.68*LOOKUP(AE20,密度!$A$2:$A$50,密度!B5:B53)+IF(AE18&lt;=0,0,1566*LOOKUP(AE20,密度!$A$2:$A$50,密度!B5:B53))</f>
        <v>3055.9960116000002</v>
      </c>
      <c r="AH19" s="72" ph="1">
        <v>5</v>
      </c>
      <c r="AI19" s="72" t="s" ph="1">
        <v>382</v>
      </c>
      <c r="AZ19" s="72" t="s" ph="1">
        <v>257</v>
      </c>
      <c r="BA19" s="72" ph="1">
        <v>0</v>
      </c>
      <c r="BD19" s="72" t="s" ph="1">
        <v>383</v>
      </c>
      <c r="BE19" s="72" ph="1">
        <v>1440</v>
      </c>
    </row>
    <row r="20" spans="1:57" ph="1">
      <c r="A20" s="72" ph="1"/>
      <c r="B20" s="218" ph="1"/>
      <c r="C20" s="80" t="s" ph="1">
        <v>210</v>
      </c>
      <c r="D20" s="81">
        <v>17</v>
      </c>
      <c r="E20" s="81">
        <v>17</v>
      </c>
      <c r="F20" s="81">
        <v>18</v>
      </c>
      <c r="G20" s="81">
        <v>18</v>
      </c>
      <c r="H20" s="81">
        <v>15</v>
      </c>
      <c r="I20" s="81">
        <v>19</v>
      </c>
      <c r="J20" s="81">
        <v>20</v>
      </c>
      <c r="K20" s="81">
        <v>19</v>
      </c>
      <c r="L20" s="81">
        <v>18</v>
      </c>
      <c r="M20" s="81">
        <v>21</v>
      </c>
      <c r="N20" s="81">
        <v>17</v>
      </c>
      <c r="O20" s="81">
        <v>20</v>
      </c>
      <c r="P20" s="81">
        <v>22</v>
      </c>
      <c r="Q20" s="81">
        <v>17</v>
      </c>
      <c r="R20" s="81">
        <v>21</v>
      </c>
      <c r="S20" s="81">
        <v>18</v>
      </c>
      <c r="T20" s="81">
        <v>19</v>
      </c>
      <c r="U20" s="81">
        <v>17</v>
      </c>
      <c r="V20" s="81">
        <v>17</v>
      </c>
      <c r="W20" s="81">
        <v>18</v>
      </c>
      <c r="X20" s="81">
        <v>32</v>
      </c>
      <c r="Y20" s="110">
        <v>32</v>
      </c>
      <c r="Z20" s="81">
        <v>22</v>
      </c>
      <c r="AA20" s="81">
        <v>17</v>
      </c>
      <c r="AB20" s="81">
        <v>21</v>
      </c>
      <c r="AC20" s="81">
        <v>17</v>
      </c>
      <c r="AD20" s="81">
        <v>25</v>
      </c>
      <c r="AE20" s="81">
        <v>25</v>
      </c>
      <c r="AH20" s="64" ph="1">
        <v>6</v>
      </c>
      <c r="AI20" s="64" t="s" ph="1">
        <v>384</v>
      </c>
      <c r="AZ20" s="64" t="s" ph="1">
        <v>257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385</v>
      </c>
      <c r="AZ21" s="64" t="s" ph="1">
        <v>257</v>
      </c>
      <c r="BA21" s="64" ph="1">
        <v>0</v>
      </c>
      <c r="BD21" s="64" t="s" ph="1">
        <v>273</v>
      </c>
      <c r="BE21" s="64" ph="1">
        <v>730</v>
      </c>
    </row>
    <row r="22" spans="1:57" ph="1">
      <c r="A22" s="72" ph="1"/>
      <c r="B22" s="216" t="s" ph="1">
        <v>37</v>
      </c>
      <c r="C22" s="85" t="s" ph="1">
        <v>207</v>
      </c>
      <c r="D22" s="86" t="s" ph="1">
        <v>103</v>
      </c>
      <c r="E22" s="86" t="s" ph="1">
        <v>104</v>
      </c>
      <c r="F22" s="86" t="s" ph="1">
        <v>105</v>
      </c>
      <c r="G22" s="86" t="s" ph="1">
        <v>106</v>
      </c>
      <c r="H22" s="86" t="s" ph="1">
        <v>107</v>
      </c>
      <c r="I22" s="86" t="s" ph="1">
        <v>108</v>
      </c>
      <c r="J22" s="86" t="s" ph="1">
        <v>109</v>
      </c>
      <c r="K22" s="86" t="s" ph="1">
        <v>110</v>
      </c>
      <c r="L22" s="86" t="s" ph="1">
        <v>111</v>
      </c>
      <c r="M22" s="86" t="s" ph="1">
        <v>112</v>
      </c>
      <c r="N22" s="86" t="s" ph="1">
        <v>113</v>
      </c>
      <c r="O22" s="86" t="s" ph="1">
        <v>114</v>
      </c>
      <c r="P22" s="86" t="s" ph="1">
        <v>115</v>
      </c>
      <c r="Q22" s="87" t="s" ph="1">
        <v>116</v>
      </c>
      <c r="R22" s="86" t="s" ph="1">
        <v>117</v>
      </c>
      <c r="S22" s="86" t="s" ph="1">
        <v>118</v>
      </c>
      <c r="T22" s="86" t="s" ph="1">
        <v>119</v>
      </c>
      <c r="U22" s="86" t="s" ph="1">
        <v>120</v>
      </c>
      <c r="V22" s="86" t="s" ph="1">
        <v>121</v>
      </c>
      <c r="W22" s="86" t="s" ph="1">
        <v>122</v>
      </c>
      <c r="X22" s="86" t="s" ph="1">
        <v>123</v>
      </c>
      <c r="Y22" s="86" t="s" ph="1">
        <v>125</v>
      </c>
      <c r="Z22" s="195" t="s" ph="1">
        <v>79</v>
      </c>
      <c r="AA22" s="196"/>
      <c r="AB22" s="196"/>
      <c r="AC22" s="196"/>
      <c r="AD22" s="196"/>
      <c r="AE22" s="197"/>
      <c r="AH22" s="64" ph="1">
        <v>8</v>
      </c>
      <c r="AI22" s="64" t="s" ph="1">
        <v>386</v>
      </c>
      <c r="AZ22" s="64" t="s" ph="1">
        <v>257</v>
      </c>
      <c r="BA22" s="64" ph="1">
        <v>0</v>
      </c>
    </row>
    <row r="23" spans="1:57" ph="1">
      <c r="A23" s="72" ph="1"/>
      <c r="B23" s="211" ph="1"/>
      <c r="C23" s="67" t="s" ph="1">
        <v>36</v>
      </c>
      <c r="D23" s="88" t="s" ph="1">
        <v>127</v>
      </c>
      <c r="E23" s="88" t="s" ph="1">
        <v>124</v>
      </c>
      <c r="F23" s="88" t="s" ph="1">
        <v>221</v>
      </c>
      <c r="G23" s="88" t="s" ph="1">
        <v>163</v>
      </c>
      <c r="H23" s="88" t="s" ph="1">
        <v>163</v>
      </c>
      <c r="I23" s="88" t="s" ph="1">
        <v>164</v>
      </c>
      <c r="J23" s="88" t="s" ph="1">
        <v>165</v>
      </c>
      <c r="K23" s="88" t="s" ph="1">
        <v>128</v>
      </c>
      <c r="L23" s="88" t="s" ph="1">
        <v>128</v>
      </c>
      <c r="M23" s="88" t="s" ph="1">
        <v>165</v>
      </c>
      <c r="N23" s="88" t="s" ph="1">
        <v>165</v>
      </c>
      <c r="O23" s="88" t="s" ph="1">
        <v>131</v>
      </c>
      <c r="P23" s="88" t="s" ph="1">
        <v>166</v>
      </c>
      <c r="Q23" s="89" t="s" ph="1">
        <v>166</v>
      </c>
      <c r="R23" s="88" t="s" ph="1">
        <v>167</v>
      </c>
      <c r="S23" s="88" t="s" ph="1">
        <v>168</v>
      </c>
      <c r="T23" s="88" t="s" ph="1">
        <v>647</v>
      </c>
      <c r="U23" s="88" t="s" ph="1">
        <v>653</v>
      </c>
      <c r="V23" s="88" t="s" ph="1">
        <v>169</v>
      </c>
      <c r="W23" s="88" t="s" ph="1">
        <v>168</v>
      </c>
      <c r="X23" s="88" t="s" ph="1">
        <v>228</v>
      </c>
      <c r="Y23" s="88" t="s" ph="1">
        <v>97</v>
      </c>
      <c r="Z23" s="198" t="s" ph="1">
        <v>649</v>
      </c>
      <c r="AA23" s="199"/>
      <c r="AB23" s="199"/>
      <c r="AC23" s="199"/>
      <c r="AD23" s="199"/>
      <c r="AE23" s="200"/>
      <c r="AH23" s="64" ph="1">
        <v>9</v>
      </c>
      <c r="AI23" s="64" t="s" ph="1">
        <v>387</v>
      </c>
      <c r="AZ23" s="64" t="s" ph="1">
        <v>257</v>
      </c>
      <c r="BA23" s="64" ph="1">
        <v>0</v>
      </c>
      <c r="BD23" s="64" t="s" ph="1">
        <v>279</v>
      </c>
      <c r="BE23" s="64" ph="1">
        <v>890</v>
      </c>
    </row>
    <row r="24" spans="1:57" ph="1">
      <c r="A24" s="72" ph="1"/>
      <c r="B24" s="207" ph="1">
        <v>0.33333333333333331</v>
      </c>
      <c r="C24" s="143" t="s" ph="1">
        <v>208</v>
      </c>
      <c r="D24" s="71">
        <v>44.23</v>
      </c>
      <c r="E24" s="71">
        <v>90.92</v>
      </c>
      <c r="F24" s="71">
        <v>2151</v>
      </c>
      <c r="G24" s="71">
        <v>2321</v>
      </c>
      <c r="H24" s="71">
        <v>1666</v>
      </c>
      <c r="I24" s="71">
        <v>1730</v>
      </c>
      <c r="J24" s="71">
        <v>2450</v>
      </c>
      <c r="K24" s="71">
        <v>5612</v>
      </c>
      <c r="L24" s="71">
        <v>5584</v>
      </c>
      <c r="M24" s="71">
        <v>4803</v>
      </c>
      <c r="N24" s="71">
        <v>5286</v>
      </c>
      <c r="O24" s="71">
        <v>2061</v>
      </c>
      <c r="P24" s="71">
        <v>443</v>
      </c>
      <c r="Q24" s="90">
        <v>2766</v>
      </c>
      <c r="R24" s="71">
        <v>3375</v>
      </c>
      <c r="S24" s="71">
        <v>2646</v>
      </c>
      <c r="T24" s="71">
        <v>6391</v>
      </c>
      <c r="U24" s="71">
        <v>5070</v>
      </c>
      <c r="V24" s="71">
        <v>397</v>
      </c>
      <c r="W24" s="71">
        <v>4669</v>
      </c>
      <c r="X24" s="71">
        <v>10559</v>
      </c>
      <c r="Y24" s="71">
        <v>436</v>
      </c>
      <c r="Z24" s="201"/>
      <c r="AA24" s="202"/>
      <c r="AB24" s="202"/>
      <c r="AC24" s="202"/>
      <c r="AD24" s="202"/>
      <c r="AE24" s="203"/>
      <c r="AH24" s="64" ph="1">
        <v>10</v>
      </c>
      <c r="AI24" s="64" t="s" ph="1">
        <v>388</v>
      </c>
      <c r="AZ24" s="64" t="s" ph="1">
        <v>257</v>
      </c>
      <c r="BA24" s="64" ph="1">
        <v>0</v>
      </c>
    </row>
    <row r="25" spans="1:57" ph="1">
      <c r="A25" s="72" ph="1"/>
      <c r="B25" s="207" ph="1"/>
      <c r="C25" s="68" t="s" ph="1">
        <v>209</v>
      </c>
      <c r="D25" s="91" ph="1">
        <f>D24*268.68*LOOKUP(D26,密度!$A$2:$A$50,密度!$Q$2:$Q$50)+IF(D24&lt;=0,0,1566*LOOKUP(D26,密度!$A$2:$A$50,密度!$Q$2:$Q$50))</f>
        <v>12733.384504535999</v>
      </c>
      <c r="E25" s="91" ph="1">
        <f>E24*268.68*LOOKUP(E26,密度!$A$2:$A$50,密度!$C$2:$C$50)+IF(E24&lt;=0,0,1566*LOOKUP(E26,密度!$A$2:$A$50,密度!$C$2:$C$50))</f>
        <v>28825.174191840004</v>
      </c>
      <c r="F25" s="91" ph="1">
        <f>F24*11.702*LOOKUP(F26,密度!$A$2:$A$50,密度!$Q$2:$Q$50)</f>
        <v>24003.067507200001</v>
      </c>
      <c r="G25" s="91" ph="1">
        <f>G24*18.322*LOOKUP(G26,密度!$A$2:$A$50,密度!$B$2:$B$50)</f>
        <v>33509.985256</v>
      </c>
      <c r="H25" s="91" ph="1">
        <f>H24*18.322*LOOKUP(H26,密度!$A$2:$A$50,密度!$B$2:$B$50)</f>
        <v>24053.268175999998</v>
      </c>
      <c r="I25" s="91" ph="1">
        <f>I24*18.322*LOOKUP(I26,密度!$A$2:$A$50,密度!$Q$2:$Q$50)</f>
        <v>30226.316415999998</v>
      </c>
      <c r="J25" s="91" ph="1">
        <f>J24*18.322*LOOKUP(J26,密度!$A$2:$A$50,密度!$Q$2:$Q$50)</f>
        <v>42848.250606000001</v>
      </c>
      <c r="K25" s="91" ph="1">
        <f>K24*18.322*LOOKUP(K26,密度!$A$2:$A$50,密度!$Q$2:$Q$50)</f>
        <v>98052.073830399997</v>
      </c>
      <c r="L25" s="91" ph="1">
        <f>L24*18.322*LOOKUP(L26,密度!$A$2:$A$50,密度!$Q$2:$Q$50)</f>
        <v>97562.861772799995</v>
      </c>
      <c r="M25" s="91" ph="1">
        <f>M24*18.322*LOOKUP(M26,密度!$A$2:$A$50,密度!$Q$2:$Q$50)</f>
        <v>84000.060269640002</v>
      </c>
      <c r="N25" s="91" ph="1">
        <f>N24*18.322*LOOKUP(N26,密度!$A$2:$A$50,密度!$Q$2:$Q$50)</f>
        <v>92447.286817679997</v>
      </c>
      <c r="O25" s="91" ph="1">
        <f>O24*18.322*LOOKUP(O26,密度!$A$2:$A$50,密度!$C$2:$C$50)</f>
        <v>42111.783158400001</v>
      </c>
      <c r="P25" s="91" ph="1">
        <f>P24*11.702*LOOKUP(P26,密度!$A$2:$A$50,密度!$B$2:$B$50)</f>
        <v>4076.6865903999997</v>
      </c>
      <c r="Q25" s="92" ph="1">
        <f>Q24*18.322*LOOKUP(Q26,密度!$A$2:$A$50,密度!$B$2:$B$50)</f>
        <v>39894.234854399998</v>
      </c>
      <c r="R25" s="91" ph="1">
        <f>R24*35.891*LOOKUP(R26,密度!$A$2:$A$50,密度!$C$2:$C$50)</f>
        <v>135086.54579999999</v>
      </c>
      <c r="S25" s="91" ph="1">
        <f>S24*35.891*LOOKUP(S26,密度!$A$2:$A$50,密度!$B$2:$B$50)</f>
        <v>74682.509630399989</v>
      </c>
      <c r="T25" s="91" ph="1">
        <f>T24*35.891*LOOKUP(T26,密度!$A$2:$A$50,密度!$Q$2:$Q$50)</f>
        <v>218736.17772159999</v>
      </c>
      <c r="U25" s="91" ph="1">
        <f>U24*35.891</f>
        <v>181967.37</v>
      </c>
      <c r="V25" s="91" ph="1">
        <f>V24*47.051*LOOKUP(V26,密度!$A$2:$A$50,密度!$B$2:$B$50)</f>
        <v>14689.3598408</v>
      </c>
      <c r="W25" s="91" ph="1">
        <f>W24*47.051*LOOKUP(W26,密度!$A$2:$A$50,密度!$B$2:$B$50)</f>
        <v>172757.23198159999</v>
      </c>
      <c r="X25" s="91" ph="1">
        <f>X24*47.051*LOOKUP(X26,密度!$A$2:$A$50,密度!$I$2:$I$50)</f>
        <v>514517.87118075998</v>
      </c>
      <c r="Y25" s="91" ph="1">
        <f>Y24*47.051*LOOKUP(Y26,密度!$A$2:$A$50,密度!$L$2:$L$50)</f>
        <v>19406.467256</v>
      </c>
      <c r="Z25" s="201"/>
      <c r="AA25" s="202"/>
      <c r="AB25" s="202"/>
      <c r="AC25" s="202"/>
      <c r="AD25" s="202"/>
      <c r="AE25" s="203"/>
      <c r="AH25" s="64" ph="1">
        <v>11</v>
      </c>
      <c r="AI25" s="64" t="s" ph="1">
        <v>389</v>
      </c>
      <c r="AZ25" s="64" t="s" ph="1">
        <v>257</v>
      </c>
      <c r="BA25" s="64" ph="1">
        <v>0</v>
      </c>
      <c r="BD25" s="64" t="s" ph="1">
        <v>282</v>
      </c>
      <c r="BE25" s="64" ph="1">
        <v>8920</v>
      </c>
    </row>
    <row r="26" spans="1:57" ph="1">
      <c r="A26" s="72" ph="1"/>
      <c r="B26" s="207" ph="1"/>
      <c r="C26" s="68" t="s" ph="1">
        <v>210</v>
      </c>
      <c r="D26" s="74">
        <v>25</v>
      </c>
      <c r="E26" s="74">
        <v>25</v>
      </c>
      <c r="F26" s="74">
        <v>16</v>
      </c>
      <c r="G26" s="74">
        <v>15</v>
      </c>
      <c r="H26" s="74">
        <v>15</v>
      </c>
      <c r="I26" s="74">
        <v>16</v>
      </c>
      <c r="J26" s="74">
        <v>15</v>
      </c>
      <c r="K26" s="74">
        <v>16</v>
      </c>
      <c r="L26" s="74">
        <v>16</v>
      </c>
      <c r="M26" s="74">
        <v>15</v>
      </c>
      <c r="N26" s="74">
        <v>15</v>
      </c>
      <c r="O26" s="74">
        <v>16</v>
      </c>
      <c r="P26" s="74">
        <v>17</v>
      </c>
      <c r="Q26" s="93">
        <v>16</v>
      </c>
      <c r="R26" s="74">
        <v>16</v>
      </c>
      <c r="S26" s="74">
        <v>17</v>
      </c>
      <c r="T26" s="74">
        <v>16</v>
      </c>
      <c r="U26" s="74">
        <v>16</v>
      </c>
      <c r="V26" s="74">
        <v>17</v>
      </c>
      <c r="W26" s="74">
        <v>17</v>
      </c>
      <c r="X26" s="74">
        <v>55</v>
      </c>
      <c r="Y26" s="74">
        <v>16</v>
      </c>
      <c r="Z26" s="201"/>
      <c r="AA26" s="202"/>
      <c r="AB26" s="202"/>
      <c r="AC26" s="202"/>
      <c r="AD26" s="202"/>
      <c r="AE26" s="203"/>
      <c r="AH26" s="64" ph="1">
        <v>12</v>
      </c>
      <c r="AI26" s="64" t="s" ph="1">
        <v>390</v>
      </c>
      <c r="AZ26" s="64" t="s" ph="1">
        <v>257</v>
      </c>
      <c r="BA26" s="64" ph="1">
        <v>0</v>
      </c>
    </row>
    <row r="27" spans="1:57" ph="1">
      <c r="A27" s="72" ph="1"/>
      <c r="B27" s="207" ph="1">
        <v>0.66666666666666663</v>
      </c>
      <c r="C27" s="143" t="s" ph="1">
        <v>211</v>
      </c>
      <c r="D27" s="71">
        <v>44.23</v>
      </c>
      <c r="E27" s="71">
        <v>90.92</v>
      </c>
      <c r="F27" s="71">
        <v>2150</v>
      </c>
      <c r="G27" s="71">
        <v>1879</v>
      </c>
      <c r="H27" s="71">
        <v>1623</v>
      </c>
      <c r="I27" s="71">
        <v>1728</v>
      </c>
      <c r="J27" s="71">
        <v>2449</v>
      </c>
      <c r="K27" s="71">
        <v>5612</v>
      </c>
      <c r="L27" s="71">
        <v>5583</v>
      </c>
      <c r="M27" s="71">
        <v>4803</v>
      </c>
      <c r="N27" s="71">
        <v>5283</v>
      </c>
      <c r="O27" s="71">
        <v>2059</v>
      </c>
      <c r="P27" s="71">
        <v>439</v>
      </c>
      <c r="Q27" s="90">
        <v>2966</v>
      </c>
      <c r="R27" s="71">
        <v>3373</v>
      </c>
      <c r="S27" s="71">
        <v>2644</v>
      </c>
      <c r="T27" s="71">
        <v>6392</v>
      </c>
      <c r="U27" s="71">
        <v>5158</v>
      </c>
      <c r="V27" s="71">
        <v>393</v>
      </c>
      <c r="W27" s="71">
        <v>4420</v>
      </c>
      <c r="X27" s="71">
        <v>10558</v>
      </c>
      <c r="Y27" s="71">
        <v>702</v>
      </c>
      <c r="Z27" s="201"/>
      <c r="AA27" s="202"/>
      <c r="AB27" s="202"/>
      <c r="AC27" s="202"/>
      <c r="AD27" s="202"/>
      <c r="AE27" s="203"/>
      <c r="AH27" s="64" ph="1">
        <v>13</v>
      </c>
      <c r="AI27" s="64" t="s" ph="1">
        <v>391</v>
      </c>
      <c r="AZ27" s="64" t="s" ph="1">
        <v>257</v>
      </c>
      <c r="BA27" s="64" ph="1">
        <v>0</v>
      </c>
      <c r="BD27" s="64" t="s" ph="1">
        <v>336</v>
      </c>
      <c r="BE27" s="64" ph="1">
        <v>7100</v>
      </c>
    </row>
    <row r="28" spans="1:57" ph="1">
      <c r="A28" s="72" ph="1"/>
      <c r="B28" s="207" ph="1"/>
      <c r="C28" s="143" t="s" ph="1">
        <v>209</v>
      </c>
      <c r="D28" s="91" ph="1">
        <f>D27*268.68*LOOKUP(D29,密度!$A$2:$A$50,密度!$Q$2:$Q$50)+IF(D27&lt;=0,0,1566*LOOKUP(D29,密度!$A$2:$A$50,密度!$Q$2:$Q$50))</f>
        <v>12733.384504535999</v>
      </c>
      <c r="E28" s="91" ph="1">
        <f>E27*268.68*LOOKUP(E29,密度!$A$2:$A$50,密度!$C$2:$C$50)+IF(E27&lt;=0,0,1566*LOOKUP(E29,密度!$A$2:$A$50,密度!$C$2:$C$50))</f>
        <v>28825.174191840004</v>
      </c>
      <c r="F28" s="91" ph="1">
        <f>F27*11.702*LOOKUP(F29,密度!$A$2:$A$50,密度!$Q$2:$Q$50)</f>
        <v>23951.905192999999</v>
      </c>
      <c r="G28" s="91" ph="1">
        <f>G27*18.322*LOOKUP(G29,密度!$A$2:$A$50,密度!$B$2:$B$50)</f>
        <v>27049.323756599999</v>
      </c>
      <c r="H28" s="91" ph="1">
        <f>H27*18.322*LOOKUP(H29,密度!$A$2:$A$50,密度!$B$2:$B$50)</f>
        <v>23408.656243199999</v>
      </c>
      <c r="I28" s="91" ph="1">
        <f>I27*18.322*LOOKUP(I29,密度!$A$2:$A$50,密度!$Q$2:$Q$50)</f>
        <v>30166.044364799996</v>
      </c>
      <c r="J28" s="91" ph="1">
        <f>J27*18.322*LOOKUP(J29,密度!$A$2:$A$50,密度!$Q$2:$Q$50)</f>
        <v>42788.5831808</v>
      </c>
      <c r="K28" s="91" ph="1">
        <f>K27*18.322*LOOKUP(K29,密度!$A$2:$A$50,密度!$Q$2:$Q$50)</f>
        <v>97969.815379199994</v>
      </c>
      <c r="L28" s="91" ph="1">
        <f>L27*18.322*LOOKUP(L29,密度!$A$2:$A$50,密度!$Q$2:$Q$50)</f>
        <v>97463.556532799994</v>
      </c>
      <c r="M28" s="91" ph="1">
        <f>M27*18.322*LOOKUP(M29,密度!$A$2:$A$50,密度!$Q$2:$Q$50)</f>
        <v>83917.339737599992</v>
      </c>
      <c r="N28" s="91" ph="1">
        <f>N27*18.322*LOOKUP(N29,密度!$A$2:$A$50,密度!$Q$2:$Q$50)</f>
        <v>92303.832153599986</v>
      </c>
      <c r="O28" s="91" ph="1">
        <f>O27*18.322*LOOKUP(O29,密度!$A$2:$A$50,密度!$C$2:$C$50)</f>
        <v>42070.917769599997</v>
      </c>
      <c r="P28" s="91" ph="1">
        <f>P27*11.702*LOOKUP(P29,密度!$A$2:$A$50,密度!$B$2:$B$50)</f>
        <v>4018.8143494000001</v>
      </c>
      <c r="Q28" s="92" ph="1">
        <f>Q27*18.322*LOOKUP(Q29,密度!$A$2:$A$50,密度!$B$2:$B$50)</f>
        <v>42697.335956399991</v>
      </c>
      <c r="R28" s="91" ph="1">
        <f>R27*35.891*LOOKUP(R29,密度!$A$2:$A$50,密度!$C$2:$C$50)</f>
        <v>134849.11606769997</v>
      </c>
      <c r="S28" s="91" ph="1">
        <f>S27*35.891*LOOKUP(S29,密度!$A$2:$A$50,密度!$B$2:$B$50)</f>
        <v>74626.060265599997</v>
      </c>
      <c r="T28" s="91" ph="1">
        <f>T27*35.891*LOOKUP(T29,密度!$A$2:$A$50,密度!$Q$2:$Q$50)</f>
        <v>218586.87116159999</v>
      </c>
      <c r="U28" s="91" ph="1">
        <f>U27*35.891</f>
        <v>185125.77799999999</v>
      </c>
      <c r="V28" s="91" ph="1">
        <f>V27*47.051*LOOKUP(V29,密度!$A$2:$A$50,密度!$B$2:$B$50)</f>
        <v>14528.4124851</v>
      </c>
      <c r="W28" s="91" ph="1">
        <f>W27*47.051*LOOKUP(W29,密度!$A$2:$A$50,密度!$B$2:$B$50)</f>
        <v>163398.430494</v>
      </c>
      <c r="X28" s="91" ph="1">
        <f>X27*47.051*LOOKUP(X29,密度!$A$2:$A$50,密度!$I$2:$I$50)</f>
        <v>514469.14328312001</v>
      </c>
      <c r="Y28" s="91" ph="1">
        <f>Y27*47.051*LOOKUP(Y29,密度!$A$2:$A$50,密度!$L$2:$L$50)</f>
        <v>31114.073484</v>
      </c>
      <c r="Z28" s="201"/>
      <c r="AA28" s="202"/>
      <c r="AB28" s="202"/>
      <c r="AC28" s="202"/>
      <c r="AD28" s="202"/>
      <c r="AE28" s="203"/>
      <c r="AH28" s="64" ph="1">
        <v>14</v>
      </c>
      <c r="AI28" s="64" t="s" ph="1">
        <v>392</v>
      </c>
      <c r="AZ28" s="64" t="s" ph="1">
        <v>257</v>
      </c>
      <c r="BA28" s="64" ph="1">
        <v>0</v>
      </c>
    </row>
    <row r="29" spans="1:57" ph="1">
      <c r="A29" s="72" ph="1"/>
      <c r="B29" s="207" ph="1"/>
      <c r="C29" s="143" t="s" ph="1">
        <v>210</v>
      </c>
      <c r="D29" s="74">
        <v>25</v>
      </c>
      <c r="E29" s="74">
        <v>25</v>
      </c>
      <c r="F29" s="74">
        <v>18</v>
      </c>
      <c r="G29" s="74">
        <v>18</v>
      </c>
      <c r="H29" s="74">
        <v>16</v>
      </c>
      <c r="I29" s="74">
        <v>17</v>
      </c>
      <c r="J29" s="74">
        <v>16</v>
      </c>
      <c r="K29" s="74">
        <v>17</v>
      </c>
      <c r="L29" s="74">
        <v>17</v>
      </c>
      <c r="M29" s="74">
        <v>16</v>
      </c>
      <c r="N29" s="74">
        <v>16</v>
      </c>
      <c r="O29" s="74">
        <v>16</v>
      </c>
      <c r="P29" s="74">
        <v>22</v>
      </c>
      <c r="Q29" s="93">
        <v>18</v>
      </c>
      <c r="R29" s="74">
        <v>18</v>
      </c>
      <c r="S29" s="74">
        <v>17</v>
      </c>
      <c r="T29" s="74">
        <v>17</v>
      </c>
      <c r="U29" s="74">
        <v>17</v>
      </c>
      <c r="V29" s="74">
        <v>18</v>
      </c>
      <c r="W29" s="74">
        <v>18</v>
      </c>
      <c r="X29" s="74">
        <v>53</v>
      </c>
      <c r="Y29" s="74">
        <v>20</v>
      </c>
      <c r="Z29" s="204"/>
      <c r="AA29" s="205"/>
      <c r="AB29" s="205"/>
      <c r="AC29" s="205"/>
      <c r="AD29" s="205"/>
      <c r="AE29" s="206"/>
      <c r="AH29" s="64" ph="1">
        <v>15</v>
      </c>
      <c r="AI29" s="64" t="s" ph="1">
        <v>393</v>
      </c>
      <c r="AZ29" s="64" t="s" ph="1">
        <v>257</v>
      </c>
      <c r="BA29" s="64" ph="1">
        <v>0</v>
      </c>
      <c r="BD29" s="64" t="s" ph="1">
        <v>394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395</v>
      </c>
      <c r="AZ30" s="64" t="s" ph="1">
        <v>257</v>
      </c>
      <c r="BA30" s="64" ph="1">
        <v>0</v>
      </c>
    </row>
    <row r="31" spans="1:57" ht="28.5" ph="1">
      <c r="A31" s="64"/>
      <c r="B31" s="220" t="s" ph="1">
        <v>35</v>
      </c>
      <c r="C31" s="221" ph="1"/>
      <c r="D31" s="224" t="s" ph="1">
        <v>9</v>
      </c>
      <c r="E31" s="213" ph="1"/>
      <c r="F31" s="214" ph="1"/>
      <c r="G31" s="224" t="s" ph="1">
        <v>18</v>
      </c>
      <c r="H31" s="213" ph="1"/>
      <c r="I31" s="214" ph="1"/>
      <c r="J31" s="212" t="s" ph="1">
        <v>1</v>
      </c>
      <c r="K31" s="213" ph="1"/>
      <c r="L31" s="214" ph="1"/>
      <c r="M31" s="212" t="s" ph="1">
        <v>7</v>
      </c>
      <c r="N31" s="213" ph="1"/>
      <c r="O31" s="214" ph="1"/>
      <c r="P31" s="212" t="s" ph="1">
        <v>42</v>
      </c>
      <c r="Q31" s="213"/>
      <c r="R31" s="214"/>
      <c r="S31" s="212" t="s" ph="1">
        <v>2</v>
      </c>
      <c r="T31" s="213"/>
      <c r="U31" s="214"/>
      <c r="V31" s="212" t="s" ph="1">
        <v>81</v>
      </c>
      <c r="W31" s="213" ph="1"/>
      <c r="X31" s="214" ph="1"/>
      <c r="Y31" s="212" t="s" ph="1">
        <v>3</v>
      </c>
      <c r="Z31" s="213" ph="1"/>
      <c r="AA31" s="214" ph="1"/>
      <c r="AB31" s="235" t="s">
        <v>43</v>
      </c>
      <c r="AC31" s="236"/>
      <c r="AD31" s="236"/>
      <c r="AE31" s="237"/>
      <c r="AH31" s="64" ph="1">
        <v>17</v>
      </c>
      <c r="AI31" s="64" t="s" ph="1">
        <v>396</v>
      </c>
      <c r="AZ31" s="64" t="s" ph="1">
        <v>257</v>
      </c>
      <c r="BA31" s="64" ph="1">
        <v>0</v>
      </c>
      <c r="BD31" s="64" t="s" ph="1">
        <v>397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43" t="s" ph="1">
        <v>5</v>
      </c>
      <c r="F32" s="144" t="s" ph="1">
        <v>44</v>
      </c>
      <c r="G32" s="97" t="s" ph="1">
        <v>4</v>
      </c>
      <c r="H32" s="143" t="s" ph="1">
        <v>5</v>
      </c>
      <c r="I32" s="144" t="s" ph="1">
        <v>44</v>
      </c>
      <c r="J32" s="97" t="s" ph="1">
        <v>4</v>
      </c>
      <c r="K32" s="143" t="s" ph="1">
        <v>5</v>
      </c>
      <c r="L32" s="144" t="s" ph="1">
        <v>44</v>
      </c>
      <c r="M32" s="97" t="s" ph="1">
        <v>4</v>
      </c>
      <c r="N32" s="143" t="s" ph="1">
        <v>5</v>
      </c>
      <c r="O32" s="144" t="s" ph="1">
        <v>44</v>
      </c>
      <c r="P32" s="97" t="s" ph="1">
        <v>4</v>
      </c>
      <c r="Q32" s="98" t="s" ph="1">
        <v>5</v>
      </c>
      <c r="R32" s="99" t="s" ph="1">
        <v>44</v>
      </c>
      <c r="S32" s="97" t="s" ph="1">
        <v>4</v>
      </c>
      <c r="T32" s="143" t="s" ph="1">
        <v>5</v>
      </c>
      <c r="U32" s="99" t="s" ph="1">
        <v>44</v>
      </c>
      <c r="V32" s="97" t="s" ph="1">
        <v>4</v>
      </c>
      <c r="W32" s="143" t="s" ph="1">
        <v>5</v>
      </c>
      <c r="X32" s="99" t="s" ph="1">
        <v>44</v>
      </c>
      <c r="Y32" s="100" t="s" ph="1">
        <v>4</v>
      </c>
      <c r="Z32" s="143" t="s" ph="1">
        <v>5</v>
      </c>
      <c r="AA32" s="144" t="s" ph="1">
        <v>44</v>
      </c>
      <c r="AB32" s="97" t="s" ph="1">
        <v>102</v>
      </c>
      <c r="AC32" s="143" t="s" ph="1">
        <v>101</v>
      </c>
      <c r="AD32" s="238" t="s" ph="1">
        <v>100</v>
      </c>
      <c r="AE32" s="239"/>
      <c r="AH32" s="64" ph="1">
        <v>18</v>
      </c>
      <c r="AI32" s="64" t="s" ph="1">
        <v>398</v>
      </c>
      <c r="AZ32" s="64" t="s" ph="1">
        <v>257</v>
      </c>
      <c r="BA32" s="64" ph="1">
        <v>0</v>
      </c>
    </row>
    <row r="33" spans="1:57" ph="1">
      <c r="A33" s="64"/>
      <c r="B33" s="225" t="s" ph="1">
        <v>212</v>
      </c>
      <c r="C33" s="226" ph="1"/>
      <c r="D33" s="229" ph="1">
        <f>AA10+AB10+Z19</f>
        <v>127115.678377</v>
      </c>
      <c r="E33" s="229" ph="1">
        <f>M10+I10</f>
        <v>182846.65476209999</v>
      </c>
      <c r="F33" s="23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[[#This Row],[F25]]</f>
        <v>3880</v>
      </c>
      <c r="G33" s="233" ph="1">
        <v>0</v>
      </c>
      <c r="H33" s="229" ph="1">
        <f>N19</f>
        <v>18525.030911220001</v>
      </c>
      <c r="I33" s="242" ph="1">
        <v>0</v>
      </c>
      <c r="J33" s="240" ph="1">
        <f>F10+O28</f>
        <v>305743.7525224</v>
      </c>
      <c r="K33" s="229" ph="1">
        <f>O10+K10+E28+R28</f>
        <v>263536.55017713999</v>
      </c>
      <c r="L33" s="244" ph="1">
        <f>BE27</f>
        <v>7100</v>
      </c>
      <c r="M33" s="240" ph="1">
        <f>G10+H10+W28+S28</f>
        <v>729226.85727559996</v>
      </c>
      <c r="N33" s="229" ph="1">
        <f>L10+P10++G28+H28+V28</f>
        <v>332939.22664090001</v>
      </c>
      <c r="O33" s="242" ph="1">
        <f>BE17</f>
        <v>2270</v>
      </c>
      <c r="P33" s="240" ph="1">
        <f>L19</f>
        <v>46939.188843839998</v>
      </c>
      <c r="Q33" s="229" ph="1">
        <f>J10+N10</f>
        <v>155942.74395879998</v>
      </c>
      <c r="R33" s="242" ph="1">
        <f>BE23</f>
        <v>890</v>
      </c>
      <c r="S33" s="240" ph="1">
        <f>E10+X28</f>
        <v>514469.14328312001</v>
      </c>
      <c r="T33" s="229" ph="1">
        <f>X19</f>
        <v>14571.22951872</v>
      </c>
      <c r="U33" s="250" ph="1">
        <f>BE21</f>
        <v>730</v>
      </c>
      <c r="V33" s="261" ph="1">
        <f ca="1">P19+Q19+S19+M28+N28+J28</f>
        <v>300518.73406986799</v>
      </c>
      <c r="W33" s="261" ph="1">
        <f>D28+F28+V19+T28</f>
        <v>255272.160859136</v>
      </c>
      <c r="X33" s="242" ph="1">
        <f>BE29+BE31</f>
        <v>10200</v>
      </c>
      <c r="Y33" s="263" ph="1">
        <f>+Q10+R10+S10+T10+U10+V10+W10+X10+Y10</f>
        <v>87938.897507999995</v>
      </c>
      <c r="Z33" s="248" ph="1">
        <f>D10+T19+U19+Y28+Z10</f>
        <v>391512.93593792</v>
      </c>
      <c r="AA33" s="250" ph="1">
        <f>BE19</f>
        <v>1440</v>
      </c>
      <c r="AB33" s="252" ph="1">
        <f>I19</f>
        <v>121.2729544</v>
      </c>
      <c r="AC33" s="254" ph="1">
        <f>AD10</f>
        <v>4745.9146719999999</v>
      </c>
      <c r="AD33" s="256" ph="1">
        <v>0</v>
      </c>
      <c r="AE33" s="257"/>
      <c r="AH33" s="64" ph="1">
        <v>19</v>
      </c>
      <c r="AI33" s="64" t="s" ph="1">
        <v>399</v>
      </c>
      <c r="AJ33" s="64" t="s" ph="1">
        <v>633</v>
      </c>
      <c r="AK33" s="64" t="s" ph="1">
        <v>630</v>
      </c>
      <c r="AL33" s="64" ph="1">
        <v>730</v>
      </c>
      <c r="AM33" s="64" t="s" ph="1">
        <v>380</v>
      </c>
      <c r="AZ33" s="64" t="s" ph="1">
        <v>257</v>
      </c>
      <c r="BA33" s="64" ph="1">
        <v>730</v>
      </c>
      <c r="BD33" s="64" t="s" ph="1">
        <v>331</v>
      </c>
      <c r="BE33" s="64" ph="1">
        <v>3880</v>
      </c>
    </row>
    <row r="34" spans="1:57" ph="1">
      <c r="A34" s="64"/>
      <c r="B34" s="227" ph="1"/>
      <c r="C34" s="228" ph="1"/>
      <c r="D34" s="230" ph="1"/>
      <c r="E34" s="230" ph="1"/>
      <c r="F34" s="232" ph="1"/>
      <c r="G34" s="234" ph="1"/>
      <c r="H34" s="230" ph="1"/>
      <c r="I34" s="243" ph="1"/>
      <c r="J34" s="241" ph="1"/>
      <c r="K34" s="230" ph="1"/>
      <c r="L34" s="245" ph="1"/>
      <c r="M34" s="241" ph="1"/>
      <c r="N34" s="230" ph="1"/>
      <c r="O34" s="243" ph="1"/>
      <c r="P34" s="241" ph="1"/>
      <c r="Q34" s="230" ph="1"/>
      <c r="R34" s="243" ph="1"/>
      <c r="S34" s="241" ph="1"/>
      <c r="T34" s="230"/>
      <c r="U34" s="251"/>
      <c r="V34" s="262" ph="1"/>
      <c r="W34" s="262" ph="1"/>
      <c r="X34" s="243" ph="1"/>
      <c r="Y34" s="264" ph="1"/>
      <c r="Z34" s="249" ph="1"/>
      <c r="AA34" s="251" ph="1"/>
      <c r="AB34" s="253"/>
      <c r="AC34" s="255"/>
      <c r="AD34" s="258"/>
      <c r="AE34" s="259"/>
      <c r="AH34" s="64" ph="1">
        <v>20</v>
      </c>
      <c r="AI34" s="64" t="s" ph="1">
        <v>400</v>
      </c>
      <c r="AJ34" s="64" t="s" ph="1">
        <v>634</v>
      </c>
      <c r="AK34" s="64" t="s" ph="1">
        <v>630</v>
      </c>
      <c r="AL34" s="64" ph="1">
        <v>720</v>
      </c>
      <c r="AM34" s="64" t="s" ph="1">
        <v>380</v>
      </c>
      <c r="AZ34" s="64" t="s" ph="1">
        <v>257</v>
      </c>
      <c r="BA34" s="64" ph="1">
        <v>720</v>
      </c>
    </row>
    <row r="35" spans="1:57" ph="1">
      <c r="A35" s="64"/>
      <c r="AC35" s="260" t="s" ph="1">
        <v>84</v>
      </c>
      <c r="AD35" s="260"/>
      <c r="AE35" s="260"/>
      <c r="AH35" s="64" ph="1">
        <v>21</v>
      </c>
      <c r="AI35" s="64" t="s" ph="1">
        <v>401</v>
      </c>
      <c r="AZ35" s="64" t="s" ph="1">
        <v>257</v>
      </c>
      <c r="BA35" s="64" ph="1">
        <v>0</v>
      </c>
      <c r="BD35" s="64" t="s" ph="1">
        <v>402</v>
      </c>
      <c r="BE35" s="64" ph="1">
        <v>2030</v>
      </c>
    </row>
    <row r="36" spans="1:57" ht="28.5" ph="1">
      <c r="A36" s="64"/>
      <c r="B36" s="103" t="s" ph="1">
        <v>213</v>
      </c>
      <c r="I36" s="246" t="s" ph="1">
        <v>214</v>
      </c>
      <c r="J36" s="246" ph="1"/>
      <c r="K36" s="101" ph="1"/>
      <c r="P36" s="101" ph="1"/>
      <c r="R36" s="246" t="s" ph="1">
        <v>215</v>
      </c>
      <c r="S36" s="246" ph="1"/>
      <c r="Y36" s="102" ph="1"/>
      <c r="Z36" s="145" t="s" ph="1">
        <v>216</v>
      </c>
      <c r="AA36" s="145" ph="1"/>
      <c r="AB36" s="247" t="s" ph="1">
        <v>650</v>
      </c>
      <c r="AC36" s="247" ph="1"/>
      <c r="AD36" s="247" ph="1"/>
      <c r="AE36" s="247" ph="1"/>
      <c r="BA36" s="64" ph="1">
        <v>2270</v>
      </c>
    </row>
    <row r="37" spans="1:57" s="145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5" t="s" ph="1">
        <v>383</v>
      </c>
      <c r="AI37" s="145" t="s" ph="1">
        <v>250</v>
      </c>
      <c r="AJ37" s="145" t="s" ph="1">
        <v>251</v>
      </c>
      <c r="AK37" s="145" t="s" ph="1">
        <v>252</v>
      </c>
      <c r="AM37" s="145" t="s" ph="1">
        <v>251</v>
      </c>
      <c r="AN37" s="145" t="s" ph="1">
        <v>252</v>
      </c>
      <c r="AO37" s="145" t="s" ph="1">
        <v>253</v>
      </c>
      <c r="AP37" s="145" t="s" ph="1">
        <v>251</v>
      </c>
      <c r="AQ37" s="145" t="s" ph="1">
        <v>252</v>
      </c>
      <c r="AR37" s="145" t="s" ph="1">
        <v>253</v>
      </c>
      <c r="AS37" s="145" t="s" ph="1">
        <v>251</v>
      </c>
      <c r="AT37" s="145" t="s" ph="1">
        <v>252</v>
      </c>
      <c r="AU37" s="145" t="s" ph="1">
        <v>253</v>
      </c>
      <c r="AV37" s="145" t="s" ph="1">
        <v>251</v>
      </c>
      <c r="AW37" s="145" t="s" ph="1">
        <v>252</v>
      </c>
      <c r="AX37" s="145" t="s" ph="1">
        <v>253</v>
      </c>
      <c r="AY37" s="145" t="s" ph="1">
        <v>252</v>
      </c>
      <c r="AZ37" s="145" t="s" ph="1">
        <v>254</v>
      </c>
      <c r="BD37" s="145" t="s" ph="1">
        <v>346</v>
      </c>
      <c r="BE37" s="145" ph="1">
        <v>0</v>
      </c>
    </row>
    <row r="38" spans="1:57" ph="1">
      <c r="AE38" s="64" ph="1"/>
      <c r="AH38" s="64" ph="1">
        <v>1</v>
      </c>
      <c r="AI38" s="64" t="s" ph="1">
        <v>403</v>
      </c>
      <c r="AY38" s="64" t="s" ph="1">
        <v>257</v>
      </c>
      <c r="AZ38" s="64" t="s" ph="1">
        <v>408</v>
      </c>
    </row>
    <row r="39" spans="1:57" ph="1">
      <c r="AH39" s="64" ph="1">
        <v>2</v>
      </c>
      <c r="AI39" s="64" t="s" ph="1">
        <v>405</v>
      </c>
      <c r="AJ39" s="64" t="s" ph="1">
        <v>377</v>
      </c>
      <c r="AK39" s="64" t="s" ph="1">
        <v>406</v>
      </c>
      <c r="AM39" s="64" t="s" ph="1">
        <v>611</v>
      </c>
      <c r="AN39" s="64" t="s" ph="1">
        <v>269</v>
      </c>
      <c r="AO39" s="64" t="s" ph="1">
        <v>404</v>
      </c>
      <c r="AY39" s="64" t="s" ph="1">
        <v>257</v>
      </c>
      <c r="AZ39" s="64" t="s" ph="1">
        <v>540</v>
      </c>
    </row>
    <row r="40" spans="1:57" ph="1">
      <c r="AH40" s="64" ph="1">
        <v>3</v>
      </c>
      <c r="AI40" s="64" t="s" ph="1">
        <v>407</v>
      </c>
      <c r="AJ40" s="64" t="s" ph="1">
        <v>611</v>
      </c>
      <c r="AK40" s="64" t="s" ph="1">
        <v>612</v>
      </c>
      <c r="AY40" s="64" t="s" ph="1">
        <v>257</v>
      </c>
      <c r="AZ40" s="64" t="s" ph="1">
        <v>612</v>
      </c>
    </row>
    <row r="41" spans="1:57" ph="1">
      <c r="AH41" s="64" ph="1">
        <v>4</v>
      </c>
      <c r="AI41" s="64" t="s" ph="1">
        <v>409</v>
      </c>
      <c r="AJ41" s="64" t="s" ph="1">
        <v>613</v>
      </c>
      <c r="AK41" s="64" t="s" ph="1">
        <v>614</v>
      </c>
      <c r="AM41" s="64" t="s" ph="1">
        <v>615</v>
      </c>
      <c r="AY41" s="64" t="s" ph="1">
        <v>257</v>
      </c>
      <c r="AZ41" s="64" t="s" ph="1">
        <v>614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410</v>
      </c>
      <c r="AY42" s="64" t="s" ph="1">
        <v>257</v>
      </c>
      <c r="AZ42" s="64" t="s" ph="1">
        <v>408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411</v>
      </c>
      <c r="AY43" s="64" t="s" ph="1">
        <v>257</v>
      </c>
      <c r="AZ43" s="64" t="s" ph="1">
        <v>408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412</v>
      </c>
      <c r="AV44" s="64" t="s" ph="1">
        <v>258</v>
      </c>
      <c r="AY44" s="64" t="s" ph="1">
        <v>257</v>
      </c>
      <c r="AZ44" s="64" t="s" ph="1">
        <v>408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413</v>
      </c>
      <c r="AV45" s="64" t="s" ph="1">
        <v>258</v>
      </c>
      <c r="AY45" s="64" t="s" ph="1">
        <v>257</v>
      </c>
      <c r="AZ45" s="64" t="s" ph="1">
        <v>408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414</v>
      </c>
      <c r="AV46" s="64" t="s" ph="1">
        <v>258</v>
      </c>
      <c r="AY46" s="64" t="s" ph="1">
        <v>257</v>
      </c>
      <c r="AZ46" s="64" t="s" ph="1">
        <v>408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415</v>
      </c>
      <c r="AV47" s="64" t="s" ph="1">
        <v>258</v>
      </c>
      <c r="AY47" s="64" t="s" ph="1">
        <v>257</v>
      </c>
      <c r="AZ47" s="64" t="s" ph="1">
        <v>408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616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273</v>
      </c>
      <c r="AI49" s="64" t="s" ph="1">
        <v>250</v>
      </c>
      <c r="AJ49" s="64" t="s" ph="1">
        <v>251</v>
      </c>
      <c r="AK49" s="64" t="s" ph="1">
        <v>252</v>
      </c>
      <c r="AM49" s="64" t="s" ph="1">
        <v>251</v>
      </c>
      <c r="AN49" s="64" t="s" ph="1">
        <v>252</v>
      </c>
      <c r="AO49" s="64" t="s" ph="1">
        <v>253</v>
      </c>
      <c r="AP49" s="64" t="s" ph="1">
        <v>251</v>
      </c>
      <c r="AQ49" s="64" t="s" ph="1">
        <v>252</v>
      </c>
      <c r="AR49" s="64" t="s" ph="1">
        <v>253</v>
      </c>
      <c r="AS49" s="64" t="s" ph="1">
        <v>251</v>
      </c>
      <c r="AT49" s="64" t="s" ph="1">
        <v>252</v>
      </c>
      <c r="AU49" s="64" t="s" ph="1">
        <v>253</v>
      </c>
      <c r="AV49" s="64" t="s" ph="1">
        <v>251</v>
      </c>
      <c r="AW49" s="64" t="s" ph="1">
        <v>252</v>
      </c>
      <c r="AX49" s="64" t="s" ph="1">
        <v>253</v>
      </c>
      <c r="AY49" s="64" t="s" ph="1">
        <v>252</v>
      </c>
      <c r="AZ49" s="64" t="s" ph="1">
        <v>254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416</v>
      </c>
      <c r="AY50" s="64" t="s" ph="1">
        <v>257</v>
      </c>
      <c r="AZ50" s="64" t="s" ph="1">
        <v>408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417</v>
      </c>
      <c r="AY51" s="64" t="s" ph="1">
        <v>257</v>
      </c>
      <c r="AZ51" s="64" t="s" ph="1">
        <v>408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418</v>
      </c>
      <c r="AJ52" s="64" t="s" ph="1">
        <v>375</v>
      </c>
      <c r="AK52" s="64" t="s" ph="1">
        <v>269</v>
      </c>
      <c r="AM52" s="64" t="s" ph="1">
        <v>377</v>
      </c>
      <c r="AN52" s="64" t="s" ph="1">
        <v>341</v>
      </c>
      <c r="AO52" s="64" t="s" ph="1">
        <v>274</v>
      </c>
      <c r="AP52" s="64" t="s" ph="1">
        <v>611</v>
      </c>
      <c r="AQ52" s="64" t="s" ph="1">
        <v>323</v>
      </c>
      <c r="AR52" s="64" t="s" ph="1">
        <v>274</v>
      </c>
      <c r="AY52" s="64" t="s" ph="1">
        <v>257</v>
      </c>
      <c r="AZ52" s="64" t="s" ph="1">
        <v>617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419</v>
      </c>
      <c r="AY53" s="64" t="s" ph="1">
        <v>257</v>
      </c>
      <c r="AZ53" s="64" t="s" ph="1">
        <v>408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420</v>
      </c>
      <c r="AJ54" s="64" t="s" ph="1">
        <v>375</v>
      </c>
      <c r="AK54" s="64" t="s" ph="1">
        <v>260</v>
      </c>
      <c r="AM54" s="64" t="s" ph="1">
        <v>377</v>
      </c>
      <c r="AN54" s="64" t="s" ph="1">
        <v>265</v>
      </c>
      <c r="AO54" s="64" t="s" ph="1">
        <v>274</v>
      </c>
      <c r="AP54" s="64" t="s" ph="1">
        <v>611</v>
      </c>
      <c r="AQ54" s="64" t="s" ph="1">
        <v>281</v>
      </c>
      <c r="AR54" s="64" t="s" ph="1">
        <v>274</v>
      </c>
      <c r="AY54" s="64" t="s" ph="1">
        <v>257</v>
      </c>
      <c r="AZ54" s="64" t="s" ph="1">
        <v>275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421</v>
      </c>
      <c r="AY55" s="64" t="s" ph="1">
        <v>257</v>
      </c>
      <c r="AZ55" s="64" t="s" ph="1">
        <v>408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422</v>
      </c>
      <c r="AY56" s="64" t="s" ph="1">
        <v>257</v>
      </c>
      <c r="AZ56" s="64" t="s" ph="1">
        <v>408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423</v>
      </c>
      <c r="AY57" s="64" t="s" ph="1">
        <v>257</v>
      </c>
      <c r="AZ57" s="64" t="s" ph="1">
        <v>408</v>
      </c>
    </row>
    <row r="58" spans="16:52" ph="1">
      <c r="P58" s="64"/>
      <c r="AN58" s="64" t="s" ph="1">
        <v>258</v>
      </c>
      <c r="AZ58" s="64" t="s" ph="1">
        <v>618</v>
      </c>
    </row>
    <row r="59" spans="16:52" ph="1">
      <c r="V59" s="64"/>
      <c r="AG59" s="64" t="s" ph="1">
        <v>276</v>
      </c>
      <c r="AI59" s="64" t="s" ph="1">
        <v>250</v>
      </c>
      <c r="AJ59" s="64" t="s" ph="1">
        <v>251</v>
      </c>
      <c r="AK59" s="64" t="s" ph="1">
        <v>252</v>
      </c>
      <c r="AM59" s="64" t="s" ph="1">
        <v>251</v>
      </c>
      <c r="AN59" s="64" t="s" ph="1">
        <v>252</v>
      </c>
      <c r="AO59" s="64" t="s" ph="1">
        <v>253</v>
      </c>
      <c r="AP59" s="64" t="s" ph="1">
        <v>251</v>
      </c>
      <c r="AQ59" s="64" t="s" ph="1">
        <v>252</v>
      </c>
      <c r="AR59" s="64" t="s" ph="1">
        <v>253</v>
      </c>
      <c r="AS59" s="64" t="s" ph="1">
        <v>251</v>
      </c>
      <c r="AT59" s="64" t="s" ph="1">
        <v>252</v>
      </c>
      <c r="AU59" s="64" t="s" ph="1">
        <v>253</v>
      </c>
      <c r="AV59" s="64" t="s" ph="1">
        <v>251</v>
      </c>
      <c r="AW59" s="64" t="s" ph="1">
        <v>252</v>
      </c>
      <c r="AX59" s="64" t="s" ph="1">
        <v>253</v>
      </c>
      <c r="AY59" s="64" t="s" ph="1">
        <v>252</v>
      </c>
      <c r="AZ59" s="64" t="s" ph="1">
        <v>254</v>
      </c>
    </row>
    <row r="60" spans="16:52" ph="1">
      <c r="R60" s="64"/>
      <c r="S60" s="64"/>
      <c r="T60" s="64"/>
      <c r="AH60" s="64" ph="1">
        <v>1</v>
      </c>
      <c r="AI60" s="64" t="s" ph="1">
        <v>424</v>
      </c>
      <c r="AY60" s="64" t="s" ph="1">
        <v>257</v>
      </c>
      <c r="AZ60" s="64" t="s" ph="1">
        <v>408</v>
      </c>
    </row>
    <row r="61" spans="16:52" ph="1">
      <c r="AH61" s="64" ph="1">
        <v>2</v>
      </c>
      <c r="AI61" s="64" t="s" ph="1">
        <v>425</v>
      </c>
      <c r="AS61" s="64" t="s" ph="1">
        <v>258</v>
      </c>
      <c r="AY61" s="64" t="s" ph="1">
        <v>257</v>
      </c>
      <c r="AZ61" s="64" t="s" ph="1">
        <v>408</v>
      </c>
    </row>
    <row r="62" spans="16:52" ph="1">
      <c r="AZ62" s="64" t="s" ph="1">
        <v>426</v>
      </c>
    </row>
    <row r="63" spans="16:52" ph="1">
      <c r="AG63" s="64" t="s" ph="1">
        <v>279</v>
      </c>
      <c r="AI63" s="64" t="s" ph="1">
        <v>250</v>
      </c>
      <c r="AJ63" s="64" t="s" ph="1">
        <v>251</v>
      </c>
      <c r="AK63" s="64" t="s" ph="1">
        <v>252</v>
      </c>
      <c r="AM63" s="64" t="s" ph="1">
        <v>251</v>
      </c>
      <c r="AN63" s="64" t="s" ph="1">
        <v>252</v>
      </c>
      <c r="AO63" s="64" t="s" ph="1">
        <v>253</v>
      </c>
      <c r="AP63" s="64" t="s" ph="1">
        <v>251</v>
      </c>
      <c r="AQ63" s="64" t="s" ph="1">
        <v>252</v>
      </c>
      <c r="AR63" s="64" t="s" ph="1">
        <v>253</v>
      </c>
      <c r="AS63" s="64" t="s" ph="1">
        <v>251</v>
      </c>
      <c r="AT63" s="64" t="s" ph="1">
        <v>252</v>
      </c>
      <c r="AU63" s="64" t="s" ph="1">
        <v>253</v>
      </c>
      <c r="AV63" s="64" t="s" ph="1">
        <v>251</v>
      </c>
      <c r="AW63" s="64" t="s" ph="1">
        <v>252</v>
      </c>
      <c r="AX63" s="64" t="s" ph="1">
        <v>253</v>
      </c>
      <c r="AY63" s="64" t="s" ph="1">
        <v>252</v>
      </c>
      <c r="AZ63" s="64" t="s" ph="1">
        <v>254</v>
      </c>
    </row>
    <row r="64" spans="16:52" ph="1">
      <c r="AH64" s="64" ph="1">
        <v>1</v>
      </c>
      <c r="AI64" s="64" t="s" ph="1">
        <v>427</v>
      </c>
      <c r="AJ64" s="64" t="s" ph="1">
        <v>428</v>
      </c>
      <c r="AK64" s="64" t="s" ph="1">
        <v>429</v>
      </c>
      <c r="AY64" s="64" t="s" ph="1">
        <v>257</v>
      </c>
      <c r="AZ64" s="64" t="s" ph="1">
        <v>429</v>
      </c>
    </row>
    <row r="65" spans="33:52" ph="1">
      <c r="AH65" s="64" ph="1">
        <v>2</v>
      </c>
      <c r="AI65" s="64" t="s" ph="1">
        <v>430</v>
      </c>
      <c r="AY65" s="64" t="s" ph="1">
        <v>257</v>
      </c>
      <c r="AZ65" s="64" t="s" ph="1">
        <v>408</v>
      </c>
    </row>
    <row r="66" spans="33:52" ph="1">
      <c r="AH66" s="64" ph="1">
        <v>3</v>
      </c>
      <c r="AI66" s="64" t="s" ph="1">
        <v>431</v>
      </c>
      <c r="AY66" s="64" t="s" ph="1">
        <v>257</v>
      </c>
      <c r="AZ66" s="64" t="s" ph="1">
        <v>408</v>
      </c>
    </row>
    <row r="67" spans="33:52" ph="1">
      <c r="AH67" s="64" ph="1">
        <v>4</v>
      </c>
      <c r="AI67" s="64" t="s" ph="1">
        <v>432</v>
      </c>
      <c r="AY67" s="64" t="s" ph="1">
        <v>257</v>
      </c>
      <c r="AZ67" s="64" t="s" ph="1">
        <v>408</v>
      </c>
    </row>
    <row r="68" spans="33:52" ph="1">
      <c r="AH68" s="64" ph="1">
        <v>5</v>
      </c>
      <c r="AI68" s="64" t="s" ph="1">
        <v>433</v>
      </c>
      <c r="AY68" s="64" t="s" ph="1">
        <v>257</v>
      </c>
      <c r="AZ68" s="64" t="s" ph="1">
        <v>408</v>
      </c>
    </row>
    <row r="69" spans="33:52" ph="1">
      <c r="AH69" s="64" ph="1">
        <v>6</v>
      </c>
      <c r="AI69" s="64" t="s" ph="1">
        <v>434</v>
      </c>
      <c r="AY69" s="64" t="s" ph="1">
        <v>257</v>
      </c>
      <c r="AZ69" s="64" t="s" ph="1">
        <v>408</v>
      </c>
    </row>
    <row r="70" spans="33:52" ph="1">
      <c r="AI70" s="64" t="s" ph="1">
        <v>435</v>
      </c>
      <c r="AY70" s="64" t="s" ph="1">
        <v>257</v>
      </c>
      <c r="AZ70" s="64" t="s" ph="1">
        <v>408</v>
      </c>
    </row>
    <row r="71" spans="33:52" ph="1">
      <c r="AH71" s="64" ph="1">
        <v>7</v>
      </c>
      <c r="AI71" s="64" t="s" ph="1">
        <v>436</v>
      </c>
      <c r="AJ71" s="64" t="s" ph="1">
        <v>375</v>
      </c>
      <c r="AK71" s="64" t="s" ph="1">
        <v>269</v>
      </c>
      <c r="AM71" s="64" t="s" ph="1">
        <v>377</v>
      </c>
      <c r="AN71" s="64" t="s" ph="1">
        <v>269</v>
      </c>
      <c r="AO71" s="64" t="s" ph="1">
        <v>437</v>
      </c>
      <c r="AP71" s="64" t="s" ph="1">
        <v>611</v>
      </c>
      <c r="AQ71" s="64" t="s" ph="1">
        <v>260</v>
      </c>
      <c r="AR71" s="64" t="s" ph="1">
        <v>437</v>
      </c>
      <c r="AY71" s="64" t="s" ph="1">
        <v>257</v>
      </c>
      <c r="AZ71" s="64" t="s" ph="1">
        <v>619</v>
      </c>
    </row>
    <row r="72" spans="33:52" ph="1">
      <c r="AZ72" s="64" t="s" ph="1">
        <v>620</v>
      </c>
    </row>
    <row r="73" spans="33:52" ph="1">
      <c r="AG73" s="64" t="s" ph="1">
        <v>282</v>
      </c>
      <c r="AI73" s="64" t="s" ph="1">
        <v>250</v>
      </c>
      <c r="AJ73" s="64" t="s" ph="1">
        <v>251</v>
      </c>
      <c r="AK73" s="64" t="s" ph="1">
        <v>252</v>
      </c>
      <c r="AM73" s="64" t="s" ph="1">
        <v>251</v>
      </c>
      <c r="AN73" s="64" t="s" ph="1">
        <v>252</v>
      </c>
      <c r="AO73" s="64" t="s" ph="1">
        <v>253</v>
      </c>
      <c r="AP73" s="64" t="s" ph="1">
        <v>251</v>
      </c>
      <c r="AQ73" s="64" t="s" ph="1">
        <v>252</v>
      </c>
      <c r="AR73" s="64" t="s" ph="1">
        <v>253</v>
      </c>
      <c r="AS73" s="64" t="s" ph="1">
        <v>251</v>
      </c>
      <c r="AT73" s="64" t="s" ph="1">
        <v>252</v>
      </c>
      <c r="AU73" s="64" t="s" ph="1">
        <v>253</v>
      </c>
      <c r="AV73" s="64" t="s" ph="1">
        <v>251</v>
      </c>
      <c r="AW73" s="64" t="s" ph="1">
        <v>252</v>
      </c>
      <c r="AX73" s="64" t="s" ph="1">
        <v>253</v>
      </c>
      <c r="AY73" s="64" t="s" ph="1">
        <v>252</v>
      </c>
      <c r="AZ73" s="64" t="s" ph="1">
        <v>254</v>
      </c>
    </row>
    <row r="74" spans="33:52" ph="1">
      <c r="AH74" s="64" ph="1">
        <v>1</v>
      </c>
      <c r="AI74" s="64" t="s" ph="1">
        <v>438</v>
      </c>
      <c r="AJ74" s="64" t="s" ph="1">
        <v>283</v>
      </c>
      <c r="AK74" s="64" t="s" ph="1">
        <v>265</v>
      </c>
      <c r="AM74" s="64" t="s" ph="1">
        <v>285</v>
      </c>
      <c r="AN74" s="64" t="s" ph="1">
        <v>295</v>
      </c>
      <c r="AO74" s="64" t="s" ph="1">
        <v>284</v>
      </c>
      <c r="AP74" s="64" t="s" ph="1">
        <v>286</v>
      </c>
      <c r="AQ74" s="64" t="s" ph="1">
        <v>263</v>
      </c>
      <c r="AR74" s="64" t="s" ph="1">
        <v>284</v>
      </c>
      <c r="AS74" s="64" t="s" ph="1">
        <v>256</v>
      </c>
      <c r="AT74" s="64" t="s" ph="1">
        <v>258</v>
      </c>
      <c r="AV74" s="64" t="s" ph="1">
        <v>439</v>
      </c>
      <c r="AW74" s="64" t="s" ph="1">
        <v>440</v>
      </c>
      <c r="AX74" s="64" t="s" ph="1">
        <v>441</v>
      </c>
      <c r="AY74" s="64" t="s" ph="1">
        <v>257</v>
      </c>
      <c r="AZ74" s="64" t="s" ph="1">
        <v>442</v>
      </c>
    </row>
    <row r="75" spans="33:52" ph="1">
      <c r="AJ75" s="64" t="s" ph="1">
        <v>288</v>
      </c>
      <c r="AK75" s="64" t="s" ph="1">
        <v>341</v>
      </c>
      <c r="AM75" s="64" t="s" ph="1">
        <v>286</v>
      </c>
      <c r="AN75" s="64" t="s" ph="1">
        <v>266</v>
      </c>
      <c r="AO75" s="64" t="s" ph="1">
        <v>284</v>
      </c>
      <c r="AS75" s="64" t="s" ph="1">
        <v>256</v>
      </c>
      <c r="AT75" s="64" t="s" ph="1">
        <v>287</v>
      </c>
    </row>
    <row r="76" spans="33:52" ph="1">
      <c r="AJ76" s="64" t="s" ph="1">
        <v>288</v>
      </c>
      <c r="AK76" s="64" t="s" ph="1">
        <v>281</v>
      </c>
      <c r="AM76" s="64" t="s" ph="1">
        <v>286</v>
      </c>
      <c r="AN76" s="64" t="s" ph="1">
        <v>269</v>
      </c>
      <c r="AO76" s="64" t="s" ph="1">
        <v>284</v>
      </c>
      <c r="AS76" s="64" t="s" ph="1">
        <v>256</v>
      </c>
      <c r="AT76" s="64" t="s" ph="1">
        <v>287</v>
      </c>
    </row>
    <row r="77" spans="33:52" ph="1">
      <c r="AJ77" s="64" t="s" ph="1">
        <v>324</v>
      </c>
      <c r="AK77" s="64" t="s" ph="1">
        <v>281</v>
      </c>
      <c r="AM77" s="64" t="s" ph="1">
        <v>325</v>
      </c>
      <c r="AN77" s="64" t="s" ph="1">
        <v>264</v>
      </c>
      <c r="AO77" s="64" t="s" ph="1">
        <v>284</v>
      </c>
      <c r="AS77" s="64" t="s" ph="1">
        <v>256</v>
      </c>
      <c r="AT77" s="64" t="s" ph="1">
        <v>326</v>
      </c>
    </row>
    <row r="78" spans="33:52" ph="1">
      <c r="AH78" s="64" ph="1">
        <v>2</v>
      </c>
      <c r="AI78" s="64" t="s" ph="1">
        <v>290</v>
      </c>
      <c r="AJ78" s="64" t="s" ph="1">
        <v>291</v>
      </c>
      <c r="AK78" s="64" t="s" ph="1">
        <v>260</v>
      </c>
      <c r="AM78" s="64" t="s" ph="1">
        <v>292</v>
      </c>
      <c r="AN78" s="64" t="s" ph="1">
        <v>295</v>
      </c>
      <c r="AO78" s="64" t="s" ph="1">
        <v>284</v>
      </c>
      <c r="AP78" s="64" t="s" ph="1">
        <v>293</v>
      </c>
      <c r="AQ78" s="64" t="s" ph="1">
        <v>339</v>
      </c>
      <c r="AR78" s="64" t="s" ph="1">
        <v>284</v>
      </c>
      <c r="AS78" s="64" t="s" ph="1">
        <v>294</v>
      </c>
      <c r="AT78" s="64" t="s" ph="1">
        <v>295</v>
      </c>
      <c r="AU78" s="64" t="s" ph="1">
        <v>284</v>
      </c>
      <c r="AV78" s="64" t="s" ph="1">
        <v>296</v>
      </c>
      <c r="AW78" s="64" t="s" ph="1">
        <v>284</v>
      </c>
      <c r="AY78" s="64" t="s" ph="1">
        <v>257</v>
      </c>
      <c r="AZ78" s="64" t="s" ph="1">
        <v>443</v>
      </c>
    </row>
    <row r="79" spans="33:52" ph="1">
      <c r="AJ79" s="64" t="s" ph="1">
        <v>286</v>
      </c>
      <c r="AK79" s="64" t="s" ph="1">
        <v>297</v>
      </c>
      <c r="AM79" s="64" t="s" ph="1">
        <v>298</v>
      </c>
      <c r="AN79" s="64" t="s" ph="1">
        <v>266</v>
      </c>
      <c r="AO79" s="64" t="s" ph="1">
        <v>284</v>
      </c>
      <c r="AP79" s="64" t="s" ph="1">
        <v>299</v>
      </c>
      <c r="AQ79" s="64" t="s" ph="1">
        <v>264</v>
      </c>
      <c r="AR79" s="64" t="s" ph="1">
        <v>300</v>
      </c>
      <c r="AS79" s="64" t="s" ph="1">
        <v>256</v>
      </c>
      <c r="AT79" s="64" t="s" ph="1">
        <v>301</v>
      </c>
      <c r="AV79" s="64" t="s" ph="1">
        <v>444</v>
      </c>
      <c r="AW79" s="64" t="s" ph="1">
        <v>343</v>
      </c>
      <c r="AX79" s="64" t="s" ph="1">
        <v>441</v>
      </c>
    </row>
    <row r="80" spans="33:52" ph="1">
      <c r="AH80" s="64" ph="1">
        <v>3</v>
      </c>
      <c r="AI80" s="64" t="s" ph="1">
        <v>302</v>
      </c>
      <c r="AJ80" s="64" t="s" ph="1">
        <v>303</v>
      </c>
      <c r="AK80" s="64" t="s" ph="1">
        <v>304</v>
      </c>
      <c r="AM80" s="64" t="s" ph="1">
        <v>305</v>
      </c>
      <c r="AN80" s="64" t="s" ph="1">
        <v>295</v>
      </c>
      <c r="AO80" s="64" t="s" ph="1">
        <v>284</v>
      </c>
      <c r="AP80" s="64" t="s" ph="1">
        <v>306</v>
      </c>
      <c r="AQ80" s="64" t="s" ph="1">
        <v>269</v>
      </c>
      <c r="AR80" s="64" t="s" ph="1">
        <v>284</v>
      </c>
      <c r="AS80" s="64" t="s" ph="1">
        <v>307</v>
      </c>
      <c r="AT80" s="64" t="s" ph="1">
        <v>268</v>
      </c>
      <c r="AU80" s="64" t="s" ph="1">
        <v>284</v>
      </c>
      <c r="AV80" s="64" t="s" ph="1">
        <v>308</v>
      </c>
      <c r="AW80" s="64" t="s" ph="1">
        <v>284</v>
      </c>
      <c r="AY80" s="64" t="s" ph="1">
        <v>257</v>
      </c>
      <c r="AZ80" s="64" t="s" ph="1">
        <v>445</v>
      </c>
    </row>
    <row r="81" spans="34:52" ph="1">
      <c r="AJ81" s="64" t="s" ph="1">
        <v>309</v>
      </c>
      <c r="AK81" s="64" t="s" ph="1">
        <v>263</v>
      </c>
      <c r="AM81" s="64" t="s" ph="1">
        <v>310</v>
      </c>
      <c r="AN81" s="64" t="s" ph="1">
        <v>266</v>
      </c>
      <c r="AO81" s="64" t="s" ph="1">
        <v>284</v>
      </c>
      <c r="AP81" s="64" t="s" ph="1">
        <v>311</v>
      </c>
      <c r="AQ81" s="64" t="s" ph="1">
        <v>295</v>
      </c>
      <c r="AR81" s="64" t="s" ph="1">
        <v>284</v>
      </c>
      <c r="AS81" s="64" t="s" ph="1">
        <v>312</v>
      </c>
      <c r="AT81" s="64" t="s" ph="1">
        <v>313</v>
      </c>
      <c r="AU81" s="64" t="s" ph="1">
        <v>284</v>
      </c>
      <c r="AV81" s="64" t="s" ph="1">
        <v>314</v>
      </c>
    </row>
    <row r="82" spans="34:52" ph="1">
      <c r="AJ82" s="64" t="s" ph="1">
        <v>315</v>
      </c>
      <c r="AK82" s="64" t="s" ph="1">
        <v>263</v>
      </c>
      <c r="AM82" s="64" t="s" ph="1">
        <v>316</v>
      </c>
      <c r="AN82" s="64" t="s" ph="1">
        <v>313</v>
      </c>
      <c r="AO82" s="64" t="s" ph="1">
        <v>317</v>
      </c>
      <c r="AP82" s="64" t="s" ph="1">
        <v>318</v>
      </c>
      <c r="AQ82" s="64" t="s" ph="1">
        <v>295</v>
      </c>
      <c r="AR82" s="64" t="s" ph="1">
        <v>284</v>
      </c>
      <c r="AS82" s="64" t="s" ph="1">
        <v>319</v>
      </c>
      <c r="AT82" s="64" t="s" ph="1">
        <v>270</v>
      </c>
      <c r="AU82" s="64" t="s" ph="1">
        <v>284</v>
      </c>
      <c r="AV82" s="64" t="s" ph="1">
        <v>444</v>
      </c>
      <c r="AW82" s="64" t="s" ph="1">
        <v>344</v>
      </c>
      <c r="AX82" s="64" t="s" ph="1">
        <v>441</v>
      </c>
    </row>
    <row r="83" spans="34:52" ph="1">
      <c r="AJ83" s="64" t="s" ph="1">
        <v>320</v>
      </c>
      <c r="AK83" s="64" t="s" ph="1">
        <v>337</v>
      </c>
      <c r="AM83" s="64" t="s" ph="1">
        <v>321</v>
      </c>
      <c r="AN83" s="64" t="s" ph="1">
        <v>269</v>
      </c>
      <c r="AO83" s="64" t="s" ph="1">
        <v>300</v>
      </c>
      <c r="AP83" s="64" t="s" ph="1">
        <v>322</v>
      </c>
      <c r="AQ83" s="64" t="s" ph="1">
        <v>323</v>
      </c>
      <c r="AR83" s="64" t="s" ph="1">
        <v>300</v>
      </c>
      <c r="AS83" s="64" t="s" ph="1">
        <v>446</v>
      </c>
      <c r="AT83" s="64" t="s" ph="1">
        <v>295</v>
      </c>
      <c r="AU83" s="64" t="s" ph="1">
        <v>300</v>
      </c>
      <c r="AV83" s="64" t="s" ph="1">
        <v>447</v>
      </c>
      <c r="AW83" s="64" t="s" ph="1">
        <v>344</v>
      </c>
      <c r="AX83" s="64" t="s" ph="1">
        <v>448</v>
      </c>
    </row>
    <row r="84" spans="34:52" ph="1">
      <c r="AH84" s="64" ph="1">
        <v>4</v>
      </c>
      <c r="AI84" s="64" t="s" ph="1">
        <v>327</v>
      </c>
      <c r="AJ84" s="64" t="s" ph="1">
        <v>267</v>
      </c>
      <c r="AK84" s="64" t="s" ph="1">
        <v>270</v>
      </c>
      <c r="AM84" s="64" t="s" ph="1">
        <v>271</v>
      </c>
      <c r="AN84" s="64" t="s" ph="1">
        <v>264</v>
      </c>
      <c r="AO84" s="64" t="s" ph="1">
        <v>300</v>
      </c>
      <c r="AP84" s="64" t="s" ph="1">
        <v>329</v>
      </c>
      <c r="AQ84" s="64" t="s" ph="1">
        <v>263</v>
      </c>
      <c r="AR84" s="64" t="s" ph="1">
        <v>300</v>
      </c>
      <c r="AS84" s="64" t="s" ph="1">
        <v>329</v>
      </c>
      <c r="AT84" s="64" t="s" ph="1">
        <v>265</v>
      </c>
      <c r="AU84" s="64" t="s" ph="1">
        <v>300</v>
      </c>
      <c r="AY84" s="64" t="s" ph="1">
        <v>257</v>
      </c>
      <c r="AZ84" s="64" t="s" ph="1">
        <v>449</v>
      </c>
    </row>
    <row r="85" spans="34:52" ph="1">
      <c r="AJ85" s="64" t="s" ph="1">
        <v>259</v>
      </c>
      <c r="AK85" s="64" t="s" ph="1">
        <v>263</v>
      </c>
      <c r="AM85" s="64" t="s" ph="1">
        <v>450</v>
      </c>
      <c r="AN85" s="64" t="s" ph="1">
        <v>270</v>
      </c>
      <c r="AO85" s="64" t="s" ph="1">
        <v>300</v>
      </c>
      <c r="AP85" s="64" t="s" ph="1">
        <v>451</v>
      </c>
      <c r="AQ85" s="64" t="s" ph="1">
        <v>266</v>
      </c>
      <c r="AR85" s="64" t="s" ph="1">
        <v>300</v>
      </c>
      <c r="AS85" s="64" t="s" ph="1">
        <v>452</v>
      </c>
      <c r="AT85" s="64" t="s" ph="1">
        <v>266</v>
      </c>
      <c r="AU85" s="64" t="s" ph="1">
        <v>300</v>
      </c>
    </row>
    <row r="86" spans="34:52" ph="1">
      <c r="AJ86" s="64" t="s" ph="1">
        <v>453</v>
      </c>
      <c r="AK86" s="64" t="s" ph="1">
        <v>272</v>
      </c>
      <c r="AM86" s="64" t="s" ph="1">
        <v>454</v>
      </c>
      <c r="AN86" s="64" t="s" ph="1">
        <v>313</v>
      </c>
      <c r="AO86" s="64" t="s" ph="1">
        <v>300</v>
      </c>
      <c r="AP86" s="64" t="s" ph="1">
        <v>455</v>
      </c>
      <c r="AQ86" s="64" t="s" ph="1">
        <v>260</v>
      </c>
      <c r="AR86" s="64" t="s" ph="1">
        <v>300</v>
      </c>
      <c r="AS86" s="64" t="s" ph="1">
        <v>456</v>
      </c>
      <c r="AT86" s="64" t="s" ph="1">
        <v>278</v>
      </c>
      <c r="AU86" s="64" t="s" ph="1">
        <v>300</v>
      </c>
    </row>
    <row r="87" spans="34:52" ph="1">
      <c r="AJ87" s="64" t="s" ph="1">
        <v>457</v>
      </c>
      <c r="AK87" s="64" t="s" ph="1">
        <v>313</v>
      </c>
      <c r="AM87" s="64" t="s" ph="1">
        <v>444</v>
      </c>
      <c r="AN87" s="64" t="s" ph="1">
        <v>458</v>
      </c>
      <c r="AO87" s="64" t="s" ph="1">
        <v>441</v>
      </c>
    </row>
    <row r="88" spans="34:52" ph="1">
      <c r="AH88" s="64" ph="1">
        <v>5</v>
      </c>
      <c r="AI88" s="64" t="s" ph="1">
        <v>330</v>
      </c>
      <c r="AJ88" s="64" t="s" ph="1">
        <v>459</v>
      </c>
      <c r="AK88" s="64" t="s" ph="1">
        <v>313</v>
      </c>
      <c r="AM88" s="64" t="s" ph="1">
        <v>460</v>
      </c>
      <c r="AN88" s="64" t="s" ph="1">
        <v>313</v>
      </c>
      <c r="AO88" s="64" t="s" ph="1">
        <v>300</v>
      </c>
      <c r="AP88" s="64" t="s" ph="1">
        <v>461</v>
      </c>
      <c r="AQ88" s="64" t="s" ph="1">
        <v>263</v>
      </c>
      <c r="AR88" s="64" t="s" ph="1">
        <v>300</v>
      </c>
      <c r="AS88" s="64" t="s" ph="1">
        <v>462</v>
      </c>
      <c r="AT88" s="64" t="s" ph="1">
        <v>313</v>
      </c>
      <c r="AU88" s="64" t="s" ph="1">
        <v>300</v>
      </c>
      <c r="AV88" s="64" t="s" ph="1">
        <v>463</v>
      </c>
      <c r="AW88" s="64" t="s" ph="1">
        <v>268</v>
      </c>
      <c r="AX88" s="64" t="s" ph="1">
        <v>300</v>
      </c>
      <c r="AY88" s="64" t="s" ph="1">
        <v>257</v>
      </c>
      <c r="AZ88" s="64" t="s" ph="1">
        <v>464</v>
      </c>
    </row>
    <row r="89" spans="34:52" ph="1">
      <c r="AJ89" s="64" t="s" ph="1">
        <v>465</v>
      </c>
      <c r="AK89" s="64" t="s" ph="1">
        <v>266</v>
      </c>
      <c r="AM89" s="64" t="s" ph="1">
        <v>466</v>
      </c>
      <c r="AN89" s="64" t="s" ph="1">
        <v>269</v>
      </c>
      <c r="AO89" s="64" t="s" ph="1">
        <v>300</v>
      </c>
      <c r="AP89" s="64" t="s" ph="1">
        <v>467</v>
      </c>
      <c r="AQ89" s="64" t="s" ph="1">
        <v>278</v>
      </c>
      <c r="AR89" s="64" t="s" ph="1">
        <v>300</v>
      </c>
      <c r="AS89" s="64" t="s" ph="1">
        <v>468</v>
      </c>
      <c r="AT89" s="64" t="s" ph="1">
        <v>313</v>
      </c>
      <c r="AU89" s="64" t="s" ph="1">
        <v>300</v>
      </c>
      <c r="AV89" s="64" t="s" ph="1">
        <v>469</v>
      </c>
      <c r="AW89" s="64" t="s" ph="1">
        <v>295</v>
      </c>
      <c r="AX89" s="64" t="s" ph="1">
        <v>328</v>
      </c>
    </row>
    <row r="90" spans="34:52" ph="1">
      <c r="AJ90" s="64" t="s" ph="1">
        <v>470</v>
      </c>
      <c r="AK90" s="64" t="s" ph="1">
        <v>269</v>
      </c>
      <c r="AM90" s="64" t="s" ph="1">
        <v>471</v>
      </c>
      <c r="AN90" s="64" t="s" ph="1">
        <v>266</v>
      </c>
      <c r="AO90" s="64" t="s" ph="1">
        <v>300</v>
      </c>
      <c r="AP90" s="64" t="s" ph="1">
        <v>472</v>
      </c>
      <c r="AQ90" s="64" t="s" ph="1">
        <v>335</v>
      </c>
      <c r="AR90" s="64" t="s" ph="1">
        <v>300</v>
      </c>
      <c r="AS90" s="64" t="s" ph="1">
        <v>473</v>
      </c>
      <c r="AT90" s="64" t="s" ph="1">
        <v>323</v>
      </c>
      <c r="AU90" s="64" t="s" ph="1">
        <v>300</v>
      </c>
      <c r="AV90" s="64" t="s" ph="1">
        <v>474</v>
      </c>
      <c r="AW90" s="64" t="s" ph="1">
        <v>260</v>
      </c>
      <c r="AX90" s="64" t="s" ph="1">
        <v>300</v>
      </c>
    </row>
    <row r="91" spans="34:52" ph="1">
      <c r="AJ91" s="64" t="s" ph="1">
        <v>475</v>
      </c>
      <c r="AK91" s="64" t="s" ph="1">
        <v>313</v>
      </c>
      <c r="AM91" s="64" t="s" ph="1">
        <v>476</v>
      </c>
      <c r="AN91" s="64" t="s" ph="1">
        <v>280</v>
      </c>
      <c r="AO91" s="64" t="s" ph="1">
        <v>300</v>
      </c>
      <c r="AP91" s="64" t="s" ph="1">
        <v>477</v>
      </c>
      <c r="AQ91" s="64" t="s" ph="1">
        <v>260</v>
      </c>
      <c r="AS91" s="64" t="s" ph="1">
        <v>444</v>
      </c>
      <c r="AT91" s="64" t="s" ph="1">
        <v>440</v>
      </c>
      <c r="AU91" s="64" t="s" ph="1">
        <v>441</v>
      </c>
    </row>
    <row r="92" spans="34:52" ph="1">
      <c r="AH92" s="64" ph="1">
        <v>6</v>
      </c>
      <c r="AI92" s="64" t="s" ph="1">
        <v>478</v>
      </c>
      <c r="AJ92" s="64" t="s" ph="1">
        <v>479</v>
      </c>
      <c r="AK92" s="64" t="s" ph="1">
        <v>408</v>
      </c>
      <c r="AM92" s="64" t="s" ph="1">
        <v>480</v>
      </c>
      <c r="AN92" s="64" t="s" ph="1">
        <v>268</v>
      </c>
      <c r="AO92" s="64" t="s" ph="1">
        <v>300</v>
      </c>
      <c r="AP92" s="64" t="s" ph="1">
        <v>481</v>
      </c>
      <c r="AQ92" s="64" t="s" ph="1">
        <v>340</v>
      </c>
      <c r="AR92" s="64" t="s" ph="1">
        <v>300</v>
      </c>
      <c r="AS92" s="64" t="s" ph="1">
        <v>482</v>
      </c>
      <c r="AT92" s="64" t="s" ph="1">
        <v>313</v>
      </c>
      <c r="AU92" s="64" t="s" ph="1">
        <v>300</v>
      </c>
      <c r="AV92" s="64" t="s" ph="1">
        <v>483</v>
      </c>
      <c r="AW92" s="64" t="s" ph="1">
        <v>269</v>
      </c>
      <c r="AX92" s="64" t="s" ph="1">
        <v>300</v>
      </c>
      <c r="AY92" s="64" t="s" ph="1">
        <v>257</v>
      </c>
      <c r="AZ92" s="64" t="s" ph="1">
        <v>464</v>
      </c>
    </row>
    <row r="93" spans="34:52" ph="1">
      <c r="AJ93" s="64" t="s" ph="1">
        <v>484</v>
      </c>
      <c r="AK93" s="64" t="s" ph="1">
        <v>263</v>
      </c>
      <c r="AM93" s="64" t="s" ph="1">
        <v>485</v>
      </c>
      <c r="AN93" s="64" t="s" ph="1">
        <v>268</v>
      </c>
      <c r="AO93" s="64" t="s" ph="1">
        <v>300</v>
      </c>
      <c r="AP93" s="64" t="s" ph="1">
        <v>486</v>
      </c>
      <c r="AQ93" s="64" t="s" ph="1">
        <v>272</v>
      </c>
      <c r="AR93" s="64" t="s" ph="1">
        <v>300</v>
      </c>
      <c r="AS93" s="64" t="s" ph="1">
        <v>487</v>
      </c>
      <c r="AT93" s="64" t="s" ph="1">
        <v>278</v>
      </c>
      <c r="AU93" s="64" t="s" ph="1">
        <v>300</v>
      </c>
      <c r="AV93" s="64" t="s" ph="1">
        <v>488</v>
      </c>
      <c r="AW93" s="64" t="s" ph="1">
        <v>272</v>
      </c>
      <c r="AX93" s="64" t="s" ph="1">
        <v>300</v>
      </c>
    </row>
    <row r="94" spans="34:52" ph="1">
      <c r="AJ94" s="64" t="s" ph="1">
        <v>489</v>
      </c>
      <c r="AK94" s="64" t="s" ph="1">
        <v>335</v>
      </c>
      <c r="AM94" s="64" t="s" ph="1">
        <v>490</v>
      </c>
      <c r="AN94" s="64" t="s" ph="1">
        <v>272</v>
      </c>
      <c r="AO94" s="64" t="s" ph="1">
        <v>300</v>
      </c>
      <c r="AP94" s="64" t="s" ph="1">
        <v>491</v>
      </c>
      <c r="AQ94" s="64" t="s" ph="1">
        <v>280</v>
      </c>
      <c r="AR94" s="64" t="s" ph="1">
        <v>300</v>
      </c>
      <c r="AS94" s="64" t="s" ph="1">
        <v>492</v>
      </c>
      <c r="AT94" s="64" t="s" ph="1">
        <v>266</v>
      </c>
      <c r="AU94" s="64" t="s" ph="1">
        <v>300</v>
      </c>
      <c r="AV94" s="64" t="s" ph="1">
        <v>493</v>
      </c>
      <c r="AW94" s="64" t="s" ph="1">
        <v>266</v>
      </c>
      <c r="AX94" s="64" t="s" ph="1">
        <v>300</v>
      </c>
    </row>
    <row r="95" spans="34:52" ph="1">
      <c r="AJ95" s="64" t="s" ph="1">
        <v>494</v>
      </c>
      <c r="AK95" s="64" t="s" ph="1">
        <v>340</v>
      </c>
    </row>
    <row r="96" spans="34:52" ph="1">
      <c r="AH96" s="64" ph="1">
        <v>7</v>
      </c>
      <c r="AI96" s="64" t="s" ph="1">
        <v>495</v>
      </c>
      <c r="AJ96" s="64" t="s" ph="1">
        <v>494</v>
      </c>
      <c r="AK96" s="64" t="s" ph="1">
        <v>295</v>
      </c>
      <c r="AM96" s="64" t="s" ph="1">
        <v>496</v>
      </c>
      <c r="AN96" s="64" t="s" ph="1">
        <v>269</v>
      </c>
      <c r="AO96" s="64" t="s" ph="1">
        <v>300</v>
      </c>
      <c r="AP96" s="64" t="s" ph="1">
        <v>497</v>
      </c>
      <c r="AQ96" s="64" t="s" ph="1">
        <v>313</v>
      </c>
      <c r="AR96" s="64" t="s" ph="1">
        <v>328</v>
      </c>
      <c r="AS96" s="64" t="s" ph="1">
        <v>498</v>
      </c>
      <c r="AT96" s="64" t="s" ph="1">
        <v>272</v>
      </c>
      <c r="AU96" s="64" t="s" ph="1">
        <v>328</v>
      </c>
      <c r="AV96" s="64" t="s" ph="1">
        <v>499</v>
      </c>
      <c r="AW96" s="64" t="s" ph="1">
        <v>268</v>
      </c>
      <c r="AX96" s="64" t="s" ph="1">
        <v>328</v>
      </c>
      <c r="AY96" s="64" t="s" ph="1">
        <v>257</v>
      </c>
      <c r="AZ96" s="64" t="s" ph="1">
        <v>500</v>
      </c>
    </row>
    <row r="97" spans="33:52" ph="1">
      <c r="AJ97" s="64" t="s" ph="1">
        <v>501</v>
      </c>
      <c r="AK97" s="64" t="s" ph="1">
        <v>323</v>
      </c>
      <c r="AM97" s="64" t="s" ph="1">
        <v>502</v>
      </c>
      <c r="AN97" s="64" t="s" ph="1">
        <v>266</v>
      </c>
      <c r="AO97" s="64" t="s" ph="1">
        <v>300</v>
      </c>
      <c r="AP97" s="64" t="s" ph="1">
        <v>503</v>
      </c>
      <c r="AQ97" s="64" t="s" ph="1">
        <v>260</v>
      </c>
      <c r="AR97" s="64" t="s" ph="1">
        <v>328</v>
      </c>
      <c r="AS97" s="64" t="s" ph="1">
        <v>504</v>
      </c>
      <c r="AT97" s="64" t="s" ph="1">
        <v>263</v>
      </c>
      <c r="AU97" s="64" t="s" ph="1">
        <v>328</v>
      </c>
      <c r="AV97" s="64" t="s" ph="1">
        <v>505</v>
      </c>
      <c r="AW97" s="64" t="s" ph="1">
        <v>269</v>
      </c>
      <c r="AX97" s="64" t="s" ph="1">
        <v>328</v>
      </c>
    </row>
    <row r="98" spans="33:52" ph="1">
      <c r="AJ98" s="64" t="s" ph="1">
        <v>506</v>
      </c>
      <c r="AK98" s="64" t="s" ph="1">
        <v>272</v>
      </c>
      <c r="AM98" s="64" t="s" ph="1">
        <v>507</v>
      </c>
      <c r="AN98" s="64" t="s" ph="1">
        <v>280</v>
      </c>
      <c r="AO98" s="64" t="s" ph="1">
        <v>300</v>
      </c>
      <c r="AP98" s="64" t="s" ph="1">
        <v>508</v>
      </c>
      <c r="AQ98" s="64" t="s" ph="1">
        <v>260</v>
      </c>
      <c r="AR98" s="64" t="s" ph="1">
        <v>328</v>
      </c>
      <c r="AS98" s="64" t="s" ph="1">
        <v>509</v>
      </c>
      <c r="AT98" s="64" t="s" ph="1">
        <v>340</v>
      </c>
      <c r="AU98" s="64" t="s" ph="1">
        <v>328</v>
      </c>
      <c r="AV98" s="64" t="s" ph="1">
        <v>510</v>
      </c>
      <c r="AW98" s="64" t="s" ph="1">
        <v>263</v>
      </c>
      <c r="AX98" s="64" t="s" ph="1">
        <v>328</v>
      </c>
    </row>
    <row r="99" spans="33:52" ph="1">
      <c r="AH99" s="64" ph="1">
        <v>8</v>
      </c>
      <c r="AI99" s="64" t="s" ph="1">
        <v>511</v>
      </c>
      <c r="AJ99" s="64" t="s" ph="1">
        <v>512</v>
      </c>
      <c r="AK99" s="64" t="s" ph="1">
        <v>408</v>
      </c>
      <c r="AM99" s="64" t="s" ph="1">
        <v>513</v>
      </c>
      <c r="AN99" s="64" t="s" ph="1">
        <v>295</v>
      </c>
      <c r="AO99" s="64" t="s" ph="1">
        <v>300</v>
      </c>
      <c r="AP99" s="64" t="s" ph="1">
        <v>514</v>
      </c>
      <c r="AQ99" s="64" t="s" ph="1">
        <v>265</v>
      </c>
      <c r="AR99" s="64" t="s" ph="1">
        <v>328</v>
      </c>
      <c r="AS99" s="64" t="s" ph="1">
        <v>515</v>
      </c>
      <c r="AT99" s="64" t="s" ph="1">
        <v>280</v>
      </c>
      <c r="AU99" s="64" t="s" ph="1">
        <v>328</v>
      </c>
      <c r="AV99" s="64" t="s" ph="1">
        <v>516</v>
      </c>
      <c r="AW99" s="64" t="s" ph="1">
        <v>265</v>
      </c>
      <c r="AX99" s="64" t="s" ph="1">
        <v>328</v>
      </c>
      <c r="AY99" s="64" t="s" ph="1">
        <v>257</v>
      </c>
      <c r="AZ99" s="64" t="s" ph="1">
        <v>517</v>
      </c>
    </row>
    <row r="100" spans="33:52" ph="1">
      <c r="AJ100" s="64" t="s" ph="1">
        <v>518</v>
      </c>
      <c r="AK100" s="64" t="s" ph="1">
        <v>263</v>
      </c>
      <c r="AM100" s="64" t="s" ph="1">
        <v>519</v>
      </c>
      <c r="AN100" s="64" t="s" ph="1">
        <v>335</v>
      </c>
      <c r="AO100" s="64" t="s" ph="1">
        <v>300</v>
      </c>
      <c r="AP100" s="64" t="s" ph="1">
        <v>520</v>
      </c>
      <c r="AQ100" s="64" t="s" ph="1">
        <v>341</v>
      </c>
      <c r="AR100" s="64" t="s" ph="1">
        <v>328</v>
      </c>
      <c r="AS100" s="64" t="s" ph="1">
        <v>521</v>
      </c>
      <c r="AT100" s="64" t="s" ph="1">
        <v>408</v>
      </c>
      <c r="AU100" s="64" t="s" ph="1">
        <v>300</v>
      </c>
      <c r="AV100" s="64" t="s" ph="1">
        <v>522</v>
      </c>
      <c r="AW100" s="64" t="s" ph="1">
        <v>408</v>
      </c>
      <c r="AX100" s="64" t="s" ph="1">
        <v>300</v>
      </c>
    </row>
    <row r="101" spans="33:52" ph="1">
      <c r="AJ101" s="64" t="s" ph="1">
        <v>523</v>
      </c>
      <c r="AK101" s="64" t="s" ph="1">
        <v>408</v>
      </c>
      <c r="AM101" s="64" t="s" ph="1">
        <v>524</v>
      </c>
      <c r="AN101" s="64" t="s" ph="1">
        <v>266</v>
      </c>
      <c r="AO101" s="64" t="s" ph="1">
        <v>300</v>
      </c>
      <c r="AP101" s="64" t="s" ph="1">
        <v>525</v>
      </c>
      <c r="AQ101" s="64" t="s" ph="1">
        <v>278</v>
      </c>
      <c r="AR101" s="64" t="s" ph="1">
        <v>328</v>
      </c>
      <c r="AS101" s="64" t="s" ph="1">
        <v>526</v>
      </c>
      <c r="AT101" s="64" t="s" ph="1">
        <v>335</v>
      </c>
      <c r="AU101" s="64" t="s" ph="1">
        <v>328</v>
      </c>
      <c r="AV101" s="64" t="s" ph="1">
        <v>527</v>
      </c>
      <c r="AW101" s="64" t="s" ph="1">
        <v>266</v>
      </c>
      <c r="AX101" s="64" t="s" ph="1">
        <v>300</v>
      </c>
    </row>
    <row r="102" spans="33:52" ph="1">
      <c r="AJ102" s="64" t="s" ph="1">
        <v>528</v>
      </c>
      <c r="AK102" s="64" t="s" ph="1">
        <v>263</v>
      </c>
      <c r="AM102" s="64" t="s" ph="1">
        <v>529</v>
      </c>
      <c r="AN102" s="64" t="s" ph="1">
        <v>272</v>
      </c>
      <c r="AO102" s="64" t="s" ph="1">
        <v>300</v>
      </c>
      <c r="AP102" s="64" t="s" ph="1">
        <v>530</v>
      </c>
      <c r="AQ102" s="64" t="s" ph="1">
        <v>278</v>
      </c>
      <c r="AR102" s="64" t="s" ph="1">
        <v>300</v>
      </c>
      <c r="AS102" s="64" t="s" ph="1">
        <v>531</v>
      </c>
      <c r="AT102" s="64" t="s" ph="1">
        <v>295</v>
      </c>
      <c r="AU102" s="64" t="s" ph="1">
        <v>300</v>
      </c>
      <c r="AV102" s="64" t="s" ph="1">
        <v>532</v>
      </c>
      <c r="AW102" s="64" t="s" ph="1">
        <v>313</v>
      </c>
      <c r="AX102" s="64" t="s" ph="1">
        <v>300</v>
      </c>
    </row>
    <row r="103" spans="33:52" ph="1">
      <c r="AH103" s="64" ph="1">
        <v>9</v>
      </c>
      <c r="AI103" s="64" t="s" ph="1">
        <v>533</v>
      </c>
      <c r="AJ103" s="64" t="s" ph="1">
        <v>534</v>
      </c>
      <c r="AK103" s="64" t="s" ph="1">
        <v>408</v>
      </c>
      <c r="AM103" s="64" t="s" ph="1">
        <v>535</v>
      </c>
      <c r="AN103" s="64" t="s" ph="1">
        <v>323</v>
      </c>
      <c r="AO103" s="64" t="s" ph="1">
        <v>300</v>
      </c>
      <c r="AP103" s="64" t="s" ph="1">
        <v>377</v>
      </c>
      <c r="AQ103" s="64" t="s" ph="1">
        <v>266</v>
      </c>
      <c r="AR103" s="64" t="s" ph="1">
        <v>300</v>
      </c>
      <c r="AS103" s="64" t="s" ph="1">
        <v>611</v>
      </c>
      <c r="AT103" s="64" t="s" ph="1">
        <v>408</v>
      </c>
      <c r="AU103" s="64" t="s" ph="1">
        <v>300</v>
      </c>
      <c r="AY103" s="64" t="s" ph="1">
        <v>257</v>
      </c>
      <c r="AZ103" s="64" t="s" ph="1">
        <v>265</v>
      </c>
    </row>
    <row r="104" spans="33:52" ph="1">
      <c r="AZ104" s="64" t="s" ph="1">
        <v>536</v>
      </c>
    </row>
    <row r="105" spans="33:52" ph="1">
      <c r="AG105" s="64" t="s" ph="1">
        <v>336</v>
      </c>
      <c r="AI105" s="64" t="s" ph="1">
        <v>250</v>
      </c>
      <c r="AJ105" s="64" t="s" ph="1">
        <v>251</v>
      </c>
      <c r="AK105" s="64" t="s" ph="1">
        <v>252</v>
      </c>
      <c r="AM105" s="64" t="s" ph="1">
        <v>251</v>
      </c>
      <c r="AN105" s="64" t="s" ph="1">
        <v>252</v>
      </c>
      <c r="AO105" s="64" t="s" ph="1">
        <v>253</v>
      </c>
      <c r="AP105" s="64" t="s" ph="1">
        <v>251</v>
      </c>
      <c r="AQ105" s="64" t="s" ph="1">
        <v>252</v>
      </c>
      <c r="AR105" s="64" t="s" ph="1">
        <v>253</v>
      </c>
      <c r="AS105" s="64" t="s" ph="1">
        <v>251</v>
      </c>
      <c r="AT105" s="64" t="s" ph="1">
        <v>252</v>
      </c>
      <c r="AU105" s="64" t="s" ph="1">
        <v>253</v>
      </c>
      <c r="AV105" s="64" t="s" ph="1">
        <v>251</v>
      </c>
      <c r="AW105" s="64" t="s" ph="1">
        <v>252</v>
      </c>
      <c r="AX105" s="64" t="s" ph="1">
        <v>253</v>
      </c>
      <c r="AZ105" s="64" t="s" ph="1">
        <v>254</v>
      </c>
    </row>
    <row r="106" spans="33:52" ph="1">
      <c r="AH106" s="64" ph="1">
        <v>1</v>
      </c>
      <c r="AI106" s="64" t="s" ph="1">
        <v>537</v>
      </c>
      <c r="AJ106" s="64" t="s" ph="1">
        <v>611</v>
      </c>
      <c r="AK106" s="64" t="s" ph="1">
        <v>272</v>
      </c>
      <c r="AZ106" s="64" t="s" ph="1">
        <v>272</v>
      </c>
    </row>
    <row r="107" spans="33:52" ph="1">
      <c r="AH107" s="64" ph="1">
        <v>2</v>
      </c>
      <c r="AI107" s="64" t="s" ph="1">
        <v>538</v>
      </c>
      <c r="AJ107" s="64" t="s" ph="1">
        <v>539</v>
      </c>
      <c r="AK107" s="64" t="s" ph="1">
        <v>269</v>
      </c>
      <c r="AM107" s="64" t="s" ph="1">
        <v>375</v>
      </c>
      <c r="AN107" s="64" t="s" ph="1">
        <v>540</v>
      </c>
      <c r="AO107" s="64" t="s" ph="1">
        <v>541</v>
      </c>
      <c r="AP107" s="64" t="s" ph="1">
        <v>377</v>
      </c>
      <c r="AQ107" s="64" t="s" ph="1">
        <v>345</v>
      </c>
      <c r="AR107" s="64" t="s" ph="1">
        <v>541</v>
      </c>
      <c r="AS107" s="64" t="s" ph="1">
        <v>611</v>
      </c>
      <c r="AT107" s="64" t="s" ph="1">
        <v>540</v>
      </c>
      <c r="AU107" s="64" t="s" ph="1">
        <v>541</v>
      </c>
      <c r="AY107" s="64" t="s" ph="1">
        <v>257</v>
      </c>
      <c r="AZ107" s="64" t="s" ph="1">
        <v>621</v>
      </c>
    </row>
    <row r="108" spans="33:52" ph="1">
      <c r="AH108" s="64" ph="1">
        <v>3</v>
      </c>
      <c r="AI108" s="64" t="s" ph="1">
        <v>542</v>
      </c>
      <c r="AY108" s="64" t="s" ph="1">
        <v>257</v>
      </c>
      <c r="AZ108" s="64" t="s" ph="1">
        <v>408</v>
      </c>
    </row>
    <row r="109" spans="33:52" ph="1">
      <c r="AH109" s="64" ph="1">
        <v>4</v>
      </c>
      <c r="AI109" s="64" t="s" ph="1">
        <v>543</v>
      </c>
      <c r="AY109" s="64" t="s" ph="1">
        <v>257</v>
      </c>
      <c r="AZ109" s="64" t="s" ph="1">
        <v>408</v>
      </c>
    </row>
    <row r="110" spans="33:52" ph="1">
      <c r="AH110" s="64" ph="1">
        <v>5</v>
      </c>
      <c r="AI110" s="64" t="s" ph="1">
        <v>544</v>
      </c>
      <c r="AY110" s="64" t="s" ph="1">
        <v>257</v>
      </c>
      <c r="AZ110" s="64" t="s" ph="1">
        <v>408</v>
      </c>
    </row>
    <row r="111" spans="33:52" ph="1">
      <c r="AH111" s="64" ph="1">
        <v>6</v>
      </c>
      <c r="AI111" s="64" t="s" ph="1">
        <v>622</v>
      </c>
      <c r="AJ111" s="64" t="s" ph="1">
        <v>527</v>
      </c>
      <c r="AK111" s="64" t="s" ph="1">
        <v>266</v>
      </c>
      <c r="AM111" s="64" t="s" ph="1">
        <v>528</v>
      </c>
      <c r="AN111" s="64" t="s" ph="1">
        <v>260</v>
      </c>
      <c r="AO111" s="64" t="s" ph="1">
        <v>541</v>
      </c>
      <c r="AP111" s="64" t="s" ph="1">
        <v>529</v>
      </c>
      <c r="AQ111" s="64" t="s" ph="1">
        <v>269</v>
      </c>
      <c r="AR111" s="64" t="s" ph="1">
        <v>541</v>
      </c>
      <c r="AS111" s="64" t="s" ph="1">
        <v>530</v>
      </c>
      <c r="AT111" s="64" t="s" ph="1">
        <v>278</v>
      </c>
      <c r="AU111" s="64" t="s" ph="1">
        <v>541</v>
      </c>
      <c r="AV111" s="64" t="s" ph="1">
        <v>531</v>
      </c>
      <c r="AW111" s="64" t="s" ph="1">
        <v>268</v>
      </c>
      <c r="AX111" s="64" t="s" ph="1">
        <v>541</v>
      </c>
      <c r="AY111" s="64" t="s" ph="1">
        <v>257</v>
      </c>
      <c r="AZ111" s="64" t="s" ph="1">
        <v>545</v>
      </c>
    </row>
    <row r="112" spans="33:52" ph="1">
      <c r="AJ112" s="64" t="s" ph="1">
        <v>532</v>
      </c>
      <c r="AK112" s="64" t="s" ph="1">
        <v>313</v>
      </c>
      <c r="AM112" s="64" t="s" ph="1">
        <v>534</v>
      </c>
      <c r="AN112" s="64" t="s" ph="1">
        <v>337</v>
      </c>
      <c r="AO112" s="64" t="s" ph="1">
        <v>541</v>
      </c>
      <c r="AP112" s="64" t="s" ph="1">
        <v>535</v>
      </c>
      <c r="AQ112" s="64" t="s" ph="1">
        <v>546</v>
      </c>
      <c r="AR112" s="64" t="s" ph="1">
        <v>541</v>
      </c>
      <c r="AS112" s="64" t="s" ph="1">
        <v>547</v>
      </c>
      <c r="AT112" s="64" t="s" ph="1">
        <v>289</v>
      </c>
      <c r="AU112" s="64" t="s" ph="1">
        <v>541</v>
      </c>
      <c r="AV112" s="64" t="s" ph="1">
        <v>548</v>
      </c>
      <c r="AW112" s="64" t="s" ph="1">
        <v>335</v>
      </c>
      <c r="AX112" s="64" t="s" ph="1">
        <v>541</v>
      </c>
    </row>
    <row r="113" spans="33:52" ph="1">
      <c r="AH113" s="64" ph="1">
        <v>7</v>
      </c>
      <c r="AI113" s="64" t="s" ph="1">
        <v>549</v>
      </c>
      <c r="AJ113" s="64" t="s" ph="1">
        <v>630</v>
      </c>
      <c r="AK113" s="64" t="s" ph="1">
        <v>635</v>
      </c>
      <c r="AY113" s="64" t="s" ph="1">
        <v>257</v>
      </c>
      <c r="AZ113" s="64" t="s" ph="1">
        <v>635</v>
      </c>
    </row>
    <row r="114" spans="33:52" ph="1">
      <c r="AH114" s="64" ph="1">
        <v>8</v>
      </c>
      <c r="AI114" s="64" t="s" ph="1">
        <v>550</v>
      </c>
      <c r="AJ114" s="64" t="s" ph="1">
        <v>630</v>
      </c>
      <c r="AK114" s="64" t="s" ph="1">
        <v>636</v>
      </c>
      <c r="AY114" s="64" t="s" ph="1">
        <v>257</v>
      </c>
      <c r="AZ114" s="64" t="s" ph="1">
        <v>636</v>
      </c>
    </row>
    <row r="115" spans="33:52" ph="1">
      <c r="AH115" s="64" ph="1">
        <v>9</v>
      </c>
      <c r="AI115" s="64" t="s" ph="1">
        <v>551</v>
      </c>
      <c r="AJ115" s="64" t="s" ph="1">
        <v>630</v>
      </c>
      <c r="AK115" s="64" t="s" ph="1">
        <v>636</v>
      </c>
      <c r="AY115" s="64" t="s" ph="1">
        <v>257</v>
      </c>
      <c r="AZ115" s="64" t="s" ph="1">
        <v>636</v>
      </c>
    </row>
    <row r="116" spans="33:52" ph="1">
      <c r="AH116" s="64" ph="1">
        <v>10</v>
      </c>
      <c r="AI116" s="64" t="s" ph="1">
        <v>552</v>
      </c>
      <c r="AJ116" s="64" t="s" ph="1">
        <v>630</v>
      </c>
      <c r="AK116" s="64" t="s" ph="1">
        <v>636</v>
      </c>
      <c r="AY116" s="64" t="s" ph="1">
        <v>257</v>
      </c>
      <c r="AZ116" s="64" t="s" ph="1">
        <v>636</v>
      </c>
    </row>
    <row r="117" spans="33:52" ph="1">
      <c r="AH117" s="64" ph="1">
        <v>11</v>
      </c>
      <c r="AI117" s="64" t="s" ph="1">
        <v>553</v>
      </c>
      <c r="AJ117" s="64" t="s" ph="1">
        <v>630</v>
      </c>
      <c r="AK117" s="64" t="s" ph="1">
        <v>636</v>
      </c>
      <c r="AY117" s="64" t="s" ph="1">
        <v>257</v>
      </c>
      <c r="AZ117" s="64" t="s" ph="1">
        <v>636</v>
      </c>
    </row>
    <row r="118" spans="33:52" ph="1">
      <c r="AZ118" s="64" t="s" ph="1">
        <v>637</v>
      </c>
    </row>
    <row r="119" spans="33:52" ph="1">
      <c r="AI119" s="64" t="s" ph="1">
        <v>250</v>
      </c>
      <c r="AJ119" s="64" t="s" ph="1">
        <v>251</v>
      </c>
      <c r="AK119" s="64" t="s" ph="1">
        <v>252</v>
      </c>
      <c r="AM119" s="64" t="s" ph="1">
        <v>251</v>
      </c>
      <c r="AN119" s="64" t="s" ph="1">
        <v>252</v>
      </c>
      <c r="AO119" s="64" t="s" ph="1">
        <v>253</v>
      </c>
      <c r="AP119" s="64" t="s" ph="1">
        <v>251</v>
      </c>
      <c r="AQ119" s="64" t="s" ph="1">
        <v>252</v>
      </c>
      <c r="AR119" s="64" t="s" ph="1">
        <v>253</v>
      </c>
      <c r="AS119" s="64" t="s" ph="1">
        <v>251</v>
      </c>
      <c r="AT119" s="64" t="s" ph="1">
        <v>252</v>
      </c>
      <c r="AU119" s="64" t="s" ph="1">
        <v>253</v>
      </c>
      <c r="AV119" s="64" t="s" ph="1">
        <v>251</v>
      </c>
      <c r="AW119" s="64" t="s" ph="1">
        <v>252</v>
      </c>
      <c r="AX119" s="64" t="s" ph="1">
        <v>253</v>
      </c>
      <c r="AY119" s="64" t="s" ph="1">
        <v>252</v>
      </c>
      <c r="AZ119" s="64" t="s" ph="1">
        <v>254</v>
      </c>
    </row>
    <row r="120" spans="33:52" ph="1">
      <c r="AG120" s="64" t="s" ph="1">
        <v>394</v>
      </c>
      <c r="AH120" s="64" ph="1">
        <v>1</v>
      </c>
      <c r="AI120" s="64" t="s" ph="1">
        <v>554</v>
      </c>
      <c r="AJ120" s="64" t="s" ph="1">
        <v>628</v>
      </c>
      <c r="AK120" s="64" t="s" ph="1">
        <v>408</v>
      </c>
      <c r="AY120" s="64" t="s" ph="1">
        <v>257</v>
      </c>
      <c r="AZ120" s="64" t="s" ph="1">
        <v>408</v>
      </c>
    </row>
    <row r="121" spans="33:52" ph="1">
      <c r="AH121" s="64" ph="1">
        <v>2</v>
      </c>
      <c r="AI121" s="64" t="s" ph="1">
        <v>555</v>
      </c>
      <c r="AY121" s="64" t="s" ph="1">
        <v>257</v>
      </c>
      <c r="AZ121" s="64" t="s" ph="1">
        <v>408</v>
      </c>
    </row>
    <row r="122" spans="33:52" ph="1">
      <c r="AH122" s="64" ph="1">
        <v>3</v>
      </c>
      <c r="AI122" s="64" t="s" ph="1">
        <v>556</v>
      </c>
      <c r="AJ122" s="64" t="s" ph="1">
        <v>611</v>
      </c>
      <c r="AK122" s="64" t="s" ph="1">
        <v>623</v>
      </c>
      <c r="AM122" s="64" t="s" ph="1">
        <v>638</v>
      </c>
      <c r="AN122" s="64" t="s" ph="1">
        <v>631</v>
      </c>
      <c r="AO122" s="64" t="s" ph="1">
        <v>108</v>
      </c>
      <c r="AY122" s="64" t="s" ph="1">
        <v>257</v>
      </c>
      <c r="AZ122" s="64" t="s" ph="1">
        <v>620</v>
      </c>
    </row>
    <row r="123" spans="33:52" ph="1">
      <c r="AY123" s="64" t="s" ph="1">
        <v>257</v>
      </c>
      <c r="AZ123" s="64" t="s" ph="1">
        <v>620</v>
      </c>
    </row>
    <row r="124" spans="33:52" ph="1">
      <c r="AG124" s="64" t="s" ph="1">
        <v>397</v>
      </c>
      <c r="AH124" s="64" ph="1">
        <v>4</v>
      </c>
      <c r="AI124" s="64" t="s" ph="1">
        <v>557</v>
      </c>
      <c r="AJ124" s="64" t="s" ph="1">
        <v>558</v>
      </c>
      <c r="AK124" s="64" t="s" ph="1">
        <v>559</v>
      </c>
      <c r="AY124" s="64" t="s" ph="1">
        <v>257</v>
      </c>
      <c r="AZ124" s="64" t="s" ph="1">
        <v>559</v>
      </c>
    </row>
    <row r="125" spans="33:52" ph="1">
      <c r="AH125" s="64" ph="1">
        <v>5</v>
      </c>
      <c r="AI125" s="64" t="s" ph="1">
        <v>560</v>
      </c>
      <c r="AJ125" s="64" t="s" ph="1">
        <v>558</v>
      </c>
      <c r="AK125" s="64" t="s" ph="1">
        <v>559</v>
      </c>
      <c r="AY125" s="64" t="s" ph="1">
        <v>257</v>
      </c>
      <c r="AZ125" s="64" t="s" ph="1">
        <v>559</v>
      </c>
    </row>
    <row r="126" spans="33:52" ph="1">
      <c r="AH126" s="64" ph="1">
        <v>6</v>
      </c>
      <c r="AI126" s="64" t="s" ph="1">
        <v>561</v>
      </c>
      <c r="AJ126" s="64" t="s" ph="1">
        <v>630</v>
      </c>
      <c r="AK126" s="64" t="s" ph="1">
        <v>639</v>
      </c>
      <c r="AY126" s="64" t="s" ph="1">
        <v>257</v>
      </c>
      <c r="AZ126" s="64" t="s" ph="1">
        <v>639</v>
      </c>
    </row>
    <row r="127" spans="33:52" ph="1">
      <c r="AH127" s="64" ph="1">
        <v>7</v>
      </c>
      <c r="AI127" s="64" t="s" ph="1">
        <v>562</v>
      </c>
      <c r="AJ127" s="64" t="s" ph="1">
        <v>630</v>
      </c>
      <c r="AK127" s="64" t="s" ph="1">
        <v>640</v>
      </c>
      <c r="AY127" s="64" t="s" ph="1">
        <v>257</v>
      </c>
      <c r="AZ127" s="64" t="s" ph="1">
        <v>640</v>
      </c>
    </row>
    <row r="128" spans="33:52" ph="1">
      <c r="AH128" s="64" ph="1">
        <v>8</v>
      </c>
      <c r="AI128" s="64" t="s" ph="1">
        <v>563</v>
      </c>
      <c r="AY128" s="64" t="s" ph="1">
        <v>257</v>
      </c>
      <c r="AZ128" s="64" t="s" ph="1">
        <v>408</v>
      </c>
    </row>
    <row r="129" spans="33:52" ph="1">
      <c r="AH129" s="64" ph="1">
        <v>9</v>
      </c>
      <c r="AI129" s="64" t="s" ph="1">
        <v>564</v>
      </c>
      <c r="AY129" s="64" t="s" ph="1">
        <v>257</v>
      </c>
      <c r="AZ129" s="64" t="s" ph="1">
        <v>408</v>
      </c>
    </row>
    <row r="130" spans="33:52" ph="1">
      <c r="AH130" s="64" ph="1">
        <v>10</v>
      </c>
      <c r="AI130" s="64" t="s" ph="1">
        <v>565</v>
      </c>
      <c r="AY130" s="64" t="s" ph="1">
        <v>257</v>
      </c>
      <c r="AZ130" s="64" t="s" ph="1">
        <v>408</v>
      </c>
    </row>
    <row r="131" spans="33:52" ph="1">
      <c r="AH131" s="64" ph="1">
        <v>11</v>
      </c>
      <c r="AI131" s="64" t="s" ph="1">
        <v>566</v>
      </c>
      <c r="AJ131" s="64" t="s" ph="1">
        <v>624</v>
      </c>
      <c r="AK131" s="64" t="s" ph="1">
        <v>620</v>
      </c>
      <c r="AY131" s="64" t="s" ph="1">
        <v>257</v>
      </c>
      <c r="AZ131" s="64" t="s" ph="1">
        <v>620</v>
      </c>
    </row>
    <row r="132" spans="33:52" ph="1">
      <c r="AH132" s="64" ph="1">
        <v>12</v>
      </c>
      <c r="AI132" s="64" t="s" ph="1">
        <v>567</v>
      </c>
      <c r="AJ132" s="64" t="s" ph="1">
        <v>624</v>
      </c>
      <c r="AK132" s="64" t="s" ph="1">
        <v>559</v>
      </c>
      <c r="AY132" s="64" t="s" ph="1">
        <v>257</v>
      </c>
      <c r="AZ132" s="64" t="s" ph="1">
        <v>559</v>
      </c>
    </row>
    <row r="133" spans="33:52" ph="1">
      <c r="AH133" s="64" ph="1">
        <v>13</v>
      </c>
      <c r="AI133" s="64" t="s" ph="1">
        <v>568</v>
      </c>
      <c r="AJ133" s="64" t="s" ph="1">
        <v>624</v>
      </c>
      <c r="AK133" s="64" t="s" ph="1">
        <v>625</v>
      </c>
      <c r="AY133" s="64" t="s" ph="1">
        <v>257</v>
      </c>
      <c r="AZ133" s="64" t="s" ph="1">
        <v>625</v>
      </c>
    </row>
    <row r="134" spans="33:52" ph="1">
      <c r="AH134" s="64" ph="1">
        <v>14</v>
      </c>
      <c r="AI134" s="64" t="s" ph="1">
        <v>569</v>
      </c>
      <c r="AJ134" s="64" t="s" ph="1">
        <v>624</v>
      </c>
      <c r="AK134" s="64" t="s" ph="1">
        <v>626</v>
      </c>
      <c r="AY134" s="64" t="s" ph="1">
        <v>257</v>
      </c>
      <c r="AZ134" s="64" t="s" ph="1">
        <v>626</v>
      </c>
    </row>
    <row r="135" spans="33:52" ph="1">
      <c r="AH135" s="64" ph="1">
        <v>15</v>
      </c>
      <c r="AI135" s="64" t="s" ph="1">
        <v>570</v>
      </c>
      <c r="AJ135" s="64" t="s" ph="1">
        <v>624</v>
      </c>
      <c r="AK135" s="64" t="s" ph="1">
        <v>627</v>
      </c>
      <c r="AY135" s="64" t="s" ph="1">
        <v>257</v>
      </c>
      <c r="AZ135" s="64" t="s" ph="1">
        <v>627</v>
      </c>
    </row>
    <row r="136" spans="33:52" ph="1">
      <c r="AZ136" s="64" t="s" ph="1">
        <v>641</v>
      </c>
    </row>
    <row r="137" spans="33:52" ph="1">
      <c r="AG137" s="64" t="s" ph="1">
        <v>331</v>
      </c>
      <c r="AI137" s="64" t="s" ph="1">
        <v>250</v>
      </c>
      <c r="AJ137" s="64" t="s" ph="1">
        <v>251</v>
      </c>
      <c r="AK137" s="64" t="s" ph="1">
        <v>252</v>
      </c>
      <c r="AM137" s="64" t="s" ph="1">
        <v>251</v>
      </c>
      <c r="AN137" s="64" t="s" ph="1">
        <v>252</v>
      </c>
      <c r="AO137" s="64" t="s" ph="1">
        <v>253</v>
      </c>
      <c r="AP137" s="64" t="s" ph="1">
        <v>251</v>
      </c>
      <c r="AQ137" s="64" t="s" ph="1">
        <v>252</v>
      </c>
      <c r="AR137" s="64" t="s" ph="1">
        <v>253</v>
      </c>
      <c r="AS137" s="64" t="s" ph="1">
        <v>251</v>
      </c>
      <c r="AT137" s="64" t="s" ph="1">
        <v>252</v>
      </c>
      <c r="AU137" s="64" t="s" ph="1">
        <v>253</v>
      </c>
      <c r="AV137" s="64" t="s" ph="1">
        <v>251</v>
      </c>
      <c r="AW137" s="64" t="s" ph="1">
        <v>252</v>
      </c>
      <c r="AX137" s="64" t="s" ph="1">
        <v>253</v>
      </c>
      <c r="AY137" s="64" t="s" ph="1">
        <v>252</v>
      </c>
      <c r="AZ137" s="64" t="s" ph="1">
        <v>254</v>
      </c>
    </row>
    <row r="138" spans="33:52" ph="1">
      <c r="AH138" s="64" ph="1">
        <v>1</v>
      </c>
      <c r="AI138" s="64" t="s" ph="1">
        <v>571</v>
      </c>
      <c r="AJ138" s="64" t="s" ph="1">
        <v>572</v>
      </c>
      <c r="AK138" s="64" t="s" ph="1">
        <v>573</v>
      </c>
      <c r="AY138" s="64" t="s" ph="1">
        <v>257</v>
      </c>
      <c r="AZ138" s="64" t="s" ph="1">
        <v>573</v>
      </c>
    </row>
    <row r="139" spans="33:52" ph="1">
      <c r="AH139" s="64" ph="1">
        <v>2</v>
      </c>
      <c r="AI139" s="64" t="s" ph="1">
        <v>574</v>
      </c>
      <c r="AJ139" s="64" t="s" ph="1">
        <v>630</v>
      </c>
      <c r="AK139" s="64" t="s" ph="1">
        <v>642</v>
      </c>
      <c r="AY139" s="64" t="s" ph="1">
        <v>257</v>
      </c>
      <c r="AZ139" s="64" t="s" ph="1">
        <v>642</v>
      </c>
    </row>
    <row r="140" spans="33:52" ph="1">
      <c r="AH140" s="64" ph="1">
        <v>3</v>
      </c>
      <c r="AI140" s="64" t="s" ph="1">
        <v>575</v>
      </c>
      <c r="AJ140" s="64" t="s" ph="1">
        <v>528</v>
      </c>
      <c r="AK140" s="64" t="s" ph="1">
        <v>340</v>
      </c>
      <c r="AM140" s="64" t="s" ph="1">
        <v>529</v>
      </c>
      <c r="AN140" s="64" t="s" ph="1">
        <v>260</v>
      </c>
      <c r="AO140" s="64" t="s" ph="1">
        <v>576</v>
      </c>
      <c r="AP140" s="64" t="s" ph="1">
        <v>530</v>
      </c>
      <c r="AQ140" s="64" t="s" ph="1">
        <v>277</v>
      </c>
      <c r="AR140" s="64" t="s" ph="1">
        <v>576</v>
      </c>
      <c r="AS140" s="64" t="s" ph="1">
        <v>531</v>
      </c>
      <c r="AT140" s="64" t="s" ph="1">
        <v>270</v>
      </c>
      <c r="AU140" s="64" t="s" ph="1">
        <v>576</v>
      </c>
      <c r="AV140" s="64" t="s" ph="1">
        <v>532</v>
      </c>
      <c r="AW140" s="64" t="s" ph="1">
        <v>263</v>
      </c>
      <c r="AX140" s="64" t="s" ph="1">
        <v>576</v>
      </c>
      <c r="AY140" s="64" t="s" ph="1">
        <v>257</v>
      </c>
      <c r="AZ140" s="64" t="s" ph="1">
        <v>332</v>
      </c>
    </row>
    <row r="141" spans="33:52" ph="1">
      <c r="AJ141" s="64" t="s" ph="1">
        <v>534</v>
      </c>
      <c r="AK141" s="64" t="s" ph="1">
        <v>263</v>
      </c>
      <c r="AM141" s="64" t="s" ph="1">
        <v>535</v>
      </c>
      <c r="AN141" s="64" t="s" ph="1">
        <v>266</v>
      </c>
      <c r="AO141" s="64" t="s" ph="1">
        <v>576</v>
      </c>
      <c r="AP141" s="64" t="s" ph="1">
        <v>547</v>
      </c>
      <c r="AQ141" s="64" t="s" ph="1">
        <v>335</v>
      </c>
      <c r="AR141" s="64" t="s" ph="1">
        <v>576</v>
      </c>
      <c r="AS141" s="64" t="s" ph="1">
        <v>539</v>
      </c>
      <c r="AT141" s="64" t="s" ph="1">
        <v>263</v>
      </c>
      <c r="AU141" s="64" t="s" ph="1">
        <v>576</v>
      </c>
      <c r="AV141" s="64" t="s" ph="1">
        <v>375</v>
      </c>
      <c r="AW141" s="64" t="s" ph="1">
        <v>269</v>
      </c>
      <c r="AX141" s="64" t="s" ph="1">
        <v>576</v>
      </c>
    </row>
    <row r="142" spans="33:52" ph="1">
      <c r="AJ142" s="64" t="s" ph="1">
        <v>577</v>
      </c>
      <c r="AK142" s="64" t="s" ph="1">
        <v>280</v>
      </c>
    </row>
    <row r="143" spans="33:52" ph="1">
      <c r="AH143" s="64" ph="1">
        <v>4</v>
      </c>
      <c r="AI143" s="64" t="s" ph="1">
        <v>578</v>
      </c>
      <c r="AJ143" s="64" t="s" ph="1">
        <v>558</v>
      </c>
      <c r="AK143" s="64" t="s" ph="1">
        <v>579</v>
      </c>
      <c r="AY143" s="64" t="s" ph="1">
        <v>257</v>
      </c>
      <c r="AZ143" s="64" t="s" ph="1">
        <v>579</v>
      </c>
    </row>
    <row r="144" spans="33:52" ph="1">
      <c r="AH144" s="64" ph="1">
        <v>5</v>
      </c>
      <c r="AI144" s="64" t="s" ph="1">
        <v>580</v>
      </c>
      <c r="AY144" s="64" t="s" ph="1">
        <v>257</v>
      </c>
      <c r="AZ144" s="64" t="s" ph="1">
        <v>408</v>
      </c>
    </row>
    <row r="145" spans="33:52" ph="1">
      <c r="AH145" s="64" ph="1">
        <v>6</v>
      </c>
      <c r="AI145" s="64" t="s" ph="1">
        <v>581</v>
      </c>
      <c r="AY145" s="64" t="s" ph="1">
        <v>257</v>
      </c>
      <c r="AZ145" s="64" t="s" ph="1">
        <v>408</v>
      </c>
    </row>
    <row r="146" spans="33:52" ph="1">
      <c r="AH146" s="64" ph="1">
        <v>7</v>
      </c>
      <c r="AI146" s="64" t="s" ph="1">
        <v>582</v>
      </c>
      <c r="AY146" s="64" t="s" ph="1">
        <v>257</v>
      </c>
      <c r="AZ146" s="64" t="s" ph="1">
        <v>408</v>
      </c>
    </row>
    <row r="147" spans="33:52" ph="1">
      <c r="AH147" s="64" ph="1">
        <v>8</v>
      </c>
      <c r="AI147" s="64" t="s" ph="1">
        <v>583</v>
      </c>
      <c r="AY147" s="64" t="s" ph="1">
        <v>257</v>
      </c>
      <c r="AZ147" s="64" t="s" ph="1">
        <v>408</v>
      </c>
    </row>
    <row r="148" spans="33:52" ph="1">
      <c r="AH148" s="64" ph="1">
        <v>9</v>
      </c>
      <c r="AI148" s="64" t="s" ph="1">
        <v>584</v>
      </c>
      <c r="AY148" s="64" t="s" ph="1">
        <v>257</v>
      </c>
      <c r="AZ148" s="64" t="s" ph="1">
        <v>408</v>
      </c>
    </row>
    <row r="149" spans="33:52" ph="1">
      <c r="AH149" s="64" ph="1">
        <v>10</v>
      </c>
      <c r="AI149" s="64" t="s" ph="1">
        <v>585</v>
      </c>
      <c r="AY149" s="64" t="s" ph="1">
        <v>257</v>
      </c>
      <c r="AZ149" s="64" t="s" ph="1">
        <v>408</v>
      </c>
    </row>
    <row r="150" spans="33:52" ph="1">
      <c r="AH150" s="64" ph="1">
        <v>11</v>
      </c>
      <c r="AI150" s="64" t="s" ph="1">
        <v>586</v>
      </c>
      <c r="AY150" s="64" t="s" ph="1">
        <v>257</v>
      </c>
      <c r="AZ150" s="64" t="s" ph="1">
        <v>408</v>
      </c>
    </row>
    <row r="151" spans="33:52" ph="1">
      <c r="AH151" s="64" ph="1">
        <v>12</v>
      </c>
      <c r="AI151" s="64" t="s" ph="1">
        <v>587</v>
      </c>
      <c r="AY151" s="64" t="s" ph="1">
        <v>257</v>
      </c>
      <c r="AZ151" s="64" t="s" ph="1">
        <v>408</v>
      </c>
    </row>
    <row r="152" spans="33:52" ph="1">
      <c r="AH152" s="64" ph="1">
        <v>13</v>
      </c>
      <c r="AI152" s="64" t="s" ph="1">
        <v>588</v>
      </c>
      <c r="AY152" s="64" t="s" ph="1">
        <v>257</v>
      </c>
      <c r="AZ152" s="64" t="s" ph="1">
        <v>408</v>
      </c>
    </row>
    <row r="153" spans="33:52" ph="1">
      <c r="AH153" s="64" ph="1">
        <v>14</v>
      </c>
      <c r="AI153" s="64" t="s" ph="1">
        <v>589</v>
      </c>
      <c r="AY153" s="64" t="s" ph="1">
        <v>257</v>
      </c>
      <c r="AZ153" s="64" t="s" ph="1">
        <v>408</v>
      </c>
    </row>
    <row r="154" spans="33:52" ph="1">
      <c r="AH154" s="64" ph="1">
        <v>15</v>
      </c>
      <c r="AI154" s="64" t="s" ph="1">
        <v>590</v>
      </c>
      <c r="AY154" s="64" t="s" ph="1">
        <v>257</v>
      </c>
      <c r="AZ154" s="64" t="s" ph="1">
        <v>408</v>
      </c>
    </row>
    <row r="155" spans="33:52" ph="1">
      <c r="AH155" s="64" ph="1">
        <v>16</v>
      </c>
      <c r="AI155" s="64" t="s" ph="1">
        <v>591</v>
      </c>
      <c r="AJ155" s="64" t="s" ph="1">
        <v>377</v>
      </c>
      <c r="AK155" s="64" t="s" ph="1">
        <v>272</v>
      </c>
      <c r="AM155" s="64" t="s" ph="1">
        <v>611</v>
      </c>
      <c r="AN155" s="64" t="s" ph="1">
        <v>323</v>
      </c>
      <c r="AO155" s="64" t="s" ph="1">
        <v>576</v>
      </c>
      <c r="AY155" s="64" t="s" ph="1">
        <v>257</v>
      </c>
      <c r="AZ155" s="64" t="s" ph="1">
        <v>264</v>
      </c>
    </row>
    <row r="156" spans="33:52" ph="1">
      <c r="AZ156" s="64" t="s" ph="1">
        <v>643</v>
      </c>
    </row>
    <row r="157" spans="33:52" ph="1">
      <c r="AG157" s="64" t="s" ph="1">
        <v>592</v>
      </c>
      <c r="AI157" s="64" t="s" ph="1">
        <v>250</v>
      </c>
      <c r="AJ157" s="64" t="s" ph="1">
        <v>251</v>
      </c>
      <c r="AK157" s="64" t="s" ph="1">
        <v>252</v>
      </c>
      <c r="AM157" s="64" t="s" ph="1">
        <v>251</v>
      </c>
      <c r="AN157" s="64" t="s" ph="1">
        <v>252</v>
      </c>
      <c r="AO157" s="64" t="s" ph="1">
        <v>253</v>
      </c>
      <c r="AP157" s="64" t="s" ph="1">
        <v>251</v>
      </c>
      <c r="AQ157" s="64" t="s" ph="1">
        <v>252</v>
      </c>
      <c r="AR157" s="64" t="s" ph="1">
        <v>253</v>
      </c>
      <c r="AS157" s="64" t="s" ph="1">
        <v>251</v>
      </c>
      <c r="AT157" s="64" t="s" ph="1">
        <v>252</v>
      </c>
      <c r="AU157" s="64" t="s" ph="1">
        <v>253</v>
      </c>
      <c r="AV157" s="64" t="s" ph="1">
        <v>251</v>
      </c>
      <c r="AW157" s="64" t="s" ph="1">
        <v>252</v>
      </c>
      <c r="AX157" s="64" t="s" ph="1">
        <v>253</v>
      </c>
      <c r="AY157" s="64" t="s" ph="1">
        <v>252</v>
      </c>
      <c r="AZ157" s="64" t="s" ph="1">
        <v>254</v>
      </c>
    </row>
    <row r="158" spans="33:52" ph="1">
      <c r="AH158" s="64" ph="1">
        <v>1</v>
      </c>
      <c r="AI158" s="64" t="s" ph="1">
        <v>593</v>
      </c>
      <c r="AY158" s="64" t="s" ph="1">
        <v>257</v>
      </c>
      <c r="AZ158" s="64" t="s" ph="1">
        <v>408</v>
      </c>
    </row>
    <row r="159" spans="33:52" ph="1">
      <c r="AH159" s="64" ph="1">
        <v>2</v>
      </c>
      <c r="AI159" s="64" t="s" ph="1">
        <v>594</v>
      </c>
      <c r="AY159" s="64" t="s" ph="1">
        <v>257</v>
      </c>
      <c r="AZ159" s="64" t="s" ph="1">
        <v>408</v>
      </c>
    </row>
    <row r="160" spans="33:52" ph="1">
      <c r="AZ160" s="64" t="s" ph="1">
        <v>426</v>
      </c>
    </row>
    <row r="161" spans="33:52" ph="1">
      <c r="AG161" s="64" t="s" ph="1">
        <v>402</v>
      </c>
      <c r="AI161" s="64" t="s" ph="1">
        <v>250</v>
      </c>
      <c r="AJ161" s="64" t="s" ph="1">
        <v>251</v>
      </c>
      <c r="AK161" s="64" t="s" ph="1">
        <v>252</v>
      </c>
      <c r="AM161" s="64" t="s" ph="1">
        <v>251</v>
      </c>
      <c r="AN161" s="64" t="s" ph="1">
        <v>252</v>
      </c>
      <c r="AO161" s="64" t="s" ph="1">
        <v>253</v>
      </c>
      <c r="AP161" s="64" t="s" ph="1">
        <v>251</v>
      </c>
      <c r="AQ161" s="64" t="s" ph="1">
        <v>252</v>
      </c>
      <c r="AR161" s="64" t="s" ph="1">
        <v>253</v>
      </c>
      <c r="AS161" s="64" t="s" ph="1">
        <v>251</v>
      </c>
      <c r="AT161" s="64" t="s" ph="1">
        <v>252</v>
      </c>
      <c r="AU161" s="64" t="s" ph="1">
        <v>253</v>
      </c>
      <c r="AV161" s="64" t="s" ph="1">
        <v>251</v>
      </c>
      <c r="AW161" s="64" t="s" ph="1">
        <v>252</v>
      </c>
      <c r="AX161" s="64" t="s" ph="1">
        <v>253</v>
      </c>
      <c r="AY161" s="64" t="s" ph="1">
        <v>252</v>
      </c>
      <c r="AZ161" s="64" t="s" ph="1">
        <v>254</v>
      </c>
    </row>
    <row r="162" spans="33:52" ph="1">
      <c r="AH162" s="64" ph="1">
        <v>1</v>
      </c>
      <c r="AI162" s="64" t="s" ph="1">
        <v>595</v>
      </c>
      <c r="AJ162" s="64" t="s" ph="1">
        <v>596</v>
      </c>
      <c r="AK162" s="64" t="s" ph="1">
        <v>540</v>
      </c>
      <c r="AM162" s="64" t="s" ph="1">
        <v>597</v>
      </c>
      <c r="AN162" s="64" t="s" ph="1">
        <v>261</v>
      </c>
      <c r="AO162" s="64" t="s" ph="1">
        <v>598</v>
      </c>
      <c r="AY162" s="64" t="s" ph="1">
        <v>257</v>
      </c>
      <c r="AZ162" s="64" t="s" ph="1">
        <v>333</v>
      </c>
    </row>
    <row r="163" spans="33:52" ph="1">
      <c r="AH163" s="64" ph="1">
        <v>2</v>
      </c>
      <c r="AI163" s="64" t="s" ph="1">
        <v>599</v>
      </c>
      <c r="AJ163" s="64" t="s" ph="1">
        <v>596</v>
      </c>
      <c r="AK163" s="64" t="s" ph="1">
        <v>429</v>
      </c>
      <c r="AY163" s="64" t="s" ph="1">
        <v>257</v>
      </c>
      <c r="AZ163" s="64" t="s" ph="1">
        <v>429</v>
      </c>
    </row>
    <row r="164" spans="33:52" ph="1">
      <c r="AH164" s="64" ph="1">
        <v>3</v>
      </c>
      <c r="AI164" s="64" t="s" ph="1">
        <v>600</v>
      </c>
      <c r="AJ164" s="64" t="s" ph="1">
        <v>596</v>
      </c>
      <c r="AK164" s="64" t="s" ph="1">
        <v>333</v>
      </c>
      <c r="AY164" s="64" t="s" ph="1">
        <v>257</v>
      </c>
      <c r="AZ164" s="64" t="s" ph="1">
        <v>333</v>
      </c>
    </row>
    <row r="165" spans="33:52" ph="1">
      <c r="AH165" s="64" ph="1">
        <v>4</v>
      </c>
      <c r="AI165" s="64" t="s" ph="1">
        <v>601</v>
      </c>
      <c r="AY165" s="64" t="s" ph="1">
        <v>257</v>
      </c>
      <c r="AZ165" s="64" t="s" ph="1">
        <v>408</v>
      </c>
    </row>
    <row r="166" spans="33:52" ph="1">
      <c r="AH166" s="64" ph="1">
        <v>5</v>
      </c>
      <c r="AI166" s="64" t="s" ph="1">
        <v>602</v>
      </c>
      <c r="AY166" s="64" t="s" ph="1">
        <v>257</v>
      </c>
      <c r="AZ166" s="64" t="s" ph="1">
        <v>408</v>
      </c>
    </row>
    <row r="167" spans="33:52" ph="1">
      <c r="AZ167" s="64" t="s" ph="1">
        <v>603</v>
      </c>
    </row>
    <row r="168" spans="33:52" ph="1">
      <c r="AG168" s="64" t="s" ph="1">
        <v>346</v>
      </c>
      <c r="AI168" s="64" t="s" ph="1">
        <v>250</v>
      </c>
      <c r="AJ168" s="64" t="s" ph="1">
        <v>251</v>
      </c>
      <c r="AK168" s="64" t="s" ph="1">
        <v>252</v>
      </c>
      <c r="AM168" s="64" t="s" ph="1">
        <v>251</v>
      </c>
      <c r="AN168" s="64" t="s" ph="1">
        <v>252</v>
      </c>
      <c r="AO168" s="64" t="s" ph="1">
        <v>253</v>
      </c>
      <c r="AP168" s="64" t="s" ph="1">
        <v>251</v>
      </c>
      <c r="AQ168" s="64" t="s" ph="1">
        <v>252</v>
      </c>
      <c r="AR168" s="64" t="s" ph="1">
        <v>253</v>
      </c>
      <c r="AS168" s="64" t="s" ph="1">
        <v>251</v>
      </c>
      <c r="AT168" s="64" t="s" ph="1">
        <v>252</v>
      </c>
      <c r="AU168" s="64" t="s" ph="1">
        <v>253</v>
      </c>
      <c r="AV168" s="64" t="s" ph="1">
        <v>251</v>
      </c>
      <c r="AW168" s="64" t="s" ph="1">
        <v>252</v>
      </c>
      <c r="AX168" s="64" t="s" ph="1">
        <v>253</v>
      </c>
      <c r="AY168" s="64" t="s" ph="1">
        <v>252</v>
      </c>
      <c r="AZ168" s="64" t="s" ph="1">
        <v>254</v>
      </c>
    </row>
    <row r="169" spans="33:52" ph="1">
      <c r="AH169" s="64" ph="1">
        <v>1</v>
      </c>
      <c r="AI169" s="64" t="s" ph="1">
        <v>604</v>
      </c>
      <c r="AY169" s="64" t="s" ph="1">
        <v>257</v>
      </c>
      <c r="AZ169" s="64" t="s" ph="1">
        <v>408</v>
      </c>
    </row>
    <row r="170" spans="33:52" ph="1">
      <c r="AH170" s="64" ph="1">
        <v>2</v>
      </c>
      <c r="AI170" s="64" t="s" ph="1">
        <v>605</v>
      </c>
      <c r="AY170" s="64" t="s" ph="1">
        <v>257</v>
      </c>
      <c r="AZ170" s="64" t="s" ph="1">
        <v>408</v>
      </c>
    </row>
    <row r="171" spans="33:52" ph="1">
      <c r="AH171" s="64" ph="1">
        <v>3</v>
      </c>
      <c r="AI171" s="64" t="s" ph="1">
        <v>606</v>
      </c>
      <c r="AY171" s="64" t="s" ph="1">
        <v>257</v>
      </c>
      <c r="AZ171" s="64" t="s" ph="1">
        <v>408</v>
      </c>
    </row>
    <row r="172" spans="33:52" ph="1">
      <c r="AH172" s="64" ph="1">
        <v>4</v>
      </c>
      <c r="AI172" s="64" t="s" ph="1">
        <v>607</v>
      </c>
      <c r="AY172" s="64" t="s" ph="1">
        <v>257</v>
      </c>
      <c r="AZ172" s="64" t="s" ph="1">
        <v>408</v>
      </c>
    </row>
    <row r="173" spans="33:52" ph="1">
      <c r="AH173" s="64" ph="1">
        <v>5</v>
      </c>
      <c r="AI173" s="64" t="s" ph="1">
        <v>608</v>
      </c>
      <c r="AY173" s="64" t="s" ph="1">
        <v>257</v>
      </c>
      <c r="AZ173" s="64" t="s" ph="1">
        <v>408</v>
      </c>
    </row>
    <row r="174" spans="33:52" ph="1">
      <c r="AZ174" s="64" t="s" ph="1">
        <v>426</v>
      </c>
    </row>
    <row r="175" spans="33:52" ph="1">
      <c r="AJ175" s="64" t="s" ph="1">
        <v>347</v>
      </c>
    </row>
    <row r="176" spans="33:52" ph="1">
      <c r="AJ176" s="64" t="s" ph="1">
        <v>348</v>
      </c>
      <c r="AK176" s="64" t="s" ph="1">
        <v>349</v>
      </c>
      <c r="AM176" s="64" t="s" ph="1">
        <v>350</v>
      </c>
      <c r="AO176" s="64" t="s" ph="1">
        <v>351</v>
      </c>
      <c r="AP176" s="64" t="s" ph="1">
        <v>352</v>
      </c>
      <c r="AQ176" s="64" t="s" ph="1">
        <v>342</v>
      </c>
      <c r="AR176" s="64" t="s" ph="1">
        <v>262</v>
      </c>
    </row>
    <row r="177" spans="36:56" ph="1">
      <c r="AJ177" s="64" t="s" ph="1">
        <v>644</v>
      </c>
      <c r="AK177" s="64" t="s" ph="1">
        <v>353</v>
      </c>
      <c r="AO177" s="64" t="s" ph="1">
        <v>353</v>
      </c>
      <c r="AP177" s="64" t="s" ph="1">
        <v>353</v>
      </c>
      <c r="AQ177" s="64" t="s" ph="1">
        <v>354</v>
      </c>
      <c r="AR177" s="64" t="s" ph="1">
        <v>355</v>
      </c>
    </row>
    <row r="179" spans="36:56" ph="1">
      <c r="AJ179" s="64" t="s" ph="1">
        <v>356</v>
      </c>
      <c r="AK179" s="64" t="s" ph="1">
        <v>357</v>
      </c>
      <c r="AM179" s="64" t="s" ph="1">
        <v>358</v>
      </c>
      <c r="AN179" s="64" t="s" ph="1">
        <v>334</v>
      </c>
      <c r="AO179" s="64" t="s" ph="1">
        <v>359</v>
      </c>
      <c r="AP179" s="64" t="s" ph="1">
        <v>338</v>
      </c>
      <c r="AQ179" s="64" t="s" ph="1">
        <v>360</v>
      </c>
      <c r="AR179" s="64" t="s" ph="1">
        <v>361</v>
      </c>
    </row>
    <row r="180" spans="36:56" ph="1">
      <c r="AJ180" s="64" t="s" ph="1">
        <v>353</v>
      </c>
      <c r="AK180" s="64" t="s" ph="1">
        <v>353</v>
      </c>
      <c r="AL180" s="64" ph="1">
        <v>116</v>
      </c>
      <c r="AM180" s="64" t="s" ph="1">
        <v>353</v>
      </c>
      <c r="AN180" s="64" t="s" ph="1">
        <v>362</v>
      </c>
      <c r="AO180" s="64" t="s" ph="1">
        <v>353</v>
      </c>
      <c r="AP180" s="64" t="s" ph="1">
        <v>363</v>
      </c>
      <c r="AQ180" s="64" t="s" ph="1">
        <v>364</v>
      </c>
      <c r="AR180" s="64" t="s" ph="1">
        <v>365</v>
      </c>
    </row>
    <row r="189" spans="36:56" ph="1">
      <c r="BD189" s="64" t="s" ph="1">
        <v>609</v>
      </c>
    </row>
    <row r="223" spans="18:18" ph="1">
      <c r="R223" s="138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617" priority="92">
      <formula>ABS(D$7-D$10)&gt;=1000</formula>
    </cfRule>
  </conditionalFormatting>
  <conditionalFormatting sqref="E4 E6:E11">
    <cfRule type="expression" dxfId="2616" priority="91">
      <formula>ABS(E$7-E$10)&gt;=1000</formula>
    </cfRule>
  </conditionalFormatting>
  <conditionalFormatting sqref="F4:F11">
    <cfRule type="expression" dxfId="2615" priority="90">
      <formula>ABS(F$7-F$10)&gt;=1000</formula>
    </cfRule>
  </conditionalFormatting>
  <conditionalFormatting sqref="G4:G11">
    <cfRule type="expression" dxfId="2614" priority="89">
      <formula>ABS(G$7-G$10)&gt;=1000</formula>
    </cfRule>
  </conditionalFormatting>
  <conditionalFormatting sqref="H4:H11">
    <cfRule type="expression" dxfId="2613" priority="88">
      <formula>ABS(H$7-H$10)&gt;=1000</formula>
    </cfRule>
  </conditionalFormatting>
  <conditionalFormatting sqref="I4:I11">
    <cfRule type="expression" dxfId="2612" priority="87">
      <formula>ABS(I$7-I$10)&gt;=1000</formula>
    </cfRule>
  </conditionalFormatting>
  <conditionalFormatting sqref="J4:J11">
    <cfRule type="expression" dxfId="2611" priority="86">
      <formula>ABS(J$7-J$10)&gt;=1000</formula>
    </cfRule>
  </conditionalFormatting>
  <conditionalFormatting sqref="K4:K11">
    <cfRule type="expression" dxfId="2610" priority="85">
      <formula>ABS(K$7-K$10)&gt;=1000</formula>
    </cfRule>
  </conditionalFormatting>
  <conditionalFormatting sqref="L4:L11">
    <cfRule type="expression" dxfId="2609" priority="84">
      <formula>ABS(L$7-L$10)&gt;=1000</formula>
    </cfRule>
  </conditionalFormatting>
  <conditionalFormatting sqref="M4:M11">
    <cfRule type="expression" dxfId="2608" priority="83">
      <formula>ABS(M$7-M$10)&gt;=1000</formula>
    </cfRule>
  </conditionalFormatting>
  <conditionalFormatting sqref="N4:N11">
    <cfRule type="expression" dxfId="2607" priority="82">
      <formula>ABS(N$7-N$10)&gt;=1000</formula>
    </cfRule>
  </conditionalFormatting>
  <conditionalFormatting sqref="O4:O11">
    <cfRule type="expression" dxfId="2606" priority="81">
      <formula>ABS(O$7-O$10)&gt;=1000</formula>
    </cfRule>
  </conditionalFormatting>
  <conditionalFormatting sqref="P4:P11">
    <cfRule type="expression" dxfId="2605" priority="80">
      <formula>ABS(P$7-P$10)&gt;=1000</formula>
    </cfRule>
  </conditionalFormatting>
  <conditionalFormatting sqref="Q4:Q11">
    <cfRule type="expression" dxfId="2604" priority="79">
      <formula>ABS(Q$7-Q$10)&gt;=1000</formula>
    </cfRule>
  </conditionalFormatting>
  <conditionalFormatting sqref="R4:R11">
    <cfRule type="expression" dxfId="2603" priority="78">
      <formula>ABS(R$7-R$10)&gt;=1000</formula>
    </cfRule>
  </conditionalFormatting>
  <conditionalFormatting sqref="S4:S11">
    <cfRule type="expression" dxfId="2602" priority="77">
      <formula>ABS(S$7-S$10)&gt;=1000</formula>
    </cfRule>
  </conditionalFormatting>
  <conditionalFormatting sqref="T4:T9 T11">
    <cfRule type="expression" dxfId="2601" priority="76">
      <formula>ABS(T$7-T$10)&gt;=1000</formula>
    </cfRule>
  </conditionalFormatting>
  <conditionalFormatting sqref="U4:U9 U11">
    <cfRule type="expression" dxfId="2600" priority="75">
      <formula>ABS(U$7-U$10)&gt;=1000</formula>
    </cfRule>
  </conditionalFormatting>
  <conditionalFormatting sqref="V4:V9 V11">
    <cfRule type="expression" dxfId="2599" priority="74">
      <formula>ABS(V$7-V$10)&gt;=1000</formula>
    </cfRule>
  </conditionalFormatting>
  <conditionalFormatting sqref="W4:W9 W11">
    <cfRule type="expression" dxfId="2598" priority="73">
      <formula>ABS(W$7-W$10)&gt;=1000</formula>
    </cfRule>
  </conditionalFormatting>
  <conditionalFormatting sqref="X4:X9 X11">
    <cfRule type="expression" dxfId="2597" priority="72">
      <formula>ABS(X$7-X$10)&gt;=1000</formula>
    </cfRule>
  </conditionalFormatting>
  <conditionalFormatting sqref="Y4:Y9 Y11">
    <cfRule type="expression" dxfId="2596" priority="71">
      <formula>ABS(Y$7-Y$10)&gt;=1000</formula>
    </cfRule>
  </conditionalFormatting>
  <conditionalFormatting sqref="Z4:Z11">
    <cfRule type="expression" dxfId="2595" priority="70">
      <formula>ABS(Z$7-Z$10)&gt;=1000</formula>
    </cfRule>
  </conditionalFormatting>
  <conditionalFormatting sqref="AA4:AA11">
    <cfRule type="expression" dxfId="2594" priority="69">
      <formula>ABS(AA$7-AA$10)&gt;=1000</formula>
    </cfRule>
  </conditionalFormatting>
  <conditionalFormatting sqref="AB4:AB11">
    <cfRule type="expression" dxfId="2593" priority="68">
      <formula>ABS(AB$7-AB$10)&gt;=1000</formula>
    </cfRule>
  </conditionalFormatting>
  <conditionalFormatting sqref="AC4 AC6:AC11">
    <cfRule type="expression" dxfId="2592" priority="67">
      <formula>ABS(AC$7-AC$10)&gt;=1000</formula>
    </cfRule>
  </conditionalFormatting>
  <conditionalFormatting sqref="AD4:AD11">
    <cfRule type="expression" dxfId="2591" priority="66">
      <formula>ABS(AD$7-AD$10)&gt;=1000</formula>
    </cfRule>
  </conditionalFormatting>
  <conditionalFormatting sqref="AE4:AE11">
    <cfRule type="expression" dxfId="2590" priority="65">
      <formula>ABS(AE$7-AE$10)&gt;=1000</formula>
    </cfRule>
  </conditionalFormatting>
  <conditionalFormatting sqref="D13:D20">
    <cfRule type="expression" dxfId="2589" priority="64">
      <formula>ABS(D$16-D$19)&gt;=1000</formula>
    </cfRule>
  </conditionalFormatting>
  <conditionalFormatting sqref="E13:E20">
    <cfRule type="expression" dxfId="2588" priority="63">
      <formula>ABS(E$16-E$19)&gt;=1000</formula>
    </cfRule>
  </conditionalFormatting>
  <conditionalFormatting sqref="F13 F15:F20">
    <cfRule type="expression" dxfId="2587" priority="62">
      <formula>ABS(F$16-F$19)&gt;=1000</formula>
    </cfRule>
  </conditionalFormatting>
  <conditionalFormatting sqref="G13:G20">
    <cfRule type="expression" dxfId="2586" priority="61">
      <formula>ABS(G$16-G$19)&gt;=1000</formula>
    </cfRule>
  </conditionalFormatting>
  <conditionalFormatting sqref="H13:H20">
    <cfRule type="expression" dxfId="2585" priority="60">
      <formula>ABS(H$16-H$19)&gt;=1000</formula>
    </cfRule>
  </conditionalFormatting>
  <conditionalFormatting sqref="I13:I20">
    <cfRule type="expression" dxfId="2584" priority="59">
      <formula>ABS(I$16-I$19)&gt;=1000</formula>
    </cfRule>
  </conditionalFormatting>
  <conditionalFormatting sqref="J13:J20">
    <cfRule type="expression" dxfId="2583" priority="58">
      <formula>ABS(J$16-J$19)&gt;=1000</formula>
    </cfRule>
  </conditionalFormatting>
  <conditionalFormatting sqref="L13:L20">
    <cfRule type="expression" dxfId="2582" priority="57">
      <formula>ABS(L$16-L$19)&gt;=1000</formula>
    </cfRule>
  </conditionalFormatting>
  <conditionalFormatting sqref="M13 M15 M17:M18 M20">
    <cfRule type="expression" dxfId="2581" priority="56">
      <formula>ABS(M$16-M$19)&gt;=1000</formula>
    </cfRule>
  </conditionalFormatting>
  <conditionalFormatting sqref="N13:N20">
    <cfRule type="expression" dxfId="2580" priority="55">
      <formula>ABS(N$16-N$19)&gt;=1000</formula>
    </cfRule>
  </conditionalFormatting>
  <conditionalFormatting sqref="O13:O20">
    <cfRule type="expression" dxfId="2579" priority="54">
      <formula>ABS(O$16-O$19)&gt;=1000</formula>
    </cfRule>
  </conditionalFormatting>
  <conditionalFormatting sqref="P13:P20">
    <cfRule type="expression" dxfId="2578" priority="53">
      <formula>ABS(P$16-P$19)&gt;=1000</formula>
    </cfRule>
  </conditionalFormatting>
  <conditionalFormatting sqref="Q13 Q15:Q20">
    <cfRule type="expression" dxfId="2577" priority="52">
      <formula>ABS(Q$16-Q$19)&gt;=1000</formula>
    </cfRule>
  </conditionalFormatting>
  <conditionalFormatting sqref="R13:R20">
    <cfRule type="expression" dxfId="2576" priority="51">
      <formula>ABS(R$16-R$19)&gt;=1000</formula>
    </cfRule>
  </conditionalFormatting>
  <conditionalFormatting sqref="S13:S20">
    <cfRule type="expression" dxfId="2575" priority="50">
      <formula>ABS(S$16-S$19)&gt;=1000</formula>
    </cfRule>
  </conditionalFormatting>
  <conditionalFormatting sqref="T13:T20">
    <cfRule type="expression" dxfId="2574" priority="49">
      <formula>ABS(T$16-T$19)&gt;=1000</formula>
    </cfRule>
  </conditionalFormatting>
  <conditionalFormatting sqref="U13:U20">
    <cfRule type="expression" dxfId="2573" priority="48">
      <formula>ABS(U$16-U$19)&gt;=1000</formula>
    </cfRule>
  </conditionalFormatting>
  <conditionalFormatting sqref="V13:V20">
    <cfRule type="expression" dxfId="2572" priority="47">
      <formula>ABS(V$16-V$19)&gt;=1000</formula>
    </cfRule>
  </conditionalFormatting>
  <conditionalFormatting sqref="W13 W15:W18 W20">
    <cfRule type="expression" dxfId="2571" priority="46">
      <formula>ABS(W$16-W$19)&gt;=1000</formula>
    </cfRule>
  </conditionalFormatting>
  <conditionalFormatting sqref="X13 X15:X20 Y19">
    <cfRule type="expression" dxfId="2570" priority="45">
      <formula>ABS(X$16-X$19)&gt;=1000</formula>
    </cfRule>
  </conditionalFormatting>
  <conditionalFormatting sqref="Y13 Y15:Y18 Y20">
    <cfRule type="expression" dxfId="2569" priority="44">
      <formula>ABS(Y$16-Y$19)&gt;=1000</formula>
    </cfRule>
  </conditionalFormatting>
  <conditionalFormatting sqref="Z13:Z20">
    <cfRule type="expression" dxfId="2568" priority="43">
      <formula>ABS(Z$16-Z$19)&gt;=1000</formula>
    </cfRule>
  </conditionalFormatting>
  <conditionalFormatting sqref="AA13:AA20">
    <cfRule type="expression" dxfId="2567" priority="42">
      <formula>ABS(AA$16-AA$19)&gt;=1000</formula>
    </cfRule>
  </conditionalFormatting>
  <conditionalFormatting sqref="AB13 AB15:AB20">
    <cfRule type="expression" dxfId="2566" priority="41">
      <formula>ABS(AB$16-AB$19)&gt;=1000</formula>
    </cfRule>
  </conditionalFormatting>
  <conditionalFormatting sqref="AC13 AC15:AC20">
    <cfRule type="expression" dxfId="2565" priority="40">
      <formula>ABS(AC$16-AC$19)&gt;=1000</formula>
    </cfRule>
  </conditionalFormatting>
  <conditionalFormatting sqref="AD13:AD20">
    <cfRule type="expression" dxfId="2564" priority="39">
      <formula>ABS(AD$16-AD$19)&gt;=1000</formula>
    </cfRule>
  </conditionalFormatting>
  <conditionalFormatting sqref="AE13:AE20">
    <cfRule type="expression" dxfId="2563" priority="38">
      <formula>ABS(AE$16-AE$19)&gt;=1000</formula>
    </cfRule>
  </conditionalFormatting>
  <conditionalFormatting sqref="D22:D29">
    <cfRule type="expression" dxfId="2562" priority="37">
      <formula>ABS(D$25-D$28)&gt;=1000</formula>
    </cfRule>
  </conditionalFormatting>
  <conditionalFormatting sqref="E22:E29">
    <cfRule type="expression" dxfId="2561" priority="36">
      <formula>ABS(E$25-E$28)&gt;=1000</formula>
    </cfRule>
  </conditionalFormatting>
  <conditionalFormatting sqref="F22:F29">
    <cfRule type="expression" dxfId="2560" priority="35">
      <formula>ABS(F$25-F$28)&gt;=1000</formula>
    </cfRule>
  </conditionalFormatting>
  <conditionalFormatting sqref="G22:G29">
    <cfRule type="expression" dxfId="2559" priority="34">
      <formula>ABS(G$25-G$28)&gt;=1000</formula>
    </cfRule>
  </conditionalFormatting>
  <conditionalFormatting sqref="H22:H29">
    <cfRule type="expression" dxfId="2558" priority="33">
      <formula>ABS(H$25-H$28)&gt;=1000</formula>
    </cfRule>
  </conditionalFormatting>
  <conditionalFormatting sqref="I22 I24:I29">
    <cfRule type="expression" dxfId="2557" priority="32">
      <formula>ABS(I$25-I$28)&gt;=1000</formula>
    </cfRule>
  </conditionalFormatting>
  <conditionalFormatting sqref="J22:J29 K22">
    <cfRule type="expression" dxfId="2556" priority="31">
      <formula>ABS(J$25-J$28)&gt;=1000</formula>
    </cfRule>
  </conditionalFormatting>
  <conditionalFormatting sqref="K23:K29 L25 L28">
    <cfRule type="expression" dxfId="2555" priority="30">
      <formula>ABS(K$25-K$28)&gt;=1000</formula>
    </cfRule>
  </conditionalFormatting>
  <conditionalFormatting sqref="L22:L24 L26:L27 L29">
    <cfRule type="expression" dxfId="2554" priority="29">
      <formula>ABS(L$25-L$28)&gt;=1000</formula>
    </cfRule>
  </conditionalFormatting>
  <conditionalFormatting sqref="M22:M29">
    <cfRule type="expression" dxfId="2553" priority="28">
      <formula>ABS(M$25-M$28)&gt;=1000</formula>
    </cfRule>
  </conditionalFormatting>
  <conditionalFormatting sqref="N22:N29">
    <cfRule type="expression" dxfId="2552" priority="27">
      <formula>ABS(N$25-N$28)&gt;=1000</formula>
    </cfRule>
  </conditionalFormatting>
  <conditionalFormatting sqref="O22:O29">
    <cfRule type="expression" dxfId="2551" priority="26">
      <formula>ABS(O$25-O$28)&gt;=1000</formula>
    </cfRule>
  </conditionalFormatting>
  <conditionalFormatting sqref="P22:P29">
    <cfRule type="expression" dxfId="2550" priority="25">
      <formula>ABS(P$25-P$28)&gt;=1000</formula>
    </cfRule>
  </conditionalFormatting>
  <conditionalFormatting sqref="Q22:Q29">
    <cfRule type="expression" dxfId="2549" priority="24">
      <formula>ABS(Q$25-Q$28)&gt;=1000</formula>
    </cfRule>
  </conditionalFormatting>
  <conditionalFormatting sqref="R22:R29">
    <cfRule type="expression" dxfId="2548" priority="23">
      <formula>ABS(R$25-R$28)&gt;=1000</formula>
    </cfRule>
  </conditionalFormatting>
  <conditionalFormatting sqref="S22:S29">
    <cfRule type="expression" dxfId="2547" priority="22">
      <formula>ABS(S$25-S$28)&gt;=1000</formula>
    </cfRule>
  </conditionalFormatting>
  <conditionalFormatting sqref="T22:T29">
    <cfRule type="expression" dxfId="2546" priority="21">
      <formula>ABS(T$25-T$28)&gt;=1000</formula>
    </cfRule>
  </conditionalFormatting>
  <conditionalFormatting sqref="U22:U29">
    <cfRule type="expression" dxfId="2545" priority="20">
      <formula>ABS(U$25-U$28)&gt;=1000</formula>
    </cfRule>
  </conditionalFormatting>
  <conditionalFormatting sqref="V22:V29">
    <cfRule type="expression" dxfId="2544" priority="19">
      <formula>ABS(V$25-V$28)&gt;=1000</formula>
    </cfRule>
  </conditionalFormatting>
  <conditionalFormatting sqref="W22:W29">
    <cfRule type="expression" dxfId="2543" priority="18">
      <formula>ABS(W$25-W$28)&gt;=1000</formula>
    </cfRule>
  </conditionalFormatting>
  <conditionalFormatting sqref="X22:X29">
    <cfRule type="expression" dxfId="2542" priority="17">
      <formula>ABS(X$25-X$28)&gt;=1000</formula>
    </cfRule>
  </conditionalFormatting>
  <conditionalFormatting sqref="Y22:Y29">
    <cfRule type="expression" dxfId="2541" priority="16">
      <formula>ABS(Y$25-Y$28)&gt;=1000</formula>
    </cfRule>
  </conditionalFormatting>
  <conditionalFormatting sqref="I23">
    <cfRule type="expression" dxfId="2540" priority="15">
      <formula>ABS(I$25-I$28)&gt;=1000</formula>
    </cfRule>
  </conditionalFormatting>
  <conditionalFormatting sqref="F14">
    <cfRule type="expression" dxfId="2539" priority="14">
      <formula>ABS(F$16-F$19)&gt;=1000</formula>
    </cfRule>
  </conditionalFormatting>
  <conditionalFormatting sqref="Q14">
    <cfRule type="expression" dxfId="2538" priority="13">
      <formula>ABS(Q$16-Q$19)&gt;=1000</formula>
    </cfRule>
  </conditionalFormatting>
  <conditionalFormatting sqref="W14">
    <cfRule type="expression" dxfId="2537" priority="12">
      <formula>ABS(W$16-W$19)&gt;=1000</formula>
    </cfRule>
  </conditionalFormatting>
  <conditionalFormatting sqref="Y14">
    <cfRule type="expression" dxfId="2536" priority="11">
      <formula>ABS(Y$16-Y$19)&gt;=1000</formula>
    </cfRule>
  </conditionalFormatting>
  <conditionalFormatting sqref="X14">
    <cfRule type="expression" dxfId="2535" priority="10">
      <formula>ABS(X$16-X$19)&gt;=1000</formula>
    </cfRule>
  </conditionalFormatting>
  <conditionalFormatting sqref="T10:Y10">
    <cfRule type="expression" dxfId="2534" priority="9">
      <formula>ABS(T$7-T$10)&gt;=1000</formula>
    </cfRule>
  </conditionalFormatting>
  <conditionalFormatting sqref="W19">
    <cfRule type="expression" dxfId="2533" priority="8">
      <formula>ABS(W$16-W$19)&gt;=1000</formula>
    </cfRule>
  </conditionalFormatting>
  <conditionalFormatting sqref="AC5">
    <cfRule type="expression" dxfId="2532" priority="7">
      <formula>ABS(AC$7-AC$10)&gt;=1000</formula>
    </cfRule>
  </conditionalFormatting>
  <conditionalFormatting sqref="M14">
    <cfRule type="expression" dxfId="2531" priority="6">
      <formula>ABS(M$16-M$19)&gt;=1000</formula>
    </cfRule>
  </conditionalFormatting>
  <conditionalFormatting sqref="M16">
    <cfRule type="expression" dxfId="2530" priority="5">
      <formula>ABS(M$16-M$19)&gt;=1000</formula>
    </cfRule>
  </conditionalFormatting>
  <conditionalFormatting sqref="M19">
    <cfRule type="expression" dxfId="2529" priority="4">
      <formula>ABS(M$16-M$19)&gt;=1000</formula>
    </cfRule>
  </conditionalFormatting>
  <conditionalFormatting sqref="K13:K20">
    <cfRule type="expression" dxfId="2528" priority="3">
      <formula>ABS(K$16-K$19)&gt;=1000</formula>
    </cfRule>
  </conditionalFormatting>
  <conditionalFormatting sqref="E5">
    <cfRule type="expression" dxfId="2527" priority="2">
      <formula>ABS(E$7-E$10)&gt;=1000</formula>
    </cfRule>
  </conditionalFormatting>
  <conditionalFormatting sqref="AB14:AC14">
    <cfRule type="expression" dxfId="2526" priority="1">
      <formula>ABS(AB$16-AB$19)&gt;=1000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080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64">
    <pageSetUpPr fitToPage="1"/>
  </sheetPr>
  <dimension ref="A1:CU223"/>
  <sheetViews>
    <sheetView view="pageBreakPreview" zoomScale="70" zoomScaleNormal="100" zoomScaleSheetLayoutView="70" workbookViewId="0">
      <selection activeCell="E16" sqref="E16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08" t="s" ph="1">
        <v>192</v>
      </c>
      <c r="C1" s="208" ph="1"/>
      <c r="D1" s="208" ph="1"/>
      <c r="E1" s="208" ph="1"/>
      <c r="F1" s="208" ph="1"/>
      <c r="G1" s="208" ph="1"/>
      <c r="H1" s="208" ph="1"/>
      <c r="I1" s="208" ph="1"/>
      <c r="J1" s="208" ph="1"/>
      <c r="K1" s="208" ph="1"/>
      <c r="L1" s="208" ph="1"/>
      <c r="M1" s="208" ph="1"/>
      <c r="N1" s="208" ph="1"/>
      <c r="O1" s="208" ph="1"/>
      <c r="P1" s="208" ph="1"/>
      <c r="Q1" s="208" ph="1"/>
      <c r="R1" s="208" ph="1"/>
      <c r="S1" s="208" ph="1"/>
      <c r="T1" s="208" ph="1"/>
      <c r="U1" s="208" ph="1"/>
      <c r="V1" s="208" ph="1"/>
      <c r="W1" s="208" ph="1"/>
      <c r="X1" s="208" ph="1"/>
      <c r="Y1" s="208" ph="1"/>
      <c r="Z1" s="208" ph="1"/>
      <c r="AA1" s="208" ph="1"/>
      <c r="AB1" s="208" ph="1"/>
      <c r="AC1" s="208" ph="1"/>
      <c r="AD1" s="208" ph="1"/>
      <c r="AE1" s="208" ph="1"/>
    </row>
    <row r="2" spans="1:99" s="66" customFormat="1" ht="24" customHeight="1" ph="1">
      <c r="B2" s="209" t="s" ph="1">
        <v>99</v>
      </c>
      <c r="C2" s="209" ph="1"/>
      <c r="D2" s="209" ph="1"/>
      <c r="E2" s="209" ph="1"/>
      <c r="F2" s="209" ph="1"/>
      <c r="G2" s="209" ph="1"/>
      <c r="H2" s="209" ph="1"/>
      <c r="I2" s="209" ph="1"/>
      <c r="J2" s="209" ph="1"/>
      <c r="K2" s="209" ph="1"/>
      <c r="L2" s="209" ph="1"/>
      <c r="M2" s="209" ph="1"/>
      <c r="N2" s="209" ph="1"/>
      <c r="O2" s="209" ph="1"/>
      <c r="P2" s="209" ph="1"/>
      <c r="Q2" s="209" ph="1"/>
      <c r="R2" s="209" ph="1"/>
      <c r="S2" s="209" ph="1"/>
      <c r="T2" s="209" ph="1"/>
      <c r="U2" s="209" ph="1"/>
      <c r="V2" s="209" ph="1"/>
      <c r="W2" s="209" ph="1"/>
      <c r="X2" s="209" ph="1"/>
      <c r="Y2" s="209" ph="1"/>
      <c r="Z2" s="209" ph="1"/>
      <c r="AA2" s="209" ph="1"/>
      <c r="AB2" s="209" ph="1"/>
      <c r="AC2" s="209" ph="1"/>
      <c r="AD2" s="209" ph="1"/>
      <c r="AE2" s="209" ph="1"/>
    </row>
    <row r="3" spans="1:99" ht="21" customHeight="1" ph="1">
      <c r="B3" s="210" ph="1">
        <v>45689</v>
      </c>
      <c r="C3" s="210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210"/>
      <c r="R3" s="210"/>
      <c r="S3" s="210"/>
      <c r="T3" s="210"/>
      <c r="U3" s="210"/>
      <c r="V3" s="210"/>
      <c r="W3" s="210"/>
      <c r="X3" s="210"/>
      <c r="Y3" s="210"/>
      <c r="Z3" s="210"/>
      <c r="AA3" s="210"/>
      <c r="AB3" s="210"/>
      <c r="AC3" s="210"/>
      <c r="AD3" s="210"/>
      <c r="AE3" s="210"/>
    </row>
    <row r="4" spans="1:99" s="69" customFormat="1" ph="1">
      <c r="A4" s="65" ph="1"/>
      <c r="B4" s="211" t="s" ph="1">
        <v>37</v>
      </c>
      <c r="C4" s="67" t="s" ph="1">
        <v>207</v>
      </c>
      <c r="D4" s="68" t="s" ph="1">
        <v>45</v>
      </c>
      <c r="E4" s="68" t="s" ph="1">
        <v>46</v>
      </c>
      <c r="F4" s="68" t="s" ph="1">
        <v>39</v>
      </c>
      <c r="G4" s="68" t="s" ph="1">
        <v>47</v>
      </c>
      <c r="H4" s="68" t="s" ph="1">
        <v>48</v>
      </c>
      <c r="I4" s="68" t="s" ph="1">
        <v>132</v>
      </c>
      <c r="J4" s="68" t="s" ph="1">
        <v>49</v>
      </c>
      <c r="K4" s="68" t="s" ph="1">
        <v>133</v>
      </c>
      <c r="L4" s="68" t="s" ph="1">
        <v>134</v>
      </c>
      <c r="M4" s="68" t="s" ph="1">
        <v>50</v>
      </c>
      <c r="N4" s="68" t="s" ph="1">
        <v>51</v>
      </c>
      <c r="O4" s="68" t="s" ph="1">
        <v>136</v>
      </c>
      <c r="P4" s="68" t="s" ph="1">
        <v>138</v>
      </c>
      <c r="Q4" s="68" t="s" ph="1">
        <v>139</v>
      </c>
      <c r="R4" s="68" t="s" ph="1">
        <v>140</v>
      </c>
      <c r="S4" s="68" t="s" ph="1">
        <v>141</v>
      </c>
      <c r="T4" s="68" t="s" ph="1">
        <v>142</v>
      </c>
      <c r="U4" s="68" t="s" ph="1">
        <v>143</v>
      </c>
      <c r="V4" s="68" t="s" ph="1">
        <v>144</v>
      </c>
      <c r="W4" s="68" t="s" ph="1">
        <v>145</v>
      </c>
      <c r="X4" s="68" t="s" ph="1">
        <v>146</v>
      </c>
      <c r="Y4" s="68" t="s" ph="1">
        <v>147</v>
      </c>
      <c r="Z4" s="68" t="s" ph="1">
        <v>52</v>
      </c>
      <c r="AA4" s="68" t="s" ph="1">
        <v>148</v>
      </c>
      <c r="AB4" s="68" t="s" ph="1">
        <v>149</v>
      </c>
      <c r="AC4" s="68" t="s" ph="1">
        <v>150</v>
      </c>
      <c r="AD4" s="68" t="s" ph="1">
        <v>40</v>
      </c>
      <c r="AE4" s="68" t="s" ph="1">
        <v>151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1" ph="1"/>
      <c r="C5" s="67" t="s" ph="1">
        <v>36</v>
      </c>
      <c r="D5" s="70" t="s" ph="1">
        <v>191</v>
      </c>
      <c r="E5" s="70" t="s" ph="1">
        <v>55</v>
      </c>
      <c r="F5" s="70" t="s" ph="1">
        <v>129</v>
      </c>
      <c r="G5" s="70" t="s" ph="1">
        <v>56</v>
      </c>
      <c r="H5" s="70" t="s" ph="1">
        <v>56</v>
      </c>
      <c r="I5" s="70" t="s" ph="1">
        <v>57</v>
      </c>
      <c r="J5" s="70" t="s" ph="1">
        <v>58</v>
      </c>
      <c r="K5" s="70" t="s" ph="1">
        <v>59</v>
      </c>
      <c r="L5" s="70" t="s" ph="1">
        <v>135</v>
      </c>
      <c r="M5" s="70" t="s" ph="1">
        <v>60</v>
      </c>
      <c r="N5" s="70" t="s" ph="1">
        <v>61</v>
      </c>
      <c r="O5" s="70" t="s" ph="1">
        <v>137</v>
      </c>
      <c r="P5" s="70" t="s" ph="1">
        <v>88</v>
      </c>
      <c r="Q5" s="70" t="s" ph="1">
        <v>96</v>
      </c>
      <c r="R5" s="70" t="s" ph="1">
        <v>96</v>
      </c>
      <c r="S5" s="70" t="s" ph="1">
        <v>96</v>
      </c>
      <c r="T5" s="70" t="s" ph="1">
        <v>96</v>
      </c>
      <c r="U5" s="70" t="s" ph="1">
        <v>96</v>
      </c>
      <c r="V5" s="70" t="s" ph="1">
        <v>96</v>
      </c>
      <c r="W5" s="70" t="s" ph="1">
        <v>96</v>
      </c>
      <c r="X5" s="70" t="s" ph="1">
        <v>96</v>
      </c>
      <c r="Y5" s="70" t="s" ph="1">
        <v>96</v>
      </c>
      <c r="Z5" s="70" t="s" ph="1">
        <v>95</v>
      </c>
      <c r="AA5" s="70" t="s" ph="1">
        <v>62</v>
      </c>
      <c r="AB5" s="70" t="s" ph="1">
        <v>62</v>
      </c>
      <c r="AC5" s="70" t="s" ph="1">
        <v>219</v>
      </c>
      <c r="AD5" s="70" t="s" ph="1">
        <v>83</v>
      </c>
      <c r="AE5" s="70" t="s" ph="1">
        <v>654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07" ph="1">
        <v>0.33333333333333331</v>
      </c>
      <c r="C6" s="148" t="s" ph="1">
        <v>208</v>
      </c>
      <c r="D6" s="71">
        <v>4096</v>
      </c>
      <c r="E6" s="71">
        <v>0</v>
      </c>
      <c r="F6" s="71">
        <v>7138</v>
      </c>
      <c r="G6" s="71">
        <v>7645</v>
      </c>
      <c r="H6" s="71">
        <v>563</v>
      </c>
      <c r="I6" s="71">
        <v>39.1</v>
      </c>
      <c r="J6" s="71">
        <v>79.84</v>
      </c>
      <c r="K6" s="71">
        <v>81.22</v>
      </c>
      <c r="L6" s="71">
        <v>75.97</v>
      </c>
      <c r="M6" s="71">
        <v>4986</v>
      </c>
      <c r="N6" s="71">
        <v>5224</v>
      </c>
      <c r="O6" s="71">
        <v>3225</v>
      </c>
      <c r="P6" s="71">
        <v>8085</v>
      </c>
      <c r="Q6" s="71">
        <v>0</v>
      </c>
      <c r="R6" s="71">
        <v>0</v>
      </c>
      <c r="S6" s="71">
        <v>0</v>
      </c>
      <c r="T6" s="71">
        <v>4683</v>
      </c>
      <c r="U6" s="71">
        <v>4929</v>
      </c>
      <c r="V6" s="71">
        <v>0</v>
      </c>
      <c r="W6" s="71">
        <v>0</v>
      </c>
      <c r="X6" s="71">
        <v>0</v>
      </c>
      <c r="Y6" s="71">
        <v>0</v>
      </c>
      <c r="Z6" s="71">
        <v>5877</v>
      </c>
      <c r="AA6" s="71">
        <v>1714</v>
      </c>
      <c r="AB6" s="71">
        <v>3210</v>
      </c>
      <c r="AC6" s="71">
        <v>7317</v>
      </c>
      <c r="AD6" s="71">
        <v>272</v>
      </c>
      <c r="AE6" s="71">
        <v>3605</v>
      </c>
    </row>
    <row r="7" spans="1:99" s="72" customFormat="1" ht="22.5" ph="1">
      <c r="B7" s="207" ph="1"/>
      <c r="C7" s="68" t="s" ph="1">
        <v>209</v>
      </c>
      <c r="D7" s="73" ph="1">
        <f>D6*33.183*LOOKUP(D8,密度!$A$2:$A$50,密度!$Q$2:$Q$50)</f>
        <v>129610.9928448</v>
      </c>
      <c r="E7" s="73" ph="1">
        <f>E6*51.53*LOOKUP(E8,密度!$A$2:$A$50,密度!$I$2:$I$50)</f>
        <v>0</v>
      </c>
      <c r="F7" s="73" ph="1">
        <f>F6*33.183*LOOKUP(F8,密度!$A$2:$A$50,密度!$C$2:$C$50)</f>
        <v>264288.67141319998</v>
      </c>
      <c r="G7" s="73" ph="1">
        <f xml:space="preserve"> (G6+2)*51.53*LOOKUP(G8,密度!$A$2:$A$50,密度!$B$2:$B$50)</f>
        <v>310511.32908000005</v>
      </c>
      <c r="H7" s="73" ph="1">
        <f>(H6)*51.53*LOOKUP(H8,密度!$A$2:$A$50,密度!$B$2:$B$50)</f>
        <v>22936.404933999998</v>
      </c>
      <c r="I7" s="73" ph="1">
        <f>I6*290.8*1.0267</f>
        <v>11673.866475999999</v>
      </c>
      <c r="J7" s="73" ph="1">
        <f>J6*290.8*0.7892</f>
        <v>18323.228902400002</v>
      </c>
      <c r="K7" s="73" ph="1">
        <f>K6*290.8*1.1126</f>
        <v>26278.250177600003</v>
      </c>
      <c r="L7" s="73" ph="1">
        <f>L6*290.8*0.777</f>
        <v>17165.543052000001</v>
      </c>
      <c r="M7" s="73" ph="1">
        <f>M6*33.183*LOOKUP(M8,密度!$A$2:$A$50,密度!$D$2:$D$50)</f>
        <v>171208.1132424</v>
      </c>
      <c r="N7" s="73" ph="1">
        <f>N6*33.183*LOOKUP(N8,密度!$A$2:$A$50,密度!$E$2:$E$50)</f>
        <v>137568.96645119999</v>
      </c>
      <c r="O7" s="73" ph="1">
        <f>O6*20.428*LOOKUP(O8,密度!$A$2:$A$50,密度!$C$2:$C$50)</f>
        <v>73337.949959999998</v>
      </c>
      <c r="P7" s="73" ph="1">
        <f>P6*51.53*LOOKUP(P8,密度!$A$2:$A$50,密度!$B$2:$B$50)</f>
        <v>328296.59940000001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31447.141109999997</v>
      </c>
      <c r="U7" s="73" ph="1">
        <f>U6*1.5*1.5*3.1416*LOOKUP(U8,密度!$A$2:$A$50,密度!$L$2:$L$50)</f>
        <v>32924.867283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185070.649959</v>
      </c>
      <c r="AA7" s="73" ph="1">
        <f>AA6*33.183*LOOKUP(AA8,密度!$A$2:$A$50,密度!$D$2:$D$50)</f>
        <v>58854.935037599993</v>
      </c>
      <c r="AB7" s="73" ph="1">
        <f>AB6*20.428*LOOKUP(AB8,密度!$A$2:$A$50,密度!$D$2:$D$50)</f>
        <v>68373.884676000001</v>
      </c>
      <c r="AC7" s="73" ph="1">
        <f>AC6*51.53*LOOKUP(AC8,密度!$A$2:$A$50,密度!$Q$2:$Q$50)</f>
        <v>359550.12153599999</v>
      </c>
      <c r="AD7" s="73" ph="1">
        <f>AD6*20.428*LOOKUP(AD8,密度!$A$2:$A$50,密度!$V$2:$V$50)</f>
        <v>5356.3850240000002</v>
      </c>
      <c r="AE7" s="73" ph="1">
        <f>AE6*20.428</f>
        <v>73642.94</v>
      </c>
    </row>
    <row r="8" spans="1:99" ph="1">
      <c r="B8" s="207" ph="1"/>
      <c r="C8" s="68" t="s" ph="1">
        <v>210</v>
      </c>
      <c r="D8" s="74">
        <v>16</v>
      </c>
      <c r="E8" s="74">
        <v>15</v>
      </c>
      <c r="F8" s="74">
        <v>15</v>
      </c>
      <c r="G8" s="74">
        <v>15</v>
      </c>
      <c r="H8" s="74">
        <v>12</v>
      </c>
      <c r="I8" s="74">
        <v>25</v>
      </c>
      <c r="J8" s="74">
        <v>25</v>
      </c>
      <c r="K8" s="74">
        <v>25</v>
      </c>
      <c r="L8" s="74">
        <v>25</v>
      </c>
      <c r="M8" s="74">
        <v>16</v>
      </c>
      <c r="N8" s="74">
        <v>16</v>
      </c>
      <c r="O8" s="74">
        <v>19</v>
      </c>
      <c r="P8" s="74">
        <v>15</v>
      </c>
      <c r="Q8" s="74">
        <v>16</v>
      </c>
      <c r="R8" s="74">
        <v>23</v>
      </c>
      <c r="S8" s="74">
        <v>11</v>
      </c>
      <c r="T8" s="74">
        <v>12</v>
      </c>
      <c r="U8" s="74">
        <v>17</v>
      </c>
      <c r="V8" s="74">
        <v>23</v>
      </c>
      <c r="W8" s="74">
        <v>17</v>
      </c>
      <c r="X8" s="74">
        <v>12</v>
      </c>
      <c r="Y8" s="74">
        <v>17</v>
      </c>
      <c r="Z8" s="74">
        <v>13</v>
      </c>
      <c r="AA8" s="74">
        <v>16</v>
      </c>
      <c r="AB8" s="74">
        <v>7</v>
      </c>
      <c r="AC8" s="74">
        <v>16</v>
      </c>
      <c r="AD8" s="74">
        <v>15</v>
      </c>
      <c r="AE8" s="74">
        <v>20</v>
      </c>
    </row>
    <row r="9" spans="1:99" ph="1">
      <c r="B9" s="207" ph="1">
        <v>0.66666666666666663</v>
      </c>
      <c r="C9" s="148" t="s" ph="1">
        <v>211</v>
      </c>
      <c r="D9" s="71">
        <v>4100</v>
      </c>
      <c r="E9" s="71">
        <v>0</v>
      </c>
      <c r="F9" s="71">
        <v>7138</v>
      </c>
      <c r="G9" s="71">
        <v>8886</v>
      </c>
      <c r="H9" s="71">
        <v>3220</v>
      </c>
      <c r="I9" s="71">
        <v>39.119999999999997</v>
      </c>
      <c r="J9" s="71">
        <v>80.12</v>
      </c>
      <c r="K9" s="71">
        <v>82.13</v>
      </c>
      <c r="L9" s="71">
        <v>33.11</v>
      </c>
      <c r="M9" s="71">
        <v>4993</v>
      </c>
      <c r="N9" s="71">
        <v>5238</v>
      </c>
      <c r="O9" s="71">
        <v>3231</v>
      </c>
      <c r="P9" s="71">
        <v>6440</v>
      </c>
      <c r="Q9" s="71">
        <v>0</v>
      </c>
      <c r="R9" s="71">
        <v>0</v>
      </c>
      <c r="S9" s="71">
        <v>0</v>
      </c>
      <c r="T9" s="71">
        <v>0</v>
      </c>
      <c r="U9" s="71">
        <v>5524</v>
      </c>
      <c r="V9" s="71">
        <v>0</v>
      </c>
      <c r="W9" s="71">
        <v>6650</v>
      </c>
      <c r="X9" s="71">
        <v>0</v>
      </c>
      <c r="Y9" s="71">
        <v>1000</v>
      </c>
      <c r="Z9" s="71">
        <v>4804</v>
      </c>
      <c r="AA9" s="71">
        <v>1714</v>
      </c>
      <c r="AB9" s="71">
        <v>3212</v>
      </c>
      <c r="AC9" s="71">
        <v>7330</v>
      </c>
      <c r="AD9" s="71">
        <v>241</v>
      </c>
      <c r="AE9" s="71">
        <v>3807</v>
      </c>
    </row>
    <row r="10" spans="1:99" s="72" customFormat="1" ht="22.5" ph="1">
      <c r="B10" s="207" ph="1"/>
      <c r="C10" s="148" t="s" ph="1">
        <v>209</v>
      </c>
      <c r="D10" s="73" ph="1">
        <f>D9*33.183*LOOKUP(D11,密度!$A$2:$A$50,密度!$Q$2:$Q$50)</f>
        <v>129628.72583999998</v>
      </c>
      <c r="E10" s="73" ph="1">
        <f>E9*51.53*LOOKUP(E11,密度!$A$2:$A$50,密度!$I$2:$I$50)</f>
        <v>0</v>
      </c>
      <c r="F10" s="73" ph="1">
        <f>F9*33.183*LOOKUP(F11,密度!$A$2:$A$50,密度!$C$2:$C$50)</f>
        <v>263672.8347528</v>
      </c>
      <c r="G10" s="73" ph="1">
        <f xml:space="preserve"> (G9+2)*51.53*LOOKUP(G11,密度!$A$2:$A$50,密度!$B$2:$B$50)</f>
        <v>360170.130496</v>
      </c>
      <c r="H10" s="73" ph="1">
        <f>(H9)*51.53*LOOKUP(H11,密度!$A$2:$A$50,密度!$B$2:$B$50)</f>
        <v>131032.23602</v>
      </c>
      <c r="I10" s="73" ph="1">
        <f>I9*290.8*1.0267</f>
        <v>11679.837763199999</v>
      </c>
      <c r="J10" s="73" ph="1">
        <f>J9*290.8*0.7892</f>
        <v>18387.4887232</v>
      </c>
      <c r="K10" s="73" ph="1">
        <f>K9*290.8*1.1126</f>
        <v>26572.675290399999</v>
      </c>
      <c r="L10" s="73" ph="1">
        <f>L9*290.8*0.777</f>
        <v>7481.2574760000007</v>
      </c>
      <c r="M10" s="73" ph="1">
        <f>M9*33.183*LOOKUP(M11,密度!$A$2:$A$50,密度!$D$2:$D$50)</f>
        <v>171166.8169989</v>
      </c>
      <c r="N10" s="73" ph="1">
        <f>N9*33.183*LOOKUP(N11,密度!$A$2:$A$50,密度!$E$2:$E$50)</f>
        <v>137555.25523559999</v>
      </c>
      <c r="O10" s="73" ph="1">
        <f>O9*20.428*LOOKUP(O11,密度!$A$2:$A$50,密度!$C$2:$C$50)</f>
        <v>73289.584627200005</v>
      </c>
      <c r="P10" s="73" ph="1">
        <f>P9*51.53*LOOKUP(P11,密度!$A$2:$A$50,密度!$B$2:$B$50)</f>
        <v>260471.57668000003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36899.364347999996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44373.843359999999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6665.6897999999992</v>
      </c>
      <c r="Z10" s="73" ph="1">
        <f>Z9*33.183*LOOKUP(Z11,密度!$A$2:$A$50,密度!$L$2:$L$50)</f>
        <v>150484.10860800001</v>
      </c>
      <c r="AA10" s="73" ph="1">
        <f>AA9*33.183*LOOKUP(AA11,密度!$A$2:$A$50,密度!$D$2:$D$50)</f>
        <v>58758.246412199995</v>
      </c>
      <c r="AB10" s="73" ph="1">
        <f>AB9*20.428*LOOKUP(AB11,密度!$A$2:$A$50,密度!$D$2:$D$50)</f>
        <v>68357.431964800009</v>
      </c>
      <c r="AC10" s="73" ph="1">
        <f>AC9*51.53*LOOKUP(AC11,密度!$A$2:$A$50,密度!$Q$2:$Q$50)</f>
        <v>360188.92864</v>
      </c>
      <c r="AD10" s="73" ph="1">
        <f>AD9*20.428*LOOKUP(AD11,密度!$A$2:$A$50,密度!$V$2:$V$50)</f>
        <v>4745.9146719999999</v>
      </c>
      <c r="AE10" s="73" ph="1">
        <f>AE9*20.428</f>
        <v>77769.396000000008</v>
      </c>
    </row>
    <row r="11" spans="1:99" ph="1">
      <c r="A11" s="64" t="s" ph="1">
        <v>193</v>
      </c>
      <c r="B11" s="207" ph="1"/>
      <c r="C11" s="148" t="s" ph="1">
        <v>210</v>
      </c>
      <c r="D11" s="74">
        <v>17</v>
      </c>
      <c r="E11" s="74">
        <v>18</v>
      </c>
      <c r="F11" s="74">
        <v>19</v>
      </c>
      <c r="G11" s="74">
        <v>17</v>
      </c>
      <c r="H11" s="74">
        <v>13</v>
      </c>
      <c r="I11" s="74">
        <v>25</v>
      </c>
      <c r="J11" s="74">
        <v>25</v>
      </c>
      <c r="K11" s="74">
        <v>25</v>
      </c>
      <c r="L11" s="74">
        <v>25</v>
      </c>
      <c r="M11" s="74">
        <v>18</v>
      </c>
      <c r="N11" s="74">
        <v>18</v>
      </c>
      <c r="O11" s="74">
        <v>23</v>
      </c>
      <c r="P11" s="74">
        <v>19</v>
      </c>
      <c r="Q11" s="74">
        <v>21</v>
      </c>
      <c r="R11" s="74">
        <v>25</v>
      </c>
      <c r="S11" s="74">
        <v>13</v>
      </c>
      <c r="T11" s="74">
        <v>20</v>
      </c>
      <c r="U11" s="74">
        <v>17</v>
      </c>
      <c r="V11" s="74">
        <v>24</v>
      </c>
      <c r="W11" s="74">
        <v>18</v>
      </c>
      <c r="X11" s="74">
        <v>15</v>
      </c>
      <c r="Y11" s="74">
        <v>19</v>
      </c>
      <c r="Z11" s="74">
        <v>18</v>
      </c>
      <c r="AA11" s="74">
        <v>18</v>
      </c>
      <c r="AB11" s="74">
        <v>8</v>
      </c>
      <c r="AC11" s="74">
        <v>16</v>
      </c>
      <c r="AD11" s="74">
        <v>20</v>
      </c>
      <c r="AE11" s="74">
        <v>28</v>
      </c>
    </row>
    <row r="12" spans="1:99" ht="9.9499999999999993" customHeight="1" ph="1"/>
    <row r="13" spans="1:99" s="72" customFormat="1" ht="29.25" customHeight="1" ph="1">
      <c r="B13" s="215" t="s" ph="1">
        <v>37</v>
      </c>
      <c r="C13" s="148" t="s" ph="1">
        <v>207</v>
      </c>
      <c r="D13" s="76" t="s" ph="1">
        <v>53</v>
      </c>
      <c r="E13" s="76" t="s" ph="1">
        <v>54</v>
      </c>
      <c r="F13" s="76" t="s" ph="1">
        <v>66</v>
      </c>
      <c r="G13" s="76" t="s" ph="1">
        <v>67</v>
      </c>
      <c r="H13" s="76" t="s" ph="1">
        <v>152</v>
      </c>
      <c r="I13" s="76" t="s" ph="1">
        <v>68</v>
      </c>
      <c r="J13" s="76" t="s" ph="1">
        <v>153</v>
      </c>
      <c r="K13" s="76" t="s" ph="1">
        <v>63</v>
      </c>
      <c r="L13" s="76" t="s" ph="1">
        <v>69</v>
      </c>
      <c r="M13" s="76" t="s" ph="1">
        <v>70</v>
      </c>
      <c r="N13" s="76" t="s" ph="1">
        <v>154</v>
      </c>
      <c r="O13" s="76" t="s" ph="1">
        <v>64</v>
      </c>
      <c r="P13" s="76" t="s" ph="1">
        <v>71</v>
      </c>
      <c r="Q13" s="76" t="s" ph="1">
        <v>72</v>
      </c>
      <c r="R13" s="76" t="s" ph="1">
        <v>73</v>
      </c>
      <c r="S13" s="76" t="s" ph="1">
        <v>74</v>
      </c>
      <c r="T13" s="76" t="s" ph="1">
        <v>75</v>
      </c>
      <c r="U13" s="76" t="s" ph="1">
        <v>76</v>
      </c>
      <c r="V13" s="76" t="s" ph="1">
        <v>155</v>
      </c>
      <c r="W13" s="76" t="s" ph="1">
        <v>156</v>
      </c>
      <c r="X13" s="76" t="s" ph="1">
        <v>157</v>
      </c>
      <c r="Y13" s="105" t="s" ph="1">
        <v>77</v>
      </c>
      <c r="Z13" s="76" t="s" ph="1">
        <v>86</v>
      </c>
      <c r="AA13" s="76" t="s" ph="1">
        <v>158</v>
      </c>
      <c r="AB13" s="76" t="s" ph="1">
        <v>159</v>
      </c>
      <c r="AC13" s="76" t="s" ph="1">
        <v>160</v>
      </c>
      <c r="AD13" s="76" t="s" ph="1">
        <v>161</v>
      </c>
      <c r="AE13" s="76" t="s" ph="1">
        <v>162</v>
      </c>
      <c r="AG13" s="72" t="s" ph="1">
        <v>366</v>
      </c>
      <c r="AH13" s="72" t="s" ph="1">
        <v>229</v>
      </c>
      <c r="AI13" s="72" t="s" ph="1">
        <v>230</v>
      </c>
      <c r="AJ13" s="72" t="s" ph="1">
        <v>231</v>
      </c>
      <c r="AK13" s="72" t="s" ph="1">
        <v>232</v>
      </c>
      <c r="AL13" s="72" t="s" ph="1">
        <v>233</v>
      </c>
      <c r="AM13" s="72" t="s" ph="1">
        <v>234</v>
      </c>
      <c r="AN13" s="72" t="s" ph="1">
        <v>235</v>
      </c>
      <c r="AO13" s="72" t="s" ph="1">
        <v>236</v>
      </c>
      <c r="AP13" s="72" t="s" ph="1">
        <v>237</v>
      </c>
      <c r="AQ13" s="72" t="s" ph="1">
        <v>238</v>
      </c>
      <c r="AR13" s="72" t="s" ph="1">
        <v>239</v>
      </c>
      <c r="AS13" s="72" t="s" ph="1">
        <v>240</v>
      </c>
      <c r="AT13" s="72" t="s" ph="1">
        <v>241</v>
      </c>
      <c r="AU13" s="72" t="s" ph="1">
        <v>242</v>
      </c>
      <c r="AV13" s="72" t="s" ph="1">
        <v>243</v>
      </c>
      <c r="AW13" s="72" t="s" ph="1">
        <v>244</v>
      </c>
      <c r="AX13" s="72" t="s" ph="1">
        <v>245</v>
      </c>
      <c r="AY13" s="72" t="s" ph="1">
        <v>367</v>
      </c>
      <c r="AZ13" s="72" t="s" ph="1">
        <v>246</v>
      </c>
      <c r="BA13" s="72" t="s" ph="1">
        <v>247</v>
      </c>
      <c r="BB13" s="72" t="s" ph="1">
        <v>632</v>
      </c>
      <c r="BC13" s="72" t="s" ph="1">
        <v>248</v>
      </c>
      <c r="BD13" s="72" t="s" ph="1">
        <v>368</v>
      </c>
      <c r="BE13" s="72" t="s" ph="1">
        <v>369</v>
      </c>
      <c r="BF13" s="72" t="s" ph="1">
        <v>370</v>
      </c>
      <c r="BG13" s="72" t="s" ph="1">
        <v>371</v>
      </c>
      <c r="BH13" s="72" t="s" ph="1">
        <v>372</v>
      </c>
    </row>
    <row r="14" spans="1:99" s="72" customFormat="1" ht="24" ph="1">
      <c r="B14" s="216" ph="1"/>
      <c r="C14" s="67" t="s" ph="1">
        <v>36</v>
      </c>
      <c r="D14" s="77" t="s" ph="1">
        <v>130</v>
      </c>
      <c r="E14" s="77" t="s" ph="1">
        <v>130</v>
      </c>
      <c r="F14" s="142" t="s" ph="1">
        <v>651</v>
      </c>
      <c r="G14" s="77" t="s" ph="1">
        <v>217</v>
      </c>
      <c r="H14" s="77" t="s" ph="1">
        <v>645</v>
      </c>
      <c r="I14" s="77" t="s" ph="1">
        <v>65</v>
      </c>
      <c r="J14" s="77" t="s" ph="1">
        <v>227</v>
      </c>
      <c r="K14" s="77" t="s" ph="1">
        <v>223</v>
      </c>
      <c r="L14" s="77" t="s" ph="1">
        <v>41</v>
      </c>
      <c r="M14" s="104" t="s" ph="1">
        <v>222</v>
      </c>
      <c r="N14" s="104" t="s" ph="1">
        <v>218</v>
      </c>
      <c r="O14" s="104" t="s" ph="1">
        <v>226</v>
      </c>
      <c r="P14" s="77" t="s" ph="1">
        <v>82</v>
      </c>
      <c r="Q14" s="77" t="s" ph="1">
        <v>82</v>
      </c>
      <c r="R14" s="88" t="s" ph="1">
        <v>7</v>
      </c>
      <c r="S14" s="77" t="s" ph="1">
        <v>82</v>
      </c>
      <c r="T14" s="77" t="s" ph="1">
        <v>98</v>
      </c>
      <c r="U14" s="77" t="s" ph="1">
        <v>652</v>
      </c>
      <c r="V14" s="77" t="s" ph="1">
        <v>646</v>
      </c>
      <c r="W14" s="77" t="s" ph="1">
        <v>220</v>
      </c>
      <c r="X14" s="77" t="s" ph="1">
        <v>78</v>
      </c>
      <c r="Y14" s="141" t="s" ph="1">
        <v>0</v>
      </c>
      <c r="Z14" s="77" t="s" ph="1">
        <v>62</v>
      </c>
      <c r="AA14" s="77" t="s" ph="1">
        <v>88</v>
      </c>
      <c r="AB14" s="77" t="s" ph="1">
        <v>648</v>
      </c>
      <c r="AC14" s="77" t="s" ph="1">
        <v>648</v>
      </c>
      <c r="AD14" s="77" t="s" ph="1">
        <v>135</v>
      </c>
      <c r="AE14" s="77" t="s" ph="1">
        <v>135</v>
      </c>
      <c r="AG14" s="72" t="s" ph="1">
        <v>249</v>
      </c>
      <c r="AI14" s="72" t="s" ph="1">
        <v>250</v>
      </c>
      <c r="AJ14" s="72" t="s" ph="1">
        <v>373</v>
      </c>
      <c r="AK14" s="72" t="s" ph="1">
        <v>251</v>
      </c>
      <c r="AM14" s="72" t="s" ph="1">
        <v>253</v>
      </c>
      <c r="AN14" s="72" t="s" ph="1">
        <v>251</v>
      </c>
      <c r="AO14" s="72" t="s" ph="1">
        <v>252</v>
      </c>
      <c r="AP14" s="72" t="s" ph="1">
        <v>253</v>
      </c>
      <c r="AQ14" s="72" t="s" ph="1">
        <v>251</v>
      </c>
      <c r="AR14" s="72" t="s" ph="1">
        <v>252</v>
      </c>
      <c r="AS14" s="72" t="s" ph="1">
        <v>253</v>
      </c>
      <c r="AT14" s="72" t="s" ph="1">
        <v>251</v>
      </c>
      <c r="AU14" s="72" t="s" ph="1">
        <v>252</v>
      </c>
      <c r="AV14" s="72" t="s" ph="1">
        <v>253</v>
      </c>
      <c r="AW14" s="72" t="s" ph="1">
        <v>251</v>
      </c>
      <c r="AX14" s="72" t="s" ph="1">
        <v>252</v>
      </c>
      <c r="AY14" s="72" t="s" ph="1">
        <v>253</v>
      </c>
      <c r="AZ14" s="72" t="s" ph="1">
        <v>252</v>
      </c>
    </row>
    <row r="15" spans="1:99" ph="1">
      <c r="B15" s="217" ph="1">
        <v>0.33333333333333331</v>
      </c>
      <c r="C15" s="148" t="s" ph="1">
        <v>208</v>
      </c>
      <c r="D15" s="78">
        <v>4984</v>
      </c>
      <c r="E15" s="78">
        <v>1287</v>
      </c>
      <c r="F15" s="78">
        <v>1993</v>
      </c>
      <c r="G15" s="78">
        <v>1447</v>
      </c>
      <c r="H15" s="78">
        <v>2864</v>
      </c>
      <c r="I15" s="78">
        <v>6</v>
      </c>
      <c r="J15" s="78">
        <v>466</v>
      </c>
      <c r="K15" s="78">
        <v>1402</v>
      </c>
      <c r="L15" s="78">
        <v>6513</v>
      </c>
      <c r="M15" s="78">
        <v>5255</v>
      </c>
      <c r="N15" s="78">
        <v>2068</v>
      </c>
      <c r="O15" s="78">
        <v>232</v>
      </c>
      <c r="P15" s="78">
        <v>1098</v>
      </c>
      <c r="Q15" s="78">
        <v>2712</v>
      </c>
      <c r="R15" s="78">
        <v>3489</v>
      </c>
      <c r="S15" s="78">
        <v>5604</v>
      </c>
      <c r="T15" s="78">
        <v>2228</v>
      </c>
      <c r="U15" s="78">
        <v>6135</v>
      </c>
      <c r="V15" s="78">
        <v>417</v>
      </c>
      <c r="W15" s="78">
        <v>-595</v>
      </c>
      <c r="X15" s="78">
        <v>940</v>
      </c>
      <c r="Y15" s="106">
        <v>-9902</v>
      </c>
      <c r="Z15" s="78">
        <v>0</v>
      </c>
      <c r="AA15" s="78">
        <v>2521</v>
      </c>
      <c r="AB15" s="78" ph="1">
        <v>744</v>
      </c>
      <c r="AC15" s="78" ph="1">
        <v>6496</v>
      </c>
      <c r="AD15" s="78">
        <v>69.69</v>
      </c>
      <c r="AE15" s="78">
        <v>5.68</v>
      </c>
      <c r="AG15" s="64" t="s" ph="1">
        <v>255</v>
      </c>
      <c r="AH15" s="64" ph="1">
        <v>1</v>
      </c>
      <c r="AI15" s="64" t="s" ph="1">
        <v>374</v>
      </c>
      <c r="AK15" s="64" t="s" ph="1">
        <v>628</v>
      </c>
      <c r="AM15" s="64" t="s" ph="1">
        <v>376</v>
      </c>
      <c r="AZ15" s="64" t="s" ph="1">
        <v>257</v>
      </c>
      <c r="BA15" s="64" ph="1">
        <v>0</v>
      </c>
    </row>
    <row r="16" spans="1:99" s="72" customFormat="1" ht="22.5" ph="1">
      <c r="B16" s="218" ph="1"/>
      <c r="C16" s="148" t="s" ph="1">
        <v>209</v>
      </c>
      <c r="D16" s="73" ph="1">
        <f>D15*7.0686*LOOKUP(D17,密度!$A$2:$A$50,密度!$L$2:$L$50)</f>
        <v>33327.487670399998</v>
      </c>
      <c r="E16" s="73" ph="1">
        <f>E15*7.0686*LOOKUP(E17,密度!$A$2:$A$50,密度!$L$2:$L$50)</f>
        <v>8606.0346372000004</v>
      </c>
      <c r="F16" s="73" ph="1">
        <f>F15*9.0746*LOOKUP(F17,密度!$A$2:$A$50,密度!$L$2:$L$50)</f>
        <v>17090.965521000002</v>
      </c>
      <c r="G16" s="73" ph="1">
        <f>G15*9.0746*LOOKUP(G17,密度!$A$2:$A$50,密度!$B$2:$B$50)</f>
        <v>10306.479672380001</v>
      </c>
      <c r="H16" s="73" ph="1">
        <f>H15*9.0746*LOOKUP(H17,密度!$A$2:$A$50,密度!$L$2:$L$50)</f>
        <v>24664.182025599999</v>
      </c>
      <c r="I16" s="73" ph="1">
        <f>I15*9.0746*LOOKUP(I17,密度!$A$2:$A$50,密度!$U$2:$U$50)</f>
        <v>55.972132800000004</v>
      </c>
      <c r="J16" s="73" ph="1">
        <f>J15*9.0746*LOOKUP(J17,密度!$A$2:$A$50,密度!$L$2:$L$50)</f>
        <v>3987.7240747999999</v>
      </c>
      <c r="K16" s="73" ph="1">
        <f>K15*9.0746*LOOKUP(K17,密度!$A$2:$A$50,密度!$C$2:$C$50)</f>
        <v>14179.325663400001</v>
      </c>
      <c r="L16" s="73" ph="1">
        <f>L15*9.0746*LOOKUP(L17,密度!$A$2:$A$50,密度!$E$2:$E$50)</f>
        <v>46969.050630059995</v>
      </c>
      <c r="M16" s="73" ph="1">
        <f>M15*9.0746*LOOKUP(M17,密度!$A$2:$A$50,密度!$M$2:$M$50)</f>
        <v>41978.886346899999</v>
      </c>
      <c r="N16" s="73" ph="1">
        <f>N15*9.0746*LOOKUP(N17,密度!$A$2:$A$50,密度!$M$2:$M$50)</f>
        <v>16519.949945839999</v>
      </c>
      <c r="O16" s="73" ph="1">
        <f>O15*9.0746*LOOKUP(O17,密度!$A$2:$A$50,密度!$G$2:$G$50)</f>
        <v>2035.8320624</v>
      </c>
      <c r="P16" s="73" ph="1">
        <f ca="1">P15*9.0746*LOOKUP(P17,密度!$A$2:$A$51,密度!$Q$2:$Q$50)</f>
        <v>9501.5853388800006</v>
      </c>
      <c r="Q16" s="73" ph="1">
        <f>Q15*9.0746*LOOKUP(Q17,密度!$A$2:$A$50,密度!$Q$2:$Q$50)</f>
        <v>23468.396574720002</v>
      </c>
      <c r="R16" s="73" ph="1">
        <f>MAX(R15*9.0746*LOOKUP(R17,密度!$A$2:$A$50,密度!$B$2:$B$50),0)</f>
        <v>24876.267224579999</v>
      </c>
      <c r="S16" s="73" ph="1">
        <f>S15*9.0746*LOOKUP(S17,密度!$A$2:$A$50,密度!$Q$2:$Q$50)</f>
        <v>48542.232905136007</v>
      </c>
      <c r="T16" s="73" ph="1">
        <f>T15*9.0746*LOOKUP(T17,密度!$A$2:$A$50,密度!$O$2:$O$50)</f>
        <v>18883.807019200001</v>
      </c>
      <c r="U16" s="73" ph="1">
        <f>U15*9.0746*LOOKUP(U17,密度!$A$2:$A$50,密度!$H$2:$H$50)</f>
        <v>51480.518873699999</v>
      </c>
      <c r="V16" s="73" ph="1">
        <f>MAX(5600*LOOKUP(V17,密度!$A$2:$A$50,密度!$Q$2:$Q$50)+V15*9.0476*LOOKUP(V17,密度!$A$2:$A$50,密度!$Q$2:$Q$50),0)</f>
        <v>8923.0461668919997</v>
      </c>
      <c r="W16" s="73" ph="1">
        <f>MAX(5600*LOOKUP(W17,密度!$A$2:$A$50,密度!$Q$2:$Q$50)+W15*9.0476*LOOKUP(W17,密度!$A$2:$A$50,密度!$Q$2:$Q$50),0)</f>
        <v>206.62414080000053</v>
      </c>
      <c r="X16" s="73" ph="1">
        <f>MAX(5600*LOOKUP(X17,密度!$A$2:$A$50,密度!$I$2:$I$50)+X15*9.0476*LOOKUP(X17,密度!$A$2:$A$50,密度!$I$2:$I$50),0)</f>
        <v>14495.445408799998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17974.511227620002</v>
      </c>
      <c r="AB16" s="73" ph="1">
        <f>AB15*9.0746*LOOKUP(AB17,密度!$A$2:$A$50,密度!$L$2:$L$50)</f>
        <v>6373.4182656000003</v>
      </c>
      <c r="AC16" s="73" ph="1">
        <f>AC15*9.0746*LOOKUP(AC17,密度!$A$2:$A$50,密度!$L$2:$L$50)</f>
        <v>55824.325715200001</v>
      </c>
      <c r="AD16" s="73" ph="1">
        <f>AD15*268.68*LOOKUP(AD17,密度!$A$2:$A$50,密度!B2:B50)+IF(AD15&lt;=0,0,1566*LOOKUP(AD17,密度!$A$2:$A$50,密度!B2:B50))</f>
        <v>15818.325052319999</v>
      </c>
      <c r="AE16" s="73" ph="1">
        <f>AE15*268.68*LOOKUP(AE17,密度!$A$2:$A$50,密度!B2:B50)+IF(AE15&lt;=0,0,1566*LOOKUP(AE17,密度!$A$2:$A$50,密度!B2:B50))</f>
        <v>2410.6030310400001</v>
      </c>
      <c r="AH16" s="72" ph="1">
        <v>2</v>
      </c>
      <c r="AI16" s="72" t="s" ph="1">
        <v>378</v>
      </c>
      <c r="AZ16" s="72" t="s" ph="1">
        <v>257</v>
      </c>
      <c r="BA16" s="72" ph="1">
        <v>0</v>
      </c>
    </row>
    <row r="17" spans="1:57" ph="1">
      <c r="A17" s="64" t="s" ph="1">
        <v>85</v>
      </c>
      <c r="B17" s="219" ph="1"/>
      <c r="C17" s="79" t="s" ph="1">
        <v>210</v>
      </c>
      <c r="D17" s="74">
        <v>16</v>
      </c>
      <c r="E17" s="74">
        <v>16</v>
      </c>
      <c r="F17" s="74">
        <v>17</v>
      </c>
      <c r="G17" s="74">
        <v>19</v>
      </c>
      <c r="H17" s="74">
        <v>13</v>
      </c>
      <c r="I17" s="74">
        <v>17</v>
      </c>
      <c r="J17" s="74">
        <v>19</v>
      </c>
      <c r="K17" s="74">
        <v>17</v>
      </c>
      <c r="L17" s="74">
        <v>15</v>
      </c>
      <c r="M17" s="74">
        <v>18</v>
      </c>
      <c r="N17" s="74">
        <v>16</v>
      </c>
      <c r="O17" s="74">
        <v>19</v>
      </c>
      <c r="P17" s="74">
        <v>16</v>
      </c>
      <c r="Q17" s="74">
        <v>16</v>
      </c>
      <c r="R17" s="74">
        <v>18</v>
      </c>
      <c r="S17" s="74">
        <v>15</v>
      </c>
      <c r="T17" s="74">
        <v>16</v>
      </c>
      <c r="U17" s="74">
        <v>15</v>
      </c>
      <c r="V17" s="74">
        <v>18</v>
      </c>
      <c r="W17" s="74">
        <v>16</v>
      </c>
      <c r="X17" s="74">
        <v>38</v>
      </c>
      <c r="Y17" s="108">
        <v>38</v>
      </c>
      <c r="Z17" s="74">
        <v>19</v>
      </c>
      <c r="AA17" s="74">
        <v>18</v>
      </c>
      <c r="AB17" s="74">
        <v>18</v>
      </c>
      <c r="AC17" s="74">
        <v>15</v>
      </c>
      <c r="AD17" s="74">
        <v>25</v>
      </c>
      <c r="AE17" s="74">
        <v>25</v>
      </c>
      <c r="AH17" s="64" ph="1">
        <v>3</v>
      </c>
      <c r="AI17" s="64" t="s" ph="1">
        <v>379</v>
      </c>
      <c r="AK17" s="64" t="s" ph="1">
        <v>611</v>
      </c>
      <c r="AL17" s="64" ph="1">
        <v>80</v>
      </c>
      <c r="AM17" s="64" t="s" ph="1">
        <v>376</v>
      </c>
      <c r="AZ17" s="64" t="s" ph="1">
        <v>257</v>
      </c>
      <c r="BA17" s="64" ph="1">
        <v>80</v>
      </c>
      <c r="BD17" s="64" t="s" ph="1">
        <v>255</v>
      </c>
      <c r="BE17" s="64" ph="1">
        <v>2270</v>
      </c>
    </row>
    <row r="18" spans="1:57" ph="1">
      <c r="B18" s="217" ph="1">
        <v>0.66666666666666663</v>
      </c>
      <c r="C18" s="79" t="s" ph="1">
        <v>211</v>
      </c>
      <c r="D18" s="71">
        <v>3100</v>
      </c>
      <c r="E18" s="71">
        <v>73</v>
      </c>
      <c r="F18" s="71">
        <v>1770</v>
      </c>
      <c r="G18" s="71">
        <v>2617</v>
      </c>
      <c r="H18" s="71">
        <v>2871</v>
      </c>
      <c r="I18" s="71">
        <v>13</v>
      </c>
      <c r="J18" s="71">
        <v>391</v>
      </c>
      <c r="K18" s="71">
        <v>1407</v>
      </c>
      <c r="L18" s="71">
        <v>6536</v>
      </c>
      <c r="M18" s="71">
        <v>203</v>
      </c>
      <c r="N18" s="71">
        <v>2319</v>
      </c>
      <c r="O18" s="71">
        <v>231</v>
      </c>
      <c r="P18" s="71">
        <v>1100</v>
      </c>
      <c r="Q18" s="71">
        <v>2718</v>
      </c>
      <c r="R18" s="71">
        <v>3496</v>
      </c>
      <c r="S18" s="71">
        <v>5618</v>
      </c>
      <c r="T18" s="71">
        <v>3391</v>
      </c>
      <c r="U18" s="71">
        <v>6156</v>
      </c>
      <c r="V18" s="71">
        <v>-1643</v>
      </c>
      <c r="W18" s="71">
        <v>-595</v>
      </c>
      <c r="X18" s="71">
        <v>938</v>
      </c>
      <c r="Y18" s="109">
        <v>-9901</v>
      </c>
      <c r="Z18" s="71">
        <v>0</v>
      </c>
      <c r="AA18" s="71">
        <v>25</v>
      </c>
      <c r="AB18" s="71">
        <v>744</v>
      </c>
      <c r="AC18" s="71">
        <v>6510</v>
      </c>
      <c r="AD18" s="71">
        <v>84.65</v>
      </c>
      <c r="AE18" s="71">
        <v>8.81</v>
      </c>
      <c r="AH18" s="64" ph="1">
        <v>4</v>
      </c>
      <c r="AI18" s="64" t="s" ph="1">
        <v>381</v>
      </c>
      <c r="AJ18" s="64" t="s" ph="1">
        <v>629</v>
      </c>
      <c r="AK18" s="64" t="s" ph="1">
        <v>628</v>
      </c>
      <c r="AL18" s="64" ph="1">
        <v>740</v>
      </c>
      <c r="AM18" s="64" t="s" ph="1">
        <v>380</v>
      </c>
      <c r="AZ18" s="64" t="s" ph="1">
        <v>257</v>
      </c>
      <c r="BA18" s="64" ph="1">
        <v>740</v>
      </c>
    </row>
    <row r="19" spans="1:57" s="72" customFormat="1" ht="22.5" ph="1">
      <c r="B19" s="218" ph="1"/>
      <c r="C19" s="148" t="s" ph="1">
        <v>209</v>
      </c>
      <c r="D19" s="73" ph="1">
        <f>D18*7.0686*LOOKUP(D20,密度!$A$2:$A$50,密度!$L$2:$L$50)</f>
        <v>20707.4637</v>
      </c>
      <c r="E19" s="73" ph="1">
        <f>E18*7.0686*LOOKUP(E20,密度!$A$2:$A$50,密度!$L$2:$L$50)</f>
        <v>487.62737099999993</v>
      </c>
      <c r="F19" s="73" ph="1">
        <f>F18*9.0746*LOOKUP(F20,密度!$A$2:$A$50,密度!$L$2:$L$50)</f>
        <v>15162.567648</v>
      </c>
      <c r="G19" s="73" ph="1">
        <f>G18*9.0746*LOOKUP(G20,密度!$A$2:$A$50,密度!$B$2:$B$50)</f>
        <v>18658.982896739999</v>
      </c>
      <c r="H19" s="73" ph="1">
        <f>H18*9.0746*LOOKUP(H20,密度!$A$2:$A$50,密度!$L$2:$L$50)</f>
        <v>24672.358240199999</v>
      </c>
      <c r="I19" s="73" ph="1">
        <f>I18*9.0746*LOOKUP(I20,密度!$A$2:$A$50,密度!$U$2:$U$50)</f>
        <v>121.2729544</v>
      </c>
      <c r="J19" s="73" ph="1">
        <f>J18*9.0746*LOOKUP(J20,密度!$A$2:$A$50,密度!$L$2:$L$50)</f>
        <v>3342.3748211999996</v>
      </c>
      <c r="K19" s="73" ph="1">
        <f>K18*9.0746*LOOKUP(K20,密度!$A$2:$A$50,密度!$C$2:$C$50)</f>
        <v>14213.29552104</v>
      </c>
      <c r="L19" s="73" ph="1">
        <f>L18*9.0746*LOOKUP(L20,密度!$A$2:$A$50,密度!$E$2:$E$50)</f>
        <v>46939.188843839998</v>
      </c>
      <c r="M19" s="73" ph="1">
        <f>M18*9.0746*LOOKUP(M20,密度!$A$2:$A$50,密度!$M$2:$M$50)</f>
        <v>1619.4286145799999</v>
      </c>
      <c r="N19" s="73" ph="1">
        <f>N18*9.0746*LOOKUP(N20,密度!$A$2:$A$50,密度!$M$2:$M$50)</f>
        <v>18525.030911220001</v>
      </c>
      <c r="O19" s="73" ph="1">
        <f>O18*9.0746*LOOKUP(O20,密度!$A$2:$A$50,密度!$G$2:$G$50)</f>
        <v>2024.7510683400003</v>
      </c>
      <c r="P19" s="73" ph="1">
        <f ca="1">P18*9.0746*LOOKUP(P20,密度!$A$2:$A$51,密度!$Q$2:$Q$50)</f>
        <v>9473.8733253999999</v>
      </c>
      <c r="Q19" s="73" ph="1">
        <f>Q18*9.0746*LOOKUP(Q20,密度!$A$2:$A$50,密度!$Q$2:$Q$50)</f>
        <v>23500.58599584</v>
      </c>
      <c r="R19" s="73" ph="1">
        <f>MAX(R18*9.0746*LOOKUP(R20,密度!$A$2:$A$50,密度!$B$2:$B$50),0)</f>
        <v>24846.864613120004</v>
      </c>
      <c r="S19" s="73" ph="1">
        <f>S18*9.0746*LOOKUP(S20,密度!$A$2:$A$50,密度!$Q$2:$Q$50)</f>
        <v>48534.519676627999</v>
      </c>
      <c r="T19" s="73" ph="1">
        <f>T18*9.0746*LOOKUP(T20,密度!$A$2:$A$50,密度!$O$2:$O$50)</f>
        <v>28741.018672400001</v>
      </c>
      <c r="U19" s="73" ph="1">
        <f>U18*9.0746*LOOKUP(U20,密度!$A$2:$A$50,密度!$H$2:$H$50)</f>
        <v>51545.00933352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206.27962278000086</v>
      </c>
      <c r="X19" s="73" ph="1">
        <f>MAX(5600*LOOKUP(X20,密度!$A$2:$A$50,密度!$I$2:$I$50)+X18*9.0476*LOOKUP(X20,密度!$A$2:$A$50,密度!$I$2:$I$50),0)</f>
        <v>14571.22951872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178.40663599999999</v>
      </c>
      <c r="AB19" s="73" ph="1">
        <f>AB18*9.0746*LOOKUP(AB20,密度!$A$2:$A$50,密度!$L$2:$L$50)</f>
        <v>6353.1637584</v>
      </c>
      <c r="AC19" s="73" ph="1">
        <f>AC18*9.0746*LOOKUP(AC20,密度!$A$2:$A$50,密度!$L$2:$L$50)</f>
        <v>55826.48547</v>
      </c>
      <c r="AD19" s="73" ph="1">
        <f>AD18*268.68*LOOKUP(AD20,密度!$A$2:$A$50,密度!B5:B53)+IF(AD18&lt;=0,0,1566*LOOKUP(AD20,密度!$A$2:$A$50,密度!B5:B53))</f>
        <v>18888.685074000001</v>
      </c>
      <c r="AE19" s="73" ph="1">
        <f>AE18*268.68*LOOKUP(AE20,密度!$A$2:$A$50,密度!B5:B53)+IF(AE18&lt;=0,0,1566*LOOKUP(AE20,密度!$A$2:$A$50,密度!B5:B53))</f>
        <v>3055.9960116000002</v>
      </c>
      <c r="AH19" s="72" ph="1">
        <v>5</v>
      </c>
      <c r="AI19" s="72" t="s" ph="1">
        <v>382</v>
      </c>
      <c r="AZ19" s="72" t="s" ph="1">
        <v>257</v>
      </c>
      <c r="BA19" s="72" ph="1">
        <v>0</v>
      </c>
      <c r="BD19" s="72" t="s" ph="1">
        <v>383</v>
      </c>
      <c r="BE19" s="72" ph="1">
        <v>1440</v>
      </c>
    </row>
    <row r="20" spans="1:57" ph="1">
      <c r="A20" s="72" ph="1"/>
      <c r="B20" s="218" ph="1"/>
      <c r="C20" s="80" t="s" ph="1">
        <v>210</v>
      </c>
      <c r="D20" s="81">
        <v>17</v>
      </c>
      <c r="E20" s="81">
        <v>17</v>
      </c>
      <c r="F20" s="81">
        <v>18</v>
      </c>
      <c r="G20" s="81">
        <v>18</v>
      </c>
      <c r="H20" s="81">
        <v>15</v>
      </c>
      <c r="I20" s="81">
        <v>19</v>
      </c>
      <c r="J20" s="81">
        <v>20</v>
      </c>
      <c r="K20" s="81">
        <v>19</v>
      </c>
      <c r="L20" s="81">
        <v>18</v>
      </c>
      <c r="M20" s="81">
        <v>21</v>
      </c>
      <c r="N20" s="81">
        <v>17</v>
      </c>
      <c r="O20" s="81">
        <v>20</v>
      </c>
      <c r="P20" s="81">
        <v>22</v>
      </c>
      <c r="Q20" s="81">
        <v>17</v>
      </c>
      <c r="R20" s="81">
        <v>21</v>
      </c>
      <c r="S20" s="81">
        <v>18</v>
      </c>
      <c r="T20" s="81">
        <v>19</v>
      </c>
      <c r="U20" s="81">
        <v>17</v>
      </c>
      <c r="V20" s="81">
        <v>17</v>
      </c>
      <c r="W20" s="81">
        <v>18</v>
      </c>
      <c r="X20" s="81">
        <v>32</v>
      </c>
      <c r="Y20" s="110">
        <v>32</v>
      </c>
      <c r="Z20" s="81">
        <v>22</v>
      </c>
      <c r="AA20" s="81">
        <v>17</v>
      </c>
      <c r="AB20" s="81">
        <v>21</v>
      </c>
      <c r="AC20" s="81">
        <v>17</v>
      </c>
      <c r="AD20" s="81">
        <v>25</v>
      </c>
      <c r="AE20" s="81">
        <v>25</v>
      </c>
      <c r="AH20" s="64" ph="1">
        <v>6</v>
      </c>
      <c r="AI20" s="64" t="s" ph="1">
        <v>384</v>
      </c>
      <c r="AZ20" s="64" t="s" ph="1">
        <v>257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385</v>
      </c>
      <c r="AZ21" s="64" t="s" ph="1">
        <v>257</v>
      </c>
      <c r="BA21" s="64" ph="1">
        <v>0</v>
      </c>
      <c r="BD21" s="64" t="s" ph="1">
        <v>273</v>
      </c>
      <c r="BE21" s="64" ph="1">
        <v>730</v>
      </c>
    </row>
    <row r="22" spans="1:57" ph="1">
      <c r="A22" s="72" ph="1"/>
      <c r="B22" s="216" t="s" ph="1">
        <v>37</v>
      </c>
      <c r="C22" s="85" t="s" ph="1">
        <v>207</v>
      </c>
      <c r="D22" s="86" t="s" ph="1">
        <v>103</v>
      </c>
      <c r="E22" s="86" t="s" ph="1">
        <v>104</v>
      </c>
      <c r="F22" s="86" t="s" ph="1">
        <v>105</v>
      </c>
      <c r="G22" s="86" t="s" ph="1">
        <v>106</v>
      </c>
      <c r="H22" s="86" t="s" ph="1">
        <v>107</v>
      </c>
      <c r="I22" s="86" t="s" ph="1">
        <v>108</v>
      </c>
      <c r="J22" s="86" t="s" ph="1">
        <v>109</v>
      </c>
      <c r="K22" s="86" t="s" ph="1">
        <v>110</v>
      </c>
      <c r="L22" s="86" t="s" ph="1">
        <v>111</v>
      </c>
      <c r="M22" s="86" t="s" ph="1">
        <v>112</v>
      </c>
      <c r="N22" s="86" t="s" ph="1">
        <v>113</v>
      </c>
      <c r="O22" s="86" t="s" ph="1">
        <v>114</v>
      </c>
      <c r="P22" s="86" t="s" ph="1">
        <v>115</v>
      </c>
      <c r="Q22" s="87" t="s" ph="1">
        <v>116</v>
      </c>
      <c r="R22" s="86" t="s" ph="1">
        <v>117</v>
      </c>
      <c r="S22" s="86" t="s" ph="1">
        <v>118</v>
      </c>
      <c r="T22" s="86" t="s" ph="1">
        <v>119</v>
      </c>
      <c r="U22" s="86" t="s" ph="1">
        <v>120</v>
      </c>
      <c r="V22" s="86" t="s" ph="1">
        <v>121</v>
      </c>
      <c r="W22" s="86" t="s" ph="1">
        <v>122</v>
      </c>
      <c r="X22" s="86" t="s" ph="1">
        <v>123</v>
      </c>
      <c r="Y22" s="86" t="s" ph="1">
        <v>125</v>
      </c>
      <c r="Z22" s="195" t="s" ph="1">
        <v>79</v>
      </c>
      <c r="AA22" s="196"/>
      <c r="AB22" s="196"/>
      <c r="AC22" s="196"/>
      <c r="AD22" s="196"/>
      <c r="AE22" s="197"/>
      <c r="AH22" s="64" ph="1">
        <v>8</v>
      </c>
      <c r="AI22" s="64" t="s" ph="1">
        <v>386</v>
      </c>
      <c r="AZ22" s="64" t="s" ph="1">
        <v>257</v>
      </c>
      <c r="BA22" s="64" ph="1">
        <v>0</v>
      </c>
    </row>
    <row r="23" spans="1:57" ph="1">
      <c r="A23" s="72" ph="1"/>
      <c r="B23" s="211" ph="1"/>
      <c r="C23" s="67" t="s" ph="1">
        <v>36</v>
      </c>
      <c r="D23" s="88" t="s" ph="1">
        <v>127</v>
      </c>
      <c r="E23" s="88" t="s" ph="1">
        <v>124</v>
      </c>
      <c r="F23" s="88" t="s" ph="1">
        <v>221</v>
      </c>
      <c r="G23" s="88" t="s" ph="1">
        <v>163</v>
      </c>
      <c r="H23" s="88" t="s" ph="1">
        <v>163</v>
      </c>
      <c r="I23" s="88" t="s" ph="1">
        <v>164</v>
      </c>
      <c r="J23" s="88" t="s" ph="1">
        <v>165</v>
      </c>
      <c r="K23" s="88" t="s" ph="1">
        <v>128</v>
      </c>
      <c r="L23" s="88" t="s" ph="1">
        <v>128</v>
      </c>
      <c r="M23" s="88" t="s" ph="1">
        <v>165</v>
      </c>
      <c r="N23" s="88" t="s" ph="1">
        <v>165</v>
      </c>
      <c r="O23" s="88" t="s" ph="1">
        <v>131</v>
      </c>
      <c r="P23" s="88" t="s" ph="1">
        <v>166</v>
      </c>
      <c r="Q23" s="89" t="s" ph="1">
        <v>166</v>
      </c>
      <c r="R23" s="88" t="s" ph="1">
        <v>167</v>
      </c>
      <c r="S23" s="88" t="s" ph="1">
        <v>168</v>
      </c>
      <c r="T23" s="88" t="s" ph="1">
        <v>647</v>
      </c>
      <c r="U23" s="88" t="s" ph="1">
        <v>653</v>
      </c>
      <c r="V23" s="88" t="s" ph="1">
        <v>169</v>
      </c>
      <c r="W23" s="88" t="s" ph="1">
        <v>168</v>
      </c>
      <c r="X23" s="88" t="s" ph="1">
        <v>228</v>
      </c>
      <c r="Y23" s="88" t="s" ph="1">
        <v>97</v>
      </c>
      <c r="Z23" s="198" t="s" ph="1">
        <v>649</v>
      </c>
      <c r="AA23" s="199"/>
      <c r="AB23" s="199"/>
      <c r="AC23" s="199"/>
      <c r="AD23" s="199"/>
      <c r="AE23" s="200"/>
      <c r="AH23" s="64" ph="1">
        <v>9</v>
      </c>
      <c r="AI23" s="64" t="s" ph="1">
        <v>387</v>
      </c>
      <c r="AZ23" s="64" t="s" ph="1">
        <v>257</v>
      </c>
      <c r="BA23" s="64" ph="1">
        <v>0</v>
      </c>
      <c r="BD23" s="64" t="s" ph="1">
        <v>279</v>
      </c>
      <c r="BE23" s="64" ph="1">
        <v>890</v>
      </c>
    </row>
    <row r="24" spans="1:57" ph="1">
      <c r="A24" s="72" ph="1"/>
      <c r="B24" s="207" ph="1">
        <v>0.33333333333333331</v>
      </c>
      <c r="C24" s="148" t="s" ph="1">
        <v>208</v>
      </c>
      <c r="D24" s="71">
        <v>44.15</v>
      </c>
      <c r="E24" s="71">
        <v>90.79</v>
      </c>
      <c r="F24" s="71">
        <v>2146</v>
      </c>
      <c r="G24" s="71">
        <v>3401</v>
      </c>
      <c r="H24" s="71">
        <v>1491</v>
      </c>
      <c r="I24" s="71">
        <v>851</v>
      </c>
      <c r="J24" s="71">
        <v>2443</v>
      </c>
      <c r="K24" s="71">
        <v>5603</v>
      </c>
      <c r="L24" s="71">
        <v>5574</v>
      </c>
      <c r="M24" s="71">
        <v>4791</v>
      </c>
      <c r="N24" s="71">
        <v>5266</v>
      </c>
      <c r="O24" s="71">
        <v>2058</v>
      </c>
      <c r="P24" s="71">
        <v>449</v>
      </c>
      <c r="Q24" s="90">
        <v>3138</v>
      </c>
      <c r="R24" s="71">
        <v>3371</v>
      </c>
      <c r="S24" s="71">
        <v>401</v>
      </c>
      <c r="T24" s="71">
        <v>178</v>
      </c>
      <c r="U24" s="71">
        <v>5249</v>
      </c>
      <c r="V24" s="71">
        <v>402</v>
      </c>
      <c r="W24" s="71">
        <v>1637</v>
      </c>
      <c r="X24" s="71">
        <v>10042</v>
      </c>
      <c r="Y24" s="71">
        <v>3313</v>
      </c>
      <c r="Z24" s="201"/>
      <c r="AA24" s="202"/>
      <c r="AB24" s="202"/>
      <c r="AC24" s="202"/>
      <c r="AD24" s="202"/>
      <c r="AE24" s="203"/>
      <c r="AH24" s="64" ph="1">
        <v>10</v>
      </c>
      <c r="AI24" s="64" t="s" ph="1">
        <v>388</v>
      </c>
      <c r="AZ24" s="64" t="s" ph="1">
        <v>257</v>
      </c>
      <c r="BA24" s="64" ph="1">
        <v>0</v>
      </c>
    </row>
    <row r="25" spans="1:57" ph="1">
      <c r="A25" s="72" ph="1"/>
      <c r="B25" s="207" ph="1"/>
      <c r="C25" s="68" t="s" ph="1">
        <v>209</v>
      </c>
      <c r="D25" s="91" ph="1">
        <f>D24*268.68*LOOKUP(D26,密度!$A$2:$A$50,密度!$Q$2:$Q$50)+IF(D24&lt;=0,0,1566*LOOKUP(D26,密度!$A$2:$A$50,密度!$Q$2:$Q$50))</f>
        <v>12713.03489628</v>
      </c>
      <c r="E25" s="91" ph="1">
        <f>E24*268.68*LOOKUP(E26,密度!$A$2:$A$50,密度!$C$2:$C$50)+IF(E24&lt;=0,0,1566*LOOKUP(E26,密度!$A$2:$A$50,密度!$C$2:$C$50))</f>
        <v>28786.442089080003</v>
      </c>
      <c r="F25" s="91" ph="1">
        <f>F24*11.702*LOOKUP(F26,密度!$A$2:$A$50,密度!$Q$2:$Q$50)</f>
        <v>23927.182377599998</v>
      </c>
      <c r="G25" s="91" ph="1">
        <f>G24*18.322*LOOKUP(G26,密度!$A$2:$A$50,密度!$B$2:$B$50)</f>
        <v>49052.889638399996</v>
      </c>
      <c r="H25" s="91" ph="1">
        <f>H24*18.322*LOOKUP(H26,密度!$A$2:$A$50,密度!$B$2:$B$50)</f>
        <v>21504.809894400001</v>
      </c>
      <c r="I25" s="91" ph="1">
        <f>I24*18.322*LOOKUP(I26,密度!$A$2:$A$50,密度!$Q$2:$Q$50)</f>
        <v>14856.078561599999</v>
      </c>
      <c r="J25" s="91" ph="1">
        <f>J24*18.322*LOOKUP(J26,密度!$A$2:$A$50,密度!$Q$2:$Q$50)</f>
        <v>42683.752025599999</v>
      </c>
      <c r="K25" s="91" ph="1">
        <f>K24*18.322*LOOKUP(K26,密度!$A$2:$A$50,密度!$Q$2:$Q$50)</f>
        <v>97894.827097599991</v>
      </c>
      <c r="L25" s="91" ph="1">
        <f>L24*18.322*LOOKUP(L26,密度!$A$2:$A$50,密度!$Q$2:$Q$50)</f>
        <v>97388.143180799991</v>
      </c>
      <c r="M25" s="91" ph="1">
        <f>M24*18.322*LOOKUP(M26,密度!$A$2:$A$50,密度!$Q$2:$Q$50)</f>
        <v>83790.191287080001</v>
      </c>
      <c r="N25" s="91" ph="1">
        <f>N24*18.322*LOOKUP(N26,密度!$A$2:$A$50,密度!$Q$2:$Q$50)</f>
        <v>92097.505180080014</v>
      </c>
      <c r="O25" s="91" ph="1">
        <f>O24*18.322*LOOKUP(O26,密度!$A$2:$A$50,密度!$C$2:$C$50)</f>
        <v>42050.485075199998</v>
      </c>
      <c r="P25" s="91" ph="1">
        <f>P24*11.702*LOOKUP(P26,密度!$A$2:$A$50,密度!$B$2:$B$50)</f>
        <v>4131.9013071999998</v>
      </c>
      <c r="Q25" s="92" ph="1">
        <f>Q24*18.322*LOOKUP(Q26,密度!$A$2:$A$50,密度!$B$2:$B$50)</f>
        <v>45305.615567999994</v>
      </c>
      <c r="R25" s="91" ph="1">
        <f>R24*35.891*LOOKUP(R26,密度!$A$2:$A$50,密度!$C$2:$C$50)</f>
        <v>134999.03636379997</v>
      </c>
      <c r="S25" s="91" ph="1">
        <f>S24*35.891*LOOKUP(S26,密度!$A$2:$A$50,密度!$B$2:$B$50)</f>
        <v>11329.611475199999</v>
      </c>
      <c r="T25" s="91" ph="1">
        <f>T24*35.891*LOOKUP(T26,密度!$A$2:$A$50,密度!$Q$2:$Q$50)</f>
        <v>6098.1723349200001</v>
      </c>
      <c r="U25" s="91" ph="1">
        <f>U24*35.891</f>
        <v>188391.859</v>
      </c>
      <c r="V25" s="91" ph="1">
        <f>V24*47.051*LOOKUP(V26,密度!$A$2:$A$50,密度!$B$2:$B$50)</f>
        <v>14889.495974400001</v>
      </c>
      <c r="W25" s="91" ph="1">
        <f>W24*47.051*LOOKUP(W26,密度!$A$2:$A$50,密度!$B$2:$B$50)</f>
        <v>60632.10176640001</v>
      </c>
      <c r="X25" s="91" ph="1">
        <f>X24*47.051*LOOKUP(X26,密度!$A$2:$A$50,密度!$I$2:$I$50)</f>
        <v>489325.54810087994</v>
      </c>
      <c r="Y25" s="91" ph="1">
        <f>Y24*47.051*LOOKUP(Y26,密度!$A$2:$A$50,密度!$L$2:$L$50)</f>
        <v>147462.44499800002</v>
      </c>
      <c r="Z25" s="201"/>
      <c r="AA25" s="202"/>
      <c r="AB25" s="202"/>
      <c r="AC25" s="202"/>
      <c r="AD25" s="202"/>
      <c r="AE25" s="203"/>
      <c r="AH25" s="64" ph="1">
        <v>11</v>
      </c>
      <c r="AI25" s="64" t="s" ph="1">
        <v>389</v>
      </c>
      <c r="AZ25" s="64" t="s" ph="1">
        <v>257</v>
      </c>
      <c r="BA25" s="64" ph="1">
        <v>0</v>
      </c>
      <c r="BD25" s="64" t="s" ph="1">
        <v>282</v>
      </c>
      <c r="BE25" s="64" ph="1">
        <v>8920</v>
      </c>
    </row>
    <row r="26" spans="1:57" ph="1">
      <c r="A26" s="72" ph="1"/>
      <c r="B26" s="207" ph="1"/>
      <c r="C26" s="68" t="s" ph="1">
        <v>210</v>
      </c>
      <c r="D26" s="74">
        <v>25</v>
      </c>
      <c r="E26" s="74">
        <v>25</v>
      </c>
      <c r="F26" s="74">
        <v>17</v>
      </c>
      <c r="G26" s="74">
        <v>16</v>
      </c>
      <c r="H26" s="74">
        <v>16</v>
      </c>
      <c r="I26" s="74">
        <v>17</v>
      </c>
      <c r="J26" s="74">
        <v>16</v>
      </c>
      <c r="K26" s="74">
        <v>16</v>
      </c>
      <c r="L26" s="74">
        <v>16</v>
      </c>
      <c r="M26" s="74">
        <v>15</v>
      </c>
      <c r="N26" s="74">
        <v>15</v>
      </c>
      <c r="O26" s="74">
        <v>16</v>
      </c>
      <c r="P26" s="74">
        <v>17</v>
      </c>
      <c r="Q26" s="93">
        <v>15</v>
      </c>
      <c r="R26" s="74">
        <v>15</v>
      </c>
      <c r="S26" s="74">
        <v>16</v>
      </c>
      <c r="T26" s="74">
        <v>15</v>
      </c>
      <c r="U26" s="74">
        <v>15</v>
      </c>
      <c r="V26" s="74">
        <v>16</v>
      </c>
      <c r="W26" s="74">
        <v>16</v>
      </c>
      <c r="X26" s="74">
        <v>54</v>
      </c>
      <c r="Y26" s="74">
        <v>16</v>
      </c>
      <c r="Z26" s="201"/>
      <c r="AA26" s="202"/>
      <c r="AB26" s="202"/>
      <c r="AC26" s="202"/>
      <c r="AD26" s="202"/>
      <c r="AE26" s="203"/>
      <c r="AH26" s="64" ph="1">
        <v>12</v>
      </c>
      <c r="AI26" s="64" t="s" ph="1">
        <v>390</v>
      </c>
      <c r="AZ26" s="64" t="s" ph="1">
        <v>257</v>
      </c>
      <c r="BA26" s="64" ph="1">
        <v>0</v>
      </c>
    </row>
    <row r="27" spans="1:57" ph="1">
      <c r="A27" s="72" ph="1"/>
      <c r="B27" s="207" ph="1">
        <v>0.66666666666666663</v>
      </c>
      <c r="C27" s="148" t="s" ph="1">
        <v>211</v>
      </c>
      <c r="D27" s="71">
        <v>44.23</v>
      </c>
      <c r="E27" s="71">
        <v>90.92</v>
      </c>
      <c r="F27" s="71">
        <v>2150</v>
      </c>
      <c r="G27" s="71">
        <v>1879</v>
      </c>
      <c r="H27" s="71">
        <v>1623</v>
      </c>
      <c r="I27" s="71">
        <v>1728</v>
      </c>
      <c r="J27" s="71">
        <v>2449</v>
      </c>
      <c r="K27" s="71">
        <v>5612</v>
      </c>
      <c r="L27" s="71">
        <v>5583</v>
      </c>
      <c r="M27" s="71">
        <v>4803</v>
      </c>
      <c r="N27" s="71">
        <v>5283</v>
      </c>
      <c r="O27" s="71">
        <v>2059</v>
      </c>
      <c r="P27" s="71">
        <v>439</v>
      </c>
      <c r="Q27" s="90">
        <v>2966</v>
      </c>
      <c r="R27" s="71">
        <v>3373</v>
      </c>
      <c r="S27" s="71">
        <v>2644</v>
      </c>
      <c r="T27" s="71">
        <v>6392</v>
      </c>
      <c r="U27" s="71">
        <v>5158</v>
      </c>
      <c r="V27" s="71">
        <v>393</v>
      </c>
      <c r="W27" s="71">
        <v>4420</v>
      </c>
      <c r="X27" s="71">
        <v>10558</v>
      </c>
      <c r="Y27" s="71">
        <v>702</v>
      </c>
      <c r="Z27" s="201"/>
      <c r="AA27" s="202"/>
      <c r="AB27" s="202"/>
      <c r="AC27" s="202"/>
      <c r="AD27" s="202"/>
      <c r="AE27" s="203"/>
      <c r="AH27" s="64" ph="1">
        <v>13</v>
      </c>
      <c r="AI27" s="64" t="s" ph="1">
        <v>391</v>
      </c>
      <c r="AZ27" s="64" t="s" ph="1">
        <v>257</v>
      </c>
      <c r="BA27" s="64" ph="1">
        <v>0</v>
      </c>
      <c r="BD27" s="64" t="s" ph="1">
        <v>336</v>
      </c>
      <c r="BE27" s="64" ph="1">
        <v>7100</v>
      </c>
    </row>
    <row r="28" spans="1:57" ph="1">
      <c r="A28" s="72" ph="1"/>
      <c r="B28" s="207" ph="1"/>
      <c r="C28" s="148" t="s" ph="1">
        <v>209</v>
      </c>
      <c r="D28" s="91" ph="1">
        <f>D27*268.68*LOOKUP(D29,密度!$A$2:$A$50,密度!$Q$2:$Q$50)+IF(D27&lt;=0,0,1566*LOOKUP(D29,密度!$A$2:$A$50,密度!$Q$2:$Q$50))</f>
        <v>12733.384504535999</v>
      </c>
      <c r="E28" s="91" ph="1">
        <f>E27*268.68*LOOKUP(E29,密度!$A$2:$A$50,密度!$C$2:$C$50)+IF(E27&lt;=0,0,1566*LOOKUP(E29,密度!$A$2:$A$50,密度!$C$2:$C$50))</f>
        <v>28825.174191840004</v>
      </c>
      <c r="F28" s="91" ph="1">
        <f>F27*11.702*LOOKUP(F29,密度!$A$2:$A$50,密度!$Q$2:$Q$50)</f>
        <v>23951.905192999999</v>
      </c>
      <c r="G28" s="91" ph="1">
        <f>G27*18.322*LOOKUP(G29,密度!$A$2:$A$50,密度!$B$2:$B$50)</f>
        <v>27049.323756599999</v>
      </c>
      <c r="H28" s="91" ph="1">
        <f>H27*18.322*LOOKUP(H29,密度!$A$2:$A$50,密度!$B$2:$B$50)</f>
        <v>23408.656243199999</v>
      </c>
      <c r="I28" s="91" ph="1">
        <f>I27*18.322*LOOKUP(I29,密度!$A$2:$A$50,密度!$Q$2:$Q$50)</f>
        <v>30166.044364799996</v>
      </c>
      <c r="J28" s="91" ph="1">
        <f>J27*18.322*LOOKUP(J29,密度!$A$2:$A$50,密度!$Q$2:$Q$50)</f>
        <v>42788.5831808</v>
      </c>
      <c r="K28" s="91" ph="1">
        <f>K27*18.322*LOOKUP(K29,密度!$A$2:$A$50,密度!$Q$2:$Q$50)</f>
        <v>97969.815379199994</v>
      </c>
      <c r="L28" s="91" ph="1">
        <f>L27*18.322*LOOKUP(L29,密度!$A$2:$A$50,密度!$Q$2:$Q$50)</f>
        <v>97463.556532799994</v>
      </c>
      <c r="M28" s="91" ph="1">
        <f>M27*18.322*LOOKUP(M29,密度!$A$2:$A$50,密度!$Q$2:$Q$50)</f>
        <v>83917.339737599992</v>
      </c>
      <c r="N28" s="91" ph="1">
        <f>N27*18.322*LOOKUP(N29,密度!$A$2:$A$50,密度!$Q$2:$Q$50)</f>
        <v>92303.832153599986</v>
      </c>
      <c r="O28" s="91" ph="1">
        <f>O27*18.322*LOOKUP(O29,密度!$A$2:$A$50,密度!$C$2:$C$50)</f>
        <v>42070.917769599997</v>
      </c>
      <c r="P28" s="91" ph="1">
        <f>P27*11.702*LOOKUP(P29,密度!$A$2:$A$50,密度!$B$2:$B$50)</f>
        <v>4018.8143494000001</v>
      </c>
      <c r="Q28" s="92" ph="1">
        <f>Q27*18.322*LOOKUP(Q29,密度!$A$2:$A$50,密度!$B$2:$B$50)</f>
        <v>42697.335956399991</v>
      </c>
      <c r="R28" s="91" ph="1">
        <f>R27*35.891*LOOKUP(R29,密度!$A$2:$A$50,密度!$C$2:$C$50)</f>
        <v>134849.11606769997</v>
      </c>
      <c r="S28" s="91" ph="1">
        <f>S27*35.891*LOOKUP(S29,密度!$A$2:$A$50,密度!$B$2:$B$50)</f>
        <v>74626.060265599997</v>
      </c>
      <c r="T28" s="91" ph="1">
        <f>T27*35.891*LOOKUP(T29,密度!$A$2:$A$50,密度!$Q$2:$Q$50)</f>
        <v>218586.87116159999</v>
      </c>
      <c r="U28" s="91" ph="1">
        <f>U27*35.891</f>
        <v>185125.77799999999</v>
      </c>
      <c r="V28" s="91" ph="1">
        <f>V27*47.051*LOOKUP(V29,密度!$A$2:$A$50,密度!$B$2:$B$50)</f>
        <v>14528.4124851</v>
      </c>
      <c r="W28" s="91" ph="1">
        <f>W27*47.051*LOOKUP(W29,密度!$A$2:$A$50,密度!$B$2:$B$50)</f>
        <v>163398.430494</v>
      </c>
      <c r="X28" s="91" ph="1">
        <f>X27*47.051*LOOKUP(X29,密度!$A$2:$A$50,密度!$I$2:$I$50)</f>
        <v>514469.14328312001</v>
      </c>
      <c r="Y28" s="91" ph="1">
        <f>Y27*47.051*LOOKUP(Y29,密度!$A$2:$A$50,密度!$L$2:$L$50)</f>
        <v>31114.073484</v>
      </c>
      <c r="Z28" s="201"/>
      <c r="AA28" s="202"/>
      <c r="AB28" s="202"/>
      <c r="AC28" s="202"/>
      <c r="AD28" s="202"/>
      <c r="AE28" s="203"/>
      <c r="AH28" s="64" ph="1">
        <v>14</v>
      </c>
      <c r="AI28" s="64" t="s" ph="1">
        <v>392</v>
      </c>
      <c r="AZ28" s="64" t="s" ph="1">
        <v>257</v>
      </c>
      <c r="BA28" s="64" ph="1">
        <v>0</v>
      </c>
    </row>
    <row r="29" spans="1:57" ph="1">
      <c r="A29" s="72" ph="1"/>
      <c r="B29" s="207" ph="1"/>
      <c r="C29" s="148" t="s" ph="1">
        <v>210</v>
      </c>
      <c r="D29" s="74">
        <v>25</v>
      </c>
      <c r="E29" s="74">
        <v>25</v>
      </c>
      <c r="F29" s="74">
        <v>18</v>
      </c>
      <c r="G29" s="74">
        <v>18</v>
      </c>
      <c r="H29" s="74">
        <v>16</v>
      </c>
      <c r="I29" s="74">
        <v>17</v>
      </c>
      <c r="J29" s="74">
        <v>16</v>
      </c>
      <c r="K29" s="74">
        <v>17</v>
      </c>
      <c r="L29" s="74">
        <v>17</v>
      </c>
      <c r="M29" s="74">
        <v>16</v>
      </c>
      <c r="N29" s="74">
        <v>16</v>
      </c>
      <c r="O29" s="74">
        <v>16</v>
      </c>
      <c r="P29" s="74">
        <v>22</v>
      </c>
      <c r="Q29" s="93">
        <v>18</v>
      </c>
      <c r="R29" s="74">
        <v>18</v>
      </c>
      <c r="S29" s="74">
        <v>17</v>
      </c>
      <c r="T29" s="74">
        <v>17</v>
      </c>
      <c r="U29" s="74">
        <v>17</v>
      </c>
      <c r="V29" s="74">
        <v>18</v>
      </c>
      <c r="W29" s="74">
        <v>18</v>
      </c>
      <c r="X29" s="74">
        <v>53</v>
      </c>
      <c r="Y29" s="74">
        <v>20</v>
      </c>
      <c r="Z29" s="204"/>
      <c r="AA29" s="205"/>
      <c r="AB29" s="205"/>
      <c r="AC29" s="205"/>
      <c r="AD29" s="205"/>
      <c r="AE29" s="206"/>
      <c r="AH29" s="64" ph="1">
        <v>15</v>
      </c>
      <c r="AI29" s="64" t="s" ph="1">
        <v>393</v>
      </c>
      <c r="AZ29" s="64" t="s" ph="1">
        <v>257</v>
      </c>
      <c r="BA29" s="64" ph="1">
        <v>0</v>
      </c>
      <c r="BD29" s="64" t="s" ph="1">
        <v>394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395</v>
      </c>
      <c r="AZ30" s="64" t="s" ph="1">
        <v>257</v>
      </c>
      <c r="BA30" s="64" ph="1">
        <v>0</v>
      </c>
    </row>
    <row r="31" spans="1:57" ht="28.5" ph="1">
      <c r="A31" s="64"/>
      <c r="B31" s="220" t="s" ph="1">
        <v>35</v>
      </c>
      <c r="C31" s="221" ph="1"/>
      <c r="D31" s="224" t="s" ph="1">
        <v>9</v>
      </c>
      <c r="E31" s="213" ph="1"/>
      <c r="F31" s="214" ph="1"/>
      <c r="G31" s="224" t="s" ph="1">
        <v>18</v>
      </c>
      <c r="H31" s="213" ph="1"/>
      <c r="I31" s="214" ph="1"/>
      <c r="J31" s="212" t="s" ph="1">
        <v>1</v>
      </c>
      <c r="K31" s="213" ph="1"/>
      <c r="L31" s="214" ph="1"/>
      <c r="M31" s="212" t="s" ph="1">
        <v>7</v>
      </c>
      <c r="N31" s="213" ph="1"/>
      <c r="O31" s="214" ph="1"/>
      <c r="P31" s="212" t="s" ph="1">
        <v>42</v>
      </c>
      <c r="Q31" s="213"/>
      <c r="R31" s="214"/>
      <c r="S31" s="212" t="s" ph="1">
        <v>2</v>
      </c>
      <c r="T31" s="213"/>
      <c r="U31" s="214"/>
      <c r="V31" s="212" t="s" ph="1">
        <v>81</v>
      </c>
      <c r="W31" s="213" ph="1"/>
      <c r="X31" s="214" ph="1"/>
      <c r="Y31" s="212" t="s" ph="1">
        <v>3</v>
      </c>
      <c r="Z31" s="213" ph="1"/>
      <c r="AA31" s="214" ph="1"/>
      <c r="AB31" s="235" t="s">
        <v>43</v>
      </c>
      <c r="AC31" s="236"/>
      <c r="AD31" s="236"/>
      <c r="AE31" s="237"/>
      <c r="AH31" s="64" ph="1">
        <v>17</v>
      </c>
      <c r="AI31" s="64" t="s" ph="1">
        <v>396</v>
      </c>
      <c r="AZ31" s="64" t="s" ph="1">
        <v>257</v>
      </c>
      <c r="BA31" s="64" ph="1">
        <v>0</v>
      </c>
      <c r="BD31" s="64" t="s" ph="1">
        <v>397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48" t="s" ph="1">
        <v>5</v>
      </c>
      <c r="F32" s="147" t="s" ph="1">
        <v>44</v>
      </c>
      <c r="G32" s="97" t="s" ph="1">
        <v>4</v>
      </c>
      <c r="H32" s="148" t="s" ph="1">
        <v>5</v>
      </c>
      <c r="I32" s="147" t="s" ph="1">
        <v>44</v>
      </c>
      <c r="J32" s="97" t="s" ph="1">
        <v>4</v>
      </c>
      <c r="K32" s="148" t="s" ph="1">
        <v>5</v>
      </c>
      <c r="L32" s="147" t="s" ph="1">
        <v>44</v>
      </c>
      <c r="M32" s="97" t="s" ph="1">
        <v>4</v>
      </c>
      <c r="N32" s="148" t="s" ph="1">
        <v>5</v>
      </c>
      <c r="O32" s="147" t="s" ph="1">
        <v>44</v>
      </c>
      <c r="P32" s="97" t="s" ph="1">
        <v>4</v>
      </c>
      <c r="Q32" s="98" t="s" ph="1">
        <v>5</v>
      </c>
      <c r="R32" s="99" t="s" ph="1">
        <v>44</v>
      </c>
      <c r="S32" s="97" t="s" ph="1">
        <v>4</v>
      </c>
      <c r="T32" s="148" t="s" ph="1">
        <v>5</v>
      </c>
      <c r="U32" s="99" t="s" ph="1">
        <v>44</v>
      </c>
      <c r="V32" s="97" t="s" ph="1">
        <v>4</v>
      </c>
      <c r="W32" s="148" t="s" ph="1">
        <v>5</v>
      </c>
      <c r="X32" s="99" t="s" ph="1">
        <v>44</v>
      </c>
      <c r="Y32" s="100" t="s" ph="1">
        <v>4</v>
      </c>
      <c r="Z32" s="148" t="s" ph="1">
        <v>5</v>
      </c>
      <c r="AA32" s="147" t="s" ph="1">
        <v>44</v>
      </c>
      <c r="AB32" s="97" t="s" ph="1">
        <v>102</v>
      </c>
      <c r="AC32" s="148" t="s" ph="1">
        <v>101</v>
      </c>
      <c r="AD32" s="238" t="s" ph="1">
        <v>100</v>
      </c>
      <c r="AE32" s="239"/>
      <c r="AH32" s="64" ph="1">
        <v>18</v>
      </c>
      <c r="AI32" s="64" t="s" ph="1">
        <v>398</v>
      </c>
      <c r="AZ32" s="64" t="s" ph="1">
        <v>257</v>
      </c>
      <c r="BA32" s="64" ph="1">
        <v>0</v>
      </c>
    </row>
    <row r="33" spans="1:57" ph="1">
      <c r="A33" s="64"/>
      <c r="B33" s="225" t="s" ph="1">
        <v>212</v>
      </c>
      <c r="C33" s="226" ph="1"/>
      <c r="D33" s="229" ph="1">
        <f>AA10+AB10+Z19</f>
        <v>127115.678377</v>
      </c>
      <c r="E33" s="229" ph="1">
        <f>M10+I10</f>
        <v>182846.65476209999</v>
      </c>
      <c r="F33" s="23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[[#This Row],[F25]]</f>
        <v>3880</v>
      </c>
      <c r="G33" s="233" ph="1">
        <v>0</v>
      </c>
      <c r="H33" s="229" ph="1">
        <f>N19</f>
        <v>18525.030911220001</v>
      </c>
      <c r="I33" s="242" ph="1">
        <v>0</v>
      </c>
      <c r="J33" s="240" ph="1">
        <f>F10+O28</f>
        <v>305743.7525224</v>
      </c>
      <c r="K33" s="229" ph="1">
        <f>O10+K10+E28+R28</f>
        <v>263536.55017713999</v>
      </c>
      <c r="L33" s="244" ph="1">
        <f>BE27</f>
        <v>7100</v>
      </c>
      <c r="M33" s="240" ph="1">
        <f>G10+H10+W28+S28</f>
        <v>729226.85727559996</v>
      </c>
      <c r="N33" s="229" ph="1">
        <f>L10+P10++G28+H28+V28</f>
        <v>332939.22664090001</v>
      </c>
      <c r="O33" s="242" ph="1">
        <f>BE17</f>
        <v>2270</v>
      </c>
      <c r="P33" s="240" ph="1">
        <f>L19</f>
        <v>46939.188843839998</v>
      </c>
      <c r="Q33" s="229" ph="1">
        <f>J10+N10</f>
        <v>155942.74395879998</v>
      </c>
      <c r="R33" s="242" ph="1">
        <f>BE23</f>
        <v>890</v>
      </c>
      <c r="S33" s="240" ph="1">
        <f>E10+X28</f>
        <v>514469.14328312001</v>
      </c>
      <c r="T33" s="229" ph="1">
        <f>X19</f>
        <v>14571.22951872</v>
      </c>
      <c r="U33" s="250" ph="1">
        <f>BE21</f>
        <v>730</v>
      </c>
      <c r="V33" s="261" ph="1">
        <f ca="1">P19+Q19+S19+M28+N28+J28</f>
        <v>300518.73406986799</v>
      </c>
      <c r="W33" s="261" ph="1">
        <f>D28+F28+V19+T28</f>
        <v>255272.160859136</v>
      </c>
      <c r="X33" s="242" ph="1">
        <f>BE29+BE31</f>
        <v>10200</v>
      </c>
      <c r="Y33" s="263" ph="1">
        <f>+Q10+R10+S10+T10+U10+V10+W10+X10+Y10</f>
        <v>87938.897507999995</v>
      </c>
      <c r="Z33" s="248" ph="1">
        <f>D10+T19+U19+Y28+Z10</f>
        <v>391512.93593792</v>
      </c>
      <c r="AA33" s="250" ph="1">
        <f>BE19</f>
        <v>1440</v>
      </c>
      <c r="AB33" s="252" ph="1">
        <f>I19</f>
        <v>121.2729544</v>
      </c>
      <c r="AC33" s="254" ph="1">
        <f>AD10</f>
        <v>4745.9146719999999</v>
      </c>
      <c r="AD33" s="256" ph="1">
        <v>0</v>
      </c>
      <c r="AE33" s="257"/>
      <c r="AH33" s="64" ph="1">
        <v>19</v>
      </c>
      <c r="AI33" s="64" t="s" ph="1">
        <v>399</v>
      </c>
      <c r="AJ33" s="64" t="s" ph="1">
        <v>633</v>
      </c>
      <c r="AK33" s="64" t="s" ph="1">
        <v>630</v>
      </c>
      <c r="AL33" s="64" ph="1">
        <v>730</v>
      </c>
      <c r="AM33" s="64" t="s" ph="1">
        <v>380</v>
      </c>
      <c r="AZ33" s="64" t="s" ph="1">
        <v>257</v>
      </c>
      <c r="BA33" s="64" ph="1">
        <v>730</v>
      </c>
      <c r="BD33" s="64" t="s" ph="1">
        <v>331</v>
      </c>
      <c r="BE33" s="64" ph="1">
        <v>3880</v>
      </c>
    </row>
    <row r="34" spans="1:57" ph="1">
      <c r="A34" s="64"/>
      <c r="B34" s="227" ph="1"/>
      <c r="C34" s="228" ph="1"/>
      <c r="D34" s="230" ph="1"/>
      <c r="E34" s="230" ph="1"/>
      <c r="F34" s="232" ph="1"/>
      <c r="G34" s="234" ph="1"/>
      <c r="H34" s="230" ph="1"/>
      <c r="I34" s="243" ph="1"/>
      <c r="J34" s="241" ph="1"/>
      <c r="K34" s="230" ph="1"/>
      <c r="L34" s="245" ph="1"/>
      <c r="M34" s="241" ph="1"/>
      <c r="N34" s="230" ph="1"/>
      <c r="O34" s="243" ph="1"/>
      <c r="P34" s="241" ph="1"/>
      <c r="Q34" s="230" ph="1"/>
      <c r="R34" s="243" ph="1"/>
      <c r="S34" s="241" ph="1"/>
      <c r="T34" s="230"/>
      <c r="U34" s="251"/>
      <c r="V34" s="262" ph="1"/>
      <c r="W34" s="262" ph="1"/>
      <c r="X34" s="243" ph="1"/>
      <c r="Y34" s="264" ph="1"/>
      <c r="Z34" s="249" ph="1"/>
      <c r="AA34" s="251" ph="1"/>
      <c r="AB34" s="253"/>
      <c r="AC34" s="255"/>
      <c r="AD34" s="258"/>
      <c r="AE34" s="259"/>
      <c r="AH34" s="64" ph="1">
        <v>20</v>
      </c>
      <c r="AI34" s="64" t="s" ph="1">
        <v>400</v>
      </c>
      <c r="AJ34" s="64" t="s" ph="1">
        <v>634</v>
      </c>
      <c r="AK34" s="64" t="s" ph="1">
        <v>630</v>
      </c>
      <c r="AL34" s="64" ph="1">
        <v>720</v>
      </c>
      <c r="AM34" s="64" t="s" ph="1">
        <v>380</v>
      </c>
      <c r="AZ34" s="64" t="s" ph="1">
        <v>257</v>
      </c>
      <c r="BA34" s="64" ph="1">
        <v>720</v>
      </c>
    </row>
    <row r="35" spans="1:57" ph="1">
      <c r="A35" s="64"/>
      <c r="AC35" s="260" t="s" ph="1">
        <v>84</v>
      </c>
      <c r="AD35" s="260"/>
      <c r="AE35" s="260"/>
      <c r="AH35" s="64" ph="1">
        <v>21</v>
      </c>
      <c r="AI35" s="64" t="s" ph="1">
        <v>401</v>
      </c>
      <c r="AZ35" s="64" t="s" ph="1">
        <v>257</v>
      </c>
      <c r="BA35" s="64" ph="1">
        <v>0</v>
      </c>
      <c r="BD35" s="64" t="s" ph="1">
        <v>402</v>
      </c>
      <c r="BE35" s="64" ph="1">
        <v>2030</v>
      </c>
    </row>
    <row r="36" spans="1:57" ht="28.5" ph="1">
      <c r="A36" s="64"/>
      <c r="B36" s="103" t="s" ph="1">
        <v>213</v>
      </c>
      <c r="I36" s="246" t="s" ph="1">
        <v>214</v>
      </c>
      <c r="J36" s="246" ph="1"/>
      <c r="K36" s="101" ph="1"/>
      <c r="P36" s="101" ph="1"/>
      <c r="R36" s="246" t="s" ph="1">
        <v>215</v>
      </c>
      <c r="S36" s="246" ph="1"/>
      <c r="Y36" s="102" ph="1"/>
      <c r="Z36" s="146" t="s" ph="1">
        <v>216</v>
      </c>
      <c r="AA36" s="146" ph="1"/>
      <c r="AB36" s="247" t="s" ph="1">
        <v>650</v>
      </c>
      <c r="AC36" s="247" ph="1"/>
      <c r="AD36" s="247" ph="1"/>
      <c r="AE36" s="247" ph="1"/>
      <c r="BA36" s="64" ph="1">
        <v>2270</v>
      </c>
    </row>
    <row r="37" spans="1:57" s="146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6" t="s" ph="1">
        <v>383</v>
      </c>
      <c r="AI37" s="146" t="s" ph="1">
        <v>250</v>
      </c>
      <c r="AJ37" s="146" t="s" ph="1">
        <v>251</v>
      </c>
      <c r="AK37" s="146" t="s" ph="1">
        <v>252</v>
      </c>
      <c r="AM37" s="146" t="s" ph="1">
        <v>251</v>
      </c>
      <c r="AN37" s="146" t="s" ph="1">
        <v>252</v>
      </c>
      <c r="AO37" s="146" t="s" ph="1">
        <v>253</v>
      </c>
      <c r="AP37" s="146" t="s" ph="1">
        <v>251</v>
      </c>
      <c r="AQ37" s="146" t="s" ph="1">
        <v>252</v>
      </c>
      <c r="AR37" s="146" t="s" ph="1">
        <v>253</v>
      </c>
      <c r="AS37" s="146" t="s" ph="1">
        <v>251</v>
      </c>
      <c r="AT37" s="146" t="s" ph="1">
        <v>252</v>
      </c>
      <c r="AU37" s="146" t="s" ph="1">
        <v>253</v>
      </c>
      <c r="AV37" s="146" t="s" ph="1">
        <v>251</v>
      </c>
      <c r="AW37" s="146" t="s" ph="1">
        <v>252</v>
      </c>
      <c r="AX37" s="146" t="s" ph="1">
        <v>253</v>
      </c>
      <c r="AY37" s="146" t="s" ph="1">
        <v>252</v>
      </c>
      <c r="AZ37" s="146" t="s" ph="1">
        <v>254</v>
      </c>
      <c r="BD37" s="146" t="s" ph="1">
        <v>346</v>
      </c>
      <c r="BE37" s="146" ph="1">
        <v>0</v>
      </c>
    </row>
    <row r="38" spans="1:57" ph="1">
      <c r="AE38" s="64" ph="1"/>
      <c r="AH38" s="64" ph="1">
        <v>1</v>
      </c>
      <c r="AI38" s="64" t="s" ph="1">
        <v>403</v>
      </c>
      <c r="AY38" s="64" t="s" ph="1">
        <v>257</v>
      </c>
      <c r="AZ38" s="64" t="s" ph="1">
        <v>408</v>
      </c>
    </row>
    <row r="39" spans="1:57" ph="1">
      <c r="AH39" s="64" ph="1">
        <v>2</v>
      </c>
      <c r="AI39" s="64" t="s" ph="1">
        <v>405</v>
      </c>
      <c r="AJ39" s="64" t="s" ph="1">
        <v>377</v>
      </c>
      <c r="AK39" s="64" t="s" ph="1">
        <v>406</v>
      </c>
      <c r="AM39" s="64" t="s" ph="1">
        <v>611</v>
      </c>
      <c r="AN39" s="64" t="s" ph="1">
        <v>269</v>
      </c>
      <c r="AO39" s="64" t="s" ph="1">
        <v>404</v>
      </c>
      <c r="AY39" s="64" t="s" ph="1">
        <v>257</v>
      </c>
      <c r="AZ39" s="64" t="s" ph="1">
        <v>540</v>
      </c>
    </row>
    <row r="40" spans="1:57" ph="1">
      <c r="AH40" s="64" ph="1">
        <v>3</v>
      </c>
      <c r="AI40" s="64" t="s" ph="1">
        <v>407</v>
      </c>
      <c r="AJ40" s="64" t="s" ph="1">
        <v>611</v>
      </c>
      <c r="AK40" s="64" t="s" ph="1">
        <v>612</v>
      </c>
      <c r="AY40" s="64" t="s" ph="1">
        <v>257</v>
      </c>
      <c r="AZ40" s="64" t="s" ph="1">
        <v>612</v>
      </c>
    </row>
    <row r="41" spans="1:57" ph="1">
      <c r="AH41" s="64" ph="1">
        <v>4</v>
      </c>
      <c r="AI41" s="64" t="s" ph="1">
        <v>409</v>
      </c>
      <c r="AJ41" s="64" t="s" ph="1">
        <v>613</v>
      </c>
      <c r="AK41" s="64" t="s" ph="1">
        <v>614</v>
      </c>
      <c r="AM41" s="64" t="s" ph="1">
        <v>615</v>
      </c>
      <c r="AY41" s="64" t="s" ph="1">
        <v>257</v>
      </c>
      <c r="AZ41" s="64" t="s" ph="1">
        <v>614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410</v>
      </c>
      <c r="AY42" s="64" t="s" ph="1">
        <v>257</v>
      </c>
      <c r="AZ42" s="64" t="s" ph="1">
        <v>408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411</v>
      </c>
      <c r="AY43" s="64" t="s" ph="1">
        <v>257</v>
      </c>
      <c r="AZ43" s="64" t="s" ph="1">
        <v>408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412</v>
      </c>
      <c r="AV44" s="64" t="s" ph="1">
        <v>258</v>
      </c>
      <c r="AY44" s="64" t="s" ph="1">
        <v>257</v>
      </c>
      <c r="AZ44" s="64" t="s" ph="1">
        <v>408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413</v>
      </c>
      <c r="AV45" s="64" t="s" ph="1">
        <v>258</v>
      </c>
      <c r="AY45" s="64" t="s" ph="1">
        <v>257</v>
      </c>
      <c r="AZ45" s="64" t="s" ph="1">
        <v>408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414</v>
      </c>
      <c r="AV46" s="64" t="s" ph="1">
        <v>258</v>
      </c>
      <c r="AY46" s="64" t="s" ph="1">
        <v>257</v>
      </c>
      <c r="AZ46" s="64" t="s" ph="1">
        <v>408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415</v>
      </c>
      <c r="AV47" s="64" t="s" ph="1">
        <v>258</v>
      </c>
      <c r="AY47" s="64" t="s" ph="1">
        <v>257</v>
      </c>
      <c r="AZ47" s="64" t="s" ph="1">
        <v>408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616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273</v>
      </c>
      <c r="AI49" s="64" t="s" ph="1">
        <v>250</v>
      </c>
      <c r="AJ49" s="64" t="s" ph="1">
        <v>251</v>
      </c>
      <c r="AK49" s="64" t="s" ph="1">
        <v>252</v>
      </c>
      <c r="AM49" s="64" t="s" ph="1">
        <v>251</v>
      </c>
      <c r="AN49" s="64" t="s" ph="1">
        <v>252</v>
      </c>
      <c r="AO49" s="64" t="s" ph="1">
        <v>253</v>
      </c>
      <c r="AP49" s="64" t="s" ph="1">
        <v>251</v>
      </c>
      <c r="AQ49" s="64" t="s" ph="1">
        <v>252</v>
      </c>
      <c r="AR49" s="64" t="s" ph="1">
        <v>253</v>
      </c>
      <c r="AS49" s="64" t="s" ph="1">
        <v>251</v>
      </c>
      <c r="AT49" s="64" t="s" ph="1">
        <v>252</v>
      </c>
      <c r="AU49" s="64" t="s" ph="1">
        <v>253</v>
      </c>
      <c r="AV49" s="64" t="s" ph="1">
        <v>251</v>
      </c>
      <c r="AW49" s="64" t="s" ph="1">
        <v>252</v>
      </c>
      <c r="AX49" s="64" t="s" ph="1">
        <v>253</v>
      </c>
      <c r="AY49" s="64" t="s" ph="1">
        <v>252</v>
      </c>
      <c r="AZ49" s="64" t="s" ph="1">
        <v>254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416</v>
      </c>
      <c r="AY50" s="64" t="s" ph="1">
        <v>257</v>
      </c>
      <c r="AZ50" s="64" t="s" ph="1">
        <v>408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417</v>
      </c>
      <c r="AY51" s="64" t="s" ph="1">
        <v>257</v>
      </c>
      <c r="AZ51" s="64" t="s" ph="1">
        <v>408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418</v>
      </c>
      <c r="AJ52" s="64" t="s" ph="1">
        <v>375</v>
      </c>
      <c r="AK52" s="64" t="s" ph="1">
        <v>269</v>
      </c>
      <c r="AM52" s="64" t="s" ph="1">
        <v>377</v>
      </c>
      <c r="AN52" s="64" t="s" ph="1">
        <v>341</v>
      </c>
      <c r="AO52" s="64" t="s" ph="1">
        <v>274</v>
      </c>
      <c r="AP52" s="64" t="s" ph="1">
        <v>611</v>
      </c>
      <c r="AQ52" s="64" t="s" ph="1">
        <v>323</v>
      </c>
      <c r="AR52" s="64" t="s" ph="1">
        <v>274</v>
      </c>
      <c r="AY52" s="64" t="s" ph="1">
        <v>257</v>
      </c>
      <c r="AZ52" s="64" t="s" ph="1">
        <v>617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419</v>
      </c>
      <c r="AY53" s="64" t="s" ph="1">
        <v>257</v>
      </c>
      <c r="AZ53" s="64" t="s" ph="1">
        <v>408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420</v>
      </c>
      <c r="AJ54" s="64" t="s" ph="1">
        <v>375</v>
      </c>
      <c r="AK54" s="64" t="s" ph="1">
        <v>260</v>
      </c>
      <c r="AM54" s="64" t="s" ph="1">
        <v>377</v>
      </c>
      <c r="AN54" s="64" t="s" ph="1">
        <v>265</v>
      </c>
      <c r="AO54" s="64" t="s" ph="1">
        <v>274</v>
      </c>
      <c r="AP54" s="64" t="s" ph="1">
        <v>611</v>
      </c>
      <c r="AQ54" s="64" t="s" ph="1">
        <v>281</v>
      </c>
      <c r="AR54" s="64" t="s" ph="1">
        <v>274</v>
      </c>
      <c r="AY54" s="64" t="s" ph="1">
        <v>257</v>
      </c>
      <c r="AZ54" s="64" t="s" ph="1">
        <v>275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421</v>
      </c>
      <c r="AY55" s="64" t="s" ph="1">
        <v>257</v>
      </c>
      <c r="AZ55" s="64" t="s" ph="1">
        <v>408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422</v>
      </c>
      <c r="AY56" s="64" t="s" ph="1">
        <v>257</v>
      </c>
      <c r="AZ56" s="64" t="s" ph="1">
        <v>408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423</v>
      </c>
      <c r="AY57" s="64" t="s" ph="1">
        <v>257</v>
      </c>
      <c r="AZ57" s="64" t="s" ph="1">
        <v>408</v>
      </c>
    </row>
    <row r="58" spans="16:52" ph="1">
      <c r="P58" s="64"/>
      <c r="AN58" s="64" t="s" ph="1">
        <v>258</v>
      </c>
      <c r="AZ58" s="64" t="s" ph="1">
        <v>618</v>
      </c>
    </row>
    <row r="59" spans="16:52" ph="1">
      <c r="V59" s="64"/>
      <c r="AG59" s="64" t="s" ph="1">
        <v>276</v>
      </c>
      <c r="AI59" s="64" t="s" ph="1">
        <v>250</v>
      </c>
      <c r="AJ59" s="64" t="s" ph="1">
        <v>251</v>
      </c>
      <c r="AK59" s="64" t="s" ph="1">
        <v>252</v>
      </c>
      <c r="AM59" s="64" t="s" ph="1">
        <v>251</v>
      </c>
      <c r="AN59" s="64" t="s" ph="1">
        <v>252</v>
      </c>
      <c r="AO59" s="64" t="s" ph="1">
        <v>253</v>
      </c>
      <c r="AP59" s="64" t="s" ph="1">
        <v>251</v>
      </c>
      <c r="AQ59" s="64" t="s" ph="1">
        <v>252</v>
      </c>
      <c r="AR59" s="64" t="s" ph="1">
        <v>253</v>
      </c>
      <c r="AS59" s="64" t="s" ph="1">
        <v>251</v>
      </c>
      <c r="AT59" s="64" t="s" ph="1">
        <v>252</v>
      </c>
      <c r="AU59" s="64" t="s" ph="1">
        <v>253</v>
      </c>
      <c r="AV59" s="64" t="s" ph="1">
        <v>251</v>
      </c>
      <c r="AW59" s="64" t="s" ph="1">
        <v>252</v>
      </c>
      <c r="AX59" s="64" t="s" ph="1">
        <v>253</v>
      </c>
      <c r="AY59" s="64" t="s" ph="1">
        <v>252</v>
      </c>
      <c r="AZ59" s="64" t="s" ph="1">
        <v>254</v>
      </c>
    </row>
    <row r="60" spans="16:52" ph="1">
      <c r="R60" s="64"/>
      <c r="S60" s="64"/>
      <c r="T60" s="64"/>
      <c r="AH60" s="64" ph="1">
        <v>1</v>
      </c>
      <c r="AI60" s="64" t="s" ph="1">
        <v>424</v>
      </c>
      <c r="AY60" s="64" t="s" ph="1">
        <v>257</v>
      </c>
      <c r="AZ60" s="64" t="s" ph="1">
        <v>408</v>
      </c>
    </row>
    <row r="61" spans="16:52" ph="1">
      <c r="AH61" s="64" ph="1">
        <v>2</v>
      </c>
      <c r="AI61" s="64" t="s" ph="1">
        <v>425</v>
      </c>
      <c r="AS61" s="64" t="s" ph="1">
        <v>258</v>
      </c>
      <c r="AY61" s="64" t="s" ph="1">
        <v>257</v>
      </c>
      <c r="AZ61" s="64" t="s" ph="1">
        <v>408</v>
      </c>
    </row>
    <row r="62" spans="16:52" ph="1">
      <c r="AZ62" s="64" t="s" ph="1">
        <v>426</v>
      </c>
    </row>
    <row r="63" spans="16:52" ph="1">
      <c r="AG63" s="64" t="s" ph="1">
        <v>279</v>
      </c>
      <c r="AI63" s="64" t="s" ph="1">
        <v>250</v>
      </c>
      <c r="AJ63" s="64" t="s" ph="1">
        <v>251</v>
      </c>
      <c r="AK63" s="64" t="s" ph="1">
        <v>252</v>
      </c>
      <c r="AM63" s="64" t="s" ph="1">
        <v>251</v>
      </c>
      <c r="AN63" s="64" t="s" ph="1">
        <v>252</v>
      </c>
      <c r="AO63" s="64" t="s" ph="1">
        <v>253</v>
      </c>
      <c r="AP63" s="64" t="s" ph="1">
        <v>251</v>
      </c>
      <c r="AQ63" s="64" t="s" ph="1">
        <v>252</v>
      </c>
      <c r="AR63" s="64" t="s" ph="1">
        <v>253</v>
      </c>
      <c r="AS63" s="64" t="s" ph="1">
        <v>251</v>
      </c>
      <c r="AT63" s="64" t="s" ph="1">
        <v>252</v>
      </c>
      <c r="AU63" s="64" t="s" ph="1">
        <v>253</v>
      </c>
      <c r="AV63" s="64" t="s" ph="1">
        <v>251</v>
      </c>
      <c r="AW63" s="64" t="s" ph="1">
        <v>252</v>
      </c>
      <c r="AX63" s="64" t="s" ph="1">
        <v>253</v>
      </c>
      <c r="AY63" s="64" t="s" ph="1">
        <v>252</v>
      </c>
      <c r="AZ63" s="64" t="s" ph="1">
        <v>254</v>
      </c>
    </row>
    <row r="64" spans="16:52" ph="1">
      <c r="AH64" s="64" ph="1">
        <v>1</v>
      </c>
      <c r="AI64" s="64" t="s" ph="1">
        <v>427</v>
      </c>
      <c r="AJ64" s="64" t="s" ph="1">
        <v>428</v>
      </c>
      <c r="AK64" s="64" t="s" ph="1">
        <v>429</v>
      </c>
      <c r="AY64" s="64" t="s" ph="1">
        <v>257</v>
      </c>
      <c r="AZ64" s="64" t="s" ph="1">
        <v>429</v>
      </c>
    </row>
    <row r="65" spans="33:52" ph="1">
      <c r="AH65" s="64" ph="1">
        <v>2</v>
      </c>
      <c r="AI65" s="64" t="s" ph="1">
        <v>430</v>
      </c>
      <c r="AY65" s="64" t="s" ph="1">
        <v>257</v>
      </c>
      <c r="AZ65" s="64" t="s" ph="1">
        <v>408</v>
      </c>
    </row>
    <row r="66" spans="33:52" ph="1">
      <c r="AH66" s="64" ph="1">
        <v>3</v>
      </c>
      <c r="AI66" s="64" t="s" ph="1">
        <v>431</v>
      </c>
      <c r="AY66" s="64" t="s" ph="1">
        <v>257</v>
      </c>
      <c r="AZ66" s="64" t="s" ph="1">
        <v>408</v>
      </c>
    </row>
    <row r="67" spans="33:52" ph="1">
      <c r="AH67" s="64" ph="1">
        <v>4</v>
      </c>
      <c r="AI67" s="64" t="s" ph="1">
        <v>432</v>
      </c>
      <c r="AY67" s="64" t="s" ph="1">
        <v>257</v>
      </c>
      <c r="AZ67" s="64" t="s" ph="1">
        <v>408</v>
      </c>
    </row>
    <row r="68" spans="33:52" ph="1">
      <c r="AH68" s="64" ph="1">
        <v>5</v>
      </c>
      <c r="AI68" s="64" t="s" ph="1">
        <v>433</v>
      </c>
      <c r="AY68" s="64" t="s" ph="1">
        <v>257</v>
      </c>
      <c r="AZ68" s="64" t="s" ph="1">
        <v>408</v>
      </c>
    </row>
    <row r="69" spans="33:52" ph="1">
      <c r="AH69" s="64" ph="1">
        <v>6</v>
      </c>
      <c r="AI69" s="64" t="s" ph="1">
        <v>434</v>
      </c>
      <c r="AY69" s="64" t="s" ph="1">
        <v>257</v>
      </c>
      <c r="AZ69" s="64" t="s" ph="1">
        <v>408</v>
      </c>
    </row>
    <row r="70" spans="33:52" ph="1">
      <c r="AI70" s="64" t="s" ph="1">
        <v>435</v>
      </c>
      <c r="AY70" s="64" t="s" ph="1">
        <v>257</v>
      </c>
      <c r="AZ70" s="64" t="s" ph="1">
        <v>408</v>
      </c>
    </row>
    <row r="71" spans="33:52" ph="1">
      <c r="AH71" s="64" ph="1">
        <v>7</v>
      </c>
      <c r="AI71" s="64" t="s" ph="1">
        <v>436</v>
      </c>
      <c r="AJ71" s="64" t="s" ph="1">
        <v>375</v>
      </c>
      <c r="AK71" s="64" t="s" ph="1">
        <v>269</v>
      </c>
      <c r="AM71" s="64" t="s" ph="1">
        <v>377</v>
      </c>
      <c r="AN71" s="64" t="s" ph="1">
        <v>269</v>
      </c>
      <c r="AO71" s="64" t="s" ph="1">
        <v>437</v>
      </c>
      <c r="AP71" s="64" t="s" ph="1">
        <v>611</v>
      </c>
      <c r="AQ71" s="64" t="s" ph="1">
        <v>260</v>
      </c>
      <c r="AR71" s="64" t="s" ph="1">
        <v>437</v>
      </c>
      <c r="AY71" s="64" t="s" ph="1">
        <v>257</v>
      </c>
      <c r="AZ71" s="64" t="s" ph="1">
        <v>619</v>
      </c>
    </row>
    <row r="72" spans="33:52" ph="1">
      <c r="AZ72" s="64" t="s" ph="1">
        <v>620</v>
      </c>
    </row>
    <row r="73" spans="33:52" ph="1">
      <c r="AG73" s="64" t="s" ph="1">
        <v>282</v>
      </c>
      <c r="AI73" s="64" t="s" ph="1">
        <v>250</v>
      </c>
      <c r="AJ73" s="64" t="s" ph="1">
        <v>251</v>
      </c>
      <c r="AK73" s="64" t="s" ph="1">
        <v>252</v>
      </c>
      <c r="AM73" s="64" t="s" ph="1">
        <v>251</v>
      </c>
      <c r="AN73" s="64" t="s" ph="1">
        <v>252</v>
      </c>
      <c r="AO73" s="64" t="s" ph="1">
        <v>253</v>
      </c>
      <c r="AP73" s="64" t="s" ph="1">
        <v>251</v>
      </c>
      <c r="AQ73" s="64" t="s" ph="1">
        <v>252</v>
      </c>
      <c r="AR73" s="64" t="s" ph="1">
        <v>253</v>
      </c>
      <c r="AS73" s="64" t="s" ph="1">
        <v>251</v>
      </c>
      <c r="AT73" s="64" t="s" ph="1">
        <v>252</v>
      </c>
      <c r="AU73" s="64" t="s" ph="1">
        <v>253</v>
      </c>
      <c r="AV73" s="64" t="s" ph="1">
        <v>251</v>
      </c>
      <c r="AW73" s="64" t="s" ph="1">
        <v>252</v>
      </c>
      <c r="AX73" s="64" t="s" ph="1">
        <v>253</v>
      </c>
      <c r="AY73" s="64" t="s" ph="1">
        <v>252</v>
      </c>
      <c r="AZ73" s="64" t="s" ph="1">
        <v>254</v>
      </c>
    </row>
    <row r="74" spans="33:52" ph="1">
      <c r="AH74" s="64" ph="1">
        <v>1</v>
      </c>
      <c r="AI74" s="64" t="s" ph="1">
        <v>438</v>
      </c>
      <c r="AJ74" s="64" t="s" ph="1">
        <v>283</v>
      </c>
      <c r="AK74" s="64" t="s" ph="1">
        <v>265</v>
      </c>
      <c r="AM74" s="64" t="s" ph="1">
        <v>285</v>
      </c>
      <c r="AN74" s="64" t="s" ph="1">
        <v>295</v>
      </c>
      <c r="AO74" s="64" t="s" ph="1">
        <v>284</v>
      </c>
      <c r="AP74" s="64" t="s" ph="1">
        <v>286</v>
      </c>
      <c r="AQ74" s="64" t="s" ph="1">
        <v>263</v>
      </c>
      <c r="AR74" s="64" t="s" ph="1">
        <v>284</v>
      </c>
      <c r="AS74" s="64" t="s" ph="1">
        <v>256</v>
      </c>
      <c r="AT74" s="64" t="s" ph="1">
        <v>258</v>
      </c>
      <c r="AV74" s="64" t="s" ph="1">
        <v>439</v>
      </c>
      <c r="AW74" s="64" t="s" ph="1">
        <v>440</v>
      </c>
      <c r="AX74" s="64" t="s" ph="1">
        <v>441</v>
      </c>
      <c r="AY74" s="64" t="s" ph="1">
        <v>257</v>
      </c>
      <c r="AZ74" s="64" t="s" ph="1">
        <v>442</v>
      </c>
    </row>
    <row r="75" spans="33:52" ph="1">
      <c r="AJ75" s="64" t="s" ph="1">
        <v>288</v>
      </c>
      <c r="AK75" s="64" t="s" ph="1">
        <v>341</v>
      </c>
      <c r="AM75" s="64" t="s" ph="1">
        <v>286</v>
      </c>
      <c r="AN75" s="64" t="s" ph="1">
        <v>266</v>
      </c>
      <c r="AO75" s="64" t="s" ph="1">
        <v>284</v>
      </c>
      <c r="AS75" s="64" t="s" ph="1">
        <v>256</v>
      </c>
      <c r="AT75" s="64" t="s" ph="1">
        <v>287</v>
      </c>
    </row>
    <row r="76" spans="33:52" ph="1">
      <c r="AJ76" s="64" t="s" ph="1">
        <v>288</v>
      </c>
      <c r="AK76" s="64" t="s" ph="1">
        <v>281</v>
      </c>
      <c r="AM76" s="64" t="s" ph="1">
        <v>286</v>
      </c>
      <c r="AN76" s="64" t="s" ph="1">
        <v>269</v>
      </c>
      <c r="AO76" s="64" t="s" ph="1">
        <v>284</v>
      </c>
      <c r="AS76" s="64" t="s" ph="1">
        <v>256</v>
      </c>
      <c r="AT76" s="64" t="s" ph="1">
        <v>287</v>
      </c>
    </row>
    <row r="77" spans="33:52" ph="1">
      <c r="AJ77" s="64" t="s" ph="1">
        <v>324</v>
      </c>
      <c r="AK77" s="64" t="s" ph="1">
        <v>281</v>
      </c>
      <c r="AM77" s="64" t="s" ph="1">
        <v>325</v>
      </c>
      <c r="AN77" s="64" t="s" ph="1">
        <v>264</v>
      </c>
      <c r="AO77" s="64" t="s" ph="1">
        <v>284</v>
      </c>
      <c r="AS77" s="64" t="s" ph="1">
        <v>256</v>
      </c>
      <c r="AT77" s="64" t="s" ph="1">
        <v>326</v>
      </c>
    </row>
    <row r="78" spans="33:52" ph="1">
      <c r="AH78" s="64" ph="1">
        <v>2</v>
      </c>
      <c r="AI78" s="64" t="s" ph="1">
        <v>290</v>
      </c>
      <c r="AJ78" s="64" t="s" ph="1">
        <v>291</v>
      </c>
      <c r="AK78" s="64" t="s" ph="1">
        <v>260</v>
      </c>
      <c r="AM78" s="64" t="s" ph="1">
        <v>292</v>
      </c>
      <c r="AN78" s="64" t="s" ph="1">
        <v>295</v>
      </c>
      <c r="AO78" s="64" t="s" ph="1">
        <v>284</v>
      </c>
      <c r="AP78" s="64" t="s" ph="1">
        <v>293</v>
      </c>
      <c r="AQ78" s="64" t="s" ph="1">
        <v>339</v>
      </c>
      <c r="AR78" s="64" t="s" ph="1">
        <v>284</v>
      </c>
      <c r="AS78" s="64" t="s" ph="1">
        <v>294</v>
      </c>
      <c r="AT78" s="64" t="s" ph="1">
        <v>295</v>
      </c>
      <c r="AU78" s="64" t="s" ph="1">
        <v>284</v>
      </c>
      <c r="AV78" s="64" t="s" ph="1">
        <v>296</v>
      </c>
      <c r="AW78" s="64" t="s" ph="1">
        <v>284</v>
      </c>
      <c r="AY78" s="64" t="s" ph="1">
        <v>257</v>
      </c>
      <c r="AZ78" s="64" t="s" ph="1">
        <v>443</v>
      </c>
    </row>
    <row r="79" spans="33:52" ph="1">
      <c r="AJ79" s="64" t="s" ph="1">
        <v>286</v>
      </c>
      <c r="AK79" s="64" t="s" ph="1">
        <v>297</v>
      </c>
      <c r="AM79" s="64" t="s" ph="1">
        <v>298</v>
      </c>
      <c r="AN79" s="64" t="s" ph="1">
        <v>266</v>
      </c>
      <c r="AO79" s="64" t="s" ph="1">
        <v>284</v>
      </c>
      <c r="AP79" s="64" t="s" ph="1">
        <v>299</v>
      </c>
      <c r="AQ79" s="64" t="s" ph="1">
        <v>264</v>
      </c>
      <c r="AR79" s="64" t="s" ph="1">
        <v>300</v>
      </c>
      <c r="AS79" s="64" t="s" ph="1">
        <v>256</v>
      </c>
      <c r="AT79" s="64" t="s" ph="1">
        <v>301</v>
      </c>
      <c r="AV79" s="64" t="s" ph="1">
        <v>444</v>
      </c>
      <c r="AW79" s="64" t="s" ph="1">
        <v>343</v>
      </c>
      <c r="AX79" s="64" t="s" ph="1">
        <v>441</v>
      </c>
    </row>
    <row r="80" spans="33:52" ph="1">
      <c r="AH80" s="64" ph="1">
        <v>3</v>
      </c>
      <c r="AI80" s="64" t="s" ph="1">
        <v>302</v>
      </c>
      <c r="AJ80" s="64" t="s" ph="1">
        <v>303</v>
      </c>
      <c r="AK80" s="64" t="s" ph="1">
        <v>304</v>
      </c>
      <c r="AM80" s="64" t="s" ph="1">
        <v>305</v>
      </c>
      <c r="AN80" s="64" t="s" ph="1">
        <v>295</v>
      </c>
      <c r="AO80" s="64" t="s" ph="1">
        <v>284</v>
      </c>
      <c r="AP80" s="64" t="s" ph="1">
        <v>306</v>
      </c>
      <c r="AQ80" s="64" t="s" ph="1">
        <v>269</v>
      </c>
      <c r="AR80" s="64" t="s" ph="1">
        <v>284</v>
      </c>
      <c r="AS80" s="64" t="s" ph="1">
        <v>307</v>
      </c>
      <c r="AT80" s="64" t="s" ph="1">
        <v>268</v>
      </c>
      <c r="AU80" s="64" t="s" ph="1">
        <v>284</v>
      </c>
      <c r="AV80" s="64" t="s" ph="1">
        <v>308</v>
      </c>
      <c r="AW80" s="64" t="s" ph="1">
        <v>284</v>
      </c>
      <c r="AY80" s="64" t="s" ph="1">
        <v>257</v>
      </c>
      <c r="AZ80" s="64" t="s" ph="1">
        <v>445</v>
      </c>
    </row>
    <row r="81" spans="34:52" ph="1">
      <c r="AJ81" s="64" t="s" ph="1">
        <v>309</v>
      </c>
      <c r="AK81" s="64" t="s" ph="1">
        <v>263</v>
      </c>
      <c r="AM81" s="64" t="s" ph="1">
        <v>310</v>
      </c>
      <c r="AN81" s="64" t="s" ph="1">
        <v>266</v>
      </c>
      <c r="AO81" s="64" t="s" ph="1">
        <v>284</v>
      </c>
      <c r="AP81" s="64" t="s" ph="1">
        <v>311</v>
      </c>
      <c r="AQ81" s="64" t="s" ph="1">
        <v>295</v>
      </c>
      <c r="AR81" s="64" t="s" ph="1">
        <v>284</v>
      </c>
      <c r="AS81" s="64" t="s" ph="1">
        <v>312</v>
      </c>
      <c r="AT81" s="64" t="s" ph="1">
        <v>313</v>
      </c>
      <c r="AU81" s="64" t="s" ph="1">
        <v>284</v>
      </c>
      <c r="AV81" s="64" t="s" ph="1">
        <v>314</v>
      </c>
    </row>
    <row r="82" spans="34:52" ph="1">
      <c r="AJ82" s="64" t="s" ph="1">
        <v>315</v>
      </c>
      <c r="AK82" s="64" t="s" ph="1">
        <v>263</v>
      </c>
      <c r="AM82" s="64" t="s" ph="1">
        <v>316</v>
      </c>
      <c r="AN82" s="64" t="s" ph="1">
        <v>313</v>
      </c>
      <c r="AO82" s="64" t="s" ph="1">
        <v>317</v>
      </c>
      <c r="AP82" s="64" t="s" ph="1">
        <v>318</v>
      </c>
      <c r="AQ82" s="64" t="s" ph="1">
        <v>295</v>
      </c>
      <c r="AR82" s="64" t="s" ph="1">
        <v>284</v>
      </c>
      <c r="AS82" s="64" t="s" ph="1">
        <v>319</v>
      </c>
      <c r="AT82" s="64" t="s" ph="1">
        <v>270</v>
      </c>
      <c r="AU82" s="64" t="s" ph="1">
        <v>284</v>
      </c>
      <c r="AV82" s="64" t="s" ph="1">
        <v>444</v>
      </c>
      <c r="AW82" s="64" t="s" ph="1">
        <v>344</v>
      </c>
      <c r="AX82" s="64" t="s" ph="1">
        <v>441</v>
      </c>
    </row>
    <row r="83" spans="34:52" ph="1">
      <c r="AJ83" s="64" t="s" ph="1">
        <v>320</v>
      </c>
      <c r="AK83" s="64" t="s" ph="1">
        <v>337</v>
      </c>
      <c r="AM83" s="64" t="s" ph="1">
        <v>321</v>
      </c>
      <c r="AN83" s="64" t="s" ph="1">
        <v>269</v>
      </c>
      <c r="AO83" s="64" t="s" ph="1">
        <v>300</v>
      </c>
      <c r="AP83" s="64" t="s" ph="1">
        <v>322</v>
      </c>
      <c r="AQ83" s="64" t="s" ph="1">
        <v>323</v>
      </c>
      <c r="AR83" s="64" t="s" ph="1">
        <v>300</v>
      </c>
      <c r="AS83" s="64" t="s" ph="1">
        <v>446</v>
      </c>
      <c r="AT83" s="64" t="s" ph="1">
        <v>295</v>
      </c>
      <c r="AU83" s="64" t="s" ph="1">
        <v>300</v>
      </c>
      <c r="AV83" s="64" t="s" ph="1">
        <v>447</v>
      </c>
      <c r="AW83" s="64" t="s" ph="1">
        <v>344</v>
      </c>
      <c r="AX83" s="64" t="s" ph="1">
        <v>448</v>
      </c>
    </row>
    <row r="84" spans="34:52" ph="1">
      <c r="AH84" s="64" ph="1">
        <v>4</v>
      </c>
      <c r="AI84" s="64" t="s" ph="1">
        <v>327</v>
      </c>
      <c r="AJ84" s="64" t="s" ph="1">
        <v>267</v>
      </c>
      <c r="AK84" s="64" t="s" ph="1">
        <v>270</v>
      </c>
      <c r="AM84" s="64" t="s" ph="1">
        <v>271</v>
      </c>
      <c r="AN84" s="64" t="s" ph="1">
        <v>264</v>
      </c>
      <c r="AO84" s="64" t="s" ph="1">
        <v>300</v>
      </c>
      <c r="AP84" s="64" t="s" ph="1">
        <v>329</v>
      </c>
      <c r="AQ84" s="64" t="s" ph="1">
        <v>263</v>
      </c>
      <c r="AR84" s="64" t="s" ph="1">
        <v>300</v>
      </c>
      <c r="AS84" s="64" t="s" ph="1">
        <v>329</v>
      </c>
      <c r="AT84" s="64" t="s" ph="1">
        <v>265</v>
      </c>
      <c r="AU84" s="64" t="s" ph="1">
        <v>300</v>
      </c>
      <c r="AY84" s="64" t="s" ph="1">
        <v>257</v>
      </c>
      <c r="AZ84" s="64" t="s" ph="1">
        <v>449</v>
      </c>
    </row>
    <row r="85" spans="34:52" ph="1">
      <c r="AJ85" s="64" t="s" ph="1">
        <v>259</v>
      </c>
      <c r="AK85" s="64" t="s" ph="1">
        <v>263</v>
      </c>
      <c r="AM85" s="64" t="s" ph="1">
        <v>450</v>
      </c>
      <c r="AN85" s="64" t="s" ph="1">
        <v>270</v>
      </c>
      <c r="AO85" s="64" t="s" ph="1">
        <v>300</v>
      </c>
      <c r="AP85" s="64" t="s" ph="1">
        <v>451</v>
      </c>
      <c r="AQ85" s="64" t="s" ph="1">
        <v>266</v>
      </c>
      <c r="AR85" s="64" t="s" ph="1">
        <v>300</v>
      </c>
      <c r="AS85" s="64" t="s" ph="1">
        <v>452</v>
      </c>
      <c r="AT85" s="64" t="s" ph="1">
        <v>266</v>
      </c>
      <c r="AU85" s="64" t="s" ph="1">
        <v>300</v>
      </c>
    </row>
    <row r="86" spans="34:52" ph="1">
      <c r="AJ86" s="64" t="s" ph="1">
        <v>453</v>
      </c>
      <c r="AK86" s="64" t="s" ph="1">
        <v>272</v>
      </c>
      <c r="AM86" s="64" t="s" ph="1">
        <v>454</v>
      </c>
      <c r="AN86" s="64" t="s" ph="1">
        <v>313</v>
      </c>
      <c r="AO86" s="64" t="s" ph="1">
        <v>300</v>
      </c>
      <c r="AP86" s="64" t="s" ph="1">
        <v>455</v>
      </c>
      <c r="AQ86" s="64" t="s" ph="1">
        <v>260</v>
      </c>
      <c r="AR86" s="64" t="s" ph="1">
        <v>300</v>
      </c>
      <c r="AS86" s="64" t="s" ph="1">
        <v>456</v>
      </c>
      <c r="AT86" s="64" t="s" ph="1">
        <v>278</v>
      </c>
      <c r="AU86" s="64" t="s" ph="1">
        <v>300</v>
      </c>
    </row>
    <row r="87" spans="34:52" ph="1">
      <c r="AJ87" s="64" t="s" ph="1">
        <v>457</v>
      </c>
      <c r="AK87" s="64" t="s" ph="1">
        <v>313</v>
      </c>
      <c r="AM87" s="64" t="s" ph="1">
        <v>444</v>
      </c>
      <c r="AN87" s="64" t="s" ph="1">
        <v>458</v>
      </c>
      <c r="AO87" s="64" t="s" ph="1">
        <v>441</v>
      </c>
    </row>
    <row r="88" spans="34:52" ph="1">
      <c r="AH88" s="64" ph="1">
        <v>5</v>
      </c>
      <c r="AI88" s="64" t="s" ph="1">
        <v>330</v>
      </c>
      <c r="AJ88" s="64" t="s" ph="1">
        <v>459</v>
      </c>
      <c r="AK88" s="64" t="s" ph="1">
        <v>313</v>
      </c>
      <c r="AM88" s="64" t="s" ph="1">
        <v>460</v>
      </c>
      <c r="AN88" s="64" t="s" ph="1">
        <v>313</v>
      </c>
      <c r="AO88" s="64" t="s" ph="1">
        <v>300</v>
      </c>
      <c r="AP88" s="64" t="s" ph="1">
        <v>461</v>
      </c>
      <c r="AQ88" s="64" t="s" ph="1">
        <v>263</v>
      </c>
      <c r="AR88" s="64" t="s" ph="1">
        <v>300</v>
      </c>
      <c r="AS88" s="64" t="s" ph="1">
        <v>462</v>
      </c>
      <c r="AT88" s="64" t="s" ph="1">
        <v>313</v>
      </c>
      <c r="AU88" s="64" t="s" ph="1">
        <v>300</v>
      </c>
      <c r="AV88" s="64" t="s" ph="1">
        <v>463</v>
      </c>
      <c r="AW88" s="64" t="s" ph="1">
        <v>268</v>
      </c>
      <c r="AX88" s="64" t="s" ph="1">
        <v>300</v>
      </c>
      <c r="AY88" s="64" t="s" ph="1">
        <v>257</v>
      </c>
      <c r="AZ88" s="64" t="s" ph="1">
        <v>464</v>
      </c>
    </row>
    <row r="89" spans="34:52" ph="1">
      <c r="AJ89" s="64" t="s" ph="1">
        <v>465</v>
      </c>
      <c r="AK89" s="64" t="s" ph="1">
        <v>266</v>
      </c>
      <c r="AM89" s="64" t="s" ph="1">
        <v>466</v>
      </c>
      <c r="AN89" s="64" t="s" ph="1">
        <v>269</v>
      </c>
      <c r="AO89" s="64" t="s" ph="1">
        <v>300</v>
      </c>
      <c r="AP89" s="64" t="s" ph="1">
        <v>467</v>
      </c>
      <c r="AQ89" s="64" t="s" ph="1">
        <v>278</v>
      </c>
      <c r="AR89" s="64" t="s" ph="1">
        <v>300</v>
      </c>
      <c r="AS89" s="64" t="s" ph="1">
        <v>468</v>
      </c>
      <c r="AT89" s="64" t="s" ph="1">
        <v>313</v>
      </c>
      <c r="AU89" s="64" t="s" ph="1">
        <v>300</v>
      </c>
      <c r="AV89" s="64" t="s" ph="1">
        <v>469</v>
      </c>
      <c r="AW89" s="64" t="s" ph="1">
        <v>295</v>
      </c>
      <c r="AX89" s="64" t="s" ph="1">
        <v>328</v>
      </c>
    </row>
    <row r="90" spans="34:52" ph="1">
      <c r="AJ90" s="64" t="s" ph="1">
        <v>470</v>
      </c>
      <c r="AK90" s="64" t="s" ph="1">
        <v>269</v>
      </c>
      <c r="AM90" s="64" t="s" ph="1">
        <v>471</v>
      </c>
      <c r="AN90" s="64" t="s" ph="1">
        <v>266</v>
      </c>
      <c r="AO90" s="64" t="s" ph="1">
        <v>300</v>
      </c>
      <c r="AP90" s="64" t="s" ph="1">
        <v>472</v>
      </c>
      <c r="AQ90" s="64" t="s" ph="1">
        <v>335</v>
      </c>
      <c r="AR90" s="64" t="s" ph="1">
        <v>300</v>
      </c>
      <c r="AS90" s="64" t="s" ph="1">
        <v>473</v>
      </c>
      <c r="AT90" s="64" t="s" ph="1">
        <v>323</v>
      </c>
      <c r="AU90" s="64" t="s" ph="1">
        <v>300</v>
      </c>
      <c r="AV90" s="64" t="s" ph="1">
        <v>474</v>
      </c>
      <c r="AW90" s="64" t="s" ph="1">
        <v>260</v>
      </c>
      <c r="AX90" s="64" t="s" ph="1">
        <v>300</v>
      </c>
    </row>
    <row r="91" spans="34:52" ph="1">
      <c r="AJ91" s="64" t="s" ph="1">
        <v>475</v>
      </c>
      <c r="AK91" s="64" t="s" ph="1">
        <v>313</v>
      </c>
      <c r="AM91" s="64" t="s" ph="1">
        <v>476</v>
      </c>
      <c r="AN91" s="64" t="s" ph="1">
        <v>280</v>
      </c>
      <c r="AO91" s="64" t="s" ph="1">
        <v>300</v>
      </c>
      <c r="AP91" s="64" t="s" ph="1">
        <v>477</v>
      </c>
      <c r="AQ91" s="64" t="s" ph="1">
        <v>260</v>
      </c>
      <c r="AS91" s="64" t="s" ph="1">
        <v>444</v>
      </c>
      <c r="AT91" s="64" t="s" ph="1">
        <v>440</v>
      </c>
      <c r="AU91" s="64" t="s" ph="1">
        <v>441</v>
      </c>
    </row>
    <row r="92" spans="34:52" ph="1">
      <c r="AH92" s="64" ph="1">
        <v>6</v>
      </c>
      <c r="AI92" s="64" t="s" ph="1">
        <v>478</v>
      </c>
      <c r="AJ92" s="64" t="s" ph="1">
        <v>479</v>
      </c>
      <c r="AK92" s="64" t="s" ph="1">
        <v>408</v>
      </c>
      <c r="AM92" s="64" t="s" ph="1">
        <v>480</v>
      </c>
      <c r="AN92" s="64" t="s" ph="1">
        <v>268</v>
      </c>
      <c r="AO92" s="64" t="s" ph="1">
        <v>300</v>
      </c>
      <c r="AP92" s="64" t="s" ph="1">
        <v>481</v>
      </c>
      <c r="AQ92" s="64" t="s" ph="1">
        <v>340</v>
      </c>
      <c r="AR92" s="64" t="s" ph="1">
        <v>300</v>
      </c>
      <c r="AS92" s="64" t="s" ph="1">
        <v>482</v>
      </c>
      <c r="AT92" s="64" t="s" ph="1">
        <v>313</v>
      </c>
      <c r="AU92" s="64" t="s" ph="1">
        <v>300</v>
      </c>
      <c r="AV92" s="64" t="s" ph="1">
        <v>483</v>
      </c>
      <c r="AW92" s="64" t="s" ph="1">
        <v>269</v>
      </c>
      <c r="AX92" s="64" t="s" ph="1">
        <v>300</v>
      </c>
      <c r="AY92" s="64" t="s" ph="1">
        <v>257</v>
      </c>
      <c r="AZ92" s="64" t="s" ph="1">
        <v>464</v>
      </c>
    </row>
    <row r="93" spans="34:52" ph="1">
      <c r="AJ93" s="64" t="s" ph="1">
        <v>484</v>
      </c>
      <c r="AK93" s="64" t="s" ph="1">
        <v>263</v>
      </c>
      <c r="AM93" s="64" t="s" ph="1">
        <v>485</v>
      </c>
      <c r="AN93" s="64" t="s" ph="1">
        <v>268</v>
      </c>
      <c r="AO93" s="64" t="s" ph="1">
        <v>300</v>
      </c>
      <c r="AP93" s="64" t="s" ph="1">
        <v>486</v>
      </c>
      <c r="AQ93" s="64" t="s" ph="1">
        <v>272</v>
      </c>
      <c r="AR93" s="64" t="s" ph="1">
        <v>300</v>
      </c>
      <c r="AS93" s="64" t="s" ph="1">
        <v>487</v>
      </c>
      <c r="AT93" s="64" t="s" ph="1">
        <v>278</v>
      </c>
      <c r="AU93" s="64" t="s" ph="1">
        <v>300</v>
      </c>
      <c r="AV93" s="64" t="s" ph="1">
        <v>488</v>
      </c>
      <c r="AW93" s="64" t="s" ph="1">
        <v>272</v>
      </c>
      <c r="AX93" s="64" t="s" ph="1">
        <v>300</v>
      </c>
    </row>
    <row r="94" spans="34:52" ph="1">
      <c r="AJ94" s="64" t="s" ph="1">
        <v>489</v>
      </c>
      <c r="AK94" s="64" t="s" ph="1">
        <v>335</v>
      </c>
      <c r="AM94" s="64" t="s" ph="1">
        <v>490</v>
      </c>
      <c r="AN94" s="64" t="s" ph="1">
        <v>272</v>
      </c>
      <c r="AO94" s="64" t="s" ph="1">
        <v>300</v>
      </c>
      <c r="AP94" s="64" t="s" ph="1">
        <v>491</v>
      </c>
      <c r="AQ94" s="64" t="s" ph="1">
        <v>280</v>
      </c>
      <c r="AR94" s="64" t="s" ph="1">
        <v>300</v>
      </c>
      <c r="AS94" s="64" t="s" ph="1">
        <v>492</v>
      </c>
      <c r="AT94" s="64" t="s" ph="1">
        <v>266</v>
      </c>
      <c r="AU94" s="64" t="s" ph="1">
        <v>300</v>
      </c>
      <c r="AV94" s="64" t="s" ph="1">
        <v>493</v>
      </c>
      <c r="AW94" s="64" t="s" ph="1">
        <v>266</v>
      </c>
      <c r="AX94" s="64" t="s" ph="1">
        <v>300</v>
      </c>
    </row>
    <row r="95" spans="34:52" ph="1">
      <c r="AJ95" s="64" t="s" ph="1">
        <v>494</v>
      </c>
      <c r="AK95" s="64" t="s" ph="1">
        <v>340</v>
      </c>
    </row>
    <row r="96" spans="34:52" ph="1">
      <c r="AH96" s="64" ph="1">
        <v>7</v>
      </c>
      <c r="AI96" s="64" t="s" ph="1">
        <v>495</v>
      </c>
      <c r="AJ96" s="64" t="s" ph="1">
        <v>494</v>
      </c>
      <c r="AK96" s="64" t="s" ph="1">
        <v>295</v>
      </c>
      <c r="AM96" s="64" t="s" ph="1">
        <v>496</v>
      </c>
      <c r="AN96" s="64" t="s" ph="1">
        <v>269</v>
      </c>
      <c r="AO96" s="64" t="s" ph="1">
        <v>300</v>
      </c>
      <c r="AP96" s="64" t="s" ph="1">
        <v>497</v>
      </c>
      <c r="AQ96" s="64" t="s" ph="1">
        <v>313</v>
      </c>
      <c r="AR96" s="64" t="s" ph="1">
        <v>328</v>
      </c>
      <c r="AS96" s="64" t="s" ph="1">
        <v>498</v>
      </c>
      <c r="AT96" s="64" t="s" ph="1">
        <v>272</v>
      </c>
      <c r="AU96" s="64" t="s" ph="1">
        <v>328</v>
      </c>
      <c r="AV96" s="64" t="s" ph="1">
        <v>499</v>
      </c>
      <c r="AW96" s="64" t="s" ph="1">
        <v>268</v>
      </c>
      <c r="AX96" s="64" t="s" ph="1">
        <v>328</v>
      </c>
      <c r="AY96" s="64" t="s" ph="1">
        <v>257</v>
      </c>
      <c r="AZ96" s="64" t="s" ph="1">
        <v>500</v>
      </c>
    </row>
    <row r="97" spans="33:52" ph="1">
      <c r="AJ97" s="64" t="s" ph="1">
        <v>501</v>
      </c>
      <c r="AK97" s="64" t="s" ph="1">
        <v>323</v>
      </c>
      <c r="AM97" s="64" t="s" ph="1">
        <v>502</v>
      </c>
      <c r="AN97" s="64" t="s" ph="1">
        <v>266</v>
      </c>
      <c r="AO97" s="64" t="s" ph="1">
        <v>300</v>
      </c>
      <c r="AP97" s="64" t="s" ph="1">
        <v>503</v>
      </c>
      <c r="AQ97" s="64" t="s" ph="1">
        <v>260</v>
      </c>
      <c r="AR97" s="64" t="s" ph="1">
        <v>328</v>
      </c>
      <c r="AS97" s="64" t="s" ph="1">
        <v>504</v>
      </c>
      <c r="AT97" s="64" t="s" ph="1">
        <v>263</v>
      </c>
      <c r="AU97" s="64" t="s" ph="1">
        <v>328</v>
      </c>
      <c r="AV97" s="64" t="s" ph="1">
        <v>505</v>
      </c>
      <c r="AW97" s="64" t="s" ph="1">
        <v>269</v>
      </c>
      <c r="AX97" s="64" t="s" ph="1">
        <v>328</v>
      </c>
    </row>
    <row r="98" spans="33:52" ph="1">
      <c r="AJ98" s="64" t="s" ph="1">
        <v>506</v>
      </c>
      <c r="AK98" s="64" t="s" ph="1">
        <v>272</v>
      </c>
      <c r="AM98" s="64" t="s" ph="1">
        <v>507</v>
      </c>
      <c r="AN98" s="64" t="s" ph="1">
        <v>280</v>
      </c>
      <c r="AO98" s="64" t="s" ph="1">
        <v>300</v>
      </c>
      <c r="AP98" s="64" t="s" ph="1">
        <v>508</v>
      </c>
      <c r="AQ98" s="64" t="s" ph="1">
        <v>260</v>
      </c>
      <c r="AR98" s="64" t="s" ph="1">
        <v>328</v>
      </c>
      <c r="AS98" s="64" t="s" ph="1">
        <v>509</v>
      </c>
      <c r="AT98" s="64" t="s" ph="1">
        <v>340</v>
      </c>
      <c r="AU98" s="64" t="s" ph="1">
        <v>328</v>
      </c>
      <c r="AV98" s="64" t="s" ph="1">
        <v>510</v>
      </c>
      <c r="AW98" s="64" t="s" ph="1">
        <v>263</v>
      </c>
      <c r="AX98" s="64" t="s" ph="1">
        <v>328</v>
      </c>
    </row>
    <row r="99" spans="33:52" ph="1">
      <c r="AH99" s="64" ph="1">
        <v>8</v>
      </c>
      <c r="AI99" s="64" t="s" ph="1">
        <v>511</v>
      </c>
      <c r="AJ99" s="64" t="s" ph="1">
        <v>512</v>
      </c>
      <c r="AK99" s="64" t="s" ph="1">
        <v>408</v>
      </c>
      <c r="AM99" s="64" t="s" ph="1">
        <v>513</v>
      </c>
      <c r="AN99" s="64" t="s" ph="1">
        <v>295</v>
      </c>
      <c r="AO99" s="64" t="s" ph="1">
        <v>300</v>
      </c>
      <c r="AP99" s="64" t="s" ph="1">
        <v>514</v>
      </c>
      <c r="AQ99" s="64" t="s" ph="1">
        <v>265</v>
      </c>
      <c r="AR99" s="64" t="s" ph="1">
        <v>328</v>
      </c>
      <c r="AS99" s="64" t="s" ph="1">
        <v>515</v>
      </c>
      <c r="AT99" s="64" t="s" ph="1">
        <v>280</v>
      </c>
      <c r="AU99" s="64" t="s" ph="1">
        <v>328</v>
      </c>
      <c r="AV99" s="64" t="s" ph="1">
        <v>516</v>
      </c>
      <c r="AW99" s="64" t="s" ph="1">
        <v>265</v>
      </c>
      <c r="AX99" s="64" t="s" ph="1">
        <v>328</v>
      </c>
      <c r="AY99" s="64" t="s" ph="1">
        <v>257</v>
      </c>
      <c r="AZ99" s="64" t="s" ph="1">
        <v>517</v>
      </c>
    </row>
    <row r="100" spans="33:52" ph="1">
      <c r="AJ100" s="64" t="s" ph="1">
        <v>518</v>
      </c>
      <c r="AK100" s="64" t="s" ph="1">
        <v>263</v>
      </c>
      <c r="AM100" s="64" t="s" ph="1">
        <v>519</v>
      </c>
      <c r="AN100" s="64" t="s" ph="1">
        <v>335</v>
      </c>
      <c r="AO100" s="64" t="s" ph="1">
        <v>300</v>
      </c>
      <c r="AP100" s="64" t="s" ph="1">
        <v>520</v>
      </c>
      <c r="AQ100" s="64" t="s" ph="1">
        <v>341</v>
      </c>
      <c r="AR100" s="64" t="s" ph="1">
        <v>328</v>
      </c>
      <c r="AS100" s="64" t="s" ph="1">
        <v>521</v>
      </c>
      <c r="AT100" s="64" t="s" ph="1">
        <v>408</v>
      </c>
      <c r="AU100" s="64" t="s" ph="1">
        <v>300</v>
      </c>
      <c r="AV100" s="64" t="s" ph="1">
        <v>522</v>
      </c>
      <c r="AW100" s="64" t="s" ph="1">
        <v>408</v>
      </c>
      <c r="AX100" s="64" t="s" ph="1">
        <v>300</v>
      </c>
    </row>
    <row r="101" spans="33:52" ph="1">
      <c r="AJ101" s="64" t="s" ph="1">
        <v>523</v>
      </c>
      <c r="AK101" s="64" t="s" ph="1">
        <v>408</v>
      </c>
      <c r="AM101" s="64" t="s" ph="1">
        <v>524</v>
      </c>
      <c r="AN101" s="64" t="s" ph="1">
        <v>266</v>
      </c>
      <c r="AO101" s="64" t="s" ph="1">
        <v>300</v>
      </c>
      <c r="AP101" s="64" t="s" ph="1">
        <v>525</v>
      </c>
      <c r="AQ101" s="64" t="s" ph="1">
        <v>278</v>
      </c>
      <c r="AR101" s="64" t="s" ph="1">
        <v>328</v>
      </c>
      <c r="AS101" s="64" t="s" ph="1">
        <v>526</v>
      </c>
      <c r="AT101" s="64" t="s" ph="1">
        <v>335</v>
      </c>
      <c r="AU101" s="64" t="s" ph="1">
        <v>328</v>
      </c>
      <c r="AV101" s="64" t="s" ph="1">
        <v>527</v>
      </c>
      <c r="AW101" s="64" t="s" ph="1">
        <v>266</v>
      </c>
      <c r="AX101" s="64" t="s" ph="1">
        <v>300</v>
      </c>
    </row>
    <row r="102" spans="33:52" ph="1">
      <c r="AJ102" s="64" t="s" ph="1">
        <v>528</v>
      </c>
      <c r="AK102" s="64" t="s" ph="1">
        <v>263</v>
      </c>
      <c r="AM102" s="64" t="s" ph="1">
        <v>529</v>
      </c>
      <c r="AN102" s="64" t="s" ph="1">
        <v>272</v>
      </c>
      <c r="AO102" s="64" t="s" ph="1">
        <v>300</v>
      </c>
      <c r="AP102" s="64" t="s" ph="1">
        <v>530</v>
      </c>
      <c r="AQ102" s="64" t="s" ph="1">
        <v>278</v>
      </c>
      <c r="AR102" s="64" t="s" ph="1">
        <v>300</v>
      </c>
      <c r="AS102" s="64" t="s" ph="1">
        <v>531</v>
      </c>
      <c r="AT102" s="64" t="s" ph="1">
        <v>295</v>
      </c>
      <c r="AU102" s="64" t="s" ph="1">
        <v>300</v>
      </c>
      <c r="AV102" s="64" t="s" ph="1">
        <v>532</v>
      </c>
      <c r="AW102" s="64" t="s" ph="1">
        <v>313</v>
      </c>
      <c r="AX102" s="64" t="s" ph="1">
        <v>300</v>
      </c>
    </row>
    <row r="103" spans="33:52" ph="1">
      <c r="AH103" s="64" ph="1">
        <v>9</v>
      </c>
      <c r="AI103" s="64" t="s" ph="1">
        <v>533</v>
      </c>
      <c r="AJ103" s="64" t="s" ph="1">
        <v>534</v>
      </c>
      <c r="AK103" s="64" t="s" ph="1">
        <v>408</v>
      </c>
      <c r="AM103" s="64" t="s" ph="1">
        <v>535</v>
      </c>
      <c r="AN103" s="64" t="s" ph="1">
        <v>323</v>
      </c>
      <c r="AO103" s="64" t="s" ph="1">
        <v>300</v>
      </c>
      <c r="AP103" s="64" t="s" ph="1">
        <v>377</v>
      </c>
      <c r="AQ103" s="64" t="s" ph="1">
        <v>266</v>
      </c>
      <c r="AR103" s="64" t="s" ph="1">
        <v>300</v>
      </c>
      <c r="AS103" s="64" t="s" ph="1">
        <v>611</v>
      </c>
      <c r="AT103" s="64" t="s" ph="1">
        <v>408</v>
      </c>
      <c r="AU103" s="64" t="s" ph="1">
        <v>300</v>
      </c>
      <c r="AY103" s="64" t="s" ph="1">
        <v>257</v>
      </c>
      <c r="AZ103" s="64" t="s" ph="1">
        <v>265</v>
      </c>
    </row>
    <row r="104" spans="33:52" ph="1">
      <c r="AZ104" s="64" t="s" ph="1">
        <v>536</v>
      </c>
    </row>
    <row r="105" spans="33:52" ph="1">
      <c r="AG105" s="64" t="s" ph="1">
        <v>336</v>
      </c>
      <c r="AI105" s="64" t="s" ph="1">
        <v>250</v>
      </c>
      <c r="AJ105" s="64" t="s" ph="1">
        <v>251</v>
      </c>
      <c r="AK105" s="64" t="s" ph="1">
        <v>252</v>
      </c>
      <c r="AM105" s="64" t="s" ph="1">
        <v>251</v>
      </c>
      <c r="AN105" s="64" t="s" ph="1">
        <v>252</v>
      </c>
      <c r="AO105" s="64" t="s" ph="1">
        <v>253</v>
      </c>
      <c r="AP105" s="64" t="s" ph="1">
        <v>251</v>
      </c>
      <c r="AQ105" s="64" t="s" ph="1">
        <v>252</v>
      </c>
      <c r="AR105" s="64" t="s" ph="1">
        <v>253</v>
      </c>
      <c r="AS105" s="64" t="s" ph="1">
        <v>251</v>
      </c>
      <c r="AT105" s="64" t="s" ph="1">
        <v>252</v>
      </c>
      <c r="AU105" s="64" t="s" ph="1">
        <v>253</v>
      </c>
      <c r="AV105" s="64" t="s" ph="1">
        <v>251</v>
      </c>
      <c r="AW105" s="64" t="s" ph="1">
        <v>252</v>
      </c>
      <c r="AX105" s="64" t="s" ph="1">
        <v>253</v>
      </c>
      <c r="AZ105" s="64" t="s" ph="1">
        <v>254</v>
      </c>
    </row>
    <row r="106" spans="33:52" ph="1">
      <c r="AH106" s="64" ph="1">
        <v>1</v>
      </c>
      <c r="AI106" s="64" t="s" ph="1">
        <v>537</v>
      </c>
      <c r="AJ106" s="64" t="s" ph="1">
        <v>611</v>
      </c>
      <c r="AK106" s="64" t="s" ph="1">
        <v>272</v>
      </c>
      <c r="AZ106" s="64" t="s" ph="1">
        <v>272</v>
      </c>
    </row>
    <row r="107" spans="33:52" ph="1">
      <c r="AH107" s="64" ph="1">
        <v>2</v>
      </c>
      <c r="AI107" s="64" t="s" ph="1">
        <v>538</v>
      </c>
      <c r="AJ107" s="64" t="s" ph="1">
        <v>539</v>
      </c>
      <c r="AK107" s="64" t="s" ph="1">
        <v>269</v>
      </c>
      <c r="AM107" s="64" t="s" ph="1">
        <v>375</v>
      </c>
      <c r="AN107" s="64" t="s" ph="1">
        <v>540</v>
      </c>
      <c r="AO107" s="64" t="s" ph="1">
        <v>541</v>
      </c>
      <c r="AP107" s="64" t="s" ph="1">
        <v>377</v>
      </c>
      <c r="AQ107" s="64" t="s" ph="1">
        <v>345</v>
      </c>
      <c r="AR107" s="64" t="s" ph="1">
        <v>541</v>
      </c>
      <c r="AS107" s="64" t="s" ph="1">
        <v>611</v>
      </c>
      <c r="AT107" s="64" t="s" ph="1">
        <v>540</v>
      </c>
      <c r="AU107" s="64" t="s" ph="1">
        <v>541</v>
      </c>
      <c r="AY107" s="64" t="s" ph="1">
        <v>257</v>
      </c>
      <c r="AZ107" s="64" t="s" ph="1">
        <v>621</v>
      </c>
    </row>
    <row r="108" spans="33:52" ph="1">
      <c r="AH108" s="64" ph="1">
        <v>3</v>
      </c>
      <c r="AI108" s="64" t="s" ph="1">
        <v>542</v>
      </c>
      <c r="AY108" s="64" t="s" ph="1">
        <v>257</v>
      </c>
      <c r="AZ108" s="64" t="s" ph="1">
        <v>408</v>
      </c>
    </row>
    <row r="109" spans="33:52" ph="1">
      <c r="AH109" s="64" ph="1">
        <v>4</v>
      </c>
      <c r="AI109" s="64" t="s" ph="1">
        <v>543</v>
      </c>
      <c r="AY109" s="64" t="s" ph="1">
        <v>257</v>
      </c>
      <c r="AZ109" s="64" t="s" ph="1">
        <v>408</v>
      </c>
    </row>
    <row r="110" spans="33:52" ph="1">
      <c r="AH110" s="64" ph="1">
        <v>5</v>
      </c>
      <c r="AI110" s="64" t="s" ph="1">
        <v>544</v>
      </c>
      <c r="AY110" s="64" t="s" ph="1">
        <v>257</v>
      </c>
      <c r="AZ110" s="64" t="s" ph="1">
        <v>408</v>
      </c>
    </row>
    <row r="111" spans="33:52" ph="1">
      <c r="AH111" s="64" ph="1">
        <v>6</v>
      </c>
      <c r="AI111" s="64" t="s" ph="1">
        <v>622</v>
      </c>
      <c r="AJ111" s="64" t="s" ph="1">
        <v>527</v>
      </c>
      <c r="AK111" s="64" t="s" ph="1">
        <v>266</v>
      </c>
      <c r="AM111" s="64" t="s" ph="1">
        <v>528</v>
      </c>
      <c r="AN111" s="64" t="s" ph="1">
        <v>260</v>
      </c>
      <c r="AO111" s="64" t="s" ph="1">
        <v>541</v>
      </c>
      <c r="AP111" s="64" t="s" ph="1">
        <v>529</v>
      </c>
      <c r="AQ111" s="64" t="s" ph="1">
        <v>269</v>
      </c>
      <c r="AR111" s="64" t="s" ph="1">
        <v>541</v>
      </c>
      <c r="AS111" s="64" t="s" ph="1">
        <v>530</v>
      </c>
      <c r="AT111" s="64" t="s" ph="1">
        <v>278</v>
      </c>
      <c r="AU111" s="64" t="s" ph="1">
        <v>541</v>
      </c>
      <c r="AV111" s="64" t="s" ph="1">
        <v>531</v>
      </c>
      <c r="AW111" s="64" t="s" ph="1">
        <v>268</v>
      </c>
      <c r="AX111" s="64" t="s" ph="1">
        <v>541</v>
      </c>
      <c r="AY111" s="64" t="s" ph="1">
        <v>257</v>
      </c>
      <c r="AZ111" s="64" t="s" ph="1">
        <v>545</v>
      </c>
    </row>
    <row r="112" spans="33:52" ph="1">
      <c r="AJ112" s="64" t="s" ph="1">
        <v>532</v>
      </c>
      <c r="AK112" s="64" t="s" ph="1">
        <v>313</v>
      </c>
      <c r="AM112" s="64" t="s" ph="1">
        <v>534</v>
      </c>
      <c r="AN112" s="64" t="s" ph="1">
        <v>337</v>
      </c>
      <c r="AO112" s="64" t="s" ph="1">
        <v>541</v>
      </c>
      <c r="AP112" s="64" t="s" ph="1">
        <v>535</v>
      </c>
      <c r="AQ112" s="64" t="s" ph="1">
        <v>546</v>
      </c>
      <c r="AR112" s="64" t="s" ph="1">
        <v>541</v>
      </c>
      <c r="AS112" s="64" t="s" ph="1">
        <v>547</v>
      </c>
      <c r="AT112" s="64" t="s" ph="1">
        <v>289</v>
      </c>
      <c r="AU112" s="64" t="s" ph="1">
        <v>541</v>
      </c>
      <c r="AV112" s="64" t="s" ph="1">
        <v>548</v>
      </c>
      <c r="AW112" s="64" t="s" ph="1">
        <v>335</v>
      </c>
      <c r="AX112" s="64" t="s" ph="1">
        <v>541</v>
      </c>
    </row>
    <row r="113" spans="33:52" ph="1">
      <c r="AH113" s="64" ph="1">
        <v>7</v>
      </c>
      <c r="AI113" s="64" t="s" ph="1">
        <v>549</v>
      </c>
      <c r="AJ113" s="64" t="s" ph="1">
        <v>630</v>
      </c>
      <c r="AK113" s="64" t="s" ph="1">
        <v>635</v>
      </c>
      <c r="AY113" s="64" t="s" ph="1">
        <v>257</v>
      </c>
      <c r="AZ113" s="64" t="s" ph="1">
        <v>635</v>
      </c>
    </row>
    <row r="114" spans="33:52" ph="1">
      <c r="AH114" s="64" ph="1">
        <v>8</v>
      </c>
      <c r="AI114" s="64" t="s" ph="1">
        <v>550</v>
      </c>
      <c r="AJ114" s="64" t="s" ph="1">
        <v>630</v>
      </c>
      <c r="AK114" s="64" t="s" ph="1">
        <v>636</v>
      </c>
      <c r="AY114" s="64" t="s" ph="1">
        <v>257</v>
      </c>
      <c r="AZ114" s="64" t="s" ph="1">
        <v>636</v>
      </c>
    </row>
    <row r="115" spans="33:52" ph="1">
      <c r="AH115" s="64" ph="1">
        <v>9</v>
      </c>
      <c r="AI115" s="64" t="s" ph="1">
        <v>551</v>
      </c>
      <c r="AJ115" s="64" t="s" ph="1">
        <v>630</v>
      </c>
      <c r="AK115" s="64" t="s" ph="1">
        <v>636</v>
      </c>
      <c r="AY115" s="64" t="s" ph="1">
        <v>257</v>
      </c>
      <c r="AZ115" s="64" t="s" ph="1">
        <v>636</v>
      </c>
    </row>
    <row r="116" spans="33:52" ph="1">
      <c r="AH116" s="64" ph="1">
        <v>10</v>
      </c>
      <c r="AI116" s="64" t="s" ph="1">
        <v>552</v>
      </c>
      <c r="AJ116" s="64" t="s" ph="1">
        <v>630</v>
      </c>
      <c r="AK116" s="64" t="s" ph="1">
        <v>636</v>
      </c>
      <c r="AY116" s="64" t="s" ph="1">
        <v>257</v>
      </c>
      <c r="AZ116" s="64" t="s" ph="1">
        <v>636</v>
      </c>
    </row>
    <row r="117" spans="33:52" ph="1">
      <c r="AH117" s="64" ph="1">
        <v>11</v>
      </c>
      <c r="AI117" s="64" t="s" ph="1">
        <v>553</v>
      </c>
      <c r="AJ117" s="64" t="s" ph="1">
        <v>630</v>
      </c>
      <c r="AK117" s="64" t="s" ph="1">
        <v>636</v>
      </c>
      <c r="AY117" s="64" t="s" ph="1">
        <v>257</v>
      </c>
      <c r="AZ117" s="64" t="s" ph="1">
        <v>636</v>
      </c>
    </row>
    <row r="118" spans="33:52" ph="1">
      <c r="AZ118" s="64" t="s" ph="1">
        <v>637</v>
      </c>
    </row>
    <row r="119" spans="33:52" ph="1">
      <c r="AI119" s="64" t="s" ph="1">
        <v>250</v>
      </c>
      <c r="AJ119" s="64" t="s" ph="1">
        <v>251</v>
      </c>
      <c r="AK119" s="64" t="s" ph="1">
        <v>252</v>
      </c>
      <c r="AM119" s="64" t="s" ph="1">
        <v>251</v>
      </c>
      <c r="AN119" s="64" t="s" ph="1">
        <v>252</v>
      </c>
      <c r="AO119" s="64" t="s" ph="1">
        <v>253</v>
      </c>
      <c r="AP119" s="64" t="s" ph="1">
        <v>251</v>
      </c>
      <c r="AQ119" s="64" t="s" ph="1">
        <v>252</v>
      </c>
      <c r="AR119" s="64" t="s" ph="1">
        <v>253</v>
      </c>
      <c r="AS119" s="64" t="s" ph="1">
        <v>251</v>
      </c>
      <c r="AT119" s="64" t="s" ph="1">
        <v>252</v>
      </c>
      <c r="AU119" s="64" t="s" ph="1">
        <v>253</v>
      </c>
      <c r="AV119" s="64" t="s" ph="1">
        <v>251</v>
      </c>
      <c r="AW119" s="64" t="s" ph="1">
        <v>252</v>
      </c>
      <c r="AX119" s="64" t="s" ph="1">
        <v>253</v>
      </c>
      <c r="AY119" s="64" t="s" ph="1">
        <v>252</v>
      </c>
      <c r="AZ119" s="64" t="s" ph="1">
        <v>254</v>
      </c>
    </row>
    <row r="120" spans="33:52" ph="1">
      <c r="AG120" s="64" t="s" ph="1">
        <v>394</v>
      </c>
      <c r="AH120" s="64" ph="1">
        <v>1</v>
      </c>
      <c r="AI120" s="64" t="s" ph="1">
        <v>554</v>
      </c>
      <c r="AJ120" s="64" t="s" ph="1">
        <v>628</v>
      </c>
      <c r="AK120" s="64" t="s" ph="1">
        <v>408</v>
      </c>
      <c r="AY120" s="64" t="s" ph="1">
        <v>257</v>
      </c>
      <c r="AZ120" s="64" t="s" ph="1">
        <v>408</v>
      </c>
    </row>
    <row r="121" spans="33:52" ph="1">
      <c r="AH121" s="64" ph="1">
        <v>2</v>
      </c>
      <c r="AI121" s="64" t="s" ph="1">
        <v>555</v>
      </c>
      <c r="AY121" s="64" t="s" ph="1">
        <v>257</v>
      </c>
      <c r="AZ121" s="64" t="s" ph="1">
        <v>408</v>
      </c>
    </row>
    <row r="122" spans="33:52" ph="1">
      <c r="AH122" s="64" ph="1">
        <v>3</v>
      </c>
      <c r="AI122" s="64" t="s" ph="1">
        <v>556</v>
      </c>
      <c r="AJ122" s="64" t="s" ph="1">
        <v>611</v>
      </c>
      <c r="AK122" s="64" t="s" ph="1">
        <v>623</v>
      </c>
      <c r="AM122" s="64" t="s" ph="1">
        <v>638</v>
      </c>
      <c r="AN122" s="64" t="s" ph="1">
        <v>631</v>
      </c>
      <c r="AO122" s="64" t="s" ph="1">
        <v>108</v>
      </c>
      <c r="AY122" s="64" t="s" ph="1">
        <v>257</v>
      </c>
      <c r="AZ122" s="64" t="s" ph="1">
        <v>620</v>
      </c>
    </row>
    <row r="123" spans="33:52" ph="1">
      <c r="AY123" s="64" t="s" ph="1">
        <v>257</v>
      </c>
      <c r="AZ123" s="64" t="s" ph="1">
        <v>620</v>
      </c>
    </row>
    <row r="124" spans="33:52" ph="1">
      <c r="AG124" s="64" t="s" ph="1">
        <v>397</v>
      </c>
      <c r="AH124" s="64" ph="1">
        <v>4</v>
      </c>
      <c r="AI124" s="64" t="s" ph="1">
        <v>557</v>
      </c>
      <c r="AJ124" s="64" t="s" ph="1">
        <v>558</v>
      </c>
      <c r="AK124" s="64" t="s" ph="1">
        <v>559</v>
      </c>
      <c r="AY124" s="64" t="s" ph="1">
        <v>257</v>
      </c>
      <c r="AZ124" s="64" t="s" ph="1">
        <v>559</v>
      </c>
    </row>
    <row r="125" spans="33:52" ph="1">
      <c r="AH125" s="64" ph="1">
        <v>5</v>
      </c>
      <c r="AI125" s="64" t="s" ph="1">
        <v>560</v>
      </c>
      <c r="AJ125" s="64" t="s" ph="1">
        <v>558</v>
      </c>
      <c r="AK125" s="64" t="s" ph="1">
        <v>559</v>
      </c>
      <c r="AY125" s="64" t="s" ph="1">
        <v>257</v>
      </c>
      <c r="AZ125" s="64" t="s" ph="1">
        <v>559</v>
      </c>
    </row>
    <row r="126" spans="33:52" ph="1">
      <c r="AH126" s="64" ph="1">
        <v>6</v>
      </c>
      <c r="AI126" s="64" t="s" ph="1">
        <v>561</v>
      </c>
      <c r="AJ126" s="64" t="s" ph="1">
        <v>630</v>
      </c>
      <c r="AK126" s="64" t="s" ph="1">
        <v>639</v>
      </c>
      <c r="AY126" s="64" t="s" ph="1">
        <v>257</v>
      </c>
      <c r="AZ126" s="64" t="s" ph="1">
        <v>639</v>
      </c>
    </row>
    <row r="127" spans="33:52" ph="1">
      <c r="AH127" s="64" ph="1">
        <v>7</v>
      </c>
      <c r="AI127" s="64" t="s" ph="1">
        <v>562</v>
      </c>
      <c r="AJ127" s="64" t="s" ph="1">
        <v>630</v>
      </c>
      <c r="AK127" s="64" t="s" ph="1">
        <v>640</v>
      </c>
      <c r="AY127" s="64" t="s" ph="1">
        <v>257</v>
      </c>
      <c r="AZ127" s="64" t="s" ph="1">
        <v>640</v>
      </c>
    </row>
    <row r="128" spans="33:52" ph="1">
      <c r="AH128" s="64" ph="1">
        <v>8</v>
      </c>
      <c r="AI128" s="64" t="s" ph="1">
        <v>563</v>
      </c>
      <c r="AY128" s="64" t="s" ph="1">
        <v>257</v>
      </c>
      <c r="AZ128" s="64" t="s" ph="1">
        <v>408</v>
      </c>
    </row>
    <row r="129" spans="33:52" ph="1">
      <c r="AH129" s="64" ph="1">
        <v>9</v>
      </c>
      <c r="AI129" s="64" t="s" ph="1">
        <v>564</v>
      </c>
      <c r="AY129" s="64" t="s" ph="1">
        <v>257</v>
      </c>
      <c r="AZ129" s="64" t="s" ph="1">
        <v>408</v>
      </c>
    </row>
    <row r="130" spans="33:52" ph="1">
      <c r="AH130" s="64" ph="1">
        <v>10</v>
      </c>
      <c r="AI130" s="64" t="s" ph="1">
        <v>565</v>
      </c>
      <c r="AY130" s="64" t="s" ph="1">
        <v>257</v>
      </c>
      <c r="AZ130" s="64" t="s" ph="1">
        <v>408</v>
      </c>
    </row>
    <row r="131" spans="33:52" ph="1">
      <c r="AH131" s="64" ph="1">
        <v>11</v>
      </c>
      <c r="AI131" s="64" t="s" ph="1">
        <v>566</v>
      </c>
      <c r="AJ131" s="64" t="s" ph="1">
        <v>624</v>
      </c>
      <c r="AK131" s="64" t="s" ph="1">
        <v>620</v>
      </c>
      <c r="AY131" s="64" t="s" ph="1">
        <v>257</v>
      </c>
      <c r="AZ131" s="64" t="s" ph="1">
        <v>620</v>
      </c>
    </row>
    <row r="132" spans="33:52" ph="1">
      <c r="AH132" s="64" ph="1">
        <v>12</v>
      </c>
      <c r="AI132" s="64" t="s" ph="1">
        <v>567</v>
      </c>
      <c r="AJ132" s="64" t="s" ph="1">
        <v>624</v>
      </c>
      <c r="AK132" s="64" t="s" ph="1">
        <v>559</v>
      </c>
      <c r="AY132" s="64" t="s" ph="1">
        <v>257</v>
      </c>
      <c r="AZ132" s="64" t="s" ph="1">
        <v>559</v>
      </c>
    </row>
    <row r="133" spans="33:52" ph="1">
      <c r="AH133" s="64" ph="1">
        <v>13</v>
      </c>
      <c r="AI133" s="64" t="s" ph="1">
        <v>568</v>
      </c>
      <c r="AJ133" s="64" t="s" ph="1">
        <v>624</v>
      </c>
      <c r="AK133" s="64" t="s" ph="1">
        <v>625</v>
      </c>
      <c r="AY133" s="64" t="s" ph="1">
        <v>257</v>
      </c>
      <c r="AZ133" s="64" t="s" ph="1">
        <v>625</v>
      </c>
    </row>
    <row r="134" spans="33:52" ph="1">
      <c r="AH134" s="64" ph="1">
        <v>14</v>
      </c>
      <c r="AI134" s="64" t="s" ph="1">
        <v>569</v>
      </c>
      <c r="AJ134" s="64" t="s" ph="1">
        <v>624</v>
      </c>
      <c r="AK134" s="64" t="s" ph="1">
        <v>626</v>
      </c>
      <c r="AY134" s="64" t="s" ph="1">
        <v>257</v>
      </c>
      <c r="AZ134" s="64" t="s" ph="1">
        <v>626</v>
      </c>
    </row>
    <row r="135" spans="33:52" ph="1">
      <c r="AH135" s="64" ph="1">
        <v>15</v>
      </c>
      <c r="AI135" s="64" t="s" ph="1">
        <v>570</v>
      </c>
      <c r="AJ135" s="64" t="s" ph="1">
        <v>624</v>
      </c>
      <c r="AK135" s="64" t="s" ph="1">
        <v>627</v>
      </c>
      <c r="AY135" s="64" t="s" ph="1">
        <v>257</v>
      </c>
      <c r="AZ135" s="64" t="s" ph="1">
        <v>627</v>
      </c>
    </row>
    <row r="136" spans="33:52" ph="1">
      <c r="AZ136" s="64" t="s" ph="1">
        <v>641</v>
      </c>
    </row>
    <row r="137" spans="33:52" ph="1">
      <c r="AG137" s="64" t="s" ph="1">
        <v>331</v>
      </c>
      <c r="AI137" s="64" t="s" ph="1">
        <v>250</v>
      </c>
      <c r="AJ137" s="64" t="s" ph="1">
        <v>251</v>
      </c>
      <c r="AK137" s="64" t="s" ph="1">
        <v>252</v>
      </c>
      <c r="AM137" s="64" t="s" ph="1">
        <v>251</v>
      </c>
      <c r="AN137" s="64" t="s" ph="1">
        <v>252</v>
      </c>
      <c r="AO137" s="64" t="s" ph="1">
        <v>253</v>
      </c>
      <c r="AP137" s="64" t="s" ph="1">
        <v>251</v>
      </c>
      <c r="AQ137" s="64" t="s" ph="1">
        <v>252</v>
      </c>
      <c r="AR137" s="64" t="s" ph="1">
        <v>253</v>
      </c>
      <c r="AS137" s="64" t="s" ph="1">
        <v>251</v>
      </c>
      <c r="AT137" s="64" t="s" ph="1">
        <v>252</v>
      </c>
      <c r="AU137" s="64" t="s" ph="1">
        <v>253</v>
      </c>
      <c r="AV137" s="64" t="s" ph="1">
        <v>251</v>
      </c>
      <c r="AW137" s="64" t="s" ph="1">
        <v>252</v>
      </c>
      <c r="AX137" s="64" t="s" ph="1">
        <v>253</v>
      </c>
      <c r="AY137" s="64" t="s" ph="1">
        <v>252</v>
      </c>
      <c r="AZ137" s="64" t="s" ph="1">
        <v>254</v>
      </c>
    </row>
    <row r="138" spans="33:52" ph="1">
      <c r="AH138" s="64" ph="1">
        <v>1</v>
      </c>
      <c r="AI138" s="64" t="s" ph="1">
        <v>571</v>
      </c>
      <c r="AJ138" s="64" t="s" ph="1">
        <v>572</v>
      </c>
      <c r="AK138" s="64" t="s" ph="1">
        <v>573</v>
      </c>
      <c r="AY138" s="64" t="s" ph="1">
        <v>257</v>
      </c>
      <c r="AZ138" s="64" t="s" ph="1">
        <v>573</v>
      </c>
    </row>
    <row r="139" spans="33:52" ph="1">
      <c r="AH139" s="64" ph="1">
        <v>2</v>
      </c>
      <c r="AI139" s="64" t="s" ph="1">
        <v>574</v>
      </c>
      <c r="AJ139" s="64" t="s" ph="1">
        <v>630</v>
      </c>
      <c r="AK139" s="64" t="s" ph="1">
        <v>642</v>
      </c>
      <c r="AY139" s="64" t="s" ph="1">
        <v>257</v>
      </c>
      <c r="AZ139" s="64" t="s" ph="1">
        <v>642</v>
      </c>
    </row>
    <row r="140" spans="33:52" ph="1">
      <c r="AH140" s="64" ph="1">
        <v>3</v>
      </c>
      <c r="AI140" s="64" t="s" ph="1">
        <v>575</v>
      </c>
      <c r="AJ140" s="64" t="s" ph="1">
        <v>528</v>
      </c>
      <c r="AK140" s="64" t="s" ph="1">
        <v>340</v>
      </c>
      <c r="AM140" s="64" t="s" ph="1">
        <v>529</v>
      </c>
      <c r="AN140" s="64" t="s" ph="1">
        <v>260</v>
      </c>
      <c r="AO140" s="64" t="s" ph="1">
        <v>576</v>
      </c>
      <c r="AP140" s="64" t="s" ph="1">
        <v>530</v>
      </c>
      <c r="AQ140" s="64" t="s" ph="1">
        <v>277</v>
      </c>
      <c r="AR140" s="64" t="s" ph="1">
        <v>576</v>
      </c>
      <c r="AS140" s="64" t="s" ph="1">
        <v>531</v>
      </c>
      <c r="AT140" s="64" t="s" ph="1">
        <v>270</v>
      </c>
      <c r="AU140" s="64" t="s" ph="1">
        <v>576</v>
      </c>
      <c r="AV140" s="64" t="s" ph="1">
        <v>532</v>
      </c>
      <c r="AW140" s="64" t="s" ph="1">
        <v>263</v>
      </c>
      <c r="AX140" s="64" t="s" ph="1">
        <v>576</v>
      </c>
      <c r="AY140" s="64" t="s" ph="1">
        <v>257</v>
      </c>
      <c r="AZ140" s="64" t="s" ph="1">
        <v>332</v>
      </c>
    </row>
    <row r="141" spans="33:52" ph="1">
      <c r="AJ141" s="64" t="s" ph="1">
        <v>534</v>
      </c>
      <c r="AK141" s="64" t="s" ph="1">
        <v>263</v>
      </c>
      <c r="AM141" s="64" t="s" ph="1">
        <v>535</v>
      </c>
      <c r="AN141" s="64" t="s" ph="1">
        <v>266</v>
      </c>
      <c r="AO141" s="64" t="s" ph="1">
        <v>576</v>
      </c>
      <c r="AP141" s="64" t="s" ph="1">
        <v>547</v>
      </c>
      <c r="AQ141" s="64" t="s" ph="1">
        <v>335</v>
      </c>
      <c r="AR141" s="64" t="s" ph="1">
        <v>576</v>
      </c>
      <c r="AS141" s="64" t="s" ph="1">
        <v>539</v>
      </c>
      <c r="AT141" s="64" t="s" ph="1">
        <v>263</v>
      </c>
      <c r="AU141" s="64" t="s" ph="1">
        <v>576</v>
      </c>
      <c r="AV141" s="64" t="s" ph="1">
        <v>375</v>
      </c>
      <c r="AW141" s="64" t="s" ph="1">
        <v>269</v>
      </c>
      <c r="AX141" s="64" t="s" ph="1">
        <v>576</v>
      </c>
    </row>
    <row r="142" spans="33:52" ph="1">
      <c r="AJ142" s="64" t="s" ph="1">
        <v>577</v>
      </c>
      <c r="AK142" s="64" t="s" ph="1">
        <v>280</v>
      </c>
    </row>
    <row r="143" spans="33:52" ph="1">
      <c r="AH143" s="64" ph="1">
        <v>4</v>
      </c>
      <c r="AI143" s="64" t="s" ph="1">
        <v>578</v>
      </c>
      <c r="AJ143" s="64" t="s" ph="1">
        <v>558</v>
      </c>
      <c r="AK143" s="64" t="s" ph="1">
        <v>579</v>
      </c>
      <c r="AY143" s="64" t="s" ph="1">
        <v>257</v>
      </c>
      <c r="AZ143" s="64" t="s" ph="1">
        <v>579</v>
      </c>
    </row>
    <row r="144" spans="33:52" ph="1">
      <c r="AH144" s="64" ph="1">
        <v>5</v>
      </c>
      <c r="AI144" s="64" t="s" ph="1">
        <v>580</v>
      </c>
      <c r="AY144" s="64" t="s" ph="1">
        <v>257</v>
      </c>
      <c r="AZ144" s="64" t="s" ph="1">
        <v>408</v>
      </c>
    </row>
    <row r="145" spans="33:52" ph="1">
      <c r="AH145" s="64" ph="1">
        <v>6</v>
      </c>
      <c r="AI145" s="64" t="s" ph="1">
        <v>581</v>
      </c>
      <c r="AY145" s="64" t="s" ph="1">
        <v>257</v>
      </c>
      <c r="AZ145" s="64" t="s" ph="1">
        <v>408</v>
      </c>
    </row>
    <row r="146" spans="33:52" ph="1">
      <c r="AH146" s="64" ph="1">
        <v>7</v>
      </c>
      <c r="AI146" s="64" t="s" ph="1">
        <v>582</v>
      </c>
      <c r="AY146" s="64" t="s" ph="1">
        <v>257</v>
      </c>
      <c r="AZ146" s="64" t="s" ph="1">
        <v>408</v>
      </c>
    </row>
    <row r="147" spans="33:52" ph="1">
      <c r="AH147" s="64" ph="1">
        <v>8</v>
      </c>
      <c r="AI147" s="64" t="s" ph="1">
        <v>583</v>
      </c>
      <c r="AY147" s="64" t="s" ph="1">
        <v>257</v>
      </c>
      <c r="AZ147" s="64" t="s" ph="1">
        <v>408</v>
      </c>
    </row>
    <row r="148" spans="33:52" ph="1">
      <c r="AH148" s="64" ph="1">
        <v>9</v>
      </c>
      <c r="AI148" s="64" t="s" ph="1">
        <v>584</v>
      </c>
      <c r="AY148" s="64" t="s" ph="1">
        <v>257</v>
      </c>
      <c r="AZ148" s="64" t="s" ph="1">
        <v>408</v>
      </c>
    </row>
    <row r="149" spans="33:52" ph="1">
      <c r="AH149" s="64" ph="1">
        <v>10</v>
      </c>
      <c r="AI149" s="64" t="s" ph="1">
        <v>585</v>
      </c>
      <c r="AY149" s="64" t="s" ph="1">
        <v>257</v>
      </c>
      <c r="AZ149" s="64" t="s" ph="1">
        <v>408</v>
      </c>
    </row>
    <row r="150" spans="33:52" ph="1">
      <c r="AH150" s="64" ph="1">
        <v>11</v>
      </c>
      <c r="AI150" s="64" t="s" ph="1">
        <v>586</v>
      </c>
      <c r="AY150" s="64" t="s" ph="1">
        <v>257</v>
      </c>
      <c r="AZ150" s="64" t="s" ph="1">
        <v>408</v>
      </c>
    </row>
    <row r="151" spans="33:52" ph="1">
      <c r="AH151" s="64" ph="1">
        <v>12</v>
      </c>
      <c r="AI151" s="64" t="s" ph="1">
        <v>587</v>
      </c>
      <c r="AY151" s="64" t="s" ph="1">
        <v>257</v>
      </c>
      <c r="AZ151" s="64" t="s" ph="1">
        <v>408</v>
      </c>
    </row>
    <row r="152" spans="33:52" ph="1">
      <c r="AH152" s="64" ph="1">
        <v>13</v>
      </c>
      <c r="AI152" s="64" t="s" ph="1">
        <v>588</v>
      </c>
      <c r="AY152" s="64" t="s" ph="1">
        <v>257</v>
      </c>
      <c r="AZ152" s="64" t="s" ph="1">
        <v>408</v>
      </c>
    </row>
    <row r="153" spans="33:52" ph="1">
      <c r="AH153" s="64" ph="1">
        <v>14</v>
      </c>
      <c r="AI153" s="64" t="s" ph="1">
        <v>589</v>
      </c>
      <c r="AY153" s="64" t="s" ph="1">
        <v>257</v>
      </c>
      <c r="AZ153" s="64" t="s" ph="1">
        <v>408</v>
      </c>
    </row>
    <row r="154" spans="33:52" ph="1">
      <c r="AH154" s="64" ph="1">
        <v>15</v>
      </c>
      <c r="AI154" s="64" t="s" ph="1">
        <v>590</v>
      </c>
      <c r="AY154" s="64" t="s" ph="1">
        <v>257</v>
      </c>
      <c r="AZ154" s="64" t="s" ph="1">
        <v>408</v>
      </c>
    </row>
    <row r="155" spans="33:52" ph="1">
      <c r="AH155" s="64" ph="1">
        <v>16</v>
      </c>
      <c r="AI155" s="64" t="s" ph="1">
        <v>591</v>
      </c>
      <c r="AJ155" s="64" t="s" ph="1">
        <v>377</v>
      </c>
      <c r="AK155" s="64" t="s" ph="1">
        <v>272</v>
      </c>
      <c r="AM155" s="64" t="s" ph="1">
        <v>611</v>
      </c>
      <c r="AN155" s="64" t="s" ph="1">
        <v>323</v>
      </c>
      <c r="AO155" s="64" t="s" ph="1">
        <v>576</v>
      </c>
      <c r="AY155" s="64" t="s" ph="1">
        <v>257</v>
      </c>
      <c r="AZ155" s="64" t="s" ph="1">
        <v>264</v>
      </c>
    </row>
    <row r="156" spans="33:52" ph="1">
      <c r="AZ156" s="64" t="s" ph="1">
        <v>643</v>
      </c>
    </row>
    <row r="157" spans="33:52" ph="1">
      <c r="AG157" s="64" t="s" ph="1">
        <v>592</v>
      </c>
      <c r="AI157" s="64" t="s" ph="1">
        <v>250</v>
      </c>
      <c r="AJ157" s="64" t="s" ph="1">
        <v>251</v>
      </c>
      <c r="AK157" s="64" t="s" ph="1">
        <v>252</v>
      </c>
      <c r="AM157" s="64" t="s" ph="1">
        <v>251</v>
      </c>
      <c r="AN157" s="64" t="s" ph="1">
        <v>252</v>
      </c>
      <c r="AO157" s="64" t="s" ph="1">
        <v>253</v>
      </c>
      <c r="AP157" s="64" t="s" ph="1">
        <v>251</v>
      </c>
      <c r="AQ157" s="64" t="s" ph="1">
        <v>252</v>
      </c>
      <c r="AR157" s="64" t="s" ph="1">
        <v>253</v>
      </c>
      <c r="AS157" s="64" t="s" ph="1">
        <v>251</v>
      </c>
      <c r="AT157" s="64" t="s" ph="1">
        <v>252</v>
      </c>
      <c r="AU157" s="64" t="s" ph="1">
        <v>253</v>
      </c>
      <c r="AV157" s="64" t="s" ph="1">
        <v>251</v>
      </c>
      <c r="AW157" s="64" t="s" ph="1">
        <v>252</v>
      </c>
      <c r="AX157" s="64" t="s" ph="1">
        <v>253</v>
      </c>
      <c r="AY157" s="64" t="s" ph="1">
        <v>252</v>
      </c>
      <c r="AZ157" s="64" t="s" ph="1">
        <v>254</v>
      </c>
    </row>
    <row r="158" spans="33:52" ph="1">
      <c r="AH158" s="64" ph="1">
        <v>1</v>
      </c>
      <c r="AI158" s="64" t="s" ph="1">
        <v>593</v>
      </c>
      <c r="AY158" s="64" t="s" ph="1">
        <v>257</v>
      </c>
      <c r="AZ158" s="64" t="s" ph="1">
        <v>408</v>
      </c>
    </row>
    <row r="159" spans="33:52" ph="1">
      <c r="AH159" s="64" ph="1">
        <v>2</v>
      </c>
      <c r="AI159" s="64" t="s" ph="1">
        <v>594</v>
      </c>
      <c r="AY159" s="64" t="s" ph="1">
        <v>257</v>
      </c>
      <c r="AZ159" s="64" t="s" ph="1">
        <v>408</v>
      </c>
    </row>
    <row r="160" spans="33:52" ph="1">
      <c r="AZ160" s="64" t="s" ph="1">
        <v>426</v>
      </c>
    </row>
    <row r="161" spans="33:52" ph="1">
      <c r="AG161" s="64" t="s" ph="1">
        <v>402</v>
      </c>
      <c r="AI161" s="64" t="s" ph="1">
        <v>250</v>
      </c>
      <c r="AJ161" s="64" t="s" ph="1">
        <v>251</v>
      </c>
      <c r="AK161" s="64" t="s" ph="1">
        <v>252</v>
      </c>
      <c r="AM161" s="64" t="s" ph="1">
        <v>251</v>
      </c>
      <c r="AN161" s="64" t="s" ph="1">
        <v>252</v>
      </c>
      <c r="AO161" s="64" t="s" ph="1">
        <v>253</v>
      </c>
      <c r="AP161" s="64" t="s" ph="1">
        <v>251</v>
      </c>
      <c r="AQ161" s="64" t="s" ph="1">
        <v>252</v>
      </c>
      <c r="AR161" s="64" t="s" ph="1">
        <v>253</v>
      </c>
      <c r="AS161" s="64" t="s" ph="1">
        <v>251</v>
      </c>
      <c r="AT161" s="64" t="s" ph="1">
        <v>252</v>
      </c>
      <c r="AU161" s="64" t="s" ph="1">
        <v>253</v>
      </c>
      <c r="AV161" s="64" t="s" ph="1">
        <v>251</v>
      </c>
      <c r="AW161" s="64" t="s" ph="1">
        <v>252</v>
      </c>
      <c r="AX161" s="64" t="s" ph="1">
        <v>253</v>
      </c>
      <c r="AY161" s="64" t="s" ph="1">
        <v>252</v>
      </c>
      <c r="AZ161" s="64" t="s" ph="1">
        <v>254</v>
      </c>
    </row>
    <row r="162" spans="33:52" ph="1">
      <c r="AH162" s="64" ph="1">
        <v>1</v>
      </c>
      <c r="AI162" s="64" t="s" ph="1">
        <v>595</v>
      </c>
      <c r="AJ162" s="64" t="s" ph="1">
        <v>596</v>
      </c>
      <c r="AK162" s="64" t="s" ph="1">
        <v>540</v>
      </c>
      <c r="AM162" s="64" t="s" ph="1">
        <v>597</v>
      </c>
      <c r="AN162" s="64" t="s" ph="1">
        <v>261</v>
      </c>
      <c r="AO162" s="64" t="s" ph="1">
        <v>598</v>
      </c>
      <c r="AY162" s="64" t="s" ph="1">
        <v>257</v>
      </c>
      <c r="AZ162" s="64" t="s" ph="1">
        <v>333</v>
      </c>
    </row>
    <row r="163" spans="33:52" ph="1">
      <c r="AH163" s="64" ph="1">
        <v>2</v>
      </c>
      <c r="AI163" s="64" t="s" ph="1">
        <v>599</v>
      </c>
      <c r="AJ163" s="64" t="s" ph="1">
        <v>596</v>
      </c>
      <c r="AK163" s="64" t="s" ph="1">
        <v>429</v>
      </c>
      <c r="AY163" s="64" t="s" ph="1">
        <v>257</v>
      </c>
      <c r="AZ163" s="64" t="s" ph="1">
        <v>429</v>
      </c>
    </row>
    <row r="164" spans="33:52" ph="1">
      <c r="AH164" s="64" ph="1">
        <v>3</v>
      </c>
      <c r="AI164" s="64" t="s" ph="1">
        <v>600</v>
      </c>
      <c r="AJ164" s="64" t="s" ph="1">
        <v>596</v>
      </c>
      <c r="AK164" s="64" t="s" ph="1">
        <v>333</v>
      </c>
      <c r="AY164" s="64" t="s" ph="1">
        <v>257</v>
      </c>
      <c r="AZ164" s="64" t="s" ph="1">
        <v>333</v>
      </c>
    </row>
    <row r="165" spans="33:52" ph="1">
      <c r="AH165" s="64" ph="1">
        <v>4</v>
      </c>
      <c r="AI165" s="64" t="s" ph="1">
        <v>601</v>
      </c>
      <c r="AY165" s="64" t="s" ph="1">
        <v>257</v>
      </c>
      <c r="AZ165" s="64" t="s" ph="1">
        <v>408</v>
      </c>
    </row>
    <row r="166" spans="33:52" ph="1">
      <c r="AH166" s="64" ph="1">
        <v>5</v>
      </c>
      <c r="AI166" s="64" t="s" ph="1">
        <v>602</v>
      </c>
      <c r="AY166" s="64" t="s" ph="1">
        <v>257</v>
      </c>
      <c r="AZ166" s="64" t="s" ph="1">
        <v>408</v>
      </c>
    </row>
    <row r="167" spans="33:52" ph="1">
      <c r="AZ167" s="64" t="s" ph="1">
        <v>603</v>
      </c>
    </row>
    <row r="168" spans="33:52" ph="1">
      <c r="AG168" s="64" t="s" ph="1">
        <v>346</v>
      </c>
      <c r="AI168" s="64" t="s" ph="1">
        <v>250</v>
      </c>
      <c r="AJ168" s="64" t="s" ph="1">
        <v>251</v>
      </c>
      <c r="AK168" s="64" t="s" ph="1">
        <v>252</v>
      </c>
      <c r="AM168" s="64" t="s" ph="1">
        <v>251</v>
      </c>
      <c r="AN168" s="64" t="s" ph="1">
        <v>252</v>
      </c>
      <c r="AO168" s="64" t="s" ph="1">
        <v>253</v>
      </c>
      <c r="AP168" s="64" t="s" ph="1">
        <v>251</v>
      </c>
      <c r="AQ168" s="64" t="s" ph="1">
        <v>252</v>
      </c>
      <c r="AR168" s="64" t="s" ph="1">
        <v>253</v>
      </c>
      <c r="AS168" s="64" t="s" ph="1">
        <v>251</v>
      </c>
      <c r="AT168" s="64" t="s" ph="1">
        <v>252</v>
      </c>
      <c r="AU168" s="64" t="s" ph="1">
        <v>253</v>
      </c>
      <c r="AV168" s="64" t="s" ph="1">
        <v>251</v>
      </c>
      <c r="AW168" s="64" t="s" ph="1">
        <v>252</v>
      </c>
      <c r="AX168" s="64" t="s" ph="1">
        <v>253</v>
      </c>
      <c r="AY168" s="64" t="s" ph="1">
        <v>252</v>
      </c>
      <c r="AZ168" s="64" t="s" ph="1">
        <v>254</v>
      </c>
    </row>
    <row r="169" spans="33:52" ph="1">
      <c r="AH169" s="64" ph="1">
        <v>1</v>
      </c>
      <c r="AI169" s="64" t="s" ph="1">
        <v>604</v>
      </c>
      <c r="AY169" s="64" t="s" ph="1">
        <v>257</v>
      </c>
      <c r="AZ169" s="64" t="s" ph="1">
        <v>408</v>
      </c>
    </row>
    <row r="170" spans="33:52" ph="1">
      <c r="AH170" s="64" ph="1">
        <v>2</v>
      </c>
      <c r="AI170" s="64" t="s" ph="1">
        <v>605</v>
      </c>
      <c r="AY170" s="64" t="s" ph="1">
        <v>257</v>
      </c>
      <c r="AZ170" s="64" t="s" ph="1">
        <v>408</v>
      </c>
    </row>
    <row r="171" spans="33:52" ph="1">
      <c r="AH171" s="64" ph="1">
        <v>3</v>
      </c>
      <c r="AI171" s="64" t="s" ph="1">
        <v>606</v>
      </c>
      <c r="AY171" s="64" t="s" ph="1">
        <v>257</v>
      </c>
      <c r="AZ171" s="64" t="s" ph="1">
        <v>408</v>
      </c>
    </row>
    <row r="172" spans="33:52" ph="1">
      <c r="AH172" s="64" ph="1">
        <v>4</v>
      </c>
      <c r="AI172" s="64" t="s" ph="1">
        <v>607</v>
      </c>
      <c r="AY172" s="64" t="s" ph="1">
        <v>257</v>
      </c>
      <c r="AZ172" s="64" t="s" ph="1">
        <v>408</v>
      </c>
    </row>
    <row r="173" spans="33:52" ph="1">
      <c r="AH173" s="64" ph="1">
        <v>5</v>
      </c>
      <c r="AI173" s="64" t="s" ph="1">
        <v>608</v>
      </c>
      <c r="AY173" s="64" t="s" ph="1">
        <v>257</v>
      </c>
      <c r="AZ173" s="64" t="s" ph="1">
        <v>408</v>
      </c>
    </row>
    <row r="174" spans="33:52" ph="1">
      <c r="AZ174" s="64" t="s" ph="1">
        <v>426</v>
      </c>
    </row>
    <row r="175" spans="33:52" ph="1">
      <c r="AJ175" s="64" t="s" ph="1">
        <v>347</v>
      </c>
    </row>
    <row r="176" spans="33:52" ph="1">
      <c r="AJ176" s="64" t="s" ph="1">
        <v>348</v>
      </c>
      <c r="AK176" s="64" t="s" ph="1">
        <v>349</v>
      </c>
      <c r="AM176" s="64" t="s" ph="1">
        <v>350</v>
      </c>
      <c r="AO176" s="64" t="s" ph="1">
        <v>351</v>
      </c>
      <c r="AP176" s="64" t="s" ph="1">
        <v>352</v>
      </c>
      <c r="AQ176" s="64" t="s" ph="1">
        <v>342</v>
      </c>
      <c r="AR176" s="64" t="s" ph="1">
        <v>262</v>
      </c>
    </row>
    <row r="177" spans="36:56" ph="1">
      <c r="AJ177" s="64" t="s" ph="1">
        <v>644</v>
      </c>
      <c r="AK177" s="64" t="s" ph="1">
        <v>353</v>
      </c>
      <c r="AO177" s="64" t="s" ph="1">
        <v>353</v>
      </c>
      <c r="AP177" s="64" t="s" ph="1">
        <v>353</v>
      </c>
      <c r="AQ177" s="64" t="s" ph="1">
        <v>354</v>
      </c>
      <c r="AR177" s="64" t="s" ph="1">
        <v>355</v>
      </c>
    </row>
    <row r="179" spans="36:56" ph="1">
      <c r="AJ179" s="64" t="s" ph="1">
        <v>356</v>
      </c>
      <c r="AK179" s="64" t="s" ph="1">
        <v>357</v>
      </c>
      <c r="AM179" s="64" t="s" ph="1">
        <v>358</v>
      </c>
      <c r="AN179" s="64" t="s" ph="1">
        <v>334</v>
      </c>
      <c r="AO179" s="64" t="s" ph="1">
        <v>359</v>
      </c>
      <c r="AP179" s="64" t="s" ph="1">
        <v>338</v>
      </c>
      <c r="AQ179" s="64" t="s" ph="1">
        <v>360</v>
      </c>
      <c r="AR179" s="64" t="s" ph="1">
        <v>361</v>
      </c>
    </row>
    <row r="180" spans="36:56" ph="1">
      <c r="AJ180" s="64" t="s" ph="1">
        <v>353</v>
      </c>
      <c r="AK180" s="64" t="s" ph="1">
        <v>353</v>
      </c>
      <c r="AL180" s="64" ph="1">
        <v>116</v>
      </c>
      <c r="AM180" s="64" t="s" ph="1">
        <v>353</v>
      </c>
      <c r="AN180" s="64" t="s" ph="1">
        <v>362</v>
      </c>
      <c r="AO180" s="64" t="s" ph="1">
        <v>353</v>
      </c>
      <c r="AP180" s="64" t="s" ph="1">
        <v>363</v>
      </c>
      <c r="AQ180" s="64" t="s" ph="1">
        <v>364</v>
      </c>
      <c r="AR180" s="64" t="s" ph="1">
        <v>365</v>
      </c>
    </row>
    <row r="189" spans="36:56" ph="1">
      <c r="BD189" s="64" t="s" ph="1">
        <v>609</v>
      </c>
    </row>
    <row r="223" spans="18:18" ph="1">
      <c r="R223" s="138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495" priority="92">
      <formula>ABS(D$7-D$10)&gt;=1000</formula>
    </cfRule>
  </conditionalFormatting>
  <conditionalFormatting sqref="E4 E6:E11">
    <cfRule type="expression" dxfId="2494" priority="91">
      <formula>ABS(E$7-E$10)&gt;=1000</formula>
    </cfRule>
  </conditionalFormatting>
  <conditionalFormatting sqref="F4:F11">
    <cfRule type="expression" dxfId="2493" priority="90">
      <formula>ABS(F$7-F$10)&gt;=1000</formula>
    </cfRule>
  </conditionalFormatting>
  <conditionalFormatting sqref="G4:G11">
    <cfRule type="expression" dxfId="2492" priority="89">
      <formula>ABS(G$7-G$10)&gt;=1000</formula>
    </cfRule>
  </conditionalFormatting>
  <conditionalFormatting sqref="H4:H11">
    <cfRule type="expression" dxfId="2491" priority="88">
      <formula>ABS(H$7-H$10)&gt;=1000</formula>
    </cfRule>
  </conditionalFormatting>
  <conditionalFormatting sqref="I4:I11">
    <cfRule type="expression" dxfId="2490" priority="87">
      <formula>ABS(I$7-I$10)&gt;=1000</formula>
    </cfRule>
  </conditionalFormatting>
  <conditionalFormatting sqref="J4:J11">
    <cfRule type="expression" dxfId="2489" priority="86">
      <formula>ABS(J$7-J$10)&gt;=1000</formula>
    </cfRule>
  </conditionalFormatting>
  <conditionalFormatting sqref="K4:K11">
    <cfRule type="expression" dxfId="2488" priority="85">
      <formula>ABS(K$7-K$10)&gt;=1000</formula>
    </cfRule>
  </conditionalFormatting>
  <conditionalFormatting sqref="L4:L11">
    <cfRule type="expression" dxfId="2487" priority="84">
      <formula>ABS(L$7-L$10)&gt;=1000</formula>
    </cfRule>
  </conditionalFormatting>
  <conditionalFormatting sqref="M4:M11">
    <cfRule type="expression" dxfId="2486" priority="83">
      <formula>ABS(M$7-M$10)&gt;=1000</formula>
    </cfRule>
  </conditionalFormatting>
  <conditionalFormatting sqref="N4:N11">
    <cfRule type="expression" dxfId="2485" priority="82">
      <formula>ABS(N$7-N$10)&gt;=1000</formula>
    </cfRule>
  </conditionalFormatting>
  <conditionalFormatting sqref="O4:O11">
    <cfRule type="expression" dxfId="2484" priority="81">
      <formula>ABS(O$7-O$10)&gt;=1000</formula>
    </cfRule>
  </conditionalFormatting>
  <conditionalFormatting sqref="P4:P11">
    <cfRule type="expression" dxfId="2483" priority="80">
      <formula>ABS(P$7-P$10)&gt;=1000</formula>
    </cfRule>
  </conditionalFormatting>
  <conditionalFormatting sqref="Q4:Q11">
    <cfRule type="expression" dxfId="2482" priority="79">
      <formula>ABS(Q$7-Q$10)&gt;=1000</formula>
    </cfRule>
  </conditionalFormatting>
  <conditionalFormatting sqref="R4:R11">
    <cfRule type="expression" dxfId="2481" priority="78">
      <formula>ABS(R$7-R$10)&gt;=1000</formula>
    </cfRule>
  </conditionalFormatting>
  <conditionalFormatting sqref="S4:S11">
    <cfRule type="expression" dxfId="2480" priority="77">
      <formula>ABS(S$7-S$10)&gt;=1000</formula>
    </cfRule>
  </conditionalFormatting>
  <conditionalFormatting sqref="T4:T9 T11">
    <cfRule type="expression" dxfId="2479" priority="76">
      <formula>ABS(T$7-T$10)&gt;=1000</formula>
    </cfRule>
  </conditionalFormatting>
  <conditionalFormatting sqref="U4:U9 U11">
    <cfRule type="expression" dxfId="2478" priority="75">
      <formula>ABS(U$7-U$10)&gt;=1000</formula>
    </cfRule>
  </conditionalFormatting>
  <conditionalFormatting sqref="V4:V9 V11">
    <cfRule type="expression" dxfId="2477" priority="74">
      <formula>ABS(V$7-V$10)&gt;=1000</formula>
    </cfRule>
  </conditionalFormatting>
  <conditionalFormatting sqref="W4:W9 W11">
    <cfRule type="expression" dxfId="2476" priority="73">
      <formula>ABS(W$7-W$10)&gt;=1000</formula>
    </cfRule>
  </conditionalFormatting>
  <conditionalFormatting sqref="X4:X9 X11">
    <cfRule type="expression" dxfId="2475" priority="72">
      <formula>ABS(X$7-X$10)&gt;=1000</formula>
    </cfRule>
  </conditionalFormatting>
  <conditionalFormatting sqref="Y4:Y9 Y11">
    <cfRule type="expression" dxfId="2474" priority="71">
      <formula>ABS(Y$7-Y$10)&gt;=1000</formula>
    </cfRule>
  </conditionalFormatting>
  <conditionalFormatting sqref="Z4:Z11">
    <cfRule type="expression" dxfId="2473" priority="70">
      <formula>ABS(Z$7-Z$10)&gt;=1000</formula>
    </cfRule>
  </conditionalFormatting>
  <conditionalFormatting sqref="AA4:AA11">
    <cfRule type="expression" dxfId="2472" priority="69">
      <formula>ABS(AA$7-AA$10)&gt;=1000</formula>
    </cfRule>
  </conditionalFormatting>
  <conditionalFormatting sqref="AB4:AB11">
    <cfRule type="expression" dxfId="2471" priority="68">
      <formula>ABS(AB$7-AB$10)&gt;=1000</formula>
    </cfRule>
  </conditionalFormatting>
  <conditionalFormatting sqref="AC4 AC6:AC11">
    <cfRule type="expression" dxfId="2470" priority="67">
      <formula>ABS(AC$7-AC$10)&gt;=1000</formula>
    </cfRule>
  </conditionalFormatting>
  <conditionalFormatting sqref="AD4:AD11">
    <cfRule type="expression" dxfId="2469" priority="66">
      <formula>ABS(AD$7-AD$10)&gt;=1000</formula>
    </cfRule>
  </conditionalFormatting>
  <conditionalFormatting sqref="AE4:AE11">
    <cfRule type="expression" dxfId="2468" priority="65">
      <formula>ABS(AE$7-AE$10)&gt;=1000</formula>
    </cfRule>
  </conditionalFormatting>
  <conditionalFormatting sqref="D13:D20">
    <cfRule type="expression" dxfId="2467" priority="64">
      <formula>ABS(D$16-D$19)&gt;=1000</formula>
    </cfRule>
  </conditionalFormatting>
  <conditionalFormatting sqref="E13:E20">
    <cfRule type="expression" dxfId="2466" priority="63">
      <formula>ABS(E$16-E$19)&gt;=1000</formula>
    </cfRule>
  </conditionalFormatting>
  <conditionalFormatting sqref="F13 F15:F20">
    <cfRule type="expression" dxfId="2465" priority="62">
      <formula>ABS(F$16-F$19)&gt;=1000</formula>
    </cfRule>
  </conditionalFormatting>
  <conditionalFormatting sqref="G13:G20">
    <cfRule type="expression" dxfId="2464" priority="61">
      <formula>ABS(G$16-G$19)&gt;=1000</formula>
    </cfRule>
  </conditionalFormatting>
  <conditionalFormatting sqref="H13:H20">
    <cfRule type="expression" dxfId="2463" priority="60">
      <formula>ABS(H$16-H$19)&gt;=1000</formula>
    </cfRule>
  </conditionalFormatting>
  <conditionalFormatting sqref="I13:I20">
    <cfRule type="expression" dxfId="2462" priority="59">
      <formula>ABS(I$16-I$19)&gt;=1000</formula>
    </cfRule>
  </conditionalFormatting>
  <conditionalFormatting sqref="J13:J20">
    <cfRule type="expression" dxfId="2461" priority="58">
      <formula>ABS(J$16-J$19)&gt;=1000</formula>
    </cfRule>
  </conditionalFormatting>
  <conditionalFormatting sqref="L13:L20">
    <cfRule type="expression" dxfId="2460" priority="57">
      <formula>ABS(L$16-L$19)&gt;=1000</formula>
    </cfRule>
  </conditionalFormatting>
  <conditionalFormatting sqref="M13 M15 M17:M18 M20">
    <cfRule type="expression" dxfId="2459" priority="56">
      <formula>ABS(M$16-M$19)&gt;=1000</formula>
    </cfRule>
  </conditionalFormatting>
  <conditionalFormatting sqref="N13:N20">
    <cfRule type="expression" dxfId="2458" priority="55">
      <formula>ABS(N$16-N$19)&gt;=1000</formula>
    </cfRule>
  </conditionalFormatting>
  <conditionalFormatting sqref="O13:O20">
    <cfRule type="expression" dxfId="2457" priority="54">
      <formula>ABS(O$16-O$19)&gt;=1000</formula>
    </cfRule>
  </conditionalFormatting>
  <conditionalFormatting sqref="P13:P20">
    <cfRule type="expression" dxfId="2456" priority="53">
      <formula>ABS(P$16-P$19)&gt;=1000</formula>
    </cfRule>
  </conditionalFormatting>
  <conditionalFormatting sqref="Q13 Q15:Q20">
    <cfRule type="expression" dxfId="2455" priority="52">
      <formula>ABS(Q$16-Q$19)&gt;=1000</formula>
    </cfRule>
  </conditionalFormatting>
  <conditionalFormatting sqref="R13:R20">
    <cfRule type="expression" dxfId="2454" priority="51">
      <formula>ABS(R$16-R$19)&gt;=1000</formula>
    </cfRule>
  </conditionalFormatting>
  <conditionalFormatting sqref="S13:S20">
    <cfRule type="expression" dxfId="2453" priority="50">
      <formula>ABS(S$16-S$19)&gt;=1000</formula>
    </cfRule>
  </conditionalFormatting>
  <conditionalFormatting sqref="T13:T20">
    <cfRule type="expression" dxfId="2452" priority="49">
      <formula>ABS(T$16-T$19)&gt;=1000</formula>
    </cfRule>
  </conditionalFormatting>
  <conditionalFormatting sqref="U13:U20">
    <cfRule type="expression" dxfId="2451" priority="48">
      <formula>ABS(U$16-U$19)&gt;=1000</formula>
    </cfRule>
  </conditionalFormatting>
  <conditionalFormatting sqref="V13:V20">
    <cfRule type="expression" dxfId="2450" priority="47">
      <formula>ABS(V$16-V$19)&gt;=1000</formula>
    </cfRule>
  </conditionalFormatting>
  <conditionalFormatting sqref="W13 W15:W18 W20">
    <cfRule type="expression" dxfId="2449" priority="46">
      <formula>ABS(W$16-W$19)&gt;=1000</formula>
    </cfRule>
  </conditionalFormatting>
  <conditionalFormatting sqref="X13 X15:X20 Y19">
    <cfRule type="expression" dxfId="2448" priority="45">
      <formula>ABS(X$16-X$19)&gt;=1000</formula>
    </cfRule>
  </conditionalFormatting>
  <conditionalFormatting sqref="Y13 Y15:Y18 Y20">
    <cfRule type="expression" dxfId="2447" priority="44">
      <formula>ABS(Y$16-Y$19)&gt;=1000</formula>
    </cfRule>
  </conditionalFormatting>
  <conditionalFormatting sqref="Z13:Z20">
    <cfRule type="expression" dxfId="2446" priority="43">
      <formula>ABS(Z$16-Z$19)&gt;=1000</formula>
    </cfRule>
  </conditionalFormatting>
  <conditionalFormatting sqref="AA13:AA20">
    <cfRule type="expression" dxfId="2445" priority="42">
      <formula>ABS(AA$16-AA$19)&gt;=1000</formula>
    </cfRule>
  </conditionalFormatting>
  <conditionalFormatting sqref="AB13 AB15:AB20">
    <cfRule type="expression" dxfId="2444" priority="41">
      <formula>ABS(AB$16-AB$19)&gt;=1000</formula>
    </cfRule>
  </conditionalFormatting>
  <conditionalFormatting sqref="AC13 AC15:AC20">
    <cfRule type="expression" dxfId="2443" priority="40">
      <formula>ABS(AC$16-AC$19)&gt;=1000</formula>
    </cfRule>
  </conditionalFormatting>
  <conditionalFormatting sqref="AD13:AD20">
    <cfRule type="expression" dxfId="2442" priority="39">
      <formula>ABS(AD$16-AD$19)&gt;=1000</formula>
    </cfRule>
  </conditionalFormatting>
  <conditionalFormatting sqref="AE13:AE20">
    <cfRule type="expression" dxfId="2441" priority="38">
      <formula>ABS(AE$16-AE$19)&gt;=1000</formula>
    </cfRule>
  </conditionalFormatting>
  <conditionalFormatting sqref="D22:D29">
    <cfRule type="expression" dxfId="2440" priority="37">
      <formula>ABS(D$25-D$28)&gt;=1000</formula>
    </cfRule>
  </conditionalFormatting>
  <conditionalFormatting sqref="E22:E29">
    <cfRule type="expression" dxfId="2439" priority="36">
      <formula>ABS(E$25-E$28)&gt;=1000</formula>
    </cfRule>
  </conditionalFormatting>
  <conditionalFormatting sqref="F22:F29">
    <cfRule type="expression" dxfId="2438" priority="35">
      <formula>ABS(F$25-F$28)&gt;=1000</formula>
    </cfRule>
  </conditionalFormatting>
  <conditionalFormatting sqref="G22:G29">
    <cfRule type="expression" dxfId="2437" priority="34">
      <formula>ABS(G$25-G$28)&gt;=1000</formula>
    </cfRule>
  </conditionalFormatting>
  <conditionalFormatting sqref="H22:H29">
    <cfRule type="expression" dxfId="2436" priority="33">
      <formula>ABS(H$25-H$28)&gt;=1000</formula>
    </cfRule>
  </conditionalFormatting>
  <conditionalFormatting sqref="I22 I24:I29">
    <cfRule type="expression" dxfId="2435" priority="32">
      <formula>ABS(I$25-I$28)&gt;=1000</formula>
    </cfRule>
  </conditionalFormatting>
  <conditionalFormatting sqref="J22:J29 K22">
    <cfRule type="expression" dxfId="2434" priority="31">
      <formula>ABS(J$25-J$28)&gt;=1000</formula>
    </cfRule>
  </conditionalFormatting>
  <conditionalFormatting sqref="K23:K29 L25 L28">
    <cfRule type="expression" dxfId="2433" priority="30">
      <formula>ABS(K$25-K$28)&gt;=1000</formula>
    </cfRule>
  </conditionalFormatting>
  <conditionalFormatting sqref="L22:L24 L26:L27 L29">
    <cfRule type="expression" dxfId="2432" priority="29">
      <formula>ABS(L$25-L$28)&gt;=1000</formula>
    </cfRule>
  </conditionalFormatting>
  <conditionalFormatting sqref="M22:M29">
    <cfRule type="expression" dxfId="2431" priority="28">
      <formula>ABS(M$25-M$28)&gt;=1000</formula>
    </cfRule>
  </conditionalFormatting>
  <conditionalFormatting sqref="N22:N29">
    <cfRule type="expression" dxfId="2430" priority="27">
      <formula>ABS(N$25-N$28)&gt;=1000</formula>
    </cfRule>
  </conditionalFormatting>
  <conditionalFormatting sqref="O22:O29">
    <cfRule type="expression" dxfId="2429" priority="26">
      <formula>ABS(O$25-O$28)&gt;=1000</formula>
    </cfRule>
  </conditionalFormatting>
  <conditionalFormatting sqref="P22:P29">
    <cfRule type="expression" dxfId="2428" priority="25">
      <formula>ABS(P$25-P$28)&gt;=1000</formula>
    </cfRule>
  </conditionalFormatting>
  <conditionalFormatting sqref="Q22:Q29">
    <cfRule type="expression" dxfId="2427" priority="24">
      <formula>ABS(Q$25-Q$28)&gt;=1000</formula>
    </cfRule>
  </conditionalFormatting>
  <conditionalFormatting sqref="R22:R29">
    <cfRule type="expression" dxfId="2426" priority="23">
      <formula>ABS(R$25-R$28)&gt;=1000</formula>
    </cfRule>
  </conditionalFormatting>
  <conditionalFormatting sqref="S22:S29">
    <cfRule type="expression" dxfId="2425" priority="22">
      <formula>ABS(S$25-S$28)&gt;=1000</formula>
    </cfRule>
  </conditionalFormatting>
  <conditionalFormatting sqref="T22:T29">
    <cfRule type="expression" dxfId="2424" priority="21">
      <formula>ABS(T$25-T$28)&gt;=1000</formula>
    </cfRule>
  </conditionalFormatting>
  <conditionalFormatting sqref="U22:U29">
    <cfRule type="expression" dxfId="2423" priority="20">
      <formula>ABS(U$25-U$28)&gt;=1000</formula>
    </cfRule>
  </conditionalFormatting>
  <conditionalFormatting sqref="V22:V29">
    <cfRule type="expression" dxfId="2422" priority="19">
      <formula>ABS(V$25-V$28)&gt;=1000</formula>
    </cfRule>
  </conditionalFormatting>
  <conditionalFormatting sqref="W22:W29">
    <cfRule type="expression" dxfId="2421" priority="18">
      <formula>ABS(W$25-W$28)&gt;=1000</formula>
    </cfRule>
  </conditionalFormatting>
  <conditionalFormatting sqref="X22:X29">
    <cfRule type="expression" dxfId="2420" priority="17">
      <formula>ABS(X$25-X$28)&gt;=1000</formula>
    </cfRule>
  </conditionalFormatting>
  <conditionalFormatting sqref="Y22:Y29">
    <cfRule type="expression" dxfId="2419" priority="16">
      <formula>ABS(Y$25-Y$28)&gt;=1000</formula>
    </cfRule>
  </conditionalFormatting>
  <conditionalFormatting sqref="I23">
    <cfRule type="expression" dxfId="2418" priority="15">
      <formula>ABS(I$25-I$28)&gt;=1000</formula>
    </cfRule>
  </conditionalFormatting>
  <conditionalFormatting sqref="F14">
    <cfRule type="expression" dxfId="2417" priority="14">
      <formula>ABS(F$16-F$19)&gt;=1000</formula>
    </cfRule>
  </conditionalFormatting>
  <conditionalFormatting sqref="Q14">
    <cfRule type="expression" dxfId="2416" priority="13">
      <formula>ABS(Q$16-Q$19)&gt;=1000</formula>
    </cfRule>
  </conditionalFormatting>
  <conditionalFormatting sqref="W14">
    <cfRule type="expression" dxfId="2415" priority="12">
      <formula>ABS(W$16-W$19)&gt;=1000</formula>
    </cfRule>
  </conditionalFormatting>
  <conditionalFormatting sqref="Y14">
    <cfRule type="expression" dxfId="2414" priority="11">
      <formula>ABS(Y$16-Y$19)&gt;=1000</formula>
    </cfRule>
  </conditionalFormatting>
  <conditionalFormatting sqref="X14">
    <cfRule type="expression" dxfId="2413" priority="10">
      <formula>ABS(X$16-X$19)&gt;=1000</formula>
    </cfRule>
  </conditionalFormatting>
  <conditionalFormatting sqref="T10:Y10">
    <cfRule type="expression" dxfId="2412" priority="9">
      <formula>ABS(T$7-T$10)&gt;=1000</formula>
    </cfRule>
  </conditionalFormatting>
  <conditionalFormatting sqref="W19">
    <cfRule type="expression" dxfId="2411" priority="8">
      <formula>ABS(W$16-W$19)&gt;=1000</formula>
    </cfRule>
  </conditionalFormatting>
  <conditionalFormatting sqref="AC5">
    <cfRule type="expression" dxfId="2410" priority="7">
      <formula>ABS(AC$7-AC$10)&gt;=1000</formula>
    </cfRule>
  </conditionalFormatting>
  <conditionalFormatting sqref="M14">
    <cfRule type="expression" dxfId="2409" priority="6">
      <formula>ABS(M$16-M$19)&gt;=1000</formula>
    </cfRule>
  </conditionalFormatting>
  <conditionalFormatting sqref="M16">
    <cfRule type="expression" dxfId="2408" priority="5">
      <formula>ABS(M$16-M$19)&gt;=1000</formula>
    </cfRule>
  </conditionalFormatting>
  <conditionalFormatting sqref="M19">
    <cfRule type="expression" dxfId="2407" priority="4">
      <formula>ABS(M$16-M$19)&gt;=1000</formula>
    </cfRule>
  </conditionalFormatting>
  <conditionalFormatting sqref="K13:K20">
    <cfRule type="expression" dxfId="2406" priority="3">
      <formula>ABS(K$16-K$19)&gt;=1000</formula>
    </cfRule>
  </conditionalFormatting>
  <conditionalFormatting sqref="E5">
    <cfRule type="expression" dxfId="2405" priority="2">
      <formula>ABS(E$7-E$10)&gt;=1000</formula>
    </cfRule>
  </conditionalFormatting>
  <conditionalFormatting sqref="AB14:AC14">
    <cfRule type="expression" dxfId="2404" priority="1">
      <formula>ABS(AB$16-AB$19)&gt;=1000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284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65">
    <pageSetUpPr fitToPage="1"/>
  </sheetPr>
  <dimension ref="A1:CU223"/>
  <sheetViews>
    <sheetView view="pageBreakPreview" zoomScale="70" zoomScaleNormal="100" zoomScaleSheetLayoutView="70" workbookViewId="0">
      <selection activeCell="T7" sqref="T7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08" t="s" ph="1">
        <v>192</v>
      </c>
      <c r="C1" s="208" ph="1"/>
      <c r="D1" s="208" ph="1"/>
      <c r="E1" s="208" ph="1"/>
      <c r="F1" s="208" ph="1"/>
      <c r="G1" s="208" ph="1"/>
      <c r="H1" s="208" ph="1"/>
      <c r="I1" s="208" ph="1"/>
      <c r="J1" s="208" ph="1"/>
      <c r="K1" s="208" ph="1"/>
      <c r="L1" s="208" ph="1"/>
      <c r="M1" s="208" ph="1"/>
      <c r="N1" s="208" ph="1"/>
      <c r="O1" s="208" ph="1"/>
      <c r="P1" s="208" ph="1"/>
      <c r="Q1" s="208" ph="1"/>
      <c r="R1" s="208" ph="1"/>
      <c r="S1" s="208" ph="1"/>
      <c r="T1" s="208" ph="1"/>
      <c r="U1" s="208" ph="1"/>
      <c r="V1" s="208" ph="1"/>
      <c r="W1" s="208" ph="1"/>
      <c r="X1" s="208" ph="1"/>
      <c r="Y1" s="208" ph="1"/>
      <c r="Z1" s="208" ph="1"/>
      <c r="AA1" s="208" ph="1"/>
      <c r="AB1" s="208" ph="1"/>
      <c r="AC1" s="208" ph="1"/>
      <c r="AD1" s="208" ph="1"/>
      <c r="AE1" s="208" ph="1"/>
    </row>
    <row r="2" spans="1:99" s="66" customFormat="1" ht="24" customHeight="1" ph="1">
      <c r="B2" s="209" t="s" ph="1">
        <v>99</v>
      </c>
      <c r="C2" s="209" ph="1"/>
      <c r="D2" s="209" ph="1"/>
      <c r="E2" s="209" ph="1"/>
      <c r="F2" s="209" ph="1"/>
      <c r="G2" s="209" ph="1"/>
      <c r="H2" s="209" ph="1"/>
      <c r="I2" s="209" ph="1"/>
      <c r="J2" s="209" ph="1"/>
      <c r="K2" s="209" ph="1"/>
      <c r="L2" s="209" ph="1"/>
      <c r="M2" s="209" ph="1"/>
      <c r="N2" s="209" ph="1"/>
      <c r="O2" s="209" ph="1"/>
      <c r="P2" s="209" ph="1"/>
      <c r="Q2" s="209" ph="1"/>
      <c r="R2" s="209" ph="1"/>
      <c r="S2" s="209" ph="1"/>
      <c r="T2" s="209" ph="1"/>
      <c r="U2" s="209" ph="1"/>
      <c r="V2" s="209" ph="1"/>
      <c r="W2" s="209" ph="1"/>
      <c r="X2" s="209" ph="1"/>
      <c r="Y2" s="209" ph="1"/>
      <c r="Z2" s="209" ph="1"/>
      <c r="AA2" s="209" ph="1"/>
      <c r="AB2" s="209" ph="1"/>
      <c r="AC2" s="209" ph="1"/>
      <c r="AD2" s="209" ph="1"/>
      <c r="AE2" s="209" ph="1"/>
    </row>
    <row r="3" spans="1:99" ht="21" customHeight="1" ph="1">
      <c r="B3" s="210" ph="1">
        <v>45691</v>
      </c>
      <c r="C3" s="210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210"/>
      <c r="R3" s="210"/>
      <c r="S3" s="210"/>
      <c r="T3" s="210"/>
      <c r="U3" s="210"/>
      <c r="V3" s="210"/>
      <c r="W3" s="210"/>
      <c r="X3" s="210"/>
      <c r="Y3" s="210"/>
      <c r="Z3" s="210"/>
      <c r="AA3" s="210"/>
      <c r="AB3" s="210"/>
      <c r="AC3" s="210"/>
      <c r="AD3" s="210"/>
      <c r="AE3" s="210"/>
    </row>
    <row r="4" spans="1:99" s="69" customFormat="1" ph="1">
      <c r="A4" s="65" ph="1"/>
      <c r="B4" s="211" t="s" ph="1">
        <v>37</v>
      </c>
      <c r="C4" s="67" t="s" ph="1">
        <v>207</v>
      </c>
      <c r="D4" s="68" t="s" ph="1">
        <v>45</v>
      </c>
      <c r="E4" s="68" t="s" ph="1">
        <v>46</v>
      </c>
      <c r="F4" s="68" t="s" ph="1">
        <v>39</v>
      </c>
      <c r="G4" s="68" t="s" ph="1">
        <v>47</v>
      </c>
      <c r="H4" s="68" t="s" ph="1">
        <v>48</v>
      </c>
      <c r="I4" s="68" t="s" ph="1">
        <v>132</v>
      </c>
      <c r="J4" s="68" t="s" ph="1">
        <v>49</v>
      </c>
      <c r="K4" s="68" t="s" ph="1">
        <v>133</v>
      </c>
      <c r="L4" s="68" t="s" ph="1">
        <v>134</v>
      </c>
      <c r="M4" s="68" t="s" ph="1">
        <v>50</v>
      </c>
      <c r="N4" s="68" t="s" ph="1">
        <v>51</v>
      </c>
      <c r="O4" s="68" t="s" ph="1">
        <v>136</v>
      </c>
      <c r="P4" s="68" t="s" ph="1">
        <v>138</v>
      </c>
      <c r="Q4" s="68" t="s" ph="1">
        <v>139</v>
      </c>
      <c r="R4" s="68" t="s" ph="1">
        <v>140</v>
      </c>
      <c r="S4" s="68" t="s" ph="1">
        <v>141</v>
      </c>
      <c r="T4" s="68" t="s" ph="1">
        <v>142</v>
      </c>
      <c r="U4" s="68" t="s" ph="1">
        <v>143</v>
      </c>
      <c r="V4" s="68" t="s" ph="1">
        <v>144</v>
      </c>
      <c r="W4" s="68" t="s" ph="1">
        <v>145</v>
      </c>
      <c r="X4" s="68" t="s" ph="1">
        <v>146</v>
      </c>
      <c r="Y4" s="68" t="s" ph="1">
        <v>147</v>
      </c>
      <c r="Z4" s="68" t="s" ph="1">
        <v>52</v>
      </c>
      <c r="AA4" s="68" t="s" ph="1">
        <v>148</v>
      </c>
      <c r="AB4" s="68" t="s" ph="1">
        <v>149</v>
      </c>
      <c r="AC4" s="68" t="s" ph="1">
        <v>150</v>
      </c>
      <c r="AD4" s="68" t="s" ph="1">
        <v>40</v>
      </c>
      <c r="AE4" s="68" t="s" ph="1">
        <v>151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1" ph="1"/>
      <c r="C5" s="67" t="s" ph="1">
        <v>36</v>
      </c>
      <c r="D5" s="70" t="s" ph="1">
        <v>191</v>
      </c>
      <c r="E5" s="70" t="s" ph="1">
        <v>55</v>
      </c>
      <c r="F5" s="70" t="s" ph="1">
        <v>129</v>
      </c>
      <c r="G5" s="70" t="s" ph="1">
        <v>56</v>
      </c>
      <c r="H5" s="70" t="s" ph="1">
        <v>56</v>
      </c>
      <c r="I5" s="70" t="s" ph="1">
        <v>57</v>
      </c>
      <c r="J5" s="70" t="s" ph="1">
        <v>58</v>
      </c>
      <c r="K5" s="70" t="s" ph="1">
        <v>59</v>
      </c>
      <c r="L5" s="70" t="s" ph="1">
        <v>135</v>
      </c>
      <c r="M5" s="70" t="s" ph="1">
        <v>60</v>
      </c>
      <c r="N5" s="70" t="s" ph="1">
        <v>61</v>
      </c>
      <c r="O5" s="70" t="s" ph="1">
        <v>137</v>
      </c>
      <c r="P5" s="70" t="s" ph="1">
        <v>88</v>
      </c>
      <c r="Q5" s="70" t="s" ph="1">
        <v>96</v>
      </c>
      <c r="R5" s="70" t="s" ph="1">
        <v>96</v>
      </c>
      <c r="S5" s="70" t="s" ph="1">
        <v>96</v>
      </c>
      <c r="T5" s="70" t="s" ph="1">
        <v>96</v>
      </c>
      <c r="U5" s="70" t="s" ph="1">
        <v>96</v>
      </c>
      <c r="V5" s="70" t="s" ph="1">
        <v>96</v>
      </c>
      <c r="W5" s="70" t="s" ph="1">
        <v>96</v>
      </c>
      <c r="X5" s="70" t="s" ph="1">
        <v>96</v>
      </c>
      <c r="Y5" s="70" t="s" ph="1">
        <v>96</v>
      </c>
      <c r="Z5" s="70" t="s" ph="1">
        <v>95</v>
      </c>
      <c r="AA5" s="70" t="s" ph="1">
        <v>62</v>
      </c>
      <c r="AB5" s="70" t="s" ph="1">
        <v>62</v>
      </c>
      <c r="AC5" s="70" t="s" ph="1">
        <v>219</v>
      </c>
      <c r="AD5" s="70" t="s" ph="1">
        <v>83</v>
      </c>
      <c r="AE5" s="70" t="s" ph="1">
        <v>654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07" ph="1">
        <v>0.33333333333333331</v>
      </c>
      <c r="C6" s="149" t="s" ph="1">
        <v>208</v>
      </c>
      <c r="D6" s="71">
        <v>4097</v>
      </c>
      <c r="E6" s="71">
        <v>0</v>
      </c>
      <c r="F6" s="71">
        <v>6692</v>
      </c>
      <c r="G6" s="71">
        <v>6282</v>
      </c>
      <c r="H6" s="71">
        <v>565</v>
      </c>
      <c r="I6" s="71">
        <v>39.119999999999997</v>
      </c>
      <c r="J6" s="71">
        <v>79.81</v>
      </c>
      <c r="K6" s="71">
        <v>31.44</v>
      </c>
      <c r="L6" s="71">
        <v>75.05</v>
      </c>
      <c r="M6" s="71">
        <v>4989</v>
      </c>
      <c r="N6" s="71">
        <v>5227</v>
      </c>
      <c r="O6" s="71">
        <v>4273</v>
      </c>
      <c r="P6" s="71">
        <v>8153</v>
      </c>
      <c r="Q6" s="71">
        <v>0</v>
      </c>
      <c r="R6" s="71">
        <v>0</v>
      </c>
      <c r="S6" s="71">
        <v>0</v>
      </c>
      <c r="T6" s="71">
        <v>5437</v>
      </c>
      <c r="U6" s="71">
        <v>6855</v>
      </c>
      <c r="V6" s="71">
        <v>4714</v>
      </c>
      <c r="W6" s="71">
        <v>4738</v>
      </c>
      <c r="X6" s="71">
        <v>217</v>
      </c>
      <c r="Y6" s="71">
        <v>0</v>
      </c>
      <c r="Z6" s="71">
        <v>5869</v>
      </c>
      <c r="AA6" s="71">
        <v>1715</v>
      </c>
      <c r="AB6" s="71">
        <v>3211</v>
      </c>
      <c r="AC6" s="71">
        <v>7321</v>
      </c>
      <c r="AD6" s="71">
        <v>274</v>
      </c>
      <c r="AE6" s="71">
        <v>3165</v>
      </c>
    </row>
    <row r="7" spans="1:99" s="72" customFormat="1" ht="22.5" ph="1">
      <c r="B7" s="207" ph="1"/>
      <c r="C7" s="68" t="s" ph="1">
        <v>209</v>
      </c>
      <c r="D7" s="73" ph="1">
        <f>D6*33.183*LOOKUP(D8,密度!$A$2:$A$50,密度!$Q$2:$Q$50)</f>
        <v>129642.63615359999</v>
      </c>
      <c r="E7" s="73" ph="1">
        <f>E6*51.53*LOOKUP(E8,密度!$A$2:$A$50,密度!$I$2:$I$50)</f>
        <v>0</v>
      </c>
      <c r="F7" s="73" ph="1">
        <f>F6*33.183*LOOKUP(F8,密度!$A$2:$A$50,密度!$C$2:$C$50)</f>
        <v>247775.25764879998</v>
      </c>
      <c r="G7" s="73" ph="1">
        <f xml:space="preserve"> (G6+2)*51.53*LOOKUP(G8,密度!$A$2:$A$50,密度!$B$2:$B$50)</f>
        <v>255165.84176000004</v>
      </c>
      <c r="H7" s="73" ph="1">
        <f>(H6)*51.53*LOOKUP(H8,密度!$A$2:$A$50,密度!$B$2:$B$50)</f>
        <v>23067.378735000002</v>
      </c>
      <c r="I7" s="73" ph="1">
        <f>I6*290.8*1.0267</f>
        <v>11679.837763199999</v>
      </c>
      <c r="J7" s="73" ph="1">
        <f>J6*290.8*0.7892</f>
        <v>18316.343921600004</v>
      </c>
      <c r="K7" s="73" ph="1">
        <f>K6*290.8*1.1126</f>
        <v>10172.225875200002</v>
      </c>
      <c r="L7" s="73" ph="1">
        <f>L6*290.8*0.777</f>
        <v>16957.667580000001</v>
      </c>
      <c r="M7" s="73" ph="1">
        <f>M6*33.183*LOOKUP(M8,密度!$A$2:$A$50,密度!$D$2:$D$50)</f>
        <v>171443.56653720001</v>
      </c>
      <c r="N7" s="73" ph="1">
        <f>N6*33.183*LOOKUP(N8,密度!$A$2:$A$50,密度!$E$2:$E$50)</f>
        <v>137647.96853759998</v>
      </c>
      <c r="O7" s="73" ph="1">
        <f>O6*20.428*LOOKUP(O8,密度!$A$2:$A$50,密度!$C$2:$C$50)</f>
        <v>97117.567834400004</v>
      </c>
      <c r="P7" s="73" ph="1">
        <f>P6*51.53*LOOKUP(P8,密度!$A$2:$A$50,密度!$B$2:$B$50)</f>
        <v>331771.99387300003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36510.379289999997</v>
      </c>
      <c r="U7" s="73" ph="1">
        <f>U6*1.5*1.5*3.1416*LOOKUP(U8,密度!$A$2:$A$50,密度!$L$2:$L$50)</f>
        <v>45887.124590999993</v>
      </c>
      <c r="V7" s="73" ph="1">
        <f>V6*1.5*1.5*3.1416*LOOKUP(V8,密度!$A$2:$A$50,密度!$L$2:$L$50)</f>
        <v>31555.347238800001</v>
      </c>
      <c r="W7" s="73" ph="1">
        <f>W6*1.5*1.5*3.1416*LOOKUP(W8,密度!$A$2:$A$50,密度!$L$2:$L$50)</f>
        <v>31615.5292992</v>
      </c>
      <c r="X7" s="73" ph="1">
        <f>X6*1.5*1.5*3.1416*LOOKUP(X8,密度!$A$2:$A$50,密度!$L$2:$L$50)</f>
        <v>1463.3274347999998</v>
      </c>
      <c r="Y7" s="73" ph="1">
        <f>Y6*1.5*1.5*3.1416*LOOKUP(Y8,密度!$A$2:$A$50,密度!$L$2:$L$50)</f>
        <v>0</v>
      </c>
      <c r="Z7" s="73" ph="1">
        <f>Z6*33.183*LOOKUP(Z8,密度!$A$2:$A$50,密度!$L$2:$L$50)</f>
        <v>185208.226677</v>
      </c>
      <c r="AA7" s="73" ph="1">
        <f>AA6*33.183*LOOKUP(AA8,密度!$A$2:$A$50,密度!$D$2:$D$50)</f>
        <v>58934.799882000007</v>
      </c>
      <c r="AB7" s="73" ph="1">
        <f>AB6*20.428*LOOKUP(AB8,密度!$A$2:$A$50,密度!$D$2:$D$50)</f>
        <v>68454.219828800007</v>
      </c>
      <c r="AC7" s="73" ph="1">
        <f>AC6*51.53*LOOKUP(AC8,密度!$A$2:$A$50,密度!$Q$2:$Q$50)</f>
        <v>360101.29363020003</v>
      </c>
      <c r="AD7" s="73" ph="1">
        <f>AD6*20.428*LOOKUP(AD8,密度!$A$2:$A$50,密度!$V$2:$V$50)</f>
        <v>5395.7702079999999</v>
      </c>
      <c r="AE7" s="73" ph="1">
        <f>AE6*20.428</f>
        <v>64654.62</v>
      </c>
    </row>
    <row r="8" spans="1:99" ph="1">
      <c r="B8" s="207" ph="1"/>
      <c r="C8" s="68" t="s" ph="1">
        <v>210</v>
      </c>
      <c r="D8" s="74">
        <v>16</v>
      </c>
      <c r="E8" s="74">
        <v>15</v>
      </c>
      <c r="F8" s="74">
        <v>15</v>
      </c>
      <c r="G8" s="74">
        <v>15</v>
      </c>
      <c r="H8" s="74">
        <v>10</v>
      </c>
      <c r="I8" s="74">
        <v>25</v>
      </c>
      <c r="J8" s="74">
        <v>25</v>
      </c>
      <c r="K8" s="74">
        <v>25</v>
      </c>
      <c r="L8" s="74">
        <v>25</v>
      </c>
      <c r="M8" s="74">
        <v>15</v>
      </c>
      <c r="N8" s="74">
        <v>16</v>
      </c>
      <c r="O8" s="74">
        <v>20</v>
      </c>
      <c r="P8" s="74">
        <v>13</v>
      </c>
      <c r="Q8" s="74">
        <v>14</v>
      </c>
      <c r="R8" s="74">
        <v>21</v>
      </c>
      <c r="S8" s="74">
        <v>15</v>
      </c>
      <c r="T8" s="74">
        <v>12</v>
      </c>
      <c r="U8" s="74">
        <v>15</v>
      </c>
      <c r="V8" s="74">
        <v>15</v>
      </c>
      <c r="W8" s="74">
        <v>18</v>
      </c>
      <c r="X8" s="74">
        <v>8</v>
      </c>
      <c r="Y8" s="74">
        <v>15</v>
      </c>
      <c r="Z8" s="74">
        <v>11</v>
      </c>
      <c r="AA8" s="74">
        <v>15</v>
      </c>
      <c r="AB8" s="74">
        <v>6</v>
      </c>
      <c r="AC8" s="74">
        <v>12</v>
      </c>
      <c r="AD8" s="74">
        <v>12</v>
      </c>
      <c r="AE8" s="74">
        <v>20</v>
      </c>
    </row>
    <row r="9" spans="1:99" ph="1">
      <c r="B9" s="207" ph="1">
        <v>0.66666666666666663</v>
      </c>
      <c r="C9" s="149" t="s" ph="1">
        <v>211</v>
      </c>
      <c r="D9" s="71">
        <v>4097</v>
      </c>
      <c r="E9" s="71">
        <v>0</v>
      </c>
      <c r="F9" s="71">
        <v>6498</v>
      </c>
      <c r="G9" s="71">
        <v>6280</v>
      </c>
      <c r="H9" s="71">
        <v>566</v>
      </c>
      <c r="I9" s="71">
        <v>39.11</v>
      </c>
      <c r="J9" s="71">
        <v>79.81</v>
      </c>
      <c r="K9" s="71">
        <v>16.12</v>
      </c>
      <c r="L9" s="71">
        <v>19.309999999999999</v>
      </c>
      <c r="M9" s="71">
        <v>4988</v>
      </c>
      <c r="N9" s="71">
        <v>5226</v>
      </c>
      <c r="O9" s="71">
        <v>4011</v>
      </c>
      <c r="P9" s="71">
        <v>8097</v>
      </c>
      <c r="Q9" s="71">
        <v>0</v>
      </c>
      <c r="R9" s="71">
        <v>0</v>
      </c>
      <c r="S9" s="71">
        <v>0</v>
      </c>
      <c r="T9" s="71">
        <v>2697</v>
      </c>
      <c r="U9" s="71">
        <v>6851</v>
      </c>
      <c r="V9" s="71">
        <v>4712</v>
      </c>
      <c r="W9" s="71">
        <v>4926</v>
      </c>
      <c r="X9" s="71">
        <v>2884</v>
      </c>
      <c r="Y9" s="71">
        <v>2607</v>
      </c>
      <c r="Z9" s="71">
        <v>3586</v>
      </c>
      <c r="AA9" s="71">
        <v>1828</v>
      </c>
      <c r="AB9" s="71">
        <v>3017</v>
      </c>
      <c r="AC9" s="71">
        <v>7586</v>
      </c>
      <c r="AD9" s="71">
        <v>273</v>
      </c>
      <c r="AE9" s="71">
        <v>3010</v>
      </c>
    </row>
    <row r="10" spans="1:99" s="72" customFormat="1" ht="22.5" ph="1">
      <c r="B10" s="207" ph="1"/>
      <c r="C10" s="149" t="s" ph="1">
        <v>209</v>
      </c>
      <c r="D10" s="73" ph="1">
        <f>D9*33.183*LOOKUP(D11,密度!$A$2:$A$50,密度!$Q$2:$Q$50)</f>
        <v>129642.63615359999</v>
      </c>
      <c r="E10" s="73" ph="1">
        <f>E9*51.53*LOOKUP(E11,密度!$A$2:$A$50,密度!$I$2:$I$50)</f>
        <v>0</v>
      </c>
      <c r="F10" s="73" ph="1">
        <f>F9*33.183*LOOKUP(F11,密度!$A$2:$A$50,密度!$C$2:$C$50)</f>
        <v>240592.29291719996</v>
      </c>
      <c r="G10" s="73" ph="1">
        <f xml:space="preserve"> (G9+2)*51.53*LOOKUP(G11,密度!$A$2:$A$50,密度!$B$2:$B$50)</f>
        <v>255084.63048000002</v>
      </c>
      <c r="H10" s="73" ph="1">
        <f>(H9)*51.53*LOOKUP(H11,密度!$A$2:$A$50,密度!$B$2:$B$50)</f>
        <v>23108.205954000001</v>
      </c>
      <c r="I10" s="73" ph="1">
        <f>I9*290.8*1.0267</f>
        <v>11676.8521196</v>
      </c>
      <c r="J10" s="73" ph="1">
        <f>J9*290.8*0.7892</f>
        <v>18316.343921600004</v>
      </c>
      <c r="K10" s="73" ph="1">
        <f>K9*290.8*1.1126</f>
        <v>5215.5305696000014</v>
      </c>
      <c r="L10" s="73" ph="1">
        <f>L9*290.8*0.777</f>
        <v>4363.1253960000004</v>
      </c>
      <c r="M10" s="73" ph="1">
        <f>M9*33.183*LOOKUP(M11,密度!$A$2:$A$50,密度!$D$2:$D$50)</f>
        <v>171409.20222240002</v>
      </c>
      <c r="N10" s="73" ph="1">
        <f>N9*33.183*LOOKUP(N11,密度!$A$2:$A$50,密度!$E$2:$E$50)</f>
        <v>137621.63450879999</v>
      </c>
      <c r="O10" s="73" ph="1">
        <f>O9*20.428*LOOKUP(O11,密度!$A$2:$A$50,密度!$C$2:$C$50)</f>
        <v>91162.781320800001</v>
      </c>
      <c r="P10" s="73" ph="1">
        <f>P9*51.53*LOOKUP(P11,密度!$A$2:$A$50,密度!$B$2:$B$50)</f>
        <v>329493.17237699998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18110.81349</v>
      </c>
      <c r="U10" s="73" ph="1">
        <f>U9*1.5*1.5*3.1416*LOOKUP(U11,密度!$A$2:$A$50,密度!$L$2:$L$50)</f>
        <v>45860.348734200001</v>
      </c>
      <c r="V10" s="73" ph="1">
        <f>V9*1.5*1.5*3.1416*LOOKUP(V11,密度!$A$2:$A$50,密度!$L$2:$L$50)</f>
        <v>31508.652067199997</v>
      </c>
      <c r="W10" s="73" ph="1">
        <f>W9*1.5*1.5*3.1416*LOOKUP(W11,密度!$A$2:$A$50,密度!$L$2:$L$50)</f>
        <v>32939.6477256</v>
      </c>
      <c r="X10" s="73" ph="1">
        <f>X9*1.5*1.5*3.1416*LOOKUP(X11,密度!$A$2:$A$50,密度!$L$2:$L$50)</f>
        <v>19427.7078072</v>
      </c>
      <c r="Y10" s="73" ph="1">
        <f>Y9*1.5*1.5*3.1416*LOOKUP(Y11,密度!$A$2:$A$50,密度!$L$2:$L$50)</f>
        <v>17432.736829199999</v>
      </c>
      <c r="Z10" s="73" ph="1">
        <f>Z9*33.183*LOOKUP(Z11,密度!$A$2:$A$50,密度!$L$2:$L$50)</f>
        <v>113163.52033799999</v>
      </c>
      <c r="AA10" s="73" ph="1">
        <f>AA9*33.183*LOOKUP(AA11,密度!$A$2:$A$50,密度!$D$2:$D$50)</f>
        <v>62872.560125999997</v>
      </c>
      <c r="AB10" s="73" ph="1">
        <f>AB9*20.428*LOOKUP(AB11,密度!$A$2:$A$50,密度!$D$2:$D$50)</f>
        <v>64373.867782000001</v>
      </c>
      <c r="AC10" s="73" ph="1">
        <f>AC9*51.53*LOOKUP(AC11,密度!$A$2:$A$50,密度!$Q$2:$Q$50)</f>
        <v>373135.96687320003</v>
      </c>
      <c r="AD10" s="73" ph="1">
        <f>AD9*20.428*LOOKUP(AD11,密度!$A$2:$A$50,密度!$V$2:$V$50)</f>
        <v>5376.0776159999996</v>
      </c>
      <c r="AE10" s="73" ph="1">
        <f>AE9*20.428</f>
        <v>61488.280000000006</v>
      </c>
    </row>
    <row r="11" spans="1:99" ph="1">
      <c r="A11" s="64" t="s" ph="1">
        <v>193</v>
      </c>
      <c r="B11" s="207" ph="1"/>
      <c r="C11" s="149" t="s" ph="1">
        <v>210</v>
      </c>
      <c r="D11" s="74">
        <v>16</v>
      </c>
      <c r="E11" s="74">
        <v>15</v>
      </c>
      <c r="F11" s="74">
        <v>15</v>
      </c>
      <c r="G11" s="74">
        <v>15</v>
      </c>
      <c r="H11" s="74">
        <v>10</v>
      </c>
      <c r="I11" s="74">
        <v>25</v>
      </c>
      <c r="J11" s="74">
        <v>25</v>
      </c>
      <c r="K11" s="74">
        <v>25</v>
      </c>
      <c r="L11" s="74">
        <v>25</v>
      </c>
      <c r="M11" s="74">
        <v>15</v>
      </c>
      <c r="N11" s="74">
        <v>16</v>
      </c>
      <c r="O11" s="74">
        <v>20</v>
      </c>
      <c r="P11" s="74">
        <v>13</v>
      </c>
      <c r="Q11" s="74">
        <v>14</v>
      </c>
      <c r="R11" s="74">
        <v>21</v>
      </c>
      <c r="S11" s="74">
        <v>16</v>
      </c>
      <c r="T11" s="74">
        <v>12</v>
      </c>
      <c r="U11" s="74">
        <v>15</v>
      </c>
      <c r="V11" s="74">
        <v>16</v>
      </c>
      <c r="W11" s="74">
        <v>16</v>
      </c>
      <c r="X11" s="74">
        <v>9</v>
      </c>
      <c r="Y11" s="74">
        <v>16</v>
      </c>
      <c r="Z11" s="74">
        <v>11</v>
      </c>
      <c r="AA11" s="74">
        <v>14</v>
      </c>
      <c r="AB11" s="74">
        <v>5</v>
      </c>
      <c r="AC11" s="74">
        <v>14</v>
      </c>
      <c r="AD11" s="74">
        <v>13</v>
      </c>
      <c r="AE11" s="74">
        <v>20</v>
      </c>
    </row>
    <row r="12" spans="1:99" ht="9.9499999999999993" customHeight="1" ph="1"/>
    <row r="13" spans="1:99" s="72" customFormat="1" ht="29.25" customHeight="1" ph="1">
      <c r="B13" s="215" t="s" ph="1">
        <v>37</v>
      </c>
      <c r="C13" s="149" t="s" ph="1">
        <v>207</v>
      </c>
      <c r="D13" s="76" t="s" ph="1">
        <v>53</v>
      </c>
      <c r="E13" s="76" t="s" ph="1">
        <v>54</v>
      </c>
      <c r="F13" s="76" t="s" ph="1">
        <v>66</v>
      </c>
      <c r="G13" s="76" t="s" ph="1">
        <v>67</v>
      </c>
      <c r="H13" s="76" t="s" ph="1">
        <v>152</v>
      </c>
      <c r="I13" s="76" t="s" ph="1">
        <v>68</v>
      </c>
      <c r="J13" s="76" t="s" ph="1">
        <v>153</v>
      </c>
      <c r="K13" s="76" t="s" ph="1">
        <v>63</v>
      </c>
      <c r="L13" s="76" t="s" ph="1">
        <v>69</v>
      </c>
      <c r="M13" s="76" t="s" ph="1">
        <v>70</v>
      </c>
      <c r="N13" s="76" t="s" ph="1">
        <v>154</v>
      </c>
      <c r="O13" s="76" t="s" ph="1">
        <v>64</v>
      </c>
      <c r="P13" s="76" t="s" ph="1">
        <v>71</v>
      </c>
      <c r="Q13" s="76" t="s" ph="1">
        <v>72</v>
      </c>
      <c r="R13" s="76" t="s" ph="1">
        <v>73</v>
      </c>
      <c r="S13" s="76" t="s" ph="1">
        <v>74</v>
      </c>
      <c r="T13" s="76" t="s" ph="1">
        <v>75</v>
      </c>
      <c r="U13" s="76" t="s" ph="1">
        <v>76</v>
      </c>
      <c r="V13" s="76" t="s" ph="1">
        <v>155</v>
      </c>
      <c r="W13" s="76" t="s" ph="1">
        <v>156</v>
      </c>
      <c r="X13" s="76" t="s" ph="1">
        <v>157</v>
      </c>
      <c r="Y13" s="105" t="s" ph="1">
        <v>77</v>
      </c>
      <c r="Z13" s="76" t="s" ph="1">
        <v>86</v>
      </c>
      <c r="AA13" s="76" t="s" ph="1">
        <v>158</v>
      </c>
      <c r="AB13" s="76" t="s" ph="1">
        <v>159</v>
      </c>
      <c r="AC13" s="76" t="s" ph="1">
        <v>160</v>
      </c>
      <c r="AD13" s="76" t="s" ph="1">
        <v>161</v>
      </c>
      <c r="AE13" s="76" t="s" ph="1">
        <v>162</v>
      </c>
      <c r="AG13" s="72" t="s" ph="1">
        <v>366</v>
      </c>
      <c r="AH13" s="72" t="s" ph="1">
        <v>229</v>
      </c>
      <c r="AI13" s="72" t="s" ph="1">
        <v>230</v>
      </c>
      <c r="AJ13" s="72" t="s" ph="1">
        <v>231</v>
      </c>
      <c r="AK13" s="72" t="s" ph="1">
        <v>232</v>
      </c>
      <c r="AL13" s="72" t="s" ph="1">
        <v>233</v>
      </c>
      <c r="AM13" s="72" t="s" ph="1">
        <v>234</v>
      </c>
      <c r="AN13" s="72" t="s" ph="1">
        <v>235</v>
      </c>
      <c r="AO13" s="72" t="s" ph="1">
        <v>236</v>
      </c>
      <c r="AP13" s="72" t="s" ph="1">
        <v>237</v>
      </c>
      <c r="AQ13" s="72" t="s" ph="1">
        <v>238</v>
      </c>
      <c r="AR13" s="72" t="s" ph="1">
        <v>239</v>
      </c>
      <c r="AS13" s="72" t="s" ph="1">
        <v>240</v>
      </c>
      <c r="AT13" s="72" t="s" ph="1">
        <v>241</v>
      </c>
      <c r="AU13" s="72" t="s" ph="1">
        <v>242</v>
      </c>
      <c r="AV13" s="72" t="s" ph="1">
        <v>243</v>
      </c>
      <c r="AW13" s="72" t="s" ph="1">
        <v>244</v>
      </c>
      <c r="AX13" s="72" t="s" ph="1">
        <v>245</v>
      </c>
      <c r="AY13" s="72" t="s" ph="1">
        <v>367</v>
      </c>
      <c r="AZ13" s="72" t="s" ph="1">
        <v>246</v>
      </c>
      <c r="BA13" s="72" t="s" ph="1">
        <v>247</v>
      </c>
      <c r="BB13" s="72" t="s" ph="1">
        <v>632</v>
      </c>
      <c r="BC13" s="72" t="s" ph="1">
        <v>248</v>
      </c>
      <c r="BD13" s="72" t="s" ph="1">
        <v>368</v>
      </c>
      <c r="BE13" s="72" t="s" ph="1">
        <v>369</v>
      </c>
      <c r="BF13" s="72" t="s" ph="1">
        <v>370</v>
      </c>
      <c r="BG13" s="72" t="s" ph="1">
        <v>371</v>
      </c>
      <c r="BH13" s="72" t="s" ph="1">
        <v>372</v>
      </c>
    </row>
    <row r="14" spans="1:99" s="72" customFormat="1" ht="24" ph="1">
      <c r="B14" s="216" ph="1"/>
      <c r="C14" s="67" t="s" ph="1">
        <v>36</v>
      </c>
      <c r="D14" s="77" t="s" ph="1">
        <v>130</v>
      </c>
      <c r="E14" s="77" t="s" ph="1">
        <v>130</v>
      </c>
      <c r="F14" s="142" t="s" ph="1">
        <v>651</v>
      </c>
      <c r="G14" s="77" t="s" ph="1">
        <v>217</v>
      </c>
      <c r="H14" s="77" t="s" ph="1">
        <v>645</v>
      </c>
      <c r="I14" s="77" t="s" ph="1">
        <v>65</v>
      </c>
      <c r="J14" s="77" t="s" ph="1">
        <v>227</v>
      </c>
      <c r="K14" s="77" t="s" ph="1">
        <v>223</v>
      </c>
      <c r="L14" s="77" t="s" ph="1">
        <v>41</v>
      </c>
      <c r="M14" s="104" t="s" ph="1">
        <v>222</v>
      </c>
      <c r="N14" s="104" t="s" ph="1">
        <v>218</v>
      </c>
      <c r="O14" s="104" t="s" ph="1">
        <v>226</v>
      </c>
      <c r="P14" s="77" t="s" ph="1">
        <v>82</v>
      </c>
      <c r="Q14" s="77" t="s" ph="1">
        <v>82</v>
      </c>
      <c r="R14" s="88" t="s" ph="1">
        <v>7</v>
      </c>
      <c r="S14" s="77" t="s" ph="1">
        <v>82</v>
      </c>
      <c r="T14" s="77" t="s" ph="1">
        <v>98</v>
      </c>
      <c r="U14" s="77" t="s" ph="1">
        <v>652</v>
      </c>
      <c r="V14" s="77" t="s" ph="1">
        <v>646</v>
      </c>
      <c r="W14" s="77" t="s" ph="1">
        <v>220</v>
      </c>
      <c r="X14" s="77" t="s" ph="1">
        <v>78</v>
      </c>
      <c r="Y14" s="141" t="s" ph="1">
        <v>0</v>
      </c>
      <c r="Z14" s="77" t="s" ph="1">
        <v>62</v>
      </c>
      <c r="AA14" s="77" t="s" ph="1">
        <v>88</v>
      </c>
      <c r="AB14" s="77" t="s" ph="1">
        <v>648</v>
      </c>
      <c r="AC14" s="77" t="s" ph="1">
        <v>648</v>
      </c>
      <c r="AD14" s="77" t="s" ph="1">
        <v>135</v>
      </c>
      <c r="AE14" s="77" t="s" ph="1">
        <v>135</v>
      </c>
      <c r="AG14" s="72" t="s" ph="1">
        <v>249</v>
      </c>
      <c r="AI14" s="72" t="s" ph="1">
        <v>250</v>
      </c>
      <c r="AJ14" s="72" t="s" ph="1">
        <v>373</v>
      </c>
      <c r="AK14" s="72" t="s" ph="1">
        <v>251</v>
      </c>
      <c r="AM14" s="72" t="s" ph="1">
        <v>253</v>
      </c>
      <c r="AN14" s="72" t="s" ph="1">
        <v>251</v>
      </c>
      <c r="AO14" s="72" t="s" ph="1">
        <v>252</v>
      </c>
      <c r="AP14" s="72" t="s" ph="1">
        <v>253</v>
      </c>
      <c r="AQ14" s="72" t="s" ph="1">
        <v>251</v>
      </c>
      <c r="AR14" s="72" t="s" ph="1">
        <v>252</v>
      </c>
      <c r="AS14" s="72" t="s" ph="1">
        <v>253</v>
      </c>
      <c r="AT14" s="72" t="s" ph="1">
        <v>251</v>
      </c>
      <c r="AU14" s="72" t="s" ph="1">
        <v>252</v>
      </c>
      <c r="AV14" s="72" t="s" ph="1">
        <v>253</v>
      </c>
      <c r="AW14" s="72" t="s" ph="1">
        <v>251</v>
      </c>
      <c r="AX14" s="72" t="s" ph="1">
        <v>252</v>
      </c>
      <c r="AY14" s="72" t="s" ph="1">
        <v>253</v>
      </c>
      <c r="AZ14" s="72" t="s" ph="1">
        <v>252</v>
      </c>
    </row>
    <row r="15" spans="1:99" ph="1">
      <c r="B15" s="217" ph="1">
        <v>0.33333333333333331</v>
      </c>
      <c r="C15" s="149" t="s" ph="1">
        <v>208</v>
      </c>
      <c r="D15" s="78">
        <v>4976</v>
      </c>
      <c r="E15" s="78">
        <v>2286</v>
      </c>
      <c r="F15" s="78">
        <v>2043</v>
      </c>
      <c r="G15" s="78">
        <v>1685</v>
      </c>
      <c r="H15" s="78">
        <v>2866</v>
      </c>
      <c r="I15" s="78">
        <v>15</v>
      </c>
      <c r="J15" s="78">
        <v>485</v>
      </c>
      <c r="K15" s="78">
        <v>1594</v>
      </c>
      <c r="L15" s="78">
        <v>6514</v>
      </c>
      <c r="M15" s="78">
        <v>7063</v>
      </c>
      <c r="N15" s="78">
        <v>1126</v>
      </c>
      <c r="O15" s="78">
        <v>234</v>
      </c>
      <c r="P15" s="78">
        <v>1099</v>
      </c>
      <c r="Q15" s="78">
        <v>2711</v>
      </c>
      <c r="R15" s="78">
        <v>3490</v>
      </c>
      <c r="S15" s="78">
        <v>5608</v>
      </c>
      <c r="T15" s="78">
        <v>2229</v>
      </c>
      <c r="U15" s="78">
        <v>6138</v>
      </c>
      <c r="V15" s="78">
        <v>419</v>
      </c>
      <c r="W15" s="78">
        <v>-595</v>
      </c>
      <c r="X15" s="78">
        <v>940</v>
      </c>
      <c r="Y15" s="106">
        <v>-9900</v>
      </c>
      <c r="Z15" s="78">
        <v>0</v>
      </c>
      <c r="AA15" s="78">
        <v>2513</v>
      </c>
      <c r="AB15" s="78" ph="1">
        <v>746</v>
      </c>
      <c r="AC15" s="78" ph="1">
        <v>6497</v>
      </c>
      <c r="AD15" s="78">
        <v>61.23</v>
      </c>
      <c r="AE15" s="78">
        <v>5.52</v>
      </c>
      <c r="AG15" s="64" t="s" ph="1">
        <v>255</v>
      </c>
      <c r="AH15" s="64" ph="1">
        <v>1</v>
      </c>
      <c r="AI15" s="64" t="s" ph="1">
        <v>374</v>
      </c>
      <c r="AK15" s="64" t="s" ph="1">
        <v>628</v>
      </c>
      <c r="AM15" s="64" t="s" ph="1">
        <v>376</v>
      </c>
      <c r="AZ15" s="64" t="s" ph="1">
        <v>257</v>
      </c>
      <c r="BA15" s="64" ph="1">
        <v>0</v>
      </c>
    </row>
    <row r="16" spans="1:99" s="72" customFormat="1" ht="22.5" ph="1">
      <c r="B16" s="218" ph="1"/>
      <c r="C16" s="149" t="s" ph="1">
        <v>209</v>
      </c>
      <c r="D16" s="73" ph="1">
        <f>D15*7.0686*LOOKUP(D17,密度!$A$2:$A$50,密度!$L$2:$L$50)</f>
        <v>33309.165859200002</v>
      </c>
      <c r="E16" s="73" ph="1">
        <f>E15*7.0686*LOOKUP(E17,密度!$A$2:$A$50,密度!$L$2:$L$50)</f>
        <v>15302.4021612</v>
      </c>
      <c r="F16" s="73" ph="1">
        <f>F15*9.0746*LOOKUP(F17,密度!$A$2:$A$50,密度!$L$2:$L$50)</f>
        <v>17538.279778799999</v>
      </c>
      <c r="G16" s="73" ph="1">
        <f>G15*9.0746*LOOKUP(G17,密度!$A$2:$A$50,密度!$B$2:$B$50)</f>
        <v>12049.072388000001</v>
      </c>
      <c r="H16" s="73" ph="1">
        <f>H15*9.0746*LOOKUP(H17,密度!$A$2:$A$50,密度!$L$2:$L$50)</f>
        <v>24681.405616399999</v>
      </c>
      <c r="I16" s="73" ph="1">
        <f>I15*9.0746*LOOKUP(I17,密度!$A$2:$A$50,密度!$U$2:$U$50)</f>
        <v>139.93033199999999</v>
      </c>
      <c r="J16" s="73" ph="1">
        <f>J15*9.0746*LOOKUP(J17,密度!$A$2:$A$50,密度!$L$2:$L$50)</f>
        <v>4167.9184070000001</v>
      </c>
      <c r="K16" s="73" ph="1">
        <f>K15*9.0746*LOOKUP(K17,密度!$A$2:$A$50,密度!$C$2:$C$50)</f>
        <v>16139.949255919999</v>
      </c>
      <c r="L16" s="73" ph="1">
        <f>L15*9.0746*LOOKUP(L17,密度!$A$2:$A$50,密度!$E$2:$E$50)</f>
        <v>46911.23907584</v>
      </c>
      <c r="M16" s="73" ph="1">
        <f>M15*9.0746*LOOKUP(M17,密度!$A$2:$A$50,密度!$M$2:$M$50)</f>
        <v>56421.859993940001</v>
      </c>
      <c r="N16" s="73" ph="1">
        <f>N15*9.0746*LOOKUP(N17,密度!$A$2:$A$50,密度!$M$2:$M$50)</f>
        <v>8994.90504788</v>
      </c>
      <c r="O16" s="73" ph="1">
        <f>O15*9.0746*LOOKUP(O17,密度!$A$2:$A$50,密度!$G$2:$G$50)</f>
        <v>2062.30085568</v>
      </c>
      <c r="P16" s="73" ph="1">
        <f ca="1">P15*9.0746*LOOKUP(P17,密度!$A$2:$A$51,密度!$Q$2:$Q$50)</f>
        <v>9519.6134837160007</v>
      </c>
      <c r="Q16" s="73" ph="1">
        <f>Q15*9.0746*LOOKUP(Q17,密度!$A$2:$A$50,密度!$Q$2:$Q$50)</f>
        <v>23482.868202324004</v>
      </c>
      <c r="R16" s="73" ph="1">
        <f>MAX(R15*9.0746*LOOKUP(R17,密度!$A$2:$A$50,密度!$B$2:$B$50),0)</f>
        <v>24905.566385599999</v>
      </c>
      <c r="S16" s="73" ph="1">
        <f>S15*9.0746*LOOKUP(S17,密度!$A$2:$A$50,密度!$Q$2:$Q$50)</f>
        <v>48576.881179872005</v>
      </c>
      <c r="T16" s="73" ph="1">
        <f>T15*9.0746*LOOKUP(T17,密度!$A$2:$A$50,密度!$O$2:$O$50)</f>
        <v>18892.282695600003</v>
      </c>
      <c r="U16" s="73" ph="1">
        <f>U15*9.0746*LOOKUP(U17,密度!$A$2:$A$50,密度!$H$2:$H$50)</f>
        <v>51672.792405959997</v>
      </c>
      <c r="V16" s="73" ph="1">
        <f>MAX(5600*LOOKUP(V17,密度!$A$2:$A$50,密度!$Q$2:$Q$50)+V15*9.0476*LOOKUP(V17,密度!$A$2:$A$50,密度!$Q$2:$Q$50),0)</f>
        <v>8964.0320675759995</v>
      </c>
      <c r="W16" s="73" ph="1">
        <f>MAX(5600*LOOKUP(W17,密度!$A$2:$A$50,密度!$Q$2:$Q$50)+W15*9.0476*LOOKUP(W17,密度!$A$2:$A$50,密度!$Q$2:$Q$50),0)</f>
        <v>206.8278181200003</v>
      </c>
      <c r="X16" s="73" ph="1">
        <f>MAX(5600*LOOKUP(X17,密度!$A$2:$A$50,密度!$I$2:$I$50)+X15*9.0476*LOOKUP(X17,密度!$A$2:$A$50,密度!$I$2:$I$50),0)</f>
        <v>14574.290927759997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17990.446225219999</v>
      </c>
      <c r="AB16" s="73" ph="1">
        <f>AB15*9.0746*LOOKUP(AB17,密度!$A$2:$A$50,密度!$L$2:$L$50)</f>
        <v>6410.8600651999996</v>
      </c>
      <c r="AC16" s="73" ph="1">
        <f>AC15*9.0746*LOOKUP(AC17,密度!$A$2:$A$50,密度!$L$2:$L$50)</f>
        <v>55832.919361399996</v>
      </c>
      <c r="AD16" s="73" ph="1">
        <f>AD15*268.68*LOOKUP(AD17,密度!$A$2:$A$50,密度!B2:B50)+IF(AD15&lt;=0,0,1566*LOOKUP(AD17,密度!$A$2:$A$50,密度!B2:B50))</f>
        <v>14046.268681439999</v>
      </c>
      <c r="AE16" s="73" ph="1">
        <f>AE15*268.68*LOOKUP(AE17,密度!$A$2:$A$50,密度!B2:B50)+IF(AE15&lt;=0,0,1566*LOOKUP(AE17,密度!$A$2:$A$50,密度!B2:B50))</f>
        <v>2377.0889625599998</v>
      </c>
      <c r="AH16" s="72" ph="1">
        <v>2</v>
      </c>
      <c r="AI16" s="72" t="s" ph="1">
        <v>378</v>
      </c>
      <c r="AZ16" s="72" t="s" ph="1">
        <v>257</v>
      </c>
      <c r="BA16" s="72" ph="1">
        <v>0</v>
      </c>
    </row>
    <row r="17" spans="1:57" ph="1">
      <c r="A17" s="64" t="s" ph="1">
        <v>85</v>
      </c>
      <c r="B17" s="219" ph="1"/>
      <c r="C17" s="79" t="s" ph="1">
        <v>210</v>
      </c>
      <c r="D17" s="74">
        <v>15</v>
      </c>
      <c r="E17" s="74">
        <v>15</v>
      </c>
      <c r="F17" s="74">
        <v>16</v>
      </c>
      <c r="G17" s="74">
        <v>15</v>
      </c>
      <c r="H17" s="74">
        <v>13</v>
      </c>
      <c r="I17" s="74">
        <v>14</v>
      </c>
      <c r="J17" s="74">
        <v>15</v>
      </c>
      <c r="K17" s="74">
        <v>15</v>
      </c>
      <c r="L17" s="74">
        <v>16</v>
      </c>
      <c r="M17" s="74">
        <v>16</v>
      </c>
      <c r="N17" s="74">
        <v>13</v>
      </c>
      <c r="O17" s="74">
        <v>15</v>
      </c>
      <c r="P17" s="74">
        <v>15</v>
      </c>
      <c r="Q17" s="74">
        <v>15</v>
      </c>
      <c r="R17" s="74">
        <v>17</v>
      </c>
      <c r="S17" s="74">
        <v>15</v>
      </c>
      <c r="T17" s="74">
        <v>16</v>
      </c>
      <c r="U17" s="74">
        <v>12</v>
      </c>
      <c r="V17" s="74">
        <v>15</v>
      </c>
      <c r="W17" s="74">
        <v>15</v>
      </c>
      <c r="X17" s="74">
        <v>33</v>
      </c>
      <c r="Y17" s="108">
        <v>33</v>
      </c>
      <c r="Z17" s="74">
        <v>16</v>
      </c>
      <c r="AA17" s="74">
        <v>14</v>
      </c>
      <c r="AB17" s="74">
        <v>15</v>
      </c>
      <c r="AC17" s="74">
        <v>15</v>
      </c>
      <c r="AD17" s="74">
        <v>25</v>
      </c>
      <c r="AE17" s="74">
        <v>25</v>
      </c>
      <c r="AH17" s="64" ph="1">
        <v>3</v>
      </c>
      <c r="AI17" s="64" t="s" ph="1">
        <v>379</v>
      </c>
      <c r="AK17" s="64" t="s" ph="1">
        <v>611</v>
      </c>
      <c r="AL17" s="64" ph="1">
        <v>80</v>
      </c>
      <c r="AM17" s="64" t="s" ph="1">
        <v>376</v>
      </c>
      <c r="AZ17" s="64" t="s" ph="1">
        <v>257</v>
      </c>
      <c r="BA17" s="64" ph="1">
        <v>80</v>
      </c>
      <c r="BD17" s="64" t="s" ph="1">
        <v>255</v>
      </c>
      <c r="BE17" s="64" ph="1">
        <v>2270</v>
      </c>
    </row>
    <row r="18" spans="1:57" ph="1">
      <c r="B18" s="217" ph="1">
        <v>0.66666666666666663</v>
      </c>
      <c r="C18" s="79" t="s" ph="1">
        <v>211</v>
      </c>
      <c r="D18" s="71">
        <v>2085</v>
      </c>
      <c r="E18" s="71">
        <v>3414</v>
      </c>
      <c r="F18" s="71">
        <v>2070</v>
      </c>
      <c r="G18" s="71">
        <v>1707</v>
      </c>
      <c r="H18" s="71">
        <v>2865</v>
      </c>
      <c r="I18" s="71">
        <v>13</v>
      </c>
      <c r="J18" s="71">
        <v>497</v>
      </c>
      <c r="K18" s="71">
        <v>1594</v>
      </c>
      <c r="L18" s="71">
        <v>6514</v>
      </c>
      <c r="M18" s="71">
        <v>4125</v>
      </c>
      <c r="N18" s="71">
        <v>1126</v>
      </c>
      <c r="O18" s="71">
        <v>234</v>
      </c>
      <c r="P18" s="71">
        <v>1099</v>
      </c>
      <c r="Q18" s="71">
        <v>2710</v>
      </c>
      <c r="R18" s="71">
        <v>3489</v>
      </c>
      <c r="S18" s="71">
        <v>5607</v>
      </c>
      <c r="T18" s="71">
        <v>1488</v>
      </c>
      <c r="U18" s="71">
        <v>6136</v>
      </c>
      <c r="V18" s="71">
        <v>418</v>
      </c>
      <c r="W18" s="71">
        <v>-595</v>
      </c>
      <c r="X18" s="71">
        <v>672</v>
      </c>
      <c r="Y18" s="109">
        <v>-9900</v>
      </c>
      <c r="Z18" s="71">
        <v>0</v>
      </c>
      <c r="AA18" s="71">
        <v>2509</v>
      </c>
      <c r="AB18" s="71">
        <v>1299</v>
      </c>
      <c r="AC18" s="71">
        <v>6495</v>
      </c>
      <c r="AD18" s="71">
        <v>83.01</v>
      </c>
      <c r="AE18" s="71">
        <v>5.52</v>
      </c>
      <c r="AH18" s="64" ph="1">
        <v>4</v>
      </c>
      <c r="AI18" s="64" t="s" ph="1">
        <v>381</v>
      </c>
      <c r="AJ18" s="64" t="s" ph="1">
        <v>629</v>
      </c>
      <c r="AK18" s="64" t="s" ph="1">
        <v>628</v>
      </c>
      <c r="AL18" s="64" ph="1">
        <v>740</v>
      </c>
      <c r="AM18" s="64" t="s" ph="1">
        <v>380</v>
      </c>
      <c r="AZ18" s="64" t="s" ph="1">
        <v>257</v>
      </c>
      <c r="BA18" s="64" ph="1">
        <v>740</v>
      </c>
    </row>
    <row r="19" spans="1:57" s="72" customFormat="1" ht="22.5" ph="1">
      <c r="B19" s="218" ph="1"/>
      <c r="C19" s="149" t="s" ph="1">
        <v>209</v>
      </c>
      <c r="D19" s="73" ph="1">
        <f>D18*7.0686*LOOKUP(D20,密度!$A$2:$A$50,密度!$L$2:$L$50)</f>
        <v>13956.915357</v>
      </c>
      <c r="E19" s="73" ph="1">
        <f>E18*7.0686*LOOKUP(E20,密度!$A$2:$A$50,密度!$L$2:$L$50)</f>
        <v>22853.1937788</v>
      </c>
      <c r="F19" s="73" ph="1">
        <f>F18*9.0746*LOOKUP(F20,密度!$A$2:$A$50,密度!$L$2:$L$50)</f>
        <v>17751.278789999997</v>
      </c>
      <c r="G19" s="73" ph="1">
        <f>G18*9.0746*LOOKUP(G20,密度!$A$2:$A$50,密度!$B$2:$B$50)</f>
        <v>12193.997379840001</v>
      </c>
      <c r="H19" s="73" ph="1">
        <f>H18*9.0746*LOOKUP(H20,密度!$A$2:$A$50,密度!$L$2:$L$50)</f>
        <v>24438.805259999997</v>
      </c>
      <c r="I19" s="73" ph="1">
        <f>I18*9.0746*LOOKUP(I20,密度!$A$2:$A$50,密度!$U$2:$U$50)</f>
        <v>121.2729544</v>
      </c>
      <c r="J19" s="73" ph="1">
        <f>J18*9.0746*LOOKUP(J20,密度!$A$2:$A$50,密度!$L$2:$L$50)</f>
        <v>4266.5320852000004</v>
      </c>
      <c r="K19" s="73" ph="1">
        <f>K18*9.0746*LOOKUP(K20,密度!$A$2:$A$50,密度!$C$2:$C$50)</f>
        <v>16131.270308480001</v>
      </c>
      <c r="L19" s="73" ph="1">
        <f>L18*9.0746*LOOKUP(L20,密度!$A$2:$A$50,密度!$E$2:$E$50)</f>
        <v>46976.262214679999</v>
      </c>
      <c r="M19" s="73" ph="1">
        <f>M18*9.0746*LOOKUP(M20,密度!$A$2:$A$50,密度!$M$2:$M$50)</f>
        <v>32952.027817499998</v>
      </c>
      <c r="N19" s="73" ph="1">
        <f>N18*9.0746*LOOKUP(N20,密度!$A$2:$A$50,密度!$M$2:$M$50)</f>
        <v>8994.90504788</v>
      </c>
      <c r="O19" s="73" ph="1">
        <f>O18*9.0746*LOOKUP(O20,密度!$A$2:$A$50,密度!$G$2:$G$50)</f>
        <v>2057.6292515999999</v>
      </c>
      <c r="P19" s="73" ph="1">
        <f ca="1">P18*9.0746*LOOKUP(P20,密度!$A$2:$A$51,密度!$Q$2:$Q$50)</f>
        <v>9510.2388774399988</v>
      </c>
      <c r="Q19" s="73" ph="1">
        <f>Q18*9.0746*LOOKUP(Q20,密度!$A$2:$A$50,密度!$Q$2:$Q$50)</f>
        <v>23474.206133640004</v>
      </c>
      <c r="R19" s="73" ph="1">
        <f>MAX(R18*9.0746*LOOKUP(R20,密度!$A$2:$A$50,密度!$B$2:$B$50),0)</f>
        <v>24923.759143679999</v>
      </c>
      <c r="S19" s="73" ph="1">
        <f>S18*9.0746*LOOKUP(S20,密度!$A$2:$A$50,密度!$Q$2:$Q$50)</f>
        <v>48568.219111188002</v>
      </c>
      <c r="T19" s="73" ph="1">
        <f>T18*9.0746*LOOKUP(T20,密度!$A$2:$A$50,密度!$O$2:$O$50)</f>
        <v>12611.806483200002</v>
      </c>
      <c r="U19" s="73" ph="1">
        <f>U18*9.0746*LOOKUP(U20,密度!$A$2:$A$50,密度!$H$2:$H$50)</f>
        <v>51544.591901920001</v>
      </c>
      <c r="V19" s="73" ph="1">
        <f>MAX(5600*LOOKUP(V20,密度!$A$2:$A$50,密度!$Q$2:$Q$50)+V18*9.0476*LOOKUP(V20,密度!$A$2:$A$50,密度!$Q$2:$Q$50),0)</f>
        <v>8946.5767884799989</v>
      </c>
      <c r="W19" s="73" ph="1">
        <f>MAX(5600*LOOKUP(W20,密度!$A$2:$A$50,密度!$Q$2:$Q$50)+W18*9.0476*LOOKUP(W20,密度!$A$2:$A$50,密度!$Q$2:$Q$50),0)</f>
        <v>206.62414080000053</v>
      </c>
      <c r="X19" s="73" ph="1">
        <f>MAX(5600*LOOKUP(X20,密度!$A$2:$A$50,密度!$I$2:$I$50)+X18*9.0476*LOOKUP(X20,密度!$A$2:$A$50,密度!$I$2:$I$50),0)</f>
        <v>12134.338702079998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17923.104526079998</v>
      </c>
      <c r="AB19" s="73" ph="1">
        <f>AB18*9.0746*LOOKUP(AB20,密度!$A$2:$A$50,密度!$L$2:$L$50)</f>
        <v>11139.570602999998</v>
      </c>
      <c r="AC19" s="73" ph="1">
        <f>AC18*9.0746*LOOKUP(AC20,密度!$A$2:$A$50,密度!$L$2:$L$50)</f>
        <v>55933.611123000002</v>
      </c>
      <c r="AD19" s="73" ph="1">
        <f>AD18*268.68*LOOKUP(AD20,密度!$A$2:$A$50,密度!B5:B53)+IF(AD18&lt;=0,0,1566*LOOKUP(AD20,密度!$A$2:$A$50,密度!B5:B53))</f>
        <v>18546.311523600001</v>
      </c>
      <c r="AE19" s="73" ph="1">
        <f>AE18*268.68*LOOKUP(AE20,密度!$A$2:$A$50,密度!B5:B53)+IF(AE18&lt;=0,0,1566*LOOKUP(AE20,密度!$A$2:$A$50,密度!B5:B53))</f>
        <v>2369.1612672000001</v>
      </c>
      <c r="AH19" s="72" ph="1">
        <v>5</v>
      </c>
      <c r="AI19" s="72" t="s" ph="1">
        <v>382</v>
      </c>
      <c r="AZ19" s="72" t="s" ph="1">
        <v>257</v>
      </c>
      <c r="BA19" s="72" ph="1">
        <v>0</v>
      </c>
      <c r="BD19" s="72" t="s" ph="1">
        <v>383</v>
      </c>
      <c r="BE19" s="72" ph="1">
        <v>1440</v>
      </c>
    </row>
    <row r="20" spans="1:57" ph="1">
      <c r="A20" s="72" ph="1"/>
      <c r="B20" s="218" ph="1"/>
      <c r="C20" s="80" t="s" ph="1">
        <v>210</v>
      </c>
      <c r="D20" s="81">
        <v>15</v>
      </c>
      <c r="E20" s="81">
        <v>15</v>
      </c>
      <c r="F20" s="81">
        <v>17</v>
      </c>
      <c r="G20" s="81">
        <v>16</v>
      </c>
      <c r="H20" s="81">
        <v>22</v>
      </c>
      <c r="I20" s="81">
        <v>16</v>
      </c>
      <c r="J20" s="81">
        <v>16</v>
      </c>
      <c r="K20" s="81">
        <v>16</v>
      </c>
      <c r="L20" s="81">
        <v>15</v>
      </c>
      <c r="M20" s="81">
        <v>16</v>
      </c>
      <c r="N20" s="81">
        <v>15</v>
      </c>
      <c r="O20" s="81">
        <v>17</v>
      </c>
      <c r="P20" s="81">
        <v>16</v>
      </c>
      <c r="Q20" s="81">
        <v>15</v>
      </c>
      <c r="R20" s="81">
        <v>16</v>
      </c>
      <c r="S20" s="81">
        <v>15</v>
      </c>
      <c r="T20" s="81">
        <v>16</v>
      </c>
      <c r="U20" s="81">
        <v>14</v>
      </c>
      <c r="V20" s="81">
        <v>16</v>
      </c>
      <c r="W20" s="81">
        <v>16</v>
      </c>
      <c r="X20" s="81">
        <v>28</v>
      </c>
      <c r="Y20" s="110">
        <v>28</v>
      </c>
      <c r="Z20" s="81">
        <v>16</v>
      </c>
      <c r="AA20" s="81">
        <v>16</v>
      </c>
      <c r="AB20" s="81">
        <v>17</v>
      </c>
      <c r="AC20" s="81">
        <v>13</v>
      </c>
      <c r="AD20" s="81">
        <v>25</v>
      </c>
      <c r="AE20" s="81">
        <v>25</v>
      </c>
      <c r="AH20" s="64" ph="1">
        <v>6</v>
      </c>
      <c r="AI20" s="64" t="s" ph="1">
        <v>384</v>
      </c>
      <c r="AZ20" s="64" t="s" ph="1">
        <v>257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385</v>
      </c>
      <c r="AZ21" s="64" t="s" ph="1">
        <v>257</v>
      </c>
      <c r="BA21" s="64" ph="1">
        <v>0</v>
      </c>
      <c r="BD21" s="64" t="s" ph="1">
        <v>273</v>
      </c>
      <c r="BE21" s="64" ph="1">
        <v>730</v>
      </c>
    </row>
    <row r="22" spans="1:57" ph="1">
      <c r="A22" s="72" ph="1"/>
      <c r="B22" s="216" t="s" ph="1">
        <v>37</v>
      </c>
      <c r="C22" s="85" t="s" ph="1">
        <v>207</v>
      </c>
      <c r="D22" s="86" t="s" ph="1">
        <v>103</v>
      </c>
      <c r="E22" s="86" t="s" ph="1">
        <v>104</v>
      </c>
      <c r="F22" s="86" t="s" ph="1">
        <v>105</v>
      </c>
      <c r="G22" s="86" t="s" ph="1">
        <v>106</v>
      </c>
      <c r="H22" s="86" t="s" ph="1">
        <v>107</v>
      </c>
      <c r="I22" s="86" t="s" ph="1">
        <v>108</v>
      </c>
      <c r="J22" s="86" t="s" ph="1">
        <v>109</v>
      </c>
      <c r="K22" s="86" t="s" ph="1">
        <v>110</v>
      </c>
      <c r="L22" s="86" t="s" ph="1">
        <v>111</v>
      </c>
      <c r="M22" s="86" t="s" ph="1">
        <v>112</v>
      </c>
      <c r="N22" s="86" t="s" ph="1">
        <v>113</v>
      </c>
      <c r="O22" s="86" t="s" ph="1">
        <v>114</v>
      </c>
      <c r="P22" s="86" t="s" ph="1">
        <v>115</v>
      </c>
      <c r="Q22" s="87" t="s" ph="1">
        <v>116</v>
      </c>
      <c r="R22" s="86" t="s" ph="1">
        <v>117</v>
      </c>
      <c r="S22" s="86" t="s" ph="1">
        <v>118</v>
      </c>
      <c r="T22" s="86" t="s" ph="1">
        <v>119</v>
      </c>
      <c r="U22" s="86" t="s" ph="1">
        <v>120</v>
      </c>
      <c r="V22" s="86" t="s" ph="1">
        <v>121</v>
      </c>
      <c r="W22" s="86" t="s" ph="1">
        <v>122</v>
      </c>
      <c r="X22" s="86" t="s" ph="1">
        <v>123</v>
      </c>
      <c r="Y22" s="86" t="s" ph="1">
        <v>125</v>
      </c>
      <c r="Z22" s="195" t="s" ph="1">
        <v>79</v>
      </c>
      <c r="AA22" s="196"/>
      <c r="AB22" s="196"/>
      <c r="AC22" s="196"/>
      <c r="AD22" s="196"/>
      <c r="AE22" s="197"/>
      <c r="AH22" s="64" ph="1">
        <v>8</v>
      </c>
      <c r="AI22" s="64" t="s" ph="1">
        <v>386</v>
      </c>
      <c r="AZ22" s="64" t="s" ph="1">
        <v>257</v>
      </c>
      <c r="BA22" s="64" ph="1">
        <v>0</v>
      </c>
    </row>
    <row r="23" spans="1:57" ph="1">
      <c r="A23" s="72" ph="1"/>
      <c r="B23" s="211" ph="1"/>
      <c r="C23" s="67" t="s" ph="1">
        <v>36</v>
      </c>
      <c r="D23" s="88" t="s" ph="1">
        <v>127</v>
      </c>
      <c r="E23" s="88" t="s" ph="1">
        <v>124</v>
      </c>
      <c r="F23" s="88" t="s" ph="1">
        <v>221</v>
      </c>
      <c r="G23" s="88" t="s" ph="1">
        <v>163</v>
      </c>
      <c r="H23" s="88" t="s" ph="1">
        <v>163</v>
      </c>
      <c r="I23" s="88" t="s" ph="1">
        <v>164</v>
      </c>
      <c r="J23" s="88" t="s" ph="1">
        <v>165</v>
      </c>
      <c r="K23" s="88" t="s" ph="1">
        <v>128</v>
      </c>
      <c r="L23" s="88" t="s" ph="1">
        <v>128</v>
      </c>
      <c r="M23" s="88" t="s" ph="1">
        <v>165</v>
      </c>
      <c r="N23" s="88" t="s" ph="1">
        <v>165</v>
      </c>
      <c r="O23" s="88" t="s" ph="1">
        <v>131</v>
      </c>
      <c r="P23" s="88" t="s" ph="1">
        <v>166</v>
      </c>
      <c r="Q23" s="89" t="s" ph="1">
        <v>166</v>
      </c>
      <c r="R23" s="88" t="s" ph="1">
        <v>167</v>
      </c>
      <c r="S23" s="88" t="s" ph="1">
        <v>168</v>
      </c>
      <c r="T23" s="88" t="s" ph="1">
        <v>647</v>
      </c>
      <c r="U23" s="88" t="s" ph="1">
        <v>653</v>
      </c>
      <c r="V23" s="88" t="s" ph="1">
        <v>169</v>
      </c>
      <c r="W23" s="88" t="s" ph="1">
        <v>168</v>
      </c>
      <c r="X23" s="88" t="s" ph="1">
        <v>228</v>
      </c>
      <c r="Y23" s="88" t="s" ph="1">
        <v>97</v>
      </c>
      <c r="Z23" s="198" t="s" ph="1">
        <v>649</v>
      </c>
      <c r="AA23" s="199"/>
      <c r="AB23" s="199"/>
      <c r="AC23" s="199"/>
      <c r="AD23" s="199"/>
      <c r="AE23" s="200"/>
      <c r="AH23" s="64" ph="1">
        <v>9</v>
      </c>
      <c r="AI23" s="64" t="s" ph="1">
        <v>387</v>
      </c>
      <c r="AZ23" s="64" t="s" ph="1">
        <v>257</v>
      </c>
      <c r="BA23" s="64" ph="1">
        <v>0</v>
      </c>
      <c r="BD23" s="64" t="s" ph="1">
        <v>279</v>
      </c>
      <c r="BE23" s="64" ph="1">
        <v>890</v>
      </c>
    </row>
    <row r="24" spans="1:57" ph="1">
      <c r="A24" s="72" ph="1"/>
      <c r="B24" s="207" ph="1">
        <v>0.33333333333333331</v>
      </c>
      <c r="C24" s="149" t="s" ph="1">
        <v>208</v>
      </c>
      <c r="D24" s="71">
        <v>44.13</v>
      </c>
      <c r="E24" s="71">
        <v>90.82</v>
      </c>
      <c r="F24" s="71">
        <v>2148</v>
      </c>
      <c r="G24" s="71">
        <v>3319</v>
      </c>
      <c r="H24" s="71">
        <v>1918</v>
      </c>
      <c r="I24" s="71">
        <v>852</v>
      </c>
      <c r="J24" s="71">
        <v>2436</v>
      </c>
      <c r="K24" s="71">
        <v>5607</v>
      </c>
      <c r="L24" s="71">
        <v>5580</v>
      </c>
      <c r="M24" s="71">
        <v>4794</v>
      </c>
      <c r="N24" s="71">
        <v>2460</v>
      </c>
      <c r="O24" s="71">
        <v>2061</v>
      </c>
      <c r="P24" s="71">
        <v>456</v>
      </c>
      <c r="Q24" s="90">
        <v>3011</v>
      </c>
      <c r="R24" s="71">
        <v>3373</v>
      </c>
      <c r="S24" s="71">
        <v>404</v>
      </c>
      <c r="T24" s="71">
        <v>5</v>
      </c>
      <c r="U24" s="71">
        <v>5404</v>
      </c>
      <c r="V24" s="71">
        <v>407</v>
      </c>
      <c r="W24" s="71">
        <v>1643</v>
      </c>
      <c r="X24" s="71">
        <v>9544</v>
      </c>
      <c r="Y24" s="71">
        <v>3314</v>
      </c>
      <c r="Z24" s="201"/>
      <c r="AA24" s="202"/>
      <c r="AB24" s="202"/>
      <c r="AC24" s="202"/>
      <c r="AD24" s="202"/>
      <c r="AE24" s="203"/>
      <c r="AH24" s="64" ph="1">
        <v>10</v>
      </c>
      <c r="AI24" s="64" t="s" ph="1">
        <v>388</v>
      </c>
      <c r="AZ24" s="64" t="s" ph="1">
        <v>257</v>
      </c>
      <c r="BA24" s="64" ph="1">
        <v>0</v>
      </c>
    </row>
    <row r="25" spans="1:57" ph="1">
      <c r="A25" s="72" ph="1"/>
      <c r="B25" s="207" ph="1"/>
      <c r="C25" s="68" t="s" ph="1">
        <v>209</v>
      </c>
      <c r="D25" s="91" ph="1">
        <f>D24*268.68*LOOKUP(D26,密度!$A$2:$A$50,密度!$Q$2:$Q$50)+IF(D24&lt;=0,0,1566*LOOKUP(D26,密度!$A$2:$A$50,密度!$Q$2:$Q$50))</f>
        <v>12707.947494216001</v>
      </c>
      <c r="E25" s="91" ph="1">
        <f>E24*268.68*LOOKUP(E26,密度!$A$2:$A$50,密度!$C$2:$C$50)+IF(E24&lt;=0,0,1566*LOOKUP(E26,密度!$A$2:$A$50,密度!$C$2:$C$50))</f>
        <v>28795.380266640001</v>
      </c>
      <c r="F25" s="91" ph="1">
        <f>F24*11.702*LOOKUP(F26,密度!$A$2:$A$50,密度!$Q$2:$Q$50)</f>
        <v>23969.590425599999</v>
      </c>
      <c r="G25" s="91" ph="1">
        <f>G24*18.322*LOOKUP(G26,密度!$A$2:$A$50,密度!$B$2:$B$50)</f>
        <v>47870.197209600003</v>
      </c>
      <c r="H25" s="91" ph="1">
        <f>H24*18.322*LOOKUP(H26,密度!$A$2:$A$50,密度!$B$2:$B$50)</f>
        <v>27663.4643712</v>
      </c>
      <c r="I25" s="91" ph="1">
        <f>I24*18.322*LOOKUP(I26,密度!$A$2:$A$50,密度!$Q$2:$Q$50)</f>
        <v>14886.024038399999</v>
      </c>
      <c r="J25" s="91" ph="1">
        <f>J24*18.322*LOOKUP(J26,密度!$A$2:$A$50,密度!$Q$2:$Q$50)</f>
        <v>42561.449011199998</v>
      </c>
      <c r="K25" s="91" ph="1">
        <f>K24*18.322*LOOKUP(K26,密度!$A$2:$A$50,密度!$Q$2:$Q$50)</f>
        <v>97964.714534400002</v>
      </c>
      <c r="L25" s="91" ph="1">
        <f>L24*18.322*LOOKUP(L26,密度!$A$2:$A$50,密度!$Q$2:$Q$50)</f>
        <v>97492.974335999999</v>
      </c>
      <c r="M25" s="91" ph="1">
        <f>M24*18.322*LOOKUP(M26,密度!$A$2:$A$50,密度!$Q$2:$Q$50)</f>
        <v>83760.093004799986</v>
      </c>
      <c r="N25" s="91" ph="1">
        <f>N24*18.322*LOOKUP(N26,密度!$A$2:$A$50,密度!$Q$2:$Q$50)</f>
        <v>42980.773631999997</v>
      </c>
      <c r="O25" s="91" ph="1">
        <f>O24*18.322*LOOKUP(O26,密度!$A$2:$A$50,密度!$C$2:$C$50)</f>
        <v>42111.783158400001</v>
      </c>
      <c r="P25" s="91" ph="1">
        <f>P24*11.702*LOOKUP(P26,密度!$A$2:$A$50,密度!$B$2:$B$50)</f>
        <v>4204.856256</v>
      </c>
      <c r="Q25" s="92" ph="1">
        <f>Q24*18.322*LOOKUP(Q26,密度!$A$2:$A$50,密度!$B$2:$B$50)</f>
        <v>43472.023095999997</v>
      </c>
      <c r="R25" s="91" ph="1">
        <f>R24*35.891*LOOKUP(R26,密度!$A$2:$A$50,密度!$C$2:$C$50)</f>
        <v>135006.49451359999</v>
      </c>
      <c r="S25" s="91" ph="1">
        <f>S24*35.891*LOOKUP(S26,密度!$A$2:$A$50,密度!$B$2:$B$50)</f>
        <v>11425.971632000001</v>
      </c>
      <c r="T25" s="91" ph="1">
        <f>T24*35.891*LOOKUP(T26,密度!$A$2:$A$50,密度!$Q$2:$Q$50)</f>
        <v>171.128288</v>
      </c>
      <c r="U25" s="91" ph="1">
        <f>U24*35.891</f>
        <v>193954.96399999998</v>
      </c>
      <c r="V25" s="91" ph="1">
        <f>V24*47.051*LOOKUP(V26,密度!$A$2:$A$50,密度!$B$2:$B$50)</f>
        <v>15090.008516000002</v>
      </c>
      <c r="W25" s="91" ph="1">
        <f>W24*47.051*LOOKUP(W26,密度!$A$2:$A$50,密度!$B$2:$B$50)</f>
        <v>60738.375860100001</v>
      </c>
      <c r="X25" s="91" ph="1">
        <f>X24*47.051*LOOKUP(X26,密度!$A$2:$A$50,密度!$I$2:$I$50)</f>
        <v>465059.05507615994</v>
      </c>
      <c r="Y25" s="91" ph="1">
        <f>Y24*47.051*LOOKUP(Y26,密度!$A$2:$A$50,密度!$L$2:$L$50)</f>
        <v>147039.17420199999</v>
      </c>
      <c r="Z25" s="201"/>
      <c r="AA25" s="202"/>
      <c r="AB25" s="202"/>
      <c r="AC25" s="202"/>
      <c r="AD25" s="202"/>
      <c r="AE25" s="203"/>
      <c r="AH25" s="64" ph="1">
        <v>11</v>
      </c>
      <c r="AI25" s="64" t="s" ph="1">
        <v>389</v>
      </c>
      <c r="AZ25" s="64" t="s" ph="1">
        <v>257</v>
      </c>
      <c r="BA25" s="64" ph="1">
        <v>0</v>
      </c>
      <c r="BD25" s="64" t="s" ph="1">
        <v>282</v>
      </c>
      <c r="BE25" s="64" ph="1">
        <v>8920</v>
      </c>
    </row>
    <row r="26" spans="1:57" ph="1">
      <c r="A26" s="72" ph="1"/>
      <c r="B26" s="207" ph="1"/>
      <c r="C26" s="68" t="s" ph="1">
        <v>210</v>
      </c>
      <c r="D26" s="74">
        <v>25</v>
      </c>
      <c r="E26" s="74">
        <v>25</v>
      </c>
      <c r="F26" s="74">
        <v>16</v>
      </c>
      <c r="G26" s="74">
        <v>16</v>
      </c>
      <c r="H26" s="74">
        <v>16</v>
      </c>
      <c r="I26" s="74">
        <v>16</v>
      </c>
      <c r="J26" s="74">
        <v>16</v>
      </c>
      <c r="K26" s="74">
        <v>16</v>
      </c>
      <c r="L26" s="74">
        <v>16</v>
      </c>
      <c r="M26" s="74">
        <v>16</v>
      </c>
      <c r="N26" s="74">
        <v>16</v>
      </c>
      <c r="O26" s="74">
        <v>16</v>
      </c>
      <c r="P26" s="74">
        <v>15</v>
      </c>
      <c r="Q26" s="93">
        <v>15</v>
      </c>
      <c r="R26" s="74">
        <v>16</v>
      </c>
      <c r="S26" s="74">
        <v>15</v>
      </c>
      <c r="T26" s="74">
        <v>16</v>
      </c>
      <c r="U26" s="74">
        <v>16</v>
      </c>
      <c r="V26" s="74">
        <v>15</v>
      </c>
      <c r="W26" s="74">
        <v>18</v>
      </c>
      <c r="X26" s="74">
        <v>50</v>
      </c>
      <c r="Y26" s="74">
        <v>19</v>
      </c>
      <c r="Z26" s="201"/>
      <c r="AA26" s="202"/>
      <c r="AB26" s="202"/>
      <c r="AC26" s="202"/>
      <c r="AD26" s="202"/>
      <c r="AE26" s="203"/>
      <c r="AH26" s="64" ph="1">
        <v>12</v>
      </c>
      <c r="AI26" s="64" t="s" ph="1">
        <v>390</v>
      </c>
      <c r="AZ26" s="64" t="s" ph="1">
        <v>257</v>
      </c>
      <c r="BA26" s="64" ph="1">
        <v>0</v>
      </c>
    </row>
    <row r="27" spans="1:57" ph="1">
      <c r="A27" s="72" ph="1"/>
      <c r="B27" s="207" ph="1">
        <v>0.66666666666666663</v>
      </c>
      <c r="C27" s="149" t="s" ph="1">
        <v>211</v>
      </c>
      <c r="D27" s="71">
        <v>11.81</v>
      </c>
      <c r="E27" s="71">
        <v>90.81</v>
      </c>
      <c r="F27" s="71">
        <v>2147</v>
      </c>
      <c r="G27" s="71">
        <v>2852</v>
      </c>
      <c r="H27" s="71">
        <v>1778</v>
      </c>
      <c r="I27" s="71">
        <v>852</v>
      </c>
      <c r="J27" s="71">
        <v>2433</v>
      </c>
      <c r="K27" s="71">
        <v>5606</v>
      </c>
      <c r="L27" s="71">
        <v>5578</v>
      </c>
      <c r="M27" s="71">
        <v>4793</v>
      </c>
      <c r="N27" s="71">
        <v>1958</v>
      </c>
      <c r="O27" s="71">
        <v>2061</v>
      </c>
      <c r="P27" s="71">
        <v>455</v>
      </c>
      <c r="Q27" s="90">
        <v>2901</v>
      </c>
      <c r="R27" s="71">
        <v>3373</v>
      </c>
      <c r="S27" s="71">
        <v>403</v>
      </c>
      <c r="T27" s="71">
        <v>5.2</v>
      </c>
      <c r="U27" s="71">
        <v>5324</v>
      </c>
      <c r="V27" s="71">
        <v>407</v>
      </c>
      <c r="W27" s="71">
        <v>1642</v>
      </c>
      <c r="X27" s="71">
        <v>9254</v>
      </c>
      <c r="Y27" s="71">
        <v>3713</v>
      </c>
      <c r="Z27" s="201"/>
      <c r="AA27" s="202"/>
      <c r="AB27" s="202"/>
      <c r="AC27" s="202"/>
      <c r="AD27" s="202"/>
      <c r="AE27" s="203"/>
      <c r="AH27" s="64" ph="1">
        <v>13</v>
      </c>
      <c r="AI27" s="64" t="s" ph="1">
        <v>391</v>
      </c>
      <c r="AZ27" s="64" t="s" ph="1">
        <v>257</v>
      </c>
      <c r="BA27" s="64" ph="1">
        <v>0</v>
      </c>
      <c r="BD27" s="64" t="s" ph="1">
        <v>336</v>
      </c>
      <c r="BE27" s="64" ph="1">
        <v>7100</v>
      </c>
    </row>
    <row r="28" spans="1:57" ph="1">
      <c r="A28" s="72" ph="1"/>
      <c r="B28" s="207" ph="1"/>
      <c r="C28" s="149" t="s" ph="1">
        <v>209</v>
      </c>
      <c r="D28" s="91" ph="1">
        <f>D27*268.68*LOOKUP(D29,密度!$A$2:$A$50,密度!$Q$2:$Q$50)+IF(D27&lt;=0,0,1566*LOOKUP(D29,密度!$A$2:$A$50,密度!$Q$2:$Q$50))</f>
        <v>4486.7057587920008</v>
      </c>
      <c r="E28" s="91" ph="1">
        <f>E27*268.68*LOOKUP(E29,密度!$A$2:$A$50,密度!$C$2:$C$50)+IF(E27&lt;=0,0,1566*LOOKUP(E29,密度!$A$2:$A$50,密度!$C$2:$C$50))</f>
        <v>28792.400874120001</v>
      </c>
      <c r="F28" s="91" ph="1">
        <f>F27*11.702*LOOKUP(F29,密度!$A$2:$A$50,密度!$Q$2:$Q$50)</f>
        <v>23982.048140760002</v>
      </c>
      <c r="G28" s="91" ph="1">
        <f>G27*18.322*LOOKUP(G29,密度!$A$2:$A$50,密度!$B$2:$B$50)</f>
        <v>41134.619596799996</v>
      </c>
      <c r="H28" s="91" ph="1">
        <f>H27*18.322*LOOKUP(H29,密度!$A$2:$A$50,密度!$B$2:$B$50)</f>
        <v>25644.233395200001</v>
      </c>
      <c r="I28" s="91" ph="1">
        <f>I27*18.322*LOOKUP(I29,密度!$A$2:$A$50,密度!$Q$2:$Q$50)</f>
        <v>14886.024038399999</v>
      </c>
      <c r="J28" s="91" ph="1">
        <f>J27*18.322*LOOKUP(J29,密度!$A$2:$A$50,密度!$Q$2:$Q$50)</f>
        <v>42509.033433600001</v>
      </c>
      <c r="K28" s="91" ph="1">
        <f>K27*18.322*LOOKUP(K29,密度!$A$2:$A$50,密度!$Q$2:$Q$50)</f>
        <v>97947.242675200003</v>
      </c>
      <c r="L28" s="91" ph="1">
        <f>L27*18.322*LOOKUP(L29,密度!$A$2:$A$50,密度!$Q$2:$Q$50)</f>
        <v>97458.030617600001</v>
      </c>
      <c r="M28" s="91" ph="1">
        <f>M27*18.322*LOOKUP(M29,密度!$A$2:$A$50,密度!$Q$2:$Q$50)</f>
        <v>83742.621145599987</v>
      </c>
      <c r="N28" s="91" ph="1">
        <f>N27*18.322*LOOKUP(N29,密度!$A$2:$A$50,密度!$Q$2:$Q$50)</f>
        <v>34209.900313599996</v>
      </c>
      <c r="O28" s="91" ph="1">
        <f>O27*18.322*LOOKUP(O29,密度!$A$2:$A$50,密度!$C$2:$C$50)</f>
        <v>42111.783158400001</v>
      </c>
      <c r="P28" s="91" ph="1">
        <f>P27*11.702*LOOKUP(P29,密度!$A$2:$A$50,密度!$B$2:$B$50)</f>
        <v>4195.63508</v>
      </c>
      <c r="Q28" s="92" ph="1">
        <f>Q27*18.322*LOOKUP(Q29,密度!$A$2:$A$50,密度!$B$2:$B$50)</f>
        <v>41883.872135999998</v>
      </c>
      <c r="R28" s="91" ph="1">
        <f>R27*35.891*LOOKUP(R29,密度!$A$2:$A$50,密度!$C$2:$C$50)</f>
        <v>135079.13071939998</v>
      </c>
      <c r="S28" s="91" ph="1">
        <f>S27*35.891*LOOKUP(S29,密度!$A$2:$A$50,密度!$B$2:$B$50)</f>
        <v>11397.689523999999</v>
      </c>
      <c r="T28" s="91" ph="1">
        <f>T27*35.891*LOOKUP(T29,密度!$A$2:$A$50,密度!$Q$2:$Q$50)</f>
        <v>178.148854728</v>
      </c>
      <c r="U28" s="91" ph="1">
        <f>U27*35.891</f>
        <v>191083.68399999998</v>
      </c>
      <c r="V28" s="91" ph="1">
        <f>V27*47.051*LOOKUP(V29,密度!$A$2:$A$50,密度!$B$2:$B$50)</f>
        <v>15090.008516000002</v>
      </c>
      <c r="W28" s="91" ph="1">
        <f>W27*47.051*LOOKUP(W29,密度!$A$2:$A$50,密度!$B$2:$B$50)</f>
        <v>60755.488308799999</v>
      </c>
      <c r="X28" s="91" ph="1">
        <f>X27*47.051*LOOKUP(X29,密度!$A$2:$A$50,密度!$I$2:$I$50)</f>
        <v>450927.96476055996</v>
      </c>
      <c r="Y28" s="91" ph="1">
        <f>Y27*47.051*LOOKUP(Y29,密度!$A$2:$A$50,密度!$L$2:$L$50)</f>
        <v>164917.14267200002</v>
      </c>
      <c r="Z28" s="201"/>
      <c r="AA28" s="202"/>
      <c r="AB28" s="202"/>
      <c r="AC28" s="202"/>
      <c r="AD28" s="202"/>
      <c r="AE28" s="203"/>
      <c r="AH28" s="64" ph="1">
        <v>14</v>
      </c>
      <c r="AI28" s="64" t="s" ph="1">
        <v>392</v>
      </c>
      <c r="AZ28" s="64" t="s" ph="1">
        <v>257</v>
      </c>
      <c r="BA28" s="64" ph="1">
        <v>0</v>
      </c>
    </row>
    <row r="29" spans="1:57" ph="1">
      <c r="A29" s="72" ph="1"/>
      <c r="B29" s="207" ph="1"/>
      <c r="C29" s="149" t="s" ph="1">
        <v>210</v>
      </c>
      <c r="D29" s="74">
        <v>25</v>
      </c>
      <c r="E29" s="74">
        <v>25</v>
      </c>
      <c r="F29" s="74">
        <v>15</v>
      </c>
      <c r="G29" s="74">
        <v>16</v>
      </c>
      <c r="H29" s="74">
        <v>16</v>
      </c>
      <c r="I29" s="74">
        <v>16</v>
      </c>
      <c r="J29" s="74">
        <v>16</v>
      </c>
      <c r="K29" s="74">
        <v>16</v>
      </c>
      <c r="L29" s="74">
        <v>16</v>
      </c>
      <c r="M29" s="74">
        <v>16</v>
      </c>
      <c r="N29" s="74">
        <v>16</v>
      </c>
      <c r="O29" s="74">
        <v>16</v>
      </c>
      <c r="P29" s="74">
        <v>15</v>
      </c>
      <c r="Q29" s="93">
        <v>15</v>
      </c>
      <c r="R29" s="74">
        <v>15</v>
      </c>
      <c r="S29" s="74">
        <v>15</v>
      </c>
      <c r="T29" s="74">
        <v>15</v>
      </c>
      <c r="U29" s="74">
        <v>16</v>
      </c>
      <c r="V29" s="74">
        <v>15</v>
      </c>
      <c r="W29" s="74">
        <v>17</v>
      </c>
      <c r="X29" s="74">
        <v>51</v>
      </c>
      <c r="Y29" s="74">
        <v>18</v>
      </c>
      <c r="Z29" s="204"/>
      <c r="AA29" s="205"/>
      <c r="AB29" s="205"/>
      <c r="AC29" s="205"/>
      <c r="AD29" s="205"/>
      <c r="AE29" s="206"/>
      <c r="AH29" s="64" ph="1">
        <v>15</v>
      </c>
      <c r="AI29" s="64" t="s" ph="1">
        <v>393</v>
      </c>
      <c r="AZ29" s="64" t="s" ph="1">
        <v>257</v>
      </c>
      <c r="BA29" s="64" ph="1">
        <v>0</v>
      </c>
      <c r="BD29" s="64" t="s" ph="1">
        <v>394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395</v>
      </c>
      <c r="AZ30" s="64" t="s" ph="1">
        <v>257</v>
      </c>
      <c r="BA30" s="64" ph="1">
        <v>0</v>
      </c>
    </row>
    <row r="31" spans="1:57" ht="28.5" ph="1">
      <c r="A31" s="64"/>
      <c r="B31" s="220" t="s" ph="1">
        <v>35</v>
      </c>
      <c r="C31" s="221" ph="1"/>
      <c r="D31" s="224" t="s" ph="1">
        <v>9</v>
      </c>
      <c r="E31" s="213" ph="1"/>
      <c r="F31" s="214" ph="1"/>
      <c r="G31" s="224" t="s" ph="1">
        <v>18</v>
      </c>
      <c r="H31" s="213" ph="1"/>
      <c r="I31" s="214" ph="1"/>
      <c r="J31" s="212" t="s" ph="1">
        <v>1</v>
      </c>
      <c r="K31" s="213" ph="1"/>
      <c r="L31" s="214" ph="1"/>
      <c r="M31" s="212" t="s" ph="1">
        <v>7</v>
      </c>
      <c r="N31" s="213" ph="1"/>
      <c r="O31" s="214" ph="1"/>
      <c r="P31" s="212" t="s" ph="1">
        <v>42</v>
      </c>
      <c r="Q31" s="213"/>
      <c r="R31" s="214"/>
      <c r="S31" s="212" t="s" ph="1">
        <v>2</v>
      </c>
      <c r="T31" s="213"/>
      <c r="U31" s="214"/>
      <c r="V31" s="212" t="s" ph="1">
        <v>81</v>
      </c>
      <c r="W31" s="213" ph="1"/>
      <c r="X31" s="214" ph="1"/>
      <c r="Y31" s="212" t="s" ph="1">
        <v>3</v>
      </c>
      <c r="Z31" s="213" ph="1"/>
      <c r="AA31" s="214" ph="1"/>
      <c r="AB31" s="235" t="s">
        <v>43</v>
      </c>
      <c r="AC31" s="236"/>
      <c r="AD31" s="236"/>
      <c r="AE31" s="237"/>
      <c r="AH31" s="64" ph="1">
        <v>17</v>
      </c>
      <c r="AI31" s="64" t="s" ph="1">
        <v>396</v>
      </c>
      <c r="AZ31" s="64" t="s" ph="1">
        <v>257</v>
      </c>
      <c r="BA31" s="64" ph="1">
        <v>0</v>
      </c>
      <c r="BD31" s="64" t="s" ph="1">
        <v>397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49" t="s" ph="1">
        <v>5</v>
      </c>
      <c r="F32" s="150" t="s" ph="1">
        <v>44</v>
      </c>
      <c r="G32" s="97" t="s" ph="1">
        <v>4</v>
      </c>
      <c r="H32" s="149" t="s" ph="1">
        <v>5</v>
      </c>
      <c r="I32" s="150" t="s" ph="1">
        <v>44</v>
      </c>
      <c r="J32" s="97" t="s" ph="1">
        <v>4</v>
      </c>
      <c r="K32" s="149" t="s" ph="1">
        <v>5</v>
      </c>
      <c r="L32" s="150" t="s" ph="1">
        <v>44</v>
      </c>
      <c r="M32" s="97" t="s" ph="1">
        <v>4</v>
      </c>
      <c r="N32" s="149" t="s" ph="1">
        <v>5</v>
      </c>
      <c r="O32" s="150" t="s" ph="1">
        <v>44</v>
      </c>
      <c r="P32" s="97" t="s" ph="1">
        <v>4</v>
      </c>
      <c r="Q32" s="98" t="s" ph="1">
        <v>5</v>
      </c>
      <c r="R32" s="99" t="s" ph="1">
        <v>44</v>
      </c>
      <c r="S32" s="97" t="s" ph="1">
        <v>4</v>
      </c>
      <c r="T32" s="149" t="s" ph="1">
        <v>5</v>
      </c>
      <c r="U32" s="99" t="s" ph="1">
        <v>44</v>
      </c>
      <c r="V32" s="97" t="s" ph="1">
        <v>4</v>
      </c>
      <c r="W32" s="149" t="s" ph="1">
        <v>5</v>
      </c>
      <c r="X32" s="99" t="s" ph="1">
        <v>44</v>
      </c>
      <c r="Y32" s="100" t="s" ph="1">
        <v>4</v>
      </c>
      <c r="Z32" s="149" t="s" ph="1">
        <v>5</v>
      </c>
      <c r="AA32" s="150" t="s" ph="1">
        <v>44</v>
      </c>
      <c r="AB32" s="97" t="s" ph="1">
        <v>102</v>
      </c>
      <c r="AC32" s="149" t="s" ph="1">
        <v>101</v>
      </c>
      <c r="AD32" s="238" t="s" ph="1">
        <v>100</v>
      </c>
      <c r="AE32" s="239"/>
      <c r="AH32" s="64" ph="1">
        <v>18</v>
      </c>
      <c r="AI32" s="64" t="s" ph="1">
        <v>398</v>
      </c>
      <c r="AZ32" s="64" t="s" ph="1">
        <v>257</v>
      </c>
      <c r="BA32" s="64" ph="1">
        <v>0</v>
      </c>
    </row>
    <row r="33" spans="1:57" ph="1">
      <c r="A33" s="64"/>
      <c r="B33" s="225" t="s" ph="1">
        <v>212</v>
      </c>
      <c r="C33" s="226" ph="1"/>
      <c r="D33" s="229" ph="1">
        <f>AA10+AB10+Z19</f>
        <v>127246.427908</v>
      </c>
      <c r="E33" s="229" ph="1">
        <f>M10+I10</f>
        <v>183086.05434200002</v>
      </c>
      <c r="F33" s="23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[[#This Row],[F25]]</f>
        <v>3880</v>
      </c>
      <c r="G33" s="233" ph="1">
        <v>0</v>
      </c>
      <c r="H33" s="229" ph="1">
        <f>N19</f>
        <v>8994.90504788</v>
      </c>
      <c r="I33" s="242" ph="1">
        <v>0</v>
      </c>
      <c r="J33" s="240" ph="1">
        <f>F10+O28</f>
        <v>282704.07607559994</v>
      </c>
      <c r="K33" s="229" ph="1">
        <f>O10+K10+E28+R28</f>
        <v>260249.84348391998</v>
      </c>
      <c r="L33" s="244" ph="1">
        <f>BE27</f>
        <v>7100</v>
      </c>
      <c r="M33" s="240" ph="1">
        <f>G10+H10+W28+S28</f>
        <v>350346.01426679996</v>
      </c>
      <c r="N33" s="229" ph="1">
        <f>L10+P10++G28+H28+V28</f>
        <v>415725.15928099997</v>
      </c>
      <c r="O33" s="242" ph="1">
        <f>BE17</f>
        <v>2270</v>
      </c>
      <c r="P33" s="240" ph="1">
        <f>L19</f>
        <v>46976.262214679999</v>
      </c>
      <c r="Q33" s="229" ph="1">
        <f>J10+N10</f>
        <v>155937.97843039999</v>
      </c>
      <c r="R33" s="242" ph="1">
        <f>BE23</f>
        <v>890</v>
      </c>
      <c r="S33" s="240" ph="1">
        <f>E10+X28</f>
        <v>450927.96476055996</v>
      </c>
      <c r="T33" s="229" ph="1">
        <f>X19</f>
        <v>12134.338702079998</v>
      </c>
      <c r="U33" s="250" ph="1">
        <f>BE21</f>
        <v>730</v>
      </c>
      <c r="V33" s="261" ph="1">
        <f ca="1">P19+Q19+S19+M28+N28+J28</f>
        <v>242014.219015068</v>
      </c>
      <c r="W33" s="261" ph="1">
        <f>D28+F28+V19+T28</f>
        <v>37593.479542760004</v>
      </c>
      <c r="X33" s="242" ph="1">
        <f>BE29+BE31</f>
        <v>10200</v>
      </c>
      <c r="Y33" s="263" ph="1">
        <f>+Q10+R10+S10+T10+U10+V10+W10+X10+Y10</f>
        <v>165279.90665339999</v>
      </c>
      <c r="Z33" s="248" ph="1">
        <f>D10+T19+U19+Y28+Z10</f>
        <v>471879.69754872</v>
      </c>
      <c r="AA33" s="250" ph="1">
        <f>BE19</f>
        <v>1440</v>
      </c>
      <c r="AB33" s="252" ph="1">
        <f>I19</f>
        <v>121.2729544</v>
      </c>
      <c r="AC33" s="254" ph="1">
        <f>AD10</f>
        <v>5376.0776159999996</v>
      </c>
      <c r="AD33" s="256" ph="1">
        <v>0</v>
      </c>
      <c r="AE33" s="257"/>
      <c r="AH33" s="64" ph="1">
        <v>19</v>
      </c>
      <c r="AI33" s="64" t="s" ph="1">
        <v>399</v>
      </c>
      <c r="AJ33" s="64" t="s" ph="1">
        <v>633</v>
      </c>
      <c r="AK33" s="64" t="s" ph="1">
        <v>630</v>
      </c>
      <c r="AL33" s="64" ph="1">
        <v>730</v>
      </c>
      <c r="AM33" s="64" t="s" ph="1">
        <v>380</v>
      </c>
      <c r="AZ33" s="64" t="s" ph="1">
        <v>257</v>
      </c>
      <c r="BA33" s="64" ph="1">
        <v>730</v>
      </c>
      <c r="BD33" s="64" t="s" ph="1">
        <v>331</v>
      </c>
      <c r="BE33" s="64" ph="1">
        <v>3880</v>
      </c>
    </row>
    <row r="34" spans="1:57" ph="1">
      <c r="A34" s="64"/>
      <c r="B34" s="227" ph="1"/>
      <c r="C34" s="228" ph="1"/>
      <c r="D34" s="230" ph="1"/>
      <c r="E34" s="230" ph="1"/>
      <c r="F34" s="232" ph="1"/>
      <c r="G34" s="234" ph="1"/>
      <c r="H34" s="230" ph="1"/>
      <c r="I34" s="243" ph="1"/>
      <c r="J34" s="241" ph="1"/>
      <c r="K34" s="230" ph="1"/>
      <c r="L34" s="245" ph="1"/>
      <c r="M34" s="241" ph="1"/>
      <c r="N34" s="230" ph="1"/>
      <c r="O34" s="243" ph="1"/>
      <c r="P34" s="241" ph="1"/>
      <c r="Q34" s="230" ph="1"/>
      <c r="R34" s="243" ph="1"/>
      <c r="S34" s="241" ph="1"/>
      <c r="T34" s="230"/>
      <c r="U34" s="251"/>
      <c r="V34" s="262" ph="1"/>
      <c r="W34" s="262" ph="1"/>
      <c r="X34" s="243" ph="1"/>
      <c r="Y34" s="264" ph="1"/>
      <c r="Z34" s="249" ph="1"/>
      <c r="AA34" s="251" ph="1"/>
      <c r="AB34" s="253"/>
      <c r="AC34" s="255"/>
      <c r="AD34" s="258"/>
      <c r="AE34" s="259"/>
      <c r="AH34" s="64" ph="1">
        <v>20</v>
      </c>
      <c r="AI34" s="64" t="s" ph="1">
        <v>400</v>
      </c>
      <c r="AJ34" s="64" t="s" ph="1">
        <v>634</v>
      </c>
      <c r="AK34" s="64" t="s" ph="1">
        <v>630</v>
      </c>
      <c r="AL34" s="64" ph="1">
        <v>720</v>
      </c>
      <c r="AM34" s="64" t="s" ph="1">
        <v>380</v>
      </c>
      <c r="AZ34" s="64" t="s" ph="1">
        <v>257</v>
      </c>
      <c r="BA34" s="64" ph="1">
        <v>720</v>
      </c>
    </row>
    <row r="35" spans="1:57" ph="1">
      <c r="A35" s="64"/>
      <c r="AC35" s="260" t="s" ph="1">
        <v>84</v>
      </c>
      <c r="AD35" s="260"/>
      <c r="AE35" s="260"/>
      <c r="AH35" s="64" ph="1">
        <v>21</v>
      </c>
      <c r="AI35" s="64" t="s" ph="1">
        <v>401</v>
      </c>
      <c r="AZ35" s="64" t="s" ph="1">
        <v>257</v>
      </c>
      <c r="BA35" s="64" ph="1">
        <v>0</v>
      </c>
      <c r="BD35" s="64" t="s" ph="1">
        <v>402</v>
      </c>
      <c r="BE35" s="64" ph="1">
        <v>2030</v>
      </c>
    </row>
    <row r="36" spans="1:57" ht="28.5" ph="1">
      <c r="A36" s="64"/>
      <c r="B36" s="103" t="s" ph="1">
        <v>213</v>
      </c>
      <c r="I36" s="246" t="s" ph="1">
        <v>214</v>
      </c>
      <c r="J36" s="246" ph="1"/>
      <c r="K36" s="101" ph="1"/>
      <c r="P36" s="101" ph="1"/>
      <c r="R36" s="246" t="s" ph="1">
        <v>215</v>
      </c>
      <c r="S36" s="246" ph="1"/>
      <c r="Y36" s="102" ph="1"/>
      <c r="Z36" s="151" t="s" ph="1">
        <v>216</v>
      </c>
      <c r="AA36" s="151" ph="1"/>
      <c r="AB36" s="247" t="s" ph="1">
        <v>655</v>
      </c>
      <c r="AC36" s="247" ph="1"/>
      <c r="AD36" s="247" ph="1"/>
      <c r="AE36" s="247" ph="1"/>
      <c r="BA36" s="64" ph="1">
        <v>2270</v>
      </c>
    </row>
    <row r="37" spans="1:57" s="151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1" t="s" ph="1">
        <v>383</v>
      </c>
      <c r="AI37" s="151" t="s" ph="1">
        <v>250</v>
      </c>
      <c r="AJ37" s="151" t="s" ph="1">
        <v>251</v>
      </c>
      <c r="AK37" s="151" t="s" ph="1">
        <v>252</v>
      </c>
      <c r="AM37" s="151" t="s" ph="1">
        <v>251</v>
      </c>
      <c r="AN37" s="151" t="s" ph="1">
        <v>252</v>
      </c>
      <c r="AO37" s="151" t="s" ph="1">
        <v>253</v>
      </c>
      <c r="AP37" s="151" t="s" ph="1">
        <v>251</v>
      </c>
      <c r="AQ37" s="151" t="s" ph="1">
        <v>252</v>
      </c>
      <c r="AR37" s="151" t="s" ph="1">
        <v>253</v>
      </c>
      <c r="AS37" s="151" t="s" ph="1">
        <v>251</v>
      </c>
      <c r="AT37" s="151" t="s" ph="1">
        <v>252</v>
      </c>
      <c r="AU37" s="151" t="s" ph="1">
        <v>253</v>
      </c>
      <c r="AV37" s="151" t="s" ph="1">
        <v>251</v>
      </c>
      <c r="AW37" s="151" t="s" ph="1">
        <v>252</v>
      </c>
      <c r="AX37" s="151" t="s" ph="1">
        <v>253</v>
      </c>
      <c r="AY37" s="151" t="s" ph="1">
        <v>252</v>
      </c>
      <c r="AZ37" s="151" t="s" ph="1">
        <v>254</v>
      </c>
      <c r="BD37" s="151" t="s" ph="1">
        <v>346</v>
      </c>
      <c r="BE37" s="151" ph="1">
        <v>0</v>
      </c>
    </row>
    <row r="38" spans="1:57" ph="1">
      <c r="AE38" s="64" ph="1"/>
      <c r="AH38" s="64" ph="1">
        <v>1</v>
      </c>
      <c r="AI38" s="64" t="s" ph="1">
        <v>403</v>
      </c>
      <c r="AY38" s="64" t="s" ph="1">
        <v>257</v>
      </c>
      <c r="AZ38" s="64" t="s" ph="1">
        <v>408</v>
      </c>
    </row>
    <row r="39" spans="1:57" ph="1">
      <c r="AH39" s="64" ph="1">
        <v>2</v>
      </c>
      <c r="AI39" s="64" t="s" ph="1">
        <v>405</v>
      </c>
      <c r="AJ39" s="64" t="s" ph="1">
        <v>377</v>
      </c>
      <c r="AK39" s="64" t="s" ph="1">
        <v>406</v>
      </c>
      <c r="AM39" s="64" t="s" ph="1">
        <v>611</v>
      </c>
      <c r="AN39" s="64" t="s" ph="1">
        <v>269</v>
      </c>
      <c r="AO39" s="64" t="s" ph="1">
        <v>404</v>
      </c>
      <c r="AY39" s="64" t="s" ph="1">
        <v>257</v>
      </c>
      <c r="AZ39" s="64" t="s" ph="1">
        <v>540</v>
      </c>
    </row>
    <row r="40" spans="1:57" ph="1">
      <c r="AH40" s="64" ph="1">
        <v>3</v>
      </c>
      <c r="AI40" s="64" t="s" ph="1">
        <v>407</v>
      </c>
      <c r="AJ40" s="64" t="s" ph="1">
        <v>611</v>
      </c>
      <c r="AK40" s="64" t="s" ph="1">
        <v>612</v>
      </c>
      <c r="AY40" s="64" t="s" ph="1">
        <v>257</v>
      </c>
      <c r="AZ40" s="64" t="s" ph="1">
        <v>612</v>
      </c>
    </row>
    <row r="41" spans="1:57" ph="1">
      <c r="AH41" s="64" ph="1">
        <v>4</v>
      </c>
      <c r="AI41" s="64" t="s" ph="1">
        <v>409</v>
      </c>
      <c r="AJ41" s="64" t="s" ph="1">
        <v>613</v>
      </c>
      <c r="AK41" s="64" t="s" ph="1">
        <v>614</v>
      </c>
      <c r="AM41" s="64" t="s" ph="1">
        <v>615</v>
      </c>
      <c r="AY41" s="64" t="s" ph="1">
        <v>257</v>
      </c>
      <c r="AZ41" s="64" t="s" ph="1">
        <v>614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410</v>
      </c>
      <c r="AY42" s="64" t="s" ph="1">
        <v>257</v>
      </c>
      <c r="AZ42" s="64" t="s" ph="1">
        <v>408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411</v>
      </c>
      <c r="AY43" s="64" t="s" ph="1">
        <v>257</v>
      </c>
      <c r="AZ43" s="64" t="s" ph="1">
        <v>408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412</v>
      </c>
      <c r="AV44" s="64" t="s" ph="1">
        <v>258</v>
      </c>
      <c r="AY44" s="64" t="s" ph="1">
        <v>257</v>
      </c>
      <c r="AZ44" s="64" t="s" ph="1">
        <v>408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413</v>
      </c>
      <c r="AV45" s="64" t="s" ph="1">
        <v>258</v>
      </c>
      <c r="AY45" s="64" t="s" ph="1">
        <v>257</v>
      </c>
      <c r="AZ45" s="64" t="s" ph="1">
        <v>408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414</v>
      </c>
      <c r="AV46" s="64" t="s" ph="1">
        <v>258</v>
      </c>
      <c r="AY46" s="64" t="s" ph="1">
        <v>257</v>
      </c>
      <c r="AZ46" s="64" t="s" ph="1">
        <v>408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415</v>
      </c>
      <c r="AV47" s="64" t="s" ph="1">
        <v>258</v>
      </c>
      <c r="AY47" s="64" t="s" ph="1">
        <v>257</v>
      </c>
      <c r="AZ47" s="64" t="s" ph="1">
        <v>408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616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273</v>
      </c>
      <c r="AI49" s="64" t="s" ph="1">
        <v>250</v>
      </c>
      <c r="AJ49" s="64" t="s" ph="1">
        <v>251</v>
      </c>
      <c r="AK49" s="64" t="s" ph="1">
        <v>252</v>
      </c>
      <c r="AM49" s="64" t="s" ph="1">
        <v>251</v>
      </c>
      <c r="AN49" s="64" t="s" ph="1">
        <v>252</v>
      </c>
      <c r="AO49" s="64" t="s" ph="1">
        <v>253</v>
      </c>
      <c r="AP49" s="64" t="s" ph="1">
        <v>251</v>
      </c>
      <c r="AQ49" s="64" t="s" ph="1">
        <v>252</v>
      </c>
      <c r="AR49" s="64" t="s" ph="1">
        <v>253</v>
      </c>
      <c r="AS49" s="64" t="s" ph="1">
        <v>251</v>
      </c>
      <c r="AT49" s="64" t="s" ph="1">
        <v>252</v>
      </c>
      <c r="AU49" s="64" t="s" ph="1">
        <v>253</v>
      </c>
      <c r="AV49" s="64" t="s" ph="1">
        <v>251</v>
      </c>
      <c r="AW49" s="64" t="s" ph="1">
        <v>252</v>
      </c>
      <c r="AX49" s="64" t="s" ph="1">
        <v>253</v>
      </c>
      <c r="AY49" s="64" t="s" ph="1">
        <v>252</v>
      </c>
      <c r="AZ49" s="64" t="s" ph="1">
        <v>254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416</v>
      </c>
      <c r="AY50" s="64" t="s" ph="1">
        <v>257</v>
      </c>
      <c r="AZ50" s="64" t="s" ph="1">
        <v>408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417</v>
      </c>
      <c r="AY51" s="64" t="s" ph="1">
        <v>257</v>
      </c>
      <c r="AZ51" s="64" t="s" ph="1">
        <v>408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418</v>
      </c>
      <c r="AJ52" s="64" t="s" ph="1">
        <v>375</v>
      </c>
      <c r="AK52" s="64" t="s" ph="1">
        <v>269</v>
      </c>
      <c r="AM52" s="64" t="s" ph="1">
        <v>377</v>
      </c>
      <c r="AN52" s="64" t="s" ph="1">
        <v>341</v>
      </c>
      <c r="AO52" s="64" t="s" ph="1">
        <v>274</v>
      </c>
      <c r="AP52" s="64" t="s" ph="1">
        <v>611</v>
      </c>
      <c r="AQ52" s="64" t="s" ph="1">
        <v>323</v>
      </c>
      <c r="AR52" s="64" t="s" ph="1">
        <v>274</v>
      </c>
      <c r="AY52" s="64" t="s" ph="1">
        <v>257</v>
      </c>
      <c r="AZ52" s="64" t="s" ph="1">
        <v>617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419</v>
      </c>
      <c r="AY53" s="64" t="s" ph="1">
        <v>257</v>
      </c>
      <c r="AZ53" s="64" t="s" ph="1">
        <v>408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420</v>
      </c>
      <c r="AJ54" s="64" t="s" ph="1">
        <v>375</v>
      </c>
      <c r="AK54" s="64" t="s" ph="1">
        <v>260</v>
      </c>
      <c r="AM54" s="64" t="s" ph="1">
        <v>377</v>
      </c>
      <c r="AN54" s="64" t="s" ph="1">
        <v>265</v>
      </c>
      <c r="AO54" s="64" t="s" ph="1">
        <v>274</v>
      </c>
      <c r="AP54" s="64" t="s" ph="1">
        <v>611</v>
      </c>
      <c r="AQ54" s="64" t="s" ph="1">
        <v>281</v>
      </c>
      <c r="AR54" s="64" t="s" ph="1">
        <v>274</v>
      </c>
      <c r="AY54" s="64" t="s" ph="1">
        <v>257</v>
      </c>
      <c r="AZ54" s="64" t="s" ph="1">
        <v>275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421</v>
      </c>
      <c r="AY55" s="64" t="s" ph="1">
        <v>257</v>
      </c>
      <c r="AZ55" s="64" t="s" ph="1">
        <v>408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422</v>
      </c>
      <c r="AY56" s="64" t="s" ph="1">
        <v>257</v>
      </c>
      <c r="AZ56" s="64" t="s" ph="1">
        <v>408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423</v>
      </c>
      <c r="AY57" s="64" t="s" ph="1">
        <v>257</v>
      </c>
      <c r="AZ57" s="64" t="s" ph="1">
        <v>408</v>
      </c>
    </row>
    <row r="58" spans="16:52" ph="1">
      <c r="P58" s="64"/>
      <c r="AN58" s="64" t="s" ph="1">
        <v>258</v>
      </c>
      <c r="AZ58" s="64" t="s" ph="1">
        <v>618</v>
      </c>
    </row>
    <row r="59" spans="16:52" ph="1">
      <c r="V59" s="64"/>
      <c r="AG59" s="64" t="s" ph="1">
        <v>276</v>
      </c>
      <c r="AI59" s="64" t="s" ph="1">
        <v>250</v>
      </c>
      <c r="AJ59" s="64" t="s" ph="1">
        <v>251</v>
      </c>
      <c r="AK59" s="64" t="s" ph="1">
        <v>252</v>
      </c>
      <c r="AM59" s="64" t="s" ph="1">
        <v>251</v>
      </c>
      <c r="AN59" s="64" t="s" ph="1">
        <v>252</v>
      </c>
      <c r="AO59" s="64" t="s" ph="1">
        <v>253</v>
      </c>
      <c r="AP59" s="64" t="s" ph="1">
        <v>251</v>
      </c>
      <c r="AQ59" s="64" t="s" ph="1">
        <v>252</v>
      </c>
      <c r="AR59" s="64" t="s" ph="1">
        <v>253</v>
      </c>
      <c r="AS59" s="64" t="s" ph="1">
        <v>251</v>
      </c>
      <c r="AT59" s="64" t="s" ph="1">
        <v>252</v>
      </c>
      <c r="AU59" s="64" t="s" ph="1">
        <v>253</v>
      </c>
      <c r="AV59" s="64" t="s" ph="1">
        <v>251</v>
      </c>
      <c r="AW59" s="64" t="s" ph="1">
        <v>252</v>
      </c>
      <c r="AX59" s="64" t="s" ph="1">
        <v>253</v>
      </c>
      <c r="AY59" s="64" t="s" ph="1">
        <v>252</v>
      </c>
      <c r="AZ59" s="64" t="s" ph="1">
        <v>254</v>
      </c>
    </row>
    <row r="60" spans="16:52" ph="1">
      <c r="R60" s="64"/>
      <c r="S60" s="64"/>
      <c r="T60" s="64"/>
      <c r="AH60" s="64" ph="1">
        <v>1</v>
      </c>
      <c r="AI60" s="64" t="s" ph="1">
        <v>424</v>
      </c>
      <c r="AY60" s="64" t="s" ph="1">
        <v>257</v>
      </c>
      <c r="AZ60" s="64" t="s" ph="1">
        <v>408</v>
      </c>
    </row>
    <row r="61" spans="16:52" ph="1">
      <c r="AH61" s="64" ph="1">
        <v>2</v>
      </c>
      <c r="AI61" s="64" t="s" ph="1">
        <v>425</v>
      </c>
      <c r="AS61" s="64" t="s" ph="1">
        <v>258</v>
      </c>
      <c r="AY61" s="64" t="s" ph="1">
        <v>257</v>
      </c>
      <c r="AZ61" s="64" t="s" ph="1">
        <v>408</v>
      </c>
    </row>
    <row r="62" spans="16:52" ph="1">
      <c r="AZ62" s="64" t="s" ph="1">
        <v>426</v>
      </c>
    </row>
    <row r="63" spans="16:52" ph="1">
      <c r="AG63" s="64" t="s" ph="1">
        <v>279</v>
      </c>
      <c r="AI63" s="64" t="s" ph="1">
        <v>250</v>
      </c>
      <c r="AJ63" s="64" t="s" ph="1">
        <v>251</v>
      </c>
      <c r="AK63" s="64" t="s" ph="1">
        <v>252</v>
      </c>
      <c r="AM63" s="64" t="s" ph="1">
        <v>251</v>
      </c>
      <c r="AN63" s="64" t="s" ph="1">
        <v>252</v>
      </c>
      <c r="AO63" s="64" t="s" ph="1">
        <v>253</v>
      </c>
      <c r="AP63" s="64" t="s" ph="1">
        <v>251</v>
      </c>
      <c r="AQ63" s="64" t="s" ph="1">
        <v>252</v>
      </c>
      <c r="AR63" s="64" t="s" ph="1">
        <v>253</v>
      </c>
      <c r="AS63" s="64" t="s" ph="1">
        <v>251</v>
      </c>
      <c r="AT63" s="64" t="s" ph="1">
        <v>252</v>
      </c>
      <c r="AU63" s="64" t="s" ph="1">
        <v>253</v>
      </c>
      <c r="AV63" s="64" t="s" ph="1">
        <v>251</v>
      </c>
      <c r="AW63" s="64" t="s" ph="1">
        <v>252</v>
      </c>
      <c r="AX63" s="64" t="s" ph="1">
        <v>253</v>
      </c>
      <c r="AY63" s="64" t="s" ph="1">
        <v>252</v>
      </c>
      <c r="AZ63" s="64" t="s" ph="1">
        <v>254</v>
      </c>
    </row>
    <row r="64" spans="16:52" ph="1">
      <c r="AH64" s="64" ph="1">
        <v>1</v>
      </c>
      <c r="AI64" s="64" t="s" ph="1">
        <v>427</v>
      </c>
      <c r="AJ64" s="64" t="s" ph="1">
        <v>428</v>
      </c>
      <c r="AK64" s="64" t="s" ph="1">
        <v>429</v>
      </c>
      <c r="AY64" s="64" t="s" ph="1">
        <v>257</v>
      </c>
      <c r="AZ64" s="64" t="s" ph="1">
        <v>429</v>
      </c>
    </row>
    <row r="65" spans="33:52" ph="1">
      <c r="AH65" s="64" ph="1">
        <v>2</v>
      </c>
      <c r="AI65" s="64" t="s" ph="1">
        <v>430</v>
      </c>
      <c r="AY65" s="64" t="s" ph="1">
        <v>257</v>
      </c>
      <c r="AZ65" s="64" t="s" ph="1">
        <v>408</v>
      </c>
    </row>
    <row r="66" spans="33:52" ph="1">
      <c r="AH66" s="64" ph="1">
        <v>3</v>
      </c>
      <c r="AI66" s="64" t="s" ph="1">
        <v>431</v>
      </c>
      <c r="AY66" s="64" t="s" ph="1">
        <v>257</v>
      </c>
      <c r="AZ66" s="64" t="s" ph="1">
        <v>408</v>
      </c>
    </row>
    <row r="67" spans="33:52" ph="1">
      <c r="AH67" s="64" ph="1">
        <v>4</v>
      </c>
      <c r="AI67" s="64" t="s" ph="1">
        <v>432</v>
      </c>
      <c r="AY67" s="64" t="s" ph="1">
        <v>257</v>
      </c>
      <c r="AZ67" s="64" t="s" ph="1">
        <v>408</v>
      </c>
    </row>
    <row r="68" spans="33:52" ph="1">
      <c r="AH68" s="64" ph="1">
        <v>5</v>
      </c>
      <c r="AI68" s="64" t="s" ph="1">
        <v>433</v>
      </c>
      <c r="AY68" s="64" t="s" ph="1">
        <v>257</v>
      </c>
      <c r="AZ68" s="64" t="s" ph="1">
        <v>408</v>
      </c>
    </row>
    <row r="69" spans="33:52" ph="1">
      <c r="AH69" s="64" ph="1">
        <v>6</v>
      </c>
      <c r="AI69" s="64" t="s" ph="1">
        <v>434</v>
      </c>
      <c r="AY69" s="64" t="s" ph="1">
        <v>257</v>
      </c>
      <c r="AZ69" s="64" t="s" ph="1">
        <v>408</v>
      </c>
    </row>
    <row r="70" spans="33:52" ph="1">
      <c r="AI70" s="64" t="s" ph="1">
        <v>435</v>
      </c>
      <c r="AY70" s="64" t="s" ph="1">
        <v>257</v>
      </c>
      <c r="AZ70" s="64" t="s" ph="1">
        <v>408</v>
      </c>
    </row>
    <row r="71" spans="33:52" ph="1">
      <c r="AH71" s="64" ph="1">
        <v>7</v>
      </c>
      <c r="AI71" s="64" t="s" ph="1">
        <v>436</v>
      </c>
      <c r="AJ71" s="64" t="s" ph="1">
        <v>375</v>
      </c>
      <c r="AK71" s="64" t="s" ph="1">
        <v>269</v>
      </c>
      <c r="AM71" s="64" t="s" ph="1">
        <v>377</v>
      </c>
      <c r="AN71" s="64" t="s" ph="1">
        <v>269</v>
      </c>
      <c r="AO71" s="64" t="s" ph="1">
        <v>437</v>
      </c>
      <c r="AP71" s="64" t="s" ph="1">
        <v>611</v>
      </c>
      <c r="AQ71" s="64" t="s" ph="1">
        <v>260</v>
      </c>
      <c r="AR71" s="64" t="s" ph="1">
        <v>437</v>
      </c>
      <c r="AY71" s="64" t="s" ph="1">
        <v>257</v>
      </c>
      <c r="AZ71" s="64" t="s" ph="1">
        <v>619</v>
      </c>
    </row>
    <row r="72" spans="33:52" ph="1">
      <c r="AZ72" s="64" t="s" ph="1">
        <v>620</v>
      </c>
    </row>
    <row r="73" spans="33:52" ph="1">
      <c r="AG73" s="64" t="s" ph="1">
        <v>282</v>
      </c>
      <c r="AI73" s="64" t="s" ph="1">
        <v>250</v>
      </c>
      <c r="AJ73" s="64" t="s" ph="1">
        <v>251</v>
      </c>
      <c r="AK73" s="64" t="s" ph="1">
        <v>252</v>
      </c>
      <c r="AM73" s="64" t="s" ph="1">
        <v>251</v>
      </c>
      <c r="AN73" s="64" t="s" ph="1">
        <v>252</v>
      </c>
      <c r="AO73" s="64" t="s" ph="1">
        <v>253</v>
      </c>
      <c r="AP73" s="64" t="s" ph="1">
        <v>251</v>
      </c>
      <c r="AQ73" s="64" t="s" ph="1">
        <v>252</v>
      </c>
      <c r="AR73" s="64" t="s" ph="1">
        <v>253</v>
      </c>
      <c r="AS73" s="64" t="s" ph="1">
        <v>251</v>
      </c>
      <c r="AT73" s="64" t="s" ph="1">
        <v>252</v>
      </c>
      <c r="AU73" s="64" t="s" ph="1">
        <v>253</v>
      </c>
      <c r="AV73" s="64" t="s" ph="1">
        <v>251</v>
      </c>
      <c r="AW73" s="64" t="s" ph="1">
        <v>252</v>
      </c>
      <c r="AX73" s="64" t="s" ph="1">
        <v>253</v>
      </c>
      <c r="AY73" s="64" t="s" ph="1">
        <v>252</v>
      </c>
      <c r="AZ73" s="64" t="s" ph="1">
        <v>254</v>
      </c>
    </row>
    <row r="74" spans="33:52" ph="1">
      <c r="AH74" s="64" ph="1">
        <v>1</v>
      </c>
      <c r="AI74" s="64" t="s" ph="1">
        <v>438</v>
      </c>
      <c r="AJ74" s="64" t="s" ph="1">
        <v>283</v>
      </c>
      <c r="AK74" s="64" t="s" ph="1">
        <v>265</v>
      </c>
      <c r="AM74" s="64" t="s" ph="1">
        <v>285</v>
      </c>
      <c r="AN74" s="64" t="s" ph="1">
        <v>295</v>
      </c>
      <c r="AO74" s="64" t="s" ph="1">
        <v>284</v>
      </c>
      <c r="AP74" s="64" t="s" ph="1">
        <v>286</v>
      </c>
      <c r="AQ74" s="64" t="s" ph="1">
        <v>263</v>
      </c>
      <c r="AR74" s="64" t="s" ph="1">
        <v>284</v>
      </c>
      <c r="AS74" s="64" t="s" ph="1">
        <v>256</v>
      </c>
      <c r="AT74" s="64" t="s" ph="1">
        <v>258</v>
      </c>
      <c r="AV74" s="64" t="s" ph="1">
        <v>439</v>
      </c>
      <c r="AW74" s="64" t="s" ph="1">
        <v>440</v>
      </c>
      <c r="AX74" s="64" t="s" ph="1">
        <v>441</v>
      </c>
      <c r="AY74" s="64" t="s" ph="1">
        <v>257</v>
      </c>
      <c r="AZ74" s="64" t="s" ph="1">
        <v>442</v>
      </c>
    </row>
    <row r="75" spans="33:52" ph="1">
      <c r="AJ75" s="64" t="s" ph="1">
        <v>288</v>
      </c>
      <c r="AK75" s="64" t="s" ph="1">
        <v>341</v>
      </c>
      <c r="AM75" s="64" t="s" ph="1">
        <v>286</v>
      </c>
      <c r="AN75" s="64" t="s" ph="1">
        <v>266</v>
      </c>
      <c r="AO75" s="64" t="s" ph="1">
        <v>284</v>
      </c>
      <c r="AS75" s="64" t="s" ph="1">
        <v>256</v>
      </c>
      <c r="AT75" s="64" t="s" ph="1">
        <v>287</v>
      </c>
    </row>
    <row r="76" spans="33:52" ph="1">
      <c r="AJ76" s="64" t="s" ph="1">
        <v>288</v>
      </c>
      <c r="AK76" s="64" t="s" ph="1">
        <v>281</v>
      </c>
      <c r="AM76" s="64" t="s" ph="1">
        <v>286</v>
      </c>
      <c r="AN76" s="64" t="s" ph="1">
        <v>269</v>
      </c>
      <c r="AO76" s="64" t="s" ph="1">
        <v>284</v>
      </c>
      <c r="AS76" s="64" t="s" ph="1">
        <v>256</v>
      </c>
      <c r="AT76" s="64" t="s" ph="1">
        <v>287</v>
      </c>
    </row>
    <row r="77" spans="33:52" ph="1">
      <c r="AJ77" s="64" t="s" ph="1">
        <v>324</v>
      </c>
      <c r="AK77" s="64" t="s" ph="1">
        <v>281</v>
      </c>
      <c r="AM77" s="64" t="s" ph="1">
        <v>325</v>
      </c>
      <c r="AN77" s="64" t="s" ph="1">
        <v>264</v>
      </c>
      <c r="AO77" s="64" t="s" ph="1">
        <v>284</v>
      </c>
      <c r="AS77" s="64" t="s" ph="1">
        <v>256</v>
      </c>
      <c r="AT77" s="64" t="s" ph="1">
        <v>326</v>
      </c>
    </row>
    <row r="78" spans="33:52" ph="1">
      <c r="AH78" s="64" ph="1">
        <v>2</v>
      </c>
      <c r="AI78" s="64" t="s" ph="1">
        <v>290</v>
      </c>
      <c r="AJ78" s="64" t="s" ph="1">
        <v>291</v>
      </c>
      <c r="AK78" s="64" t="s" ph="1">
        <v>260</v>
      </c>
      <c r="AM78" s="64" t="s" ph="1">
        <v>292</v>
      </c>
      <c r="AN78" s="64" t="s" ph="1">
        <v>295</v>
      </c>
      <c r="AO78" s="64" t="s" ph="1">
        <v>284</v>
      </c>
      <c r="AP78" s="64" t="s" ph="1">
        <v>293</v>
      </c>
      <c r="AQ78" s="64" t="s" ph="1">
        <v>339</v>
      </c>
      <c r="AR78" s="64" t="s" ph="1">
        <v>284</v>
      </c>
      <c r="AS78" s="64" t="s" ph="1">
        <v>294</v>
      </c>
      <c r="AT78" s="64" t="s" ph="1">
        <v>295</v>
      </c>
      <c r="AU78" s="64" t="s" ph="1">
        <v>284</v>
      </c>
      <c r="AV78" s="64" t="s" ph="1">
        <v>296</v>
      </c>
      <c r="AW78" s="64" t="s" ph="1">
        <v>284</v>
      </c>
      <c r="AY78" s="64" t="s" ph="1">
        <v>257</v>
      </c>
      <c r="AZ78" s="64" t="s" ph="1">
        <v>443</v>
      </c>
    </row>
    <row r="79" spans="33:52" ph="1">
      <c r="AJ79" s="64" t="s" ph="1">
        <v>286</v>
      </c>
      <c r="AK79" s="64" t="s" ph="1">
        <v>297</v>
      </c>
      <c r="AM79" s="64" t="s" ph="1">
        <v>298</v>
      </c>
      <c r="AN79" s="64" t="s" ph="1">
        <v>266</v>
      </c>
      <c r="AO79" s="64" t="s" ph="1">
        <v>284</v>
      </c>
      <c r="AP79" s="64" t="s" ph="1">
        <v>299</v>
      </c>
      <c r="AQ79" s="64" t="s" ph="1">
        <v>264</v>
      </c>
      <c r="AR79" s="64" t="s" ph="1">
        <v>300</v>
      </c>
      <c r="AS79" s="64" t="s" ph="1">
        <v>256</v>
      </c>
      <c r="AT79" s="64" t="s" ph="1">
        <v>301</v>
      </c>
      <c r="AV79" s="64" t="s" ph="1">
        <v>444</v>
      </c>
      <c r="AW79" s="64" t="s" ph="1">
        <v>343</v>
      </c>
      <c r="AX79" s="64" t="s" ph="1">
        <v>441</v>
      </c>
    </row>
    <row r="80" spans="33:52" ph="1">
      <c r="AH80" s="64" ph="1">
        <v>3</v>
      </c>
      <c r="AI80" s="64" t="s" ph="1">
        <v>302</v>
      </c>
      <c r="AJ80" s="64" t="s" ph="1">
        <v>303</v>
      </c>
      <c r="AK80" s="64" t="s" ph="1">
        <v>304</v>
      </c>
      <c r="AM80" s="64" t="s" ph="1">
        <v>305</v>
      </c>
      <c r="AN80" s="64" t="s" ph="1">
        <v>295</v>
      </c>
      <c r="AO80" s="64" t="s" ph="1">
        <v>284</v>
      </c>
      <c r="AP80" s="64" t="s" ph="1">
        <v>306</v>
      </c>
      <c r="AQ80" s="64" t="s" ph="1">
        <v>269</v>
      </c>
      <c r="AR80" s="64" t="s" ph="1">
        <v>284</v>
      </c>
      <c r="AS80" s="64" t="s" ph="1">
        <v>307</v>
      </c>
      <c r="AT80" s="64" t="s" ph="1">
        <v>268</v>
      </c>
      <c r="AU80" s="64" t="s" ph="1">
        <v>284</v>
      </c>
      <c r="AV80" s="64" t="s" ph="1">
        <v>308</v>
      </c>
      <c r="AW80" s="64" t="s" ph="1">
        <v>284</v>
      </c>
      <c r="AY80" s="64" t="s" ph="1">
        <v>257</v>
      </c>
      <c r="AZ80" s="64" t="s" ph="1">
        <v>445</v>
      </c>
    </row>
    <row r="81" spans="34:52" ph="1">
      <c r="AJ81" s="64" t="s" ph="1">
        <v>309</v>
      </c>
      <c r="AK81" s="64" t="s" ph="1">
        <v>263</v>
      </c>
      <c r="AM81" s="64" t="s" ph="1">
        <v>310</v>
      </c>
      <c r="AN81" s="64" t="s" ph="1">
        <v>266</v>
      </c>
      <c r="AO81" s="64" t="s" ph="1">
        <v>284</v>
      </c>
      <c r="AP81" s="64" t="s" ph="1">
        <v>311</v>
      </c>
      <c r="AQ81" s="64" t="s" ph="1">
        <v>295</v>
      </c>
      <c r="AR81" s="64" t="s" ph="1">
        <v>284</v>
      </c>
      <c r="AS81" s="64" t="s" ph="1">
        <v>312</v>
      </c>
      <c r="AT81" s="64" t="s" ph="1">
        <v>313</v>
      </c>
      <c r="AU81" s="64" t="s" ph="1">
        <v>284</v>
      </c>
      <c r="AV81" s="64" t="s" ph="1">
        <v>314</v>
      </c>
    </row>
    <row r="82" spans="34:52" ph="1">
      <c r="AJ82" s="64" t="s" ph="1">
        <v>315</v>
      </c>
      <c r="AK82" s="64" t="s" ph="1">
        <v>263</v>
      </c>
      <c r="AM82" s="64" t="s" ph="1">
        <v>316</v>
      </c>
      <c r="AN82" s="64" t="s" ph="1">
        <v>313</v>
      </c>
      <c r="AO82" s="64" t="s" ph="1">
        <v>317</v>
      </c>
      <c r="AP82" s="64" t="s" ph="1">
        <v>318</v>
      </c>
      <c r="AQ82" s="64" t="s" ph="1">
        <v>295</v>
      </c>
      <c r="AR82" s="64" t="s" ph="1">
        <v>284</v>
      </c>
      <c r="AS82" s="64" t="s" ph="1">
        <v>319</v>
      </c>
      <c r="AT82" s="64" t="s" ph="1">
        <v>270</v>
      </c>
      <c r="AU82" s="64" t="s" ph="1">
        <v>284</v>
      </c>
      <c r="AV82" s="64" t="s" ph="1">
        <v>444</v>
      </c>
      <c r="AW82" s="64" t="s" ph="1">
        <v>344</v>
      </c>
      <c r="AX82" s="64" t="s" ph="1">
        <v>441</v>
      </c>
    </row>
    <row r="83" spans="34:52" ph="1">
      <c r="AJ83" s="64" t="s" ph="1">
        <v>320</v>
      </c>
      <c r="AK83" s="64" t="s" ph="1">
        <v>337</v>
      </c>
      <c r="AM83" s="64" t="s" ph="1">
        <v>321</v>
      </c>
      <c r="AN83" s="64" t="s" ph="1">
        <v>269</v>
      </c>
      <c r="AO83" s="64" t="s" ph="1">
        <v>300</v>
      </c>
      <c r="AP83" s="64" t="s" ph="1">
        <v>322</v>
      </c>
      <c r="AQ83" s="64" t="s" ph="1">
        <v>323</v>
      </c>
      <c r="AR83" s="64" t="s" ph="1">
        <v>300</v>
      </c>
      <c r="AS83" s="64" t="s" ph="1">
        <v>446</v>
      </c>
      <c r="AT83" s="64" t="s" ph="1">
        <v>295</v>
      </c>
      <c r="AU83" s="64" t="s" ph="1">
        <v>300</v>
      </c>
      <c r="AV83" s="64" t="s" ph="1">
        <v>447</v>
      </c>
      <c r="AW83" s="64" t="s" ph="1">
        <v>344</v>
      </c>
      <c r="AX83" s="64" t="s" ph="1">
        <v>448</v>
      </c>
    </row>
    <row r="84" spans="34:52" ph="1">
      <c r="AH84" s="64" ph="1">
        <v>4</v>
      </c>
      <c r="AI84" s="64" t="s" ph="1">
        <v>327</v>
      </c>
      <c r="AJ84" s="64" t="s" ph="1">
        <v>267</v>
      </c>
      <c r="AK84" s="64" t="s" ph="1">
        <v>270</v>
      </c>
      <c r="AM84" s="64" t="s" ph="1">
        <v>271</v>
      </c>
      <c r="AN84" s="64" t="s" ph="1">
        <v>264</v>
      </c>
      <c r="AO84" s="64" t="s" ph="1">
        <v>300</v>
      </c>
      <c r="AP84" s="64" t="s" ph="1">
        <v>329</v>
      </c>
      <c r="AQ84" s="64" t="s" ph="1">
        <v>263</v>
      </c>
      <c r="AR84" s="64" t="s" ph="1">
        <v>300</v>
      </c>
      <c r="AS84" s="64" t="s" ph="1">
        <v>329</v>
      </c>
      <c r="AT84" s="64" t="s" ph="1">
        <v>265</v>
      </c>
      <c r="AU84" s="64" t="s" ph="1">
        <v>300</v>
      </c>
      <c r="AY84" s="64" t="s" ph="1">
        <v>257</v>
      </c>
      <c r="AZ84" s="64" t="s" ph="1">
        <v>449</v>
      </c>
    </row>
    <row r="85" spans="34:52" ph="1">
      <c r="AJ85" s="64" t="s" ph="1">
        <v>259</v>
      </c>
      <c r="AK85" s="64" t="s" ph="1">
        <v>263</v>
      </c>
      <c r="AM85" s="64" t="s" ph="1">
        <v>450</v>
      </c>
      <c r="AN85" s="64" t="s" ph="1">
        <v>270</v>
      </c>
      <c r="AO85" s="64" t="s" ph="1">
        <v>300</v>
      </c>
      <c r="AP85" s="64" t="s" ph="1">
        <v>451</v>
      </c>
      <c r="AQ85" s="64" t="s" ph="1">
        <v>266</v>
      </c>
      <c r="AR85" s="64" t="s" ph="1">
        <v>300</v>
      </c>
      <c r="AS85" s="64" t="s" ph="1">
        <v>452</v>
      </c>
      <c r="AT85" s="64" t="s" ph="1">
        <v>266</v>
      </c>
      <c r="AU85" s="64" t="s" ph="1">
        <v>300</v>
      </c>
    </row>
    <row r="86" spans="34:52" ph="1">
      <c r="AJ86" s="64" t="s" ph="1">
        <v>453</v>
      </c>
      <c r="AK86" s="64" t="s" ph="1">
        <v>272</v>
      </c>
      <c r="AM86" s="64" t="s" ph="1">
        <v>454</v>
      </c>
      <c r="AN86" s="64" t="s" ph="1">
        <v>313</v>
      </c>
      <c r="AO86" s="64" t="s" ph="1">
        <v>300</v>
      </c>
      <c r="AP86" s="64" t="s" ph="1">
        <v>455</v>
      </c>
      <c r="AQ86" s="64" t="s" ph="1">
        <v>260</v>
      </c>
      <c r="AR86" s="64" t="s" ph="1">
        <v>300</v>
      </c>
      <c r="AS86" s="64" t="s" ph="1">
        <v>456</v>
      </c>
      <c r="AT86" s="64" t="s" ph="1">
        <v>278</v>
      </c>
      <c r="AU86" s="64" t="s" ph="1">
        <v>300</v>
      </c>
    </row>
    <row r="87" spans="34:52" ph="1">
      <c r="AJ87" s="64" t="s" ph="1">
        <v>457</v>
      </c>
      <c r="AK87" s="64" t="s" ph="1">
        <v>313</v>
      </c>
      <c r="AM87" s="64" t="s" ph="1">
        <v>444</v>
      </c>
      <c r="AN87" s="64" t="s" ph="1">
        <v>458</v>
      </c>
      <c r="AO87" s="64" t="s" ph="1">
        <v>441</v>
      </c>
    </row>
    <row r="88" spans="34:52" ph="1">
      <c r="AH88" s="64" ph="1">
        <v>5</v>
      </c>
      <c r="AI88" s="64" t="s" ph="1">
        <v>330</v>
      </c>
      <c r="AJ88" s="64" t="s" ph="1">
        <v>459</v>
      </c>
      <c r="AK88" s="64" t="s" ph="1">
        <v>313</v>
      </c>
      <c r="AM88" s="64" t="s" ph="1">
        <v>460</v>
      </c>
      <c r="AN88" s="64" t="s" ph="1">
        <v>313</v>
      </c>
      <c r="AO88" s="64" t="s" ph="1">
        <v>300</v>
      </c>
      <c r="AP88" s="64" t="s" ph="1">
        <v>461</v>
      </c>
      <c r="AQ88" s="64" t="s" ph="1">
        <v>263</v>
      </c>
      <c r="AR88" s="64" t="s" ph="1">
        <v>300</v>
      </c>
      <c r="AS88" s="64" t="s" ph="1">
        <v>462</v>
      </c>
      <c r="AT88" s="64" t="s" ph="1">
        <v>313</v>
      </c>
      <c r="AU88" s="64" t="s" ph="1">
        <v>300</v>
      </c>
      <c r="AV88" s="64" t="s" ph="1">
        <v>463</v>
      </c>
      <c r="AW88" s="64" t="s" ph="1">
        <v>268</v>
      </c>
      <c r="AX88" s="64" t="s" ph="1">
        <v>300</v>
      </c>
      <c r="AY88" s="64" t="s" ph="1">
        <v>257</v>
      </c>
      <c r="AZ88" s="64" t="s" ph="1">
        <v>464</v>
      </c>
    </row>
    <row r="89" spans="34:52" ph="1">
      <c r="AJ89" s="64" t="s" ph="1">
        <v>465</v>
      </c>
      <c r="AK89" s="64" t="s" ph="1">
        <v>266</v>
      </c>
      <c r="AM89" s="64" t="s" ph="1">
        <v>466</v>
      </c>
      <c r="AN89" s="64" t="s" ph="1">
        <v>269</v>
      </c>
      <c r="AO89" s="64" t="s" ph="1">
        <v>300</v>
      </c>
      <c r="AP89" s="64" t="s" ph="1">
        <v>467</v>
      </c>
      <c r="AQ89" s="64" t="s" ph="1">
        <v>278</v>
      </c>
      <c r="AR89" s="64" t="s" ph="1">
        <v>300</v>
      </c>
      <c r="AS89" s="64" t="s" ph="1">
        <v>468</v>
      </c>
      <c r="AT89" s="64" t="s" ph="1">
        <v>313</v>
      </c>
      <c r="AU89" s="64" t="s" ph="1">
        <v>300</v>
      </c>
      <c r="AV89" s="64" t="s" ph="1">
        <v>469</v>
      </c>
      <c r="AW89" s="64" t="s" ph="1">
        <v>295</v>
      </c>
      <c r="AX89" s="64" t="s" ph="1">
        <v>328</v>
      </c>
    </row>
    <row r="90" spans="34:52" ph="1">
      <c r="AJ90" s="64" t="s" ph="1">
        <v>470</v>
      </c>
      <c r="AK90" s="64" t="s" ph="1">
        <v>269</v>
      </c>
      <c r="AM90" s="64" t="s" ph="1">
        <v>471</v>
      </c>
      <c r="AN90" s="64" t="s" ph="1">
        <v>266</v>
      </c>
      <c r="AO90" s="64" t="s" ph="1">
        <v>300</v>
      </c>
      <c r="AP90" s="64" t="s" ph="1">
        <v>472</v>
      </c>
      <c r="AQ90" s="64" t="s" ph="1">
        <v>335</v>
      </c>
      <c r="AR90" s="64" t="s" ph="1">
        <v>300</v>
      </c>
      <c r="AS90" s="64" t="s" ph="1">
        <v>473</v>
      </c>
      <c r="AT90" s="64" t="s" ph="1">
        <v>323</v>
      </c>
      <c r="AU90" s="64" t="s" ph="1">
        <v>300</v>
      </c>
      <c r="AV90" s="64" t="s" ph="1">
        <v>474</v>
      </c>
      <c r="AW90" s="64" t="s" ph="1">
        <v>260</v>
      </c>
      <c r="AX90" s="64" t="s" ph="1">
        <v>300</v>
      </c>
    </row>
    <row r="91" spans="34:52" ph="1">
      <c r="AJ91" s="64" t="s" ph="1">
        <v>475</v>
      </c>
      <c r="AK91" s="64" t="s" ph="1">
        <v>313</v>
      </c>
      <c r="AM91" s="64" t="s" ph="1">
        <v>476</v>
      </c>
      <c r="AN91" s="64" t="s" ph="1">
        <v>280</v>
      </c>
      <c r="AO91" s="64" t="s" ph="1">
        <v>300</v>
      </c>
      <c r="AP91" s="64" t="s" ph="1">
        <v>477</v>
      </c>
      <c r="AQ91" s="64" t="s" ph="1">
        <v>260</v>
      </c>
      <c r="AS91" s="64" t="s" ph="1">
        <v>444</v>
      </c>
      <c r="AT91" s="64" t="s" ph="1">
        <v>440</v>
      </c>
      <c r="AU91" s="64" t="s" ph="1">
        <v>441</v>
      </c>
    </row>
    <row r="92" spans="34:52" ph="1">
      <c r="AH92" s="64" ph="1">
        <v>6</v>
      </c>
      <c r="AI92" s="64" t="s" ph="1">
        <v>478</v>
      </c>
      <c r="AJ92" s="64" t="s" ph="1">
        <v>479</v>
      </c>
      <c r="AK92" s="64" t="s" ph="1">
        <v>408</v>
      </c>
      <c r="AM92" s="64" t="s" ph="1">
        <v>480</v>
      </c>
      <c r="AN92" s="64" t="s" ph="1">
        <v>268</v>
      </c>
      <c r="AO92" s="64" t="s" ph="1">
        <v>300</v>
      </c>
      <c r="AP92" s="64" t="s" ph="1">
        <v>481</v>
      </c>
      <c r="AQ92" s="64" t="s" ph="1">
        <v>340</v>
      </c>
      <c r="AR92" s="64" t="s" ph="1">
        <v>300</v>
      </c>
      <c r="AS92" s="64" t="s" ph="1">
        <v>482</v>
      </c>
      <c r="AT92" s="64" t="s" ph="1">
        <v>313</v>
      </c>
      <c r="AU92" s="64" t="s" ph="1">
        <v>300</v>
      </c>
      <c r="AV92" s="64" t="s" ph="1">
        <v>483</v>
      </c>
      <c r="AW92" s="64" t="s" ph="1">
        <v>269</v>
      </c>
      <c r="AX92" s="64" t="s" ph="1">
        <v>300</v>
      </c>
      <c r="AY92" s="64" t="s" ph="1">
        <v>257</v>
      </c>
      <c r="AZ92" s="64" t="s" ph="1">
        <v>464</v>
      </c>
    </row>
    <row r="93" spans="34:52" ph="1">
      <c r="AJ93" s="64" t="s" ph="1">
        <v>484</v>
      </c>
      <c r="AK93" s="64" t="s" ph="1">
        <v>263</v>
      </c>
      <c r="AM93" s="64" t="s" ph="1">
        <v>485</v>
      </c>
      <c r="AN93" s="64" t="s" ph="1">
        <v>268</v>
      </c>
      <c r="AO93" s="64" t="s" ph="1">
        <v>300</v>
      </c>
      <c r="AP93" s="64" t="s" ph="1">
        <v>486</v>
      </c>
      <c r="AQ93" s="64" t="s" ph="1">
        <v>272</v>
      </c>
      <c r="AR93" s="64" t="s" ph="1">
        <v>300</v>
      </c>
      <c r="AS93" s="64" t="s" ph="1">
        <v>487</v>
      </c>
      <c r="AT93" s="64" t="s" ph="1">
        <v>278</v>
      </c>
      <c r="AU93" s="64" t="s" ph="1">
        <v>300</v>
      </c>
      <c r="AV93" s="64" t="s" ph="1">
        <v>488</v>
      </c>
      <c r="AW93" s="64" t="s" ph="1">
        <v>272</v>
      </c>
      <c r="AX93" s="64" t="s" ph="1">
        <v>300</v>
      </c>
    </row>
    <row r="94" spans="34:52" ph="1">
      <c r="AJ94" s="64" t="s" ph="1">
        <v>489</v>
      </c>
      <c r="AK94" s="64" t="s" ph="1">
        <v>335</v>
      </c>
      <c r="AM94" s="64" t="s" ph="1">
        <v>490</v>
      </c>
      <c r="AN94" s="64" t="s" ph="1">
        <v>272</v>
      </c>
      <c r="AO94" s="64" t="s" ph="1">
        <v>300</v>
      </c>
      <c r="AP94" s="64" t="s" ph="1">
        <v>491</v>
      </c>
      <c r="AQ94" s="64" t="s" ph="1">
        <v>280</v>
      </c>
      <c r="AR94" s="64" t="s" ph="1">
        <v>300</v>
      </c>
      <c r="AS94" s="64" t="s" ph="1">
        <v>492</v>
      </c>
      <c r="AT94" s="64" t="s" ph="1">
        <v>266</v>
      </c>
      <c r="AU94" s="64" t="s" ph="1">
        <v>300</v>
      </c>
      <c r="AV94" s="64" t="s" ph="1">
        <v>493</v>
      </c>
      <c r="AW94" s="64" t="s" ph="1">
        <v>266</v>
      </c>
      <c r="AX94" s="64" t="s" ph="1">
        <v>300</v>
      </c>
    </row>
    <row r="95" spans="34:52" ph="1">
      <c r="AJ95" s="64" t="s" ph="1">
        <v>494</v>
      </c>
      <c r="AK95" s="64" t="s" ph="1">
        <v>340</v>
      </c>
    </row>
    <row r="96" spans="34:52" ph="1">
      <c r="AH96" s="64" ph="1">
        <v>7</v>
      </c>
      <c r="AI96" s="64" t="s" ph="1">
        <v>495</v>
      </c>
      <c r="AJ96" s="64" t="s" ph="1">
        <v>494</v>
      </c>
      <c r="AK96" s="64" t="s" ph="1">
        <v>295</v>
      </c>
      <c r="AM96" s="64" t="s" ph="1">
        <v>496</v>
      </c>
      <c r="AN96" s="64" t="s" ph="1">
        <v>269</v>
      </c>
      <c r="AO96" s="64" t="s" ph="1">
        <v>300</v>
      </c>
      <c r="AP96" s="64" t="s" ph="1">
        <v>497</v>
      </c>
      <c r="AQ96" s="64" t="s" ph="1">
        <v>313</v>
      </c>
      <c r="AR96" s="64" t="s" ph="1">
        <v>328</v>
      </c>
      <c r="AS96" s="64" t="s" ph="1">
        <v>498</v>
      </c>
      <c r="AT96" s="64" t="s" ph="1">
        <v>272</v>
      </c>
      <c r="AU96" s="64" t="s" ph="1">
        <v>328</v>
      </c>
      <c r="AV96" s="64" t="s" ph="1">
        <v>499</v>
      </c>
      <c r="AW96" s="64" t="s" ph="1">
        <v>268</v>
      </c>
      <c r="AX96" s="64" t="s" ph="1">
        <v>328</v>
      </c>
      <c r="AY96" s="64" t="s" ph="1">
        <v>257</v>
      </c>
      <c r="AZ96" s="64" t="s" ph="1">
        <v>500</v>
      </c>
    </row>
    <row r="97" spans="33:52" ph="1">
      <c r="AJ97" s="64" t="s" ph="1">
        <v>501</v>
      </c>
      <c r="AK97" s="64" t="s" ph="1">
        <v>323</v>
      </c>
      <c r="AM97" s="64" t="s" ph="1">
        <v>502</v>
      </c>
      <c r="AN97" s="64" t="s" ph="1">
        <v>266</v>
      </c>
      <c r="AO97" s="64" t="s" ph="1">
        <v>300</v>
      </c>
      <c r="AP97" s="64" t="s" ph="1">
        <v>503</v>
      </c>
      <c r="AQ97" s="64" t="s" ph="1">
        <v>260</v>
      </c>
      <c r="AR97" s="64" t="s" ph="1">
        <v>328</v>
      </c>
      <c r="AS97" s="64" t="s" ph="1">
        <v>504</v>
      </c>
      <c r="AT97" s="64" t="s" ph="1">
        <v>263</v>
      </c>
      <c r="AU97" s="64" t="s" ph="1">
        <v>328</v>
      </c>
      <c r="AV97" s="64" t="s" ph="1">
        <v>505</v>
      </c>
      <c r="AW97" s="64" t="s" ph="1">
        <v>269</v>
      </c>
      <c r="AX97" s="64" t="s" ph="1">
        <v>328</v>
      </c>
    </row>
    <row r="98" spans="33:52" ph="1">
      <c r="AJ98" s="64" t="s" ph="1">
        <v>506</v>
      </c>
      <c r="AK98" s="64" t="s" ph="1">
        <v>272</v>
      </c>
      <c r="AM98" s="64" t="s" ph="1">
        <v>507</v>
      </c>
      <c r="AN98" s="64" t="s" ph="1">
        <v>280</v>
      </c>
      <c r="AO98" s="64" t="s" ph="1">
        <v>300</v>
      </c>
      <c r="AP98" s="64" t="s" ph="1">
        <v>508</v>
      </c>
      <c r="AQ98" s="64" t="s" ph="1">
        <v>260</v>
      </c>
      <c r="AR98" s="64" t="s" ph="1">
        <v>328</v>
      </c>
      <c r="AS98" s="64" t="s" ph="1">
        <v>509</v>
      </c>
      <c r="AT98" s="64" t="s" ph="1">
        <v>340</v>
      </c>
      <c r="AU98" s="64" t="s" ph="1">
        <v>328</v>
      </c>
      <c r="AV98" s="64" t="s" ph="1">
        <v>510</v>
      </c>
      <c r="AW98" s="64" t="s" ph="1">
        <v>263</v>
      </c>
      <c r="AX98" s="64" t="s" ph="1">
        <v>328</v>
      </c>
    </row>
    <row r="99" spans="33:52" ph="1">
      <c r="AH99" s="64" ph="1">
        <v>8</v>
      </c>
      <c r="AI99" s="64" t="s" ph="1">
        <v>511</v>
      </c>
      <c r="AJ99" s="64" t="s" ph="1">
        <v>512</v>
      </c>
      <c r="AK99" s="64" t="s" ph="1">
        <v>408</v>
      </c>
      <c r="AM99" s="64" t="s" ph="1">
        <v>513</v>
      </c>
      <c r="AN99" s="64" t="s" ph="1">
        <v>295</v>
      </c>
      <c r="AO99" s="64" t="s" ph="1">
        <v>300</v>
      </c>
      <c r="AP99" s="64" t="s" ph="1">
        <v>514</v>
      </c>
      <c r="AQ99" s="64" t="s" ph="1">
        <v>265</v>
      </c>
      <c r="AR99" s="64" t="s" ph="1">
        <v>328</v>
      </c>
      <c r="AS99" s="64" t="s" ph="1">
        <v>515</v>
      </c>
      <c r="AT99" s="64" t="s" ph="1">
        <v>280</v>
      </c>
      <c r="AU99" s="64" t="s" ph="1">
        <v>328</v>
      </c>
      <c r="AV99" s="64" t="s" ph="1">
        <v>516</v>
      </c>
      <c r="AW99" s="64" t="s" ph="1">
        <v>265</v>
      </c>
      <c r="AX99" s="64" t="s" ph="1">
        <v>328</v>
      </c>
      <c r="AY99" s="64" t="s" ph="1">
        <v>257</v>
      </c>
      <c r="AZ99" s="64" t="s" ph="1">
        <v>517</v>
      </c>
    </row>
    <row r="100" spans="33:52" ph="1">
      <c r="AJ100" s="64" t="s" ph="1">
        <v>518</v>
      </c>
      <c r="AK100" s="64" t="s" ph="1">
        <v>263</v>
      </c>
      <c r="AM100" s="64" t="s" ph="1">
        <v>519</v>
      </c>
      <c r="AN100" s="64" t="s" ph="1">
        <v>335</v>
      </c>
      <c r="AO100" s="64" t="s" ph="1">
        <v>300</v>
      </c>
      <c r="AP100" s="64" t="s" ph="1">
        <v>520</v>
      </c>
      <c r="AQ100" s="64" t="s" ph="1">
        <v>341</v>
      </c>
      <c r="AR100" s="64" t="s" ph="1">
        <v>328</v>
      </c>
      <c r="AS100" s="64" t="s" ph="1">
        <v>521</v>
      </c>
      <c r="AT100" s="64" t="s" ph="1">
        <v>408</v>
      </c>
      <c r="AU100" s="64" t="s" ph="1">
        <v>300</v>
      </c>
      <c r="AV100" s="64" t="s" ph="1">
        <v>522</v>
      </c>
      <c r="AW100" s="64" t="s" ph="1">
        <v>408</v>
      </c>
      <c r="AX100" s="64" t="s" ph="1">
        <v>300</v>
      </c>
    </row>
    <row r="101" spans="33:52" ph="1">
      <c r="AJ101" s="64" t="s" ph="1">
        <v>523</v>
      </c>
      <c r="AK101" s="64" t="s" ph="1">
        <v>408</v>
      </c>
      <c r="AM101" s="64" t="s" ph="1">
        <v>524</v>
      </c>
      <c r="AN101" s="64" t="s" ph="1">
        <v>266</v>
      </c>
      <c r="AO101" s="64" t="s" ph="1">
        <v>300</v>
      </c>
      <c r="AP101" s="64" t="s" ph="1">
        <v>525</v>
      </c>
      <c r="AQ101" s="64" t="s" ph="1">
        <v>278</v>
      </c>
      <c r="AR101" s="64" t="s" ph="1">
        <v>328</v>
      </c>
      <c r="AS101" s="64" t="s" ph="1">
        <v>526</v>
      </c>
      <c r="AT101" s="64" t="s" ph="1">
        <v>335</v>
      </c>
      <c r="AU101" s="64" t="s" ph="1">
        <v>328</v>
      </c>
      <c r="AV101" s="64" t="s" ph="1">
        <v>527</v>
      </c>
      <c r="AW101" s="64" t="s" ph="1">
        <v>266</v>
      </c>
      <c r="AX101" s="64" t="s" ph="1">
        <v>300</v>
      </c>
    </row>
    <row r="102" spans="33:52" ph="1">
      <c r="AJ102" s="64" t="s" ph="1">
        <v>528</v>
      </c>
      <c r="AK102" s="64" t="s" ph="1">
        <v>263</v>
      </c>
      <c r="AM102" s="64" t="s" ph="1">
        <v>529</v>
      </c>
      <c r="AN102" s="64" t="s" ph="1">
        <v>272</v>
      </c>
      <c r="AO102" s="64" t="s" ph="1">
        <v>300</v>
      </c>
      <c r="AP102" s="64" t="s" ph="1">
        <v>530</v>
      </c>
      <c r="AQ102" s="64" t="s" ph="1">
        <v>278</v>
      </c>
      <c r="AR102" s="64" t="s" ph="1">
        <v>300</v>
      </c>
      <c r="AS102" s="64" t="s" ph="1">
        <v>531</v>
      </c>
      <c r="AT102" s="64" t="s" ph="1">
        <v>295</v>
      </c>
      <c r="AU102" s="64" t="s" ph="1">
        <v>300</v>
      </c>
      <c r="AV102" s="64" t="s" ph="1">
        <v>532</v>
      </c>
      <c r="AW102" s="64" t="s" ph="1">
        <v>313</v>
      </c>
      <c r="AX102" s="64" t="s" ph="1">
        <v>300</v>
      </c>
    </row>
    <row r="103" spans="33:52" ph="1">
      <c r="AH103" s="64" ph="1">
        <v>9</v>
      </c>
      <c r="AI103" s="64" t="s" ph="1">
        <v>533</v>
      </c>
      <c r="AJ103" s="64" t="s" ph="1">
        <v>534</v>
      </c>
      <c r="AK103" s="64" t="s" ph="1">
        <v>408</v>
      </c>
      <c r="AM103" s="64" t="s" ph="1">
        <v>535</v>
      </c>
      <c r="AN103" s="64" t="s" ph="1">
        <v>323</v>
      </c>
      <c r="AO103" s="64" t="s" ph="1">
        <v>300</v>
      </c>
      <c r="AP103" s="64" t="s" ph="1">
        <v>377</v>
      </c>
      <c r="AQ103" s="64" t="s" ph="1">
        <v>266</v>
      </c>
      <c r="AR103" s="64" t="s" ph="1">
        <v>300</v>
      </c>
      <c r="AS103" s="64" t="s" ph="1">
        <v>611</v>
      </c>
      <c r="AT103" s="64" t="s" ph="1">
        <v>408</v>
      </c>
      <c r="AU103" s="64" t="s" ph="1">
        <v>300</v>
      </c>
      <c r="AY103" s="64" t="s" ph="1">
        <v>257</v>
      </c>
      <c r="AZ103" s="64" t="s" ph="1">
        <v>265</v>
      </c>
    </row>
    <row r="104" spans="33:52" ph="1">
      <c r="AZ104" s="64" t="s" ph="1">
        <v>536</v>
      </c>
    </row>
    <row r="105" spans="33:52" ph="1">
      <c r="AG105" s="64" t="s" ph="1">
        <v>336</v>
      </c>
      <c r="AI105" s="64" t="s" ph="1">
        <v>250</v>
      </c>
      <c r="AJ105" s="64" t="s" ph="1">
        <v>251</v>
      </c>
      <c r="AK105" s="64" t="s" ph="1">
        <v>252</v>
      </c>
      <c r="AM105" s="64" t="s" ph="1">
        <v>251</v>
      </c>
      <c r="AN105" s="64" t="s" ph="1">
        <v>252</v>
      </c>
      <c r="AO105" s="64" t="s" ph="1">
        <v>253</v>
      </c>
      <c r="AP105" s="64" t="s" ph="1">
        <v>251</v>
      </c>
      <c r="AQ105" s="64" t="s" ph="1">
        <v>252</v>
      </c>
      <c r="AR105" s="64" t="s" ph="1">
        <v>253</v>
      </c>
      <c r="AS105" s="64" t="s" ph="1">
        <v>251</v>
      </c>
      <c r="AT105" s="64" t="s" ph="1">
        <v>252</v>
      </c>
      <c r="AU105" s="64" t="s" ph="1">
        <v>253</v>
      </c>
      <c r="AV105" s="64" t="s" ph="1">
        <v>251</v>
      </c>
      <c r="AW105" s="64" t="s" ph="1">
        <v>252</v>
      </c>
      <c r="AX105" s="64" t="s" ph="1">
        <v>253</v>
      </c>
      <c r="AZ105" s="64" t="s" ph="1">
        <v>254</v>
      </c>
    </row>
    <row r="106" spans="33:52" ph="1">
      <c r="AH106" s="64" ph="1">
        <v>1</v>
      </c>
      <c r="AI106" s="64" t="s" ph="1">
        <v>537</v>
      </c>
      <c r="AJ106" s="64" t="s" ph="1">
        <v>611</v>
      </c>
      <c r="AK106" s="64" t="s" ph="1">
        <v>272</v>
      </c>
      <c r="AZ106" s="64" t="s" ph="1">
        <v>272</v>
      </c>
    </row>
    <row r="107" spans="33:52" ph="1">
      <c r="AH107" s="64" ph="1">
        <v>2</v>
      </c>
      <c r="AI107" s="64" t="s" ph="1">
        <v>538</v>
      </c>
      <c r="AJ107" s="64" t="s" ph="1">
        <v>539</v>
      </c>
      <c r="AK107" s="64" t="s" ph="1">
        <v>269</v>
      </c>
      <c r="AM107" s="64" t="s" ph="1">
        <v>375</v>
      </c>
      <c r="AN107" s="64" t="s" ph="1">
        <v>540</v>
      </c>
      <c r="AO107" s="64" t="s" ph="1">
        <v>541</v>
      </c>
      <c r="AP107" s="64" t="s" ph="1">
        <v>377</v>
      </c>
      <c r="AQ107" s="64" t="s" ph="1">
        <v>345</v>
      </c>
      <c r="AR107" s="64" t="s" ph="1">
        <v>541</v>
      </c>
      <c r="AS107" s="64" t="s" ph="1">
        <v>611</v>
      </c>
      <c r="AT107" s="64" t="s" ph="1">
        <v>540</v>
      </c>
      <c r="AU107" s="64" t="s" ph="1">
        <v>541</v>
      </c>
      <c r="AY107" s="64" t="s" ph="1">
        <v>257</v>
      </c>
      <c r="AZ107" s="64" t="s" ph="1">
        <v>621</v>
      </c>
    </row>
    <row r="108" spans="33:52" ph="1">
      <c r="AH108" s="64" ph="1">
        <v>3</v>
      </c>
      <c r="AI108" s="64" t="s" ph="1">
        <v>542</v>
      </c>
      <c r="AY108" s="64" t="s" ph="1">
        <v>257</v>
      </c>
      <c r="AZ108" s="64" t="s" ph="1">
        <v>408</v>
      </c>
    </row>
    <row r="109" spans="33:52" ph="1">
      <c r="AH109" s="64" ph="1">
        <v>4</v>
      </c>
      <c r="AI109" s="64" t="s" ph="1">
        <v>543</v>
      </c>
      <c r="AY109" s="64" t="s" ph="1">
        <v>257</v>
      </c>
      <c r="AZ109" s="64" t="s" ph="1">
        <v>408</v>
      </c>
    </row>
    <row r="110" spans="33:52" ph="1">
      <c r="AH110" s="64" ph="1">
        <v>5</v>
      </c>
      <c r="AI110" s="64" t="s" ph="1">
        <v>544</v>
      </c>
      <c r="AY110" s="64" t="s" ph="1">
        <v>257</v>
      </c>
      <c r="AZ110" s="64" t="s" ph="1">
        <v>408</v>
      </c>
    </row>
    <row r="111" spans="33:52" ph="1">
      <c r="AH111" s="64" ph="1">
        <v>6</v>
      </c>
      <c r="AI111" s="64" t="s" ph="1">
        <v>622</v>
      </c>
      <c r="AJ111" s="64" t="s" ph="1">
        <v>527</v>
      </c>
      <c r="AK111" s="64" t="s" ph="1">
        <v>266</v>
      </c>
      <c r="AM111" s="64" t="s" ph="1">
        <v>528</v>
      </c>
      <c r="AN111" s="64" t="s" ph="1">
        <v>260</v>
      </c>
      <c r="AO111" s="64" t="s" ph="1">
        <v>541</v>
      </c>
      <c r="AP111" s="64" t="s" ph="1">
        <v>529</v>
      </c>
      <c r="AQ111" s="64" t="s" ph="1">
        <v>269</v>
      </c>
      <c r="AR111" s="64" t="s" ph="1">
        <v>541</v>
      </c>
      <c r="AS111" s="64" t="s" ph="1">
        <v>530</v>
      </c>
      <c r="AT111" s="64" t="s" ph="1">
        <v>278</v>
      </c>
      <c r="AU111" s="64" t="s" ph="1">
        <v>541</v>
      </c>
      <c r="AV111" s="64" t="s" ph="1">
        <v>531</v>
      </c>
      <c r="AW111" s="64" t="s" ph="1">
        <v>268</v>
      </c>
      <c r="AX111" s="64" t="s" ph="1">
        <v>541</v>
      </c>
      <c r="AY111" s="64" t="s" ph="1">
        <v>257</v>
      </c>
      <c r="AZ111" s="64" t="s" ph="1">
        <v>545</v>
      </c>
    </row>
    <row r="112" spans="33:52" ph="1">
      <c r="AJ112" s="64" t="s" ph="1">
        <v>532</v>
      </c>
      <c r="AK112" s="64" t="s" ph="1">
        <v>313</v>
      </c>
      <c r="AM112" s="64" t="s" ph="1">
        <v>534</v>
      </c>
      <c r="AN112" s="64" t="s" ph="1">
        <v>337</v>
      </c>
      <c r="AO112" s="64" t="s" ph="1">
        <v>541</v>
      </c>
      <c r="AP112" s="64" t="s" ph="1">
        <v>535</v>
      </c>
      <c r="AQ112" s="64" t="s" ph="1">
        <v>546</v>
      </c>
      <c r="AR112" s="64" t="s" ph="1">
        <v>541</v>
      </c>
      <c r="AS112" s="64" t="s" ph="1">
        <v>547</v>
      </c>
      <c r="AT112" s="64" t="s" ph="1">
        <v>289</v>
      </c>
      <c r="AU112" s="64" t="s" ph="1">
        <v>541</v>
      </c>
      <c r="AV112" s="64" t="s" ph="1">
        <v>548</v>
      </c>
      <c r="AW112" s="64" t="s" ph="1">
        <v>335</v>
      </c>
      <c r="AX112" s="64" t="s" ph="1">
        <v>541</v>
      </c>
    </row>
    <row r="113" spans="33:52" ph="1">
      <c r="AH113" s="64" ph="1">
        <v>7</v>
      </c>
      <c r="AI113" s="64" t="s" ph="1">
        <v>549</v>
      </c>
      <c r="AJ113" s="64" t="s" ph="1">
        <v>630</v>
      </c>
      <c r="AK113" s="64" t="s" ph="1">
        <v>635</v>
      </c>
      <c r="AY113" s="64" t="s" ph="1">
        <v>257</v>
      </c>
      <c r="AZ113" s="64" t="s" ph="1">
        <v>635</v>
      </c>
    </row>
    <row r="114" spans="33:52" ph="1">
      <c r="AH114" s="64" ph="1">
        <v>8</v>
      </c>
      <c r="AI114" s="64" t="s" ph="1">
        <v>550</v>
      </c>
      <c r="AJ114" s="64" t="s" ph="1">
        <v>630</v>
      </c>
      <c r="AK114" s="64" t="s" ph="1">
        <v>636</v>
      </c>
      <c r="AY114" s="64" t="s" ph="1">
        <v>257</v>
      </c>
      <c r="AZ114" s="64" t="s" ph="1">
        <v>636</v>
      </c>
    </row>
    <row r="115" spans="33:52" ph="1">
      <c r="AH115" s="64" ph="1">
        <v>9</v>
      </c>
      <c r="AI115" s="64" t="s" ph="1">
        <v>551</v>
      </c>
      <c r="AJ115" s="64" t="s" ph="1">
        <v>630</v>
      </c>
      <c r="AK115" s="64" t="s" ph="1">
        <v>636</v>
      </c>
      <c r="AY115" s="64" t="s" ph="1">
        <v>257</v>
      </c>
      <c r="AZ115" s="64" t="s" ph="1">
        <v>636</v>
      </c>
    </row>
    <row r="116" spans="33:52" ph="1">
      <c r="AH116" s="64" ph="1">
        <v>10</v>
      </c>
      <c r="AI116" s="64" t="s" ph="1">
        <v>552</v>
      </c>
      <c r="AJ116" s="64" t="s" ph="1">
        <v>630</v>
      </c>
      <c r="AK116" s="64" t="s" ph="1">
        <v>636</v>
      </c>
      <c r="AY116" s="64" t="s" ph="1">
        <v>257</v>
      </c>
      <c r="AZ116" s="64" t="s" ph="1">
        <v>636</v>
      </c>
    </row>
    <row r="117" spans="33:52" ph="1">
      <c r="AH117" s="64" ph="1">
        <v>11</v>
      </c>
      <c r="AI117" s="64" t="s" ph="1">
        <v>553</v>
      </c>
      <c r="AJ117" s="64" t="s" ph="1">
        <v>630</v>
      </c>
      <c r="AK117" s="64" t="s" ph="1">
        <v>636</v>
      </c>
      <c r="AY117" s="64" t="s" ph="1">
        <v>257</v>
      </c>
      <c r="AZ117" s="64" t="s" ph="1">
        <v>636</v>
      </c>
    </row>
    <row r="118" spans="33:52" ph="1">
      <c r="AZ118" s="64" t="s" ph="1">
        <v>637</v>
      </c>
    </row>
    <row r="119" spans="33:52" ph="1">
      <c r="AI119" s="64" t="s" ph="1">
        <v>250</v>
      </c>
      <c r="AJ119" s="64" t="s" ph="1">
        <v>251</v>
      </c>
      <c r="AK119" s="64" t="s" ph="1">
        <v>252</v>
      </c>
      <c r="AM119" s="64" t="s" ph="1">
        <v>251</v>
      </c>
      <c r="AN119" s="64" t="s" ph="1">
        <v>252</v>
      </c>
      <c r="AO119" s="64" t="s" ph="1">
        <v>253</v>
      </c>
      <c r="AP119" s="64" t="s" ph="1">
        <v>251</v>
      </c>
      <c r="AQ119" s="64" t="s" ph="1">
        <v>252</v>
      </c>
      <c r="AR119" s="64" t="s" ph="1">
        <v>253</v>
      </c>
      <c r="AS119" s="64" t="s" ph="1">
        <v>251</v>
      </c>
      <c r="AT119" s="64" t="s" ph="1">
        <v>252</v>
      </c>
      <c r="AU119" s="64" t="s" ph="1">
        <v>253</v>
      </c>
      <c r="AV119" s="64" t="s" ph="1">
        <v>251</v>
      </c>
      <c r="AW119" s="64" t="s" ph="1">
        <v>252</v>
      </c>
      <c r="AX119" s="64" t="s" ph="1">
        <v>253</v>
      </c>
      <c r="AY119" s="64" t="s" ph="1">
        <v>252</v>
      </c>
      <c r="AZ119" s="64" t="s" ph="1">
        <v>254</v>
      </c>
    </row>
    <row r="120" spans="33:52" ph="1">
      <c r="AG120" s="64" t="s" ph="1">
        <v>394</v>
      </c>
      <c r="AH120" s="64" ph="1">
        <v>1</v>
      </c>
      <c r="AI120" s="64" t="s" ph="1">
        <v>554</v>
      </c>
      <c r="AJ120" s="64" t="s" ph="1">
        <v>628</v>
      </c>
      <c r="AK120" s="64" t="s" ph="1">
        <v>408</v>
      </c>
      <c r="AY120" s="64" t="s" ph="1">
        <v>257</v>
      </c>
      <c r="AZ120" s="64" t="s" ph="1">
        <v>408</v>
      </c>
    </row>
    <row r="121" spans="33:52" ph="1">
      <c r="AH121" s="64" ph="1">
        <v>2</v>
      </c>
      <c r="AI121" s="64" t="s" ph="1">
        <v>555</v>
      </c>
      <c r="AY121" s="64" t="s" ph="1">
        <v>257</v>
      </c>
      <c r="AZ121" s="64" t="s" ph="1">
        <v>408</v>
      </c>
    </row>
    <row r="122" spans="33:52" ph="1">
      <c r="AH122" s="64" ph="1">
        <v>3</v>
      </c>
      <c r="AI122" s="64" t="s" ph="1">
        <v>556</v>
      </c>
      <c r="AJ122" s="64" t="s" ph="1">
        <v>611</v>
      </c>
      <c r="AK122" s="64" t="s" ph="1">
        <v>623</v>
      </c>
      <c r="AM122" s="64" t="s" ph="1">
        <v>638</v>
      </c>
      <c r="AN122" s="64" t="s" ph="1">
        <v>631</v>
      </c>
      <c r="AO122" s="64" t="s" ph="1">
        <v>108</v>
      </c>
      <c r="AY122" s="64" t="s" ph="1">
        <v>257</v>
      </c>
      <c r="AZ122" s="64" t="s" ph="1">
        <v>620</v>
      </c>
    </row>
    <row r="123" spans="33:52" ph="1">
      <c r="AY123" s="64" t="s" ph="1">
        <v>257</v>
      </c>
      <c r="AZ123" s="64" t="s" ph="1">
        <v>620</v>
      </c>
    </row>
    <row r="124" spans="33:52" ph="1">
      <c r="AG124" s="64" t="s" ph="1">
        <v>397</v>
      </c>
      <c r="AH124" s="64" ph="1">
        <v>4</v>
      </c>
      <c r="AI124" s="64" t="s" ph="1">
        <v>557</v>
      </c>
      <c r="AJ124" s="64" t="s" ph="1">
        <v>558</v>
      </c>
      <c r="AK124" s="64" t="s" ph="1">
        <v>559</v>
      </c>
      <c r="AY124" s="64" t="s" ph="1">
        <v>257</v>
      </c>
      <c r="AZ124" s="64" t="s" ph="1">
        <v>559</v>
      </c>
    </row>
    <row r="125" spans="33:52" ph="1">
      <c r="AH125" s="64" ph="1">
        <v>5</v>
      </c>
      <c r="AI125" s="64" t="s" ph="1">
        <v>560</v>
      </c>
      <c r="AJ125" s="64" t="s" ph="1">
        <v>558</v>
      </c>
      <c r="AK125" s="64" t="s" ph="1">
        <v>559</v>
      </c>
      <c r="AY125" s="64" t="s" ph="1">
        <v>257</v>
      </c>
      <c r="AZ125" s="64" t="s" ph="1">
        <v>559</v>
      </c>
    </row>
    <row r="126" spans="33:52" ph="1">
      <c r="AH126" s="64" ph="1">
        <v>6</v>
      </c>
      <c r="AI126" s="64" t="s" ph="1">
        <v>561</v>
      </c>
      <c r="AJ126" s="64" t="s" ph="1">
        <v>630</v>
      </c>
      <c r="AK126" s="64" t="s" ph="1">
        <v>639</v>
      </c>
      <c r="AY126" s="64" t="s" ph="1">
        <v>257</v>
      </c>
      <c r="AZ126" s="64" t="s" ph="1">
        <v>639</v>
      </c>
    </row>
    <row r="127" spans="33:52" ph="1">
      <c r="AH127" s="64" ph="1">
        <v>7</v>
      </c>
      <c r="AI127" s="64" t="s" ph="1">
        <v>562</v>
      </c>
      <c r="AJ127" s="64" t="s" ph="1">
        <v>630</v>
      </c>
      <c r="AK127" s="64" t="s" ph="1">
        <v>640</v>
      </c>
      <c r="AY127" s="64" t="s" ph="1">
        <v>257</v>
      </c>
      <c r="AZ127" s="64" t="s" ph="1">
        <v>640</v>
      </c>
    </row>
    <row r="128" spans="33:52" ph="1">
      <c r="AH128" s="64" ph="1">
        <v>8</v>
      </c>
      <c r="AI128" s="64" t="s" ph="1">
        <v>563</v>
      </c>
      <c r="AY128" s="64" t="s" ph="1">
        <v>257</v>
      </c>
      <c r="AZ128" s="64" t="s" ph="1">
        <v>408</v>
      </c>
    </row>
    <row r="129" spans="33:52" ph="1">
      <c r="AH129" s="64" ph="1">
        <v>9</v>
      </c>
      <c r="AI129" s="64" t="s" ph="1">
        <v>564</v>
      </c>
      <c r="AY129" s="64" t="s" ph="1">
        <v>257</v>
      </c>
      <c r="AZ129" s="64" t="s" ph="1">
        <v>408</v>
      </c>
    </row>
    <row r="130" spans="33:52" ph="1">
      <c r="AH130" s="64" ph="1">
        <v>10</v>
      </c>
      <c r="AI130" s="64" t="s" ph="1">
        <v>565</v>
      </c>
      <c r="AY130" s="64" t="s" ph="1">
        <v>257</v>
      </c>
      <c r="AZ130" s="64" t="s" ph="1">
        <v>408</v>
      </c>
    </row>
    <row r="131" spans="33:52" ph="1">
      <c r="AH131" s="64" ph="1">
        <v>11</v>
      </c>
      <c r="AI131" s="64" t="s" ph="1">
        <v>566</v>
      </c>
      <c r="AJ131" s="64" t="s" ph="1">
        <v>624</v>
      </c>
      <c r="AK131" s="64" t="s" ph="1">
        <v>620</v>
      </c>
      <c r="AY131" s="64" t="s" ph="1">
        <v>257</v>
      </c>
      <c r="AZ131" s="64" t="s" ph="1">
        <v>620</v>
      </c>
    </row>
    <row r="132" spans="33:52" ph="1">
      <c r="AH132" s="64" ph="1">
        <v>12</v>
      </c>
      <c r="AI132" s="64" t="s" ph="1">
        <v>567</v>
      </c>
      <c r="AJ132" s="64" t="s" ph="1">
        <v>624</v>
      </c>
      <c r="AK132" s="64" t="s" ph="1">
        <v>559</v>
      </c>
      <c r="AY132" s="64" t="s" ph="1">
        <v>257</v>
      </c>
      <c r="AZ132" s="64" t="s" ph="1">
        <v>559</v>
      </c>
    </row>
    <row r="133" spans="33:52" ph="1">
      <c r="AH133" s="64" ph="1">
        <v>13</v>
      </c>
      <c r="AI133" s="64" t="s" ph="1">
        <v>568</v>
      </c>
      <c r="AJ133" s="64" t="s" ph="1">
        <v>624</v>
      </c>
      <c r="AK133" s="64" t="s" ph="1">
        <v>625</v>
      </c>
      <c r="AY133" s="64" t="s" ph="1">
        <v>257</v>
      </c>
      <c r="AZ133" s="64" t="s" ph="1">
        <v>625</v>
      </c>
    </row>
    <row r="134" spans="33:52" ph="1">
      <c r="AH134" s="64" ph="1">
        <v>14</v>
      </c>
      <c r="AI134" s="64" t="s" ph="1">
        <v>569</v>
      </c>
      <c r="AJ134" s="64" t="s" ph="1">
        <v>624</v>
      </c>
      <c r="AK134" s="64" t="s" ph="1">
        <v>626</v>
      </c>
      <c r="AY134" s="64" t="s" ph="1">
        <v>257</v>
      </c>
      <c r="AZ134" s="64" t="s" ph="1">
        <v>626</v>
      </c>
    </row>
    <row r="135" spans="33:52" ph="1">
      <c r="AH135" s="64" ph="1">
        <v>15</v>
      </c>
      <c r="AI135" s="64" t="s" ph="1">
        <v>570</v>
      </c>
      <c r="AJ135" s="64" t="s" ph="1">
        <v>624</v>
      </c>
      <c r="AK135" s="64" t="s" ph="1">
        <v>627</v>
      </c>
      <c r="AY135" s="64" t="s" ph="1">
        <v>257</v>
      </c>
      <c r="AZ135" s="64" t="s" ph="1">
        <v>627</v>
      </c>
    </row>
    <row r="136" spans="33:52" ph="1">
      <c r="AZ136" s="64" t="s" ph="1">
        <v>641</v>
      </c>
    </row>
    <row r="137" spans="33:52" ph="1">
      <c r="AG137" s="64" t="s" ph="1">
        <v>331</v>
      </c>
      <c r="AI137" s="64" t="s" ph="1">
        <v>250</v>
      </c>
      <c r="AJ137" s="64" t="s" ph="1">
        <v>251</v>
      </c>
      <c r="AK137" s="64" t="s" ph="1">
        <v>252</v>
      </c>
      <c r="AM137" s="64" t="s" ph="1">
        <v>251</v>
      </c>
      <c r="AN137" s="64" t="s" ph="1">
        <v>252</v>
      </c>
      <c r="AO137" s="64" t="s" ph="1">
        <v>253</v>
      </c>
      <c r="AP137" s="64" t="s" ph="1">
        <v>251</v>
      </c>
      <c r="AQ137" s="64" t="s" ph="1">
        <v>252</v>
      </c>
      <c r="AR137" s="64" t="s" ph="1">
        <v>253</v>
      </c>
      <c r="AS137" s="64" t="s" ph="1">
        <v>251</v>
      </c>
      <c r="AT137" s="64" t="s" ph="1">
        <v>252</v>
      </c>
      <c r="AU137" s="64" t="s" ph="1">
        <v>253</v>
      </c>
      <c r="AV137" s="64" t="s" ph="1">
        <v>251</v>
      </c>
      <c r="AW137" s="64" t="s" ph="1">
        <v>252</v>
      </c>
      <c r="AX137" s="64" t="s" ph="1">
        <v>253</v>
      </c>
      <c r="AY137" s="64" t="s" ph="1">
        <v>252</v>
      </c>
      <c r="AZ137" s="64" t="s" ph="1">
        <v>254</v>
      </c>
    </row>
    <row r="138" spans="33:52" ph="1">
      <c r="AH138" s="64" ph="1">
        <v>1</v>
      </c>
      <c r="AI138" s="64" t="s" ph="1">
        <v>571</v>
      </c>
      <c r="AJ138" s="64" t="s" ph="1">
        <v>572</v>
      </c>
      <c r="AK138" s="64" t="s" ph="1">
        <v>573</v>
      </c>
      <c r="AY138" s="64" t="s" ph="1">
        <v>257</v>
      </c>
      <c r="AZ138" s="64" t="s" ph="1">
        <v>573</v>
      </c>
    </row>
    <row r="139" spans="33:52" ph="1">
      <c r="AH139" s="64" ph="1">
        <v>2</v>
      </c>
      <c r="AI139" s="64" t="s" ph="1">
        <v>574</v>
      </c>
      <c r="AJ139" s="64" t="s" ph="1">
        <v>630</v>
      </c>
      <c r="AK139" s="64" t="s" ph="1">
        <v>642</v>
      </c>
      <c r="AY139" s="64" t="s" ph="1">
        <v>257</v>
      </c>
      <c r="AZ139" s="64" t="s" ph="1">
        <v>642</v>
      </c>
    </row>
    <row r="140" spans="33:52" ph="1">
      <c r="AH140" s="64" ph="1">
        <v>3</v>
      </c>
      <c r="AI140" s="64" t="s" ph="1">
        <v>575</v>
      </c>
      <c r="AJ140" s="64" t="s" ph="1">
        <v>528</v>
      </c>
      <c r="AK140" s="64" t="s" ph="1">
        <v>340</v>
      </c>
      <c r="AM140" s="64" t="s" ph="1">
        <v>529</v>
      </c>
      <c r="AN140" s="64" t="s" ph="1">
        <v>260</v>
      </c>
      <c r="AO140" s="64" t="s" ph="1">
        <v>576</v>
      </c>
      <c r="AP140" s="64" t="s" ph="1">
        <v>530</v>
      </c>
      <c r="AQ140" s="64" t="s" ph="1">
        <v>277</v>
      </c>
      <c r="AR140" s="64" t="s" ph="1">
        <v>576</v>
      </c>
      <c r="AS140" s="64" t="s" ph="1">
        <v>531</v>
      </c>
      <c r="AT140" s="64" t="s" ph="1">
        <v>270</v>
      </c>
      <c r="AU140" s="64" t="s" ph="1">
        <v>576</v>
      </c>
      <c r="AV140" s="64" t="s" ph="1">
        <v>532</v>
      </c>
      <c r="AW140" s="64" t="s" ph="1">
        <v>263</v>
      </c>
      <c r="AX140" s="64" t="s" ph="1">
        <v>576</v>
      </c>
      <c r="AY140" s="64" t="s" ph="1">
        <v>257</v>
      </c>
      <c r="AZ140" s="64" t="s" ph="1">
        <v>332</v>
      </c>
    </row>
    <row r="141" spans="33:52" ph="1">
      <c r="AJ141" s="64" t="s" ph="1">
        <v>534</v>
      </c>
      <c r="AK141" s="64" t="s" ph="1">
        <v>263</v>
      </c>
      <c r="AM141" s="64" t="s" ph="1">
        <v>535</v>
      </c>
      <c r="AN141" s="64" t="s" ph="1">
        <v>266</v>
      </c>
      <c r="AO141" s="64" t="s" ph="1">
        <v>576</v>
      </c>
      <c r="AP141" s="64" t="s" ph="1">
        <v>547</v>
      </c>
      <c r="AQ141" s="64" t="s" ph="1">
        <v>335</v>
      </c>
      <c r="AR141" s="64" t="s" ph="1">
        <v>576</v>
      </c>
      <c r="AS141" s="64" t="s" ph="1">
        <v>539</v>
      </c>
      <c r="AT141" s="64" t="s" ph="1">
        <v>263</v>
      </c>
      <c r="AU141" s="64" t="s" ph="1">
        <v>576</v>
      </c>
      <c r="AV141" s="64" t="s" ph="1">
        <v>375</v>
      </c>
      <c r="AW141" s="64" t="s" ph="1">
        <v>269</v>
      </c>
      <c r="AX141" s="64" t="s" ph="1">
        <v>576</v>
      </c>
    </row>
    <row r="142" spans="33:52" ph="1">
      <c r="AJ142" s="64" t="s" ph="1">
        <v>577</v>
      </c>
      <c r="AK142" s="64" t="s" ph="1">
        <v>280</v>
      </c>
    </row>
    <row r="143" spans="33:52" ph="1">
      <c r="AH143" s="64" ph="1">
        <v>4</v>
      </c>
      <c r="AI143" s="64" t="s" ph="1">
        <v>578</v>
      </c>
      <c r="AJ143" s="64" t="s" ph="1">
        <v>558</v>
      </c>
      <c r="AK143" s="64" t="s" ph="1">
        <v>579</v>
      </c>
      <c r="AY143" s="64" t="s" ph="1">
        <v>257</v>
      </c>
      <c r="AZ143" s="64" t="s" ph="1">
        <v>579</v>
      </c>
    </row>
    <row r="144" spans="33:52" ph="1">
      <c r="AH144" s="64" ph="1">
        <v>5</v>
      </c>
      <c r="AI144" s="64" t="s" ph="1">
        <v>580</v>
      </c>
      <c r="AY144" s="64" t="s" ph="1">
        <v>257</v>
      </c>
      <c r="AZ144" s="64" t="s" ph="1">
        <v>408</v>
      </c>
    </row>
    <row r="145" spans="33:52" ph="1">
      <c r="AH145" s="64" ph="1">
        <v>6</v>
      </c>
      <c r="AI145" s="64" t="s" ph="1">
        <v>581</v>
      </c>
      <c r="AY145" s="64" t="s" ph="1">
        <v>257</v>
      </c>
      <c r="AZ145" s="64" t="s" ph="1">
        <v>408</v>
      </c>
    </row>
    <row r="146" spans="33:52" ph="1">
      <c r="AH146" s="64" ph="1">
        <v>7</v>
      </c>
      <c r="AI146" s="64" t="s" ph="1">
        <v>582</v>
      </c>
      <c r="AY146" s="64" t="s" ph="1">
        <v>257</v>
      </c>
      <c r="AZ146" s="64" t="s" ph="1">
        <v>408</v>
      </c>
    </row>
    <row r="147" spans="33:52" ph="1">
      <c r="AH147" s="64" ph="1">
        <v>8</v>
      </c>
      <c r="AI147" s="64" t="s" ph="1">
        <v>583</v>
      </c>
      <c r="AY147" s="64" t="s" ph="1">
        <v>257</v>
      </c>
      <c r="AZ147" s="64" t="s" ph="1">
        <v>408</v>
      </c>
    </row>
    <row r="148" spans="33:52" ph="1">
      <c r="AH148" s="64" ph="1">
        <v>9</v>
      </c>
      <c r="AI148" s="64" t="s" ph="1">
        <v>584</v>
      </c>
      <c r="AY148" s="64" t="s" ph="1">
        <v>257</v>
      </c>
      <c r="AZ148" s="64" t="s" ph="1">
        <v>408</v>
      </c>
    </row>
    <row r="149" spans="33:52" ph="1">
      <c r="AH149" s="64" ph="1">
        <v>10</v>
      </c>
      <c r="AI149" s="64" t="s" ph="1">
        <v>585</v>
      </c>
      <c r="AY149" s="64" t="s" ph="1">
        <v>257</v>
      </c>
      <c r="AZ149" s="64" t="s" ph="1">
        <v>408</v>
      </c>
    </row>
    <row r="150" spans="33:52" ph="1">
      <c r="AH150" s="64" ph="1">
        <v>11</v>
      </c>
      <c r="AI150" s="64" t="s" ph="1">
        <v>586</v>
      </c>
      <c r="AY150" s="64" t="s" ph="1">
        <v>257</v>
      </c>
      <c r="AZ150" s="64" t="s" ph="1">
        <v>408</v>
      </c>
    </row>
    <row r="151" spans="33:52" ph="1">
      <c r="AH151" s="64" ph="1">
        <v>12</v>
      </c>
      <c r="AI151" s="64" t="s" ph="1">
        <v>587</v>
      </c>
      <c r="AY151" s="64" t="s" ph="1">
        <v>257</v>
      </c>
      <c r="AZ151" s="64" t="s" ph="1">
        <v>408</v>
      </c>
    </row>
    <row r="152" spans="33:52" ph="1">
      <c r="AH152" s="64" ph="1">
        <v>13</v>
      </c>
      <c r="AI152" s="64" t="s" ph="1">
        <v>588</v>
      </c>
      <c r="AY152" s="64" t="s" ph="1">
        <v>257</v>
      </c>
      <c r="AZ152" s="64" t="s" ph="1">
        <v>408</v>
      </c>
    </row>
    <row r="153" spans="33:52" ph="1">
      <c r="AH153" s="64" ph="1">
        <v>14</v>
      </c>
      <c r="AI153" s="64" t="s" ph="1">
        <v>589</v>
      </c>
      <c r="AY153" s="64" t="s" ph="1">
        <v>257</v>
      </c>
      <c r="AZ153" s="64" t="s" ph="1">
        <v>408</v>
      </c>
    </row>
    <row r="154" spans="33:52" ph="1">
      <c r="AH154" s="64" ph="1">
        <v>15</v>
      </c>
      <c r="AI154" s="64" t="s" ph="1">
        <v>590</v>
      </c>
      <c r="AY154" s="64" t="s" ph="1">
        <v>257</v>
      </c>
      <c r="AZ154" s="64" t="s" ph="1">
        <v>408</v>
      </c>
    </row>
    <row r="155" spans="33:52" ph="1">
      <c r="AH155" s="64" ph="1">
        <v>16</v>
      </c>
      <c r="AI155" s="64" t="s" ph="1">
        <v>591</v>
      </c>
      <c r="AJ155" s="64" t="s" ph="1">
        <v>377</v>
      </c>
      <c r="AK155" s="64" t="s" ph="1">
        <v>272</v>
      </c>
      <c r="AM155" s="64" t="s" ph="1">
        <v>611</v>
      </c>
      <c r="AN155" s="64" t="s" ph="1">
        <v>323</v>
      </c>
      <c r="AO155" s="64" t="s" ph="1">
        <v>576</v>
      </c>
      <c r="AY155" s="64" t="s" ph="1">
        <v>257</v>
      </c>
      <c r="AZ155" s="64" t="s" ph="1">
        <v>264</v>
      </c>
    </row>
    <row r="156" spans="33:52" ph="1">
      <c r="AZ156" s="64" t="s" ph="1">
        <v>643</v>
      </c>
    </row>
    <row r="157" spans="33:52" ph="1">
      <c r="AG157" s="64" t="s" ph="1">
        <v>592</v>
      </c>
      <c r="AI157" s="64" t="s" ph="1">
        <v>250</v>
      </c>
      <c r="AJ157" s="64" t="s" ph="1">
        <v>251</v>
      </c>
      <c r="AK157" s="64" t="s" ph="1">
        <v>252</v>
      </c>
      <c r="AM157" s="64" t="s" ph="1">
        <v>251</v>
      </c>
      <c r="AN157" s="64" t="s" ph="1">
        <v>252</v>
      </c>
      <c r="AO157" s="64" t="s" ph="1">
        <v>253</v>
      </c>
      <c r="AP157" s="64" t="s" ph="1">
        <v>251</v>
      </c>
      <c r="AQ157" s="64" t="s" ph="1">
        <v>252</v>
      </c>
      <c r="AR157" s="64" t="s" ph="1">
        <v>253</v>
      </c>
      <c r="AS157" s="64" t="s" ph="1">
        <v>251</v>
      </c>
      <c r="AT157" s="64" t="s" ph="1">
        <v>252</v>
      </c>
      <c r="AU157" s="64" t="s" ph="1">
        <v>253</v>
      </c>
      <c r="AV157" s="64" t="s" ph="1">
        <v>251</v>
      </c>
      <c r="AW157" s="64" t="s" ph="1">
        <v>252</v>
      </c>
      <c r="AX157" s="64" t="s" ph="1">
        <v>253</v>
      </c>
      <c r="AY157" s="64" t="s" ph="1">
        <v>252</v>
      </c>
      <c r="AZ157" s="64" t="s" ph="1">
        <v>254</v>
      </c>
    </row>
    <row r="158" spans="33:52" ph="1">
      <c r="AH158" s="64" ph="1">
        <v>1</v>
      </c>
      <c r="AI158" s="64" t="s" ph="1">
        <v>593</v>
      </c>
      <c r="AY158" s="64" t="s" ph="1">
        <v>257</v>
      </c>
      <c r="AZ158" s="64" t="s" ph="1">
        <v>408</v>
      </c>
    </row>
    <row r="159" spans="33:52" ph="1">
      <c r="AH159" s="64" ph="1">
        <v>2</v>
      </c>
      <c r="AI159" s="64" t="s" ph="1">
        <v>594</v>
      </c>
      <c r="AY159" s="64" t="s" ph="1">
        <v>257</v>
      </c>
      <c r="AZ159" s="64" t="s" ph="1">
        <v>408</v>
      </c>
    </row>
    <row r="160" spans="33:52" ph="1">
      <c r="AZ160" s="64" t="s" ph="1">
        <v>426</v>
      </c>
    </row>
    <row r="161" spans="33:52" ph="1">
      <c r="AG161" s="64" t="s" ph="1">
        <v>402</v>
      </c>
      <c r="AI161" s="64" t="s" ph="1">
        <v>250</v>
      </c>
      <c r="AJ161" s="64" t="s" ph="1">
        <v>251</v>
      </c>
      <c r="AK161" s="64" t="s" ph="1">
        <v>252</v>
      </c>
      <c r="AM161" s="64" t="s" ph="1">
        <v>251</v>
      </c>
      <c r="AN161" s="64" t="s" ph="1">
        <v>252</v>
      </c>
      <c r="AO161" s="64" t="s" ph="1">
        <v>253</v>
      </c>
      <c r="AP161" s="64" t="s" ph="1">
        <v>251</v>
      </c>
      <c r="AQ161" s="64" t="s" ph="1">
        <v>252</v>
      </c>
      <c r="AR161" s="64" t="s" ph="1">
        <v>253</v>
      </c>
      <c r="AS161" s="64" t="s" ph="1">
        <v>251</v>
      </c>
      <c r="AT161" s="64" t="s" ph="1">
        <v>252</v>
      </c>
      <c r="AU161" s="64" t="s" ph="1">
        <v>253</v>
      </c>
      <c r="AV161" s="64" t="s" ph="1">
        <v>251</v>
      </c>
      <c r="AW161" s="64" t="s" ph="1">
        <v>252</v>
      </c>
      <c r="AX161" s="64" t="s" ph="1">
        <v>253</v>
      </c>
      <c r="AY161" s="64" t="s" ph="1">
        <v>252</v>
      </c>
      <c r="AZ161" s="64" t="s" ph="1">
        <v>254</v>
      </c>
    </row>
    <row r="162" spans="33:52" ph="1">
      <c r="AH162" s="64" ph="1">
        <v>1</v>
      </c>
      <c r="AI162" s="64" t="s" ph="1">
        <v>595</v>
      </c>
      <c r="AJ162" s="64" t="s" ph="1">
        <v>596</v>
      </c>
      <c r="AK162" s="64" t="s" ph="1">
        <v>540</v>
      </c>
      <c r="AM162" s="64" t="s" ph="1">
        <v>597</v>
      </c>
      <c r="AN162" s="64" t="s" ph="1">
        <v>261</v>
      </c>
      <c r="AO162" s="64" t="s" ph="1">
        <v>598</v>
      </c>
      <c r="AY162" s="64" t="s" ph="1">
        <v>257</v>
      </c>
      <c r="AZ162" s="64" t="s" ph="1">
        <v>333</v>
      </c>
    </row>
    <row r="163" spans="33:52" ph="1">
      <c r="AH163" s="64" ph="1">
        <v>2</v>
      </c>
      <c r="AI163" s="64" t="s" ph="1">
        <v>599</v>
      </c>
      <c r="AJ163" s="64" t="s" ph="1">
        <v>596</v>
      </c>
      <c r="AK163" s="64" t="s" ph="1">
        <v>429</v>
      </c>
      <c r="AY163" s="64" t="s" ph="1">
        <v>257</v>
      </c>
      <c r="AZ163" s="64" t="s" ph="1">
        <v>429</v>
      </c>
    </row>
    <row r="164" spans="33:52" ph="1">
      <c r="AH164" s="64" ph="1">
        <v>3</v>
      </c>
      <c r="AI164" s="64" t="s" ph="1">
        <v>600</v>
      </c>
      <c r="AJ164" s="64" t="s" ph="1">
        <v>596</v>
      </c>
      <c r="AK164" s="64" t="s" ph="1">
        <v>333</v>
      </c>
      <c r="AY164" s="64" t="s" ph="1">
        <v>257</v>
      </c>
      <c r="AZ164" s="64" t="s" ph="1">
        <v>333</v>
      </c>
    </row>
    <row r="165" spans="33:52" ph="1">
      <c r="AH165" s="64" ph="1">
        <v>4</v>
      </c>
      <c r="AI165" s="64" t="s" ph="1">
        <v>601</v>
      </c>
      <c r="AY165" s="64" t="s" ph="1">
        <v>257</v>
      </c>
      <c r="AZ165" s="64" t="s" ph="1">
        <v>408</v>
      </c>
    </row>
    <row r="166" spans="33:52" ph="1">
      <c r="AH166" s="64" ph="1">
        <v>5</v>
      </c>
      <c r="AI166" s="64" t="s" ph="1">
        <v>602</v>
      </c>
      <c r="AY166" s="64" t="s" ph="1">
        <v>257</v>
      </c>
      <c r="AZ166" s="64" t="s" ph="1">
        <v>408</v>
      </c>
    </row>
    <row r="167" spans="33:52" ph="1">
      <c r="AZ167" s="64" t="s" ph="1">
        <v>603</v>
      </c>
    </row>
    <row r="168" spans="33:52" ph="1">
      <c r="AG168" s="64" t="s" ph="1">
        <v>346</v>
      </c>
      <c r="AI168" s="64" t="s" ph="1">
        <v>250</v>
      </c>
      <c r="AJ168" s="64" t="s" ph="1">
        <v>251</v>
      </c>
      <c r="AK168" s="64" t="s" ph="1">
        <v>252</v>
      </c>
      <c r="AM168" s="64" t="s" ph="1">
        <v>251</v>
      </c>
      <c r="AN168" s="64" t="s" ph="1">
        <v>252</v>
      </c>
      <c r="AO168" s="64" t="s" ph="1">
        <v>253</v>
      </c>
      <c r="AP168" s="64" t="s" ph="1">
        <v>251</v>
      </c>
      <c r="AQ168" s="64" t="s" ph="1">
        <v>252</v>
      </c>
      <c r="AR168" s="64" t="s" ph="1">
        <v>253</v>
      </c>
      <c r="AS168" s="64" t="s" ph="1">
        <v>251</v>
      </c>
      <c r="AT168" s="64" t="s" ph="1">
        <v>252</v>
      </c>
      <c r="AU168" s="64" t="s" ph="1">
        <v>253</v>
      </c>
      <c r="AV168" s="64" t="s" ph="1">
        <v>251</v>
      </c>
      <c r="AW168" s="64" t="s" ph="1">
        <v>252</v>
      </c>
      <c r="AX168" s="64" t="s" ph="1">
        <v>253</v>
      </c>
      <c r="AY168" s="64" t="s" ph="1">
        <v>252</v>
      </c>
      <c r="AZ168" s="64" t="s" ph="1">
        <v>254</v>
      </c>
    </row>
    <row r="169" spans="33:52" ph="1">
      <c r="AH169" s="64" ph="1">
        <v>1</v>
      </c>
      <c r="AI169" s="64" t="s" ph="1">
        <v>604</v>
      </c>
      <c r="AY169" s="64" t="s" ph="1">
        <v>257</v>
      </c>
      <c r="AZ169" s="64" t="s" ph="1">
        <v>408</v>
      </c>
    </row>
    <row r="170" spans="33:52" ph="1">
      <c r="AH170" s="64" ph="1">
        <v>2</v>
      </c>
      <c r="AI170" s="64" t="s" ph="1">
        <v>605</v>
      </c>
      <c r="AY170" s="64" t="s" ph="1">
        <v>257</v>
      </c>
      <c r="AZ170" s="64" t="s" ph="1">
        <v>408</v>
      </c>
    </row>
    <row r="171" spans="33:52" ph="1">
      <c r="AH171" s="64" ph="1">
        <v>3</v>
      </c>
      <c r="AI171" s="64" t="s" ph="1">
        <v>606</v>
      </c>
      <c r="AY171" s="64" t="s" ph="1">
        <v>257</v>
      </c>
      <c r="AZ171" s="64" t="s" ph="1">
        <v>408</v>
      </c>
    </row>
    <row r="172" spans="33:52" ph="1">
      <c r="AH172" s="64" ph="1">
        <v>4</v>
      </c>
      <c r="AI172" s="64" t="s" ph="1">
        <v>607</v>
      </c>
      <c r="AY172" s="64" t="s" ph="1">
        <v>257</v>
      </c>
      <c r="AZ172" s="64" t="s" ph="1">
        <v>408</v>
      </c>
    </row>
    <row r="173" spans="33:52" ph="1">
      <c r="AH173" s="64" ph="1">
        <v>5</v>
      </c>
      <c r="AI173" s="64" t="s" ph="1">
        <v>608</v>
      </c>
      <c r="AY173" s="64" t="s" ph="1">
        <v>257</v>
      </c>
      <c r="AZ173" s="64" t="s" ph="1">
        <v>408</v>
      </c>
    </row>
    <row r="174" spans="33:52" ph="1">
      <c r="AZ174" s="64" t="s" ph="1">
        <v>426</v>
      </c>
    </row>
    <row r="175" spans="33:52" ph="1">
      <c r="AJ175" s="64" t="s" ph="1">
        <v>347</v>
      </c>
    </row>
    <row r="176" spans="33:52" ph="1">
      <c r="AJ176" s="64" t="s" ph="1">
        <v>348</v>
      </c>
      <c r="AK176" s="64" t="s" ph="1">
        <v>349</v>
      </c>
      <c r="AM176" s="64" t="s" ph="1">
        <v>350</v>
      </c>
      <c r="AO176" s="64" t="s" ph="1">
        <v>351</v>
      </c>
      <c r="AP176" s="64" t="s" ph="1">
        <v>352</v>
      </c>
      <c r="AQ176" s="64" t="s" ph="1">
        <v>342</v>
      </c>
      <c r="AR176" s="64" t="s" ph="1">
        <v>262</v>
      </c>
    </row>
    <row r="177" spans="36:56" ph="1">
      <c r="AJ177" s="64" t="s" ph="1">
        <v>644</v>
      </c>
      <c r="AK177" s="64" t="s" ph="1">
        <v>353</v>
      </c>
      <c r="AO177" s="64" t="s" ph="1">
        <v>353</v>
      </c>
      <c r="AP177" s="64" t="s" ph="1">
        <v>353</v>
      </c>
      <c r="AQ177" s="64" t="s" ph="1">
        <v>354</v>
      </c>
      <c r="AR177" s="64" t="s" ph="1">
        <v>355</v>
      </c>
    </row>
    <row r="179" spans="36:56" ph="1">
      <c r="AJ179" s="64" t="s" ph="1">
        <v>356</v>
      </c>
      <c r="AK179" s="64" t="s" ph="1">
        <v>357</v>
      </c>
      <c r="AM179" s="64" t="s" ph="1">
        <v>358</v>
      </c>
      <c r="AN179" s="64" t="s" ph="1">
        <v>334</v>
      </c>
      <c r="AO179" s="64" t="s" ph="1">
        <v>359</v>
      </c>
      <c r="AP179" s="64" t="s" ph="1">
        <v>338</v>
      </c>
      <c r="AQ179" s="64" t="s" ph="1">
        <v>360</v>
      </c>
      <c r="AR179" s="64" t="s" ph="1">
        <v>361</v>
      </c>
    </row>
    <row r="180" spans="36:56" ph="1">
      <c r="AJ180" s="64" t="s" ph="1">
        <v>353</v>
      </c>
      <c r="AK180" s="64" t="s" ph="1">
        <v>353</v>
      </c>
      <c r="AL180" s="64" ph="1">
        <v>116</v>
      </c>
      <c r="AM180" s="64" t="s" ph="1">
        <v>353</v>
      </c>
      <c r="AN180" s="64" t="s" ph="1">
        <v>362</v>
      </c>
      <c r="AO180" s="64" t="s" ph="1">
        <v>353</v>
      </c>
      <c r="AP180" s="64" t="s" ph="1">
        <v>363</v>
      </c>
      <c r="AQ180" s="64" t="s" ph="1">
        <v>364</v>
      </c>
      <c r="AR180" s="64" t="s" ph="1">
        <v>365</v>
      </c>
    </row>
    <row r="189" spans="36:56" ph="1">
      <c r="BD189" s="64" t="s" ph="1">
        <v>609</v>
      </c>
    </row>
    <row r="223" spans="18:18" ph="1">
      <c r="R223" s="138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373" priority="92">
      <formula>ABS(D$7-D$10)&gt;=1000</formula>
    </cfRule>
  </conditionalFormatting>
  <conditionalFormatting sqref="E4 E6:E11">
    <cfRule type="expression" dxfId="2372" priority="91">
      <formula>ABS(E$7-E$10)&gt;=1000</formula>
    </cfRule>
  </conditionalFormatting>
  <conditionalFormatting sqref="F4:F11">
    <cfRule type="expression" dxfId="2371" priority="90">
      <formula>ABS(F$7-F$10)&gt;=1000</formula>
    </cfRule>
  </conditionalFormatting>
  <conditionalFormatting sqref="G4:G11">
    <cfRule type="expression" dxfId="2370" priority="89">
      <formula>ABS(G$7-G$10)&gt;=1000</formula>
    </cfRule>
  </conditionalFormatting>
  <conditionalFormatting sqref="H4:H11">
    <cfRule type="expression" dxfId="2369" priority="88">
      <formula>ABS(H$7-H$10)&gt;=1000</formula>
    </cfRule>
  </conditionalFormatting>
  <conditionalFormatting sqref="I4:I11">
    <cfRule type="expression" dxfId="2368" priority="87">
      <formula>ABS(I$7-I$10)&gt;=1000</formula>
    </cfRule>
  </conditionalFormatting>
  <conditionalFormatting sqref="J4:J11">
    <cfRule type="expression" dxfId="2367" priority="86">
      <formula>ABS(J$7-J$10)&gt;=1000</formula>
    </cfRule>
  </conditionalFormatting>
  <conditionalFormatting sqref="K4:K11">
    <cfRule type="expression" dxfId="2366" priority="85">
      <formula>ABS(K$7-K$10)&gt;=1000</formula>
    </cfRule>
  </conditionalFormatting>
  <conditionalFormatting sqref="L4:L11">
    <cfRule type="expression" dxfId="2365" priority="84">
      <formula>ABS(L$7-L$10)&gt;=1000</formula>
    </cfRule>
  </conditionalFormatting>
  <conditionalFormatting sqref="M4:M11">
    <cfRule type="expression" dxfId="2364" priority="83">
      <formula>ABS(M$7-M$10)&gt;=1000</formula>
    </cfRule>
  </conditionalFormatting>
  <conditionalFormatting sqref="N4:N11">
    <cfRule type="expression" dxfId="2363" priority="82">
      <formula>ABS(N$7-N$10)&gt;=1000</formula>
    </cfRule>
  </conditionalFormatting>
  <conditionalFormatting sqref="O4:O11">
    <cfRule type="expression" dxfId="2362" priority="81">
      <formula>ABS(O$7-O$10)&gt;=1000</formula>
    </cfRule>
  </conditionalFormatting>
  <conditionalFormatting sqref="P4:P11">
    <cfRule type="expression" dxfId="2361" priority="80">
      <formula>ABS(P$7-P$10)&gt;=1000</formula>
    </cfRule>
  </conditionalFormatting>
  <conditionalFormatting sqref="Q4:Q11">
    <cfRule type="expression" dxfId="2360" priority="79">
      <formula>ABS(Q$7-Q$10)&gt;=1000</formula>
    </cfRule>
  </conditionalFormatting>
  <conditionalFormatting sqref="R4:R11">
    <cfRule type="expression" dxfId="2359" priority="78">
      <formula>ABS(R$7-R$10)&gt;=1000</formula>
    </cfRule>
  </conditionalFormatting>
  <conditionalFormatting sqref="S4:S11">
    <cfRule type="expression" dxfId="2358" priority="77">
      <formula>ABS(S$7-S$10)&gt;=1000</formula>
    </cfRule>
  </conditionalFormatting>
  <conditionalFormatting sqref="T4:T9 T11">
    <cfRule type="expression" dxfId="2357" priority="76">
      <formula>ABS(T$7-T$10)&gt;=1000</formula>
    </cfRule>
  </conditionalFormatting>
  <conditionalFormatting sqref="U4:U9 U11">
    <cfRule type="expression" dxfId="2356" priority="75">
      <formula>ABS(U$7-U$10)&gt;=1000</formula>
    </cfRule>
  </conditionalFormatting>
  <conditionalFormatting sqref="V4:V9 V11">
    <cfRule type="expression" dxfId="2355" priority="74">
      <formula>ABS(V$7-V$10)&gt;=1000</formula>
    </cfRule>
  </conditionalFormatting>
  <conditionalFormatting sqref="W4:W9 W11">
    <cfRule type="expression" dxfId="2354" priority="73">
      <formula>ABS(W$7-W$10)&gt;=1000</formula>
    </cfRule>
  </conditionalFormatting>
  <conditionalFormatting sqref="X4:X9 X11">
    <cfRule type="expression" dxfId="2353" priority="72">
      <formula>ABS(X$7-X$10)&gt;=1000</formula>
    </cfRule>
  </conditionalFormatting>
  <conditionalFormatting sqref="Y4:Y9 Y11">
    <cfRule type="expression" dxfId="2352" priority="71">
      <formula>ABS(Y$7-Y$10)&gt;=1000</formula>
    </cfRule>
  </conditionalFormatting>
  <conditionalFormatting sqref="Z4:Z11">
    <cfRule type="expression" dxfId="2351" priority="70">
      <formula>ABS(Z$7-Z$10)&gt;=1000</formula>
    </cfRule>
  </conditionalFormatting>
  <conditionalFormatting sqref="AA4:AA11">
    <cfRule type="expression" dxfId="2350" priority="69">
      <formula>ABS(AA$7-AA$10)&gt;=1000</formula>
    </cfRule>
  </conditionalFormatting>
  <conditionalFormatting sqref="AB4:AB11">
    <cfRule type="expression" dxfId="2349" priority="68">
      <formula>ABS(AB$7-AB$10)&gt;=1000</formula>
    </cfRule>
  </conditionalFormatting>
  <conditionalFormatting sqref="AC4 AC6:AC11">
    <cfRule type="expression" dxfId="2348" priority="67">
      <formula>ABS(AC$7-AC$10)&gt;=1000</formula>
    </cfRule>
  </conditionalFormatting>
  <conditionalFormatting sqref="AD4:AD11">
    <cfRule type="expression" dxfId="2347" priority="66">
      <formula>ABS(AD$7-AD$10)&gt;=1000</formula>
    </cfRule>
  </conditionalFormatting>
  <conditionalFormatting sqref="AE4:AE11">
    <cfRule type="expression" dxfId="2346" priority="65">
      <formula>ABS(AE$7-AE$10)&gt;=1000</formula>
    </cfRule>
  </conditionalFormatting>
  <conditionalFormatting sqref="D13:D20">
    <cfRule type="expression" dxfId="2345" priority="64">
      <formula>ABS(D$16-D$19)&gt;=1000</formula>
    </cfRule>
  </conditionalFormatting>
  <conditionalFormatting sqref="E13:E20">
    <cfRule type="expression" dxfId="2344" priority="63">
      <formula>ABS(E$16-E$19)&gt;=1000</formula>
    </cfRule>
  </conditionalFormatting>
  <conditionalFormatting sqref="F13 F15:F20">
    <cfRule type="expression" dxfId="2343" priority="62">
      <formula>ABS(F$16-F$19)&gt;=1000</formula>
    </cfRule>
  </conditionalFormatting>
  <conditionalFormatting sqref="G13:G20">
    <cfRule type="expression" dxfId="2342" priority="61">
      <formula>ABS(G$16-G$19)&gt;=1000</formula>
    </cfRule>
  </conditionalFormatting>
  <conditionalFormatting sqref="H13:H20">
    <cfRule type="expression" dxfId="2341" priority="60">
      <formula>ABS(H$16-H$19)&gt;=1000</formula>
    </cfRule>
  </conditionalFormatting>
  <conditionalFormatting sqref="I13:I20">
    <cfRule type="expression" dxfId="2340" priority="59">
      <formula>ABS(I$16-I$19)&gt;=1000</formula>
    </cfRule>
  </conditionalFormatting>
  <conditionalFormatting sqref="J13:J20">
    <cfRule type="expression" dxfId="2339" priority="58">
      <formula>ABS(J$16-J$19)&gt;=1000</formula>
    </cfRule>
  </conditionalFormatting>
  <conditionalFormatting sqref="L13:L20">
    <cfRule type="expression" dxfId="2338" priority="57">
      <formula>ABS(L$16-L$19)&gt;=1000</formula>
    </cfRule>
  </conditionalFormatting>
  <conditionalFormatting sqref="M13 M15 M17:M18 M20">
    <cfRule type="expression" dxfId="2337" priority="56">
      <formula>ABS(M$16-M$19)&gt;=1000</formula>
    </cfRule>
  </conditionalFormatting>
  <conditionalFormatting sqref="N13:N20">
    <cfRule type="expression" dxfId="2336" priority="55">
      <formula>ABS(N$16-N$19)&gt;=1000</formula>
    </cfRule>
  </conditionalFormatting>
  <conditionalFormatting sqref="O13:O20">
    <cfRule type="expression" dxfId="2335" priority="54">
      <formula>ABS(O$16-O$19)&gt;=1000</formula>
    </cfRule>
  </conditionalFormatting>
  <conditionalFormatting sqref="P13:P20">
    <cfRule type="expression" dxfId="2334" priority="53">
      <formula>ABS(P$16-P$19)&gt;=1000</formula>
    </cfRule>
  </conditionalFormatting>
  <conditionalFormatting sqref="Q13 Q15:Q20">
    <cfRule type="expression" dxfId="2333" priority="52">
      <formula>ABS(Q$16-Q$19)&gt;=1000</formula>
    </cfRule>
  </conditionalFormatting>
  <conditionalFormatting sqref="R13:R20">
    <cfRule type="expression" dxfId="2332" priority="51">
      <formula>ABS(R$16-R$19)&gt;=1000</formula>
    </cfRule>
  </conditionalFormatting>
  <conditionalFormatting sqref="S13:S20">
    <cfRule type="expression" dxfId="2331" priority="50">
      <formula>ABS(S$16-S$19)&gt;=1000</formula>
    </cfRule>
  </conditionalFormatting>
  <conditionalFormatting sqref="T13:T20">
    <cfRule type="expression" dxfId="2330" priority="49">
      <formula>ABS(T$16-T$19)&gt;=1000</formula>
    </cfRule>
  </conditionalFormatting>
  <conditionalFormatting sqref="U13:U20">
    <cfRule type="expression" dxfId="2329" priority="48">
      <formula>ABS(U$16-U$19)&gt;=1000</formula>
    </cfRule>
  </conditionalFormatting>
  <conditionalFormatting sqref="V13:V20">
    <cfRule type="expression" dxfId="2328" priority="47">
      <formula>ABS(V$16-V$19)&gt;=1000</formula>
    </cfRule>
  </conditionalFormatting>
  <conditionalFormatting sqref="W13 W15:W18 W20">
    <cfRule type="expression" dxfId="2327" priority="46">
      <formula>ABS(W$16-W$19)&gt;=1000</formula>
    </cfRule>
  </conditionalFormatting>
  <conditionalFormatting sqref="X13 X15:X20 Y19">
    <cfRule type="expression" dxfId="2326" priority="45">
      <formula>ABS(X$16-X$19)&gt;=1000</formula>
    </cfRule>
  </conditionalFormatting>
  <conditionalFormatting sqref="Y13 Y15:Y18 Y20">
    <cfRule type="expression" dxfId="2325" priority="44">
      <formula>ABS(Y$16-Y$19)&gt;=1000</formula>
    </cfRule>
  </conditionalFormatting>
  <conditionalFormatting sqref="Z13:Z20">
    <cfRule type="expression" dxfId="2324" priority="43">
      <formula>ABS(Z$16-Z$19)&gt;=1000</formula>
    </cfRule>
  </conditionalFormatting>
  <conditionalFormatting sqref="AA13:AA20">
    <cfRule type="expression" dxfId="2323" priority="42">
      <formula>ABS(AA$16-AA$19)&gt;=1000</formula>
    </cfRule>
  </conditionalFormatting>
  <conditionalFormatting sqref="AB13 AB15:AB20">
    <cfRule type="expression" dxfId="2322" priority="41">
      <formula>ABS(AB$16-AB$19)&gt;=1000</formula>
    </cfRule>
  </conditionalFormatting>
  <conditionalFormatting sqref="AC13 AC15:AC20">
    <cfRule type="expression" dxfId="2321" priority="40">
      <formula>ABS(AC$16-AC$19)&gt;=1000</formula>
    </cfRule>
  </conditionalFormatting>
  <conditionalFormatting sqref="AD13:AD20">
    <cfRule type="expression" dxfId="2320" priority="39">
      <formula>ABS(AD$16-AD$19)&gt;=1000</formula>
    </cfRule>
  </conditionalFormatting>
  <conditionalFormatting sqref="AE13:AE20">
    <cfRule type="expression" dxfId="2319" priority="38">
      <formula>ABS(AE$16-AE$19)&gt;=1000</formula>
    </cfRule>
  </conditionalFormatting>
  <conditionalFormatting sqref="D22:D29">
    <cfRule type="expression" dxfId="2318" priority="37">
      <formula>ABS(D$25-D$28)&gt;=1000</formula>
    </cfRule>
  </conditionalFormatting>
  <conditionalFormatting sqref="E22:E29">
    <cfRule type="expression" dxfId="2317" priority="36">
      <formula>ABS(E$25-E$28)&gt;=1000</formula>
    </cfRule>
  </conditionalFormatting>
  <conditionalFormatting sqref="F22:F29">
    <cfRule type="expression" dxfId="2316" priority="35">
      <formula>ABS(F$25-F$28)&gt;=1000</formula>
    </cfRule>
  </conditionalFormatting>
  <conditionalFormatting sqref="G22:G29">
    <cfRule type="expression" dxfId="2315" priority="34">
      <formula>ABS(G$25-G$28)&gt;=1000</formula>
    </cfRule>
  </conditionalFormatting>
  <conditionalFormatting sqref="H22:H29">
    <cfRule type="expression" dxfId="2314" priority="33">
      <formula>ABS(H$25-H$28)&gt;=1000</formula>
    </cfRule>
  </conditionalFormatting>
  <conditionalFormatting sqref="I22 I24:I29">
    <cfRule type="expression" dxfId="2313" priority="32">
      <formula>ABS(I$25-I$28)&gt;=1000</formula>
    </cfRule>
  </conditionalFormatting>
  <conditionalFormatting sqref="J22:J29 K22">
    <cfRule type="expression" dxfId="2312" priority="31">
      <formula>ABS(J$25-J$28)&gt;=1000</formula>
    </cfRule>
  </conditionalFormatting>
  <conditionalFormatting sqref="K23:K29 L25 L28">
    <cfRule type="expression" dxfId="2311" priority="30">
      <formula>ABS(K$25-K$28)&gt;=1000</formula>
    </cfRule>
  </conditionalFormatting>
  <conditionalFormatting sqref="L22:L24 L26:L27 L29">
    <cfRule type="expression" dxfId="2310" priority="29">
      <formula>ABS(L$25-L$28)&gt;=1000</formula>
    </cfRule>
  </conditionalFormatting>
  <conditionalFormatting sqref="M22:M29">
    <cfRule type="expression" dxfId="2309" priority="28">
      <formula>ABS(M$25-M$28)&gt;=1000</formula>
    </cfRule>
  </conditionalFormatting>
  <conditionalFormatting sqref="N22:N29">
    <cfRule type="expression" dxfId="2308" priority="27">
      <formula>ABS(N$25-N$28)&gt;=1000</formula>
    </cfRule>
  </conditionalFormatting>
  <conditionalFormatting sqref="O22:O29">
    <cfRule type="expression" dxfId="2307" priority="26">
      <formula>ABS(O$25-O$28)&gt;=1000</formula>
    </cfRule>
  </conditionalFormatting>
  <conditionalFormatting sqref="P22:P29">
    <cfRule type="expression" dxfId="2306" priority="25">
      <formula>ABS(P$25-P$28)&gt;=1000</formula>
    </cfRule>
  </conditionalFormatting>
  <conditionalFormatting sqref="Q22:Q29">
    <cfRule type="expression" dxfId="2305" priority="24">
      <formula>ABS(Q$25-Q$28)&gt;=1000</formula>
    </cfRule>
  </conditionalFormatting>
  <conditionalFormatting sqref="R22:R29">
    <cfRule type="expression" dxfId="2304" priority="23">
      <formula>ABS(R$25-R$28)&gt;=1000</formula>
    </cfRule>
  </conditionalFormatting>
  <conditionalFormatting sqref="S22:S29">
    <cfRule type="expression" dxfId="2303" priority="22">
      <formula>ABS(S$25-S$28)&gt;=1000</formula>
    </cfRule>
  </conditionalFormatting>
  <conditionalFormatting sqref="T22:T29">
    <cfRule type="expression" dxfId="2302" priority="21">
      <formula>ABS(T$25-T$28)&gt;=1000</formula>
    </cfRule>
  </conditionalFormatting>
  <conditionalFormatting sqref="U22:U29">
    <cfRule type="expression" dxfId="2301" priority="20">
      <formula>ABS(U$25-U$28)&gt;=1000</formula>
    </cfRule>
  </conditionalFormatting>
  <conditionalFormatting sqref="V22:V29">
    <cfRule type="expression" dxfId="2300" priority="19">
      <formula>ABS(V$25-V$28)&gt;=1000</formula>
    </cfRule>
  </conditionalFormatting>
  <conditionalFormatting sqref="W22:W29">
    <cfRule type="expression" dxfId="2299" priority="18">
      <formula>ABS(W$25-W$28)&gt;=1000</formula>
    </cfRule>
  </conditionalFormatting>
  <conditionalFormatting sqref="X22:X29">
    <cfRule type="expression" dxfId="2298" priority="17">
      <formula>ABS(X$25-X$28)&gt;=1000</formula>
    </cfRule>
  </conditionalFormatting>
  <conditionalFormatting sqref="Y22:Y29">
    <cfRule type="expression" dxfId="2297" priority="16">
      <formula>ABS(Y$25-Y$28)&gt;=1000</formula>
    </cfRule>
  </conditionalFormatting>
  <conditionalFormatting sqref="I23">
    <cfRule type="expression" dxfId="2296" priority="15">
      <formula>ABS(I$25-I$28)&gt;=1000</formula>
    </cfRule>
  </conditionalFormatting>
  <conditionalFormatting sqref="F14">
    <cfRule type="expression" dxfId="2295" priority="14">
      <formula>ABS(F$16-F$19)&gt;=1000</formula>
    </cfRule>
  </conditionalFormatting>
  <conditionalFormatting sqref="Q14">
    <cfRule type="expression" dxfId="2294" priority="13">
      <formula>ABS(Q$16-Q$19)&gt;=1000</formula>
    </cfRule>
  </conditionalFormatting>
  <conditionalFormatting sqref="W14">
    <cfRule type="expression" dxfId="2293" priority="12">
      <formula>ABS(W$16-W$19)&gt;=1000</formula>
    </cfRule>
  </conditionalFormatting>
  <conditionalFormatting sqref="Y14">
    <cfRule type="expression" dxfId="2292" priority="11">
      <formula>ABS(Y$16-Y$19)&gt;=1000</formula>
    </cfRule>
  </conditionalFormatting>
  <conditionalFormatting sqref="X14">
    <cfRule type="expression" dxfId="2291" priority="10">
      <formula>ABS(X$16-X$19)&gt;=1000</formula>
    </cfRule>
  </conditionalFormatting>
  <conditionalFormatting sqref="T10:Y10">
    <cfRule type="expression" dxfId="2290" priority="9">
      <formula>ABS(T$7-T$10)&gt;=1000</formula>
    </cfRule>
  </conditionalFormatting>
  <conditionalFormatting sqref="W19">
    <cfRule type="expression" dxfId="2289" priority="8">
      <formula>ABS(W$16-W$19)&gt;=1000</formula>
    </cfRule>
  </conditionalFormatting>
  <conditionalFormatting sqref="AC5">
    <cfRule type="expression" dxfId="2288" priority="7">
      <formula>ABS(AC$7-AC$10)&gt;=1000</formula>
    </cfRule>
  </conditionalFormatting>
  <conditionalFormatting sqref="M14">
    <cfRule type="expression" dxfId="2287" priority="6">
      <formula>ABS(M$16-M$19)&gt;=1000</formula>
    </cfRule>
  </conditionalFormatting>
  <conditionalFormatting sqref="M16">
    <cfRule type="expression" dxfId="2286" priority="5">
      <formula>ABS(M$16-M$19)&gt;=1000</formula>
    </cfRule>
  </conditionalFormatting>
  <conditionalFormatting sqref="M19">
    <cfRule type="expression" dxfId="2285" priority="4">
      <formula>ABS(M$16-M$19)&gt;=1000</formula>
    </cfRule>
  </conditionalFormatting>
  <conditionalFormatting sqref="K13:K20">
    <cfRule type="expression" dxfId="2284" priority="3">
      <formula>ABS(K$16-K$19)&gt;=1000</formula>
    </cfRule>
  </conditionalFormatting>
  <conditionalFormatting sqref="E5">
    <cfRule type="expression" dxfId="2283" priority="2">
      <formula>ABS(E$7-E$10)&gt;=1000</formula>
    </cfRule>
  </conditionalFormatting>
  <conditionalFormatting sqref="AB14:AC14">
    <cfRule type="expression" dxfId="2282" priority="1">
      <formula>ABS(AB$16-AB$19)&gt;=1000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489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66">
    <pageSetUpPr fitToPage="1"/>
  </sheetPr>
  <dimension ref="A1:CU223"/>
  <sheetViews>
    <sheetView view="pageBreakPreview" zoomScale="70" zoomScaleNormal="100" zoomScaleSheetLayoutView="70" workbookViewId="0">
      <selection activeCell="T7" sqref="T7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08" t="s" ph="1">
        <v>192</v>
      </c>
      <c r="C1" s="208" ph="1"/>
      <c r="D1" s="208" ph="1"/>
      <c r="E1" s="208" ph="1"/>
      <c r="F1" s="208" ph="1"/>
      <c r="G1" s="208" ph="1"/>
      <c r="H1" s="208" ph="1"/>
      <c r="I1" s="208" ph="1"/>
      <c r="J1" s="208" ph="1"/>
      <c r="K1" s="208" ph="1"/>
      <c r="L1" s="208" ph="1"/>
      <c r="M1" s="208" ph="1"/>
      <c r="N1" s="208" ph="1"/>
      <c r="O1" s="208" ph="1"/>
      <c r="P1" s="208" ph="1"/>
      <c r="Q1" s="208" ph="1"/>
      <c r="R1" s="208" ph="1"/>
      <c r="S1" s="208" ph="1"/>
      <c r="T1" s="208" ph="1"/>
      <c r="U1" s="208" ph="1"/>
      <c r="V1" s="208" ph="1"/>
      <c r="W1" s="208" ph="1"/>
      <c r="X1" s="208" ph="1"/>
      <c r="Y1" s="208" ph="1"/>
      <c r="Z1" s="208" ph="1"/>
      <c r="AA1" s="208" ph="1"/>
      <c r="AB1" s="208" ph="1"/>
      <c r="AC1" s="208" ph="1"/>
      <c r="AD1" s="208" ph="1"/>
      <c r="AE1" s="208" ph="1"/>
    </row>
    <row r="2" spans="1:99" s="66" customFormat="1" ht="24" customHeight="1" ph="1">
      <c r="B2" s="209" t="s" ph="1">
        <v>99</v>
      </c>
      <c r="C2" s="209" ph="1"/>
      <c r="D2" s="209" ph="1"/>
      <c r="E2" s="209" ph="1"/>
      <c r="F2" s="209" ph="1"/>
      <c r="G2" s="209" ph="1"/>
      <c r="H2" s="209" ph="1"/>
      <c r="I2" s="209" ph="1"/>
      <c r="J2" s="209" ph="1"/>
      <c r="K2" s="209" ph="1"/>
      <c r="L2" s="209" ph="1"/>
      <c r="M2" s="209" ph="1"/>
      <c r="N2" s="209" ph="1"/>
      <c r="O2" s="209" ph="1"/>
      <c r="P2" s="209" ph="1"/>
      <c r="Q2" s="209" ph="1"/>
      <c r="R2" s="209" ph="1"/>
      <c r="S2" s="209" ph="1"/>
      <c r="T2" s="209" ph="1"/>
      <c r="U2" s="209" ph="1"/>
      <c r="V2" s="209" ph="1"/>
      <c r="W2" s="209" ph="1"/>
      <c r="X2" s="209" ph="1"/>
      <c r="Y2" s="209" ph="1"/>
      <c r="Z2" s="209" ph="1"/>
      <c r="AA2" s="209" ph="1"/>
      <c r="AB2" s="209" ph="1"/>
      <c r="AC2" s="209" ph="1"/>
      <c r="AD2" s="209" ph="1"/>
      <c r="AE2" s="209" ph="1"/>
    </row>
    <row r="3" spans="1:99" ht="21" customHeight="1" ph="1">
      <c r="B3" s="210" ph="1">
        <v>45692</v>
      </c>
      <c r="C3" s="210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210"/>
      <c r="R3" s="210"/>
      <c r="S3" s="210"/>
      <c r="T3" s="210"/>
      <c r="U3" s="210"/>
      <c r="V3" s="210"/>
      <c r="W3" s="210"/>
      <c r="X3" s="210"/>
      <c r="Y3" s="210"/>
      <c r="Z3" s="210"/>
      <c r="AA3" s="210"/>
      <c r="AB3" s="210"/>
      <c r="AC3" s="210"/>
      <c r="AD3" s="210"/>
      <c r="AE3" s="210"/>
    </row>
    <row r="4" spans="1:99" s="69" customFormat="1" ph="1">
      <c r="A4" s="65" ph="1"/>
      <c r="B4" s="211" t="s" ph="1">
        <v>37</v>
      </c>
      <c r="C4" s="67" t="s" ph="1">
        <v>207</v>
      </c>
      <c r="D4" s="68" t="s" ph="1">
        <v>45</v>
      </c>
      <c r="E4" s="68" t="s" ph="1">
        <v>46</v>
      </c>
      <c r="F4" s="68" t="s" ph="1">
        <v>39</v>
      </c>
      <c r="G4" s="68" t="s" ph="1">
        <v>47</v>
      </c>
      <c r="H4" s="68" t="s" ph="1">
        <v>48</v>
      </c>
      <c r="I4" s="68" t="s" ph="1">
        <v>132</v>
      </c>
      <c r="J4" s="68" t="s" ph="1">
        <v>49</v>
      </c>
      <c r="K4" s="68" t="s" ph="1">
        <v>133</v>
      </c>
      <c r="L4" s="68" t="s" ph="1">
        <v>134</v>
      </c>
      <c r="M4" s="68" t="s" ph="1">
        <v>50</v>
      </c>
      <c r="N4" s="68" t="s" ph="1">
        <v>51</v>
      </c>
      <c r="O4" s="68" t="s" ph="1">
        <v>136</v>
      </c>
      <c r="P4" s="68" t="s" ph="1">
        <v>138</v>
      </c>
      <c r="Q4" s="68" t="s" ph="1">
        <v>139</v>
      </c>
      <c r="R4" s="68" t="s" ph="1">
        <v>140</v>
      </c>
      <c r="S4" s="68" t="s" ph="1">
        <v>141</v>
      </c>
      <c r="T4" s="68" t="s" ph="1">
        <v>142</v>
      </c>
      <c r="U4" s="68" t="s" ph="1">
        <v>143</v>
      </c>
      <c r="V4" s="68" t="s" ph="1">
        <v>144</v>
      </c>
      <c r="W4" s="68" t="s" ph="1">
        <v>145</v>
      </c>
      <c r="X4" s="68" t="s" ph="1">
        <v>146</v>
      </c>
      <c r="Y4" s="68" t="s" ph="1">
        <v>147</v>
      </c>
      <c r="Z4" s="68" t="s" ph="1">
        <v>52</v>
      </c>
      <c r="AA4" s="68" t="s" ph="1">
        <v>148</v>
      </c>
      <c r="AB4" s="68" t="s" ph="1">
        <v>149</v>
      </c>
      <c r="AC4" s="68" t="s" ph="1">
        <v>150</v>
      </c>
      <c r="AD4" s="68" t="s" ph="1">
        <v>40</v>
      </c>
      <c r="AE4" s="68" t="s" ph="1">
        <v>151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1" ph="1"/>
      <c r="C5" s="67" t="s" ph="1">
        <v>36</v>
      </c>
      <c r="D5" s="70" t="s" ph="1">
        <v>191</v>
      </c>
      <c r="E5" s="70" t="s" ph="1">
        <v>55</v>
      </c>
      <c r="F5" s="70" t="s" ph="1">
        <v>129</v>
      </c>
      <c r="G5" s="70" t="s" ph="1">
        <v>56</v>
      </c>
      <c r="H5" s="70" t="s" ph="1">
        <v>56</v>
      </c>
      <c r="I5" s="70" t="s" ph="1">
        <v>57</v>
      </c>
      <c r="J5" s="70" t="s" ph="1">
        <v>58</v>
      </c>
      <c r="K5" s="70" t="s" ph="1">
        <v>59</v>
      </c>
      <c r="L5" s="70" t="s" ph="1">
        <v>135</v>
      </c>
      <c r="M5" s="70" t="s" ph="1">
        <v>60</v>
      </c>
      <c r="N5" s="70" t="s" ph="1">
        <v>61</v>
      </c>
      <c r="O5" s="70" t="s" ph="1">
        <v>137</v>
      </c>
      <c r="P5" s="70" t="s" ph="1">
        <v>88</v>
      </c>
      <c r="Q5" s="70" t="s" ph="1">
        <v>96</v>
      </c>
      <c r="R5" s="70" t="s" ph="1">
        <v>96</v>
      </c>
      <c r="S5" s="70" t="s" ph="1">
        <v>96</v>
      </c>
      <c r="T5" s="70" t="s" ph="1">
        <v>96</v>
      </c>
      <c r="U5" s="70" t="s" ph="1">
        <v>96</v>
      </c>
      <c r="V5" s="70" t="s" ph="1">
        <v>96</v>
      </c>
      <c r="W5" s="70" t="s" ph="1">
        <v>96</v>
      </c>
      <c r="X5" s="70" t="s" ph="1">
        <v>96</v>
      </c>
      <c r="Y5" s="70" t="s" ph="1">
        <v>96</v>
      </c>
      <c r="Z5" s="70" t="s" ph="1">
        <v>95</v>
      </c>
      <c r="AA5" s="70" t="s" ph="1">
        <v>62</v>
      </c>
      <c r="AB5" s="70" t="s" ph="1">
        <v>62</v>
      </c>
      <c r="AC5" s="70" t="s" ph="1">
        <v>219</v>
      </c>
      <c r="AD5" s="70" t="s" ph="1">
        <v>83</v>
      </c>
      <c r="AE5" s="70" t="s" ph="1">
        <v>654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07" ph="1">
        <v>0.33333333333333331</v>
      </c>
      <c r="C6" s="154" t="s" ph="1">
        <v>208</v>
      </c>
      <c r="D6" s="71">
        <v>4093</v>
      </c>
      <c r="E6" s="71">
        <v>0</v>
      </c>
      <c r="F6" s="71">
        <v>6044</v>
      </c>
      <c r="G6" s="71">
        <v>6275</v>
      </c>
      <c r="H6" s="71">
        <v>566</v>
      </c>
      <c r="I6" s="71">
        <v>39.020000000000003</v>
      </c>
      <c r="J6" s="71">
        <v>7.91</v>
      </c>
      <c r="K6" s="71">
        <v>41.43</v>
      </c>
      <c r="L6" s="71">
        <v>43.05</v>
      </c>
      <c r="M6" s="71">
        <v>4983</v>
      </c>
      <c r="N6" s="71">
        <v>5848</v>
      </c>
      <c r="O6" s="71">
        <v>4378</v>
      </c>
      <c r="P6" s="71">
        <v>7726</v>
      </c>
      <c r="Q6" s="71">
        <v>0</v>
      </c>
      <c r="R6" s="71">
        <v>0</v>
      </c>
      <c r="S6" s="71">
        <v>0</v>
      </c>
      <c r="T6" s="71">
        <v>1884</v>
      </c>
      <c r="U6" s="71">
        <v>6839</v>
      </c>
      <c r="V6" s="71">
        <v>4703</v>
      </c>
      <c r="W6" s="71">
        <v>6889</v>
      </c>
      <c r="X6" s="71">
        <v>3216</v>
      </c>
      <c r="Y6" s="71">
        <v>2599</v>
      </c>
      <c r="Z6" s="71">
        <v>3582</v>
      </c>
      <c r="AA6" s="71">
        <v>1627</v>
      </c>
      <c r="AB6" s="71">
        <v>3015</v>
      </c>
      <c r="AC6" s="71">
        <v>7580</v>
      </c>
      <c r="AD6" s="71">
        <v>273</v>
      </c>
      <c r="AE6" s="71">
        <v>3059</v>
      </c>
    </row>
    <row r="7" spans="1:99" s="72" customFormat="1" ht="22.5" ph="1">
      <c r="B7" s="207" ph="1"/>
      <c r="C7" s="68" t="s" ph="1">
        <v>209</v>
      </c>
      <c r="D7" s="73" ph="1">
        <f>D6*33.183*LOOKUP(D8,密度!$A$2:$A$50,密度!$Q$2:$Q$50)</f>
        <v>129643.73185626001</v>
      </c>
      <c r="E7" s="73" ph="1">
        <f>E6*51.53*LOOKUP(E8,密度!$A$2:$A$50,密度!$I$2:$I$50)</f>
        <v>0</v>
      </c>
      <c r="F7" s="73" ph="1">
        <f>F6*33.183*LOOKUP(F8,密度!$A$2:$A$50,密度!$C$2:$C$50)</f>
        <v>224103.56730479997</v>
      </c>
      <c r="G7" s="73" ph="1">
        <f xml:space="preserve"> (G6+2)*51.53*LOOKUP(G8,密度!$A$2:$A$50,密度!$B$2:$B$50)</f>
        <v>255172.71070900001</v>
      </c>
      <c r="H7" s="73" ph="1">
        <f>(H6)*51.53*LOOKUP(H8,密度!$A$2:$A$50,密度!$B$2:$B$50)</f>
        <v>23181.120903999999</v>
      </c>
      <c r="I7" s="73" ph="1">
        <f>I6*290.8*1.0267</f>
        <v>11649.981327200001</v>
      </c>
      <c r="J7" s="73" ph="1">
        <f>J6*290.8*0.7892</f>
        <v>1815.3399376</v>
      </c>
      <c r="K7" s="73" ph="1">
        <f>K6*290.8*1.1126</f>
        <v>13404.431234400001</v>
      </c>
      <c r="L7" s="73" ph="1">
        <f>L6*290.8*0.777</f>
        <v>9727.2163799999998</v>
      </c>
      <c r="M7" s="73" ph="1">
        <f>M6*33.183*LOOKUP(M8,密度!$A$2:$A$50,密度!$D$2:$D$50)</f>
        <v>171535.01224860002</v>
      </c>
      <c r="N7" s="73" ph="1">
        <f>N6*33.183*LOOKUP(N8,密度!$A$2:$A$50,密度!$E$2:$E$50)</f>
        <v>154214.8600248</v>
      </c>
      <c r="O7" s="73" ph="1">
        <f>O6*20.428*LOOKUP(O8,密度!$A$2:$A$50,密度!$C$2:$C$50)</f>
        <v>99620.291997599983</v>
      </c>
      <c r="P7" s="73" ph="1">
        <f>P6*51.53*LOOKUP(P8,密度!$A$2:$A$50,密度!$B$2:$B$50)</f>
        <v>315072.78529200004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12678.014764799998</v>
      </c>
      <c r="U7" s="73" ph="1">
        <f>U6*1.5*1.5*3.1416*LOOKUP(U8,密度!$A$2:$A$50,密度!$L$2:$L$50)</f>
        <v>45876.705474599992</v>
      </c>
      <c r="V7" s="73" ph="1">
        <f>V6*1.5*1.5*3.1416*LOOKUP(V8,密度!$A$2:$A$50,密度!$L$2:$L$50)</f>
        <v>31315.495503599999</v>
      </c>
      <c r="W7" s="73" ph="1">
        <f>W6*1.5*1.5*3.1416*LOOKUP(W8,密度!$A$2:$A$50,密度!$L$2:$L$50)</f>
        <v>46114.719373799991</v>
      </c>
      <c r="X7" s="73" ph="1">
        <f>X6*1.5*1.5*3.1416*LOOKUP(X8,密度!$A$2:$A$50,密度!$L$2:$L$50)</f>
        <v>21755.115043199999</v>
      </c>
      <c r="Y7" s="73" ph="1">
        <f>Y6*1.5*1.5*3.1416*LOOKUP(Y8,密度!$A$2:$A$50,密度!$L$2:$L$50)</f>
        <v>17415.984247199998</v>
      </c>
      <c r="Z7" s="73" ph="1">
        <f>Z6*33.183*LOOKUP(Z8,密度!$A$2:$A$50,密度!$L$2:$L$50)</f>
        <v>113156.15371199998</v>
      </c>
      <c r="AA7" s="73" ph="1">
        <f>AA6*33.183*LOOKUP(AA8,密度!$A$2:$A$50,密度!$D$2:$D$50)</f>
        <v>56056.509780300003</v>
      </c>
      <c r="AB7" s="73" ph="1">
        <f>AB6*20.428*LOOKUP(AB8,密度!$A$2:$A$50,密度!$D$2:$D$50)</f>
        <v>64386.625068000016</v>
      </c>
      <c r="AC7" s="73" ph="1">
        <f>AC6*51.53*LOOKUP(AC8,密度!$A$2:$A$50,密度!$Q$2:$Q$50)</f>
        <v>372840.84219600004</v>
      </c>
      <c r="AD7" s="73" ph="1">
        <f>AD6*20.428*LOOKUP(AD8,密度!$A$2:$A$50,密度!$V$2:$V$50)</f>
        <v>5376.0776159999996</v>
      </c>
      <c r="AE7" s="73" ph="1">
        <f>AE6*20.428</f>
        <v>62489.252</v>
      </c>
    </row>
    <row r="8" spans="1:99" ph="1">
      <c r="B8" s="207" ph="1"/>
      <c r="C8" s="68" t="s" ph="1">
        <v>210</v>
      </c>
      <c r="D8" s="74">
        <v>14</v>
      </c>
      <c r="E8" s="74">
        <v>13</v>
      </c>
      <c r="F8" s="74">
        <v>13</v>
      </c>
      <c r="G8" s="74">
        <v>14</v>
      </c>
      <c r="H8" s="74">
        <v>7</v>
      </c>
      <c r="I8" s="74">
        <v>25</v>
      </c>
      <c r="J8" s="74">
        <v>25</v>
      </c>
      <c r="K8" s="74">
        <v>25</v>
      </c>
      <c r="L8" s="74">
        <v>25</v>
      </c>
      <c r="M8" s="74">
        <v>13</v>
      </c>
      <c r="N8" s="74">
        <v>15</v>
      </c>
      <c r="O8" s="74">
        <v>18</v>
      </c>
      <c r="P8" s="74">
        <v>11</v>
      </c>
      <c r="Q8" s="74">
        <v>11</v>
      </c>
      <c r="R8" s="74">
        <v>19</v>
      </c>
      <c r="S8" s="74">
        <v>6</v>
      </c>
      <c r="T8" s="74">
        <v>10</v>
      </c>
      <c r="U8" s="74">
        <v>13</v>
      </c>
      <c r="V8" s="74">
        <v>20</v>
      </c>
      <c r="W8" s="74">
        <v>15</v>
      </c>
      <c r="X8" s="74">
        <v>5</v>
      </c>
      <c r="Y8" s="74">
        <v>14</v>
      </c>
      <c r="Z8" s="74">
        <v>10</v>
      </c>
      <c r="AA8" s="74">
        <v>12</v>
      </c>
      <c r="AB8" s="74">
        <v>4</v>
      </c>
      <c r="AC8" s="74">
        <v>10</v>
      </c>
      <c r="AD8" s="74">
        <v>10</v>
      </c>
      <c r="AE8" s="74">
        <v>17</v>
      </c>
    </row>
    <row r="9" spans="1:99" ph="1">
      <c r="B9" s="207" ph="1">
        <v>0.66666666666666663</v>
      </c>
      <c r="C9" s="154" t="s" ph="1">
        <v>211</v>
      </c>
      <c r="D9" s="71">
        <v>4097</v>
      </c>
      <c r="E9" s="71">
        <v>0</v>
      </c>
      <c r="F9" s="71">
        <v>5841</v>
      </c>
      <c r="G9" s="71">
        <v>6169</v>
      </c>
      <c r="H9" s="71">
        <v>2290</v>
      </c>
      <c r="I9" s="71">
        <v>11.41</v>
      </c>
      <c r="J9" s="71">
        <v>2.31</v>
      </c>
      <c r="K9" s="71">
        <v>3.32</v>
      </c>
      <c r="L9" s="71">
        <v>3.81</v>
      </c>
      <c r="M9" s="71">
        <v>4984</v>
      </c>
      <c r="N9" s="71">
        <v>5828</v>
      </c>
      <c r="O9" s="71">
        <v>4140</v>
      </c>
      <c r="P9" s="71">
        <v>7455</v>
      </c>
      <c r="Q9" s="71">
        <v>4027</v>
      </c>
      <c r="R9" s="71">
        <v>0</v>
      </c>
      <c r="S9" s="71">
        <v>0</v>
      </c>
      <c r="T9" s="71">
        <v>0</v>
      </c>
      <c r="U9" s="71">
        <v>5106</v>
      </c>
      <c r="V9" s="71">
        <v>4704</v>
      </c>
      <c r="W9" s="71">
        <v>6896</v>
      </c>
      <c r="X9" s="71">
        <v>3512</v>
      </c>
      <c r="Y9" s="71">
        <v>4930</v>
      </c>
      <c r="Z9" s="71">
        <v>2138</v>
      </c>
      <c r="AA9" s="71">
        <v>1624</v>
      </c>
      <c r="AB9" s="71">
        <v>2935</v>
      </c>
      <c r="AC9" s="71">
        <v>7920</v>
      </c>
      <c r="AD9" s="71">
        <v>272</v>
      </c>
      <c r="AE9" s="71">
        <v>2962</v>
      </c>
    </row>
    <row r="10" spans="1:99" s="72" customFormat="1" ht="22.5" ph="1">
      <c r="B10" s="207" ph="1"/>
      <c r="C10" s="154" t="s" ph="1">
        <v>209</v>
      </c>
      <c r="D10" s="73" ph="1">
        <f>D9*33.183*LOOKUP(D11,密度!$A$2:$A$50,密度!$Q$2:$Q$50)</f>
        <v>129770.42985954</v>
      </c>
      <c r="E10" s="73" ph="1">
        <f>E9*51.53*LOOKUP(E11,密度!$A$2:$A$50,密度!$I$2:$I$50)</f>
        <v>0</v>
      </c>
      <c r="F10" s="73" ph="1">
        <f>F9*33.183*LOOKUP(F11,密度!$A$2:$A$50,密度!$C$2:$C$50)</f>
        <v>216421.53688979999</v>
      </c>
      <c r="G10" s="73" ph="1">
        <f xml:space="preserve"> (G9+2)*51.53*LOOKUP(G11,密度!$A$2:$A$50,密度!$B$2:$B$50)</f>
        <v>250577.40444000001</v>
      </c>
      <c r="H10" s="73" ph="1">
        <f>(H9)*51.53*LOOKUP(H11,密度!$A$2:$A$50,密度!$B$2:$B$50)</f>
        <v>93494.331510000004</v>
      </c>
      <c r="I10" s="73" ph="1">
        <f>I9*290.8*1.0267</f>
        <v>3406.6193475999999</v>
      </c>
      <c r="J10" s="73" ph="1">
        <f>J9*290.8*0.7892</f>
        <v>530.1435216000001</v>
      </c>
      <c r="K10" s="73" ph="1">
        <f>K9*290.8*1.1126</f>
        <v>1074.1663456000001</v>
      </c>
      <c r="L10" s="73" ph="1">
        <f>L9*290.8*0.777</f>
        <v>860.87559600000009</v>
      </c>
      <c r="M10" s="73" ph="1">
        <f>M9*33.183*LOOKUP(M11,密度!$A$2:$A$50,密度!$D$2:$D$50)</f>
        <v>171420.59062799998</v>
      </c>
      <c r="N10" s="73" ph="1">
        <f>N9*33.183*LOOKUP(N11,密度!$A$2:$A$50,密度!$E$2:$E$50)</f>
        <v>154132.24762800001</v>
      </c>
      <c r="O10" s="73" ph="1">
        <f>O9*20.428*LOOKUP(O11,密度!$A$2:$A$50,密度!$C$2:$C$50)</f>
        <v>94094.718192</v>
      </c>
      <c r="P10" s="73" ph="1">
        <f>P9*51.53*LOOKUP(P11,密度!$A$2:$A$50,密度!$B$2:$B$50)</f>
        <v>302715.04620000004</v>
      </c>
      <c r="Q10" s="73" ph="1">
        <f>Q9*1.5*1.5*3.1416*LOOKUP(W11,密度!$A$2:$A$50,密度!$L$2:$L$50)</f>
        <v>26928.128581199999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34215.473476799998</v>
      </c>
      <c r="V10" s="73" ph="1">
        <f>V9*1.5*1.5*3.1416*LOOKUP(V11,密度!$A$2:$A$50,密度!$L$2:$L$50)</f>
        <v>31521.658291199998</v>
      </c>
      <c r="W10" s="73" ph="1">
        <f>W9*1.5*1.5*3.1416*LOOKUP(W11,密度!$A$2:$A$50,密度!$L$2:$L$50)</f>
        <v>46112.832057599997</v>
      </c>
      <c r="X10" s="73" ph="1">
        <f>X9*1.5*1.5*3.1416*LOOKUP(X11,密度!$A$2:$A$50,密度!$L$2:$L$50)</f>
        <v>23682.976732800002</v>
      </c>
      <c r="Y10" s="73" ph="1">
        <f>Y9*1.5*1.5*3.1416*LOOKUP(Y11,密度!$A$2:$A$50,密度!$L$2:$L$50)</f>
        <v>33001.243505999992</v>
      </c>
      <c r="Z10" s="73" ph="1">
        <f>Z9*33.183*LOOKUP(Z11,密度!$A$2:$A$50,密度!$L$2:$L$50)</f>
        <v>67539.881807999991</v>
      </c>
      <c r="AA10" s="73" ph="1">
        <f>AA9*33.183*LOOKUP(AA11,密度!$A$2:$A$50,密度!$D$2:$D$50)</f>
        <v>55856.147508000002</v>
      </c>
      <c r="AB10" s="73" ph="1">
        <f>AB9*20.428*LOOKUP(AB11,密度!$A$2:$A$50,密度!$D$2:$D$50)</f>
        <v>62624.230009999999</v>
      </c>
      <c r="AC10" s="73" ph="1">
        <f>AC9*51.53*LOOKUP(AC11,密度!$A$2:$A$50,密度!$Q$2:$Q$50)</f>
        <v>389564.57390400005</v>
      </c>
      <c r="AD10" s="73" ph="1">
        <f>AD9*20.428*LOOKUP(AD11,密度!$A$2:$A$50,密度!$V$2:$V$50)</f>
        <v>5356.3850240000002</v>
      </c>
      <c r="AE10" s="73" ph="1">
        <f>AE9*20.428</f>
        <v>60507.736000000004</v>
      </c>
    </row>
    <row r="11" spans="1:99" ph="1">
      <c r="A11" s="64" t="s" ph="1">
        <v>193</v>
      </c>
      <c r="B11" s="207" ph="1"/>
      <c r="C11" s="154" t="s" ph="1">
        <v>210</v>
      </c>
      <c r="D11" s="74">
        <v>15</v>
      </c>
      <c r="E11" s="74">
        <v>14</v>
      </c>
      <c r="F11" s="74">
        <v>14</v>
      </c>
      <c r="G11" s="74">
        <v>15</v>
      </c>
      <c r="H11" s="74">
        <v>10</v>
      </c>
      <c r="I11" s="74">
        <v>25</v>
      </c>
      <c r="J11" s="74">
        <v>25</v>
      </c>
      <c r="K11" s="74">
        <v>25</v>
      </c>
      <c r="L11" s="74">
        <v>25</v>
      </c>
      <c r="M11" s="74">
        <v>14</v>
      </c>
      <c r="N11" s="74">
        <v>14</v>
      </c>
      <c r="O11" s="74">
        <v>20</v>
      </c>
      <c r="P11" s="74">
        <v>15</v>
      </c>
      <c r="Q11" s="74">
        <v>16</v>
      </c>
      <c r="R11" s="74">
        <v>22</v>
      </c>
      <c r="S11" s="74">
        <v>14</v>
      </c>
      <c r="T11" s="74">
        <v>20</v>
      </c>
      <c r="U11" s="74">
        <v>14</v>
      </c>
      <c r="V11" s="74">
        <v>14</v>
      </c>
      <c r="W11" s="74">
        <v>16</v>
      </c>
      <c r="X11" s="74">
        <v>8</v>
      </c>
      <c r="Y11" s="74">
        <v>15</v>
      </c>
      <c r="Z11" s="74">
        <v>10</v>
      </c>
      <c r="AA11" s="74">
        <v>14</v>
      </c>
      <c r="AB11" s="74">
        <v>5</v>
      </c>
      <c r="AC11" s="74">
        <v>14</v>
      </c>
      <c r="AD11" s="74">
        <v>15</v>
      </c>
      <c r="AE11" s="74">
        <v>18</v>
      </c>
    </row>
    <row r="12" spans="1:99" ht="9.9499999999999993" customHeight="1" ph="1"/>
    <row r="13" spans="1:99" s="72" customFormat="1" ht="29.25" customHeight="1" ph="1">
      <c r="B13" s="215" t="s" ph="1">
        <v>37</v>
      </c>
      <c r="C13" s="154" t="s" ph="1">
        <v>207</v>
      </c>
      <c r="D13" s="76" t="s" ph="1">
        <v>53</v>
      </c>
      <c r="E13" s="76" t="s" ph="1">
        <v>54</v>
      </c>
      <c r="F13" s="76" t="s" ph="1">
        <v>66</v>
      </c>
      <c r="G13" s="76" t="s" ph="1">
        <v>67</v>
      </c>
      <c r="H13" s="76" t="s" ph="1">
        <v>152</v>
      </c>
      <c r="I13" s="76" t="s" ph="1">
        <v>68</v>
      </c>
      <c r="J13" s="76" t="s" ph="1">
        <v>153</v>
      </c>
      <c r="K13" s="76" t="s" ph="1">
        <v>63</v>
      </c>
      <c r="L13" s="76" t="s" ph="1">
        <v>69</v>
      </c>
      <c r="M13" s="76" t="s" ph="1">
        <v>70</v>
      </c>
      <c r="N13" s="76" t="s" ph="1">
        <v>154</v>
      </c>
      <c r="O13" s="76" t="s" ph="1">
        <v>64</v>
      </c>
      <c r="P13" s="76" t="s" ph="1">
        <v>71</v>
      </c>
      <c r="Q13" s="76" t="s" ph="1">
        <v>72</v>
      </c>
      <c r="R13" s="76" t="s" ph="1">
        <v>73</v>
      </c>
      <c r="S13" s="76" t="s" ph="1">
        <v>74</v>
      </c>
      <c r="T13" s="76" t="s" ph="1">
        <v>75</v>
      </c>
      <c r="U13" s="76" t="s" ph="1">
        <v>76</v>
      </c>
      <c r="V13" s="76" t="s" ph="1">
        <v>155</v>
      </c>
      <c r="W13" s="76" t="s" ph="1">
        <v>156</v>
      </c>
      <c r="X13" s="76" t="s" ph="1">
        <v>157</v>
      </c>
      <c r="Y13" s="105" t="s" ph="1">
        <v>77</v>
      </c>
      <c r="Z13" s="76" t="s" ph="1">
        <v>86</v>
      </c>
      <c r="AA13" s="76" t="s" ph="1">
        <v>158</v>
      </c>
      <c r="AB13" s="76" t="s" ph="1">
        <v>159</v>
      </c>
      <c r="AC13" s="76" t="s" ph="1">
        <v>160</v>
      </c>
      <c r="AD13" s="76" t="s" ph="1">
        <v>161</v>
      </c>
      <c r="AE13" s="76" t="s" ph="1">
        <v>162</v>
      </c>
      <c r="AG13" s="72" t="s" ph="1">
        <v>366</v>
      </c>
      <c r="AH13" s="72" t="s" ph="1">
        <v>229</v>
      </c>
      <c r="AI13" s="72" t="s" ph="1">
        <v>230</v>
      </c>
      <c r="AJ13" s="72" t="s" ph="1">
        <v>231</v>
      </c>
      <c r="AK13" s="72" t="s" ph="1">
        <v>232</v>
      </c>
      <c r="AL13" s="72" t="s" ph="1">
        <v>233</v>
      </c>
      <c r="AM13" s="72" t="s" ph="1">
        <v>234</v>
      </c>
      <c r="AN13" s="72" t="s" ph="1">
        <v>235</v>
      </c>
      <c r="AO13" s="72" t="s" ph="1">
        <v>236</v>
      </c>
      <c r="AP13" s="72" t="s" ph="1">
        <v>237</v>
      </c>
      <c r="AQ13" s="72" t="s" ph="1">
        <v>238</v>
      </c>
      <c r="AR13" s="72" t="s" ph="1">
        <v>239</v>
      </c>
      <c r="AS13" s="72" t="s" ph="1">
        <v>240</v>
      </c>
      <c r="AT13" s="72" t="s" ph="1">
        <v>241</v>
      </c>
      <c r="AU13" s="72" t="s" ph="1">
        <v>242</v>
      </c>
      <c r="AV13" s="72" t="s" ph="1">
        <v>243</v>
      </c>
      <c r="AW13" s="72" t="s" ph="1">
        <v>244</v>
      </c>
      <c r="AX13" s="72" t="s" ph="1">
        <v>245</v>
      </c>
      <c r="AY13" s="72" t="s" ph="1">
        <v>367</v>
      </c>
      <c r="AZ13" s="72" t="s" ph="1">
        <v>246</v>
      </c>
      <c r="BA13" s="72" t="s" ph="1">
        <v>247</v>
      </c>
      <c r="BB13" s="72" t="s" ph="1">
        <v>632</v>
      </c>
      <c r="BC13" s="72" t="s" ph="1">
        <v>248</v>
      </c>
      <c r="BD13" s="72" t="s" ph="1">
        <v>368</v>
      </c>
      <c r="BE13" s="72" t="s" ph="1">
        <v>369</v>
      </c>
      <c r="BF13" s="72" t="s" ph="1">
        <v>370</v>
      </c>
      <c r="BG13" s="72" t="s" ph="1">
        <v>371</v>
      </c>
      <c r="BH13" s="72" t="s" ph="1">
        <v>372</v>
      </c>
    </row>
    <row r="14" spans="1:99" s="72" customFormat="1" ht="24" ph="1">
      <c r="B14" s="216" ph="1"/>
      <c r="C14" s="67" t="s" ph="1">
        <v>36</v>
      </c>
      <c r="D14" s="77" t="s" ph="1">
        <v>130</v>
      </c>
      <c r="E14" s="77" t="s" ph="1">
        <v>130</v>
      </c>
      <c r="F14" s="142" t="s" ph="1">
        <v>651</v>
      </c>
      <c r="G14" s="77" t="s" ph="1">
        <v>217</v>
      </c>
      <c r="H14" s="77" t="s" ph="1">
        <v>645</v>
      </c>
      <c r="I14" s="77" t="s" ph="1">
        <v>65</v>
      </c>
      <c r="J14" s="77" t="s" ph="1">
        <v>227</v>
      </c>
      <c r="K14" s="77" t="s" ph="1">
        <v>223</v>
      </c>
      <c r="L14" s="77" t="s" ph="1">
        <v>41</v>
      </c>
      <c r="M14" s="104" t="s" ph="1">
        <v>222</v>
      </c>
      <c r="N14" s="104" t="s" ph="1">
        <v>218</v>
      </c>
      <c r="O14" s="104" t="s" ph="1">
        <v>226</v>
      </c>
      <c r="P14" s="77" t="s" ph="1">
        <v>82</v>
      </c>
      <c r="Q14" s="77" t="s" ph="1">
        <v>82</v>
      </c>
      <c r="R14" s="88" t="s" ph="1">
        <v>7</v>
      </c>
      <c r="S14" s="77" t="s" ph="1">
        <v>82</v>
      </c>
      <c r="T14" s="77" t="s" ph="1">
        <v>98</v>
      </c>
      <c r="U14" s="77" t="s" ph="1">
        <v>652</v>
      </c>
      <c r="V14" s="77" t="s" ph="1">
        <v>646</v>
      </c>
      <c r="W14" s="77" t="s" ph="1">
        <v>220</v>
      </c>
      <c r="X14" s="77" t="s" ph="1">
        <v>78</v>
      </c>
      <c r="Y14" s="141" t="s" ph="1">
        <v>0</v>
      </c>
      <c r="Z14" s="77" t="s" ph="1">
        <v>62</v>
      </c>
      <c r="AA14" s="77" t="s" ph="1">
        <v>88</v>
      </c>
      <c r="AB14" s="77" t="s" ph="1">
        <v>648</v>
      </c>
      <c r="AC14" s="77" t="s" ph="1">
        <v>648</v>
      </c>
      <c r="AD14" s="77" t="s" ph="1">
        <v>135</v>
      </c>
      <c r="AE14" s="77" t="s" ph="1">
        <v>135</v>
      </c>
      <c r="AG14" s="72" t="s" ph="1">
        <v>249</v>
      </c>
      <c r="AI14" s="72" t="s" ph="1">
        <v>250</v>
      </c>
      <c r="AJ14" s="72" t="s" ph="1">
        <v>373</v>
      </c>
      <c r="AK14" s="72" t="s" ph="1">
        <v>251</v>
      </c>
      <c r="AM14" s="72" t="s" ph="1">
        <v>253</v>
      </c>
      <c r="AN14" s="72" t="s" ph="1">
        <v>251</v>
      </c>
      <c r="AO14" s="72" t="s" ph="1">
        <v>252</v>
      </c>
      <c r="AP14" s="72" t="s" ph="1">
        <v>253</v>
      </c>
      <c r="AQ14" s="72" t="s" ph="1">
        <v>251</v>
      </c>
      <c r="AR14" s="72" t="s" ph="1">
        <v>252</v>
      </c>
      <c r="AS14" s="72" t="s" ph="1">
        <v>253</v>
      </c>
      <c r="AT14" s="72" t="s" ph="1">
        <v>251</v>
      </c>
      <c r="AU14" s="72" t="s" ph="1">
        <v>252</v>
      </c>
      <c r="AV14" s="72" t="s" ph="1">
        <v>253</v>
      </c>
      <c r="AW14" s="72" t="s" ph="1">
        <v>251</v>
      </c>
      <c r="AX14" s="72" t="s" ph="1">
        <v>252</v>
      </c>
      <c r="AY14" s="72" t="s" ph="1">
        <v>253</v>
      </c>
      <c r="AZ14" s="72" t="s" ph="1">
        <v>252</v>
      </c>
    </row>
    <row r="15" spans="1:99" ph="1">
      <c r="B15" s="217" ph="1">
        <v>0.33333333333333331</v>
      </c>
      <c r="C15" s="154" t="s" ph="1">
        <v>208</v>
      </c>
      <c r="D15" s="78">
        <v>2079</v>
      </c>
      <c r="E15" s="78">
        <v>3408</v>
      </c>
      <c r="F15" s="78">
        <v>2068</v>
      </c>
      <c r="G15" s="78">
        <v>1758</v>
      </c>
      <c r="H15" s="78">
        <v>2861</v>
      </c>
      <c r="I15" s="78">
        <v>14</v>
      </c>
      <c r="J15" s="78">
        <v>496</v>
      </c>
      <c r="K15" s="78">
        <v>1593</v>
      </c>
      <c r="L15" s="78">
        <v>6496</v>
      </c>
      <c r="M15" s="78">
        <v>4114</v>
      </c>
      <c r="N15" s="78">
        <v>1123</v>
      </c>
      <c r="O15" s="78">
        <v>233</v>
      </c>
      <c r="P15" s="78">
        <v>1097</v>
      </c>
      <c r="Q15" s="78">
        <v>2707</v>
      </c>
      <c r="R15" s="78">
        <v>3482</v>
      </c>
      <c r="S15" s="78">
        <v>5595</v>
      </c>
      <c r="T15" s="78">
        <v>871</v>
      </c>
      <c r="U15" s="78">
        <v>6128</v>
      </c>
      <c r="V15" s="78">
        <v>418</v>
      </c>
      <c r="W15" s="78">
        <v>-595</v>
      </c>
      <c r="X15" s="78">
        <v>634</v>
      </c>
      <c r="Y15" s="106">
        <v>-9900</v>
      </c>
      <c r="Z15" s="78">
        <v>0</v>
      </c>
      <c r="AA15" s="78">
        <v>2504</v>
      </c>
      <c r="AB15" s="78" ph="1">
        <v>1545</v>
      </c>
      <c r="AC15" s="78" ph="1">
        <v>6483</v>
      </c>
      <c r="AD15" s="78">
        <v>4.21</v>
      </c>
      <c r="AE15" s="78">
        <v>64.23</v>
      </c>
      <c r="AG15" s="64" t="s" ph="1">
        <v>255</v>
      </c>
      <c r="AH15" s="64" ph="1">
        <v>1</v>
      </c>
      <c r="AI15" s="64" t="s" ph="1">
        <v>374</v>
      </c>
      <c r="AK15" s="64" t="s" ph="1">
        <v>628</v>
      </c>
      <c r="AM15" s="64" t="s" ph="1">
        <v>376</v>
      </c>
      <c r="AZ15" s="64" t="s" ph="1">
        <v>257</v>
      </c>
      <c r="BA15" s="64" ph="1">
        <v>0</v>
      </c>
    </row>
    <row r="16" spans="1:99" s="72" customFormat="1" ht="22.5" ph="1">
      <c r="B16" s="218" ph="1"/>
      <c r="C16" s="154" t="s" ph="1">
        <v>209</v>
      </c>
      <c r="D16" s="73" ph="1">
        <f>D15*7.0686*LOOKUP(D17,密度!$A$2:$A$50,密度!$L$2:$L$50)</f>
        <v>13960.83843</v>
      </c>
      <c r="E16" s="73" ph="1">
        <f>E15*7.0686*LOOKUP(E17,密度!$A$2:$A$50,密度!$L$2:$L$50)</f>
        <v>22885.299359999997</v>
      </c>
      <c r="F16" s="73" ph="1">
        <f>F15*9.0746*LOOKUP(F17,密度!$A$2:$A$50,密度!$L$2:$L$50)</f>
        <v>17809.192887199999</v>
      </c>
      <c r="G16" s="73" ph="1">
        <f>G15*9.0746*LOOKUP(G17,密度!$A$2:$A$50,密度!$B$2:$B$50)</f>
        <v>12598.20002796</v>
      </c>
      <c r="H16" s="73" ph="1">
        <f>H15*9.0746*LOOKUP(H17,密度!$A$2:$A$50,密度!$L$2:$L$50)</f>
        <v>24690.2715006</v>
      </c>
      <c r="I16" s="73" ph="1">
        <f>I15*9.0746*LOOKUP(I17,密度!$A$2:$A$50,密度!$U$2:$U$50)</f>
        <v>130.60164320000001</v>
      </c>
      <c r="J16" s="73" ph="1">
        <f>J15*9.0746*LOOKUP(J17,密度!$A$2:$A$50,密度!$L$2:$L$50)</f>
        <v>4271.4505184</v>
      </c>
      <c r="K16" s="73" ph="1">
        <f>K15*9.0746*LOOKUP(K17,密度!$A$2:$A$50,密度!$C$2:$C$50)</f>
        <v>16152.953157720001</v>
      </c>
      <c r="L16" s="73" ph="1">
        <f>L15*9.0746*LOOKUP(L17,密度!$A$2:$A$50,密度!$E$2:$E$50)</f>
        <v>47182.460720640003</v>
      </c>
      <c r="M16" s="73" ph="1">
        <f>M15*9.0746*LOOKUP(M17,密度!$A$2:$A$50,密度!$M$2:$M$50)</f>
        <v>32864.15574332</v>
      </c>
      <c r="N16" s="73" ph="1">
        <f>N15*9.0746*LOOKUP(N17,密度!$A$2:$A$50,密度!$M$2:$M$50)</f>
        <v>8970.9399367400001</v>
      </c>
      <c r="O16" s="73" ph="1">
        <f>O15*9.0746*LOOKUP(O17,密度!$A$2:$A$50,密度!$G$2:$G$50)</f>
        <v>2057.7163677600001</v>
      </c>
      <c r="P16" s="73" ph="1">
        <f ca="1">P15*9.0746*LOOKUP(P17,密度!$A$2:$A$51,密度!$Q$2:$Q$50)</f>
        <v>9502.2893463479995</v>
      </c>
      <c r="Q16" s="73" ph="1">
        <f>Q15*9.0746*LOOKUP(Q17,密度!$A$2:$A$50,密度!$Q$2:$Q$50)</f>
        <v>23448.219927588001</v>
      </c>
      <c r="R16" s="73" ph="1">
        <f>MAX(R15*9.0746*LOOKUP(R17,密度!$A$2:$A$50,密度!$B$2:$B$50),0)</f>
        <v>24927.47065508</v>
      </c>
      <c r="S16" s="73" ph="1">
        <f>S15*9.0746*LOOKUP(S17,密度!$A$2:$A$50,密度!$Q$2:$Q$50)</f>
        <v>48464.274286980006</v>
      </c>
      <c r="T16" s="73" ph="1">
        <f>T15*9.0746*LOOKUP(T17,密度!$A$2:$A$50,密度!$O$2:$O$50)</f>
        <v>7382.3141444000003</v>
      </c>
      <c r="U16" s="73" ph="1">
        <f>U15*9.0746*LOOKUP(U17,密度!$A$2:$A$50,密度!$H$2:$H$50)</f>
        <v>51699.825639360002</v>
      </c>
      <c r="V16" s="73" ph="1">
        <f>MAX(5600*LOOKUP(V17,密度!$A$2:$A$50,密度!$Q$2:$Q$50)+V15*9.0476*LOOKUP(V17,密度!$A$2:$A$50,密度!$Q$2:$Q$50),0)</f>
        <v>8955.395771472</v>
      </c>
      <c r="W16" s="73" ph="1">
        <f>MAX(5600*LOOKUP(W17,密度!$A$2:$A$50,密度!$Q$2:$Q$50)+W15*9.0476*LOOKUP(W17,密度!$A$2:$A$50,密度!$Q$2:$Q$50),0)</f>
        <v>206.8278181200003</v>
      </c>
      <c r="X16" s="73" ph="1">
        <f>MAX(5600*LOOKUP(X17,密度!$A$2:$A$50,密度!$I$2:$I$50)+X15*9.0476*LOOKUP(X17,密度!$A$2:$A$50,密度!$I$2:$I$50),0)</f>
        <v>11800.961714399999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17926.015657759999</v>
      </c>
      <c r="AB16" s="73" ph="1">
        <f>AB15*9.0746*LOOKUP(AB17,密度!$A$2:$A$50,密度!$L$2:$L$50)</f>
        <v>13235.122608</v>
      </c>
      <c r="AC16" s="73" ph="1">
        <f>AC15*9.0746*LOOKUP(AC17,密度!$A$2:$A$50,密度!$L$2:$L$50)</f>
        <v>55947.9308418</v>
      </c>
      <c r="AD16" s="73" ph="1">
        <f>AD15*268.68*LOOKUP(AD17,密度!$A$2:$A$50,密度!B2:B50)+IF(AD15&lt;=0,0,1566*LOOKUP(AD17,密度!$A$2:$A$50,密度!B2:B50))</f>
        <v>2102.6925268800001</v>
      </c>
      <c r="AE16" s="73" ph="1">
        <f>AE15*268.68*LOOKUP(AE17,密度!$A$2:$A$50,密度!B2:B50)+IF(AE15&lt;=0,0,1566*LOOKUP(AE17,密度!$A$2:$A$50,密度!B2:B50))</f>
        <v>14674.657465439999</v>
      </c>
      <c r="AH16" s="72" ph="1">
        <v>2</v>
      </c>
      <c r="AI16" s="72" t="s" ph="1">
        <v>378</v>
      </c>
      <c r="AZ16" s="72" t="s" ph="1">
        <v>257</v>
      </c>
      <c r="BA16" s="72" ph="1">
        <v>0</v>
      </c>
    </row>
    <row r="17" spans="1:57" ph="1">
      <c r="A17" s="64" t="s" ph="1">
        <v>85</v>
      </c>
      <c r="B17" s="219" ph="1"/>
      <c r="C17" s="79" t="s" ph="1">
        <v>210</v>
      </c>
      <c r="D17" s="74">
        <v>12</v>
      </c>
      <c r="E17" s="74">
        <v>12</v>
      </c>
      <c r="F17" s="74">
        <v>13</v>
      </c>
      <c r="G17" s="74">
        <v>13</v>
      </c>
      <c r="H17" s="74">
        <v>11</v>
      </c>
      <c r="I17" s="74">
        <v>11</v>
      </c>
      <c r="J17" s="74">
        <v>13</v>
      </c>
      <c r="K17" s="74">
        <v>13</v>
      </c>
      <c r="L17" s="74">
        <v>11</v>
      </c>
      <c r="M17" s="74">
        <v>15</v>
      </c>
      <c r="N17" s="74">
        <v>10</v>
      </c>
      <c r="O17" s="74">
        <v>13</v>
      </c>
      <c r="P17" s="74">
        <v>12</v>
      </c>
      <c r="Q17" s="74">
        <v>12</v>
      </c>
      <c r="R17" s="74">
        <v>14</v>
      </c>
      <c r="S17" s="74">
        <v>12</v>
      </c>
      <c r="T17" s="74">
        <v>13</v>
      </c>
      <c r="U17" s="74">
        <v>10</v>
      </c>
      <c r="V17" s="74">
        <v>13</v>
      </c>
      <c r="W17" s="74">
        <v>13</v>
      </c>
      <c r="X17" s="74">
        <v>26</v>
      </c>
      <c r="Y17" s="108">
        <v>26</v>
      </c>
      <c r="Z17" s="74">
        <v>12</v>
      </c>
      <c r="AA17" s="74">
        <v>14</v>
      </c>
      <c r="AB17" s="74">
        <v>18</v>
      </c>
      <c r="AC17" s="74">
        <v>11</v>
      </c>
      <c r="AD17" s="74">
        <v>25</v>
      </c>
      <c r="AE17" s="74">
        <v>25</v>
      </c>
      <c r="AH17" s="64" ph="1">
        <v>3</v>
      </c>
      <c r="AI17" s="64" t="s" ph="1">
        <v>379</v>
      </c>
      <c r="AK17" s="64" t="s" ph="1">
        <v>611</v>
      </c>
      <c r="AL17" s="64" ph="1">
        <v>80</v>
      </c>
      <c r="AM17" s="64" t="s" ph="1">
        <v>376</v>
      </c>
      <c r="AZ17" s="64" t="s" ph="1">
        <v>257</v>
      </c>
      <c r="BA17" s="64" ph="1">
        <v>80</v>
      </c>
      <c r="BD17" s="64" t="s" ph="1">
        <v>255</v>
      </c>
      <c r="BE17" s="64" ph="1">
        <v>2270</v>
      </c>
    </row>
    <row r="18" spans="1:57" ph="1">
      <c r="B18" s="217" ph="1">
        <v>0.66666666666666663</v>
      </c>
      <c r="C18" s="79" t="s" ph="1">
        <v>211</v>
      </c>
      <c r="D18" s="71">
        <v>510</v>
      </c>
      <c r="E18" s="71">
        <v>2343</v>
      </c>
      <c r="F18" s="71">
        <v>2103</v>
      </c>
      <c r="G18" s="71">
        <v>1785</v>
      </c>
      <c r="H18" s="71">
        <v>2862</v>
      </c>
      <c r="I18" s="71">
        <v>8</v>
      </c>
      <c r="J18" s="71">
        <v>496</v>
      </c>
      <c r="K18" s="71">
        <v>1593</v>
      </c>
      <c r="L18" s="71">
        <v>6505</v>
      </c>
      <c r="M18" s="71">
        <v>4122</v>
      </c>
      <c r="N18" s="71">
        <v>2482</v>
      </c>
      <c r="O18" s="71">
        <v>231</v>
      </c>
      <c r="P18" s="71">
        <v>1096</v>
      </c>
      <c r="Q18" s="71">
        <v>2711</v>
      </c>
      <c r="R18" s="71">
        <v>3486</v>
      </c>
      <c r="S18" s="71">
        <v>5599</v>
      </c>
      <c r="T18" s="71">
        <v>5966</v>
      </c>
      <c r="U18" s="71">
        <v>2852</v>
      </c>
      <c r="V18" s="71">
        <v>416</v>
      </c>
      <c r="W18" s="71">
        <v>-595</v>
      </c>
      <c r="X18" s="71">
        <v>632</v>
      </c>
      <c r="Y18" s="109">
        <v>-9900</v>
      </c>
      <c r="Z18" s="71">
        <v>0</v>
      </c>
      <c r="AA18" s="71">
        <v>2505</v>
      </c>
      <c r="AB18" s="71">
        <v>2190</v>
      </c>
      <c r="AC18" s="71">
        <v>6488</v>
      </c>
      <c r="AD18" s="71">
        <v>10.31</v>
      </c>
      <c r="AE18" s="71">
        <v>84.71</v>
      </c>
      <c r="AH18" s="64" ph="1">
        <v>4</v>
      </c>
      <c r="AI18" s="64" t="s" ph="1">
        <v>381</v>
      </c>
      <c r="AJ18" s="64" t="s" ph="1">
        <v>629</v>
      </c>
      <c r="AK18" s="64" t="s" ph="1">
        <v>628</v>
      </c>
      <c r="AL18" s="64" ph="1">
        <v>740</v>
      </c>
      <c r="AM18" s="64" t="s" ph="1">
        <v>380</v>
      </c>
      <c r="AZ18" s="64" t="s" ph="1">
        <v>257</v>
      </c>
      <c r="BA18" s="64" ph="1">
        <v>740</v>
      </c>
    </row>
    <row r="19" spans="1:57" s="72" customFormat="1" ht="22.5" ph="1">
      <c r="B19" s="218" ph="1"/>
      <c r="C19" s="154" t="s" ph="1">
        <v>209</v>
      </c>
      <c r="D19" s="73" ph="1">
        <f>D18*7.0686*LOOKUP(D20,密度!$A$2:$A$50,密度!$L$2:$L$50)</f>
        <v>3413.9217419999995</v>
      </c>
      <c r="E19" s="73" ph="1">
        <f>E18*7.0686*LOOKUP(E20,密度!$A$2:$A$50,密度!$L$2:$L$50)</f>
        <v>15683.9581206</v>
      </c>
      <c r="F19" s="73" ph="1">
        <f>F18*9.0746*LOOKUP(F20,密度!$A$2:$A$50,密度!$L$2:$L$50)</f>
        <v>18034.270191</v>
      </c>
      <c r="G19" s="73" ph="1">
        <f>G18*9.0746*LOOKUP(G20,密度!$A$2:$A$50,密度!$B$2:$B$50)</f>
        <v>12764.150868000001</v>
      </c>
      <c r="H19" s="73" ph="1">
        <f>H18*9.0746*LOOKUP(H20,密度!$A$2:$A$50,密度!$L$2:$L$50)</f>
        <v>24672.929939999998</v>
      </c>
      <c r="I19" s="73" ph="1">
        <f>I18*9.0746*LOOKUP(I20,密度!$A$2:$A$50,密度!$U$2:$U$50)</f>
        <v>74.629510400000001</v>
      </c>
      <c r="J19" s="73" ph="1">
        <f>J18*9.0746*LOOKUP(J20,密度!$A$2:$A$50,密度!$L$2:$L$50)</f>
        <v>4253.4465120000004</v>
      </c>
      <c r="K19" s="73" ph="1">
        <f>K18*9.0746*LOOKUP(K20,密度!$A$2:$A$50,密度!$C$2:$C$50)</f>
        <v>16129.82381724</v>
      </c>
      <c r="L19" s="73" ph="1">
        <f>L18*9.0746*LOOKUP(L20,密度!$A$2:$A$50,密度!$E$2:$E$50)</f>
        <v>46911.3579531</v>
      </c>
      <c r="M19" s="73" ph="1">
        <f>M18*9.0746*LOOKUP(M20,密度!$A$2:$A$50,密度!$M$2:$M$50)</f>
        <v>32928.062706359997</v>
      </c>
      <c r="N19" s="73" ph="1">
        <f>N18*9.0746*LOOKUP(N20,密度!$A$2:$A$50,密度!$M$2:$M$50)</f>
        <v>19827.135283160002</v>
      </c>
      <c r="O19" s="73" ph="1">
        <f>O18*9.0746*LOOKUP(O20,密度!$A$2:$A$50,密度!$G$2:$G$50)</f>
        <v>2031.2493894000002</v>
      </c>
      <c r="P19" s="73" ph="1">
        <f ca="1">P18*9.0746*LOOKUP(P20,密度!$A$2:$A$51,密度!$Q$2:$Q$50)</f>
        <v>9452.2529094080001</v>
      </c>
      <c r="Q19" s="73" ph="1">
        <f>Q18*9.0746*LOOKUP(Q20,密度!$A$2:$A$50,密度!$Q$2:$Q$50)</f>
        <v>23482.868202324004</v>
      </c>
      <c r="R19" s="73" ph="1">
        <f>MAX(R18*9.0746*LOOKUP(R20,密度!$A$2:$A$50,密度!$B$2:$B$50),0)</f>
        <v>24829.57024044</v>
      </c>
      <c r="S19" s="73" ph="1">
        <f>S18*9.0746*LOOKUP(S20,密度!$A$2:$A$50,密度!$Q$2:$Q$50)</f>
        <v>48498.922561716005</v>
      </c>
      <c r="T19" s="73" ph="1">
        <f>T18*9.0746*LOOKUP(T20,密度!$A$2:$A$50,密度!$O$2:$O$50)</f>
        <v>50565.885402400003</v>
      </c>
      <c r="U19" s="73" ph="1">
        <f>U18*9.0746*LOOKUP(U20,密度!$A$2:$A$50,密度!$H$2:$H$50)</f>
        <v>23957.81879144</v>
      </c>
      <c r="V19" s="73" ph="1">
        <f>MAX(5600*LOOKUP(V20,密度!$A$2:$A$50,密度!$Q$2:$Q$50)+V18*9.0476*LOOKUP(V20,密度!$A$2:$A$50,密度!$Q$2:$Q$50),0)</f>
        <v>8938.1231792639992</v>
      </c>
      <c r="W19" s="73" ph="1">
        <f>MAX(5600*LOOKUP(W20,密度!$A$2:$A$50,密度!$Q$2:$Q$50)+W18*9.0476*LOOKUP(W20,密度!$A$2:$A$50,密度!$Q$2:$Q$50),0)</f>
        <v>206.8278181200003</v>
      </c>
      <c r="X19" s="73" ph="1">
        <f>MAX(5600*LOOKUP(X20,密度!$A$2:$A$50,密度!$I$2:$I$50)+X18*9.0476*LOOKUP(X20,密度!$A$2:$A$50,密度!$I$2:$I$50),0)</f>
        <v>11758.356636479999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17933.1746097</v>
      </c>
      <c r="AB19" s="73" ph="1">
        <f>AB18*9.0746*LOOKUP(AB20,密度!$A$2:$A$50,密度!$L$2:$L$50)</f>
        <v>18680.971559999998</v>
      </c>
      <c r="AC19" s="73" ph="1">
        <f>AC18*9.0746*LOOKUP(AC20,密度!$A$2:$A$50,密度!$L$2:$L$50)</f>
        <v>55873.328555200002</v>
      </c>
      <c r="AD19" s="73" ph="1">
        <f>AD18*268.68*LOOKUP(AD20,密度!$A$2:$A$50,密度!B5:B53)+IF(AD18&lt;=0,0,1566*LOOKUP(AD20,密度!$A$2:$A$50,密度!B5:B53))</f>
        <v>3369.1425515999999</v>
      </c>
      <c r="AE19" s="73" ph="1">
        <f>AE18*268.68*LOOKUP(AE20,密度!$A$2:$A$50,密度!B5:B53)+IF(AE18&lt;=0,0,1566*LOOKUP(AE20,密度!$A$2:$A$50,密度!B5:B53))</f>
        <v>18901.2109356</v>
      </c>
      <c r="AH19" s="72" ph="1">
        <v>5</v>
      </c>
      <c r="AI19" s="72" t="s" ph="1">
        <v>382</v>
      </c>
      <c r="AZ19" s="72" t="s" ph="1">
        <v>257</v>
      </c>
      <c r="BA19" s="72" ph="1">
        <v>0</v>
      </c>
      <c r="BD19" s="72" t="s" ph="1">
        <v>383</v>
      </c>
      <c r="BE19" s="72" ph="1">
        <v>1440</v>
      </c>
    </row>
    <row r="20" spans="1:57" ph="1">
      <c r="A20" s="72" ph="1"/>
      <c r="B20" s="218" ph="1"/>
      <c r="C20" s="80" t="s" ph="1">
        <v>210</v>
      </c>
      <c r="D20" s="81">
        <v>15</v>
      </c>
      <c r="E20" s="81">
        <v>15</v>
      </c>
      <c r="F20" s="81">
        <v>17</v>
      </c>
      <c r="G20" s="81">
        <v>15</v>
      </c>
      <c r="H20" s="81">
        <v>12</v>
      </c>
      <c r="I20" s="81">
        <v>15</v>
      </c>
      <c r="J20" s="81">
        <v>17</v>
      </c>
      <c r="K20" s="81">
        <v>15</v>
      </c>
      <c r="L20" s="81">
        <v>15</v>
      </c>
      <c r="M20" s="81">
        <v>17</v>
      </c>
      <c r="N20" s="81">
        <v>15</v>
      </c>
      <c r="O20" s="81">
        <v>17</v>
      </c>
      <c r="P20" s="81">
        <v>20</v>
      </c>
      <c r="Q20" s="81">
        <v>15</v>
      </c>
      <c r="R20" s="81">
        <v>19</v>
      </c>
      <c r="S20" s="81">
        <v>15</v>
      </c>
      <c r="T20" s="81">
        <v>15</v>
      </c>
      <c r="U20" s="81">
        <v>14</v>
      </c>
      <c r="V20" s="81">
        <v>14</v>
      </c>
      <c r="W20" s="81">
        <v>15</v>
      </c>
      <c r="X20" s="81">
        <v>28</v>
      </c>
      <c r="Y20" s="110">
        <v>28</v>
      </c>
      <c r="Z20" s="81">
        <v>20</v>
      </c>
      <c r="AA20" s="81">
        <v>14</v>
      </c>
      <c r="AB20" s="81">
        <v>22</v>
      </c>
      <c r="AC20" s="81">
        <v>13</v>
      </c>
      <c r="AD20" s="81">
        <v>25</v>
      </c>
      <c r="AE20" s="81">
        <v>25</v>
      </c>
      <c r="AH20" s="64" ph="1">
        <v>6</v>
      </c>
      <c r="AI20" s="64" t="s" ph="1">
        <v>384</v>
      </c>
      <c r="AZ20" s="64" t="s" ph="1">
        <v>257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385</v>
      </c>
      <c r="AZ21" s="64" t="s" ph="1">
        <v>257</v>
      </c>
      <c r="BA21" s="64" ph="1">
        <v>0</v>
      </c>
      <c r="BD21" s="64" t="s" ph="1">
        <v>273</v>
      </c>
      <c r="BE21" s="64" ph="1">
        <v>730</v>
      </c>
    </row>
    <row r="22" spans="1:57" ph="1">
      <c r="A22" s="72" ph="1"/>
      <c r="B22" s="216" t="s" ph="1">
        <v>37</v>
      </c>
      <c r="C22" s="85" t="s" ph="1">
        <v>207</v>
      </c>
      <c r="D22" s="86" t="s" ph="1">
        <v>103</v>
      </c>
      <c r="E22" s="86" t="s" ph="1">
        <v>104</v>
      </c>
      <c r="F22" s="86" t="s" ph="1">
        <v>105</v>
      </c>
      <c r="G22" s="86" t="s" ph="1">
        <v>106</v>
      </c>
      <c r="H22" s="86" t="s" ph="1">
        <v>107</v>
      </c>
      <c r="I22" s="86" t="s" ph="1">
        <v>108</v>
      </c>
      <c r="J22" s="86" t="s" ph="1">
        <v>109</v>
      </c>
      <c r="K22" s="86" t="s" ph="1">
        <v>110</v>
      </c>
      <c r="L22" s="86" t="s" ph="1">
        <v>111</v>
      </c>
      <c r="M22" s="86" t="s" ph="1">
        <v>112</v>
      </c>
      <c r="N22" s="86" t="s" ph="1">
        <v>113</v>
      </c>
      <c r="O22" s="86" t="s" ph="1">
        <v>114</v>
      </c>
      <c r="P22" s="86" t="s" ph="1">
        <v>115</v>
      </c>
      <c r="Q22" s="87" t="s" ph="1">
        <v>116</v>
      </c>
      <c r="R22" s="86" t="s" ph="1">
        <v>117</v>
      </c>
      <c r="S22" s="86" t="s" ph="1">
        <v>118</v>
      </c>
      <c r="T22" s="86" t="s" ph="1">
        <v>119</v>
      </c>
      <c r="U22" s="86" t="s" ph="1">
        <v>120</v>
      </c>
      <c r="V22" s="86" t="s" ph="1">
        <v>121</v>
      </c>
      <c r="W22" s="86" t="s" ph="1">
        <v>122</v>
      </c>
      <c r="X22" s="86" t="s" ph="1">
        <v>123</v>
      </c>
      <c r="Y22" s="86" t="s" ph="1">
        <v>125</v>
      </c>
      <c r="Z22" s="195" t="s" ph="1">
        <v>79</v>
      </c>
      <c r="AA22" s="196"/>
      <c r="AB22" s="196"/>
      <c r="AC22" s="196"/>
      <c r="AD22" s="196"/>
      <c r="AE22" s="197"/>
      <c r="AH22" s="64" ph="1">
        <v>8</v>
      </c>
      <c r="AI22" s="64" t="s" ph="1">
        <v>386</v>
      </c>
      <c r="AZ22" s="64" t="s" ph="1">
        <v>257</v>
      </c>
      <c r="BA22" s="64" ph="1">
        <v>0</v>
      </c>
    </row>
    <row r="23" spans="1:57" ph="1">
      <c r="A23" s="72" ph="1"/>
      <c r="B23" s="211" ph="1"/>
      <c r="C23" s="67" t="s" ph="1">
        <v>36</v>
      </c>
      <c r="D23" s="88" t="s" ph="1">
        <v>127</v>
      </c>
      <c r="E23" s="88" t="s" ph="1">
        <v>124</v>
      </c>
      <c r="F23" s="88" t="s" ph="1">
        <v>221</v>
      </c>
      <c r="G23" s="88" t="s" ph="1">
        <v>163</v>
      </c>
      <c r="H23" s="88" t="s" ph="1">
        <v>163</v>
      </c>
      <c r="I23" s="88" t="s" ph="1">
        <v>164</v>
      </c>
      <c r="J23" s="88" t="s" ph="1">
        <v>165</v>
      </c>
      <c r="K23" s="88" t="s" ph="1">
        <v>128</v>
      </c>
      <c r="L23" s="88" t="s" ph="1">
        <v>128</v>
      </c>
      <c r="M23" s="88" t="s" ph="1">
        <v>165</v>
      </c>
      <c r="N23" s="88" t="s" ph="1">
        <v>165</v>
      </c>
      <c r="O23" s="88" t="s" ph="1">
        <v>131</v>
      </c>
      <c r="P23" s="88" t="s" ph="1">
        <v>166</v>
      </c>
      <c r="Q23" s="89" t="s" ph="1">
        <v>166</v>
      </c>
      <c r="R23" s="88" t="s" ph="1">
        <v>167</v>
      </c>
      <c r="S23" s="88" t="s" ph="1">
        <v>168</v>
      </c>
      <c r="T23" s="88" t="s" ph="1">
        <v>647</v>
      </c>
      <c r="U23" s="88" t="s" ph="1">
        <v>653</v>
      </c>
      <c r="V23" s="88" t="s" ph="1">
        <v>169</v>
      </c>
      <c r="W23" s="88" t="s" ph="1">
        <v>168</v>
      </c>
      <c r="X23" s="88" t="s" ph="1">
        <v>228</v>
      </c>
      <c r="Y23" s="88" t="s" ph="1">
        <v>97</v>
      </c>
      <c r="Z23" s="198" t="s" ph="1">
        <v>649</v>
      </c>
      <c r="AA23" s="199"/>
      <c r="AB23" s="199"/>
      <c r="AC23" s="199"/>
      <c r="AD23" s="199"/>
      <c r="AE23" s="200"/>
      <c r="AH23" s="64" ph="1">
        <v>9</v>
      </c>
      <c r="AI23" s="64" t="s" ph="1">
        <v>387</v>
      </c>
      <c r="AZ23" s="64" t="s" ph="1">
        <v>257</v>
      </c>
      <c r="BA23" s="64" ph="1">
        <v>0</v>
      </c>
      <c r="BD23" s="64" t="s" ph="1">
        <v>279</v>
      </c>
      <c r="BE23" s="64" ph="1">
        <v>890</v>
      </c>
    </row>
    <row r="24" spans="1:57" ph="1">
      <c r="A24" s="72" ph="1"/>
      <c r="B24" s="207" ph="1">
        <v>0.33333333333333331</v>
      </c>
      <c r="C24" s="154" t="s" ph="1">
        <v>208</v>
      </c>
      <c r="D24" s="71">
        <v>44.02</v>
      </c>
      <c r="E24" s="71">
        <v>90.74</v>
      </c>
      <c r="F24" s="71">
        <v>2144</v>
      </c>
      <c r="G24" s="71">
        <v>2848</v>
      </c>
      <c r="H24" s="71">
        <v>2594</v>
      </c>
      <c r="I24" s="71">
        <v>851</v>
      </c>
      <c r="J24" s="71">
        <v>2428</v>
      </c>
      <c r="K24" s="71">
        <v>5599</v>
      </c>
      <c r="L24" s="71">
        <v>5573</v>
      </c>
      <c r="M24" s="71">
        <v>3809</v>
      </c>
      <c r="N24" s="71">
        <v>1752</v>
      </c>
      <c r="O24" s="71">
        <v>2060</v>
      </c>
      <c r="P24" s="71">
        <v>456</v>
      </c>
      <c r="Q24" s="90">
        <v>1129</v>
      </c>
      <c r="R24" s="71">
        <v>3373</v>
      </c>
      <c r="S24" s="71">
        <v>404</v>
      </c>
      <c r="T24" s="71">
        <v>5</v>
      </c>
      <c r="U24" s="71">
        <v>5548</v>
      </c>
      <c r="V24" s="71">
        <v>408</v>
      </c>
      <c r="W24" s="71">
        <v>1641</v>
      </c>
      <c r="X24" s="71">
        <v>9181</v>
      </c>
      <c r="Y24" s="71">
        <v>3721</v>
      </c>
      <c r="Z24" s="201"/>
      <c r="AA24" s="202"/>
      <c r="AB24" s="202"/>
      <c r="AC24" s="202"/>
      <c r="AD24" s="202"/>
      <c r="AE24" s="203"/>
      <c r="AH24" s="64" ph="1">
        <v>10</v>
      </c>
      <c r="AI24" s="64" t="s" ph="1">
        <v>388</v>
      </c>
      <c r="AZ24" s="64" t="s" ph="1">
        <v>257</v>
      </c>
      <c r="BA24" s="64" ph="1">
        <v>0</v>
      </c>
    </row>
    <row r="25" spans="1:57" ph="1">
      <c r="A25" s="72" ph="1"/>
      <c r="B25" s="207" ph="1"/>
      <c r="C25" s="68" t="s" ph="1">
        <v>209</v>
      </c>
      <c r="D25" s="91" ph="1">
        <f>D24*268.68*LOOKUP(D26,密度!$A$2:$A$50,密度!$Q$2:$Q$50)+IF(D24&lt;=0,0,1566*LOOKUP(D26,密度!$A$2:$A$50,密度!$Q$2:$Q$50))</f>
        <v>12679.966782864001</v>
      </c>
      <c r="E25" s="91" ph="1">
        <f>E24*268.68*LOOKUP(E26,密度!$A$2:$A$50,密度!$C$2:$C$50)+IF(E24&lt;=0,0,1566*LOOKUP(E26,密度!$A$2:$A$50,密度!$C$2:$C$50))</f>
        <v>28771.545126479999</v>
      </c>
      <c r="F25" s="91" ph="1">
        <f>F24*11.702*LOOKUP(F26,密度!$A$2:$A$50,密度!$Q$2:$Q$50)</f>
        <v>23948.53805952</v>
      </c>
      <c r="G25" s="91" ph="1">
        <f>G24*18.322*LOOKUP(G26,密度!$A$2:$A$50,密度!$B$2:$B$50)</f>
        <v>41207.379923199995</v>
      </c>
      <c r="H25" s="91" ph="1">
        <f>H24*18.322*LOOKUP(H26,密度!$A$2:$A$50,密度!$B$2:$B$50)</f>
        <v>37532.283539599994</v>
      </c>
      <c r="I25" s="91" ph="1">
        <f>I24*18.322*LOOKUP(I26,密度!$A$2:$A$50,密度!$Q$2:$Q$50)</f>
        <v>14883.208679879999</v>
      </c>
      <c r="J25" s="91" ph="1">
        <f>J24*18.322*LOOKUP(J26,密度!$A$2:$A$50,密度!$Q$2:$Q$50)</f>
        <v>42463.490804640001</v>
      </c>
      <c r="K25" s="91" ph="1">
        <f>K24*18.322*LOOKUP(K26,密度!$A$2:$A$50,密度!$Q$2:$Q$50)</f>
        <v>97921.369446120007</v>
      </c>
      <c r="L25" s="91" ph="1">
        <f>L24*18.322*LOOKUP(L26,密度!$A$2:$A$50,密度!$Q$2:$Q$50)</f>
        <v>97466.653317239994</v>
      </c>
      <c r="M25" s="91" ph="1">
        <f>M24*18.322*LOOKUP(M26,密度!$A$2:$A$50,密度!$Q$2:$Q$50)</f>
        <v>66615.91288091999</v>
      </c>
      <c r="N25" s="91" ph="1">
        <f>N24*18.322*LOOKUP(N26,密度!$A$2:$A$50,密度!$Q$2:$Q$50)</f>
        <v>30640.871453760003</v>
      </c>
      <c r="O25" s="91" ph="1">
        <f>O24*18.322*LOOKUP(O26,密度!$A$2:$A$50,密度!$C$2:$C$50)</f>
        <v>42174.385768</v>
      </c>
      <c r="P25" s="91" ph="1">
        <f>P24*11.702*LOOKUP(P26,密度!$A$2:$A$50,密度!$B$2:$B$50)</f>
        <v>4213.9276463999995</v>
      </c>
      <c r="Q25" s="92" ph="1">
        <f>Q24*18.322*LOOKUP(Q26,密度!$A$2:$A$50,密度!$B$2:$B$50)</f>
        <v>16335.369358599999</v>
      </c>
      <c r="R25" s="91" ph="1">
        <f>R24*35.891*LOOKUP(R26,密度!$A$2:$A$50,密度!$C$2:$C$50)</f>
        <v>135175.9789938</v>
      </c>
      <c r="S25" s="91" ph="1">
        <f>S24*35.891*LOOKUP(S26,密度!$A$2:$A$50,密度!$B$2:$B$50)</f>
        <v>11450.6215708</v>
      </c>
      <c r="T25" s="91" ph="1">
        <f>T24*35.891*LOOKUP(T26,密度!$A$2:$A$50,密度!$Q$2:$Q$50)</f>
        <v>171.29697569999999</v>
      </c>
      <c r="U25" s="91" ph="1">
        <f>U24*35.891</f>
        <v>199123.26799999998</v>
      </c>
      <c r="V25" s="91" ph="1">
        <f>V24*47.051*LOOKUP(V26,密度!$A$2:$A$50,密度!$B$2:$B$50)</f>
        <v>15159.719277599999</v>
      </c>
      <c r="W25" s="91" ph="1">
        <f>W24*47.051*LOOKUP(W26,密度!$A$2:$A$50,密度!$B$2:$B$50)</f>
        <v>60842.02450800001</v>
      </c>
      <c r="X25" s="91" ph="1">
        <f>X24*47.051*LOOKUP(X26,密度!$A$2:$A$50,密度!$I$2:$I$50)</f>
        <v>447370.82823283999</v>
      </c>
      <c r="Y25" s="91" ph="1">
        <f>Y24*47.051*LOOKUP(Y26,密度!$A$2:$A$50,密度!$L$2:$L$50)</f>
        <v>165797.70213699999</v>
      </c>
      <c r="Z25" s="201"/>
      <c r="AA25" s="202"/>
      <c r="AB25" s="202"/>
      <c r="AC25" s="202"/>
      <c r="AD25" s="202"/>
      <c r="AE25" s="203"/>
      <c r="AH25" s="64" ph="1">
        <v>11</v>
      </c>
      <c r="AI25" s="64" t="s" ph="1">
        <v>389</v>
      </c>
      <c r="AZ25" s="64" t="s" ph="1">
        <v>257</v>
      </c>
      <c r="BA25" s="64" ph="1">
        <v>0</v>
      </c>
      <c r="BD25" s="64" t="s" ph="1">
        <v>282</v>
      </c>
      <c r="BE25" s="64" ph="1">
        <v>8920</v>
      </c>
    </row>
    <row r="26" spans="1:57" ph="1">
      <c r="A26" s="72" ph="1"/>
      <c r="B26" s="207" ph="1"/>
      <c r="C26" s="68" t="s" ph="1">
        <v>210</v>
      </c>
      <c r="D26" s="74">
        <v>25</v>
      </c>
      <c r="E26" s="74">
        <v>25</v>
      </c>
      <c r="F26" s="74">
        <v>15</v>
      </c>
      <c r="G26" s="74">
        <v>13</v>
      </c>
      <c r="H26" s="74">
        <v>13</v>
      </c>
      <c r="I26" s="74">
        <v>13</v>
      </c>
      <c r="J26" s="74">
        <v>14</v>
      </c>
      <c r="K26" s="74">
        <v>14</v>
      </c>
      <c r="L26" s="74">
        <v>13</v>
      </c>
      <c r="M26" s="74">
        <v>13</v>
      </c>
      <c r="N26" s="74">
        <v>14</v>
      </c>
      <c r="O26" s="74">
        <v>13</v>
      </c>
      <c r="P26" s="74">
        <v>13</v>
      </c>
      <c r="Q26" s="93">
        <v>13</v>
      </c>
      <c r="R26" s="74">
        <v>14</v>
      </c>
      <c r="S26" s="74">
        <v>13</v>
      </c>
      <c r="T26" s="74">
        <v>13</v>
      </c>
      <c r="U26" s="74">
        <v>13</v>
      </c>
      <c r="V26" s="74">
        <v>13</v>
      </c>
      <c r="W26" s="74">
        <v>15</v>
      </c>
      <c r="X26" s="74">
        <v>53</v>
      </c>
      <c r="Y26" s="74">
        <v>15</v>
      </c>
      <c r="Z26" s="201"/>
      <c r="AA26" s="202"/>
      <c r="AB26" s="202"/>
      <c r="AC26" s="202"/>
      <c r="AD26" s="202"/>
      <c r="AE26" s="203"/>
      <c r="AH26" s="64" ph="1">
        <v>12</v>
      </c>
      <c r="AI26" s="64" t="s" ph="1">
        <v>390</v>
      </c>
      <c r="AZ26" s="64" t="s" ph="1">
        <v>257</v>
      </c>
      <c r="BA26" s="64" ph="1">
        <v>0</v>
      </c>
    </row>
    <row r="27" spans="1:57" ph="1">
      <c r="A27" s="72" ph="1"/>
      <c r="B27" s="207" ph="1">
        <v>0.66666666666666663</v>
      </c>
      <c r="C27" s="154" t="s" ph="1">
        <v>211</v>
      </c>
      <c r="D27" s="71">
        <v>44.12</v>
      </c>
      <c r="E27" s="71">
        <v>90.71</v>
      </c>
      <c r="F27" s="71">
        <v>2145</v>
      </c>
      <c r="G27" s="71">
        <v>2395</v>
      </c>
      <c r="H27" s="71">
        <v>2387</v>
      </c>
      <c r="I27" s="71">
        <v>849</v>
      </c>
      <c r="J27" s="71">
        <v>2425</v>
      </c>
      <c r="K27" s="71">
        <v>5599</v>
      </c>
      <c r="L27" s="71">
        <v>5570</v>
      </c>
      <c r="M27" s="71">
        <v>3210</v>
      </c>
      <c r="N27" s="71">
        <v>2918</v>
      </c>
      <c r="O27" s="71">
        <v>2057</v>
      </c>
      <c r="P27" s="71">
        <v>451</v>
      </c>
      <c r="Q27" s="90">
        <v>1241</v>
      </c>
      <c r="R27" s="71">
        <v>3371</v>
      </c>
      <c r="S27" s="71">
        <v>402</v>
      </c>
      <c r="T27" s="71">
        <v>2</v>
      </c>
      <c r="U27" s="71">
        <v>5554</v>
      </c>
      <c r="V27" s="71">
        <v>401</v>
      </c>
      <c r="W27" s="71">
        <v>1637</v>
      </c>
      <c r="X27" s="71">
        <v>8326</v>
      </c>
      <c r="Y27" s="71">
        <v>4065</v>
      </c>
      <c r="Z27" s="201"/>
      <c r="AA27" s="202"/>
      <c r="AB27" s="202"/>
      <c r="AC27" s="202"/>
      <c r="AD27" s="202"/>
      <c r="AE27" s="203"/>
      <c r="AH27" s="64" ph="1">
        <v>13</v>
      </c>
      <c r="AI27" s="64" t="s" ph="1">
        <v>391</v>
      </c>
      <c r="AZ27" s="64" t="s" ph="1">
        <v>257</v>
      </c>
      <c r="BA27" s="64" ph="1">
        <v>0</v>
      </c>
      <c r="BD27" s="64" t="s" ph="1">
        <v>336</v>
      </c>
      <c r="BE27" s="64" ph="1">
        <v>7100</v>
      </c>
    </row>
    <row r="28" spans="1:57" ph="1">
      <c r="A28" s="72" ph="1"/>
      <c r="B28" s="207" ph="1"/>
      <c r="C28" s="154" t="s" ph="1">
        <v>209</v>
      </c>
      <c r="D28" s="91" ph="1">
        <f>D27*268.68*LOOKUP(D29,密度!$A$2:$A$50,密度!$Q$2:$Q$50)+IF(D27&lt;=0,0,1566*LOOKUP(D29,密度!$A$2:$A$50,密度!$Q$2:$Q$50))</f>
        <v>12705.403793183999</v>
      </c>
      <c r="E28" s="91" ph="1">
        <f>E27*268.68*LOOKUP(E29,密度!$A$2:$A$50,密度!$C$2:$C$50)+IF(E27&lt;=0,0,1566*LOOKUP(E29,密度!$A$2:$A$50,密度!$C$2:$C$50))</f>
        <v>28762.606948919998</v>
      </c>
      <c r="F28" s="91" ph="1">
        <f>F27*11.702*LOOKUP(F29,密度!$A$2:$A$50,密度!$Q$2:$Q$50)</f>
        <v>23959.708086600003</v>
      </c>
      <c r="G28" s="91" ph="1">
        <f>G27*18.322*LOOKUP(G29,密度!$A$2:$A$50,密度!$B$2:$B$50)</f>
        <v>34578.377719999997</v>
      </c>
      <c r="H28" s="91" ph="1">
        <f>H27*18.322*LOOKUP(H29,密度!$A$2:$A$50,密度!$B$2:$B$50)</f>
        <v>34462.875832000005</v>
      </c>
      <c r="I28" s="91" ph="1">
        <f>I27*18.322*LOOKUP(I29,密度!$A$2:$A$50,密度!$Q$2:$Q$50)</f>
        <v>14848.23051612</v>
      </c>
      <c r="J28" s="91" ph="1">
        <f>J27*18.322*LOOKUP(J29,密度!$A$2:$A$50,密度!$Q$2:$Q$50)</f>
        <v>42411.023559000001</v>
      </c>
      <c r="K28" s="91" ph="1">
        <f>K27*18.322*LOOKUP(K29,密度!$A$2:$A$50,密度!$Q$2:$Q$50)</f>
        <v>97921.369446120007</v>
      </c>
      <c r="L28" s="91" ph="1">
        <f>L27*18.322*LOOKUP(L29,密度!$A$2:$A$50,密度!$Q$2:$Q$50)</f>
        <v>97414.186071599994</v>
      </c>
      <c r="M28" s="91" ph="1">
        <f>M27*18.322*LOOKUP(M29,密度!$A$2:$A$50,密度!$Q$2:$Q$50)</f>
        <v>56139.952834800002</v>
      </c>
      <c r="N28" s="91" ph="1">
        <f>N27*18.322*LOOKUP(N29,密度!$A$2:$A$50,密度!$Q$2:$Q$50)</f>
        <v>51033.140925840002</v>
      </c>
      <c r="O28" s="91" ph="1">
        <f>O27*18.322*LOOKUP(O29,密度!$A$2:$A$50,密度!$C$2:$C$50)</f>
        <v>42052.665393199997</v>
      </c>
      <c r="P28" s="91" ph="1">
        <f>P27*11.702*LOOKUP(P29,密度!$A$2:$A$50,密度!$B$2:$B$50)</f>
        <v>4158.750376</v>
      </c>
      <c r="Q28" s="92" ph="1">
        <f>Q27*18.322*LOOKUP(Q29,密度!$A$2:$A$50,密度!$B$2:$B$50)</f>
        <v>17899.040294399998</v>
      </c>
      <c r="R28" s="91" ph="1">
        <f>R27*35.891*LOOKUP(R29,密度!$A$2:$A$50,密度!$C$2:$C$50)</f>
        <v>134926.44322719998</v>
      </c>
      <c r="S28" s="91" ph="1">
        <f>S27*35.891*LOOKUP(S29,密度!$A$2:$A$50,密度!$B$2:$B$50)</f>
        <v>11369.407416</v>
      </c>
      <c r="T28" s="91" ph="1">
        <f>T27*35.891*LOOKUP(T29,密度!$A$2:$A$50,密度!$Q$2:$Q$50)</f>
        <v>68.518790280000005</v>
      </c>
      <c r="U28" s="91" ph="1">
        <f>U27*35.891</f>
        <v>199338.614</v>
      </c>
      <c r="V28" s="91" ph="1">
        <f>V27*47.051*LOOKUP(V29,密度!$A$2:$A$50,密度!$B$2:$B$50)</f>
        <v>14837.3634664</v>
      </c>
      <c r="W28" s="91" ph="1">
        <f>W27*47.051*LOOKUP(W29,密度!$A$2:$A$50,密度!$B$2:$B$50)</f>
        <v>60570.483776800007</v>
      </c>
      <c r="X28" s="91" ph="1">
        <f>X27*47.051*LOOKUP(X29,密度!$A$2:$A$50,密度!$I$2:$I$50)</f>
        <v>405708.47575063992</v>
      </c>
      <c r="Y28" s="91" ph="1">
        <f>Y27*47.051*LOOKUP(Y29,密度!$A$2:$A$50,密度!$L$2:$L$50)</f>
        <v>180551.62536000001</v>
      </c>
      <c r="Z28" s="201"/>
      <c r="AA28" s="202"/>
      <c r="AB28" s="202"/>
      <c r="AC28" s="202"/>
      <c r="AD28" s="202"/>
      <c r="AE28" s="203"/>
      <c r="AH28" s="64" ph="1">
        <v>14</v>
      </c>
      <c r="AI28" s="64" t="s" ph="1">
        <v>392</v>
      </c>
      <c r="AZ28" s="64" t="s" ph="1">
        <v>257</v>
      </c>
      <c r="BA28" s="64" ph="1">
        <v>0</v>
      </c>
    </row>
    <row r="29" spans="1:57" ph="1">
      <c r="A29" s="72" ph="1"/>
      <c r="B29" s="207" ph="1"/>
      <c r="C29" s="154" t="s" ph="1">
        <v>210</v>
      </c>
      <c r="D29" s="74">
        <v>25</v>
      </c>
      <c r="E29" s="74">
        <v>25</v>
      </c>
      <c r="F29" s="74">
        <v>15</v>
      </c>
      <c r="G29" s="74">
        <v>15</v>
      </c>
      <c r="H29" s="74">
        <v>15</v>
      </c>
      <c r="I29" s="74">
        <v>15</v>
      </c>
      <c r="J29" s="74">
        <v>15</v>
      </c>
      <c r="K29" s="74">
        <v>15</v>
      </c>
      <c r="L29" s="74">
        <v>15</v>
      </c>
      <c r="M29" s="74">
        <v>15</v>
      </c>
      <c r="N29" s="74">
        <v>15</v>
      </c>
      <c r="O29" s="74">
        <v>15</v>
      </c>
      <c r="P29" s="74">
        <v>15</v>
      </c>
      <c r="Q29" s="93">
        <v>16</v>
      </c>
      <c r="R29" s="74">
        <v>16</v>
      </c>
      <c r="S29" s="74">
        <v>15</v>
      </c>
      <c r="T29" s="74">
        <v>15</v>
      </c>
      <c r="U29" s="74">
        <v>15</v>
      </c>
      <c r="V29" s="74">
        <v>17</v>
      </c>
      <c r="W29" s="74">
        <v>17</v>
      </c>
      <c r="X29" s="74">
        <v>53</v>
      </c>
      <c r="Y29" s="74">
        <v>18</v>
      </c>
      <c r="Z29" s="204"/>
      <c r="AA29" s="205"/>
      <c r="AB29" s="205"/>
      <c r="AC29" s="205"/>
      <c r="AD29" s="205"/>
      <c r="AE29" s="206"/>
      <c r="AH29" s="64" ph="1">
        <v>15</v>
      </c>
      <c r="AI29" s="64" t="s" ph="1">
        <v>393</v>
      </c>
      <c r="AZ29" s="64" t="s" ph="1">
        <v>257</v>
      </c>
      <c r="BA29" s="64" ph="1">
        <v>0</v>
      </c>
      <c r="BD29" s="64" t="s" ph="1">
        <v>394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395</v>
      </c>
      <c r="AZ30" s="64" t="s" ph="1">
        <v>257</v>
      </c>
      <c r="BA30" s="64" ph="1">
        <v>0</v>
      </c>
    </row>
    <row r="31" spans="1:57" ht="28.5" ph="1">
      <c r="A31" s="64"/>
      <c r="B31" s="220" t="s" ph="1">
        <v>35</v>
      </c>
      <c r="C31" s="221" ph="1"/>
      <c r="D31" s="224" t="s" ph="1">
        <v>9</v>
      </c>
      <c r="E31" s="213" ph="1"/>
      <c r="F31" s="214" ph="1"/>
      <c r="G31" s="224" t="s" ph="1">
        <v>18</v>
      </c>
      <c r="H31" s="213" ph="1"/>
      <c r="I31" s="214" ph="1"/>
      <c r="J31" s="212" t="s" ph="1">
        <v>1</v>
      </c>
      <c r="K31" s="213" ph="1"/>
      <c r="L31" s="214" ph="1"/>
      <c r="M31" s="212" t="s" ph="1">
        <v>7</v>
      </c>
      <c r="N31" s="213" ph="1"/>
      <c r="O31" s="214" ph="1"/>
      <c r="P31" s="212" t="s" ph="1">
        <v>42</v>
      </c>
      <c r="Q31" s="213"/>
      <c r="R31" s="214"/>
      <c r="S31" s="212" t="s" ph="1">
        <v>2</v>
      </c>
      <c r="T31" s="213"/>
      <c r="U31" s="214"/>
      <c r="V31" s="212" t="s" ph="1">
        <v>81</v>
      </c>
      <c r="W31" s="213" ph="1"/>
      <c r="X31" s="214" ph="1"/>
      <c r="Y31" s="212" t="s" ph="1">
        <v>3</v>
      </c>
      <c r="Z31" s="213" ph="1"/>
      <c r="AA31" s="214" ph="1"/>
      <c r="AB31" s="235" t="s">
        <v>43</v>
      </c>
      <c r="AC31" s="236"/>
      <c r="AD31" s="236"/>
      <c r="AE31" s="237"/>
      <c r="AH31" s="64" ph="1">
        <v>17</v>
      </c>
      <c r="AI31" s="64" t="s" ph="1">
        <v>396</v>
      </c>
      <c r="AZ31" s="64" t="s" ph="1">
        <v>257</v>
      </c>
      <c r="BA31" s="64" ph="1">
        <v>0</v>
      </c>
      <c r="BD31" s="64" t="s" ph="1">
        <v>397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54" t="s" ph="1">
        <v>5</v>
      </c>
      <c r="F32" s="153" t="s" ph="1">
        <v>44</v>
      </c>
      <c r="G32" s="97" t="s" ph="1">
        <v>4</v>
      </c>
      <c r="H32" s="154" t="s" ph="1">
        <v>5</v>
      </c>
      <c r="I32" s="153" t="s" ph="1">
        <v>44</v>
      </c>
      <c r="J32" s="97" t="s" ph="1">
        <v>4</v>
      </c>
      <c r="K32" s="154" t="s" ph="1">
        <v>5</v>
      </c>
      <c r="L32" s="153" t="s" ph="1">
        <v>44</v>
      </c>
      <c r="M32" s="97" t="s" ph="1">
        <v>4</v>
      </c>
      <c r="N32" s="154" t="s" ph="1">
        <v>5</v>
      </c>
      <c r="O32" s="153" t="s" ph="1">
        <v>44</v>
      </c>
      <c r="P32" s="97" t="s" ph="1">
        <v>4</v>
      </c>
      <c r="Q32" s="98" t="s" ph="1">
        <v>5</v>
      </c>
      <c r="R32" s="99" t="s" ph="1">
        <v>44</v>
      </c>
      <c r="S32" s="97" t="s" ph="1">
        <v>4</v>
      </c>
      <c r="T32" s="154" t="s" ph="1">
        <v>5</v>
      </c>
      <c r="U32" s="99" t="s" ph="1">
        <v>44</v>
      </c>
      <c r="V32" s="97" t="s" ph="1">
        <v>4</v>
      </c>
      <c r="W32" s="154" t="s" ph="1">
        <v>5</v>
      </c>
      <c r="X32" s="99" t="s" ph="1">
        <v>44</v>
      </c>
      <c r="Y32" s="100" t="s" ph="1">
        <v>4</v>
      </c>
      <c r="Z32" s="154" t="s" ph="1">
        <v>5</v>
      </c>
      <c r="AA32" s="153" t="s" ph="1">
        <v>44</v>
      </c>
      <c r="AB32" s="97" t="s" ph="1">
        <v>102</v>
      </c>
      <c r="AC32" s="154" t="s" ph="1">
        <v>101</v>
      </c>
      <c r="AD32" s="238" t="s" ph="1">
        <v>100</v>
      </c>
      <c r="AE32" s="239"/>
      <c r="AH32" s="64" ph="1">
        <v>18</v>
      </c>
      <c r="AI32" s="64" t="s" ph="1">
        <v>398</v>
      </c>
      <c r="AZ32" s="64" t="s" ph="1">
        <v>257</v>
      </c>
      <c r="BA32" s="64" ph="1">
        <v>0</v>
      </c>
    </row>
    <row r="33" spans="1:57" ph="1">
      <c r="A33" s="64"/>
      <c r="B33" s="225" t="s" ph="1">
        <v>212</v>
      </c>
      <c r="C33" s="226" ph="1"/>
      <c r="D33" s="229" ph="1">
        <f>AA10+AB10+Z19</f>
        <v>118480.37751799999</v>
      </c>
      <c r="E33" s="229" ph="1">
        <f>M10+I10</f>
        <v>174827.20997559998</v>
      </c>
      <c r="F33" s="23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[[#This Row],[F25]]</f>
        <v>3880</v>
      </c>
      <c r="G33" s="233" ph="1">
        <v>0</v>
      </c>
      <c r="H33" s="229" ph="1">
        <f>N19</f>
        <v>19827.135283160002</v>
      </c>
      <c r="I33" s="242" ph="1">
        <v>0</v>
      </c>
      <c r="J33" s="240" ph="1">
        <f>F10+O28</f>
        <v>258474.20228299999</v>
      </c>
      <c r="K33" s="229" ph="1">
        <f>O10+K10+E28+R28</f>
        <v>258857.93471371999</v>
      </c>
      <c r="L33" s="244" ph="1">
        <f>BE27</f>
        <v>7100</v>
      </c>
      <c r="M33" s="240" ph="1">
        <f>G10+H10+W28+S28</f>
        <v>416011.62714279996</v>
      </c>
      <c r="N33" s="229" ph="1">
        <f>L10+P10++G28+H28+V28</f>
        <v>387454.53881440003</v>
      </c>
      <c r="O33" s="242" ph="1">
        <f>BE17</f>
        <v>2270</v>
      </c>
      <c r="P33" s="240" ph="1">
        <f>L19</f>
        <v>46911.3579531</v>
      </c>
      <c r="Q33" s="229" ph="1">
        <f>J10+N10</f>
        <v>154662.39114960001</v>
      </c>
      <c r="R33" s="242" ph="1">
        <f>BE23</f>
        <v>890</v>
      </c>
      <c r="S33" s="240" ph="1">
        <f>E10+X28</f>
        <v>405708.47575063992</v>
      </c>
      <c r="T33" s="229" ph="1">
        <f>X19</f>
        <v>11758.356636479999</v>
      </c>
      <c r="U33" s="250" ph="1">
        <f>BE21</f>
        <v>730</v>
      </c>
      <c r="V33" s="261" ph="1">
        <f ca="1">P19+Q19+S19+M28+N28+J28</f>
        <v>231018.16099308801</v>
      </c>
      <c r="W33" s="261" ph="1">
        <f>D28+F28+V19+T28</f>
        <v>45671.753849328008</v>
      </c>
      <c r="X33" s="242" ph="1">
        <f>BE29+BE31</f>
        <v>10200</v>
      </c>
      <c r="Y33" s="263" ph="1">
        <f>+Q10+R10+S10+T10+U10+V10+W10+X10+Y10</f>
        <v>195462.31264559997</v>
      </c>
      <c r="Z33" s="248" ph="1">
        <f>D10+T19+U19+Y28+Z10</f>
        <v>452385.64122137998</v>
      </c>
      <c r="AA33" s="250" ph="1">
        <f>BE19</f>
        <v>1440</v>
      </c>
      <c r="AB33" s="252" ph="1">
        <f>I19</f>
        <v>74.629510400000001</v>
      </c>
      <c r="AC33" s="254" ph="1">
        <f>AD10</f>
        <v>5356.3850240000002</v>
      </c>
      <c r="AD33" s="256" ph="1">
        <v>0</v>
      </c>
      <c r="AE33" s="257"/>
      <c r="AH33" s="64" ph="1">
        <v>19</v>
      </c>
      <c r="AI33" s="64" t="s" ph="1">
        <v>399</v>
      </c>
      <c r="AJ33" s="64" t="s" ph="1">
        <v>633</v>
      </c>
      <c r="AK33" s="64" t="s" ph="1">
        <v>630</v>
      </c>
      <c r="AL33" s="64" ph="1">
        <v>730</v>
      </c>
      <c r="AM33" s="64" t="s" ph="1">
        <v>380</v>
      </c>
      <c r="AZ33" s="64" t="s" ph="1">
        <v>257</v>
      </c>
      <c r="BA33" s="64" ph="1">
        <v>730</v>
      </c>
      <c r="BD33" s="64" t="s" ph="1">
        <v>331</v>
      </c>
      <c r="BE33" s="64" ph="1">
        <v>3880</v>
      </c>
    </row>
    <row r="34" spans="1:57" ph="1">
      <c r="A34" s="64"/>
      <c r="B34" s="227" ph="1"/>
      <c r="C34" s="228" ph="1"/>
      <c r="D34" s="230" ph="1"/>
      <c r="E34" s="230" ph="1"/>
      <c r="F34" s="232" ph="1"/>
      <c r="G34" s="234" ph="1"/>
      <c r="H34" s="230" ph="1"/>
      <c r="I34" s="243" ph="1"/>
      <c r="J34" s="241" ph="1"/>
      <c r="K34" s="230" ph="1"/>
      <c r="L34" s="245" ph="1"/>
      <c r="M34" s="241" ph="1"/>
      <c r="N34" s="230" ph="1"/>
      <c r="O34" s="243" ph="1"/>
      <c r="P34" s="241" ph="1"/>
      <c r="Q34" s="230" ph="1"/>
      <c r="R34" s="243" ph="1"/>
      <c r="S34" s="241" ph="1"/>
      <c r="T34" s="230"/>
      <c r="U34" s="251"/>
      <c r="V34" s="262" ph="1"/>
      <c r="W34" s="262" ph="1"/>
      <c r="X34" s="243" ph="1"/>
      <c r="Y34" s="264" ph="1"/>
      <c r="Z34" s="249" ph="1"/>
      <c r="AA34" s="251" ph="1"/>
      <c r="AB34" s="253"/>
      <c r="AC34" s="255"/>
      <c r="AD34" s="258"/>
      <c r="AE34" s="259"/>
      <c r="AH34" s="64" ph="1">
        <v>20</v>
      </c>
      <c r="AI34" s="64" t="s" ph="1">
        <v>400</v>
      </c>
      <c r="AJ34" s="64" t="s" ph="1">
        <v>634</v>
      </c>
      <c r="AK34" s="64" t="s" ph="1">
        <v>630</v>
      </c>
      <c r="AL34" s="64" ph="1">
        <v>720</v>
      </c>
      <c r="AM34" s="64" t="s" ph="1">
        <v>380</v>
      </c>
      <c r="AZ34" s="64" t="s" ph="1">
        <v>257</v>
      </c>
      <c r="BA34" s="64" ph="1">
        <v>720</v>
      </c>
    </row>
    <row r="35" spans="1:57" ph="1">
      <c r="A35" s="64"/>
      <c r="AC35" s="260" t="s" ph="1">
        <v>84</v>
      </c>
      <c r="AD35" s="260"/>
      <c r="AE35" s="260"/>
      <c r="AH35" s="64" ph="1">
        <v>21</v>
      </c>
      <c r="AI35" s="64" t="s" ph="1">
        <v>401</v>
      </c>
      <c r="AZ35" s="64" t="s" ph="1">
        <v>257</v>
      </c>
      <c r="BA35" s="64" ph="1">
        <v>0</v>
      </c>
      <c r="BD35" s="64" t="s" ph="1">
        <v>402</v>
      </c>
      <c r="BE35" s="64" ph="1">
        <v>2030</v>
      </c>
    </row>
    <row r="36" spans="1:57" ht="28.5" ph="1">
      <c r="A36" s="64"/>
      <c r="B36" s="103" t="s" ph="1">
        <v>213</v>
      </c>
      <c r="I36" s="246" t="s" ph="1">
        <v>214</v>
      </c>
      <c r="J36" s="246" ph="1"/>
      <c r="K36" s="101" ph="1"/>
      <c r="P36" s="101" ph="1"/>
      <c r="R36" s="246" t="s" ph="1">
        <v>215</v>
      </c>
      <c r="S36" s="246" ph="1"/>
      <c r="Y36" s="102" ph="1"/>
      <c r="Z36" s="152" t="s" ph="1">
        <v>216</v>
      </c>
      <c r="AA36" s="152" ph="1"/>
      <c r="AB36" s="247" t="s" ph="1">
        <v>655</v>
      </c>
      <c r="AC36" s="247" ph="1"/>
      <c r="AD36" s="247" ph="1"/>
      <c r="AE36" s="247" ph="1"/>
      <c r="BA36" s="64" ph="1">
        <v>2270</v>
      </c>
    </row>
    <row r="37" spans="1:57" s="15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2" t="s" ph="1">
        <v>383</v>
      </c>
      <c r="AI37" s="152" t="s" ph="1">
        <v>250</v>
      </c>
      <c r="AJ37" s="152" t="s" ph="1">
        <v>251</v>
      </c>
      <c r="AK37" s="152" t="s" ph="1">
        <v>252</v>
      </c>
      <c r="AM37" s="152" t="s" ph="1">
        <v>251</v>
      </c>
      <c r="AN37" s="152" t="s" ph="1">
        <v>252</v>
      </c>
      <c r="AO37" s="152" t="s" ph="1">
        <v>253</v>
      </c>
      <c r="AP37" s="152" t="s" ph="1">
        <v>251</v>
      </c>
      <c r="AQ37" s="152" t="s" ph="1">
        <v>252</v>
      </c>
      <c r="AR37" s="152" t="s" ph="1">
        <v>253</v>
      </c>
      <c r="AS37" s="152" t="s" ph="1">
        <v>251</v>
      </c>
      <c r="AT37" s="152" t="s" ph="1">
        <v>252</v>
      </c>
      <c r="AU37" s="152" t="s" ph="1">
        <v>253</v>
      </c>
      <c r="AV37" s="152" t="s" ph="1">
        <v>251</v>
      </c>
      <c r="AW37" s="152" t="s" ph="1">
        <v>252</v>
      </c>
      <c r="AX37" s="152" t="s" ph="1">
        <v>253</v>
      </c>
      <c r="AY37" s="152" t="s" ph="1">
        <v>252</v>
      </c>
      <c r="AZ37" s="152" t="s" ph="1">
        <v>254</v>
      </c>
      <c r="BD37" s="152" t="s" ph="1">
        <v>346</v>
      </c>
      <c r="BE37" s="152" ph="1">
        <v>0</v>
      </c>
    </row>
    <row r="38" spans="1:57" ph="1">
      <c r="AE38" s="64" ph="1"/>
      <c r="AH38" s="64" ph="1">
        <v>1</v>
      </c>
      <c r="AI38" s="64" t="s" ph="1">
        <v>403</v>
      </c>
      <c r="AY38" s="64" t="s" ph="1">
        <v>257</v>
      </c>
      <c r="AZ38" s="64" t="s" ph="1">
        <v>408</v>
      </c>
    </row>
    <row r="39" spans="1:57" ph="1">
      <c r="AH39" s="64" ph="1">
        <v>2</v>
      </c>
      <c r="AI39" s="64" t="s" ph="1">
        <v>405</v>
      </c>
      <c r="AJ39" s="64" t="s" ph="1">
        <v>377</v>
      </c>
      <c r="AK39" s="64" t="s" ph="1">
        <v>406</v>
      </c>
      <c r="AM39" s="64" t="s" ph="1">
        <v>611</v>
      </c>
      <c r="AN39" s="64" t="s" ph="1">
        <v>269</v>
      </c>
      <c r="AO39" s="64" t="s" ph="1">
        <v>404</v>
      </c>
      <c r="AY39" s="64" t="s" ph="1">
        <v>257</v>
      </c>
      <c r="AZ39" s="64" t="s" ph="1">
        <v>540</v>
      </c>
    </row>
    <row r="40" spans="1:57" ph="1">
      <c r="AH40" s="64" ph="1">
        <v>3</v>
      </c>
      <c r="AI40" s="64" t="s" ph="1">
        <v>407</v>
      </c>
      <c r="AJ40" s="64" t="s" ph="1">
        <v>611</v>
      </c>
      <c r="AK40" s="64" t="s" ph="1">
        <v>612</v>
      </c>
      <c r="AY40" s="64" t="s" ph="1">
        <v>257</v>
      </c>
      <c r="AZ40" s="64" t="s" ph="1">
        <v>612</v>
      </c>
    </row>
    <row r="41" spans="1:57" ph="1">
      <c r="AH41" s="64" ph="1">
        <v>4</v>
      </c>
      <c r="AI41" s="64" t="s" ph="1">
        <v>409</v>
      </c>
      <c r="AJ41" s="64" t="s" ph="1">
        <v>613</v>
      </c>
      <c r="AK41" s="64" t="s" ph="1">
        <v>614</v>
      </c>
      <c r="AM41" s="64" t="s" ph="1">
        <v>615</v>
      </c>
      <c r="AY41" s="64" t="s" ph="1">
        <v>257</v>
      </c>
      <c r="AZ41" s="64" t="s" ph="1">
        <v>614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410</v>
      </c>
      <c r="AY42" s="64" t="s" ph="1">
        <v>257</v>
      </c>
      <c r="AZ42" s="64" t="s" ph="1">
        <v>408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411</v>
      </c>
      <c r="AY43" s="64" t="s" ph="1">
        <v>257</v>
      </c>
      <c r="AZ43" s="64" t="s" ph="1">
        <v>408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412</v>
      </c>
      <c r="AV44" s="64" t="s" ph="1">
        <v>258</v>
      </c>
      <c r="AY44" s="64" t="s" ph="1">
        <v>257</v>
      </c>
      <c r="AZ44" s="64" t="s" ph="1">
        <v>408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413</v>
      </c>
      <c r="AV45" s="64" t="s" ph="1">
        <v>258</v>
      </c>
      <c r="AY45" s="64" t="s" ph="1">
        <v>257</v>
      </c>
      <c r="AZ45" s="64" t="s" ph="1">
        <v>408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414</v>
      </c>
      <c r="AV46" s="64" t="s" ph="1">
        <v>258</v>
      </c>
      <c r="AY46" s="64" t="s" ph="1">
        <v>257</v>
      </c>
      <c r="AZ46" s="64" t="s" ph="1">
        <v>408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415</v>
      </c>
      <c r="AV47" s="64" t="s" ph="1">
        <v>258</v>
      </c>
      <c r="AY47" s="64" t="s" ph="1">
        <v>257</v>
      </c>
      <c r="AZ47" s="64" t="s" ph="1">
        <v>408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616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273</v>
      </c>
      <c r="AI49" s="64" t="s" ph="1">
        <v>250</v>
      </c>
      <c r="AJ49" s="64" t="s" ph="1">
        <v>251</v>
      </c>
      <c r="AK49" s="64" t="s" ph="1">
        <v>252</v>
      </c>
      <c r="AM49" s="64" t="s" ph="1">
        <v>251</v>
      </c>
      <c r="AN49" s="64" t="s" ph="1">
        <v>252</v>
      </c>
      <c r="AO49" s="64" t="s" ph="1">
        <v>253</v>
      </c>
      <c r="AP49" s="64" t="s" ph="1">
        <v>251</v>
      </c>
      <c r="AQ49" s="64" t="s" ph="1">
        <v>252</v>
      </c>
      <c r="AR49" s="64" t="s" ph="1">
        <v>253</v>
      </c>
      <c r="AS49" s="64" t="s" ph="1">
        <v>251</v>
      </c>
      <c r="AT49" s="64" t="s" ph="1">
        <v>252</v>
      </c>
      <c r="AU49" s="64" t="s" ph="1">
        <v>253</v>
      </c>
      <c r="AV49" s="64" t="s" ph="1">
        <v>251</v>
      </c>
      <c r="AW49" s="64" t="s" ph="1">
        <v>252</v>
      </c>
      <c r="AX49" s="64" t="s" ph="1">
        <v>253</v>
      </c>
      <c r="AY49" s="64" t="s" ph="1">
        <v>252</v>
      </c>
      <c r="AZ49" s="64" t="s" ph="1">
        <v>254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416</v>
      </c>
      <c r="AY50" s="64" t="s" ph="1">
        <v>257</v>
      </c>
      <c r="AZ50" s="64" t="s" ph="1">
        <v>408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417</v>
      </c>
      <c r="AY51" s="64" t="s" ph="1">
        <v>257</v>
      </c>
      <c r="AZ51" s="64" t="s" ph="1">
        <v>408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418</v>
      </c>
      <c r="AJ52" s="64" t="s" ph="1">
        <v>375</v>
      </c>
      <c r="AK52" s="64" t="s" ph="1">
        <v>269</v>
      </c>
      <c r="AM52" s="64" t="s" ph="1">
        <v>377</v>
      </c>
      <c r="AN52" s="64" t="s" ph="1">
        <v>341</v>
      </c>
      <c r="AO52" s="64" t="s" ph="1">
        <v>274</v>
      </c>
      <c r="AP52" s="64" t="s" ph="1">
        <v>611</v>
      </c>
      <c r="AQ52" s="64" t="s" ph="1">
        <v>323</v>
      </c>
      <c r="AR52" s="64" t="s" ph="1">
        <v>274</v>
      </c>
      <c r="AY52" s="64" t="s" ph="1">
        <v>257</v>
      </c>
      <c r="AZ52" s="64" t="s" ph="1">
        <v>617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419</v>
      </c>
      <c r="AY53" s="64" t="s" ph="1">
        <v>257</v>
      </c>
      <c r="AZ53" s="64" t="s" ph="1">
        <v>408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420</v>
      </c>
      <c r="AJ54" s="64" t="s" ph="1">
        <v>375</v>
      </c>
      <c r="AK54" s="64" t="s" ph="1">
        <v>260</v>
      </c>
      <c r="AM54" s="64" t="s" ph="1">
        <v>377</v>
      </c>
      <c r="AN54" s="64" t="s" ph="1">
        <v>265</v>
      </c>
      <c r="AO54" s="64" t="s" ph="1">
        <v>274</v>
      </c>
      <c r="AP54" s="64" t="s" ph="1">
        <v>611</v>
      </c>
      <c r="AQ54" s="64" t="s" ph="1">
        <v>281</v>
      </c>
      <c r="AR54" s="64" t="s" ph="1">
        <v>274</v>
      </c>
      <c r="AY54" s="64" t="s" ph="1">
        <v>257</v>
      </c>
      <c r="AZ54" s="64" t="s" ph="1">
        <v>275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421</v>
      </c>
      <c r="AY55" s="64" t="s" ph="1">
        <v>257</v>
      </c>
      <c r="AZ55" s="64" t="s" ph="1">
        <v>408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422</v>
      </c>
      <c r="AY56" s="64" t="s" ph="1">
        <v>257</v>
      </c>
      <c r="AZ56" s="64" t="s" ph="1">
        <v>408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423</v>
      </c>
      <c r="AY57" s="64" t="s" ph="1">
        <v>257</v>
      </c>
      <c r="AZ57" s="64" t="s" ph="1">
        <v>408</v>
      </c>
    </row>
    <row r="58" spans="16:52" ph="1">
      <c r="P58" s="64"/>
      <c r="AN58" s="64" t="s" ph="1">
        <v>258</v>
      </c>
      <c r="AZ58" s="64" t="s" ph="1">
        <v>618</v>
      </c>
    </row>
    <row r="59" spans="16:52" ph="1">
      <c r="V59" s="64"/>
      <c r="AG59" s="64" t="s" ph="1">
        <v>276</v>
      </c>
      <c r="AI59" s="64" t="s" ph="1">
        <v>250</v>
      </c>
      <c r="AJ59" s="64" t="s" ph="1">
        <v>251</v>
      </c>
      <c r="AK59" s="64" t="s" ph="1">
        <v>252</v>
      </c>
      <c r="AM59" s="64" t="s" ph="1">
        <v>251</v>
      </c>
      <c r="AN59" s="64" t="s" ph="1">
        <v>252</v>
      </c>
      <c r="AO59" s="64" t="s" ph="1">
        <v>253</v>
      </c>
      <c r="AP59" s="64" t="s" ph="1">
        <v>251</v>
      </c>
      <c r="AQ59" s="64" t="s" ph="1">
        <v>252</v>
      </c>
      <c r="AR59" s="64" t="s" ph="1">
        <v>253</v>
      </c>
      <c r="AS59" s="64" t="s" ph="1">
        <v>251</v>
      </c>
      <c r="AT59" s="64" t="s" ph="1">
        <v>252</v>
      </c>
      <c r="AU59" s="64" t="s" ph="1">
        <v>253</v>
      </c>
      <c r="AV59" s="64" t="s" ph="1">
        <v>251</v>
      </c>
      <c r="AW59" s="64" t="s" ph="1">
        <v>252</v>
      </c>
      <c r="AX59" s="64" t="s" ph="1">
        <v>253</v>
      </c>
      <c r="AY59" s="64" t="s" ph="1">
        <v>252</v>
      </c>
      <c r="AZ59" s="64" t="s" ph="1">
        <v>254</v>
      </c>
    </row>
    <row r="60" spans="16:52" ph="1">
      <c r="R60" s="64"/>
      <c r="S60" s="64"/>
      <c r="T60" s="64"/>
      <c r="AH60" s="64" ph="1">
        <v>1</v>
      </c>
      <c r="AI60" s="64" t="s" ph="1">
        <v>424</v>
      </c>
      <c r="AY60" s="64" t="s" ph="1">
        <v>257</v>
      </c>
      <c r="AZ60" s="64" t="s" ph="1">
        <v>408</v>
      </c>
    </row>
    <row r="61" spans="16:52" ph="1">
      <c r="AH61" s="64" ph="1">
        <v>2</v>
      </c>
      <c r="AI61" s="64" t="s" ph="1">
        <v>425</v>
      </c>
      <c r="AS61" s="64" t="s" ph="1">
        <v>258</v>
      </c>
      <c r="AY61" s="64" t="s" ph="1">
        <v>257</v>
      </c>
      <c r="AZ61" s="64" t="s" ph="1">
        <v>408</v>
      </c>
    </row>
    <row r="62" spans="16:52" ph="1">
      <c r="AZ62" s="64" t="s" ph="1">
        <v>426</v>
      </c>
    </row>
    <row r="63" spans="16:52" ph="1">
      <c r="AG63" s="64" t="s" ph="1">
        <v>279</v>
      </c>
      <c r="AI63" s="64" t="s" ph="1">
        <v>250</v>
      </c>
      <c r="AJ63" s="64" t="s" ph="1">
        <v>251</v>
      </c>
      <c r="AK63" s="64" t="s" ph="1">
        <v>252</v>
      </c>
      <c r="AM63" s="64" t="s" ph="1">
        <v>251</v>
      </c>
      <c r="AN63" s="64" t="s" ph="1">
        <v>252</v>
      </c>
      <c r="AO63" s="64" t="s" ph="1">
        <v>253</v>
      </c>
      <c r="AP63" s="64" t="s" ph="1">
        <v>251</v>
      </c>
      <c r="AQ63" s="64" t="s" ph="1">
        <v>252</v>
      </c>
      <c r="AR63" s="64" t="s" ph="1">
        <v>253</v>
      </c>
      <c r="AS63" s="64" t="s" ph="1">
        <v>251</v>
      </c>
      <c r="AT63" s="64" t="s" ph="1">
        <v>252</v>
      </c>
      <c r="AU63" s="64" t="s" ph="1">
        <v>253</v>
      </c>
      <c r="AV63" s="64" t="s" ph="1">
        <v>251</v>
      </c>
      <c r="AW63" s="64" t="s" ph="1">
        <v>252</v>
      </c>
      <c r="AX63" s="64" t="s" ph="1">
        <v>253</v>
      </c>
      <c r="AY63" s="64" t="s" ph="1">
        <v>252</v>
      </c>
      <c r="AZ63" s="64" t="s" ph="1">
        <v>254</v>
      </c>
    </row>
    <row r="64" spans="16:52" ph="1">
      <c r="AH64" s="64" ph="1">
        <v>1</v>
      </c>
      <c r="AI64" s="64" t="s" ph="1">
        <v>427</v>
      </c>
      <c r="AJ64" s="64" t="s" ph="1">
        <v>428</v>
      </c>
      <c r="AK64" s="64" t="s" ph="1">
        <v>429</v>
      </c>
      <c r="AY64" s="64" t="s" ph="1">
        <v>257</v>
      </c>
      <c r="AZ64" s="64" t="s" ph="1">
        <v>429</v>
      </c>
    </row>
    <row r="65" spans="33:52" ph="1">
      <c r="AH65" s="64" ph="1">
        <v>2</v>
      </c>
      <c r="AI65" s="64" t="s" ph="1">
        <v>430</v>
      </c>
      <c r="AY65" s="64" t="s" ph="1">
        <v>257</v>
      </c>
      <c r="AZ65" s="64" t="s" ph="1">
        <v>408</v>
      </c>
    </row>
    <row r="66" spans="33:52" ph="1">
      <c r="AH66" s="64" ph="1">
        <v>3</v>
      </c>
      <c r="AI66" s="64" t="s" ph="1">
        <v>431</v>
      </c>
      <c r="AY66" s="64" t="s" ph="1">
        <v>257</v>
      </c>
      <c r="AZ66" s="64" t="s" ph="1">
        <v>408</v>
      </c>
    </row>
    <row r="67" spans="33:52" ph="1">
      <c r="AH67" s="64" ph="1">
        <v>4</v>
      </c>
      <c r="AI67" s="64" t="s" ph="1">
        <v>432</v>
      </c>
      <c r="AY67" s="64" t="s" ph="1">
        <v>257</v>
      </c>
      <c r="AZ67" s="64" t="s" ph="1">
        <v>408</v>
      </c>
    </row>
    <row r="68" spans="33:52" ph="1">
      <c r="AH68" s="64" ph="1">
        <v>5</v>
      </c>
      <c r="AI68" s="64" t="s" ph="1">
        <v>433</v>
      </c>
      <c r="AY68" s="64" t="s" ph="1">
        <v>257</v>
      </c>
      <c r="AZ68" s="64" t="s" ph="1">
        <v>408</v>
      </c>
    </row>
    <row r="69" spans="33:52" ph="1">
      <c r="AH69" s="64" ph="1">
        <v>6</v>
      </c>
      <c r="AI69" s="64" t="s" ph="1">
        <v>434</v>
      </c>
      <c r="AY69" s="64" t="s" ph="1">
        <v>257</v>
      </c>
      <c r="AZ69" s="64" t="s" ph="1">
        <v>408</v>
      </c>
    </row>
    <row r="70" spans="33:52" ph="1">
      <c r="AI70" s="64" t="s" ph="1">
        <v>435</v>
      </c>
      <c r="AY70" s="64" t="s" ph="1">
        <v>257</v>
      </c>
      <c r="AZ70" s="64" t="s" ph="1">
        <v>408</v>
      </c>
    </row>
    <row r="71" spans="33:52" ph="1">
      <c r="AH71" s="64" ph="1">
        <v>7</v>
      </c>
      <c r="AI71" s="64" t="s" ph="1">
        <v>436</v>
      </c>
      <c r="AJ71" s="64" t="s" ph="1">
        <v>375</v>
      </c>
      <c r="AK71" s="64" t="s" ph="1">
        <v>269</v>
      </c>
      <c r="AM71" s="64" t="s" ph="1">
        <v>377</v>
      </c>
      <c r="AN71" s="64" t="s" ph="1">
        <v>269</v>
      </c>
      <c r="AO71" s="64" t="s" ph="1">
        <v>437</v>
      </c>
      <c r="AP71" s="64" t="s" ph="1">
        <v>611</v>
      </c>
      <c r="AQ71" s="64" t="s" ph="1">
        <v>260</v>
      </c>
      <c r="AR71" s="64" t="s" ph="1">
        <v>437</v>
      </c>
      <c r="AY71" s="64" t="s" ph="1">
        <v>257</v>
      </c>
      <c r="AZ71" s="64" t="s" ph="1">
        <v>619</v>
      </c>
    </row>
    <row r="72" spans="33:52" ph="1">
      <c r="AZ72" s="64" t="s" ph="1">
        <v>620</v>
      </c>
    </row>
    <row r="73" spans="33:52" ph="1">
      <c r="AG73" s="64" t="s" ph="1">
        <v>282</v>
      </c>
      <c r="AI73" s="64" t="s" ph="1">
        <v>250</v>
      </c>
      <c r="AJ73" s="64" t="s" ph="1">
        <v>251</v>
      </c>
      <c r="AK73" s="64" t="s" ph="1">
        <v>252</v>
      </c>
      <c r="AM73" s="64" t="s" ph="1">
        <v>251</v>
      </c>
      <c r="AN73" s="64" t="s" ph="1">
        <v>252</v>
      </c>
      <c r="AO73" s="64" t="s" ph="1">
        <v>253</v>
      </c>
      <c r="AP73" s="64" t="s" ph="1">
        <v>251</v>
      </c>
      <c r="AQ73" s="64" t="s" ph="1">
        <v>252</v>
      </c>
      <c r="AR73" s="64" t="s" ph="1">
        <v>253</v>
      </c>
      <c r="AS73" s="64" t="s" ph="1">
        <v>251</v>
      </c>
      <c r="AT73" s="64" t="s" ph="1">
        <v>252</v>
      </c>
      <c r="AU73" s="64" t="s" ph="1">
        <v>253</v>
      </c>
      <c r="AV73" s="64" t="s" ph="1">
        <v>251</v>
      </c>
      <c r="AW73" s="64" t="s" ph="1">
        <v>252</v>
      </c>
      <c r="AX73" s="64" t="s" ph="1">
        <v>253</v>
      </c>
      <c r="AY73" s="64" t="s" ph="1">
        <v>252</v>
      </c>
      <c r="AZ73" s="64" t="s" ph="1">
        <v>254</v>
      </c>
    </row>
    <row r="74" spans="33:52" ph="1">
      <c r="AH74" s="64" ph="1">
        <v>1</v>
      </c>
      <c r="AI74" s="64" t="s" ph="1">
        <v>438</v>
      </c>
      <c r="AJ74" s="64" t="s" ph="1">
        <v>283</v>
      </c>
      <c r="AK74" s="64" t="s" ph="1">
        <v>265</v>
      </c>
      <c r="AM74" s="64" t="s" ph="1">
        <v>285</v>
      </c>
      <c r="AN74" s="64" t="s" ph="1">
        <v>295</v>
      </c>
      <c r="AO74" s="64" t="s" ph="1">
        <v>284</v>
      </c>
      <c r="AP74" s="64" t="s" ph="1">
        <v>286</v>
      </c>
      <c r="AQ74" s="64" t="s" ph="1">
        <v>263</v>
      </c>
      <c r="AR74" s="64" t="s" ph="1">
        <v>284</v>
      </c>
      <c r="AS74" s="64" t="s" ph="1">
        <v>256</v>
      </c>
      <c r="AT74" s="64" t="s" ph="1">
        <v>258</v>
      </c>
      <c r="AV74" s="64" t="s" ph="1">
        <v>439</v>
      </c>
      <c r="AW74" s="64" t="s" ph="1">
        <v>440</v>
      </c>
      <c r="AX74" s="64" t="s" ph="1">
        <v>441</v>
      </c>
      <c r="AY74" s="64" t="s" ph="1">
        <v>257</v>
      </c>
      <c r="AZ74" s="64" t="s" ph="1">
        <v>442</v>
      </c>
    </row>
    <row r="75" spans="33:52" ph="1">
      <c r="AJ75" s="64" t="s" ph="1">
        <v>288</v>
      </c>
      <c r="AK75" s="64" t="s" ph="1">
        <v>341</v>
      </c>
      <c r="AM75" s="64" t="s" ph="1">
        <v>286</v>
      </c>
      <c r="AN75" s="64" t="s" ph="1">
        <v>266</v>
      </c>
      <c r="AO75" s="64" t="s" ph="1">
        <v>284</v>
      </c>
      <c r="AS75" s="64" t="s" ph="1">
        <v>256</v>
      </c>
      <c r="AT75" s="64" t="s" ph="1">
        <v>287</v>
      </c>
    </row>
    <row r="76" spans="33:52" ph="1">
      <c r="AJ76" s="64" t="s" ph="1">
        <v>288</v>
      </c>
      <c r="AK76" s="64" t="s" ph="1">
        <v>281</v>
      </c>
      <c r="AM76" s="64" t="s" ph="1">
        <v>286</v>
      </c>
      <c r="AN76" s="64" t="s" ph="1">
        <v>269</v>
      </c>
      <c r="AO76" s="64" t="s" ph="1">
        <v>284</v>
      </c>
      <c r="AS76" s="64" t="s" ph="1">
        <v>256</v>
      </c>
      <c r="AT76" s="64" t="s" ph="1">
        <v>287</v>
      </c>
    </row>
    <row r="77" spans="33:52" ph="1">
      <c r="AJ77" s="64" t="s" ph="1">
        <v>324</v>
      </c>
      <c r="AK77" s="64" t="s" ph="1">
        <v>281</v>
      </c>
      <c r="AM77" s="64" t="s" ph="1">
        <v>325</v>
      </c>
      <c r="AN77" s="64" t="s" ph="1">
        <v>264</v>
      </c>
      <c r="AO77" s="64" t="s" ph="1">
        <v>284</v>
      </c>
      <c r="AS77" s="64" t="s" ph="1">
        <v>256</v>
      </c>
      <c r="AT77" s="64" t="s" ph="1">
        <v>326</v>
      </c>
    </row>
    <row r="78" spans="33:52" ph="1">
      <c r="AH78" s="64" ph="1">
        <v>2</v>
      </c>
      <c r="AI78" s="64" t="s" ph="1">
        <v>290</v>
      </c>
      <c r="AJ78" s="64" t="s" ph="1">
        <v>291</v>
      </c>
      <c r="AK78" s="64" t="s" ph="1">
        <v>260</v>
      </c>
      <c r="AM78" s="64" t="s" ph="1">
        <v>292</v>
      </c>
      <c r="AN78" s="64" t="s" ph="1">
        <v>295</v>
      </c>
      <c r="AO78" s="64" t="s" ph="1">
        <v>284</v>
      </c>
      <c r="AP78" s="64" t="s" ph="1">
        <v>293</v>
      </c>
      <c r="AQ78" s="64" t="s" ph="1">
        <v>339</v>
      </c>
      <c r="AR78" s="64" t="s" ph="1">
        <v>284</v>
      </c>
      <c r="AS78" s="64" t="s" ph="1">
        <v>294</v>
      </c>
      <c r="AT78" s="64" t="s" ph="1">
        <v>295</v>
      </c>
      <c r="AU78" s="64" t="s" ph="1">
        <v>284</v>
      </c>
      <c r="AV78" s="64" t="s" ph="1">
        <v>296</v>
      </c>
      <c r="AW78" s="64" t="s" ph="1">
        <v>284</v>
      </c>
      <c r="AY78" s="64" t="s" ph="1">
        <v>257</v>
      </c>
      <c r="AZ78" s="64" t="s" ph="1">
        <v>443</v>
      </c>
    </row>
    <row r="79" spans="33:52" ph="1">
      <c r="AJ79" s="64" t="s" ph="1">
        <v>286</v>
      </c>
      <c r="AK79" s="64" t="s" ph="1">
        <v>297</v>
      </c>
      <c r="AM79" s="64" t="s" ph="1">
        <v>298</v>
      </c>
      <c r="AN79" s="64" t="s" ph="1">
        <v>266</v>
      </c>
      <c r="AO79" s="64" t="s" ph="1">
        <v>284</v>
      </c>
      <c r="AP79" s="64" t="s" ph="1">
        <v>299</v>
      </c>
      <c r="AQ79" s="64" t="s" ph="1">
        <v>264</v>
      </c>
      <c r="AR79" s="64" t="s" ph="1">
        <v>300</v>
      </c>
      <c r="AS79" s="64" t="s" ph="1">
        <v>256</v>
      </c>
      <c r="AT79" s="64" t="s" ph="1">
        <v>301</v>
      </c>
      <c r="AV79" s="64" t="s" ph="1">
        <v>444</v>
      </c>
      <c r="AW79" s="64" t="s" ph="1">
        <v>343</v>
      </c>
      <c r="AX79" s="64" t="s" ph="1">
        <v>441</v>
      </c>
    </row>
    <row r="80" spans="33:52" ph="1">
      <c r="AH80" s="64" ph="1">
        <v>3</v>
      </c>
      <c r="AI80" s="64" t="s" ph="1">
        <v>302</v>
      </c>
      <c r="AJ80" s="64" t="s" ph="1">
        <v>303</v>
      </c>
      <c r="AK80" s="64" t="s" ph="1">
        <v>304</v>
      </c>
      <c r="AM80" s="64" t="s" ph="1">
        <v>305</v>
      </c>
      <c r="AN80" s="64" t="s" ph="1">
        <v>295</v>
      </c>
      <c r="AO80" s="64" t="s" ph="1">
        <v>284</v>
      </c>
      <c r="AP80" s="64" t="s" ph="1">
        <v>306</v>
      </c>
      <c r="AQ80" s="64" t="s" ph="1">
        <v>269</v>
      </c>
      <c r="AR80" s="64" t="s" ph="1">
        <v>284</v>
      </c>
      <c r="AS80" s="64" t="s" ph="1">
        <v>307</v>
      </c>
      <c r="AT80" s="64" t="s" ph="1">
        <v>268</v>
      </c>
      <c r="AU80" s="64" t="s" ph="1">
        <v>284</v>
      </c>
      <c r="AV80" s="64" t="s" ph="1">
        <v>308</v>
      </c>
      <c r="AW80" s="64" t="s" ph="1">
        <v>284</v>
      </c>
      <c r="AY80" s="64" t="s" ph="1">
        <v>257</v>
      </c>
      <c r="AZ80" s="64" t="s" ph="1">
        <v>445</v>
      </c>
    </row>
    <row r="81" spans="34:52" ph="1">
      <c r="AJ81" s="64" t="s" ph="1">
        <v>309</v>
      </c>
      <c r="AK81" s="64" t="s" ph="1">
        <v>263</v>
      </c>
      <c r="AM81" s="64" t="s" ph="1">
        <v>310</v>
      </c>
      <c r="AN81" s="64" t="s" ph="1">
        <v>266</v>
      </c>
      <c r="AO81" s="64" t="s" ph="1">
        <v>284</v>
      </c>
      <c r="AP81" s="64" t="s" ph="1">
        <v>311</v>
      </c>
      <c r="AQ81" s="64" t="s" ph="1">
        <v>295</v>
      </c>
      <c r="AR81" s="64" t="s" ph="1">
        <v>284</v>
      </c>
      <c r="AS81" s="64" t="s" ph="1">
        <v>312</v>
      </c>
      <c r="AT81" s="64" t="s" ph="1">
        <v>313</v>
      </c>
      <c r="AU81" s="64" t="s" ph="1">
        <v>284</v>
      </c>
      <c r="AV81" s="64" t="s" ph="1">
        <v>314</v>
      </c>
    </row>
    <row r="82" spans="34:52" ph="1">
      <c r="AJ82" s="64" t="s" ph="1">
        <v>315</v>
      </c>
      <c r="AK82" s="64" t="s" ph="1">
        <v>263</v>
      </c>
      <c r="AM82" s="64" t="s" ph="1">
        <v>316</v>
      </c>
      <c r="AN82" s="64" t="s" ph="1">
        <v>313</v>
      </c>
      <c r="AO82" s="64" t="s" ph="1">
        <v>317</v>
      </c>
      <c r="AP82" s="64" t="s" ph="1">
        <v>318</v>
      </c>
      <c r="AQ82" s="64" t="s" ph="1">
        <v>295</v>
      </c>
      <c r="AR82" s="64" t="s" ph="1">
        <v>284</v>
      </c>
      <c r="AS82" s="64" t="s" ph="1">
        <v>319</v>
      </c>
      <c r="AT82" s="64" t="s" ph="1">
        <v>270</v>
      </c>
      <c r="AU82" s="64" t="s" ph="1">
        <v>284</v>
      </c>
      <c r="AV82" s="64" t="s" ph="1">
        <v>444</v>
      </c>
      <c r="AW82" s="64" t="s" ph="1">
        <v>344</v>
      </c>
      <c r="AX82" s="64" t="s" ph="1">
        <v>441</v>
      </c>
    </row>
    <row r="83" spans="34:52" ph="1">
      <c r="AJ83" s="64" t="s" ph="1">
        <v>320</v>
      </c>
      <c r="AK83" s="64" t="s" ph="1">
        <v>337</v>
      </c>
      <c r="AM83" s="64" t="s" ph="1">
        <v>321</v>
      </c>
      <c r="AN83" s="64" t="s" ph="1">
        <v>269</v>
      </c>
      <c r="AO83" s="64" t="s" ph="1">
        <v>300</v>
      </c>
      <c r="AP83" s="64" t="s" ph="1">
        <v>322</v>
      </c>
      <c r="AQ83" s="64" t="s" ph="1">
        <v>323</v>
      </c>
      <c r="AR83" s="64" t="s" ph="1">
        <v>300</v>
      </c>
      <c r="AS83" s="64" t="s" ph="1">
        <v>446</v>
      </c>
      <c r="AT83" s="64" t="s" ph="1">
        <v>295</v>
      </c>
      <c r="AU83" s="64" t="s" ph="1">
        <v>300</v>
      </c>
      <c r="AV83" s="64" t="s" ph="1">
        <v>447</v>
      </c>
      <c r="AW83" s="64" t="s" ph="1">
        <v>344</v>
      </c>
      <c r="AX83" s="64" t="s" ph="1">
        <v>448</v>
      </c>
    </row>
    <row r="84" spans="34:52" ph="1">
      <c r="AH84" s="64" ph="1">
        <v>4</v>
      </c>
      <c r="AI84" s="64" t="s" ph="1">
        <v>327</v>
      </c>
      <c r="AJ84" s="64" t="s" ph="1">
        <v>267</v>
      </c>
      <c r="AK84" s="64" t="s" ph="1">
        <v>270</v>
      </c>
      <c r="AM84" s="64" t="s" ph="1">
        <v>271</v>
      </c>
      <c r="AN84" s="64" t="s" ph="1">
        <v>264</v>
      </c>
      <c r="AO84" s="64" t="s" ph="1">
        <v>300</v>
      </c>
      <c r="AP84" s="64" t="s" ph="1">
        <v>329</v>
      </c>
      <c r="AQ84" s="64" t="s" ph="1">
        <v>263</v>
      </c>
      <c r="AR84" s="64" t="s" ph="1">
        <v>300</v>
      </c>
      <c r="AS84" s="64" t="s" ph="1">
        <v>329</v>
      </c>
      <c r="AT84" s="64" t="s" ph="1">
        <v>265</v>
      </c>
      <c r="AU84" s="64" t="s" ph="1">
        <v>300</v>
      </c>
      <c r="AY84" s="64" t="s" ph="1">
        <v>257</v>
      </c>
      <c r="AZ84" s="64" t="s" ph="1">
        <v>449</v>
      </c>
    </row>
    <row r="85" spans="34:52" ph="1">
      <c r="AJ85" s="64" t="s" ph="1">
        <v>259</v>
      </c>
      <c r="AK85" s="64" t="s" ph="1">
        <v>263</v>
      </c>
      <c r="AM85" s="64" t="s" ph="1">
        <v>450</v>
      </c>
      <c r="AN85" s="64" t="s" ph="1">
        <v>270</v>
      </c>
      <c r="AO85" s="64" t="s" ph="1">
        <v>300</v>
      </c>
      <c r="AP85" s="64" t="s" ph="1">
        <v>451</v>
      </c>
      <c r="AQ85" s="64" t="s" ph="1">
        <v>266</v>
      </c>
      <c r="AR85" s="64" t="s" ph="1">
        <v>300</v>
      </c>
      <c r="AS85" s="64" t="s" ph="1">
        <v>452</v>
      </c>
      <c r="AT85" s="64" t="s" ph="1">
        <v>266</v>
      </c>
      <c r="AU85" s="64" t="s" ph="1">
        <v>300</v>
      </c>
    </row>
    <row r="86" spans="34:52" ph="1">
      <c r="AJ86" s="64" t="s" ph="1">
        <v>453</v>
      </c>
      <c r="AK86" s="64" t="s" ph="1">
        <v>272</v>
      </c>
      <c r="AM86" s="64" t="s" ph="1">
        <v>454</v>
      </c>
      <c r="AN86" s="64" t="s" ph="1">
        <v>313</v>
      </c>
      <c r="AO86" s="64" t="s" ph="1">
        <v>300</v>
      </c>
      <c r="AP86" s="64" t="s" ph="1">
        <v>455</v>
      </c>
      <c r="AQ86" s="64" t="s" ph="1">
        <v>260</v>
      </c>
      <c r="AR86" s="64" t="s" ph="1">
        <v>300</v>
      </c>
      <c r="AS86" s="64" t="s" ph="1">
        <v>456</v>
      </c>
      <c r="AT86" s="64" t="s" ph="1">
        <v>278</v>
      </c>
      <c r="AU86" s="64" t="s" ph="1">
        <v>300</v>
      </c>
    </row>
    <row r="87" spans="34:52" ph="1">
      <c r="AJ87" s="64" t="s" ph="1">
        <v>457</v>
      </c>
      <c r="AK87" s="64" t="s" ph="1">
        <v>313</v>
      </c>
      <c r="AM87" s="64" t="s" ph="1">
        <v>444</v>
      </c>
      <c r="AN87" s="64" t="s" ph="1">
        <v>458</v>
      </c>
      <c r="AO87" s="64" t="s" ph="1">
        <v>441</v>
      </c>
    </row>
    <row r="88" spans="34:52" ph="1">
      <c r="AH88" s="64" ph="1">
        <v>5</v>
      </c>
      <c r="AI88" s="64" t="s" ph="1">
        <v>330</v>
      </c>
      <c r="AJ88" s="64" t="s" ph="1">
        <v>459</v>
      </c>
      <c r="AK88" s="64" t="s" ph="1">
        <v>313</v>
      </c>
      <c r="AM88" s="64" t="s" ph="1">
        <v>460</v>
      </c>
      <c r="AN88" s="64" t="s" ph="1">
        <v>313</v>
      </c>
      <c r="AO88" s="64" t="s" ph="1">
        <v>300</v>
      </c>
      <c r="AP88" s="64" t="s" ph="1">
        <v>461</v>
      </c>
      <c r="AQ88" s="64" t="s" ph="1">
        <v>263</v>
      </c>
      <c r="AR88" s="64" t="s" ph="1">
        <v>300</v>
      </c>
      <c r="AS88" s="64" t="s" ph="1">
        <v>462</v>
      </c>
      <c r="AT88" s="64" t="s" ph="1">
        <v>313</v>
      </c>
      <c r="AU88" s="64" t="s" ph="1">
        <v>300</v>
      </c>
      <c r="AV88" s="64" t="s" ph="1">
        <v>463</v>
      </c>
      <c r="AW88" s="64" t="s" ph="1">
        <v>268</v>
      </c>
      <c r="AX88" s="64" t="s" ph="1">
        <v>300</v>
      </c>
      <c r="AY88" s="64" t="s" ph="1">
        <v>257</v>
      </c>
      <c r="AZ88" s="64" t="s" ph="1">
        <v>464</v>
      </c>
    </row>
    <row r="89" spans="34:52" ph="1">
      <c r="AJ89" s="64" t="s" ph="1">
        <v>465</v>
      </c>
      <c r="AK89" s="64" t="s" ph="1">
        <v>266</v>
      </c>
      <c r="AM89" s="64" t="s" ph="1">
        <v>466</v>
      </c>
      <c r="AN89" s="64" t="s" ph="1">
        <v>269</v>
      </c>
      <c r="AO89" s="64" t="s" ph="1">
        <v>300</v>
      </c>
      <c r="AP89" s="64" t="s" ph="1">
        <v>467</v>
      </c>
      <c r="AQ89" s="64" t="s" ph="1">
        <v>278</v>
      </c>
      <c r="AR89" s="64" t="s" ph="1">
        <v>300</v>
      </c>
      <c r="AS89" s="64" t="s" ph="1">
        <v>468</v>
      </c>
      <c r="AT89" s="64" t="s" ph="1">
        <v>313</v>
      </c>
      <c r="AU89" s="64" t="s" ph="1">
        <v>300</v>
      </c>
      <c r="AV89" s="64" t="s" ph="1">
        <v>469</v>
      </c>
      <c r="AW89" s="64" t="s" ph="1">
        <v>295</v>
      </c>
      <c r="AX89" s="64" t="s" ph="1">
        <v>328</v>
      </c>
    </row>
    <row r="90" spans="34:52" ph="1">
      <c r="AJ90" s="64" t="s" ph="1">
        <v>470</v>
      </c>
      <c r="AK90" s="64" t="s" ph="1">
        <v>269</v>
      </c>
      <c r="AM90" s="64" t="s" ph="1">
        <v>471</v>
      </c>
      <c r="AN90" s="64" t="s" ph="1">
        <v>266</v>
      </c>
      <c r="AO90" s="64" t="s" ph="1">
        <v>300</v>
      </c>
      <c r="AP90" s="64" t="s" ph="1">
        <v>472</v>
      </c>
      <c r="AQ90" s="64" t="s" ph="1">
        <v>335</v>
      </c>
      <c r="AR90" s="64" t="s" ph="1">
        <v>300</v>
      </c>
      <c r="AS90" s="64" t="s" ph="1">
        <v>473</v>
      </c>
      <c r="AT90" s="64" t="s" ph="1">
        <v>323</v>
      </c>
      <c r="AU90" s="64" t="s" ph="1">
        <v>300</v>
      </c>
      <c r="AV90" s="64" t="s" ph="1">
        <v>474</v>
      </c>
      <c r="AW90" s="64" t="s" ph="1">
        <v>260</v>
      </c>
      <c r="AX90" s="64" t="s" ph="1">
        <v>300</v>
      </c>
    </row>
    <row r="91" spans="34:52" ph="1">
      <c r="AJ91" s="64" t="s" ph="1">
        <v>475</v>
      </c>
      <c r="AK91" s="64" t="s" ph="1">
        <v>313</v>
      </c>
      <c r="AM91" s="64" t="s" ph="1">
        <v>476</v>
      </c>
      <c r="AN91" s="64" t="s" ph="1">
        <v>280</v>
      </c>
      <c r="AO91" s="64" t="s" ph="1">
        <v>300</v>
      </c>
      <c r="AP91" s="64" t="s" ph="1">
        <v>477</v>
      </c>
      <c r="AQ91" s="64" t="s" ph="1">
        <v>260</v>
      </c>
      <c r="AS91" s="64" t="s" ph="1">
        <v>444</v>
      </c>
      <c r="AT91" s="64" t="s" ph="1">
        <v>440</v>
      </c>
      <c r="AU91" s="64" t="s" ph="1">
        <v>441</v>
      </c>
    </row>
    <row r="92" spans="34:52" ph="1">
      <c r="AH92" s="64" ph="1">
        <v>6</v>
      </c>
      <c r="AI92" s="64" t="s" ph="1">
        <v>478</v>
      </c>
      <c r="AJ92" s="64" t="s" ph="1">
        <v>479</v>
      </c>
      <c r="AK92" s="64" t="s" ph="1">
        <v>408</v>
      </c>
      <c r="AM92" s="64" t="s" ph="1">
        <v>480</v>
      </c>
      <c r="AN92" s="64" t="s" ph="1">
        <v>268</v>
      </c>
      <c r="AO92" s="64" t="s" ph="1">
        <v>300</v>
      </c>
      <c r="AP92" s="64" t="s" ph="1">
        <v>481</v>
      </c>
      <c r="AQ92" s="64" t="s" ph="1">
        <v>340</v>
      </c>
      <c r="AR92" s="64" t="s" ph="1">
        <v>300</v>
      </c>
      <c r="AS92" s="64" t="s" ph="1">
        <v>482</v>
      </c>
      <c r="AT92" s="64" t="s" ph="1">
        <v>313</v>
      </c>
      <c r="AU92" s="64" t="s" ph="1">
        <v>300</v>
      </c>
      <c r="AV92" s="64" t="s" ph="1">
        <v>483</v>
      </c>
      <c r="AW92" s="64" t="s" ph="1">
        <v>269</v>
      </c>
      <c r="AX92" s="64" t="s" ph="1">
        <v>300</v>
      </c>
      <c r="AY92" s="64" t="s" ph="1">
        <v>257</v>
      </c>
      <c r="AZ92" s="64" t="s" ph="1">
        <v>464</v>
      </c>
    </row>
    <row r="93" spans="34:52" ph="1">
      <c r="AJ93" s="64" t="s" ph="1">
        <v>484</v>
      </c>
      <c r="AK93" s="64" t="s" ph="1">
        <v>263</v>
      </c>
      <c r="AM93" s="64" t="s" ph="1">
        <v>485</v>
      </c>
      <c r="AN93" s="64" t="s" ph="1">
        <v>268</v>
      </c>
      <c r="AO93" s="64" t="s" ph="1">
        <v>300</v>
      </c>
      <c r="AP93" s="64" t="s" ph="1">
        <v>486</v>
      </c>
      <c r="AQ93" s="64" t="s" ph="1">
        <v>272</v>
      </c>
      <c r="AR93" s="64" t="s" ph="1">
        <v>300</v>
      </c>
      <c r="AS93" s="64" t="s" ph="1">
        <v>487</v>
      </c>
      <c r="AT93" s="64" t="s" ph="1">
        <v>278</v>
      </c>
      <c r="AU93" s="64" t="s" ph="1">
        <v>300</v>
      </c>
      <c r="AV93" s="64" t="s" ph="1">
        <v>488</v>
      </c>
      <c r="AW93" s="64" t="s" ph="1">
        <v>272</v>
      </c>
      <c r="AX93" s="64" t="s" ph="1">
        <v>300</v>
      </c>
    </row>
    <row r="94" spans="34:52" ph="1">
      <c r="AJ94" s="64" t="s" ph="1">
        <v>489</v>
      </c>
      <c r="AK94" s="64" t="s" ph="1">
        <v>335</v>
      </c>
      <c r="AM94" s="64" t="s" ph="1">
        <v>490</v>
      </c>
      <c r="AN94" s="64" t="s" ph="1">
        <v>272</v>
      </c>
      <c r="AO94" s="64" t="s" ph="1">
        <v>300</v>
      </c>
      <c r="AP94" s="64" t="s" ph="1">
        <v>491</v>
      </c>
      <c r="AQ94" s="64" t="s" ph="1">
        <v>280</v>
      </c>
      <c r="AR94" s="64" t="s" ph="1">
        <v>300</v>
      </c>
      <c r="AS94" s="64" t="s" ph="1">
        <v>492</v>
      </c>
      <c r="AT94" s="64" t="s" ph="1">
        <v>266</v>
      </c>
      <c r="AU94" s="64" t="s" ph="1">
        <v>300</v>
      </c>
      <c r="AV94" s="64" t="s" ph="1">
        <v>493</v>
      </c>
      <c r="AW94" s="64" t="s" ph="1">
        <v>266</v>
      </c>
      <c r="AX94" s="64" t="s" ph="1">
        <v>300</v>
      </c>
    </row>
    <row r="95" spans="34:52" ph="1">
      <c r="AJ95" s="64" t="s" ph="1">
        <v>494</v>
      </c>
      <c r="AK95" s="64" t="s" ph="1">
        <v>340</v>
      </c>
    </row>
    <row r="96" spans="34:52" ph="1">
      <c r="AH96" s="64" ph="1">
        <v>7</v>
      </c>
      <c r="AI96" s="64" t="s" ph="1">
        <v>495</v>
      </c>
      <c r="AJ96" s="64" t="s" ph="1">
        <v>494</v>
      </c>
      <c r="AK96" s="64" t="s" ph="1">
        <v>295</v>
      </c>
      <c r="AM96" s="64" t="s" ph="1">
        <v>496</v>
      </c>
      <c r="AN96" s="64" t="s" ph="1">
        <v>269</v>
      </c>
      <c r="AO96" s="64" t="s" ph="1">
        <v>300</v>
      </c>
      <c r="AP96" s="64" t="s" ph="1">
        <v>497</v>
      </c>
      <c r="AQ96" s="64" t="s" ph="1">
        <v>313</v>
      </c>
      <c r="AR96" s="64" t="s" ph="1">
        <v>328</v>
      </c>
      <c r="AS96" s="64" t="s" ph="1">
        <v>498</v>
      </c>
      <c r="AT96" s="64" t="s" ph="1">
        <v>272</v>
      </c>
      <c r="AU96" s="64" t="s" ph="1">
        <v>328</v>
      </c>
      <c r="AV96" s="64" t="s" ph="1">
        <v>499</v>
      </c>
      <c r="AW96" s="64" t="s" ph="1">
        <v>268</v>
      </c>
      <c r="AX96" s="64" t="s" ph="1">
        <v>328</v>
      </c>
      <c r="AY96" s="64" t="s" ph="1">
        <v>257</v>
      </c>
      <c r="AZ96" s="64" t="s" ph="1">
        <v>500</v>
      </c>
    </row>
    <row r="97" spans="33:52" ph="1">
      <c r="AJ97" s="64" t="s" ph="1">
        <v>501</v>
      </c>
      <c r="AK97" s="64" t="s" ph="1">
        <v>323</v>
      </c>
      <c r="AM97" s="64" t="s" ph="1">
        <v>502</v>
      </c>
      <c r="AN97" s="64" t="s" ph="1">
        <v>266</v>
      </c>
      <c r="AO97" s="64" t="s" ph="1">
        <v>300</v>
      </c>
      <c r="AP97" s="64" t="s" ph="1">
        <v>503</v>
      </c>
      <c r="AQ97" s="64" t="s" ph="1">
        <v>260</v>
      </c>
      <c r="AR97" s="64" t="s" ph="1">
        <v>328</v>
      </c>
      <c r="AS97" s="64" t="s" ph="1">
        <v>504</v>
      </c>
      <c r="AT97" s="64" t="s" ph="1">
        <v>263</v>
      </c>
      <c r="AU97" s="64" t="s" ph="1">
        <v>328</v>
      </c>
      <c r="AV97" s="64" t="s" ph="1">
        <v>505</v>
      </c>
      <c r="AW97" s="64" t="s" ph="1">
        <v>269</v>
      </c>
      <c r="AX97" s="64" t="s" ph="1">
        <v>328</v>
      </c>
    </row>
    <row r="98" spans="33:52" ph="1">
      <c r="AJ98" s="64" t="s" ph="1">
        <v>506</v>
      </c>
      <c r="AK98" s="64" t="s" ph="1">
        <v>272</v>
      </c>
      <c r="AM98" s="64" t="s" ph="1">
        <v>507</v>
      </c>
      <c r="AN98" s="64" t="s" ph="1">
        <v>280</v>
      </c>
      <c r="AO98" s="64" t="s" ph="1">
        <v>300</v>
      </c>
      <c r="AP98" s="64" t="s" ph="1">
        <v>508</v>
      </c>
      <c r="AQ98" s="64" t="s" ph="1">
        <v>260</v>
      </c>
      <c r="AR98" s="64" t="s" ph="1">
        <v>328</v>
      </c>
      <c r="AS98" s="64" t="s" ph="1">
        <v>509</v>
      </c>
      <c r="AT98" s="64" t="s" ph="1">
        <v>340</v>
      </c>
      <c r="AU98" s="64" t="s" ph="1">
        <v>328</v>
      </c>
      <c r="AV98" s="64" t="s" ph="1">
        <v>510</v>
      </c>
      <c r="AW98" s="64" t="s" ph="1">
        <v>263</v>
      </c>
      <c r="AX98" s="64" t="s" ph="1">
        <v>328</v>
      </c>
    </row>
    <row r="99" spans="33:52" ph="1">
      <c r="AH99" s="64" ph="1">
        <v>8</v>
      </c>
      <c r="AI99" s="64" t="s" ph="1">
        <v>511</v>
      </c>
      <c r="AJ99" s="64" t="s" ph="1">
        <v>512</v>
      </c>
      <c r="AK99" s="64" t="s" ph="1">
        <v>408</v>
      </c>
      <c r="AM99" s="64" t="s" ph="1">
        <v>513</v>
      </c>
      <c r="AN99" s="64" t="s" ph="1">
        <v>295</v>
      </c>
      <c r="AO99" s="64" t="s" ph="1">
        <v>300</v>
      </c>
      <c r="AP99" s="64" t="s" ph="1">
        <v>514</v>
      </c>
      <c r="AQ99" s="64" t="s" ph="1">
        <v>265</v>
      </c>
      <c r="AR99" s="64" t="s" ph="1">
        <v>328</v>
      </c>
      <c r="AS99" s="64" t="s" ph="1">
        <v>515</v>
      </c>
      <c r="AT99" s="64" t="s" ph="1">
        <v>280</v>
      </c>
      <c r="AU99" s="64" t="s" ph="1">
        <v>328</v>
      </c>
      <c r="AV99" s="64" t="s" ph="1">
        <v>516</v>
      </c>
      <c r="AW99" s="64" t="s" ph="1">
        <v>265</v>
      </c>
      <c r="AX99" s="64" t="s" ph="1">
        <v>328</v>
      </c>
      <c r="AY99" s="64" t="s" ph="1">
        <v>257</v>
      </c>
      <c r="AZ99" s="64" t="s" ph="1">
        <v>517</v>
      </c>
    </row>
    <row r="100" spans="33:52" ph="1">
      <c r="AJ100" s="64" t="s" ph="1">
        <v>518</v>
      </c>
      <c r="AK100" s="64" t="s" ph="1">
        <v>263</v>
      </c>
      <c r="AM100" s="64" t="s" ph="1">
        <v>519</v>
      </c>
      <c r="AN100" s="64" t="s" ph="1">
        <v>335</v>
      </c>
      <c r="AO100" s="64" t="s" ph="1">
        <v>300</v>
      </c>
      <c r="AP100" s="64" t="s" ph="1">
        <v>520</v>
      </c>
      <c r="AQ100" s="64" t="s" ph="1">
        <v>341</v>
      </c>
      <c r="AR100" s="64" t="s" ph="1">
        <v>328</v>
      </c>
      <c r="AS100" s="64" t="s" ph="1">
        <v>521</v>
      </c>
      <c r="AT100" s="64" t="s" ph="1">
        <v>408</v>
      </c>
      <c r="AU100" s="64" t="s" ph="1">
        <v>300</v>
      </c>
      <c r="AV100" s="64" t="s" ph="1">
        <v>522</v>
      </c>
      <c r="AW100" s="64" t="s" ph="1">
        <v>408</v>
      </c>
      <c r="AX100" s="64" t="s" ph="1">
        <v>300</v>
      </c>
    </row>
    <row r="101" spans="33:52" ph="1">
      <c r="AJ101" s="64" t="s" ph="1">
        <v>523</v>
      </c>
      <c r="AK101" s="64" t="s" ph="1">
        <v>408</v>
      </c>
      <c r="AM101" s="64" t="s" ph="1">
        <v>524</v>
      </c>
      <c r="AN101" s="64" t="s" ph="1">
        <v>266</v>
      </c>
      <c r="AO101" s="64" t="s" ph="1">
        <v>300</v>
      </c>
      <c r="AP101" s="64" t="s" ph="1">
        <v>525</v>
      </c>
      <c r="AQ101" s="64" t="s" ph="1">
        <v>278</v>
      </c>
      <c r="AR101" s="64" t="s" ph="1">
        <v>328</v>
      </c>
      <c r="AS101" s="64" t="s" ph="1">
        <v>526</v>
      </c>
      <c r="AT101" s="64" t="s" ph="1">
        <v>335</v>
      </c>
      <c r="AU101" s="64" t="s" ph="1">
        <v>328</v>
      </c>
      <c r="AV101" s="64" t="s" ph="1">
        <v>527</v>
      </c>
      <c r="AW101" s="64" t="s" ph="1">
        <v>266</v>
      </c>
      <c r="AX101" s="64" t="s" ph="1">
        <v>300</v>
      </c>
    </row>
    <row r="102" spans="33:52" ph="1">
      <c r="AJ102" s="64" t="s" ph="1">
        <v>528</v>
      </c>
      <c r="AK102" s="64" t="s" ph="1">
        <v>263</v>
      </c>
      <c r="AM102" s="64" t="s" ph="1">
        <v>529</v>
      </c>
      <c r="AN102" s="64" t="s" ph="1">
        <v>272</v>
      </c>
      <c r="AO102" s="64" t="s" ph="1">
        <v>300</v>
      </c>
      <c r="AP102" s="64" t="s" ph="1">
        <v>530</v>
      </c>
      <c r="AQ102" s="64" t="s" ph="1">
        <v>278</v>
      </c>
      <c r="AR102" s="64" t="s" ph="1">
        <v>300</v>
      </c>
      <c r="AS102" s="64" t="s" ph="1">
        <v>531</v>
      </c>
      <c r="AT102" s="64" t="s" ph="1">
        <v>295</v>
      </c>
      <c r="AU102" s="64" t="s" ph="1">
        <v>300</v>
      </c>
      <c r="AV102" s="64" t="s" ph="1">
        <v>532</v>
      </c>
      <c r="AW102" s="64" t="s" ph="1">
        <v>313</v>
      </c>
      <c r="AX102" s="64" t="s" ph="1">
        <v>300</v>
      </c>
    </row>
    <row r="103" spans="33:52" ph="1">
      <c r="AH103" s="64" ph="1">
        <v>9</v>
      </c>
      <c r="AI103" s="64" t="s" ph="1">
        <v>533</v>
      </c>
      <c r="AJ103" s="64" t="s" ph="1">
        <v>534</v>
      </c>
      <c r="AK103" s="64" t="s" ph="1">
        <v>408</v>
      </c>
      <c r="AM103" s="64" t="s" ph="1">
        <v>535</v>
      </c>
      <c r="AN103" s="64" t="s" ph="1">
        <v>323</v>
      </c>
      <c r="AO103" s="64" t="s" ph="1">
        <v>300</v>
      </c>
      <c r="AP103" s="64" t="s" ph="1">
        <v>377</v>
      </c>
      <c r="AQ103" s="64" t="s" ph="1">
        <v>266</v>
      </c>
      <c r="AR103" s="64" t="s" ph="1">
        <v>300</v>
      </c>
      <c r="AS103" s="64" t="s" ph="1">
        <v>611</v>
      </c>
      <c r="AT103" s="64" t="s" ph="1">
        <v>408</v>
      </c>
      <c r="AU103" s="64" t="s" ph="1">
        <v>300</v>
      </c>
      <c r="AY103" s="64" t="s" ph="1">
        <v>257</v>
      </c>
      <c r="AZ103" s="64" t="s" ph="1">
        <v>265</v>
      </c>
    </row>
    <row r="104" spans="33:52" ph="1">
      <c r="AZ104" s="64" t="s" ph="1">
        <v>536</v>
      </c>
    </row>
    <row r="105" spans="33:52" ph="1">
      <c r="AG105" s="64" t="s" ph="1">
        <v>336</v>
      </c>
      <c r="AI105" s="64" t="s" ph="1">
        <v>250</v>
      </c>
      <c r="AJ105" s="64" t="s" ph="1">
        <v>251</v>
      </c>
      <c r="AK105" s="64" t="s" ph="1">
        <v>252</v>
      </c>
      <c r="AM105" s="64" t="s" ph="1">
        <v>251</v>
      </c>
      <c r="AN105" s="64" t="s" ph="1">
        <v>252</v>
      </c>
      <c r="AO105" s="64" t="s" ph="1">
        <v>253</v>
      </c>
      <c r="AP105" s="64" t="s" ph="1">
        <v>251</v>
      </c>
      <c r="AQ105" s="64" t="s" ph="1">
        <v>252</v>
      </c>
      <c r="AR105" s="64" t="s" ph="1">
        <v>253</v>
      </c>
      <c r="AS105" s="64" t="s" ph="1">
        <v>251</v>
      </c>
      <c r="AT105" s="64" t="s" ph="1">
        <v>252</v>
      </c>
      <c r="AU105" s="64" t="s" ph="1">
        <v>253</v>
      </c>
      <c r="AV105" s="64" t="s" ph="1">
        <v>251</v>
      </c>
      <c r="AW105" s="64" t="s" ph="1">
        <v>252</v>
      </c>
      <c r="AX105" s="64" t="s" ph="1">
        <v>253</v>
      </c>
      <c r="AZ105" s="64" t="s" ph="1">
        <v>254</v>
      </c>
    </row>
    <row r="106" spans="33:52" ph="1">
      <c r="AH106" s="64" ph="1">
        <v>1</v>
      </c>
      <c r="AI106" s="64" t="s" ph="1">
        <v>537</v>
      </c>
      <c r="AJ106" s="64" t="s" ph="1">
        <v>611</v>
      </c>
      <c r="AK106" s="64" t="s" ph="1">
        <v>272</v>
      </c>
      <c r="AZ106" s="64" t="s" ph="1">
        <v>272</v>
      </c>
    </row>
    <row r="107" spans="33:52" ph="1">
      <c r="AH107" s="64" ph="1">
        <v>2</v>
      </c>
      <c r="AI107" s="64" t="s" ph="1">
        <v>538</v>
      </c>
      <c r="AJ107" s="64" t="s" ph="1">
        <v>539</v>
      </c>
      <c r="AK107" s="64" t="s" ph="1">
        <v>269</v>
      </c>
      <c r="AM107" s="64" t="s" ph="1">
        <v>375</v>
      </c>
      <c r="AN107" s="64" t="s" ph="1">
        <v>540</v>
      </c>
      <c r="AO107" s="64" t="s" ph="1">
        <v>541</v>
      </c>
      <c r="AP107" s="64" t="s" ph="1">
        <v>377</v>
      </c>
      <c r="AQ107" s="64" t="s" ph="1">
        <v>345</v>
      </c>
      <c r="AR107" s="64" t="s" ph="1">
        <v>541</v>
      </c>
      <c r="AS107" s="64" t="s" ph="1">
        <v>611</v>
      </c>
      <c r="AT107" s="64" t="s" ph="1">
        <v>540</v>
      </c>
      <c r="AU107" s="64" t="s" ph="1">
        <v>541</v>
      </c>
      <c r="AY107" s="64" t="s" ph="1">
        <v>257</v>
      </c>
      <c r="AZ107" s="64" t="s" ph="1">
        <v>621</v>
      </c>
    </row>
    <row r="108" spans="33:52" ph="1">
      <c r="AH108" s="64" ph="1">
        <v>3</v>
      </c>
      <c r="AI108" s="64" t="s" ph="1">
        <v>542</v>
      </c>
      <c r="AY108" s="64" t="s" ph="1">
        <v>257</v>
      </c>
      <c r="AZ108" s="64" t="s" ph="1">
        <v>408</v>
      </c>
    </row>
    <row r="109" spans="33:52" ph="1">
      <c r="AH109" s="64" ph="1">
        <v>4</v>
      </c>
      <c r="AI109" s="64" t="s" ph="1">
        <v>543</v>
      </c>
      <c r="AY109" s="64" t="s" ph="1">
        <v>257</v>
      </c>
      <c r="AZ109" s="64" t="s" ph="1">
        <v>408</v>
      </c>
    </row>
    <row r="110" spans="33:52" ph="1">
      <c r="AH110" s="64" ph="1">
        <v>5</v>
      </c>
      <c r="AI110" s="64" t="s" ph="1">
        <v>544</v>
      </c>
      <c r="AY110" s="64" t="s" ph="1">
        <v>257</v>
      </c>
      <c r="AZ110" s="64" t="s" ph="1">
        <v>408</v>
      </c>
    </row>
    <row r="111" spans="33:52" ph="1">
      <c r="AH111" s="64" ph="1">
        <v>6</v>
      </c>
      <c r="AI111" s="64" t="s" ph="1">
        <v>622</v>
      </c>
      <c r="AJ111" s="64" t="s" ph="1">
        <v>527</v>
      </c>
      <c r="AK111" s="64" t="s" ph="1">
        <v>266</v>
      </c>
      <c r="AM111" s="64" t="s" ph="1">
        <v>528</v>
      </c>
      <c r="AN111" s="64" t="s" ph="1">
        <v>260</v>
      </c>
      <c r="AO111" s="64" t="s" ph="1">
        <v>541</v>
      </c>
      <c r="AP111" s="64" t="s" ph="1">
        <v>529</v>
      </c>
      <c r="AQ111" s="64" t="s" ph="1">
        <v>269</v>
      </c>
      <c r="AR111" s="64" t="s" ph="1">
        <v>541</v>
      </c>
      <c r="AS111" s="64" t="s" ph="1">
        <v>530</v>
      </c>
      <c r="AT111" s="64" t="s" ph="1">
        <v>278</v>
      </c>
      <c r="AU111" s="64" t="s" ph="1">
        <v>541</v>
      </c>
      <c r="AV111" s="64" t="s" ph="1">
        <v>531</v>
      </c>
      <c r="AW111" s="64" t="s" ph="1">
        <v>268</v>
      </c>
      <c r="AX111" s="64" t="s" ph="1">
        <v>541</v>
      </c>
      <c r="AY111" s="64" t="s" ph="1">
        <v>257</v>
      </c>
      <c r="AZ111" s="64" t="s" ph="1">
        <v>545</v>
      </c>
    </row>
    <row r="112" spans="33:52" ph="1">
      <c r="AJ112" s="64" t="s" ph="1">
        <v>532</v>
      </c>
      <c r="AK112" s="64" t="s" ph="1">
        <v>313</v>
      </c>
      <c r="AM112" s="64" t="s" ph="1">
        <v>534</v>
      </c>
      <c r="AN112" s="64" t="s" ph="1">
        <v>337</v>
      </c>
      <c r="AO112" s="64" t="s" ph="1">
        <v>541</v>
      </c>
      <c r="AP112" s="64" t="s" ph="1">
        <v>535</v>
      </c>
      <c r="AQ112" s="64" t="s" ph="1">
        <v>546</v>
      </c>
      <c r="AR112" s="64" t="s" ph="1">
        <v>541</v>
      </c>
      <c r="AS112" s="64" t="s" ph="1">
        <v>547</v>
      </c>
      <c r="AT112" s="64" t="s" ph="1">
        <v>289</v>
      </c>
      <c r="AU112" s="64" t="s" ph="1">
        <v>541</v>
      </c>
      <c r="AV112" s="64" t="s" ph="1">
        <v>548</v>
      </c>
      <c r="AW112" s="64" t="s" ph="1">
        <v>335</v>
      </c>
      <c r="AX112" s="64" t="s" ph="1">
        <v>541</v>
      </c>
    </row>
    <row r="113" spans="33:52" ph="1">
      <c r="AH113" s="64" ph="1">
        <v>7</v>
      </c>
      <c r="AI113" s="64" t="s" ph="1">
        <v>549</v>
      </c>
      <c r="AJ113" s="64" t="s" ph="1">
        <v>630</v>
      </c>
      <c r="AK113" s="64" t="s" ph="1">
        <v>635</v>
      </c>
      <c r="AY113" s="64" t="s" ph="1">
        <v>257</v>
      </c>
      <c r="AZ113" s="64" t="s" ph="1">
        <v>635</v>
      </c>
    </row>
    <row r="114" spans="33:52" ph="1">
      <c r="AH114" s="64" ph="1">
        <v>8</v>
      </c>
      <c r="AI114" s="64" t="s" ph="1">
        <v>550</v>
      </c>
      <c r="AJ114" s="64" t="s" ph="1">
        <v>630</v>
      </c>
      <c r="AK114" s="64" t="s" ph="1">
        <v>636</v>
      </c>
      <c r="AY114" s="64" t="s" ph="1">
        <v>257</v>
      </c>
      <c r="AZ114" s="64" t="s" ph="1">
        <v>636</v>
      </c>
    </row>
    <row r="115" spans="33:52" ph="1">
      <c r="AH115" s="64" ph="1">
        <v>9</v>
      </c>
      <c r="AI115" s="64" t="s" ph="1">
        <v>551</v>
      </c>
      <c r="AJ115" s="64" t="s" ph="1">
        <v>630</v>
      </c>
      <c r="AK115" s="64" t="s" ph="1">
        <v>636</v>
      </c>
      <c r="AY115" s="64" t="s" ph="1">
        <v>257</v>
      </c>
      <c r="AZ115" s="64" t="s" ph="1">
        <v>636</v>
      </c>
    </row>
    <row r="116" spans="33:52" ph="1">
      <c r="AH116" s="64" ph="1">
        <v>10</v>
      </c>
      <c r="AI116" s="64" t="s" ph="1">
        <v>552</v>
      </c>
      <c r="AJ116" s="64" t="s" ph="1">
        <v>630</v>
      </c>
      <c r="AK116" s="64" t="s" ph="1">
        <v>636</v>
      </c>
      <c r="AY116" s="64" t="s" ph="1">
        <v>257</v>
      </c>
      <c r="AZ116" s="64" t="s" ph="1">
        <v>636</v>
      </c>
    </row>
    <row r="117" spans="33:52" ph="1">
      <c r="AH117" s="64" ph="1">
        <v>11</v>
      </c>
      <c r="AI117" s="64" t="s" ph="1">
        <v>553</v>
      </c>
      <c r="AJ117" s="64" t="s" ph="1">
        <v>630</v>
      </c>
      <c r="AK117" s="64" t="s" ph="1">
        <v>636</v>
      </c>
      <c r="AY117" s="64" t="s" ph="1">
        <v>257</v>
      </c>
      <c r="AZ117" s="64" t="s" ph="1">
        <v>636</v>
      </c>
    </row>
    <row r="118" spans="33:52" ph="1">
      <c r="AZ118" s="64" t="s" ph="1">
        <v>637</v>
      </c>
    </row>
    <row r="119" spans="33:52" ph="1">
      <c r="AI119" s="64" t="s" ph="1">
        <v>250</v>
      </c>
      <c r="AJ119" s="64" t="s" ph="1">
        <v>251</v>
      </c>
      <c r="AK119" s="64" t="s" ph="1">
        <v>252</v>
      </c>
      <c r="AM119" s="64" t="s" ph="1">
        <v>251</v>
      </c>
      <c r="AN119" s="64" t="s" ph="1">
        <v>252</v>
      </c>
      <c r="AO119" s="64" t="s" ph="1">
        <v>253</v>
      </c>
      <c r="AP119" s="64" t="s" ph="1">
        <v>251</v>
      </c>
      <c r="AQ119" s="64" t="s" ph="1">
        <v>252</v>
      </c>
      <c r="AR119" s="64" t="s" ph="1">
        <v>253</v>
      </c>
      <c r="AS119" s="64" t="s" ph="1">
        <v>251</v>
      </c>
      <c r="AT119" s="64" t="s" ph="1">
        <v>252</v>
      </c>
      <c r="AU119" s="64" t="s" ph="1">
        <v>253</v>
      </c>
      <c r="AV119" s="64" t="s" ph="1">
        <v>251</v>
      </c>
      <c r="AW119" s="64" t="s" ph="1">
        <v>252</v>
      </c>
      <c r="AX119" s="64" t="s" ph="1">
        <v>253</v>
      </c>
      <c r="AY119" s="64" t="s" ph="1">
        <v>252</v>
      </c>
      <c r="AZ119" s="64" t="s" ph="1">
        <v>254</v>
      </c>
    </row>
    <row r="120" spans="33:52" ph="1">
      <c r="AG120" s="64" t="s" ph="1">
        <v>394</v>
      </c>
      <c r="AH120" s="64" ph="1">
        <v>1</v>
      </c>
      <c r="AI120" s="64" t="s" ph="1">
        <v>554</v>
      </c>
      <c r="AJ120" s="64" t="s" ph="1">
        <v>628</v>
      </c>
      <c r="AK120" s="64" t="s" ph="1">
        <v>408</v>
      </c>
      <c r="AY120" s="64" t="s" ph="1">
        <v>257</v>
      </c>
      <c r="AZ120" s="64" t="s" ph="1">
        <v>408</v>
      </c>
    </row>
    <row r="121" spans="33:52" ph="1">
      <c r="AH121" s="64" ph="1">
        <v>2</v>
      </c>
      <c r="AI121" s="64" t="s" ph="1">
        <v>555</v>
      </c>
      <c r="AY121" s="64" t="s" ph="1">
        <v>257</v>
      </c>
      <c r="AZ121" s="64" t="s" ph="1">
        <v>408</v>
      </c>
    </row>
    <row r="122" spans="33:52" ph="1">
      <c r="AH122" s="64" ph="1">
        <v>3</v>
      </c>
      <c r="AI122" s="64" t="s" ph="1">
        <v>556</v>
      </c>
      <c r="AJ122" s="64" t="s" ph="1">
        <v>611</v>
      </c>
      <c r="AK122" s="64" t="s" ph="1">
        <v>623</v>
      </c>
      <c r="AM122" s="64" t="s" ph="1">
        <v>638</v>
      </c>
      <c r="AN122" s="64" t="s" ph="1">
        <v>631</v>
      </c>
      <c r="AO122" s="64" t="s" ph="1">
        <v>108</v>
      </c>
      <c r="AY122" s="64" t="s" ph="1">
        <v>257</v>
      </c>
      <c r="AZ122" s="64" t="s" ph="1">
        <v>620</v>
      </c>
    </row>
    <row r="123" spans="33:52" ph="1">
      <c r="AY123" s="64" t="s" ph="1">
        <v>257</v>
      </c>
      <c r="AZ123" s="64" t="s" ph="1">
        <v>620</v>
      </c>
    </row>
    <row r="124" spans="33:52" ph="1">
      <c r="AG124" s="64" t="s" ph="1">
        <v>397</v>
      </c>
      <c r="AH124" s="64" ph="1">
        <v>4</v>
      </c>
      <c r="AI124" s="64" t="s" ph="1">
        <v>557</v>
      </c>
      <c r="AJ124" s="64" t="s" ph="1">
        <v>558</v>
      </c>
      <c r="AK124" s="64" t="s" ph="1">
        <v>559</v>
      </c>
      <c r="AY124" s="64" t="s" ph="1">
        <v>257</v>
      </c>
      <c r="AZ124" s="64" t="s" ph="1">
        <v>559</v>
      </c>
    </row>
    <row r="125" spans="33:52" ph="1">
      <c r="AH125" s="64" ph="1">
        <v>5</v>
      </c>
      <c r="AI125" s="64" t="s" ph="1">
        <v>560</v>
      </c>
      <c r="AJ125" s="64" t="s" ph="1">
        <v>558</v>
      </c>
      <c r="AK125" s="64" t="s" ph="1">
        <v>559</v>
      </c>
      <c r="AY125" s="64" t="s" ph="1">
        <v>257</v>
      </c>
      <c r="AZ125" s="64" t="s" ph="1">
        <v>559</v>
      </c>
    </row>
    <row r="126" spans="33:52" ph="1">
      <c r="AH126" s="64" ph="1">
        <v>6</v>
      </c>
      <c r="AI126" s="64" t="s" ph="1">
        <v>561</v>
      </c>
      <c r="AJ126" s="64" t="s" ph="1">
        <v>630</v>
      </c>
      <c r="AK126" s="64" t="s" ph="1">
        <v>639</v>
      </c>
      <c r="AY126" s="64" t="s" ph="1">
        <v>257</v>
      </c>
      <c r="AZ126" s="64" t="s" ph="1">
        <v>639</v>
      </c>
    </row>
    <row r="127" spans="33:52" ph="1">
      <c r="AH127" s="64" ph="1">
        <v>7</v>
      </c>
      <c r="AI127" s="64" t="s" ph="1">
        <v>562</v>
      </c>
      <c r="AJ127" s="64" t="s" ph="1">
        <v>630</v>
      </c>
      <c r="AK127" s="64" t="s" ph="1">
        <v>640</v>
      </c>
      <c r="AY127" s="64" t="s" ph="1">
        <v>257</v>
      </c>
      <c r="AZ127" s="64" t="s" ph="1">
        <v>640</v>
      </c>
    </row>
    <row r="128" spans="33:52" ph="1">
      <c r="AH128" s="64" ph="1">
        <v>8</v>
      </c>
      <c r="AI128" s="64" t="s" ph="1">
        <v>563</v>
      </c>
      <c r="AY128" s="64" t="s" ph="1">
        <v>257</v>
      </c>
      <c r="AZ128" s="64" t="s" ph="1">
        <v>408</v>
      </c>
    </row>
    <row r="129" spans="33:52" ph="1">
      <c r="AH129" s="64" ph="1">
        <v>9</v>
      </c>
      <c r="AI129" s="64" t="s" ph="1">
        <v>564</v>
      </c>
      <c r="AY129" s="64" t="s" ph="1">
        <v>257</v>
      </c>
      <c r="AZ129" s="64" t="s" ph="1">
        <v>408</v>
      </c>
    </row>
    <row r="130" spans="33:52" ph="1">
      <c r="AH130" s="64" ph="1">
        <v>10</v>
      </c>
      <c r="AI130" s="64" t="s" ph="1">
        <v>565</v>
      </c>
      <c r="AY130" s="64" t="s" ph="1">
        <v>257</v>
      </c>
      <c r="AZ130" s="64" t="s" ph="1">
        <v>408</v>
      </c>
    </row>
    <row r="131" spans="33:52" ph="1">
      <c r="AH131" s="64" ph="1">
        <v>11</v>
      </c>
      <c r="AI131" s="64" t="s" ph="1">
        <v>566</v>
      </c>
      <c r="AJ131" s="64" t="s" ph="1">
        <v>624</v>
      </c>
      <c r="AK131" s="64" t="s" ph="1">
        <v>620</v>
      </c>
      <c r="AY131" s="64" t="s" ph="1">
        <v>257</v>
      </c>
      <c r="AZ131" s="64" t="s" ph="1">
        <v>620</v>
      </c>
    </row>
    <row r="132" spans="33:52" ph="1">
      <c r="AH132" s="64" ph="1">
        <v>12</v>
      </c>
      <c r="AI132" s="64" t="s" ph="1">
        <v>567</v>
      </c>
      <c r="AJ132" s="64" t="s" ph="1">
        <v>624</v>
      </c>
      <c r="AK132" s="64" t="s" ph="1">
        <v>559</v>
      </c>
      <c r="AY132" s="64" t="s" ph="1">
        <v>257</v>
      </c>
      <c r="AZ132" s="64" t="s" ph="1">
        <v>559</v>
      </c>
    </row>
    <row r="133" spans="33:52" ph="1">
      <c r="AH133" s="64" ph="1">
        <v>13</v>
      </c>
      <c r="AI133" s="64" t="s" ph="1">
        <v>568</v>
      </c>
      <c r="AJ133" s="64" t="s" ph="1">
        <v>624</v>
      </c>
      <c r="AK133" s="64" t="s" ph="1">
        <v>625</v>
      </c>
      <c r="AY133" s="64" t="s" ph="1">
        <v>257</v>
      </c>
      <c r="AZ133" s="64" t="s" ph="1">
        <v>625</v>
      </c>
    </row>
    <row r="134" spans="33:52" ph="1">
      <c r="AH134" s="64" ph="1">
        <v>14</v>
      </c>
      <c r="AI134" s="64" t="s" ph="1">
        <v>569</v>
      </c>
      <c r="AJ134" s="64" t="s" ph="1">
        <v>624</v>
      </c>
      <c r="AK134" s="64" t="s" ph="1">
        <v>626</v>
      </c>
      <c r="AY134" s="64" t="s" ph="1">
        <v>257</v>
      </c>
      <c r="AZ134" s="64" t="s" ph="1">
        <v>626</v>
      </c>
    </row>
    <row r="135" spans="33:52" ph="1">
      <c r="AH135" s="64" ph="1">
        <v>15</v>
      </c>
      <c r="AI135" s="64" t="s" ph="1">
        <v>570</v>
      </c>
      <c r="AJ135" s="64" t="s" ph="1">
        <v>624</v>
      </c>
      <c r="AK135" s="64" t="s" ph="1">
        <v>627</v>
      </c>
      <c r="AY135" s="64" t="s" ph="1">
        <v>257</v>
      </c>
      <c r="AZ135" s="64" t="s" ph="1">
        <v>627</v>
      </c>
    </row>
    <row r="136" spans="33:52" ph="1">
      <c r="AZ136" s="64" t="s" ph="1">
        <v>641</v>
      </c>
    </row>
    <row r="137" spans="33:52" ph="1">
      <c r="AG137" s="64" t="s" ph="1">
        <v>331</v>
      </c>
      <c r="AI137" s="64" t="s" ph="1">
        <v>250</v>
      </c>
      <c r="AJ137" s="64" t="s" ph="1">
        <v>251</v>
      </c>
      <c r="AK137" s="64" t="s" ph="1">
        <v>252</v>
      </c>
      <c r="AM137" s="64" t="s" ph="1">
        <v>251</v>
      </c>
      <c r="AN137" s="64" t="s" ph="1">
        <v>252</v>
      </c>
      <c r="AO137" s="64" t="s" ph="1">
        <v>253</v>
      </c>
      <c r="AP137" s="64" t="s" ph="1">
        <v>251</v>
      </c>
      <c r="AQ137" s="64" t="s" ph="1">
        <v>252</v>
      </c>
      <c r="AR137" s="64" t="s" ph="1">
        <v>253</v>
      </c>
      <c r="AS137" s="64" t="s" ph="1">
        <v>251</v>
      </c>
      <c r="AT137" s="64" t="s" ph="1">
        <v>252</v>
      </c>
      <c r="AU137" s="64" t="s" ph="1">
        <v>253</v>
      </c>
      <c r="AV137" s="64" t="s" ph="1">
        <v>251</v>
      </c>
      <c r="AW137" s="64" t="s" ph="1">
        <v>252</v>
      </c>
      <c r="AX137" s="64" t="s" ph="1">
        <v>253</v>
      </c>
      <c r="AY137" s="64" t="s" ph="1">
        <v>252</v>
      </c>
      <c r="AZ137" s="64" t="s" ph="1">
        <v>254</v>
      </c>
    </row>
    <row r="138" spans="33:52" ph="1">
      <c r="AH138" s="64" ph="1">
        <v>1</v>
      </c>
      <c r="AI138" s="64" t="s" ph="1">
        <v>571</v>
      </c>
      <c r="AJ138" s="64" t="s" ph="1">
        <v>572</v>
      </c>
      <c r="AK138" s="64" t="s" ph="1">
        <v>573</v>
      </c>
      <c r="AY138" s="64" t="s" ph="1">
        <v>257</v>
      </c>
      <c r="AZ138" s="64" t="s" ph="1">
        <v>573</v>
      </c>
    </row>
    <row r="139" spans="33:52" ph="1">
      <c r="AH139" s="64" ph="1">
        <v>2</v>
      </c>
      <c r="AI139" s="64" t="s" ph="1">
        <v>574</v>
      </c>
      <c r="AJ139" s="64" t="s" ph="1">
        <v>630</v>
      </c>
      <c r="AK139" s="64" t="s" ph="1">
        <v>642</v>
      </c>
      <c r="AY139" s="64" t="s" ph="1">
        <v>257</v>
      </c>
      <c r="AZ139" s="64" t="s" ph="1">
        <v>642</v>
      </c>
    </row>
    <row r="140" spans="33:52" ph="1">
      <c r="AH140" s="64" ph="1">
        <v>3</v>
      </c>
      <c r="AI140" s="64" t="s" ph="1">
        <v>575</v>
      </c>
      <c r="AJ140" s="64" t="s" ph="1">
        <v>528</v>
      </c>
      <c r="AK140" s="64" t="s" ph="1">
        <v>340</v>
      </c>
      <c r="AM140" s="64" t="s" ph="1">
        <v>529</v>
      </c>
      <c r="AN140" s="64" t="s" ph="1">
        <v>260</v>
      </c>
      <c r="AO140" s="64" t="s" ph="1">
        <v>576</v>
      </c>
      <c r="AP140" s="64" t="s" ph="1">
        <v>530</v>
      </c>
      <c r="AQ140" s="64" t="s" ph="1">
        <v>277</v>
      </c>
      <c r="AR140" s="64" t="s" ph="1">
        <v>576</v>
      </c>
      <c r="AS140" s="64" t="s" ph="1">
        <v>531</v>
      </c>
      <c r="AT140" s="64" t="s" ph="1">
        <v>270</v>
      </c>
      <c r="AU140" s="64" t="s" ph="1">
        <v>576</v>
      </c>
      <c r="AV140" s="64" t="s" ph="1">
        <v>532</v>
      </c>
      <c r="AW140" s="64" t="s" ph="1">
        <v>263</v>
      </c>
      <c r="AX140" s="64" t="s" ph="1">
        <v>576</v>
      </c>
      <c r="AY140" s="64" t="s" ph="1">
        <v>257</v>
      </c>
      <c r="AZ140" s="64" t="s" ph="1">
        <v>332</v>
      </c>
    </row>
    <row r="141" spans="33:52" ph="1">
      <c r="AJ141" s="64" t="s" ph="1">
        <v>534</v>
      </c>
      <c r="AK141" s="64" t="s" ph="1">
        <v>263</v>
      </c>
      <c r="AM141" s="64" t="s" ph="1">
        <v>535</v>
      </c>
      <c r="AN141" s="64" t="s" ph="1">
        <v>266</v>
      </c>
      <c r="AO141" s="64" t="s" ph="1">
        <v>576</v>
      </c>
      <c r="AP141" s="64" t="s" ph="1">
        <v>547</v>
      </c>
      <c r="AQ141" s="64" t="s" ph="1">
        <v>335</v>
      </c>
      <c r="AR141" s="64" t="s" ph="1">
        <v>576</v>
      </c>
      <c r="AS141" s="64" t="s" ph="1">
        <v>539</v>
      </c>
      <c r="AT141" s="64" t="s" ph="1">
        <v>263</v>
      </c>
      <c r="AU141" s="64" t="s" ph="1">
        <v>576</v>
      </c>
      <c r="AV141" s="64" t="s" ph="1">
        <v>375</v>
      </c>
      <c r="AW141" s="64" t="s" ph="1">
        <v>269</v>
      </c>
      <c r="AX141" s="64" t="s" ph="1">
        <v>576</v>
      </c>
    </row>
    <row r="142" spans="33:52" ph="1">
      <c r="AJ142" s="64" t="s" ph="1">
        <v>577</v>
      </c>
      <c r="AK142" s="64" t="s" ph="1">
        <v>280</v>
      </c>
    </row>
    <row r="143" spans="33:52" ph="1">
      <c r="AH143" s="64" ph="1">
        <v>4</v>
      </c>
      <c r="AI143" s="64" t="s" ph="1">
        <v>578</v>
      </c>
      <c r="AJ143" s="64" t="s" ph="1">
        <v>558</v>
      </c>
      <c r="AK143" s="64" t="s" ph="1">
        <v>579</v>
      </c>
      <c r="AY143" s="64" t="s" ph="1">
        <v>257</v>
      </c>
      <c r="AZ143" s="64" t="s" ph="1">
        <v>579</v>
      </c>
    </row>
    <row r="144" spans="33:52" ph="1">
      <c r="AH144" s="64" ph="1">
        <v>5</v>
      </c>
      <c r="AI144" s="64" t="s" ph="1">
        <v>580</v>
      </c>
      <c r="AY144" s="64" t="s" ph="1">
        <v>257</v>
      </c>
      <c r="AZ144" s="64" t="s" ph="1">
        <v>408</v>
      </c>
    </row>
    <row r="145" spans="33:52" ph="1">
      <c r="AH145" s="64" ph="1">
        <v>6</v>
      </c>
      <c r="AI145" s="64" t="s" ph="1">
        <v>581</v>
      </c>
      <c r="AY145" s="64" t="s" ph="1">
        <v>257</v>
      </c>
      <c r="AZ145" s="64" t="s" ph="1">
        <v>408</v>
      </c>
    </row>
    <row r="146" spans="33:52" ph="1">
      <c r="AH146" s="64" ph="1">
        <v>7</v>
      </c>
      <c r="AI146" s="64" t="s" ph="1">
        <v>582</v>
      </c>
      <c r="AY146" s="64" t="s" ph="1">
        <v>257</v>
      </c>
      <c r="AZ146" s="64" t="s" ph="1">
        <v>408</v>
      </c>
    </row>
    <row r="147" spans="33:52" ph="1">
      <c r="AH147" s="64" ph="1">
        <v>8</v>
      </c>
      <c r="AI147" s="64" t="s" ph="1">
        <v>583</v>
      </c>
      <c r="AY147" s="64" t="s" ph="1">
        <v>257</v>
      </c>
      <c r="AZ147" s="64" t="s" ph="1">
        <v>408</v>
      </c>
    </row>
    <row r="148" spans="33:52" ph="1">
      <c r="AH148" s="64" ph="1">
        <v>9</v>
      </c>
      <c r="AI148" s="64" t="s" ph="1">
        <v>584</v>
      </c>
      <c r="AY148" s="64" t="s" ph="1">
        <v>257</v>
      </c>
      <c r="AZ148" s="64" t="s" ph="1">
        <v>408</v>
      </c>
    </row>
    <row r="149" spans="33:52" ph="1">
      <c r="AH149" s="64" ph="1">
        <v>10</v>
      </c>
      <c r="AI149" s="64" t="s" ph="1">
        <v>585</v>
      </c>
      <c r="AY149" s="64" t="s" ph="1">
        <v>257</v>
      </c>
      <c r="AZ149" s="64" t="s" ph="1">
        <v>408</v>
      </c>
    </row>
    <row r="150" spans="33:52" ph="1">
      <c r="AH150" s="64" ph="1">
        <v>11</v>
      </c>
      <c r="AI150" s="64" t="s" ph="1">
        <v>586</v>
      </c>
      <c r="AY150" s="64" t="s" ph="1">
        <v>257</v>
      </c>
      <c r="AZ150" s="64" t="s" ph="1">
        <v>408</v>
      </c>
    </row>
    <row r="151" spans="33:52" ph="1">
      <c r="AH151" s="64" ph="1">
        <v>12</v>
      </c>
      <c r="AI151" s="64" t="s" ph="1">
        <v>587</v>
      </c>
      <c r="AY151" s="64" t="s" ph="1">
        <v>257</v>
      </c>
      <c r="AZ151" s="64" t="s" ph="1">
        <v>408</v>
      </c>
    </row>
    <row r="152" spans="33:52" ph="1">
      <c r="AH152" s="64" ph="1">
        <v>13</v>
      </c>
      <c r="AI152" s="64" t="s" ph="1">
        <v>588</v>
      </c>
      <c r="AY152" s="64" t="s" ph="1">
        <v>257</v>
      </c>
      <c r="AZ152" s="64" t="s" ph="1">
        <v>408</v>
      </c>
    </row>
    <row r="153" spans="33:52" ph="1">
      <c r="AH153" s="64" ph="1">
        <v>14</v>
      </c>
      <c r="AI153" s="64" t="s" ph="1">
        <v>589</v>
      </c>
      <c r="AY153" s="64" t="s" ph="1">
        <v>257</v>
      </c>
      <c r="AZ153" s="64" t="s" ph="1">
        <v>408</v>
      </c>
    </row>
    <row r="154" spans="33:52" ph="1">
      <c r="AH154" s="64" ph="1">
        <v>15</v>
      </c>
      <c r="AI154" s="64" t="s" ph="1">
        <v>590</v>
      </c>
      <c r="AY154" s="64" t="s" ph="1">
        <v>257</v>
      </c>
      <c r="AZ154" s="64" t="s" ph="1">
        <v>408</v>
      </c>
    </row>
    <row r="155" spans="33:52" ph="1">
      <c r="AH155" s="64" ph="1">
        <v>16</v>
      </c>
      <c r="AI155" s="64" t="s" ph="1">
        <v>591</v>
      </c>
      <c r="AJ155" s="64" t="s" ph="1">
        <v>377</v>
      </c>
      <c r="AK155" s="64" t="s" ph="1">
        <v>272</v>
      </c>
      <c r="AM155" s="64" t="s" ph="1">
        <v>611</v>
      </c>
      <c r="AN155" s="64" t="s" ph="1">
        <v>323</v>
      </c>
      <c r="AO155" s="64" t="s" ph="1">
        <v>576</v>
      </c>
      <c r="AY155" s="64" t="s" ph="1">
        <v>257</v>
      </c>
      <c r="AZ155" s="64" t="s" ph="1">
        <v>264</v>
      </c>
    </row>
    <row r="156" spans="33:52" ph="1">
      <c r="AZ156" s="64" t="s" ph="1">
        <v>643</v>
      </c>
    </row>
    <row r="157" spans="33:52" ph="1">
      <c r="AG157" s="64" t="s" ph="1">
        <v>592</v>
      </c>
      <c r="AI157" s="64" t="s" ph="1">
        <v>250</v>
      </c>
      <c r="AJ157" s="64" t="s" ph="1">
        <v>251</v>
      </c>
      <c r="AK157" s="64" t="s" ph="1">
        <v>252</v>
      </c>
      <c r="AM157" s="64" t="s" ph="1">
        <v>251</v>
      </c>
      <c r="AN157" s="64" t="s" ph="1">
        <v>252</v>
      </c>
      <c r="AO157" s="64" t="s" ph="1">
        <v>253</v>
      </c>
      <c r="AP157" s="64" t="s" ph="1">
        <v>251</v>
      </c>
      <c r="AQ157" s="64" t="s" ph="1">
        <v>252</v>
      </c>
      <c r="AR157" s="64" t="s" ph="1">
        <v>253</v>
      </c>
      <c r="AS157" s="64" t="s" ph="1">
        <v>251</v>
      </c>
      <c r="AT157" s="64" t="s" ph="1">
        <v>252</v>
      </c>
      <c r="AU157" s="64" t="s" ph="1">
        <v>253</v>
      </c>
      <c r="AV157" s="64" t="s" ph="1">
        <v>251</v>
      </c>
      <c r="AW157" s="64" t="s" ph="1">
        <v>252</v>
      </c>
      <c r="AX157" s="64" t="s" ph="1">
        <v>253</v>
      </c>
      <c r="AY157" s="64" t="s" ph="1">
        <v>252</v>
      </c>
      <c r="AZ157" s="64" t="s" ph="1">
        <v>254</v>
      </c>
    </row>
    <row r="158" spans="33:52" ph="1">
      <c r="AH158" s="64" ph="1">
        <v>1</v>
      </c>
      <c r="AI158" s="64" t="s" ph="1">
        <v>593</v>
      </c>
      <c r="AY158" s="64" t="s" ph="1">
        <v>257</v>
      </c>
      <c r="AZ158" s="64" t="s" ph="1">
        <v>408</v>
      </c>
    </row>
    <row r="159" spans="33:52" ph="1">
      <c r="AH159" s="64" ph="1">
        <v>2</v>
      </c>
      <c r="AI159" s="64" t="s" ph="1">
        <v>594</v>
      </c>
      <c r="AY159" s="64" t="s" ph="1">
        <v>257</v>
      </c>
      <c r="AZ159" s="64" t="s" ph="1">
        <v>408</v>
      </c>
    </row>
    <row r="160" spans="33:52" ph="1">
      <c r="AZ160" s="64" t="s" ph="1">
        <v>426</v>
      </c>
    </row>
    <row r="161" spans="33:52" ph="1">
      <c r="AG161" s="64" t="s" ph="1">
        <v>402</v>
      </c>
      <c r="AI161" s="64" t="s" ph="1">
        <v>250</v>
      </c>
      <c r="AJ161" s="64" t="s" ph="1">
        <v>251</v>
      </c>
      <c r="AK161" s="64" t="s" ph="1">
        <v>252</v>
      </c>
      <c r="AM161" s="64" t="s" ph="1">
        <v>251</v>
      </c>
      <c r="AN161" s="64" t="s" ph="1">
        <v>252</v>
      </c>
      <c r="AO161" s="64" t="s" ph="1">
        <v>253</v>
      </c>
      <c r="AP161" s="64" t="s" ph="1">
        <v>251</v>
      </c>
      <c r="AQ161" s="64" t="s" ph="1">
        <v>252</v>
      </c>
      <c r="AR161" s="64" t="s" ph="1">
        <v>253</v>
      </c>
      <c r="AS161" s="64" t="s" ph="1">
        <v>251</v>
      </c>
      <c r="AT161" s="64" t="s" ph="1">
        <v>252</v>
      </c>
      <c r="AU161" s="64" t="s" ph="1">
        <v>253</v>
      </c>
      <c r="AV161" s="64" t="s" ph="1">
        <v>251</v>
      </c>
      <c r="AW161" s="64" t="s" ph="1">
        <v>252</v>
      </c>
      <c r="AX161" s="64" t="s" ph="1">
        <v>253</v>
      </c>
      <c r="AY161" s="64" t="s" ph="1">
        <v>252</v>
      </c>
      <c r="AZ161" s="64" t="s" ph="1">
        <v>254</v>
      </c>
    </row>
    <row r="162" spans="33:52" ph="1">
      <c r="AH162" s="64" ph="1">
        <v>1</v>
      </c>
      <c r="AI162" s="64" t="s" ph="1">
        <v>595</v>
      </c>
      <c r="AJ162" s="64" t="s" ph="1">
        <v>596</v>
      </c>
      <c r="AK162" s="64" t="s" ph="1">
        <v>540</v>
      </c>
      <c r="AM162" s="64" t="s" ph="1">
        <v>597</v>
      </c>
      <c r="AN162" s="64" t="s" ph="1">
        <v>261</v>
      </c>
      <c r="AO162" s="64" t="s" ph="1">
        <v>598</v>
      </c>
      <c r="AY162" s="64" t="s" ph="1">
        <v>257</v>
      </c>
      <c r="AZ162" s="64" t="s" ph="1">
        <v>333</v>
      </c>
    </row>
    <row r="163" spans="33:52" ph="1">
      <c r="AH163" s="64" ph="1">
        <v>2</v>
      </c>
      <c r="AI163" s="64" t="s" ph="1">
        <v>599</v>
      </c>
      <c r="AJ163" s="64" t="s" ph="1">
        <v>596</v>
      </c>
      <c r="AK163" s="64" t="s" ph="1">
        <v>429</v>
      </c>
      <c r="AY163" s="64" t="s" ph="1">
        <v>257</v>
      </c>
      <c r="AZ163" s="64" t="s" ph="1">
        <v>429</v>
      </c>
    </row>
    <row r="164" spans="33:52" ph="1">
      <c r="AH164" s="64" ph="1">
        <v>3</v>
      </c>
      <c r="AI164" s="64" t="s" ph="1">
        <v>600</v>
      </c>
      <c r="AJ164" s="64" t="s" ph="1">
        <v>596</v>
      </c>
      <c r="AK164" s="64" t="s" ph="1">
        <v>333</v>
      </c>
      <c r="AY164" s="64" t="s" ph="1">
        <v>257</v>
      </c>
      <c r="AZ164" s="64" t="s" ph="1">
        <v>333</v>
      </c>
    </row>
    <row r="165" spans="33:52" ph="1">
      <c r="AH165" s="64" ph="1">
        <v>4</v>
      </c>
      <c r="AI165" s="64" t="s" ph="1">
        <v>601</v>
      </c>
      <c r="AY165" s="64" t="s" ph="1">
        <v>257</v>
      </c>
      <c r="AZ165" s="64" t="s" ph="1">
        <v>408</v>
      </c>
    </row>
    <row r="166" spans="33:52" ph="1">
      <c r="AH166" s="64" ph="1">
        <v>5</v>
      </c>
      <c r="AI166" s="64" t="s" ph="1">
        <v>602</v>
      </c>
      <c r="AY166" s="64" t="s" ph="1">
        <v>257</v>
      </c>
      <c r="AZ166" s="64" t="s" ph="1">
        <v>408</v>
      </c>
    </row>
    <row r="167" spans="33:52" ph="1">
      <c r="AZ167" s="64" t="s" ph="1">
        <v>603</v>
      </c>
    </row>
    <row r="168" spans="33:52" ph="1">
      <c r="AG168" s="64" t="s" ph="1">
        <v>346</v>
      </c>
      <c r="AI168" s="64" t="s" ph="1">
        <v>250</v>
      </c>
      <c r="AJ168" s="64" t="s" ph="1">
        <v>251</v>
      </c>
      <c r="AK168" s="64" t="s" ph="1">
        <v>252</v>
      </c>
      <c r="AM168" s="64" t="s" ph="1">
        <v>251</v>
      </c>
      <c r="AN168" s="64" t="s" ph="1">
        <v>252</v>
      </c>
      <c r="AO168" s="64" t="s" ph="1">
        <v>253</v>
      </c>
      <c r="AP168" s="64" t="s" ph="1">
        <v>251</v>
      </c>
      <c r="AQ168" s="64" t="s" ph="1">
        <v>252</v>
      </c>
      <c r="AR168" s="64" t="s" ph="1">
        <v>253</v>
      </c>
      <c r="AS168" s="64" t="s" ph="1">
        <v>251</v>
      </c>
      <c r="AT168" s="64" t="s" ph="1">
        <v>252</v>
      </c>
      <c r="AU168" s="64" t="s" ph="1">
        <v>253</v>
      </c>
      <c r="AV168" s="64" t="s" ph="1">
        <v>251</v>
      </c>
      <c r="AW168" s="64" t="s" ph="1">
        <v>252</v>
      </c>
      <c r="AX168" s="64" t="s" ph="1">
        <v>253</v>
      </c>
      <c r="AY168" s="64" t="s" ph="1">
        <v>252</v>
      </c>
      <c r="AZ168" s="64" t="s" ph="1">
        <v>254</v>
      </c>
    </row>
    <row r="169" spans="33:52" ph="1">
      <c r="AH169" s="64" ph="1">
        <v>1</v>
      </c>
      <c r="AI169" s="64" t="s" ph="1">
        <v>604</v>
      </c>
      <c r="AY169" s="64" t="s" ph="1">
        <v>257</v>
      </c>
      <c r="AZ169" s="64" t="s" ph="1">
        <v>408</v>
      </c>
    </row>
    <row r="170" spans="33:52" ph="1">
      <c r="AH170" s="64" ph="1">
        <v>2</v>
      </c>
      <c r="AI170" s="64" t="s" ph="1">
        <v>605</v>
      </c>
      <c r="AY170" s="64" t="s" ph="1">
        <v>257</v>
      </c>
      <c r="AZ170" s="64" t="s" ph="1">
        <v>408</v>
      </c>
    </row>
    <row r="171" spans="33:52" ph="1">
      <c r="AH171" s="64" ph="1">
        <v>3</v>
      </c>
      <c r="AI171" s="64" t="s" ph="1">
        <v>606</v>
      </c>
      <c r="AY171" s="64" t="s" ph="1">
        <v>257</v>
      </c>
      <c r="AZ171" s="64" t="s" ph="1">
        <v>408</v>
      </c>
    </row>
    <row r="172" spans="33:52" ph="1">
      <c r="AH172" s="64" ph="1">
        <v>4</v>
      </c>
      <c r="AI172" s="64" t="s" ph="1">
        <v>607</v>
      </c>
      <c r="AY172" s="64" t="s" ph="1">
        <v>257</v>
      </c>
      <c r="AZ172" s="64" t="s" ph="1">
        <v>408</v>
      </c>
    </row>
    <row r="173" spans="33:52" ph="1">
      <c r="AH173" s="64" ph="1">
        <v>5</v>
      </c>
      <c r="AI173" s="64" t="s" ph="1">
        <v>608</v>
      </c>
      <c r="AY173" s="64" t="s" ph="1">
        <v>257</v>
      </c>
      <c r="AZ173" s="64" t="s" ph="1">
        <v>408</v>
      </c>
    </row>
    <row r="174" spans="33:52" ph="1">
      <c r="AZ174" s="64" t="s" ph="1">
        <v>426</v>
      </c>
    </row>
    <row r="175" spans="33:52" ph="1">
      <c r="AJ175" s="64" t="s" ph="1">
        <v>347</v>
      </c>
    </row>
    <row r="176" spans="33:52" ph="1">
      <c r="AJ176" s="64" t="s" ph="1">
        <v>348</v>
      </c>
      <c r="AK176" s="64" t="s" ph="1">
        <v>349</v>
      </c>
      <c r="AM176" s="64" t="s" ph="1">
        <v>350</v>
      </c>
      <c r="AO176" s="64" t="s" ph="1">
        <v>351</v>
      </c>
      <c r="AP176" s="64" t="s" ph="1">
        <v>352</v>
      </c>
      <c r="AQ176" s="64" t="s" ph="1">
        <v>342</v>
      </c>
      <c r="AR176" s="64" t="s" ph="1">
        <v>262</v>
      </c>
    </row>
    <row r="177" spans="36:56" ph="1">
      <c r="AJ177" s="64" t="s" ph="1">
        <v>644</v>
      </c>
      <c r="AK177" s="64" t="s" ph="1">
        <v>353</v>
      </c>
      <c r="AO177" s="64" t="s" ph="1">
        <v>353</v>
      </c>
      <c r="AP177" s="64" t="s" ph="1">
        <v>353</v>
      </c>
      <c r="AQ177" s="64" t="s" ph="1">
        <v>354</v>
      </c>
      <c r="AR177" s="64" t="s" ph="1">
        <v>355</v>
      </c>
    </row>
    <row r="179" spans="36:56" ph="1">
      <c r="AJ179" s="64" t="s" ph="1">
        <v>356</v>
      </c>
      <c r="AK179" s="64" t="s" ph="1">
        <v>357</v>
      </c>
      <c r="AM179" s="64" t="s" ph="1">
        <v>358</v>
      </c>
      <c r="AN179" s="64" t="s" ph="1">
        <v>334</v>
      </c>
      <c r="AO179" s="64" t="s" ph="1">
        <v>359</v>
      </c>
      <c r="AP179" s="64" t="s" ph="1">
        <v>338</v>
      </c>
      <c r="AQ179" s="64" t="s" ph="1">
        <v>360</v>
      </c>
      <c r="AR179" s="64" t="s" ph="1">
        <v>361</v>
      </c>
    </row>
    <row r="180" spans="36:56" ph="1">
      <c r="AJ180" s="64" t="s" ph="1">
        <v>353</v>
      </c>
      <c r="AK180" s="64" t="s" ph="1">
        <v>353</v>
      </c>
      <c r="AL180" s="64" ph="1">
        <v>116</v>
      </c>
      <c r="AM180" s="64" t="s" ph="1">
        <v>353</v>
      </c>
      <c r="AN180" s="64" t="s" ph="1">
        <v>362</v>
      </c>
      <c r="AO180" s="64" t="s" ph="1">
        <v>353</v>
      </c>
      <c r="AP180" s="64" t="s" ph="1">
        <v>363</v>
      </c>
      <c r="AQ180" s="64" t="s" ph="1">
        <v>364</v>
      </c>
      <c r="AR180" s="64" t="s" ph="1">
        <v>365</v>
      </c>
    </row>
    <row r="189" spans="36:56" ph="1">
      <c r="BD189" s="64" t="s" ph="1">
        <v>609</v>
      </c>
    </row>
    <row r="223" spans="18:18" ph="1">
      <c r="R223" s="138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251" priority="92">
      <formula>ABS(D$7-D$10)&gt;=1000</formula>
    </cfRule>
  </conditionalFormatting>
  <conditionalFormatting sqref="E4 E6:E11">
    <cfRule type="expression" dxfId="2250" priority="91">
      <formula>ABS(E$7-E$10)&gt;=1000</formula>
    </cfRule>
  </conditionalFormatting>
  <conditionalFormatting sqref="F4:F11">
    <cfRule type="expression" dxfId="2249" priority="90">
      <formula>ABS(F$7-F$10)&gt;=1000</formula>
    </cfRule>
  </conditionalFormatting>
  <conditionalFormatting sqref="G4:G11">
    <cfRule type="expression" dxfId="2248" priority="89">
      <formula>ABS(G$7-G$10)&gt;=1000</formula>
    </cfRule>
  </conditionalFormatting>
  <conditionalFormatting sqref="H4:H11">
    <cfRule type="expression" dxfId="2247" priority="88">
      <formula>ABS(H$7-H$10)&gt;=1000</formula>
    </cfRule>
  </conditionalFormatting>
  <conditionalFormatting sqref="I4:I11">
    <cfRule type="expression" dxfId="2246" priority="87">
      <formula>ABS(I$7-I$10)&gt;=1000</formula>
    </cfRule>
  </conditionalFormatting>
  <conditionalFormatting sqref="J4:J11">
    <cfRule type="expression" dxfId="2245" priority="86">
      <formula>ABS(J$7-J$10)&gt;=1000</formula>
    </cfRule>
  </conditionalFormatting>
  <conditionalFormatting sqref="K4:K11">
    <cfRule type="expression" dxfId="2244" priority="85">
      <formula>ABS(K$7-K$10)&gt;=1000</formula>
    </cfRule>
  </conditionalFormatting>
  <conditionalFormatting sqref="L4:L11">
    <cfRule type="expression" dxfId="2243" priority="84">
      <formula>ABS(L$7-L$10)&gt;=1000</formula>
    </cfRule>
  </conditionalFormatting>
  <conditionalFormatting sqref="M4:M11">
    <cfRule type="expression" dxfId="2242" priority="83">
      <formula>ABS(M$7-M$10)&gt;=1000</formula>
    </cfRule>
  </conditionalFormatting>
  <conditionalFormatting sqref="N4:N11">
    <cfRule type="expression" dxfId="2241" priority="82">
      <formula>ABS(N$7-N$10)&gt;=1000</formula>
    </cfRule>
  </conditionalFormatting>
  <conditionalFormatting sqref="O4:O11">
    <cfRule type="expression" dxfId="2240" priority="81">
      <formula>ABS(O$7-O$10)&gt;=1000</formula>
    </cfRule>
  </conditionalFormatting>
  <conditionalFormatting sqref="P4:P11">
    <cfRule type="expression" dxfId="2239" priority="80">
      <formula>ABS(P$7-P$10)&gt;=1000</formula>
    </cfRule>
  </conditionalFormatting>
  <conditionalFormatting sqref="Q4:Q11">
    <cfRule type="expression" dxfId="2238" priority="79">
      <formula>ABS(Q$7-Q$10)&gt;=1000</formula>
    </cfRule>
  </conditionalFormatting>
  <conditionalFormatting sqref="R4:R11">
    <cfRule type="expression" dxfId="2237" priority="78">
      <formula>ABS(R$7-R$10)&gt;=1000</formula>
    </cfRule>
  </conditionalFormatting>
  <conditionalFormatting sqref="S4:S11">
    <cfRule type="expression" dxfId="2236" priority="77">
      <formula>ABS(S$7-S$10)&gt;=1000</formula>
    </cfRule>
  </conditionalFormatting>
  <conditionalFormatting sqref="T4:T9 T11">
    <cfRule type="expression" dxfId="2235" priority="76">
      <formula>ABS(T$7-T$10)&gt;=1000</formula>
    </cfRule>
  </conditionalFormatting>
  <conditionalFormatting sqref="U4:U9 U11">
    <cfRule type="expression" dxfId="2234" priority="75">
      <formula>ABS(U$7-U$10)&gt;=1000</formula>
    </cfRule>
  </conditionalFormatting>
  <conditionalFormatting sqref="V4:V9 V11">
    <cfRule type="expression" dxfId="2233" priority="74">
      <formula>ABS(V$7-V$10)&gt;=1000</formula>
    </cfRule>
  </conditionalFormatting>
  <conditionalFormatting sqref="W4:W9 W11">
    <cfRule type="expression" dxfId="2232" priority="73">
      <formula>ABS(W$7-W$10)&gt;=1000</formula>
    </cfRule>
  </conditionalFormatting>
  <conditionalFormatting sqref="X4:X9 X11">
    <cfRule type="expression" dxfId="2231" priority="72">
      <formula>ABS(X$7-X$10)&gt;=1000</formula>
    </cfRule>
  </conditionalFormatting>
  <conditionalFormatting sqref="Y4:Y9 Y11">
    <cfRule type="expression" dxfId="2230" priority="71">
      <formula>ABS(Y$7-Y$10)&gt;=1000</formula>
    </cfRule>
  </conditionalFormatting>
  <conditionalFormatting sqref="Z4:Z11">
    <cfRule type="expression" dxfId="2229" priority="70">
      <formula>ABS(Z$7-Z$10)&gt;=1000</formula>
    </cfRule>
  </conditionalFormatting>
  <conditionalFormatting sqref="AA4:AA11">
    <cfRule type="expression" dxfId="2228" priority="69">
      <formula>ABS(AA$7-AA$10)&gt;=1000</formula>
    </cfRule>
  </conditionalFormatting>
  <conditionalFormatting sqref="AB4:AB11">
    <cfRule type="expression" dxfId="2227" priority="68">
      <formula>ABS(AB$7-AB$10)&gt;=1000</formula>
    </cfRule>
  </conditionalFormatting>
  <conditionalFormatting sqref="AC4 AC6:AC11">
    <cfRule type="expression" dxfId="2226" priority="67">
      <formula>ABS(AC$7-AC$10)&gt;=1000</formula>
    </cfRule>
  </conditionalFormatting>
  <conditionalFormatting sqref="AD4:AD11">
    <cfRule type="expression" dxfId="2225" priority="66">
      <formula>ABS(AD$7-AD$10)&gt;=1000</formula>
    </cfRule>
  </conditionalFormatting>
  <conditionalFormatting sqref="AE4:AE11">
    <cfRule type="expression" dxfId="2224" priority="65">
      <formula>ABS(AE$7-AE$10)&gt;=1000</formula>
    </cfRule>
  </conditionalFormatting>
  <conditionalFormatting sqref="D13:D20">
    <cfRule type="expression" dxfId="2223" priority="64">
      <formula>ABS(D$16-D$19)&gt;=1000</formula>
    </cfRule>
  </conditionalFormatting>
  <conditionalFormatting sqref="E13:E20">
    <cfRule type="expression" dxfId="2222" priority="63">
      <formula>ABS(E$16-E$19)&gt;=1000</formula>
    </cfRule>
  </conditionalFormatting>
  <conditionalFormatting sqref="F13 F15:F20">
    <cfRule type="expression" dxfId="2221" priority="62">
      <formula>ABS(F$16-F$19)&gt;=1000</formula>
    </cfRule>
  </conditionalFormatting>
  <conditionalFormatting sqref="G13:G20">
    <cfRule type="expression" dxfId="2220" priority="61">
      <formula>ABS(G$16-G$19)&gt;=1000</formula>
    </cfRule>
  </conditionalFormatting>
  <conditionalFormatting sqref="H13:H20">
    <cfRule type="expression" dxfId="2219" priority="60">
      <formula>ABS(H$16-H$19)&gt;=1000</formula>
    </cfRule>
  </conditionalFormatting>
  <conditionalFormatting sqref="I13:I20">
    <cfRule type="expression" dxfId="2218" priority="59">
      <formula>ABS(I$16-I$19)&gt;=1000</formula>
    </cfRule>
  </conditionalFormatting>
  <conditionalFormatting sqref="J13:J20">
    <cfRule type="expression" dxfId="2217" priority="58">
      <formula>ABS(J$16-J$19)&gt;=1000</formula>
    </cfRule>
  </conditionalFormatting>
  <conditionalFormatting sqref="L13:L20">
    <cfRule type="expression" dxfId="2216" priority="57">
      <formula>ABS(L$16-L$19)&gt;=1000</formula>
    </cfRule>
  </conditionalFormatting>
  <conditionalFormatting sqref="M13 M15 M17:M18 M20">
    <cfRule type="expression" dxfId="2215" priority="56">
      <formula>ABS(M$16-M$19)&gt;=1000</formula>
    </cfRule>
  </conditionalFormatting>
  <conditionalFormatting sqref="N13:N20">
    <cfRule type="expression" dxfId="2214" priority="55">
      <formula>ABS(N$16-N$19)&gt;=1000</formula>
    </cfRule>
  </conditionalFormatting>
  <conditionalFormatting sqref="O13:O20">
    <cfRule type="expression" dxfId="2213" priority="54">
      <formula>ABS(O$16-O$19)&gt;=1000</formula>
    </cfRule>
  </conditionalFormatting>
  <conditionalFormatting sqref="P13:P20">
    <cfRule type="expression" dxfId="2212" priority="53">
      <formula>ABS(P$16-P$19)&gt;=1000</formula>
    </cfRule>
  </conditionalFormatting>
  <conditionalFormatting sqref="Q13 Q15:Q20">
    <cfRule type="expression" dxfId="2211" priority="52">
      <formula>ABS(Q$16-Q$19)&gt;=1000</formula>
    </cfRule>
  </conditionalFormatting>
  <conditionalFormatting sqref="R13:R20">
    <cfRule type="expression" dxfId="2210" priority="51">
      <formula>ABS(R$16-R$19)&gt;=1000</formula>
    </cfRule>
  </conditionalFormatting>
  <conditionalFormatting sqref="S13:S20">
    <cfRule type="expression" dxfId="2209" priority="50">
      <formula>ABS(S$16-S$19)&gt;=1000</formula>
    </cfRule>
  </conditionalFormatting>
  <conditionalFormatting sqref="T13:T20">
    <cfRule type="expression" dxfId="2208" priority="49">
      <formula>ABS(T$16-T$19)&gt;=1000</formula>
    </cfRule>
  </conditionalFormatting>
  <conditionalFormatting sqref="U13:U20">
    <cfRule type="expression" dxfId="2207" priority="48">
      <formula>ABS(U$16-U$19)&gt;=1000</formula>
    </cfRule>
  </conditionalFormatting>
  <conditionalFormatting sqref="V13:V20">
    <cfRule type="expression" dxfId="2206" priority="47">
      <formula>ABS(V$16-V$19)&gt;=1000</formula>
    </cfRule>
  </conditionalFormatting>
  <conditionalFormatting sqref="W13 W15:W18 W20">
    <cfRule type="expression" dxfId="2205" priority="46">
      <formula>ABS(W$16-W$19)&gt;=1000</formula>
    </cfRule>
  </conditionalFormatting>
  <conditionalFormatting sqref="X13 X15:X20 Y19">
    <cfRule type="expression" dxfId="2204" priority="45">
      <formula>ABS(X$16-X$19)&gt;=1000</formula>
    </cfRule>
  </conditionalFormatting>
  <conditionalFormatting sqref="Y13 Y15:Y18 Y20">
    <cfRule type="expression" dxfId="2203" priority="44">
      <formula>ABS(Y$16-Y$19)&gt;=1000</formula>
    </cfRule>
  </conditionalFormatting>
  <conditionalFormatting sqref="Z13:Z20">
    <cfRule type="expression" dxfId="2202" priority="43">
      <formula>ABS(Z$16-Z$19)&gt;=1000</formula>
    </cfRule>
  </conditionalFormatting>
  <conditionalFormatting sqref="AA13:AA20">
    <cfRule type="expression" dxfId="2201" priority="42">
      <formula>ABS(AA$16-AA$19)&gt;=1000</formula>
    </cfRule>
  </conditionalFormatting>
  <conditionalFormatting sqref="AB13 AB15:AB20">
    <cfRule type="expression" dxfId="2200" priority="41">
      <formula>ABS(AB$16-AB$19)&gt;=1000</formula>
    </cfRule>
  </conditionalFormatting>
  <conditionalFormatting sqref="AC13 AC15:AC20">
    <cfRule type="expression" dxfId="2199" priority="40">
      <formula>ABS(AC$16-AC$19)&gt;=1000</formula>
    </cfRule>
  </conditionalFormatting>
  <conditionalFormatting sqref="AD13:AD20">
    <cfRule type="expression" dxfId="2198" priority="39">
      <formula>ABS(AD$16-AD$19)&gt;=1000</formula>
    </cfRule>
  </conditionalFormatting>
  <conditionalFormatting sqref="AE13:AE20">
    <cfRule type="expression" dxfId="2197" priority="38">
      <formula>ABS(AE$16-AE$19)&gt;=1000</formula>
    </cfRule>
  </conditionalFormatting>
  <conditionalFormatting sqref="D22:D29">
    <cfRule type="expression" dxfId="2196" priority="37">
      <formula>ABS(D$25-D$28)&gt;=1000</formula>
    </cfRule>
  </conditionalFormatting>
  <conditionalFormatting sqref="E22:E29">
    <cfRule type="expression" dxfId="2195" priority="36">
      <formula>ABS(E$25-E$28)&gt;=1000</formula>
    </cfRule>
  </conditionalFormatting>
  <conditionalFormatting sqref="F22:F29">
    <cfRule type="expression" dxfId="2194" priority="35">
      <formula>ABS(F$25-F$28)&gt;=1000</formula>
    </cfRule>
  </conditionalFormatting>
  <conditionalFormatting sqref="G22:G29">
    <cfRule type="expression" dxfId="2193" priority="34">
      <formula>ABS(G$25-G$28)&gt;=1000</formula>
    </cfRule>
  </conditionalFormatting>
  <conditionalFormatting sqref="H22:H29">
    <cfRule type="expression" dxfId="2192" priority="33">
      <formula>ABS(H$25-H$28)&gt;=1000</formula>
    </cfRule>
  </conditionalFormatting>
  <conditionalFormatting sqref="I22 I24:I29">
    <cfRule type="expression" dxfId="2191" priority="32">
      <formula>ABS(I$25-I$28)&gt;=1000</formula>
    </cfRule>
  </conditionalFormatting>
  <conditionalFormatting sqref="J22:J29 K22">
    <cfRule type="expression" dxfId="2190" priority="31">
      <formula>ABS(J$25-J$28)&gt;=1000</formula>
    </cfRule>
  </conditionalFormatting>
  <conditionalFormatting sqref="K23:K29 L25 L28">
    <cfRule type="expression" dxfId="2189" priority="30">
      <formula>ABS(K$25-K$28)&gt;=1000</formula>
    </cfRule>
  </conditionalFormatting>
  <conditionalFormatting sqref="L22:L24 L26:L27 L29">
    <cfRule type="expression" dxfId="2188" priority="29">
      <formula>ABS(L$25-L$28)&gt;=1000</formula>
    </cfRule>
  </conditionalFormatting>
  <conditionalFormatting sqref="M22:M29">
    <cfRule type="expression" dxfId="2187" priority="28">
      <formula>ABS(M$25-M$28)&gt;=1000</formula>
    </cfRule>
  </conditionalFormatting>
  <conditionalFormatting sqref="N22:N29">
    <cfRule type="expression" dxfId="2186" priority="27">
      <formula>ABS(N$25-N$28)&gt;=1000</formula>
    </cfRule>
  </conditionalFormatting>
  <conditionalFormatting sqref="O22:O29">
    <cfRule type="expression" dxfId="2185" priority="26">
      <formula>ABS(O$25-O$28)&gt;=1000</formula>
    </cfRule>
  </conditionalFormatting>
  <conditionalFormatting sqref="P22:P29">
    <cfRule type="expression" dxfId="2184" priority="25">
      <formula>ABS(P$25-P$28)&gt;=1000</formula>
    </cfRule>
  </conditionalFormatting>
  <conditionalFormatting sqref="Q22:Q29">
    <cfRule type="expression" dxfId="2183" priority="24">
      <formula>ABS(Q$25-Q$28)&gt;=1000</formula>
    </cfRule>
  </conditionalFormatting>
  <conditionalFormatting sqref="R22:R29">
    <cfRule type="expression" dxfId="2182" priority="23">
      <formula>ABS(R$25-R$28)&gt;=1000</formula>
    </cfRule>
  </conditionalFormatting>
  <conditionalFormatting sqref="S22:S29">
    <cfRule type="expression" dxfId="2181" priority="22">
      <formula>ABS(S$25-S$28)&gt;=1000</formula>
    </cfRule>
  </conditionalFormatting>
  <conditionalFormatting sqref="T22:T29">
    <cfRule type="expression" dxfId="2180" priority="21">
      <formula>ABS(T$25-T$28)&gt;=1000</formula>
    </cfRule>
  </conditionalFormatting>
  <conditionalFormatting sqref="U22:U29">
    <cfRule type="expression" dxfId="2179" priority="20">
      <formula>ABS(U$25-U$28)&gt;=1000</formula>
    </cfRule>
  </conditionalFormatting>
  <conditionalFormatting sqref="V22:V29">
    <cfRule type="expression" dxfId="2178" priority="19">
      <formula>ABS(V$25-V$28)&gt;=1000</formula>
    </cfRule>
  </conditionalFormatting>
  <conditionalFormatting sqref="W22:W29">
    <cfRule type="expression" dxfId="2177" priority="18">
      <formula>ABS(W$25-W$28)&gt;=1000</formula>
    </cfRule>
  </conditionalFormatting>
  <conditionalFormatting sqref="X22:X29">
    <cfRule type="expression" dxfId="2176" priority="17">
      <formula>ABS(X$25-X$28)&gt;=1000</formula>
    </cfRule>
  </conditionalFormatting>
  <conditionalFormatting sqref="Y22:Y29">
    <cfRule type="expression" dxfId="2175" priority="16">
      <formula>ABS(Y$25-Y$28)&gt;=1000</formula>
    </cfRule>
  </conditionalFormatting>
  <conditionalFormatting sqref="I23">
    <cfRule type="expression" dxfId="2174" priority="15">
      <formula>ABS(I$25-I$28)&gt;=1000</formula>
    </cfRule>
  </conditionalFormatting>
  <conditionalFormatting sqref="F14">
    <cfRule type="expression" dxfId="2173" priority="14">
      <formula>ABS(F$16-F$19)&gt;=1000</formula>
    </cfRule>
  </conditionalFormatting>
  <conditionalFormatting sqref="Q14">
    <cfRule type="expression" dxfId="2172" priority="13">
      <formula>ABS(Q$16-Q$19)&gt;=1000</formula>
    </cfRule>
  </conditionalFormatting>
  <conditionalFormatting sqref="W14">
    <cfRule type="expression" dxfId="2171" priority="12">
      <formula>ABS(W$16-W$19)&gt;=1000</formula>
    </cfRule>
  </conditionalFormatting>
  <conditionalFormatting sqref="Y14">
    <cfRule type="expression" dxfId="2170" priority="11">
      <formula>ABS(Y$16-Y$19)&gt;=1000</formula>
    </cfRule>
  </conditionalFormatting>
  <conditionalFormatting sqref="X14">
    <cfRule type="expression" dxfId="2169" priority="10">
      <formula>ABS(X$16-X$19)&gt;=1000</formula>
    </cfRule>
  </conditionalFormatting>
  <conditionalFormatting sqref="T10:Y10">
    <cfRule type="expression" dxfId="2168" priority="9">
      <formula>ABS(T$7-T$10)&gt;=1000</formula>
    </cfRule>
  </conditionalFormatting>
  <conditionalFormatting sqref="W19">
    <cfRule type="expression" dxfId="2167" priority="8">
      <formula>ABS(W$16-W$19)&gt;=1000</formula>
    </cfRule>
  </conditionalFormatting>
  <conditionalFormatting sqref="AC5">
    <cfRule type="expression" dxfId="2166" priority="7">
      <formula>ABS(AC$7-AC$10)&gt;=1000</formula>
    </cfRule>
  </conditionalFormatting>
  <conditionalFormatting sqref="M14">
    <cfRule type="expression" dxfId="2165" priority="6">
      <formula>ABS(M$16-M$19)&gt;=1000</formula>
    </cfRule>
  </conditionalFormatting>
  <conditionalFormatting sqref="M16">
    <cfRule type="expression" dxfId="2164" priority="5">
      <formula>ABS(M$16-M$19)&gt;=1000</formula>
    </cfRule>
  </conditionalFormatting>
  <conditionalFormatting sqref="M19">
    <cfRule type="expression" dxfId="2163" priority="4">
      <formula>ABS(M$16-M$19)&gt;=1000</formula>
    </cfRule>
  </conditionalFormatting>
  <conditionalFormatting sqref="K13:K20">
    <cfRule type="expression" dxfId="2162" priority="3">
      <formula>ABS(K$16-K$19)&gt;=1000</formula>
    </cfRule>
  </conditionalFormatting>
  <conditionalFormatting sqref="E5">
    <cfRule type="expression" dxfId="2161" priority="2">
      <formula>ABS(E$7-E$10)&gt;=1000</formula>
    </cfRule>
  </conditionalFormatting>
  <conditionalFormatting sqref="AB14:AC14">
    <cfRule type="expression" dxfId="2160" priority="1">
      <formula>ABS(AB$16-AB$19)&gt;=1000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694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67">
    <pageSetUpPr fitToPage="1"/>
  </sheetPr>
  <dimension ref="A1:CU223"/>
  <sheetViews>
    <sheetView view="pageBreakPreview" zoomScale="70" zoomScaleNormal="100" zoomScaleSheetLayoutView="70" workbookViewId="0">
      <selection activeCell="T7" sqref="T7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08" t="s" ph="1">
        <v>192</v>
      </c>
      <c r="C1" s="208" ph="1"/>
      <c r="D1" s="208" ph="1"/>
      <c r="E1" s="208" ph="1"/>
      <c r="F1" s="208" ph="1"/>
      <c r="G1" s="208" ph="1"/>
      <c r="H1" s="208" ph="1"/>
      <c r="I1" s="208" ph="1"/>
      <c r="J1" s="208" ph="1"/>
      <c r="K1" s="208" ph="1"/>
      <c r="L1" s="208" ph="1"/>
      <c r="M1" s="208" ph="1"/>
      <c r="N1" s="208" ph="1"/>
      <c r="O1" s="208" ph="1"/>
      <c r="P1" s="208" ph="1"/>
      <c r="Q1" s="208" ph="1"/>
      <c r="R1" s="208" ph="1"/>
      <c r="S1" s="208" ph="1"/>
      <c r="T1" s="208" ph="1"/>
      <c r="U1" s="208" ph="1"/>
      <c r="V1" s="208" ph="1"/>
      <c r="W1" s="208" ph="1"/>
      <c r="X1" s="208" ph="1"/>
      <c r="Y1" s="208" ph="1"/>
      <c r="Z1" s="208" ph="1"/>
      <c r="AA1" s="208" ph="1"/>
      <c r="AB1" s="208" ph="1"/>
      <c r="AC1" s="208" ph="1"/>
      <c r="AD1" s="208" ph="1"/>
      <c r="AE1" s="208" ph="1"/>
    </row>
    <row r="2" spans="1:99" s="66" customFormat="1" ht="24" customHeight="1" ph="1">
      <c r="B2" s="209" t="s" ph="1">
        <v>99</v>
      </c>
      <c r="C2" s="209" ph="1"/>
      <c r="D2" s="209" ph="1"/>
      <c r="E2" s="209" ph="1"/>
      <c r="F2" s="209" ph="1"/>
      <c r="G2" s="209" ph="1"/>
      <c r="H2" s="209" ph="1"/>
      <c r="I2" s="209" ph="1"/>
      <c r="J2" s="209" ph="1"/>
      <c r="K2" s="209" ph="1"/>
      <c r="L2" s="209" ph="1"/>
      <c r="M2" s="209" ph="1"/>
      <c r="N2" s="209" ph="1"/>
      <c r="O2" s="209" ph="1"/>
      <c r="P2" s="209" ph="1"/>
      <c r="Q2" s="209" ph="1"/>
      <c r="R2" s="209" ph="1"/>
      <c r="S2" s="209" ph="1"/>
      <c r="T2" s="209" ph="1"/>
      <c r="U2" s="209" ph="1"/>
      <c r="V2" s="209" ph="1"/>
      <c r="W2" s="209" ph="1"/>
      <c r="X2" s="209" ph="1"/>
      <c r="Y2" s="209" ph="1"/>
      <c r="Z2" s="209" ph="1"/>
      <c r="AA2" s="209" ph="1"/>
      <c r="AB2" s="209" ph="1"/>
      <c r="AC2" s="209" ph="1"/>
      <c r="AD2" s="209" ph="1"/>
      <c r="AE2" s="209" ph="1"/>
    </row>
    <row r="3" spans="1:99" ht="21" customHeight="1" ph="1">
      <c r="B3" s="210" ph="1">
        <v>45693</v>
      </c>
      <c r="C3" s="210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210"/>
      <c r="R3" s="210"/>
      <c r="S3" s="210"/>
      <c r="T3" s="210"/>
      <c r="U3" s="210"/>
      <c r="V3" s="210"/>
      <c r="W3" s="210"/>
      <c r="X3" s="210"/>
      <c r="Y3" s="210"/>
      <c r="Z3" s="210"/>
      <c r="AA3" s="210"/>
      <c r="AB3" s="210"/>
      <c r="AC3" s="210"/>
      <c r="AD3" s="210"/>
      <c r="AE3" s="210"/>
    </row>
    <row r="4" spans="1:99" s="69" customFormat="1" ph="1">
      <c r="A4" s="65" ph="1"/>
      <c r="B4" s="211" t="s" ph="1">
        <v>37</v>
      </c>
      <c r="C4" s="67" t="s" ph="1">
        <v>207</v>
      </c>
      <c r="D4" s="68" t="s" ph="1">
        <v>45</v>
      </c>
      <c r="E4" s="68" t="s" ph="1">
        <v>46</v>
      </c>
      <c r="F4" s="68" t="s" ph="1">
        <v>39</v>
      </c>
      <c r="G4" s="68" t="s" ph="1">
        <v>47</v>
      </c>
      <c r="H4" s="68" t="s" ph="1">
        <v>48</v>
      </c>
      <c r="I4" s="68" t="s" ph="1">
        <v>132</v>
      </c>
      <c r="J4" s="68" t="s" ph="1">
        <v>49</v>
      </c>
      <c r="K4" s="68" t="s" ph="1">
        <v>133</v>
      </c>
      <c r="L4" s="68" t="s" ph="1">
        <v>134</v>
      </c>
      <c r="M4" s="68" t="s" ph="1">
        <v>50</v>
      </c>
      <c r="N4" s="68" t="s" ph="1">
        <v>51</v>
      </c>
      <c r="O4" s="68" t="s" ph="1">
        <v>136</v>
      </c>
      <c r="P4" s="68" t="s" ph="1">
        <v>138</v>
      </c>
      <c r="Q4" s="68" t="s" ph="1">
        <v>139</v>
      </c>
      <c r="R4" s="68" t="s" ph="1">
        <v>140</v>
      </c>
      <c r="S4" s="68" t="s" ph="1">
        <v>141</v>
      </c>
      <c r="T4" s="68" t="s" ph="1">
        <v>142</v>
      </c>
      <c r="U4" s="68" t="s" ph="1">
        <v>143</v>
      </c>
      <c r="V4" s="68" t="s" ph="1">
        <v>144</v>
      </c>
      <c r="W4" s="68" t="s" ph="1">
        <v>145</v>
      </c>
      <c r="X4" s="68" t="s" ph="1">
        <v>146</v>
      </c>
      <c r="Y4" s="68" t="s" ph="1">
        <v>147</v>
      </c>
      <c r="Z4" s="68" t="s" ph="1">
        <v>52</v>
      </c>
      <c r="AA4" s="68" t="s" ph="1">
        <v>148</v>
      </c>
      <c r="AB4" s="68" t="s" ph="1">
        <v>149</v>
      </c>
      <c r="AC4" s="68" t="s" ph="1">
        <v>150</v>
      </c>
      <c r="AD4" s="68" t="s" ph="1">
        <v>40</v>
      </c>
      <c r="AE4" s="68" t="s" ph="1">
        <v>151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1" ph="1"/>
      <c r="C5" s="67" t="s" ph="1">
        <v>36</v>
      </c>
      <c r="D5" s="70" t="s" ph="1">
        <v>191</v>
      </c>
      <c r="E5" s="70" t="s" ph="1">
        <v>55</v>
      </c>
      <c r="F5" s="70" t="s" ph="1">
        <v>129</v>
      </c>
      <c r="G5" s="70" t="s" ph="1">
        <v>56</v>
      </c>
      <c r="H5" s="70" t="s" ph="1">
        <v>56</v>
      </c>
      <c r="I5" s="70" t="s" ph="1">
        <v>57</v>
      </c>
      <c r="J5" s="70" t="s" ph="1">
        <v>58</v>
      </c>
      <c r="K5" s="70" t="s" ph="1">
        <v>59</v>
      </c>
      <c r="L5" s="70" t="s" ph="1">
        <v>135</v>
      </c>
      <c r="M5" s="70" t="s" ph="1">
        <v>60</v>
      </c>
      <c r="N5" s="70" t="s" ph="1">
        <v>61</v>
      </c>
      <c r="O5" s="70" t="s" ph="1">
        <v>137</v>
      </c>
      <c r="P5" s="70" t="s" ph="1">
        <v>88</v>
      </c>
      <c r="Q5" s="70" t="s" ph="1">
        <v>96</v>
      </c>
      <c r="R5" s="70" t="s" ph="1">
        <v>96</v>
      </c>
      <c r="S5" s="70" t="s" ph="1">
        <v>96</v>
      </c>
      <c r="T5" s="70" t="s" ph="1">
        <v>96</v>
      </c>
      <c r="U5" s="70" t="s" ph="1">
        <v>96</v>
      </c>
      <c r="V5" s="70" t="s" ph="1">
        <v>96</v>
      </c>
      <c r="W5" s="70" t="s" ph="1">
        <v>96</v>
      </c>
      <c r="X5" s="70" t="s" ph="1">
        <v>96</v>
      </c>
      <c r="Y5" s="70" t="s" ph="1">
        <v>96</v>
      </c>
      <c r="Z5" s="70" t="s" ph="1">
        <v>95</v>
      </c>
      <c r="AA5" s="70" t="s" ph="1">
        <v>62</v>
      </c>
      <c r="AB5" s="70" t="s" ph="1">
        <v>62</v>
      </c>
      <c r="AC5" s="70" t="s" ph="1">
        <v>219</v>
      </c>
      <c r="AD5" s="70" t="s" ph="1">
        <v>83</v>
      </c>
      <c r="AE5" s="70" t="s" ph="1">
        <v>654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07" ph="1">
        <v>0.33333333333333331</v>
      </c>
      <c r="C6" s="154" t="s" ph="1">
        <v>208</v>
      </c>
      <c r="D6" s="71">
        <v>4093</v>
      </c>
      <c r="E6" s="71">
        <v>0</v>
      </c>
      <c r="F6" s="71">
        <v>5367</v>
      </c>
      <c r="G6" s="71">
        <v>5545</v>
      </c>
      <c r="H6" s="71">
        <v>2297</v>
      </c>
      <c r="I6" s="71">
        <v>39.01</v>
      </c>
      <c r="J6" s="71">
        <v>2.31</v>
      </c>
      <c r="K6" s="71">
        <v>40.92</v>
      </c>
      <c r="L6" s="71">
        <v>43.91</v>
      </c>
      <c r="M6" s="71">
        <v>4982</v>
      </c>
      <c r="N6" s="71">
        <v>5823</v>
      </c>
      <c r="O6" s="71">
        <v>4471</v>
      </c>
      <c r="P6" s="71">
        <v>7367</v>
      </c>
      <c r="Q6" s="71">
        <v>4022</v>
      </c>
      <c r="R6" s="71">
        <v>0</v>
      </c>
      <c r="S6" s="71">
        <v>0</v>
      </c>
      <c r="T6" s="71">
        <v>0</v>
      </c>
      <c r="U6" s="71">
        <v>208</v>
      </c>
      <c r="V6" s="71">
        <v>4701</v>
      </c>
      <c r="W6" s="71">
        <v>6888</v>
      </c>
      <c r="X6" s="71">
        <v>3502</v>
      </c>
      <c r="Y6" s="71">
        <v>4925</v>
      </c>
      <c r="Z6" s="71">
        <v>3161</v>
      </c>
      <c r="AA6" s="71">
        <v>1627</v>
      </c>
      <c r="AB6" s="71">
        <v>2935</v>
      </c>
      <c r="AC6" s="71">
        <v>7939</v>
      </c>
      <c r="AD6" s="71">
        <v>272</v>
      </c>
      <c r="AE6" s="71">
        <v>3018</v>
      </c>
    </row>
    <row r="7" spans="1:99" s="72" customFormat="1" ht="22.5" ph="1">
      <c r="B7" s="207" ph="1"/>
      <c r="C7" s="68" t="s" ph="1">
        <v>209</v>
      </c>
      <c r="D7" s="73" ph="1">
        <f>D6*33.183*LOOKUP(D8,密度!$A$2:$A$50,密度!$Q$2:$Q$50)</f>
        <v>129643.73185626001</v>
      </c>
      <c r="E7" s="73" ph="1">
        <f>E6*51.53*LOOKUP(E8,密度!$A$2:$A$50,密度!$I$2:$I$50)</f>
        <v>0</v>
      </c>
      <c r="F7" s="73" ph="1">
        <f>F6*33.183*LOOKUP(F8,密度!$A$2:$A$50,密度!$C$2:$C$50)</f>
        <v>199001.2981014</v>
      </c>
      <c r="G7" s="73" ph="1">
        <f xml:space="preserve"> (G6+2)*51.53*LOOKUP(G8,密度!$A$2:$A$50,密度!$B$2:$B$50)</f>
        <v>225496.73829900005</v>
      </c>
      <c r="H7" s="73" ph="1">
        <f>(H6)*51.53*LOOKUP(H8,密度!$A$2:$A$50,密度!$B$2:$B$50)</f>
        <v>94076.03306799999</v>
      </c>
      <c r="I7" s="73" ph="1">
        <f>I6*290.8*1.0267</f>
        <v>11646.9956836</v>
      </c>
      <c r="J7" s="73" ph="1">
        <f>J6*290.8*0.7892</f>
        <v>530.1435216000001</v>
      </c>
      <c r="K7" s="73" ph="1">
        <f>K6*290.8*1.1126</f>
        <v>13239.4237536</v>
      </c>
      <c r="L7" s="73" ph="1">
        <f>L6*290.8*0.777</f>
        <v>9921.5347560000009</v>
      </c>
      <c r="M7" s="73" ph="1">
        <f>M6*33.183*LOOKUP(M8,密度!$A$2:$A$50,密度!$D$2:$D$50)</f>
        <v>171500.58820440003</v>
      </c>
      <c r="N7" s="73" ph="1">
        <f>N6*33.183*LOOKUP(N8,密度!$A$2:$A$50,密度!$E$2:$E$50)</f>
        <v>153555.59677229999</v>
      </c>
      <c r="O7" s="73" ph="1">
        <f>O6*20.428*LOOKUP(O8,密度!$A$2:$A$50,密度!$C$2:$C$50)</f>
        <v>101672.5501616</v>
      </c>
      <c r="P7" s="73" ph="1">
        <f>P6*51.53*LOOKUP(P8,密度!$A$2:$A$50,密度!$B$2:$B$50)</f>
        <v>300128.76580599998</v>
      </c>
      <c r="Q7" s="73" ph="1">
        <f>Q6*1.5*1.5*3.1416*LOOKUP(W8,密度!$A$2:$A$50,密度!$L$2:$L$50)</f>
        <v>26894.694103199996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1395.2850911999999</v>
      </c>
      <c r="V7" s="73" ph="1">
        <f>V6*1.5*1.5*3.1416*LOOKUP(V8,密度!$A$2:$A$50,密度!$L$2:$L$50)</f>
        <v>31302.178261199995</v>
      </c>
      <c r="W7" s="73" ph="1">
        <f>W6*1.5*1.5*3.1416*LOOKUP(W8,密度!$A$2:$A$50,密度!$L$2:$L$50)</f>
        <v>46059.336892799998</v>
      </c>
      <c r="X7" s="73" ph="1">
        <f>X6*1.5*1.5*3.1416*LOOKUP(X8,密度!$A$2:$A$50,密度!$L$2:$L$50)</f>
        <v>23689.8050004</v>
      </c>
      <c r="Y7" s="73" ph="1">
        <f>Y6*1.5*1.5*3.1416*LOOKUP(Y8,密度!$A$2:$A$50,密度!$L$2:$L$50)</f>
        <v>33002.586539999997</v>
      </c>
      <c r="Z7" s="73" ph="1">
        <f>Z6*33.183*LOOKUP(Z8,密度!$A$2:$A$50,密度!$L$2:$L$50)</f>
        <v>99646.889849999992</v>
      </c>
      <c r="AA7" s="73" ph="1">
        <f>AA6*33.183*LOOKUP(AA8,密度!$A$2:$A$50,密度!$D$2:$D$50)</f>
        <v>56056.509780300003</v>
      </c>
      <c r="AB7" s="73" ph="1">
        <f>AB6*20.428*LOOKUP(AB8,密度!$A$2:$A$50,密度!$D$2:$D$50)</f>
        <v>62678.190572000007</v>
      </c>
      <c r="AC7" s="73" ph="1">
        <f>AC6*51.53*LOOKUP(AC8,密度!$A$2:$A$50,密度!$Q$2:$Q$50)</f>
        <v>390499.13538180001</v>
      </c>
      <c r="AD7" s="73" ph="1">
        <f>AD6*20.428*LOOKUP(AD8,密度!$A$2:$A$50,密度!$V$2:$V$50)</f>
        <v>5356.3850240000002</v>
      </c>
      <c r="AE7" s="73" ph="1">
        <f>AE6*20.428</f>
        <v>61651.704000000005</v>
      </c>
    </row>
    <row r="8" spans="1:99" ph="1">
      <c r="B8" s="207" ph="1"/>
      <c r="C8" s="68" t="s" ph="1">
        <v>210</v>
      </c>
      <c r="D8" s="74">
        <v>14</v>
      </c>
      <c r="E8" s="74">
        <v>12</v>
      </c>
      <c r="F8" s="74">
        <v>13</v>
      </c>
      <c r="G8" s="74">
        <v>14</v>
      </c>
      <c r="H8" s="74">
        <v>7</v>
      </c>
      <c r="I8" s="74">
        <v>25</v>
      </c>
      <c r="J8" s="74">
        <v>25</v>
      </c>
      <c r="K8" s="74">
        <v>25</v>
      </c>
      <c r="L8" s="74">
        <v>25</v>
      </c>
      <c r="M8" s="74">
        <v>13</v>
      </c>
      <c r="N8" s="74">
        <v>15</v>
      </c>
      <c r="O8" s="74">
        <v>19</v>
      </c>
      <c r="P8" s="74">
        <v>12</v>
      </c>
      <c r="Q8" s="74">
        <v>7</v>
      </c>
      <c r="R8" s="74">
        <v>20</v>
      </c>
      <c r="S8" s="74">
        <v>13</v>
      </c>
      <c r="T8" s="74">
        <v>8</v>
      </c>
      <c r="U8" s="74">
        <v>13</v>
      </c>
      <c r="V8" s="74">
        <v>20</v>
      </c>
      <c r="W8" s="74">
        <v>16</v>
      </c>
      <c r="X8" s="74">
        <v>5</v>
      </c>
      <c r="Y8" s="74">
        <v>14</v>
      </c>
      <c r="Z8" s="74">
        <v>12</v>
      </c>
      <c r="AA8" s="74">
        <v>12</v>
      </c>
      <c r="AB8" s="74">
        <v>4</v>
      </c>
      <c r="AC8" s="74">
        <v>11</v>
      </c>
      <c r="AD8" s="74">
        <v>10</v>
      </c>
      <c r="AE8" s="74">
        <v>6</v>
      </c>
    </row>
    <row r="9" spans="1:99" ph="1">
      <c r="B9" s="207" ph="1">
        <v>0.66666666666666663</v>
      </c>
      <c r="C9" s="154" t="s" ph="1">
        <v>211</v>
      </c>
      <c r="D9" s="71">
        <v>4092</v>
      </c>
      <c r="E9" s="71">
        <v>0</v>
      </c>
      <c r="F9" s="71">
        <v>5105</v>
      </c>
      <c r="G9" s="71">
        <v>5245</v>
      </c>
      <c r="H9" s="71">
        <v>4883</v>
      </c>
      <c r="I9" s="71">
        <v>39.01</v>
      </c>
      <c r="J9" s="71">
        <v>7.81</v>
      </c>
      <c r="K9" s="71">
        <v>20.62</v>
      </c>
      <c r="L9" s="71">
        <v>20.41</v>
      </c>
      <c r="M9" s="71">
        <v>4511</v>
      </c>
      <c r="N9" s="71">
        <v>5827</v>
      </c>
      <c r="O9" s="71">
        <v>4280</v>
      </c>
      <c r="P9" s="71">
        <v>7144</v>
      </c>
      <c r="Q9" s="71">
        <v>6976</v>
      </c>
      <c r="R9" s="71">
        <v>2295</v>
      </c>
      <c r="S9" s="71">
        <v>5048</v>
      </c>
      <c r="T9" s="71">
        <v>0</v>
      </c>
      <c r="U9" s="71">
        <v>0</v>
      </c>
      <c r="V9" s="71">
        <v>130</v>
      </c>
      <c r="W9" s="71">
        <v>6895</v>
      </c>
      <c r="X9" s="71">
        <v>3510</v>
      </c>
      <c r="Y9" s="71">
        <v>4929</v>
      </c>
      <c r="Z9" s="71">
        <v>1987</v>
      </c>
      <c r="AA9" s="71">
        <v>1623</v>
      </c>
      <c r="AB9" s="71">
        <v>2935</v>
      </c>
      <c r="AC9" s="71">
        <v>8289</v>
      </c>
      <c r="AD9" s="71">
        <v>270</v>
      </c>
      <c r="AE9" s="71">
        <v>2907</v>
      </c>
    </row>
    <row r="10" spans="1:99" s="72" customFormat="1" ht="22.5" ph="1">
      <c r="B10" s="207" ph="1"/>
      <c r="C10" s="154" t="s" ph="1">
        <v>209</v>
      </c>
      <c r="D10" s="73" ph="1">
        <f>D9*33.183*LOOKUP(D11,密度!$A$2:$A$50,密度!$Q$2:$Q$50)</f>
        <v>129484.41960960001</v>
      </c>
      <c r="E10" s="73" ph="1">
        <f>E9*51.53*LOOKUP(E11,密度!$A$2:$A$50,密度!$I$2:$I$50)</f>
        <v>0</v>
      </c>
      <c r="F10" s="73" ph="1">
        <f>F9*33.183*LOOKUP(F11,密度!$A$2:$A$50,密度!$C$2:$C$50)</f>
        <v>189015.64409699998</v>
      </c>
      <c r="G10" s="73" ph="1">
        <f xml:space="preserve"> (G9+2)*51.53*LOOKUP(G11,密度!$A$2:$A$50,密度!$B$2:$B$50)</f>
        <v>213057.79308000003</v>
      </c>
      <c r="H10" s="73" ph="1">
        <f>(H9)*51.53*LOOKUP(H11,密度!$A$2:$A$50,密度!$B$2:$B$50)</f>
        <v>199132.851486</v>
      </c>
      <c r="I10" s="73" ph="1">
        <f>I9*290.8*1.0267</f>
        <v>11646.9956836</v>
      </c>
      <c r="J10" s="73" ph="1">
        <f>J9*290.8*0.7892</f>
        <v>1792.3900016000002</v>
      </c>
      <c r="K10" s="73" ph="1">
        <f>K9*290.8*1.1126</f>
        <v>6671.4789296000008</v>
      </c>
      <c r="L10" s="73" ph="1">
        <f>L9*290.8*0.777</f>
        <v>4611.6721560000005</v>
      </c>
      <c r="M10" s="73" ph="1">
        <f>M9*33.183*LOOKUP(M11,密度!$A$2:$A$50,密度!$D$2:$D$50)</f>
        <v>154897.67325240001</v>
      </c>
      <c r="N10" s="73" ph="1">
        <f>N9*33.183*LOOKUP(N11,密度!$A$2:$A$50,密度!$E$2:$E$50)</f>
        <v>153448.38581759998</v>
      </c>
      <c r="O10" s="73" ph="1">
        <f>O9*20.428*LOOKUP(O11,密度!$A$2:$A$50,密度!$C$2:$C$50)</f>
        <v>97145.517423999991</v>
      </c>
      <c r="P10" s="73" ph="1">
        <f>P9*51.53*LOOKUP(P11,密度!$A$2:$A$50,密度!$B$2:$B$50)</f>
        <v>289792.18790399999</v>
      </c>
      <c r="Q10" s="73" ph="1">
        <f>Q9*1.5*1.5*3.1416*LOOKUP(W11,密度!$A$2:$A$50,密度!$L$2:$L$50)</f>
        <v>46647.783705599999</v>
      </c>
      <c r="R10" s="73" ph="1">
        <f>R9*1.5*1.5*3.1416*LOOKUP(R11,密度!$A$2:$A$50,密度!$L$2:$L$50)</f>
        <v>15232.868342999998</v>
      </c>
      <c r="S10" s="73" ph="1">
        <f>S9*1.5*1.5*3.1416*LOOKUP(S11,密度!$A$2:$A$50,密度!$L$2:$L$50)</f>
        <v>33898.178160000003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862.86400199999991</v>
      </c>
      <c r="W10" s="73" ph="1">
        <f>W9*1.5*1.5*3.1416*LOOKUP(W11,密度!$A$2:$A$50,密度!$L$2:$L$50)</f>
        <v>46106.145161999993</v>
      </c>
      <c r="X10" s="73" ph="1">
        <f>X9*1.5*1.5*3.1416*LOOKUP(X11,密度!$A$2:$A$50,密度!$L$2:$L$50)</f>
        <v>23619.868272</v>
      </c>
      <c r="Y10" s="73" ph="1">
        <f>Y9*1.5*1.5*3.1416*LOOKUP(Y11,密度!$A$2:$A$50,密度!$L$2:$L$50)</f>
        <v>32994.549541799999</v>
      </c>
      <c r="Z10" s="73" ph="1">
        <f>Z9*33.183*LOOKUP(Z11,密度!$A$2:$A$50,密度!$L$2:$L$50)</f>
        <v>62440.086086999996</v>
      </c>
      <c r="AA10" s="73" ph="1">
        <f>AA9*33.183*LOOKUP(AA11,密度!$A$2:$A$50,密度!$D$2:$D$50)</f>
        <v>55730.198113199993</v>
      </c>
      <c r="AB10" s="73" ph="1">
        <f>AB9*20.428*LOOKUP(AB11,密度!$A$2:$A$50,密度!$D$2:$D$50)</f>
        <v>62570.269448000006</v>
      </c>
      <c r="AC10" s="73" ph="1">
        <f>AC9*51.53*LOOKUP(AC11,密度!$A$2:$A$50,密度!$Q$2:$Q$50)</f>
        <v>407313.23731200001</v>
      </c>
      <c r="AD10" s="73" ph="1">
        <f>AD9*20.428*LOOKUP(AD11,密度!$A$2:$A$50,密度!$V$2:$V$50)</f>
        <v>5316.9998400000004</v>
      </c>
      <c r="AE10" s="73" ph="1">
        <f>AE9*20.428</f>
        <v>59384.196000000004</v>
      </c>
    </row>
    <row r="11" spans="1:99" ph="1">
      <c r="A11" s="64" t="s" ph="1">
        <v>193</v>
      </c>
      <c r="B11" s="207" ph="1"/>
      <c r="C11" s="154" t="s" ph="1">
        <v>210</v>
      </c>
      <c r="D11" s="74">
        <v>16</v>
      </c>
      <c r="E11" s="74">
        <v>16</v>
      </c>
      <c r="F11" s="74">
        <v>15</v>
      </c>
      <c r="G11" s="74">
        <v>15</v>
      </c>
      <c r="H11" s="74">
        <v>11</v>
      </c>
      <c r="I11" s="74">
        <v>25</v>
      </c>
      <c r="J11" s="74">
        <v>25</v>
      </c>
      <c r="K11" s="74">
        <v>25</v>
      </c>
      <c r="L11" s="74">
        <v>25</v>
      </c>
      <c r="M11" s="74">
        <v>16</v>
      </c>
      <c r="N11" s="74">
        <v>16</v>
      </c>
      <c r="O11" s="74">
        <v>22</v>
      </c>
      <c r="P11" s="74">
        <v>16</v>
      </c>
      <c r="Q11" s="74">
        <v>15</v>
      </c>
      <c r="R11" s="74">
        <v>23</v>
      </c>
      <c r="S11" s="74">
        <v>12</v>
      </c>
      <c r="T11" s="74">
        <v>18</v>
      </c>
      <c r="U11" s="74">
        <v>18</v>
      </c>
      <c r="V11" s="74">
        <v>23</v>
      </c>
      <c r="W11" s="74">
        <v>16</v>
      </c>
      <c r="X11" s="74">
        <v>10</v>
      </c>
      <c r="Y11" s="74">
        <v>15</v>
      </c>
      <c r="Z11" s="74">
        <v>15</v>
      </c>
      <c r="AA11" s="74">
        <v>16</v>
      </c>
      <c r="AB11" s="74">
        <v>6</v>
      </c>
      <c r="AC11" s="74">
        <v>16</v>
      </c>
      <c r="AD11" s="74">
        <v>17</v>
      </c>
      <c r="AE11" s="74">
        <v>19</v>
      </c>
    </row>
    <row r="12" spans="1:99" ht="9.9499999999999993" customHeight="1" ph="1"/>
    <row r="13" spans="1:99" s="72" customFormat="1" ht="29.25" customHeight="1" ph="1">
      <c r="B13" s="215" t="s" ph="1">
        <v>37</v>
      </c>
      <c r="C13" s="154" t="s" ph="1">
        <v>207</v>
      </c>
      <c r="D13" s="76" t="s" ph="1">
        <v>53</v>
      </c>
      <c r="E13" s="76" t="s" ph="1">
        <v>54</v>
      </c>
      <c r="F13" s="76" t="s" ph="1">
        <v>66</v>
      </c>
      <c r="G13" s="76" t="s" ph="1">
        <v>67</v>
      </c>
      <c r="H13" s="76" t="s" ph="1">
        <v>152</v>
      </c>
      <c r="I13" s="76" t="s" ph="1">
        <v>68</v>
      </c>
      <c r="J13" s="76" t="s" ph="1">
        <v>153</v>
      </c>
      <c r="K13" s="76" t="s" ph="1">
        <v>63</v>
      </c>
      <c r="L13" s="76" t="s" ph="1">
        <v>69</v>
      </c>
      <c r="M13" s="76" t="s" ph="1">
        <v>70</v>
      </c>
      <c r="N13" s="76" t="s" ph="1">
        <v>154</v>
      </c>
      <c r="O13" s="76" t="s" ph="1">
        <v>64</v>
      </c>
      <c r="P13" s="76" t="s" ph="1">
        <v>71</v>
      </c>
      <c r="Q13" s="76" t="s" ph="1">
        <v>72</v>
      </c>
      <c r="R13" s="76" t="s" ph="1">
        <v>73</v>
      </c>
      <c r="S13" s="76" t="s" ph="1">
        <v>74</v>
      </c>
      <c r="T13" s="76" t="s" ph="1">
        <v>75</v>
      </c>
      <c r="U13" s="76" t="s" ph="1">
        <v>76</v>
      </c>
      <c r="V13" s="76" t="s" ph="1">
        <v>155</v>
      </c>
      <c r="W13" s="76" t="s" ph="1">
        <v>156</v>
      </c>
      <c r="X13" s="76" t="s" ph="1">
        <v>157</v>
      </c>
      <c r="Y13" s="105" t="s" ph="1">
        <v>77</v>
      </c>
      <c r="Z13" s="76" t="s" ph="1">
        <v>86</v>
      </c>
      <c r="AA13" s="76" t="s" ph="1">
        <v>158</v>
      </c>
      <c r="AB13" s="76" t="s" ph="1">
        <v>159</v>
      </c>
      <c r="AC13" s="76" t="s" ph="1">
        <v>160</v>
      </c>
      <c r="AD13" s="76" t="s" ph="1">
        <v>161</v>
      </c>
      <c r="AE13" s="76" t="s" ph="1">
        <v>162</v>
      </c>
      <c r="AG13" s="72" t="s" ph="1">
        <v>366</v>
      </c>
      <c r="AH13" s="72" t="s" ph="1">
        <v>229</v>
      </c>
      <c r="AI13" s="72" t="s" ph="1">
        <v>230</v>
      </c>
      <c r="AJ13" s="72" t="s" ph="1">
        <v>231</v>
      </c>
      <c r="AK13" s="72" t="s" ph="1">
        <v>232</v>
      </c>
      <c r="AL13" s="72" t="s" ph="1">
        <v>233</v>
      </c>
      <c r="AM13" s="72" t="s" ph="1">
        <v>234</v>
      </c>
      <c r="AN13" s="72" t="s" ph="1">
        <v>235</v>
      </c>
      <c r="AO13" s="72" t="s" ph="1">
        <v>236</v>
      </c>
      <c r="AP13" s="72" t="s" ph="1">
        <v>237</v>
      </c>
      <c r="AQ13" s="72" t="s" ph="1">
        <v>238</v>
      </c>
      <c r="AR13" s="72" t="s" ph="1">
        <v>239</v>
      </c>
      <c r="AS13" s="72" t="s" ph="1">
        <v>240</v>
      </c>
      <c r="AT13" s="72" t="s" ph="1">
        <v>241</v>
      </c>
      <c r="AU13" s="72" t="s" ph="1">
        <v>242</v>
      </c>
      <c r="AV13" s="72" t="s" ph="1">
        <v>243</v>
      </c>
      <c r="AW13" s="72" t="s" ph="1">
        <v>244</v>
      </c>
      <c r="AX13" s="72" t="s" ph="1">
        <v>245</v>
      </c>
      <c r="AY13" s="72" t="s" ph="1">
        <v>367</v>
      </c>
      <c r="AZ13" s="72" t="s" ph="1">
        <v>246</v>
      </c>
      <c r="BA13" s="72" t="s" ph="1">
        <v>247</v>
      </c>
      <c r="BB13" s="72" t="s" ph="1">
        <v>632</v>
      </c>
      <c r="BC13" s="72" t="s" ph="1">
        <v>248</v>
      </c>
      <c r="BD13" s="72" t="s" ph="1">
        <v>368</v>
      </c>
      <c r="BE13" s="72" t="s" ph="1">
        <v>369</v>
      </c>
      <c r="BF13" s="72" t="s" ph="1">
        <v>370</v>
      </c>
      <c r="BG13" s="72" t="s" ph="1">
        <v>371</v>
      </c>
      <c r="BH13" s="72" t="s" ph="1">
        <v>372</v>
      </c>
    </row>
    <row r="14" spans="1:99" s="72" customFormat="1" ht="24" ph="1">
      <c r="B14" s="216" ph="1"/>
      <c r="C14" s="67" t="s" ph="1">
        <v>36</v>
      </c>
      <c r="D14" s="77" t="s" ph="1">
        <v>130</v>
      </c>
      <c r="E14" s="77" t="s" ph="1">
        <v>130</v>
      </c>
      <c r="F14" s="142" t="s" ph="1">
        <v>651</v>
      </c>
      <c r="G14" s="77" t="s" ph="1">
        <v>217</v>
      </c>
      <c r="H14" s="77" t="s" ph="1">
        <v>645</v>
      </c>
      <c r="I14" s="77" t="s" ph="1">
        <v>65</v>
      </c>
      <c r="J14" s="77" t="s" ph="1">
        <v>227</v>
      </c>
      <c r="K14" s="77" t="s" ph="1">
        <v>223</v>
      </c>
      <c r="L14" s="77" t="s" ph="1">
        <v>41</v>
      </c>
      <c r="M14" s="104" t="s" ph="1">
        <v>222</v>
      </c>
      <c r="N14" s="104" t="s" ph="1">
        <v>218</v>
      </c>
      <c r="O14" s="104" t="s" ph="1">
        <v>226</v>
      </c>
      <c r="P14" s="77" t="s" ph="1">
        <v>82</v>
      </c>
      <c r="Q14" s="77" t="s" ph="1">
        <v>82</v>
      </c>
      <c r="R14" s="88" t="s" ph="1">
        <v>7</v>
      </c>
      <c r="S14" s="77" t="s" ph="1">
        <v>82</v>
      </c>
      <c r="T14" s="77" t="s" ph="1">
        <v>98</v>
      </c>
      <c r="U14" s="77" t="s" ph="1">
        <v>652</v>
      </c>
      <c r="V14" s="77" t="s" ph="1">
        <v>646</v>
      </c>
      <c r="W14" s="77" t="s" ph="1">
        <v>220</v>
      </c>
      <c r="X14" s="77" t="s" ph="1">
        <v>78</v>
      </c>
      <c r="Y14" s="141" t="s" ph="1">
        <v>0</v>
      </c>
      <c r="Z14" s="77" t="s" ph="1">
        <v>62</v>
      </c>
      <c r="AA14" s="77" t="s" ph="1">
        <v>88</v>
      </c>
      <c r="AB14" s="77" t="s" ph="1">
        <v>648</v>
      </c>
      <c r="AC14" s="77" t="s" ph="1">
        <v>648</v>
      </c>
      <c r="AD14" s="77" t="s" ph="1">
        <v>135</v>
      </c>
      <c r="AE14" s="77" t="s" ph="1">
        <v>135</v>
      </c>
      <c r="AG14" s="72" t="s" ph="1">
        <v>249</v>
      </c>
      <c r="AI14" s="72" t="s" ph="1">
        <v>250</v>
      </c>
      <c r="AJ14" s="72" t="s" ph="1">
        <v>373</v>
      </c>
      <c r="AK14" s="72" t="s" ph="1">
        <v>251</v>
      </c>
      <c r="AM14" s="72" t="s" ph="1">
        <v>253</v>
      </c>
      <c r="AN14" s="72" t="s" ph="1">
        <v>251</v>
      </c>
      <c r="AO14" s="72" t="s" ph="1">
        <v>252</v>
      </c>
      <c r="AP14" s="72" t="s" ph="1">
        <v>253</v>
      </c>
      <c r="AQ14" s="72" t="s" ph="1">
        <v>251</v>
      </c>
      <c r="AR14" s="72" t="s" ph="1">
        <v>252</v>
      </c>
      <c r="AS14" s="72" t="s" ph="1">
        <v>253</v>
      </c>
      <c r="AT14" s="72" t="s" ph="1">
        <v>251</v>
      </c>
      <c r="AU14" s="72" t="s" ph="1">
        <v>252</v>
      </c>
      <c r="AV14" s="72" t="s" ph="1">
        <v>253</v>
      </c>
      <c r="AW14" s="72" t="s" ph="1">
        <v>251</v>
      </c>
      <c r="AX14" s="72" t="s" ph="1">
        <v>252</v>
      </c>
      <c r="AY14" s="72" t="s" ph="1">
        <v>253</v>
      </c>
      <c r="AZ14" s="72" t="s" ph="1">
        <v>252</v>
      </c>
    </row>
    <row r="15" spans="1:99" ph="1">
      <c r="B15" s="217" ph="1">
        <v>0.33333333333333331</v>
      </c>
      <c r="C15" s="154" t="s" ph="1">
        <v>208</v>
      </c>
      <c r="D15" s="78">
        <v>509</v>
      </c>
      <c r="E15" s="78">
        <v>2259</v>
      </c>
      <c r="F15" s="78">
        <v>2102</v>
      </c>
      <c r="G15" s="78">
        <v>1903</v>
      </c>
      <c r="H15" s="78">
        <v>2860</v>
      </c>
      <c r="I15" s="78">
        <v>15</v>
      </c>
      <c r="J15" s="78">
        <v>496</v>
      </c>
      <c r="K15" s="78">
        <v>1592</v>
      </c>
      <c r="L15" s="78">
        <v>6496</v>
      </c>
      <c r="M15" s="78">
        <v>4115</v>
      </c>
      <c r="N15" s="78">
        <v>2480</v>
      </c>
      <c r="O15" s="78">
        <v>234</v>
      </c>
      <c r="P15" s="78">
        <v>1098</v>
      </c>
      <c r="Q15" s="78">
        <v>2706</v>
      </c>
      <c r="R15" s="78">
        <v>3483</v>
      </c>
      <c r="S15" s="78">
        <v>5594</v>
      </c>
      <c r="T15" s="78">
        <v>6684</v>
      </c>
      <c r="U15" s="78">
        <v>2021</v>
      </c>
      <c r="V15" s="78">
        <v>416</v>
      </c>
      <c r="W15" s="78">
        <v>-595</v>
      </c>
      <c r="X15" s="78">
        <v>631</v>
      </c>
      <c r="Y15" s="106">
        <v>-9900</v>
      </c>
      <c r="Z15" s="78">
        <v>0</v>
      </c>
      <c r="AA15" s="78">
        <v>2503</v>
      </c>
      <c r="AB15" s="78" ph="1">
        <v>2182</v>
      </c>
      <c r="AC15" s="78" ph="1">
        <v>6481</v>
      </c>
      <c r="AD15" s="78">
        <v>62.01</v>
      </c>
      <c r="AE15" s="78">
        <v>5.61</v>
      </c>
      <c r="AG15" s="64" t="s" ph="1">
        <v>255</v>
      </c>
      <c r="AH15" s="64" ph="1">
        <v>1</v>
      </c>
      <c r="AI15" s="64" t="s" ph="1">
        <v>374</v>
      </c>
      <c r="AK15" s="64" t="s" ph="1">
        <v>628</v>
      </c>
      <c r="AM15" s="64" t="s" ph="1">
        <v>376</v>
      </c>
      <c r="AZ15" s="64" t="s" ph="1">
        <v>257</v>
      </c>
      <c r="BA15" s="64" ph="1">
        <v>0</v>
      </c>
    </row>
    <row r="16" spans="1:99" s="72" customFormat="1" ht="22.5" ph="1">
      <c r="B16" s="218" ph="1"/>
      <c r="C16" s="154" t="s" ph="1">
        <v>209</v>
      </c>
      <c r="D16" s="73" ph="1">
        <f>D15*7.0686*LOOKUP(D17,密度!$A$2:$A$50,密度!$L$2:$L$50)</f>
        <v>3418.0215299999995</v>
      </c>
      <c r="E16" s="73" ph="1">
        <f>E15*7.0686*LOOKUP(E17,密度!$A$2:$A$50,密度!$L$2:$L$50)</f>
        <v>15169.569029999999</v>
      </c>
      <c r="F16" s="73" ph="1">
        <f>F15*9.0746*LOOKUP(F17,密度!$A$2:$A$50,密度!$L$2:$L$50)</f>
        <v>18082.9191216</v>
      </c>
      <c r="G16" s="73" ph="1">
        <f>G15*9.0746*LOOKUP(G17,密度!$A$2:$A$50,密度!$B$2:$B$50)</f>
        <v>13637.30071286</v>
      </c>
      <c r="H16" s="73" ph="1">
        <f>H15*9.0746*LOOKUP(H17,密度!$A$2:$A$50,密度!$L$2:$L$50)</f>
        <v>24707.594912</v>
      </c>
      <c r="I16" s="73" ph="1">
        <f>I15*9.0746*LOOKUP(I17,密度!$A$2:$A$50,密度!$U$2:$U$50)</f>
        <v>139.93033199999999</v>
      </c>
      <c r="J16" s="73" ph="1">
        <f>J15*9.0746*LOOKUP(J17,密度!$A$2:$A$50,密度!$L$2:$L$50)</f>
        <v>4275.9515200000005</v>
      </c>
      <c r="K16" s="73" ph="1">
        <f>K15*9.0746*LOOKUP(K17,密度!$A$2:$A$50,密度!$C$2:$C$50)</f>
        <v>16154.370610240003</v>
      </c>
      <c r="L16" s="73" ph="1">
        <f>L15*9.0746*LOOKUP(L17,密度!$A$2:$A$50,密度!$E$2:$E$50)</f>
        <v>47117.617258880004</v>
      </c>
      <c r="M16" s="73" ph="1">
        <f>M15*9.0746*LOOKUP(M17,密度!$A$2:$A$50,密度!$M$2:$M$50)</f>
        <v>32872.1441137</v>
      </c>
      <c r="N16" s="73" ph="1">
        <f>N15*9.0746*LOOKUP(N17,密度!$A$2:$A$50,密度!$M$2:$M$50)</f>
        <v>19811.1585424</v>
      </c>
      <c r="O16" s="73" ph="1">
        <f>O15*9.0746*LOOKUP(O17,密度!$A$2:$A$50,密度!$G$2:$G$50)</f>
        <v>1709.8070932800001</v>
      </c>
      <c r="P16" s="73" ph="1">
        <f ca="1">P15*9.0746*LOOKUP(P17,密度!$A$2:$A$51,密度!$Q$2:$Q$50)</f>
        <v>9510.951415032001</v>
      </c>
      <c r="Q16" s="73" ph="1">
        <f>Q15*9.0746*LOOKUP(Q17,密度!$A$2:$A$50,密度!$Q$2:$Q$50)</f>
        <v>23439.557858904001</v>
      </c>
      <c r="R16" s="73" ph="1">
        <f>MAX(R15*9.0746*LOOKUP(R17,密度!$A$2:$A$50,密度!$B$2:$B$50),0)</f>
        <v>24934.629607020001</v>
      </c>
      <c r="S16" s="73" ph="1">
        <f>S15*9.0746*LOOKUP(S17,密度!$A$2:$A$50,密度!$Q$2:$Q$50)</f>
        <v>48455.612218296003</v>
      </c>
      <c r="T16" s="73" ph="1">
        <f>T15*9.0746*LOOKUP(T17,密度!$A$2:$A$50,密度!$O$2:$O$50)</f>
        <v>56651.421057600004</v>
      </c>
      <c r="U16" s="73" ph="1">
        <f>U15*9.0746*LOOKUP(U17,密度!$A$2:$A$50,密度!$H$2:$H$50)</f>
        <v>17050.481008019997</v>
      </c>
      <c r="V16" s="73" ph="1">
        <f>MAX(5600*LOOKUP(V17,密度!$A$2:$A$50,密度!$Q$2:$Q$50)+V15*9.0476*LOOKUP(V17,密度!$A$2:$A$50,密度!$Q$2:$Q$50),0)</f>
        <v>8938.1231792639992</v>
      </c>
      <c r="W16" s="73" ph="1">
        <f>MAX(5600*LOOKUP(W17,密度!$A$2:$A$50,密度!$Q$2:$Q$50)+W15*9.0476*LOOKUP(W17,密度!$A$2:$A$50,密度!$Q$2:$Q$50),0)</f>
        <v>206.8278181200003</v>
      </c>
      <c r="X16" s="73" ph="1">
        <f>MAX(5600*LOOKUP(X17,密度!$A$2:$A$50,密度!$I$2:$I$50)+X15*9.0476*LOOKUP(X17,密度!$A$2:$A$50,密度!$I$2:$I$50),0)</f>
        <v>11748.957084839998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17918.856705820002</v>
      </c>
      <c r="AB16" s="73" ph="1">
        <f>AB15*9.0746*LOOKUP(AB17,密度!$A$2:$A$50,密度!$L$2:$L$50)</f>
        <v>18691.933676799999</v>
      </c>
      <c r="AC16" s="73" ph="1">
        <f>AC15*9.0746*LOOKUP(AC17,密度!$A$2:$A$50,密度!$L$2:$L$50)</f>
        <v>55930.670952599998</v>
      </c>
      <c r="AD16" s="73" ph="1">
        <f>AD15*268.68*LOOKUP(AD17,密度!$A$2:$A$50,密度!B2:B50)+IF(AD15&lt;=0,0,1566*LOOKUP(AD17,密度!$A$2:$A$50,密度!B2:B50))</f>
        <v>14209.649765279999</v>
      </c>
      <c r="AE16" s="73" ph="1">
        <f>AE15*268.68*LOOKUP(AE17,密度!$A$2:$A$50,密度!B2:B50)+IF(AE15&lt;=0,0,1566*LOOKUP(AE17,密度!$A$2:$A$50,密度!B2:B50))</f>
        <v>2395.9406260799997</v>
      </c>
      <c r="AH16" s="72" ph="1">
        <v>2</v>
      </c>
      <c r="AI16" s="72" t="s" ph="1">
        <v>378</v>
      </c>
      <c r="AZ16" s="72" t="s" ph="1">
        <v>257</v>
      </c>
      <c r="BA16" s="72" ph="1">
        <v>0</v>
      </c>
    </row>
    <row r="17" spans="1:57" ph="1">
      <c r="A17" s="64" t="s" ph="1">
        <v>85</v>
      </c>
      <c r="B17" s="219" ph="1"/>
      <c r="C17" s="79" t="s" ph="1">
        <v>210</v>
      </c>
      <c r="D17" s="74">
        <v>12</v>
      </c>
      <c r="E17" s="74">
        <v>12</v>
      </c>
      <c r="F17" s="74">
        <v>14</v>
      </c>
      <c r="G17" s="74">
        <v>13</v>
      </c>
      <c r="H17" s="74">
        <v>10</v>
      </c>
      <c r="I17" s="74">
        <v>12</v>
      </c>
      <c r="J17" s="74">
        <v>12</v>
      </c>
      <c r="K17" s="74">
        <v>12</v>
      </c>
      <c r="L17" s="74">
        <v>12</v>
      </c>
      <c r="M17" s="74">
        <v>14</v>
      </c>
      <c r="N17" s="74">
        <v>14</v>
      </c>
      <c r="O17" s="74">
        <v>1</v>
      </c>
      <c r="P17" s="74">
        <v>12</v>
      </c>
      <c r="Q17" s="74">
        <v>12</v>
      </c>
      <c r="R17" s="74">
        <v>14</v>
      </c>
      <c r="S17" s="74">
        <v>12</v>
      </c>
      <c r="T17" s="74">
        <v>13</v>
      </c>
      <c r="U17" s="74">
        <v>10</v>
      </c>
      <c r="V17" s="74">
        <v>14</v>
      </c>
      <c r="W17" s="74">
        <v>12</v>
      </c>
      <c r="X17" s="74">
        <v>28</v>
      </c>
      <c r="Y17" s="108">
        <v>28</v>
      </c>
      <c r="Z17" s="74">
        <v>13</v>
      </c>
      <c r="AA17" s="74">
        <v>14</v>
      </c>
      <c r="AB17" s="74">
        <v>18</v>
      </c>
      <c r="AC17" s="74">
        <v>11</v>
      </c>
      <c r="AD17" s="74">
        <v>25</v>
      </c>
      <c r="AE17" s="74">
        <v>25</v>
      </c>
      <c r="AH17" s="64" ph="1">
        <v>3</v>
      </c>
      <c r="AI17" s="64" t="s" ph="1">
        <v>379</v>
      </c>
      <c r="AK17" s="64" t="s" ph="1">
        <v>611</v>
      </c>
      <c r="AL17" s="64" ph="1">
        <v>80</v>
      </c>
      <c r="AM17" s="64" t="s" ph="1">
        <v>376</v>
      </c>
      <c r="AZ17" s="64" t="s" ph="1">
        <v>257</v>
      </c>
      <c r="BA17" s="64" ph="1">
        <v>80</v>
      </c>
      <c r="BD17" s="64" t="s" ph="1">
        <v>255</v>
      </c>
      <c r="BE17" s="64" ph="1">
        <v>2270</v>
      </c>
    </row>
    <row r="18" spans="1:57" ph="1">
      <c r="B18" s="217" ph="1">
        <v>0.66666666666666663</v>
      </c>
      <c r="C18" s="79" t="s" ph="1">
        <v>211</v>
      </c>
      <c r="D18" s="71">
        <v>0</v>
      </c>
      <c r="E18" s="71">
        <v>1176</v>
      </c>
      <c r="F18" s="71">
        <v>2122</v>
      </c>
      <c r="G18" s="71">
        <v>1936</v>
      </c>
      <c r="H18" s="71">
        <v>2862</v>
      </c>
      <c r="I18" s="71">
        <v>7</v>
      </c>
      <c r="J18" s="71">
        <v>495</v>
      </c>
      <c r="K18" s="71">
        <v>1592</v>
      </c>
      <c r="L18" s="71">
        <v>6284</v>
      </c>
      <c r="M18" s="71">
        <v>3308</v>
      </c>
      <c r="N18" s="71">
        <v>385</v>
      </c>
      <c r="O18" s="71">
        <v>231</v>
      </c>
      <c r="P18" s="71">
        <v>1096</v>
      </c>
      <c r="Q18" s="71">
        <v>2712</v>
      </c>
      <c r="R18" s="71">
        <v>3486</v>
      </c>
      <c r="S18" s="71">
        <v>5601</v>
      </c>
      <c r="T18" s="71">
        <v>6694</v>
      </c>
      <c r="U18" s="71">
        <v>2020</v>
      </c>
      <c r="V18" s="71">
        <v>305</v>
      </c>
      <c r="W18" s="71">
        <v>-595</v>
      </c>
      <c r="X18" s="71">
        <v>630</v>
      </c>
      <c r="Y18" s="109">
        <v>-9900</v>
      </c>
      <c r="Z18" s="71">
        <v>0</v>
      </c>
      <c r="AA18" s="71">
        <v>2505</v>
      </c>
      <c r="AB18" s="71">
        <v>2180</v>
      </c>
      <c r="AC18" s="71">
        <v>6490</v>
      </c>
      <c r="AD18" s="71">
        <v>84.21</v>
      </c>
      <c r="AE18" s="71">
        <v>8.01</v>
      </c>
      <c r="AH18" s="64" ph="1">
        <v>4</v>
      </c>
      <c r="AI18" s="64" t="s" ph="1">
        <v>381</v>
      </c>
      <c r="AJ18" s="64" t="s" ph="1">
        <v>629</v>
      </c>
      <c r="AK18" s="64" t="s" ph="1">
        <v>628</v>
      </c>
      <c r="AL18" s="64" ph="1">
        <v>740</v>
      </c>
      <c r="AM18" s="64" t="s" ph="1">
        <v>380</v>
      </c>
      <c r="AZ18" s="64" t="s" ph="1">
        <v>257</v>
      </c>
      <c r="BA18" s="64" ph="1">
        <v>740</v>
      </c>
    </row>
    <row r="19" spans="1:57" s="72" customFormat="1" ht="22.5" ph="1">
      <c r="B19" s="218" ph="1"/>
      <c r="C19" s="154" t="s" ph="1">
        <v>209</v>
      </c>
      <c r="D19" s="73" ph="1">
        <f>D18*7.0686*LOOKUP(D20,密度!$A$2:$A$50,密度!$L$2:$L$50)</f>
        <v>0</v>
      </c>
      <c r="E19" s="73" ph="1">
        <f>E18*7.0686*LOOKUP(E20,密度!$A$2:$A$50,密度!$L$2:$L$50)</f>
        <v>7872.1018991999999</v>
      </c>
      <c r="F19" s="73" ph="1">
        <f>F18*9.0746*LOOKUP(F20,密度!$A$2:$A$50,密度!$L$2:$L$50)</f>
        <v>18177.948332800002</v>
      </c>
      <c r="G19" s="73" ph="1">
        <f>G18*9.0746*LOOKUP(G20,密度!$A$2:$A$50,密度!$B$2:$B$50)</f>
        <v>13843.919372799999</v>
      </c>
      <c r="H19" s="73" ph="1">
        <f>H18*9.0746*LOOKUP(H20,密度!$A$2:$A$50,密度!$L$2:$L$50)</f>
        <v>24646.958434799999</v>
      </c>
      <c r="I19" s="73" ph="1">
        <f>I18*9.0746*LOOKUP(I20,密度!$A$2:$A$50,密度!$U$2:$U$50)</f>
        <v>65.300821600000006</v>
      </c>
      <c r="J19" s="73" ph="1">
        <f>J18*9.0746*LOOKUP(J20,密度!$A$2:$A$50,密度!$L$2:$L$50)</f>
        <v>4231.3952339999996</v>
      </c>
      <c r="K19" s="73" ph="1">
        <f>K18*9.0746*LOOKUP(K20,密度!$A$2:$A$50,密度!$C$2:$C$50)</f>
        <v>16092.249528480001</v>
      </c>
      <c r="L19" s="73" ph="1">
        <f>L18*9.0746*LOOKUP(L20,密度!$A$2:$A$50,密度!$E$2:$E$50)</f>
        <v>45317.597752080001</v>
      </c>
      <c r="M19" s="73" ph="1">
        <f>M18*9.0746*LOOKUP(M20,密度!$A$2:$A$50,密度!$M$2:$M$50)</f>
        <v>26425.529217039999</v>
      </c>
      <c r="N19" s="73" ph="1">
        <f>N18*9.0746*LOOKUP(N20,密度!$A$2:$A$50,密度!$M$2:$M$50)</f>
        <v>3075.5225962999998</v>
      </c>
      <c r="O19" s="73" ph="1">
        <f>O18*9.0746*LOOKUP(O20,密度!$A$2:$A$50,密度!$G$2:$G$50)</f>
        <v>2024.7510683400003</v>
      </c>
      <c r="P19" s="73" ph="1">
        <f ca="1">P18*9.0746*LOOKUP(P20,密度!$A$2:$A$51,密度!$Q$2:$Q$50)</f>
        <v>9452.2529094080001</v>
      </c>
      <c r="Q19" s="73" ph="1">
        <f>Q18*9.0746*LOOKUP(Q20,密度!$A$2:$A$50,密度!$Q$2:$Q$50)</f>
        <v>23491.530271008003</v>
      </c>
      <c r="R19" s="73" ph="1">
        <f>MAX(R18*9.0746*LOOKUP(R20,密度!$A$2:$A$50,密度!$B$2:$B$50),0)</f>
        <v>24829.57024044</v>
      </c>
      <c r="S19" s="73" ph="1">
        <f>S18*9.0746*LOOKUP(S20,密度!$A$2:$A$50,密度!$Q$2:$Q$50)</f>
        <v>48516.246699084004</v>
      </c>
      <c r="T19" s="73" ph="1">
        <f>T18*9.0746*LOOKUP(T20,密度!$A$2:$A$50,密度!$O$2:$O$50)</f>
        <v>56736.177821600002</v>
      </c>
      <c r="U19" s="73" ph="1">
        <f>U18*9.0746*LOOKUP(U20,密度!$A$2:$A$50,密度!$H$2:$H$50)</f>
        <v>16950.390892399999</v>
      </c>
      <c r="V19" s="73" ph="1">
        <f>MAX(5600*LOOKUP(V20,密度!$A$2:$A$50,密度!$Q$2:$Q$50)+V18*9.0476*LOOKUP(V20,密度!$A$2:$A$50,密度!$Q$2:$Q$50),0)</f>
        <v>7971.6363647999997</v>
      </c>
      <c r="W19" s="73" ph="1">
        <f>MAX(5600*LOOKUP(W20,密度!$A$2:$A$50,密度!$Q$2:$Q$50)+W18*9.0476*LOOKUP(W20,密度!$A$2:$A$50,密度!$Q$2:$Q$50),0)</f>
        <v>206.62414080000053</v>
      </c>
      <c r="X19" s="73" ph="1">
        <f>MAX(5600*LOOKUP(X20,密度!$A$2:$A$50,密度!$I$2:$I$50)+X18*9.0476*LOOKUP(X20,密度!$A$2:$A$50,密度!$I$2:$I$50),0)</f>
        <v>11751.987519999999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17894.530425599998</v>
      </c>
      <c r="AB19" s="73" ph="1">
        <f>AB18*9.0746*LOOKUP(AB20,密度!$A$2:$A$50,密度!$L$2:$L$50)</f>
        <v>18655.018204</v>
      </c>
      <c r="AC19" s="73" ph="1">
        <f>AC18*9.0746*LOOKUP(AC20,密度!$A$2:$A$50,密度!$L$2:$L$50)</f>
        <v>55831.657992</v>
      </c>
      <c r="AD19" s="73" ph="1">
        <f>AD18*268.68*LOOKUP(AD20,密度!$A$2:$A$50,密度!B5:B53)+IF(AD18&lt;=0,0,1566*LOOKUP(AD20,密度!$A$2:$A$50,密度!B5:B53))</f>
        <v>18796.8287556</v>
      </c>
      <c r="AE19" s="73" ph="1">
        <f>AE18*268.68*LOOKUP(AE20,密度!$A$2:$A$50,密度!B5:B53)+IF(AE18&lt;=0,0,1566*LOOKUP(AE20,密度!$A$2:$A$50,密度!B5:B53))</f>
        <v>2888.9845236000001</v>
      </c>
      <c r="AH19" s="72" ph="1">
        <v>5</v>
      </c>
      <c r="AI19" s="72" t="s" ph="1">
        <v>382</v>
      </c>
      <c r="AZ19" s="72" t="s" ph="1">
        <v>257</v>
      </c>
      <c r="BA19" s="72" ph="1">
        <v>0</v>
      </c>
      <c r="BD19" s="72" t="s" ph="1">
        <v>383</v>
      </c>
      <c r="BE19" s="72" ph="1">
        <v>1440</v>
      </c>
    </row>
    <row r="20" spans="1:57" ph="1">
      <c r="A20" s="72" ph="1"/>
      <c r="B20" s="218" ph="1"/>
      <c r="C20" s="80" t="s" ph="1">
        <v>210</v>
      </c>
      <c r="D20" s="81">
        <v>15</v>
      </c>
      <c r="E20" s="81">
        <v>15</v>
      </c>
      <c r="F20" s="81">
        <v>18</v>
      </c>
      <c r="G20" s="81">
        <v>15</v>
      </c>
      <c r="H20" s="81">
        <v>13</v>
      </c>
      <c r="I20" s="81">
        <v>19</v>
      </c>
      <c r="J20" s="81">
        <v>20</v>
      </c>
      <c r="K20" s="81">
        <v>18</v>
      </c>
      <c r="L20" s="81">
        <v>15</v>
      </c>
      <c r="M20" s="81">
        <v>18</v>
      </c>
      <c r="N20" s="81">
        <v>18</v>
      </c>
      <c r="O20" s="81">
        <v>20</v>
      </c>
      <c r="P20" s="81">
        <v>20</v>
      </c>
      <c r="Q20" s="81">
        <v>15</v>
      </c>
      <c r="R20" s="81">
        <v>19</v>
      </c>
      <c r="S20" s="81">
        <v>15</v>
      </c>
      <c r="T20" s="81">
        <v>16</v>
      </c>
      <c r="U20" s="81">
        <v>15</v>
      </c>
      <c r="V20" s="81">
        <v>16</v>
      </c>
      <c r="W20" s="81">
        <v>16</v>
      </c>
      <c r="X20" s="81">
        <v>27</v>
      </c>
      <c r="Y20" s="110">
        <v>27</v>
      </c>
      <c r="Z20" s="81">
        <v>22</v>
      </c>
      <c r="AA20" s="81">
        <v>16</v>
      </c>
      <c r="AB20" s="81">
        <v>19</v>
      </c>
      <c r="AC20" s="81">
        <v>14</v>
      </c>
      <c r="AD20" s="81">
        <v>25</v>
      </c>
      <c r="AE20" s="81">
        <v>25</v>
      </c>
      <c r="AH20" s="64" ph="1">
        <v>6</v>
      </c>
      <c r="AI20" s="64" t="s" ph="1">
        <v>384</v>
      </c>
      <c r="AZ20" s="64" t="s" ph="1">
        <v>257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385</v>
      </c>
      <c r="AZ21" s="64" t="s" ph="1">
        <v>257</v>
      </c>
      <c r="BA21" s="64" ph="1">
        <v>0</v>
      </c>
      <c r="BD21" s="64" t="s" ph="1">
        <v>273</v>
      </c>
      <c r="BE21" s="64" ph="1">
        <v>730</v>
      </c>
    </row>
    <row r="22" spans="1:57" ph="1">
      <c r="A22" s="72" ph="1"/>
      <c r="B22" s="216" t="s" ph="1">
        <v>37</v>
      </c>
      <c r="C22" s="85" t="s" ph="1">
        <v>207</v>
      </c>
      <c r="D22" s="86" t="s" ph="1">
        <v>103</v>
      </c>
      <c r="E22" s="86" t="s" ph="1">
        <v>104</v>
      </c>
      <c r="F22" s="86" t="s" ph="1">
        <v>105</v>
      </c>
      <c r="G22" s="86" t="s" ph="1">
        <v>106</v>
      </c>
      <c r="H22" s="86" t="s" ph="1">
        <v>107</v>
      </c>
      <c r="I22" s="86" t="s" ph="1">
        <v>108</v>
      </c>
      <c r="J22" s="86" t="s" ph="1">
        <v>109</v>
      </c>
      <c r="K22" s="86" t="s" ph="1">
        <v>110</v>
      </c>
      <c r="L22" s="86" t="s" ph="1">
        <v>111</v>
      </c>
      <c r="M22" s="86" t="s" ph="1">
        <v>112</v>
      </c>
      <c r="N22" s="86" t="s" ph="1">
        <v>113</v>
      </c>
      <c r="O22" s="86" t="s" ph="1">
        <v>114</v>
      </c>
      <c r="P22" s="86" t="s" ph="1">
        <v>115</v>
      </c>
      <c r="Q22" s="87" t="s" ph="1">
        <v>116</v>
      </c>
      <c r="R22" s="86" t="s" ph="1">
        <v>117</v>
      </c>
      <c r="S22" s="86" t="s" ph="1">
        <v>118</v>
      </c>
      <c r="T22" s="86" t="s" ph="1">
        <v>119</v>
      </c>
      <c r="U22" s="86" t="s" ph="1">
        <v>120</v>
      </c>
      <c r="V22" s="86" t="s" ph="1">
        <v>121</v>
      </c>
      <c r="W22" s="86" t="s" ph="1">
        <v>122</v>
      </c>
      <c r="X22" s="86" t="s" ph="1">
        <v>123</v>
      </c>
      <c r="Y22" s="86" t="s" ph="1">
        <v>125</v>
      </c>
      <c r="Z22" s="195" t="s" ph="1">
        <v>79</v>
      </c>
      <c r="AA22" s="196"/>
      <c r="AB22" s="196"/>
      <c r="AC22" s="196"/>
      <c r="AD22" s="196"/>
      <c r="AE22" s="197"/>
      <c r="AH22" s="64" ph="1">
        <v>8</v>
      </c>
      <c r="AI22" s="64" t="s" ph="1">
        <v>386</v>
      </c>
      <c r="AZ22" s="64" t="s" ph="1">
        <v>257</v>
      </c>
      <c r="BA22" s="64" ph="1">
        <v>0</v>
      </c>
    </row>
    <row r="23" spans="1:57" ph="1">
      <c r="A23" s="72" ph="1"/>
      <c r="B23" s="211" ph="1"/>
      <c r="C23" s="67" t="s" ph="1">
        <v>36</v>
      </c>
      <c r="D23" s="88" t="s" ph="1">
        <v>127</v>
      </c>
      <c r="E23" s="88" t="s" ph="1">
        <v>124</v>
      </c>
      <c r="F23" s="88" t="s" ph="1">
        <v>221</v>
      </c>
      <c r="G23" s="88" t="s" ph="1">
        <v>163</v>
      </c>
      <c r="H23" s="88" t="s" ph="1">
        <v>163</v>
      </c>
      <c r="I23" s="88" t="s" ph="1">
        <v>164</v>
      </c>
      <c r="J23" s="88" t="s" ph="1">
        <v>165</v>
      </c>
      <c r="K23" s="88" t="s" ph="1">
        <v>128</v>
      </c>
      <c r="L23" s="88" t="s" ph="1">
        <v>128</v>
      </c>
      <c r="M23" s="88" t="s" ph="1">
        <v>165</v>
      </c>
      <c r="N23" s="88" t="s" ph="1">
        <v>165</v>
      </c>
      <c r="O23" s="88" t="s" ph="1">
        <v>131</v>
      </c>
      <c r="P23" s="88" t="s" ph="1">
        <v>166</v>
      </c>
      <c r="Q23" s="89" t="s" ph="1">
        <v>166</v>
      </c>
      <c r="R23" s="88" t="s" ph="1">
        <v>167</v>
      </c>
      <c r="S23" s="88" t="s" ph="1">
        <v>168</v>
      </c>
      <c r="T23" s="88" t="s" ph="1">
        <v>647</v>
      </c>
      <c r="U23" s="88" t="s" ph="1">
        <v>653</v>
      </c>
      <c r="V23" s="88" t="s" ph="1">
        <v>169</v>
      </c>
      <c r="W23" s="88" t="s" ph="1">
        <v>168</v>
      </c>
      <c r="X23" s="88" t="s" ph="1">
        <v>228</v>
      </c>
      <c r="Y23" s="88" t="s" ph="1">
        <v>97</v>
      </c>
      <c r="Z23" s="198" t="s" ph="1">
        <v>649</v>
      </c>
      <c r="AA23" s="199"/>
      <c r="AB23" s="199"/>
      <c r="AC23" s="199"/>
      <c r="AD23" s="199"/>
      <c r="AE23" s="200"/>
      <c r="AH23" s="64" ph="1">
        <v>9</v>
      </c>
      <c r="AI23" s="64" t="s" ph="1">
        <v>387</v>
      </c>
      <c r="AZ23" s="64" t="s" ph="1">
        <v>257</v>
      </c>
      <c r="BA23" s="64" ph="1">
        <v>0</v>
      </c>
      <c r="BD23" s="64" t="s" ph="1">
        <v>279</v>
      </c>
      <c r="BE23" s="64" ph="1">
        <v>890</v>
      </c>
    </row>
    <row r="24" spans="1:57" ph="1">
      <c r="A24" s="72" ph="1"/>
      <c r="B24" s="207" ph="1">
        <v>0.33333333333333331</v>
      </c>
      <c r="C24" s="154" t="s" ph="1">
        <v>208</v>
      </c>
      <c r="D24" s="71">
        <v>44.02</v>
      </c>
      <c r="E24" s="71">
        <v>90.71</v>
      </c>
      <c r="F24" s="71">
        <v>2144</v>
      </c>
      <c r="G24" s="71">
        <v>3137</v>
      </c>
      <c r="H24" s="71">
        <v>2126</v>
      </c>
      <c r="I24" s="71">
        <v>850</v>
      </c>
      <c r="J24" s="71">
        <v>2425</v>
      </c>
      <c r="K24" s="71">
        <v>5597</v>
      </c>
      <c r="L24" s="71">
        <v>5570</v>
      </c>
      <c r="M24" s="71">
        <v>2513</v>
      </c>
      <c r="N24" s="71">
        <v>2446</v>
      </c>
      <c r="O24" s="71">
        <v>2060</v>
      </c>
      <c r="P24" s="71">
        <v>456</v>
      </c>
      <c r="Q24" s="90">
        <v>1342</v>
      </c>
      <c r="R24" s="71">
        <v>3372</v>
      </c>
      <c r="S24" s="71">
        <v>404</v>
      </c>
      <c r="T24" s="71">
        <v>6</v>
      </c>
      <c r="U24" s="71">
        <v>5743</v>
      </c>
      <c r="V24" s="71">
        <v>409</v>
      </c>
      <c r="W24" s="71">
        <v>1641</v>
      </c>
      <c r="X24" s="71">
        <v>8320</v>
      </c>
      <c r="Y24" s="71">
        <v>4084</v>
      </c>
      <c r="Z24" s="201"/>
      <c r="AA24" s="202"/>
      <c r="AB24" s="202"/>
      <c r="AC24" s="202"/>
      <c r="AD24" s="202"/>
      <c r="AE24" s="203"/>
      <c r="AH24" s="64" ph="1">
        <v>10</v>
      </c>
      <c r="AI24" s="64" t="s" ph="1">
        <v>388</v>
      </c>
      <c r="AZ24" s="64" t="s" ph="1">
        <v>257</v>
      </c>
      <c r="BA24" s="64" ph="1">
        <v>0</v>
      </c>
    </row>
    <row r="25" spans="1:57" ph="1">
      <c r="A25" s="72" ph="1"/>
      <c r="B25" s="207" ph="1"/>
      <c r="C25" s="68" t="s" ph="1">
        <v>209</v>
      </c>
      <c r="D25" s="91" ph="1">
        <f>D24*268.68*LOOKUP(D26,密度!$A$2:$A$50,密度!$Q$2:$Q$50)+IF(D24&lt;=0,0,1566*LOOKUP(D26,密度!$A$2:$A$50,密度!$Q$2:$Q$50))</f>
        <v>12679.966782864001</v>
      </c>
      <c r="E25" s="91" ph="1">
        <f>E24*268.68*LOOKUP(E26,密度!$A$2:$A$50,密度!$C$2:$C$50)+IF(E24&lt;=0,0,1566*LOOKUP(E26,密度!$A$2:$A$50,密度!$C$2:$C$50))</f>
        <v>28762.606948919998</v>
      </c>
      <c r="F25" s="91" ph="1">
        <f>F24*11.702*LOOKUP(F26,密度!$A$2:$A$50,密度!$Q$2:$Q$50)</f>
        <v>23948.53805952</v>
      </c>
      <c r="G25" s="91" ph="1">
        <f>G24*18.322*LOOKUP(G26,密度!$A$2:$A$50,密度!$B$2:$B$50)</f>
        <v>45388.88722579999</v>
      </c>
      <c r="H25" s="91" ph="1">
        <f>H24*18.322*LOOKUP(H26,密度!$A$2:$A$50,密度!$B$2:$B$50)</f>
        <v>30729.684050800002</v>
      </c>
      <c r="I25" s="91" ph="1">
        <f>I24*18.322*LOOKUP(I26,密度!$A$2:$A$50,密度!$Q$2:$Q$50)</f>
        <v>14865.719598</v>
      </c>
      <c r="J25" s="91" ph="1">
        <f>J24*18.322*LOOKUP(J26,密度!$A$2:$A$50,密度!$Q$2:$Q$50)</f>
        <v>42411.023559000001</v>
      </c>
      <c r="K25" s="91" ph="1">
        <f>K24*18.322*LOOKUP(K26,密度!$A$2:$A$50,密度!$Q$2:$Q$50)</f>
        <v>97886.391282359997</v>
      </c>
      <c r="L25" s="91" ph="1">
        <f>L24*18.322*LOOKUP(L26,密度!$A$2:$A$50,密度!$Q$2:$Q$50)</f>
        <v>97414.186071599994</v>
      </c>
      <c r="M25" s="91" ph="1">
        <f>M24*18.322*LOOKUP(M26,密度!$A$2:$A$50,密度!$Q$2:$Q$50)</f>
        <v>43950.062764440001</v>
      </c>
      <c r="N25" s="91" ph="1">
        <f>N24*18.322*LOOKUP(N26,密度!$A$2:$A$50,密度!$Q$2:$Q$50)</f>
        <v>42778.294278480003</v>
      </c>
      <c r="O25" s="91" ph="1">
        <f>O24*18.322*LOOKUP(O26,密度!$A$2:$A$50,密度!$C$2:$C$50)</f>
        <v>42144.191112</v>
      </c>
      <c r="P25" s="91" ph="1">
        <f>P24*11.702*LOOKUP(P26,密度!$A$2:$A$50,密度!$B$2:$B$50)</f>
        <v>4209.6587568000004</v>
      </c>
      <c r="Q25" s="92" ph="1">
        <f>Q24*18.322*LOOKUP(Q26,密度!$A$2:$A$50,密度!$B$2:$B$50)</f>
        <v>19417.241522799999</v>
      </c>
      <c r="R25" s="91" ph="1">
        <f>R24*35.891*LOOKUP(R26,密度!$A$2:$A$50,密度!$C$2:$C$50)</f>
        <v>135232.72266479998</v>
      </c>
      <c r="S25" s="91" ph="1">
        <f>S24*35.891*LOOKUP(S26,密度!$A$2:$A$50,密度!$B$2:$B$50)</f>
        <v>11463.6715384</v>
      </c>
      <c r="T25" s="91" ph="1">
        <f>T24*35.891*LOOKUP(T26,密度!$A$2:$A$50,密度!$Q$2:$Q$50)</f>
        <v>205.55637084000003</v>
      </c>
      <c r="U25" s="91" ph="1">
        <f>U24*35.891</f>
        <v>206122.01299999998</v>
      </c>
      <c r="V25" s="91" ph="1">
        <f>V24*47.051*LOOKUP(V26,密度!$A$2:$A$50,密度!$B$2:$B$50)</f>
        <v>15181.480365100002</v>
      </c>
      <c r="W25" s="91" ph="1">
        <f>W24*47.051*LOOKUP(W26,密度!$A$2:$A$50,密度!$B$2:$B$50)</f>
        <v>60718.487402400002</v>
      </c>
      <c r="X25" s="91" ph="1">
        <f>X24*47.051*LOOKUP(X26,密度!$A$2:$A$50,密度!$I$2:$I$50)</f>
        <v>405416.10836479999</v>
      </c>
      <c r="Y25" s="91" ph="1">
        <f>Y24*47.051*LOOKUP(Y26,密度!$A$2:$A$50,密度!$L$2:$L$50)</f>
        <v>181587.68838000001</v>
      </c>
      <c r="Z25" s="201"/>
      <c r="AA25" s="202"/>
      <c r="AB25" s="202"/>
      <c r="AC25" s="202"/>
      <c r="AD25" s="202"/>
      <c r="AE25" s="203"/>
      <c r="AH25" s="64" ph="1">
        <v>11</v>
      </c>
      <c r="AI25" s="64" t="s" ph="1">
        <v>389</v>
      </c>
      <c r="AZ25" s="64" t="s" ph="1">
        <v>257</v>
      </c>
      <c r="BA25" s="64" ph="1">
        <v>0</v>
      </c>
      <c r="BD25" s="64" t="s" ph="1">
        <v>282</v>
      </c>
      <c r="BE25" s="64" ph="1">
        <v>8920</v>
      </c>
    </row>
    <row r="26" spans="1:57" ph="1">
      <c r="A26" s="72" ph="1"/>
      <c r="B26" s="207" ph="1"/>
      <c r="C26" s="68" t="s" ph="1">
        <v>210</v>
      </c>
      <c r="D26" s="74">
        <v>25</v>
      </c>
      <c r="E26" s="74">
        <v>25</v>
      </c>
      <c r="F26" s="74">
        <v>13</v>
      </c>
      <c r="G26" s="74">
        <v>13</v>
      </c>
      <c r="H26" s="74">
        <v>14</v>
      </c>
      <c r="I26" s="74">
        <v>14</v>
      </c>
      <c r="J26" s="74">
        <v>14</v>
      </c>
      <c r="K26" s="74">
        <v>13</v>
      </c>
      <c r="L26" s="74">
        <v>13</v>
      </c>
      <c r="M26" s="74">
        <v>13</v>
      </c>
      <c r="N26" s="74">
        <v>14</v>
      </c>
      <c r="O26" s="74">
        <v>14</v>
      </c>
      <c r="P26" s="74">
        <v>14</v>
      </c>
      <c r="Q26" s="93">
        <v>13</v>
      </c>
      <c r="R26" s="74">
        <v>13</v>
      </c>
      <c r="S26" s="74">
        <v>12</v>
      </c>
      <c r="T26" s="74">
        <v>13</v>
      </c>
      <c r="U26" s="74">
        <v>13</v>
      </c>
      <c r="V26" s="74">
        <v>14</v>
      </c>
      <c r="W26" s="74">
        <v>17</v>
      </c>
      <c r="X26" s="74">
        <v>51</v>
      </c>
      <c r="Y26" s="74">
        <v>17</v>
      </c>
      <c r="Z26" s="201"/>
      <c r="AA26" s="202"/>
      <c r="AB26" s="202"/>
      <c r="AC26" s="202"/>
      <c r="AD26" s="202"/>
      <c r="AE26" s="203"/>
      <c r="AH26" s="64" ph="1">
        <v>12</v>
      </c>
      <c r="AI26" s="64" t="s" ph="1">
        <v>390</v>
      </c>
      <c r="AZ26" s="64" t="s" ph="1">
        <v>257</v>
      </c>
      <c r="BA26" s="64" ph="1">
        <v>0</v>
      </c>
    </row>
    <row r="27" spans="1:57" ph="1">
      <c r="A27" s="72" ph="1"/>
      <c r="B27" s="207" ph="1">
        <v>0.66666666666666663</v>
      </c>
      <c r="C27" s="154" t="s" ph="1">
        <v>211</v>
      </c>
      <c r="D27" s="71">
        <v>44.12</v>
      </c>
      <c r="E27" s="71">
        <v>90.71</v>
      </c>
      <c r="F27" s="71">
        <v>2144</v>
      </c>
      <c r="G27" s="71">
        <v>2648</v>
      </c>
      <c r="H27" s="71">
        <v>1782</v>
      </c>
      <c r="I27" s="71">
        <v>849</v>
      </c>
      <c r="J27" s="71">
        <v>1925</v>
      </c>
      <c r="K27" s="71">
        <v>5598</v>
      </c>
      <c r="L27" s="71">
        <v>5568</v>
      </c>
      <c r="M27" s="71">
        <v>2464</v>
      </c>
      <c r="N27" s="71">
        <v>3513</v>
      </c>
      <c r="O27" s="71">
        <v>2057</v>
      </c>
      <c r="P27" s="71">
        <v>451</v>
      </c>
      <c r="Q27" s="90">
        <v>1674</v>
      </c>
      <c r="R27" s="71">
        <v>3369</v>
      </c>
      <c r="S27" s="71">
        <v>400</v>
      </c>
      <c r="T27" s="71">
        <v>0</v>
      </c>
      <c r="U27" s="71">
        <v>5686</v>
      </c>
      <c r="V27" s="71">
        <v>401</v>
      </c>
      <c r="W27" s="71">
        <v>1830</v>
      </c>
      <c r="X27" s="71">
        <v>7838</v>
      </c>
      <c r="Y27" s="71">
        <v>4578</v>
      </c>
      <c r="Z27" s="201"/>
      <c r="AA27" s="202"/>
      <c r="AB27" s="202"/>
      <c r="AC27" s="202"/>
      <c r="AD27" s="202"/>
      <c r="AE27" s="203"/>
      <c r="AH27" s="64" ph="1">
        <v>13</v>
      </c>
      <c r="AI27" s="64" t="s" ph="1">
        <v>391</v>
      </c>
      <c r="AZ27" s="64" t="s" ph="1">
        <v>257</v>
      </c>
      <c r="BA27" s="64" ph="1">
        <v>0</v>
      </c>
      <c r="BD27" s="64" t="s" ph="1">
        <v>336</v>
      </c>
      <c r="BE27" s="64" ph="1">
        <v>7100</v>
      </c>
    </row>
    <row r="28" spans="1:57" ph="1">
      <c r="A28" s="72" ph="1"/>
      <c r="B28" s="207" ph="1"/>
      <c r="C28" s="154" t="s" ph="1">
        <v>209</v>
      </c>
      <c r="D28" s="91" ph="1">
        <f>D27*268.68*LOOKUP(D29,密度!$A$2:$A$50,密度!$Q$2:$Q$50)+IF(D27&lt;=0,0,1566*LOOKUP(D29,密度!$A$2:$A$50,密度!$Q$2:$Q$50))</f>
        <v>12705.403793183999</v>
      </c>
      <c r="E28" s="91" ph="1">
        <f>E27*268.68*LOOKUP(E29,密度!$A$2:$A$50,密度!$C$2:$C$50)+IF(E27&lt;=0,0,1566*LOOKUP(E29,密度!$A$2:$A$50,密度!$C$2:$C$50))</f>
        <v>28762.606948919998</v>
      </c>
      <c r="F28" s="91" ph="1">
        <f>F27*11.702*LOOKUP(F29,密度!$A$2:$A$50,密度!$Q$2:$Q$50)</f>
        <v>23948.53805952</v>
      </c>
      <c r="G28" s="91" ph="1">
        <f>G27*18.322*LOOKUP(G29,密度!$A$2:$A$50,密度!$B$2:$B$50)</f>
        <v>38231.124927999997</v>
      </c>
      <c r="H28" s="91" ph="1">
        <f>H27*18.322*LOOKUP(H29,密度!$A$2:$A$50,密度!$B$2:$B$50)</f>
        <v>25701.925708800001</v>
      </c>
      <c r="I28" s="91" ph="1">
        <f>I27*18.322*LOOKUP(I29,密度!$A$2:$A$50,密度!$Q$2:$Q$50)</f>
        <v>14833.608460799998</v>
      </c>
      <c r="J28" s="91" ph="1">
        <f>J27*18.322*LOOKUP(J29,密度!$A$2:$A$50,密度!$Q$2:$Q$50)</f>
        <v>33633.328959999999</v>
      </c>
      <c r="K28" s="91" ph="1">
        <f>K27*18.322*LOOKUP(K29,密度!$A$2:$A$50,密度!$Q$2:$Q$50)</f>
        <v>97807.467801599996</v>
      </c>
      <c r="L28" s="91" ph="1">
        <f>L27*18.322*LOOKUP(L29,密度!$A$2:$A$50,密度!$Q$2:$Q$50)</f>
        <v>97379.207907839998</v>
      </c>
      <c r="M28" s="91" ph="1">
        <f>M27*18.322*LOOKUP(M29,密度!$A$2:$A$50,密度!$Q$2:$Q$50)</f>
        <v>43093.097752319998</v>
      </c>
      <c r="N28" s="91" ph="1">
        <f>N27*18.322*LOOKUP(N29,密度!$A$2:$A$50,密度!$Q$2:$Q$50)</f>
        <v>61378.641369599995</v>
      </c>
      <c r="O28" s="91" ph="1">
        <f>O27*18.322*LOOKUP(O29,密度!$A$2:$A$50,密度!$C$2:$C$50)</f>
        <v>42030.0523808</v>
      </c>
      <c r="P28" s="91" ph="1">
        <f>P27*11.702*LOOKUP(P29,密度!$A$2:$A$50,密度!$B$2:$B$50)</f>
        <v>4154.5282944</v>
      </c>
      <c r="Q28" s="92" ph="1">
        <f>Q27*18.322*LOOKUP(Q29,密度!$A$2:$A$50,密度!$B$2:$B$50)</f>
        <v>24168.770064</v>
      </c>
      <c r="R28" s="91" ph="1">
        <f>R27*35.891*LOOKUP(R29,密度!$A$2:$A$50,密度!$C$2:$C$50)</f>
        <v>134918.94200819999</v>
      </c>
      <c r="S28" s="91" ph="1">
        <f>S27*35.891*LOOKUP(S29,密度!$A$2:$A$50,密度!$B$2:$B$50)</f>
        <v>11301.35808</v>
      </c>
      <c r="T28" s="91" ph="1">
        <f>T27*35.891*LOOKUP(T29,密度!$A$2:$A$50,密度!$Q$2:$Q$50)</f>
        <v>0</v>
      </c>
      <c r="U28" s="91" ph="1">
        <f>U27*35.891</f>
        <v>204076.226</v>
      </c>
      <c r="V28" s="91" ph="1">
        <f>V27*47.051*LOOKUP(V29,密度!$A$2:$A$50,密度!$B$2:$B$50)</f>
        <v>14867.551388000002</v>
      </c>
      <c r="W28" s="91" ph="1">
        <f>W27*47.051*LOOKUP(W29,密度!$A$2:$A$50,密度!$B$2:$B$50)</f>
        <v>67513.62105300001</v>
      </c>
      <c r="X28" s="91" ph="1">
        <f>X27*47.051*LOOKUP(X29,密度!$A$2:$A$50,密度!$I$2:$I$50)</f>
        <v>381929.26170231996</v>
      </c>
      <c r="Y28" s="91" ph="1">
        <f>Y27*47.051*LOOKUP(Y29,密度!$A$2:$A$50,密度!$L$2:$L$50)</f>
        <v>202906.308276</v>
      </c>
      <c r="Z28" s="201"/>
      <c r="AA28" s="202"/>
      <c r="AB28" s="202"/>
      <c r="AC28" s="202"/>
      <c r="AD28" s="202"/>
      <c r="AE28" s="203"/>
      <c r="AH28" s="64" ph="1">
        <v>14</v>
      </c>
      <c r="AI28" s="64" t="s" ph="1">
        <v>392</v>
      </c>
      <c r="AZ28" s="64" t="s" ph="1">
        <v>257</v>
      </c>
      <c r="BA28" s="64" ph="1">
        <v>0</v>
      </c>
    </row>
    <row r="29" spans="1:57" ph="1">
      <c r="A29" s="72" ph="1"/>
      <c r="B29" s="207" ph="1"/>
      <c r="C29" s="154" t="s" ph="1">
        <v>210</v>
      </c>
      <c r="D29" s="74">
        <v>25</v>
      </c>
      <c r="E29" s="74">
        <v>25</v>
      </c>
      <c r="F29" s="74">
        <v>15</v>
      </c>
      <c r="G29" s="74">
        <v>15</v>
      </c>
      <c r="H29" s="74">
        <v>16</v>
      </c>
      <c r="I29" s="74">
        <v>16</v>
      </c>
      <c r="J29" s="74">
        <v>16</v>
      </c>
      <c r="K29" s="74">
        <v>16</v>
      </c>
      <c r="L29" s="74">
        <v>15</v>
      </c>
      <c r="M29" s="74">
        <v>15</v>
      </c>
      <c r="N29" s="74">
        <v>16</v>
      </c>
      <c r="O29" s="74">
        <v>16</v>
      </c>
      <c r="P29" s="74">
        <v>16</v>
      </c>
      <c r="Q29" s="93">
        <v>15</v>
      </c>
      <c r="R29" s="74">
        <v>15</v>
      </c>
      <c r="S29" s="74">
        <v>16</v>
      </c>
      <c r="T29" s="74">
        <v>16</v>
      </c>
      <c r="U29" s="74">
        <v>16</v>
      </c>
      <c r="V29" s="74">
        <v>15</v>
      </c>
      <c r="W29" s="74">
        <v>20</v>
      </c>
      <c r="X29" s="74">
        <v>51</v>
      </c>
      <c r="Y29" s="74">
        <v>20</v>
      </c>
      <c r="Z29" s="204"/>
      <c r="AA29" s="205"/>
      <c r="AB29" s="205"/>
      <c r="AC29" s="205"/>
      <c r="AD29" s="205"/>
      <c r="AE29" s="206"/>
      <c r="AH29" s="64" ph="1">
        <v>15</v>
      </c>
      <c r="AI29" s="64" t="s" ph="1">
        <v>393</v>
      </c>
      <c r="AZ29" s="64" t="s" ph="1">
        <v>257</v>
      </c>
      <c r="BA29" s="64" ph="1">
        <v>0</v>
      </c>
      <c r="BD29" s="64" t="s" ph="1">
        <v>394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395</v>
      </c>
      <c r="AZ30" s="64" t="s" ph="1">
        <v>257</v>
      </c>
      <c r="BA30" s="64" ph="1">
        <v>0</v>
      </c>
    </row>
    <row r="31" spans="1:57" ht="28.5" ph="1">
      <c r="A31" s="64"/>
      <c r="B31" s="220" t="s" ph="1">
        <v>35</v>
      </c>
      <c r="C31" s="221" ph="1"/>
      <c r="D31" s="224" t="s" ph="1">
        <v>9</v>
      </c>
      <c r="E31" s="213" ph="1"/>
      <c r="F31" s="214" ph="1"/>
      <c r="G31" s="224" t="s" ph="1">
        <v>18</v>
      </c>
      <c r="H31" s="213" ph="1"/>
      <c r="I31" s="214" ph="1"/>
      <c r="J31" s="212" t="s" ph="1">
        <v>1</v>
      </c>
      <c r="K31" s="213" ph="1"/>
      <c r="L31" s="214" ph="1"/>
      <c r="M31" s="212" t="s" ph="1">
        <v>7</v>
      </c>
      <c r="N31" s="213" ph="1"/>
      <c r="O31" s="214" ph="1"/>
      <c r="P31" s="212" t="s" ph="1">
        <v>42</v>
      </c>
      <c r="Q31" s="213"/>
      <c r="R31" s="214"/>
      <c r="S31" s="212" t="s" ph="1">
        <v>2</v>
      </c>
      <c r="T31" s="213"/>
      <c r="U31" s="214"/>
      <c r="V31" s="212" t="s" ph="1">
        <v>81</v>
      </c>
      <c r="W31" s="213" ph="1"/>
      <c r="X31" s="214" ph="1"/>
      <c r="Y31" s="212" t="s" ph="1">
        <v>3</v>
      </c>
      <c r="Z31" s="213" ph="1"/>
      <c r="AA31" s="214" ph="1"/>
      <c r="AB31" s="235" t="s">
        <v>43</v>
      </c>
      <c r="AC31" s="236"/>
      <c r="AD31" s="236"/>
      <c r="AE31" s="237"/>
      <c r="AH31" s="64" ph="1">
        <v>17</v>
      </c>
      <c r="AI31" s="64" t="s" ph="1">
        <v>396</v>
      </c>
      <c r="AZ31" s="64" t="s" ph="1">
        <v>257</v>
      </c>
      <c r="BA31" s="64" ph="1">
        <v>0</v>
      </c>
      <c r="BD31" s="64" t="s" ph="1">
        <v>397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54" t="s" ph="1">
        <v>5</v>
      </c>
      <c r="F32" s="153" t="s" ph="1">
        <v>44</v>
      </c>
      <c r="G32" s="97" t="s" ph="1">
        <v>4</v>
      </c>
      <c r="H32" s="154" t="s" ph="1">
        <v>5</v>
      </c>
      <c r="I32" s="153" t="s" ph="1">
        <v>44</v>
      </c>
      <c r="J32" s="97" t="s" ph="1">
        <v>4</v>
      </c>
      <c r="K32" s="154" t="s" ph="1">
        <v>5</v>
      </c>
      <c r="L32" s="153" t="s" ph="1">
        <v>44</v>
      </c>
      <c r="M32" s="97" t="s" ph="1">
        <v>4</v>
      </c>
      <c r="N32" s="154" t="s" ph="1">
        <v>5</v>
      </c>
      <c r="O32" s="153" t="s" ph="1">
        <v>44</v>
      </c>
      <c r="P32" s="97" t="s" ph="1">
        <v>4</v>
      </c>
      <c r="Q32" s="98" t="s" ph="1">
        <v>5</v>
      </c>
      <c r="R32" s="99" t="s" ph="1">
        <v>44</v>
      </c>
      <c r="S32" s="97" t="s" ph="1">
        <v>4</v>
      </c>
      <c r="T32" s="154" t="s" ph="1">
        <v>5</v>
      </c>
      <c r="U32" s="99" t="s" ph="1">
        <v>44</v>
      </c>
      <c r="V32" s="97" t="s" ph="1">
        <v>4</v>
      </c>
      <c r="W32" s="154" t="s" ph="1">
        <v>5</v>
      </c>
      <c r="X32" s="99" t="s" ph="1">
        <v>44</v>
      </c>
      <c r="Y32" s="100" t="s" ph="1">
        <v>4</v>
      </c>
      <c r="Z32" s="154" t="s" ph="1">
        <v>5</v>
      </c>
      <c r="AA32" s="153" t="s" ph="1">
        <v>44</v>
      </c>
      <c r="AB32" s="97" t="s" ph="1">
        <v>102</v>
      </c>
      <c r="AC32" s="154" t="s" ph="1">
        <v>101</v>
      </c>
      <c r="AD32" s="238" t="s" ph="1">
        <v>100</v>
      </c>
      <c r="AE32" s="239"/>
      <c r="AH32" s="64" ph="1">
        <v>18</v>
      </c>
      <c r="AI32" s="64" t="s" ph="1">
        <v>398</v>
      </c>
      <c r="AZ32" s="64" t="s" ph="1">
        <v>257</v>
      </c>
      <c r="BA32" s="64" ph="1">
        <v>0</v>
      </c>
    </row>
    <row r="33" spans="1:57" ph="1">
      <c r="A33" s="64"/>
      <c r="B33" s="225" t="s" ph="1">
        <v>212</v>
      </c>
      <c r="C33" s="226" ph="1"/>
      <c r="D33" s="229" ph="1">
        <f>AA10+AB10+Z19</f>
        <v>118300.4675612</v>
      </c>
      <c r="E33" s="229" ph="1">
        <f>M10+I10</f>
        <v>166544.668936</v>
      </c>
      <c r="F33" s="23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[[#This Row],[F25]]</f>
        <v>3880</v>
      </c>
      <c r="G33" s="233" ph="1">
        <v>0</v>
      </c>
      <c r="H33" s="229" ph="1">
        <f>N19</f>
        <v>3075.5225962999998</v>
      </c>
      <c r="I33" s="242" ph="1">
        <v>0</v>
      </c>
      <c r="J33" s="240" ph="1">
        <f>F10+O28</f>
        <v>231045.69647779997</v>
      </c>
      <c r="K33" s="229" ph="1">
        <f>O10+K10+E28+R28</f>
        <v>267498.54531071999</v>
      </c>
      <c r="L33" s="244" ph="1">
        <f>BE27</f>
        <v>7100</v>
      </c>
      <c r="M33" s="240" ph="1">
        <f>G10+H10+W28+S28</f>
        <v>491005.62369900005</v>
      </c>
      <c r="N33" s="229" ph="1">
        <f>L10+P10++G28+H28+V28</f>
        <v>373204.4620848</v>
      </c>
      <c r="O33" s="242" ph="1">
        <f>BE17</f>
        <v>2270</v>
      </c>
      <c r="P33" s="240" ph="1">
        <f>L19</f>
        <v>45317.597752080001</v>
      </c>
      <c r="Q33" s="229" ph="1">
        <f>J10+N10</f>
        <v>155240.77581919997</v>
      </c>
      <c r="R33" s="242" ph="1">
        <f>BE23</f>
        <v>890</v>
      </c>
      <c r="S33" s="240" ph="1">
        <f>E10+X28</f>
        <v>381929.26170231996</v>
      </c>
      <c r="T33" s="229" ph="1">
        <f>X19</f>
        <v>11751.987519999999</v>
      </c>
      <c r="U33" s="250" ph="1">
        <f>BE21</f>
        <v>730</v>
      </c>
      <c r="V33" s="261" ph="1">
        <f ca="1">P19+Q19+S19+M28+N28+J28</f>
        <v>219565.09796142002</v>
      </c>
      <c r="W33" s="261" ph="1">
        <f>D28+F28+V19+T28</f>
        <v>44625.578217503993</v>
      </c>
      <c r="X33" s="242" ph="1">
        <f>BE29+BE31</f>
        <v>10200</v>
      </c>
      <c r="Y33" s="263" ph="1">
        <f>+Q10+R10+S10+T10+U10+V10+W10+X10+Y10</f>
        <v>199362.25718639998</v>
      </c>
      <c r="Z33" s="248" ph="1">
        <f>D10+T19+U19+Y28+Z10</f>
        <v>468517.38268659997</v>
      </c>
      <c r="AA33" s="250" ph="1">
        <f>BE19</f>
        <v>1440</v>
      </c>
      <c r="AB33" s="252" ph="1">
        <f>I19</f>
        <v>65.300821600000006</v>
      </c>
      <c r="AC33" s="254" ph="1">
        <f>AD10</f>
        <v>5316.9998400000004</v>
      </c>
      <c r="AD33" s="256" ph="1">
        <v>0</v>
      </c>
      <c r="AE33" s="257"/>
      <c r="AH33" s="64" ph="1">
        <v>19</v>
      </c>
      <c r="AI33" s="64" t="s" ph="1">
        <v>399</v>
      </c>
      <c r="AJ33" s="64" t="s" ph="1">
        <v>633</v>
      </c>
      <c r="AK33" s="64" t="s" ph="1">
        <v>630</v>
      </c>
      <c r="AL33" s="64" ph="1">
        <v>730</v>
      </c>
      <c r="AM33" s="64" t="s" ph="1">
        <v>380</v>
      </c>
      <c r="AZ33" s="64" t="s" ph="1">
        <v>257</v>
      </c>
      <c r="BA33" s="64" ph="1">
        <v>730</v>
      </c>
      <c r="BD33" s="64" t="s" ph="1">
        <v>331</v>
      </c>
      <c r="BE33" s="64" ph="1">
        <v>3880</v>
      </c>
    </row>
    <row r="34" spans="1:57" ph="1">
      <c r="A34" s="64"/>
      <c r="B34" s="227" ph="1"/>
      <c r="C34" s="228" ph="1"/>
      <c r="D34" s="230" ph="1"/>
      <c r="E34" s="230" ph="1"/>
      <c r="F34" s="232" ph="1"/>
      <c r="G34" s="234" ph="1"/>
      <c r="H34" s="230" ph="1"/>
      <c r="I34" s="243" ph="1"/>
      <c r="J34" s="241" ph="1"/>
      <c r="K34" s="230" ph="1"/>
      <c r="L34" s="245" ph="1"/>
      <c r="M34" s="241" ph="1"/>
      <c r="N34" s="230" ph="1"/>
      <c r="O34" s="243" ph="1"/>
      <c r="P34" s="241" ph="1"/>
      <c r="Q34" s="230" ph="1"/>
      <c r="R34" s="243" ph="1"/>
      <c r="S34" s="241" ph="1"/>
      <c r="T34" s="230"/>
      <c r="U34" s="251"/>
      <c r="V34" s="262" ph="1"/>
      <c r="W34" s="262" ph="1"/>
      <c r="X34" s="243" ph="1"/>
      <c r="Y34" s="264" ph="1"/>
      <c r="Z34" s="249" ph="1"/>
      <c r="AA34" s="251" ph="1"/>
      <c r="AB34" s="253"/>
      <c r="AC34" s="255"/>
      <c r="AD34" s="258"/>
      <c r="AE34" s="259"/>
      <c r="AH34" s="64" ph="1">
        <v>20</v>
      </c>
      <c r="AI34" s="64" t="s" ph="1">
        <v>400</v>
      </c>
      <c r="AJ34" s="64" t="s" ph="1">
        <v>634</v>
      </c>
      <c r="AK34" s="64" t="s" ph="1">
        <v>630</v>
      </c>
      <c r="AL34" s="64" ph="1">
        <v>720</v>
      </c>
      <c r="AM34" s="64" t="s" ph="1">
        <v>380</v>
      </c>
      <c r="AZ34" s="64" t="s" ph="1">
        <v>257</v>
      </c>
      <c r="BA34" s="64" ph="1">
        <v>720</v>
      </c>
    </row>
    <row r="35" spans="1:57" ph="1">
      <c r="A35" s="64"/>
      <c r="AC35" s="260" t="s" ph="1">
        <v>84</v>
      </c>
      <c r="AD35" s="260"/>
      <c r="AE35" s="260"/>
      <c r="AH35" s="64" ph="1">
        <v>21</v>
      </c>
      <c r="AI35" s="64" t="s" ph="1">
        <v>401</v>
      </c>
      <c r="AZ35" s="64" t="s" ph="1">
        <v>257</v>
      </c>
      <c r="BA35" s="64" ph="1">
        <v>0</v>
      </c>
      <c r="BD35" s="64" t="s" ph="1">
        <v>402</v>
      </c>
      <c r="BE35" s="64" ph="1">
        <v>2030</v>
      </c>
    </row>
    <row r="36" spans="1:57" ht="28.5" ph="1">
      <c r="A36" s="64"/>
      <c r="B36" s="103" t="s" ph="1">
        <v>213</v>
      </c>
      <c r="I36" s="246" t="s" ph="1">
        <v>214</v>
      </c>
      <c r="J36" s="246" ph="1"/>
      <c r="K36" s="101" ph="1"/>
      <c r="P36" s="101" ph="1"/>
      <c r="R36" s="246" t="s" ph="1">
        <v>215</v>
      </c>
      <c r="S36" s="246" ph="1"/>
      <c r="Y36" s="102" ph="1"/>
      <c r="Z36" s="152" t="s" ph="1">
        <v>216</v>
      </c>
      <c r="AA36" s="152" ph="1"/>
      <c r="AB36" s="247" t="s" ph="1">
        <v>655</v>
      </c>
      <c r="AC36" s="247" ph="1"/>
      <c r="AD36" s="247" ph="1"/>
      <c r="AE36" s="247" ph="1"/>
      <c r="BA36" s="64" ph="1">
        <v>2270</v>
      </c>
    </row>
    <row r="37" spans="1:57" s="15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2" t="s" ph="1">
        <v>383</v>
      </c>
      <c r="AI37" s="152" t="s" ph="1">
        <v>250</v>
      </c>
      <c r="AJ37" s="152" t="s" ph="1">
        <v>251</v>
      </c>
      <c r="AK37" s="152" t="s" ph="1">
        <v>252</v>
      </c>
      <c r="AM37" s="152" t="s" ph="1">
        <v>251</v>
      </c>
      <c r="AN37" s="152" t="s" ph="1">
        <v>252</v>
      </c>
      <c r="AO37" s="152" t="s" ph="1">
        <v>253</v>
      </c>
      <c r="AP37" s="152" t="s" ph="1">
        <v>251</v>
      </c>
      <c r="AQ37" s="152" t="s" ph="1">
        <v>252</v>
      </c>
      <c r="AR37" s="152" t="s" ph="1">
        <v>253</v>
      </c>
      <c r="AS37" s="152" t="s" ph="1">
        <v>251</v>
      </c>
      <c r="AT37" s="152" t="s" ph="1">
        <v>252</v>
      </c>
      <c r="AU37" s="152" t="s" ph="1">
        <v>253</v>
      </c>
      <c r="AV37" s="152" t="s" ph="1">
        <v>251</v>
      </c>
      <c r="AW37" s="152" t="s" ph="1">
        <v>252</v>
      </c>
      <c r="AX37" s="152" t="s" ph="1">
        <v>253</v>
      </c>
      <c r="AY37" s="152" t="s" ph="1">
        <v>252</v>
      </c>
      <c r="AZ37" s="152" t="s" ph="1">
        <v>254</v>
      </c>
      <c r="BD37" s="152" t="s" ph="1">
        <v>346</v>
      </c>
      <c r="BE37" s="152" ph="1">
        <v>0</v>
      </c>
    </row>
    <row r="38" spans="1:57" ph="1">
      <c r="AE38" s="64" ph="1"/>
      <c r="AH38" s="64" ph="1">
        <v>1</v>
      </c>
      <c r="AI38" s="64" t="s" ph="1">
        <v>403</v>
      </c>
      <c r="AY38" s="64" t="s" ph="1">
        <v>257</v>
      </c>
      <c r="AZ38" s="64" t="s" ph="1">
        <v>408</v>
      </c>
    </row>
    <row r="39" spans="1:57" ph="1">
      <c r="AH39" s="64" ph="1">
        <v>2</v>
      </c>
      <c r="AI39" s="64" t="s" ph="1">
        <v>405</v>
      </c>
      <c r="AJ39" s="64" t="s" ph="1">
        <v>377</v>
      </c>
      <c r="AK39" s="64" t="s" ph="1">
        <v>406</v>
      </c>
      <c r="AM39" s="64" t="s" ph="1">
        <v>611</v>
      </c>
      <c r="AN39" s="64" t="s" ph="1">
        <v>269</v>
      </c>
      <c r="AO39" s="64" t="s" ph="1">
        <v>404</v>
      </c>
      <c r="AY39" s="64" t="s" ph="1">
        <v>257</v>
      </c>
      <c r="AZ39" s="64" t="s" ph="1">
        <v>540</v>
      </c>
    </row>
    <row r="40" spans="1:57" ph="1">
      <c r="AH40" s="64" ph="1">
        <v>3</v>
      </c>
      <c r="AI40" s="64" t="s" ph="1">
        <v>407</v>
      </c>
      <c r="AJ40" s="64" t="s" ph="1">
        <v>611</v>
      </c>
      <c r="AK40" s="64" t="s" ph="1">
        <v>612</v>
      </c>
      <c r="AY40" s="64" t="s" ph="1">
        <v>257</v>
      </c>
      <c r="AZ40" s="64" t="s" ph="1">
        <v>612</v>
      </c>
    </row>
    <row r="41" spans="1:57" ph="1">
      <c r="AH41" s="64" ph="1">
        <v>4</v>
      </c>
      <c r="AI41" s="64" t="s" ph="1">
        <v>409</v>
      </c>
      <c r="AJ41" s="64" t="s" ph="1">
        <v>613</v>
      </c>
      <c r="AK41" s="64" t="s" ph="1">
        <v>614</v>
      </c>
      <c r="AM41" s="64" t="s" ph="1">
        <v>615</v>
      </c>
      <c r="AY41" s="64" t="s" ph="1">
        <v>257</v>
      </c>
      <c r="AZ41" s="64" t="s" ph="1">
        <v>614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410</v>
      </c>
      <c r="AY42" s="64" t="s" ph="1">
        <v>257</v>
      </c>
      <c r="AZ42" s="64" t="s" ph="1">
        <v>408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411</v>
      </c>
      <c r="AY43" s="64" t="s" ph="1">
        <v>257</v>
      </c>
      <c r="AZ43" s="64" t="s" ph="1">
        <v>408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412</v>
      </c>
      <c r="AV44" s="64" t="s" ph="1">
        <v>258</v>
      </c>
      <c r="AY44" s="64" t="s" ph="1">
        <v>257</v>
      </c>
      <c r="AZ44" s="64" t="s" ph="1">
        <v>408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413</v>
      </c>
      <c r="AV45" s="64" t="s" ph="1">
        <v>258</v>
      </c>
      <c r="AY45" s="64" t="s" ph="1">
        <v>257</v>
      </c>
      <c r="AZ45" s="64" t="s" ph="1">
        <v>408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414</v>
      </c>
      <c r="AV46" s="64" t="s" ph="1">
        <v>258</v>
      </c>
      <c r="AY46" s="64" t="s" ph="1">
        <v>257</v>
      </c>
      <c r="AZ46" s="64" t="s" ph="1">
        <v>408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415</v>
      </c>
      <c r="AV47" s="64" t="s" ph="1">
        <v>258</v>
      </c>
      <c r="AY47" s="64" t="s" ph="1">
        <v>257</v>
      </c>
      <c r="AZ47" s="64" t="s" ph="1">
        <v>408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616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273</v>
      </c>
      <c r="AI49" s="64" t="s" ph="1">
        <v>250</v>
      </c>
      <c r="AJ49" s="64" t="s" ph="1">
        <v>251</v>
      </c>
      <c r="AK49" s="64" t="s" ph="1">
        <v>252</v>
      </c>
      <c r="AM49" s="64" t="s" ph="1">
        <v>251</v>
      </c>
      <c r="AN49" s="64" t="s" ph="1">
        <v>252</v>
      </c>
      <c r="AO49" s="64" t="s" ph="1">
        <v>253</v>
      </c>
      <c r="AP49" s="64" t="s" ph="1">
        <v>251</v>
      </c>
      <c r="AQ49" s="64" t="s" ph="1">
        <v>252</v>
      </c>
      <c r="AR49" s="64" t="s" ph="1">
        <v>253</v>
      </c>
      <c r="AS49" s="64" t="s" ph="1">
        <v>251</v>
      </c>
      <c r="AT49" s="64" t="s" ph="1">
        <v>252</v>
      </c>
      <c r="AU49" s="64" t="s" ph="1">
        <v>253</v>
      </c>
      <c r="AV49" s="64" t="s" ph="1">
        <v>251</v>
      </c>
      <c r="AW49" s="64" t="s" ph="1">
        <v>252</v>
      </c>
      <c r="AX49" s="64" t="s" ph="1">
        <v>253</v>
      </c>
      <c r="AY49" s="64" t="s" ph="1">
        <v>252</v>
      </c>
      <c r="AZ49" s="64" t="s" ph="1">
        <v>254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416</v>
      </c>
      <c r="AY50" s="64" t="s" ph="1">
        <v>257</v>
      </c>
      <c r="AZ50" s="64" t="s" ph="1">
        <v>408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417</v>
      </c>
      <c r="AY51" s="64" t="s" ph="1">
        <v>257</v>
      </c>
      <c r="AZ51" s="64" t="s" ph="1">
        <v>408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418</v>
      </c>
      <c r="AJ52" s="64" t="s" ph="1">
        <v>375</v>
      </c>
      <c r="AK52" s="64" t="s" ph="1">
        <v>269</v>
      </c>
      <c r="AM52" s="64" t="s" ph="1">
        <v>377</v>
      </c>
      <c r="AN52" s="64" t="s" ph="1">
        <v>341</v>
      </c>
      <c r="AO52" s="64" t="s" ph="1">
        <v>274</v>
      </c>
      <c r="AP52" s="64" t="s" ph="1">
        <v>611</v>
      </c>
      <c r="AQ52" s="64" t="s" ph="1">
        <v>323</v>
      </c>
      <c r="AR52" s="64" t="s" ph="1">
        <v>274</v>
      </c>
      <c r="AY52" s="64" t="s" ph="1">
        <v>257</v>
      </c>
      <c r="AZ52" s="64" t="s" ph="1">
        <v>617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419</v>
      </c>
      <c r="AY53" s="64" t="s" ph="1">
        <v>257</v>
      </c>
      <c r="AZ53" s="64" t="s" ph="1">
        <v>408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420</v>
      </c>
      <c r="AJ54" s="64" t="s" ph="1">
        <v>375</v>
      </c>
      <c r="AK54" s="64" t="s" ph="1">
        <v>260</v>
      </c>
      <c r="AM54" s="64" t="s" ph="1">
        <v>377</v>
      </c>
      <c r="AN54" s="64" t="s" ph="1">
        <v>265</v>
      </c>
      <c r="AO54" s="64" t="s" ph="1">
        <v>274</v>
      </c>
      <c r="AP54" s="64" t="s" ph="1">
        <v>611</v>
      </c>
      <c r="AQ54" s="64" t="s" ph="1">
        <v>281</v>
      </c>
      <c r="AR54" s="64" t="s" ph="1">
        <v>274</v>
      </c>
      <c r="AY54" s="64" t="s" ph="1">
        <v>257</v>
      </c>
      <c r="AZ54" s="64" t="s" ph="1">
        <v>275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421</v>
      </c>
      <c r="AY55" s="64" t="s" ph="1">
        <v>257</v>
      </c>
      <c r="AZ55" s="64" t="s" ph="1">
        <v>408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422</v>
      </c>
      <c r="AY56" s="64" t="s" ph="1">
        <v>257</v>
      </c>
      <c r="AZ56" s="64" t="s" ph="1">
        <v>408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423</v>
      </c>
      <c r="AY57" s="64" t="s" ph="1">
        <v>257</v>
      </c>
      <c r="AZ57" s="64" t="s" ph="1">
        <v>408</v>
      </c>
    </row>
    <row r="58" spans="16:52" ph="1">
      <c r="P58" s="64"/>
      <c r="AN58" s="64" t="s" ph="1">
        <v>258</v>
      </c>
      <c r="AZ58" s="64" t="s" ph="1">
        <v>618</v>
      </c>
    </row>
    <row r="59" spans="16:52" ph="1">
      <c r="V59" s="64"/>
      <c r="AG59" s="64" t="s" ph="1">
        <v>276</v>
      </c>
      <c r="AI59" s="64" t="s" ph="1">
        <v>250</v>
      </c>
      <c r="AJ59" s="64" t="s" ph="1">
        <v>251</v>
      </c>
      <c r="AK59" s="64" t="s" ph="1">
        <v>252</v>
      </c>
      <c r="AM59" s="64" t="s" ph="1">
        <v>251</v>
      </c>
      <c r="AN59" s="64" t="s" ph="1">
        <v>252</v>
      </c>
      <c r="AO59" s="64" t="s" ph="1">
        <v>253</v>
      </c>
      <c r="AP59" s="64" t="s" ph="1">
        <v>251</v>
      </c>
      <c r="AQ59" s="64" t="s" ph="1">
        <v>252</v>
      </c>
      <c r="AR59" s="64" t="s" ph="1">
        <v>253</v>
      </c>
      <c r="AS59" s="64" t="s" ph="1">
        <v>251</v>
      </c>
      <c r="AT59" s="64" t="s" ph="1">
        <v>252</v>
      </c>
      <c r="AU59" s="64" t="s" ph="1">
        <v>253</v>
      </c>
      <c r="AV59" s="64" t="s" ph="1">
        <v>251</v>
      </c>
      <c r="AW59" s="64" t="s" ph="1">
        <v>252</v>
      </c>
      <c r="AX59" s="64" t="s" ph="1">
        <v>253</v>
      </c>
      <c r="AY59" s="64" t="s" ph="1">
        <v>252</v>
      </c>
      <c r="AZ59" s="64" t="s" ph="1">
        <v>254</v>
      </c>
    </row>
    <row r="60" spans="16:52" ph="1">
      <c r="R60" s="64"/>
      <c r="S60" s="64"/>
      <c r="T60" s="64"/>
      <c r="AH60" s="64" ph="1">
        <v>1</v>
      </c>
      <c r="AI60" s="64" t="s" ph="1">
        <v>424</v>
      </c>
      <c r="AY60" s="64" t="s" ph="1">
        <v>257</v>
      </c>
      <c r="AZ60" s="64" t="s" ph="1">
        <v>408</v>
      </c>
    </row>
    <row r="61" spans="16:52" ph="1">
      <c r="AH61" s="64" ph="1">
        <v>2</v>
      </c>
      <c r="AI61" s="64" t="s" ph="1">
        <v>425</v>
      </c>
      <c r="AS61" s="64" t="s" ph="1">
        <v>258</v>
      </c>
      <c r="AY61" s="64" t="s" ph="1">
        <v>257</v>
      </c>
      <c r="AZ61" s="64" t="s" ph="1">
        <v>408</v>
      </c>
    </row>
    <row r="62" spans="16:52" ph="1">
      <c r="AZ62" s="64" t="s" ph="1">
        <v>426</v>
      </c>
    </row>
    <row r="63" spans="16:52" ph="1">
      <c r="AG63" s="64" t="s" ph="1">
        <v>279</v>
      </c>
      <c r="AI63" s="64" t="s" ph="1">
        <v>250</v>
      </c>
      <c r="AJ63" s="64" t="s" ph="1">
        <v>251</v>
      </c>
      <c r="AK63" s="64" t="s" ph="1">
        <v>252</v>
      </c>
      <c r="AM63" s="64" t="s" ph="1">
        <v>251</v>
      </c>
      <c r="AN63" s="64" t="s" ph="1">
        <v>252</v>
      </c>
      <c r="AO63" s="64" t="s" ph="1">
        <v>253</v>
      </c>
      <c r="AP63" s="64" t="s" ph="1">
        <v>251</v>
      </c>
      <c r="AQ63" s="64" t="s" ph="1">
        <v>252</v>
      </c>
      <c r="AR63" s="64" t="s" ph="1">
        <v>253</v>
      </c>
      <c r="AS63" s="64" t="s" ph="1">
        <v>251</v>
      </c>
      <c r="AT63" s="64" t="s" ph="1">
        <v>252</v>
      </c>
      <c r="AU63" s="64" t="s" ph="1">
        <v>253</v>
      </c>
      <c r="AV63" s="64" t="s" ph="1">
        <v>251</v>
      </c>
      <c r="AW63" s="64" t="s" ph="1">
        <v>252</v>
      </c>
      <c r="AX63" s="64" t="s" ph="1">
        <v>253</v>
      </c>
      <c r="AY63" s="64" t="s" ph="1">
        <v>252</v>
      </c>
      <c r="AZ63" s="64" t="s" ph="1">
        <v>254</v>
      </c>
    </row>
    <row r="64" spans="16:52" ph="1">
      <c r="AH64" s="64" ph="1">
        <v>1</v>
      </c>
      <c r="AI64" s="64" t="s" ph="1">
        <v>427</v>
      </c>
      <c r="AJ64" s="64" t="s" ph="1">
        <v>428</v>
      </c>
      <c r="AK64" s="64" t="s" ph="1">
        <v>429</v>
      </c>
      <c r="AY64" s="64" t="s" ph="1">
        <v>257</v>
      </c>
      <c r="AZ64" s="64" t="s" ph="1">
        <v>429</v>
      </c>
    </row>
    <row r="65" spans="33:52" ph="1">
      <c r="AH65" s="64" ph="1">
        <v>2</v>
      </c>
      <c r="AI65" s="64" t="s" ph="1">
        <v>430</v>
      </c>
      <c r="AY65" s="64" t="s" ph="1">
        <v>257</v>
      </c>
      <c r="AZ65" s="64" t="s" ph="1">
        <v>408</v>
      </c>
    </row>
    <row r="66" spans="33:52" ph="1">
      <c r="AH66" s="64" ph="1">
        <v>3</v>
      </c>
      <c r="AI66" s="64" t="s" ph="1">
        <v>431</v>
      </c>
      <c r="AY66" s="64" t="s" ph="1">
        <v>257</v>
      </c>
      <c r="AZ66" s="64" t="s" ph="1">
        <v>408</v>
      </c>
    </row>
    <row r="67" spans="33:52" ph="1">
      <c r="AH67" s="64" ph="1">
        <v>4</v>
      </c>
      <c r="AI67" s="64" t="s" ph="1">
        <v>432</v>
      </c>
      <c r="AY67" s="64" t="s" ph="1">
        <v>257</v>
      </c>
      <c r="AZ67" s="64" t="s" ph="1">
        <v>408</v>
      </c>
    </row>
    <row r="68" spans="33:52" ph="1">
      <c r="AH68" s="64" ph="1">
        <v>5</v>
      </c>
      <c r="AI68" s="64" t="s" ph="1">
        <v>433</v>
      </c>
      <c r="AY68" s="64" t="s" ph="1">
        <v>257</v>
      </c>
      <c r="AZ68" s="64" t="s" ph="1">
        <v>408</v>
      </c>
    </row>
    <row r="69" spans="33:52" ph="1">
      <c r="AH69" s="64" ph="1">
        <v>6</v>
      </c>
      <c r="AI69" s="64" t="s" ph="1">
        <v>434</v>
      </c>
      <c r="AY69" s="64" t="s" ph="1">
        <v>257</v>
      </c>
      <c r="AZ69" s="64" t="s" ph="1">
        <v>408</v>
      </c>
    </row>
    <row r="70" spans="33:52" ph="1">
      <c r="AI70" s="64" t="s" ph="1">
        <v>435</v>
      </c>
      <c r="AY70" s="64" t="s" ph="1">
        <v>257</v>
      </c>
      <c r="AZ70" s="64" t="s" ph="1">
        <v>408</v>
      </c>
    </row>
    <row r="71" spans="33:52" ph="1">
      <c r="AH71" s="64" ph="1">
        <v>7</v>
      </c>
      <c r="AI71" s="64" t="s" ph="1">
        <v>436</v>
      </c>
      <c r="AJ71" s="64" t="s" ph="1">
        <v>375</v>
      </c>
      <c r="AK71" s="64" t="s" ph="1">
        <v>269</v>
      </c>
      <c r="AM71" s="64" t="s" ph="1">
        <v>377</v>
      </c>
      <c r="AN71" s="64" t="s" ph="1">
        <v>269</v>
      </c>
      <c r="AO71" s="64" t="s" ph="1">
        <v>437</v>
      </c>
      <c r="AP71" s="64" t="s" ph="1">
        <v>611</v>
      </c>
      <c r="AQ71" s="64" t="s" ph="1">
        <v>260</v>
      </c>
      <c r="AR71" s="64" t="s" ph="1">
        <v>437</v>
      </c>
      <c r="AY71" s="64" t="s" ph="1">
        <v>257</v>
      </c>
      <c r="AZ71" s="64" t="s" ph="1">
        <v>619</v>
      </c>
    </row>
    <row r="72" spans="33:52" ph="1">
      <c r="AZ72" s="64" t="s" ph="1">
        <v>620</v>
      </c>
    </row>
    <row r="73" spans="33:52" ph="1">
      <c r="AG73" s="64" t="s" ph="1">
        <v>282</v>
      </c>
      <c r="AI73" s="64" t="s" ph="1">
        <v>250</v>
      </c>
      <c r="AJ73" s="64" t="s" ph="1">
        <v>251</v>
      </c>
      <c r="AK73" s="64" t="s" ph="1">
        <v>252</v>
      </c>
      <c r="AM73" s="64" t="s" ph="1">
        <v>251</v>
      </c>
      <c r="AN73" s="64" t="s" ph="1">
        <v>252</v>
      </c>
      <c r="AO73" s="64" t="s" ph="1">
        <v>253</v>
      </c>
      <c r="AP73" s="64" t="s" ph="1">
        <v>251</v>
      </c>
      <c r="AQ73" s="64" t="s" ph="1">
        <v>252</v>
      </c>
      <c r="AR73" s="64" t="s" ph="1">
        <v>253</v>
      </c>
      <c r="AS73" s="64" t="s" ph="1">
        <v>251</v>
      </c>
      <c r="AT73" s="64" t="s" ph="1">
        <v>252</v>
      </c>
      <c r="AU73" s="64" t="s" ph="1">
        <v>253</v>
      </c>
      <c r="AV73" s="64" t="s" ph="1">
        <v>251</v>
      </c>
      <c r="AW73" s="64" t="s" ph="1">
        <v>252</v>
      </c>
      <c r="AX73" s="64" t="s" ph="1">
        <v>253</v>
      </c>
      <c r="AY73" s="64" t="s" ph="1">
        <v>252</v>
      </c>
      <c r="AZ73" s="64" t="s" ph="1">
        <v>254</v>
      </c>
    </row>
    <row r="74" spans="33:52" ph="1">
      <c r="AH74" s="64" ph="1">
        <v>1</v>
      </c>
      <c r="AI74" s="64" t="s" ph="1">
        <v>438</v>
      </c>
      <c r="AJ74" s="64" t="s" ph="1">
        <v>283</v>
      </c>
      <c r="AK74" s="64" t="s" ph="1">
        <v>265</v>
      </c>
      <c r="AM74" s="64" t="s" ph="1">
        <v>285</v>
      </c>
      <c r="AN74" s="64" t="s" ph="1">
        <v>295</v>
      </c>
      <c r="AO74" s="64" t="s" ph="1">
        <v>284</v>
      </c>
      <c r="AP74" s="64" t="s" ph="1">
        <v>286</v>
      </c>
      <c r="AQ74" s="64" t="s" ph="1">
        <v>263</v>
      </c>
      <c r="AR74" s="64" t="s" ph="1">
        <v>284</v>
      </c>
      <c r="AS74" s="64" t="s" ph="1">
        <v>256</v>
      </c>
      <c r="AT74" s="64" t="s" ph="1">
        <v>258</v>
      </c>
      <c r="AV74" s="64" t="s" ph="1">
        <v>439</v>
      </c>
      <c r="AW74" s="64" t="s" ph="1">
        <v>440</v>
      </c>
      <c r="AX74" s="64" t="s" ph="1">
        <v>441</v>
      </c>
      <c r="AY74" s="64" t="s" ph="1">
        <v>257</v>
      </c>
      <c r="AZ74" s="64" t="s" ph="1">
        <v>442</v>
      </c>
    </row>
    <row r="75" spans="33:52" ph="1">
      <c r="AJ75" s="64" t="s" ph="1">
        <v>288</v>
      </c>
      <c r="AK75" s="64" t="s" ph="1">
        <v>341</v>
      </c>
      <c r="AM75" s="64" t="s" ph="1">
        <v>286</v>
      </c>
      <c r="AN75" s="64" t="s" ph="1">
        <v>266</v>
      </c>
      <c r="AO75" s="64" t="s" ph="1">
        <v>284</v>
      </c>
      <c r="AS75" s="64" t="s" ph="1">
        <v>256</v>
      </c>
      <c r="AT75" s="64" t="s" ph="1">
        <v>287</v>
      </c>
    </row>
    <row r="76" spans="33:52" ph="1">
      <c r="AJ76" s="64" t="s" ph="1">
        <v>288</v>
      </c>
      <c r="AK76" s="64" t="s" ph="1">
        <v>281</v>
      </c>
      <c r="AM76" s="64" t="s" ph="1">
        <v>286</v>
      </c>
      <c r="AN76" s="64" t="s" ph="1">
        <v>269</v>
      </c>
      <c r="AO76" s="64" t="s" ph="1">
        <v>284</v>
      </c>
      <c r="AS76" s="64" t="s" ph="1">
        <v>256</v>
      </c>
      <c r="AT76" s="64" t="s" ph="1">
        <v>287</v>
      </c>
    </row>
    <row r="77" spans="33:52" ph="1">
      <c r="AJ77" s="64" t="s" ph="1">
        <v>324</v>
      </c>
      <c r="AK77" s="64" t="s" ph="1">
        <v>281</v>
      </c>
      <c r="AM77" s="64" t="s" ph="1">
        <v>325</v>
      </c>
      <c r="AN77" s="64" t="s" ph="1">
        <v>264</v>
      </c>
      <c r="AO77" s="64" t="s" ph="1">
        <v>284</v>
      </c>
      <c r="AS77" s="64" t="s" ph="1">
        <v>256</v>
      </c>
      <c r="AT77" s="64" t="s" ph="1">
        <v>326</v>
      </c>
    </row>
    <row r="78" spans="33:52" ph="1">
      <c r="AH78" s="64" ph="1">
        <v>2</v>
      </c>
      <c r="AI78" s="64" t="s" ph="1">
        <v>290</v>
      </c>
      <c r="AJ78" s="64" t="s" ph="1">
        <v>291</v>
      </c>
      <c r="AK78" s="64" t="s" ph="1">
        <v>260</v>
      </c>
      <c r="AM78" s="64" t="s" ph="1">
        <v>292</v>
      </c>
      <c r="AN78" s="64" t="s" ph="1">
        <v>295</v>
      </c>
      <c r="AO78" s="64" t="s" ph="1">
        <v>284</v>
      </c>
      <c r="AP78" s="64" t="s" ph="1">
        <v>293</v>
      </c>
      <c r="AQ78" s="64" t="s" ph="1">
        <v>339</v>
      </c>
      <c r="AR78" s="64" t="s" ph="1">
        <v>284</v>
      </c>
      <c r="AS78" s="64" t="s" ph="1">
        <v>294</v>
      </c>
      <c r="AT78" s="64" t="s" ph="1">
        <v>295</v>
      </c>
      <c r="AU78" s="64" t="s" ph="1">
        <v>284</v>
      </c>
      <c r="AV78" s="64" t="s" ph="1">
        <v>296</v>
      </c>
      <c r="AW78" s="64" t="s" ph="1">
        <v>284</v>
      </c>
      <c r="AY78" s="64" t="s" ph="1">
        <v>257</v>
      </c>
      <c r="AZ78" s="64" t="s" ph="1">
        <v>443</v>
      </c>
    </row>
    <row r="79" spans="33:52" ph="1">
      <c r="AJ79" s="64" t="s" ph="1">
        <v>286</v>
      </c>
      <c r="AK79" s="64" t="s" ph="1">
        <v>297</v>
      </c>
      <c r="AM79" s="64" t="s" ph="1">
        <v>298</v>
      </c>
      <c r="AN79" s="64" t="s" ph="1">
        <v>266</v>
      </c>
      <c r="AO79" s="64" t="s" ph="1">
        <v>284</v>
      </c>
      <c r="AP79" s="64" t="s" ph="1">
        <v>299</v>
      </c>
      <c r="AQ79" s="64" t="s" ph="1">
        <v>264</v>
      </c>
      <c r="AR79" s="64" t="s" ph="1">
        <v>300</v>
      </c>
      <c r="AS79" s="64" t="s" ph="1">
        <v>256</v>
      </c>
      <c r="AT79" s="64" t="s" ph="1">
        <v>301</v>
      </c>
      <c r="AV79" s="64" t="s" ph="1">
        <v>444</v>
      </c>
      <c r="AW79" s="64" t="s" ph="1">
        <v>343</v>
      </c>
      <c r="AX79" s="64" t="s" ph="1">
        <v>441</v>
      </c>
    </row>
    <row r="80" spans="33:52" ph="1">
      <c r="AH80" s="64" ph="1">
        <v>3</v>
      </c>
      <c r="AI80" s="64" t="s" ph="1">
        <v>302</v>
      </c>
      <c r="AJ80" s="64" t="s" ph="1">
        <v>303</v>
      </c>
      <c r="AK80" s="64" t="s" ph="1">
        <v>304</v>
      </c>
      <c r="AM80" s="64" t="s" ph="1">
        <v>305</v>
      </c>
      <c r="AN80" s="64" t="s" ph="1">
        <v>295</v>
      </c>
      <c r="AO80" s="64" t="s" ph="1">
        <v>284</v>
      </c>
      <c r="AP80" s="64" t="s" ph="1">
        <v>306</v>
      </c>
      <c r="AQ80" s="64" t="s" ph="1">
        <v>269</v>
      </c>
      <c r="AR80" s="64" t="s" ph="1">
        <v>284</v>
      </c>
      <c r="AS80" s="64" t="s" ph="1">
        <v>307</v>
      </c>
      <c r="AT80" s="64" t="s" ph="1">
        <v>268</v>
      </c>
      <c r="AU80" s="64" t="s" ph="1">
        <v>284</v>
      </c>
      <c r="AV80" s="64" t="s" ph="1">
        <v>308</v>
      </c>
      <c r="AW80" s="64" t="s" ph="1">
        <v>284</v>
      </c>
      <c r="AY80" s="64" t="s" ph="1">
        <v>257</v>
      </c>
      <c r="AZ80" s="64" t="s" ph="1">
        <v>445</v>
      </c>
    </row>
    <row r="81" spans="34:52" ph="1">
      <c r="AJ81" s="64" t="s" ph="1">
        <v>309</v>
      </c>
      <c r="AK81" s="64" t="s" ph="1">
        <v>263</v>
      </c>
      <c r="AM81" s="64" t="s" ph="1">
        <v>310</v>
      </c>
      <c r="AN81" s="64" t="s" ph="1">
        <v>266</v>
      </c>
      <c r="AO81" s="64" t="s" ph="1">
        <v>284</v>
      </c>
      <c r="AP81" s="64" t="s" ph="1">
        <v>311</v>
      </c>
      <c r="AQ81" s="64" t="s" ph="1">
        <v>295</v>
      </c>
      <c r="AR81" s="64" t="s" ph="1">
        <v>284</v>
      </c>
      <c r="AS81" s="64" t="s" ph="1">
        <v>312</v>
      </c>
      <c r="AT81" s="64" t="s" ph="1">
        <v>313</v>
      </c>
      <c r="AU81" s="64" t="s" ph="1">
        <v>284</v>
      </c>
      <c r="AV81" s="64" t="s" ph="1">
        <v>314</v>
      </c>
    </row>
    <row r="82" spans="34:52" ph="1">
      <c r="AJ82" s="64" t="s" ph="1">
        <v>315</v>
      </c>
      <c r="AK82" s="64" t="s" ph="1">
        <v>263</v>
      </c>
      <c r="AM82" s="64" t="s" ph="1">
        <v>316</v>
      </c>
      <c r="AN82" s="64" t="s" ph="1">
        <v>313</v>
      </c>
      <c r="AO82" s="64" t="s" ph="1">
        <v>317</v>
      </c>
      <c r="AP82" s="64" t="s" ph="1">
        <v>318</v>
      </c>
      <c r="AQ82" s="64" t="s" ph="1">
        <v>295</v>
      </c>
      <c r="AR82" s="64" t="s" ph="1">
        <v>284</v>
      </c>
      <c r="AS82" s="64" t="s" ph="1">
        <v>319</v>
      </c>
      <c r="AT82" s="64" t="s" ph="1">
        <v>270</v>
      </c>
      <c r="AU82" s="64" t="s" ph="1">
        <v>284</v>
      </c>
      <c r="AV82" s="64" t="s" ph="1">
        <v>444</v>
      </c>
      <c r="AW82" s="64" t="s" ph="1">
        <v>344</v>
      </c>
      <c r="AX82" s="64" t="s" ph="1">
        <v>441</v>
      </c>
    </row>
    <row r="83" spans="34:52" ph="1">
      <c r="AJ83" s="64" t="s" ph="1">
        <v>320</v>
      </c>
      <c r="AK83" s="64" t="s" ph="1">
        <v>337</v>
      </c>
      <c r="AM83" s="64" t="s" ph="1">
        <v>321</v>
      </c>
      <c r="AN83" s="64" t="s" ph="1">
        <v>269</v>
      </c>
      <c r="AO83" s="64" t="s" ph="1">
        <v>300</v>
      </c>
      <c r="AP83" s="64" t="s" ph="1">
        <v>322</v>
      </c>
      <c r="AQ83" s="64" t="s" ph="1">
        <v>323</v>
      </c>
      <c r="AR83" s="64" t="s" ph="1">
        <v>300</v>
      </c>
      <c r="AS83" s="64" t="s" ph="1">
        <v>446</v>
      </c>
      <c r="AT83" s="64" t="s" ph="1">
        <v>295</v>
      </c>
      <c r="AU83" s="64" t="s" ph="1">
        <v>300</v>
      </c>
      <c r="AV83" s="64" t="s" ph="1">
        <v>447</v>
      </c>
      <c r="AW83" s="64" t="s" ph="1">
        <v>344</v>
      </c>
      <c r="AX83" s="64" t="s" ph="1">
        <v>448</v>
      </c>
    </row>
    <row r="84" spans="34:52" ph="1">
      <c r="AH84" s="64" ph="1">
        <v>4</v>
      </c>
      <c r="AI84" s="64" t="s" ph="1">
        <v>327</v>
      </c>
      <c r="AJ84" s="64" t="s" ph="1">
        <v>267</v>
      </c>
      <c r="AK84" s="64" t="s" ph="1">
        <v>270</v>
      </c>
      <c r="AM84" s="64" t="s" ph="1">
        <v>271</v>
      </c>
      <c r="AN84" s="64" t="s" ph="1">
        <v>264</v>
      </c>
      <c r="AO84" s="64" t="s" ph="1">
        <v>300</v>
      </c>
      <c r="AP84" s="64" t="s" ph="1">
        <v>329</v>
      </c>
      <c r="AQ84" s="64" t="s" ph="1">
        <v>263</v>
      </c>
      <c r="AR84" s="64" t="s" ph="1">
        <v>300</v>
      </c>
      <c r="AS84" s="64" t="s" ph="1">
        <v>329</v>
      </c>
      <c r="AT84" s="64" t="s" ph="1">
        <v>265</v>
      </c>
      <c r="AU84" s="64" t="s" ph="1">
        <v>300</v>
      </c>
      <c r="AY84" s="64" t="s" ph="1">
        <v>257</v>
      </c>
      <c r="AZ84" s="64" t="s" ph="1">
        <v>449</v>
      </c>
    </row>
    <row r="85" spans="34:52" ph="1">
      <c r="AJ85" s="64" t="s" ph="1">
        <v>259</v>
      </c>
      <c r="AK85" s="64" t="s" ph="1">
        <v>263</v>
      </c>
      <c r="AM85" s="64" t="s" ph="1">
        <v>450</v>
      </c>
      <c r="AN85" s="64" t="s" ph="1">
        <v>270</v>
      </c>
      <c r="AO85" s="64" t="s" ph="1">
        <v>300</v>
      </c>
      <c r="AP85" s="64" t="s" ph="1">
        <v>451</v>
      </c>
      <c r="AQ85" s="64" t="s" ph="1">
        <v>266</v>
      </c>
      <c r="AR85" s="64" t="s" ph="1">
        <v>300</v>
      </c>
      <c r="AS85" s="64" t="s" ph="1">
        <v>452</v>
      </c>
      <c r="AT85" s="64" t="s" ph="1">
        <v>266</v>
      </c>
      <c r="AU85" s="64" t="s" ph="1">
        <v>300</v>
      </c>
    </row>
    <row r="86" spans="34:52" ph="1">
      <c r="AJ86" s="64" t="s" ph="1">
        <v>453</v>
      </c>
      <c r="AK86" s="64" t="s" ph="1">
        <v>272</v>
      </c>
      <c r="AM86" s="64" t="s" ph="1">
        <v>454</v>
      </c>
      <c r="AN86" s="64" t="s" ph="1">
        <v>313</v>
      </c>
      <c r="AO86" s="64" t="s" ph="1">
        <v>300</v>
      </c>
      <c r="AP86" s="64" t="s" ph="1">
        <v>455</v>
      </c>
      <c r="AQ86" s="64" t="s" ph="1">
        <v>260</v>
      </c>
      <c r="AR86" s="64" t="s" ph="1">
        <v>300</v>
      </c>
      <c r="AS86" s="64" t="s" ph="1">
        <v>456</v>
      </c>
      <c r="AT86" s="64" t="s" ph="1">
        <v>278</v>
      </c>
      <c r="AU86" s="64" t="s" ph="1">
        <v>300</v>
      </c>
    </row>
    <row r="87" spans="34:52" ph="1">
      <c r="AJ87" s="64" t="s" ph="1">
        <v>457</v>
      </c>
      <c r="AK87" s="64" t="s" ph="1">
        <v>313</v>
      </c>
      <c r="AM87" s="64" t="s" ph="1">
        <v>444</v>
      </c>
      <c r="AN87" s="64" t="s" ph="1">
        <v>458</v>
      </c>
      <c r="AO87" s="64" t="s" ph="1">
        <v>441</v>
      </c>
    </row>
    <row r="88" spans="34:52" ph="1">
      <c r="AH88" s="64" ph="1">
        <v>5</v>
      </c>
      <c r="AI88" s="64" t="s" ph="1">
        <v>330</v>
      </c>
      <c r="AJ88" s="64" t="s" ph="1">
        <v>459</v>
      </c>
      <c r="AK88" s="64" t="s" ph="1">
        <v>313</v>
      </c>
      <c r="AM88" s="64" t="s" ph="1">
        <v>460</v>
      </c>
      <c r="AN88" s="64" t="s" ph="1">
        <v>313</v>
      </c>
      <c r="AO88" s="64" t="s" ph="1">
        <v>300</v>
      </c>
      <c r="AP88" s="64" t="s" ph="1">
        <v>461</v>
      </c>
      <c r="AQ88" s="64" t="s" ph="1">
        <v>263</v>
      </c>
      <c r="AR88" s="64" t="s" ph="1">
        <v>300</v>
      </c>
      <c r="AS88" s="64" t="s" ph="1">
        <v>462</v>
      </c>
      <c r="AT88" s="64" t="s" ph="1">
        <v>313</v>
      </c>
      <c r="AU88" s="64" t="s" ph="1">
        <v>300</v>
      </c>
      <c r="AV88" s="64" t="s" ph="1">
        <v>463</v>
      </c>
      <c r="AW88" s="64" t="s" ph="1">
        <v>268</v>
      </c>
      <c r="AX88" s="64" t="s" ph="1">
        <v>300</v>
      </c>
      <c r="AY88" s="64" t="s" ph="1">
        <v>257</v>
      </c>
      <c r="AZ88" s="64" t="s" ph="1">
        <v>464</v>
      </c>
    </row>
    <row r="89" spans="34:52" ph="1">
      <c r="AJ89" s="64" t="s" ph="1">
        <v>465</v>
      </c>
      <c r="AK89" s="64" t="s" ph="1">
        <v>266</v>
      </c>
      <c r="AM89" s="64" t="s" ph="1">
        <v>466</v>
      </c>
      <c r="AN89" s="64" t="s" ph="1">
        <v>269</v>
      </c>
      <c r="AO89" s="64" t="s" ph="1">
        <v>300</v>
      </c>
      <c r="AP89" s="64" t="s" ph="1">
        <v>467</v>
      </c>
      <c r="AQ89" s="64" t="s" ph="1">
        <v>278</v>
      </c>
      <c r="AR89" s="64" t="s" ph="1">
        <v>300</v>
      </c>
      <c r="AS89" s="64" t="s" ph="1">
        <v>468</v>
      </c>
      <c r="AT89" s="64" t="s" ph="1">
        <v>313</v>
      </c>
      <c r="AU89" s="64" t="s" ph="1">
        <v>300</v>
      </c>
      <c r="AV89" s="64" t="s" ph="1">
        <v>469</v>
      </c>
      <c r="AW89" s="64" t="s" ph="1">
        <v>295</v>
      </c>
      <c r="AX89" s="64" t="s" ph="1">
        <v>328</v>
      </c>
    </row>
    <row r="90" spans="34:52" ph="1">
      <c r="AJ90" s="64" t="s" ph="1">
        <v>470</v>
      </c>
      <c r="AK90" s="64" t="s" ph="1">
        <v>269</v>
      </c>
      <c r="AM90" s="64" t="s" ph="1">
        <v>471</v>
      </c>
      <c r="AN90" s="64" t="s" ph="1">
        <v>266</v>
      </c>
      <c r="AO90" s="64" t="s" ph="1">
        <v>300</v>
      </c>
      <c r="AP90" s="64" t="s" ph="1">
        <v>472</v>
      </c>
      <c r="AQ90" s="64" t="s" ph="1">
        <v>335</v>
      </c>
      <c r="AR90" s="64" t="s" ph="1">
        <v>300</v>
      </c>
      <c r="AS90" s="64" t="s" ph="1">
        <v>473</v>
      </c>
      <c r="AT90" s="64" t="s" ph="1">
        <v>323</v>
      </c>
      <c r="AU90" s="64" t="s" ph="1">
        <v>300</v>
      </c>
      <c r="AV90" s="64" t="s" ph="1">
        <v>474</v>
      </c>
      <c r="AW90" s="64" t="s" ph="1">
        <v>260</v>
      </c>
      <c r="AX90" s="64" t="s" ph="1">
        <v>300</v>
      </c>
    </row>
    <row r="91" spans="34:52" ph="1">
      <c r="AJ91" s="64" t="s" ph="1">
        <v>475</v>
      </c>
      <c r="AK91" s="64" t="s" ph="1">
        <v>313</v>
      </c>
      <c r="AM91" s="64" t="s" ph="1">
        <v>476</v>
      </c>
      <c r="AN91" s="64" t="s" ph="1">
        <v>280</v>
      </c>
      <c r="AO91" s="64" t="s" ph="1">
        <v>300</v>
      </c>
      <c r="AP91" s="64" t="s" ph="1">
        <v>477</v>
      </c>
      <c r="AQ91" s="64" t="s" ph="1">
        <v>260</v>
      </c>
      <c r="AS91" s="64" t="s" ph="1">
        <v>444</v>
      </c>
      <c r="AT91" s="64" t="s" ph="1">
        <v>440</v>
      </c>
      <c r="AU91" s="64" t="s" ph="1">
        <v>441</v>
      </c>
    </row>
    <row r="92" spans="34:52" ph="1">
      <c r="AH92" s="64" ph="1">
        <v>6</v>
      </c>
      <c r="AI92" s="64" t="s" ph="1">
        <v>478</v>
      </c>
      <c r="AJ92" s="64" t="s" ph="1">
        <v>479</v>
      </c>
      <c r="AK92" s="64" t="s" ph="1">
        <v>408</v>
      </c>
      <c r="AM92" s="64" t="s" ph="1">
        <v>480</v>
      </c>
      <c r="AN92" s="64" t="s" ph="1">
        <v>268</v>
      </c>
      <c r="AO92" s="64" t="s" ph="1">
        <v>300</v>
      </c>
      <c r="AP92" s="64" t="s" ph="1">
        <v>481</v>
      </c>
      <c r="AQ92" s="64" t="s" ph="1">
        <v>340</v>
      </c>
      <c r="AR92" s="64" t="s" ph="1">
        <v>300</v>
      </c>
      <c r="AS92" s="64" t="s" ph="1">
        <v>482</v>
      </c>
      <c r="AT92" s="64" t="s" ph="1">
        <v>313</v>
      </c>
      <c r="AU92" s="64" t="s" ph="1">
        <v>300</v>
      </c>
      <c r="AV92" s="64" t="s" ph="1">
        <v>483</v>
      </c>
      <c r="AW92" s="64" t="s" ph="1">
        <v>269</v>
      </c>
      <c r="AX92" s="64" t="s" ph="1">
        <v>300</v>
      </c>
      <c r="AY92" s="64" t="s" ph="1">
        <v>257</v>
      </c>
      <c r="AZ92" s="64" t="s" ph="1">
        <v>464</v>
      </c>
    </row>
    <row r="93" spans="34:52" ph="1">
      <c r="AJ93" s="64" t="s" ph="1">
        <v>484</v>
      </c>
      <c r="AK93" s="64" t="s" ph="1">
        <v>263</v>
      </c>
      <c r="AM93" s="64" t="s" ph="1">
        <v>485</v>
      </c>
      <c r="AN93" s="64" t="s" ph="1">
        <v>268</v>
      </c>
      <c r="AO93" s="64" t="s" ph="1">
        <v>300</v>
      </c>
      <c r="AP93" s="64" t="s" ph="1">
        <v>486</v>
      </c>
      <c r="AQ93" s="64" t="s" ph="1">
        <v>272</v>
      </c>
      <c r="AR93" s="64" t="s" ph="1">
        <v>300</v>
      </c>
      <c r="AS93" s="64" t="s" ph="1">
        <v>487</v>
      </c>
      <c r="AT93" s="64" t="s" ph="1">
        <v>278</v>
      </c>
      <c r="AU93" s="64" t="s" ph="1">
        <v>300</v>
      </c>
      <c r="AV93" s="64" t="s" ph="1">
        <v>488</v>
      </c>
      <c r="AW93" s="64" t="s" ph="1">
        <v>272</v>
      </c>
      <c r="AX93" s="64" t="s" ph="1">
        <v>300</v>
      </c>
    </row>
    <row r="94" spans="34:52" ph="1">
      <c r="AJ94" s="64" t="s" ph="1">
        <v>489</v>
      </c>
      <c r="AK94" s="64" t="s" ph="1">
        <v>335</v>
      </c>
      <c r="AM94" s="64" t="s" ph="1">
        <v>490</v>
      </c>
      <c r="AN94" s="64" t="s" ph="1">
        <v>272</v>
      </c>
      <c r="AO94" s="64" t="s" ph="1">
        <v>300</v>
      </c>
      <c r="AP94" s="64" t="s" ph="1">
        <v>491</v>
      </c>
      <c r="AQ94" s="64" t="s" ph="1">
        <v>280</v>
      </c>
      <c r="AR94" s="64" t="s" ph="1">
        <v>300</v>
      </c>
      <c r="AS94" s="64" t="s" ph="1">
        <v>492</v>
      </c>
      <c r="AT94" s="64" t="s" ph="1">
        <v>266</v>
      </c>
      <c r="AU94" s="64" t="s" ph="1">
        <v>300</v>
      </c>
      <c r="AV94" s="64" t="s" ph="1">
        <v>493</v>
      </c>
      <c r="AW94" s="64" t="s" ph="1">
        <v>266</v>
      </c>
      <c r="AX94" s="64" t="s" ph="1">
        <v>300</v>
      </c>
    </row>
    <row r="95" spans="34:52" ph="1">
      <c r="AJ95" s="64" t="s" ph="1">
        <v>494</v>
      </c>
      <c r="AK95" s="64" t="s" ph="1">
        <v>340</v>
      </c>
    </row>
    <row r="96" spans="34:52" ph="1">
      <c r="AH96" s="64" ph="1">
        <v>7</v>
      </c>
      <c r="AI96" s="64" t="s" ph="1">
        <v>495</v>
      </c>
      <c r="AJ96" s="64" t="s" ph="1">
        <v>494</v>
      </c>
      <c r="AK96" s="64" t="s" ph="1">
        <v>295</v>
      </c>
      <c r="AM96" s="64" t="s" ph="1">
        <v>496</v>
      </c>
      <c r="AN96" s="64" t="s" ph="1">
        <v>269</v>
      </c>
      <c r="AO96" s="64" t="s" ph="1">
        <v>300</v>
      </c>
      <c r="AP96" s="64" t="s" ph="1">
        <v>497</v>
      </c>
      <c r="AQ96" s="64" t="s" ph="1">
        <v>313</v>
      </c>
      <c r="AR96" s="64" t="s" ph="1">
        <v>328</v>
      </c>
      <c r="AS96" s="64" t="s" ph="1">
        <v>498</v>
      </c>
      <c r="AT96" s="64" t="s" ph="1">
        <v>272</v>
      </c>
      <c r="AU96" s="64" t="s" ph="1">
        <v>328</v>
      </c>
      <c r="AV96" s="64" t="s" ph="1">
        <v>499</v>
      </c>
      <c r="AW96" s="64" t="s" ph="1">
        <v>268</v>
      </c>
      <c r="AX96" s="64" t="s" ph="1">
        <v>328</v>
      </c>
      <c r="AY96" s="64" t="s" ph="1">
        <v>257</v>
      </c>
      <c r="AZ96" s="64" t="s" ph="1">
        <v>500</v>
      </c>
    </row>
    <row r="97" spans="33:52" ph="1">
      <c r="AJ97" s="64" t="s" ph="1">
        <v>501</v>
      </c>
      <c r="AK97" s="64" t="s" ph="1">
        <v>323</v>
      </c>
      <c r="AM97" s="64" t="s" ph="1">
        <v>502</v>
      </c>
      <c r="AN97" s="64" t="s" ph="1">
        <v>266</v>
      </c>
      <c r="AO97" s="64" t="s" ph="1">
        <v>300</v>
      </c>
      <c r="AP97" s="64" t="s" ph="1">
        <v>503</v>
      </c>
      <c r="AQ97" s="64" t="s" ph="1">
        <v>260</v>
      </c>
      <c r="AR97" s="64" t="s" ph="1">
        <v>328</v>
      </c>
      <c r="AS97" s="64" t="s" ph="1">
        <v>504</v>
      </c>
      <c r="AT97" s="64" t="s" ph="1">
        <v>263</v>
      </c>
      <c r="AU97" s="64" t="s" ph="1">
        <v>328</v>
      </c>
      <c r="AV97" s="64" t="s" ph="1">
        <v>505</v>
      </c>
      <c r="AW97" s="64" t="s" ph="1">
        <v>269</v>
      </c>
      <c r="AX97" s="64" t="s" ph="1">
        <v>328</v>
      </c>
    </row>
    <row r="98" spans="33:52" ph="1">
      <c r="AJ98" s="64" t="s" ph="1">
        <v>506</v>
      </c>
      <c r="AK98" s="64" t="s" ph="1">
        <v>272</v>
      </c>
      <c r="AM98" s="64" t="s" ph="1">
        <v>507</v>
      </c>
      <c r="AN98" s="64" t="s" ph="1">
        <v>280</v>
      </c>
      <c r="AO98" s="64" t="s" ph="1">
        <v>300</v>
      </c>
      <c r="AP98" s="64" t="s" ph="1">
        <v>508</v>
      </c>
      <c r="AQ98" s="64" t="s" ph="1">
        <v>260</v>
      </c>
      <c r="AR98" s="64" t="s" ph="1">
        <v>328</v>
      </c>
      <c r="AS98" s="64" t="s" ph="1">
        <v>509</v>
      </c>
      <c r="AT98" s="64" t="s" ph="1">
        <v>340</v>
      </c>
      <c r="AU98" s="64" t="s" ph="1">
        <v>328</v>
      </c>
      <c r="AV98" s="64" t="s" ph="1">
        <v>510</v>
      </c>
      <c r="AW98" s="64" t="s" ph="1">
        <v>263</v>
      </c>
      <c r="AX98" s="64" t="s" ph="1">
        <v>328</v>
      </c>
    </row>
    <row r="99" spans="33:52" ph="1">
      <c r="AH99" s="64" ph="1">
        <v>8</v>
      </c>
      <c r="AI99" s="64" t="s" ph="1">
        <v>511</v>
      </c>
      <c r="AJ99" s="64" t="s" ph="1">
        <v>512</v>
      </c>
      <c r="AK99" s="64" t="s" ph="1">
        <v>408</v>
      </c>
      <c r="AM99" s="64" t="s" ph="1">
        <v>513</v>
      </c>
      <c r="AN99" s="64" t="s" ph="1">
        <v>295</v>
      </c>
      <c r="AO99" s="64" t="s" ph="1">
        <v>300</v>
      </c>
      <c r="AP99" s="64" t="s" ph="1">
        <v>514</v>
      </c>
      <c r="AQ99" s="64" t="s" ph="1">
        <v>265</v>
      </c>
      <c r="AR99" s="64" t="s" ph="1">
        <v>328</v>
      </c>
      <c r="AS99" s="64" t="s" ph="1">
        <v>515</v>
      </c>
      <c r="AT99" s="64" t="s" ph="1">
        <v>280</v>
      </c>
      <c r="AU99" s="64" t="s" ph="1">
        <v>328</v>
      </c>
      <c r="AV99" s="64" t="s" ph="1">
        <v>516</v>
      </c>
      <c r="AW99" s="64" t="s" ph="1">
        <v>265</v>
      </c>
      <c r="AX99" s="64" t="s" ph="1">
        <v>328</v>
      </c>
      <c r="AY99" s="64" t="s" ph="1">
        <v>257</v>
      </c>
      <c r="AZ99" s="64" t="s" ph="1">
        <v>517</v>
      </c>
    </row>
    <row r="100" spans="33:52" ph="1">
      <c r="AJ100" s="64" t="s" ph="1">
        <v>518</v>
      </c>
      <c r="AK100" s="64" t="s" ph="1">
        <v>263</v>
      </c>
      <c r="AM100" s="64" t="s" ph="1">
        <v>519</v>
      </c>
      <c r="AN100" s="64" t="s" ph="1">
        <v>335</v>
      </c>
      <c r="AO100" s="64" t="s" ph="1">
        <v>300</v>
      </c>
      <c r="AP100" s="64" t="s" ph="1">
        <v>520</v>
      </c>
      <c r="AQ100" s="64" t="s" ph="1">
        <v>341</v>
      </c>
      <c r="AR100" s="64" t="s" ph="1">
        <v>328</v>
      </c>
      <c r="AS100" s="64" t="s" ph="1">
        <v>521</v>
      </c>
      <c r="AT100" s="64" t="s" ph="1">
        <v>408</v>
      </c>
      <c r="AU100" s="64" t="s" ph="1">
        <v>300</v>
      </c>
      <c r="AV100" s="64" t="s" ph="1">
        <v>522</v>
      </c>
      <c r="AW100" s="64" t="s" ph="1">
        <v>408</v>
      </c>
      <c r="AX100" s="64" t="s" ph="1">
        <v>300</v>
      </c>
    </row>
    <row r="101" spans="33:52" ph="1">
      <c r="AJ101" s="64" t="s" ph="1">
        <v>523</v>
      </c>
      <c r="AK101" s="64" t="s" ph="1">
        <v>408</v>
      </c>
      <c r="AM101" s="64" t="s" ph="1">
        <v>524</v>
      </c>
      <c r="AN101" s="64" t="s" ph="1">
        <v>266</v>
      </c>
      <c r="AO101" s="64" t="s" ph="1">
        <v>300</v>
      </c>
      <c r="AP101" s="64" t="s" ph="1">
        <v>525</v>
      </c>
      <c r="AQ101" s="64" t="s" ph="1">
        <v>278</v>
      </c>
      <c r="AR101" s="64" t="s" ph="1">
        <v>328</v>
      </c>
      <c r="AS101" s="64" t="s" ph="1">
        <v>526</v>
      </c>
      <c r="AT101" s="64" t="s" ph="1">
        <v>335</v>
      </c>
      <c r="AU101" s="64" t="s" ph="1">
        <v>328</v>
      </c>
      <c r="AV101" s="64" t="s" ph="1">
        <v>527</v>
      </c>
      <c r="AW101" s="64" t="s" ph="1">
        <v>266</v>
      </c>
      <c r="AX101" s="64" t="s" ph="1">
        <v>300</v>
      </c>
    </row>
    <row r="102" spans="33:52" ph="1">
      <c r="AJ102" s="64" t="s" ph="1">
        <v>528</v>
      </c>
      <c r="AK102" s="64" t="s" ph="1">
        <v>263</v>
      </c>
      <c r="AM102" s="64" t="s" ph="1">
        <v>529</v>
      </c>
      <c r="AN102" s="64" t="s" ph="1">
        <v>272</v>
      </c>
      <c r="AO102" s="64" t="s" ph="1">
        <v>300</v>
      </c>
      <c r="AP102" s="64" t="s" ph="1">
        <v>530</v>
      </c>
      <c r="AQ102" s="64" t="s" ph="1">
        <v>278</v>
      </c>
      <c r="AR102" s="64" t="s" ph="1">
        <v>300</v>
      </c>
      <c r="AS102" s="64" t="s" ph="1">
        <v>531</v>
      </c>
      <c r="AT102" s="64" t="s" ph="1">
        <v>295</v>
      </c>
      <c r="AU102" s="64" t="s" ph="1">
        <v>300</v>
      </c>
      <c r="AV102" s="64" t="s" ph="1">
        <v>532</v>
      </c>
      <c r="AW102" s="64" t="s" ph="1">
        <v>313</v>
      </c>
      <c r="AX102" s="64" t="s" ph="1">
        <v>300</v>
      </c>
    </row>
    <row r="103" spans="33:52" ph="1">
      <c r="AH103" s="64" ph="1">
        <v>9</v>
      </c>
      <c r="AI103" s="64" t="s" ph="1">
        <v>533</v>
      </c>
      <c r="AJ103" s="64" t="s" ph="1">
        <v>534</v>
      </c>
      <c r="AK103" s="64" t="s" ph="1">
        <v>408</v>
      </c>
      <c r="AM103" s="64" t="s" ph="1">
        <v>535</v>
      </c>
      <c r="AN103" s="64" t="s" ph="1">
        <v>323</v>
      </c>
      <c r="AO103" s="64" t="s" ph="1">
        <v>300</v>
      </c>
      <c r="AP103" s="64" t="s" ph="1">
        <v>377</v>
      </c>
      <c r="AQ103" s="64" t="s" ph="1">
        <v>266</v>
      </c>
      <c r="AR103" s="64" t="s" ph="1">
        <v>300</v>
      </c>
      <c r="AS103" s="64" t="s" ph="1">
        <v>611</v>
      </c>
      <c r="AT103" s="64" t="s" ph="1">
        <v>408</v>
      </c>
      <c r="AU103" s="64" t="s" ph="1">
        <v>300</v>
      </c>
      <c r="AY103" s="64" t="s" ph="1">
        <v>257</v>
      </c>
      <c r="AZ103" s="64" t="s" ph="1">
        <v>265</v>
      </c>
    </row>
    <row r="104" spans="33:52" ph="1">
      <c r="AZ104" s="64" t="s" ph="1">
        <v>536</v>
      </c>
    </row>
    <row r="105" spans="33:52" ph="1">
      <c r="AG105" s="64" t="s" ph="1">
        <v>336</v>
      </c>
      <c r="AI105" s="64" t="s" ph="1">
        <v>250</v>
      </c>
      <c r="AJ105" s="64" t="s" ph="1">
        <v>251</v>
      </c>
      <c r="AK105" s="64" t="s" ph="1">
        <v>252</v>
      </c>
      <c r="AM105" s="64" t="s" ph="1">
        <v>251</v>
      </c>
      <c r="AN105" s="64" t="s" ph="1">
        <v>252</v>
      </c>
      <c r="AO105" s="64" t="s" ph="1">
        <v>253</v>
      </c>
      <c r="AP105" s="64" t="s" ph="1">
        <v>251</v>
      </c>
      <c r="AQ105" s="64" t="s" ph="1">
        <v>252</v>
      </c>
      <c r="AR105" s="64" t="s" ph="1">
        <v>253</v>
      </c>
      <c r="AS105" s="64" t="s" ph="1">
        <v>251</v>
      </c>
      <c r="AT105" s="64" t="s" ph="1">
        <v>252</v>
      </c>
      <c r="AU105" s="64" t="s" ph="1">
        <v>253</v>
      </c>
      <c r="AV105" s="64" t="s" ph="1">
        <v>251</v>
      </c>
      <c r="AW105" s="64" t="s" ph="1">
        <v>252</v>
      </c>
      <c r="AX105" s="64" t="s" ph="1">
        <v>253</v>
      </c>
      <c r="AZ105" s="64" t="s" ph="1">
        <v>254</v>
      </c>
    </row>
    <row r="106" spans="33:52" ph="1">
      <c r="AH106" s="64" ph="1">
        <v>1</v>
      </c>
      <c r="AI106" s="64" t="s" ph="1">
        <v>537</v>
      </c>
      <c r="AJ106" s="64" t="s" ph="1">
        <v>611</v>
      </c>
      <c r="AK106" s="64" t="s" ph="1">
        <v>272</v>
      </c>
      <c r="AZ106" s="64" t="s" ph="1">
        <v>272</v>
      </c>
    </row>
    <row r="107" spans="33:52" ph="1">
      <c r="AH107" s="64" ph="1">
        <v>2</v>
      </c>
      <c r="AI107" s="64" t="s" ph="1">
        <v>538</v>
      </c>
      <c r="AJ107" s="64" t="s" ph="1">
        <v>539</v>
      </c>
      <c r="AK107" s="64" t="s" ph="1">
        <v>269</v>
      </c>
      <c r="AM107" s="64" t="s" ph="1">
        <v>375</v>
      </c>
      <c r="AN107" s="64" t="s" ph="1">
        <v>540</v>
      </c>
      <c r="AO107" s="64" t="s" ph="1">
        <v>541</v>
      </c>
      <c r="AP107" s="64" t="s" ph="1">
        <v>377</v>
      </c>
      <c r="AQ107" s="64" t="s" ph="1">
        <v>345</v>
      </c>
      <c r="AR107" s="64" t="s" ph="1">
        <v>541</v>
      </c>
      <c r="AS107" s="64" t="s" ph="1">
        <v>611</v>
      </c>
      <c r="AT107" s="64" t="s" ph="1">
        <v>540</v>
      </c>
      <c r="AU107" s="64" t="s" ph="1">
        <v>541</v>
      </c>
      <c r="AY107" s="64" t="s" ph="1">
        <v>257</v>
      </c>
      <c r="AZ107" s="64" t="s" ph="1">
        <v>621</v>
      </c>
    </row>
    <row r="108" spans="33:52" ph="1">
      <c r="AH108" s="64" ph="1">
        <v>3</v>
      </c>
      <c r="AI108" s="64" t="s" ph="1">
        <v>542</v>
      </c>
      <c r="AY108" s="64" t="s" ph="1">
        <v>257</v>
      </c>
      <c r="AZ108" s="64" t="s" ph="1">
        <v>408</v>
      </c>
    </row>
    <row r="109" spans="33:52" ph="1">
      <c r="AH109" s="64" ph="1">
        <v>4</v>
      </c>
      <c r="AI109" s="64" t="s" ph="1">
        <v>543</v>
      </c>
      <c r="AY109" s="64" t="s" ph="1">
        <v>257</v>
      </c>
      <c r="AZ109" s="64" t="s" ph="1">
        <v>408</v>
      </c>
    </row>
    <row r="110" spans="33:52" ph="1">
      <c r="AH110" s="64" ph="1">
        <v>5</v>
      </c>
      <c r="AI110" s="64" t="s" ph="1">
        <v>544</v>
      </c>
      <c r="AY110" s="64" t="s" ph="1">
        <v>257</v>
      </c>
      <c r="AZ110" s="64" t="s" ph="1">
        <v>408</v>
      </c>
    </row>
    <row r="111" spans="33:52" ph="1">
      <c r="AH111" s="64" ph="1">
        <v>6</v>
      </c>
      <c r="AI111" s="64" t="s" ph="1">
        <v>622</v>
      </c>
      <c r="AJ111" s="64" t="s" ph="1">
        <v>527</v>
      </c>
      <c r="AK111" s="64" t="s" ph="1">
        <v>266</v>
      </c>
      <c r="AM111" s="64" t="s" ph="1">
        <v>528</v>
      </c>
      <c r="AN111" s="64" t="s" ph="1">
        <v>260</v>
      </c>
      <c r="AO111" s="64" t="s" ph="1">
        <v>541</v>
      </c>
      <c r="AP111" s="64" t="s" ph="1">
        <v>529</v>
      </c>
      <c r="AQ111" s="64" t="s" ph="1">
        <v>269</v>
      </c>
      <c r="AR111" s="64" t="s" ph="1">
        <v>541</v>
      </c>
      <c r="AS111" s="64" t="s" ph="1">
        <v>530</v>
      </c>
      <c r="AT111" s="64" t="s" ph="1">
        <v>278</v>
      </c>
      <c r="AU111" s="64" t="s" ph="1">
        <v>541</v>
      </c>
      <c r="AV111" s="64" t="s" ph="1">
        <v>531</v>
      </c>
      <c r="AW111" s="64" t="s" ph="1">
        <v>268</v>
      </c>
      <c r="AX111" s="64" t="s" ph="1">
        <v>541</v>
      </c>
      <c r="AY111" s="64" t="s" ph="1">
        <v>257</v>
      </c>
      <c r="AZ111" s="64" t="s" ph="1">
        <v>545</v>
      </c>
    </row>
    <row r="112" spans="33:52" ph="1">
      <c r="AJ112" s="64" t="s" ph="1">
        <v>532</v>
      </c>
      <c r="AK112" s="64" t="s" ph="1">
        <v>313</v>
      </c>
      <c r="AM112" s="64" t="s" ph="1">
        <v>534</v>
      </c>
      <c r="AN112" s="64" t="s" ph="1">
        <v>337</v>
      </c>
      <c r="AO112" s="64" t="s" ph="1">
        <v>541</v>
      </c>
      <c r="AP112" s="64" t="s" ph="1">
        <v>535</v>
      </c>
      <c r="AQ112" s="64" t="s" ph="1">
        <v>546</v>
      </c>
      <c r="AR112" s="64" t="s" ph="1">
        <v>541</v>
      </c>
      <c r="AS112" s="64" t="s" ph="1">
        <v>547</v>
      </c>
      <c r="AT112" s="64" t="s" ph="1">
        <v>289</v>
      </c>
      <c r="AU112" s="64" t="s" ph="1">
        <v>541</v>
      </c>
      <c r="AV112" s="64" t="s" ph="1">
        <v>548</v>
      </c>
      <c r="AW112" s="64" t="s" ph="1">
        <v>335</v>
      </c>
      <c r="AX112" s="64" t="s" ph="1">
        <v>541</v>
      </c>
    </row>
    <row r="113" spans="33:52" ph="1">
      <c r="AH113" s="64" ph="1">
        <v>7</v>
      </c>
      <c r="AI113" s="64" t="s" ph="1">
        <v>549</v>
      </c>
      <c r="AJ113" s="64" t="s" ph="1">
        <v>630</v>
      </c>
      <c r="AK113" s="64" t="s" ph="1">
        <v>635</v>
      </c>
      <c r="AY113" s="64" t="s" ph="1">
        <v>257</v>
      </c>
      <c r="AZ113" s="64" t="s" ph="1">
        <v>635</v>
      </c>
    </row>
    <row r="114" spans="33:52" ph="1">
      <c r="AH114" s="64" ph="1">
        <v>8</v>
      </c>
      <c r="AI114" s="64" t="s" ph="1">
        <v>550</v>
      </c>
      <c r="AJ114" s="64" t="s" ph="1">
        <v>630</v>
      </c>
      <c r="AK114" s="64" t="s" ph="1">
        <v>636</v>
      </c>
      <c r="AY114" s="64" t="s" ph="1">
        <v>257</v>
      </c>
      <c r="AZ114" s="64" t="s" ph="1">
        <v>636</v>
      </c>
    </row>
    <row r="115" spans="33:52" ph="1">
      <c r="AH115" s="64" ph="1">
        <v>9</v>
      </c>
      <c r="AI115" s="64" t="s" ph="1">
        <v>551</v>
      </c>
      <c r="AJ115" s="64" t="s" ph="1">
        <v>630</v>
      </c>
      <c r="AK115" s="64" t="s" ph="1">
        <v>636</v>
      </c>
      <c r="AY115" s="64" t="s" ph="1">
        <v>257</v>
      </c>
      <c r="AZ115" s="64" t="s" ph="1">
        <v>636</v>
      </c>
    </row>
    <row r="116" spans="33:52" ph="1">
      <c r="AH116" s="64" ph="1">
        <v>10</v>
      </c>
      <c r="AI116" s="64" t="s" ph="1">
        <v>552</v>
      </c>
      <c r="AJ116" s="64" t="s" ph="1">
        <v>630</v>
      </c>
      <c r="AK116" s="64" t="s" ph="1">
        <v>636</v>
      </c>
      <c r="AY116" s="64" t="s" ph="1">
        <v>257</v>
      </c>
      <c r="AZ116" s="64" t="s" ph="1">
        <v>636</v>
      </c>
    </row>
    <row r="117" spans="33:52" ph="1">
      <c r="AH117" s="64" ph="1">
        <v>11</v>
      </c>
      <c r="AI117" s="64" t="s" ph="1">
        <v>553</v>
      </c>
      <c r="AJ117" s="64" t="s" ph="1">
        <v>630</v>
      </c>
      <c r="AK117" s="64" t="s" ph="1">
        <v>636</v>
      </c>
      <c r="AY117" s="64" t="s" ph="1">
        <v>257</v>
      </c>
      <c r="AZ117" s="64" t="s" ph="1">
        <v>636</v>
      </c>
    </row>
    <row r="118" spans="33:52" ph="1">
      <c r="AZ118" s="64" t="s" ph="1">
        <v>637</v>
      </c>
    </row>
    <row r="119" spans="33:52" ph="1">
      <c r="AI119" s="64" t="s" ph="1">
        <v>250</v>
      </c>
      <c r="AJ119" s="64" t="s" ph="1">
        <v>251</v>
      </c>
      <c r="AK119" s="64" t="s" ph="1">
        <v>252</v>
      </c>
      <c r="AM119" s="64" t="s" ph="1">
        <v>251</v>
      </c>
      <c r="AN119" s="64" t="s" ph="1">
        <v>252</v>
      </c>
      <c r="AO119" s="64" t="s" ph="1">
        <v>253</v>
      </c>
      <c r="AP119" s="64" t="s" ph="1">
        <v>251</v>
      </c>
      <c r="AQ119" s="64" t="s" ph="1">
        <v>252</v>
      </c>
      <c r="AR119" s="64" t="s" ph="1">
        <v>253</v>
      </c>
      <c r="AS119" s="64" t="s" ph="1">
        <v>251</v>
      </c>
      <c r="AT119" s="64" t="s" ph="1">
        <v>252</v>
      </c>
      <c r="AU119" s="64" t="s" ph="1">
        <v>253</v>
      </c>
      <c r="AV119" s="64" t="s" ph="1">
        <v>251</v>
      </c>
      <c r="AW119" s="64" t="s" ph="1">
        <v>252</v>
      </c>
      <c r="AX119" s="64" t="s" ph="1">
        <v>253</v>
      </c>
      <c r="AY119" s="64" t="s" ph="1">
        <v>252</v>
      </c>
      <c r="AZ119" s="64" t="s" ph="1">
        <v>254</v>
      </c>
    </row>
    <row r="120" spans="33:52" ph="1">
      <c r="AG120" s="64" t="s" ph="1">
        <v>394</v>
      </c>
      <c r="AH120" s="64" ph="1">
        <v>1</v>
      </c>
      <c r="AI120" s="64" t="s" ph="1">
        <v>554</v>
      </c>
      <c r="AJ120" s="64" t="s" ph="1">
        <v>628</v>
      </c>
      <c r="AK120" s="64" t="s" ph="1">
        <v>408</v>
      </c>
      <c r="AY120" s="64" t="s" ph="1">
        <v>257</v>
      </c>
      <c r="AZ120" s="64" t="s" ph="1">
        <v>408</v>
      </c>
    </row>
    <row r="121" spans="33:52" ph="1">
      <c r="AH121" s="64" ph="1">
        <v>2</v>
      </c>
      <c r="AI121" s="64" t="s" ph="1">
        <v>555</v>
      </c>
      <c r="AY121" s="64" t="s" ph="1">
        <v>257</v>
      </c>
      <c r="AZ121" s="64" t="s" ph="1">
        <v>408</v>
      </c>
    </row>
    <row r="122" spans="33:52" ph="1">
      <c r="AH122" s="64" ph="1">
        <v>3</v>
      </c>
      <c r="AI122" s="64" t="s" ph="1">
        <v>556</v>
      </c>
      <c r="AJ122" s="64" t="s" ph="1">
        <v>611</v>
      </c>
      <c r="AK122" s="64" t="s" ph="1">
        <v>623</v>
      </c>
      <c r="AM122" s="64" t="s" ph="1">
        <v>638</v>
      </c>
      <c r="AN122" s="64" t="s" ph="1">
        <v>631</v>
      </c>
      <c r="AO122" s="64" t="s" ph="1">
        <v>108</v>
      </c>
      <c r="AY122" s="64" t="s" ph="1">
        <v>257</v>
      </c>
      <c r="AZ122" s="64" t="s" ph="1">
        <v>620</v>
      </c>
    </row>
    <row r="123" spans="33:52" ph="1">
      <c r="AY123" s="64" t="s" ph="1">
        <v>257</v>
      </c>
      <c r="AZ123" s="64" t="s" ph="1">
        <v>620</v>
      </c>
    </row>
    <row r="124" spans="33:52" ph="1">
      <c r="AG124" s="64" t="s" ph="1">
        <v>397</v>
      </c>
      <c r="AH124" s="64" ph="1">
        <v>4</v>
      </c>
      <c r="AI124" s="64" t="s" ph="1">
        <v>557</v>
      </c>
      <c r="AJ124" s="64" t="s" ph="1">
        <v>558</v>
      </c>
      <c r="AK124" s="64" t="s" ph="1">
        <v>559</v>
      </c>
      <c r="AY124" s="64" t="s" ph="1">
        <v>257</v>
      </c>
      <c r="AZ124" s="64" t="s" ph="1">
        <v>559</v>
      </c>
    </row>
    <row r="125" spans="33:52" ph="1">
      <c r="AH125" s="64" ph="1">
        <v>5</v>
      </c>
      <c r="AI125" s="64" t="s" ph="1">
        <v>560</v>
      </c>
      <c r="AJ125" s="64" t="s" ph="1">
        <v>558</v>
      </c>
      <c r="AK125" s="64" t="s" ph="1">
        <v>559</v>
      </c>
      <c r="AY125" s="64" t="s" ph="1">
        <v>257</v>
      </c>
      <c r="AZ125" s="64" t="s" ph="1">
        <v>559</v>
      </c>
    </row>
    <row r="126" spans="33:52" ph="1">
      <c r="AH126" s="64" ph="1">
        <v>6</v>
      </c>
      <c r="AI126" s="64" t="s" ph="1">
        <v>561</v>
      </c>
      <c r="AJ126" s="64" t="s" ph="1">
        <v>630</v>
      </c>
      <c r="AK126" s="64" t="s" ph="1">
        <v>639</v>
      </c>
      <c r="AY126" s="64" t="s" ph="1">
        <v>257</v>
      </c>
      <c r="AZ126" s="64" t="s" ph="1">
        <v>639</v>
      </c>
    </row>
    <row r="127" spans="33:52" ph="1">
      <c r="AH127" s="64" ph="1">
        <v>7</v>
      </c>
      <c r="AI127" s="64" t="s" ph="1">
        <v>562</v>
      </c>
      <c r="AJ127" s="64" t="s" ph="1">
        <v>630</v>
      </c>
      <c r="AK127" s="64" t="s" ph="1">
        <v>640</v>
      </c>
      <c r="AY127" s="64" t="s" ph="1">
        <v>257</v>
      </c>
      <c r="AZ127" s="64" t="s" ph="1">
        <v>640</v>
      </c>
    </row>
    <row r="128" spans="33:52" ph="1">
      <c r="AH128" s="64" ph="1">
        <v>8</v>
      </c>
      <c r="AI128" s="64" t="s" ph="1">
        <v>563</v>
      </c>
      <c r="AY128" s="64" t="s" ph="1">
        <v>257</v>
      </c>
      <c r="AZ128" s="64" t="s" ph="1">
        <v>408</v>
      </c>
    </row>
    <row r="129" spans="33:52" ph="1">
      <c r="AH129" s="64" ph="1">
        <v>9</v>
      </c>
      <c r="AI129" s="64" t="s" ph="1">
        <v>564</v>
      </c>
      <c r="AY129" s="64" t="s" ph="1">
        <v>257</v>
      </c>
      <c r="AZ129" s="64" t="s" ph="1">
        <v>408</v>
      </c>
    </row>
    <row r="130" spans="33:52" ph="1">
      <c r="AH130" s="64" ph="1">
        <v>10</v>
      </c>
      <c r="AI130" s="64" t="s" ph="1">
        <v>565</v>
      </c>
      <c r="AY130" s="64" t="s" ph="1">
        <v>257</v>
      </c>
      <c r="AZ130" s="64" t="s" ph="1">
        <v>408</v>
      </c>
    </row>
    <row r="131" spans="33:52" ph="1">
      <c r="AH131" s="64" ph="1">
        <v>11</v>
      </c>
      <c r="AI131" s="64" t="s" ph="1">
        <v>566</v>
      </c>
      <c r="AJ131" s="64" t="s" ph="1">
        <v>624</v>
      </c>
      <c r="AK131" s="64" t="s" ph="1">
        <v>620</v>
      </c>
      <c r="AY131" s="64" t="s" ph="1">
        <v>257</v>
      </c>
      <c r="AZ131" s="64" t="s" ph="1">
        <v>620</v>
      </c>
    </row>
    <row r="132" spans="33:52" ph="1">
      <c r="AH132" s="64" ph="1">
        <v>12</v>
      </c>
      <c r="AI132" s="64" t="s" ph="1">
        <v>567</v>
      </c>
      <c r="AJ132" s="64" t="s" ph="1">
        <v>624</v>
      </c>
      <c r="AK132" s="64" t="s" ph="1">
        <v>559</v>
      </c>
      <c r="AY132" s="64" t="s" ph="1">
        <v>257</v>
      </c>
      <c r="AZ132" s="64" t="s" ph="1">
        <v>559</v>
      </c>
    </row>
    <row r="133" spans="33:52" ph="1">
      <c r="AH133" s="64" ph="1">
        <v>13</v>
      </c>
      <c r="AI133" s="64" t="s" ph="1">
        <v>568</v>
      </c>
      <c r="AJ133" s="64" t="s" ph="1">
        <v>624</v>
      </c>
      <c r="AK133" s="64" t="s" ph="1">
        <v>625</v>
      </c>
      <c r="AY133" s="64" t="s" ph="1">
        <v>257</v>
      </c>
      <c r="AZ133" s="64" t="s" ph="1">
        <v>625</v>
      </c>
    </row>
    <row r="134" spans="33:52" ph="1">
      <c r="AH134" s="64" ph="1">
        <v>14</v>
      </c>
      <c r="AI134" s="64" t="s" ph="1">
        <v>569</v>
      </c>
      <c r="AJ134" s="64" t="s" ph="1">
        <v>624</v>
      </c>
      <c r="AK134" s="64" t="s" ph="1">
        <v>626</v>
      </c>
      <c r="AY134" s="64" t="s" ph="1">
        <v>257</v>
      </c>
      <c r="AZ134" s="64" t="s" ph="1">
        <v>626</v>
      </c>
    </row>
    <row r="135" spans="33:52" ph="1">
      <c r="AH135" s="64" ph="1">
        <v>15</v>
      </c>
      <c r="AI135" s="64" t="s" ph="1">
        <v>570</v>
      </c>
      <c r="AJ135" s="64" t="s" ph="1">
        <v>624</v>
      </c>
      <c r="AK135" s="64" t="s" ph="1">
        <v>627</v>
      </c>
      <c r="AY135" s="64" t="s" ph="1">
        <v>257</v>
      </c>
      <c r="AZ135" s="64" t="s" ph="1">
        <v>627</v>
      </c>
    </row>
    <row r="136" spans="33:52" ph="1">
      <c r="AZ136" s="64" t="s" ph="1">
        <v>641</v>
      </c>
    </row>
    <row r="137" spans="33:52" ph="1">
      <c r="AG137" s="64" t="s" ph="1">
        <v>331</v>
      </c>
      <c r="AI137" s="64" t="s" ph="1">
        <v>250</v>
      </c>
      <c r="AJ137" s="64" t="s" ph="1">
        <v>251</v>
      </c>
      <c r="AK137" s="64" t="s" ph="1">
        <v>252</v>
      </c>
      <c r="AM137" s="64" t="s" ph="1">
        <v>251</v>
      </c>
      <c r="AN137" s="64" t="s" ph="1">
        <v>252</v>
      </c>
      <c r="AO137" s="64" t="s" ph="1">
        <v>253</v>
      </c>
      <c r="AP137" s="64" t="s" ph="1">
        <v>251</v>
      </c>
      <c r="AQ137" s="64" t="s" ph="1">
        <v>252</v>
      </c>
      <c r="AR137" s="64" t="s" ph="1">
        <v>253</v>
      </c>
      <c r="AS137" s="64" t="s" ph="1">
        <v>251</v>
      </c>
      <c r="AT137" s="64" t="s" ph="1">
        <v>252</v>
      </c>
      <c r="AU137" s="64" t="s" ph="1">
        <v>253</v>
      </c>
      <c r="AV137" s="64" t="s" ph="1">
        <v>251</v>
      </c>
      <c r="AW137" s="64" t="s" ph="1">
        <v>252</v>
      </c>
      <c r="AX137" s="64" t="s" ph="1">
        <v>253</v>
      </c>
      <c r="AY137" s="64" t="s" ph="1">
        <v>252</v>
      </c>
      <c r="AZ137" s="64" t="s" ph="1">
        <v>254</v>
      </c>
    </row>
    <row r="138" spans="33:52" ph="1">
      <c r="AH138" s="64" ph="1">
        <v>1</v>
      </c>
      <c r="AI138" s="64" t="s" ph="1">
        <v>571</v>
      </c>
      <c r="AJ138" s="64" t="s" ph="1">
        <v>572</v>
      </c>
      <c r="AK138" s="64" t="s" ph="1">
        <v>573</v>
      </c>
      <c r="AY138" s="64" t="s" ph="1">
        <v>257</v>
      </c>
      <c r="AZ138" s="64" t="s" ph="1">
        <v>573</v>
      </c>
    </row>
    <row r="139" spans="33:52" ph="1">
      <c r="AH139" s="64" ph="1">
        <v>2</v>
      </c>
      <c r="AI139" s="64" t="s" ph="1">
        <v>574</v>
      </c>
      <c r="AJ139" s="64" t="s" ph="1">
        <v>630</v>
      </c>
      <c r="AK139" s="64" t="s" ph="1">
        <v>642</v>
      </c>
      <c r="AY139" s="64" t="s" ph="1">
        <v>257</v>
      </c>
      <c r="AZ139" s="64" t="s" ph="1">
        <v>642</v>
      </c>
    </row>
    <row r="140" spans="33:52" ph="1">
      <c r="AH140" s="64" ph="1">
        <v>3</v>
      </c>
      <c r="AI140" s="64" t="s" ph="1">
        <v>575</v>
      </c>
      <c r="AJ140" s="64" t="s" ph="1">
        <v>528</v>
      </c>
      <c r="AK140" s="64" t="s" ph="1">
        <v>340</v>
      </c>
      <c r="AM140" s="64" t="s" ph="1">
        <v>529</v>
      </c>
      <c r="AN140" s="64" t="s" ph="1">
        <v>260</v>
      </c>
      <c r="AO140" s="64" t="s" ph="1">
        <v>576</v>
      </c>
      <c r="AP140" s="64" t="s" ph="1">
        <v>530</v>
      </c>
      <c r="AQ140" s="64" t="s" ph="1">
        <v>277</v>
      </c>
      <c r="AR140" s="64" t="s" ph="1">
        <v>576</v>
      </c>
      <c r="AS140" s="64" t="s" ph="1">
        <v>531</v>
      </c>
      <c r="AT140" s="64" t="s" ph="1">
        <v>270</v>
      </c>
      <c r="AU140" s="64" t="s" ph="1">
        <v>576</v>
      </c>
      <c r="AV140" s="64" t="s" ph="1">
        <v>532</v>
      </c>
      <c r="AW140" s="64" t="s" ph="1">
        <v>263</v>
      </c>
      <c r="AX140" s="64" t="s" ph="1">
        <v>576</v>
      </c>
      <c r="AY140" s="64" t="s" ph="1">
        <v>257</v>
      </c>
      <c r="AZ140" s="64" t="s" ph="1">
        <v>332</v>
      </c>
    </row>
    <row r="141" spans="33:52" ph="1">
      <c r="AJ141" s="64" t="s" ph="1">
        <v>534</v>
      </c>
      <c r="AK141" s="64" t="s" ph="1">
        <v>263</v>
      </c>
      <c r="AM141" s="64" t="s" ph="1">
        <v>535</v>
      </c>
      <c r="AN141" s="64" t="s" ph="1">
        <v>266</v>
      </c>
      <c r="AO141" s="64" t="s" ph="1">
        <v>576</v>
      </c>
      <c r="AP141" s="64" t="s" ph="1">
        <v>547</v>
      </c>
      <c r="AQ141" s="64" t="s" ph="1">
        <v>335</v>
      </c>
      <c r="AR141" s="64" t="s" ph="1">
        <v>576</v>
      </c>
      <c r="AS141" s="64" t="s" ph="1">
        <v>539</v>
      </c>
      <c r="AT141" s="64" t="s" ph="1">
        <v>263</v>
      </c>
      <c r="AU141" s="64" t="s" ph="1">
        <v>576</v>
      </c>
      <c r="AV141" s="64" t="s" ph="1">
        <v>375</v>
      </c>
      <c r="AW141" s="64" t="s" ph="1">
        <v>269</v>
      </c>
      <c r="AX141" s="64" t="s" ph="1">
        <v>576</v>
      </c>
    </row>
    <row r="142" spans="33:52" ph="1">
      <c r="AJ142" s="64" t="s" ph="1">
        <v>577</v>
      </c>
      <c r="AK142" s="64" t="s" ph="1">
        <v>280</v>
      </c>
    </row>
    <row r="143" spans="33:52" ph="1">
      <c r="AH143" s="64" ph="1">
        <v>4</v>
      </c>
      <c r="AI143" s="64" t="s" ph="1">
        <v>578</v>
      </c>
      <c r="AJ143" s="64" t="s" ph="1">
        <v>558</v>
      </c>
      <c r="AK143" s="64" t="s" ph="1">
        <v>579</v>
      </c>
      <c r="AY143" s="64" t="s" ph="1">
        <v>257</v>
      </c>
      <c r="AZ143" s="64" t="s" ph="1">
        <v>579</v>
      </c>
    </row>
    <row r="144" spans="33:52" ph="1">
      <c r="AH144" s="64" ph="1">
        <v>5</v>
      </c>
      <c r="AI144" s="64" t="s" ph="1">
        <v>580</v>
      </c>
      <c r="AY144" s="64" t="s" ph="1">
        <v>257</v>
      </c>
      <c r="AZ144" s="64" t="s" ph="1">
        <v>408</v>
      </c>
    </row>
    <row r="145" spans="33:52" ph="1">
      <c r="AH145" s="64" ph="1">
        <v>6</v>
      </c>
      <c r="AI145" s="64" t="s" ph="1">
        <v>581</v>
      </c>
      <c r="AY145" s="64" t="s" ph="1">
        <v>257</v>
      </c>
      <c r="AZ145" s="64" t="s" ph="1">
        <v>408</v>
      </c>
    </row>
    <row r="146" spans="33:52" ph="1">
      <c r="AH146" s="64" ph="1">
        <v>7</v>
      </c>
      <c r="AI146" s="64" t="s" ph="1">
        <v>582</v>
      </c>
      <c r="AY146" s="64" t="s" ph="1">
        <v>257</v>
      </c>
      <c r="AZ146" s="64" t="s" ph="1">
        <v>408</v>
      </c>
    </row>
    <row r="147" spans="33:52" ph="1">
      <c r="AH147" s="64" ph="1">
        <v>8</v>
      </c>
      <c r="AI147" s="64" t="s" ph="1">
        <v>583</v>
      </c>
      <c r="AY147" s="64" t="s" ph="1">
        <v>257</v>
      </c>
      <c r="AZ147" s="64" t="s" ph="1">
        <v>408</v>
      </c>
    </row>
    <row r="148" spans="33:52" ph="1">
      <c r="AH148" s="64" ph="1">
        <v>9</v>
      </c>
      <c r="AI148" s="64" t="s" ph="1">
        <v>584</v>
      </c>
      <c r="AY148" s="64" t="s" ph="1">
        <v>257</v>
      </c>
      <c r="AZ148" s="64" t="s" ph="1">
        <v>408</v>
      </c>
    </row>
    <row r="149" spans="33:52" ph="1">
      <c r="AH149" s="64" ph="1">
        <v>10</v>
      </c>
      <c r="AI149" s="64" t="s" ph="1">
        <v>585</v>
      </c>
      <c r="AY149" s="64" t="s" ph="1">
        <v>257</v>
      </c>
      <c r="AZ149" s="64" t="s" ph="1">
        <v>408</v>
      </c>
    </row>
    <row r="150" spans="33:52" ph="1">
      <c r="AH150" s="64" ph="1">
        <v>11</v>
      </c>
      <c r="AI150" s="64" t="s" ph="1">
        <v>586</v>
      </c>
      <c r="AY150" s="64" t="s" ph="1">
        <v>257</v>
      </c>
      <c r="AZ150" s="64" t="s" ph="1">
        <v>408</v>
      </c>
    </row>
    <row r="151" spans="33:52" ph="1">
      <c r="AH151" s="64" ph="1">
        <v>12</v>
      </c>
      <c r="AI151" s="64" t="s" ph="1">
        <v>587</v>
      </c>
      <c r="AY151" s="64" t="s" ph="1">
        <v>257</v>
      </c>
      <c r="AZ151" s="64" t="s" ph="1">
        <v>408</v>
      </c>
    </row>
    <row r="152" spans="33:52" ph="1">
      <c r="AH152" s="64" ph="1">
        <v>13</v>
      </c>
      <c r="AI152" s="64" t="s" ph="1">
        <v>588</v>
      </c>
      <c r="AY152" s="64" t="s" ph="1">
        <v>257</v>
      </c>
      <c r="AZ152" s="64" t="s" ph="1">
        <v>408</v>
      </c>
    </row>
    <row r="153" spans="33:52" ph="1">
      <c r="AH153" s="64" ph="1">
        <v>14</v>
      </c>
      <c r="AI153" s="64" t="s" ph="1">
        <v>589</v>
      </c>
      <c r="AY153" s="64" t="s" ph="1">
        <v>257</v>
      </c>
      <c r="AZ153" s="64" t="s" ph="1">
        <v>408</v>
      </c>
    </row>
    <row r="154" spans="33:52" ph="1">
      <c r="AH154" s="64" ph="1">
        <v>15</v>
      </c>
      <c r="AI154" s="64" t="s" ph="1">
        <v>590</v>
      </c>
      <c r="AY154" s="64" t="s" ph="1">
        <v>257</v>
      </c>
      <c r="AZ154" s="64" t="s" ph="1">
        <v>408</v>
      </c>
    </row>
    <row r="155" spans="33:52" ph="1">
      <c r="AH155" s="64" ph="1">
        <v>16</v>
      </c>
      <c r="AI155" s="64" t="s" ph="1">
        <v>591</v>
      </c>
      <c r="AJ155" s="64" t="s" ph="1">
        <v>377</v>
      </c>
      <c r="AK155" s="64" t="s" ph="1">
        <v>272</v>
      </c>
      <c r="AM155" s="64" t="s" ph="1">
        <v>611</v>
      </c>
      <c r="AN155" s="64" t="s" ph="1">
        <v>323</v>
      </c>
      <c r="AO155" s="64" t="s" ph="1">
        <v>576</v>
      </c>
      <c r="AY155" s="64" t="s" ph="1">
        <v>257</v>
      </c>
      <c r="AZ155" s="64" t="s" ph="1">
        <v>264</v>
      </c>
    </row>
    <row r="156" spans="33:52" ph="1">
      <c r="AZ156" s="64" t="s" ph="1">
        <v>643</v>
      </c>
    </row>
    <row r="157" spans="33:52" ph="1">
      <c r="AG157" s="64" t="s" ph="1">
        <v>592</v>
      </c>
      <c r="AI157" s="64" t="s" ph="1">
        <v>250</v>
      </c>
      <c r="AJ157" s="64" t="s" ph="1">
        <v>251</v>
      </c>
      <c r="AK157" s="64" t="s" ph="1">
        <v>252</v>
      </c>
      <c r="AM157" s="64" t="s" ph="1">
        <v>251</v>
      </c>
      <c r="AN157" s="64" t="s" ph="1">
        <v>252</v>
      </c>
      <c r="AO157" s="64" t="s" ph="1">
        <v>253</v>
      </c>
      <c r="AP157" s="64" t="s" ph="1">
        <v>251</v>
      </c>
      <c r="AQ157" s="64" t="s" ph="1">
        <v>252</v>
      </c>
      <c r="AR157" s="64" t="s" ph="1">
        <v>253</v>
      </c>
      <c r="AS157" s="64" t="s" ph="1">
        <v>251</v>
      </c>
      <c r="AT157" s="64" t="s" ph="1">
        <v>252</v>
      </c>
      <c r="AU157" s="64" t="s" ph="1">
        <v>253</v>
      </c>
      <c r="AV157" s="64" t="s" ph="1">
        <v>251</v>
      </c>
      <c r="AW157" s="64" t="s" ph="1">
        <v>252</v>
      </c>
      <c r="AX157" s="64" t="s" ph="1">
        <v>253</v>
      </c>
      <c r="AY157" s="64" t="s" ph="1">
        <v>252</v>
      </c>
      <c r="AZ157" s="64" t="s" ph="1">
        <v>254</v>
      </c>
    </row>
    <row r="158" spans="33:52" ph="1">
      <c r="AH158" s="64" ph="1">
        <v>1</v>
      </c>
      <c r="AI158" s="64" t="s" ph="1">
        <v>593</v>
      </c>
      <c r="AY158" s="64" t="s" ph="1">
        <v>257</v>
      </c>
      <c r="AZ158" s="64" t="s" ph="1">
        <v>408</v>
      </c>
    </row>
    <row r="159" spans="33:52" ph="1">
      <c r="AH159" s="64" ph="1">
        <v>2</v>
      </c>
      <c r="AI159" s="64" t="s" ph="1">
        <v>594</v>
      </c>
      <c r="AY159" s="64" t="s" ph="1">
        <v>257</v>
      </c>
      <c r="AZ159" s="64" t="s" ph="1">
        <v>408</v>
      </c>
    </row>
    <row r="160" spans="33:52" ph="1">
      <c r="AZ160" s="64" t="s" ph="1">
        <v>426</v>
      </c>
    </row>
    <row r="161" spans="33:52" ph="1">
      <c r="AG161" s="64" t="s" ph="1">
        <v>402</v>
      </c>
      <c r="AI161" s="64" t="s" ph="1">
        <v>250</v>
      </c>
      <c r="AJ161" s="64" t="s" ph="1">
        <v>251</v>
      </c>
      <c r="AK161" s="64" t="s" ph="1">
        <v>252</v>
      </c>
      <c r="AM161" s="64" t="s" ph="1">
        <v>251</v>
      </c>
      <c r="AN161" s="64" t="s" ph="1">
        <v>252</v>
      </c>
      <c r="AO161" s="64" t="s" ph="1">
        <v>253</v>
      </c>
      <c r="AP161" s="64" t="s" ph="1">
        <v>251</v>
      </c>
      <c r="AQ161" s="64" t="s" ph="1">
        <v>252</v>
      </c>
      <c r="AR161" s="64" t="s" ph="1">
        <v>253</v>
      </c>
      <c r="AS161" s="64" t="s" ph="1">
        <v>251</v>
      </c>
      <c r="AT161" s="64" t="s" ph="1">
        <v>252</v>
      </c>
      <c r="AU161" s="64" t="s" ph="1">
        <v>253</v>
      </c>
      <c r="AV161" s="64" t="s" ph="1">
        <v>251</v>
      </c>
      <c r="AW161" s="64" t="s" ph="1">
        <v>252</v>
      </c>
      <c r="AX161" s="64" t="s" ph="1">
        <v>253</v>
      </c>
      <c r="AY161" s="64" t="s" ph="1">
        <v>252</v>
      </c>
      <c r="AZ161" s="64" t="s" ph="1">
        <v>254</v>
      </c>
    </row>
    <row r="162" spans="33:52" ph="1">
      <c r="AH162" s="64" ph="1">
        <v>1</v>
      </c>
      <c r="AI162" s="64" t="s" ph="1">
        <v>595</v>
      </c>
      <c r="AJ162" s="64" t="s" ph="1">
        <v>596</v>
      </c>
      <c r="AK162" s="64" t="s" ph="1">
        <v>540</v>
      </c>
      <c r="AM162" s="64" t="s" ph="1">
        <v>597</v>
      </c>
      <c r="AN162" s="64" t="s" ph="1">
        <v>261</v>
      </c>
      <c r="AO162" s="64" t="s" ph="1">
        <v>598</v>
      </c>
      <c r="AY162" s="64" t="s" ph="1">
        <v>257</v>
      </c>
      <c r="AZ162" s="64" t="s" ph="1">
        <v>333</v>
      </c>
    </row>
    <row r="163" spans="33:52" ph="1">
      <c r="AH163" s="64" ph="1">
        <v>2</v>
      </c>
      <c r="AI163" s="64" t="s" ph="1">
        <v>599</v>
      </c>
      <c r="AJ163" s="64" t="s" ph="1">
        <v>596</v>
      </c>
      <c r="AK163" s="64" t="s" ph="1">
        <v>429</v>
      </c>
      <c r="AY163" s="64" t="s" ph="1">
        <v>257</v>
      </c>
      <c r="AZ163" s="64" t="s" ph="1">
        <v>429</v>
      </c>
    </row>
    <row r="164" spans="33:52" ph="1">
      <c r="AH164" s="64" ph="1">
        <v>3</v>
      </c>
      <c r="AI164" s="64" t="s" ph="1">
        <v>600</v>
      </c>
      <c r="AJ164" s="64" t="s" ph="1">
        <v>596</v>
      </c>
      <c r="AK164" s="64" t="s" ph="1">
        <v>333</v>
      </c>
      <c r="AY164" s="64" t="s" ph="1">
        <v>257</v>
      </c>
      <c r="AZ164" s="64" t="s" ph="1">
        <v>333</v>
      </c>
    </row>
    <row r="165" spans="33:52" ph="1">
      <c r="AH165" s="64" ph="1">
        <v>4</v>
      </c>
      <c r="AI165" s="64" t="s" ph="1">
        <v>601</v>
      </c>
      <c r="AY165" s="64" t="s" ph="1">
        <v>257</v>
      </c>
      <c r="AZ165" s="64" t="s" ph="1">
        <v>408</v>
      </c>
    </row>
    <row r="166" spans="33:52" ph="1">
      <c r="AH166" s="64" ph="1">
        <v>5</v>
      </c>
      <c r="AI166" s="64" t="s" ph="1">
        <v>602</v>
      </c>
      <c r="AY166" s="64" t="s" ph="1">
        <v>257</v>
      </c>
      <c r="AZ166" s="64" t="s" ph="1">
        <v>408</v>
      </c>
    </row>
    <row r="167" spans="33:52" ph="1">
      <c r="AZ167" s="64" t="s" ph="1">
        <v>603</v>
      </c>
    </row>
    <row r="168" spans="33:52" ph="1">
      <c r="AG168" s="64" t="s" ph="1">
        <v>346</v>
      </c>
      <c r="AI168" s="64" t="s" ph="1">
        <v>250</v>
      </c>
      <c r="AJ168" s="64" t="s" ph="1">
        <v>251</v>
      </c>
      <c r="AK168" s="64" t="s" ph="1">
        <v>252</v>
      </c>
      <c r="AM168" s="64" t="s" ph="1">
        <v>251</v>
      </c>
      <c r="AN168" s="64" t="s" ph="1">
        <v>252</v>
      </c>
      <c r="AO168" s="64" t="s" ph="1">
        <v>253</v>
      </c>
      <c r="AP168" s="64" t="s" ph="1">
        <v>251</v>
      </c>
      <c r="AQ168" s="64" t="s" ph="1">
        <v>252</v>
      </c>
      <c r="AR168" s="64" t="s" ph="1">
        <v>253</v>
      </c>
      <c r="AS168" s="64" t="s" ph="1">
        <v>251</v>
      </c>
      <c r="AT168" s="64" t="s" ph="1">
        <v>252</v>
      </c>
      <c r="AU168" s="64" t="s" ph="1">
        <v>253</v>
      </c>
      <c r="AV168" s="64" t="s" ph="1">
        <v>251</v>
      </c>
      <c r="AW168" s="64" t="s" ph="1">
        <v>252</v>
      </c>
      <c r="AX168" s="64" t="s" ph="1">
        <v>253</v>
      </c>
      <c r="AY168" s="64" t="s" ph="1">
        <v>252</v>
      </c>
      <c r="AZ168" s="64" t="s" ph="1">
        <v>254</v>
      </c>
    </row>
    <row r="169" spans="33:52" ph="1">
      <c r="AH169" s="64" ph="1">
        <v>1</v>
      </c>
      <c r="AI169" s="64" t="s" ph="1">
        <v>604</v>
      </c>
      <c r="AY169" s="64" t="s" ph="1">
        <v>257</v>
      </c>
      <c r="AZ169" s="64" t="s" ph="1">
        <v>408</v>
      </c>
    </row>
    <row r="170" spans="33:52" ph="1">
      <c r="AH170" s="64" ph="1">
        <v>2</v>
      </c>
      <c r="AI170" s="64" t="s" ph="1">
        <v>605</v>
      </c>
      <c r="AY170" s="64" t="s" ph="1">
        <v>257</v>
      </c>
      <c r="AZ170" s="64" t="s" ph="1">
        <v>408</v>
      </c>
    </row>
    <row r="171" spans="33:52" ph="1">
      <c r="AH171" s="64" ph="1">
        <v>3</v>
      </c>
      <c r="AI171" s="64" t="s" ph="1">
        <v>606</v>
      </c>
      <c r="AY171" s="64" t="s" ph="1">
        <v>257</v>
      </c>
      <c r="AZ171" s="64" t="s" ph="1">
        <v>408</v>
      </c>
    </row>
    <row r="172" spans="33:52" ph="1">
      <c r="AH172" s="64" ph="1">
        <v>4</v>
      </c>
      <c r="AI172" s="64" t="s" ph="1">
        <v>607</v>
      </c>
      <c r="AY172" s="64" t="s" ph="1">
        <v>257</v>
      </c>
      <c r="AZ172" s="64" t="s" ph="1">
        <v>408</v>
      </c>
    </row>
    <row r="173" spans="33:52" ph="1">
      <c r="AH173" s="64" ph="1">
        <v>5</v>
      </c>
      <c r="AI173" s="64" t="s" ph="1">
        <v>608</v>
      </c>
      <c r="AY173" s="64" t="s" ph="1">
        <v>257</v>
      </c>
      <c r="AZ173" s="64" t="s" ph="1">
        <v>408</v>
      </c>
    </row>
    <row r="174" spans="33:52" ph="1">
      <c r="AZ174" s="64" t="s" ph="1">
        <v>426</v>
      </c>
    </row>
    <row r="175" spans="33:52" ph="1">
      <c r="AJ175" s="64" t="s" ph="1">
        <v>347</v>
      </c>
    </row>
    <row r="176" spans="33:52" ph="1">
      <c r="AJ176" s="64" t="s" ph="1">
        <v>348</v>
      </c>
      <c r="AK176" s="64" t="s" ph="1">
        <v>349</v>
      </c>
      <c r="AM176" s="64" t="s" ph="1">
        <v>350</v>
      </c>
      <c r="AO176" s="64" t="s" ph="1">
        <v>351</v>
      </c>
      <c r="AP176" s="64" t="s" ph="1">
        <v>352</v>
      </c>
      <c r="AQ176" s="64" t="s" ph="1">
        <v>342</v>
      </c>
      <c r="AR176" s="64" t="s" ph="1">
        <v>262</v>
      </c>
    </row>
    <row r="177" spans="36:56" ph="1">
      <c r="AJ177" s="64" t="s" ph="1">
        <v>644</v>
      </c>
      <c r="AK177" s="64" t="s" ph="1">
        <v>353</v>
      </c>
      <c r="AO177" s="64" t="s" ph="1">
        <v>353</v>
      </c>
      <c r="AP177" s="64" t="s" ph="1">
        <v>353</v>
      </c>
      <c r="AQ177" s="64" t="s" ph="1">
        <v>354</v>
      </c>
      <c r="AR177" s="64" t="s" ph="1">
        <v>355</v>
      </c>
    </row>
    <row r="179" spans="36:56" ph="1">
      <c r="AJ179" s="64" t="s" ph="1">
        <v>356</v>
      </c>
      <c r="AK179" s="64" t="s" ph="1">
        <v>357</v>
      </c>
      <c r="AM179" s="64" t="s" ph="1">
        <v>358</v>
      </c>
      <c r="AN179" s="64" t="s" ph="1">
        <v>334</v>
      </c>
      <c r="AO179" s="64" t="s" ph="1">
        <v>359</v>
      </c>
      <c r="AP179" s="64" t="s" ph="1">
        <v>338</v>
      </c>
      <c r="AQ179" s="64" t="s" ph="1">
        <v>360</v>
      </c>
      <c r="AR179" s="64" t="s" ph="1">
        <v>361</v>
      </c>
    </row>
    <row r="180" spans="36:56" ph="1">
      <c r="AJ180" s="64" t="s" ph="1">
        <v>353</v>
      </c>
      <c r="AK180" s="64" t="s" ph="1">
        <v>353</v>
      </c>
      <c r="AL180" s="64" ph="1">
        <v>116</v>
      </c>
      <c r="AM180" s="64" t="s" ph="1">
        <v>353</v>
      </c>
      <c r="AN180" s="64" t="s" ph="1">
        <v>362</v>
      </c>
      <c r="AO180" s="64" t="s" ph="1">
        <v>353</v>
      </c>
      <c r="AP180" s="64" t="s" ph="1">
        <v>363</v>
      </c>
      <c r="AQ180" s="64" t="s" ph="1">
        <v>364</v>
      </c>
      <c r="AR180" s="64" t="s" ph="1">
        <v>365</v>
      </c>
    </row>
    <row r="189" spans="36:56" ph="1">
      <c r="BD189" s="64" t="s" ph="1">
        <v>609</v>
      </c>
    </row>
    <row r="223" spans="18:18" ph="1">
      <c r="R223" s="138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129" priority="92">
      <formula>ABS(D$7-D$10)&gt;=1000</formula>
    </cfRule>
  </conditionalFormatting>
  <conditionalFormatting sqref="E4 E6:E11">
    <cfRule type="expression" dxfId="2128" priority="91">
      <formula>ABS(E$7-E$10)&gt;=1000</formula>
    </cfRule>
  </conditionalFormatting>
  <conditionalFormatting sqref="F4:F11">
    <cfRule type="expression" dxfId="2127" priority="90">
      <formula>ABS(F$7-F$10)&gt;=1000</formula>
    </cfRule>
  </conditionalFormatting>
  <conditionalFormatting sqref="G4:G11">
    <cfRule type="expression" dxfId="2126" priority="89">
      <formula>ABS(G$7-G$10)&gt;=1000</formula>
    </cfRule>
  </conditionalFormatting>
  <conditionalFormatting sqref="H4:H11">
    <cfRule type="expression" dxfId="2125" priority="88">
      <formula>ABS(H$7-H$10)&gt;=1000</formula>
    </cfRule>
  </conditionalFormatting>
  <conditionalFormatting sqref="I4:I11">
    <cfRule type="expression" dxfId="2124" priority="87">
      <formula>ABS(I$7-I$10)&gt;=1000</formula>
    </cfRule>
  </conditionalFormatting>
  <conditionalFormatting sqref="J4:J11">
    <cfRule type="expression" dxfId="2123" priority="86">
      <formula>ABS(J$7-J$10)&gt;=1000</formula>
    </cfRule>
  </conditionalFormatting>
  <conditionalFormatting sqref="K4:K11">
    <cfRule type="expression" dxfId="2122" priority="85">
      <formula>ABS(K$7-K$10)&gt;=1000</formula>
    </cfRule>
  </conditionalFormatting>
  <conditionalFormatting sqref="L4:L11">
    <cfRule type="expression" dxfId="2121" priority="84">
      <formula>ABS(L$7-L$10)&gt;=1000</formula>
    </cfRule>
  </conditionalFormatting>
  <conditionalFormatting sqref="M4:M11">
    <cfRule type="expression" dxfId="2120" priority="83">
      <formula>ABS(M$7-M$10)&gt;=1000</formula>
    </cfRule>
  </conditionalFormatting>
  <conditionalFormatting sqref="N4:N11">
    <cfRule type="expression" dxfId="2119" priority="82">
      <formula>ABS(N$7-N$10)&gt;=1000</formula>
    </cfRule>
  </conditionalFormatting>
  <conditionalFormatting sqref="O4:O11">
    <cfRule type="expression" dxfId="2118" priority="81">
      <formula>ABS(O$7-O$10)&gt;=1000</formula>
    </cfRule>
  </conditionalFormatting>
  <conditionalFormatting sqref="P4:P11">
    <cfRule type="expression" dxfId="2117" priority="80">
      <formula>ABS(P$7-P$10)&gt;=1000</formula>
    </cfRule>
  </conditionalFormatting>
  <conditionalFormatting sqref="Q4:Q11">
    <cfRule type="expression" dxfId="2116" priority="79">
      <formula>ABS(Q$7-Q$10)&gt;=1000</formula>
    </cfRule>
  </conditionalFormatting>
  <conditionalFormatting sqref="R4:R11">
    <cfRule type="expression" dxfId="2115" priority="78">
      <formula>ABS(R$7-R$10)&gt;=1000</formula>
    </cfRule>
  </conditionalFormatting>
  <conditionalFormatting sqref="S4:S11">
    <cfRule type="expression" dxfId="2114" priority="77">
      <formula>ABS(S$7-S$10)&gt;=1000</formula>
    </cfRule>
  </conditionalFormatting>
  <conditionalFormatting sqref="T4:T9 T11">
    <cfRule type="expression" dxfId="2113" priority="76">
      <formula>ABS(T$7-T$10)&gt;=1000</formula>
    </cfRule>
  </conditionalFormatting>
  <conditionalFormatting sqref="U4:U9 U11">
    <cfRule type="expression" dxfId="2112" priority="75">
      <formula>ABS(U$7-U$10)&gt;=1000</formula>
    </cfRule>
  </conditionalFormatting>
  <conditionalFormatting sqref="V4:V9 V11">
    <cfRule type="expression" dxfId="2111" priority="74">
      <formula>ABS(V$7-V$10)&gt;=1000</formula>
    </cfRule>
  </conditionalFormatting>
  <conditionalFormatting sqref="W4:W9 W11">
    <cfRule type="expression" dxfId="2110" priority="73">
      <formula>ABS(W$7-W$10)&gt;=1000</formula>
    </cfRule>
  </conditionalFormatting>
  <conditionalFormatting sqref="X4:X9 X11">
    <cfRule type="expression" dxfId="2109" priority="72">
      <formula>ABS(X$7-X$10)&gt;=1000</formula>
    </cfRule>
  </conditionalFormatting>
  <conditionalFormatting sqref="Y4:Y9 Y11">
    <cfRule type="expression" dxfId="2108" priority="71">
      <formula>ABS(Y$7-Y$10)&gt;=1000</formula>
    </cfRule>
  </conditionalFormatting>
  <conditionalFormatting sqref="Z4:Z11">
    <cfRule type="expression" dxfId="2107" priority="70">
      <formula>ABS(Z$7-Z$10)&gt;=1000</formula>
    </cfRule>
  </conditionalFormatting>
  <conditionalFormatting sqref="AA4:AA11">
    <cfRule type="expression" dxfId="2106" priority="69">
      <formula>ABS(AA$7-AA$10)&gt;=1000</formula>
    </cfRule>
  </conditionalFormatting>
  <conditionalFormatting sqref="AB4:AB11">
    <cfRule type="expression" dxfId="2105" priority="68">
      <formula>ABS(AB$7-AB$10)&gt;=1000</formula>
    </cfRule>
  </conditionalFormatting>
  <conditionalFormatting sqref="AC4 AC6:AC11">
    <cfRule type="expression" dxfId="2104" priority="67">
      <formula>ABS(AC$7-AC$10)&gt;=1000</formula>
    </cfRule>
  </conditionalFormatting>
  <conditionalFormatting sqref="AD4:AD11">
    <cfRule type="expression" dxfId="2103" priority="66">
      <formula>ABS(AD$7-AD$10)&gt;=1000</formula>
    </cfRule>
  </conditionalFormatting>
  <conditionalFormatting sqref="AE4:AE11">
    <cfRule type="expression" dxfId="2102" priority="65">
      <formula>ABS(AE$7-AE$10)&gt;=1000</formula>
    </cfRule>
  </conditionalFormatting>
  <conditionalFormatting sqref="D13:D20">
    <cfRule type="expression" dxfId="2101" priority="64">
      <formula>ABS(D$16-D$19)&gt;=1000</formula>
    </cfRule>
  </conditionalFormatting>
  <conditionalFormatting sqref="E13:E20">
    <cfRule type="expression" dxfId="2100" priority="63">
      <formula>ABS(E$16-E$19)&gt;=1000</formula>
    </cfRule>
  </conditionalFormatting>
  <conditionalFormatting sqref="F13 F15:F20">
    <cfRule type="expression" dxfId="2099" priority="62">
      <formula>ABS(F$16-F$19)&gt;=1000</formula>
    </cfRule>
  </conditionalFormatting>
  <conditionalFormatting sqref="G13:G20">
    <cfRule type="expression" dxfId="2098" priority="61">
      <formula>ABS(G$16-G$19)&gt;=1000</formula>
    </cfRule>
  </conditionalFormatting>
  <conditionalFormatting sqref="H13:H20">
    <cfRule type="expression" dxfId="2097" priority="60">
      <formula>ABS(H$16-H$19)&gt;=1000</formula>
    </cfRule>
  </conditionalFormatting>
  <conditionalFormatting sqref="I13:I20">
    <cfRule type="expression" dxfId="2096" priority="59">
      <formula>ABS(I$16-I$19)&gt;=1000</formula>
    </cfRule>
  </conditionalFormatting>
  <conditionalFormatting sqref="J13:J20">
    <cfRule type="expression" dxfId="2095" priority="58">
      <formula>ABS(J$16-J$19)&gt;=1000</formula>
    </cfRule>
  </conditionalFormatting>
  <conditionalFormatting sqref="L13:L20">
    <cfRule type="expression" dxfId="2094" priority="57">
      <formula>ABS(L$16-L$19)&gt;=1000</formula>
    </cfRule>
  </conditionalFormatting>
  <conditionalFormatting sqref="M13 M15 M17:M18 M20">
    <cfRule type="expression" dxfId="2093" priority="56">
      <formula>ABS(M$16-M$19)&gt;=1000</formula>
    </cfRule>
  </conditionalFormatting>
  <conditionalFormatting sqref="N13:N20">
    <cfRule type="expression" dxfId="2092" priority="55">
      <formula>ABS(N$16-N$19)&gt;=1000</formula>
    </cfRule>
  </conditionalFormatting>
  <conditionalFormatting sqref="O13:O20">
    <cfRule type="expression" dxfId="2091" priority="54">
      <formula>ABS(O$16-O$19)&gt;=1000</formula>
    </cfRule>
  </conditionalFormatting>
  <conditionalFormatting sqref="P13:P20">
    <cfRule type="expression" dxfId="2090" priority="53">
      <formula>ABS(P$16-P$19)&gt;=1000</formula>
    </cfRule>
  </conditionalFormatting>
  <conditionalFormatting sqref="Q13 Q15:Q20">
    <cfRule type="expression" dxfId="2089" priority="52">
      <formula>ABS(Q$16-Q$19)&gt;=1000</formula>
    </cfRule>
  </conditionalFormatting>
  <conditionalFormatting sqref="R13:R20">
    <cfRule type="expression" dxfId="2088" priority="51">
      <formula>ABS(R$16-R$19)&gt;=1000</formula>
    </cfRule>
  </conditionalFormatting>
  <conditionalFormatting sqref="S13:S20">
    <cfRule type="expression" dxfId="2087" priority="50">
      <formula>ABS(S$16-S$19)&gt;=1000</formula>
    </cfRule>
  </conditionalFormatting>
  <conditionalFormatting sqref="T13:T20">
    <cfRule type="expression" dxfId="2086" priority="49">
      <formula>ABS(T$16-T$19)&gt;=1000</formula>
    </cfRule>
  </conditionalFormatting>
  <conditionalFormatting sqref="U13:U20">
    <cfRule type="expression" dxfId="2085" priority="48">
      <formula>ABS(U$16-U$19)&gt;=1000</formula>
    </cfRule>
  </conditionalFormatting>
  <conditionalFormatting sqref="V13:V20">
    <cfRule type="expression" dxfId="2084" priority="47">
      <formula>ABS(V$16-V$19)&gt;=1000</formula>
    </cfRule>
  </conditionalFormatting>
  <conditionalFormatting sqref="W13 W15:W18 W20">
    <cfRule type="expression" dxfId="2083" priority="46">
      <formula>ABS(W$16-W$19)&gt;=1000</formula>
    </cfRule>
  </conditionalFormatting>
  <conditionalFormatting sqref="X13 X15:X20 Y19">
    <cfRule type="expression" dxfId="2082" priority="45">
      <formula>ABS(X$16-X$19)&gt;=1000</formula>
    </cfRule>
  </conditionalFormatting>
  <conditionalFormatting sqref="Y13 Y15:Y18 Y20">
    <cfRule type="expression" dxfId="2081" priority="44">
      <formula>ABS(Y$16-Y$19)&gt;=1000</formula>
    </cfRule>
  </conditionalFormatting>
  <conditionalFormatting sqref="Z13:Z20">
    <cfRule type="expression" dxfId="2080" priority="43">
      <formula>ABS(Z$16-Z$19)&gt;=1000</formula>
    </cfRule>
  </conditionalFormatting>
  <conditionalFormatting sqref="AA13:AA20">
    <cfRule type="expression" dxfId="2079" priority="42">
      <formula>ABS(AA$16-AA$19)&gt;=1000</formula>
    </cfRule>
  </conditionalFormatting>
  <conditionalFormatting sqref="AB13 AB15:AB20">
    <cfRule type="expression" dxfId="2078" priority="41">
      <formula>ABS(AB$16-AB$19)&gt;=1000</formula>
    </cfRule>
  </conditionalFormatting>
  <conditionalFormatting sqref="AC13 AC15:AC20">
    <cfRule type="expression" dxfId="2077" priority="40">
      <formula>ABS(AC$16-AC$19)&gt;=1000</formula>
    </cfRule>
  </conditionalFormatting>
  <conditionalFormatting sqref="AD13:AD20">
    <cfRule type="expression" dxfId="2076" priority="39">
      <formula>ABS(AD$16-AD$19)&gt;=1000</formula>
    </cfRule>
  </conditionalFormatting>
  <conditionalFormatting sqref="AE13:AE20">
    <cfRule type="expression" dxfId="2075" priority="38">
      <formula>ABS(AE$16-AE$19)&gt;=1000</formula>
    </cfRule>
  </conditionalFormatting>
  <conditionalFormatting sqref="D22:D29">
    <cfRule type="expression" dxfId="2074" priority="37">
      <formula>ABS(D$25-D$28)&gt;=1000</formula>
    </cfRule>
  </conditionalFormatting>
  <conditionalFormatting sqref="E22:E29">
    <cfRule type="expression" dxfId="2073" priority="36">
      <formula>ABS(E$25-E$28)&gt;=1000</formula>
    </cfRule>
  </conditionalFormatting>
  <conditionalFormatting sqref="F22:F29">
    <cfRule type="expression" dxfId="2072" priority="35">
      <formula>ABS(F$25-F$28)&gt;=1000</formula>
    </cfRule>
  </conditionalFormatting>
  <conditionalFormatting sqref="G22:G29">
    <cfRule type="expression" dxfId="2071" priority="34">
      <formula>ABS(G$25-G$28)&gt;=1000</formula>
    </cfRule>
  </conditionalFormatting>
  <conditionalFormatting sqref="H22:H29">
    <cfRule type="expression" dxfId="2070" priority="33">
      <formula>ABS(H$25-H$28)&gt;=1000</formula>
    </cfRule>
  </conditionalFormatting>
  <conditionalFormatting sqref="I22 I24:I29">
    <cfRule type="expression" dxfId="2069" priority="32">
      <formula>ABS(I$25-I$28)&gt;=1000</formula>
    </cfRule>
  </conditionalFormatting>
  <conditionalFormatting sqref="J22:J29 K22">
    <cfRule type="expression" dxfId="2068" priority="31">
      <formula>ABS(J$25-J$28)&gt;=1000</formula>
    </cfRule>
  </conditionalFormatting>
  <conditionalFormatting sqref="K23:K29 L25 L28">
    <cfRule type="expression" dxfId="2067" priority="30">
      <formula>ABS(K$25-K$28)&gt;=1000</formula>
    </cfRule>
  </conditionalFormatting>
  <conditionalFormatting sqref="L22:L24 L26:L27 L29">
    <cfRule type="expression" dxfId="2066" priority="29">
      <formula>ABS(L$25-L$28)&gt;=1000</formula>
    </cfRule>
  </conditionalFormatting>
  <conditionalFormatting sqref="M22:M29">
    <cfRule type="expression" dxfId="2065" priority="28">
      <formula>ABS(M$25-M$28)&gt;=1000</formula>
    </cfRule>
  </conditionalFormatting>
  <conditionalFormatting sqref="N22:N29">
    <cfRule type="expression" dxfId="2064" priority="27">
      <formula>ABS(N$25-N$28)&gt;=1000</formula>
    </cfRule>
  </conditionalFormatting>
  <conditionalFormatting sqref="O22:O29">
    <cfRule type="expression" dxfId="2063" priority="26">
      <formula>ABS(O$25-O$28)&gt;=1000</formula>
    </cfRule>
  </conditionalFormatting>
  <conditionalFormatting sqref="P22:P29">
    <cfRule type="expression" dxfId="2062" priority="25">
      <formula>ABS(P$25-P$28)&gt;=1000</formula>
    </cfRule>
  </conditionalFormatting>
  <conditionalFormatting sqref="Q22:Q29">
    <cfRule type="expression" dxfId="2061" priority="24">
      <formula>ABS(Q$25-Q$28)&gt;=1000</formula>
    </cfRule>
  </conditionalFormatting>
  <conditionalFormatting sqref="R22:R29">
    <cfRule type="expression" dxfId="2060" priority="23">
      <formula>ABS(R$25-R$28)&gt;=1000</formula>
    </cfRule>
  </conditionalFormatting>
  <conditionalFormatting sqref="S22:S29">
    <cfRule type="expression" dxfId="2059" priority="22">
      <formula>ABS(S$25-S$28)&gt;=1000</formula>
    </cfRule>
  </conditionalFormatting>
  <conditionalFormatting sqref="T22:T29">
    <cfRule type="expression" dxfId="2058" priority="21">
      <formula>ABS(T$25-T$28)&gt;=1000</formula>
    </cfRule>
  </conditionalFormatting>
  <conditionalFormatting sqref="U22:U29">
    <cfRule type="expression" dxfId="2057" priority="20">
      <formula>ABS(U$25-U$28)&gt;=1000</formula>
    </cfRule>
  </conditionalFormatting>
  <conditionalFormatting sqref="V22:V29">
    <cfRule type="expression" dxfId="2056" priority="19">
      <formula>ABS(V$25-V$28)&gt;=1000</formula>
    </cfRule>
  </conditionalFormatting>
  <conditionalFormatting sqref="W22:W29">
    <cfRule type="expression" dxfId="2055" priority="18">
      <formula>ABS(W$25-W$28)&gt;=1000</formula>
    </cfRule>
  </conditionalFormatting>
  <conditionalFormatting sqref="X22:X29">
    <cfRule type="expression" dxfId="2054" priority="17">
      <formula>ABS(X$25-X$28)&gt;=1000</formula>
    </cfRule>
  </conditionalFormatting>
  <conditionalFormatting sqref="Y22:Y29">
    <cfRule type="expression" dxfId="2053" priority="16">
      <formula>ABS(Y$25-Y$28)&gt;=1000</formula>
    </cfRule>
  </conditionalFormatting>
  <conditionalFormatting sqref="I23">
    <cfRule type="expression" dxfId="2052" priority="15">
      <formula>ABS(I$25-I$28)&gt;=1000</formula>
    </cfRule>
  </conditionalFormatting>
  <conditionalFormatting sqref="F14">
    <cfRule type="expression" dxfId="2051" priority="14">
      <formula>ABS(F$16-F$19)&gt;=1000</formula>
    </cfRule>
  </conditionalFormatting>
  <conditionalFormatting sqref="Q14">
    <cfRule type="expression" dxfId="2050" priority="13">
      <formula>ABS(Q$16-Q$19)&gt;=1000</formula>
    </cfRule>
  </conditionalFormatting>
  <conditionalFormatting sqref="W14">
    <cfRule type="expression" dxfId="2049" priority="12">
      <formula>ABS(W$16-W$19)&gt;=1000</formula>
    </cfRule>
  </conditionalFormatting>
  <conditionalFormatting sqref="Y14">
    <cfRule type="expression" dxfId="2048" priority="11">
      <formula>ABS(Y$16-Y$19)&gt;=1000</formula>
    </cfRule>
  </conditionalFormatting>
  <conditionalFormatting sqref="X14">
    <cfRule type="expression" dxfId="2047" priority="10">
      <formula>ABS(X$16-X$19)&gt;=1000</formula>
    </cfRule>
  </conditionalFormatting>
  <conditionalFormatting sqref="T10:Y10">
    <cfRule type="expression" dxfId="2046" priority="9">
      <formula>ABS(T$7-T$10)&gt;=1000</formula>
    </cfRule>
  </conditionalFormatting>
  <conditionalFormatting sqref="W19">
    <cfRule type="expression" dxfId="2045" priority="8">
      <formula>ABS(W$16-W$19)&gt;=1000</formula>
    </cfRule>
  </conditionalFormatting>
  <conditionalFormatting sqref="AC5">
    <cfRule type="expression" dxfId="2044" priority="7">
      <formula>ABS(AC$7-AC$10)&gt;=1000</formula>
    </cfRule>
  </conditionalFormatting>
  <conditionalFormatting sqref="M14">
    <cfRule type="expression" dxfId="2043" priority="6">
      <formula>ABS(M$16-M$19)&gt;=1000</formula>
    </cfRule>
  </conditionalFormatting>
  <conditionalFormatting sqref="M16">
    <cfRule type="expression" dxfId="2042" priority="5">
      <formula>ABS(M$16-M$19)&gt;=1000</formula>
    </cfRule>
  </conditionalFormatting>
  <conditionalFormatting sqref="M19">
    <cfRule type="expression" dxfId="2041" priority="4">
      <formula>ABS(M$16-M$19)&gt;=1000</formula>
    </cfRule>
  </conditionalFormatting>
  <conditionalFormatting sqref="K13:K20">
    <cfRule type="expression" dxfId="2040" priority="3">
      <formula>ABS(K$16-K$19)&gt;=1000</formula>
    </cfRule>
  </conditionalFormatting>
  <conditionalFormatting sqref="E5">
    <cfRule type="expression" dxfId="2039" priority="2">
      <formula>ABS(E$7-E$10)&gt;=1000</formula>
    </cfRule>
  </conditionalFormatting>
  <conditionalFormatting sqref="AB14:AC14">
    <cfRule type="expression" dxfId="2038" priority="1">
      <formula>ABS(AB$16-AB$19)&gt;=1000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796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68">
    <pageSetUpPr fitToPage="1"/>
  </sheetPr>
  <dimension ref="A1:CU223"/>
  <sheetViews>
    <sheetView view="pageBreakPreview" zoomScale="70" zoomScaleNormal="100" zoomScaleSheetLayoutView="70" workbookViewId="0">
      <selection activeCell="T7" sqref="T7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08" t="s" ph="1">
        <v>192</v>
      </c>
      <c r="C1" s="208" ph="1"/>
      <c r="D1" s="208" ph="1"/>
      <c r="E1" s="208" ph="1"/>
      <c r="F1" s="208" ph="1"/>
      <c r="G1" s="208" ph="1"/>
      <c r="H1" s="208" ph="1"/>
      <c r="I1" s="208" ph="1"/>
      <c r="J1" s="208" ph="1"/>
      <c r="K1" s="208" ph="1"/>
      <c r="L1" s="208" ph="1"/>
      <c r="M1" s="208" ph="1"/>
      <c r="N1" s="208" ph="1"/>
      <c r="O1" s="208" ph="1"/>
      <c r="P1" s="208" ph="1"/>
      <c r="Q1" s="208" ph="1"/>
      <c r="R1" s="208" ph="1"/>
      <c r="S1" s="208" ph="1"/>
      <c r="T1" s="208" ph="1"/>
      <c r="U1" s="208" ph="1"/>
      <c r="V1" s="208" ph="1"/>
      <c r="W1" s="208" ph="1"/>
      <c r="X1" s="208" ph="1"/>
      <c r="Y1" s="208" ph="1"/>
      <c r="Z1" s="208" ph="1"/>
      <c r="AA1" s="208" ph="1"/>
      <c r="AB1" s="208" ph="1"/>
      <c r="AC1" s="208" ph="1"/>
      <c r="AD1" s="208" ph="1"/>
      <c r="AE1" s="208" ph="1"/>
    </row>
    <row r="2" spans="1:99" s="66" customFormat="1" ht="24" customHeight="1" ph="1">
      <c r="B2" s="209" t="s" ph="1">
        <v>99</v>
      </c>
      <c r="C2" s="209" ph="1"/>
      <c r="D2" s="209" ph="1"/>
      <c r="E2" s="209" ph="1"/>
      <c r="F2" s="209" ph="1"/>
      <c r="G2" s="209" ph="1"/>
      <c r="H2" s="209" ph="1"/>
      <c r="I2" s="209" ph="1"/>
      <c r="J2" s="209" ph="1"/>
      <c r="K2" s="209" ph="1"/>
      <c r="L2" s="209" ph="1"/>
      <c r="M2" s="209" ph="1"/>
      <c r="N2" s="209" ph="1"/>
      <c r="O2" s="209" ph="1"/>
      <c r="P2" s="209" ph="1"/>
      <c r="Q2" s="209" ph="1"/>
      <c r="R2" s="209" ph="1"/>
      <c r="S2" s="209" ph="1"/>
      <c r="T2" s="209" ph="1"/>
      <c r="U2" s="209" ph="1"/>
      <c r="V2" s="209" ph="1"/>
      <c r="W2" s="209" ph="1"/>
      <c r="X2" s="209" ph="1"/>
      <c r="Y2" s="209" ph="1"/>
      <c r="Z2" s="209" ph="1"/>
      <c r="AA2" s="209" ph="1"/>
      <c r="AB2" s="209" ph="1"/>
      <c r="AC2" s="209" ph="1"/>
      <c r="AD2" s="209" ph="1"/>
      <c r="AE2" s="209" ph="1"/>
    </row>
    <row r="3" spans="1:99" ht="21" customHeight="1" ph="1">
      <c r="B3" s="210" ph="1">
        <v>45694</v>
      </c>
      <c r="C3" s="210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210"/>
      <c r="R3" s="210"/>
      <c r="S3" s="210"/>
      <c r="T3" s="210"/>
      <c r="U3" s="210"/>
      <c r="V3" s="210"/>
      <c r="W3" s="210"/>
      <c r="X3" s="210"/>
      <c r="Y3" s="210"/>
      <c r="Z3" s="210"/>
      <c r="AA3" s="210"/>
      <c r="AB3" s="210"/>
      <c r="AC3" s="210"/>
      <c r="AD3" s="210"/>
      <c r="AE3" s="210"/>
    </row>
    <row r="4" spans="1:99" s="69" customFormat="1" ph="1">
      <c r="A4" s="65" ph="1"/>
      <c r="B4" s="211" t="s" ph="1">
        <v>37</v>
      </c>
      <c r="C4" s="67" t="s" ph="1">
        <v>207</v>
      </c>
      <c r="D4" s="68" t="s" ph="1">
        <v>45</v>
      </c>
      <c r="E4" s="68" t="s" ph="1">
        <v>46</v>
      </c>
      <c r="F4" s="68" t="s" ph="1">
        <v>39</v>
      </c>
      <c r="G4" s="68" t="s" ph="1">
        <v>47</v>
      </c>
      <c r="H4" s="68" t="s" ph="1">
        <v>48</v>
      </c>
      <c r="I4" s="68" t="s" ph="1">
        <v>132</v>
      </c>
      <c r="J4" s="68" t="s" ph="1">
        <v>49</v>
      </c>
      <c r="K4" s="68" t="s" ph="1">
        <v>133</v>
      </c>
      <c r="L4" s="68" t="s" ph="1">
        <v>134</v>
      </c>
      <c r="M4" s="68" t="s" ph="1">
        <v>50</v>
      </c>
      <c r="N4" s="68" t="s" ph="1">
        <v>51</v>
      </c>
      <c r="O4" s="68" t="s" ph="1">
        <v>136</v>
      </c>
      <c r="P4" s="68" t="s" ph="1">
        <v>138</v>
      </c>
      <c r="Q4" s="68" t="s" ph="1">
        <v>139</v>
      </c>
      <c r="R4" s="68" t="s" ph="1">
        <v>140</v>
      </c>
      <c r="S4" s="68" t="s" ph="1">
        <v>141</v>
      </c>
      <c r="T4" s="68" t="s" ph="1">
        <v>142</v>
      </c>
      <c r="U4" s="68" t="s" ph="1">
        <v>143</v>
      </c>
      <c r="V4" s="68" t="s" ph="1">
        <v>144</v>
      </c>
      <c r="W4" s="68" t="s" ph="1">
        <v>145</v>
      </c>
      <c r="X4" s="68" t="s" ph="1">
        <v>146</v>
      </c>
      <c r="Y4" s="68" t="s" ph="1">
        <v>147</v>
      </c>
      <c r="Z4" s="68" t="s" ph="1">
        <v>52</v>
      </c>
      <c r="AA4" s="68" t="s" ph="1">
        <v>148</v>
      </c>
      <c r="AB4" s="68" t="s" ph="1">
        <v>149</v>
      </c>
      <c r="AC4" s="68" t="s" ph="1">
        <v>150</v>
      </c>
      <c r="AD4" s="68" t="s" ph="1">
        <v>40</v>
      </c>
      <c r="AE4" s="68" t="s" ph="1">
        <v>151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1" ph="1"/>
      <c r="C5" s="67" t="s" ph="1">
        <v>36</v>
      </c>
      <c r="D5" s="70" t="s" ph="1">
        <v>191</v>
      </c>
      <c r="E5" s="70" t="s" ph="1">
        <v>55</v>
      </c>
      <c r="F5" s="70" t="s" ph="1">
        <v>129</v>
      </c>
      <c r="G5" s="70" t="s" ph="1">
        <v>56</v>
      </c>
      <c r="H5" s="70" t="s" ph="1">
        <v>56</v>
      </c>
      <c r="I5" s="70" t="s" ph="1">
        <v>57</v>
      </c>
      <c r="J5" s="70" t="s" ph="1">
        <v>58</v>
      </c>
      <c r="K5" s="70" t="s" ph="1">
        <v>59</v>
      </c>
      <c r="L5" s="70" t="s" ph="1">
        <v>135</v>
      </c>
      <c r="M5" s="70" t="s" ph="1">
        <v>60</v>
      </c>
      <c r="N5" s="70" t="s" ph="1">
        <v>61</v>
      </c>
      <c r="O5" s="70" t="s" ph="1">
        <v>137</v>
      </c>
      <c r="P5" s="70" t="s" ph="1">
        <v>88</v>
      </c>
      <c r="Q5" s="70" t="s" ph="1">
        <v>96</v>
      </c>
      <c r="R5" s="70" t="s" ph="1">
        <v>96</v>
      </c>
      <c r="S5" s="70" t="s" ph="1">
        <v>96</v>
      </c>
      <c r="T5" s="70" t="s" ph="1">
        <v>96</v>
      </c>
      <c r="U5" s="70" t="s" ph="1">
        <v>96</v>
      </c>
      <c r="V5" s="70" t="s" ph="1">
        <v>96</v>
      </c>
      <c r="W5" s="70" t="s" ph="1">
        <v>96</v>
      </c>
      <c r="X5" s="70" t="s" ph="1">
        <v>96</v>
      </c>
      <c r="Y5" s="70" t="s" ph="1">
        <v>96</v>
      </c>
      <c r="Z5" s="70" t="s" ph="1">
        <v>95</v>
      </c>
      <c r="AA5" s="70" t="s" ph="1">
        <v>62</v>
      </c>
      <c r="AB5" s="70" t="s" ph="1">
        <v>62</v>
      </c>
      <c r="AC5" s="70" t="s" ph="1">
        <v>219</v>
      </c>
      <c r="AD5" s="70" t="s" ph="1">
        <v>83</v>
      </c>
      <c r="AE5" s="70" t="s" ph="1">
        <v>654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07" ph="1">
        <v>0.33333333333333331</v>
      </c>
      <c r="C6" s="155" t="s" ph="1">
        <v>208</v>
      </c>
      <c r="D6" s="71">
        <v>4093</v>
      </c>
      <c r="E6" s="71">
        <v>0</v>
      </c>
      <c r="F6" s="71">
        <v>4692</v>
      </c>
      <c r="G6" s="71">
        <v>4648</v>
      </c>
      <c r="H6" s="71">
        <v>4887</v>
      </c>
      <c r="I6" s="71">
        <v>39.11</v>
      </c>
      <c r="J6" s="71">
        <v>7.81</v>
      </c>
      <c r="K6" s="71">
        <v>46.02</v>
      </c>
      <c r="L6" s="71">
        <v>48.61</v>
      </c>
      <c r="M6" s="71">
        <v>4552</v>
      </c>
      <c r="N6" s="71">
        <v>5828</v>
      </c>
      <c r="O6" s="71">
        <v>4668</v>
      </c>
      <c r="P6" s="71">
        <v>7142</v>
      </c>
      <c r="Q6" s="71">
        <v>6977</v>
      </c>
      <c r="R6" s="71">
        <v>2295</v>
      </c>
      <c r="S6" s="71">
        <v>5045</v>
      </c>
      <c r="T6" s="71">
        <v>0</v>
      </c>
      <c r="U6" s="71">
        <v>0</v>
      </c>
      <c r="V6" s="71">
        <v>0</v>
      </c>
      <c r="W6" s="71">
        <v>2956</v>
      </c>
      <c r="X6" s="71">
        <v>3512</v>
      </c>
      <c r="Y6" s="71">
        <v>4929</v>
      </c>
      <c r="Z6" s="71">
        <v>2627</v>
      </c>
      <c r="AA6" s="71">
        <v>1627</v>
      </c>
      <c r="AB6" s="71">
        <v>2936</v>
      </c>
      <c r="AC6" s="71">
        <v>8300</v>
      </c>
      <c r="AD6" s="71">
        <v>273</v>
      </c>
      <c r="AE6" s="71">
        <v>2957</v>
      </c>
    </row>
    <row r="7" spans="1:99" s="72" customFormat="1" ht="22.5" ph="1">
      <c r="B7" s="207" ph="1"/>
      <c r="C7" s="68" t="s" ph="1">
        <v>209</v>
      </c>
      <c r="D7" s="73" ph="1">
        <f>D6*33.183*LOOKUP(D8,密度!$A$2:$A$50,密度!$Q$2:$Q$50)</f>
        <v>129643.73185626001</v>
      </c>
      <c r="E7" s="73" ph="1">
        <f>E6*51.53*LOOKUP(E8,密度!$A$2:$A$50,密度!$I$2:$I$50)</f>
        <v>0</v>
      </c>
      <c r="F7" s="73" ph="1">
        <f>F6*33.183*LOOKUP(F8,密度!$A$2:$A$50,密度!$C$2:$C$50)</f>
        <v>173848.6305576</v>
      </c>
      <c r="G7" s="73" ph="1">
        <f xml:space="preserve"> (G6+2)*51.53*LOOKUP(G8,密度!$A$2:$A$50,密度!$B$2:$B$50)</f>
        <v>188816.226</v>
      </c>
      <c r="H7" s="73" ph="1">
        <f>(H6)*51.53*LOOKUP(H8,密度!$A$2:$A$50,密度!$B$2:$B$50)</f>
        <v>199724.08094100002</v>
      </c>
      <c r="I7" s="73" ph="1">
        <f>I6*290.8*1.0267</f>
        <v>11676.8521196</v>
      </c>
      <c r="J7" s="73" ph="1">
        <f>J6*290.8*0.7892</f>
        <v>1792.3900016000002</v>
      </c>
      <c r="K7" s="73" ph="1">
        <f>K6*290.8*1.1126</f>
        <v>14889.498561600003</v>
      </c>
      <c r="L7" s="73" ph="1">
        <f>L6*290.8*0.777</f>
        <v>10983.507276</v>
      </c>
      <c r="M7" s="73" ph="1">
        <f>M6*33.183*LOOKUP(M8,密度!$A$2:$A$50,密度!$D$2:$D$50)</f>
        <v>156426.36096960001</v>
      </c>
      <c r="N7" s="73" ph="1">
        <f>N6*33.183*LOOKUP(N8,密度!$A$2:$A$50,密度!$E$2:$E$50)</f>
        <v>153687.44942279998</v>
      </c>
      <c r="O7" s="73" ph="1">
        <f>O6*20.428*LOOKUP(O8,密度!$A$2:$A$50,密度!$C$2:$C$50)</f>
        <v>106028.45345760002</v>
      </c>
      <c r="P7" s="73" ph="1">
        <f>P6*51.53*LOOKUP(P8,密度!$A$2:$A$50,密度!$B$2:$B$50)</f>
        <v>290336.70541400003</v>
      </c>
      <c r="Q7" s="73" ph="1">
        <f>Q6*1.5*1.5*3.1416*LOOKUP(W8,密度!$A$2:$A$50,密度!$L$2:$L$50)</f>
        <v>46703.788223399999</v>
      </c>
      <c r="R7" s="73" ph="1">
        <f>R6*1.5*1.5*3.1416*LOOKUP(R8,密度!$A$2:$A$50,密度!$L$2:$L$50)</f>
        <v>15249.090779999999</v>
      </c>
      <c r="S7" s="73" ph="1">
        <f>S6*1.5*1.5*3.1416*LOOKUP(S8,密度!$A$2:$A$50,密度!$L$2:$L$50)</f>
        <v>33949.354823999995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19787.358175199999</v>
      </c>
      <c r="X7" s="73" ph="1">
        <f>X6*1.5*1.5*3.1416*LOOKUP(X8,密度!$A$2:$A$50,密度!$L$2:$L$50)</f>
        <v>23732.626579200001</v>
      </c>
      <c r="Y7" s="73" ph="1">
        <f>Y6*1.5*1.5*3.1416*LOOKUP(Y8,密度!$A$2:$A$50,密度!$L$2:$L$50)</f>
        <v>32994.549541799999</v>
      </c>
      <c r="Z7" s="73" ph="1">
        <f>Z6*33.183*LOOKUP(Z8,密度!$A$2:$A$50,密度!$L$2:$L$50)</f>
        <v>82551.638726999998</v>
      </c>
      <c r="AA7" s="73" ph="1">
        <f>AA6*33.183*LOOKUP(AA8,密度!$A$2:$A$50,密度!$D$2:$D$50)</f>
        <v>55959.330046499999</v>
      </c>
      <c r="AB7" s="73" ph="1">
        <f>AB6*20.428*LOOKUP(AB8,密度!$A$2:$A$50,密度!$D$2:$D$50)</f>
        <v>62645.567056</v>
      </c>
      <c r="AC7" s="73" ph="1">
        <f>AC6*51.53*LOOKUP(AC8,密度!$A$2:$A$50,密度!$Q$2:$Q$50)</f>
        <v>408255.80346000002</v>
      </c>
      <c r="AD7" s="73" ph="1">
        <f>AD6*20.428*LOOKUP(AD8,密度!$A$2:$A$50,密度!$V$2:$V$50)</f>
        <v>5376.0776159999996</v>
      </c>
      <c r="AE7" s="73" ph="1">
        <f>AE6*20.428</f>
        <v>60405.596000000005</v>
      </c>
    </row>
    <row r="8" spans="1:99" ph="1">
      <c r="B8" s="207" ph="1"/>
      <c r="C8" s="68" t="s" ph="1">
        <v>210</v>
      </c>
      <c r="D8" s="74">
        <v>15</v>
      </c>
      <c r="E8" s="74">
        <v>15</v>
      </c>
      <c r="F8" s="74">
        <v>14</v>
      </c>
      <c r="G8" s="74">
        <v>15</v>
      </c>
      <c r="H8" s="74">
        <v>9</v>
      </c>
      <c r="I8" s="74">
        <v>25</v>
      </c>
      <c r="J8" s="74">
        <v>25</v>
      </c>
      <c r="K8" s="74">
        <v>25</v>
      </c>
      <c r="L8" s="74">
        <v>25</v>
      </c>
      <c r="M8" s="74">
        <v>15</v>
      </c>
      <c r="N8" s="74">
        <v>15</v>
      </c>
      <c r="O8" s="74">
        <v>21</v>
      </c>
      <c r="P8" s="74">
        <v>14</v>
      </c>
      <c r="Q8" s="74">
        <v>14</v>
      </c>
      <c r="R8" s="74">
        <v>22</v>
      </c>
      <c r="S8" s="74">
        <v>10</v>
      </c>
      <c r="T8" s="74">
        <v>11</v>
      </c>
      <c r="U8" s="74">
        <v>15</v>
      </c>
      <c r="V8" s="74">
        <v>21</v>
      </c>
      <c r="W8" s="74">
        <v>15</v>
      </c>
      <c r="X8" s="74">
        <v>6</v>
      </c>
      <c r="Y8" s="74">
        <v>15</v>
      </c>
      <c r="Z8" s="74">
        <v>15</v>
      </c>
      <c r="AA8" s="74">
        <v>14</v>
      </c>
      <c r="AB8" s="74">
        <v>5</v>
      </c>
      <c r="AC8" s="74">
        <v>13</v>
      </c>
      <c r="AD8" s="74">
        <v>13</v>
      </c>
      <c r="AE8" s="74">
        <v>7</v>
      </c>
    </row>
    <row r="9" spans="1:99" ph="1">
      <c r="B9" s="207" ph="1">
        <v>0.66666666666666663</v>
      </c>
      <c r="C9" s="155" t="s" ph="1">
        <v>211</v>
      </c>
      <c r="D9" s="71">
        <v>4092</v>
      </c>
      <c r="E9" s="71">
        <v>0</v>
      </c>
      <c r="F9" s="71">
        <v>4486</v>
      </c>
      <c r="G9" s="71">
        <v>4360</v>
      </c>
      <c r="H9" s="71">
        <v>7046</v>
      </c>
      <c r="I9" s="71">
        <v>39.07</v>
      </c>
      <c r="J9" s="71">
        <v>7.79</v>
      </c>
      <c r="K9" s="71">
        <v>19.29</v>
      </c>
      <c r="L9" s="71">
        <v>21.32</v>
      </c>
      <c r="M9" s="71">
        <v>4553</v>
      </c>
      <c r="N9" s="71">
        <v>5831</v>
      </c>
      <c r="O9" s="71">
        <v>4469</v>
      </c>
      <c r="P9" s="71">
        <v>6934</v>
      </c>
      <c r="Q9" s="71">
        <v>6982</v>
      </c>
      <c r="R9" s="71">
        <v>4351</v>
      </c>
      <c r="S9" s="71">
        <v>5048</v>
      </c>
      <c r="T9" s="71">
        <v>2380</v>
      </c>
      <c r="U9" s="71">
        <v>0</v>
      </c>
      <c r="V9" s="71">
        <v>0</v>
      </c>
      <c r="W9" s="71">
        <v>0</v>
      </c>
      <c r="X9" s="71">
        <v>4050</v>
      </c>
      <c r="Y9" s="71">
        <v>4933</v>
      </c>
      <c r="Z9" s="71">
        <v>3566</v>
      </c>
      <c r="AA9" s="71">
        <v>1624</v>
      </c>
      <c r="AB9" s="71">
        <v>2859</v>
      </c>
      <c r="AC9" s="71">
        <v>8300</v>
      </c>
      <c r="AD9" s="71">
        <v>270</v>
      </c>
      <c r="AE9" s="71">
        <v>2825</v>
      </c>
    </row>
    <row r="10" spans="1:99" s="72" customFormat="1" ht="22.5" ph="1">
      <c r="B10" s="207" ph="1"/>
      <c r="C10" s="155" t="s" ph="1">
        <v>209</v>
      </c>
      <c r="D10" s="73" ph="1">
        <f>D9*33.183*LOOKUP(D11,密度!$A$2:$A$50,密度!$Q$2:$Q$50)</f>
        <v>129484.41960960001</v>
      </c>
      <c r="E10" s="73" ph="1">
        <f>E9*51.53*LOOKUP(E11,密度!$A$2:$A$50,密度!$I$2:$I$50)</f>
        <v>0</v>
      </c>
      <c r="F10" s="73" ph="1">
        <f>F9*33.183*LOOKUP(F11,密度!$A$2:$A$50,密度!$C$2:$C$50)</f>
        <v>166007.4876576</v>
      </c>
      <c r="G10" s="73" ph="1">
        <f xml:space="preserve"> (G9+2)*51.53*LOOKUP(G11,密度!$A$2:$A$50,密度!$B$2:$B$50)</f>
        <v>176762.163504</v>
      </c>
      <c r="H10" s="73" ph="1">
        <f>(H9)*51.53*LOOKUP(H11,密度!$A$2:$A$50,密度!$B$2:$B$50)</f>
        <v>285526.41083200002</v>
      </c>
      <c r="I10" s="73" ph="1">
        <f>I9*290.8*1.0267</f>
        <v>11664.9095452</v>
      </c>
      <c r="J10" s="73" ph="1">
        <f>J9*290.8*0.7892</f>
        <v>1787.8000144</v>
      </c>
      <c r="K10" s="73" ph="1">
        <f>K9*290.8*1.1126</f>
        <v>6241.1653032000004</v>
      </c>
      <c r="L10" s="73" ph="1">
        <f>L9*290.8*0.777</f>
        <v>4817.2881120000011</v>
      </c>
      <c r="M10" s="73" ph="1">
        <f>M9*33.183*LOOKUP(M11,密度!$A$2:$A$50,密度!$D$2:$D$50)</f>
        <v>156083.01978689997</v>
      </c>
      <c r="N10" s="73" ph="1">
        <f>N9*33.183*LOOKUP(N11,密度!$A$2:$A$50,密度!$E$2:$E$50)</f>
        <v>153766.5610131</v>
      </c>
      <c r="O10" s="73" ph="1">
        <f>O9*20.428*LOOKUP(O11,密度!$A$2:$A$50,密度!$C$2:$C$50)</f>
        <v>101371.4496128</v>
      </c>
      <c r="P10" s="73" ph="1">
        <f>P9*51.53*LOOKUP(P11,密度!$A$2:$A$50,密度!$B$2:$B$50)</f>
        <v>280737.69701399998</v>
      </c>
      <c r="Q10" s="73" ph="1">
        <f>Q9*1.5*1.5*3.1416*LOOKUP(W11,密度!$A$2:$A$50,密度!$L$2:$L$50)</f>
        <v>46391.787288</v>
      </c>
      <c r="R10" s="73" ph="1">
        <f>R9*1.5*1.5*3.1416*LOOKUP(R11,密度!$A$2:$A$50,密度!$L$2:$L$50)</f>
        <v>28910.149883999999</v>
      </c>
      <c r="S10" s="73" ph="1">
        <f>S9*1.5*1.5*3.1416*LOOKUP(S11,密度!$A$2:$A$50,密度!$L$2:$L$50)</f>
        <v>33862.495867199999</v>
      </c>
      <c r="T10" s="73" ph="1">
        <f>T9*1.5*1.5*3.1416*LOOKUP(T11,密度!$A$2:$A$50,密度!$L$2:$L$50)</f>
        <v>15965.281331999999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27282.321989999997</v>
      </c>
      <c r="Y10" s="73" ph="1">
        <f>Y9*1.5*1.5*3.1416*LOOKUP(Y11,密度!$A$2:$A$50,密度!$L$2:$L$50)</f>
        <v>32986.455994799995</v>
      </c>
      <c r="Z10" s="73" ph="1">
        <f>Z9*33.183*LOOKUP(Z11,密度!$A$2:$A$50,密度!$L$2:$L$50)</f>
        <v>111822.39620999999</v>
      </c>
      <c r="AA10" s="73" ph="1">
        <f>AA9*33.183*LOOKUP(AA11,密度!$A$2:$A$50,密度!$D$2:$D$50)</f>
        <v>55716.035608800004</v>
      </c>
      <c r="AB10" s="73" ph="1">
        <f>AB9*20.428*LOOKUP(AB11,密度!$A$2:$A$50,密度!$D$2:$D$50)</f>
        <v>60844.924653600006</v>
      </c>
      <c r="AC10" s="73" ph="1">
        <f>AC9*51.53*LOOKUP(AC11,密度!$A$2:$A$50,密度!$Q$2:$Q$50)</f>
        <v>407511.60719999997</v>
      </c>
      <c r="AD10" s="73" ph="1">
        <f>AD9*20.428*LOOKUP(AD11,密度!$A$2:$A$50,密度!$V$2:$V$50)</f>
        <v>5316.9998400000004</v>
      </c>
      <c r="AE10" s="73" ph="1">
        <f>AE9*20.428</f>
        <v>57709.100000000006</v>
      </c>
    </row>
    <row r="11" spans="1:99" ph="1">
      <c r="A11" s="64" t="s" ph="1">
        <v>193</v>
      </c>
      <c r="B11" s="207" ph="1"/>
      <c r="C11" s="155" t="s" ph="1">
        <v>210</v>
      </c>
      <c r="D11" s="74">
        <v>16</v>
      </c>
      <c r="E11" s="74">
        <v>18</v>
      </c>
      <c r="F11" s="74">
        <v>16</v>
      </c>
      <c r="G11" s="74">
        <v>17</v>
      </c>
      <c r="H11" s="74">
        <v>17</v>
      </c>
      <c r="I11" s="74">
        <v>25</v>
      </c>
      <c r="J11" s="74">
        <v>25</v>
      </c>
      <c r="K11" s="74">
        <v>25</v>
      </c>
      <c r="L11" s="74">
        <v>25</v>
      </c>
      <c r="M11" s="74">
        <v>18</v>
      </c>
      <c r="N11" s="74">
        <v>15</v>
      </c>
      <c r="O11" s="74">
        <v>23</v>
      </c>
      <c r="P11" s="74">
        <v>18</v>
      </c>
      <c r="Q11" s="74">
        <v>15</v>
      </c>
      <c r="R11" s="74">
        <v>22</v>
      </c>
      <c r="S11" s="74">
        <v>13</v>
      </c>
      <c r="T11" s="74">
        <v>13</v>
      </c>
      <c r="U11" s="74">
        <v>18</v>
      </c>
      <c r="V11" s="74">
        <v>25</v>
      </c>
      <c r="W11" s="74">
        <v>22</v>
      </c>
      <c r="X11" s="74">
        <v>9</v>
      </c>
      <c r="Y11" s="74">
        <v>16</v>
      </c>
      <c r="Z11" s="74">
        <v>17</v>
      </c>
      <c r="AA11" s="74">
        <v>17</v>
      </c>
      <c r="AB11" s="74">
        <v>8</v>
      </c>
      <c r="AC11" s="74">
        <v>17</v>
      </c>
      <c r="AD11" s="74">
        <v>19</v>
      </c>
      <c r="AE11" s="74">
        <v>19</v>
      </c>
    </row>
    <row r="12" spans="1:99" ht="9.9499999999999993" customHeight="1" ph="1"/>
    <row r="13" spans="1:99" s="72" customFormat="1" ht="29.25" customHeight="1" ph="1">
      <c r="B13" s="215" t="s" ph="1">
        <v>37</v>
      </c>
      <c r="C13" s="155" t="s" ph="1">
        <v>207</v>
      </c>
      <c r="D13" s="76" t="s" ph="1">
        <v>53</v>
      </c>
      <c r="E13" s="76" t="s" ph="1">
        <v>54</v>
      </c>
      <c r="F13" s="76" t="s" ph="1">
        <v>66</v>
      </c>
      <c r="G13" s="76" t="s" ph="1">
        <v>67</v>
      </c>
      <c r="H13" s="76" t="s" ph="1">
        <v>152</v>
      </c>
      <c r="I13" s="76" t="s" ph="1">
        <v>68</v>
      </c>
      <c r="J13" s="76" t="s" ph="1">
        <v>153</v>
      </c>
      <c r="K13" s="76" t="s" ph="1">
        <v>63</v>
      </c>
      <c r="L13" s="76" t="s" ph="1">
        <v>69</v>
      </c>
      <c r="M13" s="76" t="s" ph="1">
        <v>70</v>
      </c>
      <c r="N13" s="76" t="s" ph="1">
        <v>154</v>
      </c>
      <c r="O13" s="76" t="s" ph="1">
        <v>64</v>
      </c>
      <c r="P13" s="76" t="s" ph="1">
        <v>71</v>
      </c>
      <c r="Q13" s="76" t="s" ph="1">
        <v>72</v>
      </c>
      <c r="R13" s="76" t="s" ph="1">
        <v>73</v>
      </c>
      <c r="S13" s="76" t="s" ph="1">
        <v>74</v>
      </c>
      <c r="T13" s="76" t="s" ph="1">
        <v>75</v>
      </c>
      <c r="U13" s="76" t="s" ph="1">
        <v>76</v>
      </c>
      <c r="V13" s="76" t="s" ph="1">
        <v>155</v>
      </c>
      <c r="W13" s="76" t="s" ph="1">
        <v>156</v>
      </c>
      <c r="X13" s="76" t="s" ph="1">
        <v>157</v>
      </c>
      <c r="Y13" s="105" t="s" ph="1">
        <v>77</v>
      </c>
      <c r="Z13" s="76" t="s" ph="1">
        <v>86</v>
      </c>
      <c r="AA13" s="76" t="s" ph="1">
        <v>158</v>
      </c>
      <c r="AB13" s="76" t="s" ph="1">
        <v>159</v>
      </c>
      <c r="AC13" s="76" t="s" ph="1">
        <v>160</v>
      </c>
      <c r="AD13" s="76" t="s" ph="1">
        <v>161</v>
      </c>
      <c r="AE13" s="76" t="s" ph="1">
        <v>162</v>
      </c>
      <c r="AG13" s="72" t="s" ph="1">
        <v>366</v>
      </c>
      <c r="AH13" s="72" t="s" ph="1">
        <v>229</v>
      </c>
      <c r="AI13" s="72" t="s" ph="1">
        <v>230</v>
      </c>
      <c r="AJ13" s="72" t="s" ph="1">
        <v>231</v>
      </c>
      <c r="AK13" s="72" t="s" ph="1">
        <v>232</v>
      </c>
      <c r="AL13" s="72" t="s" ph="1">
        <v>233</v>
      </c>
      <c r="AM13" s="72" t="s" ph="1">
        <v>234</v>
      </c>
      <c r="AN13" s="72" t="s" ph="1">
        <v>235</v>
      </c>
      <c r="AO13" s="72" t="s" ph="1">
        <v>236</v>
      </c>
      <c r="AP13" s="72" t="s" ph="1">
        <v>237</v>
      </c>
      <c r="AQ13" s="72" t="s" ph="1">
        <v>238</v>
      </c>
      <c r="AR13" s="72" t="s" ph="1">
        <v>239</v>
      </c>
      <c r="AS13" s="72" t="s" ph="1">
        <v>240</v>
      </c>
      <c r="AT13" s="72" t="s" ph="1">
        <v>241</v>
      </c>
      <c r="AU13" s="72" t="s" ph="1">
        <v>242</v>
      </c>
      <c r="AV13" s="72" t="s" ph="1">
        <v>243</v>
      </c>
      <c r="AW13" s="72" t="s" ph="1">
        <v>244</v>
      </c>
      <c r="AX13" s="72" t="s" ph="1">
        <v>245</v>
      </c>
      <c r="AY13" s="72" t="s" ph="1">
        <v>367</v>
      </c>
      <c r="AZ13" s="72" t="s" ph="1">
        <v>246</v>
      </c>
      <c r="BA13" s="72" t="s" ph="1">
        <v>247</v>
      </c>
      <c r="BB13" s="72" t="s" ph="1">
        <v>632</v>
      </c>
      <c r="BC13" s="72" t="s" ph="1">
        <v>248</v>
      </c>
      <c r="BD13" s="72" t="s" ph="1">
        <v>368</v>
      </c>
      <c r="BE13" s="72" t="s" ph="1">
        <v>369</v>
      </c>
      <c r="BF13" s="72" t="s" ph="1">
        <v>370</v>
      </c>
      <c r="BG13" s="72" t="s" ph="1">
        <v>371</v>
      </c>
      <c r="BH13" s="72" t="s" ph="1">
        <v>372</v>
      </c>
    </row>
    <row r="14" spans="1:99" s="72" customFormat="1" ht="24" ph="1">
      <c r="B14" s="216" ph="1"/>
      <c r="C14" s="67" t="s" ph="1">
        <v>36</v>
      </c>
      <c r="D14" s="77" t="s" ph="1">
        <v>130</v>
      </c>
      <c r="E14" s="77" t="s" ph="1">
        <v>130</v>
      </c>
      <c r="F14" s="142" t="s" ph="1">
        <v>651</v>
      </c>
      <c r="G14" s="77" t="s" ph="1">
        <v>217</v>
      </c>
      <c r="H14" s="77" t="s" ph="1">
        <v>645</v>
      </c>
      <c r="I14" s="77" t="s" ph="1">
        <v>65</v>
      </c>
      <c r="J14" s="77" t="s" ph="1">
        <v>227</v>
      </c>
      <c r="K14" s="77" t="s" ph="1">
        <v>223</v>
      </c>
      <c r="L14" s="77" t="s" ph="1">
        <v>41</v>
      </c>
      <c r="M14" s="104" t="s" ph="1">
        <v>222</v>
      </c>
      <c r="N14" s="104" t="s" ph="1">
        <v>218</v>
      </c>
      <c r="O14" s="104" t="s" ph="1">
        <v>226</v>
      </c>
      <c r="P14" s="77" t="s" ph="1">
        <v>82</v>
      </c>
      <c r="Q14" s="77" t="s" ph="1">
        <v>82</v>
      </c>
      <c r="R14" s="88" t="s" ph="1">
        <v>7</v>
      </c>
      <c r="S14" s="77" t="s" ph="1">
        <v>82</v>
      </c>
      <c r="T14" s="77" t="s" ph="1">
        <v>98</v>
      </c>
      <c r="U14" s="77" t="s" ph="1">
        <v>652</v>
      </c>
      <c r="V14" s="77" t="s" ph="1">
        <v>646</v>
      </c>
      <c r="W14" s="77" t="s" ph="1">
        <v>220</v>
      </c>
      <c r="X14" s="77" t="s" ph="1">
        <v>78</v>
      </c>
      <c r="Y14" s="141" t="s" ph="1">
        <v>0</v>
      </c>
      <c r="Z14" s="77" t="s" ph="1">
        <v>62</v>
      </c>
      <c r="AA14" s="77" t="s" ph="1">
        <v>88</v>
      </c>
      <c r="AB14" s="77" t="s" ph="1">
        <v>648</v>
      </c>
      <c r="AC14" s="77" t="s" ph="1">
        <v>648</v>
      </c>
      <c r="AD14" s="77" t="s" ph="1">
        <v>135</v>
      </c>
      <c r="AE14" s="77" t="s" ph="1">
        <v>135</v>
      </c>
      <c r="AG14" s="72" t="s" ph="1">
        <v>249</v>
      </c>
      <c r="AI14" s="72" t="s" ph="1">
        <v>250</v>
      </c>
      <c r="AJ14" s="72" t="s" ph="1">
        <v>373</v>
      </c>
      <c r="AK14" s="72" t="s" ph="1">
        <v>251</v>
      </c>
      <c r="AM14" s="72" t="s" ph="1">
        <v>253</v>
      </c>
      <c r="AN14" s="72" t="s" ph="1">
        <v>251</v>
      </c>
      <c r="AO14" s="72" t="s" ph="1">
        <v>252</v>
      </c>
      <c r="AP14" s="72" t="s" ph="1">
        <v>253</v>
      </c>
      <c r="AQ14" s="72" t="s" ph="1">
        <v>251</v>
      </c>
      <c r="AR14" s="72" t="s" ph="1">
        <v>252</v>
      </c>
      <c r="AS14" s="72" t="s" ph="1">
        <v>253</v>
      </c>
      <c r="AT14" s="72" t="s" ph="1">
        <v>251</v>
      </c>
      <c r="AU14" s="72" t="s" ph="1">
        <v>252</v>
      </c>
      <c r="AV14" s="72" t="s" ph="1">
        <v>253</v>
      </c>
      <c r="AW14" s="72" t="s" ph="1">
        <v>251</v>
      </c>
      <c r="AX14" s="72" t="s" ph="1">
        <v>252</v>
      </c>
      <c r="AY14" s="72" t="s" ph="1">
        <v>253</v>
      </c>
      <c r="AZ14" s="72" t="s" ph="1">
        <v>252</v>
      </c>
    </row>
    <row r="15" spans="1:99" ph="1">
      <c r="B15" s="217" ph="1">
        <v>0.33333333333333331</v>
      </c>
      <c r="C15" s="155" t="s" ph="1">
        <v>208</v>
      </c>
      <c r="D15" s="78">
        <v>0</v>
      </c>
      <c r="E15" s="78">
        <v>1177</v>
      </c>
      <c r="F15" s="78">
        <v>2193</v>
      </c>
      <c r="G15" s="78">
        <v>1994</v>
      </c>
      <c r="H15" s="78">
        <v>2863</v>
      </c>
      <c r="I15" s="78">
        <v>12</v>
      </c>
      <c r="J15" s="78">
        <v>513</v>
      </c>
      <c r="K15" s="78">
        <v>1593</v>
      </c>
      <c r="L15" s="78">
        <v>6282</v>
      </c>
      <c r="M15" s="78">
        <v>3404</v>
      </c>
      <c r="N15" s="78">
        <v>233</v>
      </c>
      <c r="O15" s="78">
        <v>234</v>
      </c>
      <c r="P15" s="78">
        <v>1099</v>
      </c>
      <c r="Q15" s="78">
        <v>2708</v>
      </c>
      <c r="R15" s="78">
        <v>3486</v>
      </c>
      <c r="S15" s="78">
        <v>5603</v>
      </c>
      <c r="T15" s="78">
        <v>6694</v>
      </c>
      <c r="U15" s="78">
        <v>2024</v>
      </c>
      <c r="V15" s="78">
        <v>305</v>
      </c>
      <c r="W15" s="78">
        <v>-595</v>
      </c>
      <c r="X15" s="78">
        <v>631</v>
      </c>
      <c r="Y15" s="106">
        <v>-9900</v>
      </c>
      <c r="Z15" s="78">
        <v>0</v>
      </c>
      <c r="AA15" s="78">
        <v>2506</v>
      </c>
      <c r="AB15" s="78" ph="1">
        <v>2806</v>
      </c>
      <c r="AC15" s="78" ph="1">
        <v>6490</v>
      </c>
      <c r="AD15" s="78">
        <v>5.61</v>
      </c>
      <c r="AE15" s="78">
        <v>66.010000000000005</v>
      </c>
      <c r="AG15" s="64" t="s" ph="1">
        <v>255</v>
      </c>
      <c r="AH15" s="64" ph="1">
        <v>1</v>
      </c>
      <c r="AI15" s="64" t="s" ph="1">
        <v>374</v>
      </c>
      <c r="AK15" s="64" t="s" ph="1">
        <v>628</v>
      </c>
      <c r="AM15" s="64" t="s" ph="1">
        <v>376</v>
      </c>
      <c r="AZ15" s="64" t="s" ph="1">
        <v>257</v>
      </c>
      <c r="BA15" s="64" ph="1">
        <v>0</v>
      </c>
    </row>
    <row r="16" spans="1:99" s="72" customFormat="1" ht="22.5" ph="1">
      <c r="B16" s="218" ph="1"/>
      <c r="C16" s="155" t="s" ph="1">
        <v>209</v>
      </c>
      <c r="D16" s="73" ph="1">
        <f>D15*7.0686*LOOKUP(D17,密度!$A$2:$A$50,密度!$L$2:$L$50)</f>
        <v>0</v>
      </c>
      <c r="E16" s="73" ph="1">
        <f>E15*7.0686*LOOKUP(E17,密度!$A$2:$A$50,密度!$L$2:$L$50)</f>
        <v>7895.4353478000003</v>
      </c>
      <c r="F16" s="73" ph="1">
        <f>F15*9.0746*LOOKUP(F17,密度!$A$2:$A$50,密度!$L$2:$L$50)</f>
        <v>18845.866116599998</v>
      </c>
      <c r="G16" s="73" ph="1">
        <f>G15*9.0746*LOOKUP(G17,密度!$A$2:$A$50,密度!$B$2:$B$50)</f>
        <v>14258.664891200002</v>
      </c>
      <c r="H16" s="73" ph="1">
        <f>H15*9.0746*LOOKUP(H17,密度!$A$2:$A$50,密度!$L$2:$L$50)</f>
        <v>24733.5119696</v>
      </c>
      <c r="I16" s="73" ph="1">
        <f>I15*9.0746*LOOKUP(I17,密度!$A$2:$A$50,密度!$U$2:$U$50)</f>
        <v>111.94426560000001</v>
      </c>
      <c r="J16" s="73" ph="1">
        <f>J15*9.0746*LOOKUP(J17,密度!$A$2:$A$50,密度!$L$2:$L$50)</f>
        <v>4408.5405006000001</v>
      </c>
      <c r="K16" s="73" ph="1">
        <f>K15*9.0746*LOOKUP(K17,密度!$A$2:$A$50,密度!$C$2:$C$50)</f>
        <v>16129.82381724</v>
      </c>
      <c r="L16" s="73" ph="1">
        <f>L15*9.0746*LOOKUP(L17,密度!$A$2:$A$50,密度!$E$2:$E$50)</f>
        <v>45303.174582840002</v>
      </c>
      <c r="M16" s="73" ph="1">
        <f>M15*9.0746*LOOKUP(M17,密度!$A$2:$A$50,密度!$M$2:$M$50)</f>
        <v>27192.412773519998</v>
      </c>
      <c r="N16" s="73" ph="1">
        <f>N15*9.0746*LOOKUP(N17,密度!$A$2:$A$50,密度!$M$2:$M$50)</f>
        <v>1861.2902985400001</v>
      </c>
      <c r="O16" s="73" ph="1">
        <f>O15*9.0746*LOOKUP(O17,密度!$A$2:$A$50,密度!$G$2:$G$50)</f>
        <v>2055.5057952000002</v>
      </c>
      <c r="P16" s="73" ph="1">
        <f ca="1">P15*9.0746*LOOKUP(P17,密度!$A$2:$A$51,密度!$Q$2:$Q$50)</f>
        <v>9519.6134837160007</v>
      </c>
      <c r="Q16" s="73" ph="1">
        <f>Q15*9.0746*LOOKUP(Q17,密度!$A$2:$A$50,密度!$Q$2:$Q$50)</f>
        <v>23456.881996272001</v>
      </c>
      <c r="R16" s="73" ph="1">
        <f>MAX(R15*9.0746*LOOKUP(R17,密度!$A$2:$A$50,密度!$B$2:$B$50),0)</f>
        <v>24877.021323839999</v>
      </c>
      <c r="S16" s="73" ph="1">
        <f>S15*9.0746*LOOKUP(S17,密度!$A$2:$A$50,密度!$Q$2:$Q$50)</f>
        <v>48533.570836452003</v>
      </c>
      <c r="T16" s="73" ph="1">
        <f>T15*9.0746*LOOKUP(T17,密度!$A$2:$A$50,密度!$O$2:$O$50)</f>
        <v>56736.177821600002</v>
      </c>
      <c r="U16" s="73" ph="1">
        <f>U15*9.0746*LOOKUP(U17,密度!$A$2:$A$50,密度!$H$2:$H$50)</f>
        <v>17020.69000368</v>
      </c>
      <c r="V16" s="73" ph="1">
        <f>MAX(5600*LOOKUP(V17,密度!$A$2:$A$50,密度!$Q$2:$Q$50)+V15*9.0476*LOOKUP(V17,密度!$A$2:$A$50,密度!$Q$2:$Q$50),0)</f>
        <v>7979.49431172</v>
      </c>
      <c r="W16" s="73" ph="1">
        <f>MAX(5600*LOOKUP(W17,密度!$A$2:$A$50,密度!$Q$2:$Q$50)+W15*9.0476*LOOKUP(W17,密度!$A$2:$A$50,密度!$Q$2:$Q$50),0)</f>
        <v>206.8278181200003</v>
      </c>
      <c r="X16" s="73" ph="1">
        <f>MAX(5600*LOOKUP(X17,密度!$A$2:$A$50,密度!$I$2:$I$50)+X15*9.0476*LOOKUP(X17,密度!$A$2:$A$50,密度!$I$2:$I$50),0)</f>
        <v>11672.960365608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17919.8667088</v>
      </c>
      <c r="AB16" s="73" ph="1">
        <f>AB15*9.0746*LOOKUP(AB17,密度!$A$2:$A$50,密度!$L$2:$L$50)</f>
        <v>23960.9912716</v>
      </c>
      <c r="AC16" s="73" ph="1">
        <f>AC15*9.0746*LOOKUP(AC17,密度!$A$2:$A$50,密度!$L$2:$L$50)</f>
        <v>55890.552146000002</v>
      </c>
      <c r="AD16" s="73" ph="1">
        <f>AD15*268.68*LOOKUP(AD17,密度!$A$2:$A$50,密度!B2:B50)+IF(AD15&lt;=0,0,1566*LOOKUP(AD17,密度!$A$2:$A$50,密度!B2:B50))</f>
        <v>2395.9406260799997</v>
      </c>
      <c r="AE16" s="73" ph="1">
        <f>AE15*268.68*LOOKUP(AE17,密度!$A$2:$A$50,密度!B2:B50)+IF(AE15&lt;=0,0,1566*LOOKUP(AE17,密度!$A$2:$A$50,密度!B2:B50))</f>
        <v>15047.50147728</v>
      </c>
      <c r="AH16" s="72" ph="1">
        <v>2</v>
      </c>
      <c r="AI16" s="72" t="s" ph="1">
        <v>378</v>
      </c>
      <c r="AZ16" s="72" t="s" ph="1">
        <v>257</v>
      </c>
      <c r="BA16" s="72" ph="1">
        <v>0</v>
      </c>
    </row>
    <row r="17" spans="1:57" ph="1">
      <c r="A17" s="64" t="s" ph="1">
        <v>85</v>
      </c>
      <c r="B17" s="219" ph="1"/>
      <c r="C17" s="79" t="s" ph="1">
        <v>210</v>
      </c>
      <c r="D17" s="74">
        <v>13</v>
      </c>
      <c r="E17" s="74">
        <v>13</v>
      </c>
      <c r="F17" s="74">
        <v>15</v>
      </c>
      <c r="G17" s="74">
        <v>15</v>
      </c>
      <c r="H17" s="74">
        <v>10</v>
      </c>
      <c r="I17" s="74">
        <v>14</v>
      </c>
      <c r="J17" s="74">
        <v>15</v>
      </c>
      <c r="K17" s="74">
        <v>15</v>
      </c>
      <c r="L17" s="74">
        <v>15</v>
      </c>
      <c r="M17" s="74">
        <v>17</v>
      </c>
      <c r="N17" s="74">
        <v>15</v>
      </c>
      <c r="O17" s="74">
        <v>18</v>
      </c>
      <c r="P17" s="74">
        <v>15</v>
      </c>
      <c r="Q17" s="74">
        <v>13</v>
      </c>
      <c r="R17" s="74">
        <v>17</v>
      </c>
      <c r="S17" s="74">
        <v>13</v>
      </c>
      <c r="T17" s="74">
        <v>15</v>
      </c>
      <c r="U17" s="74">
        <v>13</v>
      </c>
      <c r="V17" s="74">
        <v>15</v>
      </c>
      <c r="W17" s="74">
        <v>15</v>
      </c>
      <c r="X17" s="74">
        <v>34</v>
      </c>
      <c r="Y17" s="108">
        <v>34</v>
      </c>
      <c r="Z17" s="74">
        <v>15</v>
      </c>
      <c r="AA17" s="74">
        <v>15</v>
      </c>
      <c r="AB17" s="74">
        <v>21</v>
      </c>
      <c r="AC17" s="74">
        <v>13</v>
      </c>
      <c r="AD17" s="74">
        <v>25</v>
      </c>
      <c r="AE17" s="74">
        <v>25</v>
      </c>
      <c r="AH17" s="64" ph="1">
        <v>3</v>
      </c>
      <c r="AI17" s="64" t="s" ph="1">
        <v>379</v>
      </c>
      <c r="AK17" s="64" t="s" ph="1">
        <v>611</v>
      </c>
      <c r="AL17" s="64" ph="1">
        <v>80</v>
      </c>
      <c r="AM17" s="64" t="s" ph="1">
        <v>376</v>
      </c>
      <c r="AZ17" s="64" t="s" ph="1">
        <v>257</v>
      </c>
      <c r="BA17" s="64" ph="1">
        <v>80</v>
      </c>
      <c r="BD17" s="64" t="s" ph="1">
        <v>255</v>
      </c>
      <c r="BE17" s="64" ph="1">
        <v>2270</v>
      </c>
    </row>
    <row r="18" spans="1:57" ph="1">
      <c r="B18" s="217" ph="1">
        <v>0.66666666666666663</v>
      </c>
      <c r="C18" s="79" t="s" ph="1">
        <v>211</v>
      </c>
      <c r="D18" s="71">
        <v>0</v>
      </c>
      <c r="E18" s="71">
        <v>605</v>
      </c>
      <c r="F18" s="71">
        <v>2193</v>
      </c>
      <c r="G18" s="71">
        <v>2016</v>
      </c>
      <c r="H18" s="71">
        <v>2864</v>
      </c>
      <c r="I18" s="71">
        <v>8</v>
      </c>
      <c r="J18" s="71">
        <v>622</v>
      </c>
      <c r="K18" s="71">
        <v>1593</v>
      </c>
      <c r="L18" s="71">
        <v>6287</v>
      </c>
      <c r="M18" s="71">
        <v>3405</v>
      </c>
      <c r="N18" s="71">
        <v>2312</v>
      </c>
      <c r="O18" s="71">
        <v>231</v>
      </c>
      <c r="P18" s="71">
        <v>1097</v>
      </c>
      <c r="Q18" s="71">
        <v>2714</v>
      </c>
      <c r="R18" s="71">
        <v>3488</v>
      </c>
      <c r="S18" s="71">
        <v>5608</v>
      </c>
      <c r="T18" s="71">
        <v>5953</v>
      </c>
      <c r="U18" s="71">
        <v>2022</v>
      </c>
      <c r="V18" s="71">
        <v>305</v>
      </c>
      <c r="W18" s="71">
        <v>-597</v>
      </c>
      <c r="X18" s="71">
        <v>630</v>
      </c>
      <c r="Y18" s="109">
        <v>-9903</v>
      </c>
      <c r="Z18" s="71">
        <v>0</v>
      </c>
      <c r="AA18" s="71">
        <v>2504</v>
      </c>
      <c r="AB18" s="71">
        <v>47</v>
      </c>
      <c r="AC18" s="71">
        <v>6496</v>
      </c>
      <c r="AD18" s="71">
        <v>15.18</v>
      </c>
      <c r="AE18" s="71">
        <v>84.18</v>
      </c>
      <c r="AH18" s="64" ph="1">
        <v>4</v>
      </c>
      <c r="AI18" s="64" t="s" ph="1">
        <v>381</v>
      </c>
      <c r="AJ18" s="64" t="s" ph="1">
        <v>629</v>
      </c>
      <c r="AK18" s="64" t="s" ph="1">
        <v>628</v>
      </c>
      <c r="AL18" s="64" ph="1">
        <v>740</v>
      </c>
      <c r="AM18" s="64" t="s" ph="1">
        <v>380</v>
      </c>
      <c r="AZ18" s="64" t="s" ph="1">
        <v>257</v>
      </c>
      <c r="BA18" s="64" ph="1">
        <v>740</v>
      </c>
    </row>
    <row r="19" spans="1:57" s="72" customFormat="1" ht="22.5" ph="1">
      <c r="B19" s="218" ph="1"/>
      <c r="C19" s="155" t="s" ph="1">
        <v>209</v>
      </c>
      <c r="D19" s="73" ph="1">
        <f>D18*7.0686*LOOKUP(D20,密度!$A$2:$A$50,密度!$L$2:$L$50)</f>
        <v>0</v>
      </c>
      <c r="E19" s="73" ph="1">
        <f>E18*7.0686*LOOKUP(E20,密度!$A$2:$A$50,密度!$L$2:$L$50)</f>
        <v>4049.8483409999994</v>
      </c>
      <c r="F19" s="73" ph="1">
        <f>F18*9.0746*LOOKUP(F20,密度!$A$2:$A$50,密度!$L$2:$L$50)</f>
        <v>18726.462529799999</v>
      </c>
      <c r="G19" s="73" ph="1">
        <f>G18*9.0746*LOOKUP(G20,密度!$A$2:$A$50,密度!$B$2:$B$50)</f>
        <v>14386.71112704</v>
      </c>
      <c r="H19" s="73" ph="1">
        <f>H18*9.0746*LOOKUP(H20,密度!$A$2:$A$50,密度!$L$2:$L$50)</f>
        <v>24612.202716799999</v>
      </c>
      <c r="I19" s="73" ph="1">
        <f>I18*9.0746*LOOKUP(I20,密度!$A$2:$A$50,密度!$U$2:$U$50)</f>
        <v>74.629510400000001</v>
      </c>
      <c r="J19" s="73" ph="1">
        <f>J18*9.0746*LOOKUP(J20,密度!$A$2:$A$50,密度!$L$2:$L$50)</f>
        <v>5317.0259304000001</v>
      </c>
      <c r="K19" s="73" ph="1">
        <f>K18*9.0746*LOOKUP(K20,密度!$A$2:$A$50,密度!$C$2:$C$50)</f>
        <v>16102.357725419999</v>
      </c>
      <c r="L19" s="73" ph="1">
        <f>L18*9.0746*LOOKUP(L20,密度!$A$2:$A$50,密度!$E$2:$E$50)</f>
        <v>45213.718083500004</v>
      </c>
      <c r="M19" s="73" ph="1">
        <f>M18*9.0746*LOOKUP(M20,密度!$A$2:$A$50,密度!$M$2:$M$50)</f>
        <v>27200.401143899999</v>
      </c>
      <c r="N19" s="73" ph="1">
        <f>N18*9.0746*LOOKUP(N20,密度!$A$2:$A$50,密度!$M$2:$M$50)</f>
        <v>18469.112318560001</v>
      </c>
      <c r="O19" s="73" ph="1">
        <f>O18*9.0746*LOOKUP(O20,密度!$A$2:$A$50,密度!$G$2:$G$50)</f>
        <v>2024.7510683400003</v>
      </c>
      <c r="P19" s="73" ph="1">
        <f ca="1">P18*9.0746*LOOKUP(P20,密度!$A$2:$A$51,密度!$Q$2:$Q$50)</f>
        <v>9454.0083907780008</v>
      </c>
      <c r="Q19" s="73" ph="1">
        <f>Q18*9.0746*LOOKUP(Q20,密度!$A$2:$A$50,密度!$Q$2:$Q$50)</f>
        <v>23508.854408376003</v>
      </c>
      <c r="R19" s="73" ph="1">
        <f>MAX(R18*9.0746*LOOKUP(R20,密度!$A$2:$A$50,密度!$B$2:$B$50),0)</f>
        <v>24843.81554752</v>
      </c>
      <c r="S19" s="73" ph="1">
        <f>S18*9.0746*LOOKUP(S20,密度!$A$2:$A$50,密度!$Q$2:$Q$50)</f>
        <v>48576.881179872005</v>
      </c>
      <c r="T19" s="73" ph="1">
        <f>T18*9.0746*LOOKUP(T20,密度!$A$2:$A$50,密度!$O$2:$O$50)</f>
        <v>50455.701609200005</v>
      </c>
      <c r="U19" s="73" ph="1">
        <f>U18*9.0746*LOOKUP(U20,密度!$A$2:$A$50,密度!$H$2:$H$50)</f>
        <v>16967.173457639998</v>
      </c>
      <c r="V19" s="73" ph="1">
        <f>MAX(5600*LOOKUP(V20,密度!$A$2:$A$50,密度!$Q$2:$Q$50)+V18*9.0476*LOOKUP(V20,密度!$A$2:$A$50,密度!$Q$2:$Q$50),0)</f>
        <v>7964.9487503999999</v>
      </c>
      <c r="W19" s="73" ph="1">
        <f>MAX(5600*LOOKUP(W20,密度!$A$2:$A$50,密度!$Q$2:$Q$50)+W18*9.0476*LOOKUP(W20,密度!$A$2:$A$50,密度!$Q$2:$Q$50),0)</f>
        <v>189.20969184000023</v>
      </c>
      <c r="X19" s="73" ph="1">
        <f>MAX(5600*LOOKUP(X20,密度!$A$2:$A$50,密度!$I$2:$I$50)+X18*9.0476*LOOKUP(X20,密度!$A$2:$A$50,密度!$I$2:$I$50),0)</f>
        <v>11883.067380800001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17926.015657759999</v>
      </c>
      <c r="AB19" s="73" ph="1">
        <f>AB18*9.0746*LOOKUP(AB20,密度!$A$2:$A$50,密度!$L$2:$L$50)</f>
        <v>402.19534659999999</v>
      </c>
      <c r="AC19" s="73" ph="1">
        <f>AC18*9.0746*LOOKUP(AC20,密度!$A$2:$A$50,密度!$L$2:$L$50)</f>
        <v>55824.325715200001</v>
      </c>
      <c r="AD19" s="73" ph="1">
        <f>AD18*268.68*LOOKUP(AD20,密度!$A$2:$A$50,密度!B5:B53)+IF(AD18&lt;=0,0,1566*LOOKUP(AD20,密度!$A$2:$A$50,密度!B5:B53))</f>
        <v>4385.8249848000005</v>
      </c>
      <c r="AE19" s="73" ph="1">
        <f>AE18*268.68*LOOKUP(AE20,密度!$A$2:$A$50,密度!B5:B53)+IF(AE18&lt;=0,0,1566*LOOKUP(AE20,密度!$A$2:$A$50,密度!B5:B53))</f>
        <v>18790.5658248</v>
      </c>
      <c r="AH19" s="72" ph="1">
        <v>5</v>
      </c>
      <c r="AI19" s="72" t="s" ph="1">
        <v>382</v>
      </c>
      <c r="AZ19" s="72" t="s" ph="1">
        <v>257</v>
      </c>
      <c r="BA19" s="72" ph="1">
        <v>0</v>
      </c>
      <c r="BD19" s="72" t="s" ph="1">
        <v>383</v>
      </c>
      <c r="BE19" s="72" ph="1">
        <v>1440</v>
      </c>
    </row>
    <row r="20" spans="1:57" ph="1">
      <c r="A20" s="72" ph="1"/>
      <c r="B20" s="218" ph="1"/>
      <c r="C20" s="80" t="s" ph="1">
        <v>210</v>
      </c>
      <c r="D20" s="81">
        <v>15</v>
      </c>
      <c r="E20" s="81">
        <v>15</v>
      </c>
      <c r="F20" s="81">
        <v>21</v>
      </c>
      <c r="G20" s="81">
        <v>17</v>
      </c>
      <c r="H20" s="81">
        <v>15</v>
      </c>
      <c r="I20" s="81">
        <v>19</v>
      </c>
      <c r="J20" s="81">
        <v>20</v>
      </c>
      <c r="K20" s="81">
        <v>18</v>
      </c>
      <c r="L20" s="81">
        <v>17</v>
      </c>
      <c r="M20" s="81">
        <v>17</v>
      </c>
      <c r="N20" s="81">
        <v>17</v>
      </c>
      <c r="O20" s="81">
        <v>20</v>
      </c>
      <c r="P20" s="81">
        <v>21</v>
      </c>
      <c r="Q20" s="81">
        <v>15</v>
      </c>
      <c r="R20" s="81">
        <v>19</v>
      </c>
      <c r="S20" s="81">
        <v>15</v>
      </c>
      <c r="T20" s="81">
        <v>18</v>
      </c>
      <c r="U20" s="81">
        <v>15</v>
      </c>
      <c r="V20" s="81">
        <v>17</v>
      </c>
      <c r="W20" s="81">
        <v>17</v>
      </c>
      <c r="X20" s="81">
        <v>17</v>
      </c>
      <c r="Y20" s="110">
        <v>17</v>
      </c>
      <c r="Z20" s="81">
        <v>21</v>
      </c>
      <c r="AA20" s="81">
        <v>14</v>
      </c>
      <c r="AB20" s="81">
        <v>19</v>
      </c>
      <c r="AC20" s="81">
        <v>15</v>
      </c>
      <c r="AD20" s="81">
        <v>25</v>
      </c>
      <c r="AE20" s="81">
        <v>25</v>
      </c>
      <c r="AH20" s="64" ph="1">
        <v>6</v>
      </c>
      <c r="AI20" s="64" t="s" ph="1">
        <v>384</v>
      </c>
      <c r="AZ20" s="64" t="s" ph="1">
        <v>257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385</v>
      </c>
      <c r="AZ21" s="64" t="s" ph="1">
        <v>257</v>
      </c>
      <c r="BA21" s="64" ph="1">
        <v>0</v>
      </c>
      <c r="BD21" s="64" t="s" ph="1">
        <v>273</v>
      </c>
      <c r="BE21" s="64" ph="1">
        <v>730</v>
      </c>
    </row>
    <row r="22" spans="1:57" ph="1">
      <c r="A22" s="72" ph="1"/>
      <c r="B22" s="216" t="s" ph="1">
        <v>37</v>
      </c>
      <c r="C22" s="85" t="s" ph="1">
        <v>207</v>
      </c>
      <c r="D22" s="86" t="s" ph="1">
        <v>103</v>
      </c>
      <c r="E22" s="86" t="s" ph="1">
        <v>104</v>
      </c>
      <c r="F22" s="86" t="s" ph="1">
        <v>105</v>
      </c>
      <c r="G22" s="86" t="s" ph="1">
        <v>106</v>
      </c>
      <c r="H22" s="86" t="s" ph="1">
        <v>107</v>
      </c>
      <c r="I22" s="86" t="s" ph="1">
        <v>108</v>
      </c>
      <c r="J22" s="86" t="s" ph="1">
        <v>109</v>
      </c>
      <c r="K22" s="86" t="s" ph="1">
        <v>110</v>
      </c>
      <c r="L22" s="86" t="s" ph="1">
        <v>111</v>
      </c>
      <c r="M22" s="86" t="s" ph="1">
        <v>112</v>
      </c>
      <c r="N22" s="86" t="s" ph="1">
        <v>113</v>
      </c>
      <c r="O22" s="86" t="s" ph="1">
        <v>114</v>
      </c>
      <c r="P22" s="86" t="s" ph="1">
        <v>115</v>
      </c>
      <c r="Q22" s="87" t="s" ph="1">
        <v>116</v>
      </c>
      <c r="R22" s="86" t="s" ph="1">
        <v>117</v>
      </c>
      <c r="S22" s="86" t="s" ph="1">
        <v>118</v>
      </c>
      <c r="T22" s="86" t="s" ph="1">
        <v>119</v>
      </c>
      <c r="U22" s="86" t="s" ph="1">
        <v>120</v>
      </c>
      <c r="V22" s="86" t="s" ph="1">
        <v>121</v>
      </c>
      <c r="W22" s="86" t="s" ph="1">
        <v>122</v>
      </c>
      <c r="X22" s="86" t="s" ph="1">
        <v>123</v>
      </c>
      <c r="Y22" s="86" t="s" ph="1">
        <v>125</v>
      </c>
      <c r="Z22" s="195" t="s" ph="1">
        <v>79</v>
      </c>
      <c r="AA22" s="196"/>
      <c r="AB22" s="196"/>
      <c r="AC22" s="196"/>
      <c r="AD22" s="196"/>
      <c r="AE22" s="197"/>
      <c r="AH22" s="64" ph="1">
        <v>8</v>
      </c>
      <c r="AI22" s="64" t="s" ph="1">
        <v>386</v>
      </c>
      <c r="AZ22" s="64" t="s" ph="1">
        <v>257</v>
      </c>
      <c r="BA22" s="64" ph="1">
        <v>0</v>
      </c>
    </row>
    <row r="23" spans="1:57" ph="1">
      <c r="A23" s="72" ph="1"/>
      <c r="B23" s="211" ph="1"/>
      <c r="C23" s="67" t="s" ph="1">
        <v>36</v>
      </c>
      <c r="D23" s="88" t="s" ph="1">
        <v>127</v>
      </c>
      <c r="E23" s="88" t="s" ph="1">
        <v>124</v>
      </c>
      <c r="F23" s="88" t="s" ph="1">
        <v>221</v>
      </c>
      <c r="G23" s="88" t="s" ph="1">
        <v>163</v>
      </c>
      <c r="H23" s="88" t="s" ph="1">
        <v>163</v>
      </c>
      <c r="I23" s="88" t="s" ph="1">
        <v>164</v>
      </c>
      <c r="J23" s="88" t="s" ph="1">
        <v>165</v>
      </c>
      <c r="K23" s="88" t="s" ph="1">
        <v>128</v>
      </c>
      <c r="L23" s="88" t="s" ph="1">
        <v>128</v>
      </c>
      <c r="M23" s="88" t="s" ph="1">
        <v>165</v>
      </c>
      <c r="N23" s="88" t="s" ph="1">
        <v>165</v>
      </c>
      <c r="O23" s="88" t="s" ph="1">
        <v>131</v>
      </c>
      <c r="P23" s="88" t="s" ph="1">
        <v>166</v>
      </c>
      <c r="Q23" s="89" t="s" ph="1">
        <v>166</v>
      </c>
      <c r="R23" s="88" t="s" ph="1">
        <v>167</v>
      </c>
      <c r="S23" s="88" t="s" ph="1">
        <v>168</v>
      </c>
      <c r="T23" s="88" t="s" ph="1">
        <v>647</v>
      </c>
      <c r="U23" s="88" t="s" ph="1">
        <v>653</v>
      </c>
      <c r="V23" s="88" t="s" ph="1">
        <v>169</v>
      </c>
      <c r="W23" s="88" t="s" ph="1">
        <v>168</v>
      </c>
      <c r="X23" s="88" t="s" ph="1">
        <v>228</v>
      </c>
      <c r="Y23" s="88" t="s" ph="1">
        <v>97</v>
      </c>
      <c r="Z23" s="198" t="s" ph="1">
        <v>649</v>
      </c>
      <c r="AA23" s="199"/>
      <c r="AB23" s="199"/>
      <c r="AC23" s="199"/>
      <c r="AD23" s="199"/>
      <c r="AE23" s="200"/>
      <c r="AH23" s="64" ph="1">
        <v>9</v>
      </c>
      <c r="AI23" s="64" t="s" ph="1">
        <v>387</v>
      </c>
      <c r="AZ23" s="64" t="s" ph="1">
        <v>257</v>
      </c>
      <c r="BA23" s="64" ph="1">
        <v>0</v>
      </c>
      <c r="BD23" s="64" t="s" ph="1">
        <v>279</v>
      </c>
      <c r="BE23" s="64" ph="1">
        <v>890</v>
      </c>
    </row>
    <row r="24" spans="1:57" ph="1">
      <c r="A24" s="72" ph="1"/>
      <c r="B24" s="207" ph="1">
        <v>0.33333333333333331</v>
      </c>
      <c r="C24" s="155" t="s" ph="1">
        <v>208</v>
      </c>
      <c r="D24" s="71">
        <v>44.02</v>
      </c>
      <c r="E24" s="71">
        <v>90.81</v>
      </c>
      <c r="F24" s="71">
        <v>2145</v>
      </c>
      <c r="G24" s="71">
        <v>3779</v>
      </c>
      <c r="H24" s="71">
        <v>1784</v>
      </c>
      <c r="I24" s="71">
        <v>851</v>
      </c>
      <c r="J24" s="71">
        <v>759</v>
      </c>
      <c r="K24" s="71">
        <v>5601</v>
      </c>
      <c r="L24" s="71">
        <v>5573</v>
      </c>
      <c r="M24" s="71">
        <v>2467</v>
      </c>
      <c r="N24" s="71">
        <v>3514</v>
      </c>
      <c r="O24" s="71">
        <v>2060</v>
      </c>
      <c r="P24" s="71">
        <v>455</v>
      </c>
      <c r="Q24" s="90">
        <v>1682</v>
      </c>
      <c r="R24" s="71">
        <v>3371</v>
      </c>
      <c r="S24" s="71">
        <v>403</v>
      </c>
      <c r="T24" s="71">
        <v>5</v>
      </c>
      <c r="U24" s="71">
        <v>5875</v>
      </c>
      <c r="V24" s="71">
        <v>409</v>
      </c>
      <c r="W24" s="71">
        <v>1903</v>
      </c>
      <c r="X24" s="71">
        <v>7833</v>
      </c>
      <c r="Y24" s="71">
        <v>4580</v>
      </c>
      <c r="Z24" s="201"/>
      <c r="AA24" s="202"/>
      <c r="AB24" s="202"/>
      <c r="AC24" s="202"/>
      <c r="AD24" s="202"/>
      <c r="AE24" s="203"/>
      <c r="AH24" s="64" ph="1">
        <v>10</v>
      </c>
      <c r="AI24" s="64" t="s" ph="1">
        <v>388</v>
      </c>
      <c r="AZ24" s="64" t="s" ph="1">
        <v>257</v>
      </c>
      <c r="BA24" s="64" ph="1">
        <v>0</v>
      </c>
    </row>
    <row r="25" spans="1:57" ph="1">
      <c r="A25" s="72" ph="1"/>
      <c r="B25" s="207" ph="1"/>
      <c r="C25" s="68" t="s" ph="1">
        <v>209</v>
      </c>
      <c r="D25" s="91" ph="1">
        <f>D24*268.68*LOOKUP(D26,密度!$A$2:$A$50,密度!$Q$2:$Q$50)+IF(D24&lt;=0,0,1566*LOOKUP(D26,密度!$A$2:$A$50,密度!$Q$2:$Q$50))</f>
        <v>12679.966782864001</v>
      </c>
      <c r="E25" s="91" ph="1">
        <f>E24*268.68*LOOKUP(E26,密度!$A$2:$A$50,密度!$C$2:$C$50)+IF(E24&lt;=0,0,1566*LOOKUP(E26,密度!$A$2:$A$50,密度!$C$2:$C$50))</f>
        <v>28792.400874120001</v>
      </c>
      <c r="F25" s="91" ph="1">
        <f>F24*11.702*LOOKUP(F26,密度!$A$2:$A$50,密度!$Q$2:$Q$50)</f>
        <v>23959.708086600003</v>
      </c>
      <c r="G25" s="91" ph="1">
        <f>G24*18.322*LOOKUP(G26,密度!$A$2:$A$50,密度!$B$2:$B$50)</f>
        <v>54622.519298200008</v>
      </c>
      <c r="H25" s="91" ph="1">
        <f>H24*18.322*LOOKUP(H26,密度!$A$2:$A$50,密度!$B$2:$B$50)</f>
        <v>25756.921024000003</v>
      </c>
      <c r="I25" s="91" ph="1">
        <f>I24*18.322*LOOKUP(I26,密度!$A$2:$A$50,密度!$Q$2:$Q$50)</f>
        <v>14883.208679879999</v>
      </c>
      <c r="J25" s="91" ph="1">
        <f>J24*18.322*LOOKUP(J26,密度!$A$2:$A$50,密度!$Q$2:$Q$50)</f>
        <v>13274.213146919999</v>
      </c>
      <c r="K25" s="91" ph="1">
        <f>K24*18.322*LOOKUP(K26,密度!$A$2:$A$50,密度!$Q$2:$Q$50)</f>
        <v>97956.347609880002</v>
      </c>
      <c r="L25" s="91" ph="1">
        <f>L24*18.322*LOOKUP(L26,密度!$A$2:$A$50,密度!$Q$2:$Q$50)</f>
        <v>97466.653317239994</v>
      </c>
      <c r="M25" s="91" ph="1">
        <f>M24*18.322*LOOKUP(M26,密度!$A$2:$A$50,密度!$Q$2:$Q$50)</f>
        <v>43145.564997959998</v>
      </c>
      <c r="N25" s="91" ph="1">
        <f>N24*18.322*LOOKUP(N26,密度!$A$2:$A$50,密度!$Q$2:$Q$50)</f>
        <v>61456.633726319997</v>
      </c>
      <c r="O25" s="91" ph="1">
        <f>O24*18.322*LOOKUP(O26,密度!$A$2:$A$50,密度!$C$2:$C$50)</f>
        <v>42113.996455999993</v>
      </c>
      <c r="P25" s="91" ph="1">
        <f>P24*11.702*LOOKUP(P26,密度!$A$2:$A$50,密度!$B$2:$B$50)</f>
        <v>4195.63508</v>
      </c>
      <c r="Q25" s="92" ph="1">
        <f>Q24*18.322*LOOKUP(Q26,密度!$A$2:$A$50,密度!$B$2:$B$50)</f>
        <v>24284.271951999999</v>
      </c>
      <c r="R25" s="91" ph="1">
        <f>R24*35.891*LOOKUP(R26,密度!$A$2:$A$50,密度!$C$2:$C$50)</f>
        <v>134999.03636379997</v>
      </c>
      <c r="S25" s="91" ph="1">
        <f>S24*35.891*LOOKUP(S26,密度!$A$2:$A$50,密度!$B$2:$B$50)</f>
        <v>11397.689523999999</v>
      </c>
      <c r="T25" s="91" ph="1">
        <f>T24*35.891*LOOKUP(T26,密度!$A$2:$A$50,密度!$Q$2:$Q$50)</f>
        <v>171.29697569999999</v>
      </c>
      <c r="U25" s="91" ph="1">
        <f>U24*35.891</f>
        <v>210859.625</v>
      </c>
      <c r="V25" s="91" ph="1">
        <f>V24*47.051*LOOKUP(V26,密度!$A$2:$A$50,密度!$B$2:$B$50)</f>
        <v>15181.480365100002</v>
      </c>
      <c r="W25" s="91" ph="1">
        <f>W24*47.051*LOOKUP(W26,密度!$A$2:$A$50,密度!$B$2:$B$50)</f>
        <v>70412.724879200003</v>
      </c>
      <c r="X25" s="91" ph="1">
        <f>X24*47.051*LOOKUP(X26,密度!$A$2:$A$50,密度!$I$2:$I$50)</f>
        <v>381685.62221411994</v>
      </c>
      <c r="Y25" s="91" ph="1">
        <f>Y24*47.051*LOOKUP(Y26,密度!$A$2:$A$50,密度!$L$2:$L$50)</f>
        <v>203641.43309999999</v>
      </c>
      <c r="Z25" s="201"/>
      <c r="AA25" s="202"/>
      <c r="AB25" s="202"/>
      <c r="AC25" s="202"/>
      <c r="AD25" s="202"/>
      <c r="AE25" s="203"/>
      <c r="AH25" s="64" ph="1">
        <v>11</v>
      </c>
      <c r="AI25" s="64" t="s" ph="1">
        <v>389</v>
      </c>
      <c r="AZ25" s="64" t="s" ph="1">
        <v>257</v>
      </c>
      <c r="BA25" s="64" ph="1">
        <v>0</v>
      </c>
      <c r="BD25" s="64" t="s" ph="1">
        <v>282</v>
      </c>
      <c r="BE25" s="64" ph="1">
        <v>8920</v>
      </c>
    </row>
    <row r="26" spans="1:57" ph="1">
      <c r="A26" s="72" ph="1"/>
      <c r="B26" s="207" ph="1"/>
      <c r="C26" s="68" t="s" ph="1">
        <v>210</v>
      </c>
      <c r="D26" s="74">
        <v>25</v>
      </c>
      <c r="E26" s="74">
        <v>25</v>
      </c>
      <c r="F26" s="74">
        <v>14</v>
      </c>
      <c r="G26" s="74">
        <v>14</v>
      </c>
      <c r="H26" s="74">
        <v>15</v>
      </c>
      <c r="I26" s="74">
        <v>15</v>
      </c>
      <c r="J26" s="74">
        <v>15</v>
      </c>
      <c r="K26" s="74">
        <v>15</v>
      </c>
      <c r="L26" s="74">
        <v>14</v>
      </c>
      <c r="M26" s="74">
        <v>14</v>
      </c>
      <c r="N26" s="74">
        <v>14</v>
      </c>
      <c r="O26" s="74">
        <v>15</v>
      </c>
      <c r="P26" s="74">
        <v>15</v>
      </c>
      <c r="Q26" s="93">
        <v>15</v>
      </c>
      <c r="R26" s="74">
        <v>15</v>
      </c>
      <c r="S26" s="74">
        <v>15</v>
      </c>
      <c r="T26" s="74">
        <v>15</v>
      </c>
      <c r="U26" s="74">
        <v>15</v>
      </c>
      <c r="V26" s="74">
        <v>14</v>
      </c>
      <c r="W26" s="74">
        <v>17</v>
      </c>
      <c r="X26" s="74">
        <v>52</v>
      </c>
      <c r="Y26" s="74">
        <v>17</v>
      </c>
      <c r="Z26" s="201"/>
      <c r="AA26" s="202"/>
      <c r="AB26" s="202"/>
      <c r="AC26" s="202"/>
      <c r="AD26" s="202"/>
      <c r="AE26" s="203"/>
      <c r="AH26" s="64" ph="1">
        <v>12</v>
      </c>
      <c r="AI26" s="64" t="s" ph="1">
        <v>390</v>
      </c>
      <c r="AZ26" s="64" t="s" ph="1">
        <v>257</v>
      </c>
      <c r="BA26" s="64" ph="1">
        <v>0</v>
      </c>
    </row>
    <row r="27" spans="1:57" ph="1">
      <c r="A27" s="72" ph="1"/>
      <c r="B27" s="207" ph="1">
        <v>0.66666666666666663</v>
      </c>
      <c r="C27" s="155" t="s" ph="1">
        <v>211</v>
      </c>
      <c r="D27" s="71">
        <v>44.09</v>
      </c>
      <c r="E27" s="71">
        <v>90.78</v>
      </c>
      <c r="F27" s="71">
        <v>2145</v>
      </c>
      <c r="G27" s="71">
        <v>3320</v>
      </c>
      <c r="H27" s="71">
        <v>1226</v>
      </c>
      <c r="I27" s="71">
        <v>850</v>
      </c>
      <c r="J27" s="71">
        <v>886</v>
      </c>
      <c r="K27" s="71">
        <v>5601</v>
      </c>
      <c r="L27" s="71">
        <v>5572</v>
      </c>
      <c r="M27" s="71">
        <v>2466</v>
      </c>
      <c r="N27" s="71">
        <v>3879</v>
      </c>
      <c r="O27" s="71">
        <v>2057</v>
      </c>
      <c r="P27" s="71">
        <v>450</v>
      </c>
      <c r="Q27" s="90">
        <v>2412</v>
      </c>
      <c r="R27" s="71">
        <v>3369</v>
      </c>
      <c r="S27" s="71">
        <v>400</v>
      </c>
      <c r="T27" s="71">
        <v>2</v>
      </c>
      <c r="U27" s="71">
        <v>5506</v>
      </c>
      <c r="V27" s="71">
        <v>404</v>
      </c>
      <c r="W27" s="71">
        <v>2993</v>
      </c>
      <c r="X27" s="71">
        <v>7832</v>
      </c>
      <c r="Y27" s="71">
        <v>3520</v>
      </c>
      <c r="Z27" s="201"/>
      <c r="AA27" s="202"/>
      <c r="AB27" s="202"/>
      <c r="AC27" s="202"/>
      <c r="AD27" s="202"/>
      <c r="AE27" s="203"/>
      <c r="AH27" s="64" ph="1">
        <v>13</v>
      </c>
      <c r="AI27" s="64" t="s" ph="1">
        <v>391</v>
      </c>
      <c r="AZ27" s="64" t="s" ph="1">
        <v>257</v>
      </c>
      <c r="BA27" s="64" ph="1">
        <v>0</v>
      </c>
      <c r="BD27" s="64" t="s" ph="1">
        <v>336</v>
      </c>
      <c r="BE27" s="64" ph="1">
        <v>7100</v>
      </c>
    </row>
    <row r="28" spans="1:57" ph="1">
      <c r="A28" s="72" ph="1"/>
      <c r="B28" s="207" ph="1"/>
      <c r="C28" s="155" t="s" ph="1">
        <v>209</v>
      </c>
      <c r="D28" s="91" ph="1">
        <f>D27*268.68*LOOKUP(D29,密度!$A$2:$A$50,密度!$Q$2:$Q$50)+IF(D27&lt;=0,0,1566*LOOKUP(D29,密度!$A$2:$A$50,密度!$Q$2:$Q$50))</f>
        <v>12697.772690088001</v>
      </c>
      <c r="E28" s="91" ph="1">
        <f>E27*268.68*LOOKUP(E29,密度!$A$2:$A$50,密度!$C$2:$C$50)+IF(E27&lt;=0,0,1566*LOOKUP(E29,密度!$A$2:$A$50,密度!$C$2:$C$50))</f>
        <v>28783.462696560004</v>
      </c>
      <c r="F28" s="91" ph="1">
        <f>F27*11.702*LOOKUP(F29,密度!$A$2:$A$50,密度!$Q$2:$Q$50)</f>
        <v>23916.032712</v>
      </c>
      <c r="G28" s="91" ph="1">
        <f>G27*18.322*LOOKUP(G29,密度!$A$2:$A$50,密度!$B$2:$B$50)</f>
        <v>47835.957055999999</v>
      </c>
      <c r="H28" s="91" ph="1">
        <f>H27*18.322*LOOKUP(H29,密度!$A$2:$A$50,密度!$B$2:$B$50)</f>
        <v>17648.999960399997</v>
      </c>
      <c r="I28" s="91" ph="1">
        <f>I27*18.322*LOOKUP(I29,密度!$A$2:$A$50,密度!$Q$2:$Q$50)</f>
        <v>14838.621359999999</v>
      </c>
      <c r="J28" s="91" ph="1">
        <f>J27*18.322*LOOKUP(J29,密度!$A$2:$A$50,密度!$Q$2:$Q$50)</f>
        <v>15454.25631692</v>
      </c>
      <c r="K28" s="91" ph="1">
        <f>K27*18.322*LOOKUP(K29,密度!$A$2:$A$50,密度!$Q$2:$Q$50)</f>
        <v>97696.715159219995</v>
      </c>
      <c r="L28" s="91" ph="1">
        <f>L27*18.322*LOOKUP(L29,密度!$A$2:$A$50,密度!$Q$2:$Q$50)</f>
        <v>97190.87606984</v>
      </c>
      <c r="M28" s="91" ph="1">
        <f>M27*18.322*LOOKUP(M29,密度!$A$2:$A$50,密度!$Q$2:$Q$50)</f>
        <v>43049.459145599998</v>
      </c>
      <c r="N28" s="91" ph="1">
        <f>N27*18.322*LOOKUP(N29,密度!$A$2:$A$50,密度!$Q$2:$Q$50)</f>
        <v>67716.485006400006</v>
      </c>
      <c r="O28" s="91" ph="1">
        <f>O27*18.322*LOOKUP(O29,密度!$A$2:$A$50,密度!$C$2:$C$50)</f>
        <v>41981.057520599992</v>
      </c>
      <c r="P28" s="91" ph="1">
        <f>P27*11.702*LOOKUP(P29,密度!$A$2:$A$50,密度!$B$2:$B$50)</f>
        <v>4137.4176299999999</v>
      </c>
      <c r="Q28" s="92" ph="1">
        <f>Q27*18.322*LOOKUP(Q29,密度!$A$2:$A$50,密度!$B$2:$B$50)</f>
        <v>34788.4651008</v>
      </c>
      <c r="R28" s="91" ph="1">
        <f>R27*35.891*LOOKUP(R29,密度!$A$2:$A$50,密度!$C$2:$C$50)</f>
        <v>134689.20012809997</v>
      </c>
      <c r="S28" s="91" ph="1">
        <f>S27*35.891*LOOKUP(S29,密度!$A$2:$A$50,密度!$B$2:$B$50)</f>
        <v>11279.823479999999</v>
      </c>
      <c r="T28" s="91" ph="1">
        <f>T27*35.891*LOOKUP(T29,密度!$A$2:$A$50,密度!$Q$2:$Q$50)</f>
        <v>68.393889599999994</v>
      </c>
      <c r="U28" s="91" ph="1">
        <f>U27*35.891</f>
        <v>197615.84599999999</v>
      </c>
      <c r="V28" s="91" ph="1">
        <f>V27*47.051*LOOKUP(V29,密度!$A$2:$A$50,密度!$B$2:$B$50)</f>
        <v>14948.3661856</v>
      </c>
      <c r="W28" s="91" ph="1">
        <f>W27*47.051*LOOKUP(W29,密度!$A$2:$A$50,密度!$B$2:$B$50)</f>
        <v>110969.03068400001</v>
      </c>
      <c r="X28" s="91" ph="1">
        <f>X27*47.051*LOOKUP(X29,密度!$A$2:$A$50,密度!$I$2:$I$50)</f>
        <v>381636.89431647997</v>
      </c>
      <c r="Y28" s="91" ph="1">
        <f>Y27*47.051*LOOKUP(Y29,密度!$A$2:$A$50,密度!$L$2:$L$50)</f>
        <v>156676.06592000002</v>
      </c>
      <c r="Z28" s="201"/>
      <c r="AA28" s="202"/>
      <c r="AB28" s="202"/>
      <c r="AC28" s="202"/>
      <c r="AD28" s="202"/>
      <c r="AE28" s="203"/>
      <c r="AH28" s="64" ph="1">
        <v>14</v>
      </c>
      <c r="AI28" s="64" t="s" ph="1">
        <v>392</v>
      </c>
      <c r="AZ28" s="64" t="s" ph="1">
        <v>257</v>
      </c>
      <c r="BA28" s="64" ph="1">
        <v>0</v>
      </c>
    </row>
    <row r="29" spans="1:57" ph="1">
      <c r="A29" s="72" ph="1"/>
      <c r="B29" s="207" ph="1"/>
      <c r="C29" s="155" t="s" ph="1">
        <v>210</v>
      </c>
      <c r="D29" s="74">
        <v>25</v>
      </c>
      <c r="E29" s="74">
        <v>25</v>
      </c>
      <c r="F29" s="74">
        <v>17</v>
      </c>
      <c r="G29" s="74">
        <v>17</v>
      </c>
      <c r="H29" s="74">
        <v>18</v>
      </c>
      <c r="I29" s="74">
        <v>17</v>
      </c>
      <c r="J29" s="74">
        <v>18</v>
      </c>
      <c r="K29" s="74">
        <v>18</v>
      </c>
      <c r="L29" s="74">
        <v>18</v>
      </c>
      <c r="M29" s="74">
        <v>17</v>
      </c>
      <c r="N29" s="74">
        <v>17</v>
      </c>
      <c r="O29" s="74">
        <v>18</v>
      </c>
      <c r="P29" s="74">
        <v>18</v>
      </c>
      <c r="Q29" s="93">
        <v>16</v>
      </c>
      <c r="R29" s="74">
        <v>18</v>
      </c>
      <c r="S29" s="74">
        <v>18</v>
      </c>
      <c r="T29" s="74">
        <v>17</v>
      </c>
      <c r="U29" s="74">
        <v>17</v>
      </c>
      <c r="V29" s="74">
        <v>17</v>
      </c>
      <c r="W29" s="74">
        <v>15</v>
      </c>
      <c r="X29" s="74">
        <v>52</v>
      </c>
      <c r="Y29" s="74">
        <v>16</v>
      </c>
      <c r="Z29" s="204"/>
      <c r="AA29" s="205"/>
      <c r="AB29" s="205"/>
      <c r="AC29" s="205"/>
      <c r="AD29" s="205"/>
      <c r="AE29" s="206"/>
      <c r="AH29" s="64" ph="1">
        <v>15</v>
      </c>
      <c r="AI29" s="64" t="s" ph="1">
        <v>393</v>
      </c>
      <c r="AZ29" s="64" t="s" ph="1">
        <v>257</v>
      </c>
      <c r="BA29" s="64" ph="1">
        <v>0</v>
      </c>
      <c r="BD29" s="64" t="s" ph="1">
        <v>394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395</v>
      </c>
      <c r="AZ30" s="64" t="s" ph="1">
        <v>257</v>
      </c>
      <c r="BA30" s="64" ph="1">
        <v>0</v>
      </c>
    </row>
    <row r="31" spans="1:57" ht="28.5" ph="1">
      <c r="A31" s="64"/>
      <c r="B31" s="220" t="s" ph="1">
        <v>35</v>
      </c>
      <c r="C31" s="221" ph="1"/>
      <c r="D31" s="224" t="s" ph="1">
        <v>9</v>
      </c>
      <c r="E31" s="213" ph="1"/>
      <c r="F31" s="214" ph="1"/>
      <c r="G31" s="224" t="s" ph="1">
        <v>18</v>
      </c>
      <c r="H31" s="213" ph="1"/>
      <c r="I31" s="214" ph="1"/>
      <c r="J31" s="212" t="s" ph="1">
        <v>1</v>
      </c>
      <c r="K31" s="213" ph="1"/>
      <c r="L31" s="214" ph="1"/>
      <c r="M31" s="212" t="s" ph="1">
        <v>7</v>
      </c>
      <c r="N31" s="213" ph="1"/>
      <c r="O31" s="214" ph="1"/>
      <c r="P31" s="212" t="s" ph="1">
        <v>42</v>
      </c>
      <c r="Q31" s="213"/>
      <c r="R31" s="214"/>
      <c r="S31" s="212" t="s" ph="1">
        <v>2</v>
      </c>
      <c r="T31" s="213"/>
      <c r="U31" s="214"/>
      <c r="V31" s="212" t="s" ph="1">
        <v>81</v>
      </c>
      <c r="W31" s="213" ph="1"/>
      <c r="X31" s="214" ph="1"/>
      <c r="Y31" s="212" t="s" ph="1">
        <v>3</v>
      </c>
      <c r="Z31" s="213" ph="1"/>
      <c r="AA31" s="214" ph="1"/>
      <c r="AB31" s="235" t="s">
        <v>43</v>
      </c>
      <c r="AC31" s="236"/>
      <c r="AD31" s="236"/>
      <c r="AE31" s="237"/>
      <c r="AH31" s="64" ph="1">
        <v>17</v>
      </c>
      <c r="AI31" s="64" t="s" ph="1">
        <v>396</v>
      </c>
      <c r="AZ31" s="64" t="s" ph="1">
        <v>257</v>
      </c>
      <c r="BA31" s="64" ph="1">
        <v>0</v>
      </c>
      <c r="BD31" s="64" t="s" ph="1">
        <v>397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55" t="s" ph="1">
        <v>5</v>
      </c>
      <c r="F32" s="156" t="s" ph="1">
        <v>44</v>
      </c>
      <c r="G32" s="97" t="s" ph="1">
        <v>4</v>
      </c>
      <c r="H32" s="155" t="s" ph="1">
        <v>5</v>
      </c>
      <c r="I32" s="156" t="s" ph="1">
        <v>44</v>
      </c>
      <c r="J32" s="97" t="s" ph="1">
        <v>4</v>
      </c>
      <c r="K32" s="155" t="s" ph="1">
        <v>5</v>
      </c>
      <c r="L32" s="156" t="s" ph="1">
        <v>44</v>
      </c>
      <c r="M32" s="97" t="s" ph="1">
        <v>4</v>
      </c>
      <c r="N32" s="155" t="s" ph="1">
        <v>5</v>
      </c>
      <c r="O32" s="156" t="s" ph="1">
        <v>44</v>
      </c>
      <c r="P32" s="97" t="s" ph="1">
        <v>4</v>
      </c>
      <c r="Q32" s="98" t="s" ph="1">
        <v>5</v>
      </c>
      <c r="R32" s="99" t="s" ph="1">
        <v>44</v>
      </c>
      <c r="S32" s="97" t="s" ph="1">
        <v>4</v>
      </c>
      <c r="T32" s="155" t="s" ph="1">
        <v>5</v>
      </c>
      <c r="U32" s="99" t="s" ph="1">
        <v>44</v>
      </c>
      <c r="V32" s="97" t="s" ph="1">
        <v>4</v>
      </c>
      <c r="W32" s="155" t="s" ph="1">
        <v>5</v>
      </c>
      <c r="X32" s="99" t="s" ph="1">
        <v>44</v>
      </c>
      <c r="Y32" s="100" t="s" ph="1">
        <v>4</v>
      </c>
      <c r="Z32" s="155" t="s" ph="1">
        <v>5</v>
      </c>
      <c r="AA32" s="156" t="s" ph="1">
        <v>44</v>
      </c>
      <c r="AB32" s="97" t="s" ph="1">
        <v>102</v>
      </c>
      <c r="AC32" s="155" t="s" ph="1">
        <v>101</v>
      </c>
      <c r="AD32" s="238" t="s" ph="1">
        <v>100</v>
      </c>
      <c r="AE32" s="239"/>
      <c r="AH32" s="64" ph="1">
        <v>18</v>
      </c>
      <c r="AI32" s="64" t="s" ph="1">
        <v>398</v>
      </c>
      <c r="AZ32" s="64" t="s" ph="1">
        <v>257</v>
      </c>
      <c r="BA32" s="64" ph="1">
        <v>0</v>
      </c>
    </row>
    <row r="33" spans="1:57" ph="1">
      <c r="A33" s="64"/>
      <c r="B33" s="225" t="s" ph="1">
        <v>212</v>
      </c>
      <c r="C33" s="226" ph="1"/>
      <c r="D33" s="229" ph="1">
        <f>AA10+AB10+Z19</f>
        <v>116560.96026240001</v>
      </c>
      <c r="E33" s="229" ph="1">
        <f>M10+I10</f>
        <v>167747.92933209997</v>
      </c>
      <c r="F33" s="23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[[#This Row],[F25]]</f>
        <v>3880</v>
      </c>
      <c r="G33" s="233" ph="1">
        <v>0</v>
      </c>
      <c r="H33" s="229" ph="1">
        <f>N19</f>
        <v>18469.112318560001</v>
      </c>
      <c r="I33" s="242" ph="1">
        <v>0</v>
      </c>
      <c r="J33" s="240" ph="1">
        <f>F10+O28</f>
        <v>207988.5451782</v>
      </c>
      <c r="K33" s="229" ph="1">
        <f>O10+K10+E28+R28</f>
        <v>271085.27774066001</v>
      </c>
      <c r="L33" s="244" ph="1">
        <f>BE27</f>
        <v>7100</v>
      </c>
      <c r="M33" s="240" ph="1">
        <f>G10+H10+W28+S28</f>
        <v>584537.42850000004</v>
      </c>
      <c r="N33" s="229" ph="1">
        <f>L10+P10++G28+H28+V28</f>
        <v>365988.30832799996</v>
      </c>
      <c r="O33" s="242" ph="1">
        <f>BE17</f>
        <v>2270</v>
      </c>
      <c r="P33" s="240" ph="1">
        <f>L19</f>
        <v>45213.718083500004</v>
      </c>
      <c r="Q33" s="229" ph="1">
        <f>J10+N10</f>
        <v>155554.36102750001</v>
      </c>
      <c r="R33" s="242" ph="1">
        <f>BE23</f>
        <v>890</v>
      </c>
      <c r="S33" s="240" ph="1">
        <f>E10+X28</f>
        <v>381636.89431647997</v>
      </c>
      <c r="T33" s="229" ph="1">
        <f>X19</f>
        <v>11883.067380800001</v>
      </c>
      <c r="U33" s="250" ph="1">
        <f>BE21</f>
        <v>730</v>
      </c>
      <c r="V33" s="261" ph="1">
        <f ca="1">P19+Q19+S19+M28+N28+J28</f>
        <v>207759.94444794604</v>
      </c>
      <c r="W33" s="261" ph="1">
        <f>D28+F28+V19+T28</f>
        <v>44647.148042088003</v>
      </c>
      <c r="X33" s="242" ph="1">
        <f>BE29+BE31</f>
        <v>10200</v>
      </c>
      <c r="Y33" s="263" ph="1">
        <f>+Q10+R10+S10+T10+U10+V10+W10+X10+Y10</f>
        <v>185398.49235599997</v>
      </c>
      <c r="Z33" s="248" ph="1">
        <f>D10+T19+U19+Y28+Z10</f>
        <v>465405.75680644001</v>
      </c>
      <c r="AA33" s="250" ph="1">
        <f>BE19</f>
        <v>1440</v>
      </c>
      <c r="AB33" s="252" ph="1">
        <f>I19</f>
        <v>74.629510400000001</v>
      </c>
      <c r="AC33" s="254" ph="1">
        <f>AD10</f>
        <v>5316.9998400000004</v>
      </c>
      <c r="AD33" s="256" ph="1">
        <v>0</v>
      </c>
      <c r="AE33" s="257"/>
      <c r="AH33" s="64" ph="1">
        <v>19</v>
      </c>
      <c r="AI33" s="64" t="s" ph="1">
        <v>399</v>
      </c>
      <c r="AJ33" s="64" t="s" ph="1">
        <v>633</v>
      </c>
      <c r="AK33" s="64" t="s" ph="1">
        <v>630</v>
      </c>
      <c r="AL33" s="64" ph="1">
        <v>730</v>
      </c>
      <c r="AM33" s="64" t="s" ph="1">
        <v>380</v>
      </c>
      <c r="AZ33" s="64" t="s" ph="1">
        <v>257</v>
      </c>
      <c r="BA33" s="64" ph="1">
        <v>730</v>
      </c>
      <c r="BD33" s="64" t="s" ph="1">
        <v>331</v>
      </c>
      <c r="BE33" s="64" ph="1">
        <v>3880</v>
      </c>
    </row>
    <row r="34" spans="1:57" ph="1">
      <c r="A34" s="64"/>
      <c r="B34" s="227" ph="1"/>
      <c r="C34" s="228" ph="1"/>
      <c r="D34" s="230" ph="1"/>
      <c r="E34" s="230" ph="1"/>
      <c r="F34" s="232" ph="1"/>
      <c r="G34" s="234" ph="1"/>
      <c r="H34" s="230" ph="1"/>
      <c r="I34" s="243" ph="1"/>
      <c r="J34" s="241" ph="1"/>
      <c r="K34" s="230" ph="1"/>
      <c r="L34" s="245" ph="1"/>
      <c r="M34" s="241" ph="1"/>
      <c r="N34" s="230" ph="1"/>
      <c r="O34" s="243" ph="1"/>
      <c r="P34" s="241" ph="1"/>
      <c r="Q34" s="230" ph="1"/>
      <c r="R34" s="243" ph="1"/>
      <c r="S34" s="241" ph="1"/>
      <c r="T34" s="230"/>
      <c r="U34" s="251"/>
      <c r="V34" s="262" ph="1"/>
      <c r="W34" s="262" ph="1"/>
      <c r="X34" s="243" ph="1"/>
      <c r="Y34" s="264" ph="1"/>
      <c r="Z34" s="249" ph="1"/>
      <c r="AA34" s="251" ph="1"/>
      <c r="AB34" s="253"/>
      <c r="AC34" s="255"/>
      <c r="AD34" s="258"/>
      <c r="AE34" s="259"/>
      <c r="AH34" s="64" ph="1">
        <v>20</v>
      </c>
      <c r="AI34" s="64" t="s" ph="1">
        <v>400</v>
      </c>
      <c r="AJ34" s="64" t="s" ph="1">
        <v>634</v>
      </c>
      <c r="AK34" s="64" t="s" ph="1">
        <v>630</v>
      </c>
      <c r="AL34" s="64" ph="1">
        <v>720</v>
      </c>
      <c r="AM34" s="64" t="s" ph="1">
        <v>380</v>
      </c>
      <c r="AZ34" s="64" t="s" ph="1">
        <v>257</v>
      </c>
      <c r="BA34" s="64" ph="1">
        <v>720</v>
      </c>
    </row>
    <row r="35" spans="1:57" ph="1">
      <c r="A35" s="64"/>
      <c r="AC35" s="260" t="s" ph="1">
        <v>84</v>
      </c>
      <c r="AD35" s="260"/>
      <c r="AE35" s="260"/>
      <c r="AH35" s="64" ph="1">
        <v>21</v>
      </c>
      <c r="AI35" s="64" t="s" ph="1">
        <v>401</v>
      </c>
      <c r="AZ35" s="64" t="s" ph="1">
        <v>257</v>
      </c>
      <c r="BA35" s="64" ph="1">
        <v>0</v>
      </c>
      <c r="BD35" s="64" t="s" ph="1">
        <v>402</v>
      </c>
      <c r="BE35" s="64" ph="1">
        <v>2030</v>
      </c>
    </row>
    <row r="36" spans="1:57" ht="28.5" ph="1">
      <c r="A36" s="64"/>
      <c r="B36" s="103" t="s" ph="1">
        <v>213</v>
      </c>
      <c r="I36" s="246" t="s" ph="1">
        <v>214</v>
      </c>
      <c r="J36" s="246" ph="1"/>
      <c r="K36" s="101" ph="1"/>
      <c r="P36" s="101" ph="1"/>
      <c r="R36" s="246" t="s" ph="1">
        <v>215</v>
      </c>
      <c r="S36" s="246" ph="1"/>
      <c r="Y36" s="102" ph="1"/>
      <c r="Z36" s="157" t="s" ph="1">
        <v>216</v>
      </c>
      <c r="AA36" s="157" ph="1"/>
      <c r="AB36" s="247" t="s" ph="1">
        <v>655</v>
      </c>
      <c r="AC36" s="247" ph="1"/>
      <c r="AD36" s="247" ph="1"/>
      <c r="AE36" s="247" ph="1"/>
      <c r="BA36" s="64" ph="1">
        <v>2270</v>
      </c>
    </row>
    <row r="37" spans="1:57" s="15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7" t="s" ph="1">
        <v>383</v>
      </c>
      <c r="AI37" s="157" t="s" ph="1">
        <v>250</v>
      </c>
      <c r="AJ37" s="157" t="s" ph="1">
        <v>251</v>
      </c>
      <c r="AK37" s="157" t="s" ph="1">
        <v>252</v>
      </c>
      <c r="AM37" s="157" t="s" ph="1">
        <v>251</v>
      </c>
      <c r="AN37" s="157" t="s" ph="1">
        <v>252</v>
      </c>
      <c r="AO37" s="157" t="s" ph="1">
        <v>253</v>
      </c>
      <c r="AP37" s="157" t="s" ph="1">
        <v>251</v>
      </c>
      <c r="AQ37" s="157" t="s" ph="1">
        <v>252</v>
      </c>
      <c r="AR37" s="157" t="s" ph="1">
        <v>253</v>
      </c>
      <c r="AS37" s="157" t="s" ph="1">
        <v>251</v>
      </c>
      <c r="AT37" s="157" t="s" ph="1">
        <v>252</v>
      </c>
      <c r="AU37" s="157" t="s" ph="1">
        <v>253</v>
      </c>
      <c r="AV37" s="157" t="s" ph="1">
        <v>251</v>
      </c>
      <c r="AW37" s="157" t="s" ph="1">
        <v>252</v>
      </c>
      <c r="AX37" s="157" t="s" ph="1">
        <v>253</v>
      </c>
      <c r="AY37" s="157" t="s" ph="1">
        <v>252</v>
      </c>
      <c r="AZ37" s="157" t="s" ph="1">
        <v>254</v>
      </c>
      <c r="BD37" s="157" t="s" ph="1">
        <v>346</v>
      </c>
      <c r="BE37" s="157" ph="1">
        <v>0</v>
      </c>
    </row>
    <row r="38" spans="1:57" ph="1">
      <c r="AE38" s="64" ph="1"/>
      <c r="AH38" s="64" ph="1">
        <v>1</v>
      </c>
      <c r="AI38" s="64" t="s" ph="1">
        <v>403</v>
      </c>
      <c r="AY38" s="64" t="s" ph="1">
        <v>257</v>
      </c>
      <c r="AZ38" s="64" t="s" ph="1">
        <v>408</v>
      </c>
    </row>
    <row r="39" spans="1:57" ph="1">
      <c r="AH39" s="64" ph="1">
        <v>2</v>
      </c>
      <c r="AI39" s="64" t="s" ph="1">
        <v>405</v>
      </c>
      <c r="AJ39" s="64" t="s" ph="1">
        <v>377</v>
      </c>
      <c r="AK39" s="64" t="s" ph="1">
        <v>406</v>
      </c>
      <c r="AM39" s="64" t="s" ph="1">
        <v>611</v>
      </c>
      <c r="AN39" s="64" t="s" ph="1">
        <v>269</v>
      </c>
      <c r="AO39" s="64" t="s" ph="1">
        <v>404</v>
      </c>
      <c r="AY39" s="64" t="s" ph="1">
        <v>257</v>
      </c>
      <c r="AZ39" s="64" t="s" ph="1">
        <v>540</v>
      </c>
    </row>
    <row r="40" spans="1:57" ph="1">
      <c r="AH40" s="64" ph="1">
        <v>3</v>
      </c>
      <c r="AI40" s="64" t="s" ph="1">
        <v>407</v>
      </c>
      <c r="AJ40" s="64" t="s" ph="1">
        <v>611</v>
      </c>
      <c r="AK40" s="64" t="s" ph="1">
        <v>612</v>
      </c>
      <c r="AY40" s="64" t="s" ph="1">
        <v>257</v>
      </c>
      <c r="AZ40" s="64" t="s" ph="1">
        <v>612</v>
      </c>
    </row>
    <row r="41" spans="1:57" ph="1">
      <c r="AH41" s="64" ph="1">
        <v>4</v>
      </c>
      <c r="AI41" s="64" t="s" ph="1">
        <v>409</v>
      </c>
      <c r="AJ41" s="64" t="s" ph="1">
        <v>613</v>
      </c>
      <c r="AK41" s="64" t="s" ph="1">
        <v>614</v>
      </c>
      <c r="AM41" s="64" t="s" ph="1">
        <v>615</v>
      </c>
      <c r="AY41" s="64" t="s" ph="1">
        <v>257</v>
      </c>
      <c r="AZ41" s="64" t="s" ph="1">
        <v>614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410</v>
      </c>
      <c r="AY42" s="64" t="s" ph="1">
        <v>257</v>
      </c>
      <c r="AZ42" s="64" t="s" ph="1">
        <v>408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411</v>
      </c>
      <c r="AY43" s="64" t="s" ph="1">
        <v>257</v>
      </c>
      <c r="AZ43" s="64" t="s" ph="1">
        <v>408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412</v>
      </c>
      <c r="AV44" s="64" t="s" ph="1">
        <v>258</v>
      </c>
      <c r="AY44" s="64" t="s" ph="1">
        <v>257</v>
      </c>
      <c r="AZ44" s="64" t="s" ph="1">
        <v>408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413</v>
      </c>
      <c r="AV45" s="64" t="s" ph="1">
        <v>258</v>
      </c>
      <c r="AY45" s="64" t="s" ph="1">
        <v>257</v>
      </c>
      <c r="AZ45" s="64" t="s" ph="1">
        <v>408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414</v>
      </c>
      <c r="AV46" s="64" t="s" ph="1">
        <v>258</v>
      </c>
      <c r="AY46" s="64" t="s" ph="1">
        <v>257</v>
      </c>
      <c r="AZ46" s="64" t="s" ph="1">
        <v>408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415</v>
      </c>
      <c r="AV47" s="64" t="s" ph="1">
        <v>258</v>
      </c>
      <c r="AY47" s="64" t="s" ph="1">
        <v>257</v>
      </c>
      <c r="AZ47" s="64" t="s" ph="1">
        <v>408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616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273</v>
      </c>
      <c r="AI49" s="64" t="s" ph="1">
        <v>250</v>
      </c>
      <c r="AJ49" s="64" t="s" ph="1">
        <v>251</v>
      </c>
      <c r="AK49" s="64" t="s" ph="1">
        <v>252</v>
      </c>
      <c r="AM49" s="64" t="s" ph="1">
        <v>251</v>
      </c>
      <c r="AN49" s="64" t="s" ph="1">
        <v>252</v>
      </c>
      <c r="AO49" s="64" t="s" ph="1">
        <v>253</v>
      </c>
      <c r="AP49" s="64" t="s" ph="1">
        <v>251</v>
      </c>
      <c r="AQ49" s="64" t="s" ph="1">
        <v>252</v>
      </c>
      <c r="AR49" s="64" t="s" ph="1">
        <v>253</v>
      </c>
      <c r="AS49" s="64" t="s" ph="1">
        <v>251</v>
      </c>
      <c r="AT49" s="64" t="s" ph="1">
        <v>252</v>
      </c>
      <c r="AU49" s="64" t="s" ph="1">
        <v>253</v>
      </c>
      <c r="AV49" s="64" t="s" ph="1">
        <v>251</v>
      </c>
      <c r="AW49" s="64" t="s" ph="1">
        <v>252</v>
      </c>
      <c r="AX49" s="64" t="s" ph="1">
        <v>253</v>
      </c>
      <c r="AY49" s="64" t="s" ph="1">
        <v>252</v>
      </c>
      <c r="AZ49" s="64" t="s" ph="1">
        <v>254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416</v>
      </c>
      <c r="AY50" s="64" t="s" ph="1">
        <v>257</v>
      </c>
      <c r="AZ50" s="64" t="s" ph="1">
        <v>408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417</v>
      </c>
      <c r="AY51" s="64" t="s" ph="1">
        <v>257</v>
      </c>
      <c r="AZ51" s="64" t="s" ph="1">
        <v>408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418</v>
      </c>
      <c r="AJ52" s="64" t="s" ph="1">
        <v>375</v>
      </c>
      <c r="AK52" s="64" t="s" ph="1">
        <v>269</v>
      </c>
      <c r="AM52" s="64" t="s" ph="1">
        <v>377</v>
      </c>
      <c r="AN52" s="64" t="s" ph="1">
        <v>341</v>
      </c>
      <c r="AO52" s="64" t="s" ph="1">
        <v>274</v>
      </c>
      <c r="AP52" s="64" t="s" ph="1">
        <v>611</v>
      </c>
      <c r="AQ52" s="64" t="s" ph="1">
        <v>323</v>
      </c>
      <c r="AR52" s="64" t="s" ph="1">
        <v>274</v>
      </c>
      <c r="AY52" s="64" t="s" ph="1">
        <v>257</v>
      </c>
      <c r="AZ52" s="64" t="s" ph="1">
        <v>617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419</v>
      </c>
      <c r="AY53" s="64" t="s" ph="1">
        <v>257</v>
      </c>
      <c r="AZ53" s="64" t="s" ph="1">
        <v>408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420</v>
      </c>
      <c r="AJ54" s="64" t="s" ph="1">
        <v>375</v>
      </c>
      <c r="AK54" s="64" t="s" ph="1">
        <v>260</v>
      </c>
      <c r="AM54" s="64" t="s" ph="1">
        <v>377</v>
      </c>
      <c r="AN54" s="64" t="s" ph="1">
        <v>265</v>
      </c>
      <c r="AO54" s="64" t="s" ph="1">
        <v>274</v>
      </c>
      <c r="AP54" s="64" t="s" ph="1">
        <v>611</v>
      </c>
      <c r="AQ54" s="64" t="s" ph="1">
        <v>281</v>
      </c>
      <c r="AR54" s="64" t="s" ph="1">
        <v>274</v>
      </c>
      <c r="AY54" s="64" t="s" ph="1">
        <v>257</v>
      </c>
      <c r="AZ54" s="64" t="s" ph="1">
        <v>275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421</v>
      </c>
      <c r="AY55" s="64" t="s" ph="1">
        <v>257</v>
      </c>
      <c r="AZ55" s="64" t="s" ph="1">
        <v>408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422</v>
      </c>
      <c r="AY56" s="64" t="s" ph="1">
        <v>257</v>
      </c>
      <c r="AZ56" s="64" t="s" ph="1">
        <v>408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423</v>
      </c>
      <c r="AY57" s="64" t="s" ph="1">
        <v>257</v>
      </c>
      <c r="AZ57" s="64" t="s" ph="1">
        <v>408</v>
      </c>
    </row>
    <row r="58" spans="16:52" ph="1">
      <c r="P58" s="64"/>
      <c r="AN58" s="64" t="s" ph="1">
        <v>258</v>
      </c>
      <c r="AZ58" s="64" t="s" ph="1">
        <v>618</v>
      </c>
    </row>
    <row r="59" spans="16:52" ph="1">
      <c r="V59" s="64"/>
      <c r="AG59" s="64" t="s" ph="1">
        <v>276</v>
      </c>
      <c r="AI59" s="64" t="s" ph="1">
        <v>250</v>
      </c>
      <c r="AJ59" s="64" t="s" ph="1">
        <v>251</v>
      </c>
      <c r="AK59" s="64" t="s" ph="1">
        <v>252</v>
      </c>
      <c r="AM59" s="64" t="s" ph="1">
        <v>251</v>
      </c>
      <c r="AN59" s="64" t="s" ph="1">
        <v>252</v>
      </c>
      <c r="AO59" s="64" t="s" ph="1">
        <v>253</v>
      </c>
      <c r="AP59" s="64" t="s" ph="1">
        <v>251</v>
      </c>
      <c r="AQ59" s="64" t="s" ph="1">
        <v>252</v>
      </c>
      <c r="AR59" s="64" t="s" ph="1">
        <v>253</v>
      </c>
      <c r="AS59" s="64" t="s" ph="1">
        <v>251</v>
      </c>
      <c r="AT59" s="64" t="s" ph="1">
        <v>252</v>
      </c>
      <c r="AU59" s="64" t="s" ph="1">
        <v>253</v>
      </c>
      <c r="AV59" s="64" t="s" ph="1">
        <v>251</v>
      </c>
      <c r="AW59" s="64" t="s" ph="1">
        <v>252</v>
      </c>
      <c r="AX59" s="64" t="s" ph="1">
        <v>253</v>
      </c>
      <c r="AY59" s="64" t="s" ph="1">
        <v>252</v>
      </c>
      <c r="AZ59" s="64" t="s" ph="1">
        <v>254</v>
      </c>
    </row>
    <row r="60" spans="16:52" ph="1">
      <c r="R60" s="64"/>
      <c r="S60" s="64"/>
      <c r="T60" s="64"/>
      <c r="AH60" s="64" ph="1">
        <v>1</v>
      </c>
      <c r="AI60" s="64" t="s" ph="1">
        <v>424</v>
      </c>
      <c r="AY60" s="64" t="s" ph="1">
        <v>257</v>
      </c>
      <c r="AZ60" s="64" t="s" ph="1">
        <v>408</v>
      </c>
    </row>
    <row r="61" spans="16:52" ph="1">
      <c r="AH61" s="64" ph="1">
        <v>2</v>
      </c>
      <c r="AI61" s="64" t="s" ph="1">
        <v>425</v>
      </c>
      <c r="AS61" s="64" t="s" ph="1">
        <v>258</v>
      </c>
      <c r="AY61" s="64" t="s" ph="1">
        <v>257</v>
      </c>
      <c r="AZ61" s="64" t="s" ph="1">
        <v>408</v>
      </c>
    </row>
    <row r="62" spans="16:52" ph="1">
      <c r="AZ62" s="64" t="s" ph="1">
        <v>426</v>
      </c>
    </row>
    <row r="63" spans="16:52" ph="1">
      <c r="AG63" s="64" t="s" ph="1">
        <v>279</v>
      </c>
      <c r="AI63" s="64" t="s" ph="1">
        <v>250</v>
      </c>
      <c r="AJ63" s="64" t="s" ph="1">
        <v>251</v>
      </c>
      <c r="AK63" s="64" t="s" ph="1">
        <v>252</v>
      </c>
      <c r="AM63" s="64" t="s" ph="1">
        <v>251</v>
      </c>
      <c r="AN63" s="64" t="s" ph="1">
        <v>252</v>
      </c>
      <c r="AO63" s="64" t="s" ph="1">
        <v>253</v>
      </c>
      <c r="AP63" s="64" t="s" ph="1">
        <v>251</v>
      </c>
      <c r="AQ63" s="64" t="s" ph="1">
        <v>252</v>
      </c>
      <c r="AR63" s="64" t="s" ph="1">
        <v>253</v>
      </c>
      <c r="AS63" s="64" t="s" ph="1">
        <v>251</v>
      </c>
      <c r="AT63" s="64" t="s" ph="1">
        <v>252</v>
      </c>
      <c r="AU63" s="64" t="s" ph="1">
        <v>253</v>
      </c>
      <c r="AV63" s="64" t="s" ph="1">
        <v>251</v>
      </c>
      <c r="AW63" s="64" t="s" ph="1">
        <v>252</v>
      </c>
      <c r="AX63" s="64" t="s" ph="1">
        <v>253</v>
      </c>
      <c r="AY63" s="64" t="s" ph="1">
        <v>252</v>
      </c>
      <c r="AZ63" s="64" t="s" ph="1">
        <v>254</v>
      </c>
    </row>
    <row r="64" spans="16:52" ph="1">
      <c r="AH64" s="64" ph="1">
        <v>1</v>
      </c>
      <c r="AI64" s="64" t="s" ph="1">
        <v>427</v>
      </c>
      <c r="AJ64" s="64" t="s" ph="1">
        <v>428</v>
      </c>
      <c r="AK64" s="64" t="s" ph="1">
        <v>429</v>
      </c>
      <c r="AY64" s="64" t="s" ph="1">
        <v>257</v>
      </c>
      <c r="AZ64" s="64" t="s" ph="1">
        <v>429</v>
      </c>
    </row>
    <row r="65" spans="33:52" ph="1">
      <c r="AH65" s="64" ph="1">
        <v>2</v>
      </c>
      <c r="AI65" s="64" t="s" ph="1">
        <v>430</v>
      </c>
      <c r="AY65" s="64" t="s" ph="1">
        <v>257</v>
      </c>
      <c r="AZ65" s="64" t="s" ph="1">
        <v>408</v>
      </c>
    </row>
    <row r="66" spans="33:52" ph="1">
      <c r="AH66" s="64" ph="1">
        <v>3</v>
      </c>
      <c r="AI66" s="64" t="s" ph="1">
        <v>431</v>
      </c>
      <c r="AY66" s="64" t="s" ph="1">
        <v>257</v>
      </c>
      <c r="AZ66" s="64" t="s" ph="1">
        <v>408</v>
      </c>
    </row>
    <row r="67" spans="33:52" ph="1">
      <c r="AH67" s="64" ph="1">
        <v>4</v>
      </c>
      <c r="AI67" s="64" t="s" ph="1">
        <v>432</v>
      </c>
      <c r="AY67" s="64" t="s" ph="1">
        <v>257</v>
      </c>
      <c r="AZ67" s="64" t="s" ph="1">
        <v>408</v>
      </c>
    </row>
    <row r="68" spans="33:52" ph="1">
      <c r="AH68" s="64" ph="1">
        <v>5</v>
      </c>
      <c r="AI68" s="64" t="s" ph="1">
        <v>433</v>
      </c>
      <c r="AY68" s="64" t="s" ph="1">
        <v>257</v>
      </c>
      <c r="AZ68" s="64" t="s" ph="1">
        <v>408</v>
      </c>
    </row>
    <row r="69" spans="33:52" ph="1">
      <c r="AH69" s="64" ph="1">
        <v>6</v>
      </c>
      <c r="AI69" s="64" t="s" ph="1">
        <v>434</v>
      </c>
      <c r="AY69" s="64" t="s" ph="1">
        <v>257</v>
      </c>
      <c r="AZ69" s="64" t="s" ph="1">
        <v>408</v>
      </c>
    </row>
    <row r="70" spans="33:52" ph="1">
      <c r="AI70" s="64" t="s" ph="1">
        <v>435</v>
      </c>
      <c r="AY70" s="64" t="s" ph="1">
        <v>257</v>
      </c>
      <c r="AZ70" s="64" t="s" ph="1">
        <v>408</v>
      </c>
    </row>
    <row r="71" spans="33:52" ph="1">
      <c r="AH71" s="64" ph="1">
        <v>7</v>
      </c>
      <c r="AI71" s="64" t="s" ph="1">
        <v>436</v>
      </c>
      <c r="AJ71" s="64" t="s" ph="1">
        <v>375</v>
      </c>
      <c r="AK71" s="64" t="s" ph="1">
        <v>269</v>
      </c>
      <c r="AM71" s="64" t="s" ph="1">
        <v>377</v>
      </c>
      <c r="AN71" s="64" t="s" ph="1">
        <v>269</v>
      </c>
      <c r="AO71" s="64" t="s" ph="1">
        <v>437</v>
      </c>
      <c r="AP71" s="64" t="s" ph="1">
        <v>611</v>
      </c>
      <c r="AQ71" s="64" t="s" ph="1">
        <v>260</v>
      </c>
      <c r="AR71" s="64" t="s" ph="1">
        <v>437</v>
      </c>
      <c r="AY71" s="64" t="s" ph="1">
        <v>257</v>
      </c>
      <c r="AZ71" s="64" t="s" ph="1">
        <v>619</v>
      </c>
    </row>
    <row r="72" spans="33:52" ph="1">
      <c r="AZ72" s="64" t="s" ph="1">
        <v>620</v>
      </c>
    </row>
    <row r="73" spans="33:52" ph="1">
      <c r="AG73" s="64" t="s" ph="1">
        <v>282</v>
      </c>
      <c r="AI73" s="64" t="s" ph="1">
        <v>250</v>
      </c>
      <c r="AJ73" s="64" t="s" ph="1">
        <v>251</v>
      </c>
      <c r="AK73" s="64" t="s" ph="1">
        <v>252</v>
      </c>
      <c r="AM73" s="64" t="s" ph="1">
        <v>251</v>
      </c>
      <c r="AN73" s="64" t="s" ph="1">
        <v>252</v>
      </c>
      <c r="AO73" s="64" t="s" ph="1">
        <v>253</v>
      </c>
      <c r="AP73" s="64" t="s" ph="1">
        <v>251</v>
      </c>
      <c r="AQ73" s="64" t="s" ph="1">
        <v>252</v>
      </c>
      <c r="AR73" s="64" t="s" ph="1">
        <v>253</v>
      </c>
      <c r="AS73" s="64" t="s" ph="1">
        <v>251</v>
      </c>
      <c r="AT73" s="64" t="s" ph="1">
        <v>252</v>
      </c>
      <c r="AU73" s="64" t="s" ph="1">
        <v>253</v>
      </c>
      <c r="AV73" s="64" t="s" ph="1">
        <v>251</v>
      </c>
      <c r="AW73" s="64" t="s" ph="1">
        <v>252</v>
      </c>
      <c r="AX73" s="64" t="s" ph="1">
        <v>253</v>
      </c>
      <c r="AY73" s="64" t="s" ph="1">
        <v>252</v>
      </c>
      <c r="AZ73" s="64" t="s" ph="1">
        <v>254</v>
      </c>
    </row>
    <row r="74" spans="33:52" ph="1">
      <c r="AH74" s="64" ph="1">
        <v>1</v>
      </c>
      <c r="AI74" s="64" t="s" ph="1">
        <v>438</v>
      </c>
      <c r="AJ74" s="64" t="s" ph="1">
        <v>283</v>
      </c>
      <c r="AK74" s="64" t="s" ph="1">
        <v>265</v>
      </c>
      <c r="AM74" s="64" t="s" ph="1">
        <v>285</v>
      </c>
      <c r="AN74" s="64" t="s" ph="1">
        <v>295</v>
      </c>
      <c r="AO74" s="64" t="s" ph="1">
        <v>284</v>
      </c>
      <c r="AP74" s="64" t="s" ph="1">
        <v>286</v>
      </c>
      <c r="AQ74" s="64" t="s" ph="1">
        <v>263</v>
      </c>
      <c r="AR74" s="64" t="s" ph="1">
        <v>284</v>
      </c>
      <c r="AS74" s="64" t="s" ph="1">
        <v>256</v>
      </c>
      <c r="AT74" s="64" t="s" ph="1">
        <v>258</v>
      </c>
      <c r="AV74" s="64" t="s" ph="1">
        <v>439</v>
      </c>
      <c r="AW74" s="64" t="s" ph="1">
        <v>440</v>
      </c>
      <c r="AX74" s="64" t="s" ph="1">
        <v>441</v>
      </c>
      <c r="AY74" s="64" t="s" ph="1">
        <v>257</v>
      </c>
      <c r="AZ74" s="64" t="s" ph="1">
        <v>442</v>
      </c>
    </row>
    <row r="75" spans="33:52" ph="1">
      <c r="AJ75" s="64" t="s" ph="1">
        <v>288</v>
      </c>
      <c r="AK75" s="64" t="s" ph="1">
        <v>341</v>
      </c>
      <c r="AM75" s="64" t="s" ph="1">
        <v>286</v>
      </c>
      <c r="AN75" s="64" t="s" ph="1">
        <v>266</v>
      </c>
      <c r="AO75" s="64" t="s" ph="1">
        <v>284</v>
      </c>
      <c r="AS75" s="64" t="s" ph="1">
        <v>256</v>
      </c>
      <c r="AT75" s="64" t="s" ph="1">
        <v>287</v>
      </c>
    </row>
    <row r="76" spans="33:52" ph="1">
      <c r="AJ76" s="64" t="s" ph="1">
        <v>288</v>
      </c>
      <c r="AK76" s="64" t="s" ph="1">
        <v>281</v>
      </c>
      <c r="AM76" s="64" t="s" ph="1">
        <v>286</v>
      </c>
      <c r="AN76" s="64" t="s" ph="1">
        <v>269</v>
      </c>
      <c r="AO76" s="64" t="s" ph="1">
        <v>284</v>
      </c>
      <c r="AS76" s="64" t="s" ph="1">
        <v>256</v>
      </c>
      <c r="AT76" s="64" t="s" ph="1">
        <v>287</v>
      </c>
    </row>
    <row r="77" spans="33:52" ph="1">
      <c r="AJ77" s="64" t="s" ph="1">
        <v>324</v>
      </c>
      <c r="AK77" s="64" t="s" ph="1">
        <v>281</v>
      </c>
      <c r="AM77" s="64" t="s" ph="1">
        <v>325</v>
      </c>
      <c r="AN77" s="64" t="s" ph="1">
        <v>264</v>
      </c>
      <c r="AO77" s="64" t="s" ph="1">
        <v>284</v>
      </c>
      <c r="AS77" s="64" t="s" ph="1">
        <v>256</v>
      </c>
      <c r="AT77" s="64" t="s" ph="1">
        <v>326</v>
      </c>
    </row>
    <row r="78" spans="33:52" ph="1">
      <c r="AH78" s="64" ph="1">
        <v>2</v>
      </c>
      <c r="AI78" s="64" t="s" ph="1">
        <v>290</v>
      </c>
      <c r="AJ78" s="64" t="s" ph="1">
        <v>291</v>
      </c>
      <c r="AK78" s="64" t="s" ph="1">
        <v>260</v>
      </c>
      <c r="AM78" s="64" t="s" ph="1">
        <v>292</v>
      </c>
      <c r="AN78" s="64" t="s" ph="1">
        <v>295</v>
      </c>
      <c r="AO78" s="64" t="s" ph="1">
        <v>284</v>
      </c>
      <c r="AP78" s="64" t="s" ph="1">
        <v>293</v>
      </c>
      <c r="AQ78" s="64" t="s" ph="1">
        <v>339</v>
      </c>
      <c r="AR78" s="64" t="s" ph="1">
        <v>284</v>
      </c>
      <c r="AS78" s="64" t="s" ph="1">
        <v>294</v>
      </c>
      <c r="AT78" s="64" t="s" ph="1">
        <v>295</v>
      </c>
      <c r="AU78" s="64" t="s" ph="1">
        <v>284</v>
      </c>
      <c r="AV78" s="64" t="s" ph="1">
        <v>296</v>
      </c>
      <c r="AW78" s="64" t="s" ph="1">
        <v>284</v>
      </c>
      <c r="AY78" s="64" t="s" ph="1">
        <v>257</v>
      </c>
      <c r="AZ78" s="64" t="s" ph="1">
        <v>443</v>
      </c>
    </row>
    <row r="79" spans="33:52" ph="1">
      <c r="AJ79" s="64" t="s" ph="1">
        <v>286</v>
      </c>
      <c r="AK79" s="64" t="s" ph="1">
        <v>297</v>
      </c>
      <c r="AM79" s="64" t="s" ph="1">
        <v>298</v>
      </c>
      <c r="AN79" s="64" t="s" ph="1">
        <v>266</v>
      </c>
      <c r="AO79" s="64" t="s" ph="1">
        <v>284</v>
      </c>
      <c r="AP79" s="64" t="s" ph="1">
        <v>299</v>
      </c>
      <c r="AQ79" s="64" t="s" ph="1">
        <v>264</v>
      </c>
      <c r="AR79" s="64" t="s" ph="1">
        <v>300</v>
      </c>
      <c r="AS79" s="64" t="s" ph="1">
        <v>256</v>
      </c>
      <c r="AT79" s="64" t="s" ph="1">
        <v>301</v>
      </c>
      <c r="AV79" s="64" t="s" ph="1">
        <v>444</v>
      </c>
      <c r="AW79" s="64" t="s" ph="1">
        <v>343</v>
      </c>
      <c r="AX79" s="64" t="s" ph="1">
        <v>441</v>
      </c>
    </row>
    <row r="80" spans="33:52" ph="1">
      <c r="AH80" s="64" ph="1">
        <v>3</v>
      </c>
      <c r="AI80" s="64" t="s" ph="1">
        <v>302</v>
      </c>
      <c r="AJ80" s="64" t="s" ph="1">
        <v>303</v>
      </c>
      <c r="AK80" s="64" t="s" ph="1">
        <v>304</v>
      </c>
      <c r="AM80" s="64" t="s" ph="1">
        <v>305</v>
      </c>
      <c r="AN80" s="64" t="s" ph="1">
        <v>295</v>
      </c>
      <c r="AO80" s="64" t="s" ph="1">
        <v>284</v>
      </c>
      <c r="AP80" s="64" t="s" ph="1">
        <v>306</v>
      </c>
      <c r="AQ80" s="64" t="s" ph="1">
        <v>269</v>
      </c>
      <c r="AR80" s="64" t="s" ph="1">
        <v>284</v>
      </c>
      <c r="AS80" s="64" t="s" ph="1">
        <v>307</v>
      </c>
      <c r="AT80" s="64" t="s" ph="1">
        <v>268</v>
      </c>
      <c r="AU80" s="64" t="s" ph="1">
        <v>284</v>
      </c>
      <c r="AV80" s="64" t="s" ph="1">
        <v>308</v>
      </c>
      <c r="AW80" s="64" t="s" ph="1">
        <v>284</v>
      </c>
      <c r="AY80" s="64" t="s" ph="1">
        <v>257</v>
      </c>
      <c r="AZ80" s="64" t="s" ph="1">
        <v>445</v>
      </c>
    </row>
    <row r="81" spans="34:52" ph="1">
      <c r="AJ81" s="64" t="s" ph="1">
        <v>309</v>
      </c>
      <c r="AK81" s="64" t="s" ph="1">
        <v>263</v>
      </c>
      <c r="AM81" s="64" t="s" ph="1">
        <v>310</v>
      </c>
      <c r="AN81" s="64" t="s" ph="1">
        <v>266</v>
      </c>
      <c r="AO81" s="64" t="s" ph="1">
        <v>284</v>
      </c>
      <c r="AP81" s="64" t="s" ph="1">
        <v>311</v>
      </c>
      <c r="AQ81" s="64" t="s" ph="1">
        <v>295</v>
      </c>
      <c r="AR81" s="64" t="s" ph="1">
        <v>284</v>
      </c>
      <c r="AS81" s="64" t="s" ph="1">
        <v>312</v>
      </c>
      <c r="AT81" s="64" t="s" ph="1">
        <v>313</v>
      </c>
      <c r="AU81" s="64" t="s" ph="1">
        <v>284</v>
      </c>
      <c r="AV81" s="64" t="s" ph="1">
        <v>314</v>
      </c>
    </row>
    <row r="82" spans="34:52" ph="1">
      <c r="AJ82" s="64" t="s" ph="1">
        <v>315</v>
      </c>
      <c r="AK82" s="64" t="s" ph="1">
        <v>263</v>
      </c>
      <c r="AM82" s="64" t="s" ph="1">
        <v>316</v>
      </c>
      <c r="AN82" s="64" t="s" ph="1">
        <v>313</v>
      </c>
      <c r="AO82" s="64" t="s" ph="1">
        <v>317</v>
      </c>
      <c r="AP82" s="64" t="s" ph="1">
        <v>318</v>
      </c>
      <c r="AQ82" s="64" t="s" ph="1">
        <v>295</v>
      </c>
      <c r="AR82" s="64" t="s" ph="1">
        <v>284</v>
      </c>
      <c r="AS82" s="64" t="s" ph="1">
        <v>319</v>
      </c>
      <c r="AT82" s="64" t="s" ph="1">
        <v>270</v>
      </c>
      <c r="AU82" s="64" t="s" ph="1">
        <v>284</v>
      </c>
      <c r="AV82" s="64" t="s" ph="1">
        <v>444</v>
      </c>
      <c r="AW82" s="64" t="s" ph="1">
        <v>344</v>
      </c>
      <c r="AX82" s="64" t="s" ph="1">
        <v>441</v>
      </c>
    </row>
    <row r="83" spans="34:52" ph="1">
      <c r="AJ83" s="64" t="s" ph="1">
        <v>320</v>
      </c>
      <c r="AK83" s="64" t="s" ph="1">
        <v>337</v>
      </c>
      <c r="AM83" s="64" t="s" ph="1">
        <v>321</v>
      </c>
      <c r="AN83" s="64" t="s" ph="1">
        <v>269</v>
      </c>
      <c r="AO83" s="64" t="s" ph="1">
        <v>300</v>
      </c>
      <c r="AP83" s="64" t="s" ph="1">
        <v>322</v>
      </c>
      <c r="AQ83" s="64" t="s" ph="1">
        <v>323</v>
      </c>
      <c r="AR83" s="64" t="s" ph="1">
        <v>300</v>
      </c>
      <c r="AS83" s="64" t="s" ph="1">
        <v>446</v>
      </c>
      <c r="AT83" s="64" t="s" ph="1">
        <v>295</v>
      </c>
      <c r="AU83" s="64" t="s" ph="1">
        <v>300</v>
      </c>
      <c r="AV83" s="64" t="s" ph="1">
        <v>447</v>
      </c>
      <c r="AW83" s="64" t="s" ph="1">
        <v>344</v>
      </c>
      <c r="AX83" s="64" t="s" ph="1">
        <v>448</v>
      </c>
    </row>
    <row r="84" spans="34:52" ph="1">
      <c r="AH84" s="64" ph="1">
        <v>4</v>
      </c>
      <c r="AI84" s="64" t="s" ph="1">
        <v>327</v>
      </c>
      <c r="AJ84" s="64" t="s" ph="1">
        <v>267</v>
      </c>
      <c r="AK84" s="64" t="s" ph="1">
        <v>270</v>
      </c>
      <c r="AM84" s="64" t="s" ph="1">
        <v>271</v>
      </c>
      <c r="AN84" s="64" t="s" ph="1">
        <v>264</v>
      </c>
      <c r="AO84" s="64" t="s" ph="1">
        <v>300</v>
      </c>
      <c r="AP84" s="64" t="s" ph="1">
        <v>329</v>
      </c>
      <c r="AQ84" s="64" t="s" ph="1">
        <v>263</v>
      </c>
      <c r="AR84" s="64" t="s" ph="1">
        <v>300</v>
      </c>
      <c r="AS84" s="64" t="s" ph="1">
        <v>329</v>
      </c>
      <c r="AT84" s="64" t="s" ph="1">
        <v>265</v>
      </c>
      <c r="AU84" s="64" t="s" ph="1">
        <v>300</v>
      </c>
      <c r="AY84" s="64" t="s" ph="1">
        <v>257</v>
      </c>
      <c r="AZ84" s="64" t="s" ph="1">
        <v>449</v>
      </c>
    </row>
    <row r="85" spans="34:52" ph="1">
      <c r="AJ85" s="64" t="s" ph="1">
        <v>259</v>
      </c>
      <c r="AK85" s="64" t="s" ph="1">
        <v>263</v>
      </c>
      <c r="AM85" s="64" t="s" ph="1">
        <v>450</v>
      </c>
      <c r="AN85" s="64" t="s" ph="1">
        <v>270</v>
      </c>
      <c r="AO85" s="64" t="s" ph="1">
        <v>300</v>
      </c>
      <c r="AP85" s="64" t="s" ph="1">
        <v>451</v>
      </c>
      <c r="AQ85" s="64" t="s" ph="1">
        <v>266</v>
      </c>
      <c r="AR85" s="64" t="s" ph="1">
        <v>300</v>
      </c>
      <c r="AS85" s="64" t="s" ph="1">
        <v>452</v>
      </c>
      <c r="AT85" s="64" t="s" ph="1">
        <v>266</v>
      </c>
      <c r="AU85" s="64" t="s" ph="1">
        <v>300</v>
      </c>
    </row>
    <row r="86" spans="34:52" ph="1">
      <c r="AJ86" s="64" t="s" ph="1">
        <v>453</v>
      </c>
      <c r="AK86" s="64" t="s" ph="1">
        <v>272</v>
      </c>
      <c r="AM86" s="64" t="s" ph="1">
        <v>454</v>
      </c>
      <c r="AN86" s="64" t="s" ph="1">
        <v>313</v>
      </c>
      <c r="AO86" s="64" t="s" ph="1">
        <v>300</v>
      </c>
      <c r="AP86" s="64" t="s" ph="1">
        <v>455</v>
      </c>
      <c r="AQ86" s="64" t="s" ph="1">
        <v>260</v>
      </c>
      <c r="AR86" s="64" t="s" ph="1">
        <v>300</v>
      </c>
      <c r="AS86" s="64" t="s" ph="1">
        <v>456</v>
      </c>
      <c r="AT86" s="64" t="s" ph="1">
        <v>278</v>
      </c>
      <c r="AU86" s="64" t="s" ph="1">
        <v>300</v>
      </c>
    </row>
    <row r="87" spans="34:52" ph="1">
      <c r="AJ87" s="64" t="s" ph="1">
        <v>457</v>
      </c>
      <c r="AK87" s="64" t="s" ph="1">
        <v>313</v>
      </c>
      <c r="AM87" s="64" t="s" ph="1">
        <v>444</v>
      </c>
      <c r="AN87" s="64" t="s" ph="1">
        <v>458</v>
      </c>
      <c r="AO87" s="64" t="s" ph="1">
        <v>441</v>
      </c>
    </row>
    <row r="88" spans="34:52" ph="1">
      <c r="AH88" s="64" ph="1">
        <v>5</v>
      </c>
      <c r="AI88" s="64" t="s" ph="1">
        <v>330</v>
      </c>
      <c r="AJ88" s="64" t="s" ph="1">
        <v>459</v>
      </c>
      <c r="AK88" s="64" t="s" ph="1">
        <v>313</v>
      </c>
      <c r="AM88" s="64" t="s" ph="1">
        <v>460</v>
      </c>
      <c r="AN88" s="64" t="s" ph="1">
        <v>313</v>
      </c>
      <c r="AO88" s="64" t="s" ph="1">
        <v>300</v>
      </c>
      <c r="AP88" s="64" t="s" ph="1">
        <v>461</v>
      </c>
      <c r="AQ88" s="64" t="s" ph="1">
        <v>263</v>
      </c>
      <c r="AR88" s="64" t="s" ph="1">
        <v>300</v>
      </c>
      <c r="AS88" s="64" t="s" ph="1">
        <v>462</v>
      </c>
      <c r="AT88" s="64" t="s" ph="1">
        <v>313</v>
      </c>
      <c r="AU88" s="64" t="s" ph="1">
        <v>300</v>
      </c>
      <c r="AV88" s="64" t="s" ph="1">
        <v>463</v>
      </c>
      <c r="AW88" s="64" t="s" ph="1">
        <v>268</v>
      </c>
      <c r="AX88" s="64" t="s" ph="1">
        <v>300</v>
      </c>
      <c r="AY88" s="64" t="s" ph="1">
        <v>257</v>
      </c>
      <c r="AZ88" s="64" t="s" ph="1">
        <v>464</v>
      </c>
    </row>
    <row r="89" spans="34:52" ph="1">
      <c r="AJ89" s="64" t="s" ph="1">
        <v>465</v>
      </c>
      <c r="AK89" s="64" t="s" ph="1">
        <v>266</v>
      </c>
      <c r="AM89" s="64" t="s" ph="1">
        <v>466</v>
      </c>
      <c r="AN89" s="64" t="s" ph="1">
        <v>269</v>
      </c>
      <c r="AO89" s="64" t="s" ph="1">
        <v>300</v>
      </c>
      <c r="AP89" s="64" t="s" ph="1">
        <v>467</v>
      </c>
      <c r="AQ89" s="64" t="s" ph="1">
        <v>278</v>
      </c>
      <c r="AR89" s="64" t="s" ph="1">
        <v>300</v>
      </c>
      <c r="AS89" s="64" t="s" ph="1">
        <v>468</v>
      </c>
      <c r="AT89" s="64" t="s" ph="1">
        <v>313</v>
      </c>
      <c r="AU89" s="64" t="s" ph="1">
        <v>300</v>
      </c>
      <c r="AV89" s="64" t="s" ph="1">
        <v>469</v>
      </c>
      <c r="AW89" s="64" t="s" ph="1">
        <v>295</v>
      </c>
      <c r="AX89" s="64" t="s" ph="1">
        <v>328</v>
      </c>
    </row>
    <row r="90" spans="34:52" ph="1">
      <c r="AJ90" s="64" t="s" ph="1">
        <v>470</v>
      </c>
      <c r="AK90" s="64" t="s" ph="1">
        <v>269</v>
      </c>
      <c r="AM90" s="64" t="s" ph="1">
        <v>471</v>
      </c>
      <c r="AN90" s="64" t="s" ph="1">
        <v>266</v>
      </c>
      <c r="AO90" s="64" t="s" ph="1">
        <v>300</v>
      </c>
      <c r="AP90" s="64" t="s" ph="1">
        <v>472</v>
      </c>
      <c r="AQ90" s="64" t="s" ph="1">
        <v>335</v>
      </c>
      <c r="AR90" s="64" t="s" ph="1">
        <v>300</v>
      </c>
      <c r="AS90" s="64" t="s" ph="1">
        <v>473</v>
      </c>
      <c r="AT90" s="64" t="s" ph="1">
        <v>323</v>
      </c>
      <c r="AU90" s="64" t="s" ph="1">
        <v>300</v>
      </c>
      <c r="AV90" s="64" t="s" ph="1">
        <v>474</v>
      </c>
      <c r="AW90" s="64" t="s" ph="1">
        <v>260</v>
      </c>
      <c r="AX90" s="64" t="s" ph="1">
        <v>300</v>
      </c>
    </row>
    <row r="91" spans="34:52" ph="1">
      <c r="AJ91" s="64" t="s" ph="1">
        <v>475</v>
      </c>
      <c r="AK91" s="64" t="s" ph="1">
        <v>313</v>
      </c>
      <c r="AM91" s="64" t="s" ph="1">
        <v>476</v>
      </c>
      <c r="AN91" s="64" t="s" ph="1">
        <v>280</v>
      </c>
      <c r="AO91" s="64" t="s" ph="1">
        <v>300</v>
      </c>
      <c r="AP91" s="64" t="s" ph="1">
        <v>477</v>
      </c>
      <c r="AQ91" s="64" t="s" ph="1">
        <v>260</v>
      </c>
      <c r="AS91" s="64" t="s" ph="1">
        <v>444</v>
      </c>
      <c r="AT91" s="64" t="s" ph="1">
        <v>440</v>
      </c>
      <c r="AU91" s="64" t="s" ph="1">
        <v>441</v>
      </c>
    </row>
    <row r="92" spans="34:52" ph="1">
      <c r="AH92" s="64" ph="1">
        <v>6</v>
      </c>
      <c r="AI92" s="64" t="s" ph="1">
        <v>478</v>
      </c>
      <c r="AJ92" s="64" t="s" ph="1">
        <v>479</v>
      </c>
      <c r="AK92" s="64" t="s" ph="1">
        <v>408</v>
      </c>
      <c r="AM92" s="64" t="s" ph="1">
        <v>480</v>
      </c>
      <c r="AN92" s="64" t="s" ph="1">
        <v>268</v>
      </c>
      <c r="AO92" s="64" t="s" ph="1">
        <v>300</v>
      </c>
      <c r="AP92" s="64" t="s" ph="1">
        <v>481</v>
      </c>
      <c r="AQ92" s="64" t="s" ph="1">
        <v>340</v>
      </c>
      <c r="AR92" s="64" t="s" ph="1">
        <v>300</v>
      </c>
      <c r="AS92" s="64" t="s" ph="1">
        <v>482</v>
      </c>
      <c r="AT92" s="64" t="s" ph="1">
        <v>313</v>
      </c>
      <c r="AU92" s="64" t="s" ph="1">
        <v>300</v>
      </c>
      <c r="AV92" s="64" t="s" ph="1">
        <v>483</v>
      </c>
      <c r="AW92" s="64" t="s" ph="1">
        <v>269</v>
      </c>
      <c r="AX92" s="64" t="s" ph="1">
        <v>300</v>
      </c>
      <c r="AY92" s="64" t="s" ph="1">
        <v>257</v>
      </c>
      <c r="AZ92" s="64" t="s" ph="1">
        <v>464</v>
      </c>
    </row>
    <row r="93" spans="34:52" ph="1">
      <c r="AJ93" s="64" t="s" ph="1">
        <v>484</v>
      </c>
      <c r="AK93" s="64" t="s" ph="1">
        <v>263</v>
      </c>
      <c r="AM93" s="64" t="s" ph="1">
        <v>485</v>
      </c>
      <c r="AN93" s="64" t="s" ph="1">
        <v>268</v>
      </c>
      <c r="AO93" s="64" t="s" ph="1">
        <v>300</v>
      </c>
      <c r="AP93" s="64" t="s" ph="1">
        <v>486</v>
      </c>
      <c r="AQ93" s="64" t="s" ph="1">
        <v>272</v>
      </c>
      <c r="AR93" s="64" t="s" ph="1">
        <v>300</v>
      </c>
      <c r="AS93" s="64" t="s" ph="1">
        <v>487</v>
      </c>
      <c r="AT93" s="64" t="s" ph="1">
        <v>278</v>
      </c>
      <c r="AU93" s="64" t="s" ph="1">
        <v>300</v>
      </c>
      <c r="AV93" s="64" t="s" ph="1">
        <v>488</v>
      </c>
      <c r="AW93" s="64" t="s" ph="1">
        <v>272</v>
      </c>
      <c r="AX93" s="64" t="s" ph="1">
        <v>300</v>
      </c>
    </row>
    <row r="94" spans="34:52" ph="1">
      <c r="AJ94" s="64" t="s" ph="1">
        <v>489</v>
      </c>
      <c r="AK94" s="64" t="s" ph="1">
        <v>335</v>
      </c>
      <c r="AM94" s="64" t="s" ph="1">
        <v>490</v>
      </c>
      <c r="AN94" s="64" t="s" ph="1">
        <v>272</v>
      </c>
      <c r="AO94" s="64" t="s" ph="1">
        <v>300</v>
      </c>
      <c r="AP94" s="64" t="s" ph="1">
        <v>491</v>
      </c>
      <c r="AQ94" s="64" t="s" ph="1">
        <v>280</v>
      </c>
      <c r="AR94" s="64" t="s" ph="1">
        <v>300</v>
      </c>
      <c r="AS94" s="64" t="s" ph="1">
        <v>492</v>
      </c>
      <c r="AT94" s="64" t="s" ph="1">
        <v>266</v>
      </c>
      <c r="AU94" s="64" t="s" ph="1">
        <v>300</v>
      </c>
      <c r="AV94" s="64" t="s" ph="1">
        <v>493</v>
      </c>
      <c r="AW94" s="64" t="s" ph="1">
        <v>266</v>
      </c>
      <c r="AX94" s="64" t="s" ph="1">
        <v>300</v>
      </c>
    </row>
    <row r="95" spans="34:52" ph="1">
      <c r="AJ95" s="64" t="s" ph="1">
        <v>494</v>
      </c>
      <c r="AK95" s="64" t="s" ph="1">
        <v>340</v>
      </c>
    </row>
    <row r="96" spans="34:52" ph="1">
      <c r="AH96" s="64" ph="1">
        <v>7</v>
      </c>
      <c r="AI96" s="64" t="s" ph="1">
        <v>495</v>
      </c>
      <c r="AJ96" s="64" t="s" ph="1">
        <v>494</v>
      </c>
      <c r="AK96" s="64" t="s" ph="1">
        <v>295</v>
      </c>
      <c r="AM96" s="64" t="s" ph="1">
        <v>496</v>
      </c>
      <c r="AN96" s="64" t="s" ph="1">
        <v>269</v>
      </c>
      <c r="AO96" s="64" t="s" ph="1">
        <v>300</v>
      </c>
      <c r="AP96" s="64" t="s" ph="1">
        <v>497</v>
      </c>
      <c r="AQ96" s="64" t="s" ph="1">
        <v>313</v>
      </c>
      <c r="AR96" s="64" t="s" ph="1">
        <v>328</v>
      </c>
      <c r="AS96" s="64" t="s" ph="1">
        <v>498</v>
      </c>
      <c r="AT96" s="64" t="s" ph="1">
        <v>272</v>
      </c>
      <c r="AU96" s="64" t="s" ph="1">
        <v>328</v>
      </c>
      <c r="AV96" s="64" t="s" ph="1">
        <v>499</v>
      </c>
      <c r="AW96" s="64" t="s" ph="1">
        <v>268</v>
      </c>
      <c r="AX96" s="64" t="s" ph="1">
        <v>328</v>
      </c>
      <c r="AY96" s="64" t="s" ph="1">
        <v>257</v>
      </c>
      <c r="AZ96" s="64" t="s" ph="1">
        <v>500</v>
      </c>
    </row>
    <row r="97" spans="33:52" ph="1">
      <c r="AJ97" s="64" t="s" ph="1">
        <v>501</v>
      </c>
      <c r="AK97" s="64" t="s" ph="1">
        <v>323</v>
      </c>
      <c r="AM97" s="64" t="s" ph="1">
        <v>502</v>
      </c>
      <c r="AN97" s="64" t="s" ph="1">
        <v>266</v>
      </c>
      <c r="AO97" s="64" t="s" ph="1">
        <v>300</v>
      </c>
      <c r="AP97" s="64" t="s" ph="1">
        <v>503</v>
      </c>
      <c r="AQ97" s="64" t="s" ph="1">
        <v>260</v>
      </c>
      <c r="AR97" s="64" t="s" ph="1">
        <v>328</v>
      </c>
      <c r="AS97" s="64" t="s" ph="1">
        <v>504</v>
      </c>
      <c r="AT97" s="64" t="s" ph="1">
        <v>263</v>
      </c>
      <c r="AU97" s="64" t="s" ph="1">
        <v>328</v>
      </c>
      <c r="AV97" s="64" t="s" ph="1">
        <v>505</v>
      </c>
      <c r="AW97" s="64" t="s" ph="1">
        <v>269</v>
      </c>
      <c r="AX97" s="64" t="s" ph="1">
        <v>328</v>
      </c>
    </row>
    <row r="98" spans="33:52" ph="1">
      <c r="AJ98" s="64" t="s" ph="1">
        <v>506</v>
      </c>
      <c r="AK98" s="64" t="s" ph="1">
        <v>272</v>
      </c>
      <c r="AM98" s="64" t="s" ph="1">
        <v>507</v>
      </c>
      <c r="AN98" s="64" t="s" ph="1">
        <v>280</v>
      </c>
      <c r="AO98" s="64" t="s" ph="1">
        <v>300</v>
      </c>
      <c r="AP98" s="64" t="s" ph="1">
        <v>508</v>
      </c>
      <c r="AQ98" s="64" t="s" ph="1">
        <v>260</v>
      </c>
      <c r="AR98" s="64" t="s" ph="1">
        <v>328</v>
      </c>
      <c r="AS98" s="64" t="s" ph="1">
        <v>509</v>
      </c>
      <c r="AT98" s="64" t="s" ph="1">
        <v>340</v>
      </c>
      <c r="AU98" s="64" t="s" ph="1">
        <v>328</v>
      </c>
      <c r="AV98" s="64" t="s" ph="1">
        <v>510</v>
      </c>
      <c r="AW98" s="64" t="s" ph="1">
        <v>263</v>
      </c>
      <c r="AX98" s="64" t="s" ph="1">
        <v>328</v>
      </c>
    </row>
    <row r="99" spans="33:52" ph="1">
      <c r="AH99" s="64" ph="1">
        <v>8</v>
      </c>
      <c r="AI99" s="64" t="s" ph="1">
        <v>511</v>
      </c>
      <c r="AJ99" s="64" t="s" ph="1">
        <v>512</v>
      </c>
      <c r="AK99" s="64" t="s" ph="1">
        <v>408</v>
      </c>
      <c r="AM99" s="64" t="s" ph="1">
        <v>513</v>
      </c>
      <c r="AN99" s="64" t="s" ph="1">
        <v>295</v>
      </c>
      <c r="AO99" s="64" t="s" ph="1">
        <v>300</v>
      </c>
      <c r="AP99" s="64" t="s" ph="1">
        <v>514</v>
      </c>
      <c r="AQ99" s="64" t="s" ph="1">
        <v>265</v>
      </c>
      <c r="AR99" s="64" t="s" ph="1">
        <v>328</v>
      </c>
      <c r="AS99" s="64" t="s" ph="1">
        <v>515</v>
      </c>
      <c r="AT99" s="64" t="s" ph="1">
        <v>280</v>
      </c>
      <c r="AU99" s="64" t="s" ph="1">
        <v>328</v>
      </c>
      <c r="AV99" s="64" t="s" ph="1">
        <v>516</v>
      </c>
      <c r="AW99" s="64" t="s" ph="1">
        <v>265</v>
      </c>
      <c r="AX99" s="64" t="s" ph="1">
        <v>328</v>
      </c>
      <c r="AY99" s="64" t="s" ph="1">
        <v>257</v>
      </c>
      <c r="AZ99" s="64" t="s" ph="1">
        <v>517</v>
      </c>
    </row>
    <row r="100" spans="33:52" ph="1">
      <c r="AJ100" s="64" t="s" ph="1">
        <v>518</v>
      </c>
      <c r="AK100" s="64" t="s" ph="1">
        <v>263</v>
      </c>
      <c r="AM100" s="64" t="s" ph="1">
        <v>519</v>
      </c>
      <c r="AN100" s="64" t="s" ph="1">
        <v>335</v>
      </c>
      <c r="AO100" s="64" t="s" ph="1">
        <v>300</v>
      </c>
      <c r="AP100" s="64" t="s" ph="1">
        <v>520</v>
      </c>
      <c r="AQ100" s="64" t="s" ph="1">
        <v>341</v>
      </c>
      <c r="AR100" s="64" t="s" ph="1">
        <v>328</v>
      </c>
      <c r="AS100" s="64" t="s" ph="1">
        <v>521</v>
      </c>
      <c r="AT100" s="64" t="s" ph="1">
        <v>408</v>
      </c>
      <c r="AU100" s="64" t="s" ph="1">
        <v>300</v>
      </c>
      <c r="AV100" s="64" t="s" ph="1">
        <v>522</v>
      </c>
      <c r="AW100" s="64" t="s" ph="1">
        <v>408</v>
      </c>
      <c r="AX100" s="64" t="s" ph="1">
        <v>300</v>
      </c>
    </row>
    <row r="101" spans="33:52" ph="1">
      <c r="AJ101" s="64" t="s" ph="1">
        <v>523</v>
      </c>
      <c r="AK101" s="64" t="s" ph="1">
        <v>408</v>
      </c>
      <c r="AM101" s="64" t="s" ph="1">
        <v>524</v>
      </c>
      <c r="AN101" s="64" t="s" ph="1">
        <v>266</v>
      </c>
      <c r="AO101" s="64" t="s" ph="1">
        <v>300</v>
      </c>
      <c r="AP101" s="64" t="s" ph="1">
        <v>525</v>
      </c>
      <c r="AQ101" s="64" t="s" ph="1">
        <v>278</v>
      </c>
      <c r="AR101" s="64" t="s" ph="1">
        <v>328</v>
      </c>
      <c r="AS101" s="64" t="s" ph="1">
        <v>526</v>
      </c>
      <c r="AT101" s="64" t="s" ph="1">
        <v>335</v>
      </c>
      <c r="AU101" s="64" t="s" ph="1">
        <v>328</v>
      </c>
      <c r="AV101" s="64" t="s" ph="1">
        <v>527</v>
      </c>
      <c r="AW101" s="64" t="s" ph="1">
        <v>266</v>
      </c>
      <c r="AX101" s="64" t="s" ph="1">
        <v>300</v>
      </c>
    </row>
    <row r="102" spans="33:52" ph="1">
      <c r="AJ102" s="64" t="s" ph="1">
        <v>528</v>
      </c>
      <c r="AK102" s="64" t="s" ph="1">
        <v>263</v>
      </c>
      <c r="AM102" s="64" t="s" ph="1">
        <v>529</v>
      </c>
      <c r="AN102" s="64" t="s" ph="1">
        <v>272</v>
      </c>
      <c r="AO102" s="64" t="s" ph="1">
        <v>300</v>
      </c>
      <c r="AP102" s="64" t="s" ph="1">
        <v>530</v>
      </c>
      <c r="AQ102" s="64" t="s" ph="1">
        <v>278</v>
      </c>
      <c r="AR102" s="64" t="s" ph="1">
        <v>300</v>
      </c>
      <c r="AS102" s="64" t="s" ph="1">
        <v>531</v>
      </c>
      <c r="AT102" s="64" t="s" ph="1">
        <v>295</v>
      </c>
      <c r="AU102" s="64" t="s" ph="1">
        <v>300</v>
      </c>
      <c r="AV102" s="64" t="s" ph="1">
        <v>532</v>
      </c>
      <c r="AW102" s="64" t="s" ph="1">
        <v>313</v>
      </c>
      <c r="AX102" s="64" t="s" ph="1">
        <v>300</v>
      </c>
    </row>
    <row r="103" spans="33:52" ph="1">
      <c r="AH103" s="64" ph="1">
        <v>9</v>
      </c>
      <c r="AI103" s="64" t="s" ph="1">
        <v>533</v>
      </c>
      <c r="AJ103" s="64" t="s" ph="1">
        <v>534</v>
      </c>
      <c r="AK103" s="64" t="s" ph="1">
        <v>408</v>
      </c>
      <c r="AM103" s="64" t="s" ph="1">
        <v>535</v>
      </c>
      <c r="AN103" s="64" t="s" ph="1">
        <v>323</v>
      </c>
      <c r="AO103" s="64" t="s" ph="1">
        <v>300</v>
      </c>
      <c r="AP103" s="64" t="s" ph="1">
        <v>377</v>
      </c>
      <c r="AQ103" s="64" t="s" ph="1">
        <v>266</v>
      </c>
      <c r="AR103" s="64" t="s" ph="1">
        <v>300</v>
      </c>
      <c r="AS103" s="64" t="s" ph="1">
        <v>611</v>
      </c>
      <c r="AT103" s="64" t="s" ph="1">
        <v>408</v>
      </c>
      <c r="AU103" s="64" t="s" ph="1">
        <v>300</v>
      </c>
      <c r="AY103" s="64" t="s" ph="1">
        <v>257</v>
      </c>
      <c r="AZ103" s="64" t="s" ph="1">
        <v>265</v>
      </c>
    </row>
    <row r="104" spans="33:52" ph="1">
      <c r="AZ104" s="64" t="s" ph="1">
        <v>536</v>
      </c>
    </row>
    <row r="105" spans="33:52" ph="1">
      <c r="AG105" s="64" t="s" ph="1">
        <v>336</v>
      </c>
      <c r="AI105" s="64" t="s" ph="1">
        <v>250</v>
      </c>
      <c r="AJ105" s="64" t="s" ph="1">
        <v>251</v>
      </c>
      <c r="AK105" s="64" t="s" ph="1">
        <v>252</v>
      </c>
      <c r="AM105" s="64" t="s" ph="1">
        <v>251</v>
      </c>
      <c r="AN105" s="64" t="s" ph="1">
        <v>252</v>
      </c>
      <c r="AO105" s="64" t="s" ph="1">
        <v>253</v>
      </c>
      <c r="AP105" s="64" t="s" ph="1">
        <v>251</v>
      </c>
      <c r="AQ105" s="64" t="s" ph="1">
        <v>252</v>
      </c>
      <c r="AR105" s="64" t="s" ph="1">
        <v>253</v>
      </c>
      <c r="AS105" s="64" t="s" ph="1">
        <v>251</v>
      </c>
      <c r="AT105" s="64" t="s" ph="1">
        <v>252</v>
      </c>
      <c r="AU105" s="64" t="s" ph="1">
        <v>253</v>
      </c>
      <c r="AV105" s="64" t="s" ph="1">
        <v>251</v>
      </c>
      <c r="AW105" s="64" t="s" ph="1">
        <v>252</v>
      </c>
      <c r="AX105" s="64" t="s" ph="1">
        <v>253</v>
      </c>
      <c r="AZ105" s="64" t="s" ph="1">
        <v>254</v>
      </c>
    </row>
    <row r="106" spans="33:52" ph="1">
      <c r="AH106" s="64" ph="1">
        <v>1</v>
      </c>
      <c r="AI106" s="64" t="s" ph="1">
        <v>537</v>
      </c>
      <c r="AJ106" s="64" t="s" ph="1">
        <v>611</v>
      </c>
      <c r="AK106" s="64" t="s" ph="1">
        <v>272</v>
      </c>
      <c r="AZ106" s="64" t="s" ph="1">
        <v>272</v>
      </c>
    </row>
    <row r="107" spans="33:52" ph="1">
      <c r="AH107" s="64" ph="1">
        <v>2</v>
      </c>
      <c r="AI107" s="64" t="s" ph="1">
        <v>538</v>
      </c>
      <c r="AJ107" s="64" t="s" ph="1">
        <v>539</v>
      </c>
      <c r="AK107" s="64" t="s" ph="1">
        <v>269</v>
      </c>
      <c r="AM107" s="64" t="s" ph="1">
        <v>375</v>
      </c>
      <c r="AN107" s="64" t="s" ph="1">
        <v>540</v>
      </c>
      <c r="AO107" s="64" t="s" ph="1">
        <v>541</v>
      </c>
      <c r="AP107" s="64" t="s" ph="1">
        <v>377</v>
      </c>
      <c r="AQ107" s="64" t="s" ph="1">
        <v>345</v>
      </c>
      <c r="AR107" s="64" t="s" ph="1">
        <v>541</v>
      </c>
      <c r="AS107" s="64" t="s" ph="1">
        <v>611</v>
      </c>
      <c r="AT107" s="64" t="s" ph="1">
        <v>540</v>
      </c>
      <c r="AU107" s="64" t="s" ph="1">
        <v>541</v>
      </c>
      <c r="AY107" s="64" t="s" ph="1">
        <v>257</v>
      </c>
      <c r="AZ107" s="64" t="s" ph="1">
        <v>621</v>
      </c>
    </row>
    <row r="108" spans="33:52" ph="1">
      <c r="AH108" s="64" ph="1">
        <v>3</v>
      </c>
      <c r="AI108" s="64" t="s" ph="1">
        <v>542</v>
      </c>
      <c r="AY108" s="64" t="s" ph="1">
        <v>257</v>
      </c>
      <c r="AZ108" s="64" t="s" ph="1">
        <v>408</v>
      </c>
    </row>
    <row r="109" spans="33:52" ph="1">
      <c r="AH109" s="64" ph="1">
        <v>4</v>
      </c>
      <c r="AI109" s="64" t="s" ph="1">
        <v>543</v>
      </c>
      <c r="AY109" s="64" t="s" ph="1">
        <v>257</v>
      </c>
      <c r="AZ109" s="64" t="s" ph="1">
        <v>408</v>
      </c>
    </row>
    <row r="110" spans="33:52" ph="1">
      <c r="AH110" s="64" ph="1">
        <v>5</v>
      </c>
      <c r="AI110" s="64" t="s" ph="1">
        <v>544</v>
      </c>
      <c r="AY110" s="64" t="s" ph="1">
        <v>257</v>
      </c>
      <c r="AZ110" s="64" t="s" ph="1">
        <v>408</v>
      </c>
    </row>
    <row r="111" spans="33:52" ph="1">
      <c r="AH111" s="64" ph="1">
        <v>6</v>
      </c>
      <c r="AI111" s="64" t="s" ph="1">
        <v>622</v>
      </c>
      <c r="AJ111" s="64" t="s" ph="1">
        <v>527</v>
      </c>
      <c r="AK111" s="64" t="s" ph="1">
        <v>266</v>
      </c>
      <c r="AM111" s="64" t="s" ph="1">
        <v>528</v>
      </c>
      <c r="AN111" s="64" t="s" ph="1">
        <v>260</v>
      </c>
      <c r="AO111" s="64" t="s" ph="1">
        <v>541</v>
      </c>
      <c r="AP111" s="64" t="s" ph="1">
        <v>529</v>
      </c>
      <c r="AQ111" s="64" t="s" ph="1">
        <v>269</v>
      </c>
      <c r="AR111" s="64" t="s" ph="1">
        <v>541</v>
      </c>
      <c r="AS111" s="64" t="s" ph="1">
        <v>530</v>
      </c>
      <c r="AT111" s="64" t="s" ph="1">
        <v>278</v>
      </c>
      <c r="AU111" s="64" t="s" ph="1">
        <v>541</v>
      </c>
      <c r="AV111" s="64" t="s" ph="1">
        <v>531</v>
      </c>
      <c r="AW111" s="64" t="s" ph="1">
        <v>268</v>
      </c>
      <c r="AX111" s="64" t="s" ph="1">
        <v>541</v>
      </c>
      <c r="AY111" s="64" t="s" ph="1">
        <v>257</v>
      </c>
      <c r="AZ111" s="64" t="s" ph="1">
        <v>545</v>
      </c>
    </row>
    <row r="112" spans="33:52" ph="1">
      <c r="AJ112" s="64" t="s" ph="1">
        <v>532</v>
      </c>
      <c r="AK112" s="64" t="s" ph="1">
        <v>313</v>
      </c>
      <c r="AM112" s="64" t="s" ph="1">
        <v>534</v>
      </c>
      <c r="AN112" s="64" t="s" ph="1">
        <v>337</v>
      </c>
      <c r="AO112" s="64" t="s" ph="1">
        <v>541</v>
      </c>
      <c r="AP112" s="64" t="s" ph="1">
        <v>535</v>
      </c>
      <c r="AQ112" s="64" t="s" ph="1">
        <v>546</v>
      </c>
      <c r="AR112" s="64" t="s" ph="1">
        <v>541</v>
      </c>
      <c r="AS112" s="64" t="s" ph="1">
        <v>547</v>
      </c>
      <c r="AT112" s="64" t="s" ph="1">
        <v>289</v>
      </c>
      <c r="AU112" s="64" t="s" ph="1">
        <v>541</v>
      </c>
      <c r="AV112" s="64" t="s" ph="1">
        <v>548</v>
      </c>
      <c r="AW112" s="64" t="s" ph="1">
        <v>335</v>
      </c>
      <c r="AX112" s="64" t="s" ph="1">
        <v>541</v>
      </c>
    </row>
    <row r="113" spans="33:52" ph="1">
      <c r="AH113" s="64" ph="1">
        <v>7</v>
      </c>
      <c r="AI113" s="64" t="s" ph="1">
        <v>549</v>
      </c>
      <c r="AJ113" s="64" t="s" ph="1">
        <v>630</v>
      </c>
      <c r="AK113" s="64" t="s" ph="1">
        <v>635</v>
      </c>
      <c r="AY113" s="64" t="s" ph="1">
        <v>257</v>
      </c>
      <c r="AZ113" s="64" t="s" ph="1">
        <v>635</v>
      </c>
    </row>
    <row r="114" spans="33:52" ph="1">
      <c r="AH114" s="64" ph="1">
        <v>8</v>
      </c>
      <c r="AI114" s="64" t="s" ph="1">
        <v>550</v>
      </c>
      <c r="AJ114" s="64" t="s" ph="1">
        <v>630</v>
      </c>
      <c r="AK114" s="64" t="s" ph="1">
        <v>636</v>
      </c>
      <c r="AY114" s="64" t="s" ph="1">
        <v>257</v>
      </c>
      <c r="AZ114" s="64" t="s" ph="1">
        <v>636</v>
      </c>
    </row>
    <row r="115" spans="33:52" ph="1">
      <c r="AH115" s="64" ph="1">
        <v>9</v>
      </c>
      <c r="AI115" s="64" t="s" ph="1">
        <v>551</v>
      </c>
      <c r="AJ115" s="64" t="s" ph="1">
        <v>630</v>
      </c>
      <c r="AK115" s="64" t="s" ph="1">
        <v>636</v>
      </c>
      <c r="AY115" s="64" t="s" ph="1">
        <v>257</v>
      </c>
      <c r="AZ115" s="64" t="s" ph="1">
        <v>636</v>
      </c>
    </row>
    <row r="116" spans="33:52" ph="1">
      <c r="AH116" s="64" ph="1">
        <v>10</v>
      </c>
      <c r="AI116" s="64" t="s" ph="1">
        <v>552</v>
      </c>
      <c r="AJ116" s="64" t="s" ph="1">
        <v>630</v>
      </c>
      <c r="AK116" s="64" t="s" ph="1">
        <v>636</v>
      </c>
      <c r="AY116" s="64" t="s" ph="1">
        <v>257</v>
      </c>
      <c r="AZ116" s="64" t="s" ph="1">
        <v>636</v>
      </c>
    </row>
    <row r="117" spans="33:52" ph="1">
      <c r="AH117" s="64" ph="1">
        <v>11</v>
      </c>
      <c r="AI117" s="64" t="s" ph="1">
        <v>553</v>
      </c>
      <c r="AJ117" s="64" t="s" ph="1">
        <v>630</v>
      </c>
      <c r="AK117" s="64" t="s" ph="1">
        <v>636</v>
      </c>
      <c r="AY117" s="64" t="s" ph="1">
        <v>257</v>
      </c>
      <c r="AZ117" s="64" t="s" ph="1">
        <v>636</v>
      </c>
    </row>
    <row r="118" spans="33:52" ph="1">
      <c r="AZ118" s="64" t="s" ph="1">
        <v>637</v>
      </c>
    </row>
    <row r="119" spans="33:52" ph="1">
      <c r="AI119" s="64" t="s" ph="1">
        <v>250</v>
      </c>
      <c r="AJ119" s="64" t="s" ph="1">
        <v>251</v>
      </c>
      <c r="AK119" s="64" t="s" ph="1">
        <v>252</v>
      </c>
      <c r="AM119" s="64" t="s" ph="1">
        <v>251</v>
      </c>
      <c r="AN119" s="64" t="s" ph="1">
        <v>252</v>
      </c>
      <c r="AO119" s="64" t="s" ph="1">
        <v>253</v>
      </c>
      <c r="AP119" s="64" t="s" ph="1">
        <v>251</v>
      </c>
      <c r="AQ119" s="64" t="s" ph="1">
        <v>252</v>
      </c>
      <c r="AR119" s="64" t="s" ph="1">
        <v>253</v>
      </c>
      <c r="AS119" s="64" t="s" ph="1">
        <v>251</v>
      </c>
      <c r="AT119" s="64" t="s" ph="1">
        <v>252</v>
      </c>
      <c r="AU119" s="64" t="s" ph="1">
        <v>253</v>
      </c>
      <c r="AV119" s="64" t="s" ph="1">
        <v>251</v>
      </c>
      <c r="AW119" s="64" t="s" ph="1">
        <v>252</v>
      </c>
      <c r="AX119" s="64" t="s" ph="1">
        <v>253</v>
      </c>
      <c r="AY119" s="64" t="s" ph="1">
        <v>252</v>
      </c>
      <c r="AZ119" s="64" t="s" ph="1">
        <v>254</v>
      </c>
    </row>
    <row r="120" spans="33:52" ph="1">
      <c r="AG120" s="64" t="s" ph="1">
        <v>394</v>
      </c>
      <c r="AH120" s="64" ph="1">
        <v>1</v>
      </c>
      <c r="AI120" s="64" t="s" ph="1">
        <v>554</v>
      </c>
      <c r="AJ120" s="64" t="s" ph="1">
        <v>628</v>
      </c>
      <c r="AK120" s="64" t="s" ph="1">
        <v>408</v>
      </c>
      <c r="AY120" s="64" t="s" ph="1">
        <v>257</v>
      </c>
      <c r="AZ120" s="64" t="s" ph="1">
        <v>408</v>
      </c>
    </row>
    <row r="121" spans="33:52" ph="1">
      <c r="AH121" s="64" ph="1">
        <v>2</v>
      </c>
      <c r="AI121" s="64" t="s" ph="1">
        <v>555</v>
      </c>
      <c r="AY121" s="64" t="s" ph="1">
        <v>257</v>
      </c>
      <c r="AZ121" s="64" t="s" ph="1">
        <v>408</v>
      </c>
    </row>
    <row r="122" spans="33:52" ph="1">
      <c r="AH122" s="64" ph="1">
        <v>3</v>
      </c>
      <c r="AI122" s="64" t="s" ph="1">
        <v>556</v>
      </c>
      <c r="AJ122" s="64" t="s" ph="1">
        <v>611</v>
      </c>
      <c r="AK122" s="64" t="s" ph="1">
        <v>623</v>
      </c>
      <c r="AM122" s="64" t="s" ph="1">
        <v>638</v>
      </c>
      <c r="AN122" s="64" t="s" ph="1">
        <v>631</v>
      </c>
      <c r="AO122" s="64" t="s" ph="1">
        <v>108</v>
      </c>
      <c r="AY122" s="64" t="s" ph="1">
        <v>257</v>
      </c>
      <c r="AZ122" s="64" t="s" ph="1">
        <v>620</v>
      </c>
    </row>
    <row r="123" spans="33:52" ph="1">
      <c r="AY123" s="64" t="s" ph="1">
        <v>257</v>
      </c>
      <c r="AZ123" s="64" t="s" ph="1">
        <v>620</v>
      </c>
    </row>
    <row r="124" spans="33:52" ph="1">
      <c r="AG124" s="64" t="s" ph="1">
        <v>397</v>
      </c>
      <c r="AH124" s="64" ph="1">
        <v>4</v>
      </c>
      <c r="AI124" s="64" t="s" ph="1">
        <v>557</v>
      </c>
      <c r="AJ124" s="64" t="s" ph="1">
        <v>558</v>
      </c>
      <c r="AK124" s="64" t="s" ph="1">
        <v>559</v>
      </c>
      <c r="AY124" s="64" t="s" ph="1">
        <v>257</v>
      </c>
      <c r="AZ124" s="64" t="s" ph="1">
        <v>559</v>
      </c>
    </row>
    <row r="125" spans="33:52" ph="1">
      <c r="AH125" s="64" ph="1">
        <v>5</v>
      </c>
      <c r="AI125" s="64" t="s" ph="1">
        <v>560</v>
      </c>
      <c r="AJ125" s="64" t="s" ph="1">
        <v>558</v>
      </c>
      <c r="AK125" s="64" t="s" ph="1">
        <v>559</v>
      </c>
      <c r="AY125" s="64" t="s" ph="1">
        <v>257</v>
      </c>
      <c r="AZ125" s="64" t="s" ph="1">
        <v>559</v>
      </c>
    </row>
    <row r="126" spans="33:52" ph="1">
      <c r="AH126" s="64" ph="1">
        <v>6</v>
      </c>
      <c r="AI126" s="64" t="s" ph="1">
        <v>561</v>
      </c>
      <c r="AJ126" s="64" t="s" ph="1">
        <v>630</v>
      </c>
      <c r="AK126" s="64" t="s" ph="1">
        <v>639</v>
      </c>
      <c r="AY126" s="64" t="s" ph="1">
        <v>257</v>
      </c>
      <c r="AZ126" s="64" t="s" ph="1">
        <v>639</v>
      </c>
    </row>
    <row r="127" spans="33:52" ph="1">
      <c r="AH127" s="64" ph="1">
        <v>7</v>
      </c>
      <c r="AI127" s="64" t="s" ph="1">
        <v>562</v>
      </c>
      <c r="AJ127" s="64" t="s" ph="1">
        <v>630</v>
      </c>
      <c r="AK127" s="64" t="s" ph="1">
        <v>640</v>
      </c>
      <c r="AY127" s="64" t="s" ph="1">
        <v>257</v>
      </c>
      <c r="AZ127" s="64" t="s" ph="1">
        <v>640</v>
      </c>
    </row>
    <row r="128" spans="33:52" ph="1">
      <c r="AH128" s="64" ph="1">
        <v>8</v>
      </c>
      <c r="AI128" s="64" t="s" ph="1">
        <v>563</v>
      </c>
      <c r="AY128" s="64" t="s" ph="1">
        <v>257</v>
      </c>
      <c r="AZ128" s="64" t="s" ph="1">
        <v>408</v>
      </c>
    </row>
    <row r="129" spans="33:52" ph="1">
      <c r="AH129" s="64" ph="1">
        <v>9</v>
      </c>
      <c r="AI129" s="64" t="s" ph="1">
        <v>564</v>
      </c>
      <c r="AY129" s="64" t="s" ph="1">
        <v>257</v>
      </c>
      <c r="AZ129" s="64" t="s" ph="1">
        <v>408</v>
      </c>
    </row>
    <row r="130" spans="33:52" ph="1">
      <c r="AH130" s="64" ph="1">
        <v>10</v>
      </c>
      <c r="AI130" s="64" t="s" ph="1">
        <v>565</v>
      </c>
      <c r="AY130" s="64" t="s" ph="1">
        <v>257</v>
      </c>
      <c r="AZ130" s="64" t="s" ph="1">
        <v>408</v>
      </c>
    </row>
    <row r="131" spans="33:52" ph="1">
      <c r="AH131" s="64" ph="1">
        <v>11</v>
      </c>
      <c r="AI131" s="64" t="s" ph="1">
        <v>566</v>
      </c>
      <c r="AJ131" s="64" t="s" ph="1">
        <v>624</v>
      </c>
      <c r="AK131" s="64" t="s" ph="1">
        <v>620</v>
      </c>
      <c r="AY131" s="64" t="s" ph="1">
        <v>257</v>
      </c>
      <c r="AZ131" s="64" t="s" ph="1">
        <v>620</v>
      </c>
    </row>
    <row r="132" spans="33:52" ph="1">
      <c r="AH132" s="64" ph="1">
        <v>12</v>
      </c>
      <c r="AI132" s="64" t="s" ph="1">
        <v>567</v>
      </c>
      <c r="AJ132" s="64" t="s" ph="1">
        <v>624</v>
      </c>
      <c r="AK132" s="64" t="s" ph="1">
        <v>559</v>
      </c>
      <c r="AY132" s="64" t="s" ph="1">
        <v>257</v>
      </c>
      <c r="AZ132" s="64" t="s" ph="1">
        <v>559</v>
      </c>
    </row>
    <row r="133" spans="33:52" ph="1">
      <c r="AH133" s="64" ph="1">
        <v>13</v>
      </c>
      <c r="AI133" s="64" t="s" ph="1">
        <v>568</v>
      </c>
      <c r="AJ133" s="64" t="s" ph="1">
        <v>624</v>
      </c>
      <c r="AK133" s="64" t="s" ph="1">
        <v>625</v>
      </c>
      <c r="AY133" s="64" t="s" ph="1">
        <v>257</v>
      </c>
      <c r="AZ133" s="64" t="s" ph="1">
        <v>625</v>
      </c>
    </row>
    <row r="134" spans="33:52" ph="1">
      <c r="AH134" s="64" ph="1">
        <v>14</v>
      </c>
      <c r="AI134" s="64" t="s" ph="1">
        <v>569</v>
      </c>
      <c r="AJ134" s="64" t="s" ph="1">
        <v>624</v>
      </c>
      <c r="AK134" s="64" t="s" ph="1">
        <v>626</v>
      </c>
      <c r="AY134" s="64" t="s" ph="1">
        <v>257</v>
      </c>
      <c r="AZ134" s="64" t="s" ph="1">
        <v>626</v>
      </c>
    </row>
    <row r="135" spans="33:52" ph="1">
      <c r="AH135" s="64" ph="1">
        <v>15</v>
      </c>
      <c r="AI135" s="64" t="s" ph="1">
        <v>570</v>
      </c>
      <c r="AJ135" s="64" t="s" ph="1">
        <v>624</v>
      </c>
      <c r="AK135" s="64" t="s" ph="1">
        <v>627</v>
      </c>
      <c r="AY135" s="64" t="s" ph="1">
        <v>257</v>
      </c>
      <c r="AZ135" s="64" t="s" ph="1">
        <v>627</v>
      </c>
    </row>
    <row r="136" spans="33:52" ph="1">
      <c r="AZ136" s="64" t="s" ph="1">
        <v>641</v>
      </c>
    </row>
    <row r="137" spans="33:52" ph="1">
      <c r="AG137" s="64" t="s" ph="1">
        <v>331</v>
      </c>
      <c r="AI137" s="64" t="s" ph="1">
        <v>250</v>
      </c>
      <c r="AJ137" s="64" t="s" ph="1">
        <v>251</v>
      </c>
      <c r="AK137" s="64" t="s" ph="1">
        <v>252</v>
      </c>
      <c r="AM137" s="64" t="s" ph="1">
        <v>251</v>
      </c>
      <c r="AN137" s="64" t="s" ph="1">
        <v>252</v>
      </c>
      <c r="AO137" s="64" t="s" ph="1">
        <v>253</v>
      </c>
      <c r="AP137" s="64" t="s" ph="1">
        <v>251</v>
      </c>
      <c r="AQ137" s="64" t="s" ph="1">
        <v>252</v>
      </c>
      <c r="AR137" s="64" t="s" ph="1">
        <v>253</v>
      </c>
      <c r="AS137" s="64" t="s" ph="1">
        <v>251</v>
      </c>
      <c r="AT137" s="64" t="s" ph="1">
        <v>252</v>
      </c>
      <c r="AU137" s="64" t="s" ph="1">
        <v>253</v>
      </c>
      <c r="AV137" s="64" t="s" ph="1">
        <v>251</v>
      </c>
      <c r="AW137" s="64" t="s" ph="1">
        <v>252</v>
      </c>
      <c r="AX137" s="64" t="s" ph="1">
        <v>253</v>
      </c>
      <c r="AY137" s="64" t="s" ph="1">
        <v>252</v>
      </c>
      <c r="AZ137" s="64" t="s" ph="1">
        <v>254</v>
      </c>
    </row>
    <row r="138" spans="33:52" ph="1">
      <c r="AH138" s="64" ph="1">
        <v>1</v>
      </c>
      <c r="AI138" s="64" t="s" ph="1">
        <v>571</v>
      </c>
      <c r="AJ138" s="64" t="s" ph="1">
        <v>572</v>
      </c>
      <c r="AK138" s="64" t="s" ph="1">
        <v>573</v>
      </c>
      <c r="AY138" s="64" t="s" ph="1">
        <v>257</v>
      </c>
      <c r="AZ138" s="64" t="s" ph="1">
        <v>573</v>
      </c>
    </row>
    <row r="139" spans="33:52" ph="1">
      <c r="AH139" s="64" ph="1">
        <v>2</v>
      </c>
      <c r="AI139" s="64" t="s" ph="1">
        <v>574</v>
      </c>
      <c r="AJ139" s="64" t="s" ph="1">
        <v>630</v>
      </c>
      <c r="AK139" s="64" t="s" ph="1">
        <v>642</v>
      </c>
      <c r="AY139" s="64" t="s" ph="1">
        <v>257</v>
      </c>
      <c r="AZ139" s="64" t="s" ph="1">
        <v>642</v>
      </c>
    </row>
    <row r="140" spans="33:52" ph="1">
      <c r="AH140" s="64" ph="1">
        <v>3</v>
      </c>
      <c r="AI140" s="64" t="s" ph="1">
        <v>575</v>
      </c>
      <c r="AJ140" s="64" t="s" ph="1">
        <v>528</v>
      </c>
      <c r="AK140" s="64" t="s" ph="1">
        <v>340</v>
      </c>
      <c r="AM140" s="64" t="s" ph="1">
        <v>529</v>
      </c>
      <c r="AN140" s="64" t="s" ph="1">
        <v>260</v>
      </c>
      <c r="AO140" s="64" t="s" ph="1">
        <v>576</v>
      </c>
      <c r="AP140" s="64" t="s" ph="1">
        <v>530</v>
      </c>
      <c r="AQ140" s="64" t="s" ph="1">
        <v>277</v>
      </c>
      <c r="AR140" s="64" t="s" ph="1">
        <v>576</v>
      </c>
      <c r="AS140" s="64" t="s" ph="1">
        <v>531</v>
      </c>
      <c r="AT140" s="64" t="s" ph="1">
        <v>270</v>
      </c>
      <c r="AU140" s="64" t="s" ph="1">
        <v>576</v>
      </c>
      <c r="AV140" s="64" t="s" ph="1">
        <v>532</v>
      </c>
      <c r="AW140" s="64" t="s" ph="1">
        <v>263</v>
      </c>
      <c r="AX140" s="64" t="s" ph="1">
        <v>576</v>
      </c>
      <c r="AY140" s="64" t="s" ph="1">
        <v>257</v>
      </c>
      <c r="AZ140" s="64" t="s" ph="1">
        <v>332</v>
      </c>
    </row>
    <row r="141" spans="33:52" ph="1">
      <c r="AJ141" s="64" t="s" ph="1">
        <v>534</v>
      </c>
      <c r="AK141" s="64" t="s" ph="1">
        <v>263</v>
      </c>
      <c r="AM141" s="64" t="s" ph="1">
        <v>535</v>
      </c>
      <c r="AN141" s="64" t="s" ph="1">
        <v>266</v>
      </c>
      <c r="AO141" s="64" t="s" ph="1">
        <v>576</v>
      </c>
      <c r="AP141" s="64" t="s" ph="1">
        <v>547</v>
      </c>
      <c r="AQ141" s="64" t="s" ph="1">
        <v>335</v>
      </c>
      <c r="AR141" s="64" t="s" ph="1">
        <v>576</v>
      </c>
      <c r="AS141" s="64" t="s" ph="1">
        <v>539</v>
      </c>
      <c r="AT141" s="64" t="s" ph="1">
        <v>263</v>
      </c>
      <c r="AU141" s="64" t="s" ph="1">
        <v>576</v>
      </c>
      <c r="AV141" s="64" t="s" ph="1">
        <v>375</v>
      </c>
      <c r="AW141" s="64" t="s" ph="1">
        <v>269</v>
      </c>
      <c r="AX141" s="64" t="s" ph="1">
        <v>576</v>
      </c>
    </row>
    <row r="142" spans="33:52" ph="1">
      <c r="AJ142" s="64" t="s" ph="1">
        <v>577</v>
      </c>
      <c r="AK142" s="64" t="s" ph="1">
        <v>280</v>
      </c>
    </row>
    <row r="143" spans="33:52" ph="1">
      <c r="AH143" s="64" ph="1">
        <v>4</v>
      </c>
      <c r="AI143" s="64" t="s" ph="1">
        <v>578</v>
      </c>
      <c r="AJ143" s="64" t="s" ph="1">
        <v>558</v>
      </c>
      <c r="AK143" s="64" t="s" ph="1">
        <v>579</v>
      </c>
      <c r="AY143" s="64" t="s" ph="1">
        <v>257</v>
      </c>
      <c r="AZ143" s="64" t="s" ph="1">
        <v>579</v>
      </c>
    </row>
    <row r="144" spans="33:52" ph="1">
      <c r="AH144" s="64" ph="1">
        <v>5</v>
      </c>
      <c r="AI144" s="64" t="s" ph="1">
        <v>580</v>
      </c>
      <c r="AY144" s="64" t="s" ph="1">
        <v>257</v>
      </c>
      <c r="AZ144" s="64" t="s" ph="1">
        <v>408</v>
      </c>
    </row>
    <row r="145" spans="33:52" ph="1">
      <c r="AH145" s="64" ph="1">
        <v>6</v>
      </c>
      <c r="AI145" s="64" t="s" ph="1">
        <v>581</v>
      </c>
      <c r="AY145" s="64" t="s" ph="1">
        <v>257</v>
      </c>
      <c r="AZ145" s="64" t="s" ph="1">
        <v>408</v>
      </c>
    </row>
    <row r="146" spans="33:52" ph="1">
      <c r="AH146" s="64" ph="1">
        <v>7</v>
      </c>
      <c r="AI146" s="64" t="s" ph="1">
        <v>582</v>
      </c>
      <c r="AY146" s="64" t="s" ph="1">
        <v>257</v>
      </c>
      <c r="AZ146" s="64" t="s" ph="1">
        <v>408</v>
      </c>
    </row>
    <row r="147" spans="33:52" ph="1">
      <c r="AH147" s="64" ph="1">
        <v>8</v>
      </c>
      <c r="AI147" s="64" t="s" ph="1">
        <v>583</v>
      </c>
      <c r="AY147" s="64" t="s" ph="1">
        <v>257</v>
      </c>
      <c r="AZ147" s="64" t="s" ph="1">
        <v>408</v>
      </c>
    </row>
    <row r="148" spans="33:52" ph="1">
      <c r="AH148" s="64" ph="1">
        <v>9</v>
      </c>
      <c r="AI148" s="64" t="s" ph="1">
        <v>584</v>
      </c>
      <c r="AY148" s="64" t="s" ph="1">
        <v>257</v>
      </c>
      <c r="AZ148" s="64" t="s" ph="1">
        <v>408</v>
      </c>
    </row>
    <row r="149" spans="33:52" ph="1">
      <c r="AH149" s="64" ph="1">
        <v>10</v>
      </c>
      <c r="AI149" s="64" t="s" ph="1">
        <v>585</v>
      </c>
      <c r="AY149" s="64" t="s" ph="1">
        <v>257</v>
      </c>
      <c r="AZ149" s="64" t="s" ph="1">
        <v>408</v>
      </c>
    </row>
    <row r="150" spans="33:52" ph="1">
      <c r="AH150" s="64" ph="1">
        <v>11</v>
      </c>
      <c r="AI150" s="64" t="s" ph="1">
        <v>586</v>
      </c>
      <c r="AY150" s="64" t="s" ph="1">
        <v>257</v>
      </c>
      <c r="AZ150" s="64" t="s" ph="1">
        <v>408</v>
      </c>
    </row>
    <row r="151" spans="33:52" ph="1">
      <c r="AH151" s="64" ph="1">
        <v>12</v>
      </c>
      <c r="AI151" s="64" t="s" ph="1">
        <v>587</v>
      </c>
      <c r="AY151" s="64" t="s" ph="1">
        <v>257</v>
      </c>
      <c r="AZ151" s="64" t="s" ph="1">
        <v>408</v>
      </c>
    </row>
    <row r="152" spans="33:52" ph="1">
      <c r="AH152" s="64" ph="1">
        <v>13</v>
      </c>
      <c r="AI152" s="64" t="s" ph="1">
        <v>588</v>
      </c>
      <c r="AY152" s="64" t="s" ph="1">
        <v>257</v>
      </c>
      <c r="AZ152" s="64" t="s" ph="1">
        <v>408</v>
      </c>
    </row>
    <row r="153" spans="33:52" ph="1">
      <c r="AH153" s="64" ph="1">
        <v>14</v>
      </c>
      <c r="AI153" s="64" t="s" ph="1">
        <v>589</v>
      </c>
      <c r="AY153" s="64" t="s" ph="1">
        <v>257</v>
      </c>
      <c r="AZ153" s="64" t="s" ph="1">
        <v>408</v>
      </c>
    </row>
    <row r="154" spans="33:52" ph="1">
      <c r="AH154" s="64" ph="1">
        <v>15</v>
      </c>
      <c r="AI154" s="64" t="s" ph="1">
        <v>590</v>
      </c>
      <c r="AY154" s="64" t="s" ph="1">
        <v>257</v>
      </c>
      <c r="AZ154" s="64" t="s" ph="1">
        <v>408</v>
      </c>
    </row>
    <row r="155" spans="33:52" ph="1">
      <c r="AH155" s="64" ph="1">
        <v>16</v>
      </c>
      <c r="AI155" s="64" t="s" ph="1">
        <v>591</v>
      </c>
      <c r="AJ155" s="64" t="s" ph="1">
        <v>377</v>
      </c>
      <c r="AK155" s="64" t="s" ph="1">
        <v>272</v>
      </c>
      <c r="AM155" s="64" t="s" ph="1">
        <v>611</v>
      </c>
      <c r="AN155" s="64" t="s" ph="1">
        <v>323</v>
      </c>
      <c r="AO155" s="64" t="s" ph="1">
        <v>576</v>
      </c>
      <c r="AY155" s="64" t="s" ph="1">
        <v>257</v>
      </c>
      <c r="AZ155" s="64" t="s" ph="1">
        <v>264</v>
      </c>
    </row>
    <row r="156" spans="33:52" ph="1">
      <c r="AZ156" s="64" t="s" ph="1">
        <v>643</v>
      </c>
    </row>
    <row r="157" spans="33:52" ph="1">
      <c r="AG157" s="64" t="s" ph="1">
        <v>592</v>
      </c>
      <c r="AI157" s="64" t="s" ph="1">
        <v>250</v>
      </c>
      <c r="AJ157" s="64" t="s" ph="1">
        <v>251</v>
      </c>
      <c r="AK157" s="64" t="s" ph="1">
        <v>252</v>
      </c>
      <c r="AM157" s="64" t="s" ph="1">
        <v>251</v>
      </c>
      <c r="AN157" s="64" t="s" ph="1">
        <v>252</v>
      </c>
      <c r="AO157" s="64" t="s" ph="1">
        <v>253</v>
      </c>
      <c r="AP157" s="64" t="s" ph="1">
        <v>251</v>
      </c>
      <c r="AQ157" s="64" t="s" ph="1">
        <v>252</v>
      </c>
      <c r="AR157" s="64" t="s" ph="1">
        <v>253</v>
      </c>
      <c r="AS157" s="64" t="s" ph="1">
        <v>251</v>
      </c>
      <c r="AT157" s="64" t="s" ph="1">
        <v>252</v>
      </c>
      <c r="AU157" s="64" t="s" ph="1">
        <v>253</v>
      </c>
      <c r="AV157" s="64" t="s" ph="1">
        <v>251</v>
      </c>
      <c r="AW157" s="64" t="s" ph="1">
        <v>252</v>
      </c>
      <c r="AX157" s="64" t="s" ph="1">
        <v>253</v>
      </c>
      <c r="AY157" s="64" t="s" ph="1">
        <v>252</v>
      </c>
      <c r="AZ157" s="64" t="s" ph="1">
        <v>254</v>
      </c>
    </row>
    <row r="158" spans="33:52" ph="1">
      <c r="AH158" s="64" ph="1">
        <v>1</v>
      </c>
      <c r="AI158" s="64" t="s" ph="1">
        <v>593</v>
      </c>
      <c r="AY158" s="64" t="s" ph="1">
        <v>257</v>
      </c>
      <c r="AZ158" s="64" t="s" ph="1">
        <v>408</v>
      </c>
    </row>
    <row r="159" spans="33:52" ph="1">
      <c r="AH159" s="64" ph="1">
        <v>2</v>
      </c>
      <c r="AI159" s="64" t="s" ph="1">
        <v>594</v>
      </c>
      <c r="AY159" s="64" t="s" ph="1">
        <v>257</v>
      </c>
      <c r="AZ159" s="64" t="s" ph="1">
        <v>408</v>
      </c>
    </row>
    <row r="160" spans="33:52" ph="1">
      <c r="AZ160" s="64" t="s" ph="1">
        <v>426</v>
      </c>
    </row>
    <row r="161" spans="33:52" ph="1">
      <c r="AG161" s="64" t="s" ph="1">
        <v>402</v>
      </c>
      <c r="AI161" s="64" t="s" ph="1">
        <v>250</v>
      </c>
      <c r="AJ161" s="64" t="s" ph="1">
        <v>251</v>
      </c>
      <c r="AK161" s="64" t="s" ph="1">
        <v>252</v>
      </c>
      <c r="AM161" s="64" t="s" ph="1">
        <v>251</v>
      </c>
      <c r="AN161" s="64" t="s" ph="1">
        <v>252</v>
      </c>
      <c r="AO161" s="64" t="s" ph="1">
        <v>253</v>
      </c>
      <c r="AP161" s="64" t="s" ph="1">
        <v>251</v>
      </c>
      <c r="AQ161" s="64" t="s" ph="1">
        <v>252</v>
      </c>
      <c r="AR161" s="64" t="s" ph="1">
        <v>253</v>
      </c>
      <c r="AS161" s="64" t="s" ph="1">
        <v>251</v>
      </c>
      <c r="AT161" s="64" t="s" ph="1">
        <v>252</v>
      </c>
      <c r="AU161" s="64" t="s" ph="1">
        <v>253</v>
      </c>
      <c r="AV161" s="64" t="s" ph="1">
        <v>251</v>
      </c>
      <c r="AW161" s="64" t="s" ph="1">
        <v>252</v>
      </c>
      <c r="AX161" s="64" t="s" ph="1">
        <v>253</v>
      </c>
      <c r="AY161" s="64" t="s" ph="1">
        <v>252</v>
      </c>
      <c r="AZ161" s="64" t="s" ph="1">
        <v>254</v>
      </c>
    </row>
    <row r="162" spans="33:52" ph="1">
      <c r="AH162" s="64" ph="1">
        <v>1</v>
      </c>
      <c r="AI162" s="64" t="s" ph="1">
        <v>595</v>
      </c>
      <c r="AJ162" s="64" t="s" ph="1">
        <v>596</v>
      </c>
      <c r="AK162" s="64" t="s" ph="1">
        <v>540</v>
      </c>
      <c r="AM162" s="64" t="s" ph="1">
        <v>597</v>
      </c>
      <c r="AN162" s="64" t="s" ph="1">
        <v>261</v>
      </c>
      <c r="AO162" s="64" t="s" ph="1">
        <v>598</v>
      </c>
      <c r="AY162" s="64" t="s" ph="1">
        <v>257</v>
      </c>
      <c r="AZ162" s="64" t="s" ph="1">
        <v>333</v>
      </c>
    </row>
    <row r="163" spans="33:52" ph="1">
      <c r="AH163" s="64" ph="1">
        <v>2</v>
      </c>
      <c r="AI163" s="64" t="s" ph="1">
        <v>599</v>
      </c>
      <c r="AJ163" s="64" t="s" ph="1">
        <v>596</v>
      </c>
      <c r="AK163" s="64" t="s" ph="1">
        <v>429</v>
      </c>
      <c r="AY163" s="64" t="s" ph="1">
        <v>257</v>
      </c>
      <c r="AZ163" s="64" t="s" ph="1">
        <v>429</v>
      </c>
    </row>
    <row r="164" spans="33:52" ph="1">
      <c r="AH164" s="64" ph="1">
        <v>3</v>
      </c>
      <c r="AI164" s="64" t="s" ph="1">
        <v>600</v>
      </c>
      <c r="AJ164" s="64" t="s" ph="1">
        <v>596</v>
      </c>
      <c r="AK164" s="64" t="s" ph="1">
        <v>333</v>
      </c>
      <c r="AY164" s="64" t="s" ph="1">
        <v>257</v>
      </c>
      <c r="AZ164" s="64" t="s" ph="1">
        <v>333</v>
      </c>
    </row>
    <row r="165" spans="33:52" ph="1">
      <c r="AH165" s="64" ph="1">
        <v>4</v>
      </c>
      <c r="AI165" s="64" t="s" ph="1">
        <v>601</v>
      </c>
      <c r="AY165" s="64" t="s" ph="1">
        <v>257</v>
      </c>
      <c r="AZ165" s="64" t="s" ph="1">
        <v>408</v>
      </c>
    </row>
    <row r="166" spans="33:52" ph="1">
      <c r="AH166" s="64" ph="1">
        <v>5</v>
      </c>
      <c r="AI166" s="64" t="s" ph="1">
        <v>602</v>
      </c>
      <c r="AY166" s="64" t="s" ph="1">
        <v>257</v>
      </c>
      <c r="AZ166" s="64" t="s" ph="1">
        <v>408</v>
      </c>
    </row>
    <row r="167" spans="33:52" ph="1">
      <c r="AZ167" s="64" t="s" ph="1">
        <v>603</v>
      </c>
    </row>
    <row r="168" spans="33:52" ph="1">
      <c r="AG168" s="64" t="s" ph="1">
        <v>346</v>
      </c>
      <c r="AI168" s="64" t="s" ph="1">
        <v>250</v>
      </c>
      <c r="AJ168" s="64" t="s" ph="1">
        <v>251</v>
      </c>
      <c r="AK168" s="64" t="s" ph="1">
        <v>252</v>
      </c>
      <c r="AM168" s="64" t="s" ph="1">
        <v>251</v>
      </c>
      <c r="AN168" s="64" t="s" ph="1">
        <v>252</v>
      </c>
      <c r="AO168" s="64" t="s" ph="1">
        <v>253</v>
      </c>
      <c r="AP168" s="64" t="s" ph="1">
        <v>251</v>
      </c>
      <c r="AQ168" s="64" t="s" ph="1">
        <v>252</v>
      </c>
      <c r="AR168" s="64" t="s" ph="1">
        <v>253</v>
      </c>
      <c r="AS168" s="64" t="s" ph="1">
        <v>251</v>
      </c>
      <c r="AT168" s="64" t="s" ph="1">
        <v>252</v>
      </c>
      <c r="AU168" s="64" t="s" ph="1">
        <v>253</v>
      </c>
      <c r="AV168" s="64" t="s" ph="1">
        <v>251</v>
      </c>
      <c r="AW168" s="64" t="s" ph="1">
        <v>252</v>
      </c>
      <c r="AX168" s="64" t="s" ph="1">
        <v>253</v>
      </c>
      <c r="AY168" s="64" t="s" ph="1">
        <v>252</v>
      </c>
      <c r="AZ168" s="64" t="s" ph="1">
        <v>254</v>
      </c>
    </row>
    <row r="169" spans="33:52" ph="1">
      <c r="AH169" s="64" ph="1">
        <v>1</v>
      </c>
      <c r="AI169" s="64" t="s" ph="1">
        <v>604</v>
      </c>
      <c r="AY169" s="64" t="s" ph="1">
        <v>257</v>
      </c>
      <c r="AZ169" s="64" t="s" ph="1">
        <v>408</v>
      </c>
    </row>
    <row r="170" spans="33:52" ph="1">
      <c r="AH170" s="64" ph="1">
        <v>2</v>
      </c>
      <c r="AI170" s="64" t="s" ph="1">
        <v>605</v>
      </c>
      <c r="AY170" s="64" t="s" ph="1">
        <v>257</v>
      </c>
      <c r="AZ170" s="64" t="s" ph="1">
        <v>408</v>
      </c>
    </row>
    <row r="171" spans="33:52" ph="1">
      <c r="AH171" s="64" ph="1">
        <v>3</v>
      </c>
      <c r="AI171" s="64" t="s" ph="1">
        <v>606</v>
      </c>
      <c r="AY171" s="64" t="s" ph="1">
        <v>257</v>
      </c>
      <c r="AZ171" s="64" t="s" ph="1">
        <v>408</v>
      </c>
    </row>
    <row r="172" spans="33:52" ph="1">
      <c r="AH172" s="64" ph="1">
        <v>4</v>
      </c>
      <c r="AI172" s="64" t="s" ph="1">
        <v>607</v>
      </c>
      <c r="AY172" s="64" t="s" ph="1">
        <v>257</v>
      </c>
      <c r="AZ172" s="64" t="s" ph="1">
        <v>408</v>
      </c>
    </row>
    <row r="173" spans="33:52" ph="1">
      <c r="AH173" s="64" ph="1">
        <v>5</v>
      </c>
      <c r="AI173" s="64" t="s" ph="1">
        <v>608</v>
      </c>
      <c r="AY173" s="64" t="s" ph="1">
        <v>257</v>
      </c>
      <c r="AZ173" s="64" t="s" ph="1">
        <v>408</v>
      </c>
    </row>
    <row r="174" spans="33:52" ph="1">
      <c r="AZ174" s="64" t="s" ph="1">
        <v>426</v>
      </c>
    </row>
    <row r="175" spans="33:52" ph="1">
      <c r="AJ175" s="64" t="s" ph="1">
        <v>347</v>
      </c>
    </row>
    <row r="176" spans="33:52" ph="1">
      <c r="AJ176" s="64" t="s" ph="1">
        <v>348</v>
      </c>
      <c r="AK176" s="64" t="s" ph="1">
        <v>349</v>
      </c>
      <c r="AM176" s="64" t="s" ph="1">
        <v>350</v>
      </c>
      <c r="AO176" s="64" t="s" ph="1">
        <v>351</v>
      </c>
      <c r="AP176" s="64" t="s" ph="1">
        <v>352</v>
      </c>
      <c r="AQ176" s="64" t="s" ph="1">
        <v>342</v>
      </c>
      <c r="AR176" s="64" t="s" ph="1">
        <v>262</v>
      </c>
    </row>
    <row r="177" spans="36:56" ph="1">
      <c r="AJ177" s="64" t="s" ph="1">
        <v>644</v>
      </c>
      <c r="AK177" s="64" t="s" ph="1">
        <v>353</v>
      </c>
      <c r="AO177" s="64" t="s" ph="1">
        <v>353</v>
      </c>
      <c r="AP177" s="64" t="s" ph="1">
        <v>353</v>
      </c>
      <c r="AQ177" s="64" t="s" ph="1">
        <v>354</v>
      </c>
      <c r="AR177" s="64" t="s" ph="1">
        <v>355</v>
      </c>
    </row>
    <row r="179" spans="36:56" ph="1">
      <c r="AJ179" s="64" t="s" ph="1">
        <v>356</v>
      </c>
      <c r="AK179" s="64" t="s" ph="1">
        <v>357</v>
      </c>
      <c r="AM179" s="64" t="s" ph="1">
        <v>358</v>
      </c>
      <c r="AN179" s="64" t="s" ph="1">
        <v>334</v>
      </c>
      <c r="AO179" s="64" t="s" ph="1">
        <v>359</v>
      </c>
      <c r="AP179" s="64" t="s" ph="1">
        <v>338</v>
      </c>
      <c r="AQ179" s="64" t="s" ph="1">
        <v>360</v>
      </c>
      <c r="AR179" s="64" t="s" ph="1">
        <v>361</v>
      </c>
    </row>
    <row r="180" spans="36:56" ph="1">
      <c r="AJ180" s="64" t="s" ph="1">
        <v>353</v>
      </c>
      <c r="AK180" s="64" t="s" ph="1">
        <v>353</v>
      </c>
      <c r="AL180" s="64" ph="1">
        <v>116</v>
      </c>
      <c r="AM180" s="64" t="s" ph="1">
        <v>353</v>
      </c>
      <c r="AN180" s="64" t="s" ph="1">
        <v>362</v>
      </c>
      <c r="AO180" s="64" t="s" ph="1">
        <v>353</v>
      </c>
      <c r="AP180" s="64" t="s" ph="1">
        <v>363</v>
      </c>
      <c r="AQ180" s="64" t="s" ph="1">
        <v>364</v>
      </c>
      <c r="AR180" s="64" t="s" ph="1">
        <v>365</v>
      </c>
    </row>
    <row r="189" spans="36:56" ph="1">
      <c r="BD189" s="64" t="s" ph="1">
        <v>609</v>
      </c>
    </row>
    <row r="223" spans="18:18" ph="1">
      <c r="R223" s="138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007" priority="92">
      <formula>ABS(D$7-D$10)&gt;=1000</formula>
    </cfRule>
  </conditionalFormatting>
  <conditionalFormatting sqref="E4 E6:E11">
    <cfRule type="expression" dxfId="2006" priority="91">
      <formula>ABS(E$7-E$10)&gt;=1000</formula>
    </cfRule>
  </conditionalFormatting>
  <conditionalFormatting sqref="F4:F11">
    <cfRule type="expression" dxfId="2005" priority="90">
      <formula>ABS(F$7-F$10)&gt;=1000</formula>
    </cfRule>
  </conditionalFormatting>
  <conditionalFormatting sqref="G4:G11">
    <cfRule type="expression" dxfId="2004" priority="89">
      <formula>ABS(G$7-G$10)&gt;=1000</formula>
    </cfRule>
  </conditionalFormatting>
  <conditionalFormatting sqref="H4:H11">
    <cfRule type="expression" dxfId="2003" priority="88">
      <formula>ABS(H$7-H$10)&gt;=1000</formula>
    </cfRule>
  </conditionalFormatting>
  <conditionalFormatting sqref="I4:I11">
    <cfRule type="expression" dxfId="2002" priority="87">
      <formula>ABS(I$7-I$10)&gt;=1000</formula>
    </cfRule>
  </conditionalFormatting>
  <conditionalFormatting sqref="J4:J11">
    <cfRule type="expression" dxfId="2001" priority="86">
      <formula>ABS(J$7-J$10)&gt;=1000</formula>
    </cfRule>
  </conditionalFormatting>
  <conditionalFormatting sqref="K4:K11">
    <cfRule type="expression" dxfId="2000" priority="85">
      <formula>ABS(K$7-K$10)&gt;=1000</formula>
    </cfRule>
  </conditionalFormatting>
  <conditionalFormatting sqref="L4:L11">
    <cfRule type="expression" dxfId="1999" priority="84">
      <formula>ABS(L$7-L$10)&gt;=1000</formula>
    </cfRule>
  </conditionalFormatting>
  <conditionalFormatting sqref="M4:M11">
    <cfRule type="expression" dxfId="1998" priority="83">
      <formula>ABS(M$7-M$10)&gt;=1000</formula>
    </cfRule>
  </conditionalFormatting>
  <conditionalFormatting sqref="N4:N11">
    <cfRule type="expression" dxfId="1997" priority="82">
      <formula>ABS(N$7-N$10)&gt;=1000</formula>
    </cfRule>
  </conditionalFormatting>
  <conditionalFormatting sqref="O4:O11">
    <cfRule type="expression" dxfId="1996" priority="81">
      <formula>ABS(O$7-O$10)&gt;=1000</formula>
    </cfRule>
  </conditionalFormatting>
  <conditionalFormatting sqref="P4:P11">
    <cfRule type="expression" dxfId="1995" priority="80">
      <formula>ABS(P$7-P$10)&gt;=1000</formula>
    </cfRule>
  </conditionalFormatting>
  <conditionalFormatting sqref="Q4:Q11">
    <cfRule type="expression" dxfId="1994" priority="79">
      <formula>ABS(Q$7-Q$10)&gt;=1000</formula>
    </cfRule>
  </conditionalFormatting>
  <conditionalFormatting sqref="R4:R11">
    <cfRule type="expression" dxfId="1993" priority="78">
      <formula>ABS(R$7-R$10)&gt;=1000</formula>
    </cfRule>
  </conditionalFormatting>
  <conditionalFormatting sqref="S4:S11">
    <cfRule type="expression" dxfId="1992" priority="77">
      <formula>ABS(S$7-S$10)&gt;=1000</formula>
    </cfRule>
  </conditionalFormatting>
  <conditionalFormatting sqref="T4:T9 T11">
    <cfRule type="expression" dxfId="1991" priority="76">
      <formula>ABS(T$7-T$10)&gt;=1000</formula>
    </cfRule>
  </conditionalFormatting>
  <conditionalFormatting sqref="U4:U9 U11">
    <cfRule type="expression" dxfId="1990" priority="75">
      <formula>ABS(U$7-U$10)&gt;=1000</formula>
    </cfRule>
  </conditionalFormatting>
  <conditionalFormatting sqref="V4:V9 V11">
    <cfRule type="expression" dxfId="1989" priority="74">
      <formula>ABS(V$7-V$10)&gt;=1000</formula>
    </cfRule>
  </conditionalFormatting>
  <conditionalFormatting sqref="W4:W9 W11">
    <cfRule type="expression" dxfId="1988" priority="73">
      <formula>ABS(W$7-W$10)&gt;=1000</formula>
    </cfRule>
  </conditionalFormatting>
  <conditionalFormatting sqref="X4:X9 X11">
    <cfRule type="expression" dxfId="1987" priority="72">
      <formula>ABS(X$7-X$10)&gt;=1000</formula>
    </cfRule>
  </conditionalFormatting>
  <conditionalFormatting sqref="Y4:Y9 Y11">
    <cfRule type="expression" dxfId="1986" priority="71">
      <formula>ABS(Y$7-Y$10)&gt;=1000</formula>
    </cfRule>
  </conditionalFormatting>
  <conditionalFormatting sqref="Z4:Z11">
    <cfRule type="expression" dxfId="1985" priority="70">
      <formula>ABS(Z$7-Z$10)&gt;=1000</formula>
    </cfRule>
  </conditionalFormatting>
  <conditionalFormatting sqref="AA4:AA11">
    <cfRule type="expression" dxfId="1984" priority="69">
      <formula>ABS(AA$7-AA$10)&gt;=1000</formula>
    </cfRule>
  </conditionalFormatting>
  <conditionalFormatting sqref="AB4:AB11">
    <cfRule type="expression" dxfId="1983" priority="68">
      <formula>ABS(AB$7-AB$10)&gt;=1000</formula>
    </cfRule>
  </conditionalFormatting>
  <conditionalFormatting sqref="AC4 AC6:AC11">
    <cfRule type="expression" dxfId="1982" priority="67">
      <formula>ABS(AC$7-AC$10)&gt;=1000</formula>
    </cfRule>
  </conditionalFormatting>
  <conditionalFormatting sqref="AD4:AD11">
    <cfRule type="expression" dxfId="1981" priority="66">
      <formula>ABS(AD$7-AD$10)&gt;=1000</formula>
    </cfRule>
  </conditionalFormatting>
  <conditionalFormatting sqref="AE4:AE11">
    <cfRule type="expression" dxfId="1980" priority="65">
      <formula>ABS(AE$7-AE$10)&gt;=1000</formula>
    </cfRule>
  </conditionalFormatting>
  <conditionalFormatting sqref="D13:D20">
    <cfRule type="expression" dxfId="1979" priority="64">
      <formula>ABS(D$16-D$19)&gt;=1000</formula>
    </cfRule>
  </conditionalFormatting>
  <conditionalFormatting sqref="E13:E20">
    <cfRule type="expression" dxfId="1978" priority="63">
      <formula>ABS(E$16-E$19)&gt;=1000</formula>
    </cfRule>
  </conditionalFormatting>
  <conditionalFormatting sqref="F13 F15:F20">
    <cfRule type="expression" dxfId="1977" priority="62">
      <formula>ABS(F$16-F$19)&gt;=1000</formula>
    </cfRule>
  </conditionalFormatting>
  <conditionalFormatting sqref="G13:G20">
    <cfRule type="expression" dxfId="1976" priority="61">
      <formula>ABS(G$16-G$19)&gt;=1000</formula>
    </cfRule>
  </conditionalFormatting>
  <conditionalFormatting sqref="H13:H20">
    <cfRule type="expression" dxfId="1975" priority="60">
      <formula>ABS(H$16-H$19)&gt;=1000</formula>
    </cfRule>
  </conditionalFormatting>
  <conditionalFormatting sqref="I13:I20">
    <cfRule type="expression" dxfId="1974" priority="59">
      <formula>ABS(I$16-I$19)&gt;=1000</formula>
    </cfRule>
  </conditionalFormatting>
  <conditionalFormatting sqref="J13:J20">
    <cfRule type="expression" dxfId="1973" priority="58">
      <formula>ABS(J$16-J$19)&gt;=1000</formula>
    </cfRule>
  </conditionalFormatting>
  <conditionalFormatting sqref="L13:L20">
    <cfRule type="expression" dxfId="1972" priority="57">
      <formula>ABS(L$16-L$19)&gt;=1000</formula>
    </cfRule>
  </conditionalFormatting>
  <conditionalFormatting sqref="M13 M15 M17:M18 M20">
    <cfRule type="expression" dxfId="1971" priority="56">
      <formula>ABS(M$16-M$19)&gt;=1000</formula>
    </cfRule>
  </conditionalFormatting>
  <conditionalFormatting sqref="N13:N20">
    <cfRule type="expression" dxfId="1970" priority="55">
      <formula>ABS(N$16-N$19)&gt;=1000</formula>
    </cfRule>
  </conditionalFormatting>
  <conditionalFormatting sqref="O13:O20">
    <cfRule type="expression" dxfId="1969" priority="54">
      <formula>ABS(O$16-O$19)&gt;=1000</formula>
    </cfRule>
  </conditionalFormatting>
  <conditionalFormatting sqref="P13:P20">
    <cfRule type="expression" dxfId="1968" priority="53">
      <formula>ABS(P$16-P$19)&gt;=1000</formula>
    </cfRule>
  </conditionalFormatting>
  <conditionalFormatting sqref="Q13 Q15:Q20">
    <cfRule type="expression" dxfId="1967" priority="52">
      <formula>ABS(Q$16-Q$19)&gt;=1000</formula>
    </cfRule>
  </conditionalFormatting>
  <conditionalFormatting sqref="R13:R20">
    <cfRule type="expression" dxfId="1966" priority="51">
      <formula>ABS(R$16-R$19)&gt;=1000</formula>
    </cfRule>
  </conditionalFormatting>
  <conditionalFormatting sqref="S13:S20">
    <cfRule type="expression" dxfId="1965" priority="50">
      <formula>ABS(S$16-S$19)&gt;=1000</formula>
    </cfRule>
  </conditionalFormatting>
  <conditionalFormatting sqref="T13:T20">
    <cfRule type="expression" dxfId="1964" priority="49">
      <formula>ABS(T$16-T$19)&gt;=1000</formula>
    </cfRule>
  </conditionalFormatting>
  <conditionalFormatting sqref="U13:U20">
    <cfRule type="expression" dxfId="1963" priority="48">
      <formula>ABS(U$16-U$19)&gt;=1000</formula>
    </cfRule>
  </conditionalFormatting>
  <conditionalFormatting sqref="V13:V20">
    <cfRule type="expression" dxfId="1962" priority="47">
      <formula>ABS(V$16-V$19)&gt;=1000</formula>
    </cfRule>
  </conditionalFormatting>
  <conditionalFormatting sqref="W13 W15:W18 W20">
    <cfRule type="expression" dxfId="1961" priority="46">
      <formula>ABS(W$16-W$19)&gt;=1000</formula>
    </cfRule>
  </conditionalFormatting>
  <conditionalFormatting sqref="X13 X15:X20 Y19">
    <cfRule type="expression" dxfId="1960" priority="45">
      <formula>ABS(X$16-X$19)&gt;=1000</formula>
    </cfRule>
  </conditionalFormatting>
  <conditionalFormatting sqref="Y13 Y15:Y18 Y20">
    <cfRule type="expression" dxfId="1959" priority="44">
      <formula>ABS(Y$16-Y$19)&gt;=1000</formula>
    </cfRule>
  </conditionalFormatting>
  <conditionalFormatting sqref="Z13:Z20">
    <cfRule type="expression" dxfId="1958" priority="43">
      <formula>ABS(Z$16-Z$19)&gt;=1000</formula>
    </cfRule>
  </conditionalFormatting>
  <conditionalFormatting sqref="AA13:AA20">
    <cfRule type="expression" dxfId="1957" priority="42">
      <formula>ABS(AA$16-AA$19)&gt;=1000</formula>
    </cfRule>
  </conditionalFormatting>
  <conditionalFormatting sqref="AB13 AB15:AB20">
    <cfRule type="expression" dxfId="1956" priority="41">
      <formula>ABS(AB$16-AB$19)&gt;=1000</formula>
    </cfRule>
  </conditionalFormatting>
  <conditionalFormatting sqref="AC13 AC15:AC20">
    <cfRule type="expression" dxfId="1955" priority="40">
      <formula>ABS(AC$16-AC$19)&gt;=1000</formula>
    </cfRule>
  </conditionalFormatting>
  <conditionalFormatting sqref="AD13:AD20">
    <cfRule type="expression" dxfId="1954" priority="39">
      <formula>ABS(AD$16-AD$19)&gt;=1000</formula>
    </cfRule>
  </conditionalFormatting>
  <conditionalFormatting sqref="AE13:AE20">
    <cfRule type="expression" dxfId="1953" priority="38">
      <formula>ABS(AE$16-AE$19)&gt;=1000</formula>
    </cfRule>
  </conditionalFormatting>
  <conditionalFormatting sqref="D22:D29">
    <cfRule type="expression" dxfId="1952" priority="37">
      <formula>ABS(D$25-D$28)&gt;=1000</formula>
    </cfRule>
  </conditionalFormatting>
  <conditionalFormatting sqref="E22:E29">
    <cfRule type="expression" dxfId="1951" priority="36">
      <formula>ABS(E$25-E$28)&gt;=1000</formula>
    </cfRule>
  </conditionalFormatting>
  <conditionalFormatting sqref="F22:F29">
    <cfRule type="expression" dxfId="1950" priority="35">
      <formula>ABS(F$25-F$28)&gt;=1000</formula>
    </cfRule>
  </conditionalFormatting>
  <conditionalFormatting sqref="G22:G29">
    <cfRule type="expression" dxfId="1949" priority="34">
      <formula>ABS(G$25-G$28)&gt;=1000</formula>
    </cfRule>
  </conditionalFormatting>
  <conditionalFormatting sqref="H22:H29">
    <cfRule type="expression" dxfId="1948" priority="33">
      <formula>ABS(H$25-H$28)&gt;=1000</formula>
    </cfRule>
  </conditionalFormatting>
  <conditionalFormatting sqref="I22 I24:I29">
    <cfRule type="expression" dxfId="1947" priority="32">
      <formula>ABS(I$25-I$28)&gt;=1000</formula>
    </cfRule>
  </conditionalFormatting>
  <conditionalFormatting sqref="J22:J29 K22">
    <cfRule type="expression" dxfId="1946" priority="31">
      <formula>ABS(J$25-J$28)&gt;=1000</formula>
    </cfRule>
  </conditionalFormatting>
  <conditionalFormatting sqref="K23:K29 L25 L28">
    <cfRule type="expression" dxfId="1945" priority="30">
      <formula>ABS(K$25-K$28)&gt;=1000</formula>
    </cfRule>
  </conditionalFormatting>
  <conditionalFormatting sqref="L22:L24 L26:L27 L29">
    <cfRule type="expression" dxfId="1944" priority="29">
      <formula>ABS(L$25-L$28)&gt;=1000</formula>
    </cfRule>
  </conditionalFormatting>
  <conditionalFormatting sqref="M22:M29">
    <cfRule type="expression" dxfId="1943" priority="28">
      <formula>ABS(M$25-M$28)&gt;=1000</formula>
    </cfRule>
  </conditionalFormatting>
  <conditionalFormatting sqref="N22:N29">
    <cfRule type="expression" dxfId="1942" priority="27">
      <formula>ABS(N$25-N$28)&gt;=1000</formula>
    </cfRule>
  </conditionalFormatting>
  <conditionalFormatting sqref="O22:O29">
    <cfRule type="expression" dxfId="1941" priority="26">
      <formula>ABS(O$25-O$28)&gt;=1000</formula>
    </cfRule>
  </conditionalFormatting>
  <conditionalFormatting sqref="P22:P29">
    <cfRule type="expression" dxfId="1940" priority="25">
      <formula>ABS(P$25-P$28)&gt;=1000</formula>
    </cfRule>
  </conditionalFormatting>
  <conditionalFormatting sqref="Q22:Q29">
    <cfRule type="expression" dxfId="1939" priority="24">
      <formula>ABS(Q$25-Q$28)&gt;=1000</formula>
    </cfRule>
  </conditionalFormatting>
  <conditionalFormatting sqref="R22:R29">
    <cfRule type="expression" dxfId="1938" priority="23">
      <formula>ABS(R$25-R$28)&gt;=1000</formula>
    </cfRule>
  </conditionalFormatting>
  <conditionalFormatting sqref="S22:S29">
    <cfRule type="expression" dxfId="1937" priority="22">
      <formula>ABS(S$25-S$28)&gt;=1000</formula>
    </cfRule>
  </conditionalFormatting>
  <conditionalFormatting sqref="T22:T29">
    <cfRule type="expression" dxfId="1936" priority="21">
      <formula>ABS(T$25-T$28)&gt;=1000</formula>
    </cfRule>
  </conditionalFormatting>
  <conditionalFormatting sqref="U22:U29">
    <cfRule type="expression" dxfId="1935" priority="20">
      <formula>ABS(U$25-U$28)&gt;=1000</formula>
    </cfRule>
  </conditionalFormatting>
  <conditionalFormatting sqref="V22:V29">
    <cfRule type="expression" dxfId="1934" priority="19">
      <formula>ABS(V$25-V$28)&gt;=1000</formula>
    </cfRule>
  </conditionalFormatting>
  <conditionalFormatting sqref="W22:W29">
    <cfRule type="expression" dxfId="1933" priority="18">
      <formula>ABS(W$25-W$28)&gt;=1000</formula>
    </cfRule>
  </conditionalFormatting>
  <conditionalFormatting sqref="X22:X29">
    <cfRule type="expression" dxfId="1932" priority="17">
      <formula>ABS(X$25-X$28)&gt;=1000</formula>
    </cfRule>
  </conditionalFormatting>
  <conditionalFormatting sqref="Y22:Y29">
    <cfRule type="expression" dxfId="1931" priority="16">
      <formula>ABS(Y$25-Y$28)&gt;=1000</formula>
    </cfRule>
  </conditionalFormatting>
  <conditionalFormatting sqref="I23">
    <cfRule type="expression" dxfId="1930" priority="15">
      <formula>ABS(I$25-I$28)&gt;=1000</formula>
    </cfRule>
  </conditionalFormatting>
  <conditionalFormatting sqref="F14">
    <cfRule type="expression" dxfId="1929" priority="14">
      <formula>ABS(F$16-F$19)&gt;=1000</formula>
    </cfRule>
  </conditionalFormatting>
  <conditionalFormatting sqref="Q14">
    <cfRule type="expression" dxfId="1928" priority="13">
      <formula>ABS(Q$16-Q$19)&gt;=1000</formula>
    </cfRule>
  </conditionalFormatting>
  <conditionalFormatting sqref="W14">
    <cfRule type="expression" dxfId="1927" priority="12">
      <formula>ABS(W$16-W$19)&gt;=1000</formula>
    </cfRule>
  </conditionalFormatting>
  <conditionalFormatting sqref="Y14">
    <cfRule type="expression" dxfId="1926" priority="11">
      <formula>ABS(Y$16-Y$19)&gt;=1000</formula>
    </cfRule>
  </conditionalFormatting>
  <conditionalFormatting sqref="X14">
    <cfRule type="expression" dxfId="1925" priority="10">
      <formula>ABS(X$16-X$19)&gt;=1000</formula>
    </cfRule>
  </conditionalFormatting>
  <conditionalFormatting sqref="T10:Y10">
    <cfRule type="expression" dxfId="1924" priority="9">
      <formula>ABS(T$7-T$10)&gt;=1000</formula>
    </cfRule>
  </conditionalFormatting>
  <conditionalFormatting sqref="W19">
    <cfRule type="expression" dxfId="1923" priority="8">
      <formula>ABS(W$16-W$19)&gt;=1000</formula>
    </cfRule>
  </conditionalFormatting>
  <conditionalFormatting sqref="AC5">
    <cfRule type="expression" dxfId="1922" priority="7">
      <formula>ABS(AC$7-AC$10)&gt;=1000</formula>
    </cfRule>
  </conditionalFormatting>
  <conditionalFormatting sqref="M14">
    <cfRule type="expression" dxfId="1921" priority="6">
      <formula>ABS(M$16-M$19)&gt;=1000</formula>
    </cfRule>
  </conditionalFormatting>
  <conditionalFormatting sqref="M16">
    <cfRule type="expression" dxfId="1920" priority="5">
      <formula>ABS(M$16-M$19)&gt;=1000</formula>
    </cfRule>
  </conditionalFormatting>
  <conditionalFormatting sqref="M19">
    <cfRule type="expression" dxfId="1919" priority="4">
      <formula>ABS(M$16-M$19)&gt;=1000</formula>
    </cfRule>
  </conditionalFormatting>
  <conditionalFormatting sqref="K13:K20">
    <cfRule type="expression" dxfId="1918" priority="3">
      <formula>ABS(K$16-K$19)&gt;=1000</formula>
    </cfRule>
  </conditionalFormatting>
  <conditionalFormatting sqref="E5">
    <cfRule type="expression" dxfId="1917" priority="2">
      <formula>ABS(E$7-E$10)&gt;=1000</formula>
    </cfRule>
  </conditionalFormatting>
  <conditionalFormatting sqref="AB14:AC14">
    <cfRule type="expression" dxfId="1916" priority="1">
      <formula>ABS(AB$16-AB$19)&gt;=1000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9001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69">
    <pageSetUpPr fitToPage="1"/>
  </sheetPr>
  <dimension ref="A1:CU223"/>
  <sheetViews>
    <sheetView view="pageBreakPreview" zoomScale="70" zoomScaleNormal="100" zoomScaleSheetLayoutView="70" workbookViewId="0">
      <selection activeCell="P7" sqref="P7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08" t="s" ph="1">
        <v>192</v>
      </c>
      <c r="C1" s="208" ph="1"/>
      <c r="D1" s="208" ph="1"/>
      <c r="E1" s="208" ph="1"/>
      <c r="F1" s="208" ph="1"/>
      <c r="G1" s="208" ph="1"/>
      <c r="H1" s="208" ph="1"/>
      <c r="I1" s="208" ph="1"/>
      <c r="J1" s="208" ph="1"/>
      <c r="K1" s="208" ph="1"/>
      <c r="L1" s="208" ph="1"/>
      <c r="M1" s="208" ph="1"/>
      <c r="N1" s="208" ph="1"/>
      <c r="O1" s="208" ph="1"/>
      <c r="P1" s="208" ph="1"/>
      <c r="Q1" s="208" ph="1"/>
      <c r="R1" s="208" ph="1"/>
      <c r="S1" s="208" ph="1"/>
      <c r="T1" s="208" ph="1"/>
      <c r="U1" s="208" ph="1"/>
      <c r="V1" s="208" ph="1"/>
      <c r="W1" s="208" ph="1"/>
      <c r="X1" s="208" ph="1"/>
      <c r="Y1" s="208" ph="1"/>
      <c r="Z1" s="208" ph="1"/>
      <c r="AA1" s="208" ph="1"/>
      <c r="AB1" s="208" ph="1"/>
      <c r="AC1" s="208" ph="1"/>
      <c r="AD1" s="208" ph="1"/>
      <c r="AE1" s="208" ph="1"/>
    </row>
    <row r="2" spans="1:99" s="66" customFormat="1" ht="24" customHeight="1" ph="1">
      <c r="B2" s="209" t="s" ph="1">
        <v>99</v>
      </c>
      <c r="C2" s="209" ph="1"/>
      <c r="D2" s="209" ph="1"/>
      <c r="E2" s="209" ph="1"/>
      <c r="F2" s="209" ph="1"/>
      <c r="G2" s="209" ph="1"/>
      <c r="H2" s="209" ph="1"/>
      <c r="I2" s="209" ph="1"/>
      <c r="J2" s="209" ph="1"/>
      <c r="K2" s="209" ph="1"/>
      <c r="L2" s="209" ph="1"/>
      <c r="M2" s="209" ph="1"/>
      <c r="N2" s="209" ph="1"/>
      <c r="O2" s="209" ph="1"/>
      <c r="P2" s="209" ph="1"/>
      <c r="Q2" s="209" ph="1"/>
      <c r="R2" s="209" ph="1"/>
      <c r="S2" s="209" ph="1"/>
      <c r="T2" s="209" ph="1"/>
      <c r="U2" s="209" ph="1"/>
      <c r="V2" s="209" ph="1"/>
      <c r="W2" s="209" ph="1"/>
      <c r="X2" s="209" ph="1"/>
      <c r="Y2" s="209" ph="1"/>
      <c r="Z2" s="209" ph="1"/>
      <c r="AA2" s="209" ph="1"/>
      <c r="AB2" s="209" ph="1"/>
      <c r="AC2" s="209" ph="1"/>
      <c r="AD2" s="209" ph="1"/>
      <c r="AE2" s="209" ph="1"/>
    </row>
    <row r="3" spans="1:99" ht="21" customHeight="1" ph="1">
      <c r="B3" s="210" ph="1">
        <v>45695</v>
      </c>
      <c r="C3" s="210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210"/>
      <c r="R3" s="210"/>
      <c r="S3" s="210"/>
      <c r="T3" s="210"/>
      <c r="U3" s="210"/>
      <c r="V3" s="210"/>
      <c r="W3" s="210"/>
      <c r="X3" s="210"/>
      <c r="Y3" s="210"/>
      <c r="Z3" s="210"/>
      <c r="AA3" s="210"/>
      <c r="AB3" s="210"/>
      <c r="AC3" s="210"/>
      <c r="AD3" s="210"/>
      <c r="AE3" s="210"/>
    </row>
    <row r="4" spans="1:99" s="69" customFormat="1" ph="1">
      <c r="A4" s="65" ph="1"/>
      <c r="B4" s="211" t="s" ph="1">
        <v>37</v>
      </c>
      <c r="C4" s="67" t="s" ph="1">
        <v>207</v>
      </c>
      <c r="D4" s="68" t="s" ph="1">
        <v>45</v>
      </c>
      <c r="E4" s="68" t="s" ph="1">
        <v>46</v>
      </c>
      <c r="F4" s="68" t="s" ph="1">
        <v>39</v>
      </c>
      <c r="G4" s="68" t="s" ph="1">
        <v>47</v>
      </c>
      <c r="H4" s="68" t="s" ph="1">
        <v>48</v>
      </c>
      <c r="I4" s="68" t="s" ph="1">
        <v>132</v>
      </c>
      <c r="J4" s="68" t="s" ph="1">
        <v>49</v>
      </c>
      <c r="K4" s="68" t="s" ph="1">
        <v>133</v>
      </c>
      <c r="L4" s="68" t="s" ph="1">
        <v>134</v>
      </c>
      <c r="M4" s="68" t="s" ph="1">
        <v>50</v>
      </c>
      <c r="N4" s="68" t="s" ph="1">
        <v>51</v>
      </c>
      <c r="O4" s="68" t="s" ph="1">
        <v>136</v>
      </c>
      <c r="P4" s="68" t="s" ph="1">
        <v>138</v>
      </c>
      <c r="Q4" s="68" t="s" ph="1">
        <v>139</v>
      </c>
      <c r="R4" s="68" t="s" ph="1">
        <v>140</v>
      </c>
      <c r="S4" s="68" t="s" ph="1">
        <v>141</v>
      </c>
      <c r="T4" s="68" t="s" ph="1">
        <v>142</v>
      </c>
      <c r="U4" s="68" t="s" ph="1">
        <v>143</v>
      </c>
      <c r="V4" s="68" t="s" ph="1">
        <v>144</v>
      </c>
      <c r="W4" s="68" t="s" ph="1">
        <v>145</v>
      </c>
      <c r="X4" s="68" t="s" ph="1">
        <v>146</v>
      </c>
      <c r="Y4" s="68" t="s" ph="1">
        <v>147</v>
      </c>
      <c r="Z4" s="68" t="s" ph="1">
        <v>52</v>
      </c>
      <c r="AA4" s="68" t="s" ph="1">
        <v>148</v>
      </c>
      <c r="AB4" s="68" t="s" ph="1">
        <v>149</v>
      </c>
      <c r="AC4" s="68" t="s" ph="1">
        <v>150</v>
      </c>
      <c r="AD4" s="68" t="s" ph="1">
        <v>40</v>
      </c>
      <c r="AE4" s="68" t="s" ph="1">
        <v>151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1" ph="1"/>
      <c r="C5" s="67" t="s" ph="1">
        <v>36</v>
      </c>
      <c r="D5" s="70" t="s" ph="1">
        <v>191</v>
      </c>
      <c r="E5" s="70" t="s" ph="1">
        <v>55</v>
      </c>
      <c r="F5" s="70" t="s" ph="1">
        <v>129</v>
      </c>
      <c r="G5" s="70" t="s" ph="1">
        <v>56</v>
      </c>
      <c r="H5" s="70" t="s" ph="1">
        <v>56</v>
      </c>
      <c r="I5" s="70" t="s" ph="1">
        <v>57</v>
      </c>
      <c r="J5" s="70" t="s" ph="1">
        <v>58</v>
      </c>
      <c r="K5" s="70" t="s" ph="1">
        <v>59</v>
      </c>
      <c r="L5" s="70" t="s" ph="1">
        <v>135</v>
      </c>
      <c r="M5" s="70" t="s" ph="1">
        <v>60</v>
      </c>
      <c r="N5" s="70" t="s" ph="1">
        <v>61</v>
      </c>
      <c r="O5" s="70" t="s" ph="1">
        <v>137</v>
      </c>
      <c r="P5" s="70" t="s" ph="1">
        <v>88</v>
      </c>
      <c r="Q5" s="70" t="s" ph="1">
        <v>96</v>
      </c>
      <c r="R5" s="70" t="s" ph="1">
        <v>96</v>
      </c>
      <c r="S5" s="70" t="s" ph="1">
        <v>96</v>
      </c>
      <c r="T5" s="70" t="s" ph="1">
        <v>96</v>
      </c>
      <c r="U5" s="70" t="s" ph="1">
        <v>96</v>
      </c>
      <c r="V5" s="70" t="s" ph="1">
        <v>96</v>
      </c>
      <c r="W5" s="70" t="s" ph="1">
        <v>96</v>
      </c>
      <c r="X5" s="70" t="s" ph="1">
        <v>96</v>
      </c>
      <c r="Y5" s="70" t="s" ph="1">
        <v>96</v>
      </c>
      <c r="Z5" s="70" t="s" ph="1">
        <v>95</v>
      </c>
      <c r="AA5" s="70" t="s" ph="1">
        <v>62</v>
      </c>
      <c r="AB5" s="70" t="s" ph="1">
        <v>62</v>
      </c>
      <c r="AC5" s="70" t="s" ph="1">
        <v>219</v>
      </c>
      <c r="AD5" s="70" t="s" ph="1">
        <v>83</v>
      </c>
      <c r="AE5" s="70" t="s" ph="1">
        <v>654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07" ph="1">
        <v>0.33333333333333331</v>
      </c>
      <c r="C6" s="160" t="s" ph="1">
        <v>208</v>
      </c>
      <c r="D6" s="71">
        <v>4093</v>
      </c>
      <c r="E6" s="71">
        <v>0</v>
      </c>
      <c r="F6" s="71">
        <v>4010</v>
      </c>
      <c r="G6" s="71">
        <v>3711</v>
      </c>
      <c r="H6" s="71">
        <v>7050</v>
      </c>
      <c r="I6" s="71">
        <v>39.11</v>
      </c>
      <c r="J6" s="71">
        <v>7.81</v>
      </c>
      <c r="K6" s="71">
        <v>46.41</v>
      </c>
      <c r="L6" s="71">
        <v>55.72</v>
      </c>
      <c r="M6" s="71">
        <v>4553</v>
      </c>
      <c r="N6" s="71">
        <v>5831</v>
      </c>
      <c r="O6" s="71">
        <v>4829</v>
      </c>
      <c r="P6" s="71">
        <v>6887</v>
      </c>
      <c r="Q6" s="71">
        <v>6980</v>
      </c>
      <c r="R6" s="71">
        <v>4350</v>
      </c>
      <c r="S6" s="71">
        <v>5045</v>
      </c>
      <c r="T6" s="71">
        <v>3325</v>
      </c>
      <c r="U6" s="71">
        <v>2627</v>
      </c>
      <c r="V6" s="71">
        <v>0</v>
      </c>
      <c r="W6" s="71">
        <v>0</v>
      </c>
      <c r="X6" s="71">
        <v>0</v>
      </c>
      <c r="Y6" s="71">
        <v>3438</v>
      </c>
      <c r="Z6" s="71">
        <v>4724</v>
      </c>
      <c r="AA6" s="71">
        <v>1628</v>
      </c>
      <c r="AB6" s="71">
        <v>2860</v>
      </c>
      <c r="AC6" s="71">
        <v>8303</v>
      </c>
      <c r="AD6" s="71">
        <v>272</v>
      </c>
      <c r="AE6" s="71">
        <v>2894</v>
      </c>
    </row>
    <row r="7" spans="1:99" s="72" customFormat="1" ht="22.5" ph="1">
      <c r="B7" s="207" ph="1"/>
      <c r="C7" s="68" t="s" ph="1">
        <v>209</v>
      </c>
      <c r="D7" s="73" ph="1">
        <f>D6*33.183*LOOKUP(D8,密度!$A$2:$A$50,密度!$Q$2:$Q$50)</f>
        <v>129643.73185626001</v>
      </c>
      <c r="E7" s="73" ph="1">
        <f>E6*51.53*LOOKUP(E8,密度!$A$2:$A$50,密度!$I$2:$I$50)</f>
        <v>0</v>
      </c>
      <c r="F7" s="73" ph="1">
        <f>F6*33.183*LOOKUP(F8,密度!$A$2:$A$50,密度!$C$2:$C$50)</f>
        <v>148579.07257799999</v>
      </c>
      <c r="G7" s="73" ph="1">
        <f xml:space="preserve"> (G6+2)*51.53*LOOKUP(G8,密度!$A$2:$A$50,密度!$B$2:$B$50)</f>
        <v>150768.74132000003</v>
      </c>
      <c r="H7" s="73" ph="1">
        <f>(H6)*51.53*LOOKUP(H8,密度!$A$2:$A$50,密度!$B$2:$B$50)</f>
        <v>286596.71984999999</v>
      </c>
      <c r="I7" s="73" ph="1">
        <f>I6*290.8*1.0267</f>
        <v>11676.8521196</v>
      </c>
      <c r="J7" s="73" ph="1">
        <f>J6*290.8*0.7892</f>
        <v>1792.3900016000002</v>
      </c>
      <c r="K7" s="73" ph="1">
        <f>K6*290.8*1.1126</f>
        <v>15015.680752800001</v>
      </c>
      <c r="L7" s="73" ph="1">
        <f>L6*290.8*0.777</f>
        <v>12590.023152</v>
      </c>
      <c r="M7" s="73" ph="1">
        <f>M6*33.183*LOOKUP(M8,密度!$A$2:$A$50,密度!$D$2:$D$50)</f>
        <v>156596.69926349999</v>
      </c>
      <c r="N7" s="73" ph="1">
        <f>N6*33.183*LOOKUP(N8,密度!$A$2:$A$50,密度!$E$2:$E$50)</f>
        <v>153766.5610131</v>
      </c>
      <c r="O7" s="73" ph="1">
        <f>O6*20.428*LOOKUP(O8,密度!$A$2:$A$50,密度!$C$2:$C$50)</f>
        <v>109685.39026280002</v>
      </c>
      <c r="P7" s="73" ph="1">
        <f>P6*51.53*LOOKUP(P8,密度!$A$2:$A$50,密度!$B$2:$B$50)</f>
        <v>280254.350767</v>
      </c>
      <c r="Q7" s="73" ph="1">
        <f>Q6*1.5*1.5*3.1416*LOOKUP(W8,密度!$A$2:$A$50,密度!$L$2:$L$50)</f>
        <v>46773.208943999998</v>
      </c>
      <c r="R7" s="73" ph="1">
        <f>R6*1.5*1.5*3.1416*LOOKUP(R8,密度!$A$2:$A$50,密度!$L$2:$L$50)</f>
        <v>28965.002219999998</v>
      </c>
      <c r="S7" s="73" ph="1">
        <f>S6*1.5*1.5*3.1416*LOOKUP(S8,密度!$A$2:$A$50,密度!$L$2:$L$50)</f>
        <v>33985.015910999995</v>
      </c>
      <c r="T7" s="73" ph="1">
        <f>T6*1.5*1.5*3.1416*LOOKUP(T8,密度!$A$2:$A$50,密度!$L$2:$L$50)</f>
        <v>22351.443345</v>
      </c>
      <c r="U7" s="73" ph="1">
        <f>U6*1.5*1.5*3.1416*LOOKUP(U8,密度!$A$2:$A$50,密度!$L$2:$L$50)</f>
        <v>17547.905528999996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23013.848919599997</v>
      </c>
      <c r="Z7" s="73" ph="1">
        <f>Z6*33.183*LOOKUP(Z8,密度!$A$2:$A$50,密度!$L$2:$L$50)</f>
        <v>148448.39792399999</v>
      </c>
      <c r="AA7" s="73" ph="1">
        <f>AA6*33.183*LOOKUP(AA8,密度!$A$2:$A$50,密度!$D$2:$D$50)</f>
        <v>55945.104494400002</v>
      </c>
      <c r="AB7" s="73" ph="1">
        <f>AB6*20.428*LOOKUP(AB8,密度!$A$2:$A$50,密度!$D$2:$D$50)</f>
        <v>61023.951560000001</v>
      </c>
      <c r="AC7" s="73" ph="1">
        <f>AC6*51.53*LOOKUP(AC8,密度!$A$2:$A$50,密度!$Q$2:$Q$50)</f>
        <v>408403.36579860008</v>
      </c>
      <c r="AD7" s="73" ph="1">
        <f>AD6*20.428*LOOKUP(AD8,密度!$A$2:$A$50,密度!$V$2:$V$50)</f>
        <v>5356.3850240000002</v>
      </c>
      <c r="AE7" s="73" ph="1">
        <f>AE6*20.428</f>
        <v>59118.632000000005</v>
      </c>
    </row>
    <row r="8" spans="1:99" ph="1">
      <c r="B8" s="207" ph="1"/>
      <c r="C8" s="68" t="s" ph="1">
        <v>210</v>
      </c>
      <c r="D8" s="74">
        <v>15</v>
      </c>
      <c r="E8" s="74">
        <v>14</v>
      </c>
      <c r="F8" s="74">
        <v>14</v>
      </c>
      <c r="G8" s="74">
        <v>15</v>
      </c>
      <c r="H8" s="74">
        <v>14</v>
      </c>
      <c r="I8" s="74">
        <v>25</v>
      </c>
      <c r="J8" s="74">
        <v>25</v>
      </c>
      <c r="K8" s="74">
        <v>25</v>
      </c>
      <c r="L8" s="74">
        <v>25</v>
      </c>
      <c r="M8" s="74">
        <v>14</v>
      </c>
      <c r="N8" s="74">
        <v>15</v>
      </c>
      <c r="O8" s="74">
        <v>21</v>
      </c>
      <c r="P8" s="74">
        <v>13</v>
      </c>
      <c r="Q8" s="74">
        <v>14</v>
      </c>
      <c r="R8" s="74">
        <v>20</v>
      </c>
      <c r="S8" s="74">
        <v>9</v>
      </c>
      <c r="T8" s="74">
        <v>11</v>
      </c>
      <c r="U8" s="74">
        <v>17</v>
      </c>
      <c r="V8" s="74">
        <v>20</v>
      </c>
      <c r="W8" s="74">
        <v>14</v>
      </c>
      <c r="X8" s="74">
        <v>6</v>
      </c>
      <c r="Y8" s="74">
        <v>15</v>
      </c>
      <c r="Z8" s="74">
        <v>15</v>
      </c>
      <c r="AA8" s="74">
        <v>15</v>
      </c>
      <c r="AB8" s="74">
        <v>5</v>
      </c>
      <c r="AC8" s="74">
        <v>12</v>
      </c>
      <c r="AD8" s="74">
        <v>12</v>
      </c>
      <c r="AE8" s="74">
        <v>15</v>
      </c>
    </row>
    <row r="9" spans="1:99" ph="1">
      <c r="B9" s="207" ph="1">
        <v>0.66666666666666663</v>
      </c>
      <c r="C9" s="160" t="s" ph="1">
        <v>211</v>
      </c>
      <c r="D9" s="71">
        <v>4094</v>
      </c>
      <c r="E9" s="71">
        <v>0</v>
      </c>
      <c r="F9" s="71">
        <v>3770</v>
      </c>
      <c r="G9" s="71">
        <v>3418</v>
      </c>
      <c r="H9" s="71">
        <v>8647</v>
      </c>
      <c r="I9" s="71">
        <v>39.11</v>
      </c>
      <c r="J9" s="71">
        <v>7.81</v>
      </c>
      <c r="K9" s="71">
        <v>46.41</v>
      </c>
      <c r="L9" s="71">
        <v>13.71</v>
      </c>
      <c r="M9" s="71">
        <v>4554</v>
      </c>
      <c r="N9" s="71">
        <v>5573</v>
      </c>
      <c r="O9" s="71">
        <v>5172</v>
      </c>
      <c r="P9" s="71">
        <v>6631</v>
      </c>
      <c r="Q9" s="71">
        <v>6974</v>
      </c>
      <c r="R9" s="71">
        <v>4350</v>
      </c>
      <c r="S9" s="71">
        <v>5045</v>
      </c>
      <c r="T9" s="71">
        <v>6894</v>
      </c>
      <c r="U9" s="71">
        <v>5597</v>
      </c>
      <c r="V9" s="71">
        <v>0</v>
      </c>
      <c r="W9" s="71">
        <v>0</v>
      </c>
      <c r="X9" s="71">
        <v>0</v>
      </c>
      <c r="Y9" s="71">
        <v>0</v>
      </c>
      <c r="Z9" s="71">
        <v>4529</v>
      </c>
      <c r="AA9" s="71">
        <v>1627</v>
      </c>
      <c r="AB9" s="71">
        <v>2840</v>
      </c>
      <c r="AC9" s="71">
        <v>8381</v>
      </c>
      <c r="AD9" s="71">
        <v>272</v>
      </c>
      <c r="AE9" s="71">
        <v>2822</v>
      </c>
    </row>
    <row r="10" spans="1:99" s="72" customFormat="1" ht="22.5" ph="1">
      <c r="B10" s="207" ph="1"/>
      <c r="C10" s="160" t="s" ph="1">
        <v>209</v>
      </c>
      <c r="D10" s="73" ph="1">
        <f>D9*33.183*LOOKUP(D11,密度!$A$2:$A$50,密度!$Q$2:$Q$50)</f>
        <v>129675.40635707999</v>
      </c>
      <c r="E10" s="73" ph="1">
        <f>E9*51.53*LOOKUP(E11,密度!$A$2:$A$50,密度!$I$2:$I$50)</f>
        <v>0</v>
      </c>
      <c r="F10" s="73" ph="1">
        <f>F9*33.183*LOOKUP(F11,密度!$A$2:$A$50,密度!$C$2:$C$50)</f>
        <v>139686.55950600002</v>
      </c>
      <c r="G10" s="73" ph="1">
        <f xml:space="preserve"> (G9+2)*51.53*LOOKUP(G11,密度!$A$2:$A$50,密度!$B$2:$B$50)</f>
        <v>138871.28880000001</v>
      </c>
      <c r="H10" s="73" ph="1">
        <f>(H9)*51.53*LOOKUP(H11,密度!$A$2:$A$50,密度!$B$2:$B$50)</f>
        <v>351116.96908000007</v>
      </c>
      <c r="I10" s="73" ph="1">
        <f>I9*290.8*1.0267</f>
        <v>11676.8521196</v>
      </c>
      <c r="J10" s="73" ph="1">
        <f>J9*290.8*0.7892</f>
        <v>1792.3900016000002</v>
      </c>
      <c r="K10" s="73" ph="1">
        <f>K9*290.8*1.1126</f>
        <v>15015.680752800001</v>
      </c>
      <c r="L10" s="73" ph="1">
        <f>L9*290.8*0.777</f>
        <v>3097.7964360000005</v>
      </c>
      <c r="M10" s="73" ph="1">
        <f>M9*33.183*LOOKUP(M11,密度!$A$2:$A$50,密度!$D$2:$D$50)</f>
        <v>156495.08959920003</v>
      </c>
      <c r="N10" s="73" ph="1">
        <f>N9*33.183*LOOKUP(N11,密度!$A$2:$A$50,密度!$E$2:$E$50)</f>
        <v>146962.9642473</v>
      </c>
      <c r="O10" s="73" ph="1">
        <f>O9*20.428*LOOKUP(O11,密度!$A$2:$A$50,密度!$C$2:$C$50)</f>
        <v>117476.25563040002</v>
      </c>
      <c r="P10" s="73" ph="1">
        <f>P9*51.53*LOOKUP(P11,密度!$A$2:$A$50,密度!$B$2:$B$50)</f>
        <v>269836.88107099995</v>
      </c>
      <c r="Q10" s="73" ph="1">
        <f>Q9*1.5*1.5*3.1416*LOOKUP(W11,密度!$A$2:$A$50,密度!$L$2:$L$50)</f>
        <v>46535.817081599998</v>
      </c>
      <c r="R10" s="73" ph="1">
        <f>R9*1.5*1.5*3.1416*LOOKUP(R11,密度!$A$2:$A$50,密度!$L$2:$L$50)</f>
        <v>28903.505399999998</v>
      </c>
      <c r="S10" s="73" ph="1">
        <f>S9*1.5*1.5*3.1416*LOOKUP(S11,密度!$A$2:$A$50,密度!$L$2:$L$50)</f>
        <v>33949.354823999995</v>
      </c>
      <c r="T10" s="73" ph="1">
        <f>T9*1.5*1.5*3.1416*LOOKUP(T11,密度!$A$2:$A$50,密度!$L$2:$L$50)</f>
        <v>46294.381979999998</v>
      </c>
      <c r="U10" s="73" ph="1">
        <f>U9*1.5*1.5*3.1416*LOOKUP(U11,密度!$A$2:$A$50,密度!$L$2:$L$50)</f>
        <v>37426.5546732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142320.65922899998</v>
      </c>
      <c r="AA10" s="73" ph="1">
        <f>AA9*33.183*LOOKUP(AA11,密度!$A$2:$A$50,密度!$D$2:$D$50)</f>
        <v>55910.740179600005</v>
      </c>
      <c r="AB10" s="73" ph="1">
        <f>AB9*20.428*LOOKUP(AB11,密度!$A$2:$A$50,密度!$D$2:$D$50)</f>
        <v>60597.210640000005</v>
      </c>
      <c r="AC10" s="73" ph="1">
        <f>AC9*51.53*LOOKUP(AC11,密度!$A$2:$A$50,密度!$Q$2:$Q$50)</f>
        <v>412239.98660220002</v>
      </c>
      <c r="AD10" s="73" ph="1">
        <f>AD9*20.428*LOOKUP(AD11,密度!$A$2:$A$50,密度!$V$2:$V$50)</f>
        <v>5356.3850240000002</v>
      </c>
      <c r="AE10" s="73" ph="1">
        <f>AE9*20.428</f>
        <v>57647.815999999999</v>
      </c>
    </row>
    <row r="11" spans="1:99" ph="1">
      <c r="A11" s="64" t="s" ph="1">
        <v>193</v>
      </c>
      <c r="B11" s="207" ph="1"/>
      <c r="C11" s="160" t="s" ph="1">
        <v>210</v>
      </c>
      <c r="D11" s="74">
        <v>15</v>
      </c>
      <c r="E11" s="74">
        <v>15</v>
      </c>
      <c r="F11" s="74">
        <v>14</v>
      </c>
      <c r="G11" s="74">
        <v>15</v>
      </c>
      <c r="H11" s="74">
        <v>15</v>
      </c>
      <c r="I11" s="74">
        <v>25</v>
      </c>
      <c r="J11" s="74">
        <v>25</v>
      </c>
      <c r="K11" s="74">
        <v>25</v>
      </c>
      <c r="L11" s="74">
        <v>25</v>
      </c>
      <c r="M11" s="74">
        <v>15</v>
      </c>
      <c r="N11" s="74">
        <v>15</v>
      </c>
      <c r="O11" s="74">
        <v>21</v>
      </c>
      <c r="P11" s="74">
        <v>13</v>
      </c>
      <c r="Q11" s="74">
        <v>14</v>
      </c>
      <c r="R11" s="74">
        <v>22</v>
      </c>
      <c r="S11" s="74">
        <v>10</v>
      </c>
      <c r="T11" s="74">
        <v>12</v>
      </c>
      <c r="U11" s="74">
        <v>16</v>
      </c>
      <c r="V11" s="74">
        <v>20</v>
      </c>
      <c r="W11" s="74">
        <v>18</v>
      </c>
      <c r="X11" s="74">
        <v>6</v>
      </c>
      <c r="Y11" s="74">
        <v>15</v>
      </c>
      <c r="Z11" s="74">
        <v>15</v>
      </c>
      <c r="AA11" s="74">
        <v>15</v>
      </c>
      <c r="AB11" s="74">
        <v>5</v>
      </c>
      <c r="AC11" s="74">
        <v>15</v>
      </c>
      <c r="AD11" s="74">
        <v>14</v>
      </c>
      <c r="AE11" s="74">
        <v>16</v>
      </c>
    </row>
    <row r="12" spans="1:99" ht="9.9499999999999993" customHeight="1" ph="1"/>
    <row r="13" spans="1:99" s="72" customFormat="1" ht="29.25" customHeight="1" ph="1">
      <c r="B13" s="215" t="s" ph="1">
        <v>37</v>
      </c>
      <c r="C13" s="160" t="s" ph="1">
        <v>207</v>
      </c>
      <c r="D13" s="76" t="s" ph="1">
        <v>53</v>
      </c>
      <c r="E13" s="76" t="s" ph="1">
        <v>54</v>
      </c>
      <c r="F13" s="76" t="s" ph="1">
        <v>66</v>
      </c>
      <c r="G13" s="76" t="s" ph="1">
        <v>67</v>
      </c>
      <c r="H13" s="76" t="s" ph="1">
        <v>152</v>
      </c>
      <c r="I13" s="76" t="s" ph="1">
        <v>68</v>
      </c>
      <c r="J13" s="76" t="s" ph="1">
        <v>153</v>
      </c>
      <c r="K13" s="76" t="s" ph="1">
        <v>63</v>
      </c>
      <c r="L13" s="76" t="s" ph="1">
        <v>69</v>
      </c>
      <c r="M13" s="76" t="s" ph="1">
        <v>70</v>
      </c>
      <c r="N13" s="76" t="s" ph="1">
        <v>154</v>
      </c>
      <c r="O13" s="76" t="s" ph="1">
        <v>64</v>
      </c>
      <c r="P13" s="76" t="s" ph="1">
        <v>71</v>
      </c>
      <c r="Q13" s="76" t="s" ph="1">
        <v>72</v>
      </c>
      <c r="R13" s="76" t="s" ph="1">
        <v>73</v>
      </c>
      <c r="S13" s="76" t="s" ph="1">
        <v>74</v>
      </c>
      <c r="T13" s="76" t="s" ph="1">
        <v>75</v>
      </c>
      <c r="U13" s="76" t="s" ph="1">
        <v>76</v>
      </c>
      <c r="V13" s="76" t="s" ph="1">
        <v>155</v>
      </c>
      <c r="W13" s="76" t="s" ph="1">
        <v>156</v>
      </c>
      <c r="X13" s="76" t="s" ph="1">
        <v>157</v>
      </c>
      <c r="Y13" s="105" t="s" ph="1">
        <v>77</v>
      </c>
      <c r="Z13" s="76" t="s" ph="1">
        <v>86</v>
      </c>
      <c r="AA13" s="76" t="s" ph="1">
        <v>158</v>
      </c>
      <c r="AB13" s="76" t="s" ph="1">
        <v>159</v>
      </c>
      <c r="AC13" s="76" t="s" ph="1">
        <v>160</v>
      </c>
      <c r="AD13" s="76" t="s" ph="1">
        <v>161</v>
      </c>
      <c r="AE13" s="76" t="s" ph="1">
        <v>162</v>
      </c>
      <c r="AG13" s="72" t="s" ph="1">
        <v>366</v>
      </c>
      <c r="AH13" s="72" t="s" ph="1">
        <v>229</v>
      </c>
      <c r="AI13" s="72" t="s" ph="1">
        <v>230</v>
      </c>
      <c r="AJ13" s="72" t="s" ph="1">
        <v>231</v>
      </c>
      <c r="AK13" s="72" t="s" ph="1">
        <v>232</v>
      </c>
      <c r="AL13" s="72" t="s" ph="1">
        <v>233</v>
      </c>
      <c r="AM13" s="72" t="s" ph="1">
        <v>234</v>
      </c>
      <c r="AN13" s="72" t="s" ph="1">
        <v>235</v>
      </c>
      <c r="AO13" s="72" t="s" ph="1">
        <v>236</v>
      </c>
      <c r="AP13" s="72" t="s" ph="1">
        <v>237</v>
      </c>
      <c r="AQ13" s="72" t="s" ph="1">
        <v>238</v>
      </c>
      <c r="AR13" s="72" t="s" ph="1">
        <v>239</v>
      </c>
      <c r="AS13" s="72" t="s" ph="1">
        <v>240</v>
      </c>
      <c r="AT13" s="72" t="s" ph="1">
        <v>241</v>
      </c>
      <c r="AU13" s="72" t="s" ph="1">
        <v>242</v>
      </c>
      <c r="AV13" s="72" t="s" ph="1">
        <v>243</v>
      </c>
      <c r="AW13" s="72" t="s" ph="1">
        <v>244</v>
      </c>
      <c r="AX13" s="72" t="s" ph="1">
        <v>245</v>
      </c>
      <c r="AY13" s="72" t="s" ph="1">
        <v>367</v>
      </c>
      <c r="AZ13" s="72" t="s" ph="1">
        <v>246</v>
      </c>
      <c r="BA13" s="72" t="s" ph="1">
        <v>247</v>
      </c>
      <c r="BB13" s="72" t="s" ph="1">
        <v>632</v>
      </c>
      <c r="BC13" s="72" t="s" ph="1">
        <v>248</v>
      </c>
      <c r="BD13" s="72" t="s" ph="1">
        <v>368</v>
      </c>
      <c r="BE13" s="72" t="s" ph="1">
        <v>369</v>
      </c>
      <c r="BF13" s="72" t="s" ph="1">
        <v>370</v>
      </c>
      <c r="BG13" s="72" t="s" ph="1">
        <v>371</v>
      </c>
      <c r="BH13" s="72" t="s" ph="1">
        <v>372</v>
      </c>
    </row>
    <row r="14" spans="1:99" s="72" customFormat="1" ht="24" ph="1">
      <c r="B14" s="216" ph="1"/>
      <c r="C14" s="67" t="s" ph="1">
        <v>36</v>
      </c>
      <c r="D14" s="77" t="s" ph="1">
        <v>130</v>
      </c>
      <c r="E14" s="77" t="s" ph="1">
        <v>130</v>
      </c>
      <c r="F14" s="142" t="s" ph="1">
        <v>651</v>
      </c>
      <c r="G14" s="77" t="s" ph="1">
        <v>217</v>
      </c>
      <c r="H14" s="77" t="s" ph="1">
        <v>645</v>
      </c>
      <c r="I14" s="77" t="s" ph="1">
        <v>65</v>
      </c>
      <c r="J14" s="77" t="s" ph="1">
        <v>227</v>
      </c>
      <c r="K14" s="77" t="s" ph="1">
        <v>223</v>
      </c>
      <c r="L14" s="77" t="s" ph="1">
        <v>41</v>
      </c>
      <c r="M14" s="104" t="s" ph="1">
        <v>222</v>
      </c>
      <c r="N14" s="104" t="s" ph="1">
        <v>218</v>
      </c>
      <c r="O14" s="104" t="s" ph="1">
        <v>226</v>
      </c>
      <c r="P14" s="77" t="s" ph="1">
        <v>82</v>
      </c>
      <c r="Q14" s="77" t="s" ph="1">
        <v>82</v>
      </c>
      <c r="R14" s="88" t="s" ph="1">
        <v>7</v>
      </c>
      <c r="S14" s="77" t="s" ph="1">
        <v>82</v>
      </c>
      <c r="T14" s="77" t="s" ph="1">
        <v>98</v>
      </c>
      <c r="U14" s="77" t="s" ph="1">
        <v>652</v>
      </c>
      <c r="V14" s="77" t="s" ph="1">
        <v>646</v>
      </c>
      <c r="W14" s="77" t="s" ph="1">
        <v>220</v>
      </c>
      <c r="X14" s="77" t="s" ph="1">
        <v>78</v>
      </c>
      <c r="Y14" s="141" t="s" ph="1">
        <v>0</v>
      </c>
      <c r="Z14" s="77" t="s" ph="1">
        <v>62</v>
      </c>
      <c r="AA14" s="77" t="s" ph="1">
        <v>88</v>
      </c>
      <c r="AB14" s="77" t="s" ph="1">
        <v>648</v>
      </c>
      <c r="AC14" s="77" t="s" ph="1">
        <v>648</v>
      </c>
      <c r="AD14" s="77" t="s" ph="1">
        <v>135</v>
      </c>
      <c r="AE14" s="77" t="s" ph="1">
        <v>135</v>
      </c>
      <c r="AG14" s="72" t="s" ph="1">
        <v>249</v>
      </c>
      <c r="AI14" s="72" t="s" ph="1">
        <v>250</v>
      </c>
      <c r="AJ14" s="72" t="s" ph="1">
        <v>373</v>
      </c>
      <c r="AK14" s="72" t="s" ph="1">
        <v>251</v>
      </c>
      <c r="AM14" s="72" t="s" ph="1">
        <v>253</v>
      </c>
      <c r="AN14" s="72" t="s" ph="1">
        <v>251</v>
      </c>
      <c r="AO14" s="72" t="s" ph="1">
        <v>252</v>
      </c>
      <c r="AP14" s="72" t="s" ph="1">
        <v>253</v>
      </c>
      <c r="AQ14" s="72" t="s" ph="1">
        <v>251</v>
      </c>
      <c r="AR14" s="72" t="s" ph="1">
        <v>252</v>
      </c>
      <c r="AS14" s="72" t="s" ph="1">
        <v>253</v>
      </c>
      <c r="AT14" s="72" t="s" ph="1">
        <v>251</v>
      </c>
      <c r="AU14" s="72" t="s" ph="1">
        <v>252</v>
      </c>
      <c r="AV14" s="72" t="s" ph="1">
        <v>253</v>
      </c>
      <c r="AW14" s="72" t="s" ph="1">
        <v>251</v>
      </c>
      <c r="AX14" s="72" t="s" ph="1">
        <v>252</v>
      </c>
      <c r="AY14" s="72" t="s" ph="1">
        <v>253</v>
      </c>
      <c r="AZ14" s="72" t="s" ph="1">
        <v>252</v>
      </c>
    </row>
    <row r="15" spans="1:99" ph="1">
      <c r="B15" s="217" ph="1">
        <v>0.33333333333333331</v>
      </c>
      <c r="C15" s="160" t="s" ph="1">
        <v>208</v>
      </c>
      <c r="D15" s="78">
        <v>0</v>
      </c>
      <c r="E15" s="78">
        <v>605</v>
      </c>
      <c r="F15" s="78">
        <v>2194</v>
      </c>
      <c r="G15" s="78">
        <v>2078</v>
      </c>
      <c r="H15" s="78">
        <v>2864</v>
      </c>
      <c r="I15" s="78">
        <v>11</v>
      </c>
      <c r="J15" s="78">
        <v>798</v>
      </c>
      <c r="K15" s="78">
        <v>1593</v>
      </c>
      <c r="L15" s="78">
        <v>6283</v>
      </c>
      <c r="M15" s="78">
        <v>3404</v>
      </c>
      <c r="N15" s="78">
        <v>2311</v>
      </c>
      <c r="O15" s="78">
        <v>234</v>
      </c>
      <c r="P15" s="78">
        <v>1100</v>
      </c>
      <c r="Q15" s="78">
        <v>2709</v>
      </c>
      <c r="R15" s="78">
        <v>3487</v>
      </c>
      <c r="S15" s="78">
        <v>5607</v>
      </c>
      <c r="T15" s="78">
        <v>4988</v>
      </c>
      <c r="U15" s="78">
        <v>2025</v>
      </c>
      <c r="V15" s="78">
        <v>308</v>
      </c>
      <c r="W15" s="78">
        <v>-595</v>
      </c>
      <c r="X15" s="78">
        <v>630</v>
      </c>
      <c r="Y15" s="106">
        <v>-9900</v>
      </c>
      <c r="Z15" s="78">
        <v>0</v>
      </c>
      <c r="AA15" s="78">
        <v>2506</v>
      </c>
      <c r="AB15" s="78" ph="1">
        <v>50</v>
      </c>
      <c r="AC15" s="78" ph="1">
        <v>6495</v>
      </c>
      <c r="AD15" s="78">
        <v>66.81</v>
      </c>
      <c r="AE15" s="78">
        <v>4.6100000000000003</v>
      </c>
      <c r="AG15" s="64" t="s" ph="1">
        <v>255</v>
      </c>
      <c r="AH15" s="64" ph="1">
        <v>1</v>
      </c>
      <c r="AI15" s="64" t="s" ph="1">
        <v>374</v>
      </c>
      <c r="AK15" s="64" t="s" ph="1">
        <v>628</v>
      </c>
      <c r="AM15" s="64" t="s" ph="1">
        <v>376</v>
      </c>
      <c r="AZ15" s="64" t="s" ph="1">
        <v>257</v>
      </c>
      <c r="BA15" s="64" ph="1">
        <v>0</v>
      </c>
    </row>
    <row r="16" spans="1:99" s="72" customFormat="1" ht="22.5" ph="1">
      <c r="B16" s="218" ph="1"/>
      <c r="C16" s="160" t="s" ph="1">
        <v>209</v>
      </c>
      <c r="D16" s="73" ph="1">
        <f>D15*7.0686*LOOKUP(D17,密度!$A$2:$A$50,密度!$L$2:$L$50)</f>
        <v>0</v>
      </c>
      <c r="E16" s="73" ph="1">
        <f>E15*7.0686*LOOKUP(E17,密度!$A$2:$A$50,密度!$L$2:$L$50)</f>
        <v>4058.4013469999995</v>
      </c>
      <c r="F16" s="73" ph="1">
        <f>F15*9.0746*LOOKUP(F17,密度!$A$2:$A$50,密度!$L$2:$L$50)</f>
        <v>18854.459762799997</v>
      </c>
      <c r="G16" s="73" ph="1">
        <f>G15*9.0746*LOOKUP(G17,密度!$A$2:$A$50,密度!$B$2:$B$50)</f>
        <v>14859.330814400002</v>
      </c>
      <c r="H16" s="73" ph="1">
        <f>H15*9.0746*LOOKUP(H17,密度!$A$2:$A$50,密度!$L$2:$L$50)</f>
        <v>24742.1509888</v>
      </c>
      <c r="I16" s="73" ph="1">
        <f>I15*9.0746*LOOKUP(I17,密度!$A$2:$A$50,密度!$U$2:$U$50)</f>
        <v>102.6155768</v>
      </c>
      <c r="J16" s="73" ph="1">
        <f>J15*9.0746*LOOKUP(J17,密度!$A$2:$A$50,密度!$L$2:$L$50)</f>
        <v>6864.9711984000005</v>
      </c>
      <c r="K16" s="73" ph="1">
        <f>K15*9.0746*LOOKUP(K17,密度!$A$2:$A$50,密度!$C$2:$C$50)</f>
        <v>16121.15031456</v>
      </c>
      <c r="L16" s="73" ph="1">
        <f>L15*9.0746*LOOKUP(L17,密度!$A$2:$A$50,密度!$E$2:$E$50)</f>
        <v>45310.386167460005</v>
      </c>
      <c r="M16" s="73" ph="1">
        <f>M15*9.0746*LOOKUP(M17,密度!$A$2:$A$50,密度!$M$2:$M$50)</f>
        <v>27192.412773519998</v>
      </c>
      <c r="N16" s="73" ph="1">
        <f>N15*9.0746*LOOKUP(N17,密度!$A$2:$A$50,密度!$M$2:$M$50)</f>
        <v>18461.12394818</v>
      </c>
      <c r="O16" s="73" ph="1">
        <f>O15*9.0746*LOOKUP(O17,密度!$A$2:$A$50,密度!$G$2:$G$50)</f>
        <v>2062.30085568</v>
      </c>
      <c r="P16" s="73" ph="1">
        <f ca="1">P15*9.0746*LOOKUP(P17,密度!$A$2:$A$51,密度!$Q$2:$Q$50)</f>
        <v>9528.2755524000004</v>
      </c>
      <c r="Q16" s="73" ph="1">
        <f>Q15*9.0746*LOOKUP(Q17,密度!$A$2:$A$50,密度!$Q$2:$Q$50)</f>
        <v>23465.544064956004</v>
      </c>
      <c r="R16" s="73" ph="1">
        <f>MAX(R15*9.0746*LOOKUP(R17,密度!$A$2:$A$50,密度!$B$2:$B$50),0)</f>
        <v>24934.786597599999</v>
      </c>
      <c r="S16" s="73" ph="1">
        <f>S15*9.0746*LOOKUP(S17,密度!$A$2:$A$50,密度!$Q$2:$Q$50)</f>
        <v>48568.219111188002</v>
      </c>
      <c r="T16" s="73" ph="1">
        <f>T15*9.0746*LOOKUP(T17,密度!$A$2:$A$50,密度!$O$2:$O$50)</f>
        <v>42276.673883200005</v>
      </c>
      <c r="U16" s="73" ph="1">
        <f>U15*9.0746*LOOKUP(U17,密度!$A$2:$A$50,密度!$H$2:$H$50)</f>
        <v>17047.475500499997</v>
      </c>
      <c r="V16" s="73" ph="1">
        <f>MAX(5600*LOOKUP(V17,密度!$A$2:$A$50,密度!$Q$2:$Q$50)+V15*9.0476*LOOKUP(V17,密度!$A$2:$A$50,密度!$Q$2:$Q$50),0)</f>
        <v>8005.4032000320003</v>
      </c>
      <c r="W16" s="73" ph="1">
        <f>MAX(5600*LOOKUP(W17,密度!$A$2:$A$50,密度!$Q$2:$Q$50)+W15*9.0476*LOOKUP(W17,密度!$A$2:$A$50,密度!$Q$2:$Q$50),0)</f>
        <v>206.8278181200003</v>
      </c>
      <c r="X16" s="73" ph="1">
        <f>MAX(5600*LOOKUP(X17,密度!$A$2:$A$50,密度!$I$2:$I$50)+X15*9.0476*LOOKUP(X17,密度!$A$2:$A$50,密度!$I$2:$I$50),0)</f>
        <v>11739.557533199997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17919.8667088</v>
      </c>
      <c r="AB16" s="73" ph="1">
        <f>AB15*9.0746*LOOKUP(AB17,密度!$A$2:$A$50,密度!$L$2:$L$50)</f>
        <v>429.68230999999997</v>
      </c>
      <c r="AC16" s="73" ph="1">
        <f>AC15*9.0746*LOOKUP(AC17,密度!$A$2:$A$50,密度!$L$2:$L$50)</f>
        <v>55933.611123000002</v>
      </c>
      <c r="AD16" s="73" ph="1">
        <f>AD15*268.68*LOOKUP(AD17,密度!$A$2:$A$50,密度!B2:B50)+IF(AD15&lt;=0,0,1566*LOOKUP(AD17,密度!$A$2:$A$50,密度!B2:B50))</f>
        <v>15215.071819679999</v>
      </c>
      <c r="AE16" s="73" ph="1">
        <f>AE15*268.68*LOOKUP(AE17,密度!$A$2:$A$50,密度!B2:B50)+IF(AE15&lt;=0,0,1566*LOOKUP(AE17,密度!$A$2:$A$50,密度!B2:B50))</f>
        <v>2186.4776980799998</v>
      </c>
      <c r="AH16" s="72" ph="1">
        <v>2</v>
      </c>
      <c r="AI16" s="72" t="s" ph="1">
        <v>378</v>
      </c>
      <c r="AZ16" s="72" t="s" ph="1">
        <v>257</v>
      </c>
      <c r="BA16" s="72" ph="1">
        <v>0</v>
      </c>
    </row>
    <row r="17" spans="1:57" ph="1">
      <c r="A17" s="64" t="s" ph="1">
        <v>85</v>
      </c>
      <c r="B17" s="219" ph="1"/>
      <c r="C17" s="79" t="s" ph="1">
        <v>210</v>
      </c>
      <c r="D17" s="74">
        <v>13</v>
      </c>
      <c r="E17" s="74">
        <v>13</v>
      </c>
      <c r="F17" s="74">
        <v>15</v>
      </c>
      <c r="G17" s="74">
        <v>15</v>
      </c>
      <c r="H17" s="74">
        <v>10</v>
      </c>
      <c r="I17" s="74">
        <v>12</v>
      </c>
      <c r="J17" s="74">
        <v>14</v>
      </c>
      <c r="K17" s="74">
        <v>16</v>
      </c>
      <c r="L17" s="74">
        <v>15</v>
      </c>
      <c r="M17" s="74">
        <v>16</v>
      </c>
      <c r="N17" s="74">
        <v>15</v>
      </c>
      <c r="O17" s="74">
        <v>15</v>
      </c>
      <c r="P17" s="74">
        <v>15</v>
      </c>
      <c r="Q17" s="74">
        <v>13</v>
      </c>
      <c r="R17" s="74">
        <v>15</v>
      </c>
      <c r="S17" s="74">
        <v>14</v>
      </c>
      <c r="T17" s="74">
        <v>15</v>
      </c>
      <c r="U17" s="74">
        <v>12</v>
      </c>
      <c r="V17" s="74">
        <v>15</v>
      </c>
      <c r="W17" s="74">
        <v>15</v>
      </c>
      <c r="X17" s="74">
        <v>28</v>
      </c>
      <c r="Y17" s="108">
        <v>28</v>
      </c>
      <c r="Z17" s="74">
        <v>15</v>
      </c>
      <c r="AA17" s="74">
        <v>15</v>
      </c>
      <c r="AB17" s="74">
        <v>15</v>
      </c>
      <c r="AC17" s="74">
        <v>13</v>
      </c>
      <c r="AD17" s="74">
        <v>25</v>
      </c>
      <c r="AE17" s="74">
        <v>25</v>
      </c>
      <c r="AH17" s="64" ph="1">
        <v>3</v>
      </c>
      <c r="AI17" s="64" t="s" ph="1">
        <v>379</v>
      </c>
      <c r="AK17" s="64" t="s" ph="1">
        <v>611</v>
      </c>
      <c r="AL17" s="64" ph="1">
        <v>80</v>
      </c>
      <c r="AM17" s="64" t="s" ph="1">
        <v>376</v>
      </c>
      <c r="AZ17" s="64" t="s" ph="1">
        <v>257</v>
      </c>
      <c r="BA17" s="64" ph="1">
        <v>80</v>
      </c>
      <c r="BD17" s="64" t="s" ph="1">
        <v>255</v>
      </c>
      <c r="BE17" s="64" ph="1">
        <v>2270</v>
      </c>
    </row>
    <row r="18" spans="1:57" ph="1">
      <c r="B18" s="217" ph="1">
        <v>0.66666666666666663</v>
      </c>
      <c r="C18" s="79" t="s" ph="1">
        <v>211</v>
      </c>
      <c r="D18" s="71">
        <v>0</v>
      </c>
      <c r="E18" s="71">
        <v>939</v>
      </c>
      <c r="F18" s="71">
        <v>2194</v>
      </c>
      <c r="G18" s="71">
        <v>2101</v>
      </c>
      <c r="H18" s="71">
        <v>2865</v>
      </c>
      <c r="I18" s="71">
        <v>11</v>
      </c>
      <c r="J18" s="71">
        <v>877</v>
      </c>
      <c r="K18" s="71">
        <v>1593</v>
      </c>
      <c r="L18" s="71">
        <v>6286</v>
      </c>
      <c r="M18" s="71">
        <v>447</v>
      </c>
      <c r="N18" s="71">
        <v>3558</v>
      </c>
      <c r="O18" s="71">
        <v>233</v>
      </c>
      <c r="P18" s="71">
        <v>1099</v>
      </c>
      <c r="Q18" s="71">
        <v>2710</v>
      </c>
      <c r="R18" s="71">
        <v>3489</v>
      </c>
      <c r="S18" s="71">
        <v>5608</v>
      </c>
      <c r="T18" s="71">
        <v>4568</v>
      </c>
      <c r="U18" s="71">
        <v>3809</v>
      </c>
      <c r="V18" s="71">
        <v>591</v>
      </c>
      <c r="W18" s="71">
        <v>-595</v>
      </c>
      <c r="X18" s="71">
        <v>628</v>
      </c>
      <c r="Y18" s="109">
        <v>-9900</v>
      </c>
      <c r="Z18" s="71">
        <v>0</v>
      </c>
      <c r="AA18" s="71">
        <v>2506</v>
      </c>
      <c r="AB18" s="71">
        <v>51</v>
      </c>
      <c r="AC18" s="71">
        <v>6495</v>
      </c>
      <c r="AD18" s="71">
        <v>84.51</v>
      </c>
      <c r="AE18" s="71">
        <v>11.02</v>
      </c>
      <c r="AH18" s="64" ph="1">
        <v>4</v>
      </c>
      <c r="AI18" s="64" t="s" ph="1">
        <v>381</v>
      </c>
      <c r="AJ18" s="64" t="s" ph="1">
        <v>629</v>
      </c>
      <c r="AK18" s="64" t="s" ph="1">
        <v>628</v>
      </c>
      <c r="AL18" s="64" ph="1">
        <v>740</v>
      </c>
      <c r="AM18" s="64" t="s" ph="1">
        <v>380</v>
      </c>
      <c r="AZ18" s="64" t="s" ph="1">
        <v>257</v>
      </c>
      <c r="BA18" s="64" ph="1">
        <v>740</v>
      </c>
    </row>
    <row r="19" spans="1:57" s="72" customFormat="1" ht="22.5" ph="1">
      <c r="B19" s="218" ph="1"/>
      <c r="C19" s="160" t="s" ph="1">
        <v>209</v>
      </c>
      <c r="D19" s="73" ph="1">
        <f>D18*7.0686*LOOKUP(D20,密度!$A$2:$A$50,密度!$L$2:$L$50)</f>
        <v>0</v>
      </c>
      <c r="E19" s="73" ph="1">
        <f>E18*7.0686*LOOKUP(E20,密度!$A$2:$A$50,密度!$L$2:$L$50)</f>
        <v>6292.2697991999994</v>
      </c>
      <c r="F19" s="73" ph="1">
        <f>F18*9.0746*LOOKUP(F20,密度!$A$2:$A$50,密度!$L$2:$L$50)</f>
        <v>18794.730745599998</v>
      </c>
      <c r="G19" s="73" ph="1">
        <f>G18*9.0746*LOOKUP(G20,密度!$A$2:$A$50,密度!$B$2:$B$50)</f>
        <v>15008.54627712</v>
      </c>
      <c r="H19" s="73" ph="1">
        <f>H18*9.0746*LOOKUP(H20,密度!$A$2:$A$50,密度!$L$2:$L$50)</f>
        <v>24724.791278999997</v>
      </c>
      <c r="I19" s="73" ph="1">
        <f>I18*9.0746*LOOKUP(I20,密度!$A$2:$A$50,密度!$U$2:$U$50)</f>
        <v>102.6155768</v>
      </c>
      <c r="J19" s="73" ph="1">
        <f>J18*9.0746*LOOKUP(J20,密度!$A$2:$A$50,密度!$L$2:$L$50)</f>
        <v>7528.6692931999996</v>
      </c>
      <c r="K19" s="73" ph="1">
        <f>K18*9.0746*LOOKUP(K20,密度!$A$2:$A$50,密度!$C$2:$C$50)</f>
        <v>16121.15031456</v>
      </c>
      <c r="L19" s="73" ph="1">
        <f>L18*9.0746*LOOKUP(L20,密度!$A$2:$A$50,密度!$E$2:$E$50)</f>
        <v>45332.02092132</v>
      </c>
      <c r="M19" s="73" ph="1">
        <f>M18*9.0746*LOOKUP(M20,密度!$A$2:$A$50,密度!$M$2:$M$50)</f>
        <v>3570.80155986</v>
      </c>
      <c r="N19" s="73" ph="1">
        <f>N18*9.0746*LOOKUP(N20,密度!$A$2:$A$50,密度!$M$2:$M$50)</f>
        <v>28422.621812040001</v>
      </c>
      <c r="O19" s="73" ph="1">
        <f>O18*9.0746*LOOKUP(O20,密度!$A$2:$A$50,密度!$G$2:$G$50)</f>
        <v>2046.7215824</v>
      </c>
      <c r="P19" s="73" ph="1">
        <f ca="1">P18*9.0746*LOOKUP(P20,密度!$A$2:$A$51,密度!$Q$2:$Q$50)</f>
        <v>9519.6134837160007</v>
      </c>
      <c r="Q19" s="73" ph="1">
        <f>Q18*9.0746*LOOKUP(Q20,密度!$A$2:$A$50,密度!$Q$2:$Q$50)</f>
        <v>23474.206133640004</v>
      </c>
      <c r="R19" s="73" ph="1">
        <f>MAX(R18*9.0746*LOOKUP(R20,密度!$A$2:$A$50,密度!$B$2:$B$50),0)</f>
        <v>24876.267224579999</v>
      </c>
      <c r="S19" s="73" ph="1">
        <f>S18*9.0746*LOOKUP(S20,密度!$A$2:$A$50,密度!$Q$2:$Q$50)</f>
        <v>48576.881179872005</v>
      </c>
      <c r="T19" s="73" ph="1">
        <f>T18*9.0746*LOOKUP(T20,密度!$A$2:$A$50,密度!$O$2:$O$50)</f>
        <v>38716.889795200004</v>
      </c>
      <c r="U19" s="73" ph="1">
        <f>U18*9.0746*LOOKUP(U20,密度!$A$2:$A$50,密度!$H$2:$H$50)</f>
        <v>32031.525802380002</v>
      </c>
      <c r="V19" s="73" ph="1">
        <f>MAX(5600*LOOKUP(V20,密度!$A$2:$A$50,密度!$Q$2:$Q$50)+V18*9.0476*LOOKUP(V20,密度!$A$2:$A$50,密度!$Q$2:$Q$50),0)</f>
        <v>10449.474997464</v>
      </c>
      <c r="W19" s="73" ph="1">
        <f>MAX(5600*LOOKUP(W20,密度!$A$2:$A$50,密度!$Q$2:$Q$50)+W18*9.0476*LOOKUP(W20,密度!$A$2:$A$50,密度!$Q$2:$Q$50),0)</f>
        <v>206.8278181200003</v>
      </c>
      <c r="X19" s="73" ph="1">
        <f>MAX(5600*LOOKUP(X20,密度!$A$2:$A$50,密度!$I$2:$I$50)+X18*9.0476*LOOKUP(X20,密度!$A$2:$A$50,密度!$I$2:$I$50),0)</f>
        <v>11720.758429919999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17919.8667088</v>
      </c>
      <c r="AB19" s="73" ph="1">
        <f>AB18*9.0746*LOOKUP(AB20,密度!$A$2:$A$50,密度!$L$2:$L$50)</f>
        <v>438.2759562</v>
      </c>
      <c r="AC19" s="73" ph="1">
        <f>AC18*9.0746*LOOKUP(AC20,密度!$A$2:$A$50,密度!$L$2:$L$50)</f>
        <v>55933.611123000002</v>
      </c>
      <c r="AD19" s="73" ph="1">
        <f>AD18*268.68*LOOKUP(AD20,密度!$A$2:$A$50,密度!B5:B53)+IF(AD18&lt;=0,0,1566*LOOKUP(AD20,密度!$A$2:$A$50,密度!B5:B53))</f>
        <v>18859.458063600003</v>
      </c>
      <c r="AE19" s="73" ph="1">
        <f>AE18*268.68*LOOKUP(AE20,密度!$A$2:$A$50,密度!B5:B53)+IF(AE18&lt;=0,0,1566*LOOKUP(AE20,密度!$A$2:$A$50,密度!B5:B53))</f>
        <v>3517.3652472000003</v>
      </c>
      <c r="AH19" s="72" ph="1">
        <v>5</v>
      </c>
      <c r="AI19" s="72" t="s" ph="1">
        <v>382</v>
      </c>
      <c r="AZ19" s="72" t="s" ph="1">
        <v>257</v>
      </c>
      <c r="BA19" s="72" ph="1">
        <v>0</v>
      </c>
      <c r="BD19" s="72" t="s" ph="1">
        <v>383</v>
      </c>
      <c r="BE19" s="72" ph="1">
        <v>1440</v>
      </c>
    </row>
    <row r="20" spans="1:57" ph="1">
      <c r="A20" s="72" ph="1"/>
      <c r="B20" s="218" ph="1"/>
      <c r="C20" s="80" t="s" ph="1">
        <v>210</v>
      </c>
      <c r="D20" s="81">
        <v>14</v>
      </c>
      <c r="E20" s="81">
        <v>14</v>
      </c>
      <c r="F20" s="81">
        <v>18</v>
      </c>
      <c r="G20" s="81">
        <v>16</v>
      </c>
      <c r="H20" s="81">
        <v>11</v>
      </c>
      <c r="I20" s="81">
        <v>16</v>
      </c>
      <c r="J20" s="81">
        <v>16</v>
      </c>
      <c r="K20" s="81">
        <v>16</v>
      </c>
      <c r="L20" s="81">
        <v>15</v>
      </c>
      <c r="M20" s="81">
        <v>16</v>
      </c>
      <c r="N20" s="81">
        <v>15</v>
      </c>
      <c r="O20" s="81">
        <v>18</v>
      </c>
      <c r="P20" s="81">
        <v>15</v>
      </c>
      <c r="Q20" s="81">
        <v>14</v>
      </c>
      <c r="R20" s="81">
        <v>18</v>
      </c>
      <c r="S20" s="81">
        <v>15</v>
      </c>
      <c r="T20" s="81">
        <v>15</v>
      </c>
      <c r="U20" s="81">
        <v>13</v>
      </c>
      <c r="V20" s="81">
        <v>15</v>
      </c>
      <c r="W20" s="81">
        <v>14</v>
      </c>
      <c r="X20" s="81">
        <v>28</v>
      </c>
      <c r="Y20" s="110">
        <v>28</v>
      </c>
      <c r="Z20" s="81">
        <v>15</v>
      </c>
      <c r="AA20" s="81">
        <v>15</v>
      </c>
      <c r="AB20" s="81">
        <v>15</v>
      </c>
      <c r="AC20" s="81">
        <v>13</v>
      </c>
      <c r="AD20" s="81">
        <v>25</v>
      </c>
      <c r="AE20" s="81">
        <v>25</v>
      </c>
      <c r="AH20" s="64" ph="1">
        <v>6</v>
      </c>
      <c r="AI20" s="64" t="s" ph="1">
        <v>384</v>
      </c>
      <c r="AZ20" s="64" t="s" ph="1">
        <v>257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385</v>
      </c>
      <c r="AZ21" s="64" t="s" ph="1">
        <v>257</v>
      </c>
      <c r="BA21" s="64" ph="1">
        <v>0</v>
      </c>
      <c r="BD21" s="64" t="s" ph="1">
        <v>273</v>
      </c>
      <c r="BE21" s="64" ph="1">
        <v>730</v>
      </c>
    </row>
    <row r="22" spans="1:57" ph="1">
      <c r="A22" s="72" ph="1"/>
      <c r="B22" s="216" t="s" ph="1">
        <v>37</v>
      </c>
      <c r="C22" s="85" t="s" ph="1">
        <v>207</v>
      </c>
      <c r="D22" s="86" t="s" ph="1">
        <v>103</v>
      </c>
      <c r="E22" s="86" t="s" ph="1">
        <v>104</v>
      </c>
      <c r="F22" s="86" t="s" ph="1">
        <v>105</v>
      </c>
      <c r="G22" s="86" t="s" ph="1">
        <v>106</v>
      </c>
      <c r="H22" s="86" t="s" ph="1">
        <v>107</v>
      </c>
      <c r="I22" s="86" t="s" ph="1">
        <v>108</v>
      </c>
      <c r="J22" s="86" t="s" ph="1">
        <v>109</v>
      </c>
      <c r="K22" s="86" t="s" ph="1">
        <v>110</v>
      </c>
      <c r="L22" s="86" t="s" ph="1">
        <v>111</v>
      </c>
      <c r="M22" s="86" t="s" ph="1">
        <v>112</v>
      </c>
      <c r="N22" s="86" t="s" ph="1">
        <v>113</v>
      </c>
      <c r="O22" s="86" t="s" ph="1">
        <v>114</v>
      </c>
      <c r="P22" s="86" t="s" ph="1">
        <v>115</v>
      </c>
      <c r="Q22" s="87" t="s" ph="1">
        <v>116</v>
      </c>
      <c r="R22" s="86" t="s" ph="1">
        <v>117</v>
      </c>
      <c r="S22" s="86" t="s" ph="1">
        <v>118</v>
      </c>
      <c r="T22" s="86" t="s" ph="1">
        <v>119</v>
      </c>
      <c r="U22" s="86" t="s" ph="1">
        <v>120</v>
      </c>
      <c r="V22" s="86" t="s" ph="1">
        <v>121</v>
      </c>
      <c r="W22" s="86" t="s" ph="1">
        <v>122</v>
      </c>
      <c r="X22" s="86" t="s" ph="1">
        <v>123</v>
      </c>
      <c r="Y22" s="86" t="s" ph="1">
        <v>125</v>
      </c>
      <c r="Z22" s="195" t="s" ph="1">
        <v>79</v>
      </c>
      <c r="AA22" s="196"/>
      <c r="AB22" s="196"/>
      <c r="AC22" s="196"/>
      <c r="AD22" s="196"/>
      <c r="AE22" s="197"/>
      <c r="AH22" s="64" ph="1">
        <v>8</v>
      </c>
      <c r="AI22" s="64" t="s" ph="1">
        <v>386</v>
      </c>
      <c r="AZ22" s="64" t="s" ph="1">
        <v>257</v>
      </c>
      <c r="BA22" s="64" ph="1">
        <v>0</v>
      </c>
    </row>
    <row r="23" spans="1:57" ph="1">
      <c r="A23" s="72" ph="1"/>
      <c r="B23" s="211" ph="1"/>
      <c r="C23" s="67" t="s" ph="1">
        <v>36</v>
      </c>
      <c r="D23" s="88" t="s" ph="1">
        <v>127</v>
      </c>
      <c r="E23" s="88" t="s" ph="1">
        <v>124</v>
      </c>
      <c r="F23" s="88" t="s" ph="1">
        <v>221</v>
      </c>
      <c r="G23" s="88" t="s" ph="1">
        <v>163</v>
      </c>
      <c r="H23" s="88" t="s" ph="1">
        <v>163</v>
      </c>
      <c r="I23" s="88" t="s" ph="1">
        <v>164</v>
      </c>
      <c r="J23" s="88" t="s" ph="1">
        <v>165</v>
      </c>
      <c r="K23" s="88" t="s" ph="1">
        <v>128</v>
      </c>
      <c r="L23" s="88" t="s" ph="1">
        <v>128</v>
      </c>
      <c r="M23" s="88" t="s" ph="1">
        <v>165</v>
      </c>
      <c r="N23" s="88" t="s" ph="1">
        <v>165</v>
      </c>
      <c r="O23" s="88" t="s" ph="1">
        <v>131</v>
      </c>
      <c r="P23" s="88" t="s" ph="1">
        <v>166</v>
      </c>
      <c r="Q23" s="89" t="s" ph="1">
        <v>166</v>
      </c>
      <c r="R23" s="88" t="s" ph="1">
        <v>167</v>
      </c>
      <c r="S23" s="88" t="s" ph="1">
        <v>168</v>
      </c>
      <c r="T23" s="88" t="s" ph="1">
        <v>647</v>
      </c>
      <c r="U23" s="88" t="s" ph="1">
        <v>653</v>
      </c>
      <c r="V23" s="88" t="s" ph="1">
        <v>169</v>
      </c>
      <c r="W23" s="88" t="s" ph="1">
        <v>168</v>
      </c>
      <c r="X23" s="88" t="s" ph="1">
        <v>228</v>
      </c>
      <c r="Y23" s="88" t="s" ph="1">
        <v>97</v>
      </c>
      <c r="Z23" s="198" t="s" ph="1">
        <v>649</v>
      </c>
      <c r="AA23" s="199"/>
      <c r="AB23" s="199"/>
      <c r="AC23" s="199"/>
      <c r="AD23" s="199"/>
      <c r="AE23" s="200"/>
      <c r="AH23" s="64" ph="1">
        <v>9</v>
      </c>
      <c r="AI23" s="64" t="s" ph="1">
        <v>387</v>
      </c>
      <c r="AZ23" s="64" t="s" ph="1">
        <v>257</v>
      </c>
      <c r="BA23" s="64" ph="1">
        <v>0</v>
      </c>
      <c r="BD23" s="64" t="s" ph="1">
        <v>279</v>
      </c>
      <c r="BE23" s="64" ph="1">
        <v>890</v>
      </c>
    </row>
    <row r="24" spans="1:57" ph="1">
      <c r="A24" s="72" ph="1"/>
      <c r="B24" s="207" ph="1">
        <v>0.33333333333333331</v>
      </c>
      <c r="C24" s="160" t="s" ph="1">
        <v>208</v>
      </c>
      <c r="D24" s="71">
        <v>44.11</v>
      </c>
      <c r="E24" s="71">
        <v>90.81</v>
      </c>
      <c r="F24" s="71">
        <v>2146</v>
      </c>
      <c r="G24" s="71">
        <v>3321</v>
      </c>
      <c r="H24" s="71">
        <v>2362</v>
      </c>
      <c r="I24" s="71">
        <v>852</v>
      </c>
      <c r="J24" s="71">
        <v>820</v>
      </c>
      <c r="K24" s="71">
        <v>5604</v>
      </c>
      <c r="L24" s="71">
        <v>5577</v>
      </c>
      <c r="M24" s="71">
        <v>2469</v>
      </c>
      <c r="N24" s="71">
        <v>2727</v>
      </c>
      <c r="O24" s="71">
        <v>2060</v>
      </c>
      <c r="P24" s="71">
        <v>454</v>
      </c>
      <c r="Q24" s="90">
        <v>2418</v>
      </c>
      <c r="R24" s="71">
        <v>3372</v>
      </c>
      <c r="S24" s="71">
        <v>403</v>
      </c>
      <c r="T24" s="71">
        <v>5</v>
      </c>
      <c r="U24" s="71">
        <v>5340</v>
      </c>
      <c r="V24" s="71">
        <v>410</v>
      </c>
      <c r="W24" s="71">
        <v>3272</v>
      </c>
      <c r="X24" s="71">
        <v>7826</v>
      </c>
      <c r="Y24" s="71">
        <v>3553</v>
      </c>
      <c r="Z24" s="201"/>
      <c r="AA24" s="202"/>
      <c r="AB24" s="202"/>
      <c r="AC24" s="202"/>
      <c r="AD24" s="202"/>
      <c r="AE24" s="203"/>
      <c r="AH24" s="64" ph="1">
        <v>10</v>
      </c>
      <c r="AI24" s="64" t="s" ph="1">
        <v>388</v>
      </c>
      <c r="AZ24" s="64" t="s" ph="1">
        <v>257</v>
      </c>
      <c r="BA24" s="64" ph="1">
        <v>0</v>
      </c>
    </row>
    <row r="25" spans="1:57" ph="1">
      <c r="A25" s="72" ph="1"/>
      <c r="B25" s="207" ph="1"/>
      <c r="C25" s="68" t="s" ph="1">
        <v>209</v>
      </c>
      <c r="D25" s="91" ph="1">
        <f>D24*268.68*LOOKUP(D26,密度!$A$2:$A$50,密度!$Q$2:$Q$50)+IF(D24&lt;=0,0,1566*LOOKUP(D26,密度!$A$2:$A$50,密度!$Q$2:$Q$50))</f>
        <v>12702.860092151999</v>
      </c>
      <c r="E25" s="91" ph="1">
        <f>E24*268.68*LOOKUP(E26,密度!$A$2:$A$50,密度!$C$2:$C$50)+IF(E24&lt;=0,0,1566*LOOKUP(E26,密度!$A$2:$A$50,密度!$C$2:$C$50))</f>
        <v>28792.400874120001</v>
      </c>
      <c r="F25" s="91" ph="1">
        <f>F24*11.702*LOOKUP(F26,密度!$A$2:$A$50,密度!$Q$2:$Q$50)</f>
        <v>23970.878113679999</v>
      </c>
      <c r="G25" s="91" ph="1">
        <f>G24*18.322*LOOKUP(G26,密度!$A$2:$A$50,密度!$B$2:$B$50)</f>
        <v>47947.721255999997</v>
      </c>
      <c r="H25" s="91" ph="1">
        <f>H24*18.322*LOOKUP(H26,密度!$A$2:$A$50,密度!$B$2:$B$50)</f>
        <v>34101.932432000001</v>
      </c>
      <c r="I25" s="91" ph="1">
        <f>I24*18.322*LOOKUP(I26,密度!$A$2:$A$50,密度!$Q$2:$Q$50)</f>
        <v>14900.697761760001</v>
      </c>
      <c r="J25" s="91" ph="1">
        <f>J24*18.322*LOOKUP(J26,密度!$A$2:$A$50,密度!$Q$2:$Q$50)</f>
        <v>14341.0471416</v>
      </c>
      <c r="K25" s="91" ph="1">
        <f>K24*18.322*LOOKUP(K26,密度!$A$2:$A$50,密度!$Q$2:$Q$50)</f>
        <v>98008.814855520002</v>
      </c>
      <c r="L25" s="91" ph="1">
        <f>L24*18.322*LOOKUP(L26,密度!$A$2:$A$50,密度!$Q$2:$Q$50)</f>
        <v>97536.609644759999</v>
      </c>
      <c r="M25" s="91" ph="1">
        <f>M24*18.322*LOOKUP(M26,密度!$A$2:$A$50,密度!$Q$2:$Q$50)</f>
        <v>43138.020364799995</v>
      </c>
      <c r="N25" s="91" ph="1">
        <f>N24*18.322*LOOKUP(N26,密度!$A$2:$A$50,密度!$Q$2:$Q$50)</f>
        <v>47692.72628676</v>
      </c>
      <c r="O25" s="91" ph="1">
        <f>O24*18.322*LOOKUP(O26,密度!$A$2:$A$50,密度!$C$2:$C$50)</f>
        <v>42113.996455999993</v>
      </c>
      <c r="P25" s="91" ph="1">
        <f>P24*11.702*LOOKUP(P26,密度!$A$2:$A$50,密度!$B$2:$B$50)</f>
        <v>4186.413904</v>
      </c>
      <c r="Q25" s="92" ph="1">
        <f>Q24*18.322*LOOKUP(Q26,密度!$A$2:$A$50,密度!$B$2:$B$50)</f>
        <v>34910.445648000001</v>
      </c>
      <c r="R25" s="91" ph="1">
        <f>R24*35.891*LOOKUP(R26,密度!$A$2:$A$50,密度!$C$2:$C$50)</f>
        <v>135039.08354159998</v>
      </c>
      <c r="S25" s="91" ph="1">
        <f>S24*35.891*LOOKUP(S26,密度!$A$2:$A$50,密度!$B$2:$B$50)</f>
        <v>11397.689523999999</v>
      </c>
      <c r="T25" s="91" ph="1">
        <f>T24*35.891*LOOKUP(T26,密度!$A$2:$A$50,密度!$Q$2:$Q$50)</f>
        <v>171.29697569999999</v>
      </c>
      <c r="U25" s="91" ph="1">
        <f>U24*35.891</f>
        <v>191657.94</v>
      </c>
      <c r="V25" s="91" ph="1">
        <f>V24*47.051*LOOKUP(V26,密度!$A$2:$A$50,密度!$B$2:$B$50)</f>
        <v>15201.237080000001</v>
      </c>
      <c r="W25" s="91" ph="1">
        <f>W24*47.051*LOOKUP(W26,密度!$A$2:$A$50,密度!$B$2:$B$50)</f>
        <v>121066.96574080001</v>
      </c>
      <c r="X25" s="91" ph="1">
        <f>X24*47.051*LOOKUP(X26,密度!$A$2:$A$50,密度!$I$2:$I$50)</f>
        <v>381344.52693063993</v>
      </c>
      <c r="Y25" s="91" ph="1">
        <f>Y24*47.051*LOOKUP(Y26,密度!$A$2:$A$50,密度!$L$2:$L$50)</f>
        <v>157977.73183500001</v>
      </c>
      <c r="Z25" s="201"/>
      <c r="AA25" s="202"/>
      <c r="AB25" s="202"/>
      <c r="AC25" s="202"/>
      <c r="AD25" s="202"/>
      <c r="AE25" s="203"/>
      <c r="AH25" s="64" ph="1">
        <v>11</v>
      </c>
      <c r="AI25" s="64" t="s" ph="1">
        <v>389</v>
      </c>
      <c r="AZ25" s="64" t="s" ph="1">
        <v>257</v>
      </c>
      <c r="BA25" s="64" ph="1">
        <v>0</v>
      </c>
      <c r="BD25" s="64" t="s" ph="1">
        <v>282</v>
      </c>
      <c r="BE25" s="64" ph="1">
        <v>8920</v>
      </c>
    </row>
    <row r="26" spans="1:57" ph="1">
      <c r="A26" s="72" ph="1"/>
      <c r="B26" s="207" ph="1"/>
      <c r="C26" s="68" t="s" ph="1">
        <v>210</v>
      </c>
      <c r="D26" s="74">
        <v>25</v>
      </c>
      <c r="E26" s="74">
        <v>25</v>
      </c>
      <c r="F26" s="74">
        <v>15</v>
      </c>
      <c r="G26" s="74">
        <v>15</v>
      </c>
      <c r="H26" s="74">
        <v>15</v>
      </c>
      <c r="I26" s="74">
        <v>15</v>
      </c>
      <c r="J26" s="74">
        <v>15</v>
      </c>
      <c r="K26" s="74">
        <v>15</v>
      </c>
      <c r="L26" s="74">
        <v>15</v>
      </c>
      <c r="M26" s="74">
        <v>16</v>
      </c>
      <c r="N26" s="74">
        <v>15</v>
      </c>
      <c r="O26" s="74">
        <v>15</v>
      </c>
      <c r="P26" s="74">
        <v>15</v>
      </c>
      <c r="Q26" s="93">
        <v>15</v>
      </c>
      <c r="R26" s="74">
        <v>15</v>
      </c>
      <c r="S26" s="74">
        <v>15</v>
      </c>
      <c r="T26" s="74">
        <v>15</v>
      </c>
      <c r="U26" s="74">
        <v>15</v>
      </c>
      <c r="V26" s="74">
        <v>15</v>
      </c>
      <c r="W26" s="74">
        <v>17</v>
      </c>
      <c r="X26" s="74">
        <v>50</v>
      </c>
      <c r="Y26" s="74">
        <v>17</v>
      </c>
      <c r="Z26" s="201"/>
      <c r="AA26" s="202"/>
      <c r="AB26" s="202"/>
      <c r="AC26" s="202"/>
      <c r="AD26" s="202"/>
      <c r="AE26" s="203"/>
      <c r="AH26" s="64" ph="1">
        <v>12</v>
      </c>
      <c r="AI26" s="64" t="s" ph="1">
        <v>390</v>
      </c>
      <c r="AZ26" s="64" t="s" ph="1">
        <v>257</v>
      </c>
      <c r="BA26" s="64" ph="1">
        <v>0</v>
      </c>
    </row>
    <row r="27" spans="1:57" ph="1">
      <c r="A27" s="72" ph="1"/>
      <c r="B27" s="207" ph="1">
        <v>0.66666666666666663</v>
      </c>
      <c r="C27" s="160" t="s" ph="1">
        <v>211</v>
      </c>
      <c r="D27" s="71">
        <v>44.11</v>
      </c>
      <c r="E27" s="71">
        <v>90.81</v>
      </c>
      <c r="F27" s="71">
        <v>2146</v>
      </c>
      <c r="G27" s="71">
        <v>2867</v>
      </c>
      <c r="H27" s="71">
        <v>2283</v>
      </c>
      <c r="I27" s="71">
        <v>851</v>
      </c>
      <c r="J27" s="71">
        <v>702</v>
      </c>
      <c r="K27" s="71">
        <v>5604</v>
      </c>
      <c r="L27" s="71">
        <v>5577</v>
      </c>
      <c r="M27" s="71">
        <v>2363</v>
      </c>
      <c r="N27" s="71">
        <v>2414</v>
      </c>
      <c r="O27" s="71">
        <v>2059</v>
      </c>
      <c r="P27" s="71">
        <v>453</v>
      </c>
      <c r="Q27" s="90">
        <v>2666</v>
      </c>
      <c r="R27" s="71">
        <v>3372</v>
      </c>
      <c r="S27" s="71">
        <v>403</v>
      </c>
      <c r="T27" s="71">
        <v>4</v>
      </c>
      <c r="U27" s="71">
        <v>5394</v>
      </c>
      <c r="V27" s="71">
        <v>409</v>
      </c>
      <c r="W27" s="71">
        <v>4826</v>
      </c>
      <c r="X27" s="71">
        <v>7824</v>
      </c>
      <c r="Y27" s="71">
        <v>3794</v>
      </c>
      <c r="Z27" s="201"/>
      <c r="AA27" s="202"/>
      <c r="AB27" s="202"/>
      <c r="AC27" s="202"/>
      <c r="AD27" s="202"/>
      <c r="AE27" s="203"/>
      <c r="AH27" s="64" ph="1">
        <v>13</v>
      </c>
      <c r="AI27" s="64" t="s" ph="1">
        <v>391</v>
      </c>
      <c r="AZ27" s="64" t="s" ph="1">
        <v>257</v>
      </c>
      <c r="BA27" s="64" ph="1">
        <v>0</v>
      </c>
      <c r="BD27" s="64" t="s" ph="1">
        <v>336</v>
      </c>
      <c r="BE27" s="64" ph="1">
        <v>7100</v>
      </c>
    </row>
    <row r="28" spans="1:57" ph="1">
      <c r="A28" s="72" ph="1"/>
      <c r="B28" s="207" ph="1"/>
      <c r="C28" s="160" t="s" ph="1">
        <v>209</v>
      </c>
      <c r="D28" s="91" ph="1">
        <f>D27*268.68*LOOKUP(D29,密度!$A$2:$A$50,密度!$Q$2:$Q$50)+IF(D27&lt;=0,0,1566*LOOKUP(D29,密度!$A$2:$A$50,密度!$Q$2:$Q$50))</f>
        <v>12702.860092151999</v>
      </c>
      <c r="E28" s="91" ph="1">
        <f>E27*268.68*LOOKUP(E29,密度!$A$2:$A$50,密度!$C$2:$C$50)+IF(E27&lt;=0,0,1566*LOOKUP(E29,密度!$A$2:$A$50,密度!$C$2:$C$50))</f>
        <v>28792.400874120001</v>
      </c>
      <c r="F28" s="91" ph="1">
        <f>F27*11.702*LOOKUP(F29,密度!$A$2:$A$50,密度!$Q$2:$Q$50)</f>
        <v>23970.878113679999</v>
      </c>
      <c r="G28" s="91" ph="1">
        <f>G27*18.322*LOOKUP(G29,密度!$A$2:$A$50,密度!$B$2:$B$50)</f>
        <v>41392.989112000003</v>
      </c>
      <c r="H28" s="91" ph="1">
        <f>H27*18.322*LOOKUP(H29,密度!$A$2:$A$50,密度!$B$2:$B$50)</f>
        <v>32961.351287999998</v>
      </c>
      <c r="I28" s="91" ph="1">
        <f>I27*18.322*LOOKUP(I29,密度!$A$2:$A$50,密度!$Q$2:$Q$50)</f>
        <v>14868.5521792</v>
      </c>
      <c r="J28" s="91" ph="1">
        <f>J27*18.322*LOOKUP(J29,密度!$A$2:$A$50,密度!$Q$2:$Q$50)</f>
        <v>12277.33547976</v>
      </c>
      <c r="K28" s="91" ph="1">
        <f>K27*18.322*LOOKUP(K29,密度!$A$2:$A$50,密度!$Q$2:$Q$50)</f>
        <v>98008.814855520002</v>
      </c>
      <c r="L28" s="91" ph="1">
        <f>L27*18.322*LOOKUP(L29,密度!$A$2:$A$50,密度!$Q$2:$Q$50)</f>
        <v>97536.609644759999</v>
      </c>
      <c r="M28" s="91" ph="1">
        <f>M27*18.322*LOOKUP(M29,密度!$A$2:$A$50,密度!$Q$2:$Q$50)</f>
        <v>41326.700482439999</v>
      </c>
      <c r="N28" s="91" ph="1">
        <f>N27*18.322*LOOKUP(N29,密度!$A$2:$A$50,密度!$Q$2:$Q$50)</f>
        <v>42218.643658319997</v>
      </c>
      <c r="O28" s="91" ph="1">
        <f>O27*18.322*LOOKUP(O29,密度!$A$2:$A$50,密度!$C$2:$C$50)</f>
        <v>42093.552768399997</v>
      </c>
      <c r="P28" s="91" ph="1">
        <f>P27*11.702*LOOKUP(P29,密度!$A$2:$A$50,密度!$B$2:$B$50)</f>
        <v>4177.192728</v>
      </c>
      <c r="Q28" s="92" ph="1">
        <f>Q27*18.322*LOOKUP(Q29,密度!$A$2:$A$50,密度!$B$2:$B$50)</f>
        <v>38534.9659828</v>
      </c>
      <c r="R28" s="91" ph="1">
        <f>R27*35.891*LOOKUP(R29,密度!$A$2:$A$50,密度!$C$2:$C$50)</f>
        <v>135135.90310319999</v>
      </c>
      <c r="S28" s="91" ph="1">
        <f>S27*35.891*LOOKUP(S29,密度!$A$2:$A$50,密度!$B$2:$B$50)</f>
        <v>11410.707189699999</v>
      </c>
      <c r="T28" s="91" ph="1">
        <f>T27*35.891*LOOKUP(T29,密度!$A$2:$A$50,密度!$Q$2:$Q$50)</f>
        <v>137.03758056000001</v>
      </c>
      <c r="U28" s="91" ph="1">
        <f>U27*35.891</f>
        <v>193596.054</v>
      </c>
      <c r="V28" s="91" ph="1">
        <f>V27*47.051*LOOKUP(V29,密度!$A$2:$A$50,密度!$B$2:$B$50)</f>
        <v>15164.160892000002</v>
      </c>
      <c r="W28" s="91" ph="1">
        <f>W27*47.051*LOOKUP(W29,密度!$A$2:$A$50,密度!$B$2:$B$50)</f>
        <v>178748.02878720002</v>
      </c>
      <c r="X28" s="91" ph="1">
        <f>X27*47.051*LOOKUP(X29,密度!$A$2:$A$50,密度!$I$2:$I$50)</f>
        <v>381247.07113535999</v>
      </c>
      <c r="Y28" s="91" ph="1">
        <f>Y27*47.051*LOOKUP(Y29,密度!$A$2:$A$50,密度!$L$2:$L$50)</f>
        <v>168514.850336</v>
      </c>
      <c r="Z28" s="201"/>
      <c r="AA28" s="202"/>
      <c r="AB28" s="202"/>
      <c r="AC28" s="202"/>
      <c r="AD28" s="202"/>
      <c r="AE28" s="203"/>
      <c r="AH28" s="64" ph="1">
        <v>14</v>
      </c>
      <c r="AI28" s="64" t="s" ph="1">
        <v>392</v>
      </c>
      <c r="AZ28" s="64" t="s" ph="1">
        <v>257</v>
      </c>
      <c r="BA28" s="64" ph="1">
        <v>0</v>
      </c>
    </row>
    <row r="29" spans="1:57" ph="1">
      <c r="A29" s="72" ph="1"/>
      <c r="B29" s="207" ph="1"/>
      <c r="C29" s="160" t="s" ph="1">
        <v>210</v>
      </c>
      <c r="D29" s="74">
        <v>25</v>
      </c>
      <c r="E29" s="74">
        <v>25</v>
      </c>
      <c r="F29" s="74">
        <v>15</v>
      </c>
      <c r="G29" s="74">
        <v>15</v>
      </c>
      <c r="H29" s="74">
        <v>15</v>
      </c>
      <c r="I29" s="74">
        <v>16</v>
      </c>
      <c r="J29" s="74">
        <v>15</v>
      </c>
      <c r="K29" s="74">
        <v>15</v>
      </c>
      <c r="L29" s="74">
        <v>14</v>
      </c>
      <c r="M29" s="74">
        <v>14</v>
      </c>
      <c r="N29" s="74">
        <v>15</v>
      </c>
      <c r="O29" s="74">
        <v>15</v>
      </c>
      <c r="P29" s="74">
        <v>15</v>
      </c>
      <c r="Q29" s="93">
        <v>14</v>
      </c>
      <c r="R29" s="74">
        <v>14</v>
      </c>
      <c r="S29" s="74">
        <v>14</v>
      </c>
      <c r="T29" s="74">
        <v>15</v>
      </c>
      <c r="U29" s="74">
        <v>15</v>
      </c>
      <c r="V29" s="74">
        <v>15</v>
      </c>
      <c r="W29" s="74">
        <v>16</v>
      </c>
      <c r="X29" s="74">
        <v>50</v>
      </c>
      <c r="Y29" s="74">
        <v>18</v>
      </c>
      <c r="Z29" s="204"/>
      <c r="AA29" s="205"/>
      <c r="AB29" s="205"/>
      <c r="AC29" s="205"/>
      <c r="AD29" s="205"/>
      <c r="AE29" s="206"/>
      <c r="AH29" s="64" ph="1">
        <v>15</v>
      </c>
      <c r="AI29" s="64" t="s" ph="1">
        <v>393</v>
      </c>
      <c r="AZ29" s="64" t="s" ph="1">
        <v>257</v>
      </c>
      <c r="BA29" s="64" ph="1">
        <v>0</v>
      </c>
      <c r="BD29" s="64" t="s" ph="1">
        <v>394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395</v>
      </c>
      <c r="AZ30" s="64" t="s" ph="1">
        <v>257</v>
      </c>
      <c r="BA30" s="64" ph="1">
        <v>0</v>
      </c>
    </row>
    <row r="31" spans="1:57" ht="28.5" ph="1">
      <c r="A31" s="64"/>
      <c r="B31" s="220" t="s" ph="1">
        <v>35</v>
      </c>
      <c r="C31" s="221" ph="1"/>
      <c r="D31" s="224" t="s" ph="1">
        <v>9</v>
      </c>
      <c r="E31" s="213" ph="1"/>
      <c r="F31" s="214" ph="1"/>
      <c r="G31" s="224" t="s" ph="1">
        <v>18</v>
      </c>
      <c r="H31" s="213" ph="1"/>
      <c r="I31" s="214" ph="1"/>
      <c r="J31" s="212" t="s" ph="1">
        <v>1</v>
      </c>
      <c r="K31" s="213" ph="1"/>
      <c r="L31" s="214" ph="1"/>
      <c r="M31" s="212" t="s" ph="1">
        <v>7</v>
      </c>
      <c r="N31" s="213" ph="1"/>
      <c r="O31" s="214" ph="1"/>
      <c r="P31" s="212" t="s" ph="1">
        <v>42</v>
      </c>
      <c r="Q31" s="213"/>
      <c r="R31" s="214"/>
      <c r="S31" s="212" t="s" ph="1">
        <v>2</v>
      </c>
      <c r="T31" s="213"/>
      <c r="U31" s="214"/>
      <c r="V31" s="212" t="s" ph="1">
        <v>81</v>
      </c>
      <c r="W31" s="213" ph="1"/>
      <c r="X31" s="214" ph="1"/>
      <c r="Y31" s="212" t="s" ph="1">
        <v>3</v>
      </c>
      <c r="Z31" s="213" ph="1"/>
      <c r="AA31" s="214" ph="1"/>
      <c r="AB31" s="235" t="s">
        <v>43</v>
      </c>
      <c r="AC31" s="236"/>
      <c r="AD31" s="236"/>
      <c r="AE31" s="237"/>
      <c r="AH31" s="64" ph="1">
        <v>17</v>
      </c>
      <c r="AI31" s="64" t="s" ph="1">
        <v>396</v>
      </c>
      <c r="AZ31" s="64" t="s" ph="1">
        <v>257</v>
      </c>
      <c r="BA31" s="64" ph="1">
        <v>0</v>
      </c>
      <c r="BD31" s="64" t="s" ph="1">
        <v>397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60" t="s" ph="1">
        <v>5</v>
      </c>
      <c r="F32" s="159" t="s" ph="1">
        <v>44</v>
      </c>
      <c r="G32" s="97" t="s" ph="1">
        <v>4</v>
      </c>
      <c r="H32" s="160" t="s" ph="1">
        <v>5</v>
      </c>
      <c r="I32" s="159" t="s" ph="1">
        <v>44</v>
      </c>
      <c r="J32" s="97" t="s" ph="1">
        <v>4</v>
      </c>
      <c r="K32" s="160" t="s" ph="1">
        <v>5</v>
      </c>
      <c r="L32" s="159" t="s" ph="1">
        <v>44</v>
      </c>
      <c r="M32" s="97" t="s" ph="1">
        <v>4</v>
      </c>
      <c r="N32" s="160" t="s" ph="1">
        <v>5</v>
      </c>
      <c r="O32" s="159" t="s" ph="1">
        <v>44</v>
      </c>
      <c r="P32" s="97" t="s" ph="1">
        <v>4</v>
      </c>
      <c r="Q32" s="98" t="s" ph="1">
        <v>5</v>
      </c>
      <c r="R32" s="99" t="s" ph="1">
        <v>44</v>
      </c>
      <c r="S32" s="97" t="s" ph="1">
        <v>4</v>
      </c>
      <c r="T32" s="160" t="s" ph="1">
        <v>5</v>
      </c>
      <c r="U32" s="99" t="s" ph="1">
        <v>44</v>
      </c>
      <c r="V32" s="97" t="s" ph="1">
        <v>4</v>
      </c>
      <c r="W32" s="160" t="s" ph="1">
        <v>5</v>
      </c>
      <c r="X32" s="99" t="s" ph="1">
        <v>44</v>
      </c>
      <c r="Y32" s="100" t="s" ph="1">
        <v>4</v>
      </c>
      <c r="Z32" s="160" t="s" ph="1">
        <v>5</v>
      </c>
      <c r="AA32" s="159" t="s" ph="1">
        <v>44</v>
      </c>
      <c r="AB32" s="97" t="s" ph="1">
        <v>102</v>
      </c>
      <c r="AC32" s="160" t="s" ph="1">
        <v>101</v>
      </c>
      <c r="AD32" s="238" t="s" ph="1">
        <v>100</v>
      </c>
      <c r="AE32" s="239"/>
      <c r="AH32" s="64" ph="1">
        <v>18</v>
      </c>
      <c r="AI32" s="64" t="s" ph="1">
        <v>398</v>
      </c>
      <c r="AZ32" s="64" t="s" ph="1">
        <v>257</v>
      </c>
      <c r="BA32" s="64" ph="1">
        <v>0</v>
      </c>
    </row>
    <row r="33" spans="1:57" ph="1">
      <c r="A33" s="64"/>
      <c r="B33" s="225" t="s" ph="1">
        <v>212</v>
      </c>
      <c r="C33" s="226" ph="1"/>
      <c r="D33" s="229" ph="1">
        <f>AA10+AB10+Z19</f>
        <v>116507.95081960001</v>
      </c>
      <c r="E33" s="229" ph="1">
        <f>M10+I10</f>
        <v>168171.94171880002</v>
      </c>
      <c r="F33" s="23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[[#This Row],[F25]]</f>
        <v>3880</v>
      </c>
      <c r="G33" s="233" ph="1">
        <v>0</v>
      </c>
      <c r="H33" s="229" ph="1">
        <f>N19</f>
        <v>28422.621812040001</v>
      </c>
      <c r="I33" s="242" ph="1">
        <v>0</v>
      </c>
      <c r="J33" s="240" ph="1">
        <f>F10+O28</f>
        <v>181780.11227440002</v>
      </c>
      <c r="K33" s="229" ph="1">
        <f>O10+K10+E28+R28</f>
        <v>296420.24036052002</v>
      </c>
      <c r="L33" s="244" ph="1">
        <f>BE27</f>
        <v>7100</v>
      </c>
      <c r="M33" s="240" ph="1">
        <f>G10+H10+W28+S28</f>
        <v>680146.99385690002</v>
      </c>
      <c r="N33" s="229" ph="1">
        <f>L10+P10++G28+H28+V28</f>
        <v>362453.17879899993</v>
      </c>
      <c r="O33" s="242" ph="1">
        <f>BE17</f>
        <v>2270</v>
      </c>
      <c r="P33" s="240" ph="1">
        <f>L19</f>
        <v>45332.02092132</v>
      </c>
      <c r="Q33" s="229" ph="1">
        <f>J10+N10</f>
        <v>148755.3542489</v>
      </c>
      <c r="R33" s="242" ph="1">
        <f>BE23</f>
        <v>890</v>
      </c>
      <c r="S33" s="240" ph="1">
        <f>E10+X28</f>
        <v>381247.07113535999</v>
      </c>
      <c r="T33" s="229" ph="1">
        <f>X19</f>
        <v>11720.758429919999</v>
      </c>
      <c r="U33" s="250" ph="1">
        <f>BE21</f>
        <v>730</v>
      </c>
      <c r="V33" s="261" ph="1">
        <f ca="1">P19+Q19+S19+M28+N28+J28</f>
        <v>177393.38041774798</v>
      </c>
      <c r="W33" s="261" ph="1">
        <f>D28+F28+V19+T28</f>
        <v>47260.250783855998</v>
      </c>
      <c r="X33" s="242" ph="1">
        <f>BE29+BE31</f>
        <v>10200</v>
      </c>
      <c r="Y33" s="263" ph="1">
        <f>+Q10+R10+S10+T10+U10+V10+W10+X10+Y10</f>
        <v>193109.61395880001</v>
      </c>
      <c r="Z33" s="248" ph="1">
        <f>D10+T19+U19+Y28+Z10</f>
        <v>511259.33151965996</v>
      </c>
      <c r="AA33" s="250" ph="1">
        <f>BE19</f>
        <v>1440</v>
      </c>
      <c r="AB33" s="252" ph="1">
        <f>I19</f>
        <v>102.6155768</v>
      </c>
      <c r="AC33" s="254" ph="1">
        <f>AD10</f>
        <v>5356.3850240000002</v>
      </c>
      <c r="AD33" s="256" ph="1">
        <v>0</v>
      </c>
      <c r="AE33" s="257"/>
      <c r="AH33" s="64" ph="1">
        <v>19</v>
      </c>
      <c r="AI33" s="64" t="s" ph="1">
        <v>399</v>
      </c>
      <c r="AJ33" s="64" t="s" ph="1">
        <v>633</v>
      </c>
      <c r="AK33" s="64" t="s" ph="1">
        <v>630</v>
      </c>
      <c r="AL33" s="64" ph="1">
        <v>730</v>
      </c>
      <c r="AM33" s="64" t="s" ph="1">
        <v>380</v>
      </c>
      <c r="AZ33" s="64" t="s" ph="1">
        <v>257</v>
      </c>
      <c r="BA33" s="64" ph="1">
        <v>730</v>
      </c>
      <c r="BD33" s="64" t="s" ph="1">
        <v>331</v>
      </c>
      <c r="BE33" s="64" ph="1">
        <v>3880</v>
      </c>
    </row>
    <row r="34" spans="1:57" ph="1">
      <c r="A34" s="64"/>
      <c r="B34" s="227" ph="1"/>
      <c r="C34" s="228" ph="1"/>
      <c r="D34" s="230" ph="1"/>
      <c r="E34" s="230" ph="1"/>
      <c r="F34" s="232" ph="1"/>
      <c r="G34" s="234" ph="1"/>
      <c r="H34" s="230" ph="1"/>
      <c r="I34" s="243" ph="1"/>
      <c r="J34" s="241" ph="1"/>
      <c r="K34" s="230" ph="1"/>
      <c r="L34" s="245" ph="1"/>
      <c r="M34" s="241" ph="1"/>
      <c r="N34" s="230" ph="1"/>
      <c r="O34" s="243" ph="1"/>
      <c r="P34" s="241" ph="1"/>
      <c r="Q34" s="230" ph="1"/>
      <c r="R34" s="243" ph="1"/>
      <c r="S34" s="241" ph="1"/>
      <c r="T34" s="230"/>
      <c r="U34" s="251"/>
      <c r="V34" s="262" ph="1"/>
      <c r="W34" s="262" ph="1"/>
      <c r="X34" s="243" ph="1"/>
      <c r="Y34" s="264" ph="1"/>
      <c r="Z34" s="249" ph="1"/>
      <c r="AA34" s="251" ph="1"/>
      <c r="AB34" s="253"/>
      <c r="AC34" s="255"/>
      <c r="AD34" s="258"/>
      <c r="AE34" s="259"/>
      <c r="AH34" s="64" ph="1">
        <v>20</v>
      </c>
      <c r="AI34" s="64" t="s" ph="1">
        <v>400</v>
      </c>
      <c r="AJ34" s="64" t="s" ph="1">
        <v>634</v>
      </c>
      <c r="AK34" s="64" t="s" ph="1">
        <v>630</v>
      </c>
      <c r="AL34" s="64" ph="1">
        <v>720</v>
      </c>
      <c r="AM34" s="64" t="s" ph="1">
        <v>380</v>
      </c>
      <c r="AZ34" s="64" t="s" ph="1">
        <v>257</v>
      </c>
      <c r="BA34" s="64" ph="1">
        <v>720</v>
      </c>
    </row>
    <row r="35" spans="1:57" ph="1">
      <c r="A35" s="64"/>
      <c r="AC35" s="260" t="s" ph="1">
        <v>84</v>
      </c>
      <c r="AD35" s="260"/>
      <c r="AE35" s="260"/>
      <c r="AH35" s="64" ph="1">
        <v>21</v>
      </c>
      <c r="AI35" s="64" t="s" ph="1">
        <v>401</v>
      </c>
      <c r="AZ35" s="64" t="s" ph="1">
        <v>257</v>
      </c>
      <c r="BA35" s="64" ph="1">
        <v>0</v>
      </c>
      <c r="BD35" s="64" t="s" ph="1">
        <v>402</v>
      </c>
      <c r="BE35" s="64" ph="1">
        <v>2030</v>
      </c>
    </row>
    <row r="36" spans="1:57" ht="28.5" ph="1">
      <c r="A36" s="64"/>
      <c r="B36" s="103" t="s" ph="1">
        <v>213</v>
      </c>
      <c r="I36" s="246" t="s" ph="1">
        <v>214</v>
      </c>
      <c r="J36" s="246" ph="1"/>
      <c r="K36" s="101" ph="1"/>
      <c r="P36" s="101" ph="1"/>
      <c r="R36" s="246" t="s" ph="1">
        <v>215</v>
      </c>
      <c r="S36" s="246" ph="1"/>
      <c r="Y36" s="102" ph="1"/>
      <c r="Z36" s="158" t="s" ph="1">
        <v>216</v>
      </c>
      <c r="AA36" s="158" ph="1"/>
      <c r="AB36" s="247" t="s" ph="1">
        <v>655</v>
      </c>
      <c r="AC36" s="247" ph="1"/>
      <c r="AD36" s="247" ph="1"/>
      <c r="AE36" s="247" ph="1"/>
      <c r="BA36" s="64" ph="1">
        <v>2270</v>
      </c>
    </row>
    <row r="37" spans="1:57" s="158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8" t="s" ph="1">
        <v>383</v>
      </c>
      <c r="AI37" s="158" t="s" ph="1">
        <v>250</v>
      </c>
      <c r="AJ37" s="158" t="s" ph="1">
        <v>251</v>
      </c>
      <c r="AK37" s="158" t="s" ph="1">
        <v>252</v>
      </c>
      <c r="AM37" s="158" t="s" ph="1">
        <v>251</v>
      </c>
      <c r="AN37" s="158" t="s" ph="1">
        <v>252</v>
      </c>
      <c r="AO37" s="158" t="s" ph="1">
        <v>253</v>
      </c>
      <c r="AP37" s="158" t="s" ph="1">
        <v>251</v>
      </c>
      <c r="AQ37" s="158" t="s" ph="1">
        <v>252</v>
      </c>
      <c r="AR37" s="158" t="s" ph="1">
        <v>253</v>
      </c>
      <c r="AS37" s="158" t="s" ph="1">
        <v>251</v>
      </c>
      <c r="AT37" s="158" t="s" ph="1">
        <v>252</v>
      </c>
      <c r="AU37" s="158" t="s" ph="1">
        <v>253</v>
      </c>
      <c r="AV37" s="158" t="s" ph="1">
        <v>251</v>
      </c>
      <c r="AW37" s="158" t="s" ph="1">
        <v>252</v>
      </c>
      <c r="AX37" s="158" t="s" ph="1">
        <v>253</v>
      </c>
      <c r="AY37" s="158" t="s" ph="1">
        <v>252</v>
      </c>
      <c r="AZ37" s="158" t="s" ph="1">
        <v>254</v>
      </c>
      <c r="BD37" s="158" t="s" ph="1">
        <v>346</v>
      </c>
      <c r="BE37" s="158" ph="1">
        <v>0</v>
      </c>
    </row>
    <row r="38" spans="1:57" ph="1">
      <c r="AE38" s="64" ph="1"/>
      <c r="AH38" s="64" ph="1">
        <v>1</v>
      </c>
      <c r="AI38" s="64" t="s" ph="1">
        <v>403</v>
      </c>
      <c r="AY38" s="64" t="s" ph="1">
        <v>257</v>
      </c>
      <c r="AZ38" s="64" t="s" ph="1">
        <v>408</v>
      </c>
    </row>
    <row r="39" spans="1:57" ph="1">
      <c r="AH39" s="64" ph="1">
        <v>2</v>
      </c>
      <c r="AI39" s="64" t="s" ph="1">
        <v>405</v>
      </c>
      <c r="AJ39" s="64" t="s" ph="1">
        <v>377</v>
      </c>
      <c r="AK39" s="64" t="s" ph="1">
        <v>406</v>
      </c>
      <c r="AM39" s="64" t="s" ph="1">
        <v>611</v>
      </c>
      <c r="AN39" s="64" t="s" ph="1">
        <v>269</v>
      </c>
      <c r="AO39" s="64" t="s" ph="1">
        <v>404</v>
      </c>
      <c r="AY39" s="64" t="s" ph="1">
        <v>257</v>
      </c>
      <c r="AZ39" s="64" t="s" ph="1">
        <v>540</v>
      </c>
    </row>
    <row r="40" spans="1:57" ph="1">
      <c r="AH40" s="64" ph="1">
        <v>3</v>
      </c>
      <c r="AI40" s="64" t="s" ph="1">
        <v>407</v>
      </c>
      <c r="AJ40" s="64" t="s" ph="1">
        <v>611</v>
      </c>
      <c r="AK40" s="64" t="s" ph="1">
        <v>612</v>
      </c>
      <c r="AY40" s="64" t="s" ph="1">
        <v>257</v>
      </c>
      <c r="AZ40" s="64" t="s" ph="1">
        <v>612</v>
      </c>
    </row>
    <row r="41" spans="1:57" ph="1">
      <c r="AH41" s="64" ph="1">
        <v>4</v>
      </c>
      <c r="AI41" s="64" t="s" ph="1">
        <v>409</v>
      </c>
      <c r="AJ41" s="64" t="s" ph="1">
        <v>613</v>
      </c>
      <c r="AK41" s="64" t="s" ph="1">
        <v>614</v>
      </c>
      <c r="AM41" s="64" t="s" ph="1">
        <v>615</v>
      </c>
      <c r="AY41" s="64" t="s" ph="1">
        <v>257</v>
      </c>
      <c r="AZ41" s="64" t="s" ph="1">
        <v>614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410</v>
      </c>
      <c r="AY42" s="64" t="s" ph="1">
        <v>257</v>
      </c>
      <c r="AZ42" s="64" t="s" ph="1">
        <v>408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411</v>
      </c>
      <c r="AY43" s="64" t="s" ph="1">
        <v>257</v>
      </c>
      <c r="AZ43" s="64" t="s" ph="1">
        <v>408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412</v>
      </c>
      <c r="AV44" s="64" t="s" ph="1">
        <v>258</v>
      </c>
      <c r="AY44" s="64" t="s" ph="1">
        <v>257</v>
      </c>
      <c r="AZ44" s="64" t="s" ph="1">
        <v>408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413</v>
      </c>
      <c r="AV45" s="64" t="s" ph="1">
        <v>258</v>
      </c>
      <c r="AY45" s="64" t="s" ph="1">
        <v>257</v>
      </c>
      <c r="AZ45" s="64" t="s" ph="1">
        <v>408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414</v>
      </c>
      <c r="AV46" s="64" t="s" ph="1">
        <v>258</v>
      </c>
      <c r="AY46" s="64" t="s" ph="1">
        <v>257</v>
      </c>
      <c r="AZ46" s="64" t="s" ph="1">
        <v>408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415</v>
      </c>
      <c r="AV47" s="64" t="s" ph="1">
        <v>258</v>
      </c>
      <c r="AY47" s="64" t="s" ph="1">
        <v>257</v>
      </c>
      <c r="AZ47" s="64" t="s" ph="1">
        <v>408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616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273</v>
      </c>
      <c r="AI49" s="64" t="s" ph="1">
        <v>250</v>
      </c>
      <c r="AJ49" s="64" t="s" ph="1">
        <v>251</v>
      </c>
      <c r="AK49" s="64" t="s" ph="1">
        <v>252</v>
      </c>
      <c r="AM49" s="64" t="s" ph="1">
        <v>251</v>
      </c>
      <c r="AN49" s="64" t="s" ph="1">
        <v>252</v>
      </c>
      <c r="AO49" s="64" t="s" ph="1">
        <v>253</v>
      </c>
      <c r="AP49" s="64" t="s" ph="1">
        <v>251</v>
      </c>
      <c r="AQ49" s="64" t="s" ph="1">
        <v>252</v>
      </c>
      <c r="AR49" s="64" t="s" ph="1">
        <v>253</v>
      </c>
      <c r="AS49" s="64" t="s" ph="1">
        <v>251</v>
      </c>
      <c r="AT49" s="64" t="s" ph="1">
        <v>252</v>
      </c>
      <c r="AU49" s="64" t="s" ph="1">
        <v>253</v>
      </c>
      <c r="AV49" s="64" t="s" ph="1">
        <v>251</v>
      </c>
      <c r="AW49" s="64" t="s" ph="1">
        <v>252</v>
      </c>
      <c r="AX49" s="64" t="s" ph="1">
        <v>253</v>
      </c>
      <c r="AY49" s="64" t="s" ph="1">
        <v>252</v>
      </c>
      <c r="AZ49" s="64" t="s" ph="1">
        <v>254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416</v>
      </c>
      <c r="AY50" s="64" t="s" ph="1">
        <v>257</v>
      </c>
      <c r="AZ50" s="64" t="s" ph="1">
        <v>408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417</v>
      </c>
      <c r="AY51" s="64" t="s" ph="1">
        <v>257</v>
      </c>
      <c r="AZ51" s="64" t="s" ph="1">
        <v>408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418</v>
      </c>
      <c r="AJ52" s="64" t="s" ph="1">
        <v>375</v>
      </c>
      <c r="AK52" s="64" t="s" ph="1">
        <v>269</v>
      </c>
      <c r="AM52" s="64" t="s" ph="1">
        <v>377</v>
      </c>
      <c r="AN52" s="64" t="s" ph="1">
        <v>341</v>
      </c>
      <c r="AO52" s="64" t="s" ph="1">
        <v>274</v>
      </c>
      <c r="AP52" s="64" t="s" ph="1">
        <v>611</v>
      </c>
      <c r="AQ52" s="64" t="s" ph="1">
        <v>323</v>
      </c>
      <c r="AR52" s="64" t="s" ph="1">
        <v>274</v>
      </c>
      <c r="AY52" s="64" t="s" ph="1">
        <v>257</v>
      </c>
      <c r="AZ52" s="64" t="s" ph="1">
        <v>617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419</v>
      </c>
      <c r="AY53" s="64" t="s" ph="1">
        <v>257</v>
      </c>
      <c r="AZ53" s="64" t="s" ph="1">
        <v>408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420</v>
      </c>
      <c r="AJ54" s="64" t="s" ph="1">
        <v>375</v>
      </c>
      <c r="AK54" s="64" t="s" ph="1">
        <v>260</v>
      </c>
      <c r="AM54" s="64" t="s" ph="1">
        <v>377</v>
      </c>
      <c r="AN54" s="64" t="s" ph="1">
        <v>265</v>
      </c>
      <c r="AO54" s="64" t="s" ph="1">
        <v>274</v>
      </c>
      <c r="AP54" s="64" t="s" ph="1">
        <v>611</v>
      </c>
      <c r="AQ54" s="64" t="s" ph="1">
        <v>281</v>
      </c>
      <c r="AR54" s="64" t="s" ph="1">
        <v>274</v>
      </c>
      <c r="AY54" s="64" t="s" ph="1">
        <v>257</v>
      </c>
      <c r="AZ54" s="64" t="s" ph="1">
        <v>275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421</v>
      </c>
      <c r="AY55" s="64" t="s" ph="1">
        <v>257</v>
      </c>
      <c r="AZ55" s="64" t="s" ph="1">
        <v>408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422</v>
      </c>
      <c r="AY56" s="64" t="s" ph="1">
        <v>257</v>
      </c>
      <c r="AZ56" s="64" t="s" ph="1">
        <v>408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423</v>
      </c>
      <c r="AY57" s="64" t="s" ph="1">
        <v>257</v>
      </c>
      <c r="AZ57" s="64" t="s" ph="1">
        <v>408</v>
      </c>
    </row>
    <row r="58" spans="16:52" ph="1">
      <c r="P58" s="64"/>
      <c r="AN58" s="64" t="s" ph="1">
        <v>258</v>
      </c>
      <c r="AZ58" s="64" t="s" ph="1">
        <v>618</v>
      </c>
    </row>
    <row r="59" spans="16:52" ph="1">
      <c r="V59" s="64"/>
      <c r="AG59" s="64" t="s" ph="1">
        <v>276</v>
      </c>
      <c r="AI59" s="64" t="s" ph="1">
        <v>250</v>
      </c>
      <c r="AJ59" s="64" t="s" ph="1">
        <v>251</v>
      </c>
      <c r="AK59" s="64" t="s" ph="1">
        <v>252</v>
      </c>
      <c r="AM59" s="64" t="s" ph="1">
        <v>251</v>
      </c>
      <c r="AN59" s="64" t="s" ph="1">
        <v>252</v>
      </c>
      <c r="AO59" s="64" t="s" ph="1">
        <v>253</v>
      </c>
      <c r="AP59" s="64" t="s" ph="1">
        <v>251</v>
      </c>
      <c r="AQ59" s="64" t="s" ph="1">
        <v>252</v>
      </c>
      <c r="AR59" s="64" t="s" ph="1">
        <v>253</v>
      </c>
      <c r="AS59" s="64" t="s" ph="1">
        <v>251</v>
      </c>
      <c r="AT59" s="64" t="s" ph="1">
        <v>252</v>
      </c>
      <c r="AU59" s="64" t="s" ph="1">
        <v>253</v>
      </c>
      <c r="AV59" s="64" t="s" ph="1">
        <v>251</v>
      </c>
      <c r="AW59" s="64" t="s" ph="1">
        <v>252</v>
      </c>
      <c r="AX59" s="64" t="s" ph="1">
        <v>253</v>
      </c>
      <c r="AY59" s="64" t="s" ph="1">
        <v>252</v>
      </c>
      <c r="AZ59" s="64" t="s" ph="1">
        <v>254</v>
      </c>
    </row>
    <row r="60" spans="16:52" ph="1">
      <c r="R60" s="64"/>
      <c r="S60" s="64"/>
      <c r="T60" s="64"/>
      <c r="AH60" s="64" ph="1">
        <v>1</v>
      </c>
      <c r="AI60" s="64" t="s" ph="1">
        <v>424</v>
      </c>
      <c r="AY60" s="64" t="s" ph="1">
        <v>257</v>
      </c>
      <c r="AZ60" s="64" t="s" ph="1">
        <v>408</v>
      </c>
    </row>
    <row r="61" spans="16:52" ph="1">
      <c r="AH61" s="64" ph="1">
        <v>2</v>
      </c>
      <c r="AI61" s="64" t="s" ph="1">
        <v>425</v>
      </c>
      <c r="AS61" s="64" t="s" ph="1">
        <v>258</v>
      </c>
      <c r="AY61" s="64" t="s" ph="1">
        <v>257</v>
      </c>
      <c r="AZ61" s="64" t="s" ph="1">
        <v>408</v>
      </c>
    </row>
    <row r="62" spans="16:52" ph="1">
      <c r="AZ62" s="64" t="s" ph="1">
        <v>426</v>
      </c>
    </row>
    <row r="63" spans="16:52" ph="1">
      <c r="AG63" s="64" t="s" ph="1">
        <v>279</v>
      </c>
      <c r="AI63" s="64" t="s" ph="1">
        <v>250</v>
      </c>
      <c r="AJ63" s="64" t="s" ph="1">
        <v>251</v>
      </c>
      <c r="AK63" s="64" t="s" ph="1">
        <v>252</v>
      </c>
      <c r="AM63" s="64" t="s" ph="1">
        <v>251</v>
      </c>
      <c r="AN63" s="64" t="s" ph="1">
        <v>252</v>
      </c>
      <c r="AO63" s="64" t="s" ph="1">
        <v>253</v>
      </c>
      <c r="AP63" s="64" t="s" ph="1">
        <v>251</v>
      </c>
      <c r="AQ63" s="64" t="s" ph="1">
        <v>252</v>
      </c>
      <c r="AR63" s="64" t="s" ph="1">
        <v>253</v>
      </c>
      <c r="AS63" s="64" t="s" ph="1">
        <v>251</v>
      </c>
      <c r="AT63" s="64" t="s" ph="1">
        <v>252</v>
      </c>
      <c r="AU63" s="64" t="s" ph="1">
        <v>253</v>
      </c>
      <c r="AV63" s="64" t="s" ph="1">
        <v>251</v>
      </c>
      <c r="AW63" s="64" t="s" ph="1">
        <v>252</v>
      </c>
      <c r="AX63" s="64" t="s" ph="1">
        <v>253</v>
      </c>
      <c r="AY63" s="64" t="s" ph="1">
        <v>252</v>
      </c>
      <c r="AZ63" s="64" t="s" ph="1">
        <v>254</v>
      </c>
    </row>
    <row r="64" spans="16:52" ph="1">
      <c r="AH64" s="64" ph="1">
        <v>1</v>
      </c>
      <c r="AI64" s="64" t="s" ph="1">
        <v>427</v>
      </c>
      <c r="AJ64" s="64" t="s" ph="1">
        <v>428</v>
      </c>
      <c r="AK64" s="64" t="s" ph="1">
        <v>429</v>
      </c>
      <c r="AY64" s="64" t="s" ph="1">
        <v>257</v>
      </c>
      <c r="AZ64" s="64" t="s" ph="1">
        <v>429</v>
      </c>
    </row>
    <row r="65" spans="33:52" ph="1">
      <c r="AH65" s="64" ph="1">
        <v>2</v>
      </c>
      <c r="AI65" s="64" t="s" ph="1">
        <v>430</v>
      </c>
      <c r="AY65" s="64" t="s" ph="1">
        <v>257</v>
      </c>
      <c r="AZ65" s="64" t="s" ph="1">
        <v>408</v>
      </c>
    </row>
    <row r="66" spans="33:52" ph="1">
      <c r="AH66" s="64" ph="1">
        <v>3</v>
      </c>
      <c r="AI66" s="64" t="s" ph="1">
        <v>431</v>
      </c>
      <c r="AY66" s="64" t="s" ph="1">
        <v>257</v>
      </c>
      <c r="AZ66" s="64" t="s" ph="1">
        <v>408</v>
      </c>
    </row>
    <row r="67" spans="33:52" ph="1">
      <c r="AH67" s="64" ph="1">
        <v>4</v>
      </c>
      <c r="AI67" s="64" t="s" ph="1">
        <v>432</v>
      </c>
      <c r="AY67" s="64" t="s" ph="1">
        <v>257</v>
      </c>
      <c r="AZ67" s="64" t="s" ph="1">
        <v>408</v>
      </c>
    </row>
    <row r="68" spans="33:52" ph="1">
      <c r="AH68" s="64" ph="1">
        <v>5</v>
      </c>
      <c r="AI68" s="64" t="s" ph="1">
        <v>433</v>
      </c>
      <c r="AY68" s="64" t="s" ph="1">
        <v>257</v>
      </c>
      <c r="AZ68" s="64" t="s" ph="1">
        <v>408</v>
      </c>
    </row>
    <row r="69" spans="33:52" ph="1">
      <c r="AH69" s="64" ph="1">
        <v>6</v>
      </c>
      <c r="AI69" s="64" t="s" ph="1">
        <v>434</v>
      </c>
      <c r="AY69" s="64" t="s" ph="1">
        <v>257</v>
      </c>
      <c r="AZ69" s="64" t="s" ph="1">
        <v>408</v>
      </c>
    </row>
    <row r="70" spans="33:52" ph="1">
      <c r="AI70" s="64" t="s" ph="1">
        <v>435</v>
      </c>
      <c r="AY70" s="64" t="s" ph="1">
        <v>257</v>
      </c>
      <c r="AZ70" s="64" t="s" ph="1">
        <v>408</v>
      </c>
    </row>
    <row r="71" spans="33:52" ph="1">
      <c r="AH71" s="64" ph="1">
        <v>7</v>
      </c>
      <c r="AI71" s="64" t="s" ph="1">
        <v>436</v>
      </c>
      <c r="AJ71" s="64" t="s" ph="1">
        <v>375</v>
      </c>
      <c r="AK71" s="64" t="s" ph="1">
        <v>269</v>
      </c>
      <c r="AM71" s="64" t="s" ph="1">
        <v>377</v>
      </c>
      <c r="AN71" s="64" t="s" ph="1">
        <v>269</v>
      </c>
      <c r="AO71" s="64" t="s" ph="1">
        <v>437</v>
      </c>
      <c r="AP71" s="64" t="s" ph="1">
        <v>611</v>
      </c>
      <c r="AQ71" s="64" t="s" ph="1">
        <v>260</v>
      </c>
      <c r="AR71" s="64" t="s" ph="1">
        <v>437</v>
      </c>
      <c r="AY71" s="64" t="s" ph="1">
        <v>257</v>
      </c>
      <c r="AZ71" s="64" t="s" ph="1">
        <v>619</v>
      </c>
    </row>
    <row r="72" spans="33:52" ph="1">
      <c r="AZ72" s="64" t="s" ph="1">
        <v>620</v>
      </c>
    </row>
    <row r="73" spans="33:52" ph="1">
      <c r="AG73" s="64" t="s" ph="1">
        <v>282</v>
      </c>
      <c r="AI73" s="64" t="s" ph="1">
        <v>250</v>
      </c>
      <c r="AJ73" s="64" t="s" ph="1">
        <v>251</v>
      </c>
      <c r="AK73" s="64" t="s" ph="1">
        <v>252</v>
      </c>
      <c r="AM73" s="64" t="s" ph="1">
        <v>251</v>
      </c>
      <c r="AN73" s="64" t="s" ph="1">
        <v>252</v>
      </c>
      <c r="AO73" s="64" t="s" ph="1">
        <v>253</v>
      </c>
      <c r="AP73" s="64" t="s" ph="1">
        <v>251</v>
      </c>
      <c r="AQ73" s="64" t="s" ph="1">
        <v>252</v>
      </c>
      <c r="AR73" s="64" t="s" ph="1">
        <v>253</v>
      </c>
      <c r="AS73" s="64" t="s" ph="1">
        <v>251</v>
      </c>
      <c r="AT73" s="64" t="s" ph="1">
        <v>252</v>
      </c>
      <c r="AU73" s="64" t="s" ph="1">
        <v>253</v>
      </c>
      <c r="AV73" s="64" t="s" ph="1">
        <v>251</v>
      </c>
      <c r="AW73" s="64" t="s" ph="1">
        <v>252</v>
      </c>
      <c r="AX73" s="64" t="s" ph="1">
        <v>253</v>
      </c>
      <c r="AY73" s="64" t="s" ph="1">
        <v>252</v>
      </c>
      <c r="AZ73" s="64" t="s" ph="1">
        <v>254</v>
      </c>
    </row>
    <row r="74" spans="33:52" ph="1">
      <c r="AH74" s="64" ph="1">
        <v>1</v>
      </c>
      <c r="AI74" s="64" t="s" ph="1">
        <v>438</v>
      </c>
      <c r="AJ74" s="64" t="s" ph="1">
        <v>283</v>
      </c>
      <c r="AK74" s="64" t="s" ph="1">
        <v>265</v>
      </c>
      <c r="AM74" s="64" t="s" ph="1">
        <v>285</v>
      </c>
      <c r="AN74" s="64" t="s" ph="1">
        <v>295</v>
      </c>
      <c r="AO74" s="64" t="s" ph="1">
        <v>284</v>
      </c>
      <c r="AP74" s="64" t="s" ph="1">
        <v>286</v>
      </c>
      <c r="AQ74" s="64" t="s" ph="1">
        <v>263</v>
      </c>
      <c r="AR74" s="64" t="s" ph="1">
        <v>284</v>
      </c>
      <c r="AS74" s="64" t="s" ph="1">
        <v>256</v>
      </c>
      <c r="AT74" s="64" t="s" ph="1">
        <v>258</v>
      </c>
      <c r="AV74" s="64" t="s" ph="1">
        <v>439</v>
      </c>
      <c r="AW74" s="64" t="s" ph="1">
        <v>440</v>
      </c>
      <c r="AX74" s="64" t="s" ph="1">
        <v>441</v>
      </c>
      <c r="AY74" s="64" t="s" ph="1">
        <v>257</v>
      </c>
      <c r="AZ74" s="64" t="s" ph="1">
        <v>442</v>
      </c>
    </row>
    <row r="75" spans="33:52" ph="1">
      <c r="AJ75" s="64" t="s" ph="1">
        <v>288</v>
      </c>
      <c r="AK75" s="64" t="s" ph="1">
        <v>341</v>
      </c>
      <c r="AM75" s="64" t="s" ph="1">
        <v>286</v>
      </c>
      <c r="AN75" s="64" t="s" ph="1">
        <v>266</v>
      </c>
      <c r="AO75" s="64" t="s" ph="1">
        <v>284</v>
      </c>
      <c r="AS75" s="64" t="s" ph="1">
        <v>256</v>
      </c>
      <c r="AT75" s="64" t="s" ph="1">
        <v>287</v>
      </c>
    </row>
    <row r="76" spans="33:52" ph="1">
      <c r="AJ76" s="64" t="s" ph="1">
        <v>288</v>
      </c>
      <c r="AK76" s="64" t="s" ph="1">
        <v>281</v>
      </c>
      <c r="AM76" s="64" t="s" ph="1">
        <v>286</v>
      </c>
      <c r="AN76" s="64" t="s" ph="1">
        <v>269</v>
      </c>
      <c r="AO76" s="64" t="s" ph="1">
        <v>284</v>
      </c>
      <c r="AS76" s="64" t="s" ph="1">
        <v>256</v>
      </c>
      <c r="AT76" s="64" t="s" ph="1">
        <v>287</v>
      </c>
    </row>
    <row r="77" spans="33:52" ph="1">
      <c r="AJ77" s="64" t="s" ph="1">
        <v>324</v>
      </c>
      <c r="AK77" s="64" t="s" ph="1">
        <v>281</v>
      </c>
      <c r="AM77" s="64" t="s" ph="1">
        <v>325</v>
      </c>
      <c r="AN77" s="64" t="s" ph="1">
        <v>264</v>
      </c>
      <c r="AO77" s="64" t="s" ph="1">
        <v>284</v>
      </c>
      <c r="AS77" s="64" t="s" ph="1">
        <v>256</v>
      </c>
      <c r="AT77" s="64" t="s" ph="1">
        <v>326</v>
      </c>
    </row>
    <row r="78" spans="33:52" ph="1">
      <c r="AH78" s="64" ph="1">
        <v>2</v>
      </c>
      <c r="AI78" s="64" t="s" ph="1">
        <v>290</v>
      </c>
      <c r="AJ78" s="64" t="s" ph="1">
        <v>291</v>
      </c>
      <c r="AK78" s="64" t="s" ph="1">
        <v>260</v>
      </c>
      <c r="AM78" s="64" t="s" ph="1">
        <v>292</v>
      </c>
      <c r="AN78" s="64" t="s" ph="1">
        <v>295</v>
      </c>
      <c r="AO78" s="64" t="s" ph="1">
        <v>284</v>
      </c>
      <c r="AP78" s="64" t="s" ph="1">
        <v>293</v>
      </c>
      <c r="AQ78" s="64" t="s" ph="1">
        <v>339</v>
      </c>
      <c r="AR78" s="64" t="s" ph="1">
        <v>284</v>
      </c>
      <c r="AS78" s="64" t="s" ph="1">
        <v>294</v>
      </c>
      <c r="AT78" s="64" t="s" ph="1">
        <v>295</v>
      </c>
      <c r="AU78" s="64" t="s" ph="1">
        <v>284</v>
      </c>
      <c r="AV78" s="64" t="s" ph="1">
        <v>296</v>
      </c>
      <c r="AW78" s="64" t="s" ph="1">
        <v>284</v>
      </c>
      <c r="AY78" s="64" t="s" ph="1">
        <v>257</v>
      </c>
      <c r="AZ78" s="64" t="s" ph="1">
        <v>443</v>
      </c>
    </row>
    <row r="79" spans="33:52" ph="1">
      <c r="AJ79" s="64" t="s" ph="1">
        <v>286</v>
      </c>
      <c r="AK79" s="64" t="s" ph="1">
        <v>297</v>
      </c>
      <c r="AM79" s="64" t="s" ph="1">
        <v>298</v>
      </c>
      <c r="AN79" s="64" t="s" ph="1">
        <v>266</v>
      </c>
      <c r="AO79" s="64" t="s" ph="1">
        <v>284</v>
      </c>
      <c r="AP79" s="64" t="s" ph="1">
        <v>299</v>
      </c>
      <c r="AQ79" s="64" t="s" ph="1">
        <v>264</v>
      </c>
      <c r="AR79" s="64" t="s" ph="1">
        <v>300</v>
      </c>
      <c r="AS79" s="64" t="s" ph="1">
        <v>256</v>
      </c>
      <c r="AT79" s="64" t="s" ph="1">
        <v>301</v>
      </c>
      <c r="AV79" s="64" t="s" ph="1">
        <v>444</v>
      </c>
      <c r="AW79" s="64" t="s" ph="1">
        <v>343</v>
      </c>
      <c r="AX79" s="64" t="s" ph="1">
        <v>441</v>
      </c>
    </row>
    <row r="80" spans="33:52" ph="1">
      <c r="AH80" s="64" ph="1">
        <v>3</v>
      </c>
      <c r="AI80" s="64" t="s" ph="1">
        <v>302</v>
      </c>
      <c r="AJ80" s="64" t="s" ph="1">
        <v>303</v>
      </c>
      <c r="AK80" s="64" t="s" ph="1">
        <v>304</v>
      </c>
      <c r="AM80" s="64" t="s" ph="1">
        <v>305</v>
      </c>
      <c r="AN80" s="64" t="s" ph="1">
        <v>295</v>
      </c>
      <c r="AO80" s="64" t="s" ph="1">
        <v>284</v>
      </c>
      <c r="AP80" s="64" t="s" ph="1">
        <v>306</v>
      </c>
      <c r="AQ80" s="64" t="s" ph="1">
        <v>269</v>
      </c>
      <c r="AR80" s="64" t="s" ph="1">
        <v>284</v>
      </c>
      <c r="AS80" s="64" t="s" ph="1">
        <v>307</v>
      </c>
      <c r="AT80" s="64" t="s" ph="1">
        <v>268</v>
      </c>
      <c r="AU80" s="64" t="s" ph="1">
        <v>284</v>
      </c>
      <c r="AV80" s="64" t="s" ph="1">
        <v>308</v>
      </c>
      <c r="AW80" s="64" t="s" ph="1">
        <v>284</v>
      </c>
      <c r="AY80" s="64" t="s" ph="1">
        <v>257</v>
      </c>
      <c r="AZ80" s="64" t="s" ph="1">
        <v>445</v>
      </c>
    </row>
    <row r="81" spans="34:52" ph="1">
      <c r="AJ81" s="64" t="s" ph="1">
        <v>309</v>
      </c>
      <c r="AK81" s="64" t="s" ph="1">
        <v>263</v>
      </c>
      <c r="AM81" s="64" t="s" ph="1">
        <v>310</v>
      </c>
      <c r="AN81" s="64" t="s" ph="1">
        <v>266</v>
      </c>
      <c r="AO81" s="64" t="s" ph="1">
        <v>284</v>
      </c>
      <c r="AP81" s="64" t="s" ph="1">
        <v>311</v>
      </c>
      <c r="AQ81" s="64" t="s" ph="1">
        <v>295</v>
      </c>
      <c r="AR81" s="64" t="s" ph="1">
        <v>284</v>
      </c>
      <c r="AS81" s="64" t="s" ph="1">
        <v>312</v>
      </c>
      <c r="AT81" s="64" t="s" ph="1">
        <v>313</v>
      </c>
      <c r="AU81" s="64" t="s" ph="1">
        <v>284</v>
      </c>
      <c r="AV81" s="64" t="s" ph="1">
        <v>314</v>
      </c>
    </row>
    <row r="82" spans="34:52" ph="1">
      <c r="AJ82" s="64" t="s" ph="1">
        <v>315</v>
      </c>
      <c r="AK82" s="64" t="s" ph="1">
        <v>263</v>
      </c>
      <c r="AM82" s="64" t="s" ph="1">
        <v>316</v>
      </c>
      <c r="AN82" s="64" t="s" ph="1">
        <v>313</v>
      </c>
      <c r="AO82" s="64" t="s" ph="1">
        <v>317</v>
      </c>
      <c r="AP82" s="64" t="s" ph="1">
        <v>318</v>
      </c>
      <c r="AQ82" s="64" t="s" ph="1">
        <v>295</v>
      </c>
      <c r="AR82" s="64" t="s" ph="1">
        <v>284</v>
      </c>
      <c r="AS82" s="64" t="s" ph="1">
        <v>319</v>
      </c>
      <c r="AT82" s="64" t="s" ph="1">
        <v>270</v>
      </c>
      <c r="AU82" s="64" t="s" ph="1">
        <v>284</v>
      </c>
      <c r="AV82" s="64" t="s" ph="1">
        <v>444</v>
      </c>
      <c r="AW82" s="64" t="s" ph="1">
        <v>344</v>
      </c>
      <c r="AX82" s="64" t="s" ph="1">
        <v>441</v>
      </c>
    </row>
    <row r="83" spans="34:52" ph="1">
      <c r="AJ83" s="64" t="s" ph="1">
        <v>320</v>
      </c>
      <c r="AK83" s="64" t="s" ph="1">
        <v>337</v>
      </c>
      <c r="AM83" s="64" t="s" ph="1">
        <v>321</v>
      </c>
      <c r="AN83" s="64" t="s" ph="1">
        <v>269</v>
      </c>
      <c r="AO83" s="64" t="s" ph="1">
        <v>300</v>
      </c>
      <c r="AP83" s="64" t="s" ph="1">
        <v>322</v>
      </c>
      <c r="AQ83" s="64" t="s" ph="1">
        <v>323</v>
      </c>
      <c r="AR83" s="64" t="s" ph="1">
        <v>300</v>
      </c>
      <c r="AS83" s="64" t="s" ph="1">
        <v>446</v>
      </c>
      <c r="AT83" s="64" t="s" ph="1">
        <v>295</v>
      </c>
      <c r="AU83" s="64" t="s" ph="1">
        <v>300</v>
      </c>
      <c r="AV83" s="64" t="s" ph="1">
        <v>447</v>
      </c>
      <c r="AW83" s="64" t="s" ph="1">
        <v>344</v>
      </c>
      <c r="AX83" s="64" t="s" ph="1">
        <v>448</v>
      </c>
    </row>
    <row r="84" spans="34:52" ph="1">
      <c r="AH84" s="64" ph="1">
        <v>4</v>
      </c>
      <c r="AI84" s="64" t="s" ph="1">
        <v>327</v>
      </c>
      <c r="AJ84" s="64" t="s" ph="1">
        <v>267</v>
      </c>
      <c r="AK84" s="64" t="s" ph="1">
        <v>270</v>
      </c>
      <c r="AM84" s="64" t="s" ph="1">
        <v>271</v>
      </c>
      <c r="AN84" s="64" t="s" ph="1">
        <v>264</v>
      </c>
      <c r="AO84" s="64" t="s" ph="1">
        <v>300</v>
      </c>
      <c r="AP84" s="64" t="s" ph="1">
        <v>329</v>
      </c>
      <c r="AQ84" s="64" t="s" ph="1">
        <v>263</v>
      </c>
      <c r="AR84" s="64" t="s" ph="1">
        <v>300</v>
      </c>
      <c r="AS84" s="64" t="s" ph="1">
        <v>329</v>
      </c>
      <c r="AT84" s="64" t="s" ph="1">
        <v>265</v>
      </c>
      <c r="AU84" s="64" t="s" ph="1">
        <v>300</v>
      </c>
      <c r="AY84" s="64" t="s" ph="1">
        <v>257</v>
      </c>
      <c r="AZ84" s="64" t="s" ph="1">
        <v>449</v>
      </c>
    </row>
    <row r="85" spans="34:52" ph="1">
      <c r="AJ85" s="64" t="s" ph="1">
        <v>259</v>
      </c>
      <c r="AK85" s="64" t="s" ph="1">
        <v>263</v>
      </c>
      <c r="AM85" s="64" t="s" ph="1">
        <v>450</v>
      </c>
      <c r="AN85" s="64" t="s" ph="1">
        <v>270</v>
      </c>
      <c r="AO85" s="64" t="s" ph="1">
        <v>300</v>
      </c>
      <c r="AP85" s="64" t="s" ph="1">
        <v>451</v>
      </c>
      <c r="AQ85" s="64" t="s" ph="1">
        <v>266</v>
      </c>
      <c r="AR85" s="64" t="s" ph="1">
        <v>300</v>
      </c>
      <c r="AS85" s="64" t="s" ph="1">
        <v>452</v>
      </c>
      <c r="AT85" s="64" t="s" ph="1">
        <v>266</v>
      </c>
      <c r="AU85" s="64" t="s" ph="1">
        <v>300</v>
      </c>
    </row>
    <row r="86" spans="34:52" ph="1">
      <c r="AJ86" s="64" t="s" ph="1">
        <v>453</v>
      </c>
      <c r="AK86" s="64" t="s" ph="1">
        <v>272</v>
      </c>
      <c r="AM86" s="64" t="s" ph="1">
        <v>454</v>
      </c>
      <c r="AN86" s="64" t="s" ph="1">
        <v>313</v>
      </c>
      <c r="AO86" s="64" t="s" ph="1">
        <v>300</v>
      </c>
      <c r="AP86" s="64" t="s" ph="1">
        <v>455</v>
      </c>
      <c r="AQ86" s="64" t="s" ph="1">
        <v>260</v>
      </c>
      <c r="AR86" s="64" t="s" ph="1">
        <v>300</v>
      </c>
      <c r="AS86" s="64" t="s" ph="1">
        <v>456</v>
      </c>
      <c r="AT86" s="64" t="s" ph="1">
        <v>278</v>
      </c>
      <c r="AU86" s="64" t="s" ph="1">
        <v>300</v>
      </c>
    </row>
    <row r="87" spans="34:52" ph="1">
      <c r="AJ87" s="64" t="s" ph="1">
        <v>457</v>
      </c>
      <c r="AK87" s="64" t="s" ph="1">
        <v>313</v>
      </c>
      <c r="AM87" s="64" t="s" ph="1">
        <v>444</v>
      </c>
      <c r="AN87" s="64" t="s" ph="1">
        <v>458</v>
      </c>
      <c r="AO87" s="64" t="s" ph="1">
        <v>441</v>
      </c>
    </row>
    <row r="88" spans="34:52" ph="1">
      <c r="AH88" s="64" ph="1">
        <v>5</v>
      </c>
      <c r="AI88" s="64" t="s" ph="1">
        <v>330</v>
      </c>
      <c r="AJ88" s="64" t="s" ph="1">
        <v>459</v>
      </c>
      <c r="AK88" s="64" t="s" ph="1">
        <v>313</v>
      </c>
      <c r="AM88" s="64" t="s" ph="1">
        <v>460</v>
      </c>
      <c r="AN88" s="64" t="s" ph="1">
        <v>313</v>
      </c>
      <c r="AO88" s="64" t="s" ph="1">
        <v>300</v>
      </c>
      <c r="AP88" s="64" t="s" ph="1">
        <v>461</v>
      </c>
      <c r="AQ88" s="64" t="s" ph="1">
        <v>263</v>
      </c>
      <c r="AR88" s="64" t="s" ph="1">
        <v>300</v>
      </c>
      <c r="AS88" s="64" t="s" ph="1">
        <v>462</v>
      </c>
      <c r="AT88" s="64" t="s" ph="1">
        <v>313</v>
      </c>
      <c r="AU88" s="64" t="s" ph="1">
        <v>300</v>
      </c>
      <c r="AV88" s="64" t="s" ph="1">
        <v>463</v>
      </c>
      <c r="AW88" s="64" t="s" ph="1">
        <v>268</v>
      </c>
      <c r="AX88" s="64" t="s" ph="1">
        <v>300</v>
      </c>
      <c r="AY88" s="64" t="s" ph="1">
        <v>257</v>
      </c>
      <c r="AZ88" s="64" t="s" ph="1">
        <v>464</v>
      </c>
    </row>
    <row r="89" spans="34:52" ph="1">
      <c r="AJ89" s="64" t="s" ph="1">
        <v>465</v>
      </c>
      <c r="AK89" s="64" t="s" ph="1">
        <v>266</v>
      </c>
      <c r="AM89" s="64" t="s" ph="1">
        <v>466</v>
      </c>
      <c r="AN89" s="64" t="s" ph="1">
        <v>269</v>
      </c>
      <c r="AO89" s="64" t="s" ph="1">
        <v>300</v>
      </c>
      <c r="AP89" s="64" t="s" ph="1">
        <v>467</v>
      </c>
      <c r="AQ89" s="64" t="s" ph="1">
        <v>278</v>
      </c>
      <c r="AR89" s="64" t="s" ph="1">
        <v>300</v>
      </c>
      <c r="AS89" s="64" t="s" ph="1">
        <v>468</v>
      </c>
      <c r="AT89" s="64" t="s" ph="1">
        <v>313</v>
      </c>
      <c r="AU89" s="64" t="s" ph="1">
        <v>300</v>
      </c>
      <c r="AV89" s="64" t="s" ph="1">
        <v>469</v>
      </c>
      <c r="AW89" s="64" t="s" ph="1">
        <v>295</v>
      </c>
      <c r="AX89" s="64" t="s" ph="1">
        <v>328</v>
      </c>
    </row>
    <row r="90" spans="34:52" ph="1">
      <c r="AJ90" s="64" t="s" ph="1">
        <v>470</v>
      </c>
      <c r="AK90" s="64" t="s" ph="1">
        <v>269</v>
      </c>
      <c r="AM90" s="64" t="s" ph="1">
        <v>471</v>
      </c>
      <c r="AN90" s="64" t="s" ph="1">
        <v>266</v>
      </c>
      <c r="AO90" s="64" t="s" ph="1">
        <v>300</v>
      </c>
      <c r="AP90" s="64" t="s" ph="1">
        <v>472</v>
      </c>
      <c r="AQ90" s="64" t="s" ph="1">
        <v>335</v>
      </c>
      <c r="AR90" s="64" t="s" ph="1">
        <v>300</v>
      </c>
      <c r="AS90" s="64" t="s" ph="1">
        <v>473</v>
      </c>
      <c r="AT90" s="64" t="s" ph="1">
        <v>323</v>
      </c>
      <c r="AU90" s="64" t="s" ph="1">
        <v>300</v>
      </c>
      <c r="AV90" s="64" t="s" ph="1">
        <v>474</v>
      </c>
      <c r="AW90" s="64" t="s" ph="1">
        <v>260</v>
      </c>
      <c r="AX90" s="64" t="s" ph="1">
        <v>300</v>
      </c>
    </row>
    <row r="91" spans="34:52" ph="1">
      <c r="AJ91" s="64" t="s" ph="1">
        <v>475</v>
      </c>
      <c r="AK91" s="64" t="s" ph="1">
        <v>313</v>
      </c>
      <c r="AM91" s="64" t="s" ph="1">
        <v>476</v>
      </c>
      <c r="AN91" s="64" t="s" ph="1">
        <v>280</v>
      </c>
      <c r="AO91" s="64" t="s" ph="1">
        <v>300</v>
      </c>
      <c r="AP91" s="64" t="s" ph="1">
        <v>477</v>
      </c>
      <c r="AQ91" s="64" t="s" ph="1">
        <v>260</v>
      </c>
      <c r="AS91" s="64" t="s" ph="1">
        <v>444</v>
      </c>
      <c r="AT91" s="64" t="s" ph="1">
        <v>440</v>
      </c>
      <c r="AU91" s="64" t="s" ph="1">
        <v>441</v>
      </c>
    </row>
    <row r="92" spans="34:52" ph="1">
      <c r="AH92" s="64" ph="1">
        <v>6</v>
      </c>
      <c r="AI92" s="64" t="s" ph="1">
        <v>478</v>
      </c>
      <c r="AJ92" s="64" t="s" ph="1">
        <v>479</v>
      </c>
      <c r="AK92" s="64" t="s" ph="1">
        <v>408</v>
      </c>
      <c r="AM92" s="64" t="s" ph="1">
        <v>480</v>
      </c>
      <c r="AN92" s="64" t="s" ph="1">
        <v>268</v>
      </c>
      <c r="AO92" s="64" t="s" ph="1">
        <v>300</v>
      </c>
      <c r="AP92" s="64" t="s" ph="1">
        <v>481</v>
      </c>
      <c r="AQ92" s="64" t="s" ph="1">
        <v>340</v>
      </c>
      <c r="AR92" s="64" t="s" ph="1">
        <v>300</v>
      </c>
      <c r="AS92" s="64" t="s" ph="1">
        <v>482</v>
      </c>
      <c r="AT92" s="64" t="s" ph="1">
        <v>313</v>
      </c>
      <c r="AU92" s="64" t="s" ph="1">
        <v>300</v>
      </c>
      <c r="AV92" s="64" t="s" ph="1">
        <v>483</v>
      </c>
      <c r="AW92" s="64" t="s" ph="1">
        <v>269</v>
      </c>
      <c r="AX92" s="64" t="s" ph="1">
        <v>300</v>
      </c>
      <c r="AY92" s="64" t="s" ph="1">
        <v>257</v>
      </c>
      <c r="AZ92" s="64" t="s" ph="1">
        <v>464</v>
      </c>
    </row>
    <row r="93" spans="34:52" ph="1">
      <c r="AJ93" s="64" t="s" ph="1">
        <v>484</v>
      </c>
      <c r="AK93" s="64" t="s" ph="1">
        <v>263</v>
      </c>
      <c r="AM93" s="64" t="s" ph="1">
        <v>485</v>
      </c>
      <c r="AN93" s="64" t="s" ph="1">
        <v>268</v>
      </c>
      <c r="AO93" s="64" t="s" ph="1">
        <v>300</v>
      </c>
      <c r="AP93" s="64" t="s" ph="1">
        <v>486</v>
      </c>
      <c r="AQ93" s="64" t="s" ph="1">
        <v>272</v>
      </c>
      <c r="AR93" s="64" t="s" ph="1">
        <v>300</v>
      </c>
      <c r="AS93" s="64" t="s" ph="1">
        <v>487</v>
      </c>
      <c r="AT93" s="64" t="s" ph="1">
        <v>278</v>
      </c>
      <c r="AU93" s="64" t="s" ph="1">
        <v>300</v>
      </c>
      <c r="AV93" s="64" t="s" ph="1">
        <v>488</v>
      </c>
      <c r="AW93" s="64" t="s" ph="1">
        <v>272</v>
      </c>
      <c r="AX93" s="64" t="s" ph="1">
        <v>300</v>
      </c>
    </row>
    <row r="94" spans="34:52" ph="1">
      <c r="AJ94" s="64" t="s" ph="1">
        <v>489</v>
      </c>
      <c r="AK94" s="64" t="s" ph="1">
        <v>335</v>
      </c>
      <c r="AM94" s="64" t="s" ph="1">
        <v>490</v>
      </c>
      <c r="AN94" s="64" t="s" ph="1">
        <v>272</v>
      </c>
      <c r="AO94" s="64" t="s" ph="1">
        <v>300</v>
      </c>
      <c r="AP94" s="64" t="s" ph="1">
        <v>491</v>
      </c>
      <c r="AQ94" s="64" t="s" ph="1">
        <v>280</v>
      </c>
      <c r="AR94" s="64" t="s" ph="1">
        <v>300</v>
      </c>
      <c r="AS94" s="64" t="s" ph="1">
        <v>492</v>
      </c>
      <c r="AT94" s="64" t="s" ph="1">
        <v>266</v>
      </c>
      <c r="AU94" s="64" t="s" ph="1">
        <v>300</v>
      </c>
      <c r="AV94" s="64" t="s" ph="1">
        <v>493</v>
      </c>
      <c r="AW94" s="64" t="s" ph="1">
        <v>266</v>
      </c>
      <c r="AX94" s="64" t="s" ph="1">
        <v>300</v>
      </c>
    </row>
    <row r="95" spans="34:52" ph="1">
      <c r="AJ95" s="64" t="s" ph="1">
        <v>494</v>
      </c>
      <c r="AK95" s="64" t="s" ph="1">
        <v>340</v>
      </c>
    </row>
    <row r="96" spans="34:52" ph="1">
      <c r="AH96" s="64" ph="1">
        <v>7</v>
      </c>
      <c r="AI96" s="64" t="s" ph="1">
        <v>495</v>
      </c>
      <c r="AJ96" s="64" t="s" ph="1">
        <v>494</v>
      </c>
      <c r="AK96" s="64" t="s" ph="1">
        <v>295</v>
      </c>
      <c r="AM96" s="64" t="s" ph="1">
        <v>496</v>
      </c>
      <c r="AN96" s="64" t="s" ph="1">
        <v>269</v>
      </c>
      <c r="AO96" s="64" t="s" ph="1">
        <v>300</v>
      </c>
      <c r="AP96" s="64" t="s" ph="1">
        <v>497</v>
      </c>
      <c r="AQ96" s="64" t="s" ph="1">
        <v>313</v>
      </c>
      <c r="AR96" s="64" t="s" ph="1">
        <v>328</v>
      </c>
      <c r="AS96" s="64" t="s" ph="1">
        <v>498</v>
      </c>
      <c r="AT96" s="64" t="s" ph="1">
        <v>272</v>
      </c>
      <c r="AU96" s="64" t="s" ph="1">
        <v>328</v>
      </c>
      <c r="AV96" s="64" t="s" ph="1">
        <v>499</v>
      </c>
      <c r="AW96" s="64" t="s" ph="1">
        <v>268</v>
      </c>
      <c r="AX96" s="64" t="s" ph="1">
        <v>328</v>
      </c>
      <c r="AY96" s="64" t="s" ph="1">
        <v>257</v>
      </c>
      <c r="AZ96" s="64" t="s" ph="1">
        <v>500</v>
      </c>
    </row>
    <row r="97" spans="33:52" ph="1">
      <c r="AJ97" s="64" t="s" ph="1">
        <v>501</v>
      </c>
      <c r="AK97" s="64" t="s" ph="1">
        <v>323</v>
      </c>
      <c r="AM97" s="64" t="s" ph="1">
        <v>502</v>
      </c>
      <c r="AN97" s="64" t="s" ph="1">
        <v>266</v>
      </c>
      <c r="AO97" s="64" t="s" ph="1">
        <v>300</v>
      </c>
      <c r="AP97" s="64" t="s" ph="1">
        <v>503</v>
      </c>
      <c r="AQ97" s="64" t="s" ph="1">
        <v>260</v>
      </c>
      <c r="AR97" s="64" t="s" ph="1">
        <v>328</v>
      </c>
      <c r="AS97" s="64" t="s" ph="1">
        <v>504</v>
      </c>
      <c r="AT97" s="64" t="s" ph="1">
        <v>263</v>
      </c>
      <c r="AU97" s="64" t="s" ph="1">
        <v>328</v>
      </c>
      <c r="AV97" s="64" t="s" ph="1">
        <v>505</v>
      </c>
      <c r="AW97" s="64" t="s" ph="1">
        <v>269</v>
      </c>
      <c r="AX97" s="64" t="s" ph="1">
        <v>328</v>
      </c>
    </row>
    <row r="98" spans="33:52" ph="1">
      <c r="AJ98" s="64" t="s" ph="1">
        <v>506</v>
      </c>
      <c r="AK98" s="64" t="s" ph="1">
        <v>272</v>
      </c>
      <c r="AM98" s="64" t="s" ph="1">
        <v>507</v>
      </c>
      <c r="AN98" s="64" t="s" ph="1">
        <v>280</v>
      </c>
      <c r="AO98" s="64" t="s" ph="1">
        <v>300</v>
      </c>
      <c r="AP98" s="64" t="s" ph="1">
        <v>508</v>
      </c>
      <c r="AQ98" s="64" t="s" ph="1">
        <v>260</v>
      </c>
      <c r="AR98" s="64" t="s" ph="1">
        <v>328</v>
      </c>
      <c r="AS98" s="64" t="s" ph="1">
        <v>509</v>
      </c>
      <c r="AT98" s="64" t="s" ph="1">
        <v>340</v>
      </c>
      <c r="AU98" s="64" t="s" ph="1">
        <v>328</v>
      </c>
      <c r="AV98" s="64" t="s" ph="1">
        <v>510</v>
      </c>
      <c r="AW98" s="64" t="s" ph="1">
        <v>263</v>
      </c>
      <c r="AX98" s="64" t="s" ph="1">
        <v>328</v>
      </c>
    </row>
    <row r="99" spans="33:52" ph="1">
      <c r="AH99" s="64" ph="1">
        <v>8</v>
      </c>
      <c r="AI99" s="64" t="s" ph="1">
        <v>511</v>
      </c>
      <c r="AJ99" s="64" t="s" ph="1">
        <v>512</v>
      </c>
      <c r="AK99" s="64" t="s" ph="1">
        <v>408</v>
      </c>
      <c r="AM99" s="64" t="s" ph="1">
        <v>513</v>
      </c>
      <c r="AN99" s="64" t="s" ph="1">
        <v>295</v>
      </c>
      <c r="AO99" s="64" t="s" ph="1">
        <v>300</v>
      </c>
      <c r="AP99" s="64" t="s" ph="1">
        <v>514</v>
      </c>
      <c r="AQ99" s="64" t="s" ph="1">
        <v>265</v>
      </c>
      <c r="AR99" s="64" t="s" ph="1">
        <v>328</v>
      </c>
      <c r="AS99" s="64" t="s" ph="1">
        <v>515</v>
      </c>
      <c r="AT99" s="64" t="s" ph="1">
        <v>280</v>
      </c>
      <c r="AU99" s="64" t="s" ph="1">
        <v>328</v>
      </c>
      <c r="AV99" s="64" t="s" ph="1">
        <v>516</v>
      </c>
      <c r="AW99" s="64" t="s" ph="1">
        <v>265</v>
      </c>
      <c r="AX99" s="64" t="s" ph="1">
        <v>328</v>
      </c>
      <c r="AY99" s="64" t="s" ph="1">
        <v>257</v>
      </c>
      <c r="AZ99" s="64" t="s" ph="1">
        <v>517</v>
      </c>
    </row>
    <row r="100" spans="33:52" ph="1">
      <c r="AJ100" s="64" t="s" ph="1">
        <v>518</v>
      </c>
      <c r="AK100" s="64" t="s" ph="1">
        <v>263</v>
      </c>
      <c r="AM100" s="64" t="s" ph="1">
        <v>519</v>
      </c>
      <c r="AN100" s="64" t="s" ph="1">
        <v>335</v>
      </c>
      <c r="AO100" s="64" t="s" ph="1">
        <v>300</v>
      </c>
      <c r="AP100" s="64" t="s" ph="1">
        <v>520</v>
      </c>
      <c r="AQ100" s="64" t="s" ph="1">
        <v>341</v>
      </c>
      <c r="AR100" s="64" t="s" ph="1">
        <v>328</v>
      </c>
      <c r="AS100" s="64" t="s" ph="1">
        <v>521</v>
      </c>
      <c r="AT100" s="64" t="s" ph="1">
        <v>408</v>
      </c>
      <c r="AU100" s="64" t="s" ph="1">
        <v>300</v>
      </c>
      <c r="AV100" s="64" t="s" ph="1">
        <v>522</v>
      </c>
      <c r="AW100" s="64" t="s" ph="1">
        <v>408</v>
      </c>
      <c r="AX100" s="64" t="s" ph="1">
        <v>300</v>
      </c>
    </row>
    <row r="101" spans="33:52" ph="1">
      <c r="AJ101" s="64" t="s" ph="1">
        <v>523</v>
      </c>
      <c r="AK101" s="64" t="s" ph="1">
        <v>408</v>
      </c>
      <c r="AM101" s="64" t="s" ph="1">
        <v>524</v>
      </c>
      <c r="AN101" s="64" t="s" ph="1">
        <v>266</v>
      </c>
      <c r="AO101" s="64" t="s" ph="1">
        <v>300</v>
      </c>
      <c r="AP101" s="64" t="s" ph="1">
        <v>525</v>
      </c>
      <c r="AQ101" s="64" t="s" ph="1">
        <v>278</v>
      </c>
      <c r="AR101" s="64" t="s" ph="1">
        <v>328</v>
      </c>
      <c r="AS101" s="64" t="s" ph="1">
        <v>526</v>
      </c>
      <c r="AT101" s="64" t="s" ph="1">
        <v>335</v>
      </c>
      <c r="AU101" s="64" t="s" ph="1">
        <v>328</v>
      </c>
      <c r="AV101" s="64" t="s" ph="1">
        <v>527</v>
      </c>
      <c r="AW101" s="64" t="s" ph="1">
        <v>266</v>
      </c>
      <c r="AX101" s="64" t="s" ph="1">
        <v>300</v>
      </c>
    </row>
    <row r="102" spans="33:52" ph="1">
      <c r="AJ102" s="64" t="s" ph="1">
        <v>528</v>
      </c>
      <c r="AK102" s="64" t="s" ph="1">
        <v>263</v>
      </c>
      <c r="AM102" s="64" t="s" ph="1">
        <v>529</v>
      </c>
      <c r="AN102" s="64" t="s" ph="1">
        <v>272</v>
      </c>
      <c r="AO102" s="64" t="s" ph="1">
        <v>300</v>
      </c>
      <c r="AP102" s="64" t="s" ph="1">
        <v>530</v>
      </c>
      <c r="AQ102" s="64" t="s" ph="1">
        <v>278</v>
      </c>
      <c r="AR102" s="64" t="s" ph="1">
        <v>300</v>
      </c>
      <c r="AS102" s="64" t="s" ph="1">
        <v>531</v>
      </c>
      <c r="AT102" s="64" t="s" ph="1">
        <v>295</v>
      </c>
      <c r="AU102" s="64" t="s" ph="1">
        <v>300</v>
      </c>
      <c r="AV102" s="64" t="s" ph="1">
        <v>532</v>
      </c>
      <c r="AW102" s="64" t="s" ph="1">
        <v>313</v>
      </c>
      <c r="AX102" s="64" t="s" ph="1">
        <v>300</v>
      </c>
    </row>
    <row r="103" spans="33:52" ph="1">
      <c r="AH103" s="64" ph="1">
        <v>9</v>
      </c>
      <c r="AI103" s="64" t="s" ph="1">
        <v>533</v>
      </c>
      <c r="AJ103" s="64" t="s" ph="1">
        <v>534</v>
      </c>
      <c r="AK103" s="64" t="s" ph="1">
        <v>408</v>
      </c>
      <c r="AM103" s="64" t="s" ph="1">
        <v>535</v>
      </c>
      <c r="AN103" s="64" t="s" ph="1">
        <v>323</v>
      </c>
      <c r="AO103" s="64" t="s" ph="1">
        <v>300</v>
      </c>
      <c r="AP103" s="64" t="s" ph="1">
        <v>377</v>
      </c>
      <c r="AQ103" s="64" t="s" ph="1">
        <v>266</v>
      </c>
      <c r="AR103" s="64" t="s" ph="1">
        <v>300</v>
      </c>
      <c r="AS103" s="64" t="s" ph="1">
        <v>611</v>
      </c>
      <c r="AT103" s="64" t="s" ph="1">
        <v>408</v>
      </c>
      <c r="AU103" s="64" t="s" ph="1">
        <v>300</v>
      </c>
      <c r="AY103" s="64" t="s" ph="1">
        <v>257</v>
      </c>
      <c r="AZ103" s="64" t="s" ph="1">
        <v>265</v>
      </c>
    </row>
    <row r="104" spans="33:52" ph="1">
      <c r="AZ104" s="64" t="s" ph="1">
        <v>536</v>
      </c>
    </row>
    <row r="105" spans="33:52" ph="1">
      <c r="AG105" s="64" t="s" ph="1">
        <v>336</v>
      </c>
      <c r="AI105" s="64" t="s" ph="1">
        <v>250</v>
      </c>
      <c r="AJ105" s="64" t="s" ph="1">
        <v>251</v>
      </c>
      <c r="AK105" s="64" t="s" ph="1">
        <v>252</v>
      </c>
      <c r="AM105" s="64" t="s" ph="1">
        <v>251</v>
      </c>
      <c r="AN105" s="64" t="s" ph="1">
        <v>252</v>
      </c>
      <c r="AO105" s="64" t="s" ph="1">
        <v>253</v>
      </c>
      <c r="AP105" s="64" t="s" ph="1">
        <v>251</v>
      </c>
      <c r="AQ105" s="64" t="s" ph="1">
        <v>252</v>
      </c>
      <c r="AR105" s="64" t="s" ph="1">
        <v>253</v>
      </c>
      <c r="AS105" s="64" t="s" ph="1">
        <v>251</v>
      </c>
      <c r="AT105" s="64" t="s" ph="1">
        <v>252</v>
      </c>
      <c r="AU105" s="64" t="s" ph="1">
        <v>253</v>
      </c>
      <c r="AV105" s="64" t="s" ph="1">
        <v>251</v>
      </c>
      <c r="AW105" s="64" t="s" ph="1">
        <v>252</v>
      </c>
      <c r="AX105" s="64" t="s" ph="1">
        <v>253</v>
      </c>
      <c r="AZ105" s="64" t="s" ph="1">
        <v>254</v>
      </c>
    </row>
    <row r="106" spans="33:52" ph="1">
      <c r="AH106" s="64" ph="1">
        <v>1</v>
      </c>
      <c r="AI106" s="64" t="s" ph="1">
        <v>537</v>
      </c>
      <c r="AJ106" s="64" t="s" ph="1">
        <v>611</v>
      </c>
      <c r="AK106" s="64" t="s" ph="1">
        <v>272</v>
      </c>
      <c r="AZ106" s="64" t="s" ph="1">
        <v>272</v>
      </c>
    </row>
    <row r="107" spans="33:52" ph="1">
      <c r="AH107" s="64" ph="1">
        <v>2</v>
      </c>
      <c r="AI107" s="64" t="s" ph="1">
        <v>538</v>
      </c>
      <c r="AJ107" s="64" t="s" ph="1">
        <v>539</v>
      </c>
      <c r="AK107" s="64" t="s" ph="1">
        <v>269</v>
      </c>
      <c r="AM107" s="64" t="s" ph="1">
        <v>375</v>
      </c>
      <c r="AN107" s="64" t="s" ph="1">
        <v>540</v>
      </c>
      <c r="AO107" s="64" t="s" ph="1">
        <v>541</v>
      </c>
      <c r="AP107" s="64" t="s" ph="1">
        <v>377</v>
      </c>
      <c r="AQ107" s="64" t="s" ph="1">
        <v>345</v>
      </c>
      <c r="AR107" s="64" t="s" ph="1">
        <v>541</v>
      </c>
      <c r="AS107" s="64" t="s" ph="1">
        <v>611</v>
      </c>
      <c r="AT107" s="64" t="s" ph="1">
        <v>540</v>
      </c>
      <c r="AU107" s="64" t="s" ph="1">
        <v>541</v>
      </c>
      <c r="AY107" s="64" t="s" ph="1">
        <v>257</v>
      </c>
      <c r="AZ107" s="64" t="s" ph="1">
        <v>621</v>
      </c>
    </row>
    <row r="108" spans="33:52" ph="1">
      <c r="AH108" s="64" ph="1">
        <v>3</v>
      </c>
      <c r="AI108" s="64" t="s" ph="1">
        <v>542</v>
      </c>
      <c r="AY108" s="64" t="s" ph="1">
        <v>257</v>
      </c>
      <c r="AZ108" s="64" t="s" ph="1">
        <v>408</v>
      </c>
    </row>
    <row r="109" spans="33:52" ph="1">
      <c r="AH109" s="64" ph="1">
        <v>4</v>
      </c>
      <c r="AI109" s="64" t="s" ph="1">
        <v>543</v>
      </c>
      <c r="AY109" s="64" t="s" ph="1">
        <v>257</v>
      </c>
      <c r="AZ109" s="64" t="s" ph="1">
        <v>408</v>
      </c>
    </row>
    <row r="110" spans="33:52" ph="1">
      <c r="AH110" s="64" ph="1">
        <v>5</v>
      </c>
      <c r="AI110" s="64" t="s" ph="1">
        <v>544</v>
      </c>
      <c r="AY110" s="64" t="s" ph="1">
        <v>257</v>
      </c>
      <c r="AZ110" s="64" t="s" ph="1">
        <v>408</v>
      </c>
    </row>
    <row r="111" spans="33:52" ph="1">
      <c r="AH111" s="64" ph="1">
        <v>6</v>
      </c>
      <c r="AI111" s="64" t="s" ph="1">
        <v>622</v>
      </c>
      <c r="AJ111" s="64" t="s" ph="1">
        <v>527</v>
      </c>
      <c r="AK111" s="64" t="s" ph="1">
        <v>266</v>
      </c>
      <c r="AM111" s="64" t="s" ph="1">
        <v>528</v>
      </c>
      <c r="AN111" s="64" t="s" ph="1">
        <v>260</v>
      </c>
      <c r="AO111" s="64" t="s" ph="1">
        <v>541</v>
      </c>
      <c r="AP111" s="64" t="s" ph="1">
        <v>529</v>
      </c>
      <c r="AQ111" s="64" t="s" ph="1">
        <v>269</v>
      </c>
      <c r="AR111" s="64" t="s" ph="1">
        <v>541</v>
      </c>
      <c r="AS111" s="64" t="s" ph="1">
        <v>530</v>
      </c>
      <c r="AT111" s="64" t="s" ph="1">
        <v>278</v>
      </c>
      <c r="AU111" s="64" t="s" ph="1">
        <v>541</v>
      </c>
      <c r="AV111" s="64" t="s" ph="1">
        <v>531</v>
      </c>
      <c r="AW111" s="64" t="s" ph="1">
        <v>268</v>
      </c>
      <c r="AX111" s="64" t="s" ph="1">
        <v>541</v>
      </c>
      <c r="AY111" s="64" t="s" ph="1">
        <v>257</v>
      </c>
      <c r="AZ111" s="64" t="s" ph="1">
        <v>545</v>
      </c>
    </row>
    <row r="112" spans="33:52" ph="1">
      <c r="AJ112" s="64" t="s" ph="1">
        <v>532</v>
      </c>
      <c r="AK112" s="64" t="s" ph="1">
        <v>313</v>
      </c>
      <c r="AM112" s="64" t="s" ph="1">
        <v>534</v>
      </c>
      <c r="AN112" s="64" t="s" ph="1">
        <v>337</v>
      </c>
      <c r="AO112" s="64" t="s" ph="1">
        <v>541</v>
      </c>
      <c r="AP112" s="64" t="s" ph="1">
        <v>535</v>
      </c>
      <c r="AQ112" s="64" t="s" ph="1">
        <v>546</v>
      </c>
      <c r="AR112" s="64" t="s" ph="1">
        <v>541</v>
      </c>
      <c r="AS112" s="64" t="s" ph="1">
        <v>547</v>
      </c>
      <c r="AT112" s="64" t="s" ph="1">
        <v>289</v>
      </c>
      <c r="AU112" s="64" t="s" ph="1">
        <v>541</v>
      </c>
      <c r="AV112" s="64" t="s" ph="1">
        <v>548</v>
      </c>
      <c r="AW112" s="64" t="s" ph="1">
        <v>335</v>
      </c>
      <c r="AX112" s="64" t="s" ph="1">
        <v>541</v>
      </c>
    </row>
    <row r="113" spans="33:52" ph="1">
      <c r="AH113" s="64" ph="1">
        <v>7</v>
      </c>
      <c r="AI113" s="64" t="s" ph="1">
        <v>549</v>
      </c>
      <c r="AJ113" s="64" t="s" ph="1">
        <v>630</v>
      </c>
      <c r="AK113" s="64" t="s" ph="1">
        <v>635</v>
      </c>
      <c r="AY113" s="64" t="s" ph="1">
        <v>257</v>
      </c>
      <c r="AZ113" s="64" t="s" ph="1">
        <v>635</v>
      </c>
    </row>
    <row r="114" spans="33:52" ph="1">
      <c r="AH114" s="64" ph="1">
        <v>8</v>
      </c>
      <c r="AI114" s="64" t="s" ph="1">
        <v>550</v>
      </c>
      <c r="AJ114" s="64" t="s" ph="1">
        <v>630</v>
      </c>
      <c r="AK114" s="64" t="s" ph="1">
        <v>636</v>
      </c>
      <c r="AY114" s="64" t="s" ph="1">
        <v>257</v>
      </c>
      <c r="AZ114" s="64" t="s" ph="1">
        <v>636</v>
      </c>
    </row>
    <row r="115" spans="33:52" ph="1">
      <c r="AH115" s="64" ph="1">
        <v>9</v>
      </c>
      <c r="AI115" s="64" t="s" ph="1">
        <v>551</v>
      </c>
      <c r="AJ115" s="64" t="s" ph="1">
        <v>630</v>
      </c>
      <c r="AK115" s="64" t="s" ph="1">
        <v>636</v>
      </c>
      <c r="AY115" s="64" t="s" ph="1">
        <v>257</v>
      </c>
      <c r="AZ115" s="64" t="s" ph="1">
        <v>636</v>
      </c>
    </row>
    <row r="116" spans="33:52" ph="1">
      <c r="AH116" s="64" ph="1">
        <v>10</v>
      </c>
      <c r="AI116" s="64" t="s" ph="1">
        <v>552</v>
      </c>
      <c r="AJ116" s="64" t="s" ph="1">
        <v>630</v>
      </c>
      <c r="AK116" s="64" t="s" ph="1">
        <v>636</v>
      </c>
      <c r="AY116" s="64" t="s" ph="1">
        <v>257</v>
      </c>
      <c r="AZ116" s="64" t="s" ph="1">
        <v>636</v>
      </c>
    </row>
    <row r="117" spans="33:52" ph="1">
      <c r="AH117" s="64" ph="1">
        <v>11</v>
      </c>
      <c r="AI117" s="64" t="s" ph="1">
        <v>553</v>
      </c>
      <c r="AJ117" s="64" t="s" ph="1">
        <v>630</v>
      </c>
      <c r="AK117" s="64" t="s" ph="1">
        <v>636</v>
      </c>
      <c r="AY117" s="64" t="s" ph="1">
        <v>257</v>
      </c>
      <c r="AZ117" s="64" t="s" ph="1">
        <v>636</v>
      </c>
    </row>
    <row r="118" spans="33:52" ph="1">
      <c r="AZ118" s="64" t="s" ph="1">
        <v>637</v>
      </c>
    </row>
    <row r="119" spans="33:52" ph="1">
      <c r="AI119" s="64" t="s" ph="1">
        <v>250</v>
      </c>
      <c r="AJ119" s="64" t="s" ph="1">
        <v>251</v>
      </c>
      <c r="AK119" s="64" t="s" ph="1">
        <v>252</v>
      </c>
      <c r="AM119" s="64" t="s" ph="1">
        <v>251</v>
      </c>
      <c r="AN119" s="64" t="s" ph="1">
        <v>252</v>
      </c>
      <c r="AO119" s="64" t="s" ph="1">
        <v>253</v>
      </c>
      <c r="AP119" s="64" t="s" ph="1">
        <v>251</v>
      </c>
      <c r="AQ119" s="64" t="s" ph="1">
        <v>252</v>
      </c>
      <c r="AR119" s="64" t="s" ph="1">
        <v>253</v>
      </c>
      <c r="AS119" s="64" t="s" ph="1">
        <v>251</v>
      </c>
      <c r="AT119" s="64" t="s" ph="1">
        <v>252</v>
      </c>
      <c r="AU119" s="64" t="s" ph="1">
        <v>253</v>
      </c>
      <c r="AV119" s="64" t="s" ph="1">
        <v>251</v>
      </c>
      <c r="AW119" s="64" t="s" ph="1">
        <v>252</v>
      </c>
      <c r="AX119" s="64" t="s" ph="1">
        <v>253</v>
      </c>
      <c r="AY119" s="64" t="s" ph="1">
        <v>252</v>
      </c>
      <c r="AZ119" s="64" t="s" ph="1">
        <v>254</v>
      </c>
    </row>
    <row r="120" spans="33:52" ph="1">
      <c r="AG120" s="64" t="s" ph="1">
        <v>394</v>
      </c>
      <c r="AH120" s="64" ph="1">
        <v>1</v>
      </c>
      <c r="AI120" s="64" t="s" ph="1">
        <v>554</v>
      </c>
      <c r="AJ120" s="64" t="s" ph="1">
        <v>628</v>
      </c>
      <c r="AK120" s="64" t="s" ph="1">
        <v>408</v>
      </c>
      <c r="AY120" s="64" t="s" ph="1">
        <v>257</v>
      </c>
      <c r="AZ120" s="64" t="s" ph="1">
        <v>408</v>
      </c>
    </row>
    <row r="121" spans="33:52" ph="1">
      <c r="AH121" s="64" ph="1">
        <v>2</v>
      </c>
      <c r="AI121" s="64" t="s" ph="1">
        <v>555</v>
      </c>
      <c r="AY121" s="64" t="s" ph="1">
        <v>257</v>
      </c>
      <c r="AZ121" s="64" t="s" ph="1">
        <v>408</v>
      </c>
    </row>
    <row r="122" spans="33:52" ph="1">
      <c r="AH122" s="64" ph="1">
        <v>3</v>
      </c>
      <c r="AI122" s="64" t="s" ph="1">
        <v>556</v>
      </c>
      <c r="AJ122" s="64" t="s" ph="1">
        <v>611</v>
      </c>
      <c r="AK122" s="64" t="s" ph="1">
        <v>623</v>
      </c>
      <c r="AM122" s="64" t="s" ph="1">
        <v>638</v>
      </c>
      <c r="AN122" s="64" t="s" ph="1">
        <v>631</v>
      </c>
      <c r="AO122" s="64" t="s" ph="1">
        <v>108</v>
      </c>
      <c r="AY122" s="64" t="s" ph="1">
        <v>257</v>
      </c>
      <c r="AZ122" s="64" t="s" ph="1">
        <v>620</v>
      </c>
    </row>
    <row r="123" spans="33:52" ph="1">
      <c r="AY123" s="64" t="s" ph="1">
        <v>257</v>
      </c>
      <c r="AZ123" s="64" t="s" ph="1">
        <v>620</v>
      </c>
    </row>
    <row r="124" spans="33:52" ph="1">
      <c r="AG124" s="64" t="s" ph="1">
        <v>397</v>
      </c>
      <c r="AH124" s="64" ph="1">
        <v>4</v>
      </c>
      <c r="AI124" s="64" t="s" ph="1">
        <v>557</v>
      </c>
      <c r="AJ124" s="64" t="s" ph="1">
        <v>558</v>
      </c>
      <c r="AK124" s="64" t="s" ph="1">
        <v>559</v>
      </c>
      <c r="AY124" s="64" t="s" ph="1">
        <v>257</v>
      </c>
      <c r="AZ124" s="64" t="s" ph="1">
        <v>559</v>
      </c>
    </row>
    <row r="125" spans="33:52" ph="1">
      <c r="AH125" s="64" ph="1">
        <v>5</v>
      </c>
      <c r="AI125" s="64" t="s" ph="1">
        <v>560</v>
      </c>
      <c r="AJ125" s="64" t="s" ph="1">
        <v>558</v>
      </c>
      <c r="AK125" s="64" t="s" ph="1">
        <v>559</v>
      </c>
      <c r="AY125" s="64" t="s" ph="1">
        <v>257</v>
      </c>
      <c r="AZ125" s="64" t="s" ph="1">
        <v>559</v>
      </c>
    </row>
    <row r="126" spans="33:52" ph="1">
      <c r="AH126" s="64" ph="1">
        <v>6</v>
      </c>
      <c r="AI126" s="64" t="s" ph="1">
        <v>561</v>
      </c>
      <c r="AJ126" s="64" t="s" ph="1">
        <v>630</v>
      </c>
      <c r="AK126" s="64" t="s" ph="1">
        <v>639</v>
      </c>
      <c r="AY126" s="64" t="s" ph="1">
        <v>257</v>
      </c>
      <c r="AZ126" s="64" t="s" ph="1">
        <v>639</v>
      </c>
    </row>
    <row r="127" spans="33:52" ph="1">
      <c r="AH127" s="64" ph="1">
        <v>7</v>
      </c>
      <c r="AI127" s="64" t="s" ph="1">
        <v>562</v>
      </c>
      <c r="AJ127" s="64" t="s" ph="1">
        <v>630</v>
      </c>
      <c r="AK127" s="64" t="s" ph="1">
        <v>640</v>
      </c>
      <c r="AY127" s="64" t="s" ph="1">
        <v>257</v>
      </c>
      <c r="AZ127" s="64" t="s" ph="1">
        <v>640</v>
      </c>
    </row>
    <row r="128" spans="33:52" ph="1">
      <c r="AH128" s="64" ph="1">
        <v>8</v>
      </c>
      <c r="AI128" s="64" t="s" ph="1">
        <v>563</v>
      </c>
      <c r="AY128" s="64" t="s" ph="1">
        <v>257</v>
      </c>
      <c r="AZ128" s="64" t="s" ph="1">
        <v>408</v>
      </c>
    </row>
    <row r="129" spans="33:52" ph="1">
      <c r="AH129" s="64" ph="1">
        <v>9</v>
      </c>
      <c r="AI129" s="64" t="s" ph="1">
        <v>564</v>
      </c>
      <c r="AY129" s="64" t="s" ph="1">
        <v>257</v>
      </c>
      <c r="AZ129" s="64" t="s" ph="1">
        <v>408</v>
      </c>
    </row>
    <row r="130" spans="33:52" ph="1">
      <c r="AH130" s="64" ph="1">
        <v>10</v>
      </c>
      <c r="AI130" s="64" t="s" ph="1">
        <v>565</v>
      </c>
      <c r="AY130" s="64" t="s" ph="1">
        <v>257</v>
      </c>
      <c r="AZ130" s="64" t="s" ph="1">
        <v>408</v>
      </c>
    </row>
    <row r="131" spans="33:52" ph="1">
      <c r="AH131" s="64" ph="1">
        <v>11</v>
      </c>
      <c r="AI131" s="64" t="s" ph="1">
        <v>566</v>
      </c>
      <c r="AJ131" s="64" t="s" ph="1">
        <v>624</v>
      </c>
      <c r="AK131" s="64" t="s" ph="1">
        <v>620</v>
      </c>
      <c r="AY131" s="64" t="s" ph="1">
        <v>257</v>
      </c>
      <c r="AZ131" s="64" t="s" ph="1">
        <v>620</v>
      </c>
    </row>
    <row r="132" spans="33:52" ph="1">
      <c r="AH132" s="64" ph="1">
        <v>12</v>
      </c>
      <c r="AI132" s="64" t="s" ph="1">
        <v>567</v>
      </c>
      <c r="AJ132" s="64" t="s" ph="1">
        <v>624</v>
      </c>
      <c r="AK132" s="64" t="s" ph="1">
        <v>559</v>
      </c>
      <c r="AY132" s="64" t="s" ph="1">
        <v>257</v>
      </c>
      <c r="AZ132" s="64" t="s" ph="1">
        <v>559</v>
      </c>
    </row>
    <row r="133" spans="33:52" ph="1">
      <c r="AH133" s="64" ph="1">
        <v>13</v>
      </c>
      <c r="AI133" s="64" t="s" ph="1">
        <v>568</v>
      </c>
      <c r="AJ133" s="64" t="s" ph="1">
        <v>624</v>
      </c>
      <c r="AK133" s="64" t="s" ph="1">
        <v>625</v>
      </c>
      <c r="AY133" s="64" t="s" ph="1">
        <v>257</v>
      </c>
      <c r="AZ133" s="64" t="s" ph="1">
        <v>625</v>
      </c>
    </row>
    <row r="134" spans="33:52" ph="1">
      <c r="AH134" s="64" ph="1">
        <v>14</v>
      </c>
      <c r="AI134" s="64" t="s" ph="1">
        <v>569</v>
      </c>
      <c r="AJ134" s="64" t="s" ph="1">
        <v>624</v>
      </c>
      <c r="AK134" s="64" t="s" ph="1">
        <v>626</v>
      </c>
      <c r="AY134" s="64" t="s" ph="1">
        <v>257</v>
      </c>
      <c r="AZ134" s="64" t="s" ph="1">
        <v>626</v>
      </c>
    </row>
    <row r="135" spans="33:52" ph="1">
      <c r="AH135" s="64" ph="1">
        <v>15</v>
      </c>
      <c r="AI135" s="64" t="s" ph="1">
        <v>570</v>
      </c>
      <c r="AJ135" s="64" t="s" ph="1">
        <v>624</v>
      </c>
      <c r="AK135" s="64" t="s" ph="1">
        <v>627</v>
      </c>
      <c r="AY135" s="64" t="s" ph="1">
        <v>257</v>
      </c>
      <c r="AZ135" s="64" t="s" ph="1">
        <v>627</v>
      </c>
    </row>
    <row r="136" spans="33:52" ph="1">
      <c r="AZ136" s="64" t="s" ph="1">
        <v>641</v>
      </c>
    </row>
    <row r="137" spans="33:52" ph="1">
      <c r="AG137" s="64" t="s" ph="1">
        <v>331</v>
      </c>
      <c r="AI137" s="64" t="s" ph="1">
        <v>250</v>
      </c>
      <c r="AJ137" s="64" t="s" ph="1">
        <v>251</v>
      </c>
      <c r="AK137" s="64" t="s" ph="1">
        <v>252</v>
      </c>
      <c r="AM137" s="64" t="s" ph="1">
        <v>251</v>
      </c>
      <c r="AN137" s="64" t="s" ph="1">
        <v>252</v>
      </c>
      <c r="AO137" s="64" t="s" ph="1">
        <v>253</v>
      </c>
      <c r="AP137" s="64" t="s" ph="1">
        <v>251</v>
      </c>
      <c r="AQ137" s="64" t="s" ph="1">
        <v>252</v>
      </c>
      <c r="AR137" s="64" t="s" ph="1">
        <v>253</v>
      </c>
      <c r="AS137" s="64" t="s" ph="1">
        <v>251</v>
      </c>
      <c r="AT137" s="64" t="s" ph="1">
        <v>252</v>
      </c>
      <c r="AU137" s="64" t="s" ph="1">
        <v>253</v>
      </c>
      <c r="AV137" s="64" t="s" ph="1">
        <v>251</v>
      </c>
      <c r="AW137" s="64" t="s" ph="1">
        <v>252</v>
      </c>
      <c r="AX137" s="64" t="s" ph="1">
        <v>253</v>
      </c>
      <c r="AY137" s="64" t="s" ph="1">
        <v>252</v>
      </c>
      <c r="AZ137" s="64" t="s" ph="1">
        <v>254</v>
      </c>
    </row>
    <row r="138" spans="33:52" ph="1">
      <c r="AH138" s="64" ph="1">
        <v>1</v>
      </c>
      <c r="AI138" s="64" t="s" ph="1">
        <v>571</v>
      </c>
      <c r="AJ138" s="64" t="s" ph="1">
        <v>572</v>
      </c>
      <c r="AK138" s="64" t="s" ph="1">
        <v>573</v>
      </c>
      <c r="AY138" s="64" t="s" ph="1">
        <v>257</v>
      </c>
      <c r="AZ138" s="64" t="s" ph="1">
        <v>573</v>
      </c>
    </row>
    <row r="139" spans="33:52" ph="1">
      <c r="AH139" s="64" ph="1">
        <v>2</v>
      </c>
      <c r="AI139" s="64" t="s" ph="1">
        <v>574</v>
      </c>
      <c r="AJ139" s="64" t="s" ph="1">
        <v>630</v>
      </c>
      <c r="AK139" s="64" t="s" ph="1">
        <v>642</v>
      </c>
      <c r="AY139" s="64" t="s" ph="1">
        <v>257</v>
      </c>
      <c r="AZ139" s="64" t="s" ph="1">
        <v>642</v>
      </c>
    </row>
    <row r="140" spans="33:52" ph="1">
      <c r="AH140" s="64" ph="1">
        <v>3</v>
      </c>
      <c r="AI140" s="64" t="s" ph="1">
        <v>575</v>
      </c>
      <c r="AJ140" s="64" t="s" ph="1">
        <v>528</v>
      </c>
      <c r="AK140" s="64" t="s" ph="1">
        <v>340</v>
      </c>
      <c r="AM140" s="64" t="s" ph="1">
        <v>529</v>
      </c>
      <c r="AN140" s="64" t="s" ph="1">
        <v>260</v>
      </c>
      <c r="AO140" s="64" t="s" ph="1">
        <v>576</v>
      </c>
      <c r="AP140" s="64" t="s" ph="1">
        <v>530</v>
      </c>
      <c r="AQ140" s="64" t="s" ph="1">
        <v>277</v>
      </c>
      <c r="AR140" s="64" t="s" ph="1">
        <v>576</v>
      </c>
      <c r="AS140" s="64" t="s" ph="1">
        <v>531</v>
      </c>
      <c r="AT140" s="64" t="s" ph="1">
        <v>270</v>
      </c>
      <c r="AU140" s="64" t="s" ph="1">
        <v>576</v>
      </c>
      <c r="AV140" s="64" t="s" ph="1">
        <v>532</v>
      </c>
      <c r="AW140" s="64" t="s" ph="1">
        <v>263</v>
      </c>
      <c r="AX140" s="64" t="s" ph="1">
        <v>576</v>
      </c>
      <c r="AY140" s="64" t="s" ph="1">
        <v>257</v>
      </c>
      <c r="AZ140" s="64" t="s" ph="1">
        <v>332</v>
      </c>
    </row>
    <row r="141" spans="33:52" ph="1">
      <c r="AJ141" s="64" t="s" ph="1">
        <v>534</v>
      </c>
      <c r="AK141" s="64" t="s" ph="1">
        <v>263</v>
      </c>
      <c r="AM141" s="64" t="s" ph="1">
        <v>535</v>
      </c>
      <c r="AN141" s="64" t="s" ph="1">
        <v>266</v>
      </c>
      <c r="AO141" s="64" t="s" ph="1">
        <v>576</v>
      </c>
      <c r="AP141" s="64" t="s" ph="1">
        <v>547</v>
      </c>
      <c r="AQ141" s="64" t="s" ph="1">
        <v>335</v>
      </c>
      <c r="AR141" s="64" t="s" ph="1">
        <v>576</v>
      </c>
      <c r="AS141" s="64" t="s" ph="1">
        <v>539</v>
      </c>
      <c r="AT141" s="64" t="s" ph="1">
        <v>263</v>
      </c>
      <c r="AU141" s="64" t="s" ph="1">
        <v>576</v>
      </c>
      <c r="AV141" s="64" t="s" ph="1">
        <v>375</v>
      </c>
      <c r="AW141" s="64" t="s" ph="1">
        <v>269</v>
      </c>
      <c r="AX141" s="64" t="s" ph="1">
        <v>576</v>
      </c>
    </row>
    <row r="142" spans="33:52" ph="1">
      <c r="AJ142" s="64" t="s" ph="1">
        <v>577</v>
      </c>
      <c r="AK142" s="64" t="s" ph="1">
        <v>280</v>
      </c>
    </row>
    <row r="143" spans="33:52" ph="1">
      <c r="AH143" s="64" ph="1">
        <v>4</v>
      </c>
      <c r="AI143" s="64" t="s" ph="1">
        <v>578</v>
      </c>
      <c r="AJ143" s="64" t="s" ph="1">
        <v>558</v>
      </c>
      <c r="AK143" s="64" t="s" ph="1">
        <v>579</v>
      </c>
      <c r="AY143" s="64" t="s" ph="1">
        <v>257</v>
      </c>
      <c r="AZ143" s="64" t="s" ph="1">
        <v>579</v>
      </c>
    </row>
    <row r="144" spans="33:52" ph="1">
      <c r="AH144" s="64" ph="1">
        <v>5</v>
      </c>
      <c r="AI144" s="64" t="s" ph="1">
        <v>580</v>
      </c>
      <c r="AY144" s="64" t="s" ph="1">
        <v>257</v>
      </c>
      <c r="AZ144" s="64" t="s" ph="1">
        <v>408</v>
      </c>
    </row>
    <row r="145" spans="33:52" ph="1">
      <c r="AH145" s="64" ph="1">
        <v>6</v>
      </c>
      <c r="AI145" s="64" t="s" ph="1">
        <v>581</v>
      </c>
      <c r="AY145" s="64" t="s" ph="1">
        <v>257</v>
      </c>
      <c r="AZ145" s="64" t="s" ph="1">
        <v>408</v>
      </c>
    </row>
    <row r="146" spans="33:52" ph="1">
      <c r="AH146" s="64" ph="1">
        <v>7</v>
      </c>
      <c r="AI146" s="64" t="s" ph="1">
        <v>582</v>
      </c>
      <c r="AY146" s="64" t="s" ph="1">
        <v>257</v>
      </c>
      <c r="AZ146" s="64" t="s" ph="1">
        <v>408</v>
      </c>
    </row>
    <row r="147" spans="33:52" ph="1">
      <c r="AH147" s="64" ph="1">
        <v>8</v>
      </c>
      <c r="AI147" s="64" t="s" ph="1">
        <v>583</v>
      </c>
      <c r="AY147" s="64" t="s" ph="1">
        <v>257</v>
      </c>
      <c r="AZ147" s="64" t="s" ph="1">
        <v>408</v>
      </c>
    </row>
    <row r="148" spans="33:52" ph="1">
      <c r="AH148" s="64" ph="1">
        <v>9</v>
      </c>
      <c r="AI148" s="64" t="s" ph="1">
        <v>584</v>
      </c>
      <c r="AY148" s="64" t="s" ph="1">
        <v>257</v>
      </c>
      <c r="AZ148" s="64" t="s" ph="1">
        <v>408</v>
      </c>
    </row>
    <row r="149" spans="33:52" ph="1">
      <c r="AH149" s="64" ph="1">
        <v>10</v>
      </c>
      <c r="AI149" s="64" t="s" ph="1">
        <v>585</v>
      </c>
      <c r="AY149" s="64" t="s" ph="1">
        <v>257</v>
      </c>
      <c r="AZ149" s="64" t="s" ph="1">
        <v>408</v>
      </c>
    </row>
    <row r="150" spans="33:52" ph="1">
      <c r="AH150" s="64" ph="1">
        <v>11</v>
      </c>
      <c r="AI150" s="64" t="s" ph="1">
        <v>586</v>
      </c>
      <c r="AY150" s="64" t="s" ph="1">
        <v>257</v>
      </c>
      <c r="AZ150" s="64" t="s" ph="1">
        <v>408</v>
      </c>
    </row>
    <row r="151" spans="33:52" ph="1">
      <c r="AH151" s="64" ph="1">
        <v>12</v>
      </c>
      <c r="AI151" s="64" t="s" ph="1">
        <v>587</v>
      </c>
      <c r="AY151" s="64" t="s" ph="1">
        <v>257</v>
      </c>
      <c r="AZ151" s="64" t="s" ph="1">
        <v>408</v>
      </c>
    </row>
    <row r="152" spans="33:52" ph="1">
      <c r="AH152" s="64" ph="1">
        <v>13</v>
      </c>
      <c r="AI152" s="64" t="s" ph="1">
        <v>588</v>
      </c>
      <c r="AY152" s="64" t="s" ph="1">
        <v>257</v>
      </c>
      <c r="AZ152" s="64" t="s" ph="1">
        <v>408</v>
      </c>
    </row>
    <row r="153" spans="33:52" ph="1">
      <c r="AH153" s="64" ph="1">
        <v>14</v>
      </c>
      <c r="AI153" s="64" t="s" ph="1">
        <v>589</v>
      </c>
      <c r="AY153" s="64" t="s" ph="1">
        <v>257</v>
      </c>
      <c r="AZ153" s="64" t="s" ph="1">
        <v>408</v>
      </c>
    </row>
    <row r="154" spans="33:52" ph="1">
      <c r="AH154" s="64" ph="1">
        <v>15</v>
      </c>
      <c r="AI154" s="64" t="s" ph="1">
        <v>590</v>
      </c>
      <c r="AY154" s="64" t="s" ph="1">
        <v>257</v>
      </c>
      <c r="AZ154" s="64" t="s" ph="1">
        <v>408</v>
      </c>
    </row>
    <row r="155" spans="33:52" ph="1">
      <c r="AH155" s="64" ph="1">
        <v>16</v>
      </c>
      <c r="AI155" s="64" t="s" ph="1">
        <v>591</v>
      </c>
      <c r="AJ155" s="64" t="s" ph="1">
        <v>377</v>
      </c>
      <c r="AK155" s="64" t="s" ph="1">
        <v>272</v>
      </c>
      <c r="AM155" s="64" t="s" ph="1">
        <v>611</v>
      </c>
      <c r="AN155" s="64" t="s" ph="1">
        <v>323</v>
      </c>
      <c r="AO155" s="64" t="s" ph="1">
        <v>576</v>
      </c>
      <c r="AY155" s="64" t="s" ph="1">
        <v>257</v>
      </c>
      <c r="AZ155" s="64" t="s" ph="1">
        <v>264</v>
      </c>
    </row>
    <row r="156" spans="33:52" ph="1">
      <c r="AZ156" s="64" t="s" ph="1">
        <v>643</v>
      </c>
    </row>
    <row r="157" spans="33:52" ph="1">
      <c r="AG157" s="64" t="s" ph="1">
        <v>592</v>
      </c>
      <c r="AI157" s="64" t="s" ph="1">
        <v>250</v>
      </c>
      <c r="AJ157" s="64" t="s" ph="1">
        <v>251</v>
      </c>
      <c r="AK157" s="64" t="s" ph="1">
        <v>252</v>
      </c>
      <c r="AM157" s="64" t="s" ph="1">
        <v>251</v>
      </c>
      <c r="AN157" s="64" t="s" ph="1">
        <v>252</v>
      </c>
      <c r="AO157" s="64" t="s" ph="1">
        <v>253</v>
      </c>
      <c r="AP157" s="64" t="s" ph="1">
        <v>251</v>
      </c>
      <c r="AQ157" s="64" t="s" ph="1">
        <v>252</v>
      </c>
      <c r="AR157" s="64" t="s" ph="1">
        <v>253</v>
      </c>
      <c r="AS157" s="64" t="s" ph="1">
        <v>251</v>
      </c>
      <c r="AT157" s="64" t="s" ph="1">
        <v>252</v>
      </c>
      <c r="AU157" s="64" t="s" ph="1">
        <v>253</v>
      </c>
      <c r="AV157" s="64" t="s" ph="1">
        <v>251</v>
      </c>
      <c r="AW157" s="64" t="s" ph="1">
        <v>252</v>
      </c>
      <c r="AX157" s="64" t="s" ph="1">
        <v>253</v>
      </c>
      <c r="AY157" s="64" t="s" ph="1">
        <v>252</v>
      </c>
      <c r="AZ157" s="64" t="s" ph="1">
        <v>254</v>
      </c>
    </row>
    <row r="158" spans="33:52" ph="1">
      <c r="AH158" s="64" ph="1">
        <v>1</v>
      </c>
      <c r="AI158" s="64" t="s" ph="1">
        <v>593</v>
      </c>
      <c r="AY158" s="64" t="s" ph="1">
        <v>257</v>
      </c>
      <c r="AZ158" s="64" t="s" ph="1">
        <v>408</v>
      </c>
    </row>
    <row r="159" spans="33:52" ph="1">
      <c r="AH159" s="64" ph="1">
        <v>2</v>
      </c>
      <c r="AI159" s="64" t="s" ph="1">
        <v>594</v>
      </c>
      <c r="AY159" s="64" t="s" ph="1">
        <v>257</v>
      </c>
      <c r="AZ159" s="64" t="s" ph="1">
        <v>408</v>
      </c>
    </row>
    <row r="160" spans="33:52" ph="1">
      <c r="AZ160" s="64" t="s" ph="1">
        <v>426</v>
      </c>
    </row>
    <row r="161" spans="33:52" ph="1">
      <c r="AG161" s="64" t="s" ph="1">
        <v>402</v>
      </c>
      <c r="AI161" s="64" t="s" ph="1">
        <v>250</v>
      </c>
      <c r="AJ161" s="64" t="s" ph="1">
        <v>251</v>
      </c>
      <c r="AK161" s="64" t="s" ph="1">
        <v>252</v>
      </c>
      <c r="AM161" s="64" t="s" ph="1">
        <v>251</v>
      </c>
      <c r="AN161" s="64" t="s" ph="1">
        <v>252</v>
      </c>
      <c r="AO161" s="64" t="s" ph="1">
        <v>253</v>
      </c>
      <c r="AP161" s="64" t="s" ph="1">
        <v>251</v>
      </c>
      <c r="AQ161" s="64" t="s" ph="1">
        <v>252</v>
      </c>
      <c r="AR161" s="64" t="s" ph="1">
        <v>253</v>
      </c>
      <c r="AS161" s="64" t="s" ph="1">
        <v>251</v>
      </c>
      <c r="AT161" s="64" t="s" ph="1">
        <v>252</v>
      </c>
      <c r="AU161" s="64" t="s" ph="1">
        <v>253</v>
      </c>
      <c r="AV161" s="64" t="s" ph="1">
        <v>251</v>
      </c>
      <c r="AW161" s="64" t="s" ph="1">
        <v>252</v>
      </c>
      <c r="AX161" s="64" t="s" ph="1">
        <v>253</v>
      </c>
      <c r="AY161" s="64" t="s" ph="1">
        <v>252</v>
      </c>
      <c r="AZ161" s="64" t="s" ph="1">
        <v>254</v>
      </c>
    </row>
    <row r="162" spans="33:52" ph="1">
      <c r="AH162" s="64" ph="1">
        <v>1</v>
      </c>
      <c r="AI162" s="64" t="s" ph="1">
        <v>595</v>
      </c>
      <c r="AJ162" s="64" t="s" ph="1">
        <v>596</v>
      </c>
      <c r="AK162" s="64" t="s" ph="1">
        <v>540</v>
      </c>
      <c r="AM162" s="64" t="s" ph="1">
        <v>597</v>
      </c>
      <c r="AN162" s="64" t="s" ph="1">
        <v>261</v>
      </c>
      <c r="AO162" s="64" t="s" ph="1">
        <v>598</v>
      </c>
      <c r="AY162" s="64" t="s" ph="1">
        <v>257</v>
      </c>
      <c r="AZ162" s="64" t="s" ph="1">
        <v>333</v>
      </c>
    </row>
    <row r="163" spans="33:52" ph="1">
      <c r="AH163" s="64" ph="1">
        <v>2</v>
      </c>
      <c r="AI163" s="64" t="s" ph="1">
        <v>599</v>
      </c>
      <c r="AJ163" s="64" t="s" ph="1">
        <v>596</v>
      </c>
      <c r="AK163" s="64" t="s" ph="1">
        <v>429</v>
      </c>
      <c r="AY163" s="64" t="s" ph="1">
        <v>257</v>
      </c>
      <c r="AZ163" s="64" t="s" ph="1">
        <v>429</v>
      </c>
    </row>
    <row r="164" spans="33:52" ph="1">
      <c r="AH164" s="64" ph="1">
        <v>3</v>
      </c>
      <c r="AI164" s="64" t="s" ph="1">
        <v>600</v>
      </c>
      <c r="AJ164" s="64" t="s" ph="1">
        <v>596</v>
      </c>
      <c r="AK164" s="64" t="s" ph="1">
        <v>333</v>
      </c>
      <c r="AY164" s="64" t="s" ph="1">
        <v>257</v>
      </c>
      <c r="AZ164" s="64" t="s" ph="1">
        <v>333</v>
      </c>
    </row>
    <row r="165" spans="33:52" ph="1">
      <c r="AH165" s="64" ph="1">
        <v>4</v>
      </c>
      <c r="AI165" s="64" t="s" ph="1">
        <v>601</v>
      </c>
      <c r="AY165" s="64" t="s" ph="1">
        <v>257</v>
      </c>
      <c r="AZ165" s="64" t="s" ph="1">
        <v>408</v>
      </c>
    </row>
    <row r="166" spans="33:52" ph="1">
      <c r="AH166" s="64" ph="1">
        <v>5</v>
      </c>
      <c r="AI166" s="64" t="s" ph="1">
        <v>602</v>
      </c>
      <c r="AY166" s="64" t="s" ph="1">
        <v>257</v>
      </c>
      <c r="AZ166" s="64" t="s" ph="1">
        <v>408</v>
      </c>
    </row>
    <row r="167" spans="33:52" ph="1">
      <c r="AZ167" s="64" t="s" ph="1">
        <v>603</v>
      </c>
    </row>
    <row r="168" spans="33:52" ph="1">
      <c r="AG168" s="64" t="s" ph="1">
        <v>346</v>
      </c>
      <c r="AI168" s="64" t="s" ph="1">
        <v>250</v>
      </c>
      <c r="AJ168" s="64" t="s" ph="1">
        <v>251</v>
      </c>
      <c r="AK168" s="64" t="s" ph="1">
        <v>252</v>
      </c>
      <c r="AM168" s="64" t="s" ph="1">
        <v>251</v>
      </c>
      <c r="AN168" s="64" t="s" ph="1">
        <v>252</v>
      </c>
      <c r="AO168" s="64" t="s" ph="1">
        <v>253</v>
      </c>
      <c r="AP168" s="64" t="s" ph="1">
        <v>251</v>
      </c>
      <c r="AQ168" s="64" t="s" ph="1">
        <v>252</v>
      </c>
      <c r="AR168" s="64" t="s" ph="1">
        <v>253</v>
      </c>
      <c r="AS168" s="64" t="s" ph="1">
        <v>251</v>
      </c>
      <c r="AT168" s="64" t="s" ph="1">
        <v>252</v>
      </c>
      <c r="AU168" s="64" t="s" ph="1">
        <v>253</v>
      </c>
      <c r="AV168" s="64" t="s" ph="1">
        <v>251</v>
      </c>
      <c r="AW168" s="64" t="s" ph="1">
        <v>252</v>
      </c>
      <c r="AX168" s="64" t="s" ph="1">
        <v>253</v>
      </c>
      <c r="AY168" s="64" t="s" ph="1">
        <v>252</v>
      </c>
      <c r="AZ168" s="64" t="s" ph="1">
        <v>254</v>
      </c>
    </row>
    <row r="169" spans="33:52" ph="1">
      <c r="AH169" s="64" ph="1">
        <v>1</v>
      </c>
      <c r="AI169" s="64" t="s" ph="1">
        <v>604</v>
      </c>
      <c r="AY169" s="64" t="s" ph="1">
        <v>257</v>
      </c>
      <c r="AZ169" s="64" t="s" ph="1">
        <v>408</v>
      </c>
    </row>
    <row r="170" spans="33:52" ph="1">
      <c r="AH170" s="64" ph="1">
        <v>2</v>
      </c>
      <c r="AI170" s="64" t="s" ph="1">
        <v>605</v>
      </c>
      <c r="AY170" s="64" t="s" ph="1">
        <v>257</v>
      </c>
      <c r="AZ170" s="64" t="s" ph="1">
        <v>408</v>
      </c>
    </row>
    <row r="171" spans="33:52" ph="1">
      <c r="AH171" s="64" ph="1">
        <v>3</v>
      </c>
      <c r="AI171" s="64" t="s" ph="1">
        <v>606</v>
      </c>
      <c r="AY171" s="64" t="s" ph="1">
        <v>257</v>
      </c>
      <c r="AZ171" s="64" t="s" ph="1">
        <v>408</v>
      </c>
    </row>
    <row r="172" spans="33:52" ph="1">
      <c r="AH172" s="64" ph="1">
        <v>4</v>
      </c>
      <c r="AI172" s="64" t="s" ph="1">
        <v>607</v>
      </c>
      <c r="AY172" s="64" t="s" ph="1">
        <v>257</v>
      </c>
      <c r="AZ172" s="64" t="s" ph="1">
        <v>408</v>
      </c>
    </row>
    <row r="173" spans="33:52" ph="1">
      <c r="AH173" s="64" ph="1">
        <v>5</v>
      </c>
      <c r="AI173" s="64" t="s" ph="1">
        <v>608</v>
      </c>
      <c r="AY173" s="64" t="s" ph="1">
        <v>257</v>
      </c>
      <c r="AZ173" s="64" t="s" ph="1">
        <v>408</v>
      </c>
    </row>
    <row r="174" spans="33:52" ph="1">
      <c r="AZ174" s="64" t="s" ph="1">
        <v>426</v>
      </c>
    </row>
    <row r="175" spans="33:52" ph="1">
      <c r="AJ175" s="64" t="s" ph="1">
        <v>347</v>
      </c>
    </row>
    <row r="176" spans="33:52" ph="1">
      <c r="AJ176" s="64" t="s" ph="1">
        <v>348</v>
      </c>
      <c r="AK176" s="64" t="s" ph="1">
        <v>349</v>
      </c>
      <c r="AM176" s="64" t="s" ph="1">
        <v>350</v>
      </c>
      <c r="AO176" s="64" t="s" ph="1">
        <v>351</v>
      </c>
      <c r="AP176" s="64" t="s" ph="1">
        <v>352</v>
      </c>
      <c r="AQ176" s="64" t="s" ph="1">
        <v>342</v>
      </c>
      <c r="AR176" s="64" t="s" ph="1">
        <v>262</v>
      </c>
    </row>
    <row r="177" spans="36:56" ph="1">
      <c r="AJ177" s="64" t="s" ph="1">
        <v>644</v>
      </c>
      <c r="AK177" s="64" t="s" ph="1">
        <v>353</v>
      </c>
      <c r="AO177" s="64" t="s" ph="1">
        <v>353</v>
      </c>
      <c r="AP177" s="64" t="s" ph="1">
        <v>353</v>
      </c>
      <c r="AQ177" s="64" t="s" ph="1">
        <v>354</v>
      </c>
      <c r="AR177" s="64" t="s" ph="1">
        <v>355</v>
      </c>
    </row>
    <row r="179" spans="36:56" ph="1">
      <c r="AJ179" s="64" t="s" ph="1">
        <v>356</v>
      </c>
      <c r="AK179" s="64" t="s" ph="1">
        <v>357</v>
      </c>
      <c r="AM179" s="64" t="s" ph="1">
        <v>358</v>
      </c>
      <c r="AN179" s="64" t="s" ph="1">
        <v>334</v>
      </c>
      <c r="AO179" s="64" t="s" ph="1">
        <v>359</v>
      </c>
      <c r="AP179" s="64" t="s" ph="1">
        <v>338</v>
      </c>
      <c r="AQ179" s="64" t="s" ph="1">
        <v>360</v>
      </c>
      <c r="AR179" s="64" t="s" ph="1">
        <v>361</v>
      </c>
    </row>
    <row r="180" spans="36:56" ph="1">
      <c r="AJ180" s="64" t="s" ph="1">
        <v>353</v>
      </c>
      <c r="AK180" s="64" t="s" ph="1">
        <v>353</v>
      </c>
      <c r="AL180" s="64" ph="1">
        <v>116</v>
      </c>
      <c r="AM180" s="64" t="s" ph="1">
        <v>353</v>
      </c>
      <c r="AN180" s="64" t="s" ph="1">
        <v>362</v>
      </c>
      <c r="AO180" s="64" t="s" ph="1">
        <v>353</v>
      </c>
      <c r="AP180" s="64" t="s" ph="1">
        <v>363</v>
      </c>
      <c r="AQ180" s="64" t="s" ph="1">
        <v>364</v>
      </c>
      <c r="AR180" s="64" t="s" ph="1">
        <v>365</v>
      </c>
    </row>
    <row r="189" spans="36:56" ph="1">
      <c r="BD189" s="64" t="s" ph="1">
        <v>609</v>
      </c>
    </row>
    <row r="223" spans="18:18" ph="1">
      <c r="R223" s="138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885" priority="92">
      <formula>ABS(D$7-D$10)&gt;=1000</formula>
    </cfRule>
  </conditionalFormatting>
  <conditionalFormatting sqref="E4 E6:E11">
    <cfRule type="expression" dxfId="1884" priority="91">
      <formula>ABS(E$7-E$10)&gt;=1000</formula>
    </cfRule>
  </conditionalFormatting>
  <conditionalFormatting sqref="F4:F11">
    <cfRule type="expression" dxfId="1883" priority="90">
      <formula>ABS(F$7-F$10)&gt;=1000</formula>
    </cfRule>
  </conditionalFormatting>
  <conditionalFormatting sqref="G4:G11">
    <cfRule type="expression" dxfId="1882" priority="89">
      <formula>ABS(G$7-G$10)&gt;=1000</formula>
    </cfRule>
  </conditionalFormatting>
  <conditionalFormatting sqref="H4:H11">
    <cfRule type="expression" dxfId="1881" priority="88">
      <formula>ABS(H$7-H$10)&gt;=1000</formula>
    </cfRule>
  </conditionalFormatting>
  <conditionalFormatting sqref="I4:I11">
    <cfRule type="expression" dxfId="1880" priority="87">
      <formula>ABS(I$7-I$10)&gt;=1000</formula>
    </cfRule>
  </conditionalFormatting>
  <conditionalFormatting sqref="J4:J11">
    <cfRule type="expression" dxfId="1879" priority="86">
      <formula>ABS(J$7-J$10)&gt;=1000</formula>
    </cfRule>
  </conditionalFormatting>
  <conditionalFormatting sqref="K4:K11">
    <cfRule type="expression" dxfId="1878" priority="85">
      <formula>ABS(K$7-K$10)&gt;=1000</formula>
    </cfRule>
  </conditionalFormatting>
  <conditionalFormatting sqref="L4:L11">
    <cfRule type="expression" dxfId="1877" priority="84">
      <formula>ABS(L$7-L$10)&gt;=1000</formula>
    </cfRule>
  </conditionalFormatting>
  <conditionalFormatting sqref="M4:M11">
    <cfRule type="expression" dxfId="1876" priority="83">
      <formula>ABS(M$7-M$10)&gt;=1000</formula>
    </cfRule>
  </conditionalFormatting>
  <conditionalFormatting sqref="N4:N11">
    <cfRule type="expression" dxfId="1875" priority="82">
      <formula>ABS(N$7-N$10)&gt;=1000</formula>
    </cfRule>
  </conditionalFormatting>
  <conditionalFormatting sqref="O4:O11">
    <cfRule type="expression" dxfId="1874" priority="81">
      <formula>ABS(O$7-O$10)&gt;=1000</formula>
    </cfRule>
  </conditionalFormatting>
  <conditionalFormatting sqref="P4:P11">
    <cfRule type="expression" dxfId="1873" priority="80">
      <formula>ABS(P$7-P$10)&gt;=1000</formula>
    </cfRule>
  </conditionalFormatting>
  <conditionalFormatting sqref="Q4:Q11">
    <cfRule type="expression" dxfId="1872" priority="79">
      <formula>ABS(Q$7-Q$10)&gt;=1000</formula>
    </cfRule>
  </conditionalFormatting>
  <conditionalFormatting sqref="R4:R11">
    <cfRule type="expression" dxfId="1871" priority="78">
      <formula>ABS(R$7-R$10)&gt;=1000</formula>
    </cfRule>
  </conditionalFormatting>
  <conditionalFormatting sqref="S4:S11">
    <cfRule type="expression" dxfId="1870" priority="77">
      <formula>ABS(S$7-S$10)&gt;=1000</formula>
    </cfRule>
  </conditionalFormatting>
  <conditionalFormatting sqref="T4:T9 T11">
    <cfRule type="expression" dxfId="1869" priority="76">
      <formula>ABS(T$7-T$10)&gt;=1000</formula>
    </cfRule>
  </conditionalFormatting>
  <conditionalFormatting sqref="U4:U9 U11">
    <cfRule type="expression" dxfId="1868" priority="75">
      <formula>ABS(U$7-U$10)&gt;=1000</formula>
    </cfRule>
  </conditionalFormatting>
  <conditionalFormatting sqref="V4:V9 V11">
    <cfRule type="expression" dxfId="1867" priority="74">
      <formula>ABS(V$7-V$10)&gt;=1000</formula>
    </cfRule>
  </conditionalFormatting>
  <conditionalFormatting sqref="W4:W9 W11">
    <cfRule type="expression" dxfId="1866" priority="73">
      <formula>ABS(W$7-W$10)&gt;=1000</formula>
    </cfRule>
  </conditionalFormatting>
  <conditionalFormatting sqref="X4:X9 X11">
    <cfRule type="expression" dxfId="1865" priority="72">
      <formula>ABS(X$7-X$10)&gt;=1000</formula>
    </cfRule>
  </conditionalFormatting>
  <conditionalFormatting sqref="Y4:Y9 Y11">
    <cfRule type="expression" dxfId="1864" priority="71">
      <formula>ABS(Y$7-Y$10)&gt;=1000</formula>
    </cfRule>
  </conditionalFormatting>
  <conditionalFormatting sqref="Z4:Z11">
    <cfRule type="expression" dxfId="1863" priority="70">
      <formula>ABS(Z$7-Z$10)&gt;=1000</formula>
    </cfRule>
  </conditionalFormatting>
  <conditionalFormatting sqref="AA4:AA11">
    <cfRule type="expression" dxfId="1862" priority="69">
      <formula>ABS(AA$7-AA$10)&gt;=1000</formula>
    </cfRule>
  </conditionalFormatting>
  <conditionalFormatting sqref="AB4:AB11">
    <cfRule type="expression" dxfId="1861" priority="68">
      <formula>ABS(AB$7-AB$10)&gt;=1000</formula>
    </cfRule>
  </conditionalFormatting>
  <conditionalFormatting sqref="AC4 AC6:AC11">
    <cfRule type="expression" dxfId="1860" priority="67">
      <formula>ABS(AC$7-AC$10)&gt;=1000</formula>
    </cfRule>
  </conditionalFormatting>
  <conditionalFormatting sqref="AD4:AD11">
    <cfRule type="expression" dxfId="1859" priority="66">
      <formula>ABS(AD$7-AD$10)&gt;=1000</formula>
    </cfRule>
  </conditionalFormatting>
  <conditionalFormatting sqref="AE4:AE11">
    <cfRule type="expression" dxfId="1858" priority="65">
      <formula>ABS(AE$7-AE$10)&gt;=1000</formula>
    </cfRule>
  </conditionalFormatting>
  <conditionalFormatting sqref="D13:D20">
    <cfRule type="expression" dxfId="1857" priority="64">
      <formula>ABS(D$16-D$19)&gt;=1000</formula>
    </cfRule>
  </conditionalFormatting>
  <conditionalFormatting sqref="E13:E20">
    <cfRule type="expression" dxfId="1856" priority="63">
      <formula>ABS(E$16-E$19)&gt;=1000</formula>
    </cfRule>
  </conditionalFormatting>
  <conditionalFormatting sqref="F13 F15:F20">
    <cfRule type="expression" dxfId="1855" priority="62">
      <formula>ABS(F$16-F$19)&gt;=1000</formula>
    </cfRule>
  </conditionalFormatting>
  <conditionalFormatting sqref="G13:G20">
    <cfRule type="expression" dxfId="1854" priority="61">
      <formula>ABS(G$16-G$19)&gt;=1000</formula>
    </cfRule>
  </conditionalFormatting>
  <conditionalFormatting sqref="H13:H20">
    <cfRule type="expression" dxfId="1853" priority="60">
      <formula>ABS(H$16-H$19)&gt;=1000</formula>
    </cfRule>
  </conditionalFormatting>
  <conditionalFormatting sqref="I13:I20">
    <cfRule type="expression" dxfId="1852" priority="59">
      <formula>ABS(I$16-I$19)&gt;=1000</formula>
    </cfRule>
  </conditionalFormatting>
  <conditionalFormatting sqref="J13:J20">
    <cfRule type="expression" dxfId="1851" priority="58">
      <formula>ABS(J$16-J$19)&gt;=1000</formula>
    </cfRule>
  </conditionalFormatting>
  <conditionalFormatting sqref="L13:L20">
    <cfRule type="expression" dxfId="1850" priority="57">
      <formula>ABS(L$16-L$19)&gt;=1000</formula>
    </cfRule>
  </conditionalFormatting>
  <conditionalFormatting sqref="M13 M15 M17:M18 M20">
    <cfRule type="expression" dxfId="1849" priority="56">
      <formula>ABS(M$16-M$19)&gt;=1000</formula>
    </cfRule>
  </conditionalFormatting>
  <conditionalFormatting sqref="N13:N20">
    <cfRule type="expression" dxfId="1848" priority="55">
      <formula>ABS(N$16-N$19)&gt;=1000</formula>
    </cfRule>
  </conditionalFormatting>
  <conditionalFormatting sqref="O13:O20">
    <cfRule type="expression" dxfId="1847" priority="54">
      <formula>ABS(O$16-O$19)&gt;=1000</formula>
    </cfRule>
  </conditionalFormatting>
  <conditionalFormatting sqref="P13:P20">
    <cfRule type="expression" dxfId="1846" priority="53">
      <formula>ABS(P$16-P$19)&gt;=1000</formula>
    </cfRule>
  </conditionalFormatting>
  <conditionalFormatting sqref="Q13 Q15:Q20">
    <cfRule type="expression" dxfId="1845" priority="52">
      <formula>ABS(Q$16-Q$19)&gt;=1000</formula>
    </cfRule>
  </conditionalFormatting>
  <conditionalFormatting sqref="R13:R20">
    <cfRule type="expression" dxfId="1844" priority="51">
      <formula>ABS(R$16-R$19)&gt;=1000</formula>
    </cfRule>
  </conditionalFormatting>
  <conditionalFormatting sqref="S13:S20">
    <cfRule type="expression" dxfId="1843" priority="50">
      <formula>ABS(S$16-S$19)&gt;=1000</formula>
    </cfRule>
  </conditionalFormatting>
  <conditionalFormatting sqref="T13:T20">
    <cfRule type="expression" dxfId="1842" priority="49">
      <formula>ABS(T$16-T$19)&gt;=1000</formula>
    </cfRule>
  </conditionalFormatting>
  <conditionalFormatting sqref="U13:U20">
    <cfRule type="expression" dxfId="1841" priority="48">
      <formula>ABS(U$16-U$19)&gt;=1000</formula>
    </cfRule>
  </conditionalFormatting>
  <conditionalFormatting sqref="V13:V20">
    <cfRule type="expression" dxfId="1840" priority="47">
      <formula>ABS(V$16-V$19)&gt;=1000</formula>
    </cfRule>
  </conditionalFormatting>
  <conditionalFormatting sqref="W13 W15:W18 W20">
    <cfRule type="expression" dxfId="1839" priority="46">
      <formula>ABS(W$16-W$19)&gt;=1000</formula>
    </cfRule>
  </conditionalFormatting>
  <conditionalFormatting sqref="X13 X15:X20 Y19">
    <cfRule type="expression" dxfId="1838" priority="45">
      <formula>ABS(X$16-X$19)&gt;=1000</formula>
    </cfRule>
  </conditionalFormatting>
  <conditionalFormatting sqref="Y13 Y15:Y18 Y20">
    <cfRule type="expression" dxfId="1837" priority="44">
      <formula>ABS(Y$16-Y$19)&gt;=1000</formula>
    </cfRule>
  </conditionalFormatting>
  <conditionalFormatting sqref="Z13:Z20">
    <cfRule type="expression" dxfId="1836" priority="43">
      <formula>ABS(Z$16-Z$19)&gt;=1000</formula>
    </cfRule>
  </conditionalFormatting>
  <conditionalFormatting sqref="AA13:AA20">
    <cfRule type="expression" dxfId="1835" priority="42">
      <formula>ABS(AA$16-AA$19)&gt;=1000</formula>
    </cfRule>
  </conditionalFormatting>
  <conditionalFormatting sqref="AB13 AB15:AB20">
    <cfRule type="expression" dxfId="1834" priority="41">
      <formula>ABS(AB$16-AB$19)&gt;=1000</formula>
    </cfRule>
  </conditionalFormatting>
  <conditionalFormatting sqref="AC13 AC15:AC20">
    <cfRule type="expression" dxfId="1833" priority="40">
      <formula>ABS(AC$16-AC$19)&gt;=1000</formula>
    </cfRule>
  </conditionalFormatting>
  <conditionalFormatting sqref="AD13:AD20">
    <cfRule type="expression" dxfId="1832" priority="39">
      <formula>ABS(AD$16-AD$19)&gt;=1000</formula>
    </cfRule>
  </conditionalFormatting>
  <conditionalFormatting sqref="AE13:AE20">
    <cfRule type="expression" dxfId="1831" priority="38">
      <formula>ABS(AE$16-AE$19)&gt;=1000</formula>
    </cfRule>
  </conditionalFormatting>
  <conditionalFormatting sqref="D22:D29">
    <cfRule type="expression" dxfId="1830" priority="37">
      <formula>ABS(D$25-D$28)&gt;=1000</formula>
    </cfRule>
  </conditionalFormatting>
  <conditionalFormatting sqref="E22:E29">
    <cfRule type="expression" dxfId="1829" priority="36">
      <formula>ABS(E$25-E$28)&gt;=1000</formula>
    </cfRule>
  </conditionalFormatting>
  <conditionalFormatting sqref="F22:F29">
    <cfRule type="expression" dxfId="1828" priority="35">
      <formula>ABS(F$25-F$28)&gt;=1000</formula>
    </cfRule>
  </conditionalFormatting>
  <conditionalFormatting sqref="G22:G29">
    <cfRule type="expression" dxfId="1827" priority="34">
      <formula>ABS(G$25-G$28)&gt;=1000</formula>
    </cfRule>
  </conditionalFormatting>
  <conditionalFormatting sqref="H22:H29">
    <cfRule type="expression" dxfId="1826" priority="33">
      <formula>ABS(H$25-H$28)&gt;=1000</formula>
    </cfRule>
  </conditionalFormatting>
  <conditionalFormatting sqref="I22 I24:I29">
    <cfRule type="expression" dxfId="1825" priority="32">
      <formula>ABS(I$25-I$28)&gt;=1000</formula>
    </cfRule>
  </conditionalFormatting>
  <conditionalFormatting sqref="J22:J29 K22">
    <cfRule type="expression" dxfId="1824" priority="31">
      <formula>ABS(J$25-J$28)&gt;=1000</formula>
    </cfRule>
  </conditionalFormatting>
  <conditionalFormatting sqref="K23:K29 L25 L28">
    <cfRule type="expression" dxfId="1823" priority="30">
      <formula>ABS(K$25-K$28)&gt;=1000</formula>
    </cfRule>
  </conditionalFormatting>
  <conditionalFormatting sqref="L22:L24 L26:L27 L29">
    <cfRule type="expression" dxfId="1822" priority="29">
      <formula>ABS(L$25-L$28)&gt;=1000</formula>
    </cfRule>
  </conditionalFormatting>
  <conditionalFormatting sqref="M22:M29">
    <cfRule type="expression" dxfId="1821" priority="28">
      <formula>ABS(M$25-M$28)&gt;=1000</formula>
    </cfRule>
  </conditionalFormatting>
  <conditionalFormatting sqref="N22:N29">
    <cfRule type="expression" dxfId="1820" priority="27">
      <formula>ABS(N$25-N$28)&gt;=1000</formula>
    </cfRule>
  </conditionalFormatting>
  <conditionalFormatting sqref="O22:O29">
    <cfRule type="expression" dxfId="1819" priority="26">
      <formula>ABS(O$25-O$28)&gt;=1000</formula>
    </cfRule>
  </conditionalFormatting>
  <conditionalFormatting sqref="P22:P29">
    <cfRule type="expression" dxfId="1818" priority="25">
      <formula>ABS(P$25-P$28)&gt;=1000</formula>
    </cfRule>
  </conditionalFormatting>
  <conditionalFormatting sqref="Q22:Q29">
    <cfRule type="expression" dxfId="1817" priority="24">
      <formula>ABS(Q$25-Q$28)&gt;=1000</formula>
    </cfRule>
  </conditionalFormatting>
  <conditionalFormatting sqref="R22:R29">
    <cfRule type="expression" dxfId="1816" priority="23">
      <formula>ABS(R$25-R$28)&gt;=1000</formula>
    </cfRule>
  </conditionalFormatting>
  <conditionalFormatting sqref="S22:S29">
    <cfRule type="expression" dxfId="1815" priority="22">
      <formula>ABS(S$25-S$28)&gt;=1000</formula>
    </cfRule>
  </conditionalFormatting>
  <conditionalFormatting sqref="T22:T29">
    <cfRule type="expression" dxfId="1814" priority="21">
      <formula>ABS(T$25-T$28)&gt;=1000</formula>
    </cfRule>
  </conditionalFormatting>
  <conditionalFormatting sqref="U22:U29">
    <cfRule type="expression" dxfId="1813" priority="20">
      <formula>ABS(U$25-U$28)&gt;=1000</formula>
    </cfRule>
  </conditionalFormatting>
  <conditionalFormatting sqref="V22:V29">
    <cfRule type="expression" dxfId="1812" priority="19">
      <formula>ABS(V$25-V$28)&gt;=1000</formula>
    </cfRule>
  </conditionalFormatting>
  <conditionalFormatting sqref="W22:W29">
    <cfRule type="expression" dxfId="1811" priority="18">
      <formula>ABS(W$25-W$28)&gt;=1000</formula>
    </cfRule>
  </conditionalFormatting>
  <conditionalFormatting sqref="X22:X29">
    <cfRule type="expression" dxfId="1810" priority="17">
      <formula>ABS(X$25-X$28)&gt;=1000</formula>
    </cfRule>
  </conditionalFormatting>
  <conditionalFormatting sqref="Y22:Y29">
    <cfRule type="expression" dxfId="1809" priority="16">
      <formula>ABS(Y$25-Y$28)&gt;=1000</formula>
    </cfRule>
  </conditionalFormatting>
  <conditionalFormatting sqref="I23">
    <cfRule type="expression" dxfId="1808" priority="15">
      <formula>ABS(I$25-I$28)&gt;=1000</formula>
    </cfRule>
  </conditionalFormatting>
  <conditionalFormatting sqref="F14">
    <cfRule type="expression" dxfId="1807" priority="14">
      <formula>ABS(F$16-F$19)&gt;=1000</formula>
    </cfRule>
  </conditionalFormatting>
  <conditionalFormatting sqref="Q14">
    <cfRule type="expression" dxfId="1806" priority="13">
      <formula>ABS(Q$16-Q$19)&gt;=1000</formula>
    </cfRule>
  </conditionalFormatting>
  <conditionalFormatting sqref="W14">
    <cfRule type="expression" dxfId="1805" priority="12">
      <formula>ABS(W$16-W$19)&gt;=1000</formula>
    </cfRule>
  </conditionalFormatting>
  <conditionalFormatting sqref="Y14">
    <cfRule type="expression" dxfId="1804" priority="11">
      <formula>ABS(Y$16-Y$19)&gt;=1000</formula>
    </cfRule>
  </conditionalFormatting>
  <conditionalFormatting sqref="X14">
    <cfRule type="expression" dxfId="1803" priority="10">
      <formula>ABS(X$16-X$19)&gt;=1000</formula>
    </cfRule>
  </conditionalFormatting>
  <conditionalFormatting sqref="T10:Y10">
    <cfRule type="expression" dxfId="1802" priority="9">
      <formula>ABS(T$7-T$10)&gt;=1000</formula>
    </cfRule>
  </conditionalFormatting>
  <conditionalFormatting sqref="W19">
    <cfRule type="expression" dxfId="1801" priority="8">
      <formula>ABS(W$16-W$19)&gt;=1000</formula>
    </cfRule>
  </conditionalFormatting>
  <conditionalFormatting sqref="AC5">
    <cfRule type="expression" dxfId="1800" priority="7">
      <formula>ABS(AC$7-AC$10)&gt;=1000</formula>
    </cfRule>
  </conditionalFormatting>
  <conditionalFormatting sqref="M14">
    <cfRule type="expression" dxfId="1799" priority="6">
      <formula>ABS(M$16-M$19)&gt;=1000</formula>
    </cfRule>
  </conditionalFormatting>
  <conditionalFormatting sqref="M16">
    <cfRule type="expression" dxfId="1798" priority="5">
      <formula>ABS(M$16-M$19)&gt;=1000</formula>
    </cfRule>
  </conditionalFormatting>
  <conditionalFormatting sqref="M19">
    <cfRule type="expression" dxfId="1797" priority="4">
      <formula>ABS(M$16-M$19)&gt;=1000</formula>
    </cfRule>
  </conditionalFormatting>
  <conditionalFormatting sqref="K13:K20">
    <cfRule type="expression" dxfId="1796" priority="3">
      <formula>ABS(K$16-K$19)&gt;=1000</formula>
    </cfRule>
  </conditionalFormatting>
  <conditionalFormatting sqref="E5">
    <cfRule type="expression" dxfId="1795" priority="2">
      <formula>ABS(E$7-E$10)&gt;=1000</formula>
    </cfRule>
  </conditionalFormatting>
  <conditionalFormatting sqref="AB14:AC14">
    <cfRule type="expression" dxfId="1794" priority="1">
      <formula>ABS(AB$16-AB$19)&gt;=1000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9104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70">
    <pageSetUpPr fitToPage="1"/>
  </sheetPr>
  <dimension ref="A1:CU223"/>
  <sheetViews>
    <sheetView view="pageBreakPreview" topLeftCell="A7" zoomScale="70" zoomScaleNormal="100" zoomScaleSheetLayoutView="70" workbookViewId="0">
      <selection activeCell="AG5" sqref="AG5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08" t="s" ph="1">
        <v>192</v>
      </c>
      <c r="C1" s="208" ph="1"/>
      <c r="D1" s="208" ph="1"/>
      <c r="E1" s="208" ph="1"/>
      <c r="F1" s="208" ph="1"/>
      <c r="G1" s="208" ph="1"/>
      <c r="H1" s="208" ph="1"/>
      <c r="I1" s="208" ph="1"/>
      <c r="J1" s="208" ph="1"/>
      <c r="K1" s="208" ph="1"/>
      <c r="L1" s="208" ph="1"/>
      <c r="M1" s="208" ph="1"/>
      <c r="N1" s="208" ph="1"/>
      <c r="O1" s="208" ph="1"/>
      <c r="P1" s="208" ph="1"/>
      <c r="Q1" s="208" ph="1"/>
      <c r="R1" s="208" ph="1"/>
      <c r="S1" s="208" ph="1"/>
      <c r="T1" s="208" ph="1"/>
      <c r="U1" s="208" ph="1"/>
      <c r="V1" s="208" ph="1"/>
      <c r="W1" s="208" ph="1"/>
      <c r="X1" s="208" ph="1"/>
      <c r="Y1" s="208" ph="1"/>
      <c r="Z1" s="208" ph="1"/>
      <c r="AA1" s="208" ph="1"/>
      <c r="AB1" s="208" ph="1"/>
      <c r="AC1" s="208" ph="1"/>
      <c r="AD1" s="208" ph="1"/>
      <c r="AE1" s="208" ph="1"/>
    </row>
    <row r="2" spans="1:99" s="66" customFormat="1" ht="24" customHeight="1" ph="1">
      <c r="B2" s="209" t="s" ph="1">
        <v>99</v>
      </c>
      <c r="C2" s="209" ph="1"/>
      <c r="D2" s="209" ph="1"/>
      <c r="E2" s="209" ph="1"/>
      <c r="F2" s="209" ph="1"/>
      <c r="G2" s="209" ph="1"/>
      <c r="H2" s="209" ph="1"/>
      <c r="I2" s="209" ph="1"/>
      <c r="J2" s="209" ph="1"/>
      <c r="K2" s="209" ph="1"/>
      <c r="L2" s="209" ph="1"/>
      <c r="M2" s="209" ph="1"/>
      <c r="N2" s="209" ph="1"/>
      <c r="O2" s="209" ph="1"/>
      <c r="P2" s="209" ph="1"/>
      <c r="Q2" s="209" ph="1"/>
      <c r="R2" s="209" ph="1"/>
      <c r="S2" s="209" ph="1"/>
      <c r="T2" s="209" ph="1"/>
      <c r="U2" s="209" ph="1"/>
      <c r="V2" s="209" ph="1"/>
      <c r="W2" s="209" ph="1"/>
      <c r="X2" s="209" ph="1"/>
      <c r="Y2" s="209" ph="1"/>
      <c r="Z2" s="209" ph="1"/>
      <c r="AA2" s="209" ph="1"/>
      <c r="AB2" s="209" ph="1"/>
      <c r="AC2" s="209" ph="1"/>
      <c r="AD2" s="209" ph="1"/>
      <c r="AE2" s="209" ph="1"/>
    </row>
    <row r="3" spans="1:99" ht="21" customHeight="1" ph="1">
      <c r="B3" s="210" ph="1">
        <v>45698</v>
      </c>
      <c r="C3" s="210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210"/>
      <c r="R3" s="210"/>
      <c r="S3" s="210"/>
      <c r="T3" s="210"/>
      <c r="U3" s="210"/>
      <c r="V3" s="210"/>
      <c r="W3" s="210"/>
      <c r="X3" s="210"/>
      <c r="Y3" s="210"/>
      <c r="Z3" s="210"/>
      <c r="AA3" s="210"/>
      <c r="AB3" s="210"/>
      <c r="AC3" s="210"/>
      <c r="AD3" s="210"/>
      <c r="AE3" s="210"/>
    </row>
    <row r="4" spans="1:99" s="69" customFormat="1" ph="1">
      <c r="A4" s="65" ph="1"/>
      <c r="B4" s="211" t="s" ph="1">
        <v>37</v>
      </c>
      <c r="C4" s="67" t="s" ph="1">
        <v>207</v>
      </c>
      <c r="D4" s="68" t="s" ph="1">
        <v>45</v>
      </c>
      <c r="E4" s="68" t="s" ph="1">
        <v>46</v>
      </c>
      <c r="F4" s="68" t="s" ph="1">
        <v>39</v>
      </c>
      <c r="G4" s="68" t="s" ph="1">
        <v>47</v>
      </c>
      <c r="H4" s="68" t="s" ph="1">
        <v>48</v>
      </c>
      <c r="I4" s="68" t="s" ph="1">
        <v>132</v>
      </c>
      <c r="J4" s="68" t="s" ph="1">
        <v>49</v>
      </c>
      <c r="K4" s="68" t="s" ph="1">
        <v>133</v>
      </c>
      <c r="L4" s="68" t="s" ph="1">
        <v>134</v>
      </c>
      <c r="M4" s="68" t="s" ph="1">
        <v>50</v>
      </c>
      <c r="N4" s="68" t="s" ph="1">
        <v>51</v>
      </c>
      <c r="O4" s="68" t="s" ph="1">
        <v>136</v>
      </c>
      <c r="P4" s="68" t="s" ph="1">
        <v>138</v>
      </c>
      <c r="Q4" s="68" t="s" ph="1">
        <v>139</v>
      </c>
      <c r="R4" s="68" t="s" ph="1">
        <v>140</v>
      </c>
      <c r="S4" s="68" t="s" ph="1">
        <v>141</v>
      </c>
      <c r="T4" s="68" t="s" ph="1">
        <v>142</v>
      </c>
      <c r="U4" s="68" t="s" ph="1">
        <v>143</v>
      </c>
      <c r="V4" s="68" t="s" ph="1">
        <v>144</v>
      </c>
      <c r="W4" s="68" t="s" ph="1">
        <v>145</v>
      </c>
      <c r="X4" s="68" t="s" ph="1">
        <v>146</v>
      </c>
      <c r="Y4" s="68" t="s" ph="1">
        <v>147</v>
      </c>
      <c r="Z4" s="68" t="s" ph="1">
        <v>52</v>
      </c>
      <c r="AA4" s="68" t="s" ph="1">
        <v>148</v>
      </c>
      <c r="AB4" s="68" t="s" ph="1">
        <v>149</v>
      </c>
      <c r="AC4" s="68" t="s" ph="1">
        <v>150</v>
      </c>
      <c r="AD4" s="68" t="s" ph="1">
        <v>40</v>
      </c>
      <c r="AE4" s="68" t="s" ph="1">
        <v>151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1" ph="1"/>
      <c r="C5" s="67" t="s" ph="1">
        <v>36</v>
      </c>
      <c r="D5" s="70" t="s" ph="1">
        <v>191</v>
      </c>
      <c r="E5" s="70" t="s" ph="1">
        <v>7</v>
      </c>
      <c r="F5" s="70" t="s" ph="1">
        <v>1</v>
      </c>
      <c r="G5" s="70" t="s" ph="1">
        <v>7</v>
      </c>
      <c r="H5" s="70" t="s" ph="1">
        <v>7</v>
      </c>
      <c r="I5" s="70" t="s" ph="1">
        <v>657</v>
      </c>
      <c r="J5" s="70" t="s" ph="1">
        <v>658</v>
      </c>
      <c r="K5" s="70" t="s" ph="1">
        <v>660</v>
      </c>
      <c r="L5" s="70" t="s" ph="1">
        <v>662</v>
      </c>
      <c r="M5" s="70" t="s" ph="1">
        <v>657</v>
      </c>
      <c r="N5" s="70" t="s" ph="1">
        <v>658</v>
      </c>
      <c r="O5" s="70" t="s" ph="1">
        <v>660</v>
      </c>
      <c r="P5" s="70" t="s" ph="1">
        <v>662</v>
      </c>
      <c r="Q5" s="70" t="s" ph="1">
        <v>656</v>
      </c>
      <c r="R5" s="70" t="s" ph="1">
        <v>656</v>
      </c>
      <c r="S5" s="70" t="s" ph="1">
        <v>656</v>
      </c>
      <c r="T5" s="70" t="s" ph="1">
        <v>656</v>
      </c>
      <c r="U5" s="70" t="s" ph="1">
        <v>656</v>
      </c>
      <c r="V5" s="70" t="s" ph="1">
        <v>656</v>
      </c>
      <c r="W5" s="70" t="s" ph="1">
        <v>656</v>
      </c>
      <c r="X5" s="70" t="s" ph="1">
        <v>656</v>
      </c>
      <c r="Y5" s="70" t="s" ph="1">
        <v>656</v>
      </c>
      <c r="Z5" s="70" t="s" ph="1">
        <v>663</v>
      </c>
      <c r="AA5" s="70" t="s" ph="1">
        <v>62</v>
      </c>
      <c r="AB5" s="70" t="s" ph="1">
        <v>62</v>
      </c>
      <c r="AC5" s="70" t="s" ph="1">
        <v>664</v>
      </c>
      <c r="AD5" s="70" t="s" ph="1">
        <v>83</v>
      </c>
      <c r="AE5" s="70" t="s" ph="1">
        <v>654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07" ph="1">
        <v>0.33333333333333331</v>
      </c>
      <c r="C6" s="163" t="s" ph="1">
        <v>208</v>
      </c>
      <c r="D6" s="71">
        <v>4087</v>
      </c>
      <c r="E6" s="71">
        <v>0</v>
      </c>
      <c r="F6" s="71">
        <v>1952</v>
      </c>
      <c r="G6" s="71">
        <v>931</v>
      </c>
      <c r="H6" s="71">
        <v>8777</v>
      </c>
      <c r="I6" s="71">
        <v>39.01</v>
      </c>
      <c r="J6" s="71">
        <v>7.81</v>
      </c>
      <c r="K6" s="71">
        <v>88.01</v>
      </c>
      <c r="L6" s="71">
        <v>48.6</v>
      </c>
      <c r="M6" s="71">
        <v>4547</v>
      </c>
      <c r="N6" s="71">
        <v>5557</v>
      </c>
      <c r="O6" s="71">
        <v>5161</v>
      </c>
      <c r="P6" s="71">
        <v>6054</v>
      </c>
      <c r="Q6" s="71">
        <v>0</v>
      </c>
      <c r="R6" s="71">
        <v>0</v>
      </c>
      <c r="S6" s="71">
        <v>5026</v>
      </c>
      <c r="T6" s="71">
        <v>6868</v>
      </c>
      <c r="U6" s="71">
        <v>6988</v>
      </c>
      <c r="V6" s="71">
        <v>7000</v>
      </c>
      <c r="W6" s="71">
        <v>5375</v>
      </c>
      <c r="X6" s="71">
        <v>2336</v>
      </c>
      <c r="Y6" s="71">
        <v>0</v>
      </c>
      <c r="Z6" s="71">
        <v>5911</v>
      </c>
      <c r="AA6" s="71">
        <v>1626</v>
      </c>
      <c r="AB6" s="71">
        <v>2835</v>
      </c>
      <c r="AC6" s="71">
        <v>8363</v>
      </c>
      <c r="AD6" s="71">
        <v>270</v>
      </c>
      <c r="AE6" s="71">
        <v>2955</v>
      </c>
    </row>
    <row r="7" spans="1:99" s="72" customFormat="1" ht="22.5" ph="1">
      <c r="B7" s="207" ph="1"/>
      <c r="C7" s="68" t="s" ph="1">
        <v>209</v>
      </c>
      <c r="D7" s="73" ph="1">
        <f>D6*33.183*LOOKUP(D8,密度!$A$2:$A$50,密度!$Q$2:$Q$50)</f>
        <v>129453.68485134</v>
      </c>
      <c r="E7" s="73" ph="1">
        <f>E6*51.53*LOOKUP(E8,密度!$A$2:$A$50,密度!$I$2:$I$50)</f>
        <v>0</v>
      </c>
      <c r="F7" s="73" ph="1">
        <f>F6*33.183*LOOKUP(F8,密度!$A$2:$A$50,密度!$C$2:$C$50)</f>
        <v>72429.410131200013</v>
      </c>
      <c r="G7" s="73" ph="1">
        <f xml:space="preserve"> (G6+2)*51.53*LOOKUP(G8,密度!$A$2:$A$50,密度!$B$2:$B$50)</f>
        <v>38010.063593999999</v>
      </c>
      <c r="H7" s="73" ph="1">
        <f>(H6)*51.53*LOOKUP(H8,密度!$A$2:$A$50,密度!$B$2:$B$50)</f>
        <v>359471.19818799995</v>
      </c>
      <c r="I7" s="73" ph="1">
        <f>I6*290.8*1.0267</f>
        <v>11646.9956836</v>
      </c>
      <c r="J7" s="73" ph="1">
        <f>J6*290.8*0.7892</f>
        <v>1792.3900016000002</v>
      </c>
      <c r="K7" s="73" ph="1">
        <f>K6*290.8*1.1126</f>
        <v>28475.114480800003</v>
      </c>
      <c r="L7" s="73" ph="1">
        <f>L6*290.8*0.777</f>
        <v>10981.247760000002</v>
      </c>
      <c r="M7" s="73" ph="1">
        <f>M6*33.183*LOOKUP(M8,密度!$A$2:$A$50,密度!$D$2:$D$50)</f>
        <v>156526.12897740002</v>
      </c>
      <c r="N7" s="73" ph="1">
        <f>N6*33.183*LOOKUP(N8,密度!$A$2:$A$50,密度!$E$2:$E$50)</f>
        <v>146965.15100700001</v>
      </c>
      <c r="O7" s="73" ph="1">
        <f>O6*20.428*LOOKUP(O8,密度!$A$2:$A$50,密度!$C$2:$C$50)</f>
        <v>117437.2606212</v>
      </c>
      <c r="P7" s="73" ph="1">
        <f>P6*51.53*LOOKUP(P8,密度!$A$2:$A$50,密度!$B$2:$B$50)</f>
        <v>246887.21746799999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33928.078337999999</v>
      </c>
      <c r="T7" s="73" ph="1">
        <f>T6*1.5*1.5*3.1416*LOOKUP(T8,密度!$A$2:$A$50,密度!$L$2:$L$50)</f>
        <v>46313.9761392</v>
      </c>
      <c r="U7" s="73" ph="1">
        <f>U6*1.5*1.5*3.1416*LOOKUP(U8,密度!$A$2:$A$50,密度!$L$2:$L$50)</f>
        <v>46925.607959999994</v>
      </c>
      <c r="V7" s="73" ph="1">
        <f>V6*1.5*1.5*3.1416*LOOKUP(V8,密度!$A$2:$A$50,密度!$L$2:$L$50)</f>
        <v>46709.308799999992</v>
      </c>
      <c r="W7" s="73" ph="1">
        <f>W6*1.5*1.5*3.1416*LOOKUP(W8,密度!$A$2:$A$50,密度!$L$2:$L$50)</f>
        <v>35980.057574999999</v>
      </c>
      <c r="X7" s="73" ph="1">
        <f>X6*1.5*1.5*3.1416*LOOKUP(X8,密度!$A$2:$A$50,密度!$L$2:$L$50)</f>
        <v>15802.222867199998</v>
      </c>
      <c r="Y7" s="73" ph="1">
        <f>Y6*1.5*1.5*3.1416*LOOKUP(Y8,密度!$A$2:$A$50,密度!$L$2:$L$50)</f>
        <v>0</v>
      </c>
      <c r="Z7" s="73" ph="1">
        <f>Z6*33.183*LOOKUP(Z8,密度!$A$2:$A$50,密度!$L$2:$L$50)</f>
        <v>186729.76677599997</v>
      </c>
      <c r="AA7" s="73" ph="1">
        <f>AA6*33.183*LOOKUP(AA8,密度!$A$2:$A$50,密度!$D$2:$D$50)</f>
        <v>56022.0558714</v>
      </c>
      <c r="AB7" s="73" ph="1">
        <f>AB6*20.428*LOOKUP(AB8,密度!$A$2:$A$50,密度!$D$2:$D$50)</f>
        <v>60542.647452000012</v>
      </c>
      <c r="AC7" s="73" ph="1">
        <f>AC6*51.53*LOOKUP(AC8,密度!$A$2:$A$50,密度!$Q$2:$Q$50)</f>
        <v>411354.61257060006</v>
      </c>
      <c r="AD7" s="73" ph="1">
        <f>AD6*20.428*LOOKUP(AD8,密度!$A$2:$A$50,密度!$V$2:$V$50)</f>
        <v>5316.9998400000004</v>
      </c>
      <c r="AE7" s="73" ph="1">
        <f>AE6*20.428</f>
        <v>60364.740000000005</v>
      </c>
    </row>
    <row r="8" spans="1:99" ph="1">
      <c r="B8" s="207" ph="1"/>
      <c r="C8" s="68" t="s" ph="1">
        <v>210</v>
      </c>
      <c r="D8" s="74">
        <v>13</v>
      </c>
      <c r="E8" s="74">
        <v>12</v>
      </c>
      <c r="F8" s="74">
        <v>12</v>
      </c>
      <c r="G8" s="74">
        <v>12</v>
      </c>
      <c r="H8" s="74">
        <v>7</v>
      </c>
      <c r="I8" s="74">
        <v>25</v>
      </c>
      <c r="J8" s="74">
        <v>25</v>
      </c>
      <c r="K8" s="74">
        <v>25</v>
      </c>
      <c r="L8" s="74">
        <v>25</v>
      </c>
      <c r="M8" s="74">
        <v>13</v>
      </c>
      <c r="N8" s="74">
        <v>14</v>
      </c>
      <c r="O8" s="74">
        <v>18</v>
      </c>
      <c r="P8" s="74">
        <v>11</v>
      </c>
      <c r="Q8" s="74">
        <v>10</v>
      </c>
      <c r="R8" s="74">
        <v>18</v>
      </c>
      <c r="S8" s="74">
        <v>7</v>
      </c>
      <c r="T8" s="74">
        <v>8</v>
      </c>
      <c r="U8" s="74">
        <v>12</v>
      </c>
      <c r="V8" s="74">
        <v>18</v>
      </c>
      <c r="W8" s="74">
        <v>15</v>
      </c>
      <c r="X8" s="74">
        <v>5</v>
      </c>
      <c r="Y8" s="74">
        <v>12</v>
      </c>
      <c r="Z8" s="74">
        <v>10</v>
      </c>
      <c r="AA8" s="74">
        <v>12</v>
      </c>
      <c r="AB8" s="74">
        <v>4</v>
      </c>
      <c r="AC8" s="74">
        <v>10</v>
      </c>
      <c r="AD8" s="74">
        <v>10</v>
      </c>
      <c r="AE8" s="74">
        <v>12</v>
      </c>
    </row>
    <row r="9" spans="1:99" ph="1">
      <c r="B9" s="207" ph="1">
        <v>0.66666666666666663</v>
      </c>
      <c r="C9" s="163" t="s" ph="1">
        <v>211</v>
      </c>
      <c r="D9" s="71">
        <v>4087</v>
      </c>
      <c r="E9" s="71">
        <v>0</v>
      </c>
      <c r="F9" s="71">
        <v>2554</v>
      </c>
      <c r="G9" s="71">
        <v>1496</v>
      </c>
      <c r="H9" s="71">
        <v>8779</v>
      </c>
      <c r="I9" s="71">
        <v>39.01</v>
      </c>
      <c r="J9" s="71">
        <v>7.91</v>
      </c>
      <c r="K9" s="71">
        <v>87.82</v>
      </c>
      <c r="L9" s="71">
        <v>21.21</v>
      </c>
      <c r="M9" s="71">
        <v>4548</v>
      </c>
      <c r="N9" s="71">
        <v>5564</v>
      </c>
      <c r="O9" s="71">
        <v>5162</v>
      </c>
      <c r="P9" s="71">
        <v>5864</v>
      </c>
      <c r="Q9" s="71">
        <v>0</v>
      </c>
      <c r="R9" s="71">
        <v>0</v>
      </c>
      <c r="S9" s="71">
        <v>1530</v>
      </c>
      <c r="T9" s="71">
        <v>6876</v>
      </c>
      <c r="U9" s="71">
        <v>6996</v>
      </c>
      <c r="V9" s="71">
        <v>7011</v>
      </c>
      <c r="W9" s="71">
        <v>7000</v>
      </c>
      <c r="X9" s="71">
        <v>3485</v>
      </c>
      <c r="Y9" s="71">
        <v>0</v>
      </c>
      <c r="Z9" s="71">
        <v>4421</v>
      </c>
      <c r="AA9" s="71">
        <v>1622</v>
      </c>
      <c r="AB9" s="71">
        <v>2834</v>
      </c>
      <c r="AC9" s="71">
        <v>8363</v>
      </c>
      <c r="AD9" s="71">
        <v>266</v>
      </c>
      <c r="AE9" s="71">
        <v>2212</v>
      </c>
    </row>
    <row r="10" spans="1:99" s="72" customFormat="1" ht="22.5" ph="1">
      <c r="B10" s="207" ph="1"/>
      <c r="C10" s="163" t="s" ph="1">
        <v>209</v>
      </c>
      <c r="D10" s="73" ph="1">
        <f>D9*33.183*LOOKUP(D11,密度!$A$2:$A$50,密度!$Q$2:$Q$50)</f>
        <v>129453.68485134</v>
      </c>
      <c r="E10" s="73" ph="1">
        <f>E9*51.53*LOOKUP(E11,密度!$A$2:$A$50,密度!$I$2:$I$50)</f>
        <v>0</v>
      </c>
      <c r="F10" s="73" ph="1">
        <f>F9*33.183*LOOKUP(F11,密度!$A$2:$A$50,密度!$C$2:$C$50)</f>
        <v>94453.186239000002</v>
      </c>
      <c r="G10" s="73" ph="1">
        <f xml:space="preserve"> (G9+2)*51.53*LOOKUP(G11,密度!$A$2:$A$50,密度!$B$2:$B$50)</f>
        <v>60827.248720000003</v>
      </c>
      <c r="H10" s="73" ph="1">
        <f>(H9)*51.53*LOOKUP(H11,密度!$A$2:$A$50,密度!$B$2:$B$50)</f>
        <v>358015.011918</v>
      </c>
      <c r="I10" s="73" ph="1">
        <f>I9*290.8*1.0267</f>
        <v>11646.9956836</v>
      </c>
      <c r="J10" s="73" ph="1">
        <f>J9*290.8*0.7892</f>
        <v>1815.3399376</v>
      </c>
      <c r="K10" s="73" ph="1">
        <f>K9*290.8*1.1126</f>
        <v>28413.6411056</v>
      </c>
      <c r="L10" s="73" ph="1">
        <f>L9*290.8*0.777</f>
        <v>4792.4334360000003</v>
      </c>
      <c r="M10" s="73" ph="1">
        <f>M9*33.183*LOOKUP(M11,密度!$A$2:$A$50,密度!$D$2:$D$50)</f>
        <v>156168.17068319998</v>
      </c>
      <c r="N10" s="73" ph="1">
        <f>N9*33.183*LOOKUP(N11,密度!$A$2:$A$50,密度!$E$2:$E$50)</f>
        <v>146725.6294764</v>
      </c>
      <c r="O10" s="73" ph="1">
        <f>O9*20.428*LOOKUP(O11,密度!$A$2:$A$50,密度!$C$2:$C$50)</f>
        <v>117249.11669840003</v>
      </c>
      <c r="P10" s="73" ph="1">
        <f>P9*51.53*LOOKUP(P11,密度!$A$2:$A$50,密度!$B$2:$B$50)</f>
        <v>237416.47754399996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10295.840016</v>
      </c>
      <c r="T10" s="73" ph="1">
        <f>T9*1.5*1.5*3.1416*LOOKUP(T11,密度!$A$2:$A$50,密度!$L$2:$L$50)</f>
        <v>46222.112613599995</v>
      </c>
      <c r="U10" s="73" ph="1">
        <f>U9*1.5*1.5*3.1416*LOOKUP(U11,密度!$A$2:$A$50,密度!$L$2:$L$50)</f>
        <v>46880.4254688</v>
      </c>
      <c r="V10" s="73" ph="1">
        <f>V9*1.5*1.5*3.1416*LOOKUP(V11,密度!$A$2:$A$50,密度!$L$2:$L$50)</f>
        <v>46683.593233199994</v>
      </c>
      <c r="W10" s="73" ph="1">
        <f>W9*1.5*1.5*3.1416*LOOKUP(W11,密度!$A$2:$A$50,密度!$L$2:$L$50)</f>
        <v>46857.749399999993</v>
      </c>
      <c r="X10" s="73" ph="1">
        <f>X9*1.5*1.5*3.1416*LOOKUP(X11,密度!$A$2:$A$50,密度!$L$2:$L$50)</f>
        <v>23451.635591999999</v>
      </c>
      <c r="Y10" s="73" ph="1">
        <f>Y9*1.5*1.5*3.1416*LOOKUP(Y11,密度!$A$2:$A$50,密度!$L$2:$L$50)</f>
        <v>0</v>
      </c>
      <c r="Z10" s="73" ph="1">
        <f>Z9*33.183*LOOKUP(Z11,密度!$A$2:$A$50,密度!$L$2:$L$50)</f>
        <v>139220.23880699999</v>
      </c>
      <c r="AA10" s="73" ph="1">
        <f>AA9*33.183*LOOKUP(AA11,密度!$A$2:$A$50,密度!$D$2:$D$50)</f>
        <v>55695.860344799999</v>
      </c>
      <c r="AB10" s="73" ph="1">
        <f>AB9*20.428*LOOKUP(AB11,密度!$A$2:$A$50,密度!$D$2:$D$50)</f>
        <v>60469.188364000001</v>
      </c>
      <c r="AC10" s="73" ph="1">
        <f>AC9*51.53*LOOKUP(AC11,密度!$A$2:$A$50,密度!$Q$2:$Q$50)</f>
        <v>411354.61257060006</v>
      </c>
      <c r="AD10" s="73" ph="1">
        <f>AD9*20.428*LOOKUP(AD11,密度!$A$2:$A$50,密度!$V$2:$V$50)</f>
        <v>5238.229472</v>
      </c>
      <c r="AE10" s="73" ph="1">
        <f>AE9*20.428</f>
        <v>45186.736000000004</v>
      </c>
    </row>
    <row r="11" spans="1:99" ph="1">
      <c r="A11" s="64" t="s" ph="1">
        <v>193</v>
      </c>
      <c r="B11" s="207" ph="1"/>
      <c r="C11" s="163" t="s" ph="1">
        <v>210</v>
      </c>
      <c r="D11" s="74">
        <v>15</v>
      </c>
      <c r="E11" s="74">
        <v>17</v>
      </c>
      <c r="F11" s="74">
        <v>17</v>
      </c>
      <c r="G11" s="74">
        <v>15</v>
      </c>
      <c r="H11" s="74">
        <v>11</v>
      </c>
      <c r="I11" s="74">
        <v>25</v>
      </c>
      <c r="J11" s="74">
        <v>25</v>
      </c>
      <c r="K11" s="74">
        <v>25</v>
      </c>
      <c r="L11" s="74">
        <v>25</v>
      </c>
      <c r="M11" s="74">
        <v>16</v>
      </c>
      <c r="N11" s="74">
        <v>15</v>
      </c>
      <c r="O11" s="74">
        <v>21</v>
      </c>
      <c r="P11" s="74">
        <v>18</v>
      </c>
      <c r="Q11" s="74">
        <v>25</v>
      </c>
      <c r="R11" s="74">
        <v>24</v>
      </c>
      <c r="S11" s="74">
        <v>10</v>
      </c>
      <c r="T11" s="74">
        <v>11</v>
      </c>
      <c r="U11" s="74">
        <v>14</v>
      </c>
      <c r="V11" s="74">
        <v>20</v>
      </c>
      <c r="W11" s="74">
        <v>15</v>
      </c>
      <c r="X11" s="74">
        <v>10</v>
      </c>
      <c r="Y11" s="74">
        <v>18</v>
      </c>
      <c r="Z11" s="74">
        <v>13</v>
      </c>
      <c r="AA11" s="74">
        <v>16</v>
      </c>
      <c r="AB11" s="74">
        <v>5</v>
      </c>
      <c r="AC11" s="74">
        <v>15</v>
      </c>
      <c r="AD11" s="74">
        <v>18</v>
      </c>
      <c r="AE11" s="74">
        <v>18</v>
      </c>
    </row>
    <row r="12" spans="1:99" ht="9.9499999999999993" customHeight="1" ph="1"/>
    <row r="13" spans="1:99" s="72" customFormat="1" ht="29.25" customHeight="1" ph="1">
      <c r="B13" s="215" t="s" ph="1">
        <v>37</v>
      </c>
      <c r="C13" s="163" t="s" ph="1">
        <v>207</v>
      </c>
      <c r="D13" s="76" t="s" ph="1">
        <v>53</v>
      </c>
      <c r="E13" s="76" t="s" ph="1">
        <v>54</v>
      </c>
      <c r="F13" s="76" t="s" ph="1">
        <v>66</v>
      </c>
      <c r="G13" s="76" t="s" ph="1">
        <v>67</v>
      </c>
      <c r="H13" s="76" t="s" ph="1">
        <v>152</v>
      </c>
      <c r="I13" s="76" t="s" ph="1">
        <v>68</v>
      </c>
      <c r="J13" s="76" t="s" ph="1">
        <v>153</v>
      </c>
      <c r="K13" s="76" t="s" ph="1">
        <v>63</v>
      </c>
      <c r="L13" s="76" t="s" ph="1">
        <v>69</v>
      </c>
      <c r="M13" s="76" t="s" ph="1">
        <v>70</v>
      </c>
      <c r="N13" s="76" t="s" ph="1">
        <v>154</v>
      </c>
      <c r="O13" s="76" t="s" ph="1">
        <v>64</v>
      </c>
      <c r="P13" s="76" t="s" ph="1">
        <v>71</v>
      </c>
      <c r="Q13" s="76" t="s" ph="1">
        <v>72</v>
      </c>
      <c r="R13" s="76" t="s" ph="1">
        <v>73</v>
      </c>
      <c r="S13" s="76" t="s" ph="1">
        <v>74</v>
      </c>
      <c r="T13" s="76" t="s" ph="1">
        <v>75</v>
      </c>
      <c r="U13" s="76" t="s" ph="1">
        <v>76</v>
      </c>
      <c r="V13" s="76" t="s" ph="1">
        <v>155</v>
      </c>
      <c r="W13" s="76" t="s" ph="1">
        <v>156</v>
      </c>
      <c r="X13" s="76" t="s" ph="1">
        <v>157</v>
      </c>
      <c r="Y13" s="105" t="s" ph="1">
        <v>77</v>
      </c>
      <c r="Z13" s="76" t="s" ph="1">
        <v>86</v>
      </c>
      <c r="AA13" s="76" t="s" ph="1">
        <v>158</v>
      </c>
      <c r="AB13" s="76" t="s" ph="1">
        <v>159</v>
      </c>
      <c r="AC13" s="76" t="s" ph="1">
        <v>160</v>
      </c>
      <c r="AD13" s="76" t="s" ph="1">
        <v>161</v>
      </c>
      <c r="AE13" s="76" t="s" ph="1">
        <v>162</v>
      </c>
      <c r="AG13" s="72" t="s" ph="1">
        <v>366</v>
      </c>
      <c r="AH13" s="72" t="s" ph="1">
        <v>229</v>
      </c>
      <c r="AI13" s="72" t="s" ph="1">
        <v>230</v>
      </c>
      <c r="AJ13" s="72" t="s" ph="1">
        <v>231</v>
      </c>
      <c r="AK13" s="72" t="s" ph="1">
        <v>232</v>
      </c>
      <c r="AL13" s="72" t="s" ph="1">
        <v>233</v>
      </c>
      <c r="AM13" s="72" t="s" ph="1">
        <v>234</v>
      </c>
      <c r="AN13" s="72" t="s" ph="1">
        <v>235</v>
      </c>
      <c r="AO13" s="72" t="s" ph="1">
        <v>236</v>
      </c>
      <c r="AP13" s="72" t="s" ph="1">
        <v>237</v>
      </c>
      <c r="AQ13" s="72" t="s" ph="1">
        <v>238</v>
      </c>
      <c r="AR13" s="72" t="s" ph="1">
        <v>239</v>
      </c>
      <c r="AS13" s="72" t="s" ph="1">
        <v>240</v>
      </c>
      <c r="AT13" s="72" t="s" ph="1">
        <v>241</v>
      </c>
      <c r="AU13" s="72" t="s" ph="1">
        <v>242</v>
      </c>
      <c r="AV13" s="72" t="s" ph="1">
        <v>243</v>
      </c>
      <c r="AW13" s="72" t="s" ph="1">
        <v>244</v>
      </c>
      <c r="AX13" s="72" t="s" ph="1">
        <v>245</v>
      </c>
      <c r="AY13" s="72" t="s" ph="1">
        <v>367</v>
      </c>
      <c r="AZ13" s="72" t="s" ph="1">
        <v>246</v>
      </c>
      <c r="BA13" s="72" t="s" ph="1">
        <v>247</v>
      </c>
      <c r="BB13" s="72" t="s" ph="1">
        <v>632</v>
      </c>
      <c r="BC13" s="72" t="s" ph="1">
        <v>248</v>
      </c>
      <c r="BD13" s="72" t="s" ph="1">
        <v>368</v>
      </c>
      <c r="BE13" s="72" t="s" ph="1">
        <v>369</v>
      </c>
      <c r="BF13" s="72" t="s" ph="1">
        <v>370</v>
      </c>
      <c r="BG13" s="72" t="s" ph="1">
        <v>371</v>
      </c>
      <c r="BH13" s="72" t="s" ph="1">
        <v>372</v>
      </c>
    </row>
    <row r="14" spans="1:99" s="72" customFormat="1" ht="24" ph="1">
      <c r="B14" s="216" ph="1"/>
      <c r="C14" s="67" t="s" ph="1">
        <v>36</v>
      </c>
      <c r="D14" s="77" t="s" ph="1">
        <v>665</v>
      </c>
      <c r="E14" s="77" t="s" ph="1">
        <v>665</v>
      </c>
      <c r="F14" s="142" t="s" ph="1">
        <v>651</v>
      </c>
      <c r="G14" s="77" t="s" ph="1">
        <v>667</v>
      </c>
      <c r="H14" s="77" t="s" ph="1">
        <v>668</v>
      </c>
      <c r="I14" s="167" t="s" ph="1">
        <v>669</v>
      </c>
      <c r="J14" s="77" t="s" ph="1">
        <v>670</v>
      </c>
      <c r="K14" s="77" t="s" ph="1">
        <v>223</v>
      </c>
      <c r="L14" s="77" t="s" ph="1">
        <v>42</v>
      </c>
      <c r="M14" s="104" t="s" ph="1">
        <v>671</v>
      </c>
      <c r="N14" s="104" t="s" ph="1">
        <v>672</v>
      </c>
      <c r="O14" s="104" t="s" ph="1">
        <v>670</v>
      </c>
      <c r="P14" s="77" t="s" ph="1">
        <v>673</v>
      </c>
      <c r="Q14" s="77" t="s" ph="1">
        <v>673</v>
      </c>
      <c r="R14" s="88" t="s" ph="1">
        <v>674</v>
      </c>
      <c r="S14" s="77" t="s" ph="1">
        <v>81</v>
      </c>
      <c r="T14" s="77" t="s" ph="1">
        <v>676</v>
      </c>
      <c r="U14" s="77" t="s" ph="1">
        <v>652</v>
      </c>
      <c r="V14" s="77" t="s" ph="1">
        <v>677</v>
      </c>
      <c r="W14" s="77" t="s" ph="1">
        <v>673</v>
      </c>
      <c r="X14" s="77" t="s" ph="1">
        <v>678</v>
      </c>
      <c r="Y14" s="141" t="s" ph="1">
        <v>0</v>
      </c>
      <c r="Z14" s="77" t="s" ph="1">
        <v>62</v>
      </c>
      <c r="AA14" s="77" t="s" ph="1">
        <v>662</v>
      </c>
      <c r="AB14" s="77" t="s" ph="1">
        <v>648</v>
      </c>
      <c r="AC14" s="77" t="s" ph="1">
        <v>648</v>
      </c>
      <c r="AD14" s="77" t="s" ph="1">
        <v>661</v>
      </c>
      <c r="AE14" s="77" t="s" ph="1">
        <v>661</v>
      </c>
      <c r="AG14" s="72" t="s" ph="1">
        <v>249</v>
      </c>
      <c r="AI14" s="72" t="s" ph="1">
        <v>250</v>
      </c>
      <c r="AJ14" s="72" t="s" ph="1">
        <v>373</v>
      </c>
      <c r="AK14" s="72" t="s" ph="1">
        <v>251</v>
      </c>
      <c r="AM14" s="72" t="s" ph="1">
        <v>253</v>
      </c>
      <c r="AN14" s="72" t="s" ph="1">
        <v>251</v>
      </c>
      <c r="AO14" s="72" t="s" ph="1">
        <v>252</v>
      </c>
      <c r="AP14" s="72" t="s" ph="1">
        <v>253</v>
      </c>
      <c r="AQ14" s="72" t="s" ph="1">
        <v>251</v>
      </c>
      <c r="AR14" s="72" t="s" ph="1">
        <v>252</v>
      </c>
      <c r="AS14" s="72" t="s" ph="1">
        <v>253</v>
      </c>
      <c r="AT14" s="72" t="s" ph="1">
        <v>251</v>
      </c>
      <c r="AU14" s="72" t="s" ph="1">
        <v>252</v>
      </c>
      <c r="AV14" s="72" t="s" ph="1">
        <v>253</v>
      </c>
      <c r="AW14" s="72" t="s" ph="1">
        <v>251</v>
      </c>
      <c r="AX14" s="72" t="s" ph="1">
        <v>252</v>
      </c>
      <c r="AY14" s="72" t="s" ph="1">
        <v>253</v>
      </c>
      <c r="AZ14" s="72" t="s" ph="1">
        <v>252</v>
      </c>
    </row>
    <row r="15" spans="1:99" ph="1">
      <c r="B15" s="217" ph="1">
        <v>0.33333333333333331</v>
      </c>
      <c r="C15" s="163" t="s" ph="1">
        <v>208</v>
      </c>
      <c r="D15" s="78">
        <v>0</v>
      </c>
      <c r="E15" s="78">
        <v>1696</v>
      </c>
      <c r="F15" s="78">
        <v>2191</v>
      </c>
      <c r="G15" s="78">
        <v>2293</v>
      </c>
      <c r="H15" s="78">
        <v>2857</v>
      </c>
      <c r="I15" s="78">
        <v>11</v>
      </c>
      <c r="J15" s="78">
        <v>1170</v>
      </c>
      <c r="K15" s="78">
        <v>1591</v>
      </c>
      <c r="L15" s="78">
        <v>6257</v>
      </c>
      <c r="M15" s="78">
        <v>2957</v>
      </c>
      <c r="N15" s="78">
        <v>1022</v>
      </c>
      <c r="O15" s="78">
        <v>234</v>
      </c>
      <c r="P15" s="78">
        <v>921</v>
      </c>
      <c r="Q15" s="78">
        <v>2703</v>
      </c>
      <c r="R15" s="78">
        <v>3478</v>
      </c>
      <c r="S15" s="78">
        <v>5589</v>
      </c>
      <c r="T15" s="78">
        <v>4552</v>
      </c>
      <c r="U15" s="78">
        <v>3795</v>
      </c>
      <c r="V15" s="78">
        <v>-1632</v>
      </c>
      <c r="W15" s="78">
        <v>-595</v>
      </c>
      <c r="X15" s="78">
        <v>625</v>
      </c>
      <c r="Y15" s="106">
        <v>-9900</v>
      </c>
      <c r="Z15" s="78">
        <v>0</v>
      </c>
      <c r="AA15" s="78">
        <v>2499</v>
      </c>
      <c r="AB15" s="78" ph="1">
        <v>2702</v>
      </c>
      <c r="AC15" s="78" ph="1">
        <v>6475</v>
      </c>
      <c r="AD15" s="78">
        <v>5.51</v>
      </c>
      <c r="AE15" s="78">
        <v>77.510000000000005</v>
      </c>
      <c r="AG15" s="64" t="s" ph="1">
        <v>255</v>
      </c>
      <c r="AH15" s="64" ph="1">
        <v>1</v>
      </c>
      <c r="AI15" s="64" t="s" ph="1">
        <v>374</v>
      </c>
      <c r="AK15" s="64" t="s" ph="1">
        <v>628</v>
      </c>
      <c r="AM15" s="64" t="s" ph="1">
        <v>376</v>
      </c>
      <c r="AZ15" s="64" t="s" ph="1">
        <v>257</v>
      </c>
      <c r="BA15" s="64" ph="1">
        <v>0</v>
      </c>
    </row>
    <row r="16" spans="1:99" s="72" customFormat="1" ht="22.5" ph="1">
      <c r="B16" s="218" ph="1"/>
      <c r="C16" s="163" t="s" ph="1">
        <v>209</v>
      </c>
      <c r="D16" s="73" ph="1">
        <f>D15*7.0686*LOOKUP(D17,密度!$A$2:$A$50,密度!$L$2:$L$50)</f>
        <v>0</v>
      </c>
      <c r="E16" s="73" ph="1">
        <f>E15*7.0686*LOOKUP(E17,密度!$A$2:$A$50,密度!$L$2:$L$50)</f>
        <v>11412.9050112</v>
      </c>
      <c r="F16" s="73" ph="1">
        <f>F15*9.0746*LOOKUP(F17,密度!$A$2:$A$50,密度!$L$2:$L$50)</f>
        <v>18928.091067199999</v>
      </c>
      <c r="G16" s="73" ph="1">
        <f>G15*9.0746*LOOKUP(G17,密度!$A$2:$A$50,密度!$B$2:$B$50)</f>
        <v>16450.850496680003</v>
      </c>
      <c r="H16" s="73" ph="1">
        <f>H15*9.0746*LOOKUP(H17,密度!$A$2:$A$50,密度!$L$2:$L$50)</f>
        <v>24681.677854399997</v>
      </c>
      <c r="I16" s="73" ph="1">
        <f>I15*9.0746*LOOKUP(I17,密度!$A$2:$A$50,密度!$U$2:$U$50)</f>
        <v>102.6155768</v>
      </c>
      <c r="J16" s="73" ph="1">
        <f>J15*9.0746*LOOKUP(J17,密度!$A$2:$A$50,密度!$L$2:$L$50)</f>
        <v>10107.652464000001</v>
      </c>
      <c r="K16" s="73" ph="1">
        <f>K15*9.0746*LOOKUP(K17,密度!$A$2:$A$50,密度!$C$2:$C$50)</f>
        <v>16167.323694279998</v>
      </c>
      <c r="L16" s="73" ph="1">
        <f>L15*9.0746*LOOKUP(L17,密度!$A$2:$A$50,密度!$E$2:$E$50)</f>
        <v>45446.529668880001</v>
      </c>
      <c r="M16" s="73" ph="1">
        <f>M15*9.0746*LOOKUP(M17,密度!$A$2:$A$50,密度!$M$2:$M$50)</f>
        <v>23621.611213659999</v>
      </c>
      <c r="N16" s="73" ph="1">
        <f>N15*9.0746*LOOKUP(N17,密度!$A$2:$A$50,密度!$M$2:$M$50)</f>
        <v>8164.1145283599999</v>
      </c>
      <c r="O16" s="73" ph="1">
        <f>O15*9.0746*LOOKUP(O17,密度!$A$2:$A$50,密度!$G$2:$G$50)</f>
        <v>2066.5477684799998</v>
      </c>
      <c r="P16" s="73" ph="1">
        <f ca="1">P15*9.0746*LOOKUP(P17,密度!$A$2:$A$51,密度!$Q$2:$Q$50)</f>
        <v>7977.7652579639998</v>
      </c>
      <c r="Q16" s="73" ph="1">
        <f>Q15*9.0746*LOOKUP(Q17,密度!$A$2:$A$50,密度!$Q$2:$Q$50)</f>
        <v>23413.571652852002</v>
      </c>
      <c r="R16" s="73" ph="1">
        <f>MAX(R15*9.0746*LOOKUP(R17,密度!$A$2:$A$50,密度!$B$2:$B$50),0)</f>
        <v>24952.48932728</v>
      </c>
      <c r="S16" s="73" ph="1">
        <f>S15*9.0746*LOOKUP(S17,密度!$A$2:$A$50,密度!$Q$2:$Q$50)</f>
        <v>48412.301874876008</v>
      </c>
      <c r="T16" s="73" ph="1">
        <f>T15*9.0746*LOOKUP(T17,密度!$A$2:$A$50,密度!$O$2:$O$50)</f>
        <v>38581.278972799999</v>
      </c>
      <c r="U16" s="73" ph="1">
        <f>U15*9.0746*LOOKUP(U17,密度!$A$2:$A$50,密度!$H$2:$H$50)</f>
        <v>32017.108077900004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206.8278181200003</v>
      </c>
      <c r="X16" s="73" ph="1">
        <f>MAX(5600*LOOKUP(X17,密度!$A$2:$A$50,密度!$I$2:$I$50)+X15*9.0476*LOOKUP(X17,密度!$A$2:$A$50,密度!$I$2:$I$50),0)</f>
        <v>11704.939999999999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17967.324144419999</v>
      </c>
      <c r="AB16" s="73" ph="1">
        <f>AB15*9.0746*LOOKUP(AB17,密度!$A$2:$A$50,密度!$L$2:$L$50)</f>
        <v>23220.032032400002</v>
      </c>
      <c r="AC16" s="73" ph="1">
        <f>AC15*9.0746*LOOKUP(AC17,密度!$A$2:$A$50,密度!$L$2:$L$50)</f>
        <v>55937.649320000004</v>
      </c>
      <c r="AD16" s="73" ph="1">
        <f>AD15*268.68*LOOKUP(AD17,密度!$A$2:$A$50,密度!B2:B50)+IF(AD15&lt;=0,0,1566*LOOKUP(AD17,密度!$A$2:$A$50,密度!B2:B50))</f>
        <v>2374.9943332799999</v>
      </c>
      <c r="AE16" s="73" ph="1">
        <f>AE15*268.68*LOOKUP(AE17,密度!$A$2:$A$50,密度!B2:B50)+IF(AE15&lt;=0,0,1566*LOOKUP(AE17,密度!$A$2:$A$50,密度!B2:B50))</f>
        <v>17456.325149279997</v>
      </c>
      <c r="AH16" s="72" ph="1">
        <v>2</v>
      </c>
      <c r="AI16" s="72" t="s" ph="1">
        <v>378</v>
      </c>
      <c r="AZ16" s="72" t="s" ph="1">
        <v>257</v>
      </c>
      <c r="BA16" s="72" ph="1">
        <v>0</v>
      </c>
    </row>
    <row r="17" spans="1:57" ph="1">
      <c r="A17" s="64" t="s" ph="1">
        <v>85</v>
      </c>
      <c r="B17" s="219" ph="1"/>
      <c r="C17" s="79" t="s" ph="1">
        <v>210</v>
      </c>
      <c r="D17" s="74">
        <v>10</v>
      </c>
      <c r="E17" s="74">
        <v>10</v>
      </c>
      <c r="F17" s="74">
        <v>10</v>
      </c>
      <c r="G17" s="74">
        <v>12</v>
      </c>
      <c r="H17" s="74">
        <v>10</v>
      </c>
      <c r="I17" s="74">
        <v>10</v>
      </c>
      <c r="J17" s="74">
        <v>10</v>
      </c>
      <c r="K17" s="74">
        <v>10</v>
      </c>
      <c r="L17" s="74">
        <v>11</v>
      </c>
      <c r="M17" s="74">
        <v>12</v>
      </c>
      <c r="N17" s="74">
        <v>11</v>
      </c>
      <c r="O17" s="74">
        <v>13</v>
      </c>
      <c r="P17" s="74">
        <v>10</v>
      </c>
      <c r="Q17" s="74">
        <v>10</v>
      </c>
      <c r="R17" s="74">
        <v>12</v>
      </c>
      <c r="S17" s="74">
        <v>10</v>
      </c>
      <c r="T17" s="74">
        <v>13</v>
      </c>
      <c r="U17" s="74">
        <v>10</v>
      </c>
      <c r="V17" s="74">
        <v>12</v>
      </c>
      <c r="W17" s="74">
        <v>12</v>
      </c>
      <c r="X17" s="74">
        <v>27</v>
      </c>
      <c r="Y17" s="108">
        <v>27</v>
      </c>
      <c r="Z17" s="74">
        <v>12</v>
      </c>
      <c r="AA17" s="74">
        <v>10</v>
      </c>
      <c r="AB17" s="74">
        <v>15</v>
      </c>
      <c r="AC17" s="74">
        <v>10</v>
      </c>
      <c r="AD17" s="74">
        <v>25</v>
      </c>
      <c r="AE17" s="74">
        <v>25</v>
      </c>
      <c r="AH17" s="64" ph="1">
        <v>3</v>
      </c>
      <c r="AI17" s="64" t="s" ph="1">
        <v>379</v>
      </c>
      <c r="AK17" s="64" t="s" ph="1">
        <v>611</v>
      </c>
      <c r="AL17" s="64" ph="1">
        <v>80</v>
      </c>
      <c r="AM17" s="64" t="s" ph="1">
        <v>376</v>
      </c>
      <c r="AZ17" s="64" t="s" ph="1">
        <v>257</v>
      </c>
      <c r="BA17" s="64" ph="1">
        <v>80</v>
      </c>
      <c r="BD17" s="64" t="s" ph="1">
        <v>255</v>
      </c>
      <c r="BE17" s="64" ph="1">
        <v>2270</v>
      </c>
    </row>
    <row r="18" spans="1:57" ph="1">
      <c r="B18" s="217" ph="1">
        <v>0.66666666666666663</v>
      </c>
      <c r="C18" s="79" t="s" ph="1">
        <v>211</v>
      </c>
      <c r="D18" s="71">
        <v>0</v>
      </c>
      <c r="E18" s="71">
        <v>1698</v>
      </c>
      <c r="F18" s="71">
        <v>2191</v>
      </c>
      <c r="G18" s="71">
        <v>2325</v>
      </c>
      <c r="H18" s="71">
        <v>2860</v>
      </c>
      <c r="I18" s="71">
        <v>9</v>
      </c>
      <c r="J18" s="71">
        <v>1288</v>
      </c>
      <c r="K18" s="71">
        <v>1591</v>
      </c>
      <c r="L18" s="71">
        <v>6275</v>
      </c>
      <c r="M18" s="71">
        <v>2965</v>
      </c>
      <c r="N18" s="71">
        <v>2138</v>
      </c>
      <c r="O18" s="71">
        <v>227</v>
      </c>
      <c r="P18" s="71">
        <v>609</v>
      </c>
      <c r="Q18" s="71">
        <v>2711</v>
      </c>
      <c r="R18" s="71">
        <v>3484</v>
      </c>
      <c r="S18" s="71">
        <v>5598</v>
      </c>
      <c r="T18" s="71">
        <v>2992</v>
      </c>
      <c r="U18" s="71">
        <v>5588</v>
      </c>
      <c r="V18" s="71">
        <v>-1646</v>
      </c>
      <c r="W18" s="71">
        <v>-597</v>
      </c>
      <c r="X18" s="71">
        <v>624</v>
      </c>
      <c r="Y18" s="109">
        <v>-9902</v>
      </c>
      <c r="Z18" s="71">
        <v>0</v>
      </c>
      <c r="AA18" s="71">
        <v>2501</v>
      </c>
      <c r="AB18" s="71">
        <v>3293</v>
      </c>
      <c r="AC18" s="71">
        <v>6488</v>
      </c>
      <c r="AD18" s="71">
        <v>23.21</v>
      </c>
      <c r="AE18" s="71">
        <v>84.85</v>
      </c>
      <c r="AH18" s="64" ph="1">
        <v>4</v>
      </c>
      <c r="AI18" s="64" t="s" ph="1">
        <v>381</v>
      </c>
      <c r="AJ18" s="64" t="s" ph="1">
        <v>629</v>
      </c>
      <c r="AK18" s="64" t="s" ph="1">
        <v>628</v>
      </c>
      <c r="AL18" s="64" ph="1">
        <v>740</v>
      </c>
      <c r="AM18" s="64" t="s" ph="1">
        <v>380</v>
      </c>
      <c r="AZ18" s="64" t="s" ph="1">
        <v>257</v>
      </c>
      <c r="BA18" s="64" ph="1">
        <v>740</v>
      </c>
    </row>
    <row r="19" spans="1:57" s="72" customFormat="1" ht="22.5" ph="1">
      <c r="B19" s="218" ph="1"/>
      <c r="C19" s="163" t="s" ph="1">
        <v>209</v>
      </c>
      <c r="D19" s="73" ph="1">
        <f>D18*7.0686*LOOKUP(D20,密度!$A$2:$A$50,密度!$L$2:$L$50)</f>
        <v>0</v>
      </c>
      <c r="E19" s="73" ph="1">
        <f>E18*7.0686*LOOKUP(E20,密度!$A$2:$A$50,密度!$L$2:$L$50)</f>
        <v>11354.3487288</v>
      </c>
      <c r="F19" s="73" ph="1">
        <f>F18*9.0746*LOOKUP(F20,密度!$A$2:$A$50,密度!$L$2:$L$50)</f>
        <v>18769.0314784</v>
      </c>
      <c r="G19" s="73" ph="1">
        <f>G18*9.0746*LOOKUP(G20,密度!$A$2:$A$50,密度!$B$2:$B$50)</f>
        <v>16608.695904</v>
      </c>
      <c r="H19" s="73" ph="1">
        <f>H18*9.0746*LOOKUP(H20,密度!$A$2:$A$50,密度!$L$2:$L$50)</f>
        <v>24655.688199999997</v>
      </c>
      <c r="I19" s="73" ph="1">
        <f>I18*9.0746*LOOKUP(I20,密度!$A$2:$A$50,密度!$U$2:$U$50)</f>
        <v>83.95819920000001</v>
      </c>
      <c r="J19" s="73" ph="1">
        <f>J18*9.0746*LOOKUP(J20,密度!$A$2:$A$50,密度!$L$2:$L$50)</f>
        <v>11010.1758816</v>
      </c>
      <c r="K19" s="73" ph="1">
        <f>K18*9.0746*LOOKUP(K20,密度!$A$2:$A$50,密度!$C$2:$C$50)</f>
        <v>16082.141331539999</v>
      </c>
      <c r="L19" s="73" ph="1">
        <f>L18*9.0746*LOOKUP(L20,密度!$A$2:$A$50,密度!$E$2:$E$50)</f>
        <v>45252.693490499994</v>
      </c>
      <c r="M19" s="73" ph="1">
        <f>M18*9.0746*LOOKUP(M20,密度!$A$2:$A$50,密度!$M$2:$M$50)</f>
        <v>23685.518176699999</v>
      </c>
      <c r="N19" s="73" ph="1">
        <f>N18*9.0746*LOOKUP(N20,密度!$A$2:$A$50,密度!$M$2:$M$50)</f>
        <v>17079.135872440002</v>
      </c>
      <c r="O19" s="73" ph="1">
        <f>O18*9.0746*LOOKUP(O20,密度!$A$2:$A$50,密度!$G$2:$G$50)</f>
        <v>1989.6904437800001</v>
      </c>
      <c r="P19" s="73" ph="1">
        <f ca="1">P18*9.0746*LOOKUP(P20,密度!$A$2:$A$51,密度!$Q$2:$Q$50)</f>
        <v>5275.1998285560003</v>
      </c>
      <c r="Q19" s="73" ph="1">
        <f>Q18*9.0746*LOOKUP(Q20,密度!$A$2:$A$50,密度!$Q$2:$Q$50)</f>
        <v>23459.743036160002</v>
      </c>
      <c r="R19" s="73" ph="1">
        <f>MAX(R18*9.0746*LOOKUP(R20,密度!$A$2:$A$50,密度!$B$2:$B$50),0)</f>
        <v>24790.032208240002</v>
      </c>
      <c r="S19" s="73" ph="1">
        <f>S18*9.0746*LOOKUP(S20,密度!$A$2:$A$50,密度!$Q$2:$Q$50)</f>
        <v>48490.260493032009</v>
      </c>
      <c r="T19" s="73" ph="1">
        <f>T18*9.0746*LOOKUP(T20,密度!$A$2:$A$50,密度!$O$2:$O$50)</f>
        <v>25359.223788800002</v>
      </c>
      <c r="U19" s="73" ph="1">
        <f>U18*9.0746*LOOKUP(U20,密度!$A$2:$A$50,密度!$H$2:$H$50)</f>
        <v>46890.487280560003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189.0528114280005</v>
      </c>
      <c r="X19" s="73" ph="1">
        <f>MAX(5600*LOOKUP(X20,密度!$A$2:$A$50,密度!$I$2:$I$50)+X18*9.0476*LOOKUP(X20,密度!$A$2:$A$50,密度!$I$2:$I$50),0)</f>
        <v>11645.037292223999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17904.538801940002</v>
      </c>
      <c r="AB19" s="73" ph="1">
        <f>AB18*9.0746*LOOKUP(AB20,密度!$A$2:$A$50,密度!$L$2:$L$50)</f>
        <v>28119.580989800001</v>
      </c>
      <c r="AC19" s="73" ph="1">
        <f>AC18*9.0746*LOOKUP(AC20,密度!$A$2:$A$50,密度!$L$2:$L$50)</f>
        <v>55814.452550399998</v>
      </c>
      <c r="AD19" s="73" ph="1">
        <f>AD18*268.68*LOOKUP(AD20,密度!$A$2:$A$50,密度!B5:B53)+IF(AD18&lt;=0,0,1566*LOOKUP(AD20,密度!$A$2:$A$50,密度!B5:B53))</f>
        <v>6062.2027956000011</v>
      </c>
      <c r="AE19" s="73" ph="1">
        <f>AE18*268.68*LOOKUP(AE20,密度!$A$2:$A$50,密度!B5:B53)+IF(AE18&lt;=0,0,1566*LOOKUP(AE20,密度!$A$2:$A$50,密度!B5:B53))</f>
        <v>18930.437945999998</v>
      </c>
      <c r="AH19" s="72" ph="1">
        <v>5</v>
      </c>
      <c r="AI19" s="72" t="s" ph="1">
        <v>382</v>
      </c>
      <c r="AZ19" s="72" t="s" ph="1">
        <v>257</v>
      </c>
      <c r="BA19" s="72" ph="1">
        <v>0</v>
      </c>
      <c r="BD19" s="72" t="s" ph="1">
        <v>383</v>
      </c>
      <c r="BE19" s="72" ph="1">
        <v>1440</v>
      </c>
    </row>
    <row r="20" spans="1:57" ph="1">
      <c r="A20" s="72" ph="1"/>
      <c r="B20" s="218" ph="1"/>
      <c r="C20" s="80" t="s" ph="1">
        <v>210</v>
      </c>
      <c r="D20" s="81">
        <v>16</v>
      </c>
      <c r="E20" s="81">
        <v>16</v>
      </c>
      <c r="F20" s="81">
        <v>18</v>
      </c>
      <c r="G20" s="81">
        <v>16</v>
      </c>
      <c r="H20" s="81">
        <v>12</v>
      </c>
      <c r="I20" s="81">
        <v>18</v>
      </c>
      <c r="J20" s="81">
        <v>20</v>
      </c>
      <c r="K20" s="81">
        <v>18</v>
      </c>
      <c r="L20" s="81">
        <v>15</v>
      </c>
      <c r="M20" s="81">
        <v>18</v>
      </c>
      <c r="N20" s="81">
        <v>17</v>
      </c>
      <c r="O20" s="81">
        <v>20</v>
      </c>
      <c r="P20" s="81">
        <v>15</v>
      </c>
      <c r="Q20" s="81">
        <v>16</v>
      </c>
      <c r="R20" s="81">
        <v>20</v>
      </c>
      <c r="S20" s="81">
        <v>15</v>
      </c>
      <c r="T20" s="81">
        <v>18</v>
      </c>
      <c r="U20" s="81">
        <v>15</v>
      </c>
      <c r="V20" s="81">
        <v>18</v>
      </c>
      <c r="W20" s="81">
        <v>18</v>
      </c>
      <c r="X20" s="81">
        <v>31</v>
      </c>
      <c r="Y20" s="110">
        <v>31</v>
      </c>
      <c r="Z20" s="81">
        <v>27</v>
      </c>
      <c r="AA20" s="81">
        <v>14</v>
      </c>
      <c r="AB20" s="81">
        <v>21</v>
      </c>
      <c r="AC20" s="81">
        <v>14</v>
      </c>
      <c r="AD20" s="81">
        <v>25</v>
      </c>
      <c r="AE20" s="81">
        <v>25</v>
      </c>
      <c r="AH20" s="64" ph="1">
        <v>6</v>
      </c>
      <c r="AI20" s="64" t="s" ph="1">
        <v>384</v>
      </c>
      <c r="AZ20" s="64" t="s" ph="1">
        <v>257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385</v>
      </c>
      <c r="AZ21" s="64" t="s" ph="1">
        <v>257</v>
      </c>
      <c r="BA21" s="64" ph="1">
        <v>0</v>
      </c>
      <c r="BD21" s="64" t="s" ph="1">
        <v>273</v>
      </c>
      <c r="BE21" s="64" ph="1">
        <v>730</v>
      </c>
    </row>
    <row r="22" spans="1:57" ph="1">
      <c r="A22" s="72" ph="1"/>
      <c r="B22" s="216" t="s" ph="1">
        <v>37</v>
      </c>
      <c r="C22" s="85" t="s" ph="1">
        <v>207</v>
      </c>
      <c r="D22" s="86" t="s" ph="1">
        <v>103</v>
      </c>
      <c r="E22" s="86" t="s" ph="1">
        <v>104</v>
      </c>
      <c r="F22" s="86" t="s" ph="1">
        <v>105</v>
      </c>
      <c r="G22" s="86" t="s" ph="1">
        <v>106</v>
      </c>
      <c r="H22" s="86" t="s" ph="1">
        <v>107</v>
      </c>
      <c r="I22" s="86" t="s" ph="1">
        <v>108</v>
      </c>
      <c r="J22" s="86" t="s" ph="1">
        <v>109</v>
      </c>
      <c r="K22" s="86" t="s" ph="1">
        <v>110</v>
      </c>
      <c r="L22" s="86" t="s" ph="1">
        <v>111</v>
      </c>
      <c r="M22" s="86" t="s" ph="1">
        <v>112</v>
      </c>
      <c r="N22" s="86" t="s" ph="1">
        <v>113</v>
      </c>
      <c r="O22" s="86" t="s" ph="1">
        <v>114</v>
      </c>
      <c r="P22" s="86" t="s" ph="1">
        <v>115</v>
      </c>
      <c r="Q22" s="87" t="s" ph="1">
        <v>116</v>
      </c>
      <c r="R22" s="86" t="s" ph="1">
        <v>117</v>
      </c>
      <c r="S22" s="86" t="s" ph="1">
        <v>118</v>
      </c>
      <c r="T22" s="86" t="s" ph="1">
        <v>119</v>
      </c>
      <c r="U22" s="86" t="s" ph="1">
        <v>120</v>
      </c>
      <c r="V22" s="86" t="s" ph="1">
        <v>121</v>
      </c>
      <c r="W22" s="86" t="s" ph="1">
        <v>122</v>
      </c>
      <c r="X22" s="86" t="s" ph="1">
        <v>123</v>
      </c>
      <c r="Y22" s="86" t="s" ph="1">
        <v>125</v>
      </c>
      <c r="Z22" s="195" t="s" ph="1">
        <v>79</v>
      </c>
      <c r="AA22" s="196"/>
      <c r="AB22" s="196"/>
      <c r="AC22" s="196"/>
      <c r="AD22" s="196"/>
      <c r="AE22" s="197"/>
      <c r="AH22" s="64" ph="1">
        <v>8</v>
      </c>
      <c r="AI22" s="64" t="s" ph="1">
        <v>386</v>
      </c>
      <c r="AZ22" s="64" t="s" ph="1">
        <v>257</v>
      </c>
      <c r="BA22" s="64" ph="1">
        <v>0</v>
      </c>
    </row>
    <row r="23" spans="1:57" ph="1">
      <c r="A23" s="72" ph="1"/>
      <c r="B23" s="211" ph="1"/>
      <c r="C23" s="67" t="s" ph="1">
        <v>36</v>
      </c>
      <c r="D23" s="88" t="s" ph="1">
        <v>127</v>
      </c>
      <c r="E23" s="88" t="s" ph="1">
        <v>124</v>
      </c>
      <c r="F23" s="88" t="s" ph="1">
        <v>127</v>
      </c>
      <c r="G23" s="88" t="s" ph="1">
        <v>679</v>
      </c>
      <c r="H23" s="88" t="s" ph="1">
        <v>679</v>
      </c>
      <c r="I23" s="88" t="s" ph="1">
        <v>680</v>
      </c>
      <c r="J23" s="88" t="s" ph="1">
        <v>681</v>
      </c>
      <c r="K23" s="88" t="s" ph="1">
        <v>682</v>
      </c>
      <c r="L23" s="88" t="s" ph="1">
        <v>682</v>
      </c>
      <c r="M23" s="88" t="s" ph="1">
        <v>675</v>
      </c>
      <c r="N23" s="88" t="s" ph="1">
        <v>675</v>
      </c>
      <c r="O23" s="88" t="s" ph="1">
        <v>359</v>
      </c>
      <c r="P23" s="88" t="s" ph="1">
        <v>666</v>
      </c>
      <c r="Q23" s="89" t="s" ph="1">
        <v>666</v>
      </c>
      <c r="R23" s="88" t="s" ph="1">
        <v>659</v>
      </c>
      <c r="S23" s="88" t="s" ph="1">
        <v>683</v>
      </c>
      <c r="T23" s="88" t="s" ph="1">
        <v>647</v>
      </c>
      <c r="U23" s="88" t="s" ph="1">
        <v>653</v>
      </c>
      <c r="V23" s="88" t="s" ph="1">
        <v>684</v>
      </c>
      <c r="W23" s="88" t="s" ph="1">
        <v>685</v>
      </c>
      <c r="X23" s="88" t="s" ph="1">
        <v>228</v>
      </c>
      <c r="Y23" s="88" t="s" ph="1">
        <v>686</v>
      </c>
      <c r="Z23" s="198" t="s" ph="1">
        <v>649</v>
      </c>
      <c r="AA23" s="199"/>
      <c r="AB23" s="199"/>
      <c r="AC23" s="199"/>
      <c r="AD23" s="199"/>
      <c r="AE23" s="200"/>
      <c r="AH23" s="64" ph="1">
        <v>9</v>
      </c>
      <c r="AI23" s="64" t="s" ph="1">
        <v>387</v>
      </c>
      <c r="AZ23" s="64" t="s" ph="1">
        <v>257</v>
      </c>
      <c r="BA23" s="64" ph="1">
        <v>0</v>
      </c>
      <c r="BD23" s="64" t="s" ph="1">
        <v>279</v>
      </c>
      <c r="BE23" s="64" ph="1">
        <v>890</v>
      </c>
    </row>
    <row r="24" spans="1:57" ph="1">
      <c r="A24" s="72" ph="1"/>
      <c r="B24" s="207" ph="1">
        <v>0.33333333333333331</v>
      </c>
      <c r="C24" s="163" t="s" ph="1">
        <v>208</v>
      </c>
      <c r="D24" s="71">
        <v>98.21</v>
      </c>
      <c r="E24" s="71">
        <v>91.81</v>
      </c>
      <c r="F24" s="71">
        <v>4002</v>
      </c>
      <c r="G24" s="71">
        <v>2619</v>
      </c>
      <c r="H24" s="71">
        <v>3795</v>
      </c>
      <c r="I24" s="71">
        <v>850</v>
      </c>
      <c r="J24" s="71">
        <v>424</v>
      </c>
      <c r="K24" s="71">
        <v>5592</v>
      </c>
      <c r="L24" s="71">
        <v>5565</v>
      </c>
      <c r="M24" s="71">
        <v>1490</v>
      </c>
      <c r="N24" s="71">
        <v>1458</v>
      </c>
      <c r="O24" s="71">
        <v>2059</v>
      </c>
      <c r="P24" s="71">
        <v>459</v>
      </c>
      <c r="Q24" s="90">
        <v>3611</v>
      </c>
      <c r="R24" s="71">
        <v>4712</v>
      </c>
      <c r="S24" s="71">
        <v>404</v>
      </c>
      <c r="T24" s="71">
        <v>5</v>
      </c>
      <c r="U24" s="71">
        <v>5066</v>
      </c>
      <c r="V24" s="71">
        <v>411</v>
      </c>
      <c r="W24" s="71">
        <v>5767</v>
      </c>
      <c r="X24" s="71">
        <v>7804</v>
      </c>
      <c r="Y24" s="71">
        <v>3782</v>
      </c>
      <c r="Z24" s="201"/>
      <c r="AA24" s="202"/>
      <c r="AB24" s="202"/>
      <c r="AC24" s="202"/>
      <c r="AD24" s="202"/>
      <c r="AE24" s="203"/>
      <c r="AH24" s="64" ph="1">
        <v>10</v>
      </c>
      <c r="AI24" s="64" t="s" ph="1">
        <v>388</v>
      </c>
      <c r="AZ24" s="64" t="s" ph="1">
        <v>257</v>
      </c>
      <c r="BA24" s="64" ph="1">
        <v>0</v>
      </c>
    </row>
    <row r="25" spans="1:57" ph="1">
      <c r="A25" s="72" ph="1"/>
      <c r="B25" s="207" ph="1"/>
      <c r="C25" s="68" t="s" ph="1">
        <v>209</v>
      </c>
      <c r="D25" s="91" ph="1">
        <f>D24*268.68*LOOKUP(D26,密度!$A$2:$A$50,密度!$Q$2:$Q$50)+IF(D24&lt;=0,0,1566*LOOKUP(D26,密度!$A$2:$A$50,密度!$Q$2:$Q$50))</f>
        <v>26464.282675272003</v>
      </c>
      <c r="E25" s="91" ph="1">
        <f>E24*268.68*LOOKUP(E26,密度!$A$2:$A$50,密度!$C$2:$C$50)+IF(E24&lt;=0,0,1566*LOOKUP(E26,密度!$A$2:$A$50,密度!$C$2:$C$50))</f>
        <v>29090.340126120002</v>
      </c>
      <c r="F25" s="91" ph="1">
        <f>F24*11.702*LOOKUP(F26,密度!$A$2:$A$50,密度!$Q$2:$Q$50)</f>
        <v>44702.448374160005</v>
      </c>
      <c r="G25" s="91" ph="1">
        <f>G24*18.322*LOOKUP(G26,密度!$A$2:$A$50,密度!$B$2:$B$50)</f>
        <v>37975.580665199996</v>
      </c>
      <c r="H25" s="91" ph="1">
        <f>H24*18.322*LOOKUP(H26,密度!$A$2:$A$50,密度!$B$2:$B$50)</f>
        <v>54971.991293999992</v>
      </c>
      <c r="I25" s="91" ph="1">
        <f>I24*18.322*LOOKUP(I26,密度!$A$2:$A$50,密度!$Q$2:$Q$50)</f>
        <v>14865.719598</v>
      </c>
      <c r="J25" s="91" ph="1">
        <f>J24*18.322*LOOKUP(J26,密度!$A$2:$A$50,密度!$Q$2:$Q$50)</f>
        <v>7415.3707171199994</v>
      </c>
      <c r="K25" s="91" ph="1">
        <f>K24*18.322*LOOKUP(K26,密度!$A$2:$A$50,密度!$Q$2:$Q$50)</f>
        <v>97798.945872960001</v>
      </c>
      <c r="L25" s="91" ph="1">
        <f>L24*18.322*LOOKUP(L26,密度!$A$2:$A$50,密度!$Q$2:$Q$50)</f>
        <v>97326.740662199998</v>
      </c>
      <c r="M25" s="91" ph="1">
        <f>M24*18.322*LOOKUP(M26,密度!$A$2:$A$50,密度!$Q$2:$Q$50)</f>
        <v>26058.732001200002</v>
      </c>
      <c r="N25" s="91" ph="1">
        <f>N24*18.322*LOOKUP(N26,密度!$A$2:$A$50,密度!$Q$2:$Q$50)</f>
        <v>25499.08138104</v>
      </c>
      <c r="O25" s="91" ph="1">
        <f>O24*18.322*LOOKUP(O26,密度!$A$2:$A$50,密度!$C$2:$C$50)</f>
        <v>42184.092763600005</v>
      </c>
      <c r="P25" s="91" ph="1">
        <f>P24*11.702*LOOKUP(P26,密度!$A$2:$A$50,密度!$B$2:$B$50)</f>
        <v>4255.6160214000001</v>
      </c>
      <c r="Q25" s="92" ph="1">
        <f>Q24*18.322*LOOKUP(Q26,密度!$A$2:$A$50,密度!$B$2:$B$50)</f>
        <v>52419.155886599998</v>
      </c>
      <c r="R25" s="91" ph="1">
        <f>R24*35.891*LOOKUP(R26,密度!$A$2:$A$50,密度!$C$2:$C$50)</f>
        <v>189243.480648</v>
      </c>
      <c r="S25" s="91" ph="1">
        <f>S24*35.891*LOOKUP(S26,密度!$A$2:$A$50,密度!$B$2:$B$50)</f>
        <v>11475.271509599999</v>
      </c>
      <c r="T25" s="91" ph="1">
        <f>T24*35.891*LOOKUP(T26,密度!$A$2:$A$50,密度!$Q$2:$Q$50)</f>
        <v>171.29697569999999</v>
      </c>
      <c r="U25" s="91" ph="1">
        <f>U24*35.891</f>
        <v>181823.80599999998</v>
      </c>
      <c r="V25" s="91" ph="1">
        <f>V24*47.051*LOOKUP(V26,密度!$A$2:$A$50,密度!$B$2:$B$50)</f>
        <v>15288.591966599999</v>
      </c>
      <c r="W25" s="91" ph="1">
        <f>W24*47.051*LOOKUP(W26,密度!$A$2:$A$50,密度!$B$2:$B$50)</f>
        <v>214062.58500130003</v>
      </c>
      <c r="X25" s="91" ph="1">
        <f>X24*47.051*LOOKUP(X26,密度!$A$2:$A$50,密度!$I$2:$I$50)</f>
        <v>378164.86551960005</v>
      </c>
      <c r="Y25" s="91" ph="1">
        <f>Y24*47.051*LOOKUP(Y26,密度!$A$2:$A$50,密度!$L$2:$L$50)</f>
        <v>168693.64413600002</v>
      </c>
      <c r="Z25" s="201"/>
      <c r="AA25" s="202"/>
      <c r="AB25" s="202"/>
      <c r="AC25" s="202"/>
      <c r="AD25" s="202"/>
      <c r="AE25" s="203"/>
      <c r="AH25" s="64" ph="1">
        <v>11</v>
      </c>
      <c r="AI25" s="64" t="s" ph="1">
        <v>389</v>
      </c>
      <c r="AZ25" s="64" t="s" ph="1">
        <v>257</v>
      </c>
      <c r="BA25" s="64" ph="1">
        <v>0</v>
      </c>
      <c r="BD25" s="64" t="s" ph="1">
        <v>282</v>
      </c>
      <c r="BE25" s="64" ph="1">
        <v>8920</v>
      </c>
    </row>
    <row r="26" spans="1:57" ph="1">
      <c r="A26" s="72" ph="1"/>
      <c r="B26" s="207" ph="1"/>
      <c r="C26" s="68" t="s" ph="1">
        <v>210</v>
      </c>
      <c r="D26" s="74">
        <v>25</v>
      </c>
      <c r="E26" s="74">
        <v>25</v>
      </c>
      <c r="F26" s="74">
        <v>10</v>
      </c>
      <c r="G26" s="74">
        <v>11</v>
      </c>
      <c r="H26" s="74">
        <v>12</v>
      </c>
      <c r="I26" s="74">
        <v>12</v>
      </c>
      <c r="J26" s="74">
        <v>12</v>
      </c>
      <c r="K26" s="74">
        <v>11</v>
      </c>
      <c r="L26" s="74">
        <v>12</v>
      </c>
      <c r="M26" s="74">
        <v>12</v>
      </c>
      <c r="N26" s="74">
        <v>12</v>
      </c>
      <c r="O26" s="74">
        <v>12</v>
      </c>
      <c r="P26" s="74">
        <v>10</v>
      </c>
      <c r="Q26" s="93">
        <v>10</v>
      </c>
      <c r="R26" s="74">
        <v>11</v>
      </c>
      <c r="S26" s="74">
        <v>11</v>
      </c>
      <c r="T26" s="74">
        <v>10</v>
      </c>
      <c r="U26" s="74">
        <v>10</v>
      </c>
      <c r="V26" s="74">
        <v>12</v>
      </c>
      <c r="W26" s="74">
        <v>14</v>
      </c>
      <c r="X26" s="74">
        <v>44</v>
      </c>
      <c r="Y26" s="74">
        <v>14</v>
      </c>
      <c r="Z26" s="201"/>
      <c r="AA26" s="202"/>
      <c r="AB26" s="202"/>
      <c r="AC26" s="202"/>
      <c r="AD26" s="202"/>
      <c r="AE26" s="203"/>
      <c r="AH26" s="64" ph="1">
        <v>12</v>
      </c>
      <c r="AI26" s="64" t="s" ph="1">
        <v>390</v>
      </c>
      <c r="AZ26" s="64" t="s" ph="1">
        <v>257</v>
      </c>
      <c r="BA26" s="64" ph="1">
        <v>0</v>
      </c>
    </row>
    <row r="27" spans="1:57" ph="1">
      <c r="A27" s="72" ph="1"/>
      <c r="B27" s="207" ph="1">
        <v>0.66666666666666663</v>
      </c>
      <c r="C27" s="163" t="s" ph="1">
        <v>211</v>
      </c>
      <c r="D27" s="71">
        <v>98.42</v>
      </c>
      <c r="E27" s="71">
        <v>23.41</v>
      </c>
      <c r="F27" s="71">
        <v>4007</v>
      </c>
      <c r="G27" s="71">
        <v>2152</v>
      </c>
      <c r="H27" s="71">
        <v>3393</v>
      </c>
      <c r="I27" s="71">
        <v>847</v>
      </c>
      <c r="J27" s="71">
        <v>419</v>
      </c>
      <c r="K27" s="71">
        <v>5593</v>
      </c>
      <c r="L27" s="71">
        <v>5562</v>
      </c>
      <c r="M27" s="71">
        <v>3140</v>
      </c>
      <c r="N27" s="71">
        <v>1453</v>
      </c>
      <c r="O27" s="71">
        <v>2054</v>
      </c>
      <c r="P27" s="71">
        <v>447</v>
      </c>
      <c r="Q27" s="90">
        <v>4213</v>
      </c>
      <c r="R27" s="71">
        <v>5413</v>
      </c>
      <c r="S27" s="71">
        <v>400</v>
      </c>
      <c r="T27" s="71">
        <v>2</v>
      </c>
      <c r="U27" s="71">
        <v>5041</v>
      </c>
      <c r="V27" s="71">
        <v>404</v>
      </c>
      <c r="W27" s="71">
        <v>6712</v>
      </c>
      <c r="X27" s="71">
        <v>7323</v>
      </c>
      <c r="Y27" s="71">
        <v>4186</v>
      </c>
      <c r="Z27" s="201"/>
      <c r="AA27" s="202"/>
      <c r="AB27" s="202"/>
      <c r="AC27" s="202"/>
      <c r="AD27" s="202"/>
      <c r="AE27" s="203"/>
      <c r="AH27" s="64" ph="1">
        <v>13</v>
      </c>
      <c r="AI27" s="64" t="s" ph="1">
        <v>391</v>
      </c>
      <c r="AZ27" s="64" t="s" ph="1">
        <v>257</v>
      </c>
      <c r="BA27" s="64" ph="1">
        <v>0</v>
      </c>
      <c r="BD27" s="64" t="s" ph="1">
        <v>336</v>
      </c>
      <c r="BE27" s="64" ph="1">
        <v>7100</v>
      </c>
    </row>
    <row r="28" spans="1:57" ph="1">
      <c r="A28" s="72" ph="1"/>
      <c r="B28" s="207" ph="1"/>
      <c r="C28" s="163" t="s" ph="1">
        <v>209</v>
      </c>
      <c r="D28" s="91" ph="1">
        <f>D27*268.68*LOOKUP(D29,密度!$A$2:$A$50,密度!$Q$2:$Q$50)+IF(D27&lt;=0,0,1566*LOOKUP(D29,密度!$A$2:$A$50,密度!$Q$2:$Q$50))</f>
        <v>26517.700396944001</v>
      </c>
      <c r="E28" s="91" ph="1">
        <f>E27*268.68*LOOKUP(E29,密度!$A$2:$A$50,密度!$C$2:$C$50)+IF(E27&lt;=0,0,1566*LOOKUP(E29,密度!$A$2:$A$50,密度!$C$2:$C$50))</f>
        <v>8711.2952893199999</v>
      </c>
      <c r="F28" s="91" ph="1">
        <f>F27*11.702*LOOKUP(F29,密度!$A$2:$A$50,密度!$Q$2:$Q$50)</f>
        <v>44758.298509560002</v>
      </c>
      <c r="G28" s="91" ph="1">
        <f>G27*18.322*LOOKUP(G29,密度!$A$2:$A$50,密度!$B$2:$B$50)</f>
        <v>31105.493921599998</v>
      </c>
      <c r="H28" s="91" ph="1">
        <f>H27*18.322*LOOKUP(H29,密度!$A$2:$A$50,密度!$B$2:$B$50)</f>
        <v>49043.188139400001</v>
      </c>
      <c r="I28" s="91" ph="1">
        <f>I27*18.322*LOOKUP(I29,密度!$A$2:$A$50,密度!$Q$2:$Q$50)</f>
        <v>14813.252352359999</v>
      </c>
      <c r="J28" s="91" ph="1">
        <f>J27*18.322*LOOKUP(J29,密度!$A$2:$A$50,密度!$Q$2:$Q$50)</f>
        <v>7320.7090048</v>
      </c>
      <c r="K28" s="91" ph="1">
        <f>K27*18.322*LOOKUP(K29,密度!$A$2:$A$50,密度!$Q$2:$Q$50)</f>
        <v>97816.434954840006</v>
      </c>
      <c r="L28" s="91" ph="1">
        <f>L27*18.322*LOOKUP(L29,密度!$A$2:$A$50,密度!$Q$2:$Q$50)</f>
        <v>97274.273416559998</v>
      </c>
      <c r="M28" s="91" ph="1">
        <f>M27*18.322*LOOKUP(M29,密度!$A$2:$A$50,密度!$Q$2:$Q$50)</f>
        <v>54602.172717199996</v>
      </c>
      <c r="N28" s="91" ph="1">
        <f>N27*18.322*LOOKUP(N29,密度!$A$2:$A$50,密度!$Q$2:$Q$50)</f>
        <v>25386.611417599997</v>
      </c>
      <c r="O28" s="91" ph="1">
        <f>O27*18.322*LOOKUP(O29,密度!$A$2:$A$50,密度!$C$2:$C$50)</f>
        <v>41968.754297599997</v>
      </c>
      <c r="P28" s="91" ph="1">
        <f>P27*11.702*LOOKUP(P29,密度!$A$2:$A$50,密度!$B$2:$B$50)</f>
        <v>4121.8656719999999</v>
      </c>
      <c r="Q28" s="92" ph="1">
        <f>Q27*18.322*LOOKUP(Q29,密度!$A$2:$A$50,密度!$B$2:$B$50)</f>
        <v>60826.181768000002</v>
      </c>
      <c r="R28" s="91" ph="1">
        <f>R27*35.891*LOOKUP(R29,密度!$A$2:$A$50,密度!$C$2:$C$50)</f>
        <v>216522.81205349998</v>
      </c>
      <c r="S28" s="91" ph="1">
        <f>S27*35.891*LOOKUP(S29,密度!$A$2:$A$50,密度!$B$2:$B$50)</f>
        <v>11279.823479999999</v>
      </c>
      <c r="T28" s="91" ph="1">
        <f>T27*35.891*LOOKUP(T29,密度!$A$2:$A$50,密度!$Q$2:$Q$50)</f>
        <v>68.337181819999998</v>
      </c>
      <c r="U28" s="91" ph="1">
        <f>U27*35.891</f>
        <v>180926.53099999999</v>
      </c>
      <c r="V28" s="91" ph="1">
        <f>V27*47.051*LOOKUP(V29,密度!$A$2:$A$50,密度!$B$2:$B$50)</f>
        <v>14935.060162799999</v>
      </c>
      <c r="W28" s="91" ph="1">
        <f>W27*47.051*LOOKUP(W29,密度!$A$2:$A$50,密度!$B$2:$B$50)</f>
        <v>248602.72880640003</v>
      </c>
      <c r="X28" s="91" ph="1">
        <f>X27*47.051*LOOKUP(X29,密度!$A$2:$A$50,密度!$I$2:$I$50)</f>
        <v>356834.39441771997</v>
      </c>
      <c r="Y28" s="91" ph="1">
        <f>Y27*47.051*LOOKUP(Y29,密度!$A$2:$A$50,密度!$L$2:$L$50)</f>
        <v>185925.97878400001</v>
      </c>
      <c r="Z28" s="201"/>
      <c r="AA28" s="202"/>
      <c r="AB28" s="202"/>
      <c r="AC28" s="202"/>
      <c r="AD28" s="202"/>
      <c r="AE28" s="203"/>
      <c r="AH28" s="64" ph="1">
        <v>14</v>
      </c>
      <c r="AI28" s="64" t="s" ph="1">
        <v>392</v>
      </c>
      <c r="AZ28" s="64" t="s" ph="1">
        <v>257</v>
      </c>
      <c r="BA28" s="64" ph="1">
        <v>0</v>
      </c>
    </row>
    <row r="29" spans="1:57" ph="1">
      <c r="A29" s="72" ph="1"/>
      <c r="B29" s="207" ph="1"/>
      <c r="C29" s="163" t="s" ph="1">
        <v>210</v>
      </c>
      <c r="D29" s="74">
        <v>25</v>
      </c>
      <c r="E29" s="74">
        <v>25</v>
      </c>
      <c r="F29" s="74">
        <v>12</v>
      </c>
      <c r="G29" s="74">
        <v>14</v>
      </c>
      <c r="H29" s="74">
        <v>14</v>
      </c>
      <c r="I29" s="74">
        <v>14</v>
      </c>
      <c r="J29" s="74">
        <v>16</v>
      </c>
      <c r="K29" s="74">
        <v>15</v>
      </c>
      <c r="L29" s="74">
        <v>15</v>
      </c>
      <c r="M29" s="74">
        <v>22</v>
      </c>
      <c r="N29" s="74">
        <v>16</v>
      </c>
      <c r="O29" s="74">
        <v>16</v>
      </c>
      <c r="P29" s="74">
        <v>15</v>
      </c>
      <c r="Q29" s="93">
        <v>15</v>
      </c>
      <c r="R29" s="74">
        <v>17</v>
      </c>
      <c r="S29" s="74">
        <v>18</v>
      </c>
      <c r="T29" s="74">
        <v>18</v>
      </c>
      <c r="U29" s="74">
        <v>17</v>
      </c>
      <c r="V29" s="74">
        <v>18</v>
      </c>
      <c r="W29" s="74">
        <v>16</v>
      </c>
      <c r="X29" s="74">
        <v>50</v>
      </c>
      <c r="Y29" s="74">
        <v>18</v>
      </c>
      <c r="Z29" s="204"/>
      <c r="AA29" s="205"/>
      <c r="AB29" s="205"/>
      <c r="AC29" s="205"/>
      <c r="AD29" s="205"/>
      <c r="AE29" s="206"/>
      <c r="AH29" s="64" ph="1">
        <v>15</v>
      </c>
      <c r="AI29" s="64" t="s" ph="1">
        <v>393</v>
      </c>
      <c r="AZ29" s="64" t="s" ph="1">
        <v>257</v>
      </c>
      <c r="BA29" s="64" ph="1">
        <v>0</v>
      </c>
      <c r="BD29" s="64" t="s" ph="1">
        <v>394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395</v>
      </c>
      <c r="AZ30" s="64" t="s" ph="1">
        <v>257</v>
      </c>
      <c r="BA30" s="64" ph="1">
        <v>0</v>
      </c>
    </row>
    <row r="31" spans="1:57" ht="28.5" ph="1">
      <c r="A31" s="64"/>
      <c r="B31" s="220" t="s" ph="1">
        <v>35</v>
      </c>
      <c r="C31" s="221" ph="1"/>
      <c r="D31" s="224" t="s" ph="1">
        <v>9</v>
      </c>
      <c r="E31" s="213" ph="1"/>
      <c r="F31" s="214" ph="1"/>
      <c r="G31" s="224" t="s" ph="1">
        <v>18</v>
      </c>
      <c r="H31" s="213" ph="1"/>
      <c r="I31" s="214" ph="1"/>
      <c r="J31" s="212" t="s" ph="1">
        <v>1</v>
      </c>
      <c r="K31" s="213" ph="1"/>
      <c r="L31" s="214" ph="1"/>
      <c r="M31" s="212" t="s" ph="1">
        <v>7</v>
      </c>
      <c r="N31" s="213" ph="1"/>
      <c r="O31" s="214" ph="1"/>
      <c r="P31" s="212" t="s" ph="1">
        <v>42</v>
      </c>
      <c r="Q31" s="213"/>
      <c r="R31" s="214"/>
      <c r="S31" s="212" t="s" ph="1">
        <v>2</v>
      </c>
      <c r="T31" s="213"/>
      <c r="U31" s="214"/>
      <c r="V31" s="212" t="s" ph="1">
        <v>81</v>
      </c>
      <c r="W31" s="213" ph="1"/>
      <c r="X31" s="214" ph="1"/>
      <c r="Y31" s="212" t="s" ph="1">
        <v>3</v>
      </c>
      <c r="Z31" s="213" ph="1"/>
      <c r="AA31" s="214" ph="1"/>
      <c r="AB31" s="235" t="s">
        <v>43</v>
      </c>
      <c r="AC31" s="236"/>
      <c r="AD31" s="236"/>
      <c r="AE31" s="237"/>
      <c r="AH31" s="64" ph="1">
        <v>17</v>
      </c>
      <c r="AI31" s="64" t="s" ph="1">
        <v>396</v>
      </c>
      <c r="AZ31" s="64" t="s" ph="1">
        <v>257</v>
      </c>
      <c r="BA31" s="64" ph="1">
        <v>0</v>
      </c>
      <c r="BD31" s="64" t="s" ph="1">
        <v>397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63" t="s" ph="1">
        <v>5</v>
      </c>
      <c r="F32" s="162" t="s" ph="1">
        <v>44</v>
      </c>
      <c r="G32" s="97" t="s" ph="1">
        <v>4</v>
      </c>
      <c r="H32" s="163" t="s" ph="1">
        <v>5</v>
      </c>
      <c r="I32" s="162" t="s" ph="1">
        <v>44</v>
      </c>
      <c r="J32" s="97" t="s" ph="1">
        <v>4</v>
      </c>
      <c r="K32" s="163" t="s" ph="1">
        <v>5</v>
      </c>
      <c r="L32" s="162" t="s" ph="1">
        <v>44</v>
      </c>
      <c r="M32" s="97" t="s" ph="1">
        <v>4</v>
      </c>
      <c r="N32" s="163" t="s" ph="1">
        <v>5</v>
      </c>
      <c r="O32" s="162" t="s" ph="1">
        <v>44</v>
      </c>
      <c r="P32" s="97" t="s" ph="1">
        <v>4</v>
      </c>
      <c r="Q32" s="98" t="s" ph="1">
        <v>5</v>
      </c>
      <c r="R32" s="99" t="s" ph="1">
        <v>44</v>
      </c>
      <c r="S32" s="97" t="s" ph="1">
        <v>4</v>
      </c>
      <c r="T32" s="163" t="s" ph="1">
        <v>5</v>
      </c>
      <c r="U32" s="99" t="s" ph="1">
        <v>44</v>
      </c>
      <c r="V32" s="97" t="s" ph="1">
        <v>4</v>
      </c>
      <c r="W32" s="163" t="s" ph="1">
        <v>5</v>
      </c>
      <c r="X32" s="99" t="s" ph="1">
        <v>44</v>
      </c>
      <c r="Y32" s="100" t="s" ph="1">
        <v>4</v>
      </c>
      <c r="Z32" s="163" t="s" ph="1">
        <v>5</v>
      </c>
      <c r="AA32" s="162" t="s" ph="1">
        <v>44</v>
      </c>
      <c r="AB32" s="97" t="s" ph="1">
        <v>102</v>
      </c>
      <c r="AC32" s="163" t="s" ph="1">
        <v>101</v>
      </c>
      <c r="AD32" s="238" t="s" ph="1">
        <v>100</v>
      </c>
      <c r="AE32" s="239"/>
      <c r="AH32" s="64" ph="1">
        <v>18</v>
      </c>
      <c r="AI32" s="64" t="s" ph="1">
        <v>398</v>
      </c>
      <c r="AZ32" s="64" t="s" ph="1">
        <v>257</v>
      </c>
      <c r="BA32" s="64" ph="1">
        <v>0</v>
      </c>
    </row>
    <row r="33" spans="1:57" ph="1">
      <c r="A33" s="64"/>
      <c r="B33" s="225" t="s" ph="1">
        <v>212</v>
      </c>
      <c r="C33" s="226" ph="1"/>
      <c r="D33" s="229" ph="1">
        <f>AA10+AB10+Z19</f>
        <v>116165.04870879999</v>
      </c>
      <c r="E33" s="229" ph="1">
        <f>M10+I10</f>
        <v>167815.16636679997</v>
      </c>
      <c r="F33" s="23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[[#This Row],[F25]]</f>
        <v>3880</v>
      </c>
      <c r="G33" s="233" ph="1">
        <v>0</v>
      </c>
      <c r="H33" s="229" ph="1">
        <f>N19</f>
        <v>17079.135872440002</v>
      </c>
      <c r="I33" s="242" ph="1">
        <v>0</v>
      </c>
      <c r="J33" s="240" ph="1">
        <f>F10+O28</f>
        <v>136421.94053660001</v>
      </c>
      <c r="K33" s="229" ph="1">
        <f>O10+K10+E28+R28</f>
        <v>370896.86514681997</v>
      </c>
      <c r="L33" s="244" ph="1">
        <f>BE27</f>
        <v>7100</v>
      </c>
      <c r="M33" s="240" ph="1">
        <f>G10+H10+W28+S28</f>
        <v>678724.81292439997</v>
      </c>
      <c r="N33" s="229" ph="1">
        <f>L10+P10++G28+H28+V28</f>
        <v>337292.65320379997</v>
      </c>
      <c r="O33" s="242" ph="1">
        <f>BE17</f>
        <v>2270</v>
      </c>
      <c r="P33" s="240" ph="1">
        <f>L19</f>
        <v>45252.693490499994</v>
      </c>
      <c r="Q33" s="229" ph="1">
        <f>J10+N10</f>
        <v>148540.96941399999</v>
      </c>
      <c r="R33" s="242" ph="1">
        <f>BE23</f>
        <v>890</v>
      </c>
      <c r="S33" s="240" ph="1">
        <f>E10+X28</f>
        <v>356834.39441771997</v>
      </c>
      <c r="T33" s="229" ph="1">
        <f>X19</f>
        <v>11645.037292223999</v>
      </c>
      <c r="U33" s="250" ph="1">
        <f>BE21</f>
        <v>730</v>
      </c>
      <c r="V33" s="261" ph="1">
        <f ca="1">P19+Q19+S19+M28+N28+J28</f>
        <v>164534.69649734802</v>
      </c>
      <c r="W33" s="261" ph="1">
        <f>D28+F28+V19+T28</f>
        <v>71344.336088323995</v>
      </c>
      <c r="X33" s="242" ph="1">
        <f>BE29+BE31</f>
        <v>10200</v>
      </c>
      <c r="Y33" s="263" ph="1">
        <f>+Q10+R10+S10+T10+U10+V10+W10+X10+Y10</f>
        <v>220391.35632359999</v>
      </c>
      <c r="Z33" s="248" ph="1">
        <f>D10+T19+U19+Y28+Z10</f>
        <v>526849.61351169995</v>
      </c>
      <c r="AA33" s="250" ph="1">
        <f>BE19</f>
        <v>1440</v>
      </c>
      <c r="AB33" s="252" ph="1">
        <f>I19</f>
        <v>83.95819920000001</v>
      </c>
      <c r="AC33" s="254" ph="1">
        <f>AD10</f>
        <v>5238.229472</v>
      </c>
      <c r="AD33" s="256" ph="1">
        <v>0</v>
      </c>
      <c r="AE33" s="257"/>
      <c r="AH33" s="64" ph="1">
        <v>19</v>
      </c>
      <c r="AI33" s="64" t="s" ph="1">
        <v>399</v>
      </c>
      <c r="AJ33" s="64" t="s" ph="1">
        <v>633</v>
      </c>
      <c r="AK33" s="64" t="s" ph="1">
        <v>630</v>
      </c>
      <c r="AL33" s="64" ph="1">
        <v>730</v>
      </c>
      <c r="AM33" s="64" t="s" ph="1">
        <v>380</v>
      </c>
      <c r="AZ33" s="64" t="s" ph="1">
        <v>257</v>
      </c>
      <c r="BA33" s="64" ph="1">
        <v>730</v>
      </c>
      <c r="BD33" s="64" t="s" ph="1">
        <v>331</v>
      </c>
      <c r="BE33" s="64" ph="1">
        <v>3880</v>
      </c>
    </row>
    <row r="34" spans="1:57" ph="1">
      <c r="A34" s="64"/>
      <c r="B34" s="227" ph="1"/>
      <c r="C34" s="228" ph="1"/>
      <c r="D34" s="230" ph="1"/>
      <c r="E34" s="230" ph="1"/>
      <c r="F34" s="232" ph="1"/>
      <c r="G34" s="234" ph="1"/>
      <c r="H34" s="230" ph="1"/>
      <c r="I34" s="243" ph="1"/>
      <c r="J34" s="241" ph="1"/>
      <c r="K34" s="230" ph="1"/>
      <c r="L34" s="245" ph="1"/>
      <c r="M34" s="241" ph="1"/>
      <c r="N34" s="230" ph="1"/>
      <c r="O34" s="243" ph="1"/>
      <c r="P34" s="241" ph="1"/>
      <c r="Q34" s="230" ph="1"/>
      <c r="R34" s="243" ph="1"/>
      <c r="S34" s="241" ph="1"/>
      <c r="T34" s="230"/>
      <c r="U34" s="251"/>
      <c r="V34" s="262" ph="1"/>
      <c r="W34" s="262" ph="1"/>
      <c r="X34" s="243" ph="1"/>
      <c r="Y34" s="264" ph="1"/>
      <c r="Z34" s="249" ph="1"/>
      <c r="AA34" s="251" ph="1"/>
      <c r="AB34" s="253"/>
      <c r="AC34" s="255"/>
      <c r="AD34" s="258"/>
      <c r="AE34" s="259"/>
      <c r="AH34" s="64" ph="1">
        <v>20</v>
      </c>
      <c r="AI34" s="64" t="s" ph="1">
        <v>400</v>
      </c>
      <c r="AJ34" s="64" t="s" ph="1">
        <v>634</v>
      </c>
      <c r="AK34" s="64" t="s" ph="1">
        <v>630</v>
      </c>
      <c r="AL34" s="64" ph="1">
        <v>720</v>
      </c>
      <c r="AM34" s="64" t="s" ph="1">
        <v>380</v>
      </c>
      <c r="AZ34" s="64" t="s" ph="1">
        <v>257</v>
      </c>
      <c r="BA34" s="64" ph="1">
        <v>720</v>
      </c>
    </row>
    <row r="35" spans="1:57" ph="1">
      <c r="A35" s="64"/>
      <c r="AC35" s="260" t="s" ph="1">
        <v>84</v>
      </c>
      <c r="AD35" s="260"/>
      <c r="AE35" s="260"/>
      <c r="AH35" s="64" ph="1">
        <v>21</v>
      </c>
      <c r="AI35" s="64" t="s" ph="1">
        <v>401</v>
      </c>
      <c r="AZ35" s="64" t="s" ph="1">
        <v>257</v>
      </c>
      <c r="BA35" s="64" ph="1">
        <v>0</v>
      </c>
      <c r="BD35" s="64" t="s" ph="1">
        <v>402</v>
      </c>
      <c r="BE35" s="64" ph="1">
        <v>2030</v>
      </c>
    </row>
    <row r="36" spans="1:57" ht="28.5" ph="1">
      <c r="A36" s="64"/>
      <c r="B36" s="103" t="s" ph="1">
        <v>213</v>
      </c>
      <c r="I36" s="246" t="s" ph="1">
        <v>214</v>
      </c>
      <c r="J36" s="246" ph="1"/>
      <c r="K36" s="101" ph="1"/>
      <c r="P36" s="101" ph="1"/>
      <c r="R36" s="246" t="s" ph="1">
        <v>215</v>
      </c>
      <c r="S36" s="246" ph="1"/>
      <c r="Y36" s="102" ph="1"/>
      <c r="Z36" s="161" t="s" ph="1">
        <v>216</v>
      </c>
      <c r="AA36" s="161" ph="1"/>
      <c r="AB36" s="247" t="s" ph="1">
        <v>655</v>
      </c>
      <c r="AC36" s="247" ph="1"/>
      <c r="AD36" s="247" ph="1"/>
      <c r="AE36" s="247" ph="1"/>
      <c r="BA36" s="64" ph="1">
        <v>2270</v>
      </c>
    </row>
    <row r="37" spans="1:57" s="161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1" t="s" ph="1">
        <v>383</v>
      </c>
      <c r="AI37" s="161" t="s" ph="1">
        <v>250</v>
      </c>
      <c r="AJ37" s="161" t="s" ph="1">
        <v>251</v>
      </c>
      <c r="AK37" s="161" t="s" ph="1">
        <v>252</v>
      </c>
      <c r="AM37" s="161" t="s" ph="1">
        <v>251</v>
      </c>
      <c r="AN37" s="161" t="s" ph="1">
        <v>252</v>
      </c>
      <c r="AO37" s="161" t="s" ph="1">
        <v>253</v>
      </c>
      <c r="AP37" s="161" t="s" ph="1">
        <v>251</v>
      </c>
      <c r="AQ37" s="161" t="s" ph="1">
        <v>252</v>
      </c>
      <c r="AR37" s="161" t="s" ph="1">
        <v>253</v>
      </c>
      <c r="AS37" s="161" t="s" ph="1">
        <v>251</v>
      </c>
      <c r="AT37" s="161" t="s" ph="1">
        <v>252</v>
      </c>
      <c r="AU37" s="161" t="s" ph="1">
        <v>253</v>
      </c>
      <c r="AV37" s="161" t="s" ph="1">
        <v>251</v>
      </c>
      <c r="AW37" s="161" t="s" ph="1">
        <v>252</v>
      </c>
      <c r="AX37" s="161" t="s" ph="1">
        <v>253</v>
      </c>
      <c r="AY37" s="161" t="s" ph="1">
        <v>252</v>
      </c>
      <c r="AZ37" s="161" t="s" ph="1">
        <v>254</v>
      </c>
      <c r="BD37" s="161" t="s" ph="1">
        <v>346</v>
      </c>
      <c r="BE37" s="161" ph="1">
        <v>0</v>
      </c>
    </row>
    <row r="38" spans="1:57" ph="1">
      <c r="AE38" s="64" ph="1"/>
      <c r="AH38" s="64" ph="1">
        <v>1</v>
      </c>
      <c r="AI38" s="64" t="s" ph="1">
        <v>403</v>
      </c>
      <c r="AY38" s="64" t="s" ph="1">
        <v>257</v>
      </c>
      <c r="AZ38" s="64" t="s" ph="1">
        <v>408</v>
      </c>
    </row>
    <row r="39" spans="1:57" ph="1">
      <c r="AH39" s="64" ph="1">
        <v>2</v>
      </c>
      <c r="AI39" s="64" t="s" ph="1">
        <v>405</v>
      </c>
      <c r="AJ39" s="64" t="s" ph="1">
        <v>377</v>
      </c>
      <c r="AK39" s="64" t="s" ph="1">
        <v>406</v>
      </c>
      <c r="AM39" s="64" t="s" ph="1">
        <v>611</v>
      </c>
      <c r="AN39" s="64" t="s" ph="1">
        <v>269</v>
      </c>
      <c r="AO39" s="64" t="s" ph="1">
        <v>404</v>
      </c>
      <c r="AY39" s="64" t="s" ph="1">
        <v>257</v>
      </c>
      <c r="AZ39" s="64" t="s" ph="1">
        <v>540</v>
      </c>
    </row>
    <row r="40" spans="1:57" ph="1">
      <c r="AH40" s="64" ph="1">
        <v>3</v>
      </c>
      <c r="AI40" s="64" t="s" ph="1">
        <v>407</v>
      </c>
      <c r="AJ40" s="64" t="s" ph="1">
        <v>611</v>
      </c>
      <c r="AK40" s="64" t="s" ph="1">
        <v>612</v>
      </c>
      <c r="AY40" s="64" t="s" ph="1">
        <v>257</v>
      </c>
      <c r="AZ40" s="64" t="s" ph="1">
        <v>612</v>
      </c>
    </row>
    <row r="41" spans="1:57" ph="1">
      <c r="AH41" s="64" ph="1">
        <v>4</v>
      </c>
      <c r="AI41" s="64" t="s" ph="1">
        <v>409</v>
      </c>
      <c r="AJ41" s="64" t="s" ph="1">
        <v>613</v>
      </c>
      <c r="AK41" s="64" t="s" ph="1">
        <v>614</v>
      </c>
      <c r="AM41" s="64" t="s" ph="1">
        <v>615</v>
      </c>
      <c r="AY41" s="64" t="s" ph="1">
        <v>257</v>
      </c>
      <c r="AZ41" s="64" t="s" ph="1">
        <v>614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410</v>
      </c>
      <c r="AY42" s="64" t="s" ph="1">
        <v>257</v>
      </c>
      <c r="AZ42" s="64" t="s" ph="1">
        <v>408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411</v>
      </c>
      <c r="AY43" s="64" t="s" ph="1">
        <v>257</v>
      </c>
      <c r="AZ43" s="64" t="s" ph="1">
        <v>408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412</v>
      </c>
      <c r="AV44" s="64" t="s" ph="1">
        <v>258</v>
      </c>
      <c r="AY44" s="64" t="s" ph="1">
        <v>257</v>
      </c>
      <c r="AZ44" s="64" t="s" ph="1">
        <v>408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413</v>
      </c>
      <c r="AV45" s="64" t="s" ph="1">
        <v>258</v>
      </c>
      <c r="AY45" s="64" t="s" ph="1">
        <v>257</v>
      </c>
      <c r="AZ45" s="64" t="s" ph="1">
        <v>408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414</v>
      </c>
      <c r="AV46" s="64" t="s" ph="1">
        <v>258</v>
      </c>
      <c r="AY46" s="64" t="s" ph="1">
        <v>257</v>
      </c>
      <c r="AZ46" s="64" t="s" ph="1">
        <v>408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415</v>
      </c>
      <c r="AV47" s="64" t="s" ph="1">
        <v>258</v>
      </c>
      <c r="AY47" s="64" t="s" ph="1">
        <v>257</v>
      </c>
      <c r="AZ47" s="64" t="s" ph="1">
        <v>408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616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273</v>
      </c>
      <c r="AI49" s="64" t="s" ph="1">
        <v>250</v>
      </c>
      <c r="AJ49" s="64" t="s" ph="1">
        <v>251</v>
      </c>
      <c r="AK49" s="64" t="s" ph="1">
        <v>252</v>
      </c>
      <c r="AM49" s="64" t="s" ph="1">
        <v>251</v>
      </c>
      <c r="AN49" s="64" t="s" ph="1">
        <v>252</v>
      </c>
      <c r="AO49" s="64" t="s" ph="1">
        <v>253</v>
      </c>
      <c r="AP49" s="64" t="s" ph="1">
        <v>251</v>
      </c>
      <c r="AQ49" s="64" t="s" ph="1">
        <v>252</v>
      </c>
      <c r="AR49" s="64" t="s" ph="1">
        <v>253</v>
      </c>
      <c r="AS49" s="64" t="s" ph="1">
        <v>251</v>
      </c>
      <c r="AT49" s="64" t="s" ph="1">
        <v>252</v>
      </c>
      <c r="AU49" s="64" t="s" ph="1">
        <v>253</v>
      </c>
      <c r="AV49" s="64" t="s" ph="1">
        <v>251</v>
      </c>
      <c r="AW49" s="64" t="s" ph="1">
        <v>252</v>
      </c>
      <c r="AX49" s="64" t="s" ph="1">
        <v>253</v>
      </c>
      <c r="AY49" s="64" t="s" ph="1">
        <v>252</v>
      </c>
      <c r="AZ49" s="64" t="s" ph="1">
        <v>254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416</v>
      </c>
      <c r="AY50" s="64" t="s" ph="1">
        <v>257</v>
      </c>
      <c r="AZ50" s="64" t="s" ph="1">
        <v>408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417</v>
      </c>
      <c r="AY51" s="64" t="s" ph="1">
        <v>257</v>
      </c>
      <c r="AZ51" s="64" t="s" ph="1">
        <v>408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418</v>
      </c>
      <c r="AJ52" s="64" t="s" ph="1">
        <v>375</v>
      </c>
      <c r="AK52" s="64" t="s" ph="1">
        <v>269</v>
      </c>
      <c r="AM52" s="64" t="s" ph="1">
        <v>377</v>
      </c>
      <c r="AN52" s="64" t="s" ph="1">
        <v>341</v>
      </c>
      <c r="AO52" s="64" t="s" ph="1">
        <v>274</v>
      </c>
      <c r="AP52" s="64" t="s" ph="1">
        <v>611</v>
      </c>
      <c r="AQ52" s="64" t="s" ph="1">
        <v>323</v>
      </c>
      <c r="AR52" s="64" t="s" ph="1">
        <v>274</v>
      </c>
      <c r="AY52" s="64" t="s" ph="1">
        <v>257</v>
      </c>
      <c r="AZ52" s="64" t="s" ph="1">
        <v>617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419</v>
      </c>
      <c r="AY53" s="64" t="s" ph="1">
        <v>257</v>
      </c>
      <c r="AZ53" s="64" t="s" ph="1">
        <v>408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420</v>
      </c>
      <c r="AJ54" s="64" t="s" ph="1">
        <v>375</v>
      </c>
      <c r="AK54" s="64" t="s" ph="1">
        <v>260</v>
      </c>
      <c r="AM54" s="64" t="s" ph="1">
        <v>377</v>
      </c>
      <c r="AN54" s="64" t="s" ph="1">
        <v>265</v>
      </c>
      <c r="AO54" s="64" t="s" ph="1">
        <v>274</v>
      </c>
      <c r="AP54" s="64" t="s" ph="1">
        <v>611</v>
      </c>
      <c r="AQ54" s="64" t="s" ph="1">
        <v>281</v>
      </c>
      <c r="AR54" s="64" t="s" ph="1">
        <v>274</v>
      </c>
      <c r="AY54" s="64" t="s" ph="1">
        <v>257</v>
      </c>
      <c r="AZ54" s="64" t="s" ph="1">
        <v>275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421</v>
      </c>
      <c r="AY55" s="64" t="s" ph="1">
        <v>257</v>
      </c>
      <c r="AZ55" s="64" t="s" ph="1">
        <v>408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422</v>
      </c>
      <c r="AY56" s="64" t="s" ph="1">
        <v>257</v>
      </c>
      <c r="AZ56" s="64" t="s" ph="1">
        <v>408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423</v>
      </c>
      <c r="AY57" s="64" t="s" ph="1">
        <v>257</v>
      </c>
      <c r="AZ57" s="64" t="s" ph="1">
        <v>408</v>
      </c>
    </row>
    <row r="58" spans="16:52" ph="1">
      <c r="P58" s="64"/>
      <c r="AN58" s="64" t="s" ph="1">
        <v>258</v>
      </c>
      <c r="AZ58" s="64" t="s" ph="1">
        <v>618</v>
      </c>
    </row>
    <row r="59" spans="16:52" ph="1">
      <c r="V59" s="64"/>
      <c r="AG59" s="64" t="s" ph="1">
        <v>276</v>
      </c>
      <c r="AI59" s="64" t="s" ph="1">
        <v>250</v>
      </c>
      <c r="AJ59" s="64" t="s" ph="1">
        <v>251</v>
      </c>
      <c r="AK59" s="64" t="s" ph="1">
        <v>252</v>
      </c>
      <c r="AM59" s="64" t="s" ph="1">
        <v>251</v>
      </c>
      <c r="AN59" s="64" t="s" ph="1">
        <v>252</v>
      </c>
      <c r="AO59" s="64" t="s" ph="1">
        <v>253</v>
      </c>
      <c r="AP59" s="64" t="s" ph="1">
        <v>251</v>
      </c>
      <c r="AQ59" s="64" t="s" ph="1">
        <v>252</v>
      </c>
      <c r="AR59" s="64" t="s" ph="1">
        <v>253</v>
      </c>
      <c r="AS59" s="64" t="s" ph="1">
        <v>251</v>
      </c>
      <c r="AT59" s="64" t="s" ph="1">
        <v>252</v>
      </c>
      <c r="AU59" s="64" t="s" ph="1">
        <v>253</v>
      </c>
      <c r="AV59" s="64" t="s" ph="1">
        <v>251</v>
      </c>
      <c r="AW59" s="64" t="s" ph="1">
        <v>252</v>
      </c>
      <c r="AX59" s="64" t="s" ph="1">
        <v>253</v>
      </c>
      <c r="AY59" s="64" t="s" ph="1">
        <v>252</v>
      </c>
      <c r="AZ59" s="64" t="s" ph="1">
        <v>254</v>
      </c>
    </row>
    <row r="60" spans="16:52" ph="1">
      <c r="R60" s="64"/>
      <c r="S60" s="64"/>
      <c r="T60" s="64"/>
      <c r="AH60" s="64" ph="1">
        <v>1</v>
      </c>
      <c r="AI60" s="64" t="s" ph="1">
        <v>424</v>
      </c>
      <c r="AY60" s="64" t="s" ph="1">
        <v>257</v>
      </c>
      <c r="AZ60" s="64" t="s" ph="1">
        <v>408</v>
      </c>
    </row>
    <row r="61" spans="16:52" ph="1">
      <c r="AH61" s="64" ph="1">
        <v>2</v>
      </c>
      <c r="AI61" s="64" t="s" ph="1">
        <v>425</v>
      </c>
      <c r="AS61" s="64" t="s" ph="1">
        <v>258</v>
      </c>
      <c r="AY61" s="64" t="s" ph="1">
        <v>257</v>
      </c>
      <c r="AZ61" s="64" t="s" ph="1">
        <v>408</v>
      </c>
    </row>
    <row r="62" spans="16:52" ph="1">
      <c r="AZ62" s="64" t="s" ph="1">
        <v>426</v>
      </c>
    </row>
    <row r="63" spans="16:52" ph="1">
      <c r="AG63" s="64" t="s" ph="1">
        <v>279</v>
      </c>
      <c r="AI63" s="64" t="s" ph="1">
        <v>250</v>
      </c>
      <c r="AJ63" s="64" t="s" ph="1">
        <v>251</v>
      </c>
      <c r="AK63" s="64" t="s" ph="1">
        <v>252</v>
      </c>
      <c r="AM63" s="64" t="s" ph="1">
        <v>251</v>
      </c>
      <c r="AN63" s="64" t="s" ph="1">
        <v>252</v>
      </c>
      <c r="AO63" s="64" t="s" ph="1">
        <v>253</v>
      </c>
      <c r="AP63" s="64" t="s" ph="1">
        <v>251</v>
      </c>
      <c r="AQ63" s="64" t="s" ph="1">
        <v>252</v>
      </c>
      <c r="AR63" s="64" t="s" ph="1">
        <v>253</v>
      </c>
      <c r="AS63" s="64" t="s" ph="1">
        <v>251</v>
      </c>
      <c r="AT63" s="64" t="s" ph="1">
        <v>252</v>
      </c>
      <c r="AU63" s="64" t="s" ph="1">
        <v>253</v>
      </c>
      <c r="AV63" s="64" t="s" ph="1">
        <v>251</v>
      </c>
      <c r="AW63" s="64" t="s" ph="1">
        <v>252</v>
      </c>
      <c r="AX63" s="64" t="s" ph="1">
        <v>253</v>
      </c>
      <c r="AY63" s="64" t="s" ph="1">
        <v>252</v>
      </c>
      <c r="AZ63" s="64" t="s" ph="1">
        <v>254</v>
      </c>
    </row>
    <row r="64" spans="16:52" ph="1">
      <c r="AH64" s="64" ph="1">
        <v>1</v>
      </c>
      <c r="AI64" s="64" t="s" ph="1">
        <v>427</v>
      </c>
      <c r="AJ64" s="64" t="s" ph="1">
        <v>428</v>
      </c>
      <c r="AK64" s="64" t="s" ph="1">
        <v>429</v>
      </c>
      <c r="AY64" s="64" t="s" ph="1">
        <v>257</v>
      </c>
      <c r="AZ64" s="64" t="s" ph="1">
        <v>429</v>
      </c>
    </row>
    <row r="65" spans="33:52" ph="1">
      <c r="AH65" s="64" ph="1">
        <v>2</v>
      </c>
      <c r="AI65" s="64" t="s" ph="1">
        <v>430</v>
      </c>
      <c r="AY65" s="64" t="s" ph="1">
        <v>257</v>
      </c>
      <c r="AZ65" s="64" t="s" ph="1">
        <v>408</v>
      </c>
    </row>
    <row r="66" spans="33:52" ph="1">
      <c r="AH66" s="64" ph="1">
        <v>3</v>
      </c>
      <c r="AI66" s="64" t="s" ph="1">
        <v>431</v>
      </c>
      <c r="AY66" s="64" t="s" ph="1">
        <v>257</v>
      </c>
      <c r="AZ66" s="64" t="s" ph="1">
        <v>408</v>
      </c>
    </row>
    <row r="67" spans="33:52" ph="1">
      <c r="AH67" s="64" ph="1">
        <v>4</v>
      </c>
      <c r="AI67" s="64" t="s" ph="1">
        <v>432</v>
      </c>
      <c r="AY67" s="64" t="s" ph="1">
        <v>257</v>
      </c>
      <c r="AZ67" s="64" t="s" ph="1">
        <v>408</v>
      </c>
    </row>
    <row r="68" spans="33:52" ph="1">
      <c r="AH68" s="64" ph="1">
        <v>5</v>
      </c>
      <c r="AI68" s="64" t="s" ph="1">
        <v>433</v>
      </c>
      <c r="AY68" s="64" t="s" ph="1">
        <v>257</v>
      </c>
      <c r="AZ68" s="64" t="s" ph="1">
        <v>408</v>
      </c>
    </row>
    <row r="69" spans="33:52" ph="1">
      <c r="AH69" s="64" ph="1">
        <v>6</v>
      </c>
      <c r="AI69" s="64" t="s" ph="1">
        <v>434</v>
      </c>
      <c r="AY69" s="64" t="s" ph="1">
        <v>257</v>
      </c>
      <c r="AZ69" s="64" t="s" ph="1">
        <v>408</v>
      </c>
    </row>
    <row r="70" spans="33:52" ph="1">
      <c r="AI70" s="64" t="s" ph="1">
        <v>435</v>
      </c>
      <c r="AY70" s="64" t="s" ph="1">
        <v>257</v>
      </c>
      <c r="AZ70" s="64" t="s" ph="1">
        <v>408</v>
      </c>
    </row>
    <row r="71" spans="33:52" ph="1">
      <c r="AH71" s="64" ph="1">
        <v>7</v>
      </c>
      <c r="AI71" s="64" t="s" ph="1">
        <v>436</v>
      </c>
      <c r="AJ71" s="64" t="s" ph="1">
        <v>375</v>
      </c>
      <c r="AK71" s="64" t="s" ph="1">
        <v>269</v>
      </c>
      <c r="AM71" s="64" t="s" ph="1">
        <v>377</v>
      </c>
      <c r="AN71" s="64" t="s" ph="1">
        <v>269</v>
      </c>
      <c r="AO71" s="64" t="s" ph="1">
        <v>437</v>
      </c>
      <c r="AP71" s="64" t="s" ph="1">
        <v>611</v>
      </c>
      <c r="AQ71" s="64" t="s" ph="1">
        <v>260</v>
      </c>
      <c r="AR71" s="64" t="s" ph="1">
        <v>437</v>
      </c>
      <c r="AY71" s="64" t="s" ph="1">
        <v>257</v>
      </c>
      <c r="AZ71" s="64" t="s" ph="1">
        <v>619</v>
      </c>
    </row>
    <row r="72" spans="33:52" ph="1">
      <c r="AZ72" s="64" t="s" ph="1">
        <v>620</v>
      </c>
    </row>
    <row r="73" spans="33:52" ph="1">
      <c r="AG73" s="64" t="s" ph="1">
        <v>282</v>
      </c>
      <c r="AI73" s="64" t="s" ph="1">
        <v>250</v>
      </c>
      <c r="AJ73" s="64" t="s" ph="1">
        <v>251</v>
      </c>
      <c r="AK73" s="64" t="s" ph="1">
        <v>252</v>
      </c>
      <c r="AM73" s="64" t="s" ph="1">
        <v>251</v>
      </c>
      <c r="AN73" s="64" t="s" ph="1">
        <v>252</v>
      </c>
      <c r="AO73" s="64" t="s" ph="1">
        <v>253</v>
      </c>
      <c r="AP73" s="64" t="s" ph="1">
        <v>251</v>
      </c>
      <c r="AQ73" s="64" t="s" ph="1">
        <v>252</v>
      </c>
      <c r="AR73" s="64" t="s" ph="1">
        <v>253</v>
      </c>
      <c r="AS73" s="64" t="s" ph="1">
        <v>251</v>
      </c>
      <c r="AT73" s="64" t="s" ph="1">
        <v>252</v>
      </c>
      <c r="AU73" s="64" t="s" ph="1">
        <v>253</v>
      </c>
      <c r="AV73" s="64" t="s" ph="1">
        <v>251</v>
      </c>
      <c r="AW73" s="64" t="s" ph="1">
        <v>252</v>
      </c>
      <c r="AX73" s="64" t="s" ph="1">
        <v>253</v>
      </c>
      <c r="AY73" s="64" t="s" ph="1">
        <v>252</v>
      </c>
      <c r="AZ73" s="64" t="s" ph="1">
        <v>254</v>
      </c>
    </row>
    <row r="74" spans="33:52" ph="1">
      <c r="AH74" s="64" ph="1">
        <v>1</v>
      </c>
      <c r="AI74" s="64" t="s" ph="1">
        <v>438</v>
      </c>
      <c r="AJ74" s="64" t="s" ph="1">
        <v>283</v>
      </c>
      <c r="AK74" s="64" t="s" ph="1">
        <v>265</v>
      </c>
      <c r="AM74" s="64" t="s" ph="1">
        <v>285</v>
      </c>
      <c r="AN74" s="64" t="s" ph="1">
        <v>295</v>
      </c>
      <c r="AO74" s="64" t="s" ph="1">
        <v>284</v>
      </c>
      <c r="AP74" s="64" t="s" ph="1">
        <v>286</v>
      </c>
      <c r="AQ74" s="64" t="s" ph="1">
        <v>263</v>
      </c>
      <c r="AR74" s="64" t="s" ph="1">
        <v>284</v>
      </c>
      <c r="AS74" s="64" t="s" ph="1">
        <v>256</v>
      </c>
      <c r="AT74" s="64" t="s" ph="1">
        <v>258</v>
      </c>
      <c r="AV74" s="64" t="s" ph="1">
        <v>439</v>
      </c>
      <c r="AW74" s="64" t="s" ph="1">
        <v>440</v>
      </c>
      <c r="AX74" s="64" t="s" ph="1">
        <v>441</v>
      </c>
      <c r="AY74" s="64" t="s" ph="1">
        <v>257</v>
      </c>
      <c r="AZ74" s="64" t="s" ph="1">
        <v>442</v>
      </c>
    </row>
    <row r="75" spans="33:52" ph="1">
      <c r="AJ75" s="64" t="s" ph="1">
        <v>288</v>
      </c>
      <c r="AK75" s="64" t="s" ph="1">
        <v>341</v>
      </c>
      <c r="AM75" s="64" t="s" ph="1">
        <v>286</v>
      </c>
      <c r="AN75" s="64" t="s" ph="1">
        <v>266</v>
      </c>
      <c r="AO75" s="64" t="s" ph="1">
        <v>284</v>
      </c>
      <c r="AS75" s="64" t="s" ph="1">
        <v>256</v>
      </c>
      <c r="AT75" s="64" t="s" ph="1">
        <v>287</v>
      </c>
    </row>
    <row r="76" spans="33:52" ph="1">
      <c r="AJ76" s="64" t="s" ph="1">
        <v>288</v>
      </c>
      <c r="AK76" s="64" t="s" ph="1">
        <v>281</v>
      </c>
      <c r="AM76" s="64" t="s" ph="1">
        <v>286</v>
      </c>
      <c r="AN76" s="64" t="s" ph="1">
        <v>269</v>
      </c>
      <c r="AO76" s="64" t="s" ph="1">
        <v>284</v>
      </c>
      <c r="AS76" s="64" t="s" ph="1">
        <v>256</v>
      </c>
      <c r="AT76" s="64" t="s" ph="1">
        <v>287</v>
      </c>
    </row>
    <row r="77" spans="33:52" ph="1">
      <c r="AJ77" s="64" t="s" ph="1">
        <v>324</v>
      </c>
      <c r="AK77" s="64" t="s" ph="1">
        <v>281</v>
      </c>
      <c r="AM77" s="64" t="s" ph="1">
        <v>325</v>
      </c>
      <c r="AN77" s="64" t="s" ph="1">
        <v>264</v>
      </c>
      <c r="AO77" s="64" t="s" ph="1">
        <v>284</v>
      </c>
      <c r="AS77" s="64" t="s" ph="1">
        <v>256</v>
      </c>
      <c r="AT77" s="64" t="s" ph="1">
        <v>326</v>
      </c>
    </row>
    <row r="78" spans="33:52" ph="1">
      <c r="AH78" s="64" ph="1">
        <v>2</v>
      </c>
      <c r="AI78" s="64" t="s" ph="1">
        <v>290</v>
      </c>
      <c r="AJ78" s="64" t="s" ph="1">
        <v>291</v>
      </c>
      <c r="AK78" s="64" t="s" ph="1">
        <v>260</v>
      </c>
      <c r="AM78" s="64" t="s" ph="1">
        <v>292</v>
      </c>
      <c r="AN78" s="64" t="s" ph="1">
        <v>295</v>
      </c>
      <c r="AO78" s="64" t="s" ph="1">
        <v>284</v>
      </c>
      <c r="AP78" s="64" t="s" ph="1">
        <v>293</v>
      </c>
      <c r="AQ78" s="64" t="s" ph="1">
        <v>339</v>
      </c>
      <c r="AR78" s="64" t="s" ph="1">
        <v>284</v>
      </c>
      <c r="AS78" s="64" t="s" ph="1">
        <v>294</v>
      </c>
      <c r="AT78" s="64" t="s" ph="1">
        <v>295</v>
      </c>
      <c r="AU78" s="64" t="s" ph="1">
        <v>284</v>
      </c>
      <c r="AV78" s="64" t="s" ph="1">
        <v>296</v>
      </c>
      <c r="AW78" s="64" t="s" ph="1">
        <v>284</v>
      </c>
      <c r="AY78" s="64" t="s" ph="1">
        <v>257</v>
      </c>
      <c r="AZ78" s="64" t="s" ph="1">
        <v>443</v>
      </c>
    </row>
    <row r="79" spans="33:52" ph="1">
      <c r="AJ79" s="64" t="s" ph="1">
        <v>286</v>
      </c>
      <c r="AK79" s="64" t="s" ph="1">
        <v>297</v>
      </c>
      <c r="AM79" s="64" t="s" ph="1">
        <v>298</v>
      </c>
      <c r="AN79" s="64" t="s" ph="1">
        <v>266</v>
      </c>
      <c r="AO79" s="64" t="s" ph="1">
        <v>284</v>
      </c>
      <c r="AP79" s="64" t="s" ph="1">
        <v>299</v>
      </c>
      <c r="AQ79" s="64" t="s" ph="1">
        <v>264</v>
      </c>
      <c r="AR79" s="64" t="s" ph="1">
        <v>300</v>
      </c>
      <c r="AS79" s="64" t="s" ph="1">
        <v>256</v>
      </c>
      <c r="AT79" s="64" t="s" ph="1">
        <v>301</v>
      </c>
      <c r="AV79" s="64" t="s" ph="1">
        <v>444</v>
      </c>
      <c r="AW79" s="64" t="s" ph="1">
        <v>343</v>
      </c>
      <c r="AX79" s="64" t="s" ph="1">
        <v>441</v>
      </c>
    </row>
    <row r="80" spans="33:52" ph="1">
      <c r="AH80" s="64" ph="1">
        <v>3</v>
      </c>
      <c r="AI80" s="64" t="s" ph="1">
        <v>302</v>
      </c>
      <c r="AJ80" s="64" t="s" ph="1">
        <v>303</v>
      </c>
      <c r="AK80" s="64" t="s" ph="1">
        <v>304</v>
      </c>
      <c r="AM80" s="64" t="s" ph="1">
        <v>305</v>
      </c>
      <c r="AN80" s="64" t="s" ph="1">
        <v>295</v>
      </c>
      <c r="AO80" s="64" t="s" ph="1">
        <v>284</v>
      </c>
      <c r="AP80" s="64" t="s" ph="1">
        <v>306</v>
      </c>
      <c r="AQ80" s="64" t="s" ph="1">
        <v>269</v>
      </c>
      <c r="AR80" s="64" t="s" ph="1">
        <v>284</v>
      </c>
      <c r="AS80" s="64" t="s" ph="1">
        <v>307</v>
      </c>
      <c r="AT80" s="64" t="s" ph="1">
        <v>268</v>
      </c>
      <c r="AU80" s="64" t="s" ph="1">
        <v>284</v>
      </c>
      <c r="AV80" s="64" t="s" ph="1">
        <v>308</v>
      </c>
      <c r="AW80" s="64" t="s" ph="1">
        <v>284</v>
      </c>
      <c r="AY80" s="64" t="s" ph="1">
        <v>257</v>
      </c>
      <c r="AZ80" s="64" t="s" ph="1">
        <v>445</v>
      </c>
    </row>
    <row r="81" spans="34:52" ph="1">
      <c r="AJ81" s="64" t="s" ph="1">
        <v>309</v>
      </c>
      <c r="AK81" s="64" t="s" ph="1">
        <v>263</v>
      </c>
      <c r="AM81" s="64" t="s" ph="1">
        <v>310</v>
      </c>
      <c r="AN81" s="64" t="s" ph="1">
        <v>266</v>
      </c>
      <c r="AO81" s="64" t="s" ph="1">
        <v>284</v>
      </c>
      <c r="AP81" s="64" t="s" ph="1">
        <v>311</v>
      </c>
      <c r="AQ81" s="64" t="s" ph="1">
        <v>295</v>
      </c>
      <c r="AR81" s="64" t="s" ph="1">
        <v>284</v>
      </c>
      <c r="AS81" s="64" t="s" ph="1">
        <v>312</v>
      </c>
      <c r="AT81" s="64" t="s" ph="1">
        <v>313</v>
      </c>
      <c r="AU81" s="64" t="s" ph="1">
        <v>284</v>
      </c>
      <c r="AV81" s="64" t="s" ph="1">
        <v>314</v>
      </c>
    </row>
    <row r="82" spans="34:52" ph="1">
      <c r="AJ82" s="64" t="s" ph="1">
        <v>315</v>
      </c>
      <c r="AK82" s="64" t="s" ph="1">
        <v>263</v>
      </c>
      <c r="AM82" s="64" t="s" ph="1">
        <v>316</v>
      </c>
      <c r="AN82" s="64" t="s" ph="1">
        <v>313</v>
      </c>
      <c r="AO82" s="64" t="s" ph="1">
        <v>317</v>
      </c>
      <c r="AP82" s="64" t="s" ph="1">
        <v>318</v>
      </c>
      <c r="AQ82" s="64" t="s" ph="1">
        <v>295</v>
      </c>
      <c r="AR82" s="64" t="s" ph="1">
        <v>284</v>
      </c>
      <c r="AS82" s="64" t="s" ph="1">
        <v>319</v>
      </c>
      <c r="AT82" s="64" t="s" ph="1">
        <v>270</v>
      </c>
      <c r="AU82" s="64" t="s" ph="1">
        <v>284</v>
      </c>
      <c r="AV82" s="64" t="s" ph="1">
        <v>444</v>
      </c>
      <c r="AW82" s="64" t="s" ph="1">
        <v>344</v>
      </c>
      <c r="AX82" s="64" t="s" ph="1">
        <v>441</v>
      </c>
    </row>
    <row r="83" spans="34:52" ph="1">
      <c r="AJ83" s="64" t="s" ph="1">
        <v>320</v>
      </c>
      <c r="AK83" s="64" t="s" ph="1">
        <v>337</v>
      </c>
      <c r="AM83" s="64" t="s" ph="1">
        <v>321</v>
      </c>
      <c r="AN83" s="64" t="s" ph="1">
        <v>269</v>
      </c>
      <c r="AO83" s="64" t="s" ph="1">
        <v>300</v>
      </c>
      <c r="AP83" s="64" t="s" ph="1">
        <v>322</v>
      </c>
      <c r="AQ83" s="64" t="s" ph="1">
        <v>323</v>
      </c>
      <c r="AR83" s="64" t="s" ph="1">
        <v>300</v>
      </c>
      <c r="AS83" s="64" t="s" ph="1">
        <v>446</v>
      </c>
      <c r="AT83" s="64" t="s" ph="1">
        <v>295</v>
      </c>
      <c r="AU83" s="64" t="s" ph="1">
        <v>300</v>
      </c>
      <c r="AV83" s="64" t="s" ph="1">
        <v>447</v>
      </c>
      <c r="AW83" s="64" t="s" ph="1">
        <v>344</v>
      </c>
      <c r="AX83" s="64" t="s" ph="1">
        <v>448</v>
      </c>
    </row>
    <row r="84" spans="34:52" ph="1">
      <c r="AH84" s="64" ph="1">
        <v>4</v>
      </c>
      <c r="AI84" s="64" t="s" ph="1">
        <v>327</v>
      </c>
      <c r="AJ84" s="64" t="s" ph="1">
        <v>267</v>
      </c>
      <c r="AK84" s="64" t="s" ph="1">
        <v>270</v>
      </c>
      <c r="AM84" s="64" t="s" ph="1">
        <v>271</v>
      </c>
      <c r="AN84" s="64" t="s" ph="1">
        <v>264</v>
      </c>
      <c r="AO84" s="64" t="s" ph="1">
        <v>300</v>
      </c>
      <c r="AP84" s="64" t="s" ph="1">
        <v>329</v>
      </c>
      <c r="AQ84" s="64" t="s" ph="1">
        <v>263</v>
      </c>
      <c r="AR84" s="64" t="s" ph="1">
        <v>300</v>
      </c>
      <c r="AS84" s="64" t="s" ph="1">
        <v>329</v>
      </c>
      <c r="AT84" s="64" t="s" ph="1">
        <v>265</v>
      </c>
      <c r="AU84" s="64" t="s" ph="1">
        <v>300</v>
      </c>
      <c r="AY84" s="64" t="s" ph="1">
        <v>257</v>
      </c>
      <c r="AZ84" s="64" t="s" ph="1">
        <v>449</v>
      </c>
    </row>
    <row r="85" spans="34:52" ph="1">
      <c r="AJ85" s="64" t="s" ph="1">
        <v>259</v>
      </c>
      <c r="AK85" s="64" t="s" ph="1">
        <v>263</v>
      </c>
      <c r="AM85" s="64" t="s" ph="1">
        <v>450</v>
      </c>
      <c r="AN85" s="64" t="s" ph="1">
        <v>270</v>
      </c>
      <c r="AO85" s="64" t="s" ph="1">
        <v>300</v>
      </c>
      <c r="AP85" s="64" t="s" ph="1">
        <v>451</v>
      </c>
      <c r="AQ85" s="64" t="s" ph="1">
        <v>266</v>
      </c>
      <c r="AR85" s="64" t="s" ph="1">
        <v>300</v>
      </c>
      <c r="AS85" s="64" t="s" ph="1">
        <v>452</v>
      </c>
      <c r="AT85" s="64" t="s" ph="1">
        <v>266</v>
      </c>
      <c r="AU85" s="64" t="s" ph="1">
        <v>300</v>
      </c>
    </row>
    <row r="86" spans="34:52" ph="1">
      <c r="AJ86" s="64" t="s" ph="1">
        <v>453</v>
      </c>
      <c r="AK86" s="64" t="s" ph="1">
        <v>272</v>
      </c>
      <c r="AM86" s="64" t="s" ph="1">
        <v>454</v>
      </c>
      <c r="AN86" s="64" t="s" ph="1">
        <v>313</v>
      </c>
      <c r="AO86" s="64" t="s" ph="1">
        <v>300</v>
      </c>
      <c r="AP86" s="64" t="s" ph="1">
        <v>455</v>
      </c>
      <c r="AQ86" s="64" t="s" ph="1">
        <v>260</v>
      </c>
      <c r="AR86" s="64" t="s" ph="1">
        <v>300</v>
      </c>
      <c r="AS86" s="64" t="s" ph="1">
        <v>456</v>
      </c>
      <c r="AT86" s="64" t="s" ph="1">
        <v>278</v>
      </c>
      <c r="AU86" s="64" t="s" ph="1">
        <v>300</v>
      </c>
    </row>
    <row r="87" spans="34:52" ph="1">
      <c r="AJ87" s="64" t="s" ph="1">
        <v>457</v>
      </c>
      <c r="AK87" s="64" t="s" ph="1">
        <v>313</v>
      </c>
      <c r="AM87" s="64" t="s" ph="1">
        <v>444</v>
      </c>
      <c r="AN87" s="64" t="s" ph="1">
        <v>458</v>
      </c>
      <c r="AO87" s="64" t="s" ph="1">
        <v>441</v>
      </c>
    </row>
    <row r="88" spans="34:52" ph="1">
      <c r="AH88" s="64" ph="1">
        <v>5</v>
      </c>
      <c r="AI88" s="64" t="s" ph="1">
        <v>330</v>
      </c>
      <c r="AJ88" s="64" t="s" ph="1">
        <v>459</v>
      </c>
      <c r="AK88" s="64" t="s" ph="1">
        <v>313</v>
      </c>
      <c r="AM88" s="64" t="s" ph="1">
        <v>460</v>
      </c>
      <c r="AN88" s="64" t="s" ph="1">
        <v>313</v>
      </c>
      <c r="AO88" s="64" t="s" ph="1">
        <v>300</v>
      </c>
      <c r="AP88" s="64" t="s" ph="1">
        <v>461</v>
      </c>
      <c r="AQ88" s="64" t="s" ph="1">
        <v>263</v>
      </c>
      <c r="AR88" s="64" t="s" ph="1">
        <v>300</v>
      </c>
      <c r="AS88" s="64" t="s" ph="1">
        <v>462</v>
      </c>
      <c r="AT88" s="64" t="s" ph="1">
        <v>313</v>
      </c>
      <c r="AU88" s="64" t="s" ph="1">
        <v>300</v>
      </c>
      <c r="AV88" s="64" t="s" ph="1">
        <v>463</v>
      </c>
      <c r="AW88" s="64" t="s" ph="1">
        <v>268</v>
      </c>
      <c r="AX88" s="64" t="s" ph="1">
        <v>300</v>
      </c>
      <c r="AY88" s="64" t="s" ph="1">
        <v>257</v>
      </c>
      <c r="AZ88" s="64" t="s" ph="1">
        <v>464</v>
      </c>
    </row>
    <row r="89" spans="34:52" ph="1">
      <c r="AJ89" s="64" t="s" ph="1">
        <v>465</v>
      </c>
      <c r="AK89" s="64" t="s" ph="1">
        <v>266</v>
      </c>
      <c r="AM89" s="64" t="s" ph="1">
        <v>466</v>
      </c>
      <c r="AN89" s="64" t="s" ph="1">
        <v>269</v>
      </c>
      <c r="AO89" s="64" t="s" ph="1">
        <v>300</v>
      </c>
      <c r="AP89" s="64" t="s" ph="1">
        <v>467</v>
      </c>
      <c r="AQ89" s="64" t="s" ph="1">
        <v>278</v>
      </c>
      <c r="AR89" s="64" t="s" ph="1">
        <v>300</v>
      </c>
      <c r="AS89" s="64" t="s" ph="1">
        <v>468</v>
      </c>
      <c r="AT89" s="64" t="s" ph="1">
        <v>313</v>
      </c>
      <c r="AU89" s="64" t="s" ph="1">
        <v>300</v>
      </c>
      <c r="AV89" s="64" t="s" ph="1">
        <v>469</v>
      </c>
      <c r="AW89" s="64" t="s" ph="1">
        <v>295</v>
      </c>
      <c r="AX89" s="64" t="s" ph="1">
        <v>328</v>
      </c>
    </row>
    <row r="90" spans="34:52" ph="1">
      <c r="AJ90" s="64" t="s" ph="1">
        <v>470</v>
      </c>
      <c r="AK90" s="64" t="s" ph="1">
        <v>269</v>
      </c>
      <c r="AM90" s="64" t="s" ph="1">
        <v>471</v>
      </c>
      <c r="AN90" s="64" t="s" ph="1">
        <v>266</v>
      </c>
      <c r="AO90" s="64" t="s" ph="1">
        <v>300</v>
      </c>
      <c r="AP90" s="64" t="s" ph="1">
        <v>472</v>
      </c>
      <c r="AQ90" s="64" t="s" ph="1">
        <v>335</v>
      </c>
      <c r="AR90" s="64" t="s" ph="1">
        <v>300</v>
      </c>
      <c r="AS90" s="64" t="s" ph="1">
        <v>473</v>
      </c>
      <c r="AT90" s="64" t="s" ph="1">
        <v>323</v>
      </c>
      <c r="AU90" s="64" t="s" ph="1">
        <v>300</v>
      </c>
      <c r="AV90" s="64" t="s" ph="1">
        <v>474</v>
      </c>
      <c r="AW90" s="64" t="s" ph="1">
        <v>260</v>
      </c>
      <c r="AX90" s="64" t="s" ph="1">
        <v>300</v>
      </c>
    </row>
    <row r="91" spans="34:52" ph="1">
      <c r="AJ91" s="64" t="s" ph="1">
        <v>475</v>
      </c>
      <c r="AK91" s="64" t="s" ph="1">
        <v>313</v>
      </c>
      <c r="AM91" s="64" t="s" ph="1">
        <v>476</v>
      </c>
      <c r="AN91" s="64" t="s" ph="1">
        <v>280</v>
      </c>
      <c r="AO91" s="64" t="s" ph="1">
        <v>300</v>
      </c>
      <c r="AP91" s="64" t="s" ph="1">
        <v>477</v>
      </c>
      <c r="AQ91" s="64" t="s" ph="1">
        <v>260</v>
      </c>
      <c r="AS91" s="64" t="s" ph="1">
        <v>444</v>
      </c>
      <c r="AT91" s="64" t="s" ph="1">
        <v>440</v>
      </c>
      <c r="AU91" s="64" t="s" ph="1">
        <v>441</v>
      </c>
    </row>
    <row r="92" spans="34:52" ph="1">
      <c r="AH92" s="64" ph="1">
        <v>6</v>
      </c>
      <c r="AI92" s="64" t="s" ph="1">
        <v>478</v>
      </c>
      <c r="AJ92" s="64" t="s" ph="1">
        <v>479</v>
      </c>
      <c r="AK92" s="64" t="s" ph="1">
        <v>408</v>
      </c>
      <c r="AM92" s="64" t="s" ph="1">
        <v>480</v>
      </c>
      <c r="AN92" s="64" t="s" ph="1">
        <v>268</v>
      </c>
      <c r="AO92" s="64" t="s" ph="1">
        <v>300</v>
      </c>
      <c r="AP92" s="64" t="s" ph="1">
        <v>481</v>
      </c>
      <c r="AQ92" s="64" t="s" ph="1">
        <v>340</v>
      </c>
      <c r="AR92" s="64" t="s" ph="1">
        <v>300</v>
      </c>
      <c r="AS92" s="64" t="s" ph="1">
        <v>482</v>
      </c>
      <c r="AT92" s="64" t="s" ph="1">
        <v>313</v>
      </c>
      <c r="AU92" s="64" t="s" ph="1">
        <v>300</v>
      </c>
      <c r="AV92" s="64" t="s" ph="1">
        <v>483</v>
      </c>
      <c r="AW92" s="64" t="s" ph="1">
        <v>269</v>
      </c>
      <c r="AX92" s="64" t="s" ph="1">
        <v>300</v>
      </c>
      <c r="AY92" s="64" t="s" ph="1">
        <v>257</v>
      </c>
      <c r="AZ92" s="64" t="s" ph="1">
        <v>464</v>
      </c>
    </row>
    <row r="93" spans="34:52" ph="1">
      <c r="AJ93" s="64" t="s" ph="1">
        <v>484</v>
      </c>
      <c r="AK93" s="64" t="s" ph="1">
        <v>263</v>
      </c>
      <c r="AM93" s="64" t="s" ph="1">
        <v>485</v>
      </c>
      <c r="AN93" s="64" t="s" ph="1">
        <v>268</v>
      </c>
      <c r="AO93" s="64" t="s" ph="1">
        <v>300</v>
      </c>
      <c r="AP93" s="64" t="s" ph="1">
        <v>486</v>
      </c>
      <c r="AQ93" s="64" t="s" ph="1">
        <v>272</v>
      </c>
      <c r="AR93" s="64" t="s" ph="1">
        <v>300</v>
      </c>
      <c r="AS93" s="64" t="s" ph="1">
        <v>487</v>
      </c>
      <c r="AT93" s="64" t="s" ph="1">
        <v>278</v>
      </c>
      <c r="AU93" s="64" t="s" ph="1">
        <v>300</v>
      </c>
      <c r="AV93" s="64" t="s" ph="1">
        <v>488</v>
      </c>
      <c r="AW93" s="64" t="s" ph="1">
        <v>272</v>
      </c>
      <c r="AX93" s="64" t="s" ph="1">
        <v>300</v>
      </c>
    </row>
    <row r="94" spans="34:52" ph="1">
      <c r="AJ94" s="64" t="s" ph="1">
        <v>489</v>
      </c>
      <c r="AK94" s="64" t="s" ph="1">
        <v>335</v>
      </c>
      <c r="AM94" s="64" t="s" ph="1">
        <v>490</v>
      </c>
      <c r="AN94" s="64" t="s" ph="1">
        <v>272</v>
      </c>
      <c r="AO94" s="64" t="s" ph="1">
        <v>300</v>
      </c>
      <c r="AP94" s="64" t="s" ph="1">
        <v>491</v>
      </c>
      <c r="AQ94" s="64" t="s" ph="1">
        <v>280</v>
      </c>
      <c r="AR94" s="64" t="s" ph="1">
        <v>300</v>
      </c>
      <c r="AS94" s="64" t="s" ph="1">
        <v>492</v>
      </c>
      <c r="AT94" s="64" t="s" ph="1">
        <v>266</v>
      </c>
      <c r="AU94" s="64" t="s" ph="1">
        <v>300</v>
      </c>
      <c r="AV94" s="64" t="s" ph="1">
        <v>493</v>
      </c>
      <c r="AW94" s="64" t="s" ph="1">
        <v>266</v>
      </c>
      <c r="AX94" s="64" t="s" ph="1">
        <v>300</v>
      </c>
    </row>
    <row r="95" spans="34:52" ph="1">
      <c r="AJ95" s="64" t="s" ph="1">
        <v>494</v>
      </c>
      <c r="AK95" s="64" t="s" ph="1">
        <v>340</v>
      </c>
    </row>
    <row r="96" spans="34:52" ph="1">
      <c r="AH96" s="64" ph="1">
        <v>7</v>
      </c>
      <c r="AI96" s="64" t="s" ph="1">
        <v>495</v>
      </c>
      <c r="AJ96" s="64" t="s" ph="1">
        <v>494</v>
      </c>
      <c r="AK96" s="64" t="s" ph="1">
        <v>295</v>
      </c>
      <c r="AM96" s="64" t="s" ph="1">
        <v>496</v>
      </c>
      <c r="AN96" s="64" t="s" ph="1">
        <v>269</v>
      </c>
      <c r="AO96" s="64" t="s" ph="1">
        <v>300</v>
      </c>
      <c r="AP96" s="64" t="s" ph="1">
        <v>497</v>
      </c>
      <c r="AQ96" s="64" t="s" ph="1">
        <v>313</v>
      </c>
      <c r="AR96" s="64" t="s" ph="1">
        <v>328</v>
      </c>
      <c r="AS96" s="64" t="s" ph="1">
        <v>498</v>
      </c>
      <c r="AT96" s="64" t="s" ph="1">
        <v>272</v>
      </c>
      <c r="AU96" s="64" t="s" ph="1">
        <v>328</v>
      </c>
      <c r="AV96" s="64" t="s" ph="1">
        <v>499</v>
      </c>
      <c r="AW96" s="64" t="s" ph="1">
        <v>268</v>
      </c>
      <c r="AX96" s="64" t="s" ph="1">
        <v>328</v>
      </c>
      <c r="AY96" s="64" t="s" ph="1">
        <v>257</v>
      </c>
      <c r="AZ96" s="64" t="s" ph="1">
        <v>500</v>
      </c>
    </row>
    <row r="97" spans="33:52" ph="1">
      <c r="AJ97" s="64" t="s" ph="1">
        <v>501</v>
      </c>
      <c r="AK97" s="64" t="s" ph="1">
        <v>323</v>
      </c>
      <c r="AM97" s="64" t="s" ph="1">
        <v>502</v>
      </c>
      <c r="AN97" s="64" t="s" ph="1">
        <v>266</v>
      </c>
      <c r="AO97" s="64" t="s" ph="1">
        <v>300</v>
      </c>
      <c r="AP97" s="64" t="s" ph="1">
        <v>503</v>
      </c>
      <c r="AQ97" s="64" t="s" ph="1">
        <v>260</v>
      </c>
      <c r="AR97" s="64" t="s" ph="1">
        <v>328</v>
      </c>
      <c r="AS97" s="64" t="s" ph="1">
        <v>504</v>
      </c>
      <c r="AT97" s="64" t="s" ph="1">
        <v>263</v>
      </c>
      <c r="AU97" s="64" t="s" ph="1">
        <v>328</v>
      </c>
      <c r="AV97" s="64" t="s" ph="1">
        <v>505</v>
      </c>
      <c r="AW97" s="64" t="s" ph="1">
        <v>269</v>
      </c>
      <c r="AX97" s="64" t="s" ph="1">
        <v>328</v>
      </c>
    </row>
    <row r="98" spans="33:52" ph="1">
      <c r="AJ98" s="64" t="s" ph="1">
        <v>506</v>
      </c>
      <c r="AK98" s="64" t="s" ph="1">
        <v>272</v>
      </c>
      <c r="AM98" s="64" t="s" ph="1">
        <v>507</v>
      </c>
      <c r="AN98" s="64" t="s" ph="1">
        <v>280</v>
      </c>
      <c r="AO98" s="64" t="s" ph="1">
        <v>300</v>
      </c>
      <c r="AP98" s="64" t="s" ph="1">
        <v>508</v>
      </c>
      <c r="AQ98" s="64" t="s" ph="1">
        <v>260</v>
      </c>
      <c r="AR98" s="64" t="s" ph="1">
        <v>328</v>
      </c>
      <c r="AS98" s="64" t="s" ph="1">
        <v>509</v>
      </c>
      <c r="AT98" s="64" t="s" ph="1">
        <v>340</v>
      </c>
      <c r="AU98" s="64" t="s" ph="1">
        <v>328</v>
      </c>
      <c r="AV98" s="64" t="s" ph="1">
        <v>510</v>
      </c>
      <c r="AW98" s="64" t="s" ph="1">
        <v>263</v>
      </c>
      <c r="AX98" s="64" t="s" ph="1">
        <v>328</v>
      </c>
    </row>
    <row r="99" spans="33:52" ph="1">
      <c r="AH99" s="64" ph="1">
        <v>8</v>
      </c>
      <c r="AI99" s="64" t="s" ph="1">
        <v>511</v>
      </c>
      <c r="AJ99" s="64" t="s" ph="1">
        <v>512</v>
      </c>
      <c r="AK99" s="64" t="s" ph="1">
        <v>408</v>
      </c>
      <c r="AM99" s="64" t="s" ph="1">
        <v>513</v>
      </c>
      <c r="AN99" s="64" t="s" ph="1">
        <v>295</v>
      </c>
      <c r="AO99" s="64" t="s" ph="1">
        <v>300</v>
      </c>
      <c r="AP99" s="64" t="s" ph="1">
        <v>514</v>
      </c>
      <c r="AQ99" s="64" t="s" ph="1">
        <v>265</v>
      </c>
      <c r="AR99" s="64" t="s" ph="1">
        <v>328</v>
      </c>
      <c r="AS99" s="64" t="s" ph="1">
        <v>515</v>
      </c>
      <c r="AT99" s="64" t="s" ph="1">
        <v>280</v>
      </c>
      <c r="AU99" s="64" t="s" ph="1">
        <v>328</v>
      </c>
      <c r="AV99" s="64" t="s" ph="1">
        <v>516</v>
      </c>
      <c r="AW99" s="64" t="s" ph="1">
        <v>265</v>
      </c>
      <c r="AX99" s="64" t="s" ph="1">
        <v>328</v>
      </c>
      <c r="AY99" s="64" t="s" ph="1">
        <v>257</v>
      </c>
      <c r="AZ99" s="64" t="s" ph="1">
        <v>517</v>
      </c>
    </row>
    <row r="100" spans="33:52" ph="1">
      <c r="AJ100" s="64" t="s" ph="1">
        <v>518</v>
      </c>
      <c r="AK100" s="64" t="s" ph="1">
        <v>263</v>
      </c>
      <c r="AM100" s="64" t="s" ph="1">
        <v>519</v>
      </c>
      <c r="AN100" s="64" t="s" ph="1">
        <v>335</v>
      </c>
      <c r="AO100" s="64" t="s" ph="1">
        <v>300</v>
      </c>
      <c r="AP100" s="64" t="s" ph="1">
        <v>520</v>
      </c>
      <c r="AQ100" s="64" t="s" ph="1">
        <v>341</v>
      </c>
      <c r="AR100" s="64" t="s" ph="1">
        <v>328</v>
      </c>
      <c r="AS100" s="64" t="s" ph="1">
        <v>521</v>
      </c>
      <c r="AT100" s="64" t="s" ph="1">
        <v>408</v>
      </c>
      <c r="AU100" s="64" t="s" ph="1">
        <v>300</v>
      </c>
      <c r="AV100" s="64" t="s" ph="1">
        <v>522</v>
      </c>
      <c r="AW100" s="64" t="s" ph="1">
        <v>408</v>
      </c>
      <c r="AX100" s="64" t="s" ph="1">
        <v>300</v>
      </c>
    </row>
    <row r="101" spans="33:52" ph="1">
      <c r="AJ101" s="64" t="s" ph="1">
        <v>523</v>
      </c>
      <c r="AK101" s="64" t="s" ph="1">
        <v>408</v>
      </c>
      <c r="AM101" s="64" t="s" ph="1">
        <v>524</v>
      </c>
      <c r="AN101" s="64" t="s" ph="1">
        <v>266</v>
      </c>
      <c r="AO101" s="64" t="s" ph="1">
        <v>300</v>
      </c>
      <c r="AP101" s="64" t="s" ph="1">
        <v>525</v>
      </c>
      <c r="AQ101" s="64" t="s" ph="1">
        <v>278</v>
      </c>
      <c r="AR101" s="64" t="s" ph="1">
        <v>328</v>
      </c>
      <c r="AS101" s="64" t="s" ph="1">
        <v>526</v>
      </c>
      <c r="AT101" s="64" t="s" ph="1">
        <v>335</v>
      </c>
      <c r="AU101" s="64" t="s" ph="1">
        <v>328</v>
      </c>
      <c r="AV101" s="64" t="s" ph="1">
        <v>527</v>
      </c>
      <c r="AW101" s="64" t="s" ph="1">
        <v>266</v>
      </c>
      <c r="AX101" s="64" t="s" ph="1">
        <v>300</v>
      </c>
    </row>
    <row r="102" spans="33:52" ph="1">
      <c r="AJ102" s="64" t="s" ph="1">
        <v>528</v>
      </c>
      <c r="AK102" s="64" t="s" ph="1">
        <v>263</v>
      </c>
      <c r="AM102" s="64" t="s" ph="1">
        <v>529</v>
      </c>
      <c r="AN102" s="64" t="s" ph="1">
        <v>272</v>
      </c>
      <c r="AO102" s="64" t="s" ph="1">
        <v>300</v>
      </c>
      <c r="AP102" s="64" t="s" ph="1">
        <v>530</v>
      </c>
      <c r="AQ102" s="64" t="s" ph="1">
        <v>278</v>
      </c>
      <c r="AR102" s="64" t="s" ph="1">
        <v>300</v>
      </c>
      <c r="AS102" s="64" t="s" ph="1">
        <v>531</v>
      </c>
      <c r="AT102" s="64" t="s" ph="1">
        <v>295</v>
      </c>
      <c r="AU102" s="64" t="s" ph="1">
        <v>300</v>
      </c>
      <c r="AV102" s="64" t="s" ph="1">
        <v>532</v>
      </c>
      <c r="AW102" s="64" t="s" ph="1">
        <v>313</v>
      </c>
      <c r="AX102" s="64" t="s" ph="1">
        <v>300</v>
      </c>
    </row>
    <row r="103" spans="33:52" ph="1">
      <c r="AH103" s="64" ph="1">
        <v>9</v>
      </c>
      <c r="AI103" s="64" t="s" ph="1">
        <v>533</v>
      </c>
      <c r="AJ103" s="64" t="s" ph="1">
        <v>534</v>
      </c>
      <c r="AK103" s="64" t="s" ph="1">
        <v>408</v>
      </c>
      <c r="AM103" s="64" t="s" ph="1">
        <v>535</v>
      </c>
      <c r="AN103" s="64" t="s" ph="1">
        <v>323</v>
      </c>
      <c r="AO103" s="64" t="s" ph="1">
        <v>300</v>
      </c>
      <c r="AP103" s="64" t="s" ph="1">
        <v>377</v>
      </c>
      <c r="AQ103" s="64" t="s" ph="1">
        <v>266</v>
      </c>
      <c r="AR103" s="64" t="s" ph="1">
        <v>300</v>
      </c>
      <c r="AS103" s="64" t="s" ph="1">
        <v>611</v>
      </c>
      <c r="AT103" s="64" t="s" ph="1">
        <v>408</v>
      </c>
      <c r="AU103" s="64" t="s" ph="1">
        <v>300</v>
      </c>
      <c r="AY103" s="64" t="s" ph="1">
        <v>257</v>
      </c>
      <c r="AZ103" s="64" t="s" ph="1">
        <v>265</v>
      </c>
    </row>
    <row r="104" spans="33:52" ph="1">
      <c r="AZ104" s="64" t="s" ph="1">
        <v>536</v>
      </c>
    </row>
    <row r="105" spans="33:52" ph="1">
      <c r="AG105" s="64" t="s" ph="1">
        <v>336</v>
      </c>
      <c r="AI105" s="64" t="s" ph="1">
        <v>250</v>
      </c>
      <c r="AJ105" s="64" t="s" ph="1">
        <v>251</v>
      </c>
      <c r="AK105" s="64" t="s" ph="1">
        <v>252</v>
      </c>
      <c r="AM105" s="64" t="s" ph="1">
        <v>251</v>
      </c>
      <c r="AN105" s="64" t="s" ph="1">
        <v>252</v>
      </c>
      <c r="AO105" s="64" t="s" ph="1">
        <v>253</v>
      </c>
      <c r="AP105" s="64" t="s" ph="1">
        <v>251</v>
      </c>
      <c r="AQ105" s="64" t="s" ph="1">
        <v>252</v>
      </c>
      <c r="AR105" s="64" t="s" ph="1">
        <v>253</v>
      </c>
      <c r="AS105" s="64" t="s" ph="1">
        <v>251</v>
      </c>
      <c r="AT105" s="64" t="s" ph="1">
        <v>252</v>
      </c>
      <c r="AU105" s="64" t="s" ph="1">
        <v>253</v>
      </c>
      <c r="AV105" s="64" t="s" ph="1">
        <v>251</v>
      </c>
      <c r="AW105" s="64" t="s" ph="1">
        <v>252</v>
      </c>
      <c r="AX105" s="64" t="s" ph="1">
        <v>253</v>
      </c>
      <c r="AZ105" s="64" t="s" ph="1">
        <v>254</v>
      </c>
    </row>
    <row r="106" spans="33:52" ph="1">
      <c r="AH106" s="64" ph="1">
        <v>1</v>
      </c>
      <c r="AI106" s="64" t="s" ph="1">
        <v>537</v>
      </c>
      <c r="AJ106" s="64" t="s" ph="1">
        <v>611</v>
      </c>
      <c r="AK106" s="64" t="s" ph="1">
        <v>272</v>
      </c>
      <c r="AZ106" s="64" t="s" ph="1">
        <v>272</v>
      </c>
    </row>
    <row r="107" spans="33:52" ph="1">
      <c r="AH107" s="64" ph="1">
        <v>2</v>
      </c>
      <c r="AI107" s="64" t="s" ph="1">
        <v>538</v>
      </c>
      <c r="AJ107" s="64" t="s" ph="1">
        <v>539</v>
      </c>
      <c r="AK107" s="64" t="s" ph="1">
        <v>269</v>
      </c>
      <c r="AM107" s="64" t="s" ph="1">
        <v>375</v>
      </c>
      <c r="AN107" s="64" t="s" ph="1">
        <v>540</v>
      </c>
      <c r="AO107" s="64" t="s" ph="1">
        <v>541</v>
      </c>
      <c r="AP107" s="64" t="s" ph="1">
        <v>377</v>
      </c>
      <c r="AQ107" s="64" t="s" ph="1">
        <v>345</v>
      </c>
      <c r="AR107" s="64" t="s" ph="1">
        <v>541</v>
      </c>
      <c r="AS107" s="64" t="s" ph="1">
        <v>611</v>
      </c>
      <c r="AT107" s="64" t="s" ph="1">
        <v>540</v>
      </c>
      <c r="AU107" s="64" t="s" ph="1">
        <v>541</v>
      </c>
      <c r="AY107" s="64" t="s" ph="1">
        <v>257</v>
      </c>
      <c r="AZ107" s="64" t="s" ph="1">
        <v>621</v>
      </c>
    </row>
    <row r="108" spans="33:52" ph="1">
      <c r="AH108" s="64" ph="1">
        <v>3</v>
      </c>
      <c r="AI108" s="64" t="s" ph="1">
        <v>542</v>
      </c>
      <c r="AY108" s="64" t="s" ph="1">
        <v>257</v>
      </c>
      <c r="AZ108" s="64" t="s" ph="1">
        <v>408</v>
      </c>
    </row>
    <row r="109" spans="33:52" ph="1">
      <c r="AH109" s="64" ph="1">
        <v>4</v>
      </c>
      <c r="AI109" s="64" t="s" ph="1">
        <v>543</v>
      </c>
      <c r="AY109" s="64" t="s" ph="1">
        <v>257</v>
      </c>
      <c r="AZ109" s="64" t="s" ph="1">
        <v>408</v>
      </c>
    </row>
    <row r="110" spans="33:52" ph="1">
      <c r="AH110" s="64" ph="1">
        <v>5</v>
      </c>
      <c r="AI110" s="64" t="s" ph="1">
        <v>544</v>
      </c>
      <c r="AY110" s="64" t="s" ph="1">
        <v>257</v>
      </c>
      <c r="AZ110" s="64" t="s" ph="1">
        <v>408</v>
      </c>
    </row>
    <row r="111" spans="33:52" ph="1">
      <c r="AH111" s="64" ph="1">
        <v>6</v>
      </c>
      <c r="AI111" s="64" t="s" ph="1">
        <v>622</v>
      </c>
      <c r="AJ111" s="64" t="s" ph="1">
        <v>527</v>
      </c>
      <c r="AK111" s="64" t="s" ph="1">
        <v>266</v>
      </c>
      <c r="AM111" s="64" t="s" ph="1">
        <v>528</v>
      </c>
      <c r="AN111" s="64" t="s" ph="1">
        <v>260</v>
      </c>
      <c r="AO111" s="64" t="s" ph="1">
        <v>541</v>
      </c>
      <c r="AP111" s="64" t="s" ph="1">
        <v>529</v>
      </c>
      <c r="AQ111" s="64" t="s" ph="1">
        <v>269</v>
      </c>
      <c r="AR111" s="64" t="s" ph="1">
        <v>541</v>
      </c>
      <c r="AS111" s="64" t="s" ph="1">
        <v>530</v>
      </c>
      <c r="AT111" s="64" t="s" ph="1">
        <v>278</v>
      </c>
      <c r="AU111" s="64" t="s" ph="1">
        <v>541</v>
      </c>
      <c r="AV111" s="64" t="s" ph="1">
        <v>531</v>
      </c>
      <c r="AW111" s="64" t="s" ph="1">
        <v>268</v>
      </c>
      <c r="AX111" s="64" t="s" ph="1">
        <v>541</v>
      </c>
      <c r="AY111" s="64" t="s" ph="1">
        <v>257</v>
      </c>
      <c r="AZ111" s="64" t="s" ph="1">
        <v>545</v>
      </c>
    </row>
    <row r="112" spans="33:52" ph="1">
      <c r="AJ112" s="64" t="s" ph="1">
        <v>532</v>
      </c>
      <c r="AK112" s="64" t="s" ph="1">
        <v>313</v>
      </c>
      <c r="AM112" s="64" t="s" ph="1">
        <v>534</v>
      </c>
      <c r="AN112" s="64" t="s" ph="1">
        <v>337</v>
      </c>
      <c r="AO112" s="64" t="s" ph="1">
        <v>541</v>
      </c>
      <c r="AP112" s="64" t="s" ph="1">
        <v>535</v>
      </c>
      <c r="AQ112" s="64" t="s" ph="1">
        <v>546</v>
      </c>
      <c r="AR112" s="64" t="s" ph="1">
        <v>541</v>
      </c>
      <c r="AS112" s="64" t="s" ph="1">
        <v>547</v>
      </c>
      <c r="AT112" s="64" t="s" ph="1">
        <v>289</v>
      </c>
      <c r="AU112" s="64" t="s" ph="1">
        <v>541</v>
      </c>
      <c r="AV112" s="64" t="s" ph="1">
        <v>548</v>
      </c>
      <c r="AW112" s="64" t="s" ph="1">
        <v>335</v>
      </c>
      <c r="AX112" s="64" t="s" ph="1">
        <v>541</v>
      </c>
    </row>
    <row r="113" spans="33:52" ph="1">
      <c r="AH113" s="64" ph="1">
        <v>7</v>
      </c>
      <c r="AI113" s="64" t="s" ph="1">
        <v>549</v>
      </c>
      <c r="AJ113" s="64" t="s" ph="1">
        <v>630</v>
      </c>
      <c r="AK113" s="64" t="s" ph="1">
        <v>635</v>
      </c>
      <c r="AY113" s="64" t="s" ph="1">
        <v>257</v>
      </c>
      <c r="AZ113" s="64" t="s" ph="1">
        <v>635</v>
      </c>
    </row>
    <row r="114" spans="33:52" ph="1">
      <c r="AH114" s="64" ph="1">
        <v>8</v>
      </c>
      <c r="AI114" s="64" t="s" ph="1">
        <v>550</v>
      </c>
      <c r="AJ114" s="64" t="s" ph="1">
        <v>630</v>
      </c>
      <c r="AK114" s="64" t="s" ph="1">
        <v>636</v>
      </c>
      <c r="AY114" s="64" t="s" ph="1">
        <v>257</v>
      </c>
      <c r="AZ114" s="64" t="s" ph="1">
        <v>636</v>
      </c>
    </row>
    <row r="115" spans="33:52" ph="1">
      <c r="AH115" s="64" ph="1">
        <v>9</v>
      </c>
      <c r="AI115" s="64" t="s" ph="1">
        <v>551</v>
      </c>
      <c r="AJ115" s="64" t="s" ph="1">
        <v>630</v>
      </c>
      <c r="AK115" s="64" t="s" ph="1">
        <v>636</v>
      </c>
      <c r="AY115" s="64" t="s" ph="1">
        <v>257</v>
      </c>
      <c r="AZ115" s="64" t="s" ph="1">
        <v>636</v>
      </c>
    </row>
    <row r="116" spans="33:52" ph="1">
      <c r="AH116" s="64" ph="1">
        <v>10</v>
      </c>
      <c r="AI116" s="64" t="s" ph="1">
        <v>552</v>
      </c>
      <c r="AJ116" s="64" t="s" ph="1">
        <v>630</v>
      </c>
      <c r="AK116" s="64" t="s" ph="1">
        <v>636</v>
      </c>
      <c r="AY116" s="64" t="s" ph="1">
        <v>257</v>
      </c>
      <c r="AZ116" s="64" t="s" ph="1">
        <v>636</v>
      </c>
    </row>
    <row r="117" spans="33:52" ph="1">
      <c r="AH117" s="64" ph="1">
        <v>11</v>
      </c>
      <c r="AI117" s="64" t="s" ph="1">
        <v>553</v>
      </c>
      <c r="AJ117" s="64" t="s" ph="1">
        <v>630</v>
      </c>
      <c r="AK117" s="64" t="s" ph="1">
        <v>636</v>
      </c>
      <c r="AY117" s="64" t="s" ph="1">
        <v>257</v>
      </c>
      <c r="AZ117" s="64" t="s" ph="1">
        <v>636</v>
      </c>
    </row>
    <row r="118" spans="33:52" ph="1">
      <c r="AZ118" s="64" t="s" ph="1">
        <v>637</v>
      </c>
    </row>
    <row r="119" spans="33:52" ph="1">
      <c r="AI119" s="64" t="s" ph="1">
        <v>250</v>
      </c>
      <c r="AJ119" s="64" t="s" ph="1">
        <v>251</v>
      </c>
      <c r="AK119" s="64" t="s" ph="1">
        <v>252</v>
      </c>
      <c r="AM119" s="64" t="s" ph="1">
        <v>251</v>
      </c>
      <c r="AN119" s="64" t="s" ph="1">
        <v>252</v>
      </c>
      <c r="AO119" s="64" t="s" ph="1">
        <v>253</v>
      </c>
      <c r="AP119" s="64" t="s" ph="1">
        <v>251</v>
      </c>
      <c r="AQ119" s="64" t="s" ph="1">
        <v>252</v>
      </c>
      <c r="AR119" s="64" t="s" ph="1">
        <v>253</v>
      </c>
      <c r="AS119" s="64" t="s" ph="1">
        <v>251</v>
      </c>
      <c r="AT119" s="64" t="s" ph="1">
        <v>252</v>
      </c>
      <c r="AU119" s="64" t="s" ph="1">
        <v>253</v>
      </c>
      <c r="AV119" s="64" t="s" ph="1">
        <v>251</v>
      </c>
      <c r="AW119" s="64" t="s" ph="1">
        <v>252</v>
      </c>
      <c r="AX119" s="64" t="s" ph="1">
        <v>253</v>
      </c>
      <c r="AY119" s="64" t="s" ph="1">
        <v>252</v>
      </c>
      <c r="AZ119" s="64" t="s" ph="1">
        <v>254</v>
      </c>
    </row>
    <row r="120" spans="33:52" ph="1">
      <c r="AG120" s="64" t="s" ph="1">
        <v>394</v>
      </c>
      <c r="AH120" s="64" ph="1">
        <v>1</v>
      </c>
      <c r="AI120" s="64" t="s" ph="1">
        <v>554</v>
      </c>
      <c r="AJ120" s="64" t="s" ph="1">
        <v>628</v>
      </c>
      <c r="AK120" s="64" t="s" ph="1">
        <v>408</v>
      </c>
      <c r="AY120" s="64" t="s" ph="1">
        <v>257</v>
      </c>
      <c r="AZ120" s="64" t="s" ph="1">
        <v>408</v>
      </c>
    </row>
    <row r="121" spans="33:52" ph="1">
      <c r="AH121" s="64" ph="1">
        <v>2</v>
      </c>
      <c r="AI121" s="64" t="s" ph="1">
        <v>555</v>
      </c>
      <c r="AY121" s="64" t="s" ph="1">
        <v>257</v>
      </c>
      <c r="AZ121" s="64" t="s" ph="1">
        <v>408</v>
      </c>
    </row>
    <row r="122" spans="33:52" ph="1">
      <c r="AH122" s="64" ph="1">
        <v>3</v>
      </c>
      <c r="AI122" s="64" t="s" ph="1">
        <v>556</v>
      </c>
      <c r="AJ122" s="64" t="s" ph="1">
        <v>611</v>
      </c>
      <c r="AK122" s="64" t="s" ph="1">
        <v>623</v>
      </c>
      <c r="AM122" s="64" t="s" ph="1">
        <v>638</v>
      </c>
      <c r="AN122" s="64" t="s" ph="1">
        <v>631</v>
      </c>
      <c r="AO122" s="64" t="s" ph="1">
        <v>108</v>
      </c>
      <c r="AY122" s="64" t="s" ph="1">
        <v>257</v>
      </c>
      <c r="AZ122" s="64" t="s" ph="1">
        <v>620</v>
      </c>
    </row>
    <row r="123" spans="33:52" ph="1">
      <c r="AY123" s="64" t="s" ph="1">
        <v>257</v>
      </c>
      <c r="AZ123" s="64" t="s" ph="1">
        <v>620</v>
      </c>
    </row>
    <row r="124" spans="33:52" ph="1">
      <c r="AG124" s="64" t="s" ph="1">
        <v>397</v>
      </c>
      <c r="AH124" s="64" ph="1">
        <v>4</v>
      </c>
      <c r="AI124" s="64" t="s" ph="1">
        <v>557</v>
      </c>
      <c r="AJ124" s="64" t="s" ph="1">
        <v>558</v>
      </c>
      <c r="AK124" s="64" t="s" ph="1">
        <v>559</v>
      </c>
      <c r="AY124" s="64" t="s" ph="1">
        <v>257</v>
      </c>
      <c r="AZ124" s="64" t="s" ph="1">
        <v>559</v>
      </c>
    </row>
    <row r="125" spans="33:52" ph="1">
      <c r="AH125" s="64" ph="1">
        <v>5</v>
      </c>
      <c r="AI125" s="64" t="s" ph="1">
        <v>560</v>
      </c>
      <c r="AJ125" s="64" t="s" ph="1">
        <v>558</v>
      </c>
      <c r="AK125" s="64" t="s" ph="1">
        <v>559</v>
      </c>
      <c r="AY125" s="64" t="s" ph="1">
        <v>257</v>
      </c>
      <c r="AZ125" s="64" t="s" ph="1">
        <v>559</v>
      </c>
    </row>
    <row r="126" spans="33:52" ph="1">
      <c r="AH126" s="64" ph="1">
        <v>6</v>
      </c>
      <c r="AI126" s="64" t="s" ph="1">
        <v>561</v>
      </c>
      <c r="AJ126" s="64" t="s" ph="1">
        <v>630</v>
      </c>
      <c r="AK126" s="64" t="s" ph="1">
        <v>639</v>
      </c>
      <c r="AY126" s="64" t="s" ph="1">
        <v>257</v>
      </c>
      <c r="AZ126" s="64" t="s" ph="1">
        <v>639</v>
      </c>
    </row>
    <row r="127" spans="33:52" ph="1">
      <c r="AH127" s="64" ph="1">
        <v>7</v>
      </c>
      <c r="AI127" s="64" t="s" ph="1">
        <v>562</v>
      </c>
      <c r="AJ127" s="64" t="s" ph="1">
        <v>630</v>
      </c>
      <c r="AK127" s="64" t="s" ph="1">
        <v>640</v>
      </c>
      <c r="AY127" s="64" t="s" ph="1">
        <v>257</v>
      </c>
      <c r="AZ127" s="64" t="s" ph="1">
        <v>640</v>
      </c>
    </row>
    <row r="128" spans="33:52" ph="1">
      <c r="AH128" s="64" ph="1">
        <v>8</v>
      </c>
      <c r="AI128" s="64" t="s" ph="1">
        <v>563</v>
      </c>
      <c r="AY128" s="64" t="s" ph="1">
        <v>257</v>
      </c>
      <c r="AZ128" s="64" t="s" ph="1">
        <v>408</v>
      </c>
    </row>
    <row r="129" spans="33:52" ph="1">
      <c r="AH129" s="64" ph="1">
        <v>9</v>
      </c>
      <c r="AI129" s="64" t="s" ph="1">
        <v>564</v>
      </c>
      <c r="AY129" s="64" t="s" ph="1">
        <v>257</v>
      </c>
      <c r="AZ129" s="64" t="s" ph="1">
        <v>408</v>
      </c>
    </row>
    <row r="130" spans="33:52" ph="1">
      <c r="AH130" s="64" ph="1">
        <v>10</v>
      </c>
      <c r="AI130" s="64" t="s" ph="1">
        <v>565</v>
      </c>
      <c r="AY130" s="64" t="s" ph="1">
        <v>257</v>
      </c>
      <c r="AZ130" s="64" t="s" ph="1">
        <v>408</v>
      </c>
    </row>
    <row r="131" spans="33:52" ph="1">
      <c r="AH131" s="64" ph="1">
        <v>11</v>
      </c>
      <c r="AI131" s="64" t="s" ph="1">
        <v>566</v>
      </c>
      <c r="AJ131" s="64" t="s" ph="1">
        <v>624</v>
      </c>
      <c r="AK131" s="64" t="s" ph="1">
        <v>620</v>
      </c>
      <c r="AY131" s="64" t="s" ph="1">
        <v>257</v>
      </c>
      <c r="AZ131" s="64" t="s" ph="1">
        <v>620</v>
      </c>
    </row>
    <row r="132" spans="33:52" ph="1">
      <c r="AH132" s="64" ph="1">
        <v>12</v>
      </c>
      <c r="AI132" s="64" t="s" ph="1">
        <v>567</v>
      </c>
      <c r="AJ132" s="64" t="s" ph="1">
        <v>624</v>
      </c>
      <c r="AK132" s="64" t="s" ph="1">
        <v>559</v>
      </c>
      <c r="AY132" s="64" t="s" ph="1">
        <v>257</v>
      </c>
      <c r="AZ132" s="64" t="s" ph="1">
        <v>559</v>
      </c>
    </row>
    <row r="133" spans="33:52" ph="1">
      <c r="AH133" s="64" ph="1">
        <v>13</v>
      </c>
      <c r="AI133" s="64" t="s" ph="1">
        <v>568</v>
      </c>
      <c r="AJ133" s="64" t="s" ph="1">
        <v>624</v>
      </c>
      <c r="AK133" s="64" t="s" ph="1">
        <v>625</v>
      </c>
      <c r="AY133" s="64" t="s" ph="1">
        <v>257</v>
      </c>
      <c r="AZ133" s="64" t="s" ph="1">
        <v>625</v>
      </c>
    </row>
    <row r="134" spans="33:52" ph="1">
      <c r="AH134" s="64" ph="1">
        <v>14</v>
      </c>
      <c r="AI134" s="64" t="s" ph="1">
        <v>569</v>
      </c>
      <c r="AJ134" s="64" t="s" ph="1">
        <v>624</v>
      </c>
      <c r="AK134" s="64" t="s" ph="1">
        <v>626</v>
      </c>
      <c r="AY134" s="64" t="s" ph="1">
        <v>257</v>
      </c>
      <c r="AZ134" s="64" t="s" ph="1">
        <v>626</v>
      </c>
    </row>
    <row r="135" spans="33:52" ph="1">
      <c r="AH135" s="64" ph="1">
        <v>15</v>
      </c>
      <c r="AI135" s="64" t="s" ph="1">
        <v>570</v>
      </c>
      <c r="AJ135" s="64" t="s" ph="1">
        <v>624</v>
      </c>
      <c r="AK135" s="64" t="s" ph="1">
        <v>627</v>
      </c>
      <c r="AY135" s="64" t="s" ph="1">
        <v>257</v>
      </c>
      <c r="AZ135" s="64" t="s" ph="1">
        <v>627</v>
      </c>
    </row>
    <row r="136" spans="33:52" ph="1">
      <c r="AZ136" s="64" t="s" ph="1">
        <v>641</v>
      </c>
    </row>
    <row r="137" spans="33:52" ph="1">
      <c r="AG137" s="64" t="s" ph="1">
        <v>331</v>
      </c>
      <c r="AI137" s="64" t="s" ph="1">
        <v>250</v>
      </c>
      <c r="AJ137" s="64" t="s" ph="1">
        <v>251</v>
      </c>
      <c r="AK137" s="64" t="s" ph="1">
        <v>252</v>
      </c>
      <c r="AM137" s="64" t="s" ph="1">
        <v>251</v>
      </c>
      <c r="AN137" s="64" t="s" ph="1">
        <v>252</v>
      </c>
      <c r="AO137" s="64" t="s" ph="1">
        <v>253</v>
      </c>
      <c r="AP137" s="64" t="s" ph="1">
        <v>251</v>
      </c>
      <c r="AQ137" s="64" t="s" ph="1">
        <v>252</v>
      </c>
      <c r="AR137" s="64" t="s" ph="1">
        <v>253</v>
      </c>
      <c r="AS137" s="64" t="s" ph="1">
        <v>251</v>
      </c>
      <c r="AT137" s="64" t="s" ph="1">
        <v>252</v>
      </c>
      <c r="AU137" s="64" t="s" ph="1">
        <v>253</v>
      </c>
      <c r="AV137" s="64" t="s" ph="1">
        <v>251</v>
      </c>
      <c r="AW137" s="64" t="s" ph="1">
        <v>252</v>
      </c>
      <c r="AX137" s="64" t="s" ph="1">
        <v>253</v>
      </c>
      <c r="AY137" s="64" t="s" ph="1">
        <v>252</v>
      </c>
      <c r="AZ137" s="64" t="s" ph="1">
        <v>254</v>
      </c>
    </row>
    <row r="138" spans="33:52" ph="1">
      <c r="AH138" s="64" ph="1">
        <v>1</v>
      </c>
      <c r="AI138" s="64" t="s" ph="1">
        <v>571</v>
      </c>
      <c r="AJ138" s="64" t="s" ph="1">
        <v>572</v>
      </c>
      <c r="AK138" s="64" t="s" ph="1">
        <v>573</v>
      </c>
      <c r="AY138" s="64" t="s" ph="1">
        <v>257</v>
      </c>
      <c r="AZ138" s="64" t="s" ph="1">
        <v>573</v>
      </c>
    </row>
    <row r="139" spans="33:52" ph="1">
      <c r="AH139" s="64" ph="1">
        <v>2</v>
      </c>
      <c r="AI139" s="64" t="s" ph="1">
        <v>574</v>
      </c>
      <c r="AJ139" s="64" t="s" ph="1">
        <v>630</v>
      </c>
      <c r="AK139" s="64" t="s" ph="1">
        <v>642</v>
      </c>
      <c r="AY139" s="64" t="s" ph="1">
        <v>257</v>
      </c>
      <c r="AZ139" s="64" t="s" ph="1">
        <v>642</v>
      </c>
    </row>
    <row r="140" spans="33:52" ph="1">
      <c r="AH140" s="64" ph="1">
        <v>3</v>
      </c>
      <c r="AI140" s="64" t="s" ph="1">
        <v>575</v>
      </c>
      <c r="AJ140" s="64" t="s" ph="1">
        <v>528</v>
      </c>
      <c r="AK140" s="64" t="s" ph="1">
        <v>340</v>
      </c>
      <c r="AM140" s="64" t="s" ph="1">
        <v>529</v>
      </c>
      <c r="AN140" s="64" t="s" ph="1">
        <v>260</v>
      </c>
      <c r="AO140" s="64" t="s" ph="1">
        <v>576</v>
      </c>
      <c r="AP140" s="64" t="s" ph="1">
        <v>530</v>
      </c>
      <c r="AQ140" s="64" t="s" ph="1">
        <v>277</v>
      </c>
      <c r="AR140" s="64" t="s" ph="1">
        <v>576</v>
      </c>
      <c r="AS140" s="64" t="s" ph="1">
        <v>531</v>
      </c>
      <c r="AT140" s="64" t="s" ph="1">
        <v>270</v>
      </c>
      <c r="AU140" s="64" t="s" ph="1">
        <v>576</v>
      </c>
      <c r="AV140" s="64" t="s" ph="1">
        <v>532</v>
      </c>
      <c r="AW140" s="64" t="s" ph="1">
        <v>263</v>
      </c>
      <c r="AX140" s="64" t="s" ph="1">
        <v>576</v>
      </c>
      <c r="AY140" s="64" t="s" ph="1">
        <v>257</v>
      </c>
      <c r="AZ140" s="64" t="s" ph="1">
        <v>332</v>
      </c>
    </row>
    <row r="141" spans="33:52" ph="1">
      <c r="AJ141" s="64" t="s" ph="1">
        <v>534</v>
      </c>
      <c r="AK141" s="64" t="s" ph="1">
        <v>263</v>
      </c>
      <c r="AM141" s="64" t="s" ph="1">
        <v>535</v>
      </c>
      <c r="AN141" s="64" t="s" ph="1">
        <v>266</v>
      </c>
      <c r="AO141" s="64" t="s" ph="1">
        <v>576</v>
      </c>
      <c r="AP141" s="64" t="s" ph="1">
        <v>547</v>
      </c>
      <c r="AQ141" s="64" t="s" ph="1">
        <v>335</v>
      </c>
      <c r="AR141" s="64" t="s" ph="1">
        <v>576</v>
      </c>
      <c r="AS141" s="64" t="s" ph="1">
        <v>539</v>
      </c>
      <c r="AT141" s="64" t="s" ph="1">
        <v>263</v>
      </c>
      <c r="AU141" s="64" t="s" ph="1">
        <v>576</v>
      </c>
      <c r="AV141" s="64" t="s" ph="1">
        <v>375</v>
      </c>
      <c r="AW141" s="64" t="s" ph="1">
        <v>269</v>
      </c>
      <c r="AX141" s="64" t="s" ph="1">
        <v>576</v>
      </c>
    </row>
    <row r="142" spans="33:52" ph="1">
      <c r="AJ142" s="64" t="s" ph="1">
        <v>577</v>
      </c>
      <c r="AK142" s="64" t="s" ph="1">
        <v>280</v>
      </c>
    </row>
    <row r="143" spans="33:52" ph="1">
      <c r="AH143" s="64" ph="1">
        <v>4</v>
      </c>
      <c r="AI143" s="64" t="s" ph="1">
        <v>578</v>
      </c>
      <c r="AJ143" s="64" t="s" ph="1">
        <v>558</v>
      </c>
      <c r="AK143" s="64" t="s" ph="1">
        <v>579</v>
      </c>
      <c r="AY143" s="64" t="s" ph="1">
        <v>257</v>
      </c>
      <c r="AZ143" s="64" t="s" ph="1">
        <v>579</v>
      </c>
    </row>
    <row r="144" spans="33:52" ph="1">
      <c r="AH144" s="64" ph="1">
        <v>5</v>
      </c>
      <c r="AI144" s="64" t="s" ph="1">
        <v>580</v>
      </c>
      <c r="AY144" s="64" t="s" ph="1">
        <v>257</v>
      </c>
      <c r="AZ144" s="64" t="s" ph="1">
        <v>408</v>
      </c>
    </row>
    <row r="145" spans="33:52" ph="1">
      <c r="AH145" s="64" ph="1">
        <v>6</v>
      </c>
      <c r="AI145" s="64" t="s" ph="1">
        <v>581</v>
      </c>
      <c r="AY145" s="64" t="s" ph="1">
        <v>257</v>
      </c>
      <c r="AZ145" s="64" t="s" ph="1">
        <v>408</v>
      </c>
    </row>
    <row r="146" spans="33:52" ph="1">
      <c r="AH146" s="64" ph="1">
        <v>7</v>
      </c>
      <c r="AI146" s="64" t="s" ph="1">
        <v>582</v>
      </c>
      <c r="AY146" s="64" t="s" ph="1">
        <v>257</v>
      </c>
      <c r="AZ146" s="64" t="s" ph="1">
        <v>408</v>
      </c>
    </row>
    <row r="147" spans="33:52" ph="1">
      <c r="AH147" s="64" ph="1">
        <v>8</v>
      </c>
      <c r="AI147" s="64" t="s" ph="1">
        <v>583</v>
      </c>
      <c r="AY147" s="64" t="s" ph="1">
        <v>257</v>
      </c>
      <c r="AZ147" s="64" t="s" ph="1">
        <v>408</v>
      </c>
    </row>
    <row r="148" spans="33:52" ph="1">
      <c r="AH148" s="64" ph="1">
        <v>9</v>
      </c>
      <c r="AI148" s="64" t="s" ph="1">
        <v>584</v>
      </c>
      <c r="AY148" s="64" t="s" ph="1">
        <v>257</v>
      </c>
      <c r="AZ148" s="64" t="s" ph="1">
        <v>408</v>
      </c>
    </row>
    <row r="149" spans="33:52" ph="1">
      <c r="AH149" s="64" ph="1">
        <v>10</v>
      </c>
      <c r="AI149" s="64" t="s" ph="1">
        <v>585</v>
      </c>
      <c r="AY149" s="64" t="s" ph="1">
        <v>257</v>
      </c>
      <c r="AZ149" s="64" t="s" ph="1">
        <v>408</v>
      </c>
    </row>
    <row r="150" spans="33:52" ph="1">
      <c r="AH150" s="64" ph="1">
        <v>11</v>
      </c>
      <c r="AI150" s="64" t="s" ph="1">
        <v>586</v>
      </c>
      <c r="AY150" s="64" t="s" ph="1">
        <v>257</v>
      </c>
      <c r="AZ150" s="64" t="s" ph="1">
        <v>408</v>
      </c>
    </row>
    <row r="151" spans="33:52" ph="1">
      <c r="AH151" s="64" ph="1">
        <v>12</v>
      </c>
      <c r="AI151" s="64" t="s" ph="1">
        <v>587</v>
      </c>
      <c r="AY151" s="64" t="s" ph="1">
        <v>257</v>
      </c>
      <c r="AZ151" s="64" t="s" ph="1">
        <v>408</v>
      </c>
    </row>
    <row r="152" spans="33:52" ph="1">
      <c r="AH152" s="64" ph="1">
        <v>13</v>
      </c>
      <c r="AI152" s="64" t="s" ph="1">
        <v>588</v>
      </c>
      <c r="AY152" s="64" t="s" ph="1">
        <v>257</v>
      </c>
      <c r="AZ152" s="64" t="s" ph="1">
        <v>408</v>
      </c>
    </row>
    <row r="153" spans="33:52" ph="1">
      <c r="AH153" s="64" ph="1">
        <v>14</v>
      </c>
      <c r="AI153" s="64" t="s" ph="1">
        <v>589</v>
      </c>
      <c r="AY153" s="64" t="s" ph="1">
        <v>257</v>
      </c>
      <c r="AZ153" s="64" t="s" ph="1">
        <v>408</v>
      </c>
    </row>
    <row r="154" spans="33:52" ph="1">
      <c r="AH154" s="64" ph="1">
        <v>15</v>
      </c>
      <c r="AI154" s="64" t="s" ph="1">
        <v>590</v>
      </c>
      <c r="AY154" s="64" t="s" ph="1">
        <v>257</v>
      </c>
      <c r="AZ154" s="64" t="s" ph="1">
        <v>408</v>
      </c>
    </row>
    <row r="155" spans="33:52" ph="1">
      <c r="AH155" s="64" ph="1">
        <v>16</v>
      </c>
      <c r="AI155" s="64" t="s" ph="1">
        <v>591</v>
      </c>
      <c r="AJ155" s="64" t="s" ph="1">
        <v>377</v>
      </c>
      <c r="AK155" s="64" t="s" ph="1">
        <v>272</v>
      </c>
      <c r="AM155" s="64" t="s" ph="1">
        <v>611</v>
      </c>
      <c r="AN155" s="64" t="s" ph="1">
        <v>323</v>
      </c>
      <c r="AO155" s="64" t="s" ph="1">
        <v>576</v>
      </c>
      <c r="AY155" s="64" t="s" ph="1">
        <v>257</v>
      </c>
      <c r="AZ155" s="64" t="s" ph="1">
        <v>264</v>
      </c>
    </row>
    <row r="156" spans="33:52" ph="1">
      <c r="AZ156" s="64" t="s" ph="1">
        <v>643</v>
      </c>
    </row>
    <row r="157" spans="33:52" ph="1">
      <c r="AG157" s="64" t="s" ph="1">
        <v>592</v>
      </c>
      <c r="AI157" s="64" t="s" ph="1">
        <v>250</v>
      </c>
      <c r="AJ157" s="64" t="s" ph="1">
        <v>251</v>
      </c>
      <c r="AK157" s="64" t="s" ph="1">
        <v>252</v>
      </c>
      <c r="AM157" s="64" t="s" ph="1">
        <v>251</v>
      </c>
      <c r="AN157" s="64" t="s" ph="1">
        <v>252</v>
      </c>
      <c r="AO157" s="64" t="s" ph="1">
        <v>253</v>
      </c>
      <c r="AP157" s="64" t="s" ph="1">
        <v>251</v>
      </c>
      <c r="AQ157" s="64" t="s" ph="1">
        <v>252</v>
      </c>
      <c r="AR157" s="64" t="s" ph="1">
        <v>253</v>
      </c>
      <c r="AS157" s="64" t="s" ph="1">
        <v>251</v>
      </c>
      <c r="AT157" s="64" t="s" ph="1">
        <v>252</v>
      </c>
      <c r="AU157" s="64" t="s" ph="1">
        <v>253</v>
      </c>
      <c r="AV157" s="64" t="s" ph="1">
        <v>251</v>
      </c>
      <c r="AW157" s="64" t="s" ph="1">
        <v>252</v>
      </c>
      <c r="AX157" s="64" t="s" ph="1">
        <v>253</v>
      </c>
      <c r="AY157" s="64" t="s" ph="1">
        <v>252</v>
      </c>
      <c r="AZ157" s="64" t="s" ph="1">
        <v>254</v>
      </c>
    </row>
    <row r="158" spans="33:52" ph="1">
      <c r="AH158" s="64" ph="1">
        <v>1</v>
      </c>
      <c r="AI158" s="64" t="s" ph="1">
        <v>593</v>
      </c>
      <c r="AY158" s="64" t="s" ph="1">
        <v>257</v>
      </c>
      <c r="AZ158" s="64" t="s" ph="1">
        <v>408</v>
      </c>
    </row>
    <row r="159" spans="33:52" ph="1">
      <c r="AH159" s="64" ph="1">
        <v>2</v>
      </c>
      <c r="AI159" s="64" t="s" ph="1">
        <v>594</v>
      </c>
      <c r="AY159" s="64" t="s" ph="1">
        <v>257</v>
      </c>
      <c r="AZ159" s="64" t="s" ph="1">
        <v>408</v>
      </c>
    </row>
    <row r="160" spans="33:52" ph="1">
      <c r="AZ160" s="64" t="s" ph="1">
        <v>426</v>
      </c>
    </row>
    <row r="161" spans="33:52" ph="1">
      <c r="AG161" s="64" t="s" ph="1">
        <v>402</v>
      </c>
      <c r="AI161" s="64" t="s" ph="1">
        <v>250</v>
      </c>
      <c r="AJ161" s="64" t="s" ph="1">
        <v>251</v>
      </c>
      <c r="AK161" s="64" t="s" ph="1">
        <v>252</v>
      </c>
      <c r="AM161" s="64" t="s" ph="1">
        <v>251</v>
      </c>
      <c r="AN161" s="64" t="s" ph="1">
        <v>252</v>
      </c>
      <c r="AO161" s="64" t="s" ph="1">
        <v>253</v>
      </c>
      <c r="AP161" s="64" t="s" ph="1">
        <v>251</v>
      </c>
      <c r="AQ161" s="64" t="s" ph="1">
        <v>252</v>
      </c>
      <c r="AR161" s="64" t="s" ph="1">
        <v>253</v>
      </c>
      <c r="AS161" s="64" t="s" ph="1">
        <v>251</v>
      </c>
      <c r="AT161" s="64" t="s" ph="1">
        <v>252</v>
      </c>
      <c r="AU161" s="64" t="s" ph="1">
        <v>253</v>
      </c>
      <c r="AV161" s="64" t="s" ph="1">
        <v>251</v>
      </c>
      <c r="AW161" s="64" t="s" ph="1">
        <v>252</v>
      </c>
      <c r="AX161" s="64" t="s" ph="1">
        <v>253</v>
      </c>
      <c r="AY161" s="64" t="s" ph="1">
        <v>252</v>
      </c>
      <c r="AZ161" s="64" t="s" ph="1">
        <v>254</v>
      </c>
    </row>
    <row r="162" spans="33:52" ph="1">
      <c r="AH162" s="64" ph="1">
        <v>1</v>
      </c>
      <c r="AI162" s="64" t="s" ph="1">
        <v>595</v>
      </c>
      <c r="AJ162" s="64" t="s" ph="1">
        <v>596</v>
      </c>
      <c r="AK162" s="64" t="s" ph="1">
        <v>540</v>
      </c>
      <c r="AM162" s="64" t="s" ph="1">
        <v>597</v>
      </c>
      <c r="AN162" s="64" t="s" ph="1">
        <v>261</v>
      </c>
      <c r="AO162" s="64" t="s" ph="1">
        <v>598</v>
      </c>
      <c r="AY162" s="64" t="s" ph="1">
        <v>257</v>
      </c>
      <c r="AZ162" s="64" t="s" ph="1">
        <v>333</v>
      </c>
    </row>
    <row r="163" spans="33:52" ph="1">
      <c r="AH163" s="64" ph="1">
        <v>2</v>
      </c>
      <c r="AI163" s="64" t="s" ph="1">
        <v>599</v>
      </c>
      <c r="AJ163" s="64" t="s" ph="1">
        <v>596</v>
      </c>
      <c r="AK163" s="64" t="s" ph="1">
        <v>429</v>
      </c>
      <c r="AY163" s="64" t="s" ph="1">
        <v>257</v>
      </c>
      <c r="AZ163" s="64" t="s" ph="1">
        <v>429</v>
      </c>
    </row>
    <row r="164" spans="33:52" ph="1">
      <c r="AH164" s="64" ph="1">
        <v>3</v>
      </c>
      <c r="AI164" s="64" t="s" ph="1">
        <v>600</v>
      </c>
      <c r="AJ164" s="64" t="s" ph="1">
        <v>596</v>
      </c>
      <c r="AK164" s="64" t="s" ph="1">
        <v>333</v>
      </c>
      <c r="AY164" s="64" t="s" ph="1">
        <v>257</v>
      </c>
      <c r="AZ164" s="64" t="s" ph="1">
        <v>333</v>
      </c>
    </row>
    <row r="165" spans="33:52" ph="1">
      <c r="AH165" s="64" ph="1">
        <v>4</v>
      </c>
      <c r="AI165" s="64" t="s" ph="1">
        <v>601</v>
      </c>
      <c r="AY165" s="64" t="s" ph="1">
        <v>257</v>
      </c>
      <c r="AZ165" s="64" t="s" ph="1">
        <v>408</v>
      </c>
    </row>
    <row r="166" spans="33:52" ph="1">
      <c r="AH166" s="64" ph="1">
        <v>5</v>
      </c>
      <c r="AI166" s="64" t="s" ph="1">
        <v>602</v>
      </c>
      <c r="AY166" s="64" t="s" ph="1">
        <v>257</v>
      </c>
      <c r="AZ166" s="64" t="s" ph="1">
        <v>408</v>
      </c>
    </row>
    <row r="167" spans="33:52" ph="1">
      <c r="AZ167" s="64" t="s" ph="1">
        <v>603</v>
      </c>
    </row>
    <row r="168" spans="33:52" ph="1">
      <c r="AG168" s="64" t="s" ph="1">
        <v>346</v>
      </c>
      <c r="AI168" s="64" t="s" ph="1">
        <v>250</v>
      </c>
      <c r="AJ168" s="64" t="s" ph="1">
        <v>251</v>
      </c>
      <c r="AK168" s="64" t="s" ph="1">
        <v>252</v>
      </c>
      <c r="AM168" s="64" t="s" ph="1">
        <v>251</v>
      </c>
      <c r="AN168" s="64" t="s" ph="1">
        <v>252</v>
      </c>
      <c r="AO168" s="64" t="s" ph="1">
        <v>253</v>
      </c>
      <c r="AP168" s="64" t="s" ph="1">
        <v>251</v>
      </c>
      <c r="AQ168" s="64" t="s" ph="1">
        <v>252</v>
      </c>
      <c r="AR168" s="64" t="s" ph="1">
        <v>253</v>
      </c>
      <c r="AS168" s="64" t="s" ph="1">
        <v>251</v>
      </c>
      <c r="AT168" s="64" t="s" ph="1">
        <v>252</v>
      </c>
      <c r="AU168" s="64" t="s" ph="1">
        <v>253</v>
      </c>
      <c r="AV168" s="64" t="s" ph="1">
        <v>251</v>
      </c>
      <c r="AW168" s="64" t="s" ph="1">
        <v>252</v>
      </c>
      <c r="AX168" s="64" t="s" ph="1">
        <v>253</v>
      </c>
      <c r="AY168" s="64" t="s" ph="1">
        <v>252</v>
      </c>
      <c r="AZ168" s="64" t="s" ph="1">
        <v>254</v>
      </c>
    </row>
    <row r="169" spans="33:52" ph="1">
      <c r="AH169" s="64" ph="1">
        <v>1</v>
      </c>
      <c r="AI169" s="64" t="s" ph="1">
        <v>604</v>
      </c>
      <c r="AY169" s="64" t="s" ph="1">
        <v>257</v>
      </c>
      <c r="AZ169" s="64" t="s" ph="1">
        <v>408</v>
      </c>
    </row>
    <row r="170" spans="33:52" ph="1">
      <c r="AH170" s="64" ph="1">
        <v>2</v>
      </c>
      <c r="AI170" s="64" t="s" ph="1">
        <v>605</v>
      </c>
      <c r="AY170" s="64" t="s" ph="1">
        <v>257</v>
      </c>
      <c r="AZ170" s="64" t="s" ph="1">
        <v>408</v>
      </c>
    </row>
    <row r="171" spans="33:52" ph="1">
      <c r="AH171" s="64" ph="1">
        <v>3</v>
      </c>
      <c r="AI171" s="64" t="s" ph="1">
        <v>606</v>
      </c>
      <c r="AY171" s="64" t="s" ph="1">
        <v>257</v>
      </c>
      <c r="AZ171" s="64" t="s" ph="1">
        <v>408</v>
      </c>
    </row>
    <row r="172" spans="33:52" ph="1">
      <c r="AH172" s="64" ph="1">
        <v>4</v>
      </c>
      <c r="AI172" s="64" t="s" ph="1">
        <v>607</v>
      </c>
      <c r="AY172" s="64" t="s" ph="1">
        <v>257</v>
      </c>
      <c r="AZ172" s="64" t="s" ph="1">
        <v>408</v>
      </c>
    </row>
    <row r="173" spans="33:52" ph="1">
      <c r="AH173" s="64" ph="1">
        <v>5</v>
      </c>
      <c r="AI173" s="64" t="s" ph="1">
        <v>608</v>
      </c>
      <c r="AY173" s="64" t="s" ph="1">
        <v>257</v>
      </c>
      <c r="AZ173" s="64" t="s" ph="1">
        <v>408</v>
      </c>
    </row>
    <row r="174" spans="33:52" ph="1">
      <c r="AZ174" s="64" t="s" ph="1">
        <v>426</v>
      </c>
    </row>
    <row r="175" spans="33:52" ph="1">
      <c r="AJ175" s="64" t="s" ph="1">
        <v>347</v>
      </c>
    </row>
    <row r="176" spans="33:52" ph="1">
      <c r="AJ176" s="64" t="s" ph="1">
        <v>348</v>
      </c>
      <c r="AK176" s="64" t="s" ph="1">
        <v>349</v>
      </c>
      <c r="AM176" s="64" t="s" ph="1">
        <v>350</v>
      </c>
      <c r="AO176" s="64" t="s" ph="1">
        <v>351</v>
      </c>
      <c r="AP176" s="64" t="s" ph="1">
        <v>352</v>
      </c>
      <c r="AQ176" s="64" t="s" ph="1">
        <v>342</v>
      </c>
      <c r="AR176" s="64" t="s" ph="1">
        <v>262</v>
      </c>
    </row>
    <row r="177" spans="36:56" ph="1">
      <c r="AJ177" s="64" t="s" ph="1">
        <v>644</v>
      </c>
      <c r="AK177" s="64" t="s" ph="1">
        <v>353</v>
      </c>
      <c r="AO177" s="64" t="s" ph="1">
        <v>353</v>
      </c>
      <c r="AP177" s="64" t="s" ph="1">
        <v>353</v>
      </c>
      <c r="AQ177" s="64" t="s" ph="1">
        <v>354</v>
      </c>
      <c r="AR177" s="64" t="s" ph="1">
        <v>355</v>
      </c>
    </row>
    <row r="179" spans="36:56" ph="1">
      <c r="AJ179" s="64" t="s" ph="1">
        <v>356</v>
      </c>
      <c r="AK179" s="64" t="s" ph="1">
        <v>357</v>
      </c>
      <c r="AM179" s="64" t="s" ph="1">
        <v>358</v>
      </c>
      <c r="AN179" s="64" t="s" ph="1">
        <v>334</v>
      </c>
      <c r="AO179" s="64" t="s" ph="1">
        <v>359</v>
      </c>
      <c r="AP179" s="64" t="s" ph="1">
        <v>338</v>
      </c>
      <c r="AQ179" s="64" t="s" ph="1">
        <v>360</v>
      </c>
      <c r="AR179" s="64" t="s" ph="1">
        <v>361</v>
      </c>
    </row>
    <row r="180" spans="36:56" ph="1">
      <c r="AJ180" s="64" t="s" ph="1">
        <v>353</v>
      </c>
      <c r="AK180" s="64" t="s" ph="1">
        <v>353</v>
      </c>
      <c r="AL180" s="64" ph="1">
        <v>116</v>
      </c>
      <c r="AM180" s="64" t="s" ph="1">
        <v>353</v>
      </c>
      <c r="AN180" s="64" t="s" ph="1">
        <v>362</v>
      </c>
      <c r="AO180" s="64" t="s" ph="1">
        <v>353</v>
      </c>
      <c r="AP180" s="64" t="s" ph="1">
        <v>363</v>
      </c>
      <c r="AQ180" s="64" t="s" ph="1">
        <v>364</v>
      </c>
      <c r="AR180" s="64" t="s" ph="1">
        <v>365</v>
      </c>
    </row>
    <row r="189" spans="36:56" ph="1">
      <c r="BD189" s="64" t="s" ph="1">
        <v>609</v>
      </c>
    </row>
    <row r="223" spans="18:18" ph="1">
      <c r="R223" s="138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763" priority="96">
      <formula>ABS(D$7-D$10)&gt;=1000</formula>
    </cfRule>
  </conditionalFormatting>
  <conditionalFormatting sqref="E4 E6:E11">
    <cfRule type="expression" dxfId="1762" priority="95">
      <formula>ABS(E$7-E$10)&gt;=1000</formula>
    </cfRule>
  </conditionalFormatting>
  <conditionalFormatting sqref="F4:F11">
    <cfRule type="expression" dxfId="1761" priority="94">
      <formula>ABS(F$7-F$10)&gt;=1000</formula>
    </cfRule>
  </conditionalFormatting>
  <conditionalFormatting sqref="G4:G11">
    <cfRule type="expression" dxfId="1760" priority="93">
      <formula>ABS(G$7-G$10)&gt;=1000</formula>
    </cfRule>
  </conditionalFormatting>
  <conditionalFormatting sqref="H4:H11">
    <cfRule type="expression" dxfId="1759" priority="92">
      <formula>ABS(H$7-H$10)&gt;=1000</formula>
    </cfRule>
  </conditionalFormatting>
  <conditionalFormatting sqref="I4:I11">
    <cfRule type="expression" dxfId="1758" priority="91">
      <formula>ABS(I$7-I$10)&gt;=1000</formula>
    </cfRule>
  </conditionalFormatting>
  <conditionalFormatting sqref="J4:J11">
    <cfRule type="expression" dxfId="1757" priority="90">
      <formula>ABS(J$7-J$10)&gt;=1000</formula>
    </cfRule>
  </conditionalFormatting>
  <conditionalFormatting sqref="K4:K11">
    <cfRule type="expression" dxfId="1756" priority="89">
      <formula>ABS(K$7-K$10)&gt;=1000</formula>
    </cfRule>
  </conditionalFormatting>
  <conditionalFormatting sqref="L4:L11">
    <cfRule type="expression" dxfId="1755" priority="88">
      <formula>ABS(L$7-L$10)&gt;=1000</formula>
    </cfRule>
  </conditionalFormatting>
  <conditionalFormatting sqref="M4 M6:M11">
    <cfRule type="expression" dxfId="1754" priority="87">
      <formula>ABS(M$7-M$10)&gt;=1000</formula>
    </cfRule>
  </conditionalFormatting>
  <conditionalFormatting sqref="N4 N6:N11">
    <cfRule type="expression" dxfId="1753" priority="86">
      <formula>ABS(N$7-N$10)&gt;=1000</formula>
    </cfRule>
  </conditionalFormatting>
  <conditionalFormatting sqref="O4 O6:O11">
    <cfRule type="expression" dxfId="1752" priority="85">
      <formula>ABS(O$7-O$10)&gt;=1000</formula>
    </cfRule>
  </conditionalFormatting>
  <conditionalFormatting sqref="P4 P6:P11">
    <cfRule type="expression" dxfId="1751" priority="84">
      <formula>ABS(P$7-P$10)&gt;=1000</formula>
    </cfRule>
  </conditionalFormatting>
  <conditionalFormatting sqref="Q4:Q11">
    <cfRule type="expression" dxfId="1750" priority="83">
      <formula>ABS(Q$7-Q$10)&gt;=1000</formula>
    </cfRule>
  </conditionalFormatting>
  <conditionalFormatting sqref="R4:R11">
    <cfRule type="expression" dxfId="1749" priority="82">
      <formula>ABS(R$7-R$10)&gt;=1000</formula>
    </cfRule>
  </conditionalFormatting>
  <conditionalFormatting sqref="S4:S11">
    <cfRule type="expression" dxfId="1748" priority="81">
      <formula>ABS(S$7-S$10)&gt;=1000</formula>
    </cfRule>
  </conditionalFormatting>
  <conditionalFormatting sqref="T4:T9 T11">
    <cfRule type="expression" dxfId="1747" priority="80">
      <formula>ABS(T$7-T$10)&gt;=1000</formula>
    </cfRule>
  </conditionalFormatting>
  <conditionalFormatting sqref="U4:U9 U11">
    <cfRule type="expression" dxfId="1746" priority="79">
      <formula>ABS(U$7-U$10)&gt;=1000</formula>
    </cfRule>
  </conditionalFormatting>
  <conditionalFormatting sqref="V4:V9 V11">
    <cfRule type="expression" dxfId="1745" priority="78">
      <formula>ABS(V$7-V$10)&gt;=1000</formula>
    </cfRule>
  </conditionalFormatting>
  <conditionalFormatting sqref="W4:W9 W11">
    <cfRule type="expression" dxfId="1744" priority="77">
      <formula>ABS(W$7-W$10)&gt;=1000</formula>
    </cfRule>
  </conditionalFormatting>
  <conditionalFormatting sqref="X4:X9 X11">
    <cfRule type="expression" dxfId="1743" priority="76">
      <formula>ABS(X$7-X$10)&gt;=1000</formula>
    </cfRule>
  </conditionalFormatting>
  <conditionalFormatting sqref="Y4:Y9 Y11">
    <cfRule type="expression" dxfId="1742" priority="75">
      <formula>ABS(Y$7-Y$10)&gt;=1000</formula>
    </cfRule>
  </conditionalFormatting>
  <conditionalFormatting sqref="Z4:Z11">
    <cfRule type="expression" dxfId="1741" priority="74">
      <formula>ABS(Z$7-Z$10)&gt;=1000</formula>
    </cfRule>
  </conditionalFormatting>
  <conditionalFormatting sqref="AA4:AA11">
    <cfRule type="expression" dxfId="1740" priority="73">
      <formula>ABS(AA$7-AA$10)&gt;=1000</formula>
    </cfRule>
  </conditionalFormatting>
  <conditionalFormatting sqref="AB4:AB11">
    <cfRule type="expression" dxfId="1739" priority="72">
      <formula>ABS(AB$7-AB$10)&gt;=1000</formula>
    </cfRule>
  </conditionalFormatting>
  <conditionalFormatting sqref="AC4 AC6:AC11">
    <cfRule type="expression" dxfId="1738" priority="71">
      <formula>ABS(AC$7-AC$10)&gt;=1000</formula>
    </cfRule>
  </conditionalFormatting>
  <conditionalFormatting sqref="AD4:AD11">
    <cfRule type="expression" dxfId="1737" priority="70">
      <formula>ABS(AD$7-AD$10)&gt;=1000</formula>
    </cfRule>
  </conditionalFormatting>
  <conditionalFormatting sqref="AE4:AE11">
    <cfRule type="expression" dxfId="1736" priority="69">
      <formula>ABS(AE$7-AE$10)&gt;=1000</formula>
    </cfRule>
  </conditionalFormatting>
  <conditionalFormatting sqref="D13:D20">
    <cfRule type="expression" dxfId="1735" priority="68">
      <formula>ABS(D$16-D$19)&gt;=1000</formula>
    </cfRule>
  </conditionalFormatting>
  <conditionalFormatting sqref="E13:E20">
    <cfRule type="expression" dxfId="1734" priority="67">
      <formula>ABS(E$16-E$19)&gt;=1000</formula>
    </cfRule>
  </conditionalFormatting>
  <conditionalFormatting sqref="F13 F15:F20">
    <cfRule type="expression" dxfId="1733" priority="66">
      <formula>ABS(F$16-F$19)&gt;=1000</formula>
    </cfRule>
  </conditionalFormatting>
  <conditionalFormatting sqref="G13:G20">
    <cfRule type="expression" dxfId="1732" priority="65">
      <formula>ABS(G$16-G$19)&gt;=1000</formula>
    </cfRule>
  </conditionalFormatting>
  <conditionalFormatting sqref="H13:H20">
    <cfRule type="expression" dxfId="1731" priority="64">
      <formula>ABS(H$16-H$19)&gt;=1000</formula>
    </cfRule>
  </conditionalFormatting>
  <conditionalFormatting sqref="I13:I20">
    <cfRule type="expression" dxfId="1730" priority="63">
      <formula>ABS(I$16-I$19)&gt;=1000</formula>
    </cfRule>
  </conditionalFormatting>
  <conditionalFormatting sqref="J13:J20">
    <cfRule type="expression" dxfId="1729" priority="62">
      <formula>ABS(J$16-J$19)&gt;=1000</formula>
    </cfRule>
  </conditionalFormatting>
  <conditionalFormatting sqref="L13:L20">
    <cfRule type="expression" dxfId="1728" priority="61">
      <formula>ABS(L$16-L$19)&gt;=1000</formula>
    </cfRule>
  </conditionalFormatting>
  <conditionalFormatting sqref="M13 M15 M17:M18 M20">
    <cfRule type="expression" dxfId="1727" priority="60">
      <formula>ABS(M$16-M$19)&gt;=1000</formula>
    </cfRule>
  </conditionalFormatting>
  <conditionalFormatting sqref="N13:N20">
    <cfRule type="expression" dxfId="1726" priority="59">
      <formula>ABS(N$16-N$19)&gt;=1000</formula>
    </cfRule>
  </conditionalFormatting>
  <conditionalFormatting sqref="O13:O20">
    <cfRule type="expression" dxfId="1725" priority="58">
      <formula>ABS(O$16-O$19)&gt;=1000</formula>
    </cfRule>
  </conditionalFormatting>
  <conditionalFormatting sqref="P13:P20">
    <cfRule type="expression" dxfId="1724" priority="57">
      <formula>ABS(P$16-P$19)&gt;=1000</formula>
    </cfRule>
  </conditionalFormatting>
  <conditionalFormatting sqref="Q13 Q15:Q20">
    <cfRule type="expression" dxfId="1723" priority="56">
      <formula>ABS(Q$16-Q$19)&gt;=1000</formula>
    </cfRule>
  </conditionalFormatting>
  <conditionalFormatting sqref="R13:R20">
    <cfRule type="expression" dxfId="1722" priority="55">
      <formula>ABS(R$16-R$19)&gt;=1000</formula>
    </cfRule>
  </conditionalFormatting>
  <conditionalFormatting sqref="S13:S20">
    <cfRule type="expression" dxfId="1721" priority="54">
      <formula>ABS(S$16-S$19)&gt;=1000</formula>
    </cfRule>
  </conditionalFormatting>
  <conditionalFormatting sqref="T13:T20">
    <cfRule type="expression" dxfId="1720" priority="53">
      <formula>ABS(T$16-T$19)&gt;=1000</formula>
    </cfRule>
  </conditionalFormatting>
  <conditionalFormatting sqref="U13:U20">
    <cfRule type="expression" dxfId="1719" priority="52">
      <formula>ABS(U$16-U$19)&gt;=1000</formula>
    </cfRule>
  </conditionalFormatting>
  <conditionalFormatting sqref="V13:V20">
    <cfRule type="expression" dxfId="1718" priority="51">
      <formula>ABS(V$16-V$19)&gt;=1000</formula>
    </cfRule>
  </conditionalFormatting>
  <conditionalFormatting sqref="W13 W15:W18 W20">
    <cfRule type="expression" dxfId="1717" priority="50">
      <formula>ABS(W$16-W$19)&gt;=1000</formula>
    </cfRule>
  </conditionalFormatting>
  <conditionalFormatting sqref="X13 X15:X20 Y19">
    <cfRule type="expression" dxfId="1716" priority="49">
      <formula>ABS(X$16-X$19)&gt;=1000</formula>
    </cfRule>
  </conditionalFormatting>
  <conditionalFormatting sqref="Y13 Y15:Y18 Y20">
    <cfRule type="expression" dxfId="1715" priority="48">
      <formula>ABS(Y$16-Y$19)&gt;=1000</formula>
    </cfRule>
  </conditionalFormatting>
  <conditionalFormatting sqref="Z13:Z20">
    <cfRule type="expression" dxfId="1714" priority="47">
      <formula>ABS(Z$16-Z$19)&gt;=1000</formula>
    </cfRule>
  </conditionalFormatting>
  <conditionalFormatting sqref="AA13:AA20">
    <cfRule type="expression" dxfId="1713" priority="46">
      <formula>ABS(AA$16-AA$19)&gt;=1000</formula>
    </cfRule>
  </conditionalFormatting>
  <conditionalFormatting sqref="AB13 AB15:AB20">
    <cfRule type="expression" dxfId="1712" priority="45">
      <formula>ABS(AB$16-AB$19)&gt;=1000</formula>
    </cfRule>
  </conditionalFormatting>
  <conditionalFormatting sqref="AC13 AC15:AC20">
    <cfRule type="expression" dxfId="1711" priority="44">
      <formula>ABS(AC$16-AC$19)&gt;=1000</formula>
    </cfRule>
  </conditionalFormatting>
  <conditionalFormatting sqref="AD13:AD20">
    <cfRule type="expression" dxfId="1710" priority="43">
      <formula>ABS(AD$16-AD$19)&gt;=1000</formula>
    </cfRule>
  </conditionalFormatting>
  <conditionalFormatting sqref="AE13:AE20">
    <cfRule type="expression" dxfId="1709" priority="42">
      <formula>ABS(AE$16-AE$19)&gt;=1000</formula>
    </cfRule>
  </conditionalFormatting>
  <conditionalFormatting sqref="D22:D29">
    <cfRule type="expression" dxfId="1708" priority="41">
      <formula>ABS(D$25-D$28)&gt;=1000</formula>
    </cfRule>
  </conditionalFormatting>
  <conditionalFormatting sqref="E22:E29">
    <cfRule type="expression" dxfId="1707" priority="40">
      <formula>ABS(E$25-E$28)&gt;=1000</formula>
    </cfRule>
  </conditionalFormatting>
  <conditionalFormatting sqref="F22:F29">
    <cfRule type="expression" dxfId="1706" priority="39">
      <formula>ABS(F$25-F$28)&gt;=1000</formula>
    </cfRule>
  </conditionalFormatting>
  <conditionalFormatting sqref="G22:G29">
    <cfRule type="expression" dxfId="1705" priority="38">
      <formula>ABS(G$25-G$28)&gt;=1000</formula>
    </cfRule>
  </conditionalFormatting>
  <conditionalFormatting sqref="H22:H29">
    <cfRule type="expression" dxfId="1704" priority="37">
      <formula>ABS(H$25-H$28)&gt;=1000</formula>
    </cfRule>
  </conditionalFormatting>
  <conditionalFormatting sqref="I22 I24:I29">
    <cfRule type="expression" dxfId="1703" priority="36">
      <formula>ABS(I$25-I$28)&gt;=1000</formula>
    </cfRule>
  </conditionalFormatting>
  <conditionalFormatting sqref="J22:J29 K22">
    <cfRule type="expression" dxfId="1702" priority="35">
      <formula>ABS(J$25-J$28)&gt;=1000</formula>
    </cfRule>
  </conditionalFormatting>
  <conditionalFormatting sqref="K23:K29 L25 L28">
    <cfRule type="expression" dxfId="1701" priority="34">
      <formula>ABS(K$25-K$28)&gt;=1000</formula>
    </cfRule>
  </conditionalFormatting>
  <conditionalFormatting sqref="L22:L24 L26:L27 L29">
    <cfRule type="expression" dxfId="1700" priority="33">
      <formula>ABS(L$25-L$28)&gt;=1000</formula>
    </cfRule>
  </conditionalFormatting>
  <conditionalFormatting sqref="M22:M29">
    <cfRule type="expression" dxfId="1699" priority="32">
      <formula>ABS(M$25-M$28)&gt;=1000</formula>
    </cfRule>
  </conditionalFormatting>
  <conditionalFormatting sqref="N22:N29">
    <cfRule type="expression" dxfId="1698" priority="31">
      <formula>ABS(N$25-N$28)&gt;=1000</formula>
    </cfRule>
  </conditionalFormatting>
  <conditionalFormatting sqref="O22:O29">
    <cfRule type="expression" dxfId="1697" priority="30">
      <formula>ABS(O$25-O$28)&gt;=1000</formula>
    </cfRule>
  </conditionalFormatting>
  <conditionalFormatting sqref="P22:P29">
    <cfRule type="expression" dxfId="1696" priority="29">
      <formula>ABS(P$25-P$28)&gt;=1000</formula>
    </cfRule>
  </conditionalFormatting>
  <conditionalFormatting sqref="Q22:Q29">
    <cfRule type="expression" dxfId="1695" priority="28">
      <formula>ABS(Q$25-Q$28)&gt;=1000</formula>
    </cfRule>
  </conditionalFormatting>
  <conditionalFormatting sqref="R22:R29">
    <cfRule type="expression" dxfId="1694" priority="27">
      <formula>ABS(R$25-R$28)&gt;=1000</formula>
    </cfRule>
  </conditionalFormatting>
  <conditionalFormatting sqref="S22:S29">
    <cfRule type="expression" dxfId="1693" priority="26">
      <formula>ABS(S$25-S$28)&gt;=1000</formula>
    </cfRule>
  </conditionalFormatting>
  <conditionalFormatting sqref="T22:T29">
    <cfRule type="expression" dxfId="1692" priority="25">
      <formula>ABS(T$25-T$28)&gt;=1000</formula>
    </cfRule>
  </conditionalFormatting>
  <conditionalFormatting sqref="U22:U29">
    <cfRule type="expression" dxfId="1691" priority="24">
      <formula>ABS(U$25-U$28)&gt;=1000</formula>
    </cfRule>
  </conditionalFormatting>
  <conditionalFormatting sqref="V22:V29">
    <cfRule type="expression" dxfId="1690" priority="23">
      <formula>ABS(V$25-V$28)&gt;=1000</formula>
    </cfRule>
  </conditionalFormatting>
  <conditionalFormatting sqref="W22:W29">
    <cfRule type="expression" dxfId="1689" priority="22">
      <formula>ABS(W$25-W$28)&gt;=1000</formula>
    </cfRule>
  </conditionalFormatting>
  <conditionalFormatting sqref="X22:X29">
    <cfRule type="expression" dxfId="1688" priority="21">
      <formula>ABS(X$25-X$28)&gt;=1000</formula>
    </cfRule>
  </conditionalFormatting>
  <conditionalFormatting sqref="Y22:Y29">
    <cfRule type="expression" dxfId="1687" priority="20">
      <formula>ABS(Y$25-Y$28)&gt;=1000</formula>
    </cfRule>
  </conditionalFormatting>
  <conditionalFormatting sqref="I23">
    <cfRule type="expression" dxfId="1686" priority="19">
      <formula>ABS(I$25-I$28)&gt;=1000</formula>
    </cfRule>
  </conditionalFormatting>
  <conditionalFormatting sqref="F14">
    <cfRule type="expression" dxfId="1685" priority="18">
      <formula>ABS(F$16-F$19)&gt;=1000</formula>
    </cfRule>
  </conditionalFormatting>
  <conditionalFormatting sqref="Q14">
    <cfRule type="expression" dxfId="1684" priority="17">
      <formula>ABS(Q$16-Q$19)&gt;=1000</formula>
    </cfRule>
  </conditionalFormatting>
  <conditionalFormatting sqref="W14">
    <cfRule type="expression" dxfId="1683" priority="16">
      <formula>ABS(W$16-W$19)&gt;=1000</formula>
    </cfRule>
  </conditionalFormatting>
  <conditionalFormatting sqref="Y14">
    <cfRule type="expression" dxfId="1682" priority="15">
      <formula>ABS(Y$16-Y$19)&gt;=1000</formula>
    </cfRule>
  </conditionalFormatting>
  <conditionalFormatting sqref="X14">
    <cfRule type="expression" dxfId="1681" priority="14">
      <formula>ABS(X$16-X$19)&gt;=1000</formula>
    </cfRule>
  </conditionalFormatting>
  <conditionalFormatting sqref="T10:Y10">
    <cfRule type="expression" dxfId="1680" priority="13">
      <formula>ABS(T$7-T$10)&gt;=1000</formula>
    </cfRule>
  </conditionalFormatting>
  <conditionalFormatting sqref="W19">
    <cfRule type="expression" dxfId="1679" priority="12">
      <formula>ABS(W$16-W$19)&gt;=1000</formula>
    </cfRule>
  </conditionalFormatting>
  <conditionalFormatting sqref="AC5">
    <cfRule type="expression" dxfId="1678" priority="11">
      <formula>ABS(AC$7-AC$10)&gt;=1000</formula>
    </cfRule>
  </conditionalFormatting>
  <conditionalFormatting sqref="M14">
    <cfRule type="expression" dxfId="1677" priority="10">
      <formula>ABS(M$16-M$19)&gt;=1000</formula>
    </cfRule>
  </conditionalFormatting>
  <conditionalFormatting sqref="M16">
    <cfRule type="expression" dxfId="1676" priority="9">
      <formula>ABS(M$16-M$19)&gt;=1000</formula>
    </cfRule>
  </conditionalFormatting>
  <conditionalFormatting sqref="M19">
    <cfRule type="expression" dxfId="1675" priority="8">
      <formula>ABS(M$16-M$19)&gt;=1000</formula>
    </cfRule>
  </conditionalFormatting>
  <conditionalFormatting sqref="K13:K20">
    <cfRule type="expression" dxfId="1674" priority="7">
      <formula>ABS(K$16-K$19)&gt;=1000</formula>
    </cfRule>
  </conditionalFormatting>
  <conditionalFormatting sqref="E5">
    <cfRule type="expression" dxfId="1673" priority="6">
      <formula>ABS(E$7-E$10)&gt;=1000</formula>
    </cfRule>
  </conditionalFormatting>
  <conditionalFormatting sqref="AB14:AC14">
    <cfRule type="expression" dxfId="1672" priority="5">
      <formula>ABS(AB$16-AB$19)&gt;=1000</formula>
    </cfRule>
  </conditionalFormatting>
  <conditionalFormatting sqref="M5">
    <cfRule type="expression" dxfId="1671" priority="4">
      <formula>ABS(M$7-M$10)&gt;=1000</formula>
    </cfRule>
  </conditionalFormatting>
  <conditionalFormatting sqref="N5">
    <cfRule type="expression" dxfId="1670" priority="3">
      <formula>ABS(N$7-N$10)&gt;=1000</formula>
    </cfRule>
  </conditionalFormatting>
  <conditionalFormatting sqref="O5">
    <cfRule type="expression" dxfId="1669" priority="2">
      <formula>ABS(O$7-O$10)&gt;=1000</formula>
    </cfRule>
  </conditionalFormatting>
  <conditionalFormatting sqref="P5">
    <cfRule type="expression" dxfId="1668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9308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71">
    <pageSetUpPr fitToPage="1"/>
  </sheetPr>
  <dimension ref="A1:CU223"/>
  <sheetViews>
    <sheetView view="pageBreakPreview" topLeftCell="A13" zoomScale="70" zoomScaleNormal="100" zoomScaleSheetLayoutView="70" workbookViewId="0">
      <selection activeCell="Z23" sqref="Z23:AE29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08" t="s" ph="1">
        <v>192</v>
      </c>
      <c r="C1" s="208" ph="1"/>
      <c r="D1" s="208" ph="1"/>
      <c r="E1" s="208" ph="1"/>
      <c r="F1" s="208" ph="1"/>
      <c r="G1" s="208" ph="1"/>
      <c r="H1" s="208" ph="1"/>
      <c r="I1" s="208" ph="1"/>
      <c r="J1" s="208" ph="1"/>
      <c r="K1" s="208" ph="1"/>
      <c r="L1" s="208" ph="1"/>
      <c r="M1" s="208" ph="1"/>
      <c r="N1" s="208" ph="1"/>
      <c r="O1" s="208" ph="1"/>
      <c r="P1" s="208" ph="1"/>
      <c r="Q1" s="208" ph="1"/>
      <c r="R1" s="208" ph="1"/>
      <c r="S1" s="208" ph="1"/>
      <c r="T1" s="208" ph="1"/>
      <c r="U1" s="208" ph="1"/>
      <c r="V1" s="208" ph="1"/>
      <c r="W1" s="208" ph="1"/>
      <c r="X1" s="208" ph="1"/>
      <c r="Y1" s="208" ph="1"/>
      <c r="Z1" s="208" ph="1"/>
      <c r="AA1" s="208" ph="1"/>
      <c r="AB1" s="208" ph="1"/>
      <c r="AC1" s="208" ph="1"/>
      <c r="AD1" s="208" ph="1"/>
      <c r="AE1" s="208" ph="1"/>
    </row>
    <row r="2" spans="1:99" s="66" customFormat="1" ht="24" customHeight="1" ph="1">
      <c r="B2" s="209" t="s" ph="1">
        <v>99</v>
      </c>
      <c r="C2" s="209" ph="1"/>
      <c r="D2" s="209" ph="1"/>
      <c r="E2" s="209" ph="1"/>
      <c r="F2" s="209" ph="1"/>
      <c r="G2" s="209" ph="1"/>
      <c r="H2" s="209" ph="1"/>
      <c r="I2" s="209" ph="1"/>
      <c r="J2" s="209" ph="1"/>
      <c r="K2" s="209" ph="1"/>
      <c r="L2" s="209" ph="1"/>
      <c r="M2" s="209" ph="1"/>
      <c r="N2" s="209" ph="1"/>
      <c r="O2" s="209" ph="1"/>
      <c r="P2" s="209" ph="1"/>
      <c r="Q2" s="209" ph="1"/>
      <c r="R2" s="209" ph="1"/>
      <c r="S2" s="209" ph="1"/>
      <c r="T2" s="209" ph="1"/>
      <c r="U2" s="209" ph="1"/>
      <c r="V2" s="209" ph="1"/>
      <c r="W2" s="209" ph="1"/>
      <c r="X2" s="209" ph="1"/>
      <c r="Y2" s="209" ph="1"/>
      <c r="Z2" s="209" ph="1"/>
      <c r="AA2" s="209" ph="1"/>
      <c r="AB2" s="209" ph="1"/>
      <c r="AC2" s="209" ph="1"/>
      <c r="AD2" s="209" ph="1"/>
      <c r="AE2" s="209" ph="1"/>
    </row>
    <row r="3" spans="1:99" ht="21" customHeight="1" ph="1">
      <c r="B3" s="210" ph="1">
        <v>45699</v>
      </c>
      <c r="C3" s="210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210"/>
      <c r="R3" s="210"/>
      <c r="S3" s="210"/>
      <c r="T3" s="210"/>
      <c r="U3" s="210"/>
      <c r="V3" s="210"/>
      <c r="W3" s="210"/>
      <c r="X3" s="210"/>
      <c r="Y3" s="210"/>
      <c r="Z3" s="210"/>
      <c r="AA3" s="210"/>
      <c r="AB3" s="210"/>
      <c r="AC3" s="210"/>
      <c r="AD3" s="210"/>
      <c r="AE3" s="210"/>
    </row>
    <row r="4" spans="1:99" s="69" customFormat="1" ph="1">
      <c r="A4" s="65" ph="1"/>
      <c r="B4" s="211" t="s" ph="1">
        <v>37</v>
      </c>
      <c r="C4" s="67" t="s" ph="1">
        <v>207</v>
      </c>
      <c r="D4" s="68" t="s" ph="1">
        <v>45</v>
      </c>
      <c r="E4" s="68" t="s" ph="1">
        <v>46</v>
      </c>
      <c r="F4" s="68" t="s" ph="1">
        <v>39</v>
      </c>
      <c r="G4" s="68" t="s" ph="1">
        <v>47</v>
      </c>
      <c r="H4" s="68" t="s" ph="1">
        <v>48</v>
      </c>
      <c r="I4" s="68" t="s" ph="1">
        <v>132</v>
      </c>
      <c r="J4" s="68" t="s" ph="1">
        <v>49</v>
      </c>
      <c r="K4" s="68" t="s" ph="1">
        <v>133</v>
      </c>
      <c r="L4" s="68" t="s" ph="1">
        <v>134</v>
      </c>
      <c r="M4" s="68" t="s" ph="1">
        <v>50</v>
      </c>
      <c r="N4" s="68" t="s" ph="1">
        <v>51</v>
      </c>
      <c r="O4" s="68" t="s" ph="1">
        <v>136</v>
      </c>
      <c r="P4" s="68" t="s" ph="1">
        <v>138</v>
      </c>
      <c r="Q4" s="68" t="s" ph="1">
        <v>139</v>
      </c>
      <c r="R4" s="68" t="s" ph="1">
        <v>140</v>
      </c>
      <c r="S4" s="68" t="s" ph="1">
        <v>141</v>
      </c>
      <c r="T4" s="68" t="s" ph="1">
        <v>142</v>
      </c>
      <c r="U4" s="68" t="s" ph="1">
        <v>143</v>
      </c>
      <c r="V4" s="68" t="s" ph="1">
        <v>144</v>
      </c>
      <c r="W4" s="68" t="s" ph="1">
        <v>145</v>
      </c>
      <c r="X4" s="68" t="s" ph="1">
        <v>146</v>
      </c>
      <c r="Y4" s="68" t="s" ph="1">
        <v>147</v>
      </c>
      <c r="Z4" s="68" t="s" ph="1">
        <v>52</v>
      </c>
      <c r="AA4" s="68" t="s" ph="1">
        <v>148</v>
      </c>
      <c r="AB4" s="68" t="s" ph="1">
        <v>149</v>
      </c>
      <c r="AC4" s="68" t="s" ph="1">
        <v>150</v>
      </c>
      <c r="AD4" s="68" t="s" ph="1">
        <v>40</v>
      </c>
      <c r="AE4" s="68" t="s" ph="1">
        <v>151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1" ph="1"/>
      <c r="C5" s="67" t="s" ph="1">
        <v>36</v>
      </c>
      <c r="D5" s="70" t="s" ph="1">
        <v>191</v>
      </c>
      <c r="E5" s="70" t="s" ph="1">
        <v>7</v>
      </c>
      <c r="F5" s="70" t="s" ph="1">
        <v>1</v>
      </c>
      <c r="G5" s="70" t="s" ph="1">
        <v>7</v>
      </c>
      <c r="H5" s="70" t="s" ph="1">
        <v>7</v>
      </c>
      <c r="I5" s="70" t="s" ph="1">
        <v>657</v>
      </c>
      <c r="J5" s="70" t="s" ph="1">
        <v>658</v>
      </c>
      <c r="K5" s="70" t="s" ph="1">
        <v>660</v>
      </c>
      <c r="L5" s="70" t="s" ph="1">
        <v>662</v>
      </c>
      <c r="M5" s="70" t="s" ph="1">
        <v>657</v>
      </c>
      <c r="N5" s="70" t="s" ph="1">
        <v>658</v>
      </c>
      <c r="O5" s="70" t="s" ph="1">
        <v>660</v>
      </c>
      <c r="P5" s="70" t="s" ph="1">
        <v>662</v>
      </c>
      <c r="Q5" s="70" t="s" ph="1">
        <v>656</v>
      </c>
      <c r="R5" s="70" t="s" ph="1">
        <v>656</v>
      </c>
      <c r="S5" s="70" t="s" ph="1">
        <v>656</v>
      </c>
      <c r="T5" s="70" t="s" ph="1">
        <v>656</v>
      </c>
      <c r="U5" s="70" t="s" ph="1">
        <v>656</v>
      </c>
      <c r="V5" s="70" t="s" ph="1">
        <v>656</v>
      </c>
      <c r="W5" s="70" t="s" ph="1">
        <v>656</v>
      </c>
      <c r="X5" s="70" t="s" ph="1">
        <v>656</v>
      </c>
      <c r="Y5" s="70" t="s" ph="1">
        <v>656</v>
      </c>
      <c r="Z5" s="70" t="s" ph="1">
        <v>663</v>
      </c>
      <c r="AA5" s="70" t="s" ph="1">
        <v>62</v>
      </c>
      <c r="AB5" s="70" t="s" ph="1">
        <v>62</v>
      </c>
      <c r="AC5" s="70" t="s" ph="1">
        <v>664</v>
      </c>
      <c r="AD5" s="70" t="s" ph="1">
        <v>83</v>
      </c>
      <c r="AE5" s="70" t="s" ph="1">
        <v>654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07" ph="1">
        <v>0.33333333333333331</v>
      </c>
      <c r="C6" s="164" t="s" ph="1">
        <v>208</v>
      </c>
      <c r="D6" s="71">
        <v>4090</v>
      </c>
      <c r="E6" s="71">
        <v>0</v>
      </c>
      <c r="F6" s="71">
        <v>2098</v>
      </c>
      <c r="G6" s="71">
        <v>1479</v>
      </c>
      <c r="H6" s="71">
        <v>8780</v>
      </c>
      <c r="I6" s="71">
        <v>39.049999999999997</v>
      </c>
      <c r="J6" s="71">
        <v>7.8</v>
      </c>
      <c r="K6" s="71">
        <v>87.83</v>
      </c>
      <c r="L6" s="71">
        <v>55.5</v>
      </c>
      <c r="M6" s="71">
        <v>4549</v>
      </c>
      <c r="N6" s="71">
        <v>5564</v>
      </c>
      <c r="O6" s="71">
        <v>5140</v>
      </c>
      <c r="P6" s="71">
        <v>6030</v>
      </c>
      <c r="Q6" s="71">
        <v>0</v>
      </c>
      <c r="R6" s="71">
        <v>0</v>
      </c>
      <c r="S6" s="71">
        <v>0</v>
      </c>
      <c r="T6" s="71">
        <v>4975</v>
      </c>
      <c r="U6" s="71">
        <v>6996</v>
      </c>
      <c r="V6" s="71">
        <v>7010</v>
      </c>
      <c r="W6" s="71">
        <v>6998</v>
      </c>
      <c r="X6" s="71">
        <v>3483</v>
      </c>
      <c r="Y6" s="71">
        <v>0</v>
      </c>
      <c r="Z6" s="71">
        <v>4421</v>
      </c>
      <c r="AA6" s="71">
        <v>1627</v>
      </c>
      <c r="AB6" s="71">
        <v>2837</v>
      </c>
      <c r="AC6" s="71">
        <v>8367</v>
      </c>
      <c r="AD6" s="71">
        <v>266</v>
      </c>
      <c r="AE6" s="71">
        <v>2256</v>
      </c>
    </row>
    <row r="7" spans="1:99" s="72" customFormat="1" ht="22.5" ph="1">
      <c r="B7" s="207" ph="1"/>
      <c r="C7" s="68" t="s" ph="1">
        <v>209</v>
      </c>
      <c r="D7" s="73" ph="1">
        <f>D6*33.183*LOOKUP(D8,密度!$A$2:$A$50,密度!$Q$2:$Q$50)</f>
        <v>129548.70835380002</v>
      </c>
      <c r="E7" s="73" ph="1">
        <f>E6*51.53*LOOKUP(E8,密度!$A$2:$A$50,密度!$I$2:$I$50)</f>
        <v>0</v>
      </c>
      <c r="F7" s="73" ph="1">
        <f>F6*33.183*LOOKUP(F8,密度!$A$2:$A$50,密度!$C$2:$C$50)</f>
        <v>77679.690757199991</v>
      </c>
      <c r="G7" s="73" ph="1">
        <f xml:space="preserve"> (G6+2)*51.53*LOOKUP(G8,密度!$A$2:$A$50,密度!$B$2:$B$50)</f>
        <v>60205.637177000011</v>
      </c>
      <c r="H7" s="73" ph="1">
        <f>(H6)*51.53*LOOKUP(H8,密度!$A$2:$A$50,密度!$B$2:$B$50)</f>
        <v>359232.11960000003</v>
      </c>
      <c r="I7" s="73" ph="1">
        <f>I6*290.8*1.0267</f>
        <v>11658.938257999998</v>
      </c>
      <c r="J7" s="73" ph="1">
        <f>J6*290.8*0.7892</f>
        <v>1790.0950080000002</v>
      </c>
      <c r="K7" s="73" ph="1">
        <f>K6*290.8*1.1126</f>
        <v>28416.876546400003</v>
      </c>
      <c r="L7" s="73" ph="1">
        <f>L6*290.8*0.777</f>
        <v>12540.313800000002</v>
      </c>
      <c r="M7" s="73" ph="1">
        <f>M6*33.183*LOOKUP(M8,密度!$A$2:$A$50,密度!$D$2:$D$50)</f>
        <v>156459.12254549999</v>
      </c>
      <c r="N7" s="73" ph="1">
        <f>N6*33.183*LOOKUP(N8,密度!$A$2:$A$50,密度!$E$2:$E$50)</f>
        <v>146725.6294764</v>
      </c>
      <c r="O7" s="73" ph="1">
        <f>O6*20.428*LOOKUP(O8,密度!$A$2:$A$50,密度!$C$2:$C$50)</f>
        <v>116885.91094399999</v>
      </c>
      <c r="P7" s="73" ph="1">
        <f>P6*51.53*LOOKUP(P8,密度!$A$2:$A$50,密度!$B$2:$B$50)</f>
        <v>245380.24322999999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33478.303319999992</v>
      </c>
      <c r="U7" s="73" ph="1">
        <f>U6*1.5*1.5*3.1416*LOOKUP(U8,密度!$A$2:$A$50,密度!$L$2:$L$50)</f>
        <v>46929.877394399999</v>
      </c>
      <c r="V7" s="73" ph="1">
        <f>V6*1.5*1.5*3.1416*LOOKUP(V8,密度!$A$2:$A$50,密度!$L$2:$L$50)</f>
        <v>46676.934611999997</v>
      </c>
      <c r="W7" s="73" ph="1">
        <f>W6*1.5*1.5*3.1416*LOOKUP(W8,密度!$A$2:$A$50,密度!$L$2:$L$50)</f>
        <v>46844.361471599994</v>
      </c>
      <c r="X7" s="73" ph="1">
        <f>X6*1.5*1.5*3.1416*LOOKUP(X8,密度!$A$2:$A$50,密度!$L$2:$L$50)</f>
        <v>23536.656712799999</v>
      </c>
      <c r="Y7" s="73" ph="1">
        <f>Y6*1.5*1.5*3.1416*LOOKUP(Y8,密度!$A$2:$A$50,密度!$L$2:$L$50)</f>
        <v>0</v>
      </c>
      <c r="Z7" s="73" ph="1">
        <f>Z6*33.183*LOOKUP(Z8,密度!$A$2:$A$50,密度!$L$2:$L$50)</f>
        <v>139513.64289300001</v>
      </c>
      <c r="AA7" s="73" ph="1">
        <f>AA6*33.183*LOOKUP(AA8,密度!$A$2:$A$50,密度!$D$2:$D$50)</f>
        <v>55959.330046499999</v>
      </c>
      <c r="AB7" s="73" ph="1">
        <f>AB6*20.428*LOOKUP(AB8,密度!$A$2:$A$50,密度!$D$2:$D$50)</f>
        <v>60533.199502000003</v>
      </c>
      <c r="AC7" s="73" ph="1">
        <f>AC6*51.53*LOOKUP(AC8,密度!$A$2:$A$50,密度!$Q$2:$Q$50)</f>
        <v>411551.36235540005</v>
      </c>
      <c r="AD7" s="73" ph="1">
        <f>AD6*20.428*LOOKUP(AD8,密度!$A$2:$A$50,密度!$V$2:$V$50)</f>
        <v>5238.229472</v>
      </c>
      <c r="AE7" s="73" ph="1">
        <f>AE6*20.428</f>
        <v>46085.567999999999</v>
      </c>
    </row>
    <row r="8" spans="1:99" ph="1">
      <c r="B8" s="207" ph="1"/>
      <c r="C8" s="68" t="s" ph="1">
        <v>210</v>
      </c>
      <c r="D8" s="74">
        <v>15</v>
      </c>
      <c r="E8" s="74">
        <v>13</v>
      </c>
      <c r="F8" s="74">
        <v>15</v>
      </c>
      <c r="G8" s="74">
        <v>14</v>
      </c>
      <c r="H8" s="74">
        <v>8</v>
      </c>
      <c r="I8" s="74">
        <v>25</v>
      </c>
      <c r="J8" s="74">
        <v>25</v>
      </c>
      <c r="K8" s="74">
        <v>25</v>
      </c>
      <c r="L8" s="74">
        <v>25</v>
      </c>
      <c r="M8" s="74">
        <v>14</v>
      </c>
      <c r="N8" s="74">
        <v>15</v>
      </c>
      <c r="O8" s="74">
        <v>19</v>
      </c>
      <c r="P8" s="74">
        <v>13</v>
      </c>
      <c r="Q8" s="74">
        <v>12</v>
      </c>
      <c r="R8" s="74">
        <v>20</v>
      </c>
      <c r="S8" s="74">
        <v>7</v>
      </c>
      <c r="T8" s="74">
        <v>10</v>
      </c>
      <c r="U8" s="74">
        <v>13</v>
      </c>
      <c r="V8" s="74">
        <v>20</v>
      </c>
      <c r="W8" s="74">
        <v>15</v>
      </c>
      <c r="X8" s="74">
        <v>6</v>
      </c>
      <c r="Y8" s="74">
        <v>13</v>
      </c>
      <c r="Z8" s="74">
        <v>11</v>
      </c>
      <c r="AA8" s="74">
        <v>14</v>
      </c>
      <c r="AB8" s="74">
        <v>5</v>
      </c>
      <c r="AC8" s="74">
        <v>11</v>
      </c>
      <c r="AD8" s="74">
        <v>11</v>
      </c>
      <c r="AE8" s="74">
        <v>15</v>
      </c>
    </row>
    <row r="9" spans="1:99" ph="1">
      <c r="B9" s="207" ph="1">
        <v>0.66666666666666663</v>
      </c>
      <c r="C9" s="164" t="s" ph="1">
        <v>211</v>
      </c>
      <c r="D9" s="71">
        <v>4120</v>
      </c>
      <c r="E9" s="71">
        <v>0</v>
      </c>
      <c r="F9" s="71">
        <v>2675</v>
      </c>
      <c r="G9" s="71">
        <v>1820</v>
      </c>
      <c r="H9" s="71">
        <v>8784</v>
      </c>
      <c r="I9" s="71">
        <v>39.049999999999997</v>
      </c>
      <c r="J9" s="71">
        <v>7.84</v>
      </c>
      <c r="K9" s="71">
        <v>23.41</v>
      </c>
      <c r="L9" s="71">
        <v>20.46</v>
      </c>
      <c r="M9" s="71">
        <v>4551</v>
      </c>
      <c r="N9" s="71">
        <v>5570</v>
      </c>
      <c r="O9" s="71">
        <v>5208</v>
      </c>
      <c r="P9" s="71">
        <v>5898</v>
      </c>
      <c r="Q9" s="71">
        <v>0</v>
      </c>
      <c r="R9" s="71">
        <v>0</v>
      </c>
      <c r="S9" s="71">
        <v>0</v>
      </c>
      <c r="T9" s="71">
        <v>2445</v>
      </c>
      <c r="U9" s="71">
        <v>7003</v>
      </c>
      <c r="V9" s="71">
        <v>7021</v>
      </c>
      <c r="W9" s="71">
        <v>7007</v>
      </c>
      <c r="X9" s="71">
        <v>6837</v>
      </c>
      <c r="Y9" s="71">
        <v>6630</v>
      </c>
      <c r="Z9" s="71">
        <v>2950</v>
      </c>
      <c r="AA9" s="71">
        <v>1623</v>
      </c>
      <c r="AB9" s="71">
        <v>2687</v>
      </c>
      <c r="AC9" s="71">
        <v>8680</v>
      </c>
      <c r="AD9" s="71">
        <v>265</v>
      </c>
      <c r="AE9" s="71">
        <v>2137</v>
      </c>
    </row>
    <row r="10" spans="1:99" s="72" customFormat="1" ht="22.5" ph="1">
      <c r="B10" s="207" ph="1"/>
      <c r="C10" s="164" t="s" ph="1">
        <v>209</v>
      </c>
      <c r="D10" s="73" ph="1">
        <f>D9*33.183*LOOKUP(D11,密度!$A$2:$A$50,密度!$Q$2:$Q$50)</f>
        <v>130498.9433784</v>
      </c>
      <c r="E10" s="73" ph="1">
        <f>E9*51.53*LOOKUP(E11,密度!$A$2:$A$50,密度!$I$2:$I$50)</f>
        <v>0</v>
      </c>
      <c r="F10" s="73" ph="1">
        <f>F9*33.183*LOOKUP(F11,密度!$A$2:$A$50,密度!$C$2:$C$50)</f>
        <v>98874.804397499989</v>
      </c>
      <c r="G10" s="73" ph="1">
        <f xml:space="preserve"> (G9+2)*51.53*LOOKUP(G11,密度!$A$2:$A$50,密度!$B$2:$B$50)</f>
        <v>73983.476080000008</v>
      </c>
      <c r="H10" s="73" ph="1">
        <f>(H9)*51.53*LOOKUP(H11,密度!$A$2:$A$50,密度!$B$2:$B$50)</f>
        <v>357856.804512</v>
      </c>
      <c r="I10" s="73" ph="1">
        <f>I9*290.8*1.0267</f>
        <v>11658.938257999998</v>
      </c>
      <c r="J10" s="73" ph="1">
        <f>J9*290.8*0.7892</f>
        <v>1799.2749824</v>
      </c>
      <c r="K10" s="73" ph="1">
        <f>K9*290.8*1.1126</f>
        <v>7574.1669128000012</v>
      </c>
      <c r="L10" s="73" ph="1">
        <f>L9*290.8*0.777</f>
        <v>4622.969736</v>
      </c>
      <c r="M10" s="73" ph="1">
        <f>M9*33.183*LOOKUP(M11,密度!$A$2:$A$50,密度!$D$2:$D$50)</f>
        <v>156271.18398840001</v>
      </c>
      <c r="N10" s="73" ph="1">
        <f>N9*33.183*LOOKUP(N11,密度!$A$2:$A$50,密度!$E$2:$E$50)</f>
        <v>146680.540416</v>
      </c>
      <c r="O10" s="73" ph="1">
        <f>O9*20.428*LOOKUP(O11,密度!$A$2:$A$50,密度!$C$2:$C$50)</f>
        <v>118293.95578560002</v>
      </c>
      <c r="P10" s="73" ph="1">
        <f>P9*51.53*LOOKUP(P11,密度!$A$2:$A$50,密度!$B$2:$B$50)</f>
        <v>239492.06472000002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16418.590649999998</v>
      </c>
      <c r="U10" s="73" ph="1">
        <f>U9*1.5*1.5*3.1416*LOOKUP(U11,密度!$A$2:$A$50,密度!$L$2:$L$50)</f>
        <v>46927.332698400001</v>
      </c>
      <c r="V10" s="73" ph="1">
        <f>V9*1.5*1.5*3.1416*LOOKUP(V11,密度!$A$2:$A$50,密度!$L$2:$L$50)</f>
        <v>46700.550804599996</v>
      </c>
      <c r="W10" s="73" ph="1">
        <f>W9*1.5*1.5*3.1416*LOOKUP(W11,密度!$A$2:$A$50,密度!$L$2:$L$50)</f>
        <v>46855.077469199998</v>
      </c>
      <c r="X10" s="73" ph="1">
        <f>X9*1.5*1.5*3.1416*LOOKUP(X11,密度!$A$2:$A$50,密度!$L$2:$L$50)</f>
        <v>46008.273326399998</v>
      </c>
      <c r="Y10" s="73" ph="1">
        <f>Y9*1.5*1.5*3.1416*LOOKUP(Y11,密度!$A$2:$A$50,密度!$L$2:$L$50)</f>
        <v>44287.25301</v>
      </c>
      <c r="Z10" s="73" ph="1">
        <f>Z9*33.183*LOOKUP(Z11,密度!$A$2:$A$50,密度!$L$2:$L$50)</f>
        <v>92897.467650000006</v>
      </c>
      <c r="AA10" s="73" ph="1">
        <f>AA9*33.183*LOOKUP(AA11,密度!$A$2:$A$50,密度!$D$2:$D$50)</f>
        <v>55681.727705099998</v>
      </c>
      <c r="AB10" s="73" ph="1">
        <f>AB9*20.428*LOOKUP(AB11,密度!$A$2:$A$50,密度!$D$2:$D$50)</f>
        <v>57233.840537199998</v>
      </c>
      <c r="AC10" s="73" ph="1">
        <f>AC9*51.53*LOOKUP(AC11,密度!$A$2:$A$50,密度!$Q$2:$Q$50)</f>
        <v>426947.03301600006</v>
      </c>
      <c r="AD10" s="73" ph="1">
        <f>AD9*20.428*LOOKUP(AD11,密度!$A$2:$A$50,密度!$V$2:$V$50)</f>
        <v>5218.5368799999997</v>
      </c>
      <c r="AE10" s="73" ph="1">
        <f>AE9*20.428</f>
        <v>43654.635999999999</v>
      </c>
    </row>
    <row r="11" spans="1:99" ph="1">
      <c r="A11" s="64" t="s" ph="1">
        <v>193</v>
      </c>
      <c r="B11" s="207" ph="1"/>
      <c r="C11" s="164" t="s" ph="1">
        <v>210</v>
      </c>
      <c r="D11" s="74">
        <v>15</v>
      </c>
      <c r="E11" s="74">
        <v>17</v>
      </c>
      <c r="F11" s="74">
        <v>18</v>
      </c>
      <c r="G11" s="74">
        <v>15</v>
      </c>
      <c r="H11" s="74">
        <v>12</v>
      </c>
      <c r="I11" s="74">
        <v>25</v>
      </c>
      <c r="J11" s="74">
        <v>25</v>
      </c>
      <c r="K11" s="74">
        <v>25</v>
      </c>
      <c r="L11" s="74">
        <v>25</v>
      </c>
      <c r="M11" s="74">
        <v>16</v>
      </c>
      <c r="N11" s="74">
        <v>16</v>
      </c>
      <c r="O11" s="74">
        <v>21</v>
      </c>
      <c r="P11" s="74">
        <v>15</v>
      </c>
      <c r="Q11" s="74">
        <v>19</v>
      </c>
      <c r="R11" s="74">
        <v>23</v>
      </c>
      <c r="S11" s="74">
        <v>13</v>
      </c>
      <c r="T11" s="74">
        <v>12</v>
      </c>
      <c r="U11" s="74">
        <v>14</v>
      </c>
      <c r="V11" s="74">
        <v>21</v>
      </c>
      <c r="W11" s="74">
        <v>16</v>
      </c>
      <c r="X11" s="74">
        <v>10</v>
      </c>
      <c r="Y11" s="74">
        <v>17</v>
      </c>
      <c r="Z11" s="74">
        <v>13</v>
      </c>
      <c r="AA11" s="74">
        <v>17</v>
      </c>
      <c r="AB11" s="74">
        <v>7</v>
      </c>
      <c r="AC11" s="74">
        <v>15</v>
      </c>
      <c r="AD11" s="74">
        <v>18</v>
      </c>
      <c r="AE11" s="74">
        <v>17</v>
      </c>
    </row>
    <row r="12" spans="1:99" ht="9.9499999999999993" customHeight="1" ph="1"/>
    <row r="13" spans="1:99" s="72" customFormat="1" ht="29.25" customHeight="1" ph="1">
      <c r="B13" s="215" t="s" ph="1">
        <v>37</v>
      </c>
      <c r="C13" s="164" t="s" ph="1">
        <v>207</v>
      </c>
      <c r="D13" s="76" t="s" ph="1">
        <v>53</v>
      </c>
      <c r="E13" s="76" t="s" ph="1">
        <v>54</v>
      </c>
      <c r="F13" s="76" t="s" ph="1">
        <v>66</v>
      </c>
      <c r="G13" s="76" t="s" ph="1">
        <v>67</v>
      </c>
      <c r="H13" s="76" t="s" ph="1">
        <v>152</v>
      </c>
      <c r="I13" s="76" t="s" ph="1">
        <v>68</v>
      </c>
      <c r="J13" s="76" t="s" ph="1">
        <v>153</v>
      </c>
      <c r="K13" s="76" t="s" ph="1">
        <v>63</v>
      </c>
      <c r="L13" s="76" t="s" ph="1">
        <v>69</v>
      </c>
      <c r="M13" s="76" t="s" ph="1">
        <v>70</v>
      </c>
      <c r="N13" s="76" t="s" ph="1">
        <v>154</v>
      </c>
      <c r="O13" s="76" t="s" ph="1">
        <v>64</v>
      </c>
      <c r="P13" s="76" t="s" ph="1">
        <v>71</v>
      </c>
      <c r="Q13" s="76" t="s" ph="1">
        <v>72</v>
      </c>
      <c r="R13" s="76" t="s" ph="1">
        <v>73</v>
      </c>
      <c r="S13" s="76" t="s" ph="1">
        <v>74</v>
      </c>
      <c r="T13" s="76" t="s" ph="1">
        <v>75</v>
      </c>
      <c r="U13" s="76" t="s" ph="1">
        <v>76</v>
      </c>
      <c r="V13" s="76" t="s" ph="1">
        <v>155</v>
      </c>
      <c r="W13" s="76" t="s" ph="1">
        <v>156</v>
      </c>
      <c r="X13" s="76" t="s" ph="1">
        <v>157</v>
      </c>
      <c r="Y13" s="105" t="s" ph="1">
        <v>77</v>
      </c>
      <c r="Z13" s="76" t="s" ph="1">
        <v>86</v>
      </c>
      <c r="AA13" s="76" t="s" ph="1">
        <v>158</v>
      </c>
      <c r="AB13" s="76" t="s" ph="1">
        <v>159</v>
      </c>
      <c r="AC13" s="76" t="s" ph="1">
        <v>160</v>
      </c>
      <c r="AD13" s="76" t="s" ph="1">
        <v>161</v>
      </c>
      <c r="AE13" s="76" t="s" ph="1">
        <v>162</v>
      </c>
      <c r="AG13" s="72" t="s" ph="1">
        <v>366</v>
      </c>
      <c r="AH13" s="72" t="s" ph="1">
        <v>229</v>
      </c>
      <c r="AI13" s="72" t="s" ph="1">
        <v>230</v>
      </c>
      <c r="AJ13" s="72" t="s" ph="1">
        <v>231</v>
      </c>
      <c r="AK13" s="72" t="s" ph="1">
        <v>232</v>
      </c>
      <c r="AL13" s="72" t="s" ph="1">
        <v>233</v>
      </c>
      <c r="AM13" s="72" t="s" ph="1">
        <v>234</v>
      </c>
      <c r="AN13" s="72" t="s" ph="1">
        <v>235</v>
      </c>
      <c r="AO13" s="72" t="s" ph="1">
        <v>236</v>
      </c>
      <c r="AP13" s="72" t="s" ph="1">
        <v>237</v>
      </c>
      <c r="AQ13" s="72" t="s" ph="1">
        <v>238</v>
      </c>
      <c r="AR13" s="72" t="s" ph="1">
        <v>239</v>
      </c>
      <c r="AS13" s="72" t="s" ph="1">
        <v>240</v>
      </c>
      <c r="AT13" s="72" t="s" ph="1">
        <v>241</v>
      </c>
      <c r="AU13" s="72" t="s" ph="1">
        <v>242</v>
      </c>
      <c r="AV13" s="72" t="s" ph="1">
        <v>243</v>
      </c>
      <c r="AW13" s="72" t="s" ph="1">
        <v>244</v>
      </c>
      <c r="AX13" s="72" t="s" ph="1">
        <v>245</v>
      </c>
      <c r="AY13" s="72" t="s" ph="1">
        <v>367</v>
      </c>
      <c r="AZ13" s="72" t="s" ph="1">
        <v>246</v>
      </c>
      <c r="BA13" s="72" t="s" ph="1">
        <v>247</v>
      </c>
      <c r="BB13" s="72" t="s" ph="1">
        <v>632</v>
      </c>
      <c r="BC13" s="72" t="s" ph="1">
        <v>248</v>
      </c>
      <c r="BD13" s="72" t="s" ph="1">
        <v>368</v>
      </c>
      <c r="BE13" s="72" t="s" ph="1">
        <v>369</v>
      </c>
      <c r="BF13" s="72" t="s" ph="1">
        <v>370</v>
      </c>
      <c r="BG13" s="72" t="s" ph="1">
        <v>371</v>
      </c>
      <c r="BH13" s="72" t="s" ph="1">
        <v>372</v>
      </c>
    </row>
    <row r="14" spans="1:99" s="72" customFormat="1" ht="24" ph="1">
      <c r="B14" s="216" ph="1"/>
      <c r="C14" s="67" t="s" ph="1">
        <v>36</v>
      </c>
      <c r="D14" s="77" t="s" ph="1">
        <v>665</v>
      </c>
      <c r="E14" s="77" t="s" ph="1">
        <v>665</v>
      </c>
      <c r="F14" s="142" t="s" ph="1">
        <v>651</v>
      </c>
      <c r="G14" s="77" t="s" ph="1">
        <v>667</v>
      </c>
      <c r="H14" s="77" t="s" ph="1">
        <v>668</v>
      </c>
      <c r="I14" s="167" t="s" ph="1">
        <v>669</v>
      </c>
      <c r="J14" s="77" t="s" ph="1">
        <v>670</v>
      </c>
      <c r="K14" s="77" t="s" ph="1">
        <v>223</v>
      </c>
      <c r="L14" s="77" t="s" ph="1">
        <v>42</v>
      </c>
      <c r="M14" s="104" t="s" ph="1">
        <v>671</v>
      </c>
      <c r="N14" s="104" t="s" ph="1">
        <v>672</v>
      </c>
      <c r="O14" s="104" t="s" ph="1">
        <v>670</v>
      </c>
      <c r="P14" s="77" t="s" ph="1">
        <v>673</v>
      </c>
      <c r="Q14" s="77" t="s" ph="1">
        <v>673</v>
      </c>
      <c r="R14" s="88" t="s" ph="1">
        <v>674</v>
      </c>
      <c r="S14" s="77" t="s" ph="1">
        <v>81</v>
      </c>
      <c r="T14" s="77" t="s" ph="1">
        <v>676</v>
      </c>
      <c r="U14" s="77" t="s" ph="1">
        <v>652</v>
      </c>
      <c r="V14" s="77" t="s" ph="1">
        <v>677</v>
      </c>
      <c r="W14" s="77" t="s" ph="1">
        <v>673</v>
      </c>
      <c r="X14" s="77" t="s" ph="1">
        <v>678</v>
      </c>
      <c r="Y14" s="141" t="s" ph="1">
        <v>0</v>
      </c>
      <c r="Z14" s="77" t="s" ph="1">
        <v>62</v>
      </c>
      <c r="AA14" s="77" t="s" ph="1">
        <v>662</v>
      </c>
      <c r="AB14" s="77" t="s" ph="1">
        <v>648</v>
      </c>
      <c r="AC14" s="77" t="s" ph="1">
        <v>648</v>
      </c>
      <c r="AD14" s="77" t="s" ph="1">
        <v>661</v>
      </c>
      <c r="AE14" s="77" t="s" ph="1">
        <v>661</v>
      </c>
      <c r="AG14" s="72" t="s" ph="1">
        <v>249</v>
      </c>
      <c r="AI14" s="72" t="s" ph="1">
        <v>250</v>
      </c>
      <c r="AJ14" s="72" t="s" ph="1">
        <v>373</v>
      </c>
      <c r="AK14" s="72" t="s" ph="1">
        <v>251</v>
      </c>
      <c r="AM14" s="72" t="s" ph="1">
        <v>253</v>
      </c>
      <c r="AN14" s="72" t="s" ph="1">
        <v>251</v>
      </c>
      <c r="AO14" s="72" t="s" ph="1">
        <v>252</v>
      </c>
      <c r="AP14" s="72" t="s" ph="1">
        <v>253</v>
      </c>
      <c r="AQ14" s="72" t="s" ph="1">
        <v>251</v>
      </c>
      <c r="AR14" s="72" t="s" ph="1">
        <v>252</v>
      </c>
      <c r="AS14" s="72" t="s" ph="1">
        <v>253</v>
      </c>
      <c r="AT14" s="72" t="s" ph="1">
        <v>251</v>
      </c>
      <c r="AU14" s="72" t="s" ph="1">
        <v>252</v>
      </c>
      <c r="AV14" s="72" t="s" ph="1">
        <v>253</v>
      </c>
      <c r="AW14" s="72" t="s" ph="1">
        <v>251</v>
      </c>
      <c r="AX14" s="72" t="s" ph="1">
        <v>252</v>
      </c>
      <c r="AY14" s="72" t="s" ph="1">
        <v>253</v>
      </c>
      <c r="AZ14" s="72" t="s" ph="1">
        <v>252</v>
      </c>
    </row>
    <row r="15" spans="1:99" ph="1">
      <c r="B15" s="217" ph="1">
        <v>0.33333333333333331</v>
      </c>
      <c r="C15" s="164" t="s" ph="1">
        <v>208</v>
      </c>
      <c r="D15" s="78">
        <v>0</v>
      </c>
      <c r="E15" s="78">
        <v>1699</v>
      </c>
      <c r="F15" s="78">
        <v>2192</v>
      </c>
      <c r="G15" s="78">
        <v>2373</v>
      </c>
      <c r="H15" s="78">
        <v>2861</v>
      </c>
      <c r="I15" s="78">
        <v>9</v>
      </c>
      <c r="J15" s="78">
        <v>1909</v>
      </c>
      <c r="K15" s="78">
        <v>1592</v>
      </c>
      <c r="L15" s="78">
        <v>6271</v>
      </c>
      <c r="M15" s="78">
        <v>2963</v>
      </c>
      <c r="N15" s="78">
        <v>2139</v>
      </c>
      <c r="O15" s="78">
        <v>234</v>
      </c>
      <c r="P15" s="78">
        <v>177</v>
      </c>
      <c r="Q15" s="78">
        <v>1559</v>
      </c>
      <c r="R15" s="78">
        <v>3484</v>
      </c>
      <c r="S15" s="78">
        <v>5601</v>
      </c>
      <c r="T15" s="78">
        <v>2308</v>
      </c>
      <c r="U15" s="78">
        <v>5585</v>
      </c>
      <c r="V15" s="78">
        <v>-1633</v>
      </c>
      <c r="W15" s="78">
        <v>-596</v>
      </c>
      <c r="X15" s="78">
        <v>624</v>
      </c>
      <c r="Y15" s="106">
        <v>-9900</v>
      </c>
      <c r="Z15" s="78">
        <v>0</v>
      </c>
      <c r="AA15" s="78">
        <v>2501</v>
      </c>
      <c r="AB15" s="78" ph="1">
        <v>3376</v>
      </c>
      <c r="AC15" s="78" ph="1">
        <v>6485</v>
      </c>
      <c r="AD15" s="78">
        <v>75.75</v>
      </c>
      <c r="AE15" s="78">
        <v>5.37</v>
      </c>
      <c r="AG15" s="64" t="s" ph="1">
        <v>255</v>
      </c>
      <c r="AH15" s="64" ph="1">
        <v>1</v>
      </c>
      <c r="AI15" s="64" t="s" ph="1">
        <v>374</v>
      </c>
      <c r="AK15" s="64" t="s" ph="1">
        <v>628</v>
      </c>
      <c r="AM15" s="64" t="s" ph="1">
        <v>376</v>
      </c>
      <c r="AZ15" s="64" t="s" ph="1">
        <v>257</v>
      </c>
      <c r="BA15" s="64" ph="1">
        <v>0</v>
      </c>
    </row>
    <row r="16" spans="1:99" s="72" customFormat="1" ht="22.5" ph="1">
      <c r="B16" s="218" ph="1"/>
      <c r="C16" s="164" t="s" ph="1">
        <v>209</v>
      </c>
      <c r="D16" s="73" ph="1">
        <f>D15*7.0686*LOOKUP(D17,密度!$A$2:$A$50,密度!$L$2:$L$50)</f>
        <v>0</v>
      </c>
      <c r="E16" s="73" ph="1">
        <f>E15*7.0686*LOOKUP(E17,密度!$A$2:$A$50,密度!$L$2:$L$50)</f>
        <v>11397.064278599999</v>
      </c>
      <c r="F16" s="73" ph="1">
        <f>F15*9.0746*LOOKUP(F17,密度!$A$2:$A$50,密度!$L$2:$L$50)</f>
        <v>18857.163993599999</v>
      </c>
      <c r="G16" s="73" ph="1">
        <f>G15*9.0746*LOOKUP(G17,密度!$A$2:$A$50,密度!$B$2:$B$50)</f>
        <v>16988.19295362</v>
      </c>
      <c r="H16" s="73" ph="1">
        <f>H15*9.0746*LOOKUP(H17,密度!$A$2:$A$50,密度!$L$2:$L$50)</f>
        <v>24716.2339312</v>
      </c>
      <c r="I16" s="73" ph="1">
        <f>I15*9.0746*LOOKUP(I17,密度!$A$2:$A$50,密度!$U$2:$U$50)</f>
        <v>83.95819920000001</v>
      </c>
      <c r="J16" s="73" ph="1">
        <f>J15*9.0746*LOOKUP(J17,密度!$A$2:$A$50,密度!$L$2:$L$50)</f>
        <v>16387.9471844</v>
      </c>
      <c r="K16" s="73" ph="1">
        <f>K15*9.0746*LOOKUP(K17,密度!$A$2:$A$50,密度!$C$2:$C$50)</f>
        <v>16154.370610240003</v>
      </c>
      <c r="L16" s="73" ph="1">
        <f>L15*9.0746*LOOKUP(L17,密度!$A$2:$A$50,密度!$E$2:$E$50)</f>
        <v>45485.618508380001</v>
      </c>
      <c r="M16" s="73" ph="1">
        <f>M15*9.0746*LOOKUP(M17,密度!$A$2:$A$50,密度!$M$2:$M$50)</f>
        <v>23669.541435940002</v>
      </c>
      <c r="N16" s="73" ph="1">
        <f>N15*9.0746*LOOKUP(N17,密度!$A$2:$A$50,密度!$M$2:$M$50)</f>
        <v>17087.124242819998</v>
      </c>
      <c r="O16" s="73" ph="1">
        <f>O15*9.0746*LOOKUP(O17,密度!$A$2:$A$50,密度!$G$2:$G$50)</f>
        <v>2062.30085568</v>
      </c>
      <c r="P16" s="73" ph="1">
        <f ca="1">P15*9.0746*LOOKUP(P17,密度!$A$2:$A$51,密度!$Q$2:$Q$50)</f>
        <v>1533.1861570680003</v>
      </c>
      <c r="Q16" s="73" ph="1">
        <f>Q15*9.0746*LOOKUP(Q17,密度!$A$2:$A$50,密度!$Q$2:$Q$50)</f>
        <v>13504.165078356002</v>
      </c>
      <c r="R16" s="73" ph="1">
        <f>MAX(R15*9.0746*LOOKUP(R17,密度!$A$2:$A$50,密度!$B$2:$B$50),0)</f>
        <v>24888.041518080001</v>
      </c>
      <c r="S16" s="73" ph="1">
        <f>S15*9.0746*LOOKUP(S17,密度!$A$2:$A$50,密度!$Q$2:$Q$50)</f>
        <v>48516.246699084004</v>
      </c>
      <c r="T16" s="73" ph="1">
        <f>T15*9.0746*LOOKUP(T17,密度!$A$2:$A$50,密度!$O$2:$O$50)</f>
        <v>19561.861131200003</v>
      </c>
      <c r="U16" s="73" ph="1">
        <f>U15*9.0746*LOOKUP(U17,密度!$A$2:$A$50,密度!$H$2:$H$50)</f>
        <v>47017.358355700002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198.19152201600082</v>
      </c>
      <c r="X16" s="73" ph="1">
        <f>MAX(5600*LOOKUP(X17,密度!$A$2:$A$50,密度!$I$2:$I$50)+X15*9.0476*LOOKUP(X17,密度!$A$2:$A$50,密度!$I$2:$I$50),0)</f>
        <v>11645.037292223999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17943.121278759998</v>
      </c>
      <c r="AB16" s="73" ph="1">
        <f>AB15*9.0746*LOOKUP(AB17,密度!$A$2:$A$50,密度!$L$2:$L$50)</f>
        <v>28858.970323199999</v>
      </c>
      <c r="AC16" s="73" ph="1">
        <f>AC15*9.0746*LOOKUP(AC17,密度!$A$2:$A$50,密度!$L$2:$L$50)</f>
        <v>55906.341950000002</v>
      </c>
      <c r="AD16" s="73" ph="1">
        <f>AD15*268.68*LOOKUP(AD17,密度!$A$2:$A$50,密度!B2:B50)+IF(AD15&lt;=0,0,1566*LOOKUP(AD17,密度!$A$2:$A$50,密度!B2:B50))</f>
        <v>17087.670396000001</v>
      </c>
      <c r="AE16" s="73" ph="1">
        <f>AE15*268.68*LOOKUP(AE17,密度!$A$2:$A$50,密度!B2:B50)+IF(AE15&lt;=0,0,1566*LOOKUP(AE17,密度!$A$2:$A$50,密度!B2:B50))</f>
        <v>2345.6695233599999</v>
      </c>
      <c r="AH16" s="72" ph="1">
        <v>2</v>
      </c>
      <c r="AI16" s="72" t="s" ph="1">
        <v>378</v>
      </c>
      <c r="AZ16" s="72" t="s" ph="1">
        <v>257</v>
      </c>
      <c r="BA16" s="72" ph="1">
        <v>0</v>
      </c>
    </row>
    <row r="17" spans="1:57" ph="1">
      <c r="A17" s="64" t="s" ph="1">
        <v>85</v>
      </c>
      <c r="B17" s="219" ph="1"/>
      <c r="C17" s="79" t="s" ph="1">
        <v>210</v>
      </c>
      <c r="D17" s="74">
        <v>13</v>
      </c>
      <c r="E17" s="74">
        <v>13</v>
      </c>
      <c r="F17" s="74">
        <v>14</v>
      </c>
      <c r="G17" s="74">
        <v>14</v>
      </c>
      <c r="H17" s="74">
        <v>10</v>
      </c>
      <c r="I17" s="74">
        <v>12</v>
      </c>
      <c r="J17" s="74">
        <v>16</v>
      </c>
      <c r="K17" s="74">
        <v>12</v>
      </c>
      <c r="L17" s="74">
        <v>12</v>
      </c>
      <c r="M17" s="74">
        <v>15</v>
      </c>
      <c r="N17" s="74">
        <v>14</v>
      </c>
      <c r="O17" s="74">
        <v>15</v>
      </c>
      <c r="P17" s="74">
        <v>12</v>
      </c>
      <c r="Q17" s="74">
        <v>13</v>
      </c>
      <c r="R17" s="74">
        <v>16</v>
      </c>
      <c r="S17" s="74">
        <v>12</v>
      </c>
      <c r="T17" s="74">
        <v>15</v>
      </c>
      <c r="U17" s="74">
        <v>12</v>
      </c>
      <c r="V17" s="74">
        <v>15</v>
      </c>
      <c r="W17" s="74">
        <v>14</v>
      </c>
      <c r="X17" s="74">
        <v>31</v>
      </c>
      <c r="Y17" s="108">
        <v>31</v>
      </c>
      <c r="Z17" s="74">
        <v>15</v>
      </c>
      <c r="AA17" s="74">
        <v>12</v>
      </c>
      <c r="AB17" s="74">
        <v>20</v>
      </c>
      <c r="AC17" s="74">
        <v>12</v>
      </c>
      <c r="AD17" s="74">
        <v>25</v>
      </c>
      <c r="AE17" s="74">
        <v>25</v>
      </c>
      <c r="AH17" s="64" ph="1">
        <v>3</v>
      </c>
      <c r="AI17" s="64" t="s" ph="1">
        <v>379</v>
      </c>
      <c r="AK17" s="64" t="s" ph="1">
        <v>611</v>
      </c>
      <c r="AL17" s="64" ph="1">
        <v>80</v>
      </c>
      <c r="AM17" s="64" t="s" ph="1">
        <v>376</v>
      </c>
      <c r="AZ17" s="64" t="s" ph="1">
        <v>257</v>
      </c>
      <c r="BA17" s="64" ph="1">
        <v>80</v>
      </c>
      <c r="BD17" s="64" t="s" ph="1">
        <v>255</v>
      </c>
      <c r="BE17" s="64" ph="1">
        <v>2270</v>
      </c>
    </row>
    <row r="18" spans="1:57" ph="1">
      <c r="B18" s="217" ph="1">
        <v>0.66666666666666663</v>
      </c>
      <c r="C18" s="79" t="s" ph="1">
        <v>211</v>
      </c>
      <c r="D18" s="71">
        <v>0</v>
      </c>
      <c r="E18" s="71">
        <v>599</v>
      </c>
      <c r="F18" s="71">
        <v>2192</v>
      </c>
      <c r="G18" s="71">
        <v>2923</v>
      </c>
      <c r="H18" s="71">
        <v>2863</v>
      </c>
      <c r="I18" s="71">
        <v>11</v>
      </c>
      <c r="J18" s="71">
        <v>1954</v>
      </c>
      <c r="K18" s="71">
        <v>1592</v>
      </c>
      <c r="L18" s="71">
        <v>6287</v>
      </c>
      <c r="M18" s="71">
        <v>2969</v>
      </c>
      <c r="N18" s="71">
        <v>3091</v>
      </c>
      <c r="O18" s="71">
        <v>231</v>
      </c>
      <c r="P18" s="71">
        <v>175</v>
      </c>
      <c r="Q18" s="71">
        <v>638</v>
      </c>
      <c r="R18" s="71">
        <v>3490</v>
      </c>
      <c r="S18" s="71">
        <v>5606</v>
      </c>
      <c r="T18" s="71">
        <v>2310</v>
      </c>
      <c r="U18" s="71">
        <v>5590</v>
      </c>
      <c r="V18" s="71">
        <v>-1643</v>
      </c>
      <c r="W18" s="71">
        <v>-596</v>
      </c>
      <c r="X18" s="71">
        <v>625</v>
      </c>
      <c r="Y18" s="109">
        <v>-9902</v>
      </c>
      <c r="Z18" s="71">
        <v>0</v>
      </c>
      <c r="AA18" s="71">
        <v>2504</v>
      </c>
      <c r="AB18" s="71">
        <v>4660</v>
      </c>
      <c r="AC18" s="71">
        <v>6496</v>
      </c>
      <c r="AD18" s="71">
        <v>84.67</v>
      </c>
      <c r="AE18" s="71">
        <v>23.14</v>
      </c>
      <c r="AH18" s="64" ph="1">
        <v>4</v>
      </c>
      <c r="AI18" s="64" t="s" ph="1">
        <v>381</v>
      </c>
      <c r="AJ18" s="64" t="s" ph="1">
        <v>629</v>
      </c>
      <c r="AK18" s="64" t="s" ph="1">
        <v>628</v>
      </c>
      <c r="AL18" s="64" ph="1">
        <v>740</v>
      </c>
      <c r="AM18" s="64" t="s" ph="1">
        <v>380</v>
      </c>
      <c r="AZ18" s="64" t="s" ph="1">
        <v>257</v>
      </c>
      <c r="BA18" s="64" ph="1">
        <v>740</v>
      </c>
    </row>
    <row r="19" spans="1:57" s="72" customFormat="1" ht="22.5" ph="1">
      <c r="B19" s="218" ph="1"/>
      <c r="C19" s="164" t="s" ph="1">
        <v>209</v>
      </c>
      <c r="D19" s="73" ph="1">
        <f>D18*7.0686*LOOKUP(D20,密度!$A$2:$A$50,密度!$L$2:$L$50)</f>
        <v>0</v>
      </c>
      <c r="E19" s="73" ph="1">
        <f>E18*7.0686*LOOKUP(E20,密度!$A$2:$A$50,密度!$L$2:$L$50)</f>
        <v>3992.7481902</v>
      </c>
      <c r="F19" s="73" ph="1">
        <f>F18*9.0746*LOOKUP(F20,密度!$A$2:$A$50,密度!$L$2:$L$50)</f>
        <v>18777.597900799999</v>
      </c>
      <c r="G19" s="73" ph="1">
        <f>G18*9.0746*LOOKUP(G20,密度!$A$2:$A$50,密度!$B$2:$B$50)</f>
        <v>20880.523925760001</v>
      </c>
      <c r="H19" s="73" ph="1">
        <f>H18*9.0746*LOOKUP(H20,密度!$A$2:$A$50,密度!$L$2:$L$50)</f>
        <v>24655.570230199999</v>
      </c>
      <c r="I19" s="73" ph="1">
        <f>I18*9.0746*LOOKUP(I20,密度!$A$2:$A$50,密度!$U$2:$U$50)</f>
        <v>102.6155768</v>
      </c>
      <c r="J19" s="73" ph="1">
        <f>J18*9.0746*LOOKUP(J20,密度!$A$2:$A$50,密度!$L$2:$L$50)</f>
        <v>16703.325832800001</v>
      </c>
      <c r="K19" s="73" ph="1">
        <f>K18*9.0746*LOOKUP(K20,密度!$A$2:$A$50,密度!$C$2:$C$50)</f>
        <v>16092.249528480001</v>
      </c>
      <c r="L19" s="73" ph="1">
        <f>L18*9.0746*LOOKUP(L20,密度!$A$2:$A$50,密度!$E$2:$E$50)</f>
        <v>45276.475294720003</v>
      </c>
      <c r="M19" s="73" ph="1">
        <f>M18*9.0746*LOOKUP(M20,密度!$A$2:$A$50,密度!$M$2:$M$50)</f>
        <v>23717.471658220002</v>
      </c>
      <c r="N19" s="73" ph="1">
        <f>N18*9.0746*LOOKUP(N20,密度!$A$2:$A$50,密度!$M$2:$M$50)</f>
        <v>24692.052844579997</v>
      </c>
      <c r="O19" s="73" ph="1">
        <f>O18*9.0746*LOOKUP(O20,密度!$A$2:$A$50,密度!$G$2:$G$50)</f>
        <v>2027.0569242000001</v>
      </c>
      <c r="P19" s="73" ph="1">
        <f ca="1">P18*9.0746*LOOKUP(P20,密度!$A$2:$A$51,密度!$Q$2:$Q$50)</f>
        <v>1508.1599529500002</v>
      </c>
      <c r="Q19" s="73" ph="1">
        <f>Q18*9.0746*LOOKUP(Q20,密度!$A$2:$A$50,密度!$Q$2:$Q$50)</f>
        <v>5507.236261604</v>
      </c>
      <c r="R19" s="73" ph="1">
        <f>MAX(R18*9.0746*LOOKUP(R20,密度!$A$2:$A$50,密度!$B$2:$B$50),0)</f>
        <v>24832.724571400002</v>
      </c>
      <c r="S19" s="73" ph="1">
        <f>S18*9.0746*LOOKUP(S20,密度!$A$2:$A$50,密度!$Q$2:$Q$50)</f>
        <v>48559.557042504006</v>
      </c>
      <c r="T19" s="73" ph="1">
        <f>T18*9.0746*LOOKUP(T20,密度!$A$2:$A$50,密度!$O$2:$O$50)</f>
        <v>19578.812484000002</v>
      </c>
      <c r="U19" s="73" ph="1">
        <f>U18*9.0746*LOOKUP(U20,密度!$A$2:$A$50,密度!$H$2:$H$50)</f>
        <v>46907.269845800001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197.66621710400068</v>
      </c>
      <c r="X19" s="73" ph="1">
        <f>MAX(5600*LOOKUP(X20,密度!$A$2:$A$50,密度!$I$2:$I$50)+X18*9.0476*LOOKUP(X20,密度!$A$2:$A$50,密度!$I$2:$I$50),0)</f>
        <v>11679.054075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17944.193896479999</v>
      </c>
      <c r="AB19" s="73" ph="1">
        <f>AB18*9.0746*LOOKUP(AB20,密度!$A$2:$A$50,密度!$L$2:$L$50)</f>
        <v>39623.514931999998</v>
      </c>
      <c r="AC19" s="73" ph="1">
        <f>AC18*9.0746*LOOKUP(AC20,密度!$A$2:$A$50,密度!$L$2:$L$50)</f>
        <v>55824.325715200001</v>
      </c>
      <c r="AD19" s="73" ph="1">
        <f>AD18*268.68*LOOKUP(AD20,密度!$A$2:$A$50,密度!B5:B53)+IF(AD18&lt;=0,0,1566*LOOKUP(AD20,密度!$A$2:$A$50,密度!B5:B53))</f>
        <v>18892.860361200001</v>
      </c>
      <c r="AE19" s="73" ph="1">
        <f>AE18*268.68*LOOKUP(AE20,密度!$A$2:$A$50,密度!B5:B53)+IF(AE18&lt;=0,0,1566*LOOKUP(AE20,密度!$A$2:$A$50,密度!B5:B53))</f>
        <v>6047.5892904000011</v>
      </c>
      <c r="AH19" s="72" ph="1">
        <v>5</v>
      </c>
      <c r="AI19" s="72" t="s" ph="1">
        <v>382</v>
      </c>
      <c r="AZ19" s="72" t="s" ph="1">
        <v>257</v>
      </c>
      <c r="BA19" s="72" ph="1">
        <v>0</v>
      </c>
      <c r="BD19" s="72" t="s" ph="1">
        <v>383</v>
      </c>
      <c r="BE19" s="72" ph="1">
        <v>1440</v>
      </c>
    </row>
    <row r="20" spans="1:57" ph="1">
      <c r="A20" s="72" ph="1"/>
      <c r="B20" s="218" ph="1"/>
      <c r="C20" s="80" t="s" ph="1">
        <v>210</v>
      </c>
      <c r="D20" s="81">
        <v>19</v>
      </c>
      <c r="E20" s="81">
        <v>19</v>
      </c>
      <c r="F20" s="81">
        <v>18</v>
      </c>
      <c r="G20" s="81">
        <v>16</v>
      </c>
      <c r="H20" s="81">
        <v>13</v>
      </c>
      <c r="I20" s="81">
        <v>19</v>
      </c>
      <c r="J20" s="81">
        <v>20</v>
      </c>
      <c r="K20" s="81">
        <v>18</v>
      </c>
      <c r="L20" s="81">
        <v>16</v>
      </c>
      <c r="M20" s="81">
        <v>19</v>
      </c>
      <c r="N20" s="81">
        <v>16</v>
      </c>
      <c r="O20" s="81">
        <v>19</v>
      </c>
      <c r="P20" s="81">
        <v>21</v>
      </c>
      <c r="Q20" s="81">
        <v>19</v>
      </c>
      <c r="R20" s="81">
        <v>20</v>
      </c>
      <c r="S20" s="81">
        <v>15</v>
      </c>
      <c r="T20" s="81">
        <v>17</v>
      </c>
      <c r="U20" s="81">
        <v>15</v>
      </c>
      <c r="V20" s="81">
        <v>20</v>
      </c>
      <c r="W20" s="81">
        <v>18</v>
      </c>
      <c r="X20" s="81">
        <v>29</v>
      </c>
      <c r="Y20" s="110">
        <v>29</v>
      </c>
      <c r="Z20" s="81">
        <v>21</v>
      </c>
      <c r="AA20" s="81">
        <v>13</v>
      </c>
      <c r="AB20" s="81">
        <v>25</v>
      </c>
      <c r="AC20" s="81">
        <v>15</v>
      </c>
      <c r="AD20" s="81">
        <v>25</v>
      </c>
      <c r="AE20" s="81">
        <v>25</v>
      </c>
      <c r="AH20" s="64" ph="1">
        <v>6</v>
      </c>
      <c r="AI20" s="64" t="s" ph="1">
        <v>384</v>
      </c>
      <c r="AZ20" s="64" t="s" ph="1">
        <v>257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385</v>
      </c>
      <c r="AZ21" s="64" t="s" ph="1">
        <v>257</v>
      </c>
      <c r="BA21" s="64" ph="1">
        <v>0</v>
      </c>
      <c r="BD21" s="64" t="s" ph="1">
        <v>273</v>
      </c>
      <c r="BE21" s="64" ph="1">
        <v>730</v>
      </c>
    </row>
    <row r="22" spans="1:57" ph="1">
      <c r="A22" s="72" ph="1"/>
      <c r="B22" s="216" t="s" ph="1">
        <v>37</v>
      </c>
      <c r="C22" s="85" t="s" ph="1">
        <v>207</v>
      </c>
      <c r="D22" s="86" t="s" ph="1">
        <v>103</v>
      </c>
      <c r="E22" s="86" t="s" ph="1">
        <v>104</v>
      </c>
      <c r="F22" s="86" t="s" ph="1">
        <v>105</v>
      </c>
      <c r="G22" s="86" t="s" ph="1">
        <v>106</v>
      </c>
      <c r="H22" s="86" t="s" ph="1">
        <v>107</v>
      </c>
      <c r="I22" s="86" t="s" ph="1">
        <v>108</v>
      </c>
      <c r="J22" s="86" t="s" ph="1">
        <v>109</v>
      </c>
      <c r="K22" s="86" t="s" ph="1">
        <v>110</v>
      </c>
      <c r="L22" s="86" t="s" ph="1">
        <v>111</v>
      </c>
      <c r="M22" s="86" t="s" ph="1">
        <v>112</v>
      </c>
      <c r="N22" s="86" t="s" ph="1">
        <v>113</v>
      </c>
      <c r="O22" s="86" t="s" ph="1">
        <v>114</v>
      </c>
      <c r="P22" s="86" t="s" ph="1">
        <v>115</v>
      </c>
      <c r="Q22" s="87" t="s" ph="1">
        <v>116</v>
      </c>
      <c r="R22" s="86" t="s" ph="1">
        <v>117</v>
      </c>
      <c r="S22" s="86" t="s" ph="1">
        <v>118</v>
      </c>
      <c r="T22" s="86" t="s" ph="1">
        <v>119</v>
      </c>
      <c r="U22" s="86" t="s" ph="1">
        <v>120</v>
      </c>
      <c r="V22" s="86" t="s" ph="1">
        <v>121</v>
      </c>
      <c r="W22" s="86" t="s" ph="1">
        <v>122</v>
      </c>
      <c r="X22" s="86" t="s" ph="1">
        <v>123</v>
      </c>
      <c r="Y22" s="86" t="s" ph="1">
        <v>125</v>
      </c>
      <c r="Z22" s="195" t="s" ph="1">
        <v>79</v>
      </c>
      <c r="AA22" s="196"/>
      <c r="AB22" s="196"/>
      <c r="AC22" s="196"/>
      <c r="AD22" s="196"/>
      <c r="AE22" s="197"/>
      <c r="AH22" s="64" ph="1">
        <v>8</v>
      </c>
      <c r="AI22" s="64" t="s" ph="1">
        <v>386</v>
      </c>
      <c r="AZ22" s="64" t="s" ph="1">
        <v>257</v>
      </c>
      <c r="BA22" s="64" ph="1">
        <v>0</v>
      </c>
    </row>
    <row r="23" spans="1:57" ph="1">
      <c r="A23" s="72" ph="1"/>
      <c r="B23" s="211" ph="1"/>
      <c r="C23" s="67" t="s" ph="1">
        <v>36</v>
      </c>
      <c r="D23" s="88" t="s" ph="1">
        <v>127</v>
      </c>
      <c r="E23" s="88" t="s" ph="1">
        <v>124</v>
      </c>
      <c r="F23" s="88" t="s" ph="1">
        <v>127</v>
      </c>
      <c r="G23" s="88" t="s" ph="1">
        <v>679</v>
      </c>
      <c r="H23" s="88" t="s" ph="1">
        <v>679</v>
      </c>
      <c r="I23" s="88" t="s" ph="1">
        <v>680</v>
      </c>
      <c r="J23" s="88" t="s" ph="1">
        <v>681</v>
      </c>
      <c r="K23" s="88" t="s" ph="1">
        <v>682</v>
      </c>
      <c r="L23" s="88" t="s" ph="1">
        <v>682</v>
      </c>
      <c r="M23" s="88" t="s" ph="1">
        <v>675</v>
      </c>
      <c r="N23" s="88" t="s" ph="1">
        <v>675</v>
      </c>
      <c r="O23" s="88" t="s" ph="1">
        <v>359</v>
      </c>
      <c r="P23" s="88" t="s" ph="1">
        <v>666</v>
      </c>
      <c r="Q23" s="89" t="s" ph="1">
        <v>666</v>
      </c>
      <c r="R23" s="88" t="s" ph="1">
        <v>659</v>
      </c>
      <c r="S23" s="88" t="s" ph="1">
        <v>683</v>
      </c>
      <c r="T23" s="88" t="s" ph="1">
        <v>647</v>
      </c>
      <c r="U23" s="88" t="s" ph="1">
        <v>653</v>
      </c>
      <c r="V23" s="88" t="s" ph="1">
        <v>684</v>
      </c>
      <c r="W23" s="88" t="s" ph="1">
        <v>685</v>
      </c>
      <c r="X23" s="88" t="s" ph="1">
        <v>228</v>
      </c>
      <c r="Y23" s="88" t="s" ph="1">
        <v>686</v>
      </c>
      <c r="Z23" s="198" t="s" ph="1">
        <v>687</v>
      </c>
      <c r="AA23" s="199"/>
      <c r="AB23" s="199"/>
      <c r="AC23" s="199"/>
      <c r="AD23" s="199"/>
      <c r="AE23" s="200"/>
      <c r="AH23" s="64" ph="1">
        <v>9</v>
      </c>
      <c r="AI23" s="64" t="s" ph="1">
        <v>387</v>
      </c>
      <c r="AZ23" s="64" t="s" ph="1">
        <v>257</v>
      </c>
      <c r="BA23" s="64" ph="1">
        <v>0</v>
      </c>
      <c r="BD23" s="64" t="s" ph="1">
        <v>279</v>
      </c>
      <c r="BE23" s="64" ph="1">
        <v>890</v>
      </c>
    </row>
    <row r="24" spans="1:57" ph="1">
      <c r="A24" s="72" ph="1"/>
      <c r="B24" s="207" ph="1">
        <v>0.33333333333333331</v>
      </c>
      <c r="C24" s="164" t="s" ph="1">
        <v>208</v>
      </c>
      <c r="D24" s="71">
        <v>98.4</v>
      </c>
      <c r="E24" s="71">
        <v>82</v>
      </c>
      <c r="F24" s="71">
        <v>4008</v>
      </c>
      <c r="G24" s="71">
        <v>2871</v>
      </c>
      <c r="H24" s="71">
        <v>3360</v>
      </c>
      <c r="I24" s="71">
        <v>1442</v>
      </c>
      <c r="J24" s="71">
        <v>425</v>
      </c>
      <c r="K24" s="71">
        <v>5597</v>
      </c>
      <c r="L24" s="71">
        <v>5570</v>
      </c>
      <c r="M24" s="71">
        <v>3729</v>
      </c>
      <c r="N24" s="71">
        <v>1459</v>
      </c>
      <c r="O24" s="71">
        <v>2059</v>
      </c>
      <c r="P24" s="71">
        <v>453</v>
      </c>
      <c r="Q24" s="90">
        <v>2618</v>
      </c>
      <c r="R24" s="71">
        <v>5416</v>
      </c>
      <c r="S24" s="71">
        <v>403</v>
      </c>
      <c r="T24" s="71">
        <v>6</v>
      </c>
      <c r="U24" s="71">
        <v>4814</v>
      </c>
      <c r="V24" s="71">
        <v>413</v>
      </c>
      <c r="W24" s="71">
        <v>6719</v>
      </c>
      <c r="X24" s="71">
        <v>7338</v>
      </c>
      <c r="Y24" s="71">
        <v>4695</v>
      </c>
      <c r="Z24" s="201"/>
      <c r="AA24" s="202"/>
      <c r="AB24" s="202"/>
      <c r="AC24" s="202"/>
      <c r="AD24" s="202"/>
      <c r="AE24" s="203"/>
      <c r="AH24" s="64" ph="1">
        <v>10</v>
      </c>
      <c r="AI24" s="64" t="s" ph="1">
        <v>388</v>
      </c>
      <c r="AZ24" s="64" t="s" ph="1">
        <v>257</v>
      </c>
      <c r="BA24" s="64" ph="1">
        <v>0</v>
      </c>
    </row>
    <row r="25" spans="1:57" ph="1">
      <c r="A25" s="72" ph="1"/>
      <c r="B25" s="207" ph="1"/>
      <c r="C25" s="68" t="s" ph="1">
        <v>209</v>
      </c>
      <c r="D25" s="91" ph="1">
        <f>D24*268.68*LOOKUP(D26,密度!$A$2:$A$50,密度!$Q$2:$Q$50)+IF(D24&lt;=0,0,1566*LOOKUP(D26,密度!$A$2:$A$50,密度!$Q$2:$Q$50))</f>
        <v>26512.612994880004</v>
      </c>
      <c r="E25" s="91" ph="1">
        <f>E24*268.68*LOOKUP(E26,密度!$A$2:$A$50,密度!$C$2:$C$50)+IF(E24&lt;=0,0,1566*LOOKUP(E26,密度!$A$2:$A$50,密度!$C$2:$C$50))</f>
        <v>26167.556064000004</v>
      </c>
      <c r="F25" s="91" ph="1">
        <f>F24*11.702*LOOKUP(F26,密度!$A$2:$A$50,密度!$Q$2:$Q$50)</f>
        <v>44769.468536640001</v>
      </c>
      <c r="G25" s="91" ph="1">
        <f>G24*18.322*LOOKUP(G26,密度!$A$2:$A$50,密度!$B$2:$B$50)</f>
        <v>41450.740056000002</v>
      </c>
      <c r="H25" s="91" ph="1">
        <f>H24*18.322*LOOKUP(H26,密度!$A$2:$A$50,密度!$B$2:$B$50)</f>
        <v>48566.198688000004</v>
      </c>
      <c r="I25" s="91" ph="1">
        <f>I24*18.322*LOOKUP(I26,密度!$A$2:$A$50,密度!$Q$2:$Q$50)</f>
        <v>25219.25607096</v>
      </c>
      <c r="J25" s="91" ph="1">
        <f>J24*18.322*LOOKUP(J26,密度!$A$2:$A$50,密度!$Q$2:$Q$50)</f>
        <v>7432.8597989999998</v>
      </c>
      <c r="K25" s="91" ph="1">
        <f>K24*18.322*LOOKUP(K26,密度!$A$2:$A$50,密度!$Q$2:$Q$50)</f>
        <v>97886.391282359997</v>
      </c>
      <c r="L25" s="91" ph="1">
        <f>L24*18.322*LOOKUP(L26,密度!$A$2:$A$50,密度!$Q$2:$Q$50)</f>
        <v>97414.186071599994</v>
      </c>
      <c r="M25" s="91" ph="1">
        <f>M24*18.322*LOOKUP(M26,密度!$A$2:$A$50,密度!$Q$2:$Q$50)</f>
        <v>65216.786330520001</v>
      </c>
      <c r="N25" s="91" ph="1">
        <f>N24*18.322*LOOKUP(N26,密度!$A$2:$A$50,密度!$Q$2:$Q$50)</f>
        <v>25516.570462920001</v>
      </c>
      <c r="O25" s="91" ph="1">
        <f>O24*18.322*LOOKUP(O26,密度!$A$2:$A$50,密度!$C$2:$C$50)</f>
        <v>42184.092763600005</v>
      </c>
      <c r="P25" s="91" ph="1">
        <f>P24*11.702*LOOKUP(P26,密度!$A$2:$A$50,密度!$B$2:$B$50)</f>
        <v>4190.9753436000001</v>
      </c>
      <c r="Q25" s="92" ph="1">
        <f>Q24*18.322*LOOKUP(Q26,密度!$A$2:$A$50,密度!$B$2:$B$50)</f>
        <v>37841.163144400001</v>
      </c>
      <c r="R25" s="91" ph="1">
        <f>R24*35.891*LOOKUP(R26,密度!$A$2:$A$50,密度!$C$2:$C$50)</f>
        <v>217051.02348959999</v>
      </c>
      <c r="S25" s="91" ph="1">
        <f>S24*35.891*LOOKUP(S26,密度!$A$2:$A$50,密度!$B$2:$B$50)</f>
        <v>11422.278448099998</v>
      </c>
      <c r="T25" s="91" ph="1">
        <f>T24*35.891*LOOKUP(T26,密度!$A$2:$A$50,密度!$Q$2:$Q$50)</f>
        <v>205.55637084000003</v>
      </c>
      <c r="U25" s="91" ph="1">
        <f>U24*35.891</f>
        <v>172779.274</v>
      </c>
      <c r="V25" s="91" ph="1">
        <f>V24*47.051*LOOKUP(V26,密度!$A$2:$A$50,密度!$B$2:$B$50)</f>
        <v>15345.500151100001</v>
      </c>
      <c r="W25" s="91" ph="1">
        <f>W24*47.051*LOOKUP(W26,密度!$A$2:$A$50,密度!$B$2:$B$50)</f>
        <v>249114.90717200001</v>
      </c>
      <c r="X25" s="91" ph="1">
        <f>X24*47.051*LOOKUP(X26,密度!$A$2:$A$50,密度!$I$2:$I$50)</f>
        <v>356384.52286835999</v>
      </c>
      <c r="Y25" s="91" ph="1">
        <f>Y24*47.051*LOOKUP(Y26,密度!$A$2:$A$50,密度!$L$2:$L$50)</f>
        <v>208975.60496999999</v>
      </c>
      <c r="Z25" s="201"/>
      <c r="AA25" s="202"/>
      <c r="AB25" s="202"/>
      <c r="AC25" s="202"/>
      <c r="AD25" s="202"/>
      <c r="AE25" s="203"/>
      <c r="AH25" s="64" ph="1">
        <v>11</v>
      </c>
      <c r="AI25" s="64" t="s" ph="1">
        <v>389</v>
      </c>
      <c r="AZ25" s="64" t="s" ph="1">
        <v>257</v>
      </c>
      <c r="BA25" s="64" ph="1">
        <v>0</v>
      </c>
      <c r="BD25" s="64" t="s" ph="1">
        <v>282</v>
      </c>
      <c r="BE25" s="64" ph="1">
        <v>8920</v>
      </c>
    </row>
    <row r="26" spans="1:57" ph="1">
      <c r="A26" s="72" ph="1"/>
      <c r="B26" s="207" ph="1"/>
      <c r="C26" s="68" t="s" ph="1">
        <v>210</v>
      </c>
      <c r="D26" s="74">
        <v>25</v>
      </c>
      <c r="E26" s="74">
        <v>25</v>
      </c>
      <c r="F26" s="74">
        <v>14</v>
      </c>
      <c r="G26" s="74">
        <v>15</v>
      </c>
      <c r="H26" s="74">
        <v>14</v>
      </c>
      <c r="I26" s="74">
        <v>14</v>
      </c>
      <c r="J26" s="74">
        <v>15</v>
      </c>
      <c r="K26" s="74">
        <v>13</v>
      </c>
      <c r="L26" s="74">
        <v>14</v>
      </c>
      <c r="M26" s="74">
        <v>13</v>
      </c>
      <c r="N26" s="74">
        <v>13</v>
      </c>
      <c r="O26" s="74">
        <v>12</v>
      </c>
      <c r="P26" s="74">
        <v>12</v>
      </c>
      <c r="Q26" s="93">
        <v>14</v>
      </c>
      <c r="R26" s="74">
        <v>14</v>
      </c>
      <c r="S26" s="74">
        <v>13</v>
      </c>
      <c r="T26" s="74">
        <v>14</v>
      </c>
      <c r="U26" s="74">
        <v>14</v>
      </c>
      <c r="V26" s="74">
        <v>13</v>
      </c>
      <c r="W26" s="74">
        <v>15</v>
      </c>
      <c r="X26" s="74">
        <v>46</v>
      </c>
      <c r="Y26" s="74">
        <v>16</v>
      </c>
      <c r="Z26" s="201"/>
      <c r="AA26" s="202"/>
      <c r="AB26" s="202"/>
      <c r="AC26" s="202"/>
      <c r="AD26" s="202"/>
      <c r="AE26" s="203"/>
      <c r="AH26" s="64" ph="1">
        <v>12</v>
      </c>
      <c r="AI26" s="64" t="s" ph="1">
        <v>390</v>
      </c>
      <c r="AZ26" s="64" t="s" ph="1">
        <v>257</v>
      </c>
      <c r="BA26" s="64" ph="1">
        <v>0</v>
      </c>
    </row>
    <row r="27" spans="1:57" ph="1">
      <c r="A27" s="72" ph="1"/>
      <c r="B27" s="207" ph="1">
        <v>0.66666666666666663</v>
      </c>
      <c r="C27" s="164" t="s" ph="1">
        <v>211</v>
      </c>
      <c r="D27" s="71">
        <v>98.57</v>
      </c>
      <c r="E27" s="71">
        <v>19.3</v>
      </c>
      <c r="F27" s="71">
        <v>4011</v>
      </c>
      <c r="G27" s="71">
        <v>2407</v>
      </c>
      <c r="H27" s="71">
        <v>3153</v>
      </c>
      <c r="I27" s="71">
        <v>1872</v>
      </c>
      <c r="J27" s="71">
        <v>420</v>
      </c>
      <c r="K27" s="71">
        <v>5599</v>
      </c>
      <c r="L27" s="71">
        <v>5570</v>
      </c>
      <c r="M27" s="71">
        <v>3730</v>
      </c>
      <c r="N27" s="71">
        <v>1457</v>
      </c>
      <c r="O27" s="71">
        <v>2057</v>
      </c>
      <c r="P27" s="71">
        <v>448</v>
      </c>
      <c r="Q27" s="90">
        <v>2404</v>
      </c>
      <c r="R27" s="71">
        <v>6077</v>
      </c>
      <c r="S27" s="71">
        <v>1022</v>
      </c>
      <c r="T27" s="71">
        <v>2</v>
      </c>
      <c r="U27" s="71">
        <v>5068</v>
      </c>
      <c r="V27" s="71">
        <v>407</v>
      </c>
      <c r="W27" s="71">
        <v>8155</v>
      </c>
      <c r="X27" s="71">
        <v>7093</v>
      </c>
      <c r="Y27" s="71">
        <v>4913</v>
      </c>
      <c r="Z27" s="201"/>
      <c r="AA27" s="202"/>
      <c r="AB27" s="202"/>
      <c r="AC27" s="202"/>
      <c r="AD27" s="202"/>
      <c r="AE27" s="203"/>
      <c r="AH27" s="64" ph="1">
        <v>13</v>
      </c>
      <c r="AI27" s="64" t="s" ph="1">
        <v>391</v>
      </c>
      <c r="AZ27" s="64" t="s" ph="1">
        <v>257</v>
      </c>
      <c r="BA27" s="64" ph="1">
        <v>0</v>
      </c>
      <c r="BD27" s="64" t="s" ph="1">
        <v>336</v>
      </c>
      <c r="BE27" s="64" ph="1">
        <v>7100</v>
      </c>
    </row>
    <row r="28" spans="1:57" ph="1">
      <c r="A28" s="72" ph="1"/>
      <c r="B28" s="207" ph="1"/>
      <c r="C28" s="164" t="s" ph="1">
        <v>209</v>
      </c>
      <c r="D28" s="91" ph="1">
        <f>D27*268.68*LOOKUP(D29,密度!$A$2:$A$50,密度!$Q$2:$Q$50)+IF(D27&lt;=0,0,1566*LOOKUP(D29,密度!$A$2:$A$50,密度!$Q$2:$Q$50))</f>
        <v>26555.855912424002</v>
      </c>
      <c r="E28" s="91" ph="1">
        <f>E27*268.68*LOOKUP(E29,密度!$A$2:$A$50,密度!$C$2:$C$50)+IF(E27&lt;=0,0,1566*LOOKUP(E29,密度!$A$2:$A$50,密度!$C$2:$C$50))</f>
        <v>7486.7649636000006</v>
      </c>
      <c r="F28" s="91" ph="1">
        <f>F27*11.702*LOOKUP(F29,密度!$A$2:$A$50,密度!$Q$2:$Q$50)</f>
        <v>44802.978617880006</v>
      </c>
      <c r="G28" s="91" ph="1">
        <f>G27*18.322*LOOKUP(G29,密度!$A$2:$A$50,密度!$B$2:$B$50)</f>
        <v>34751.630551999995</v>
      </c>
      <c r="H28" s="91" ph="1">
        <f>H27*18.322*LOOKUP(H29,密度!$A$2:$A$50,密度!$B$2:$B$50)</f>
        <v>45522.181607999999</v>
      </c>
      <c r="I28" s="91" ph="1">
        <f>I27*18.322*LOOKUP(I29,密度!$A$2:$A$50,密度!$Q$2:$Q$50)</f>
        <v>32739.561279360001</v>
      </c>
      <c r="J28" s="91" ph="1">
        <f>J27*18.322*LOOKUP(J29,密度!$A$2:$A$50,密度!$Q$2:$Q$50)</f>
        <v>7332.0246719999996</v>
      </c>
      <c r="K28" s="91" ph="1">
        <f>K27*18.322*LOOKUP(K29,密度!$A$2:$A$50,密度!$Q$2:$Q$50)</f>
        <v>97921.369446120007</v>
      </c>
      <c r="L28" s="91" ph="1">
        <f>L27*18.322*LOOKUP(L29,密度!$A$2:$A$50,密度!$Q$2:$Q$50)</f>
        <v>97414.186071599994</v>
      </c>
      <c r="M28" s="91" ph="1">
        <f>M27*18.322*LOOKUP(M29,密度!$A$2:$A$50,密度!$Q$2:$Q$50)</f>
        <v>65234.275412399998</v>
      </c>
      <c r="N28" s="91" ph="1">
        <f>N27*18.322*LOOKUP(N29,密度!$A$2:$A$50,密度!$Q$2:$Q$50)</f>
        <v>25481.592299160002</v>
      </c>
      <c r="O28" s="91" ph="1">
        <f>O27*18.322*LOOKUP(O29,密度!$A$2:$A$50,密度!$C$2:$C$50)</f>
        <v>42082.816076399999</v>
      </c>
      <c r="P28" s="91" ph="1">
        <f>P27*11.702*LOOKUP(P29,密度!$A$2:$A$50,密度!$B$2:$B$50)</f>
        <v>4135.8050944000006</v>
      </c>
      <c r="Q28" s="92" ph="1">
        <f>Q27*18.322*LOOKUP(Q29,密度!$A$2:$A$50,密度!$B$2:$B$50)</f>
        <v>34708.317343999996</v>
      </c>
      <c r="R28" s="91" ph="1">
        <f>R27*35.891*LOOKUP(R29,密度!$A$2:$A$50,密度!$C$2:$C$50)</f>
        <v>243366.69949059997</v>
      </c>
      <c r="S28" s="91" ph="1">
        <f>S27*35.891*LOOKUP(S29,密度!$A$2:$A$50,密度!$B$2:$B$50)</f>
        <v>28937.326917800001</v>
      </c>
      <c r="T28" s="91" ph="1">
        <f>T27*35.891*LOOKUP(T29,密度!$A$2:$A$50,密度!$Q$2:$Q$50)</f>
        <v>68.518790280000005</v>
      </c>
      <c r="U28" s="91" ph="1">
        <f>U27*35.891</f>
        <v>181895.58799999999</v>
      </c>
      <c r="V28" s="91" ph="1">
        <f>V27*47.051*LOOKUP(V29,密度!$A$2:$A$50,密度!$B$2:$B$50)</f>
        <v>15107.243297300001</v>
      </c>
      <c r="W28" s="91" ph="1">
        <f>W27*47.051*LOOKUP(W29,密度!$A$2:$A$50,密度!$B$2:$B$50)</f>
        <v>302356.31314000004</v>
      </c>
      <c r="X28" s="91" ph="1">
        <f>X27*47.051*LOOKUP(X29,密度!$A$2:$A$50,密度!$I$2:$I$50)</f>
        <v>345626.97796051996</v>
      </c>
      <c r="Y28" s="91" ph="1">
        <f>Y27*47.051*LOOKUP(Y29,密度!$A$2:$A$50,密度!$L$2:$L$50)</f>
        <v>218216.515472</v>
      </c>
      <c r="Z28" s="201"/>
      <c r="AA28" s="202"/>
      <c r="AB28" s="202"/>
      <c r="AC28" s="202"/>
      <c r="AD28" s="202"/>
      <c r="AE28" s="203"/>
      <c r="AH28" s="64" ph="1">
        <v>14</v>
      </c>
      <c r="AI28" s="64" t="s" ph="1">
        <v>392</v>
      </c>
      <c r="AZ28" s="64" t="s" ph="1">
        <v>257</v>
      </c>
      <c r="BA28" s="64" ph="1">
        <v>0</v>
      </c>
    </row>
    <row r="29" spans="1:57" ph="1">
      <c r="A29" s="72" ph="1"/>
      <c r="B29" s="207" ph="1"/>
      <c r="C29" s="164" t="s" ph="1">
        <v>210</v>
      </c>
      <c r="D29" s="74">
        <v>25</v>
      </c>
      <c r="E29" s="74">
        <v>25</v>
      </c>
      <c r="F29" s="74">
        <v>15</v>
      </c>
      <c r="G29" s="74">
        <v>15</v>
      </c>
      <c r="H29" s="74">
        <v>15</v>
      </c>
      <c r="I29" s="74">
        <v>15</v>
      </c>
      <c r="J29" s="74">
        <v>17</v>
      </c>
      <c r="K29" s="74">
        <v>15</v>
      </c>
      <c r="L29" s="74">
        <v>14</v>
      </c>
      <c r="M29" s="74">
        <v>12</v>
      </c>
      <c r="N29" s="74">
        <v>13</v>
      </c>
      <c r="O29" s="74">
        <v>14</v>
      </c>
      <c r="P29" s="74">
        <v>14</v>
      </c>
      <c r="Q29" s="93">
        <v>15</v>
      </c>
      <c r="R29" s="74">
        <v>15</v>
      </c>
      <c r="S29" s="74">
        <v>14</v>
      </c>
      <c r="T29" s="74">
        <v>15</v>
      </c>
      <c r="U29" s="74">
        <v>15</v>
      </c>
      <c r="V29" s="74">
        <v>14</v>
      </c>
      <c r="W29" s="74">
        <v>15</v>
      </c>
      <c r="X29" s="74">
        <v>50</v>
      </c>
      <c r="Y29" s="74">
        <v>18</v>
      </c>
      <c r="Z29" s="204"/>
      <c r="AA29" s="205"/>
      <c r="AB29" s="205"/>
      <c r="AC29" s="205"/>
      <c r="AD29" s="205"/>
      <c r="AE29" s="206"/>
      <c r="AH29" s="64" ph="1">
        <v>15</v>
      </c>
      <c r="AI29" s="64" t="s" ph="1">
        <v>393</v>
      </c>
      <c r="AZ29" s="64" t="s" ph="1">
        <v>257</v>
      </c>
      <c r="BA29" s="64" ph="1">
        <v>0</v>
      </c>
      <c r="BD29" s="64" t="s" ph="1">
        <v>394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395</v>
      </c>
      <c r="AZ30" s="64" t="s" ph="1">
        <v>257</v>
      </c>
      <c r="BA30" s="64" ph="1">
        <v>0</v>
      </c>
    </row>
    <row r="31" spans="1:57" ht="28.5" ph="1">
      <c r="A31" s="64"/>
      <c r="B31" s="220" t="s" ph="1">
        <v>35</v>
      </c>
      <c r="C31" s="221" ph="1"/>
      <c r="D31" s="224" t="s" ph="1">
        <v>9</v>
      </c>
      <c r="E31" s="213" ph="1"/>
      <c r="F31" s="214" ph="1"/>
      <c r="G31" s="224" t="s" ph="1">
        <v>18</v>
      </c>
      <c r="H31" s="213" ph="1"/>
      <c r="I31" s="214" ph="1"/>
      <c r="J31" s="212" t="s" ph="1">
        <v>1</v>
      </c>
      <c r="K31" s="213" ph="1"/>
      <c r="L31" s="214" ph="1"/>
      <c r="M31" s="212" t="s" ph="1">
        <v>7</v>
      </c>
      <c r="N31" s="213" ph="1"/>
      <c r="O31" s="214" ph="1"/>
      <c r="P31" s="212" t="s" ph="1">
        <v>42</v>
      </c>
      <c r="Q31" s="213"/>
      <c r="R31" s="214"/>
      <c r="S31" s="212" t="s" ph="1">
        <v>2</v>
      </c>
      <c r="T31" s="213"/>
      <c r="U31" s="214"/>
      <c r="V31" s="212" t="s" ph="1">
        <v>81</v>
      </c>
      <c r="W31" s="213" ph="1"/>
      <c r="X31" s="214" ph="1"/>
      <c r="Y31" s="212" t="s" ph="1">
        <v>3</v>
      </c>
      <c r="Z31" s="213" ph="1"/>
      <c r="AA31" s="214" ph="1"/>
      <c r="AB31" s="235" t="s">
        <v>43</v>
      </c>
      <c r="AC31" s="236"/>
      <c r="AD31" s="236"/>
      <c r="AE31" s="237"/>
      <c r="AH31" s="64" ph="1">
        <v>17</v>
      </c>
      <c r="AI31" s="64" t="s" ph="1">
        <v>396</v>
      </c>
      <c r="AZ31" s="64" t="s" ph="1">
        <v>257</v>
      </c>
      <c r="BA31" s="64" ph="1">
        <v>0</v>
      </c>
      <c r="BD31" s="64" t="s" ph="1">
        <v>397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64" t="s" ph="1">
        <v>5</v>
      </c>
      <c r="F32" s="165" t="s" ph="1">
        <v>44</v>
      </c>
      <c r="G32" s="97" t="s" ph="1">
        <v>4</v>
      </c>
      <c r="H32" s="164" t="s" ph="1">
        <v>5</v>
      </c>
      <c r="I32" s="165" t="s" ph="1">
        <v>44</v>
      </c>
      <c r="J32" s="97" t="s" ph="1">
        <v>4</v>
      </c>
      <c r="K32" s="164" t="s" ph="1">
        <v>5</v>
      </c>
      <c r="L32" s="165" t="s" ph="1">
        <v>44</v>
      </c>
      <c r="M32" s="97" t="s" ph="1">
        <v>4</v>
      </c>
      <c r="N32" s="164" t="s" ph="1">
        <v>5</v>
      </c>
      <c r="O32" s="165" t="s" ph="1">
        <v>44</v>
      </c>
      <c r="P32" s="97" t="s" ph="1">
        <v>4</v>
      </c>
      <c r="Q32" s="98" t="s" ph="1">
        <v>5</v>
      </c>
      <c r="R32" s="99" t="s" ph="1">
        <v>44</v>
      </c>
      <c r="S32" s="97" t="s" ph="1">
        <v>4</v>
      </c>
      <c r="T32" s="164" t="s" ph="1">
        <v>5</v>
      </c>
      <c r="U32" s="99" t="s" ph="1">
        <v>44</v>
      </c>
      <c r="V32" s="97" t="s" ph="1">
        <v>4</v>
      </c>
      <c r="W32" s="164" t="s" ph="1">
        <v>5</v>
      </c>
      <c r="X32" s="99" t="s" ph="1">
        <v>44</v>
      </c>
      <c r="Y32" s="100" t="s" ph="1">
        <v>4</v>
      </c>
      <c r="Z32" s="164" t="s" ph="1">
        <v>5</v>
      </c>
      <c r="AA32" s="165" t="s" ph="1">
        <v>44</v>
      </c>
      <c r="AB32" s="97" t="s" ph="1">
        <v>102</v>
      </c>
      <c r="AC32" s="164" t="s" ph="1">
        <v>101</v>
      </c>
      <c r="AD32" s="238" t="s" ph="1">
        <v>100</v>
      </c>
      <c r="AE32" s="239"/>
      <c r="AH32" s="64" ph="1">
        <v>18</v>
      </c>
      <c r="AI32" s="64" t="s" ph="1">
        <v>398</v>
      </c>
      <c r="AZ32" s="64" t="s" ph="1">
        <v>257</v>
      </c>
      <c r="BA32" s="64" ph="1">
        <v>0</v>
      </c>
    </row>
    <row r="33" spans="1:57" ph="1">
      <c r="A33" s="64"/>
      <c r="B33" s="225" t="s" ph="1">
        <v>212</v>
      </c>
      <c r="C33" s="226" ph="1"/>
      <c r="D33" s="229" ph="1">
        <f>AA10+AB10+Z19</f>
        <v>112915.5682423</v>
      </c>
      <c r="E33" s="229" ph="1">
        <f>M10+I10</f>
        <v>167930.12224640002</v>
      </c>
      <c r="F33" s="23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[[#This Row],[F25]]</f>
        <v>3880</v>
      </c>
      <c r="G33" s="233" ph="1">
        <v>0</v>
      </c>
      <c r="H33" s="229" ph="1">
        <f>N19</f>
        <v>24692.052844579997</v>
      </c>
      <c r="I33" s="242" ph="1">
        <v>0</v>
      </c>
      <c r="J33" s="240" ph="1">
        <f>F10+O28</f>
        <v>140957.62047389999</v>
      </c>
      <c r="K33" s="229" ph="1">
        <f>O10+K10+E28+R28</f>
        <v>376721.5871526</v>
      </c>
      <c r="L33" s="244" ph="1">
        <f>BE27</f>
        <v>7100</v>
      </c>
      <c r="M33" s="240" ph="1">
        <f>G10+H10+W28+S28</f>
        <v>763133.9206498001</v>
      </c>
      <c r="N33" s="229" ph="1">
        <f>L10+P10++G28+H28+V28</f>
        <v>339496.08991330006</v>
      </c>
      <c r="O33" s="242" ph="1">
        <f>BE17</f>
        <v>2270</v>
      </c>
      <c r="P33" s="240" ph="1">
        <f>L19</f>
        <v>45276.475294720003</v>
      </c>
      <c r="Q33" s="229" ph="1">
        <f>J10+N10</f>
        <v>148479.81539840001</v>
      </c>
      <c r="R33" s="242" ph="1">
        <f>BE23</f>
        <v>890</v>
      </c>
      <c r="S33" s="240" ph="1">
        <f>E10+X28</f>
        <v>345626.97796051996</v>
      </c>
      <c r="T33" s="229" ph="1">
        <f>X19</f>
        <v>11679.054075</v>
      </c>
      <c r="U33" s="250" ph="1">
        <f>BE21</f>
        <v>730</v>
      </c>
      <c r="V33" s="261" ph="1">
        <f ca="1">P19+Q19+S19+M28+N28+J28</f>
        <v>153622.845640618</v>
      </c>
      <c r="W33" s="261" ph="1">
        <f>D28+F28+V19+T28</f>
        <v>71427.353320584007</v>
      </c>
      <c r="X33" s="242" ph="1">
        <f>BE29+BE31</f>
        <v>10200</v>
      </c>
      <c r="Y33" s="263" ph="1">
        <f>+Q10+R10+S10+T10+U10+V10+W10+X10+Y10</f>
        <v>247197.07795860001</v>
      </c>
      <c r="Z33" s="248" ph="1">
        <f>D10+T19+U19+Y28+Z10</f>
        <v>508099.00883020001</v>
      </c>
      <c r="AA33" s="250" ph="1">
        <f>BE19</f>
        <v>1440</v>
      </c>
      <c r="AB33" s="252" ph="1">
        <f>I19</f>
        <v>102.6155768</v>
      </c>
      <c r="AC33" s="254" ph="1">
        <f>AD10</f>
        <v>5218.5368799999997</v>
      </c>
      <c r="AD33" s="256" ph="1">
        <v>0</v>
      </c>
      <c r="AE33" s="257"/>
      <c r="AH33" s="64" ph="1">
        <v>19</v>
      </c>
      <c r="AI33" s="64" t="s" ph="1">
        <v>399</v>
      </c>
      <c r="AJ33" s="64" t="s" ph="1">
        <v>633</v>
      </c>
      <c r="AK33" s="64" t="s" ph="1">
        <v>630</v>
      </c>
      <c r="AL33" s="64" ph="1">
        <v>730</v>
      </c>
      <c r="AM33" s="64" t="s" ph="1">
        <v>380</v>
      </c>
      <c r="AZ33" s="64" t="s" ph="1">
        <v>257</v>
      </c>
      <c r="BA33" s="64" ph="1">
        <v>730</v>
      </c>
      <c r="BD33" s="64" t="s" ph="1">
        <v>331</v>
      </c>
      <c r="BE33" s="64" ph="1">
        <v>3880</v>
      </c>
    </row>
    <row r="34" spans="1:57" ph="1">
      <c r="A34" s="64"/>
      <c r="B34" s="227" ph="1"/>
      <c r="C34" s="228" ph="1"/>
      <c r="D34" s="230" ph="1"/>
      <c r="E34" s="230" ph="1"/>
      <c r="F34" s="232" ph="1"/>
      <c r="G34" s="234" ph="1"/>
      <c r="H34" s="230" ph="1"/>
      <c r="I34" s="243" ph="1"/>
      <c r="J34" s="241" ph="1"/>
      <c r="K34" s="230" ph="1"/>
      <c r="L34" s="245" ph="1"/>
      <c r="M34" s="241" ph="1"/>
      <c r="N34" s="230" ph="1"/>
      <c r="O34" s="243" ph="1"/>
      <c r="P34" s="241" ph="1"/>
      <c r="Q34" s="230" ph="1"/>
      <c r="R34" s="243" ph="1"/>
      <c r="S34" s="241" ph="1"/>
      <c r="T34" s="230"/>
      <c r="U34" s="251"/>
      <c r="V34" s="262" ph="1"/>
      <c r="W34" s="262" ph="1"/>
      <c r="X34" s="243" ph="1"/>
      <c r="Y34" s="264" ph="1"/>
      <c r="Z34" s="249" ph="1"/>
      <c r="AA34" s="251" ph="1"/>
      <c r="AB34" s="253"/>
      <c r="AC34" s="255"/>
      <c r="AD34" s="258"/>
      <c r="AE34" s="259"/>
      <c r="AH34" s="64" ph="1">
        <v>20</v>
      </c>
      <c r="AI34" s="64" t="s" ph="1">
        <v>400</v>
      </c>
      <c r="AJ34" s="64" t="s" ph="1">
        <v>634</v>
      </c>
      <c r="AK34" s="64" t="s" ph="1">
        <v>630</v>
      </c>
      <c r="AL34" s="64" ph="1">
        <v>720</v>
      </c>
      <c r="AM34" s="64" t="s" ph="1">
        <v>380</v>
      </c>
      <c r="AZ34" s="64" t="s" ph="1">
        <v>257</v>
      </c>
      <c r="BA34" s="64" ph="1">
        <v>720</v>
      </c>
    </row>
    <row r="35" spans="1:57" ph="1">
      <c r="A35" s="64"/>
      <c r="AC35" s="260" t="s" ph="1">
        <v>84</v>
      </c>
      <c r="AD35" s="260"/>
      <c r="AE35" s="260"/>
      <c r="AH35" s="64" ph="1">
        <v>21</v>
      </c>
      <c r="AI35" s="64" t="s" ph="1">
        <v>401</v>
      </c>
      <c r="AZ35" s="64" t="s" ph="1">
        <v>257</v>
      </c>
      <c r="BA35" s="64" ph="1">
        <v>0</v>
      </c>
      <c r="BD35" s="64" t="s" ph="1">
        <v>402</v>
      </c>
      <c r="BE35" s="64" ph="1">
        <v>2030</v>
      </c>
    </row>
    <row r="36" spans="1:57" ht="28.5" ph="1">
      <c r="A36" s="64"/>
      <c r="B36" s="103" t="s" ph="1">
        <v>213</v>
      </c>
      <c r="I36" s="246" t="s" ph="1">
        <v>214</v>
      </c>
      <c r="J36" s="246" ph="1"/>
      <c r="K36" s="101" ph="1"/>
      <c r="P36" s="101" ph="1"/>
      <c r="R36" s="246" t="s" ph="1">
        <v>215</v>
      </c>
      <c r="S36" s="246" ph="1"/>
      <c r="Y36" s="102" ph="1"/>
      <c r="Z36" s="166" t="s" ph="1">
        <v>216</v>
      </c>
      <c r="AA36" s="166" ph="1"/>
      <c r="AB36" s="247" t="s" ph="1">
        <v>655</v>
      </c>
      <c r="AC36" s="247" ph="1"/>
      <c r="AD36" s="247" ph="1"/>
      <c r="AE36" s="247" ph="1"/>
      <c r="BA36" s="64" ph="1">
        <v>2270</v>
      </c>
    </row>
    <row r="37" spans="1:57" s="166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6" t="s" ph="1">
        <v>383</v>
      </c>
      <c r="AI37" s="166" t="s" ph="1">
        <v>250</v>
      </c>
      <c r="AJ37" s="166" t="s" ph="1">
        <v>251</v>
      </c>
      <c r="AK37" s="166" t="s" ph="1">
        <v>252</v>
      </c>
      <c r="AM37" s="166" t="s" ph="1">
        <v>251</v>
      </c>
      <c r="AN37" s="166" t="s" ph="1">
        <v>252</v>
      </c>
      <c r="AO37" s="166" t="s" ph="1">
        <v>253</v>
      </c>
      <c r="AP37" s="166" t="s" ph="1">
        <v>251</v>
      </c>
      <c r="AQ37" s="166" t="s" ph="1">
        <v>252</v>
      </c>
      <c r="AR37" s="166" t="s" ph="1">
        <v>253</v>
      </c>
      <c r="AS37" s="166" t="s" ph="1">
        <v>251</v>
      </c>
      <c r="AT37" s="166" t="s" ph="1">
        <v>252</v>
      </c>
      <c r="AU37" s="166" t="s" ph="1">
        <v>253</v>
      </c>
      <c r="AV37" s="166" t="s" ph="1">
        <v>251</v>
      </c>
      <c r="AW37" s="166" t="s" ph="1">
        <v>252</v>
      </c>
      <c r="AX37" s="166" t="s" ph="1">
        <v>253</v>
      </c>
      <c r="AY37" s="166" t="s" ph="1">
        <v>252</v>
      </c>
      <c r="AZ37" s="166" t="s" ph="1">
        <v>254</v>
      </c>
      <c r="BD37" s="166" t="s" ph="1">
        <v>346</v>
      </c>
      <c r="BE37" s="166" ph="1">
        <v>0</v>
      </c>
    </row>
    <row r="38" spans="1:57" ph="1">
      <c r="AE38" s="64" ph="1"/>
      <c r="AH38" s="64" ph="1">
        <v>1</v>
      </c>
      <c r="AI38" s="64" t="s" ph="1">
        <v>403</v>
      </c>
      <c r="AY38" s="64" t="s" ph="1">
        <v>257</v>
      </c>
      <c r="AZ38" s="64" t="s" ph="1">
        <v>408</v>
      </c>
    </row>
    <row r="39" spans="1:57" ph="1">
      <c r="AH39" s="64" ph="1">
        <v>2</v>
      </c>
      <c r="AI39" s="64" t="s" ph="1">
        <v>405</v>
      </c>
      <c r="AJ39" s="64" t="s" ph="1">
        <v>377</v>
      </c>
      <c r="AK39" s="64" t="s" ph="1">
        <v>406</v>
      </c>
      <c r="AM39" s="64" t="s" ph="1">
        <v>611</v>
      </c>
      <c r="AN39" s="64" t="s" ph="1">
        <v>269</v>
      </c>
      <c r="AO39" s="64" t="s" ph="1">
        <v>404</v>
      </c>
      <c r="AY39" s="64" t="s" ph="1">
        <v>257</v>
      </c>
      <c r="AZ39" s="64" t="s" ph="1">
        <v>540</v>
      </c>
    </row>
    <row r="40" spans="1:57" ph="1">
      <c r="AH40" s="64" ph="1">
        <v>3</v>
      </c>
      <c r="AI40" s="64" t="s" ph="1">
        <v>407</v>
      </c>
      <c r="AJ40" s="64" t="s" ph="1">
        <v>611</v>
      </c>
      <c r="AK40" s="64" t="s" ph="1">
        <v>612</v>
      </c>
      <c r="AY40" s="64" t="s" ph="1">
        <v>257</v>
      </c>
      <c r="AZ40" s="64" t="s" ph="1">
        <v>612</v>
      </c>
    </row>
    <row r="41" spans="1:57" ph="1">
      <c r="AH41" s="64" ph="1">
        <v>4</v>
      </c>
      <c r="AI41" s="64" t="s" ph="1">
        <v>409</v>
      </c>
      <c r="AJ41" s="64" t="s" ph="1">
        <v>613</v>
      </c>
      <c r="AK41" s="64" t="s" ph="1">
        <v>614</v>
      </c>
      <c r="AM41" s="64" t="s" ph="1">
        <v>615</v>
      </c>
      <c r="AY41" s="64" t="s" ph="1">
        <v>257</v>
      </c>
      <c r="AZ41" s="64" t="s" ph="1">
        <v>614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410</v>
      </c>
      <c r="AY42" s="64" t="s" ph="1">
        <v>257</v>
      </c>
      <c r="AZ42" s="64" t="s" ph="1">
        <v>408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411</v>
      </c>
      <c r="AY43" s="64" t="s" ph="1">
        <v>257</v>
      </c>
      <c r="AZ43" s="64" t="s" ph="1">
        <v>408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412</v>
      </c>
      <c r="AV44" s="64" t="s" ph="1">
        <v>258</v>
      </c>
      <c r="AY44" s="64" t="s" ph="1">
        <v>257</v>
      </c>
      <c r="AZ44" s="64" t="s" ph="1">
        <v>408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413</v>
      </c>
      <c r="AV45" s="64" t="s" ph="1">
        <v>258</v>
      </c>
      <c r="AY45" s="64" t="s" ph="1">
        <v>257</v>
      </c>
      <c r="AZ45" s="64" t="s" ph="1">
        <v>408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414</v>
      </c>
      <c r="AV46" s="64" t="s" ph="1">
        <v>258</v>
      </c>
      <c r="AY46" s="64" t="s" ph="1">
        <v>257</v>
      </c>
      <c r="AZ46" s="64" t="s" ph="1">
        <v>408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415</v>
      </c>
      <c r="AV47" s="64" t="s" ph="1">
        <v>258</v>
      </c>
      <c r="AY47" s="64" t="s" ph="1">
        <v>257</v>
      </c>
      <c r="AZ47" s="64" t="s" ph="1">
        <v>408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616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273</v>
      </c>
      <c r="AI49" s="64" t="s" ph="1">
        <v>250</v>
      </c>
      <c r="AJ49" s="64" t="s" ph="1">
        <v>251</v>
      </c>
      <c r="AK49" s="64" t="s" ph="1">
        <v>252</v>
      </c>
      <c r="AM49" s="64" t="s" ph="1">
        <v>251</v>
      </c>
      <c r="AN49" s="64" t="s" ph="1">
        <v>252</v>
      </c>
      <c r="AO49" s="64" t="s" ph="1">
        <v>253</v>
      </c>
      <c r="AP49" s="64" t="s" ph="1">
        <v>251</v>
      </c>
      <c r="AQ49" s="64" t="s" ph="1">
        <v>252</v>
      </c>
      <c r="AR49" s="64" t="s" ph="1">
        <v>253</v>
      </c>
      <c r="AS49" s="64" t="s" ph="1">
        <v>251</v>
      </c>
      <c r="AT49" s="64" t="s" ph="1">
        <v>252</v>
      </c>
      <c r="AU49" s="64" t="s" ph="1">
        <v>253</v>
      </c>
      <c r="AV49" s="64" t="s" ph="1">
        <v>251</v>
      </c>
      <c r="AW49" s="64" t="s" ph="1">
        <v>252</v>
      </c>
      <c r="AX49" s="64" t="s" ph="1">
        <v>253</v>
      </c>
      <c r="AY49" s="64" t="s" ph="1">
        <v>252</v>
      </c>
      <c r="AZ49" s="64" t="s" ph="1">
        <v>254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416</v>
      </c>
      <c r="AY50" s="64" t="s" ph="1">
        <v>257</v>
      </c>
      <c r="AZ50" s="64" t="s" ph="1">
        <v>408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417</v>
      </c>
      <c r="AY51" s="64" t="s" ph="1">
        <v>257</v>
      </c>
      <c r="AZ51" s="64" t="s" ph="1">
        <v>408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418</v>
      </c>
      <c r="AJ52" s="64" t="s" ph="1">
        <v>375</v>
      </c>
      <c r="AK52" s="64" t="s" ph="1">
        <v>269</v>
      </c>
      <c r="AM52" s="64" t="s" ph="1">
        <v>377</v>
      </c>
      <c r="AN52" s="64" t="s" ph="1">
        <v>341</v>
      </c>
      <c r="AO52" s="64" t="s" ph="1">
        <v>274</v>
      </c>
      <c r="AP52" s="64" t="s" ph="1">
        <v>611</v>
      </c>
      <c r="AQ52" s="64" t="s" ph="1">
        <v>323</v>
      </c>
      <c r="AR52" s="64" t="s" ph="1">
        <v>274</v>
      </c>
      <c r="AY52" s="64" t="s" ph="1">
        <v>257</v>
      </c>
      <c r="AZ52" s="64" t="s" ph="1">
        <v>617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419</v>
      </c>
      <c r="AY53" s="64" t="s" ph="1">
        <v>257</v>
      </c>
      <c r="AZ53" s="64" t="s" ph="1">
        <v>408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420</v>
      </c>
      <c r="AJ54" s="64" t="s" ph="1">
        <v>375</v>
      </c>
      <c r="AK54" s="64" t="s" ph="1">
        <v>260</v>
      </c>
      <c r="AM54" s="64" t="s" ph="1">
        <v>377</v>
      </c>
      <c r="AN54" s="64" t="s" ph="1">
        <v>265</v>
      </c>
      <c r="AO54" s="64" t="s" ph="1">
        <v>274</v>
      </c>
      <c r="AP54" s="64" t="s" ph="1">
        <v>611</v>
      </c>
      <c r="AQ54" s="64" t="s" ph="1">
        <v>281</v>
      </c>
      <c r="AR54" s="64" t="s" ph="1">
        <v>274</v>
      </c>
      <c r="AY54" s="64" t="s" ph="1">
        <v>257</v>
      </c>
      <c r="AZ54" s="64" t="s" ph="1">
        <v>275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421</v>
      </c>
      <c r="AY55" s="64" t="s" ph="1">
        <v>257</v>
      </c>
      <c r="AZ55" s="64" t="s" ph="1">
        <v>408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422</v>
      </c>
      <c r="AY56" s="64" t="s" ph="1">
        <v>257</v>
      </c>
      <c r="AZ56" s="64" t="s" ph="1">
        <v>408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423</v>
      </c>
      <c r="AY57" s="64" t="s" ph="1">
        <v>257</v>
      </c>
      <c r="AZ57" s="64" t="s" ph="1">
        <v>408</v>
      </c>
    </row>
    <row r="58" spans="16:52" ph="1">
      <c r="P58" s="64"/>
      <c r="AN58" s="64" t="s" ph="1">
        <v>258</v>
      </c>
      <c r="AZ58" s="64" t="s" ph="1">
        <v>618</v>
      </c>
    </row>
    <row r="59" spans="16:52" ph="1">
      <c r="V59" s="64"/>
      <c r="AG59" s="64" t="s" ph="1">
        <v>276</v>
      </c>
      <c r="AI59" s="64" t="s" ph="1">
        <v>250</v>
      </c>
      <c r="AJ59" s="64" t="s" ph="1">
        <v>251</v>
      </c>
      <c r="AK59" s="64" t="s" ph="1">
        <v>252</v>
      </c>
      <c r="AM59" s="64" t="s" ph="1">
        <v>251</v>
      </c>
      <c r="AN59" s="64" t="s" ph="1">
        <v>252</v>
      </c>
      <c r="AO59" s="64" t="s" ph="1">
        <v>253</v>
      </c>
      <c r="AP59" s="64" t="s" ph="1">
        <v>251</v>
      </c>
      <c r="AQ59" s="64" t="s" ph="1">
        <v>252</v>
      </c>
      <c r="AR59" s="64" t="s" ph="1">
        <v>253</v>
      </c>
      <c r="AS59" s="64" t="s" ph="1">
        <v>251</v>
      </c>
      <c r="AT59" s="64" t="s" ph="1">
        <v>252</v>
      </c>
      <c r="AU59" s="64" t="s" ph="1">
        <v>253</v>
      </c>
      <c r="AV59" s="64" t="s" ph="1">
        <v>251</v>
      </c>
      <c r="AW59" s="64" t="s" ph="1">
        <v>252</v>
      </c>
      <c r="AX59" s="64" t="s" ph="1">
        <v>253</v>
      </c>
      <c r="AY59" s="64" t="s" ph="1">
        <v>252</v>
      </c>
      <c r="AZ59" s="64" t="s" ph="1">
        <v>254</v>
      </c>
    </row>
    <row r="60" spans="16:52" ph="1">
      <c r="R60" s="64"/>
      <c r="S60" s="64"/>
      <c r="T60" s="64"/>
      <c r="AH60" s="64" ph="1">
        <v>1</v>
      </c>
      <c r="AI60" s="64" t="s" ph="1">
        <v>424</v>
      </c>
      <c r="AY60" s="64" t="s" ph="1">
        <v>257</v>
      </c>
      <c r="AZ60" s="64" t="s" ph="1">
        <v>408</v>
      </c>
    </row>
    <row r="61" spans="16:52" ph="1">
      <c r="AH61" s="64" ph="1">
        <v>2</v>
      </c>
      <c r="AI61" s="64" t="s" ph="1">
        <v>425</v>
      </c>
      <c r="AS61" s="64" t="s" ph="1">
        <v>258</v>
      </c>
      <c r="AY61" s="64" t="s" ph="1">
        <v>257</v>
      </c>
      <c r="AZ61" s="64" t="s" ph="1">
        <v>408</v>
      </c>
    </row>
    <row r="62" spans="16:52" ph="1">
      <c r="AZ62" s="64" t="s" ph="1">
        <v>426</v>
      </c>
    </row>
    <row r="63" spans="16:52" ph="1">
      <c r="AG63" s="64" t="s" ph="1">
        <v>279</v>
      </c>
      <c r="AI63" s="64" t="s" ph="1">
        <v>250</v>
      </c>
      <c r="AJ63" s="64" t="s" ph="1">
        <v>251</v>
      </c>
      <c r="AK63" s="64" t="s" ph="1">
        <v>252</v>
      </c>
      <c r="AM63" s="64" t="s" ph="1">
        <v>251</v>
      </c>
      <c r="AN63" s="64" t="s" ph="1">
        <v>252</v>
      </c>
      <c r="AO63" s="64" t="s" ph="1">
        <v>253</v>
      </c>
      <c r="AP63" s="64" t="s" ph="1">
        <v>251</v>
      </c>
      <c r="AQ63" s="64" t="s" ph="1">
        <v>252</v>
      </c>
      <c r="AR63" s="64" t="s" ph="1">
        <v>253</v>
      </c>
      <c r="AS63" s="64" t="s" ph="1">
        <v>251</v>
      </c>
      <c r="AT63" s="64" t="s" ph="1">
        <v>252</v>
      </c>
      <c r="AU63" s="64" t="s" ph="1">
        <v>253</v>
      </c>
      <c r="AV63" s="64" t="s" ph="1">
        <v>251</v>
      </c>
      <c r="AW63" s="64" t="s" ph="1">
        <v>252</v>
      </c>
      <c r="AX63" s="64" t="s" ph="1">
        <v>253</v>
      </c>
      <c r="AY63" s="64" t="s" ph="1">
        <v>252</v>
      </c>
      <c r="AZ63" s="64" t="s" ph="1">
        <v>254</v>
      </c>
    </row>
    <row r="64" spans="16:52" ph="1">
      <c r="AH64" s="64" ph="1">
        <v>1</v>
      </c>
      <c r="AI64" s="64" t="s" ph="1">
        <v>427</v>
      </c>
      <c r="AJ64" s="64" t="s" ph="1">
        <v>428</v>
      </c>
      <c r="AK64" s="64" t="s" ph="1">
        <v>429</v>
      </c>
      <c r="AY64" s="64" t="s" ph="1">
        <v>257</v>
      </c>
      <c r="AZ64" s="64" t="s" ph="1">
        <v>429</v>
      </c>
    </row>
    <row r="65" spans="33:52" ph="1">
      <c r="AH65" s="64" ph="1">
        <v>2</v>
      </c>
      <c r="AI65" s="64" t="s" ph="1">
        <v>430</v>
      </c>
      <c r="AY65" s="64" t="s" ph="1">
        <v>257</v>
      </c>
      <c r="AZ65" s="64" t="s" ph="1">
        <v>408</v>
      </c>
    </row>
    <row r="66" spans="33:52" ph="1">
      <c r="AH66" s="64" ph="1">
        <v>3</v>
      </c>
      <c r="AI66" s="64" t="s" ph="1">
        <v>431</v>
      </c>
      <c r="AY66" s="64" t="s" ph="1">
        <v>257</v>
      </c>
      <c r="AZ66" s="64" t="s" ph="1">
        <v>408</v>
      </c>
    </row>
    <row r="67" spans="33:52" ph="1">
      <c r="AH67" s="64" ph="1">
        <v>4</v>
      </c>
      <c r="AI67" s="64" t="s" ph="1">
        <v>432</v>
      </c>
      <c r="AY67" s="64" t="s" ph="1">
        <v>257</v>
      </c>
      <c r="AZ67" s="64" t="s" ph="1">
        <v>408</v>
      </c>
    </row>
    <row r="68" spans="33:52" ph="1">
      <c r="AH68" s="64" ph="1">
        <v>5</v>
      </c>
      <c r="AI68" s="64" t="s" ph="1">
        <v>433</v>
      </c>
      <c r="AY68" s="64" t="s" ph="1">
        <v>257</v>
      </c>
      <c r="AZ68" s="64" t="s" ph="1">
        <v>408</v>
      </c>
    </row>
    <row r="69" spans="33:52" ph="1">
      <c r="AH69" s="64" ph="1">
        <v>6</v>
      </c>
      <c r="AI69" s="64" t="s" ph="1">
        <v>434</v>
      </c>
      <c r="AY69" s="64" t="s" ph="1">
        <v>257</v>
      </c>
      <c r="AZ69" s="64" t="s" ph="1">
        <v>408</v>
      </c>
    </row>
    <row r="70" spans="33:52" ph="1">
      <c r="AI70" s="64" t="s" ph="1">
        <v>435</v>
      </c>
      <c r="AY70" s="64" t="s" ph="1">
        <v>257</v>
      </c>
      <c r="AZ70" s="64" t="s" ph="1">
        <v>408</v>
      </c>
    </row>
    <row r="71" spans="33:52" ph="1">
      <c r="AH71" s="64" ph="1">
        <v>7</v>
      </c>
      <c r="AI71" s="64" t="s" ph="1">
        <v>436</v>
      </c>
      <c r="AJ71" s="64" t="s" ph="1">
        <v>375</v>
      </c>
      <c r="AK71" s="64" t="s" ph="1">
        <v>269</v>
      </c>
      <c r="AM71" s="64" t="s" ph="1">
        <v>377</v>
      </c>
      <c r="AN71" s="64" t="s" ph="1">
        <v>269</v>
      </c>
      <c r="AO71" s="64" t="s" ph="1">
        <v>437</v>
      </c>
      <c r="AP71" s="64" t="s" ph="1">
        <v>611</v>
      </c>
      <c r="AQ71" s="64" t="s" ph="1">
        <v>260</v>
      </c>
      <c r="AR71" s="64" t="s" ph="1">
        <v>437</v>
      </c>
      <c r="AY71" s="64" t="s" ph="1">
        <v>257</v>
      </c>
      <c r="AZ71" s="64" t="s" ph="1">
        <v>619</v>
      </c>
    </row>
    <row r="72" spans="33:52" ph="1">
      <c r="AZ72" s="64" t="s" ph="1">
        <v>620</v>
      </c>
    </row>
    <row r="73" spans="33:52" ph="1">
      <c r="AG73" s="64" t="s" ph="1">
        <v>282</v>
      </c>
      <c r="AI73" s="64" t="s" ph="1">
        <v>250</v>
      </c>
      <c r="AJ73" s="64" t="s" ph="1">
        <v>251</v>
      </c>
      <c r="AK73" s="64" t="s" ph="1">
        <v>252</v>
      </c>
      <c r="AM73" s="64" t="s" ph="1">
        <v>251</v>
      </c>
      <c r="AN73" s="64" t="s" ph="1">
        <v>252</v>
      </c>
      <c r="AO73" s="64" t="s" ph="1">
        <v>253</v>
      </c>
      <c r="AP73" s="64" t="s" ph="1">
        <v>251</v>
      </c>
      <c r="AQ73" s="64" t="s" ph="1">
        <v>252</v>
      </c>
      <c r="AR73" s="64" t="s" ph="1">
        <v>253</v>
      </c>
      <c r="AS73" s="64" t="s" ph="1">
        <v>251</v>
      </c>
      <c r="AT73" s="64" t="s" ph="1">
        <v>252</v>
      </c>
      <c r="AU73" s="64" t="s" ph="1">
        <v>253</v>
      </c>
      <c r="AV73" s="64" t="s" ph="1">
        <v>251</v>
      </c>
      <c r="AW73" s="64" t="s" ph="1">
        <v>252</v>
      </c>
      <c r="AX73" s="64" t="s" ph="1">
        <v>253</v>
      </c>
      <c r="AY73" s="64" t="s" ph="1">
        <v>252</v>
      </c>
      <c r="AZ73" s="64" t="s" ph="1">
        <v>254</v>
      </c>
    </row>
    <row r="74" spans="33:52" ph="1">
      <c r="AH74" s="64" ph="1">
        <v>1</v>
      </c>
      <c r="AI74" s="64" t="s" ph="1">
        <v>438</v>
      </c>
      <c r="AJ74" s="64" t="s" ph="1">
        <v>283</v>
      </c>
      <c r="AK74" s="64" t="s" ph="1">
        <v>265</v>
      </c>
      <c r="AM74" s="64" t="s" ph="1">
        <v>285</v>
      </c>
      <c r="AN74" s="64" t="s" ph="1">
        <v>295</v>
      </c>
      <c r="AO74" s="64" t="s" ph="1">
        <v>284</v>
      </c>
      <c r="AP74" s="64" t="s" ph="1">
        <v>286</v>
      </c>
      <c r="AQ74" s="64" t="s" ph="1">
        <v>263</v>
      </c>
      <c r="AR74" s="64" t="s" ph="1">
        <v>284</v>
      </c>
      <c r="AS74" s="64" t="s" ph="1">
        <v>256</v>
      </c>
      <c r="AT74" s="64" t="s" ph="1">
        <v>258</v>
      </c>
      <c r="AV74" s="64" t="s" ph="1">
        <v>439</v>
      </c>
      <c r="AW74" s="64" t="s" ph="1">
        <v>440</v>
      </c>
      <c r="AX74" s="64" t="s" ph="1">
        <v>441</v>
      </c>
      <c r="AY74" s="64" t="s" ph="1">
        <v>257</v>
      </c>
      <c r="AZ74" s="64" t="s" ph="1">
        <v>442</v>
      </c>
    </row>
    <row r="75" spans="33:52" ph="1">
      <c r="AJ75" s="64" t="s" ph="1">
        <v>288</v>
      </c>
      <c r="AK75" s="64" t="s" ph="1">
        <v>341</v>
      </c>
      <c r="AM75" s="64" t="s" ph="1">
        <v>286</v>
      </c>
      <c r="AN75" s="64" t="s" ph="1">
        <v>266</v>
      </c>
      <c r="AO75" s="64" t="s" ph="1">
        <v>284</v>
      </c>
      <c r="AS75" s="64" t="s" ph="1">
        <v>256</v>
      </c>
      <c r="AT75" s="64" t="s" ph="1">
        <v>287</v>
      </c>
    </row>
    <row r="76" spans="33:52" ph="1">
      <c r="AJ76" s="64" t="s" ph="1">
        <v>288</v>
      </c>
      <c r="AK76" s="64" t="s" ph="1">
        <v>281</v>
      </c>
      <c r="AM76" s="64" t="s" ph="1">
        <v>286</v>
      </c>
      <c r="AN76" s="64" t="s" ph="1">
        <v>269</v>
      </c>
      <c r="AO76" s="64" t="s" ph="1">
        <v>284</v>
      </c>
      <c r="AS76" s="64" t="s" ph="1">
        <v>256</v>
      </c>
      <c r="AT76" s="64" t="s" ph="1">
        <v>287</v>
      </c>
    </row>
    <row r="77" spans="33:52" ph="1">
      <c r="AJ77" s="64" t="s" ph="1">
        <v>324</v>
      </c>
      <c r="AK77" s="64" t="s" ph="1">
        <v>281</v>
      </c>
      <c r="AM77" s="64" t="s" ph="1">
        <v>325</v>
      </c>
      <c r="AN77" s="64" t="s" ph="1">
        <v>264</v>
      </c>
      <c r="AO77" s="64" t="s" ph="1">
        <v>284</v>
      </c>
      <c r="AS77" s="64" t="s" ph="1">
        <v>256</v>
      </c>
      <c r="AT77" s="64" t="s" ph="1">
        <v>326</v>
      </c>
    </row>
    <row r="78" spans="33:52" ph="1">
      <c r="AH78" s="64" ph="1">
        <v>2</v>
      </c>
      <c r="AI78" s="64" t="s" ph="1">
        <v>290</v>
      </c>
      <c r="AJ78" s="64" t="s" ph="1">
        <v>291</v>
      </c>
      <c r="AK78" s="64" t="s" ph="1">
        <v>260</v>
      </c>
      <c r="AM78" s="64" t="s" ph="1">
        <v>292</v>
      </c>
      <c r="AN78" s="64" t="s" ph="1">
        <v>295</v>
      </c>
      <c r="AO78" s="64" t="s" ph="1">
        <v>284</v>
      </c>
      <c r="AP78" s="64" t="s" ph="1">
        <v>293</v>
      </c>
      <c r="AQ78" s="64" t="s" ph="1">
        <v>339</v>
      </c>
      <c r="AR78" s="64" t="s" ph="1">
        <v>284</v>
      </c>
      <c r="AS78" s="64" t="s" ph="1">
        <v>294</v>
      </c>
      <c r="AT78" s="64" t="s" ph="1">
        <v>295</v>
      </c>
      <c r="AU78" s="64" t="s" ph="1">
        <v>284</v>
      </c>
      <c r="AV78" s="64" t="s" ph="1">
        <v>296</v>
      </c>
      <c r="AW78" s="64" t="s" ph="1">
        <v>284</v>
      </c>
      <c r="AY78" s="64" t="s" ph="1">
        <v>257</v>
      </c>
      <c r="AZ78" s="64" t="s" ph="1">
        <v>443</v>
      </c>
    </row>
    <row r="79" spans="33:52" ph="1">
      <c r="AJ79" s="64" t="s" ph="1">
        <v>286</v>
      </c>
      <c r="AK79" s="64" t="s" ph="1">
        <v>297</v>
      </c>
      <c r="AM79" s="64" t="s" ph="1">
        <v>298</v>
      </c>
      <c r="AN79" s="64" t="s" ph="1">
        <v>266</v>
      </c>
      <c r="AO79" s="64" t="s" ph="1">
        <v>284</v>
      </c>
      <c r="AP79" s="64" t="s" ph="1">
        <v>299</v>
      </c>
      <c r="AQ79" s="64" t="s" ph="1">
        <v>264</v>
      </c>
      <c r="AR79" s="64" t="s" ph="1">
        <v>300</v>
      </c>
      <c r="AS79" s="64" t="s" ph="1">
        <v>256</v>
      </c>
      <c r="AT79" s="64" t="s" ph="1">
        <v>301</v>
      </c>
      <c r="AV79" s="64" t="s" ph="1">
        <v>444</v>
      </c>
      <c r="AW79" s="64" t="s" ph="1">
        <v>343</v>
      </c>
      <c r="AX79" s="64" t="s" ph="1">
        <v>441</v>
      </c>
    </row>
    <row r="80" spans="33:52" ph="1">
      <c r="AH80" s="64" ph="1">
        <v>3</v>
      </c>
      <c r="AI80" s="64" t="s" ph="1">
        <v>302</v>
      </c>
      <c r="AJ80" s="64" t="s" ph="1">
        <v>303</v>
      </c>
      <c r="AK80" s="64" t="s" ph="1">
        <v>304</v>
      </c>
      <c r="AM80" s="64" t="s" ph="1">
        <v>305</v>
      </c>
      <c r="AN80" s="64" t="s" ph="1">
        <v>295</v>
      </c>
      <c r="AO80" s="64" t="s" ph="1">
        <v>284</v>
      </c>
      <c r="AP80" s="64" t="s" ph="1">
        <v>306</v>
      </c>
      <c r="AQ80" s="64" t="s" ph="1">
        <v>269</v>
      </c>
      <c r="AR80" s="64" t="s" ph="1">
        <v>284</v>
      </c>
      <c r="AS80" s="64" t="s" ph="1">
        <v>307</v>
      </c>
      <c r="AT80" s="64" t="s" ph="1">
        <v>268</v>
      </c>
      <c r="AU80" s="64" t="s" ph="1">
        <v>284</v>
      </c>
      <c r="AV80" s="64" t="s" ph="1">
        <v>308</v>
      </c>
      <c r="AW80" s="64" t="s" ph="1">
        <v>284</v>
      </c>
      <c r="AY80" s="64" t="s" ph="1">
        <v>257</v>
      </c>
      <c r="AZ80" s="64" t="s" ph="1">
        <v>445</v>
      </c>
    </row>
    <row r="81" spans="34:52" ph="1">
      <c r="AJ81" s="64" t="s" ph="1">
        <v>309</v>
      </c>
      <c r="AK81" s="64" t="s" ph="1">
        <v>263</v>
      </c>
      <c r="AM81" s="64" t="s" ph="1">
        <v>310</v>
      </c>
      <c r="AN81" s="64" t="s" ph="1">
        <v>266</v>
      </c>
      <c r="AO81" s="64" t="s" ph="1">
        <v>284</v>
      </c>
      <c r="AP81" s="64" t="s" ph="1">
        <v>311</v>
      </c>
      <c r="AQ81" s="64" t="s" ph="1">
        <v>295</v>
      </c>
      <c r="AR81" s="64" t="s" ph="1">
        <v>284</v>
      </c>
      <c r="AS81" s="64" t="s" ph="1">
        <v>312</v>
      </c>
      <c r="AT81" s="64" t="s" ph="1">
        <v>313</v>
      </c>
      <c r="AU81" s="64" t="s" ph="1">
        <v>284</v>
      </c>
      <c r="AV81" s="64" t="s" ph="1">
        <v>314</v>
      </c>
    </row>
    <row r="82" spans="34:52" ph="1">
      <c r="AJ82" s="64" t="s" ph="1">
        <v>315</v>
      </c>
      <c r="AK82" s="64" t="s" ph="1">
        <v>263</v>
      </c>
      <c r="AM82" s="64" t="s" ph="1">
        <v>316</v>
      </c>
      <c r="AN82" s="64" t="s" ph="1">
        <v>313</v>
      </c>
      <c r="AO82" s="64" t="s" ph="1">
        <v>317</v>
      </c>
      <c r="AP82" s="64" t="s" ph="1">
        <v>318</v>
      </c>
      <c r="AQ82" s="64" t="s" ph="1">
        <v>295</v>
      </c>
      <c r="AR82" s="64" t="s" ph="1">
        <v>284</v>
      </c>
      <c r="AS82" s="64" t="s" ph="1">
        <v>319</v>
      </c>
      <c r="AT82" s="64" t="s" ph="1">
        <v>270</v>
      </c>
      <c r="AU82" s="64" t="s" ph="1">
        <v>284</v>
      </c>
      <c r="AV82" s="64" t="s" ph="1">
        <v>444</v>
      </c>
      <c r="AW82" s="64" t="s" ph="1">
        <v>344</v>
      </c>
      <c r="AX82" s="64" t="s" ph="1">
        <v>441</v>
      </c>
    </row>
    <row r="83" spans="34:52" ph="1">
      <c r="AJ83" s="64" t="s" ph="1">
        <v>320</v>
      </c>
      <c r="AK83" s="64" t="s" ph="1">
        <v>337</v>
      </c>
      <c r="AM83" s="64" t="s" ph="1">
        <v>321</v>
      </c>
      <c r="AN83" s="64" t="s" ph="1">
        <v>269</v>
      </c>
      <c r="AO83" s="64" t="s" ph="1">
        <v>300</v>
      </c>
      <c r="AP83" s="64" t="s" ph="1">
        <v>322</v>
      </c>
      <c r="AQ83" s="64" t="s" ph="1">
        <v>323</v>
      </c>
      <c r="AR83" s="64" t="s" ph="1">
        <v>300</v>
      </c>
      <c r="AS83" s="64" t="s" ph="1">
        <v>446</v>
      </c>
      <c r="AT83" s="64" t="s" ph="1">
        <v>295</v>
      </c>
      <c r="AU83" s="64" t="s" ph="1">
        <v>300</v>
      </c>
      <c r="AV83" s="64" t="s" ph="1">
        <v>447</v>
      </c>
      <c r="AW83" s="64" t="s" ph="1">
        <v>344</v>
      </c>
      <c r="AX83" s="64" t="s" ph="1">
        <v>448</v>
      </c>
    </row>
    <row r="84" spans="34:52" ph="1">
      <c r="AH84" s="64" ph="1">
        <v>4</v>
      </c>
      <c r="AI84" s="64" t="s" ph="1">
        <v>327</v>
      </c>
      <c r="AJ84" s="64" t="s" ph="1">
        <v>267</v>
      </c>
      <c r="AK84" s="64" t="s" ph="1">
        <v>270</v>
      </c>
      <c r="AM84" s="64" t="s" ph="1">
        <v>271</v>
      </c>
      <c r="AN84" s="64" t="s" ph="1">
        <v>264</v>
      </c>
      <c r="AO84" s="64" t="s" ph="1">
        <v>300</v>
      </c>
      <c r="AP84" s="64" t="s" ph="1">
        <v>329</v>
      </c>
      <c r="AQ84" s="64" t="s" ph="1">
        <v>263</v>
      </c>
      <c r="AR84" s="64" t="s" ph="1">
        <v>300</v>
      </c>
      <c r="AS84" s="64" t="s" ph="1">
        <v>329</v>
      </c>
      <c r="AT84" s="64" t="s" ph="1">
        <v>265</v>
      </c>
      <c r="AU84" s="64" t="s" ph="1">
        <v>300</v>
      </c>
      <c r="AY84" s="64" t="s" ph="1">
        <v>257</v>
      </c>
      <c r="AZ84" s="64" t="s" ph="1">
        <v>449</v>
      </c>
    </row>
    <row r="85" spans="34:52" ph="1">
      <c r="AJ85" s="64" t="s" ph="1">
        <v>259</v>
      </c>
      <c r="AK85" s="64" t="s" ph="1">
        <v>263</v>
      </c>
      <c r="AM85" s="64" t="s" ph="1">
        <v>450</v>
      </c>
      <c r="AN85" s="64" t="s" ph="1">
        <v>270</v>
      </c>
      <c r="AO85" s="64" t="s" ph="1">
        <v>300</v>
      </c>
      <c r="AP85" s="64" t="s" ph="1">
        <v>451</v>
      </c>
      <c r="AQ85" s="64" t="s" ph="1">
        <v>266</v>
      </c>
      <c r="AR85" s="64" t="s" ph="1">
        <v>300</v>
      </c>
      <c r="AS85" s="64" t="s" ph="1">
        <v>452</v>
      </c>
      <c r="AT85" s="64" t="s" ph="1">
        <v>266</v>
      </c>
      <c r="AU85" s="64" t="s" ph="1">
        <v>300</v>
      </c>
    </row>
    <row r="86" spans="34:52" ph="1">
      <c r="AJ86" s="64" t="s" ph="1">
        <v>453</v>
      </c>
      <c r="AK86" s="64" t="s" ph="1">
        <v>272</v>
      </c>
      <c r="AM86" s="64" t="s" ph="1">
        <v>454</v>
      </c>
      <c r="AN86" s="64" t="s" ph="1">
        <v>313</v>
      </c>
      <c r="AO86" s="64" t="s" ph="1">
        <v>300</v>
      </c>
      <c r="AP86" s="64" t="s" ph="1">
        <v>455</v>
      </c>
      <c r="AQ86" s="64" t="s" ph="1">
        <v>260</v>
      </c>
      <c r="AR86" s="64" t="s" ph="1">
        <v>300</v>
      </c>
      <c r="AS86" s="64" t="s" ph="1">
        <v>456</v>
      </c>
      <c r="AT86" s="64" t="s" ph="1">
        <v>278</v>
      </c>
      <c r="AU86" s="64" t="s" ph="1">
        <v>300</v>
      </c>
    </row>
    <row r="87" spans="34:52" ph="1">
      <c r="AJ87" s="64" t="s" ph="1">
        <v>457</v>
      </c>
      <c r="AK87" s="64" t="s" ph="1">
        <v>313</v>
      </c>
      <c r="AM87" s="64" t="s" ph="1">
        <v>444</v>
      </c>
      <c r="AN87" s="64" t="s" ph="1">
        <v>458</v>
      </c>
      <c r="AO87" s="64" t="s" ph="1">
        <v>441</v>
      </c>
    </row>
    <row r="88" spans="34:52" ph="1">
      <c r="AH88" s="64" ph="1">
        <v>5</v>
      </c>
      <c r="AI88" s="64" t="s" ph="1">
        <v>330</v>
      </c>
      <c r="AJ88" s="64" t="s" ph="1">
        <v>459</v>
      </c>
      <c r="AK88" s="64" t="s" ph="1">
        <v>313</v>
      </c>
      <c r="AM88" s="64" t="s" ph="1">
        <v>460</v>
      </c>
      <c r="AN88" s="64" t="s" ph="1">
        <v>313</v>
      </c>
      <c r="AO88" s="64" t="s" ph="1">
        <v>300</v>
      </c>
      <c r="AP88" s="64" t="s" ph="1">
        <v>461</v>
      </c>
      <c r="AQ88" s="64" t="s" ph="1">
        <v>263</v>
      </c>
      <c r="AR88" s="64" t="s" ph="1">
        <v>300</v>
      </c>
      <c r="AS88" s="64" t="s" ph="1">
        <v>462</v>
      </c>
      <c r="AT88" s="64" t="s" ph="1">
        <v>313</v>
      </c>
      <c r="AU88" s="64" t="s" ph="1">
        <v>300</v>
      </c>
      <c r="AV88" s="64" t="s" ph="1">
        <v>463</v>
      </c>
      <c r="AW88" s="64" t="s" ph="1">
        <v>268</v>
      </c>
      <c r="AX88" s="64" t="s" ph="1">
        <v>300</v>
      </c>
      <c r="AY88" s="64" t="s" ph="1">
        <v>257</v>
      </c>
      <c r="AZ88" s="64" t="s" ph="1">
        <v>464</v>
      </c>
    </row>
    <row r="89" spans="34:52" ph="1">
      <c r="AJ89" s="64" t="s" ph="1">
        <v>465</v>
      </c>
      <c r="AK89" s="64" t="s" ph="1">
        <v>266</v>
      </c>
      <c r="AM89" s="64" t="s" ph="1">
        <v>466</v>
      </c>
      <c r="AN89" s="64" t="s" ph="1">
        <v>269</v>
      </c>
      <c r="AO89" s="64" t="s" ph="1">
        <v>300</v>
      </c>
      <c r="AP89" s="64" t="s" ph="1">
        <v>467</v>
      </c>
      <c r="AQ89" s="64" t="s" ph="1">
        <v>278</v>
      </c>
      <c r="AR89" s="64" t="s" ph="1">
        <v>300</v>
      </c>
      <c r="AS89" s="64" t="s" ph="1">
        <v>468</v>
      </c>
      <c r="AT89" s="64" t="s" ph="1">
        <v>313</v>
      </c>
      <c r="AU89" s="64" t="s" ph="1">
        <v>300</v>
      </c>
      <c r="AV89" s="64" t="s" ph="1">
        <v>469</v>
      </c>
      <c r="AW89" s="64" t="s" ph="1">
        <v>295</v>
      </c>
      <c r="AX89" s="64" t="s" ph="1">
        <v>328</v>
      </c>
    </row>
    <row r="90" spans="34:52" ph="1">
      <c r="AJ90" s="64" t="s" ph="1">
        <v>470</v>
      </c>
      <c r="AK90" s="64" t="s" ph="1">
        <v>269</v>
      </c>
      <c r="AM90" s="64" t="s" ph="1">
        <v>471</v>
      </c>
      <c r="AN90" s="64" t="s" ph="1">
        <v>266</v>
      </c>
      <c r="AO90" s="64" t="s" ph="1">
        <v>300</v>
      </c>
      <c r="AP90" s="64" t="s" ph="1">
        <v>472</v>
      </c>
      <c r="AQ90" s="64" t="s" ph="1">
        <v>335</v>
      </c>
      <c r="AR90" s="64" t="s" ph="1">
        <v>300</v>
      </c>
      <c r="AS90" s="64" t="s" ph="1">
        <v>473</v>
      </c>
      <c r="AT90" s="64" t="s" ph="1">
        <v>323</v>
      </c>
      <c r="AU90" s="64" t="s" ph="1">
        <v>300</v>
      </c>
      <c r="AV90" s="64" t="s" ph="1">
        <v>474</v>
      </c>
      <c r="AW90" s="64" t="s" ph="1">
        <v>260</v>
      </c>
      <c r="AX90" s="64" t="s" ph="1">
        <v>300</v>
      </c>
    </row>
    <row r="91" spans="34:52" ph="1">
      <c r="AJ91" s="64" t="s" ph="1">
        <v>475</v>
      </c>
      <c r="AK91" s="64" t="s" ph="1">
        <v>313</v>
      </c>
      <c r="AM91" s="64" t="s" ph="1">
        <v>476</v>
      </c>
      <c r="AN91" s="64" t="s" ph="1">
        <v>280</v>
      </c>
      <c r="AO91" s="64" t="s" ph="1">
        <v>300</v>
      </c>
      <c r="AP91" s="64" t="s" ph="1">
        <v>477</v>
      </c>
      <c r="AQ91" s="64" t="s" ph="1">
        <v>260</v>
      </c>
      <c r="AS91" s="64" t="s" ph="1">
        <v>444</v>
      </c>
      <c r="AT91" s="64" t="s" ph="1">
        <v>440</v>
      </c>
      <c r="AU91" s="64" t="s" ph="1">
        <v>441</v>
      </c>
    </row>
    <row r="92" spans="34:52" ph="1">
      <c r="AH92" s="64" ph="1">
        <v>6</v>
      </c>
      <c r="AI92" s="64" t="s" ph="1">
        <v>478</v>
      </c>
      <c r="AJ92" s="64" t="s" ph="1">
        <v>479</v>
      </c>
      <c r="AK92" s="64" t="s" ph="1">
        <v>408</v>
      </c>
      <c r="AM92" s="64" t="s" ph="1">
        <v>480</v>
      </c>
      <c r="AN92" s="64" t="s" ph="1">
        <v>268</v>
      </c>
      <c r="AO92" s="64" t="s" ph="1">
        <v>300</v>
      </c>
      <c r="AP92" s="64" t="s" ph="1">
        <v>481</v>
      </c>
      <c r="AQ92" s="64" t="s" ph="1">
        <v>340</v>
      </c>
      <c r="AR92" s="64" t="s" ph="1">
        <v>300</v>
      </c>
      <c r="AS92" s="64" t="s" ph="1">
        <v>482</v>
      </c>
      <c r="AT92" s="64" t="s" ph="1">
        <v>313</v>
      </c>
      <c r="AU92" s="64" t="s" ph="1">
        <v>300</v>
      </c>
      <c r="AV92" s="64" t="s" ph="1">
        <v>483</v>
      </c>
      <c r="AW92" s="64" t="s" ph="1">
        <v>269</v>
      </c>
      <c r="AX92" s="64" t="s" ph="1">
        <v>300</v>
      </c>
      <c r="AY92" s="64" t="s" ph="1">
        <v>257</v>
      </c>
      <c r="AZ92" s="64" t="s" ph="1">
        <v>464</v>
      </c>
    </row>
    <row r="93" spans="34:52" ph="1">
      <c r="AJ93" s="64" t="s" ph="1">
        <v>484</v>
      </c>
      <c r="AK93" s="64" t="s" ph="1">
        <v>263</v>
      </c>
      <c r="AM93" s="64" t="s" ph="1">
        <v>485</v>
      </c>
      <c r="AN93" s="64" t="s" ph="1">
        <v>268</v>
      </c>
      <c r="AO93" s="64" t="s" ph="1">
        <v>300</v>
      </c>
      <c r="AP93" s="64" t="s" ph="1">
        <v>486</v>
      </c>
      <c r="AQ93" s="64" t="s" ph="1">
        <v>272</v>
      </c>
      <c r="AR93" s="64" t="s" ph="1">
        <v>300</v>
      </c>
      <c r="AS93" s="64" t="s" ph="1">
        <v>487</v>
      </c>
      <c r="AT93" s="64" t="s" ph="1">
        <v>278</v>
      </c>
      <c r="AU93" s="64" t="s" ph="1">
        <v>300</v>
      </c>
      <c r="AV93" s="64" t="s" ph="1">
        <v>488</v>
      </c>
      <c r="AW93" s="64" t="s" ph="1">
        <v>272</v>
      </c>
      <c r="AX93" s="64" t="s" ph="1">
        <v>300</v>
      </c>
    </row>
    <row r="94" spans="34:52" ph="1">
      <c r="AJ94" s="64" t="s" ph="1">
        <v>489</v>
      </c>
      <c r="AK94" s="64" t="s" ph="1">
        <v>335</v>
      </c>
      <c r="AM94" s="64" t="s" ph="1">
        <v>490</v>
      </c>
      <c r="AN94" s="64" t="s" ph="1">
        <v>272</v>
      </c>
      <c r="AO94" s="64" t="s" ph="1">
        <v>300</v>
      </c>
      <c r="AP94" s="64" t="s" ph="1">
        <v>491</v>
      </c>
      <c r="AQ94" s="64" t="s" ph="1">
        <v>280</v>
      </c>
      <c r="AR94" s="64" t="s" ph="1">
        <v>300</v>
      </c>
      <c r="AS94" s="64" t="s" ph="1">
        <v>492</v>
      </c>
      <c r="AT94" s="64" t="s" ph="1">
        <v>266</v>
      </c>
      <c r="AU94" s="64" t="s" ph="1">
        <v>300</v>
      </c>
      <c r="AV94" s="64" t="s" ph="1">
        <v>493</v>
      </c>
      <c r="AW94" s="64" t="s" ph="1">
        <v>266</v>
      </c>
      <c r="AX94" s="64" t="s" ph="1">
        <v>300</v>
      </c>
    </row>
    <row r="95" spans="34:52" ph="1">
      <c r="AJ95" s="64" t="s" ph="1">
        <v>494</v>
      </c>
      <c r="AK95" s="64" t="s" ph="1">
        <v>340</v>
      </c>
    </row>
    <row r="96" spans="34:52" ph="1">
      <c r="AH96" s="64" ph="1">
        <v>7</v>
      </c>
      <c r="AI96" s="64" t="s" ph="1">
        <v>495</v>
      </c>
      <c r="AJ96" s="64" t="s" ph="1">
        <v>494</v>
      </c>
      <c r="AK96" s="64" t="s" ph="1">
        <v>295</v>
      </c>
      <c r="AM96" s="64" t="s" ph="1">
        <v>496</v>
      </c>
      <c r="AN96" s="64" t="s" ph="1">
        <v>269</v>
      </c>
      <c r="AO96" s="64" t="s" ph="1">
        <v>300</v>
      </c>
      <c r="AP96" s="64" t="s" ph="1">
        <v>497</v>
      </c>
      <c r="AQ96" s="64" t="s" ph="1">
        <v>313</v>
      </c>
      <c r="AR96" s="64" t="s" ph="1">
        <v>328</v>
      </c>
      <c r="AS96" s="64" t="s" ph="1">
        <v>498</v>
      </c>
      <c r="AT96" s="64" t="s" ph="1">
        <v>272</v>
      </c>
      <c r="AU96" s="64" t="s" ph="1">
        <v>328</v>
      </c>
      <c r="AV96" s="64" t="s" ph="1">
        <v>499</v>
      </c>
      <c r="AW96" s="64" t="s" ph="1">
        <v>268</v>
      </c>
      <c r="AX96" s="64" t="s" ph="1">
        <v>328</v>
      </c>
      <c r="AY96" s="64" t="s" ph="1">
        <v>257</v>
      </c>
      <c r="AZ96" s="64" t="s" ph="1">
        <v>500</v>
      </c>
    </row>
    <row r="97" spans="33:52" ph="1">
      <c r="AJ97" s="64" t="s" ph="1">
        <v>501</v>
      </c>
      <c r="AK97" s="64" t="s" ph="1">
        <v>323</v>
      </c>
      <c r="AM97" s="64" t="s" ph="1">
        <v>502</v>
      </c>
      <c r="AN97" s="64" t="s" ph="1">
        <v>266</v>
      </c>
      <c r="AO97" s="64" t="s" ph="1">
        <v>300</v>
      </c>
      <c r="AP97" s="64" t="s" ph="1">
        <v>503</v>
      </c>
      <c r="AQ97" s="64" t="s" ph="1">
        <v>260</v>
      </c>
      <c r="AR97" s="64" t="s" ph="1">
        <v>328</v>
      </c>
      <c r="AS97" s="64" t="s" ph="1">
        <v>504</v>
      </c>
      <c r="AT97" s="64" t="s" ph="1">
        <v>263</v>
      </c>
      <c r="AU97" s="64" t="s" ph="1">
        <v>328</v>
      </c>
      <c r="AV97" s="64" t="s" ph="1">
        <v>505</v>
      </c>
      <c r="AW97" s="64" t="s" ph="1">
        <v>269</v>
      </c>
      <c r="AX97" s="64" t="s" ph="1">
        <v>328</v>
      </c>
    </row>
    <row r="98" spans="33:52" ph="1">
      <c r="AJ98" s="64" t="s" ph="1">
        <v>506</v>
      </c>
      <c r="AK98" s="64" t="s" ph="1">
        <v>272</v>
      </c>
      <c r="AM98" s="64" t="s" ph="1">
        <v>507</v>
      </c>
      <c r="AN98" s="64" t="s" ph="1">
        <v>280</v>
      </c>
      <c r="AO98" s="64" t="s" ph="1">
        <v>300</v>
      </c>
      <c r="AP98" s="64" t="s" ph="1">
        <v>508</v>
      </c>
      <c r="AQ98" s="64" t="s" ph="1">
        <v>260</v>
      </c>
      <c r="AR98" s="64" t="s" ph="1">
        <v>328</v>
      </c>
      <c r="AS98" s="64" t="s" ph="1">
        <v>509</v>
      </c>
      <c r="AT98" s="64" t="s" ph="1">
        <v>340</v>
      </c>
      <c r="AU98" s="64" t="s" ph="1">
        <v>328</v>
      </c>
      <c r="AV98" s="64" t="s" ph="1">
        <v>510</v>
      </c>
      <c r="AW98" s="64" t="s" ph="1">
        <v>263</v>
      </c>
      <c r="AX98" s="64" t="s" ph="1">
        <v>328</v>
      </c>
    </row>
    <row r="99" spans="33:52" ph="1">
      <c r="AH99" s="64" ph="1">
        <v>8</v>
      </c>
      <c r="AI99" s="64" t="s" ph="1">
        <v>511</v>
      </c>
      <c r="AJ99" s="64" t="s" ph="1">
        <v>512</v>
      </c>
      <c r="AK99" s="64" t="s" ph="1">
        <v>408</v>
      </c>
      <c r="AM99" s="64" t="s" ph="1">
        <v>513</v>
      </c>
      <c r="AN99" s="64" t="s" ph="1">
        <v>295</v>
      </c>
      <c r="AO99" s="64" t="s" ph="1">
        <v>300</v>
      </c>
      <c r="AP99" s="64" t="s" ph="1">
        <v>514</v>
      </c>
      <c r="AQ99" s="64" t="s" ph="1">
        <v>265</v>
      </c>
      <c r="AR99" s="64" t="s" ph="1">
        <v>328</v>
      </c>
      <c r="AS99" s="64" t="s" ph="1">
        <v>515</v>
      </c>
      <c r="AT99" s="64" t="s" ph="1">
        <v>280</v>
      </c>
      <c r="AU99" s="64" t="s" ph="1">
        <v>328</v>
      </c>
      <c r="AV99" s="64" t="s" ph="1">
        <v>516</v>
      </c>
      <c r="AW99" s="64" t="s" ph="1">
        <v>265</v>
      </c>
      <c r="AX99" s="64" t="s" ph="1">
        <v>328</v>
      </c>
      <c r="AY99" s="64" t="s" ph="1">
        <v>257</v>
      </c>
      <c r="AZ99" s="64" t="s" ph="1">
        <v>517</v>
      </c>
    </row>
    <row r="100" spans="33:52" ph="1">
      <c r="AJ100" s="64" t="s" ph="1">
        <v>518</v>
      </c>
      <c r="AK100" s="64" t="s" ph="1">
        <v>263</v>
      </c>
      <c r="AM100" s="64" t="s" ph="1">
        <v>519</v>
      </c>
      <c r="AN100" s="64" t="s" ph="1">
        <v>335</v>
      </c>
      <c r="AO100" s="64" t="s" ph="1">
        <v>300</v>
      </c>
      <c r="AP100" s="64" t="s" ph="1">
        <v>520</v>
      </c>
      <c r="AQ100" s="64" t="s" ph="1">
        <v>341</v>
      </c>
      <c r="AR100" s="64" t="s" ph="1">
        <v>328</v>
      </c>
      <c r="AS100" s="64" t="s" ph="1">
        <v>521</v>
      </c>
      <c r="AT100" s="64" t="s" ph="1">
        <v>408</v>
      </c>
      <c r="AU100" s="64" t="s" ph="1">
        <v>300</v>
      </c>
      <c r="AV100" s="64" t="s" ph="1">
        <v>522</v>
      </c>
      <c r="AW100" s="64" t="s" ph="1">
        <v>408</v>
      </c>
      <c r="AX100" s="64" t="s" ph="1">
        <v>300</v>
      </c>
    </row>
    <row r="101" spans="33:52" ph="1">
      <c r="AJ101" s="64" t="s" ph="1">
        <v>523</v>
      </c>
      <c r="AK101" s="64" t="s" ph="1">
        <v>408</v>
      </c>
      <c r="AM101" s="64" t="s" ph="1">
        <v>524</v>
      </c>
      <c r="AN101" s="64" t="s" ph="1">
        <v>266</v>
      </c>
      <c r="AO101" s="64" t="s" ph="1">
        <v>300</v>
      </c>
      <c r="AP101" s="64" t="s" ph="1">
        <v>525</v>
      </c>
      <c r="AQ101" s="64" t="s" ph="1">
        <v>278</v>
      </c>
      <c r="AR101" s="64" t="s" ph="1">
        <v>328</v>
      </c>
      <c r="AS101" s="64" t="s" ph="1">
        <v>526</v>
      </c>
      <c r="AT101" s="64" t="s" ph="1">
        <v>335</v>
      </c>
      <c r="AU101" s="64" t="s" ph="1">
        <v>328</v>
      </c>
      <c r="AV101" s="64" t="s" ph="1">
        <v>527</v>
      </c>
      <c r="AW101" s="64" t="s" ph="1">
        <v>266</v>
      </c>
      <c r="AX101" s="64" t="s" ph="1">
        <v>300</v>
      </c>
    </row>
    <row r="102" spans="33:52" ph="1">
      <c r="AJ102" s="64" t="s" ph="1">
        <v>528</v>
      </c>
      <c r="AK102" s="64" t="s" ph="1">
        <v>263</v>
      </c>
      <c r="AM102" s="64" t="s" ph="1">
        <v>529</v>
      </c>
      <c r="AN102" s="64" t="s" ph="1">
        <v>272</v>
      </c>
      <c r="AO102" s="64" t="s" ph="1">
        <v>300</v>
      </c>
      <c r="AP102" s="64" t="s" ph="1">
        <v>530</v>
      </c>
      <c r="AQ102" s="64" t="s" ph="1">
        <v>278</v>
      </c>
      <c r="AR102" s="64" t="s" ph="1">
        <v>300</v>
      </c>
      <c r="AS102" s="64" t="s" ph="1">
        <v>531</v>
      </c>
      <c r="AT102" s="64" t="s" ph="1">
        <v>295</v>
      </c>
      <c r="AU102" s="64" t="s" ph="1">
        <v>300</v>
      </c>
      <c r="AV102" s="64" t="s" ph="1">
        <v>532</v>
      </c>
      <c r="AW102" s="64" t="s" ph="1">
        <v>313</v>
      </c>
      <c r="AX102" s="64" t="s" ph="1">
        <v>300</v>
      </c>
    </row>
    <row r="103" spans="33:52" ph="1">
      <c r="AH103" s="64" ph="1">
        <v>9</v>
      </c>
      <c r="AI103" s="64" t="s" ph="1">
        <v>533</v>
      </c>
      <c r="AJ103" s="64" t="s" ph="1">
        <v>534</v>
      </c>
      <c r="AK103" s="64" t="s" ph="1">
        <v>408</v>
      </c>
      <c r="AM103" s="64" t="s" ph="1">
        <v>535</v>
      </c>
      <c r="AN103" s="64" t="s" ph="1">
        <v>323</v>
      </c>
      <c r="AO103" s="64" t="s" ph="1">
        <v>300</v>
      </c>
      <c r="AP103" s="64" t="s" ph="1">
        <v>377</v>
      </c>
      <c r="AQ103" s="64" t="s" ph="1">
        <v>266</v>
      </c>
      <c r="AR103" s="64" t="s" ph="1">
        <v>300</v>
      </c>
      <c r="AS103" s="64" t="s" ph="1">
        <v>611</v>
      </c>
      <c r="AT103" s="64" t="s" ph="1">
        <v>408</v>
      </c>
      <c r="AU103" s="64" t="s" ph="1">
        <v>300</v>
      </c>
      <c r="AY103" s="64" t="s" ph="1">
        <v>257</v>
      </c>
      <c r="AZ103" s="64" t="s" ph="1">
        <v>265</v>
      </c>
    </row>
    <row r="104" spans="33:52" ph="1">
      <c r="AZ104" s="64" t="s" ph="1">
        <v>536</v>
      </c>
    </row>
    <row r="105" spans="33:52" ph="1">
      <c r="AG105" s="64" t="s" ph="1">
        <v>336</v>
      </c>
      <c r="AI105" s="64" t="s" ph="1">
        <v>250</v>
      </c>
      <c r="AJ105" s="64" t="s" ph="1">
        <v>251</v>
      </c>
      <c r="AK105" s="64" t="s" ph="1">
        <v>252</v>
      </c>
      <c r="AM105" s="64" t="s" ph="1">
        <v>251</v>
      </c>
      <c r="AN105" s="64" t="s" ph="1">
        <v>252</v>
      </c>
      <c r="AO105" s="64" t="s" ph="1">
        <v>253</v>
      </c>
      <c r="AP105" s="64" t="s" ph="1">
        <v>251</v>
      </c>
      <c r="AQ105" s="64" t="s" ph="1">
        <v>252</v>
      </c>
      <c r="AR105" s="64" t="s" ph="1">
        <v>253</v>
      </c>
      <c r="AS105" s="64" t="s" ph="1">
        <v>251</v>
      </c>
      <c r="AT105" s="64" t="s" ph="1">
        <v>252</v>
      </c>
      <c r="AU105" s="64" t="s" ph="1">
        <v>253</v>
      </c>
      <c r="AV105" s="64" t="s" ph="1">
        <v>251</v>
      </c>
      <c r="AW105" s="64" t="s" ph="1">
        <v>252</v>
      </c>
      <c r="AX105" s="64" t="s" ph="1">
        <v>253</v>
      </c>
      <c r="AZ105" s="64" t="s" ph="1">
        <v>254</v>
      </c>
    </row>
    <row r="106" spans="33:52" ph="1">
      <c r="AH106" s="64" ph="1">
        <v>1</v>
      </c>
      <c r="AI106" s="64" t="s" ph="1">
        <v>537</v>
      </c>
      <c r="AJ106" s="64" t="s" ph="1">
        <v>611</v>
      </c>
      <c r="AK106" s="64" t="s" ph="1">
        <v>272</v>
      </c>
      <c r="AZ106" s="64" t="s" ph="1">
        <v>272</v>
      </c>
    </row>
    <row r="107" spans="33:52" ph="1">
      <c r="AH107" s="64" ph="1">
        <v>2</v>
      </c>
      <c r="AI107" s="64" t="s" ph="1">
        <v>538</v>
      </c>
      <c r="AJ107" s="64" t="s" ph="1">
        <v>539</v>
      </c>
      <c r="AK107" s="64" t="s" ph="1">
        <v>269</v>
      </c>
      <c r="AM107" s="64" t="s" ph="1">
        <v>375</v>
      </c>
      <c r="AN107" s="64" t="s" ph="1">
        <v>540</v>
      </c>
      <c r="AO107" s="64" t="s" ph="1">
        <v>541</v>
      </c>
      <c r="AP107" s="64" t="s" ph="1">
        <v>377</v>
      </c>
      <c r="AQ107" s="64" t="s" ph="1">
        <v>345</v>
      </c>
      <c r="AR107" s="64" t="s" ph="1">
        <v>541</v>
      </c>
      <c r="AS107" s="64" t="s" ph="1">
        <v>611</v>
      </c>
      <c r="AT107" s="64" t="s" ph="1">
        <v>540</v>
      </c>
      <c r="AU107" s="64" t="s" ph="1">
        <v>541</v>
      </c>
      <c r="AY107" s="64" t="s" ph="1">
        <v>257</v>
      </c>
      <c r="AZ107" s="64" t="s" ph="1">
        <v>621</v>
      </c>
    </row>
    <row r="108" spans="33:52" ph="1">
      <c r="AH108" s="64" ph="1">
        <v>3</v>
      </c>
      <c r="AI108" s="64" t="s" ph="1">
        <v>542</v>
      </c>
      <c r="AY108" s="64" t="s" ph="1">
        <v>257</v>
      </c>
      <c r="AZ108" s="64" t="s" ph="1">
        <v>408</v>
      </c>
    </row>
    <row r="109" spans="33:52" ph="1">
      <c r="AH109" s="64" ph="1">
        <v>4</v>
      </c>
      <c r="AI109" s="64" t="s" ph="1">
        <v>543</v>
      </c>
      <c r="AY109" s="64" t="s" ph="1">
        <v>257</v>
      </c>
      <c r="AZ109" s="64" t="s" ph="1">
        <v>408</v>
      </c>
    </row>
    <row r="110" spans="33:52" ph="1">
      <c r="AH110" s="64" ph="1">
        <v>5</v>
      </c>
      <c r="AI110" s="64" t="s" ph="1">
        <v>544</v>
      </c>
      <c r="AY110" s="64" t="s" ph="1">
        <v>257</v>
      </c>
      <c r="AZ110" s="64" t="s" ph="1">
        <v>408</v>
      </c>
    </row>
    <row r="111" spans="33:52" ph="1">
      <c r="AH111" s="64" ph="1">
        <v>6</v>
      </c>
      <c r="AI111" s="64" t="s" ph="1">
        <v>622</v>
      </c>
      <c r="AJ111" s="64" t="s" ph="1">
        <v>527</v>
      </c>
      <c r="AK111" s="64" t="s" ph="1">
        <v>266</v>
      </c>
      <c r="AM111" s="64" t="s" ph="1">
        <v>528</v>
      </c>
      <c r="AN111" s="64" t="s" ph="1">
        <v>260</v>
      </c>
      <c r="AO111" s="64" t="s" ph="1">
        <v>541</v>
      </c>
      <c r="AP111" s="64" t="s" ph="1">
        <v>529</v>
      </c>
      <c r="AQ111" s="64" t="s" ph="1">
        <v>269</v>
      </c>
      <c r="AR111" s="64" t="s" ph="1">
        <v>541</v>
      </c>
      <c r="AS111" s="64" t="s" ph="1">
        <v>530</v>
      </c>
      <c r="AT111" s="64" t="s" ph="1">
        <v>278</v>
      </c>
      <c r="AU111" s="64" t="s" ph="1">
        <v>541</v>
      </c>
      <c r="AV111" s="64" t="s" ph="1">
        <v>531</v>
      </c>
      <c r="AW111" s="64" t="s" ph="1">
        <v>268</v>
      </c>
      <c r="AX111" s="64" t="s" ph="1">
        <v>541</v>
      </c>
      <c r="AY111" s="64" t="s" ph="1">
        <v>257</v>
      </c>
      <c r="AZ111" s="64" t="s" ph="1">
        <v>545</v>
      </c>
    </row>
    <row r="112" spans="33:52" ph="1">
      <c r="AJ112" s="64" t="s" ph="1">
        <v>532</v>
      </c>
      <c r="AK112" s="64" t="s" ph="1">
        <v>313</v>
      </c>
      <c r="AM112" s="64" t="s" ph="1">
        <v>534</v>
      </c>
      <c r="AN112" s="64" t="s" ph="1">
        <v>337</v>
      </c>
      <c r="AO112" s="64" t="s" ph="1">
        <v>541</v>
      </c>
      <c r="AP112" s="64" t="s" ph="1">
        <v>535</v>
      </c>
      <c r="AQ112" s="64" t="s" ph="1">
        <v>546</v>
      </c>
      <c r="AR112" s="64" t="s" ph="1">
        <v>541</v>
      </c>
      <c r="AS112" s="64" t="s" ph="1">
        <v>547</v>
      </c>
      <c r="AT112" s="64" t="s" ph="1">
        <v>289</v>
      </c>
      <c r="AU112" s="64" t="s" ph="1">
        <v>541</v>
      </c>
      <c r="AV112" s="64" t="s" ph="1">
        <v>548</v>
      </c>
      <c r="AW112" s="64" t="s" ph="1">
        <v>335</v>
      </c>
      <c r="AX112" s="64" t="s" ph="1">
        <v>541</v>
      </c>
    </row>
    <row r="113" spans="33:52" ph="1">
      <c r="AH113" s="64" ph="1">
        <v>7</v>
      </c>
      <c r="AI113" s="64" t="s" ph="1">
        <v>549</v>
      </c>
      <c r="AJ113" s="64" t="s" ph="1">
        <v>630</v>
      </c>
      <c r="AK113" s="64" t="s" ph="1">
        <v>635</v>
      </c>
      <c r="AY113" s="64" t="s" ph="1">
        <v>257</v>
      </c>
      <c r="AZ113" s="64" t="s" ph="1">
        <v>635</v>
      </c>
    </row>
    <row r="114" spans="33:52" ph="1">
      <c r="AH114" s="64" ph="1">
        <v>8</v>
      </c>
      <c r="AI114" s="64" t="s" ph="1">
        <v>550</v>
      </c>
      <c r="AJ114" s="64" t="s" ph="1">
        <v>630</v>
      </c>
      <c r="AK114" s="64" t="s" ph="1">
        <v>636</v>
      </c>
      <c r="AY114" s="64" t="s" ph="1">
        <v>257</v>
      </c>
      <c r="AZ114" s="64" t="s" ph="1">
        <v>636</v>
      </c>
    </row>
    <row r="115" spans="33:52" ph="1">
      <c r="AH115" s="64" ph="1">
        <v>9</v>
      </c>
      <c r="AI115" s="64" t="s" ph="1">
        <v>551</v>
      </c>
      <c r="AJ115" s="64" t="s" ph="1">
        <v>630</v>
      </c>
      <c r="AK115" s="64" t="s" ph="1">
        <v>636</v>
      </c>
      <c r="AY115" s="64" t="s" ph="1">
        <v>257</v>
      </c>
      <c r="AZ115" s="64" t="s" ph="1">
        <v>636</v>
      </c>
    </row>
    <row r="116" spans="33:52" ph="1">
      <c r="AH116" s="64" ph="1">
        <v>10</v>
      </c>
      <c r="AI116" s="64" t="s" ph="1">
        <v>552</v>
      </c>
      <c r="AJ116" s="64" t="s" ph="1">
        <v>630</v>
      </c>
      <c r="AK116" s="64" t="s" ph="1">
        <v>636</v>
      </c>
      <c r="AY116" s="64" t="s" ph="1">
        <v>257</v>
      </c>
      <c r="AZ116" s="64" t="s" ph="1">
        <v>636</v>
      </c>
    </row>
    <row r="117" spans="33:52" ph="1">
      <c r="AH117" s="64" ph="1">
        <v>11</v>
      </c>
      <c r="AI117" s="64" t="s" ph="1">
        <v>553</v>
      </c>
      <c r="AJ117" s="64" t="s" ph="1">
        <v>630</v>
      </c>
      <c r="AK117" s="64" t="s" ph="1">
        <v>636</v>
      </c>
      <c r="AY117" s="64" t="s" ph="1">
        <v>257</v>
      </c>
      <c r="AZ117" s="64" t="s" ph="1">
        <v>636</v>
      </c>
    </row>
    <row r="118" spans="33:52" ph="1">
      <c r="AZ118" s="64" t="s" ph="1">
        <v>637</v>
      </c>
    </row>
    <row r="119" spans="33:52" ph="1">
      <c r="AI119" s="64" t="s" ph="1">
        <v>250</v>
      </c>
      <c r="AJ119" s="64" t="s" ph="1">
        <v>251</v>
      </c>
      <c r="AK119" s="64" t="s" ph="1">
        <v>252</v>
      </c>
      <c r="AM119" s="64" t="s" ph="1">
        <v>251</v>
      </c>
      <c r="AN119" s="64" t="s" ph="1">
        <v>252</v>
      </c>
      <c r="AO119" s="64" t="s" ph="1">
        <v>253</v>
      </c>
      <c r="AP119" s="64" t="s" ph="1">
        <v>251</v>
      </c>
      <c r="AQ119" s="64" t="s" ph="1">
        <v>252</v>
      </c>
      <c r="AR119" s="64" t="s" ph="1">
        <v>253</v>
      </c>
      <c r="AS119" s="64" t="s" ph="1">
        <v>251</v>
      </c>
      <c r="AT119" s="64" t="s" ph="1">
        <v>252</v>
      </c>
      <c r="AU119" s="64" t="s" ph="1">
        <v>253</v>
      </c>
      <c r="AV119" s="64" t="s" ph="1">
        <v>251</v>
      </c>
      <c r="AW119" s="64" t="s" ph="1">
        <v>252</v>
      </c>
      <c r="AX119" s="64" t="s" ph="1">
        <v>253</v>
      </c>
      <c r="AY119" s="64" t="s" ph="1">
        <v>252</v>
      </c>
      <c r="AZ119" s="64" t="s" ph="1">
        <v>254</v>
      </c>
    </row>
    <row r="120" spans="33:52" ph="1">
      <c r="AG120" s="64" t="s" ph="1">
        <v>394</v>
      </c>
      <c r="AH120" s="64" ph="1">
        <v>1</v>
      </c>
      <c r="AI120" s="64" t="s" ph="1">
        <v>554</v>
      </c>
      <c r="AJ120" s="64" t="s" ph="1">
        <v>628</v>
      </c>
      <c r="AK120" s="64" t="s" ph="1">
        <v>408</v>
      </c>
      <c r="AY120" s="64" t="s" ph="1">
        <v>257</v>
      </c>
      <c r="AZ120" s="64" t="s" ph="1">
        <v>408</v>
      </c>
    </row>
    <row r="121" spans="33:52" ph="1">
      <c r="AH121" s="64" ph="1">
        <v>2</v>
      </c>
      <c r="AI121" s="64" t="s" ph="1">
        <v>555</v>
      </c>
      <c r="AY121" s="64" t="s" ph="1">
        <v>257</v>
      </c>
      <c r="AZ121" s="64" t="s" ph="1">
        <v>408</v>
      </c>
    </row>
    <row r="122" spans="33:52" ph="1">
      <c r="AH122" s="64" ph="1">
        <v>3</v>
      </c>
      <c r="AI122" s="64" t="s" ph="1">
        <v>556</v>
      </c>
      <c r="AJ122" s="64" t="s" ph="1">
        <v>611</v>
      </c>
      <c r="AK122" s="64" t="s" ph="1">
        <v>623</v>
      </c>
      <c r="AM122" s="64" t="s" ph="1">
        <v>638</v>
      </c>
      <c r="AN122" s="64" t="s" ph="1">
        <v>631</v>
      </c>
      <c r="AO122" s="64" t="s" ph="1">
        <v>108</v>
      </c>
      <c r="AY122" s="64" t="s" ph="1">
        <v>257</v>
      </c>
      <c r="AZ122" s="64" t="s" ph="1">
        <v>620</v>
      </c>
    </row>
    <row r="123" spans="33:52" ph="1">
      <c r="AY123" s="64" t="s" ph="1">
        <v>257</v>
      </c>
      <c r="AZ123" s="64" t="s" ph="1">
        <v>620</v>
      </c>
    </row>
    <row r="124" spans="33:52" ph="1">
      <c r="AG124" s="64" t="s" ph="1">
        <v>397</v>
      </c>
      <c r="AH124" s="64" ph="1">
        <v>4</v>
      </c>
      <c r="AI124" s="64" t="s" ph="1">
        <v>557</v>
      </c>
      <c r="AJ124" s="64" t="s" ph="1">
        <v>558</v>
      </c>
      <c r="AK124" s="64" t="s" ph="1">
        <v>559</v>
      </c>
      <c r="AY124" s="64" t="s" ph="1">
        <v>257</v>
      </c>
      <c r="AZ124" s="64" t="s" ph="1">
        <v>559</v>
      </c>
    </row>
    <row r="125" spans="33:52" ph="1">
      <c r="AH125" s="64" ph="1">
        <v>5</v>
      </c>
      <c r="AI125" s="64" t="s" ph="1">
        <v>560</v>
      </c>
      <c r="AJ125" s="64" t="s" ph="1">
        <v>558</v>
      </c>
      <c r="AK125" s="64" t="s" ph="1">
        <v>559</v>
      </c>
      <c r="AY125" s="64" t="s" ph="1">
        <v>257</v>
      </c>
      <c r="AZ125" s="64" t="s" ph="1">
        <v>559</v>
      </c>
    </row>
    <row r="126" spans="33:52" ph="1">
      <c r="AH126" s="64" ph="1">
        <v>6</v>
      </c>
      <c r="AI126" s="64" t="s" ph="1">
        <v>561</v>
      </c>
      <c r="AJ126" s="64" t="s" ph="1">
        <v>630</v>
      </c>
      <c r="AK126" s="64" t="s" ph="1">
        <v>639</v>
      </c>
      <c r="AY126" s="64" t="s" ph="1">
        <v>257</v>
      </c>
      <c r="AZ126" s="64" t="s" ph="1">
        <v>639</v>
      </c>
    </row>
    <row r="127" spans="33:52" ph="1">
      <c r="AH127" s="64" ph="1">
        <v>7</v>
      </c>
      <c r="AI127" s="64" t="s" ph="1">
        <v>562</v>
      </c>
      <c r="AJ127" s="64" t="s" ph="1">
        <v>630</v>
      </c>
      <c r="AK127" s="64" t="s" ph="1">
        <v>640</v>
      </c>
      <c r="AY127" s="64" t="s" ph="1">
        <v>257</v>
      </c>
      <c r="AZ127" s="64" t="s" ph="1">
        <v>640</v>
      </c>
    </row>
    <row r="128" spans="33:52" ph="1">
      <c r="AH128" s="64" ph="1">
        <v>8</v>
      </c>
      <c r="AI128" s="64" t="s" ph="1">
        <v>563</v>
      </c>
      <c r="AY128" s="64" t="s" ph="1">
        <v>257</v>
      </c>
      <c r="AZ128" s="64" t="s" ph="1">
        <v>408</v>
      </c>
    </row>
    <row r="129" spans="33:52" ph="1">
      <c r="AH129" s="64" ph="1">
        <v>9</v>
      </c>
      <c r="AI129" s="64" t="s" ph="1">
        <v>564</v>
      </c>
      <c r="AY129" s="64" t="s" ph="1">
        <v>257</v>
      </c>
      <c r="AZ129" s="64" t="s" ph="1">
        <v>408</v>
      </c>
    </row>
    <row r="130" spans="33:52" ph="1">
      <c r="AH130" s="64" ph="1">
        <v>10</v>
      </c>
      <c r="AI130" s="64" t="s" ph="1">
        <v>565</v>
      </c>
      <c r="AY130" s="64" t="s" ph="1">
        <v>257</v>
      </c>
      <c r="AZ130" s="64" t="s" ph="1">
        <v>408</v>
      </c>
    </row>
    <row r="131" spans="33:52" ph="1">
      <c r="AH131" s="64" ph="1">
        <v>11</v>
      </c>
      <c r="AI131" s="64" t="s" ph="1">
        <v>566</v>
      </c>
      <c r="AJ131" s="64" t="s" ph="1">
        <v>624</v>
      </c>
      <c r="AK131" s="64" t="s" ph="1">
        <v>620</v>
      </c>
      <c r="AY131" s="64" t="s" ph="1">
        <v>257</v>
      </c>
      <c r="AZ131" s="64" t="s" ph="1">
        <v>620</v>
      </c>
    </row>
    <row r="132" spans="33:52" ph="1">
      <c r="AH132" s="64" ph="1">
        <v>12</v>
      </c>
      <c r="AI132" s="64" t="s" ph="1">
        <v>567</v>
      </c>
      <c r="AJ132" s="64" t="s" ph="1">
        <v>624</v>
      </c>
      <c r="AK132" s="64" t="s" ph="1">
        <v>559</v>
      </c>
      <c r="AY132" s="64" t="s" ph="1">
        <v>257</v>
      </c>
      <c r="AZ132" s="64" t="s" ph="1">
        <v>559</v>
      </c>
    </row>
    <row r="133" spans="33:52" ph="1">
      <c r="AH133" s="64" ph="1">
        <v>13</v>
      </c>
      <c r="AI133" s="64" t="s" ph="1">
        <v>568</v>
      </c>
      <c r="AJ133" s="64" t="s" ph="1">
        <v>624</v>
      </c>
      <c r="AK133" s="64" t="s" ph="1">
        <v>625</v>
      </c>
      <c r="AY133" s="64" t="s" ph="1">
        <v>257</v>
      </c>
      <c r="AZ133" s="64" t="s" ph="1">
        <v>625</v>
      </c>
    </row>
    <row r="134" spans="33:52" ph="1">
      <c r="AH134" s="64" ph="1">
        <v>14</v>
      </c>
      <c r="AI134" s="64" t="s" ph="1">
        <v>569</v>
      </c>
      <c r="AJ134" s="64" t="s" ph="1">
        <v>624</v>
      </c>
      <c r="AK134" s="64" t="s" ph="1">
        <v>626</v>
      </c>
      <c r="AY134" s="64" t="s" ph="1">
        <v>257</v>
      </c>
      <c r="AZ134" s="64" t="s" ph="1">
        <v>626</v>
      </c>
    </row>
    <row r="135" spans="33:52" ph="1">
      <c r="AH135" s="64" ph="1">
        <v>15</v>
      </c>
      <c r="AI135" s="64" t="s" ph="1">
        <v>570</v>
      </c>
      <c r="AJ135" s="64" t="s" ph="1">
        <v>624</v>
      </c>
      <c r="AK135" s="64" t="s" ph="1">
        <v>627</v>
      </c>
      <c r="AY135" s="64" t="s" ph="1">
        <v>257</v>
      </c>
      <c r="AZ135" s="64" t="s" ph="1">
        <v>627</v>
      </c>
    </row>
    <row r="136" spans="33:52" ph="1">
      <c r="AZ136" s="64" t="s" ph="1">
        <v>641</v>
      </c>
    </row>
    <row r="137" spans="33:52" ph="1">
      <c r="AG137" s="64" t="s" ph="1">
        <v>331</v>
      </c>
      <c r="AI137" s="64" t="s" ph="1">
        <v>250</v>
      </c>
      <c r="AJ137" s="64" t="s" ph="1">
        <v>251</v>
      </c>
      <c r="AK137" s="64" t="s" ph="1">
        <v>252</v>
      </c>
      <c r="AM137" s="64" t="s" ph="1">
        <v>251</v>
      </c>
      <c r="AN137" s="64" t="s" ph="1">
        <v>252</v>
      </c>
      <c r="AO137" s="64" t="s" ph="1">
        <v>253</v>
      </c>
      <c r="AP137" s="64" t="s" ph="1">
        <v>251</v>
      </c>
      <c r="AQ137" s="64" t="s" ph="1">
        <v>252</v>
      </c>
      <c r="AR137" s="64" t="s" ph="1">
        <v>253</v>
      </c>
      <c r="AS137" s="64" t="s" ph="1">
        <v>251</v>
      </c>
      <c r="AT137" s="64" t="s" ph="1">
        <v>252</v>
      </c>
      <c r="AU137" s="64" t="s" ph="1">
        <v>253</v>
      </c>
      <c r="AV137" s="64" t="s" ph="1">
        <v>251</v>
      </c>
      <c r="AW137" s="64" t="s" ph="1">
        <v>252</v>
      </c>
      <c r="AX137" s="64" t="s" ph="1">
        <v>253</v>
      </c>
      <c r="AY137" s="64" t="s" ph="1">
        <v>252</v>
      </c>
      <c r="AZ137" s="64" t="s" ph="1">
        <v>254</v>
      </c>
    </row>
    <row r="138" spans="33:52" ph="1">
      <c r="AH138" s="64" ph="1">
        <v>1</v>
      </c>
      <c r="AI138" s="64" t="s" ph="1">
        <v>571</v>
      </c>
      <c r="AJ138" s="64" t="s" ph="1">
        <v>572</v>
      </c>
      <c r="AK138" s="64" t="s" ph="1">
        <v>573</v>
      </c>
      <c r="AY138" s="64" t="s" ph="1">
        <v>257</v>
      </c>
      <c r="AZ138" s="64" t="s" ph="1">
        <v>573</v>
      </c>
    </row>
    <row r="139" spans="33:52" ph="1">
      <c r="AH139" s="64" ph="1">
        <v>2</v>
      </c>
      <c r="AI139" s="64" t="s" ph="1">
        <v>574</v>
      </c>
      <c r="AJ139" s="64" t="s" ph="1">
        <v>630</v>
      </c>
      <c r="AK139" s="64" t="s" ph="1">
        <v>642</v>
      </c>
      <c r="AY139" s="64" t="s" ph="1">
        <v>257</v>
      </c>
      <c r="AZ139" s="64" t="s" ph="1">
        <v>642</v>
      </c>
    </row>
    <row r="140" spans="33:52" ph="1">
      <c r="AH140" s="64" ph="1">
        <v>3</v>
      </c>
      <c r="AI140" s="64" t="s" ph="1">
        <v>575</v>
      </c>
      <c r="AJ140" s="64" t="s" ph="1">
        <v>528</v>
      </c>
      <c r="AK140" s="64" t="s" ph="1">
        <v>340</v>
      </c>
      <c r="AM140" s="64" t="s" ph="1">
        <v>529</v>
      </c>
      <c r="AN140" s="64" t="s" ph="1">
        <v>260</v>
      </c>
      <c r="AO140" s="64" t="s" ph="1">
        <v>576</v>
      </c>
      <c r="AP140" s="64" t="s" ph="1">
        <v>530</v>
      </c>
      <c r="AQ140" s="64" t="s" ph="1">
        <v>277</v>
      </c>
      <c r="AR140" s="64" t="s" ph="1">
        <v>576</v>
      </c>
      <c r="AS140" s="64" t="s" ph="1">
        <v>531</v>
      </c>
      <c r="AT140" s="64" t="s" ph="1">
        <v>270</v>
      </c>
      <c r="AU140" s="64" t="s" ph="1">
        <v>576</v>
      </c>
      <c r="AV140" s="64" t="s" ph="1">
        <v>532</v>
      </c>
      <c r="AW140" s="64" t="s" ph="1">
        <v>263</v>
      </c>
      <c r="AX140" s="64" t="s" ph="1">
        <v>576</v>
      </c>
      <c r="AY140" s="64" t="s" ph="1">
        <v>257</v>
      </c>
      <c r="AZ140" s="64" t="s" ph="1">
        <v>332</v>
      </c>
    </row>
    <row r="141" spans="33:52" ph="1">
      <c r="AJ141" s="64" t="s" ph="1">
        <v>534</v>
      </c>
      <c r="AK141" s="64" t="s" ph="1">
        <v>263</v>
      </c>
      <c r="AM141" s="64" t="s" ph="1">
        <v>535</v>
      </c>
      <c r="AN141" s="64" t="s" ph="1">
        <v>266</v>
      </c>
      <c r="AO141" s="64" t="s" ph="1">
        <v>576</v>
      </c>
      <c r="AP141" s="64" t="s" ph="1">
        <v>547</v>
      </c>
      <c r="AQ141" s="64" t="s" ph="1">
        <v>335</v>
      </c>
      <c r="AR141" s="64" t="s" ph="1">
        <v>576</v>
      </c>
      <c r="AS141" s="64" t="s" ph="1">
        <v>539</v>
      </c>
      <c r="AT141" s="64" t="s" ph="1">
        <v>263</v>
      </c>
      <c r="AU141" s="64" t="s" ph="1">
        <v>576</v>
      </c>
      <c r="AV141" s="64" t="s" ph="1">
        <v>375</v>
      </c>
      <c r="AW141" s="64" t="s" ph="1">
        <v>269</v>
      </c>
      <c r="AX141" s="64" t="s" ph="1">
        <v>576</v>
      </c>
    </row>
    <row r="142" spans="33:52" ph="1">
      <c r="AJ142" s="64" t="s" ph="1">
        <v>577</v>
      </c>
      <c r="AK142" s="64" t="s" ph="1">
        <v>280</v>
      </c>
    </row>
    <row r="143" spans="33:52" ph="1">
      <c r="AH143" s="64" ph="1">
        <v>4</v>
      </c>
      <c r="AI143" s="64" t="s" ph="1">
        <v>578</v>
      </c>
      <c r="AJ143" s="64" t="s" ph="1">
        <v>558</v>
      </c>
      <c r="AK143" s="64" t="s" ph="1">
        <v>579</v>
      </c>
      <c r="AY143" s="64" t="s" ph="1">
        <v>257</v>
      </c>
      <c r="AZ143" s="64" t="s" ph="1">
        <v>579</v>
      </c>
    </row>
    <row r="144" spans="33:52" ph="1">
      <c r="AH144" s="64" ph="1">
        <v>5</v>
      </c>
      <c r="AI144" s="64" t="s" ph="1">
        <v>580</v>
      </c>
      <c r="AY144" s="64" t="s" ph="1">
        <v>257</v>
      </c>
      <c r="AZ144" s="64" t="s" ph="1">
        <v>408</v>
      </c>
    </row>
    <row r="145" spans="33:52" ph="1">
      <c r="AH145" s="64" ph="1">
        <v>6</v>
      </c>
      <c r="AI145" s="64" t="s" ph="1">
        <v>581</v>
      </c>
      <c r="AY145" s="64" t="s" ph="1">
        <v>257</v>
      </c>
      <c r="AZ145" s="64" t="s" ph="1">
        <v>408</v>
      </c>
    </row>
    <row r="146" spans="33:52" ph="1">
      <c r="AH146" s="64" ph="1">
        <v>7</v>
      </c>
      <c r="AI146" s="64" t="s" ph="1">
        <v>582</v>
      </c>
      <c r="AY146" s="64" t="s" ph="1">
        <v>257</v>
      </c>
      <c r="AZ146" s="64" t="s" ph="1">
        <v>408</v>
      </c>
    </row>
    <row r="147" spans="33:52" ph="1">
      <c r="AH147" s="64" ph="1">
        <v>8</v>
      </c>
      <c r="AI147" s="64" t="s" ph="1">
        <v>583</v>
      </c>
      <c r="AY147" s="64" t="s" ph="1">
        <v>257</v>
      </c>
      <c r="AZ147" s="64" t="s" ph="1">
        <v>408</v>
      </c>
    </row>
    <row r="148" spans="33:52" ph="1">
      <c r="AH148" s="64" ph="1">
        <v>9</v>
      </c>
      <c r="AI148" s="64" t="s" ph="1">
        <v>584</v>
      </c>
      <c r="AY148" s="64" t="s" ph="1">
        <v>257</v>
      </c>
      <c r="AZ148" s="64" t="s" ph="1">
        <v>408</v>
      </c>
    </row>
    <row r="149" spans="33:52" ph="1">
      <c r="AH149" s="64" ph="1">
        <v>10</v>
      </c>
      <c r="AI149" s="64" t="s" ph="1">
        <v>585</v>
      </c>
      <c r="AY149" s="64" t="s" ph="1">
        <v>257</v>
      </c>
      <c r="AZ149" s="64" t="s" ph="1">
        <v>408</v>
      </c>
    </row>
    <row r="150" spans="33:52" ph="1">
      <c r="AH150" s="64" ph="1">
        <v>11</v>
      </c>
      <c r="AI150" s="64" t="s" ph="1">
        <v>586</v>
      </c>
      <c r="AY150" s="64" t="s" ph="1">
        <v>257</v>
      </c>
      <c r="AZ150" s="64" t="s" ph="1">
        <v>408</v>
      </c>
    </row>
    <row r="151" spans="33:52" ph="1">
      <c r="AH151" s="64" ph="1">
        <v>12</v>
      </c>
      <c r="AI151" s="64" t="s" ph="1">
        <v>587</v>
      </c>
      <c r="AY151" s="64" t="s" ph="1">
        <v>257</v>
      </c>
      <c r="AZ151" s="64" t="s" ph="1">
        <v>408</v>
      </c>
    </row>
    <row r="152" spans="33:52" ph="1">
      <c r="AH152" s="64" ph="1">
        <v>13</v>
      </c>
      <c r="AI152" s="64" t="s" ph="1">
        <v>588</v>
      </c>
      <c r="AY152" s="64" t="s" ph="1">
        <v>257</v>
      </c>
      <c r="AZ152" s="64" t="s" ph="1">
        <v>408</v>
      </c>
    </row>
    <row r="153" spans="33:52" ph="1">
      <c r="AH153" s="64" ph="1">
        <v>14</v>
      </c>
      <c r="AI153" s="64" t="s" ph="1">
        <v>589</v>
      </c>
      <c r="AY153" s="64" t="s" ph="1">
        <v>257</v>
      </c>
      <c r="AZ153" s="64" t="s" ph="1">
        <v>408</v>
      </c>
    </row>
    <row r="154" spans="33:52" ph="1">
      <c r="AH154" s="64" ph="1">
        <v>15</v>
      </c>
      <c r="AI154" s="64" t="s" ph="1">
        <v>590</v>
      </c>
      <c r="AY154" s="64" t="s" ph="1">
        <v>257</v>
      </c>
      <c r="AZ154" s="64" t="s" ph="1">
        <v>408</v>
      </c>
    </row>
    <row r="155" spans="33:52" ph="1">
      <c r="AH155" s="64" ph="1">
        <v>16</v>
      </c>
      <c r="AI155" s="64" t="s" ph="1">
        <v>591</v>
      </c>
      <c r="AJ155" s="64" t="s" ph="1">
        <v>377</v>
      </c>
      <c r="AK155" s="64" t="s" ph="1">
        <v>272</v>
      </c>
      <c r="AM155" s="64" t="s" ph="1">
        <v>611</v>
      </c>
      <c r="AN155" s="64" t="s" ph="1">
        <v>323</v>
      </c>
      <c r="AO155" s="64" t="s" ph="1">
        <v>576</v>
      </c>
      <c r="AY155" s="64" t="s" ph="1">
        <v>257</v>
      </c>
      <c r="AZ155" s="64" t="s" ph="1">
        <v>264</v>
      </c>
    </row>
    <row r="156" spans="33:52" ph="1">
      <c r="AZ156" s="64" t="s" ph="1">
        <v>643</v>
      </c>
    </row>
    <row r="157" spans="33:52" ph="1">
      <c r="AG157" s="64" t="s" ph="1">
        <v>592</v>
      </c>
      <c r="AI157" s="64" t="s" ph="1">
        <v>250</v>
      </c>
      <c r="AJ157" s="64" t="s" ph="1">
        <v>251</v>
      </c>
      <c r="AK157" s="64" t="s" ph="1">
        <v>252</v>
      </c>
      <c r="AM157" s="64" t="s" ph="1">
        <v>251</v>
      </c>
      <c r="AN157" s="64" t="s" ph="1">
        <v>252</v>
      </c>
      <c r="AO157" s="64" t="s" ph="1">
        <v>253</v>
      </c>
      <c r="AP157" s="64" t="s" ph="1">
        <v>251</v>
      </c>
      <c r="AQ157" s="64" t="s" ph="1">
        <v>252</v>
      </c>
      <c r="AR157" s="64" t="s" ph="1">
        <v>253</v>
      </c>
      <c r="AS157" s="64" t="s" ph="1">
        <v>251</v>
      </c>
      <c r="AT157" s="64" t="s" ph="1">
        <v>252</v>
      </c>
      <c r="AU157" s="64" t="s" ph="1">
        <v>253</v>
      </c>
      <c r="AV157" s="64" t="s" ph="1">
        <v>251</v>
      </c>
      <c r="AW157" s="64" t="s" ph="1">
        <v>252</v>
      </c>
      <c r="AX157" s="64" t="s" ph="1">
        <v>253</v>
      </c>
      <c r="AY157" s="64" t="s" ph="1">
        <v>252</v>
      </c>
      <c r="AZ157" s="64" t="s" ph="1">
        <v>254</v>
      </c>
    </row>
    <row r="158" spans="33:52" ph="1">
      <c r="AH158" s="64" ph="1">
        <v>1</v>
      </c>
      <c r="AI158" s="64" t="s" ph="1">
        <v>593</v>
      </c>
      <c r="AY158" s="64" t="s" ph="1">
        <v>257</v>
      </c>
      <c r="AZ158" s="64" t="s" ph="1">
        <v>408</v>
      </c>
    </row>
    <row r="159" spans="33:52" ph="1">
      <c r="AH159" s="64" ph="1">
        <v>2</v>
      </c>
      <c r="AI159" s="64" t="s" ph="1">
        <v>594</v>
      </c>
      <c r="AY159" s="64" t="s" ph="1">
        <v>257</v>
      </c>
      <c r="AZ159" s="64" t="s" ph="1">
        <v>408</v>
      </c>
    </row>
    <row r="160" spans="33:52" ph="1">
      <c r="AZ160" s="64" t="s" ph="1">
        <v>426</v>
      </c>
    </row>
    <row r="161" spans="33:52" ph="1">
      <c r="AG161" s="64" t="s" ph="1">
        <v>402</v>
      </c>
      <c r="AI161" s="64" t="s" ph="1">
        <v>250</v>
      </c>
      <c r="AJ161" s="64" t="s" ph="1">
        <v>251</v>
      </c>
      <c r="AK161" s="64" t="s" ph="1">
        <v>252</v>
      </c>
      <c r="AM161" s="64" t="s" ph="1">
        <v>251</v>
      </c>
      <c r="AN161" s="64" t="s" ph="1">
        <v>252</v>
      </c>
      <c r="AO161" s="64" t="s" ph="1">
        <v>253</v>
      </c>
      <c r="AP161" s="64" t="s" ph="1">
        <v>251</v>
      </c>
      <c r="AQ161" s="64" t="s" ph="1">
        <v>252</v>
      </c>
      <c r="AR161" s="64" t="s" ph="1">
        <v>253</v>
      </c>
      <c r="AS161" s="64" t="s" ph="1">
        <v>251</v>
      </c>
      <c r="AT161" s="64" t="s" ph="1">
        <v>252</v>
      </c>
      <c r="AU161" s="64" t="s" ph="1">
        <v>253</v>
      </c>
      <c r="AV161" s="64" t="s" ph="1">
        <v>251</v>
      </c>
      <c r="AW161" s="64" t="s" ph="1">
        <v>252</v>
      </c>
      <c r="AX161" s="64" t="s" ph="1">
        <v>253</v>
      </c>
      <c r="AY161" s="64" t="s" ph="1">
        <v>252</v>
      </c>
      <c r="AZ161" s="64" t="s" ph="1">
        <v>254</v>
      </c>
    </row>
    <row r="162" spans="33:52" ph="1">
      <c r="AH162" s="64" ph="1">
        <v>1</v>
      </c>
      <c r="AI162" s="64" t="s" ph="1">
        <v>595</v>
      </c>
      <c r="AJ162" s="64" t="s" ph="1">
        <v>596</v>
      </c>
      <c r="AK162" s="64" t="s" ph="1">
        <v>540</v>
      </c>
      <c r="AM162" s="64" t="s" ph="1">
        <v>597</v>
      </c>
      <c r="AN162" s="64" t="s" ph="1">
        <v>261</v>
      </c>
      <c r="AO162" s="64" t="s" ph="1">
        <v>598</v>
      </c>
      <c r="AY162" s="64" t="s" ph="1">
        <v>257</v>
      </c>
      <c r="AZ162" s="64" t="s" ph="1">
        <v>333</v>
      </c>
    </row>
    <row r="163" spans="33:52" ph="1">
      <c r="AH163" s="64" ph="1">
        <v>2</v>
      </c>
      <c r="AI163" s="64" t="s" ph="1">
        <v>599</v>
      </c>
      <c r="AJ163" s="64" t="s" ph="1">
        <v>596</v>
      </c>
      <c r="AK163" s="64" t="s" ph="1">
        <v>429</v>
      </c>
      <c r="AY163" s="64" t="s" ph="1">
        <v>257</v>
      </c>
      <c r="AZ163" s="64" t="s" ph="1">
        <v>429</v>
      </c>
    </row>
    <row r="164" spans="33:52" ph="1">
      <c r="AH164" s="64" ph="1">
        <v>3</v>
      </c>
      <c r="AI164" s="64" t="s" ph="1">
        <v>600</v>
      </c>
      <c r="AJ164" s="64" t="s" ph="1">
        <v>596</v>
      </c>
      <c r="AK164" s="64" t="s" ph="1">
        <v>333</v>
      </c>
      <c r="AY164" s="64" t="s" ph="1">
        <v>257</v>
      </c>
      <c r="AZ164" s="64" t="s" ph="1">
        <v>333</v>
      </c>
    </row>
    <row r="165" spans="33:52" ph="1">
      <c r="AH165" s="64" ph="1">
        <v>4</v>
      </c>
      <c r="AI165" s="64" t="s" ph="1">
        <v>601</v>
      </c>
      <c r="AY165" s="64" t="s" ph="1">
        <v>257</v>
      </c>
      <c r="AZ165" s="64" t="s" ph="1">
        <v>408</v>
      </c>
    </row>
    <row r="166" spans="33:52" ph="1">
      <c r="AH166" s="64" ph="1">
        <v>5</v>
      </c>
      <c r="AI166" s="64" t="s" ph="1">
        <v>602</v>
      </c>
      <c r="AY166" s="64" t="s" ph="1">
        <v>257</v>
      </c>
      <c r="AZ166" s="64" t="s" ph="1">
        <v>408</v>
      </c>
    </row>
    <row r="167" spans="33:52" ph="1">
      <c r="AZ167" s="64" t="s" ph="1">
        <v>603</v>
      </c>
    </row>
    <row r="168" spans="33:52" ph="1">
      <c r="AG168" s="64" t="s" ph="1">
        <v>346</v>
      </c>
      <c r="AI168" s="64" t="s" ph="1">
        <v>250</v>
      </c>
      <c r="AJ168" s="64" t="s" ph="1">
        <v>251</v>
      </c>
      <c r="AK168" s="64" t="s" ph="1">
        <v>252</v>
      </c>
      <c r="AM168" s="64" t="s" ph="1">
        <v>251</v>
      </c>
      <c r="AN168" s="64" t="s" ph="1">
        <v>252</v>
      </c>
      <c r="AO168" s="64" t="s" ph="1">
        <v>253</v>
      </c>
      <c r="AP168" s="64" t="s" ph="1">
        <v>251</v>
      </c>
      <c r="AQ168" s="64" t="s" ph="1">
        <v>252</v>
      </c>
      <c r="AR168" s="64" t="s" ph="1">
        <v>253</v>
      </c>
      <c r="AS168" s="64" t="s" ph="1">
        <v>251</v>
      </c>
      <c r="AT168" s="64" t="s" ph="1">
        <v>252</v>
      </c>
      <c r="AU168" s="64" t="s" ph="1">
        <v>253</v>
      </c>
      <c r="AV168" s="64" t="s" ph="1">
        <v>251</v>
      </c>
      <c r="AW168" s="64" t="s" ph="1">
        <v>252</v>
      </c>
      <c r="AX168" s="64" t="s" ph="1">
        <v>253</v>
      </c>
      <c r="AY168" s="64" t="s" ph="1">
        <v>252</v>
      </c>
      <c r="AZ168" s="64" t="s" ph="1">
        <v>254</v>
      </c>
    </row>
    <row r="169" spans="33:52" ph="1">
      <c r="AH169" s="64" ph="1">
        <v>1</v>
      </c>
      <c r="AI169" s="64" t="s" ph="1">
        <v>604</v>
      </c>
      <c r="AY169" s="64" t="s" ph="1">
        <v>257</v>
      </c>
      <c r="AZ169" s="64" t="s" ph="1">
        <v>408</v>
      </c>
    </row>
    <row r="170" spans="33:52" ph="1">
      <c r="AH170" s="64" ph="1">
        <v>2</v>
      </c>
      <c r="AI170" s="64" t="s" ph="1">
        <v>605</v>
      </c>
      <c r="AY170" s="64" t="s" ph="1">
        <v>257</v>
      </c>
      <c r="AZ170" s="64" t="s" ph="1">
        <v>408</v>
      </c>
    </row>
    <row r="171" spans="33:52" ph="1">
      <c r="AH171" s="64" ph="1">
        <v>3</v>
      </c>
      <c r="AI171" s="64" t="s" ph="1">
        <v>606</v>
      </c>
      <c r="AY171" s="64" t="s" ph="1">
        <v>257</v>
      </c>
      <c r="AZ171" s="64" t="s" ph="1">
        <v>408</v>
      </c>
    </row>
    <row r="172" spans="33:52" ph="1">
      <c r="AH172" s="64" ph="1">
        <v>4</v>
      </c>
      <c r="AI172" s="64" t="s" ph="1">
        <v>607</v>
      </c>
      <c r="AY172" s="64" t="s" ph="1">
        <v>257</v>
      </c>
      <c r="AZ172" s="64" t="s" ph="1">
        <v>408</v>
      </c>
    </row>
    <row r="173" spans="33:52" ph="1">
      <c r="AH173" s="64" ph="1">
        <v>5</v>
      </c>
      <c r="AI173" s="64" t="s" ph="1">
        <v>608</v>
      </c>
      <c r="AY173" s="64" t="s" ph="1">
        <v>257</v>
      </c>
      <c r="AZ173" s="64" t="s" ph="1">
        <v>408</v>
      </c>
    </row>
    <row r="174" spans="33:52" ph="1">
      <c r="AZ174" s="64" t="s" ph="1">
        <v>426</v>
      </c>
    </row>
    <row r="175" spans="33:52" ph="1">
      <c r="AJ175" s="64" t="s" ph="1">
        <v>347</v>
      </c>
    </row>
    <row r="176" spans="33:52" ph="1">
      <c r="AJ176" s="64" t="s" ph="1">
        <v>348</v>
      </c>
      <c r="AK176" s="64" t="s" ph="1">
        <v>349</v>
      </c>
      <c r="AM176" s="64" t="s" ph="1">
        <v>350</v>
      </c>
      <c r="AO176" s="64" t="s" ph="1">
        <v>351</v>
      </c>
      <c r="AP176" s="64" t="s" ph="1">
        <v>352</v>
      </c>
      <c r="AQ176" s="64" t="s" ph="1">
        <v>342</v>
      </c>
      <c r="AR176" s="64" t="s" ph="1">
        <v>262</v>
      </c>
    </row>
    <row r="177" spans="36:56" ph="1">
      <c r="AJ177" s="64" t="s" ph="1">
        <v>644</v>
      </c>
      <c r="AK177" s="64" t="s" ph="1">
        <v>353</v>
      </c>
      <c r="AO177" s="64" t="s" ph="1">
        <v>353</v>
      </c>
      <c r="AP177" s="64" t="s" ph="1">
        <v>353</v>
      </c>
      <c r="AQ177" s="64" t="s" ph="1">
        <v>354</v>
      </c>
      <c r="AR177" s="64" t="s" ph="1">
        <v>355</v>
      </c>
    </row>
    <row r="179" spans="36:56" ph="1">
      <c r="AJ179" s="64" t="s" ph="1">
        <v>356</v>
      </c>
      <c r="AK179" s="64" t="s" ph="1">
        <v>357</v>
      </c>
      <c r="AM179" s="64" t="s" ph="1">
        <v>358</v>
      </c>
      <c r="AN179" s="64" t="s" ph="1">
        <v>334</v>
      </c>
      <c r="AO179" s="64" t="s" ph="1">
        <v>359</v>
      </c>
      <c r="AP179" s="64" t="s" ph="1">
        <v>338</v>
      </c>
      <c r="AQ179" s="64" t="s" ph="1">
        <v>360</v>
      </c>
      <c r="AR179" s="64" t="s" ph="1">
        <v>361</v>
      </c>
    </row>
    <row r="180" spans="36:56" ph="1">
      <c r="AJ180" s="64" t="s" ph="1">
        <v>353</v>
      </c>
      <c r="AK180" s="64" t="s" ph="1">
        <v>353</v>
      </c>
      <c r="AL180" s="64" ph="1">
        <v>116</v>
      </c>
      <c r="AM180" s="64" t="s" ph="1">
        <v>353</v>
      </c>
      <c r="AN180" s="64" t="s" ph="1">
        <v>362</v>
      </c>
      <c r="AO180" s="64" t="s" ph="1">
        <v>353</v>
      </c>
      <c r="AP180" s="64" t="s" ph="1">
        <v>363</v>
      </c>
      <c r="AQ180" s="64" t="s" ph="1">
        <v>364</v>
      </c>
      <c r="AR180" s="64" t="s" ph="1">
        <v>365</v>
      </c>
    </row>
    <row r="189" spans="36:56" ph="1">
      <c r="BD189" s="64" t="s" ph="1">
        <v>609</v>
      </c>
    </row>
    <row r="223" spans="18:18" ph="1">
      <c r="R223" s="138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637" priority="96">
      <formula>ABS(D$7-D$10)&gt;=1000</formula>
    </cfRule>
  </conditionalFormatting>
  <conditionalFormatting sqref="E4 E6:E11">
    <cfRule type="expression" dxfId="1636" priority="95">
      <formula>ABS(E$7-E$10)&gt;=1000</formula>
    </cfRule>
  </conditionalFormatting>
  <conditionalFormatting sqref="F4:F11">
    <cfRule type="expression" dxfId="1635" priority="94">
      <formula>ABS(F$7-F$10)&gt;=1000</formula>
    </cfRule>
  </conditionalFormatting>
  <conditionalFormatting sqref="G4:G11">
    <cfRule type="expression" dxfId="1634" priority="93">
      <formula>ABS(G$7-G$10)&gt;=1000</formula>
    </cfRule>
  </conditionalFormatting>
  <conditionalFormatting sqref="H4:H11">
    <cfRule type="expression" dxfId="1633" priority="92">
      <formula>ABS(H$7-H$10)&gt;=1000</formula>
    </cfRule>
  </conditionalFormatting>
  <conditionalFormatting sqref="I4:I11">
    <cfRule type="expression" dxfId="1632" priority="91">
      <formula>ABS(I$7-I$10)&gt;=1000</formula>
    </cfRule>
  </conditionalFormatting>
  <conditionalFormatting sqref="J4:J11">
    <cfRule type="expression" dxfId="1631" priority="90">
      <formula>ABS(J$7-J$10)&gt;=1000</formula>
    </cfRule>
  </conditionalFormatting>
  <conditionalFormatting sqref="K4:K11">
    <cfRule type="expression" dxfId="1630" priority="89">
      <formula>ABS(K$7-K$10)&gt;=1000</formula>
    </cfRule>
  </conditionalFormatting>
  <conditionalFormatting sqref="L4:L11">
    <cfRule type="expression" dxfId="1629" priority="88">
      <formula>ABS(L$7-L$10)&gt;=1000</formula>
    </cfRule>
  </conditionalFormatting>
  <conditionalFormatting sqref="M4 M6:M11">
    <cfRule type="expression" dxfId="1628" priority="87">
      <formula>ABS(M$7-M$10)&gt;=1000</formula>
    </cfRule>
  </conditionalFormatting>
  <conditionalFormatting sqref="N4 N6:N11">
    <cfRule type="expression" dxfId="1627" priority="86">
      <formula>ABS(N$7-N$10)&gt;=1000</formula>
    </cfRule>
  </conditionalFormatting>
  <conditionalFormatting sqref="O4 O6:O11">
    <cfRule type="expression" dxfId="1626" priority="85">
      <formula>ABS(O$7-O$10)&gt;=1000</formula>
    </cfRule>
  </conditionalFormatting>
  <conditionalFormatting sqref="P4 P6:P11">
    <cfRule type="expression" dxfId="1625" priority="84">
      <formula>ABS(P$7-P$10)&gt;=1000</formula>
    </cfRule>
  </conditionalFormatting>
  <conditionalFormatting sqref="Q4:Q11">
    <cfRule type="expression" dxfId="1624" priority="83">
      <formula>ABS(Q$7-Q$10)&gt;=1000</formula>
    </cfRule>
  </conditionalFormatting>
  <conditionalFormatting sqref="R4:R11">
    <cfRule type="expression" dxfId="1623" priority="82">
      <formula>ABS(R$7-R$10)&gt;=1000</formula>
    </cfRule>
  </conditionalFormatting>
  <conditionalFormatting sqref="S4:S11">
    <cfRule type="expression" dxfId="1622" priority="81">
      <formula>ABS(S$7-S$10)&gt;=1000</formula>
    </cfRule>
  </conditionalFormatting>
  <conditionalFormatting sqref="T4:T9 T11">
    <cfRule type="expression" dxfId="1621" priority="80">
      <formula>ABS(T$7-T$10)&gt;=1000</formula>
    </cfRule>
  </conditionalFormatting>
  <conditionalFormatting sqref="U4:U9 U11">
    <cfRule type="expression" dxfId="1620" priority="79">
      <formula>ABS(U$7-U$10)&gt;=1000</formula>
    </cfRule>
  </conditionalFormatting>
  <conditionalFormatting sqref="V4:V9 V11">
    <cfRule type="expression" dxfId="1619" priority="78">
      <formula>ABS(V$7-V$10)&gt;=1000</formula>
    </cfRule>
  </conditionalFormatting>
  <conditionalFormatting sqref="W4:W9 W11">
    <cfRule type="expression" dxfId="1618" priority="77">
      <formula>ABS(W$7-W$10)&gt;=1000</formula>
    </cfRule>
  </conditionalFormatting>
  <conditionalFormatting sqref="X4:X9 X11">
    <cfRule type="expression" dxfId="1617" priority="76">
      <formula>ABS(X$7-X$10)&gt;=1000</formula>
    </cfRule>
  </conditionalFormatting>
  <conditionalFormatting sqref="Y4:Y9 Y11">
    <cfRule type="expression" dxfId="1616" priority="75">
      <formula>ABS(Y$7-Y$10)&gt;=1000</formula>
    </cfRule>
  </conditionalFormatting>
  <conditionalFormatting sqref="Z4:Z11">
    <cfRule type="expression" dxfId="1615" priority="74">
      <formula>ABS(Z$7-Z$10)&gt;=1000</formula>
    </cfRule>
  </conditionalFormatting>
  <conditionalFormatting sqref="AA4:AA11">
    <cfRule type="expression" dxfId="1614" priority="73">
      <formula>ABS(AA$7-AA$10)&gt;=1000</formula>
    </cfRule>
  </conditionalFormatting>
  <conditionalFormatting sqref="AB4:AB11">
    <cfRule type="expression" dxfId="1613" priority="72">
      <formula>ABS(AB$7-AB$10)&gt;=1000</formula>
    </cfRule>
  </conditionalFormatting>
  <conditionalFormatting sqref="AC4 AC6:AC11">
    <cfRule type="expression" dxfId="1612" priority="71">
      <formula>ABS(AC$7-AC$10)&gt;=1000</formula>
    </cfRule>
  </conditionalFormatting>
  <conditionalFormatting sqref="AD4:AD11">
    <cfRule type="expression" dxfId="1611" priority="70">
      <formula>ABS(AD$7-AD$10)&gt;=1000</formula>
    </cfRule>
  </conditionalFormatting>
  <conditionalFormatting sqref="AE4:AE11">
    <cfRule type="expression" dxfId="1610" priority="69">
      <formula>ABS(AE$7-AE$10)&gt;=1000</formula>
    </cfRule>
  </conditionalFormatting>
  <conditionalFormatting sqref="D13:D20">
    <cfRule type="expression" dxfId="1609" priority="68">
      <formula>ABS(D$16-D$19)&gt;=1000</formula>
    </cfRule>
  </conditionalFormatting>
  <conditionalFormatting sqref="E13:E20">
    <cfRule type="expression" dxfId="1608" priority="67">
      <formula>ABS(E$16-E$19)&gt;=1000</formula>
    </cfRule>
  </conditionalFormatting>
  <conditionalFormatting sqref="F13 F15:F20">
    <cfRule type="expression" dxfId="1607" priority="66">
      <formula>ABS(F$16-F$19)&gt;=1000</formula>
    </cfRule>
  </conditionalFormatting>
  <conditionalFormatting sqref="G13:G20">
    <cfRule type="expression" dxfId="1606" priority="65">
      <formula>ABS(G$16-G$19)&gt;=1000</formula>
    </cfRule>
  </conditionalFormatting>
  <conditionalFormatting sqref="H13:H20">
    <cfRule type="expression" dxfId="1605" priority="64">
      <formula>ABS(H$16-H$19)&gt;=1000</formula>
    </cfRule>
  </conditionalFormatting>
  <conditionalFormatting sqref="I13:I20">
    <cfRule type="expression" dxfId="1604" priority="63">
      <formula>ABS(I$16-I$19)&gt;=1000</formula>
    </cfRule>
  </conditionalFormatting>
  <conditionalFormatting sqref="J13:J20">
    <cfRule type="expression" dxfId="1603" priority="62">
      <formula>ABS(J$16-J$19)&gt;=1000</formula>
    </cfRule>
  </conditionalFormatting>
  <conditionalFormatting sqref="L13:L20">
    <cfRule type="expression" dxfId="1602" priority="61">
      <formula>ABS(L$16-L$19)&gt;=1000</formula>
    </cfRule>
  </conditionalFormatting>
  <conditionalFormatting sqref="M13 M15 M17:M18 M20">
    <cfRule type="expression" dxfId="1601" priority="60">
      <formula>ABS(M$16-M$19)&gt;=1000</formula>
    </cfRule>
  </conditionalFormatting>
  <conditionalFormatting sqref="N13:N20">
    <cfRule type="expression" dxfId="1600" priority="59">
      <formula>ABS(N$16-N$19)&gt;=1000</formula>
    </cfRule>
  </conditionalFormatting>
  <conditionalFormatting sqref="O13:O20">
    <cfRule type="expression" dxfId="1599" priority="58">
      <formula>ABS(O$16-O$19)&gt;=1000</formula>
    </cfRule>
  </conditionalFormatting>
  <conditionalFormatting sqref="P13:P20">
    <cfRule type="expression" dxfId="1598" priority="57">
      <formula>ABS(P$16-P$19)&gt;=1000</formula>
    </cfRule>
  </conditionalFormatting>
  <conditionalFormatting sqref="Q13 Q15:Q20">
    <cfRule type="expression" dxfId="1597" priority="56">
      <formula>ABS(Q$16-Q$19)&gt;=1000</formula>
    </cfRule>
  </conditionalFormatting>
  <conditionalFormatting sqref="R13:R20">
    <cfRule type="expression" dxfId="1596" priority="55">
      <formula>ABS(R$16-R$19)&gt;=1000</formula>
    </cfRule>
  </conditionalFormatting>
  <conditionalFormatting sqref="S13:S20">
    <cfRule type="expression" dxfId="1595" priority="54">
      <formula>ABS(S$16-S$19)&gt;=1000</formula>
    </cfRule>
  </conditionalFormatting>
  <conditionalFormatting sqref="T13:T20">
    <cfRule type="expression" dxfId="1594" priority="53">
      <formula>ABS(T$16-T$19)&gt;=1000</formula>
    </cfRule>
  </conditionalFormatting>
  <conditionalFormatting sqref="U13:U20">
    <cfRule type="expression" dxfId="1593" priority="52">
      <formula>ABS(U$16-U$19)&gt;=1000</formula>
    </cfRule>
  </conditionalFormatting>
  <conditionalFormatting sqref="V13:V20">
    <cfRule type="expression" dxfId="1592" priority="51">
      <formula>ABS(V$16-V$19)&gt;=1000</formula>
    </cfRule>
  </conditionalFormatting>
  <conditionalFormatting sqref="W13 W15:W18 W20">
    <cfRule type="expression" dxfId="1591" priority="50">
      <formula>ABS(W$16-W$19)&gt;=1000</formula>
    </cfRule>
  </conditionalFormatting>
  <conditionalFormatting sqref="X13 X15:X20 Y19">
    <cfRule type="expression" dxfId="1590" priority="49">
      <formula>ABS(X$16-X$19)&gt;=1000</formula>
    </cfRule>
  </conditionalFormatting>
  <conditionalFormatting sqref="Y13 Y15:Y18 Y20">
    <cfRule type="expression" dxfId="1589" priority="48">
      <formula>ABS(Y$16-Y$19)&gt;=1000</formula>
    </cfRule>
  </conditionalFormatting>
  <conditionalFormatting sqref="Z13:Z20">
    <cfRule type="expression" dxfId="1588" priority="47">
      <formula>ABS(Z$16-Z$19)&gt;=1000</formula>
    </cfRule>
  </conditionalFormatting>
  <conditionalFormatting sqref="AA13:AA20">
    <cfRule type="expression" dxfId="1587" priority="46">
      <formula>ABS(AA$16-AA$19)&gt;=1000</formula>
    </cfRule>
  </conditionalFormatting>
  <conditionalFormatting sqref="AB13 AB15:AB20">
    <cfRule type="expression" dxfId="1586" priority="45">
      <formula>ABS(AB$16-AB$19)&gt;=1000</formula>
    </cfRule>
  </conditionalFormatting>
  <conditionalFormatting sqref="AC13 AC15:AC20">
    <cfRule type="expression" dxfId="1585" priority="44">
      <formula>ABS(AC$16-AC$19)&gt;=1000</formula>
    </cfRule>
  </conditionalFormatting>
  <conditionalFormatting sqref="AD13:AD20">
    <cfRule type="expression" dxfId="1584" priority="43">
      <formula>ABS(AD$16-AD$19)&gt;=1000</formula>
    </cfRule>
  </conditionalFormatting>
  <conditionalFormatting sqref="AE13:AE20">
    <cfRule type="expression" dxfId="1583" priority="42">
      <formula>ABS(AE$16-AE$19)&gt;=1000</formula>
    </cfRule>
  </conditionalFormatting>
  <conditionalFormatting sqref="D22:D29">
    <cfRule type="expression" dxfId="1582" priority="41">
      <formula>ABS(D$25-D$28)&gt;=1000</formula>
    </cfRule>
  </conditionalFormatting>
  <conditionalFormatting sqref="E22:E29">
    <cfRule type="expression" dxfId="1581" priority="40">
      <formula>ABS(E$25-E$28)&gt;=1000</formula>
    </cfRule>
  </conditionalFormatting>
  <conditionalFormatting sqref="F22:F29">
    <cfRule type="expression" dxfId="1580" priority="39">
      <formula>ABS(F$25-F$28)&gt;=1000</formula>
    </cfRule>
  </conditionalFormatting>
  <conditionalFormatting sqref="G22:G29">
    <cfRule type="expression" dxfId="1579" priority="38">
      <formula>ABS(G$25-G$28)&gt;=1000</formula>
    </cfRule>
  </conditionalFormatting>
  <conditionalFormatting sqref="H22:H29">
    <cfRule type="expression" dxfId="1578" priority="37">
      <formula>ABS(H$25-H$28)&gt;=1000</formula>
    </cfRule>
  </conditionalFormatting>
  <conditionalFormatting sqref="I22 I24:I29">
    <cfRule type="expression" dxfId="1577" priority="36">
      <formula>ABS(I$25-I$28)&gt;=1000</formula>
    </cfRule>
  </conditionalFormatting>
  <conditionalFormatting sqref="J22:J29 K22">
    <cfRule type="expression" dxfId="1576" priority="35">
      <formula>ABS(J$25-J$28)&gt;=1000</formula>
    </cfRule>
  </conditionalFormatting>
  <conditionalFormatting sqref="K23:K29 L25 L28">
    <cfRule type="expression" dxfId="1575" priority="34">
      <formula>ABS(K$25-K$28)&gt;=1000</formula>
    </cfRule>
  </conditionalFormatting>
  <conditionalFormatting sqref="L22:L24 L26:L27 L29">
    <cfRule type="expression" dxfId="1574" priority="33">
      <formula>ABS(L$25-L$28)&gt;=1000</formula>
    </cfRule>
  </conditionalFormatting>
  <conditionalFormatting sqref="M22:M29">
    <cfRule type="expression" dxfId="1573" priority="32">
      <formula>ABS(M$25-M$28)&gt;=1000</formula>
    </cfRule>
  </conditionalFormatting>
  <conditionalFormatting sqref="N22:N29">
    <cfRule type="expression" dxfId="1572" priority="31">
      <formula>ABS(N$25-N$28)&gt;=1000</formula>
    </cfRule>
  </conditionalFormatting>
  <conditionalFormatting sqref="O22:O29">
    <cfRule type="expression" dxfId="1571" priority="30">
      <formula>ABS(O$25-O$28)&gt;=1000</formula>
    </cfRule>
  </conditionalFormatting>
  <conditionalFormatting sqref="P22:P29">
    <cfRule type="expression" dxfId="1570" priority="29">
      <formula>ABS(P$25-P$28)&gt;=1000</formula>
    </cfRule>
  </conditionalFormatting>
  <conditionalFormatting sqref="Q22:Q29">
    <cfRule type="expression" dxfId="1569" priority="28">
      <formula>ABS(Q$25-Q$28)&gt;=1000</formula>
    </cfRule>
  </conditionalFormatting>
  <conditionalFormatting sqref="R22:R29">
    <cfRule type="expression" dxfId="1568" priority="27">
      <formula>ABS(R$25-R$28)&gt;=1000</formula>
    </cfRule>
  </conditionalFormatting>
  <conditionalFormatting sqref="S22:S29">
    <cfRule type="expression" dxfId="1567" priority="26">
      <formula>ABS(S$25-S$28)&gt;=1000</formula>
    </cfRule>
  </conditionalFormatting>
  <conditionalFormatting sqref="T22:T29">
    <cfRule type="expression" dxfId="1566" priority="25">
      <formula>ABS(T$25-T$28)&gt;=1000</formula>
    </cfRule>
  </conditionalFormatting>
  <conditionalFormatting sqref="U22:U29">
    <cfRule type="expression" dxfId="1565" priority="24">
      <formula>ABS(U$25-U$28)&gt;=1000</formula>
    </cfRule>
  </conditionalFormatting>
  <conditionalFormatting sqref="V22:V29">
    <cfRule type="expression" dxfId="1564" priority="23">
      <formula>ABS(V$25-V$28)&gt;=1000</formula>
    </cfRule>
  </conditionalFormatting>
  <conditionalFormatting sqref="W22:W29">
    <cfRule type="expression" dxfId="1563" priority="22">
      <formula>ABS(W$25-W$28)&gt;=1000</formula>
    </cfRule>
  </conditionalFormatting>
  <conditionalFormatting sqref="X22:X29">
    <cfRule type="expression" dxfId="1562" priority="21">
      <formula>ABS(X$25-X$28)&gt;=1000</formula>
    </cfRule>
  </conditionalFormatting>
  <conditionalFormatting sqref="Y22:Y29">
    <cfRule type="expression" dxfId="1561" priority="20">
      <formula>ABS(Y$25-Y$28)&gt;=1000</formula>
    </cfRule>
  </conditionalFormatting>
  <conditionalFormatting sqref="I23">
    <cfRule type="expression" dxfId="1560" priority="19">
      <formula>ABS(I$25-I$28)&gt;=1000</formula>
    </cfRule>
  </conditionalFormatting>
  <conditionalFormatting sqref="F14">
    <cfRule type="expression" dxfId="1559" priority="18">
      <formula>ABS(F$16-F$19)&gt;=1000</formula>
    </cfRule>
  </conditionalFormatting>
  <conditionalFormatting sqref="Q14">
    <cfRule type="expression" dxfId="1558" priority="17">
      <formula>ABS(Q$16-Q$19)&gt;=1000</formula>
    </cfRule>
  </conditionalFormatting>
  <conditionalFormatting sqref="W14">
    <cfRule type="expression" dxfId="1557" priority="16">
      <formula>ABS(W$16-W$19)&gt;=1000</formula>
    </cfRule>
  </conditionalFormatting>
  <conditionalFormatting sqref="Y14">
    <cfRule type="expression" dxfId="1556" priority="15">
      <formula>ABS(Y$16-Y$19)&gt;=1000</formula>
    </cfRule>
  </conditionalFormatting>
  <conditionalFormatting sqref="X14">
    <cfRule type="expression" dxfId="1555" priority="14">
      <formula>ABS(X$16-X$19)&gt;=1000</formula>
    </cfRule>
  </conditionalFormatting>
  <conditionalFormatting sqref="T10:Y10">
    <cfRule type="expression" dxfId="1554" priority="13">
      <formula>ABS(T$7-T$10)&gt;=1000</formula>
    </cfRule>
  </conditionalFormatting>
  <conditionalFormatting sqref="W19">
    <cfRule type="expression" dxfId="1553" priority="12">
      <formula>ABS(W$16-W$19)&gt;=1000</formula>
    </cfRule>
  </conditionalFormatting>
  <conditionalFormatting sqref="AC5">
    <cfRule type="expression" dxfId="1552" priority="11">
      <formula>ABS(AC$7-AC$10)&gt;=1000</formula>
    </cfRule>
  </conditionalFormatting>
  <conditionalFormatting sqref="M14">
    <cfRule type="expression" dxfId="1551" priority="10">
      <formula>ABS(M$16-M$19)&gt;=1000</formula>
    </cfRule>
  </conditionalFormatting>
  <conditionalFormatting sqref="M16">
    <cfRule type="expression" dxfId="1550" priority="9">
      <formula>ABS(M$16-M$19)&gt;=1000</formula>
    </cfRule>
  </conditionalFormatting>
  <conditionalFormatting sqref="M19">
    <cfRule type="expression" dxfId="1549" priority="8">
      <formula>ABS(M$16-M$19)&gt;=1000</formula>
    </cfRule>
  </conditionalFormatting>
  <conditionalFormatting sqref="K13:K20">
    <cfRule type="expression" dxfId="1548" priority="7">
      <formula>ABS(K$16-K$19)&gt;=1000</formula>
    </cfRule>
  </conditionalFormatting>
  <conditionalFormatting sqref="E5">
    <cfRule type="expression" dxfId="1547" priority="6">
      <formula>ABS(E$7-E$10)&gt;=1000</formula>
    </cfRule>
  </conditionalFormatting>
  <conditionalFormatting sqref="AB14:AC14">
    <cfRule type="expression" dxfId="1546" priority="5">
      <formula>ABS(AB$16-AB$19)&gt;=1000</formula>
    </cfRule>
  </conditionalFormatting>
  <conditionalFormatting sqref="M5">
    <cfRule type="expression" dxfId="1545" priority="4">
      <formula>ABS(M$7-M$10)&gt;=1000</formula>
    </cfRule>
  </conditionalFormatting>
  <conditionalFormatting sqref="N5">
    <cfRule type="expression" dxfId="1544" priority="3">
      <formula>ABS(N$7-N$10)&gt;=1000</formula>
    </cfRule>
  </conditionalFormatting>
  <conditionalFormatting sqref="O5">
    <cfRule type="expression" dxfId="1543" priority="2">
      <formula>ABS(O$7-O$10)&gt;=1000</formula>
    </cfRule>
  </conditionalFormatting>
  <conditionalFormatting sqref="P5">
    <cfRule type="expression" dxfId="1542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9513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72">
    <pageSetUpPr fitToPage="1"/>
  </sheetPr>
  <dimension ref="A1:CU223"/>
  <sheetViews>
    <sheetView view="pageBreakPreview" topLeftCell="A10" zoomScale="70" zoomScaleNormal="100" zoomScaleSheetLayoutView="70" workbookViewId="0">
      <selection activeCell="Z23" sqref="Z23:AE29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08" t="s" ph="1">
        <v>192</v>
      </c>
      <c r="C1" s="208" ph="1"/>
      <c r="D1" s="208" ph="1"/>
      <c r="E1" s="208" ph="1"/>
      <c r="F1" s="208" ph="1"/>
      <c r="G1" s="208" ph="1"/>
      <c r="H1" s="208" ph="1"/>
      <c r="I1" s="208" ph="1"/>
      <c r="J1" s="208" ph="1"/>
      <c r="K1" s="208" ph="1"/>
      <c r="L1" s="208" ph="1"/>
      <c r="M1" s="208" ph="1"/>
      <c r="N1" s="208" ph="1"/>
      <c r="O1" s="208" ph="1"/>
      <c r="P1" s="208" ph="1"/>
      <c r="Q1" s="208" ph="1"/>
      <c r="R1" s="208" ph="1"/>
      <c r="S1" s="208" ph="1"/>
      <c r="T1" s="208" ph="1"/>
      <c r="U1" s="208" ph="1"/>
      <c r="V1" s="208" ph="1"/>
      <c r="W1" s="208" ph="1"/>
      <c r="X1" s="208" ph="1"/>
      <c r="Y1" s="208" ph="1"/>
      <c r="Z1" s="208" ph="1"/>
      <c r="AA1" s="208" ph="1"/>
      <c r="AB1" s="208" ph="1"/>
      <c r="AC1" s="208" ph="1"/>
      <c r="AD1" s="208" ph="1"/>
      <c r="AE1" s="208" ph="1"/>
    </row>
    <row r="2" spans="1:99" s="66" customFormat="1" ht="24" customHeight="1" ph="1">
      <c r="B2" s="209" t="s" ph="1">
        <v>99</v>
      </c>
      <c r="C2" s="209" ph="1"/>
      <c r="D2" s="209" ph="1"/>
      <c r="E2" s="209" ph="1"/>
      <c r="F2" s="209" ph="1"/>
      <c r="G2" s="209" ph="1"/>
      <c r="H2" s="209" ph="1"/>
      <c r="I2" s="209" ph="1"/>
      <c r="J2" s="209" ph="1"/>
      <c r="K2" s="209" ph="1"/>
      <c r="L2" s="209" ph="1"/>
      <c r="M2" s="209" ph="1"/>
      <c r="N2" s="209" ph="1"/>
      <c r="O2" s="209" ph="1"/>
      <c r="P2" s="209" ph="1"/>
      <c r="Q2" s="209" ph="1"/>
      <c r="R2" s="209" ph="1"/>
      <c r="S2" s="209" ph="1"/>
      <c r="T2" s="209" ph="1"/>
      <c r="U2" s="209" ph="1"/>
      <c r="V2" s="209" ph="1"/>
      <c r="W2" s="209" ph="1"/>
      <c r="X2" s="209" ph="1"/>
      <c r="Y2" s="209" ph="1"/>
      <c r="Z2" s="209" ph="1"/>
      <c r="AA2" s="209" ph="1"/>
      <c r="AB2" s="209" ph="1"/>
      <c r="AC2" s="209" ph="1"/>
      <c r="AD2" s="209" ph="1"/>
      <c r="AE2" s="209" ph="1"/>
    </row>
    <row r="3" spans="1:99" ht="21" customHeight="1" ph="1">
      <c r="B3" s="210" ph="1">
        <v>45700</v>
      </c>
      <c r="C3" s="210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210"/>
      <c r="R3" s="210"/>
      <c r="S3" s="210"/>
      <c r="T3" s="210"/>
      <c r="U3" s="210"/>
      <c r="V3" s="210"/>
      <c r="W3" s="210"/>
      <c r="X3" s="210"/>
      <c r="Y3" s="210"/>
      <c r="Z3" s="210"/>
      <c r="AA3" s="210"/>
      <c r="AB3" s="210"/>
      <c r="AC3" s="210"/>
      <c r="AD3" s="210"/>
      <c r="AE3" s="210"/>
    </row>
    <row r="4" spans="1:99" s="69" customFormat="1" ph="1">
      <c r="A4" s="65" ph="1"/>
      <c r="B4" s="211" t="s" ph="1">
        <v>37</v>
      </c>
      <c r="C4" s="67" t="s" ph="1">
        <v>207</v>
      </c>
      <c r="D4" s="68" t="s" ph="1">
        <v>45</v>
      </c>
      <c r="E4" s="68" t="s" ph="1">
        <v>46</v>
      </c>
      <c r="F4" s="68" t="s" ph="1">
        <v>39</v>
      </c>
      <c r="G4" s="68" t="s" ph="1">
        <v>47</v>
      </c>
      <c r="H4" s="68" t="s" ph="1">
        <v>48</v>
      </c>
      <c r="I4" s="68" t="s" ph="1">
        <v>132</v>
      </c>
      <c r="J4" s="68" t="s" ph="1">
        <v>49</v>
      </c>
      <c r="K4" s="68" t="s" ph="1">
        <v>133</v>
      </c>
      <c r="L4" s="68" t="s" ph="1">
        <v>134</v>
      </c>
      <c r="M4" s="68" t="s" ph="1">
        <v>50</v>
      </c>
      <c r="N4" s="68" t="s" ph="1">
        <v>51</v>
      </c>
      <c r="O4" s="68" t="s" ph="1">
        <v>136</v>
      </c>
      <c r="P4" s="68" t="s" ph="1">
        <v>138</v>
      </c>
      <c r="Q4" s="68" t="s" ph="1">
        <v>139</v>
      </c>
      <c r="R4" s="68" t="s" ph="1">
        <v>140</v>
      </c>
      <c r="S4" s="68" t="s" ph="1">
        <v>141</v>
      </c>
      <c r="T4" s="68" t="s" ph="1">
        <v>142</v>
      </c>
      <c r="U4" s="68" t="s" ph="1">
        <v>143</v>
      </c>
      <c r="V4" s="68" t="s" ph="1">
        <v>144</v>
      </c>
      <c r="W4" s="68" t="s" ph="1">
        <v>145</v>
      </c>
      <c r="X4" s="68" t="s" ph="1">
        <v>146</v>
      </c>
      <c r="Y4" s="68" t="s" ph="1">
        <v>147</v>
      </c>
      <c r="Z4" s="68" t="s" ph="1">
        <v>52</v>
      </c>
      <c r="AA4" s="68" t="s" ph="1">
        <v>148</v>
      </c>
      <c r="AB4" s="68" t="s" ph="1">
        <v>149</v>
      </c>
      <c r="AC4" s="68" t="s" ph="1">
        <v>150</v>
      </c>
      <c r="AD4" s="68" t="s" ph="1">
        <v>40</v>
      </c>
      <c r="AE4" s="68" t="s" ph="1">
        <v>151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1" ph="1"/>
      <c r="C5" s="67" t="s" ph="1">
        <v>36</v>
      </c>
      <c r="D5" s="70" t="s" ph="1">
        <v>191</v>
      </c>
      <c r="E5" s="70" t="s" ph="1">
        <v>7</v>
      </c>
      <c r="F5" s="70" t="s" ph="1">
        <v>1</v>
      </c>
      <c r="G5" s="70" t="s" ph="1">
        <v>7</v>
      </c>
      <c r="H5" s="70" t="s" ph="1">
        <v>7</v>
      </c>
      <c r="I5" s="70" t="s" ph="1">
        <v>657</v>
      </c>
      <c r="J5" s="70" t="s" ph="1">
        <v>658</v>
      </c>
      <c r="K5" s="70" t="s" ph="1">
        <v>660</v>
      </c>
      <c r="L5" s="70" t="s" ph="1">
        <v>662</v>
      </c>
      <c r="M5" s="70" t="s" ph="1">
        <v>657</v>
      </c>
      <c r="N5" s="70" t="s" ph="1">
        <v>658</v>
      </c>
      <c r="O5" s="70" t="s" ph="1">
        <v>660</v>
      </c>
      <c r="P5" s="70" t="s" ph="1">
        <v>662</v>
      </c>
      <c r="Q5" s="70" t="s" ph="1">
        <v>656</v>
      </c>
      <c r="R5" s="70" t="s" ph="1">
        <v>656</v>
      </c>
      <c r="S5" s="70" t="s" ph="1">
        <v>656</v>
      </c>
      <c r="T5" s="70" t="s" ph="1">
        <v>656</v>
      </c>
      <c r="U5" s="70" t="s" ph="1">
        <v>656</v>
      </c>
      <c r="V5" s="70" t="s" ph="1">
        <v>656</v>
      </c>
      <c r="W5" s="70" t="s" ph="1">
        <v>656</v>
      </c>
      <c r="X5" s="70" t="s" ph="1">
        <v>656</v>
      </c>
      <c r="Y5" s="70" t="s" ph="1">
        <v>656</v>
      </c>
      <c r="Z5" s="70" t="s" ph="1">
        <v>663</v>
      </c>
      <c r="AA5" s="70" t="s" ph="1">
        <v>62</v>
      </c>
      <c r="AB5" s="70" t="s" ph="1">
        <v>62</v>
      </c>
      <c r="AC5" s="70" t="s" ph="1">
        <v>664</v>
      </c>
      <c r="AD5" s="70" t="s" ph="1">
        <v>83</v>
      </c>
      <c r="AE5" s="70" t="s" ph="1">
        <v>654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07" ph="1">
        <v>0.33333333333333331</v>
      </c>
      <c r="C6" s="164" t="s" ph="1">
        <v>208</v>
      </c>
      <c r="D6" s="71">
        <v>3418</v>
      </c>
      <c r="E6" s="71">
        <v>0</v>
      </c>
      <c r="F6" s="71">
        <v>2217</v>
      </c>
      <c r="G6" s="71">
        <v>2356</v>
      </c>
      <c r="H6" s="71">
        <v>8786</v>
      </c>
      <c r="I6" s="71">
        <v>39.11</v>
      </c>
      <c r="J6" s="71">
        <v>7.81</v>
      </c>
      <c r="K6" s="71">
        <v>23.52</v>
      </c>
      <c r="L6" s="71">
        <v>49.52</v>
      </c>
      <c r="M6" s="71">
        <v>4551</v>
      </c>
      <c r="N6" s="71">
        <v>5569</v>
      </c>
      <c r="O6" s="71">
        <v>5208</v>
      </c>
      <c r="P6" s="71">
        <v>6036</v>
      </c>
      <c r="Q6" s="71">
        <v>0</v>
      </c>
      <c r="R6" s="71">
        <v>0</v>
      </c>
      <c r="S6" s="71">
        <v>0</v>
      </c>
      <c r="T6" s="71">
        <v>0</v>
      </c>
      <c r="U6" s="71">
        <v>5188</v>
      </c>
      <c r="V6" s="71">
        <v>7019</v>
      </c>
      <c r="W6" s="71">
        <v>7004</v>
      </c>
      <c r="X6" s="71">
        <v>6834</v>
      </c>
      <c r="Y6" s="71">
        <v>6624</v>
      </c>
      <c r="Z6" s="71">
        <v>3586</v>
      </c>
      <c r="AA6" s="71">
        <v>1626</v>
      </c>
      <c r="AB6" s="71">
        <v>2688</v>
      </c>
      <c r="AC6" s="71">
        <v>8682</v>
      </c>
      <c r="AD6" s="71">
        <v>265</v>
      </c>
      <c r="AE6" s="71">
        <v>2210</v>
      </c>
    </row>
    <row r="7" spans="1:99" s="72" customFormat="1" ht="22.5" ph="1">
      <c r="B7" s="207" ph="1"/>
      <c r="C7" s="68" t="s" ph="1">
        <v>209</v>
      </c>
      <c r="D7" s="73" ph="1">
        <f>D6*33.183*LOOKUP(D8,密度!$A$2:$A$50,密度!$Q$2:$Q$50)</f>
        <v>108263.44380276001</v>
      </c>
      <c r="E7" s="73" ph="1">
        <f>E6*51.53*LOOKUP(E8,密度!$A$2:$A$50,密度!$I$2:$I$50)</f>
        <v>0</v>
      </c>
      <c r="F7" s="73" ph="1">
        <f>F6*33.183*LOOKUP(F8,密度!$A$2:$A$50,密度!$C$2:$C$50)</f>
        <v>81990.099409499991</v>
      </c>
      <c r="G7" s="73" ph="1">
        <f xml:space="preserve"> (G6+2)*51.53*LOOKUP(G8,密度!$A$2:$A$50,密度!$B$2:$B$50)</f>
        <v>95748.099120000013</v>
      </c>
      <c r="H7" s="73" ph="1">
        <f>(H6)*51.53*LOOKUP(H8,密度!$A$2:$A$50,密度!$B$2:$B$50)</f>
        <v>359070.14019800001</v>
      </c>
      <c r="I7" s="73" ph="1">
        <f>I6*290.8*1.0267</f>
        <v>11676.8521196</v>
      </c>
      <c r="J7" s="73" ph="1">
        <f>J6*290.8*0.7892</f>
        <v>1792.3900016000002</v>
      </c>
      <c r="K7" s="73" ph="1">
        <f>K6*290.8*1.1126</f>
        <v>7609.7567616000006</v>
      </c>
      <c r="L7" s="73" ph="1">
        <f>L6*290.8*0.777</f>
        <v>11189.123232000002</v>
      </c>
      <c r="M7" s="73" ph="1">
        <f>M6*33.183*LOOKUP(M8,密度!$A$2:$A$50,密度!$D$2:$D$50)</f>
        <v>156391.99665480002</v>
      </c>
      <c r="N7" s="73" ph="1">
        <f>N6*33.183*LOOKUP(N8,密度!$A$2:$A$50,密度!$E$2:$E$50)</f>
        <v>146857.48212689999</v>
      </c>
      <c r="O7" s="73" ph="1">
        <f>O6*20.428*LOOKUP(O8,密度!$A$2:$A$50,密度!$C$2:$C$50)</f>
        <v>118368.42810240001</v>
      </c>
      <c r="P7" s="73" ph="1">
        <f>P6*51.53*LOOKUP(P8,密度!$A$2:$A$50,密度!$B$2:$B$50)</f>
        <v>245375.57461200003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34764.9581664</v>
      </c>
      <c r="V7" s="73" ph="1">
        <f>V6*1.5*1.5*3.1416*LOOKUP(V8,密度!$A$2:$A$50,密度!$L$2:$L$50)</f>
        <v>46736.862202799995</v>
      </c>
      <c r="W7" s="73" ph="1">
        <f>W6*1.5*1.5*3.1416*LOOKUP(W8,密度!$A$2:$A$50,密度!$L$2:$L$50)</f>
        <v>46884.5252568</v>
      </c>
      <c r="X7" s="73" ph="1">
        <f>X6*1.5*1.5*3.1416*LOOKUP(X8,密度!$A$2:$A$50,密度!$L$2:$L$50)</f>
        <v>45988.085404800004</v>
      </c>
      <c r="Y7" s="73" ph="1">
        <f>Y6*1.5*1.5*3.1416*LOOKUP(Y8,密度!$A$2:$A$50,密度!$L$2:$L$50)</f>
        <v>44293.996454399996</v>
      </c>
      <c r="Z7" s="73" ph="1">
        <f>Z6*33.183*LOOKUP(Z8,密度!$A$2:$A$50,密度!$L$2:$L$50)</f>
        <v>113044.52609999999</v>
      </c>
      <c r="AA7" s="73" ph="1">
        <f>AA6*33.183*LOOKUP(AA8,密度!$A$2:$A$50,密度!$D$2:$D$50)</f>
        <v>55973.4958692</v>
      </c>
      <c r="AB7" s="73" ph="1">
        <f>AB6*20.428*LOOKUP(AB8,密度!$A$2:$A$50,密度!$D$2:$D$50)</f>
        <v>57353.979648</v>
      </c>
      <c r="AC7" s="73" ph="1">
        <f>AC6*51.53*LOOKUP(AC8,密度!$A$2:$A$50,密度!$Q$2:$Q$50)</f>
        <v>427045.40790840006</v>
      </c>
      <c r="AD7" s="73" ph="1">
        <f>AD6*20.428*LOOKUP(AD8,密度!$A$2:$A$50,密度!$V$2:$V$50)</f>
        <v>5218.5368799999997</v>
      </c>
      <c r="AE7" s="73" ph="1">
        <f>AE6*20.428</f>
        <v>45145.880000000005</v>
      </c>
    </row>
    <row r="8" spans="1:99" ph="1">
      <c r="B8" s="207" ph="1"/>
      <c r="C8" s="68" t="s" ph="1">
        <v>210</v>
      </c>
      <c r="D8" s="74">
        <v>15</v>
      </c>
      <c r="E8" s="74">
        <v>15</v>
      </c>
      <c r="F8" s="74">
        <v>17</v>
      </c>
      <c r="G8" s="74">
        <v>15</v>
      </c>
      <c r="H8" s="74">
        <v>9</v>
      </c>
      <c r="I8" s="74">
        <v>25</v>
      </c>
      <c r="J8" s="74">
        <v>25</v>
      </c>
      <c r="K8" s="74">
        <v>25</v>
      </c>
      <c r="L8" s="74">
        <v>25</v>
      </c>
      <c r="M8" s="74">
        <v>15</v>
      </c>
      <c r="N8" s="74">
        <v>15</v>
      </c>
      <c r="O8" s="74">
        <v>20</v>
      </c>
      <c r="P8" s="74">
        <v>14</v>
      </c>
      <c r="Q8" s="74">
        <v>13</v>
      </c>
      <c r="R8" s="74">
        <v>21</v>
      </c>
      <c r="S8" s="74">
        <v>10</v>
      </c>
      <c r="T8" s="74">
        <v>12</v>
      </c>
      <c r="U8" s="74">
        <v>14</v>
      </c>
      <c r="V8" s="74">
        <v>20</v>
      </c>
      <c r="W8" s="74">
        <v>15</v>
      </c>
      <c r="X8" s="74">
        <v>10</v>
      </c>
      <c r="Y8" s="74">
        <v>16</v>
      </c>
      <c r="Z8" s="74">
        <v>12</v>
      </c>
      <c r="AA8" s="74">
        <v>13</v>
      </c>
      <c r="AB8" s="74">
        <v>5</v>
      </c>
      <c r="AC8" s="74">
        <v>13</v>
      </c>
      <c r="AD8" s="74">
        <v>13</v>
      </c>
      <c r="AE8" s="74">
        <v>15</v>
      </c>
    </row>
    <row r="9" spans="1:99" ph="1">
      <c r="B9" s="207" ph="1">
        <v>0.66666666666666663</v>
      </c>
      <c r="C9" s="164" t="s" ph="1">
        <v>211</v>
      </c>
      <c r="D9" s="71">
        <v>2796</v>
      </c>
      <c r="E9" s="71">
        <v>0</v>
      </c>
      <c r="F9" s="71">
        <v>2801</v>
      </c>
      <c r="G9" s="71">
        <v>2354</v>
      </c>
      <c r="H9" s="71">
        <v>8547</v>
      </c>
      <c r="I9" s="71">
        <v>39.11</v>
      </c>
      <c r="J9" s="71">
        <v>7.81</v>
      </c>
      <c r="K9" s="71">
        <v>30.81</v>
      </c>
      <c r="L9" s="71">
        <v>10.51</v>
      </c>
      <c r="M9" s="71">
        <v>4518</v>
      </c>
      <c r="N9" s="71">
        <v>5569</v>
      </c>
      <c r="O9" s="71">
        <v>4303</v>
      </c>
      <c r="P9" s="71">
        <v>5935</v>
      </c>
      <c r="Q9" s="71">
        <v>2384</v>
      </c>
      <c r="R9" s="71">
        <v>0</v>
      </c>
      <c r="S9" s="71">
        <v>0</v>
      </c>
      <c r="T9" s="71">
        <v>0</v>
      </c>
      <c r="U9" s="71">
        <v>1831</v>
      </c>
      <c r="V9" s="71">
        <v>7019</v>
      </c>
      <c r="W9" s="71">
        <v>7003</v>
      </c>
      <c r="X9" s="71">
        <v>6834</v>
      </c>
      <c r="Y9" s="71">
        <v>6623</v>
      </c>
      <c r="Z9" s="71">
        <v>2548</v>
      </c>
      <c r="AA9" s="71">
        <v>1626</v>
      </c>
      <c r="AB9" s="71">
        <v>2535</v>
      </c>
      <c r="AC9" s="71">
        <v>8734</v>
      </c>
      <c r="AD9" s="71">
        <v>2145</v>
      </c>
      <c r="AE9" s="71">
        <v>265</v>
      </c>
    </row>
    <row r="10" spans="1:99" s="72" customFormat="1" ht="22.5" ph="1">
      <c r="B10" s="207" ph="1"/>
      <c r="C10" s="164" t="s" ph="1">
        <v>209</v>
      </c>
      <c r="D10" s="73" ph="1">
        <f>D9*33.183*LOOKUP(D11,密度!$A$2:$A$50,密度!$Q$2:$Q$50)</f>
        <v>88561.904292720006</v>
      </c>
      <c r="E10" s="73" ph="1">
        <f>E9*51.53*LOOKUP(E11,密度!$A$2:$A$50,密度!$I$2:$I$50)</f>
        <v>0</v>
      </c>
      <c r="F10" s="73" ph="1">
        <f>F9*33.183*LOOKUP(F11,密度!$A$2:$A$50,密度!$C$2:$C$50)</f>
        <v>103532.08490369999</v>
      </c>
      <c r="G10" s="73" ph="1">
        <f xml:space="preserve"> (G9+2)*51.53*LOOKUP(G11,密度!$A$2:$A$50,密度!$B$2:$B$50)</f>
        <v>95666.88784000001</v>
      </c>
      <c r="H10" s="73" ph="1">
        <f>(H9)*51.53*LOOKUP(H11,密度!$A$2:$A$50,密度!$B$2:$B$50)</f>
        <v>348950.24079300003</v>
      </c>
      <c r="I10" s="73" ph="1">
        <f>I9*290.8*1.0267</f>
        <v>11676.8521196</v>
      </c>
      <c r="J10" s="73" ph="1">
        <f>J9*290.8*0.7892</f>
        <v>1792.3900016000002</v>
      </c>
      <c r="K10" s="73" ph="1">
        <f>K9*290.8*1.1126</f>
        <v>9968.3931048000013</v>
      </c>
      <c r="L10" s="73" ph="1">
        <f>L9*290.8*0.777</f>
        <v>2374.7513159999999</v>
      </c>
      <c r="M10" s="73" ph="1">
        <f>M9*33.183*LOOKUP(M11,密度!$A$2:$A$50,密度!$D$2:$D$50)</f>
        <v>155003.1089166</v>
      </c>
      <c r="N10" s="73" ph="1">
        <f>N9*33.183*LOOKUP(N11,密度!$A$2:$A$50,密度!$E$2:$E$50)</f>
        <v>146450.9306475</v>
      </c>
      <c r="O10" s="73" ph="1">
        <f>O9*20.428*LOOKUP(O11,密度!$A$2:$A$50,密度!$C$2:$C$50)</f>
        <v>97799.413618400009</v>
      </c>
      <c r="P10" s="73" ph="1">
        <f>P9*51.53*LOOKUP(P11,密度!$A$2:$A$50,密度!$B$2:$B$50)</f>
        <v>240749.80895999999</v>
      </c>
      <c r="Q10" s="73" ph="1">
        <f>Q9*1.5*1.5*3.1416*LOOKUP(W11,密度!$A$2:$A$50,密度!$L$2:$L$50)</f>
        <v>15958.410652799997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12256.648450199998</v>
      </c>
      <c r="V10" s="73" ph="1">
        <f>V9*1.5*1.5*3.1416*LOOKUP(V11,密度!$A$2:$A$50,密度!$L$2:$L$50)</f>
        <v>46687.247699399995</v>
      </c>
      <c r="W10" s="73" ph="1">
        <f>W9*1.5*1.5*3.1416*LOOKUP(W11,密度!$A$2:$A$50,密度!$L$2:$L$50)</f>
        <v>46877.8312926</v>
      </c>
      <c r="X10" s="73" ph="1">
        <f>X9*1.5*1.5*3.1416*LOOKUP(X11,密度!$A$2:$A$50,密度!$L$2:$L$50)</f>
        <v>45988.085404800004</v>
      </c>
      <c r="Y10" s="73" ph="1">
        <f>Y9*1.5*1.5*3.1416*LOOKUP(Y11,密度!$A$2:$A$50,密度!$L$2:$L$50)</f>
        <v>44287.3095588</v>
      </c>
      <c r="Z10" s="73" ph="1">
        <f>Z9*33.183*LOOKUP(Z11,密度!$A$2:$A$50,密度!$L$2:$L$50)</f>
        <v>80069.118947999988</v>
      </c>
      <c r="AA10" s="73" ph="1">
        <f>AA9*33.183*LOOKUP(AA11,密度!$A$2:$A$50,密度!$D$2:$D$50)</f>
        <v>55833.211418399995</v>
      </c>
      <c r="AB10" s="73" ph="1">
        <f>AB9*20.428*LOOKUP(AB11,密度!$A$2:$A$50,密度!$D$2:$D$50)</f>
        <v>54089.411610000003</v>
      </c>
      <c r="AC10" s="73" ph="1">
        <f>AC9*51.53*LOOKUP(AC11,密度!$A$2:$A$50,密度!$Q$2:$Q$50)</f>
        <v>429603.15511080006</v>
      </c>
      <c r="AD10" s="73" ph="1">
        <f>AD9*20.428*LOOKUP(AD11,密度!$A$2:$A$50,密度!$V$2:$V$50)</f>
        <v>42240.609840000005</v>
      </c>
      <c r="AE10" s="73" ph="1">
        <f>AE9*20.428</f>
        <v>5413.42</v>
      </c>
    </row>
    <row r="11" spans="1:99" ph="1">
      <c r="A11" s="64" t="s" ph="1">
        <v>193</v>
      </c>
      <c r="B11" s="207" ph="1"/>
      <c r="C11" s="164" t="s" ph="1">
        <v>210</v>
      </c>
      <c r="D11" s="74">
        <v>15</v>
      </c>
      <c r="E11" s="74">
        <v>15</v>
      </c>
      <c r="F11" s="74">
        <v>18</v>
      </c>
      <c r="G11" s="74">
        <v>15</v>
      </c>
      <c r="H11" s="74">
        <v>10</v>
      </c>
      <c r="I11" s="74">
        <v>25</v>
      </c>
      <c r="J11" s="74">
        <v>25</v>
      </c>
      <c r="K11" s="74">
        <v>25</v>
      </c>
      <c r="L11" s="74">
        <v>25</v>
      </c>
      <c r="M11" s="74">
        <v>17</v>
      </c>
      <c r="N11" s="74">
        <v>17</v>
      </c>
      <c r="O11" s="74">
        <v>20</v>
      </c>
      <c r="P11" s="74">
        <v>16</v>
      </c>
      <c r="Q11" s="74">
        <v>15</v>
      </c>
      <c r="R11" s="74">
        <v>22</v>
      </c>
      <c r="S11" s="74">
        <v>10</v>
      </c>
      <c r="T11" s="74">
        <v>22</v>
      </c>
      <c r="U11" s="74">
        <v>15</v>
      </c>
      <c r="V11" s="74">
        <v>21</v>
      </c>
      <c r="W11" s="74">
        <v>15</v>
      </c>
      <c r="X11" s="74">
        <v>10</v>
      </c>
      <c r="Y11" s="74">
        <v>16</v>
      </c>
      <c r="Z11" s="74">
        <v>15</v>
      </c>
      <c r="AA11" s="74">
        <v>16</v>
      </c>
      <c r="AB11" s="74">
        <v>5</v>
      </c>
      <c r="AC11" s="74">
        <v>15</v>
      </c>
      <c r="AD11" s="74">
        <v>14</v>
      </c>
      <c r="AE11" s="74">
        <v>15</v>
      </c>
    </row>
    <row r="12" spans="1:99" ht="9.9499999999999993" customHeight="1" ph="1"/>
    <row r="13" spans="1:99" s="72" customFormat="1" ht="29.25" customHeight="1" ph="1">
      <c r="B13" s="215" t="s" ph="1">
        <v>37</v>
      </c>
      <c r="C13" s="164" t="s" ph="1">
        <v>207</v>
      </c>
      <c r="D13" s="76" t="s" ph="1">
        <v>53</v>
      </c>
      <c r="E13" s="76" t="s" ph="1">
        <v>54</v>
      </c>
      <c r="F13" s="76" t="s" ph="1">
        <v>66</v>
      </c>
      <c r="G13" s="76" t="s" ph="1">
        <v>67</v>
      </c>
      <c r="H13" s="76" t="s" ph="1">
        <v>152</v>
      </c>
      <c r="I13" s="76" t="s" ph="1">
        <v>68</v>
      </c>
      <c r="J13" s="76" t="s" ph="1">
        <v>153</v>
      </c>
      <c r="K13" s="76" t="s" ph="1">
        <v>63</v>
      </c>
      <c r="L13" s="76" t="s" ph="1">
        <v>69</v>
      </c>
      <c r="M13" s="76" t="s" ph="1">
        <v>70</v>
      </c>
      <c r="N13" s="76" t="s" ph="1">
        <v>154</v>
      </c>
      <c r="O13" s="76" t="s" ph="1">
        <v>64</v>
      </c>
      <c r="P13" s="76" t="s" ph="1">
        <v>71</v>
      </c>
      <c r="Q13" s="76" t="s" ph="1">
        <v>72</v>
      </c>
      <c r="R13" s="76" t="s" ph="1">
        <v>73</v>
      </c>
      <c r="S13" s="76" t="s" ph="1">
        <v>74</v>
      </c>
      <c r="T13" s="76" t="s" ph="1">
        <v>75</v>
      </c>
      <c r="U13" s="76" t="s" ph="1">
        <v>76</v>
      </c>
      <c r="V13" s="76" t="s" ph="1">
        <v>155</v>
      </c>
      <c r="W13" s="76" t="s" ph="1">
        <v>156</v>
      </c>
      <c r="X13" s="76" t="s" ph="1">
        <v>157</v>
      </c>
      <c r="Y13" s="105" t="s" ph="1">
        <v>77</v>
      </c>
      <c r="Z13" s="76" t="s" ph="1">
        <v>86</v>
      </c>
      <c r="AA13" s="76" t="s" ph="1">
        <v>158</v>
      </c>
      <c r="AB13" s="76" t="s" ph="1">
        <v>159</v>
      </c>
      <c r="AC13" s="76" t="s" ph="1">
        <v>160</v>
      </c>
      <c r="AD13" s="76" t="s" ph="1">
        <v>161</v>
      </c>
      <c r="AE13" s="76" t="s" ph="1">
        <v>162</v>
      </c>
      <c r="AG13" s="72" t="s" ph="1">
        <v>366</v>
      </c>
      <c r="AH13" s="72" t="s" ph="1">
        <v>229</v>
      </c>
      <c r="AI13" s="72" t="s" ph="1">
        <v>230</v>
      </c>
      <c r="AJ13" s="72" t="s" ph="1">
        <v>231</v>
      </c>
      <c r="AK13" s="72" t="s" ph="1">
        <v>232</v>
      </c>
      <c r="AL13" s="72" t="s" ph="1">
        <v>233</v>
      </c>
      <c r="AM13" s="72" t="s" ph="1">
        <v>234</v>
      </c>
      <c r="AN13" s="72" t="s" ph="1">
        <v>235</v>
      </c>
      <c r="AO13" s="72" t="s" ph="1">
        <v>236</v>
      </c>
      <c r="AP13" s="72" t="s" ph="1">
        <v>237</v>
      </c>
      <c r="AQ13" s="72" t="s" ph="1">
        <v>238</v>
      </c>
      <c r="AR13" s="72" t="s" ph="1">
        <v>239</v>
      </c>
      <c r="AS13" s="72" t="s" ph="1">
        <v>240</v>
      </c>
      <c r="AT13" s="72" t="s" ph="1">
        <v>241</v>
      </c>
      <c r="AU13" s="72" t="s" ph="1">
        <v>242</v>
      </c>
      <c r="AV13" s="72" t="s" ph="1">
        <v>243</v>
      </c>
      <c r="AW13" s="72" t="s" ph="1">
        <v>244</v>
      </c>
      <c r="AX13" s="72" t="s" ph="1">
        <v>245</v>
      </c>
      <c r="AY13" s="72" t="s" ph="1">
        <v>367</v>
      </c>
      <c r="AZ13" s="72" t="s" ph="1">
        <v>246</v>
      </c>
      <c r="BA13" s="72" t="s" ph="1">
        <v>247</v>
      </c>
      <c r="BB13" s="72" t="s" ph="1">
        <v>632</v>
      </c>
      <c r="BC13" s="72" t="s" ph="1">
        <v>248</v>
      </c>
      <c r="BD13" s="72" t="s" ph="1">
        <v>368</v>
      </c>
      <c r="BE13" s="72" t="s" ph="1">
        <v>369</v>
      </c>
      <c r="BF13" s="72" t="s" ph="1">
        <v>370</v>
      </c>
      <c r="BG13" s="72" t="s" ph="1">
        <v>371</v>
      </c>
      <c r="BH13" s="72" t="s" ph="1">
        <v>372</v>
      </c>
    </row>
    <row r="14" spans="1:99" s="72" customFormat="1" ht="24" ph="1">
      <c r="B14" s="216" ph="1"/>
      <c r="C14" s="67" t="s" ph="1">
        <v>36</v>
      </c>
      <c r="D14" s="77" t="s" ph="1">
        <v>665</v>
      </c>
      <c r="E14" s="77" t="s" ph="1">
        <v>665</v>
      </c>
      <c r="F14" s="142" t="s" ph="1">
        <v>651</v>
      </c>
      <c r="G14" s="77" t="s" ph="1">
        <v>667</v>
      </c>
      <c r="H14" s="77" t="s" ph="1">
        <v>668</v>
      </c>
      <c r="I14" s="167" t="s" ph="1">
        <v>669</v>
      </c>
      <c r="J14" s="77" t="s" ph="1">
        <v>670</v>
      </c>
      <c r="K14" s="77" t="s" ph="1">
        <v>223</v>
      </c>
      <c r="L14" s="77" t="s" ph="1">
        <v>42</v>
      </c>
      <c r="M14" s="104" t="s" ph="1">
        <v>671</v>
      </c>
      <c r="N14" s="104" t="s" ph="1">
        <v>672</v>
      </c>
      <c r="O14" s="104" t="s" ph="1">
        <v>670</v>
      </c>
      <c r="P14" s="77" t="s" ph="1">
        <v>673</v>
      </c>
      <c r="Q14" s="77" t="s" ph="1">
        <v>673</v>
      </c>
      <c r="R14" s="88" t="s" ph="1">
        <v>674</v>
      </c>
      <c r="S14" s="77" t="s" ph="1">
        <v>81</v>
      </c>
      <c r="T14" s="77" t="s" ph="1">
        <v>676</v>
      </c>
      <c r="U14" s="77" t="s" ph="1">
        <v>652</v>
      </c>
      <c r="V14" s="77" t="s" ph="1">
        <v>677</v>
      </c>
      <c r="W14" s="77" t="s" ph="1">
        <v>673</v>
      </c>
      <c r="X14" s="77" t="s" ph="1">
        <v>678</v>
      </c>
      <c r="Y14" s="141" t="s" ph="1">
        <v>0</v>
      </c>
      <c r="Z14" s="77" t="s" ph="1">
        <v>62</v>
      </c>
      <c r="AA14" s="77" t="s" ph="1">
        <v>662</v>
      </c>
      <c r="AB14" s="77" t="s" ph="1">
        <v>648</v>
      </c>
      <c r="AC14" s="77" t="s" ph="1">
        <v>648</v>
      </c>
      <c r="AD14" s="77" t="s" ph="1">
        <v>661</v>
      </c>
      <c r="AE14" s="77" t="s" ph="1">
        <v>661</v>
      </c>
      <c r="AG14" s="72" t="s" ph="1">
        <v>249</v>
      </c>
      <c r="AI14" s="72" t="s" ph="1">
        <v>250</v>
      </c>
      <c r="AJ14" s="72" t="s" ph="1">
        <v>373</v>
      </c>
      <c r="AK14" s="72" t="s" ph="1">
        <v>251</v>
      </c>
      <c r="AM14" s="72" t="s" ph="1">
        <v>253</v>
      </c>
      <c r="AN14" s="72" t="s" ph="1">
        <v>251</v>
      </c>
      <c r="AO14" s="72" t="s" ph="1">
        <v>252</v>
      </c>
      <c r="AP14" s="72" t="s" ph="1">
        <v>253</v>
      </c>
      <c r="AQ14" s="72" t="s" ph="1">
        <v>251</v>
      </c>
      <c r="AR14" s="72" t="s" ph="1">
        <v>252</v>
      </c>
      <c r="AS14" s="72" t="s" ph="1">
        <v>253</v>
      </c>
      <c r="AT14" s="72" t="s" ph="1">
        <v>251</v>
      </c>
      <c r="AU14" s="72" t="s" ph="1">
        <v>252</v>
      </c>
      <c r="AV14" s="72" t="s" ph="1">
        <v>253</v>
      </c>
      <c r="AW14" s="72" t="s" ph="1">
        <v>251</v>
      </c>
      <c r="AX14" s="72" t="s" ph="1">
        <v>252</v>
      </c>
      <c r="AY14" s="72" t="s" ph="1">
        <v>253</v>
      </c>
      <c r="AZ14" s="72" t="s" ph="1">
        <v>252</v>
      </c>
    </row>
    <row r="15" spans="1:99" ph="1">
      <c r="B15" s="217" ph="1">
        <v>0.33333333333333331</v>
      </c>
      <c r="C15" s="164" t="s" ph="1">
        <v>208</v>
      </c>
      <c r="D15" s="78">
        <v>0</v>
      </c>
      <c r="E15" s="78">
        <v>599</v>
      </c>
      <c r="F15" s="78">
        <v>2198</v>
      </c>
      <c r="G15" s="78">
        <v>3020</v>
      </c>
      <c r="H15" s="78">
        <v>2863</v>
      </c>
      <c r="I15" s="78">
        <v>9</v>
      </c>
      <c r="J15" s="78">
        <v>2330</v>
      </c>
      <c r="K15" s="78">
        <v>1593</v>
      </c>
      <c r="L15" s="78">
        <v>6284</v>
      </c>
      <c r="M15" s="78">
        <v>2967</v>
      </c>
      <c r="N15" s="78">
        <v>3091</v>
      </c>
      <c r="O15" s="78">
        <v>234</v>
      </c>
      <c r="P15" s="78">
        <v>881</v>
      </c>
      <c r="Q15" s="78">
        <v>1328</v>
      </c>
      <c r="R15" s="78">
        <v>3488</v>
      </c>
      <c r="S15" s="78">
        <v>5606</v>
      </c>
      <c r="T15" s="78">
        <v>2310</v>
      </c>
      <c r="U15" s="78">
        <v>5588</v>
      </c>
      <c r="V15" s="78">
        <v>-1632</v>
      </c>
      <c r="W15" s="78">
        <v>-596</v>
      </c>
      <c r="X15" s="78">
        <v>625</v>
      </c>
      <c r="Y15" s="106">
        <v>-9900</v>
      </c>
      <c r="Z15" s="78">
        <v>0</v>
      </c>
      <c r="AA15" s="78">
        <v>2504</v>
      </c>
      <c r="AB15" s="78" ph="1">
        <v>5175</v>
      </c>
      <c r="AC15" s="78" ph="1">
        <v>6494</v>
      </c>
      <c r="AD15" s="78">
        <v>5.61</v>
      </c>
      <c r="AE15" s="78">
        <v>83.41</v>
      </c>
      <c r="AG15" s="64" t="s" ph="1">
        <v>255</v>
      </c>
      <c r="AH15" s="64" ph="1">
        <v>1</v>
      </c>
      <c r="AI15" s="64" t="s" ph="1">
        <v>374</v>
      </c>
      <c r="AK15" s="64" t="s" ph="1">
        <v>628</v>
      </c>
      <c r="AM15" s="64" t="s" ph="1">
        <v>376</v>
      </c>
      <c r="AZ15" s="64" t="s" ph="1">
        <v>257</v>
      </c>
      <c r="BA15" s="64" ph="1">
        <v>0</v>
      </c>
    </row>
    <row r="16" spans="1:99" s="72" customFormat="1" ht="22.5" ph="1">
      <c r="B16" s="218" ph="1"/>
      <c r="C16" s="164" t="s" ph="1">
        <v>209</v>
      </c>
      <c r="D16" s="73" ph="1">
        <f>D15*7.0686*LOOKUP(D17,密度!$A$2:$A$50,密度!$L$2:$L$50)</f>
        <v>0</v>
      </c>
      <c r="E16" s="73" ph="1">
        <f>E15*7.0686*LOOKUP(E17,密度!$A$2:$A$50,密度!$L$2:$L$50)</f>
        <v>3980.045916</v>
      </c>
      <c r="F16" s="73" ph="1">
        <f>F15*9.0746*LOOKUP(F17,密度!$A$2:$A$50,密度!$L$2:$L$50)</f>
        <v>18888.834347599997</v>
      </c>
      <c r="G16" s="73" ph="1">
        <f>G15*9.0746*LOOKUP(G17,密度!$A$2:$A$50,密度!$B$2:$B$50)</f>
        <v>21595.370096000002</v>
      </c>
      <c r="H16" s="73" ph="1">
        <f>H15*9.0746*LOOKUP(H17,密度!$A$2:$A$50,密度!$L$2:$L$50)</f>
        <v>24733.5119696</v>
      </c>
      <c r="I16" s="73" ph="1">
        <f>I15*9.0746*LOOKUP(I17,密度!$A$2:$A$50,密度!$U$2:$U$50)</f>
        <v>83.95819920000001</v>
      </c>
      <c r="J16" s="73" ph="1">
        <f>J15*9.0746*LOOKUP(J17,密度!$A$2:$A$50,密度!$L$2:$L$50)</f>
        <v>19959.764191999999</v>
      </c>
      <c r="K16" s="73" ph="1">
        <f>K15*9.0746*LOOKUP(K17,密度!$A$2:$A$50,密度!$C$2:$C$50)</f>
        <v>16129.82381724</v>
      </c>
      <c r="L16" s="73" ph="1">
        <f>L15*9.0746*LOOKUP(L17,密度!$A$2:$A$50,密度!$E$2:$E$50)</f>
        <v>45317.597752080001</v>
      </c>
      <c r="M16" s="73" ph="1">
        <f>M15*9.0746*LOOKUP(M17,密度!$A$2:$A$50,密度!$M$2:$M$50)</f>
        <v>23701.494917460001</v>
      </c>
      <c r="N16" s="73" ph="1">
        <f>N15*9.0746*LOOKUP(N17,密度!$A$2:$A$50,密度!$M$2:$M$50)</f>
        <v>24692.052844579997</v>
      </c>
      <c r="O16" s="73" ph="1">
        <f>O15*9.0746*LOOKUP(O17,密度!$A$2:$A$50,密度!$G$2:$G$50)</f>
        <v>2059.752708</v>
      </c>
      <c r="P16" s="73" ph="1">
        <f ca="1">P15*9.0746*LOOKUP(P17,密度!$A$2:$A$51,密度!$Q$2:$Q$50)</f>
        <v>7631.2825106040009</v>
      </c>
      <c r="Q16" s="73" ph="1">
        <f>Q15*9.0746*LOOKUP(Q17,密度!$A$2:$A$50,密度!$Q$2:$Q$50)</f>
        <v>11437.548887392</v>
      </c>
      <c r="R16" s="73" ph="1">
        <f>MAX(R15*9.0746*LOOKUP(R17,密度!$A$2:$A$50,密度!$B$2:$B$50),0)</f>
        <v>24891.293854719999</v>
      </c>
      <c r="S16" s="73" ph="1">
        <f>S15*9.0746*LOOKUP(S17,密度!$A$2:$A$50,密度!$Q$2:$Q$50)</f>
        <v>48559.557042504006</v>
      </c>
      <c r="T16" s="73" ph="1">
        <f>T15*9.0746*LOOKUP(T17,密度!$A$2:$A$50,密度!$O$2:$O$50)</f>
        <v>19578.812484000002</v>
      </c>
      <c r="U16" s="73" ph="1">
        <f>U15*9.0746*LOOKUP(U17,密度!$A$2:$A$50,密度!$H$2:$H$50)</f>
        <v>46941.196145360002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198.19152201600082</v>
      </c>
      <c r="X16" s="73" ph="1">
        <f>MAX(5600*LOOKUP(X17,密度!$A$2:$A$50,密度!$I$2:$I$50)+X15*9.0476*LOOKUP(X17,密度!$A$2:$A$50,密度!$I$2:$I$50),0)</f>
        <v>11692.559774999998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17905.5651392</v>
      </c>
      <c r="AB16" s="73" ph="1">
        <f>AB15*9.0746*LOOKUP(AB17,密度!$A$2:$A$50,密度!$L$2:$L$50)</f>
        <v>44143.3917</v>
      </c>
      <c r="AC16" s="73" ph="1">
        <f>AC15*9.0746*LOOKUP(AC17,密度!$A$2:$A$50,密度!$L$2:$L$50)</f>
        <v>55866.068875199999</v>
      </c>
      <c r="AD16" s="73" ph="1">
        <f>AD15*268.68*LOOKUP(AD17,密度!$A$2:$A$50,密度!B2:B50)+IF(AD15&lt;=0,0,1566*LOOKUP(AD17,密度!$A$2:$A$50,密度!B2:B50))</f>
        <v>2395.9406260799997</v>
      </c>
      <c r="AE16" s="73" ph="1">
        <f>AE15*268.68*LOOKUP(AE17,密度!$A$2:$A$50,密度!B2:B50)+IF(AE15&lt;=0,0,1566*LOOKUP(AE17,密度!$A$2:$A$50,密度!B2:B50))</f>
        <v>18692.156424479999</v>
      </c>
      <c r="AH16" s="72" ph="1">
        <v>2</v>
      </c>
      <c r="AI16" s="72" t="s" ph="1">
        <v>378</v>
      </c>
      <c r="AZ16" s="72" t="s" ph="1">
        <v>257</v>
      </c>
      <c r="BA16" s="72" ph="1">
        <v>0</v>
      </c>
    </row>
    <row r="17" spans="1:57" ph="1">
      <c r="A17" s="64" t="s" ph="1">
        <v>85</v>
      </c>
      <c r="B17" s="219" ph="1"/>
      <c r="C17" s="79" t="s" ph="1">
        <v>210</v>
      </c>
      <c r="D17" s="74">
        <v>22</v>
      </c>
      <c r="E17" s="74">
        <v>22</v>
      </c>
      <c r="F17" s="74">
        <v>15</v>
      </c>
      <c r="G17" s="74">
        <v>15</v>
      </c>
      <c r="H17" s="74">
        <v>10</v>
      </c>
      <c r="I17" s="74">
        <v>14</v>
      </c>
      <c r="J17" s="74">
        <v>18</v>
      </c>
      <c r="K17" s="74">
        <v>15</v>
      </c>
      <c r="L17" s="74">
        <v>15</v>
      </c>
      <c r="M17" s="74">
        <v>17</v>
      </c>
      <c r="N17" s="74">
        <v>15</v>
      </c>
      <c r="O17" s="74">
        <v>16</v>
      </c>
      <c r="P17" s="74">
        <v>15</v>
      </c>
      <c r="Q17" s="74">
        <v>22</v>
      </c>
      <c r="R17" s="74">
        <v>17</v>
      </c>
      <c r="S17" s="74">
        <v>15</v>
      </c>
      <c r="T17" s="74">
        <v>16</v>
      </c>
      <c r="U17" s="74">
        <v>14</v>
      </c>
      <c r="V17" s="74">
        <v>15</v>
      </c>
      <c r="W17" s="74">
        <v>15</v>
      </c>
      <c r="X17" s="74">
        <v>28</v>
      </c>
      <c r="Y17" s="108">
        <v>28</v>
      </c>
      <c r="Z17" s="74">
        <v>15</v>
      </c>
      <c r="AA17" s="74">
        <v>15</v>
      </c>
      <c r="AB17" s="74">
        <v>22</v>
      </c>
      <c r="AC17" s="74">
        <v>14</v>
      </c>
      <c r="AD17" s="74">
        <v>25</v>
      </c>
      <c r="AE17" s="74">
        <v>25</v>
      </c>
      <c r="AH17" s="64" ph="1">
        <v>3</v>
      </c>
      <c r="AI17" s="64" t="s" ph="1">
        <v>379</v>
      </c>
      <c r="AK17" s="64" t="s" ph="1">
        <v>611</v>
      </c>
      <c r="AL17" s="64" ph="1">
        <v>80</v>
      </c>
      <c r="AM17" s="64" t="s" ph="1">
        <v>376</v>
      </c>
      <c r="AZ17" s="64" t="s" ph="1">
        <v>257</v>
      </c>
      <c r="BA17" s="64" ph="1">
        <v>80</v>
      </c>
      <c r="BD17" s="64" t="s" ph="1">
        <v>255</v>
      </c>
      <c r="BE17" s="64" ph="1">
        <v>2270</v>
      </c>
    </row>
    <row r="18" spans="1:57" ph="1">
      <c r="B18" s="217" ph="1">
        <v>0.66666666666666663</v>
      </c>
      <c r="C18" s="79" t="s" ph="1">
        <v>211</v>
      </c>
      <c r="D18" s="71">
        <v>5129</v>
      </c>
      <c r="E18" s="71">
        <v>67</v>
      </c>
      <c r="F18" s="71">
        <v>2198</v>
      </c>
      <c r="G18" s="71">
        <v>3049</v>
      </c>
      <c r="H18" s="71">
        <v>2863</v>
      </c>
      <c r="I18" s="71">
        <v>9</v>
      </c>
      <c r="J18" s="71">
        <v>2673</v>
      </c>
      <c r="K18" s="71">
        <v>1593</v>
      </c>
      <c r="L18" s="71">
        <v>6282</v>
      </c>
      <c r="M18" s="71">
        <v>5082</v>
      </c>
      <c r="N18" s="71">
        <v>2732</v>
      </c>
      <c r="O18" s="71">
        <v>232</v>
      </c>
      <c r="P18" s="71">
        <v>1739</v>
      </c>
      <c r="Q18" s="71">
        <v>2769</v>
      </c>
      <c r="R18" s="71">
        <v>3488</v>
      </c>
      <c r="S18" s="71">
        <v>5607</v>
      </c>
      <c r="T18" s="71">
        <v>2310</v>
      </c>
      <c r="U18" s="71">
        <v>5589</v>
      </c>
      <c r="V18" s="71">
        <v>-1630</v>
      </c>
      <c r="W18" s="71">
        <v>-595</v>
      </c>
      <c r="X18" s="71">
        <v>625</v>
      </c>
      <c r="Y18" s="109">
        <v>-9902</v>
      </c>
      <c r="Z18" s="71">
        <v>0</v>
      </c>
      <c r="AA18" s="71">
        <v>2505</v>
      </c>
      <c r="AB18" s="71">
        <v>5168</v>
      </c>
      <c r="AC18" s="71">
        <v>6495</v>
      </c>
      <c r="AD18" s="71">
        <v>27.71</v>
      </c>
      <c r="AE18" s="71">
        <v>84.31</v>
      </c>
      <c r="AH18" s="64" ph="1">
        <v>4</v>
      </c>
      <c r="AI18" s="64" t="s" ph="1">
        <v>381</v>
      </c>
      <c r="AJ18" s="64" t="s" ph="1">
        <v>629</v>
      </c>
      <c r="AK18" s="64" t="s" ph="1">
        <v>628</v>
      </c>
      <c r="AL18" s="64" ph="1">
        <v>740</v>
      </c>
      <c r="AM18" s="64" t="s" ph="1">
        <v>380</v>
      </c>
      <c r="AZ18" s="64" t="s" ph="1">
        <v>257</v>
      </c>
      <c r="BA18" s="64" ph="1">
        <v>740</v>
      </c>
    </row>
    <row r="19" spans="1:57" s="72" customFormat="1" ht="22.5" ph="1">
      <c r="B19" s="218" ph="1"/>
      <c r="C19" s="164" t="s" ph="1">
        <v>209</v>
      </c>
      <c r="D19" s="73" ph="1">
        <f>D18*7.0686*LOOKUP(D20,密度!$A$2:$A$50,密度!$L$2:$L$50)</f>
        <v>34043.303586599999</v>
      </c>
      <c r="E19" s="73" ph="1">
        <f>E18*7.0686*LOOKUP(E20,密度!$A$2:$A$50,密度!$L$2:$L$50)</f>
        <v>444.70683179999997</v>
      </c>
      <c r="F19" s="73" ph="1">
        <f>F18*9.0746*LOOKUP(F20,密度!$A$2:$A$50,密度!$L$2:$L$50)</f>
        <v>18848.942405999998</v>
      </c>
      <c r="G19" s="73" ph="1">
        <f>G18*9.0746*LOOKUP(G20,密度!$A$2:$A$50,密度!$B$2:$B$50)</f>
        <v>21758.473326559997</v>
      </c>
      <c r="H19" s="73" ph="1">
        <f>H18*9.0746*LOOKUP(H20,密度!$A$2:$A$50,密度!$L$2:$L$50)</f>
        <v>24681.550809999997</v>
      </c>
      <c r="I19" s="73" ph="1">
        <f>I18*9.0746*LOOKUP(I20,密度!$A$2:$A$50,密度!$U$2:$U$50)</f>
        <v>83.95819920000001</v>
      </c>
      <c r="J19" s="73" ph="1">
        <f>J18*9.0746*LOOKUP(J20,密度!$A$2:$A$50,密度!$L$2:$L$50)</f>
        <v>22922.303480999999</v>
      </c>
      <c r="K19" s="73" ph="1">
        <f>K18*9.0746*LOOKUP(K20,密度!$A$2:$A$50,密度!$C$2:$C$50)</f>
        <v>16129.82381724</v>
      </c>
      <c r="L19" s="73" ph="1">
        <f>L18*9.0746*LOOKUP(L20,密度!$A$2:$A$50,密度!$E$2:$E$50)</f>
        <v>45303.174582840002</v>
      </c>
      <c r="M19" s="73" ph="1">
        <f>M18*9.0746*LOOKUP(M20,密度!$A$2:$A$50,密度!$M$2:$M$50)</f>
        <v>40596.898271159997</v>
      </c>
      <c r="N19" s="73" ph="1">
        <f>N18*9.0746*LOOKUP(N20,密度!$A$2:$A$50,密度!$M$2:$M$50)</f>
        <v>21824.22787816</v>
      </c>
      <c r="O19" s="73" ph="1">
        <f>O18*9.0746*LOOKUP(O20,密度!$A$2:$A$50,密度!$G$2:$G$50)</f>
        <v>2037.9373696000002</v>
      </c>
      <c r="P19" s="73" ph="1">
        <f ca="1">P18*9.0746*LOOKUP(P20,密度!$A$2:$A$51,密度!$Q$2:$Q$50)</f>
        <v>15063.337441476002</v>
      </c>
      <c r="Q19" s="73" ph="1">
        <f>Q18*9.0746*LOOKUP(Q20,密度!$A$2:$A$50,密度!$Q$2:$Q$50)</f>
        <v>23825.959408680003</v>
      </c>
      <c r="R19" s="73" ph="1">
        <f>MAX(R18*9.0746*LOOKUP(R20,密度!$A$2:$A$50,密度!$B$2:$B$50),0)</f>
        <v>24891.293854719999</v>
      </c>
      <c r="S19" s="73" ph="1">
        <f>S18*9.0746*LOOKUP(S20,密度!$A$2:$A$50,密度!$Q$2:$Q$50)</f>
        <v>48568.219111188002</v>
      </c>
      <c r="T19" s="73" ph="1">
        <f>T18*9.0746*LOOKUP(T20,密度!$A$2:$A$50,密度!$O$2:$O$50)</f>
        <v>19578.812484000002</v>
      </c>
      <c r="U19" s="73" ph="1">
        <f>U18*9.0746*LOOKUP(U20,密度!$A$2:$A$50,密度!$H$2:$H$50)</f>
        <v>46949.596502580003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206.8278181200003</v>
      </c>
      <c r="X19" s="73" ph="1">
        <f>MAX(5600*LOOKUP(X20,密度!$A$2:$A$50,密度!$I$2:$I$50)+X18*9.0476*LOOKUP(X20,密度!$A$2:$A$50,密度!$I$2:$I$50),0)</f>
        <v>11716.194749999999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17894.530425599998</v>
      </c>
      <c r="AB19" s="73" ph="1">
        <f>AB18*9.0746*LOOKUP(AB20,密度!$A$2:$A$50,密度!$L$2:$L$50)</f>
        <v>44130.5783648</v>
      </c>
      <c r="AC19" s="73" ph="1">
        <f>AC18*9.0746*LOOKUP(AC20,密度!$A$2:$A$50,密度!$L$2:$L$50)</f>
        <v>55756.792541999996</v>
      </c>
      <c r="AD19" s="73" ph="1">
        <f>AD18*268.68*LOOKUP(AD20,密度!$A$2:$A$50,密度!B5:B53)+IF(AD18&lt;=0,0,1566*LOOKUP(AD20,密度!$A$2:$A$50,密度!B5:B53))</f>
        <v>7001.6424156000003</v>
      </c>
      <c r="AE19" s="73" ph="1">
        <f>AE18*268.68*LOOKUP(AE20,密度!$A$2:$A$50,密度!B5:B53)+IF(AE18&lt;=0,0,1566*LOOKUP(AE20,密度!$A$2:$A$50,密度!B5:B53))</f>
        <v>18817.705191600002</v>
      </c>
      <c r="AH19" s="72" ph="1">
        <v>5</v>
      </c>
      <c r="AI19" s="72" t="s" ph="1">
        <v>382</v>
      </c>
      <c r="AZ19" s="72" t="s" ph="1">
        <v>257</v>
      </c>
      <c r="BA19" s="72" ph="1">
        <v>0</v>
      </c>
      <c r="BD19" s="72" t="s" ph="1">
        <v>383</v>
      </c>
      <c r="BE19" s="72" ph="1">
        <v>1440</v>
      </c>
    </row>
    <row r="20" spans="1:57" ph="1">
      <c r="A20" s="72" ph="1"/>
      <c r="B20" s="218" ph="1"/>
      <c r="C20" s="80" t="s" ph="1">
        <v>210</v>
      </c>
      <c r="D20" s="81">
        <v>23</v>
      </c>
      <c r="E20" s="81">
        <v>23</v>
      </c>
      <c r="F20" s="81">
        <v>17</v>
      </c>
      <c r="G20" s="81">
        <v>17</v>
      </c>
      <c r="H20" s="81">
        <v>12</v>
      </c>
      <c r="I20" s="81">
        <v>17</v>
      </c>
      <c r="J20" s="81">
        <v>17</v>
      </c>
      <c r="K20" s="81">
        <v>15</v>
      </c>
      <c r="L20" s="81">
        <v>15</v>
      </c>
      <c r="M20" s="81">
        <v>18</v>
      </c>
      <c r="N20" s="81">
        <v>15</v>
      </c>
      <c r="O20" s="81">
        <v>18</v>
      </c>
      <c r="P20" s="81">
        <v>15</v>
      </c>
      <c r="Q20" s="81">
        <v>23</v>
      </c>
      <c r="R20" s="81">
        <v>17</v>
      </c>
      <c r="S20" s="81">
        <v>15</v>
      </c>
      <c r="T20" s="81">
        <v>16</v>
      </c>
      <c r="U20" s="81">
        <v>14</v>
      </c>
      <c r="V20" s="81">
        <v>15</v>
      </c>
      <c r="W20" s="81">
        <v>15</v>
      </c>
      <c r="X20" s="81">
        <v>26</v>
      </c>
      <c r="Y20" s="110">
        <v>26</v>
      </c>
      <c r="Z20" s="81">
        <v>17</v>
      </c>
      <c r="AA20" s="81">
        <v>16</v>
      </c>
      <c r="AB20" s="81">
        <v>21</v>
      </c>
      <c r="AC20" s="81">
        <v>16</v>
      </c>
      <c r="AD20" s="81">
        <v>25</v>
      </c>
      <c r="AE20" s="81">
        <v>25</v>
      </c>
      <c r="AH20" s="64" ph="1">
        <v>6</v>
      </c>
      <c r="AI20" s="64" t="s" ph="1">
        <v>384</v>
      </c>
      <c r="AZ20" s="64" t="s" ph="1">
        <v>257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385</v>
      </c>
      <c r="AZ21" s="64" t="s" ph="1">
        <v>257</v>
      </c>
      <c r="BA21" s="64" ph="1">
        <v>0</v>
      </c>
      <c r="BD21" s="64" t="s" ph="1">
        <v>273</v>
      </c>
      <c r="BE21" s="64" ph="1">
        <v>730</v>
      </c>
    </row>
    <row r="22" spans="1:57" ph="1">
      <c r="A22" s="72" ph="1"/>
      <c r="B22" s="216" t="s" ph="1">
        <v>37</v>
      </c>
      <c r="C22" s="85" t="s" ph="1">
        <v>207</v>
      </c>
      <c r="D22" s="86" t="s" ph="1">
        <v>103</v>
      </c>
      <c r="E22" s="86" t="s" ph="1">
        <v>104</v>
      </c>
      <c r="F22" s="86" t="s" ph="1">
        <v>105</v>
      </c>
      <c r="G22" s="86" t="s" ph="1">
        <v>106</v>
      </c>
      <c r="H22" s="86" t="s" ph="1">
        <v>107</v>
      </c>
      <c r="I22" s="86" t="s" ph="1">
        <v>108</v>
      </c>
      <c r="J22" s="86" t="s" ph="1">
        <v>109</v>
      </c>
      <c r="K22" s="86" t="s" ph="1">
        <v>110</v>
      </c>
      <c r="L22" s="86" t="s" ph="1">
        <v>111</v>
      </c>
      <c r="M22" s="86" t="s" ph="1">
        <v>112</v>
      </c>
      <c r="N22" s="86" t="s" ph="1">
        <v>113</v>
      </c>
      <c r="O22" s="86" t="s" ph="1">
        <v>114</v>
      </c>
      <c r="P22" s="86" t="s" ph="1">
        <v>115</v>
      </c>
      <c r="Q22" s="87" t="s" ph="1">
        <v>116</v>
      </c>
      <c r="R22" s="86" t="s" ph="1">
        <v>117</v>
      </c>
      <c r="S22" s="86" t="s" ph="1">
        <v>118</v>
      </c>
      <c r="T22" s="86" t="s" ph="1">
        <v>119</v>
      </c>
      <c r="U22" s="86" t="s" ph="1">
        <v>120</v>
      </c>
      <c r="V22" s="86" t="s" ph="1">
        <v>121</v>
      </c>
      <c r="W22" s="86" t="s" ph="1">
        <v>122</v>
      </c>
      <c r="X22" s="86" t="s" ph="1">
        <v>123</v>
      </c>
      <c r="Y22" s="86" t="s" ph="1">
        <v>125</v>
      </c>
      <c r="Z22" s="195" t="s" ph="1">
        <v>79</v>
      </c>
      <c r="AA22" s="196"/>
      <c r="AB22" s="196"/>
      <c r="AC22" s="196"/>
      <c r="AD22" s="196"/>
      <c r="AE22" s="197"/>
      <c r="AH22" s="64" ph="1">
        <v>8</v>
      </c>
      <c r="AI22" s="64" t="s" ph="1">
        <v>386</v>
      </c>
      <c r="AZ22" s="64" t="s" ph="1">
        <v>257</v>
      </c>
      <c r="BA22" s="64" ph="1">
        <v>0</v>
      </c>
    </row>
    <row r="23" spans="1:57" ph="1">
      <c r="A23" s="72" ph="1"/>
      <c r="B23" s="211" ph="1"/>
      <c r="C23" s="67" t="s" ph="1">
        <v>36</v>
      </c>
      <c r="D23" s="88" t="s" ph="1">
        <v>127</v>
      </c>
      <c r="E23" s="88" t="s" ph="1">
        <v>124</v>
      </c>
      <c r="F23" s="88" t="s" ph="1">
        <v>127</v>
      </c>
      <c r="G23" s="88" t="s" ph="1">
        <v>679</v>
      </c>
      <c r="H23" s="88" t="s" ph="1">
        <v>679</v>
      </c>
      <c r="I23" s="88" t="s" ph="1">
        <v>680</v>
      </c>
      <c r="J23" s="88" t="s" ph="1">
        <v>681</v>
      </c>
      <c r="K23" s="88" t="s" ph="1">
        <v>682</v>
      </c>
      <c r="L23" s="88" t="s" ph="1">
        <v>682</v>
      </c>
      <c r="M23" s="88" t="s" ph="1">
        <v>675</v>
      </c>
      <c r="N23" s="88" t="s" ph="1">
        <v>675</v>
      </c>
      <c r="O23" s="88" t="s" ph="1">
        <v>359</v>
      </c>
      <c r="P23" s="88" t="s" ph="1">
        <v>666</v>
      </c>
      <c r="Q23" s="89" t="s" ph="1">
        <v>666</v>
      </c>
      <c r="R23" s="88" t="s" ph="1">
        <v>659</v>
      </c>
      <c r="S23" s="88" t="s" ph="1">
        <v>683</v>
      </c>
      <c r="T23" s="88" t="s" ph="1">
        <v>647</v>
      </c>
      <c r="U23" s="88" t="s" ph="1">
        <v>653</v>
      </c>
      <c r="V23" s="88" t="s" ph="1">
        <v>684</v>
      </c>
      <c r="W23" s="88" t="s" ph="1">
        <v>685</v>
      </c>
      <c r="X23" s="88" t="s" ph="1">
        <v>228</v>
      </c>
      <c r="Y23" s="88" t="s" ph="1">
        <v>686</v>
      </c>
      <c r="Z23" s="198" t="s" ph="1">
        <v>687</v>
      </c>
      <c r="AA23" s="199"/>
      <c r="AB23" s="199"/>
      <c r="AC23" s="199"/>
      <c r="AD23" s="199"/>
      <c r="AE23" s="200"/>
      <c r="AH23" s="64" ph="1">
        <v>9</v>
      </c>
      <c r="AI23" s="64" t="s" ph="1">
        <v>387</v>
      </c>
      <c r="AZ23" s="64" t="s" ph="1">
        <v>257</v>
      </c>
      <c r="BA23" s="64" ph="1">
        <v>0</v>
      </c>
      <c r="BD23" s="64" t="s" ph="1">
        <v>279</v>
      </c>
      <c r="BE23" s="64" ph="1">
        <v>890</v>
      </c>
    </row>
    <row r="24" spans="1:57" ph="1">
      <c r="A24" s="72" ph="1"/>
      <c r="B24" s="207" ph="1">
        <v>0.33333333333333331</v>
      </c>
      <c r="C24" s="164" t="s" ph="1">
        <v>208</v>
      </c>
      <c r="D24" s="71">
        <v>98.52</v>
      </c>
      <c r="E24" s="71">
        <v>77.02</v>
      </c>
      <c r="F24" s="71">
        <v>4012</v>
      </c>
      <c r="G24" s="71">
        <v>3185</v>
      </c>
      <c r="H24" s="71">
        <v>2959</v>
      </c>
      <c r="I24" s="71">
        <v>2314</v>
      </c>
      <c r="J24" s="71">
        <v>424</v>
      </c>
      <c r="K24" s="71">
        <v>5601</v>
      </c>
      <c r="L24" s="71">
        <v>5574</v>
      </c>
      <c r="M24" s="71">
        <v>4851</v>
      </c>
      <c r="N24" s="71">
        <v>2579</v>
      </c>
      <c r="O24" s="71">
        <v>2060</v>
      </c>
      <c r="P24" s="71">
        <v>452</v>
      </c>
      <c r="Q24" s="90">
        <v>715</v>
      </c>
      <c r="R24" s="71">
        <v>6080</v>
      </c>
      <c r="S24" s="71">
        <v>1023</v>
      </c>
      <c r="T24" s="71">
        <v>5</v>
      </c>
      <c r="U24" s="71">
        <v>5254</v>
      </c>
      <c r="V24" s="71">
        <v>413</v>
      </c>
      <c r="W24" s="71">
        <v>8614</v>
      </c>
      <c r="X24" s="71">
        <v>7105</v>
      </c>
      <c r="Y24" s="71">
        <v>4913</v>
      </c>
      <c r="Z24" s="201"/>
      <c r="AA24" s="202"/>
      <c r="AB24" s="202"/>
      <c r="AC24" s="202"/>
      <c r="AD24" s="202"/>
      <c r="AE24" s="203"/>
      <c r="AH24" s="64" ph="1">
        <v>10</v>
      </c>
      <c r="AI24" s="64" t="s" ph="1">
        <v>388</v>
      </c>
      <c r="AZ24" s="64" t="s" ph="1">
        <v>257</v>
      </c>
      <c r="BA24" s="64" ph="1">
        <v>0</v>
      </c>
    </row>
    <row r="25" spans="1:57" ph="1">
      <c r="A25" s="72" ph="1"/>
      <c r="B25" s="207" ph="1"/>
      <c r="C25" s="68" t="s" ph="1">
        <v>209</v>
      </c>
      <c r="D25" s="91" ph="1">
        <f>D24*268.68*LOOKUP(D26,密度!$A$2:$A$50,密度!$Q$2:$Q$50)+IF(D24&lt;=0,0,1566*LOOKUP(D26,密度!$A$2:$A$50,密度!$Q$2:$Q$50))</f>
        <v>26543.137407263999</v>
      </c>
      <c r="E25" s="91" ph="1">
        <f>E24*268.68*LOOKUP(E26,密度!$A$2:$A$50,密度!$C$2:$C$50)+IF(E24&lt;=0,0,1566*LOOKUP(E26,密度!$A$2:$A$50,密度!$C$2:$C$50))</f>
        <v>24683.818589040002</v>
      </c>
      <c r="F25" s="91" ph="1">
        <f>F24*11.702*LOOKUP(F26,密度!$A$2:$A$50,密度!$Q$2:$Q$50)</f>
        <v>44814.148644960005</v>
      </c>
      <c r="G25" s="91" ph="1">
        <f>G24*18.322*LOOKUP(G26,密度!$A$2:$A$50,密度!$B$2:$B$50)</f>
        <v>45984.189160000002</v>
      </c>
      <c r="H25" s="91" ph="1">
        <f>H24*18.322*LOOKUP(H26,密度!$A$2:$A$50,密度!$B$2:$B$50)</f>
        <v>42721.260823999997</v>
      </c>
      <c r="I25" s="91" ph="1">
        <f>I24*18.322*LOOKUP(I26,密度!$A$2:$A$50,密度!$Q$2:$Q$50)</f>
        <v>40429.882188800002</v>
      </c>
      <c r="J25" s="91" ph="1">
        <f>J24*18.322*LOOKUP(J26,密度!$A$2:$A$50,密度!$Q$2:$Q$50)</f>
        <v>7408.0683007999996</v>
      </c>
      <c r="K25" s="91" ph="1">
        <f>K24*18.322*LOOKUP(K26,密度!$A$2:$A$50,密度!$Q$2:$Q$50)</f>
        <v>97956.347609880002</v>
      </c>
      <c r="L25" s="91" ph="1">
        <f>L24*18.322*LOOKUP(L26,密度!$A$2:$A$50,密度!$Q$2:$Q$50)</f>
        <v>97484.142399119999</v>
      </c>
      <c r="M25" s="91" ph="1">
        <f>M24*18.322*LOOKUP(M26,密度!$A$2:$A$50,密度!$Q$2:$Q$50)</f>
        <v>84839.536199880007</v>
      </c>
      <c r="N25" s="91" ph="1">
        <f>N24*18.322*LOOKUP(N26,密度!$A$2:$A$50,密度!$Q$2:$Q$50)</f>
        <v>45104.342168520001</v>
      </c>
      <c r="O25" s="91" ph="1">
        <f>O24*18.322*LOOKUP(O26,密度!$A$2:$A$50,密度!$C$2:$C$50)</f>
        <v>42113.996455999993</v>
      </c>
      <c r="P25" s="91" ph="1">
        <f>P24*11.702*LOOKUP(P26,密度!$A$2:$A$50,密度!$B$2:$B$50)</f>
        <v>4167.971552</v>
      </c>
      <c r="Q25" s="92" ph="1">
        <f>Q24*18.322*LOOKUP(Q26,密度!$A$2:$A$50,密度!$B$2:$B$50)</f>
        <v>10312.501055999999</v>
      </c>
      <c r="R25" s="91" ph="1">
        <f>R24*35.891*LOOKUP(R26,密度!$A$2:$A$50,密度!$C$2:$C$50)</f>
        <v>243355.91065599999</v>
      </c>
      <c r="S25" s="91" ph="1">
        <f>S24*35.891*LOOKUP(S26,密度!$A$2:$A$50,密度!$B$2:$B$50)</f>
        <v>28903.223289599995</v>
      </c>
      <c r="T25" s="91" ph="1">
        <f>T24*35.891*LOOKUP(T26,密度!$A$2:$A$50,密度!$Q$2:$Q$50)</f>
        <v>171.128288</v>
      </c>
      <c r="U25" s="91" ph="1">
        <f>U24*35.891</f>
        <v>188571.31399999998</v>
      </c>
      <c r="V25" s="91" ph="1">
        <f>V24*47.051*LOOKUP(V26,密度!$A$2:$A$50,密度!$B$2:$B$50)</f>
        <v>15296.919993600002</v>
      </c>
      <c r="W25" s="91" ph="1">
        <f>W24*47.051*LOOKUP(W26,密度!$A$2:$A$50,密度!$B$2:$B$50)</f>
        <v>318725.8077296</v>
      </c>
      <c r="X25" s="91" ph="1">
        <f>X24*47.051*LOOKUP(X26,密度!$A$2:$A$50,密度!$I$2:$I$50)</f>
        <v>346211.71273219999</v>
      </c>
      <c r="Y25" s="91" ph="1">
        <f>Y24*47.051*LOOKUP(Y26,密度!$A$2:$A$50,密度!$L$2:$L$50)</f>
        <v>218216.515472</v>
      </c>
      <c r="Z25" s="201"/>
      <c r="AA25" s="202"/>
      <c r="AB25" s="202"/>
      <c r="AC25" s="202"/>
      <c r="AD25" s="202"/>
      <c r="AE25" s="203"/>
      <c r="AH25" s="64" ph="1">
        <v>11</v>
      </c>
      <c r="AI25" s="64" t="s" ph="1">
        <v>389</v>
      </c>
      <c r="AZ25" s="64" t="s" ph="1">
        <v>257</v>
      </c>
      <c r="BA25" s="64" ph="1">
        <v>0</v>
      </c>
      <c r="BD25" s="64" t="s" ph="1">
        <v>282</v>
      </c>
      <c r="BE25" s="64" ph="1">
        <v>8920</v>
      </c>
    </row>
    <row r="26" spans="1:57" ph="1">
      <c r="A26" s="72" ph="1"/>
      <c r="B26" s="207" ph="1"/>
      <c r="C26" s="68" t="s" ph="1">
        <v>210</v>
      </c>
      <c r="D26" s="74">
        <v>25</v>
      </c>
      <c r="E26" s="74">
        <v>25</v>
      </c>
      <c r="F26" s="74">
        <v>15</v>
      </c>
      <c r="G26" s="74">
        <v>15</v>
      </c>
      <c r="H26" s="74">
        <v>15</v>
      </c>
      <c r="I26" s="74">
        <v>16</v>
      </c>
      <c r="J26" s="74">
        <v>16</v>
      </c>
      <c r="K26" s="74">
        <v>15</v>
      </c>
      <c r="L26" s="74">
        <v>15</v>
      </c>
      <c r="M26" s="74">
        <v>15</v>
      </c>
      <c r="N26" s="74">
        <v>15</v>
      </c>
      <c r="O26" s="74">
        <v>15</v>
      </c>
      <c r="P26" s="74">
        <v>15</v>
      </c>
      <c r="Q26" s="93">
        <v>16</v>
      </c>
      <c r="R26" s="74">
        <v>16</v>
      </c>
      <c r="S26" s="74">
        <v>16</v>
      </c>
      <c r="T26" s="74">
        <v>16</v>
      </c>
      <c r="U26" s="74">
        <v>16</v>
      </c>
      <c r="V26" s="74">
        <v>16</v>
      </c>
      <c r="W26" s="74">
        <v>17</v>
      </c>
      <c r="X26" s="74">
        <v>54</v>
      </c>
      <c r="Y26" s="74">
        <v>18</v>
      </c>
      <c r="Z26" s="201"/>
      <c r="AA26" s="202"/>
      <c r="AB26" s="202"/>
      <c r="AC26" s="202"/>
      <c r="AD26" s="202"/>
      <c r="AE26" s="203"/>
      <c r="AH26" s="64" ph="1">
        <v>12</v>
      </c>
      <c r="AI26" s="64" t="s" ph="1">
        <v>390</v>
      </c>
      <c r="AZ26" s="64" t="s" ph="1">
        <v>257</v>
      </c>
      <c r="BA26" s="64" ph="1">
        <v>0</v>
      </c>
    </row>
    <row r="27" spans="1:57" ph="1">
      <c r="A27" s="72" ph="1"/>
      <c r="B27" s="207" ph="1">
        <v>0.66666666666666663</v>
      </c>
      <c r="C27" s="164" t="s" ph="1">
        <v>211</v>
      </c>
      <c r="D27" s="71">
        <v>98.51</v>
      </c>
      <c r="E27" s="71">
        <v>95.11</v>
      </c>
      <c r="F27" s="71">
        <v>4011</v>
      </c>
      <c r="G27" s="71">
        <v>2719</v>
      </c>
      <c r="H27" s="71">
        <v>2635</v>
      </c>
      <c r="I27" s="71">
        <v>2313</v>
      </c>
      <c r="J27" s="71">
        <v>1522</v>
      </c>
      <c r="K27" s="71">
        <v>5601</v>
      </c>
      <c r="L27" s="71">
        <v>5574</v>
      </c>
      <c r="M27" s="71">
        <v>4853</v>
      </c>
      <c r="N27" s="71">
        <v>2579</v>
      </c>
      <c r="O27" s="71">
        <v>2058</v>
      </c>
      <c r="P27" s="71">
        <v>451</v>
      </c>
      <c r="Q27" s="90">
        <v>839</v>
      </c>
      <c r="R27" s="71">
        <v>6079</v>
      </c>
      <c r="S27" s="71">
        <v>1022</v>
      </c>
      <c r="T27" s="71">
        <v>3</v>
      </c>
      <c r="U27" s="71">
        <v>5347</v>
      </c>
      <c r="V27" s="71">
        <v>412</v>
      </c>
      <c r="W27" s="71">
        <v>9551</v>
      </c>
      <c r="X27" s="71">
        <v>7110</v>
      </c>
      <c r="Y27" s="71">
        <v>5070</v>
      </c>
      <c r="Z27" s="201"/>
      <c r="AA27" s="202"/>
      <c r="AB27" s="202"/>
      <c r="AC27" s="202"/>
      <c r="AD27" s="202"/>
      <c r="AE27" s="203"/>
      <c r="AH27" s="64" ph="1">
        <v>13</v>
      </c>
      <c r="AI27" s="64" t="s" ph="1">
        <v>391</v>
      </c>
      <c r="AZ27" s="64" t="s" ph="1">
        <v>257</v>
      </c>
      <c r="BA27" s="64" ph="1">
        <v>0</v>
      </c>
      <c r="BD27" s="64" t="s" ph="1">
        <v>336</v>
      </c>
      <c r="BE27" s="64" ph="1">
        <v>7100</v>
      </c>
    </row>
    <row r="28" spans="1:57" ph="1">
      <c r="A28" s="72" ph="1"/>
      <c r="B28" s="207" ph="1"/>
      <c r="C28" s="164" t="s" ph="1">
        <v>209</v>
      </c>
      <c r="D28" s="91" ph="1">
        <f>D27*268.68*LOOKUP(D29,密度!$A$2:$A$50,密度!$Q$2:$Q$50)+IF(D27&lt;=0,0,1566*LOOKUP(D29,密度!$A$2:$A$50,密度!$Q$2:$Q$50))</f>
        <v>26540.593706232004</v>
      </c>
      <c r="E28" s="91" ph="1">
        <f>E27*268.68*LOOKUP(E29,密度!$A$2:$A$50,密度!$C$2:$C$50)+IF(E27&lt;=0,0,1566*LOOKUP(E29,密度!$A$2:$A$50,密度!$C$2:$C$50))</f>
        <v>30073.539657720001</v>
      </c>
      <c r="F28" s="91" ph="1">
        <f>F27*11.702*LOOKUP(F29,密度!$A$2:$A$50,密度!$Q$2:$Q$50)</f>
        <v>44802.978617880006</v>
      </c>
      <c r="G28" s="91" ph="1">
        <f>G27*18.322*LOOKUP(G29,密度!$A$2:$A$50,密度!$B$2:$B$50)</f>
        <v>39256.204184000002</v>
      </c>
      <c r="H28" s="91" ph="1">
        <f>H27*18.322*LOOKUP(H29,密度!$A$2:$A$50,密度!$B$2:$B$50)</f>
        <v>38043.434359999999</v>
      </c>
      <c r="I28" s="91" ph="1">
        <f>I27*18.322*LOOKUP(I29,密度!$A$2:$A$50,密度!$Q$2:$Q$50)</f>
        <v>40452.246388440006</v>
      </c>
      <c r="J28" s="91" ph="1">
        <f>J27*18.322*LOOKUP(J29,密度!$A$2:$A$50,密度!$Q$2:$Q$50)</f>
        <v>26618.38262136</v>
      </c>
      <c r="K28" s="91" ph="1">
        <f>K27*18.322*LOOKUP(K29,密度!$A$2:$A$50,密度!$Q$2:$Q$50)</f>
        <v>97956.347609880002</v>
      </c>
      <c r="L28" s="91" ph="1">
        <f>L27*18.322*LOOKUP(L29,密度!$A$2:$A$50,密度!$Q$2:$Q$50)</f>
        <v>97484.142399119999</v>
      </c>
      <c r="M28" s="91" ph="1">
        <f>M27*18.322*LOOKUP(M29,密度!$A$2:$A$50,密度!$Q$2:$Q$50)</f>
        <v>84874.514363640003</v>
      </c>
      <c r="N28" s="91" ph="1">
        <f>N27*18.322*LOOKUP(N29,密度!$A$2:$A$50,密度!$Q$2:$Q$50)</f>
        <v>45104.342168520001</v>
      </c>
      <c r="O28" s="91" ph="1">
        <f>O27*18.322*LOOKUP(O29,密度!$A$2:$A$50,密度!$C$2:$C$50)</f>
        <v>42050.485075199998</v>
      </c>
      <c r="P28" s="91" ph="1">
        <f>P27*11.702*LOOKUP(P29,密度!$A$2:$A$50,密度!$B$2:$B$50)</f>
        <v>4154.5282944</v>
      </c>
      <c r="Q28" s="92" ph="1">
        <f>Q27*18.322*LOOKUP(Q29,密度!$A$2:$A$50,密度!$B$2:$B$50)</f>
        <v>12113.260504</v>
      </c>
      <c r="R28" s="91" ph="1">
        <f>R27*35.891*LOOKUP(R29,密度!$A$2:$A$50,密度!$C$2:$C$50)</f>
        <v>243446.79384619999</v>
      </c>
      <c r="S28" s="91" ph="1">
        <f>S27*35.891*LOOKUP(S29,密度!$A$2:$A$50,密度!$B$2:$B$50)</f>
        <v>28904.314376000002</v>
      </c>
      <c r="T28" s="91" ph="1">
        <f>T27*35.891*LOOKUP(T29,密度!$A$2:$A$50,密度!$Q$2:$Q$50)</f>
        <v>102.6769728</v>
      </c>
      <c r="U28" s="91" ph="1">
        <f>U27*35.891</f>
        <v>191909.177</v>
      </c>
      <c r="V28" s="91" ph="1">
        <f>V27*47.051*LOOKUP(V29,密度!$A$2:$A$50,密度!$B$2:$B$50)</f>
        <v>15275.389456000003</v>
      </c>
      <c r="W28" s="91" ph="1">
        <f>W27*47.051*LOOKUP(W29,密度!$A$2:$A$50,密度!$B$2:$B$50)</f>
        <v>353755.1643072</v>
      </c>
      <c r="X28" s="91" ph="1">
        <f>X27*47.051*LOOKUP(X29,密度!$A$2:$A$50,密度!$I$2:$I$50)</f>
        <v>346455.35222039995</v>
      </c>
      <c r="Y28" s="91" ph="1">
        <f>Y27*47.051*LOOKUP(Y29,密度!$A$2:$A$50,密度!$L$2:$L$50)</f>
        <v>225905.49578999999</v>
      </c>
      <c r="Z28" s="201"/>
      <c r="AA28" s="202"/>
      <c r="AB28" s="202"/>
      <c r="AC28" s="202"/>
      <c r="AD28" s="202"/>
      <c r="AE28" s="203"/>
      <c r="AH28" s="64" ph="1">
        <v>14</v>
      </c>
      <c r="AI28" s="64" t="s" ph="1">
        <v>392</v>
      </c>
      <c r="AZ28" s="64" t="s" ph="1">
        <v>257</v>
      </c>
      <c r="BA28" s="64" ph="1">
        <v>0</v>
      </c>
    </row>
    <row r="29" spans="1:57" ph="1">
      <c r="A29" s="72" ph="1"/>
      <c r="B29" s="207" ph="1"/>
      <c r="C29" s="164" t="s" ph="1">
        <v>210</v>
      </c>
      <c r="D29" s="74">
        <v>25</v>
      </c>
      <c r="E29" s="74">
        <v>25</v>
      </c>
      <c r="F29" s="74">
        <v>13</v>
      </c>
      <c r="G29" s="74">
        <v>15</v>
      </c>
      <c r="H29" s="74">
        <v>15</v>
      </c>
      <c r="I29" s="74">
        <v>15</v>
      </c>
      <c r="J29" s="74">
        <v>12</v>
      </c>
      <c r="K29" s="74">
        <v>15</v>
      </c>
      <c r="L29" s="74">
        <v>15</v>
      </c>
      <c r="M29" s="74">
        <v>14</v>
      </c>
      <c r="N29" s="74">
        <v>14</v>
      </c>
      <c r="O29" s="74">
        <v>16</v>
      </c>
      <c r="P29" s="74">
        <v>16</v>
      </c>
      <c r="Q29" s="93">
        <v>15</v>
      </c>
      <c r="R29" s="74">
        <v>15</v>
      </c>
      <c r="S29" s="74">
        <v>15</v>
      </c>
      <c r="T29" s="74">
        <v>16</v>
      </c>
      <c r="U29" s="74">
        <v>15</v>
      </c>
      <c r="V29" s="74">
        <v>15</v>
      </c>
      <c r="W29" s="74">
        <v>16</v>
      </c>
      <c r="X29" s="74">
        <v>49</v>
      </c>
      <c r="Y29" s="74">
        <v>15</v>
      </c>
      <c r="Z29" s="204"/>
      <c r="AA29" s="205"/>
      <c r="AB29" s="205"/>
      <c r="AC29" s="205"/>
      <c r="AD29" s="205"/>
      <c r="AE29" s="206"/>
      <c r="AH29" s="64" ph="1">
        <v>15</v>
      </c>
      <c r="AI29" s="64" t="s" ph="1">
        <v>393</v>
      </c>
      <c r="AZ29" s="64" t="s" ph="1">
        <v>257</v>
      </c>
      <c r="BA29" s="64" ph="1">
        <v>0</v>
      </c>
      <c r="BD29" s="64" t="s" ph="1">
        <v>394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395</v>
      </c>
      <c r="AZ30" s="64" t="s" ph="1">
        <v>257</v>
      </c>
      <c r="BA30" s="64" ph="1">
        <v>0</v>
      </c>
    </row>
    <row r="31" spans="1:57" ht="28.5" ph="1">
      <c r="A31" s="64"/>
      <c r="B31" s="220" t="s" ph="1">
        <v>35</v>
      </c>
      <c r="C31" s="221" ph="1"/>
      <c r="D31" s="224" t="s" ph="1">
        <v>9</v>
      </c>
      <c r="E31" s="213" ph="1"/>
      <c r="F31" s="214" ph="1"/>
      <c r="G31" s="224" t="s" ph="1">
        <v>18</v>
      </c>
      <c r="H31" s="213" ph="1"/>
      <c r="I31" s="214" ph="1"/>
      <c r="J31" s="212" t="s" ph="1">
        <v>1</v>
      </c>
      <c r="K31" s="213" ph="1"/>
      <c r="L31" s="214" ph="1"/>
      <c r="M31" s="212" t="s" ph="1">
        <v>7</v>
      </c>
      <c r="N31" s="213" ph="1"/>
      <c r="O31" s="214" ph="1"/>
      <c r="P31" s="212" t="s" ph="1">
        <v>42</v>
      </c>
      <c r="Q31" s="213"/>
      <c r="R31" s="214"/>
      <c r="S31" s="212" t="s" ph="1">
        <v>2</v>
      </c>
      <c r="T31" s="213"/>
      <c r="U31" s="214"/>
      <c r="V31" s="212" t="s" ph="1">
        <v>81</v>
      </c>
      <c r="W31" s="213" ph="1"/>
      <c r="X31" s="214" ph="1"/>
      <c r="Y31" s="212" t="s" ph="1">
        <v>3</v>
      </c>
      <c r="Z31" s="213" ph="1"/>
      <c r="AA31" s="214" ph="1"/>
      <c r="AB31" s="235" t="s">
        <v>43</v>
      </c>
      <c r="AC31" s="236"/>
      <c r="AD31" s="236"/>
      <c r="AE31" s="237"/>
      <c r="AH31" s="64" ph="1">
        <v>17</v>
      </c>
      <c r="AI31" s="64" t="s" ph="1">
        <v>396</v>
      </c>
      <c r="AZ31" s="64" t="s" ph="1">
        <v>257</v>
      </c>
      <c r="BA31" s="64" ph="1">
        <v>0</v>
      </c>
      <c r="BD31" s="64" t="s" ph="1">
        <v>397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64" t="s" ph="1">
        <v>5</v>
      </c>
      <c r="F32" s="165" t="s" ph="1">
        <v>44</v>
      </c>
      <c r="G32" s="97" t="s" ph="1">
        <v>4</v>
      </c>
      <c r="H32" s="164" t="s" ph="1">
        <v>5</v>
      </c>
      <c r="I32" s="165" t="s" ph="1">
        <v>44</v>
      </c>
      <c r="J32" s="97" t="s" ph="1">
        <v>4</v>
      </c>
      <c r="K32" s="164" t="s" ph="1">
        <v>5</v>
      </c>
      <c r="L32" s="165" t="s" ph="1">
        <v>44</v>
      </c>
      <c r="M32" s="97" t="s" ph="1">
        <v>4</v>
      </c>
      <c r="N32" s="164" t="s" ph="1">
        <v>5</v>
      </c>
      <c r="O32" s="165" t="s" ph="1">
        <v>44</v>
      </c>
      <c r="P32" s="97" t="s" ph="1">
        <v>4</v>
      </c>
      <c r="Q32" s="98" t="s" ph="1">
        <v>5</v>
      </c>
      <c r="R32" s="99" t="s" ph="1">
        <v>44</v>
      </c>
      <c r="S32" s="97" t="s" ph="1">
        <v>4</v>
      </c>
      <c r="T32" s="164" t="s" ph="1">
        <v>5</v>
      </c>
      <c r="U32" s="99" t="s" ph="1">
        <v>44</v>
      </c>
      <c r="V32" s="97" t="s" ph="1">
        <v>4</v>
      </c>
      <c r="W32" s="164" t="s" ph="1">
        <v>5</v>
      </c>
      <c r="X32" s="99" t="s" ph="1">
        <v>44</v>
      </c>
      <c r="Y32" s="100" t="s" ph="1">
        <v>4</v>
      </c>
      <c r="Z32" s="164" t="s" ph="1">
        <v>5</v>
      </c>
      <c r="AA32" s="165" t="s" ph="1">
        <v>44</v>
      </c>
      <c r="AB32" s="97" t="s" ph="1">
        <v>102</v>
      </c>
      <c r="AC32" s="164" t="s" ph="1">
        <v>101</v>
      </c>
      <c r="AD32" s="238" t="s" ph="1">
        <v>100</v>
      </c>
      <c r="AE32" s="239"/>
      <c r="AH32" s="64" ph="1">
        <v>18</v>
      </c>
      <c r="AI32" s="64" t="s" ph="1">
        <v>398</v>
      </c>
      <c r="AZ32" s="64" t="s" ph="1">
        <v>257</v>
      </c>
      <c r="BA32" s="64" ph="1">
        <v>0</v>
      </c>
    </row>
    <row r="33" spans="1:57" ph="1">
      <c r="A33" s="64"/>
      <c r="B33" s="225" t="s" ph="1">
        <v>212</v>
      </c>
      <c r="C33" s="226" ph="1"/>
      <c r="D33" s="229" ph="1">
        <f>AA10+AB10+Z19</f>
        <v>109922.6230284</v>
      </c>
      <c r="E33" s="229" ph="1">
        <f>M10+I10</f>
        <v>166679.96103619999</v>
      </c>
      <c r="F33" s="23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[[#This Row],[F25]]</f>
        <v>3880</v>
      </c>
      <c r="G33" s="233" ph="1">
        <v>0</v>
      </c>
      <c r="H33" s="229" ph="1">
        <f>N19</f>
        <v>21824.22787816</v>
      </c>
      <c r="I33" s="242" ph="1">
        <v>0</v>
      </c>
      <c r="J33" s="240" ph="1">
        <f>F10+O28</f>
        <v>145582.56997889999</v>
      </c>
      <c r="K33" s="229" ph="1">
        <f>O10+K10+E28+R28</f>
        <v>381288.14022712002</v>
      </c>
      <c r="L33" s="244" ph="1">
        <f>BE27</f>
        <v>7100</v>
      </c>
      <c r="M33" s="240" ph="1">
        <f>G10+H10+W28+S28</f>
        <v>827276.60731620004</v>
      </c>
      <c r="N33" s="229" ph="1">
        <f>L10+P10++G28+H28+V28</f>
        <v>335699.58827599999</v>
      </c>
      <c r="O33" s="242" ph="1">
        <f>BE17</f>
        <v>2270</v>
      </c>
      <c r="P33" s="240" ph="1">
        <f>L19</f>
        <v>45303.174582840002</v>
      </c>
      <c r="Q33" s="229" ph="1">
        <f>J10+N10</f>
        <v>148243.3206491</v>
      </c>
      <c r="R33" s="242" ph="1">
        <f>BE23</f>
        <v>890</v>
      </c>
      <c r="S33" s="240" ph="1">
        <f>E10+X28</f>
        <v>346455.35222039995</v>
      </c>
      <c r="T33" s="229" ph="1">
        <f>X19</f>
        <v>11716.194749999999</v>
      </c>
      <c r="U33" s="250" ph="1">
        <f>BE21</f>
        <v>730</v>
      </c>
      <c r="V33" s="261" ph="1">
        <f ca="1">P19+Q19+S19+M28+N28+J28</f>
        <v>244054.75511486401</v>
      </c>
      <c r="W33" s="261" ph="1">
        <f>D28+F28+V19+T28</f>
        <v>71446.249296912021</v>
      </c>
      <c r="X33" s="242" ph="1">
        <f>BE29+BE31</f>
        <v>10200</v>
      </c>
      <c r="Y33" s="263" ph="1">
        <f>+Q10+R10+S10+T10+U10+V10+W10+X10+Y10</f>
        <v>212055.53305860003</v>
      </c>
      <c r="Z33" s="248" ph="1">
        <f>D10+T19+U19+Y28+Z10</f>
        <v>461064.92801729997</v>
      </c>
      <c r="AA33" s="250" ph="1">
        <f>BE19</f>
        <v>1440</v>
      </c>
      <c r="AB33" s="252" ph="1">
        <f>I19</f>
        <v>83.95819920000001</v>
      </c>
      <c r="AC33" s="254" ph="1">
        <f>AD10</f>
        <v>42240.609840000005</v>
      </c>
      <c r="AD33" s="256" ph="1">
        <v>0</v>
      </c>
      <c r="AE33" s="257"/>
      <c r="AH33" s="64" ph="1">
        <v>19</v>
      </c>
      <c r="AI33" s="64" t="s" ph="1">
        <v>399</v>
      </c>
      <c r="AJ33" s="64" t="s" ph="1">
        <v>633</v>
      </c>
      <c r="AK33" s="64" t="s" ph="1">
        <v>630</v>
      </c>
      <c r="AL33" s="64" ph="1">
        <v>730</v>
      </c>
      <c r="AM33" s="64" t="s" ph="1">
        <v>380</v>
      </c>
      <c r="AZ33" s="64" t="s" ph="1">
        <v>257</v>
      </c>
      <c r="BA33" s="64" ph="1">
        <v>730</v>
      </c>
      <c r="BD33" s="64" t="s" ph="1">
        <v>331</v>
      </c>
      <c r="BE33" s="64" ph="1">
        <v>3880</v>
      </c>
    </row>
    <row r="34" spans="1:57" ph="1">
      <c r="A34" s="64"/>
      <c r="B34" s="227" ph="1"/>
      <c r="C34" s="228" ph="1"/>
      <c r="D34" s="230" ph="1"/>
      <c r="E34" s="230" ph="1"/>
      <c r="F34" s="232" ph="1"/>
      <c r="G34" s="234" ph="1"/>
      <c r="H34" s="230" ph="1"/>
      <c r="I34" s="243" ph="1"/>
      <c r="J34" s="241" ph="1"/>
      <c r="K34" s="230" ph="1"/>
      <c r="L34" s="245" ph="1"/>
      <c r="M34" s="241" ph="1"/>
      <c r="N34" s="230" ph="1"/>
      <c r="O34" s="243" ph="1"/>
      <c r="P34" s="241" ph="1"/>
      <c r="Q34" s="230" ph="1"/>
      <c r="R34" s="243" ph="1"/>
      <c r="S34" s="241" ph="1"/>
      <c r="T34" s="230"/>
      <c r="U34" s="251"/>
      <c r="V34" s="262" ph="1"/>
      <c r="W34" s="262" ph="1"/>
      <c r="X34" s="243" ph="1"/>
      <c r="Y34" s="264" ph="1"/>
      <c r="Z34" s="249" ph="1"/>
      <c r="AA34" s="251" ph="1"/>
      <c r="AB34" s="253"/>
      <c r="AC34" s="255"/>
      <c r="AD34" s="258"/>
      <c r="AE34" s="259"/>
      <c r="AH34" s="64" ph="1">
        <v>20</v>
      </c>
      <c r="AI34" s="64" t="s" ph="1">
        <v>400</v>
      </c>
      <c r="AJ34" s="64" t="s" ph="1">
        <v>634</v>
      </c>
      <c r="AK34" s="64" t="s" ph="1">
        <v>630</v>
      </c>
      <c r="AL34" s="64" ph="1">
        <v>720</v>
      </c>
      <c r="AM34" s="64" t="s" ph="1">
        <v>380</v>
      </c>
      <c r="AZ34" s="64" t="s" ph="1">
        <v>257</v>
      </c>
      <c r="BA34" s="64" ph="1">
        <v>720</v>
      </c>
    </row>
    <row r="35" spans="1:57" ph="1">
      <c r="A35" s="64"/>
      <c r="AC35" s="260" t="s" ph="1">
        <v>84</v>
      </c>
      <c r="AD35" s="260"/>
      <c r="AE35" s="260"/>
      <c r="AH35" s="64" ph="1">
        <v>21</v>
      </c>
      <c r="AI35" s="64" t="s" ph="1">
        <v>401</v>
      </c>
      <c r="AZ35" s="64" t="s" ph="1">
        <v>257</v>
      </c>
      <c r="BA35" s="64" ph="1">
        <v>0</v>
      </c>
      <c r="BD35" s="64" t="s" ph="1">
        <v>402</v>
      </c>
      <c r="BE35" s="64" ph="1">
        <v>2030</v>
      </c>
    </row>
    <row r="36" spans="1:57" ht="28.5" ph="1">
      <c r="A36" s="64"/>
      <c r="B36" s="103" t="s" ph="1">
        <v>213</v>
      </c>
      <c r="I36" s="246" t="s" ph="1">
        <v>214</v>
      </c>
      <c r="J36" s="246" ph="1"/>
      <c r="K36" s="101" ph="1"/>
      <c r="P36" s="101" ph="1"/>
      <c r="R36" s="246" t="s" ph="1">
        <v>215</v>
      </c>
      <c r="S36" s="246" ph="1"/>
      <c r="Y36" s="102" ph="1"/>
      <c r="Z36" s="166" t="s" ph="1">
        <v>216</v>
      </c>
      <c r="AA36" s="166" ph="1"/>
      <c r="AB36" s="247" t="s" ph="1">
        <v>655</v>
      </c>
      <c r="AC36" s="247" ph="1"/>
      <c r="AD36" s="247" ph="1"/>
      <c r="AE36" s="247" ph="1"/>
      <c r="BA36" s="64" ph="1">
        <v>2270</v>
      </c>
    </row>
    <row r="37" spans="1:57" s="166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6" t="s" ph="1">
        <v>383</v>
      </c>
      <c r="AI37" s="166" t="s" ph="1">
        <v>250</v>
      </c>
      <c r="AJ37" s="166" t="s" ph="1">
        <v>251</v>
      </c>
      <c r="AK37" s="166" t="s" ph="1">
        <v>252</v>
      </c>
      <c r="AM37" s="166" t="s" ph="1">
        <v>251</v>
      </c>
      <c r="AN37" s="166" t="s" ph="1">
        <v>252</v>
      </c>
      <c r="AO37" s="166" t="s" ph="1">
        <v>253</v>
      </c>
      <c r="AP37" s="166" t="s" ph="1">
        <v>251</v>
      </c>
      <c r="AQ37" s="166" t="s" ph="1">
        <v>252</v>
      </c>
      <c r="AR37" s="166" t="s" ph="1">
        <v>253</v>
      </c>
      <c r="AS37" s="166" t="s" ph="1">
        <v>251</v>
      </c>
      <c r="AT37" s="166" t="s" ph="1">
        <v>252</v>
      </c>
      <c r="AU37" s="166" t="s" ph="1">
        <v>253</v>
      </c>
      <c r="AV37" s="166" t="s" ph="1">
        <v>251</v>
      </c>
      <c r="AW37" s="166" t="s" ph="1">
        <v>252</v>
      </c>
      <c r="AX37" s="166" t="s" ph="1">
        <v>253</v>
      </c>
      <c r="AY37" s="166" t="s" ph="1">
        <v>252</v>
      </c>
      <c r="AZ37" s="166" t="s" ph="1">
        <v>254</v>
      </c>
      <c r="BD37" s="166" t="s" ph="1">
        <v>346</v>
      </c>
      <c r="BE37" s="166" ph="1">
        <v>0</v>
      </c>
    </row>
    <row r="38" spans="1:57" ph="1">
      <c r="AE38" s="64" ph="1"/>
      <c r="AH38" s="64" ph="1">
        <v>1</v>
      </c>
      <c r="AI38" s="64" t="s" ph="1">
        <v>403</v>
      </c>
      <c r="AY38" s="64" t="s" ph="1">
        <v>257</v>
      </c>
      <c r="AZ38" s="64" t="s" ph="1">
        <v>408</v>
      </c>
    </row>
    <row r="39" spans="1:57" ph="1">
      <c r="AH39" s="64" ph="1">
        <v>2</v>
      </c>
      <c r="AI39" s="64" t="s" ph="1">
        <v>405</v>
      </c>
      <c r="AJ39" s="64" t="s" ph="1">
        <v>377</v>
      </c>
      <c r="AK39" s="64" t="s" ph="1">
        <v>406</v>
      </c>
      <c r="AM39" s="64" t="s" ph="1">
        <v>611</v>
      </c>
      <c r="AN39" s="64" t="s" ph="1">
        <v>269</v>
      </c>
      <c r="AO39" s="64" t="s" ph="1">
        <v>404</v>
      </c>
      <c r="AY39" s="64" t="s" ph="1">
        <v>257</v>
      </c>
      <c r="AZ39" s="64" t="s" ph="1">
        <v>540</v>
      </c>
    </row>
    <row r="40" spans="1:57" ph="1">
      <c r="AH40" s="64" ph="1">
        <v>3</v>
      </c>
      <c r="AI40" s="64" t="s" ph="1">
        <v>407</v>
      </c>
      <c r="AJ40" s="64" t="s" ph="1">
        <v>611</v>
      </c>
      <c r="AK40" s="64" t="s" ph="1">
        <v>612</v>
      </c>
      <c r="AY40" s="64" t="s" ph="1">
        <v>257</v>
      </c>
      <c r="AZ40" s="64" t="s" ph="1">
        <v>612</v>
      </c>
    </row>
    <row r="41" spans="1:57" ph="1">
      <c r="AH41" s="64" ph="1">
        <v>4</v>
      </c>
      <c r="AI41" s="64" t="s" ph="1">
        <v>409</v>
      </c>
      <c r="AJ41" s="64" t="s" ph="1">
        <v>613</v>
      </c>
      <c r="AK41" s="64" t="s" ph="1">
        <v>614</v>
      </c>
      <c r="AM41" s="64" t="s" ph="1">
        <v>615</v>
      </c>
      <c r="AY41" s="64" t="s" ph="1">
        <v>257</v>
      </c>
      <c r="AZ41" s="64" t="s" ph="1">
        <v>614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410</v>
      </c>
      <c r="AY42" s="64" t="s" ph="1">
        <v>257</v>
      </c>
      <c r="AZ42" s="64" t="s" ph="1">
        <v>408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411</v>
      </c>
      <c r="AY43" s="64" t="s" ph="1">
        <v>257</v>
      </c>
      <c r="AZ43" s="64" t="s" ph="1">
        <v>408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412</v>
      </c>
      <c r="AV44" s="64" t="s" ph="1">
        <v>258</v>
      </c>
      <c r="AY44" s="64" t="s" ph="1">
        <v>257</v>
      </c>
      <c r="AZ44" s="64" t="s" ph="1">
        <v>408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413</v>
      </c>
      <c r="AV45" s="64" t="s" ph="1">
        <v>258</v>
      </c>
      <c r="AY45" s="64" t="s" ph="1">
        <v>257</v>
      </c>
      <c r="AZ45" s="64" t="s" ph="1">
        <v>408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414</v>
      </c>
      <c r="AV46" s="64" t="s" ph="1">
        <v>258</v>
      </c>
      <c r="AY46" s="64" t="s" ph="1">
        <v>257</v>
      </c>
      <c r="AZ46" s="64" t="s" ph="1">
        <v>408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415</v>
      </c>
      <c r="AV47" s="64" t="s" ph="1">
        <v>258</v>
      </c>
      <c r="AY47" s="64" t="s" ph="1">
        <v>257</v>
      </c>
      <c r="AZ47" s="64" t="s" ph="1">
        <v>408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616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273</v>
      </c>
      <c r="AI49" s="64" t="s" ph="1">
        <v>250</v>
      </c>
      <c r="AJ49" s="64" t="s" ph="1">
        <v>251</v>
      </c>
      <c r="AK49" s="64" t="s" ph="1">
        <v>252</v>
      </c>
      <c r="AM49" s="64" t="s" ph="1">
        <v>251</v>
      </c>
      <c r="AN49" s="64" t="s" ph="1">
        <v>252</v>
      </c>
      <c r="AO49" s="64" t="s" ph="1">
        <v>253</v>
      </c>
      <c r="AP49" s="64" t="s" ph="1">
        <v>251</v>
      </c>
      <c r="AQ49" s="64" t="s" ph="1">
        <v>252</v>
      </c>
      <c r="AR49" s="64" t="s" ph="1">
        <v>253</v>
      </c>
      <c r="AS49" s="64" t="s" ph="1">
        <v>251</v>
      </c>
      <c r="AT49" s="64" t="s" ph="1">
        <v>252</v>
      </c>
      <c r="AU49" s="64" t="s" ph="1">
        <v>253</v>
      </c>
      <c r="AV49" s="64" t="s" ph="1">
        <v>251</v>
      </c>
      <c r="AW49" s="64" t="s" ph="1">
        <v>252</v>
      </c>
      <c r="AX49" s="64" t="s" ph="1">
        <v>253</v>
      </c>
      <c r="AY49" s="64" t="s" ph="1">
        <v>252</v>
      </c>
      <c r="AZ49" s="64" t="s" ph="1">
        <v>254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416</v>
      </c>
      <c r="AY50" s="64" t="s" ph="1">
        <v>257</v>
      </c>
      <c r="AZ50" s="64" t="s" ph="1">
        <v>408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417</v>
      </c>
      <c r="AY51" s="64" t="s" ph="1">
        <v>257</v>
      </c>
      <c r="AZ51" s="64" t="s" ph="1">
        <v>408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418</v>
      </c>
      <c r="AJ52" s="64" t="s" ph="1">
        <v>375</v>
      </c>
      <c r="AK52" s="64" t="s" ph="1">
        <v>269</v>
      </c>
      <c r="AM52" s="64" t="s" ph="1">
        <v>377</v>
      </c>
      <c r="AN52" s="64" t="s" ph="1">
        <v>341</v>
      </c>
      <c r="AO52" s="64" t="s" ph="1">
        <v>274</v>
      </c>
      <c r="AP52" s="64" t="s" ph="1">
        <v>611</v>
      </c>
      <c r="AQ52" s="64" t="s" ph="1">
        <v>323</v>
      </c>
      <c r="AR52" s="64" t="s" ph="1">
        <v>274</v>
      </c>
      <c r="AY52" s="64" t="s" ph="1">
        <v>257</v>
      </c>
      <c r="AZ52" s="64" t="s" ph="1">
        <v>617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419</v>
      </c>
      <c r="AY53" s="64" t="s" ph="1">
        <v>257</v>
      </c>
      <c r="AZ53" s="64" t="s" ph="1">
        <v>408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420</v>
      </c>
      <c r="AJ54" s="64" t="s" ph="1">
        <v>375</v>
      </c>
      <c r="AK54" s="64" t="s" ph="1">
        <v>260</v>
      </c>
      <c r="AM54" s="64" t="s" ph="1">
        <v>377</v>
      </c>
      <c r="AN54" s="64" t="s" ph="1">
        <v>265</v>
      </c>
      <c r="AO54" s="64" t="s" ph="1">
        <v>274</v>
      </c>
      <c r="AP54" s="64" t="s" ph="1">
        <v>611</v>
      </c>
      <c r="AQ54" s="64" t="s" ph="1">
        <v>281</v>
      </c>
      <c r="AR54" s="64" t="s" ph="1">
        <v>274</v>
      </c>
      <c r="AY54" s="64" t="s" ph="1">
        <v>257</v>
      </c>
      <c r="AZ54" s="64" t="s" ph="1">
        <v>275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421</v>
      </c>
      <c r="AY55" s="64" t="s" ph="1">
        <v>257</v>
      </c>
      <c r="AZ55" s="64" t="s" ph="1">
        <v>408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422</v>
      </c>
      <c r="AY56" s="64" t="s" ph="1">
        <v>257</v>
      </c>
      <c r="AZ56" s="64" t="s" ph="1">
        <v>408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423</v>
      </c>
      <c r="AY57" s="64" t="s" ph="1">
        <v>257</v>
      </c>
      <c r="AZ57" s="64" t="s" ph="1">
        <v>408</v>
      </c>
    </row>
    <row r="58" spans="16:52" ph="1">
      <c r="P58" s="64"/>
      <c r="AN58" s="64" t="s" ph="1">
        <v>258</v>
      </c>
      <c r="AZ58" s="64" t="s" ph="1">
        <v>618</v>
      </c>
    </row>
    <row r="59" spans="16:52" ph="1">
      <c r="V59" s="64"/>
      <c r="AG59" s="64" t="s" ph="1">
        <v>276</v>
      </c>
      <c r="AI59" s="64" t="s" ph="1">
        <v>250</v>
      </c>
      <c r="AJ59" s="64" t="s" ph="1">
        <v>251</v>
      </c>
      <c r="AK59" s="64" t="s" ph="1">
        <v>252</v>
      </c>
      <c r="AM59" s="64" t="s" ph="1">
        <v>251</v>
      </c>
      <c r="AN59" s="64" t="s" ph="1">
        <v>252</v>
      </c>
      <c r="AO59" s="64" t="s" ph="1">
        <v>253</v>
      </c>
      <c r="AP59" s="64" t="s" ph="1">
        <v>251</v>
      </c>
      <c r="AQ59" s="64" t="s" ph="1">
        <v>252</v>
      </c>
      <c r="AR59" s="64" t="s" ph="1">
        <v>253</v>
      </c>
      <c r="AS59" s="64" t="s" ph="1">
        <v>251</v>
      </c>
      <c r="AT59" s="64" t="s" ph="1">
        <v>252</v>
      </c>
      <c r="AU59" s="64" t="s" ph="1">
        <v>253</v>
      </c>
      <c r="AV59" s="64" t="s" ph="1">
        <v>251</v>
      </c>
      <c r="AW59" s="64" t="s" ph="1">
        <v>252</v>
      </c>
      <c r="AX59" s="64" t="s" ph="1">
        <v>253</v>
      </c>
      <c r="AY59" s="64" t="s" ph="1">
        <v>252</v>
      </c>
      <c r="AZ59" s="64" t="s" ph="1">
        <v>254</v>
      </c>
    </row>
    <row r="60" spans="16:52" ph="1">
      <c r="R60" s="64"/>
      <c r="S60" s="64"/>
      <c r="T60" s="64"/>
      <c r="AH60" s="64" ph="1">
        <v>1</v>
      </c>
      <c r="AI60" s="64" t="s" ph="1">
        <v>424</v>
      </c>
      <c r="AY60" s="64" t="s" ph="1">
        <v>257</v>
      </c>
      <c r="AZ60" s="64" t="s" ph="1">
        <v>408</v>
      </c>
    </row>
    <row r="61" spans="16:52" ph="1">
      <c r="AH61" s="64" ph="1">
        <v>2</v>
      </c>
      <c r="AI61" s="64" t="s" ph="1">
        <v>425</v>
      </c>
      <c r="AS61" s="64" t="s" ph="1">
        <v>258</v>
      </c>
      <c r="AY61" s="64" t="s" ph="1">
        <v>257</v>
      </c>
      <c r="AZ61" s="64" t="s" ph="1">
        <v>408</v>
      </c>
    </row>
    <row r="62" spans="16:52" ph="1">
      <c r="AZ62" s="64" t="s" ph="1">
        <v>426</v>
      </c>
    </row>
    <row r="63" spans="16:52" ph="1">
      <c r="AG63" s="64" t="s" ph="1">
        <v>279</v>
      </c>
      <c r="AI63" s="64" t="s" ph="1">
        <v>250</v>
      </c>
      <c r="AJ63" s="64" t="s" ph="1">
        <v>251</v>
      </c>
      <c r="AK63" s="64" t="s" ph="1">
        <v>252</v>
      </c>
      <c r="AM63" s="64" t="s" ph="1">
        <v>251</v>
      </c>
      <c r="AN63" s="64" t="s" ph="1">
        <v>252</v>
      </c>
      <c r="AO63" s="64" t="s" ph="1">
        <v>253</v>
      </c>
      <c r="AP63" s="64" t="s" ph="1">
        <v>251</v>
      </c>
      <c r="AQ63" s="64" t="s" ph="1">
        <v>252</v>
      </c>
      <c r="AR63" s="64" t="s" ph="1">
        <v>253</v>
      </c>
      <c r="AS63" s="64" t="s" ph="1">
        <v>251</v>
      </c>
      <c r="AT63" s="64" t="s" ph="1">
        <v>252</v>
      </c>
      <c r="AU63" s="64" t="s" ph="1">
        <v>253</v>
      </c>
      <c r="AV63" s="64" t="s" ph="1">
        <v>251</v>
      </c>
      <c r="AW63" s="64" t="s" ph="1">
        <v>252</v>
      </c>
      <c r="AX63" s="64" t="s" ph="1">
        <v>253</v>
      </c>
      <c r="AY63" s="64" t="s" ph="1">
        <v>252</v>
      </c>
      <c r="AZ63" s="64" t="s" ph="1">
        <v>254</v>
      </c>
    </row>
    <row r="64" spans="16:52" ph="1">
      <c r="AH64" s="64" ph="1">
        <v>1</v>
      </c>
      <c r="AI64" s="64" t="s" ph="1">
        <v>427</v>
      </c>
      <c r="AJ64" s="64" t="s" ph="1">
        <v>428</v>
      </c>
      <c r="AK64" s="64" t="s" ph="1">
        <v>429</v>
      </c>
      <c r="AY64" s="64" t="s" ph="1">
        <v>257</v>
      </c>
      <c r="AZ64" s="64" t="s" ph="1">
        <v>429</v>
      </c>
    </row>
    <row r="65" spans="33:52" ph="1">
      <c r="AH65" s="64" ph="1">
        <v>2</v>
      </c>
      <c r="AI65" s="64" t="s" ph="1">
        <v>430</v>
      </c>
      <c r="AY65" s="64" t="s" ph="1">
        <v>257</v>
      </c>
      <c r="AZ65" s="64" t="s" ph="1">
        <v>408</v>
      </c>
    </row>
    <row r="66" spans="33:52" ph="1">
      <c r="AH66" s="64" ph="1">
        <v>3</v>
      </c>
      <c r="AI66" s="64" t="s" ph="1">
        <v>431</v>
      </c>
      <c r="AY66" s="64" t="s" ph="1">
        <v>257</v>
      </c>
      <c r="AZ66" s="64" t="s" ph="1">
        <v>408</v>
      </c>
    </row>
    <row r="67" spans="33:52" ph="1">
      <c r="AH67" s="64" ph="1">
        <v>4</v>
      </c>
      <c r="AI67" s="64" t="s" ph="1">
        <v>432</v>
      </c>
      <c r="AY67" s="64" t="s" ph="1">
        <v>257</v>
      </c>
      <c r="AZ67" s="64" t="s" ph="1">
        <v>408</v>
      </c>
    </row>
    <row r="68" spans="33:52" ph="1">
      <c r="AH68" s="64" ph="1">
        <v>5</v>
      </c>
      <c r="AI68" s="64" t="s" ph="1">
        <v>433</v>
      </c>
      <c r="AY68" s="64" t="s" ph="1">
        <v>257</v>
      </c>
      <c r="AZ68" s="64" t="s" ph="1">
        <v>408</v>
      </c>
    </row>
    <row r="69" spans="33:52" ph="1">
      <c r="AH69" s="64" ph="1">
        <v>6</v>
      </c>
      <c r="AI69" s="64" t="s" ph="1">
        <v>434</v>
      </c>
      <c r="AY69" s="64" t="s" ph="1">
        <v>257</v>
      </c>
      <c r="AZ69" s="64" t="s" ph="1">
        <v>408</v>
      </c>
    </row>
    <row r="70" spans="33:52" ph="1">
      <c r="AI70" s="64" t="s" ph="1">
        <v>435</v>
      </c>
      <c r="AY70" s="64" t="s" ph="1">
        <v>257</v>
      </c>
      <c r="AZ70" s="64" t="s" ph="1">
        <v>408</v>
      </c>
    </row>
    <row r="71" spans="33:52" ph="1">
      <c r="AH71" s="64" ph="1">
        <v>7</v>
      </c>
      <c r="AI71" s="64" t="s" ph="1">
        <v>436</v>
      </c>
      <c r="AJ71" s="64" t="s" ph="1">
        <v>375</v>
      </c>
      <c r="AK71" s="64" t="s" ph="1">
        <v>269</v>
      </c>
      <c r="AM71" s="64" t="s" ph="1">
        <v>377</v>
      </c>
      <c r="AN71" s="64" t="s" ph="1">
        <v>269</v>
      </c>
      <c r="AO71" s="64" t="s" ph="1">
        <v>437</v>
      </c>
      <c r="AP71" s="64" t="s" ph="1">
        <v>611</v>
      </c>
      <c r="AQ71" s="64" t="s" ph="1">
        <v>260</v>
      </c>
      <c r="AR71" s="64" t="s" ph="1">
        <v>437</v>
      </c>
      <c r="AY71" s="64" t="s" ph="1">
        <v>257</v>
      </c>
      <c r="AZ71" s="64" t="s" ph="1">
        <v>619</v>
      </c>
    </row>
    <row r="72" spans="33:52" ph="1">
      <c r="AZ72" s="64" t="s" ph="1">
        <v>620</v>
      </c>
    </row>
    <row r="73" spans="33:52" ph="1">
      <c r="AG73" s="64" t="s" ph="1">
        <v>282</v>
      </c>
      <c r="AI73" s="64" t="s" ph="1">
        <v>250</v>
      </c>
      <c r="AJ73" s="64" t="s" ph="1">
        <v>251</v>
      </c>
      <c r="AK73" s="64" t="s" ph="1">
        <v>252</v>
      </c>
      <c r="AM73" s="64" t="s" ph="1">
        <v>251</v>
      </c>
      <c r="AN73" s="64" t="s" ph="1">
        <v>252</v>
      </c>
      <c r="AO73" s="64" t="s" ph="1">
        <v>253</v>
      </c>
      <c r="AP73" s="64" t="s" ph="1">
        <v>251</v>
      </c>
      <c r="AQ73" s="64" t="s" ph="1">
        <v>252</v>
      </c>
      <c r="AR73" s="64" t="s" ph="1">
        <v>253</v>
      </c>
      <c r="AS73" s="64" t="s" ph="1">
        <v>251</v>
      </c>
      <c r="AT73" s="64" t="s" ph="1">
        <v>252</v>
      </c>
      <c r="AU73" s="64" t="s" ph="1">
        <v>253</v>
      </c>
      <c r="AV73" s="64" t="s" ph="1">
        <v>251</v>
      </c>
      <c r="AW73" s="64" t="s" ph="1">
        <v>252</v>
      </c>
      <c r="AX73" s="64" t="s" ph="1">
        <v>253</v>
      </c>
      <c r="AY73" s="64" t="s" ph="1">
        <v>252</v>
      </c>
      <c r="AZ73" s="64" t="s" ph="1">
        <v>254</v>
      </c>
    </row>
    <row r="74" spans="33:52" ph="1">
      <c r="AH74" s="64" ph="1">
        <v>1</v>
      </c>
      <c r="AI74" s="64" t="s" ph="1">
        <v>438</v>
      </c>
      <c r="AJ74" s="64" t="s" ph="1">
        <v>283</v>
      </c>
      <c r="AK74" s="64" t="s" ph="1">
        <v>265</v>
      </c>
      <c r="AM74" s="64" t="s" ph="1">
        <v>285</v>
      </c>
      <c r="AN74" s="64" t="s" ph="1">
        <v>295</v>
      </c>
      <c r="AO74" s="64" t="s" ph="1">
        <v>284</v>
      </c>
      <c r="AP74" s="64" t="s" ph="1">
        <v>286</v>
      </c>
      <c r="AQ74" s="64" t="s" ph="1">
        <v>263</v>
      </c>
      <c r="AR74" s="64" t="s" ph="1">
        <v>284</v>
      </c>
      <c r="AS74" s="64" t="s" ph="1">
        <v>256</v>
      </c>
      <c r="AT74" s="64" t="s" ph="1">
        <v>258</v>
      </c>
      <c r="AV74" s="64" t="s" ph="1">
        <v>439</v>
      </c>
      <c r="AW74" s="64" t="s" ph="1">
        <v>440</v>
      </c>
      <c r="AX74" s="64" t="s" ph="1">
        <v>441</v>
      </c>
      <c r="AY74" s="64" t="s" ph="1">
        <v>257</v>
      </c>
      <c r="AZ74" s="64" t="s" ph="1">
        <v>442</v>
      </c>
    </row>
    <row r="75" spans="33:52" ph="1">
      <c r="AJ75" s="64" t="s" ph="1">
        <v>288</v>
      </c>
      <c r="AK75" s="64" t="s" ph="1">
        <v>341</v>
      </c>
      <c r="AM75" s="64" t="s" ph="1">
        <v>286</v>
      </c>
      <c r="AN75" s="64" t="s" ph="1">
        <v>266</v>
      </c>
      <c r="AO75" s="64" t="s" ph="1">
        <v>284</v>
      </c>
      <c r="AS75" s="64" t="s" ph="1">
        <v>256</v>
      </c>
      <c r="AT75" s="64" t="s" ph="1">
        <v>287</v>
      </c>
    </row>
    <row r="76" spans="33:52" ph="1">
      <c r="AJ76" s="64" t="s" ph="1">
        <v>288</v>
      </c>
      <c r="AK76" s="64" t="s" ph="1">
        <v>281</v>
      </c>
      <c r="AM76" s="64" t="s" ph="1">
        <v>286</v>
      </c>
      <c r="AN76" s="64" t="s" ph="1">
        <v>269</v>
      </c>
      <c r="AO76" s="64" t="s" ph="1">
        <v>284</v>
      </c>
      <c r="AS76" s="64" t="s" ph="1">
        <v>256</v>
      </c>
      <c r="AT76" s="64" t="s" ph="1">
        <v>287</v>
      </c>
    </row>
    <row r="77" spans="33:52" ph="1">
      <c r="AJ77" s="64" t="s" ph="1">
        <v>324</v>
      </c>
      <c r="AK77" s="64" t="s" ph="1">
        <v>281</v>
      </c>
      <c r="AM77" s="64" t="s" ph="1">
        <v>325</v>
      </c>
      <c r="AN77" s="64" t="s" ph="1">
        <v>264</v>
      </c>
      <c r="AO77" s="64" t="s" ph="1">
        <v>284</v>
      </c>
      <c r="AS77" s="64" t="s" ph="1">
        <v>256</v>
      </c>
      <c r="AT77" s="64" t="s" ph="1">
        <v>326</v>
      </c>
    </row>
    <row r="78" spans="33:52" ph="1">
      <c r="AH78" s="64" ph="1">
        <v>2</v>
      </c>
      <c r="AI78" s="64" t="s" ph="1">
        <v>290</v>
      </c>
      <c r="AJ78" s="64" t="s" ph="1">
        <v>291</v>
      </c>
      <c r="AK78" s="64" t="s" ph="1">
        <v>260</v>
      </c>
      <c r="AM78" s="64" t="s" ph="1">
        <v>292</v>
      </c>
      <c r="AN78" s="64" t="s" ph="1">
        <v>295</v>
      </c>
      <c r="AO78" s="64" t="s" ph="1">
        <v>284</v>
      </c>
      <c r="AP78" s="64" t="s" ph="1">
        <v>293</v>
      </c>
      <c r="AQ78" s="64" t="s" ph="1">
        <v>339</v>
      </c>
      <c r="AR78" s="64" t="s" ph="1">
        <v>284</v>
      </c>
      <c r="AS78" s="64" t="s" ph="1">
        <v>294</v>
      </c>
      <c r="AT78" s="64" t="s" ph="1">
        <v>295</v>
      </c>
      <c r="AU78" s="64" t="s" ph="1">
        <v>284</v>
      </c>
      <c r="AV78" s="64" t="s" ph="1">
        <v>296</v>
      </c>
      <c r="AW78" s="64" t="s" ph="1">
        <v>284</v>
      </c>
      <c r="AY78" s="64" t="s" ph="1">
        <v>257</v>
      </c>
      <c r="AZ78" s="64" t="s" ph="1">
        <v>443</v>
      </c>
    </row>
    <row r="79" spans="33:52" ph="1">
      <c r="AJ79" s="64" t="s" ph="1">
        <v>286</v>
      </c>
      <c r="AK79" s="64" t="s" ph="1">
        <v>297</v>
      </c>
      <c r="AM79" s="64" t="s" ph="1">
        <v>298</v>
      </c>
      <c r="AN79" s="64" t="s" ph="1">
        <v>266</v>
      </c>
      <c r="AO79" s="64" t="s" ph="1">
        <v>284</v>
      </c>
      <c r="AP79" s="64" t="s" ph="1">
        <v>299</v>
      </c>
      <c r="AQ79" s="64" t="s" ph="1">
        <v>264</v>
      </c>
      <c r="AR79" s="64" t="s" ph="1">
        <v>300</v>
      </c>
      <c r="AS79" s="64" t="s" ph="1">
        <v>256</v>
      </c>
      <c r="AT79" s="64" t="s" ph="1">
        <v>301</v>
      </c>
      <c r="AV79" s="64" t="s" ph="1">
        <v>444</v>
      </c>
      <c r="AW79" s="64" t="s" ph="1">
        <v>343</v>
      </c>
      <c r="AX79" s="64" t="s" ph="1">
        <v>441</v>
      </c>
    </row>
    <row r="80" spans="33:52" ph="1">
      <c r="AH80" s="64" ph="1">
        <v>3</v>
      </c>
      <c r="AI80" s="64" t="s" ph="1">
        <v>302</v>
      </c>
      <c r="AJ80" s="64" t="s" ph="1">
        <v>303</v>
      </c>
      <c r="AK80" s="64" t="s" ph="1">
        <v>304</v>
      </c>
      <c r="AM80" s="64" t="s" ph="1">
        <v>305</v>
      </c>
      <c r="AN80" s="64" t="s" ph="1">
        <v>295</v>
      </c>
      <c r="AO80" s="64" t="s" ph="1">
        <v>284</v>
      </c>
      <c r="AP80" s="64" t="s" ph="1">
        <v>306</v>
      </c>
      <c r="AQ80" s="64" t="s" ph="1">
        <v>269</v>
      </c>
      <c r="AR80" s="64" t="s" ph="1">
        <v>284</v>
      </c>
      <c r="AS80" s="64" t="s" ph="1">
        <v>307</v>
      </c>
      <c r="AT80" s="64" t="s" ph="1">
        <v>268</v>
      </c>
      <c r="AU80" s="64" t="s" ph="1">
        <v>284</v>
      </c>
      <c r="AV80" s="64" t="s" ph="1">
        <v>308</v>
      </c>
      <c r="AW80" s="64" t="s" ph="1">
        <v>284</v>
      </c>
      <c r="AY80" s="64" t="s" ph="1">
        <v>257</v>
      </c>
      <c r="AZ80" s="64" t="s" ph="1">
        <v>445</v>
      </c>
    </row>
    <row r="81" spans="34:52" ph="1">
      <c r="AJ81" s="64" t="s" ph="1">
        <v>309</v>
      </c>
      <c r="AK81" s="64" t="s" ph="1">
        <v>263</v>
      </c>
      <c r="AM81" s="64" t="s" ph="1">
        <v>310</v>
      </c>
      <c r="AN81" s="64" t="s" ph="1">
        <v>266</v>
      </c>
      <c r="AO81" s="64" t="s" ph="1">
        <v>284</v>
      </c>
      <c r="AP81" s="64" t="s" ph="1">
        <v>311</v>
      </c>
      <c r="AQ81" s="64" t="s" ph="1">
        <v>295</v>
      </c>
      <c r="AR81" s="64" t="s" ph="1">
        <v>284</v>
      </c>
      <c r="AS81" s="64" t="s" ph="1">
        <v>312</v>
      </c>
      <c r="AT81" s="64" t="s" ph="1">
        <v>313</v>
      </c>
      <c r="AU81" s="64" t="s" ph="1">
        <v>284</v>
      </c>
      <c r="AV81" s="64" t="s" ph="1">
        <v>314</v>
      </c>
    </row>
    <row r="82" spans="34:52" ph="1">
      <c r="AJ82" s="64" t="s" ph="1">
        <v>315</v>
      </c>
      <c r="AK82" s="64" t="s" ph="1">
        <v>263</v>
      </c>
      <c r="AM82" s="64" t="s" ph="1">
        <v>316</v>
      </c>
      <c r="AN82" s="64" t="s" ph="1">
        <v>313</v>
      </c>
      <c r="AO82" s="64" t="s" ph="1">
        <v>317</v>
      </c>
      <c r="AP82" s="64" t="s" ph="1">
        <v>318</v>
      </c>
      <c r="AQ82" s="64" t="s" ph="1">
        <v>295</v>
      </c>
      <c r="AR82" s="64" t="s" ph="1">
        <v>284</v>
      </c>
      <c r="AS82" s="64" t="s" ph="1">
        <v>319</v>
      </c>
      <c r="AT82" s="64" t="s" ph="1">
        <v>270</v>
      </c>
      <c r="AU82" s="64" t="s" ph="1">
        <v>284</v>
      </c>
      <c r="AV82" s="64" t="s" ph="1">
        <v>444</v>
      </c>
      <c r="AW82" s="64" t="s" ph="1">
        <v>344</v>
      </c>
      <c r="AX82" s="64" t="s" ph="1">
        <v>441</v>
      </c>
    </row>
    <row r="83" spans="34:52" ph="1">
      <c r="AJ83" s="64" t="s" ph="1">
        <v>320</v>
      </c>
      <c r="AK83" s="64" t="s" ph="1">
        <v>337</v>
      </c>
      <c r="AM83" s="64" t="s" ph="1">
        <v>321</v>
      </c>
      <c r="AN83" s="64" t="s" ph="1">
        <v>269</v>
      </c>
      <c r="AO83" s="64" t="s" ph="1">
        <v>300</v>
      </c>
      <c r="AP83" s="64" t="s" ph="1">
        <v>322</v>
      </c>
      <c r="AQ83" s="64" t="s" ph="1">
        <v>323</v>
      </c>
      <c r="AR83" s="64" t="s" ph="1">
        <v>300</v>
      </c>
      <c r="AS83" s="64" t="s" ph="1">
        <v>446</v>
      </c>
      <c r="AT83" s="64" t="s" ph="1">
        <v>295</v>
      </c>
      <c r="AU83" s="64" t="s" ph="1">
        <v>300</v>
      </c>
      <c r="AV83" s="64" t="s" ph="1">
        <v>447</v>
      </c>
      <c r="AW83" s="64" t="s" ph="1">
        <v>344</v>
      </c>
      <c r="AX83" s="64" t="s" ph="1">
        <v>448</v>
      </c>
    </row>
    <row r="84" spans="34:52" ph="1">
      <c r="AH84" s="64" ph="1">
        <v>4</v>
      </c>
      <c r="AI84" s="64" t="s" ph="1">
        <v>327</v>
      </c>
      <c r="AJ84" s="64" t="s" ph="1">
        <v>267</v>
      </c>
      <c r="AK84" s="64" t="s" ph="1">
        <v>270</v>
      </c>
      <c r="AM84" s="64" t="s" ph="1">
        <v>271</v>
      </c>
      <c r="AN84" s="64" t="s" ph="1">
        <v>264</v>
      </c>
      <c r="AO84" s="64" t="s" ph="1">
        <v>300</v>
      </c>
      <c r="AP84" s="64" t="s" ph="1">
        <v>329</v>
      </c>
      <c r="AQ84" s="64" t="s" ph="1">
        <v>263</v>
      </c>
      <c r="AR84" s="64" t="s" ph="1">
        <v>300</v>
      </c>
      <c r="AS84" s="64" t="s" ph="1">
        <v>329</v>
      </c>
      <c r="AT84" s="64" t="s" ph="1">
        <v>265</v>
      </c>
      <c r="AU84" s="64" t="s" ph="1">
        <v>300</v>
      </c>
      <c r="AY84" s="64" t="s" ph="1">
        <v>257</v>
      </c>
      <c r="AZ84" s="64" t="s" ph="1">
        <v>449</v>
      </c>
    </row>
    <row r="85" spans="34:52" ph="1">
      <c r="AJ85" s="64" t="s" ph="1">
        <v>259</v>
      </c>
      <c r="AK85" s="64" t="s" ph="1">
        <v>263</v>
      </c>
      <c r="AM85" s="64" t="s" ph="1">
        <v>450</v>
      </c>
      <c r="AN85" s="64" t="s" ph="1">
        <v>270</v>
      </c>
      <c r="AO85" s="64" t="s" ph="1">
        <v>300</v>
      </c>
      <c r="AP85" s="64" t="s" ph="1">
        <v>451</v>
      </c>
      <c r="AQ85" s="64" t="s" ph="1">
        <v>266</v>
      </c>
      <c r="AR85" s="64" t="s" ph="1">
        <v>300</v>
      </c>
      <c r="AS85" s="64" t="s" ph="1">
        <v>452</v>
      </c>
      <c r="AT85" s="64" t="s" ph="1">
        <v>266</v>
      </c>
      <c r="AU85" s="64" t="s" ph="1">
        <v>300</v>
      </c>
    </row>
    <row r="86" spans="34:52" ph="1">
      <c r="AJ86" s="64" t="s" ph="1">
        <v>453</v>
      </c>
      <c r="AK86" s="64" t="s" ph="1">
        <v>272</v>
      </c>
      <c r="AM86" s="64" t="s" ph="1">
        <v>454</v>
      </c>
      <c r="AN86" s="64" t="s" ph="1">
        <v>313</v>
      </c>
      <c r="AO86" s="64" t="s" ph="1">
        <v>300</v>
      </c>
      <c r="AP86" s="64" t="s" ph="1">
        <v>455</v>
      </c>
      <c r="AQ86" s="64" t="s" ph="1">
        <v>260</v>
      </c>
      <c r="AR86" s="64" t="s" ph="1">
        <v>300</v>
      </c>
      <c r="AS86" s="64" t="s" ph="1">
        <v>456</v>
      </c>
      <c r="AT86" s="64" t="s" ph="1">
        <v>278</v>
      </c>
      <c r="AU86" s="64" t="s" ph="1">
        <v>300</v>
      </c>
    </row>
    <row r="87" spans="34:52" ph="1">
      <c r="AJ87" s="64" t="s" ph="1">
        <v>457</v>
      </c>
      <c r="AK87" s="64" t="s" ph="1">
        <v>313</v>
      </c>
      <c r="AM87" s="64" t="s" ph="1">
        <v>444</v>
      </c>
      <c r="AN87" s="64" t="s" ph="1">
        <v>458</v>
      </c>
      <c r="AO87" s="64" t="s" ph="1">
        <v>441</v>
      </c>
    </row>
    <row r="88" spans="34:52" ph="1">
      <c r="AH88" s="64" ph="1">
        <v>5</v>
      </c>
      <c r="AI88" s="64" t="s" ph="1">
        <v>330</v>
      </c>
      <c r="AJ88" s="64" t="s" ph="1">
        <v>459</v>
      </c>
      <c r="AK88" s="64" t="s" ph="1">
        <v>313</v>
      </c>
      <c r="AM88" s="64" t="s" ph="1">
        <v>460</v>
      </c>
      <c r="AN88" s="64" t="s" ph="1">
        <v>313</v>
      </c>
      <c r="AO88" s="64" t="s" ph="1">
        <v>300</v>
      </c>
      <c r="AP88" s="64" t="s" ph="1">
        <v>461</v>
      </c>
      <c r="AQ88" s="64" t="s" ph="1">
        <v>263</v>
      </c>
      <c r="AR88" s="64" t="s" ph="1">
        <v>300</v>
      </c>
      <c r="AS88" s="64" t="s" ph="1">
        <v>462</v>
      </c>
      <c r="AT88" s="64" t="s" ph="1">
        <v>313</v>
      </c>
      <c r="AU88" s="64" t="s" ph="1">
        <v>300</v>
      </c>
      <c r="AV88" s="64" t="s" ph="1">
        <v>463</v>
      </c>
      <c r="AW88" s="64" t="s" ph="1">
        <v>268</v>
      </c>
      <c r="AX88" s="64" t="s" ph="1">
        <v>300</v>
      </c>
      <c r="AY88" s="64" t="s" ph="1">
        <v>257</v>
      </c>
      <c r="AZ88" s="64" t="s" ph="1">
        <v>464</v>
      </c>
    </row>
    <row r="89" spans="34:52" ph="1">
      <c r="AJ89" s="64" t="s" ph="1">
        <v>465</v>
      </c>
      <c r="AK89" s="64" t="s" ph="1">
        <v>266</v>
      </c>
      <c r="AM89" s="64" t="s" ph="1">
        <v>466</v>
      </c>
      <c r="AN89" s="64" t="s" ph="1">
        <v>269</v>
      </c>
      <c r="AO89" s="64" t="s" ph="1">
        <v>300</v>
      </c>
      <c r="AP89" s="64" t="s" ph="1">
        <v>467</v>
      </c>
      <c r="AQ89" s="64" t="s" ph="1">
        <v>278</v>
      </c>
      <c r="AR89" s="64" t="s" ph="1">
        <v>300</v>
      </c>
      <c r="AS89" s="64" t="s" ph="1">
        <v>468</v>
      </c>
      <c r="AT89" s="64" t="s" ph="1">
        <v>313</v>
      </c>
      <c r="AU89" s="64" t="s" ph="1">
        <v>300</v>
      </c>
      <c r="AV89" s="64" t="s" ph="1">
        <v>469</v>
      </c>
      <c r="AW89" s="64" t="s" ph="1">
        <v>295</v>
      </c>
      <c r="AX89" s="64" t="s" ph="1">
        <v>328</v>
      </c>
    </row>
    <row r="90" spans="34:52" ph="1">
      <c r="AJ90" s="64" t="s" ph="1">
        <v>470</v>
      </c>
      <c r="AK90" s="64" t="s" ph="1">
        <v>269</v>
      </c>
      <c r="AM90" s="64" t="s" ph="1">
        <v>471</v>
      </c>
      <c r="AN90" s="64" t="s" ph="1">
        <v>266</v>
      </c>
      <c r="AO90" s="64" t="s" ph="1">
        <v>300</v>
      </c>
      <c r="AP90" s="64" t="s" ph="1">
        <v>472</v>
      </c>
      <c r="AQ90" s="64" t="s" ph="1">
        <v>335</v>
      </c>
      <c r="AR90" s="64" t="s" ph="1">
        <v>300</v>
      </c>
      <c r="AS90" s="64" t="s" ph="1">
        <v>473</v>
      </c>
      <c r="AT90" s="64" t="s" ph="1">
        <v>323</v>
      </c>
      <c r="AU90" s="64" t="s" ph="1">
        <v>300</v>
      </c>
      <c r="AV90" s="64" t="s" ph="1">
        <v>474</v>
      </c>
      <c r="AW90" s="64" t="s" ph="1">
        <v>260</v>
      </c>
      <c r="AX90" s="64" t="s" ph="1">
        <v>300</v>
      </c>
    </row>
    <row r="91" spans="34:52" ph="1">
      <c r="AJ91" s="64" t="s" ph="1">
        <v>475</v>
      </c>
      <c r="AK91" s="64" t="s" ph="1">
        <v>313</v>
      </c>
      <c r="AM91" s="64" t="s" ph="1">
        <v>476</v>
      </c>
      <c r="AN91" s="64" t="s" ph="1">
        <v>280</v>
      </c>
      <c r="AO91" s="64" t="s" ph="1">
        <v>300</v>
      </c>
      <c r="AP91" s="64" t="s" ph="1">
        <v>477</v>
      </c>
      <c r="AQ91" s="64" t="s" ph="1">
        <v>260</v>
      </c>
      <c r="AS91" s="64" t="s" ph="1">
        <v>444</v>
      </c>
      <c r="AT91" s="64" t="s" ph="1">
        <v>440</v>
      </c>
      <c r="AU91" s="64" t="s" ph="1">
        <v>441</v>
      </c>
    </row>
    <row r="92" spans="34:52" ph="1">
      <c r="AH92" s="64" ph="1">
        <v>6</v>
      </c>
      <c r="AI92" s="64" t="s" ph="1">
        <v>478</v>
      </c>
      <c r="AJ92" s="64" t="s" ph="1">
        <v>479</v>
      </c>
      <c r="AK92" s="64" t="s" ph="1">
        <v>408</v>
      </c>
      <c r="AM92" s="64" t="s" ph="1">
        <v>480</v>
      </c>
      <c r="AN92" s="64" t="s" ph="1">
        <v>268</v>
      </c>
      <c r="AO92" s="64" t="s" ph="1">
        <v>300</v>
      </c>
      <c r="AP92" s="64" t="s" ph="1">
        <v>481</v>
      </c>
      <c r="AQ92" s="64" t="s" ph="1">
        <v>340</v>
      </c>
      <c r="AR92" s="64" t="s" ph="1">
        <v>300</v>
      </c>
      <c r="AS92" s="64" t="s" ph="1">
        <v>482</v>
      </c>
      <c r="AT92" s="64" t="s" ph="1">
        <v>313</v>
      </c>
      <c r="AU92" s="64" t="s" ph="1">
        <v>300</v>
      </c>
      <c r="AV92" s="64" t="s" ph="1">
        <v>483</v>
      </c>
      <c r="AW92" s="64" t="s" ph="1">
        <v>269</v>
      </c>
      <c r="AX92" s="64" t="s" ph="1">
        <v>300</v>
      </c>
      <c r="AY92" s="64" t="s" ph="1">
        <v>257</v>
      </c>
      <c r="AZ92" s="64" t="s" ph="1">
        <v>464</v>
      </c>
    </row>
    <row r="93" spans="34:52" ph="1">
      <c r="AJ93" s="64" t="s" ph="1">
        <v>484</v>
      </c>
      <c r="AK93" s="64" t="s" ph="1">
        <v>263</v>
      </c>
      <c r="AM93" s="64" t="s" ph="1">
        <v>485</v>
      </c>
      <c r="AN93" s="64" t="s" ph="1">
        <v>268</v>
      </c>
      <c r="AO93" s="64" t="s" ph="1">
        <v>300</v>
      </c>
      <c r="AP93" s="64" t="s" ph="1">
        <v>486</v>
      </c>
      <c r="AQ93" s="64" t="s" ph="1">
        <v>272</v>
      </c>
      <c r="AR93" s="64" t="s" ph="1">
        <v>300</v>
      </c>
      <c r="AS93" s="64" t="s" ph="1">
        <v>487</v>
      </c>
      <c r="AT93" s="64" t="s" ph="1">
        <v>278</v>
      </c>
      <c r="AU93" s="64" t="s" ph="1">
        <v>300</v>
      </c>
      <c r="AV93" s="64" t="s" ph="1">
        <v>488</v>
      </c>
      <c r="AW93" s="64" t="s" ph="1">
        <v>272</v>
      </c>
      <c r="AX93" s="64" t="s" ph="1">
        <v>300</v>
      </c>
    </row>
    <row r="94" spans="34:52" ph="1">
      <c r="AJ94" s="64" t="s" ph="1">
        <v>489</v>
      </c>
      <c r="AK94" s="64" t="s" ph="1">
        <v>335</v>
      </c>
      <c r="AM94" s="64" t="s" ph="1">
        <v>490</v>
      </c>
      <c r="AN94" s="64" t="s" ph="1">
        <v>272</v>
      </c>
      <c r="AO94" s="64" t="s" ph="1">
        <v>300</v>
      </c>
      <c r="AP94" s="64" t="s" ph="1">
        <v>491</v>
      </c>
      <c r="AQ94" s="64" t="s" ph="1">
        <v>280</v>
      </c>
      <c r="AR94" s="64" t="s" ph="1">
        <v>300</v>
      </c>
      <c r="AS94" s="64" t="s" ph="1">
        <v>492</v>
      </c>
      <c r="AT94" s="64" t="s" ph="1">
        <v>266</v>
      </c>
      <c r="AU94" s="64" t="s" ph="1">
        <v>300</v>
      </c>
      <c r="AV94" s="64" t="s" ph="1">
        <v>493</v>
      </c>
      <c r="AW94" s="64" t="s" ph="1">
        <v>266</v>
      </c>
      <c r="AX94" s="64" t="s" ph="1">
        <v>300</v>
      </c>
    </row>
    <row r="95" spans="34:52" ph="1">
      <c r="AJ95" s="64" t="s" ph="1">
        <v>494</v>
      </c>
      <c r="AK95" s="64" t="s" ph="1">
        <v>340</v>
      </c>
    </row>
    <row r="96" spans="34:52" ph="1">
      <c r="AH96" s="64" ph="1">
        <v>7</v>
      </c>
      <c r="AI96" s="64" t="s" ph="1">
        <v>495</v>
      </c>
      <c r="AJ96" s="64" t="s" ph="1">
        <v>494</v>
      </c>
      <c r="AK96" s="64" t="s" ph="1">
        <v>295</v>
      </c>
      <c r="AM96" s="64" t="s" ph="1">
        <v>496</v>
      </c>
      <c r="AN96" s="64" t="s" ph="1">
        <v>269</v>
      </c>
      <c r="AO96" s="64" t="s" ph="1">
        <v>300</v>
      </c>
      <c r="AP96" s="64" t="s" ph="1">
        <v>497</v>
      </c>
      <c r="AQ96" s="64" t="s" ph="1">
        <v>313</v>
      </c>
      <c r="AR96" s="64" t="s" ph="1">
        <v>328</v>
      </c>
      <c r="AS96" s="64" t="s" ph="1">
        <v>498</v>
      </c>
      <c r="AT96" s="64" t="s" ph="1">
        <v>272</v>
      </c>
      <c r="AU96" s="64" t="s" ph="1">
        <v>328</v>
      </c>
      <c r="AV96" s="64" t="s" ph="1">
        <v>499</v>
      </c>
      <c r="AW96" s="64" t="s" ph="1">
        <v>268</v>
      </c>
      <c r="AX96" s="64" t="s" ph="1">
        <v>328</v>
      </c>
      <c r="AY96" s="64" t="s" ph="1">
        <v>257</v>
      </c>
      <c r="AZ96" s="64" t="s" ph="1">
        <v>500</v>
      </c>
    </row>
    <row r="97" spans="33:52" ph="1">
      <c r="AJ97" s="64" t="s" ph="1">
        <v>501</v>
      </c>
      <c r="AK97" s="64" t="s" ph="1">
        <v>323</v>
      </c>
      <c r="AM97" s="64" t="s" ph="1">
        <v>502</v>
      </c>
      <c r="AN97" s="64" t="s" ph="1">
        <v>266</v>
      </c>
      <c r="AO97" s="64" t="s" ph="1">
        <v>300</v>
      </c>
      <c r="AP97" s="64" t="s" ph="1">
        <v>503</v>
      </c>
      <c r="AQ97" s="64" t="s" ph="1">
        <v>260</v>
      </c>
      <c r="AR97" s="64" t="s" ph="1">
        <v>328</v>
      </c>
      <c r="AS97" s="64" t="s" ph="1">
        <v>504</v>
      </c>
      <c r="AT97" s="64" t="s" ph="1">
        <v>263</v>
      </c>
      <c r="AU97" s="64" t="s" ph="1">
        <v>328</v>
      </c>
      <c r="AV97" s="64" t="s" ph="1">
        <v>505</v>
      </c>
      <c r="AW97" s="64" t="s" ph="1">
        <v>269</v>
      </c>
      <c r="AX97" s="64" t="s" ph="1">
        <v>328</v>
      </c>
    </row>
    <row r="98" spans="33:52" ph="1">
      <c r="AJ98" s="64" t="s" ph="1">
        <v>506</v>
      </c>
      <c r="AK98" s="64" t="s" ph="1">
        <v>272</v>
      </c>
      <c r="AM98" s="64" t="s" ph="1">
        <v>507</v>
      </c>
      <c r="AN98" s="64" t="s" ph="1">
        <v>280</v>
      </c>
      <c r="AO98" s="64" t="s" ph="1">
        <v>300</v>
      </c>
      <c r="AP98" s="64" t="s" ph="1">
        <v>508</v>
      </c>
      <c r="AQ98" s="64" t="s" ph="1">
        <v>260</v>
      </c>
      <c r="AR98" s="64" t="s" ph="1">
        <v>328</v>
      </c>
      <c r="AS98" s="64" t="s" ph="1">
        <v>509</v>
      </c>
      <c r="AT98" s="64" t="s" ph="1">
        <v>340</v>
      </c>
      <c r="AU98" s="64" t="s" ph="1">
        <v>328</v>
      </c>
      <c r="AV98" s="64" t="s" ph="1">
        <v>510</v>
      </c>
      <c r="AW98" s="64" t="s" ph="1">
        <v>263</v>
      </c>
      <c r="AX98" s="64" t="s" ph="1">
        <v>328</v>
      </c>
    </row>
    <row r="99" spans="33:52" ph="1">
      <c r="AH99" s="64" ph="1">
        <v>8</v>
      </c>
      <c r="AI99" s="64" t="s" ph="1">
        <v>511</v>
      </c>
      <c r="AJ99" s="64" t="s" ph="1">
        <v>512</v>
      </c>
      <c r="AK99" s="64" t="s" ph="1">
        <v>408</v>
      </c>
      <c r="AM99" s="64" t="s" ph="1">
        <v>513</v>
      </c>
      <c r="AN99" s="64" t="s" ph="1">
        <v>295</v>
      </c>
      <c r="AO99" s="64" t="s" ph="1">
        <v>300</v>
      </c>
      <c r="AP99" s="64" t="s" ph="1">
        <v>514</v>
      </c>
      <c r="AQ99" s="64" t="s" ph="1">
        <v>265</v>
      </c>
      <c r="AR99" s="64" t="s" ph="1">
        <v>328</v>
      </c>
      <c r="AS99" s="64" t="s" ph="1">
        <v>515</v>
      </c>
      <c r="AT99" s="64" t="s" ph="1">
        <v>280</v>
      </c>
      <c r="AU99" s="64" t="s" ph="1">
        <v>328</v>
      </c>
      <c r="AV99" s="64" t="s" ph="1">
        <v>516</v>
      </c>
      <c r="AW99" s="64" t="s" ph="1">
        <v>265</v>
      </c>
      <c r="AX99" s="64" t="s" ph="1">
        <v>328</v>
      </c>
      <c r="AY99" s="64" t="s" ph="1">
        <v>257</v>
      </c>
      <c r="AZ99" s="64" t="s" ph="1">
        <v>517</v>
      </c>
    </row>
    <row r="100" spans="33:52" ph="1">
      <c r="AJ100" s="64" t="s" ph="1">
        <v>518</v>
      </c>
      <c r="AK100" s="64" t="s" ph="1">
        <v>263</v>
      </c>
      <c r="AM100" s="64" t="s" ph="1">
        <v>519</v>
      </c>
      <c r="AN100" s="64" t="s" ph="1">
        <v>335</v>
      </c>
      <c r="AO100" s="64" t="s" ph="1">
        <v>300</v>
      </c>
      <c r="AP100" s="64" t="s" ph="1">
        <v>520</v>
      </c>
      <c r="AQ100" s="64" t="s" ph="1">
        <v>341</v>
      </c>
      <c r="AR100" s="64" t="s" ph="1">
        <v>328</v>
      </c>
      <c r="AS100" s="64" t="s" ph="1">
        <v>521</v>
      </c>
      <c r="AT100" s="64" t="s" ph="1">
        <v>408</v>
      </c>
      <c r="AU100" s="64" t="s" ph="1">
        <v>300</v>
      </c>
      <c r="AV100" s="64" t="s" ph="1">
        <v>522</v>
      </c>
      <c r="AW100" s="64" t="s" ph="1">
        <v>408</v>
      </c>
      <c r="AX100" s="64" t="s" ph="1">
        <v>300</v>
      </c>
    </row>
    <row r="101" spans="33:52" ph="1">
      <c r="AJ101" s="64" t="s" ph="1">
        <v>523</v>
      </c>
      <c r="AK101" s="64" t="s" ph="1">
        <v>408</v>
      </c>
      <c r="AM101" s="64" t="s" ph="1">
        <v>524</v>
      </c>
      <c r="AN101" s="64" t="s" ph="1">
        <v>266</v>
      </c>
      <c r="AO101" s="64" t="s" ph="1">
        <v>300</v>
      </c>
      <c r="AP101" s="64" t="s" ph="1">
        <v>525</v>
      </c>
      <c r="AQ101" s="64" t="s" ph="1">
        <v>278</v>
      </c>
      <c r="AR101" s="64" t="s" ph="1">
        <v>328</v>
      </c>
      <c r="AS101" s="64" t="s" ph="1">
        <v>526</v>
      </c>
      <c r="AT101" s="64" t="s" ph="1">
        <v>335</v>
      </c>
      <c r="AU101" s="64" t="s" ph="1">
        <v>328</v>
      </c>
      <c r="AV101" s="64" t="s" ph="1">
        <v>527</v>
      </c>
      <c r="AW101" s="64" t="s" ph="1">
        <v>266</v>
      </c>
      <c r="AX101" s="64" t="s" ph="1">
        <v>300</v>
      </c>
    </row>
    <row r="102" spans="33:52" ph="1">
      <c r="AJ102" s="64" t="s" ph="1">
        <v>528</v>
      </c>
      <c r="AK102" s="64" t="s" ph="1">
        <v>263</v>
      </c>
      <c r="AM102" s="64" t="s" ph="1">
        <v>529</v>
      </c>
      <c r="AN102" s="64" t="s" ph="1">
        <v>272</v>
      </c>
      <c r="AO102" s="64" t="s" ph="1">
        <v>300</v>
      </c>
      <c r="AP102" s="64" t="s" ph="1">
        <v>530</v>
      </c>
      <c r="AQ102" s="64" t="s" ph="1">
        <v>278</v>
      </c>
      <c r="AR102" s="64" t="s" ph="1">
        <v>300</v>
      </c>
      <c r="AS102" s="64" t="s" ph="1">
        <v>531</v>
      </c>
      <c r="AT102" s="64" t="s" ph="1">
        <v>295</v>
      </c>
      <c r="AU102" s="64" t="s" ph="1">
        <v>300</v>
      </c>
      <c r="AV102" s="64" t="s" ph="1">
        <v>532</v>
      </c>
      <c r="AW102" s="64" t="s" ph="1">
        <v>313</v>
      </c>
      <c r="AX102" s="64" t="s" ph="1">
        <v>300</v>
      </c>
    </row>
    <row r="103" spans="33:52" ph="1">
      <c r="AH103" s="64" ph="1">
        <v>9</v>
      </c>
      <c r="AI103" s="64" t="s" ph="1">
        <v>533</v>
      </c>
      <c r="AJ103" s="64" t="s" ph="1">
        <v>534</v>
      </c>
      <c r="AK103" s="64" t="s" ph="1">
        <v>408</v>
      </c>
      <c r="AM103" s="64" t="s" ph="1">
        <v>535</v>
      </c>
      <c r="AN103" s="64" t="s" ph="1">
        <v>323</v>
      </c>
      <c r="AO103" s="64" t="s" ph="1">
        <v>300</v>
      </c>
      <c r="AP103" s="64" t="s" ph="1">
        <v>377</v>
      </c>
      <c r="AQ103" s="64" t="s" ph="1">
        <v>266</v>
      </c>
      <c r="AR103" s="64" t="s" ph="1">
        <v>300</v>
      </c>
      <c r="AS103" s="64" t="s" ph="1">
        <v>611</v>
      </c>
      <c r="AT103" s="64" t="s" ph="1">
        <v>408</v>
      </c>
      <c r="AU103" s="64" t="s" ph="1">
        <v>300</v>
      </c>
      <c r="AY103" s="64" t="s" ph="1">
        <v>257</v>
      </c>
      <c r="AZ103" s="64" t="s" ph="1">
        <v>265</v>
      </c>
    </row>
    <row r="104" spans="33:52" ph="1">
      <c r="AZ104" s="64" t="s" ph="1">
        <v>536</v>
      </c>
    </row>
    <row r="105" spans="33:52" ph="1">
      <c r="AG105" s="64" t="s" ph="1">
        <v>336</v>
      </c>
      <c r="AI105" s="64" t="s" ph="1">
        <v>250</v>
      </c>
      <c r="AJ105" s="64" t="s" ph="1">
        <v>251</v>
      </c>
      <c r="AK105" s="64" t="s" ph="1">
        <v>252</v>
      </c>
      <c r="AM105" s="64" t="s" ph="1">
        <v>251</v>
      </c>
      <c r="AN105" s="64" t="s" ph="1">
        <v>252</v>
      </c>
      <c r="AO105" s="64" t="s" ph="1">
        <v>253</v>
      </c>
      <c r="AP105" s="64" t="s" ph="1">
        <v>251</v>
      </c>
      <c r="AQ105" s="64" t="s" ph="1">
        <v>252</v>
      </c>
      <c r="AR105" s="64" t="s" ph="1">
        <v>253</v>
      </c>
      <c r="AS105" s="64" t="s" ph="1">
        <v>251</v>
      </c>
      <c r="AT105" s="64" t="s" ph="1">
        <v>252</v>
      </c>
      <c r="AU105" s="64" t="s" ph="1">
        <v>253</v>
      </c>
      <c r="AV105" s="64" t="s" ph="1">
        <v>251</v>
      </c>
      <c r="AW105" s="64" t="s" ph="1">
        <v>252</v>
      </c>
      <c r="AX105" s="64" t="s" ph="1">
        <v>253</v>
      </c>
      <c r="AZ105" s="64" t="s" ph="1">
        <v>254</v>
      </c>
    </row>
    <row r="106" spans="33:52" ph="1">
      <c r="AH106" s="64" ph="1">
        <v>1</v>
      </c>
      <c r="AI106" s="64" t="s" ph="1">
        <v>537</v>
      </c>
      <c r="AJ106" s="64" t="s" ph="1">
        <v>611</v>
      </c>
      <c r="AK106" s="64" t="s" ph="1">
        <v>272</v>
      </c>
      <c r="AZ106" s="64" t="s" ph="1">
        <v>272</v>
      </c>
    </row>
    <row r="107" spans="33:52" ph="1">
      <c r="AH107" s="64" ph="1">
        <v>2</v>
      </c>
      <c r="AI107" s="64" t="s" ph="1">
        <v>538</v>
      </c>
      <c r="AJ107" s="64" t="s" ph="1">
        <v>539</v>
      </c>
      <c r="AK107" s="64" t="s" ph="1">
        <v>269</v>
      </c>
      <c r="AM107" s="64" t="s" ph="1">
        <v>375</v>
      </c>
      <c r="AN107" s="64" t="s" ph="1">
        <v>540</v>
      </c>
      <c r="AO107" s="64" t="s" ph="1">
        <v>541</v>
      </c>
      <c r="AP107" s="64" t="s" ph="1">
        <v>377</v>
      </c>
      <c r="AQ107" s="64" t="s" ph="1">
        <v>345</v>
      </c>
      <c r="AR107" s="64" t="s" ph="1">
        <v>541</v>
      </c>
      <c r="AS107" s="64" t="s" ph="1">
        <v>611</v>
      </c>
      <c r="AT107" s="64" t="s" ph="1">
        <v>540</v>
      </c>
      <c r="AU107" s="64" t="s" ph="1">
        <v>541</v>
      </c>
      <c r="AY107" s="64" t="s" ph="1">
        <v>257</v>
      </c>
      <c r="AZ107" s="64" t="s" ph="1">
        <v>621</v>
      </c>
    </row>
    <row r="108" spans="33:52" ph="1">
      <c r="AH108" s="64" ph="1">
        <v>3</v>
      </c>
      <c r="AI108" s="64" t="s" ph="1">
        <v>542</v>
      </c>
      <c r="AY108" s="64" t="s" ph="1">
        <v>257</v>
      </c>
      <c r="AZ108" s="64" t="s" ph="1">
        <v>408</v>
      </c>
    </row>
    <row r="109" spans="33:52" ph="1">
      <c r="AH109" s="64" ph="1">
        <v>4</v>
      </c>
      <c r="AI109" s="64" t="s" ph="1">
        <v>543</v>
      </c>
      <c r="AY109" s="64" t="s" ph="1">
        <v>257</v>
      </c>
      <c r="AZ109" s="64" t="s" ph="1">
        <v>408</v>
      </c>
    </row>
    <row r="110" spans="33:52" ph="1">
      <c r="AH110" s="64" ph="1">
        <v>5</v>
      </c>
      <c r="AI110" s="64" t="s" ph="1">
        <v>544</v>
      </c>
      <c r="AY110" s="64" t="s" ph="1">
        <v>257</v>
      </c>
      <c r="AZ110" s="64" t="s" ph="1">
        <v>408</v>
      </c>
    </row>
    <row r="111" spans="33:52" ph="1">
      <c r="AH111" s="64" ph="1">
        <v>6</v>
      </c>
      <c r="AI111" s="64" t="s" ph="1">
        <v>622</v>
      </c>
      <c r="AJ111" s="64" t="s" ph="1">
        <v>527</v>
      </c>
      <c r="AK111" s="64" t="s" ph="1">
        <v>266</v>
      </c>
      <c r="AM111" s="64" t="s" ph="1">
        <v>528</v>
      </c>
      <c r="AN111" s="64" t="s" ph="1">
        <v>260</v>
      </c>
      <c r="AO111" s="64" t="s" ph="1">
        <v>541</v>
      </c>
      <c r="AP111" s="64" t="s" ph="1">
        <v>529</v>
      </c>
      <c r="AQ111" s="64" t="s" ph="1">
        <v>269</v>
      </c>
      <c r="AR111" s="64" t="s" ph="1">
        <v>541</v>
      </c>
      <c r="AS111" s="64" t="s" ph="1">
        <v>530</v>
      </c>
      <c r="AT111" s="64" t="s" ph="1">
        <v>278</v>
      </c>
      <c r="AU111" s="64" t="s" ph="1">
        <v>541</v>
      </c>
      <c r="AV111" s="64" t="s" ph="1">
        <v>531</v>
      </c>
      <c r="AW111" s="64" t="s" ph="1">
        <v>268</v>
      </c>
      <c r="AX111" s="64" t="s" ph="1">
        <v>541</v>
      </c>
      <c r="AY111" s="64" t="s" ph="1">
        <v>257</v>
      </c>
      <c r="AZ111" s="64" t="s" ph="1">
        <v>545</v>
      </c>
    </row>
    <row r="112" spans="33:52" ph="1">
      <c r="AJ112" s="64" t="s" ph="1">
        <v>532</v>
      </c>
      <c r="AK112" s="64" t="s" ph="1">
        <v>313</v>
      </c>
      <c r="AM112" s="64" t="s" ph="1">
        <v>534</v>
      </c>
      <c r="AN112" s="64" t="s" ph="1">
        <v>337</v>
      </c>
      <c r="AO112" s="64" t="s" ph="1">
        <v>541</v>
      </c>
      <c r="AP112" s="64" t="s" ph="1">
        <v>535</v>
      </c>
      <c r="AQ112" s="64" t="s" ph="1">
        <v>546</v>
      </c>
      <c r="AR112" s="64" t="s" ph="1">
        <v>541</v>
      </c>
      <c r="AS112" s="64" t="s" ph="1">
        <v>547</v>
      </c>
      <c r="AT112" s="64" t="s" ph="1">
        <v>289</v>
      </c>
      <c r="AU112" s="64" t="s" ph="1">
        <v>541</v>
      </c>
      <c r="AV112" s="64" t="s" ph="1">
        <v>548</v>
      </c>
      <c r="AW112" s="64" t="s" ph="1">
        <v>335</v>
      </c>
      <c r="AX112" s="64" t="s" ph="1">
        <v>541</v>
      </c>
    </row>
    <row r="113" spans="33:52" ph="1">
      <c r="AH113" s="64" ph="1">
        <v>7</v>
      </c>
      <c r="AI113" s="64" t="s" ph="1">
        <v>549</v>
      </c>
      <c r="AJ113" s="64" t="s" ph="1">
        <v>630</v>
      </c>
      <c r="AK113" s="64" t="s" ph="1">
        <v>635</v>
      </c>
      <c r="AY113" s="64" t="s" ph="1">
        <v>257</v>
      </c>
      <c r="AZ113" s="64" t="s" ph="1">
        <v>635</v>
      </c>
    </row>
    <row r="114" spans="33:52" ph="1">
      <c r="AH114" s="64" ph="1">
        <v>8</v>
      </c>
      <c r="AI114" s="64" t="s" ph="1">
        <v>550</v>
      </c>
      <c r="AJ114" s="64" t="s" ph="1">
        <v>630</v>
      </c>
      <c r="AK114" s="64" t="s" ph="1">
        <v>636</v>
      </c>
      <c r="AY114" s="64" t="s" ph="1">
        <v>257</v>
      </c>
      <c r="AZ114" s="64" t="s" ph="1">
        <v>636</v>
      </c>
    </row>
    <row r="115" spans="33:52" ph="1">
      <c r="AH115" s="64" ph="1">
        <v>9</v>
      </c>
      <c r="AI115" s="64" t="s" ph="1">
        <v>551</v>
      </c>
      <c r="AJ115" s="64" t="s" ph="1">
        <v>630</v>
      </c>
      <c r="AK115" s="64" t="s" ph="1">
        <v>636</v>
      </c>
      <c r="AY115" s="64" t="s" ph="1">
        <v>257</v>
      </c>
      <c r="AZ115" s="64" t="s" ph="1">
        <v>636</v>
      </c>
    </row>
    <row r="116" spans="33:52" ph="1">
      <c r="AH116" s="64" ph="1">
        <v>10</v>
      </c>
      <c r="AI116" s="64" t="s" ph="1">
        <v>552</v>
      </c>
      <c r="AJ116" s="64" t="s" ph="1">
        <v>630</v>
      </c>
      <c r="AK116" s="64" t="s" ph="1">
        <v>636</v>
      </c>
      <c r="AY116" s="64" t="s" ph="1">
        <v>257</v>
      </c>
      <c r="AZ116" s="64" t="s" ph="1">
        <v>636</v>
      </c>
    </row>
    <row r="117" spans="33:52" ph="1">
      <c r="AH117" s="64" ph="1">
        <v>11</v>
      </c>
      <c r="AI117" s="64" t="s" ph="1">
        <v>553</v>
      </c>
      <c r="AJ117" s="64" t="s" ph="1">
        <v>630</v>
      </c>
      <c r="AK117" s="64" t="s" ph="1">
        <v>636</v>
      </c>
      <c r="AY117" s="64" t="s" ph="1">
        <v>257</v>
      </c>
      <c r="AZ117" s="64" t="s" ph="1">
        <v>636</v>
      </c>
    </row>
    <row r="118" spans="33:52" ph="1">
      <c r="AZ118" s="64" t="s" ph="1">
        <v>637</v>
      </c>
    </row>
    <row r="119" spans="33:52" ph="1">
      <c r="AI119" s="64" t="s" ph="1">
        <v>250</v>
      </c>
      <c r="AJ119" s="64" t="s" ph="1">
        <v>251</v>
      </c>
      <c r="AK119" s="64" t="s" ph="1">
        <v>252</v>
      </c>
      <c r="AM119" s="64" t="s" ph="1">
        <v>251</v>
      </c>
      <c r="AN119" s="64" t="s" ph="1">
        <v>252</v>
      </c>
      <c r="AO119" s="64" t="s" ph="1">
        <v>253</v>
      </c>
      <c r="AP119" s="64" t="s" ph="1">
        <v>251</v>
      </c>
      <c r="AQ119" s="64" t="s" ph="1">
        <v>252</v>
      </c>
      <c r="AR119" s="64" t="s" ph="1">
        <v>253</v>
      </c>
      <c r="AS119" s="64" t="s" ph="1">
        <v>251</v>
      </c>
      <c r="AT119" s="64" t="s" ph="1">
        <v>252</v>
      </c>
      <c r="AU119" s="64" t="s" ph="1">
        <v>253</v>
      </c>
      <c r="AV119" s="64" t="s" ph="1">
        <v>251</v>
      </c>
      <c r="AW119" s="64" t="s" ph="1">
        <v>252</v>
      </c>
      <c r="AX119" s="64" t="s" ph="1">
        <v>253</v>
      </c>
      <c r="AY119" s="64" t="s" ph="1">
        <v>252</v>
      </c>
      <c r="AZ119" s="64" t="s" ph="1">
        <v>254</v>
      </c>
    </row>
    <row r="120" spans="33:52" ph="1">
      <c r="AG120" s="64" t="s" ph="1">
        <v>394</v>
      </c>
      <c r="AH120" s="64" ph="1">
        <v>1</v>
      </c>
      <c r="AI120" s="64" t="s" ph="1">
        <v>554</v>
      </c>
      <c r="AJ120" s="64" t="s" ph="1">
        <v>628</v>
      </c>
      <c r="AK120" s="64" t="s" ph="1">
        <v>408</v>
      </c>
      <c r="AY120" s="64" t="s" ph="1">
        <v>257</v>
      </c>
      <c r="AZ120" s="64" t="s" ph="1">
        <v>408</v>
      </c>
    </row>
    <row r="121" spans="33:52" ph="1">
      <c r="AH121" s="64" ph="1">
        <v>2</v>
      </c>
      <c r="AI121" s="64" t="s" ph="1">
        <v>555</v>
      </c>
      <c r="AY121" s="64" t="s" ph="1">
        <v>257</v>
      </c>
      <c r="AZ121" s="64" t="s" ph="1">
        <v>408</v>
      </c>
    </row>
    <row r="122" spans="33:52" ph="1">
      <c r="AH122" s="64" ph="1">
        <v>3</v>
      </c>
      <c r="AI122" s="64" t="s" ph="1">
        <v>556</v>
      </c>
      <c r="AJ122" s="64" t="s" ph="1">
        <v>611</v>
      </c>
      <c r="AK122" s="64" t="s" ph="1">
        <v>623</v>
      </c>
      <c r="AM122" s="64" t="s" ph="1">
        <v>638</v>
      </c>
      <c r="AN122" s="64" t="s" ph="1">
        <v>631</v>
      </c>
      <c r="AO122" s="64" t="s" ph="1">
        <v>108</v>
      </c>
      <c r="AY122" s="64" t="s" ph="1">
        <v>257</v>
      </c>
      <c r="AZ122" s="64" t="s" ph="1">
        <v>620</v>
      </c>
    </row>
    <row r="123" spans="33:52" ph="1">
      <c r="AY123" s="64" t="s" ph="1">
        <v>257</v>
      </c>
      <c r="AZ123" s="64" t="s" ph="1">
        <v>620</v>
      </c>
    </row>
    <row r="124" spans="33:52" ph="1">
      <c r="AG124" s="64" t="s" ph="1">
        <v>397</v>
      </c>
      <c r="AH124" s="64" ph="1">
        <v>4</v>
      </c>
      <c r="AI124" s="64" t="s" ph="1">
        <v>557</v>
      </c>
      <c r="AJ124" s="64" t="s" ph="1">
        <v>558</v>
      </c>
      <c r="AK124" s="64" t="s" ph="1">
        <v>559</v>
      </c>
      <c r="AY124" s="64" t="s" ph="1">
        <v>257</v>
      </c>
      <c r="AZ124" s="64" t="s" ph="1">
        <v>559</v>
      </c>
    </row>
    <row r="125" spans="33:52" ph="1">
      <c r="AH125" s="64" ph="1">
        <v>5</v>
      </c>
      <c r="AI125" s="64" t="s" ph="1">
        <v>560</v>
      </c>
      <c r="AJ125" s="64" t="s" ph="1">
        <v>558</v>
      </c>
      <c r="AK125" s="64" t="s" ph="1">
        <v>559</v>
      </c>
      <c r="AY125" s="64" t="s" ph="1">
        <v>257</v>
      </c>
      <c r="AZ125" s="64" t="s" ph="1">
        <v>559</v>
      </c>
    </row>
    <row r="126" spans="33:52" ph="1">
      <c r="AH126" s="64" ph="1">
        <v>6</v>
      </c>
      <c r="AI126" s="64" t="s" ph="1">
        <v>561</v>
      </c>
      <c r="AJ126" s="64" t="s" ph="1">
        <v>630</v>
      </c>
      <c r="AK126" s="64" t="s" ph="1">
        <v>639</v>
      </c>
      <c r="AY126" s="64" t="s" ph="1">
        <v>257</v>
      </c>
      <c r="AZ126" s="64" t="s" ph="1">
        <v>639</v>
      </c>
    </row>
    <row r="127" spans="33:52" ph="1">
      <c r="AH127" s="64" ph="1">
        <v>7</v>
      </c>
      <c r="AI127" s="64" t="s" ph="1">
        <v>562</v>
      </c>
      <c r="AJ127" s="64" t="s" ph="1">
        <v>630</v>
      </c>
      <c r="AK127" s="64" t="s" ph="1">
        <v>640</v>
      </c>
      <c r="AY127" s="64" t="s" ph="1">
        <v>257</v>
      </c>
      <c r="AZ127" s="64" t="s" ph="1">
        <v>640</v>
      </c>
    </row>
    <row r="128" spans="33:52" ph="1">
      <c r="AH128" s="64" ph="1">
        <v>8</v>
      </c>
      <c r="AI128" s="64" t="s" ph="1">
        <v>563</v>
      </c>
      <c r="AY128" s="64" t="s" ph="1">
        <v>257</v>
      </c>
      <c r="AZ128" s="64" t="s" ph="1">
        <v>408</v>
      </c>
    </row>
    <row r="129" spans="33:52" ph="1">
      <c r="AH129" s="64" ph="1">
        <v>9</v>
      </c>
      <c r="AI129" s="64" t="s" ph="1">
        <v>564</v>
      </c>
      <c r="AY129" s="64" t="s" ph="1">
        <v>257</v>
      </c>
      <c r="AZ129" s="64" t="s" ph="1">
        <v>408</v>
      </c>
    </row>
    <row r="130" spans="33:52" ph="1">
      <c r="AH130" s="64" ph="1">
        <v>10</v>
      </c>
      <c r="AI130" s="64" t="s" ph="1">
        <v>565</v>
      </c>
      <c r="AY130" s="64" t="s" ph="1">
        <v>257</v>
      </c>
      <c r="AZ130" s="64" t="s" ph="1">
        <v>408</v>
      </c>
    </row>
    <row r="131" spans="33:52" ph="1">
      <c r="AH131" s="64" ph="1">
        <v>11</v>
      </c>
      <c r="AI131" s="64" t="s" ph="1">
        <v>566</v>
      </c>
      <c r="AJ131" s="64" t="s" ph="1">
        <v>624</v>
      </c>
      <c r="AK131" s="64" t="s" ph="1">
        <v>620</v>
      </c>
      <c r="AY131" s="64" t="s" ph="1">
        <v>257</v>
      </c>
      <c r="AZ131" s="64" t="s" ph="1">
        <v>620</v>
      </c>
    </row>
    <row r="132" spans="33:52" ph="1">
      <c r="AH132" s="64" ph="1">
        <v>12</v>
      </c>
      <c r="AI132" s="64" t="s" ph="1">
        <v>567</v>
      </c>
      <c r="AJ132" s="64" t="s" ph="1">
        <v>624</v>
      </c>
      <c r="AK132" s="64" t="s" ph="1">
        <v>559</v>
      </c>
      <c r="AY132" s="64" t="s" ph="1">
        <v>257</v>
      </c>
      <c r="AZ132" s="64" t="s" ph="1">
        <v>559</v>
      </c>
    </row>
    <row r="133" spans="33:52" ph="1">
      <c r="AH133" s="64" ph="1">
        <v>13</v>
      </c>
      <c r="AI133" s="64" t="s" ph="1">
        <v>568</v>
      </c>
      <c r="AJ133" s="64" t="s" ph="1">
        <v>624</v>
      </c>
      <c r="AK133" s="64" t="s" ph="1">
        <v>625</v>
      </c>
      <c r="AY133" s="64" t="s" ph="1">
        <v>257</v>
      </c>
      <c r="AZ133" s="64" t="s" ph="1">
        <v>625</v>
      </c>
    </row>
    <row r="134" spans="33:52" ph="1">
      <c r="AH134" s="64" ph="1">
        <v>14</v>
      </c>
      <c r="AI134" s="64" t="s" ph="1">
        <v>569</v>
      </c>
      <c r="AJ134" s="64" t="s" ph="1">
        <v>624</v>
      </c>
      <c r="AK134" s="64" t="s" ph="1">
        <v>626</v>
      </c>
      <c r="AY134" s="64" t="s" ph="1">
        <v>257</v>
      </c>
      <c r="AZ134" s="64" t="s" ph="1">
        <v>626</v>
      </c>
    </row>
    <row r="135" spans="33:52" ph="1">
      <c r="AH135" s="64" ph="1">
        <v>15</v>
      </c>
      <c r="AI135" s="64" t="s" ph="1">
        <v>570</v>
      </c>
      <c r="AJ135" s="64" t="s" ph="1">
        <v>624</v>
      </c>
      <c r="AK135" s="64" t="s" ph="1">
        <v>627</v>
      </c>
      <c r="AY135" s="64" t="s" ph="1">
        <v>257</v>
      </c>
      <c r="AZ135" s="64" t="s" ph="1">
        <v>627</v>
      </c>
    </row>
    <row r="136" spans="33:52" ph="1">
      <c r="AZ136" s="64" t="s" ph="1">
        <v>641</v>
      </c>
    </row>
    <row r="137" spans="33:52" ph="1">
      <c r="AG137" s="64" t="s" ph="1">
        <v>331</v>
      </c>
      <c r="AI137" s="64" t="s" ph="1">
        <v>250</v>
      </c>
      <c r="AJ137" s="64" t="s" ph="1">
        <v>251</v>
      </c>
      <c r="AK137" s="64" t="s" ph="1">
        <v>252</v>
      </c>
      <c r="AM137" s="64" t="s" ph="1">
        <v>251</v>
      </c>
      <c r="AN137" s="64" t="s" ph="1">
        <v>252</v>
      </c>
      <c r="AO137" s="64" t="s" ph="1">
        <v>253</v>
      </c>
      <c r="AP137" s="64" t="s" ph="1">
        <v>251</v>
      </c>
      <c r="AQ137" s="64" t="s" ph="1">
        <v>252</v>
      </c>
      <c r="AR137" s="64" t="s" ph="1">
        <v>253</v>
      </c>
      <c r="AS137" s="64" t="s" ph="1">
        <v>251</v>
      </c>
      <c r="AT137" s="64" t="s" ph="1">
        <v>252</v>
      </c>
      <c r="AU137" s="64" t="s" ph="1">
        <v>253</v>
      </c>
      <c r="AV137" s="64" t="s" ph="1">
        <v>251</v>
      </c>
      <c r="AW137" s="64" t="s" ph="1">
        <v>252</v>
      </c>
      <c r="AX137" s="64" t="s" ph="1">
        <v>253</v>
      </c>
      <c r="AY137" s="64" t="s" ph="1">
        <v>252</v>
      </c>
      <c r="AZ137" s="64" t="s" ph="1">
        <v>254</v>
      </c>
    </row>
    <row r="138" spans="33:52" ph="1">
      <c r="AH138" s="64" ph="1">
        <v>1</v>
      </c>
      <c r="AI138" s="64" t="s" ph="1">
        <v>571</v>
      </c>
      <c r="AJ138" s="64" t="s" ph="1">
        <v>572</v>
      </c>
      <c r="AK138" s="64" t="s" ph="1">
        <v>573</v>
      </c>
      <c r="AY138" s="64" t="s" ph="1">
        <v>257</v>
      </c>
      <c r="AZ138" s="64" t="s" ph="1">
        <v>573</v>
      </c>
    </row>
    <row r="139" spans="33:52" ph="1">
      <c r="AH139" s="64" ph="1">
        <v>2</v>
      </c>
      <c r="AI139" s="64" t="s" ph="1">
        <v>574</v>
      </c>
      <c r="AJ139" s="64" t="s" ph="1">
        <v>630</v>
      </c>
      <c r="AK139" s="64" t="s" ph="1">
        <v>642</v>
      </c>
      <c r="AY139" s="64" t="s" ph="1">
        <v>257</v>
      </c>
      <c r="AZ139" s="64" t="s" ph="1">
        <v>642</v>
      </c>
    </row>
    <row r="140" spans="33:52" ph="1">
      <c r="AH140" s="64" ph="1">
        <v>3</v>
      </c>
      <c r="AI140" s="64" t="s" ph="1">
        <v>575</v>
      </c>
      <c r="AJ140" s="64" t="s" ph="1">
        <v>528</v>
      </c>
      <c r="AK140" s="64" t="s" ph="1">
        <v>340</v>
      </c>
      <c r="AM140" s="64" t="s" ph="1">
        <v>529</v>
      </c>
      <c r="AN140" s="64" t="s" ph="1">
        <v>260</v>
      </c>
      <c r="AO140" s="64" t="s" ph="1">
        <v>576</v>
      </c>
      <c r="AP140" s="64" t="s" ph="1">
        <v>530</v>
      </c>
      <c r="AQ140" s="64" t="s" ph="1">
        <v>277</v>
      </c>
      <c r="AR140" s="64" t="s" ph="1">
        <v>576</v>
      </c>
      <c r="AS140" s="64" t="s" ph="1">
        <v>531</v>
      </c>
      <c r="AT140" s="64" t="s" ph="1">
        <v>270</v>
      </c>
      <c r="AU140" s="64" t="s" ph="1">
        <v>576</v>
      </c>
      <c r="AV140" s="64" t="s" ph="1">
        <v>532</v>
      </c>
      <c r="AW140" s="64" t="s" ph="1">
        <v>263</v>
      </c>
      <c r="AX140" s="64" t="s" ph="1">
        <v>576</v>
      </c>
      <c r="AY140" s="64" t="s" ph="1">
        <v>257</v>
      </c>
      <c r="AZ140" s="64" t="s" ph="1">
        <v>332</v>
      </c>
    </row>
    <row r="141" spans="33:52" ph="1">
      <c r="AJ141" s="64" t="s" ph="1">
        <v>534</v>
      </c>
      <c r="AK141" s="64" t="s" ph="1">
        <v>263</v>
      </c>
      <c r="AM141" s="64" t="s" ph="1">
        <v>535</v>
      </c>
      <c r="AN141" s="64" t="s" ph="1">
        <v>266</v>
      </c>
      <c r="AO141" s="64" t="s" ph="1">
        <v>576</v>
      </c>
      <c r="AP141" s="64" t="s" ph="1">
        <v>547</v>
      </c>
      <c r="AQ141" s="64" t="s" ph="1">
        <v>335</v>
      </c>
      <c r="AR141" s="64" t="s" ph="1">
        <v>576</v>
      </c>
      <c r="AS141" s="64" t="s" ph="1">
        <v>539</v>
      </c>
      <c r="AT141" s="64" t="s" ph="1">
        <v>263</v>
      </c>
      <c r="AU141" s="64" t="s" ph="1">
        <v>576</v>
      </c>
      <c r="AV141" s="64" t="s" ph="1">
        <v>375</v>
      </c>
      <c r="AW141" s="64" t="s" ph="1">
        <v>269</v>
      </c>
      <c r="AX141" s="64" t="s" ph="1">
        <v>576</v>
      </c>
    </row>
    <row r="142" spans="33:52" ph="1">
      <c r="AJ142" s="64" t="s" ph="1">
        <v>577</v>
      </c>
      <c r="AK142" s="64" t="s" ph="1">
        <v>280</v>
      </c>
    </row>
    <row r="143" spans="33:52" ph="1">
      <c r="AH143" s="64" ph="1">
        <v>4</v>
      </c>
      <c r="AI143" s="64" t="s" ph="1">
        <v>578</v>
      </c>
      <c r="AJ143" s="64" t="s" ph="1">
        <v>558</v>
      </c>
      <c r="AK143" s="64" t="s" ph="1">
        <v>579</v>
      </c>
      <c r="AY143" s="64" t="s" ph="1">
        <v>257</v>
      </c>
      <c r="AZ143" s="64" t="s" ph="1">
        <v>579</v>
      </c>
    </row>
    <row r="144" spans="33:52" ph="1">
      <c r="AH144" s="64" ph="1">
        <v>5</v>
      </c>
      <c r="AI144" s="64" t="s" ph="1">
        <v>580</v>
      </c>
      <c r="AY144" s="64" t="s" ph="1">
        <v>257</v>
      </c>
      <c r="AZ144" s="64" t="s" ph="1">
        <v>408</v>
      </c>
    </row>
    <row r="145" spans="33:52" ph="1">
      <c r="AH145" s="64" ph="1">
        <v>6</v>
      </c>
      <c r="AI145" s="64" t="s" ph="1">
        <v>581</v>
      </c>
      <c r="AY145" s="64" t="s" ph="1">
        <v>257</v>
      </c>
      <c r="AZ145" s="64" t="s" ph="1">
        <v>408</v>
      </c>
    </row>
    <row r="146" spans="33:52" ph="1">
      <c r="AH146" s="64" ph="1">
        <v>7</v>
      </c>
      <c r="AI146" s="64" t="s" ph="1">
        <v>582</v>
      </c>
      <c r="AY146" s="64" t="s" ph="1">
        <v>257</v>
      </c>
      <c r="AZ146" s="64" t="s" ph="1">
        <v>408</v>
      </c>
    </row>
    <row r="147" spans="33:52" ph="1">
      <c r="AH147" s="64" ph="1">
        <v>8</v>
      </c>
      <c r="AI147" s="64" t="s" ph="1">
        <v>583</v>
      </c>
      <c r="AY147" s="64" t="s" ph="1">
        <v>257</v>
      </c>
      <c r="AZ147" s="64" t="s" ph="1">
        <v>408</v>
      </c>
    </row>
    <row r="148" spans="33:52" ph="1">
      <c r="AH148" s="64" ph="1">
        <v>9</v>
      </c>
      <c r="AI148" s="64" t="s" ph="1">
        <v>584</v>
      </c>
      <c r="AY148" s="64" t="s" ph="1">
        <v>257</v>
      </c>
      <c r="AZ148" s="64" t="s" ph="1">
        <v>408</v>
      </c>
    </row>
    <row r="149" spans="33:52" ph="1">
      <c r="AH149" s="64" ph="1">
        <v>10</v>
      </c>
      <c r="AI149" s="64" t="s" ph="1">
        <v>585</v>
      </c>
      <c r="AY149" s="64" t="s" ph="1">
        <v>257</v>
      </c>
      <c r="AZ149" s="64" t="s" ph="1">
        <v>408</v>
      </c>
    </row>
    <row r="150" spans="33:52" ph="1">
      <c r="AH150" s="64" ph="1">
        <v>11</v>
      </c>
      <c r="AI150" s="64" t="s" ph="1">
        <v>586</v>
      </c>
      <c r="AY150" s="64" t="s" ph="1">
        <v>257</v>
      </c>
      <c r="AZ150" s="64" t="s" ph="1">
        <v>408</v>
      </c>
    </row>
    <row r="151" spans="33:52" ph="1">
      <c r="AH151" s="64" ph="1">
        <v>12</v>
      </c>
      <c r="AI151" s="64" t="s" ph="1">
        <v>587</v>
      </c>
      <c r="AY151" s="64" t="s" ph="1">
        <v>257</v>
      </c>
      <c r="AZ151" s="64" t="s" ph="1">
        <v>408</v>
      </c>
    </row>
    <row r="152" spans="33:52" ph="1">
      <c r="AH152" s="64" ph="1">
        <v>13</v>
      </c>
      <c r="AI152" s="64" t="s" ph="1">
        <v>588</v>
      </c>
      <c r="AY152" s="64" t="s" ph="1">
        <v>257</v>
      </c>
      <c r="AZ152" s="64" t="s" ph="1">
        <v>408</v>
      </c>
    </row>
    <row r="153" spans="33:52" ph="1">
      <c r="AH153" s="64" ph="1">
        <v>14</v>
      </c>
      <c r="AI153" s="64" t="s" ph="1">
        <v>589</v>
      </c>
      <c r="AY153" s="64" t="s" ph="1">
        <v>257</v>
      </c>
      <c r="AZ153" s="64" t="s" ph="1">
        <v>408</v>
      </c>
    </row>
    <row r="154" spans="33:52" ph="1">
      <c r="AH154" s="64" ph="1">
        <v>15</v>
      </c>
      <c r="AI154" s="64" t="s" ph="1">
        <v>590</v>
      </c>
      <c r="AY154" s="64" t="s" ph="1">
        <v>257</v>
      </c>
      <c r="AZ154" s="64" t="s" ph="1">
        <v>408</v>
      </c>
    </row>
    <row r="155" spans="33:52" ph="1">
      <c r="AH155" s="64" ph="1">
        <v>16</v>
      </c>
      <c r="AI155" s="64" t="s" ph="1">
        <v>591</v>
      </c>
      <c r="AJ155" s="64" t="s" ph="1">
        <v>377</v>
      </c>
      <c r="AK155" s="64" t="s" ph="1">
        <v>272</v>
      </c>
      <c r="AM155" s="64" t="s" ph="1">
        <v>611</v>
      </c>
      <c r="AN155" s="64" t="s" ph="1">
        <v>323</v>
      </c>
      <c r="AO155" s="64" t="s" ph="1">
        <v>576</v>
      </c>
      <c r="AY155" s="64" t="s" ph="1">
        <v>257</v>
      </c>
      <c r="AZ155" s="64" t="s" ph="1">
        <v>264</v>
      </c>
    </row>
    <row r="156" spans="33:52" ph="1">
      <c r="AZ156" s="64" t="s" ph="1">
        <v>643</v>
      </c>
    </row>
    <row r="157" spans="33:52" ph="1">
      <c r="AG157" s="64" t="s" ph="1">
        <v>592</v>
      </c>
      <c r="AI157" s="64" t="s" ph="1">
        <v>250</v>
      </c>
      <c r="AJ157" s="64" t="s" ph="1">
        <v>251</v>
      </c>
      <c r="AK157" s="64" t="s" ph="1">
        <v>252</v>
      </c>
      <c r="AM157" s="64" t="s" ph="1">
        <v>251</v>
      </c>
      <c r="AN157" s="64" t="s" ph="1">
        <v>252</v>
      </c>
      <c r="AO157" s="64" t="s" ph="1">
        <v>253</v>
      </c>
      <c r="AP157" s="64" t="s" ph="1">
        <v>251</v>
      </c>
      <c r="AQ157" s="64" t="s" ph="1">
        <v>252</v>
      </c>
      <c r="AR157" s="64" t="s" ph="1">
        <v>253</v>
      </c>
      <c r="AS157" s="64" t="s" ph="1">
        <v>251</v>
      </c>
      <c r="AT157" s="64" t="s" ph="1">
        <v>252</v>
      </c>
      <c r="AU157" s="64" t="s" ph="1">
        <v>253</v>
      </c>
      <c r="AV157" s="64" t="s" ph="1">
        <v>251</v>
      </c>
      <c r="AW157" s="64" t="s" ph="1">
        <v>252</v>
      </c>
      <c r="AX157" s="64" t="s" ph="1">
        <v>253</v>
      </c>
      <c r="AY157" s="64" t="s" ph="1">
        <v>252</v>
      </c>
      <c r="AZ157" s="64" t="s" ph="1">
        <v>254</v>
      </c>
    </row>
    <row r="158" spans="33:52" ph="1">
      <c r="AH158" s="64" ph="1">
        <v>1</v>
      </c>
      <c r="AI158" s="64" t="s" ph="1">
        <v>593</v>
      </c>
      <c r="AY158" s="64" t="s" ph="1">
        <v>257</v>
      </c>
      <c r="AZ158" s="64" t="s" ph="1">
        <v>408</v>
      </c>
    </row>
    <row r="159" spans="33:52" ph="1">
      <c r="AH159" s="64" ph="1">
        <v>2</v>
      </c>
      <c r="AI159" s="64" t="s" ph="1">
        <v>594</v>
      </c>
      <c r="AY159" s="64" t="s" ph="1">
        <v>257</v>
      </c>
      <c r="AZ159" s="64" t="s" ph="1">
        <v>408</v>
      </c>
    </row>
    <row r="160" spans="33:52" ph="1">
      <c r="AZ160" s="64" t="s" ph="1">
        <v>426</v>
      </c>
    </row>
    <row r="161" spans="33:52" ph="1">
      <c r="AG161" s="64" t="s" ph="1">
        <v>402</v>
      </c>
      <c r="AI161" s="64" t="s" ph="1">
        <v>250</v>
      </c>
      <c r="AJ161" s="64" t="s" ph="1">
        <v>251</v>
      </c>
      <c r="AK161" s="64" t="s" ph="1">
        <v>252</v>
      </c>
      <c r="AM161" s="64" t="s" ph="1">
        <v>251</v>
      </c>
      <c r="AN161" s="64" t="s" ph="1">
        <v>252</v>
      </c>
      <c r="AO161" s="64" t="s" ph="1">
        <v>253</v>
      </c>
      <c r="AP161" s="64" t="s" ph="1">
        <v>251</v>
      </c>
      <c r="AQ161" s="64" t="s" ph="1">
        <v>252</v>
      </c>
      <c r="AR161" s="64" t="s" ph="1">
        <v>253</v>
      </c>
      <c r="AS161" s="64" t="s" ph="1">
        <v>251</v>
      </c>
      <c r="AT161" s="64" t="s" ph="1">
        <v>252</v>
      </c>
      <c r="AU161" s="64" t="s" ph="1">
        <v>253</v>
      </c>
      <c r="AV161" s="64" t="s" ph="1">
        <v>251</v>
      </c>
      <c r="AW161" s="64" t="s" ph="1">
        <v>252</v>
      </c>
      <c r="AX161" s="64" t="s" ph="1">
        <v>253</v>
      </c>
      <c r="AY161" s="64" t="s" ph="1">
        <v>252</v>
      </c>
      <c r="AZ161" s="64" t="s" ph="1">
        <v>254</v>
      </c>
    </row>
    <row r="162" spans="33:52" ph="1">
      <c r="AH162" s="64" ph="1">
        <v>1</v>
      </c>
      <c r="AI162" s="64" t="s" ph="1">
        <v>595</v>
      </c>
      <c r="AJ162" s="64" t="s" ph="1">
        <v>596</v>
      </c>
      <c r="AK162" s="64" t="s" ph="1">
        <v>540</v>
      </c>
      <c r="AM162" s="64" t="s" ph="1">
        <v>597</v>
      </c>
      <c r="AN162" s="64" t="s" ph="1">
        <v>261</v>
      </c>
      <c r="AO162" s="64" t="s" ph="1">
        <v>598</v>
      </c>
      <c r="AY162" s="64" t="s" ph="1">
        <v>257</v>
      </c>
      <c r="AZ162" s="64" t="s" ph="1">
        <v>333</v>
      </c>
    </row>
    <row r="163" spans="33:52" ph="1">
      <c r="AH163" s="64" ph="1">
        <v>2</v>
      </c>
      <c r="AI163" s="64" t="s" ph="1">
        <v>599</v>
      </c>
      <c r="AJ163" s="64" t="s" ph="1">
        <v>596</v>
      </c>
      <c r="AK163" s="64" t="s" ph="1">
        <v>429</v>
      </c>
      <c r="AY163" s="64" t="s" ph="1">
        <v>257</v>
      </c>
      <c r="AZ163" s="64" t="s" ph="1">
        <v>429</v>
      </c>
    </row>
    <row r="164" spans="33:52" ph="1">
      <c r="AH164" s="64" ph="1">
        <v>3</v>
      </c>
      <c r="AI164" s="64" t="s" ph="1">
        <v>600</v>
      </c>
      <c r="AJ164" s="64" t="s" ph="1">
        <v>596</v>
      </c>
      <c r="AK164" s="64" t="s" ph="1">
        <v>333</v>
      </c>
      <c r="AY164" s="64" t="s" ph="1">
        <v>257</v>
      </c>
      <c r="AZ164" s="64" t="s" ph="1">
        <v>333</v>
      </c>
    </row>
    <row r="165" spans="33:52" ph="1">
      <c r="AH165" s="64" ph="1">
        <v>4</v>
      </c>
      <c r="AI165" s="64" t="s" ph="1">
        <v>601</v>
      </c>
      <c r="AY165" s="64" t="s" ph="1">
        <v>257</v>
      </c>
      <c r="AZ165" s="64" t="s" ph="1">
        <v>408</v>
      </c>
    </row>
    <row r="166" spans="33:52" ph="1">
      <c r="AH166" s="64" ph="1">
        <v>5</v>
      </c>
      <c r="AI166" s="64" t="s" ph="1">
        <v>602</v>
      </c>
      <c r="AY166" s="64" t="s" ph="1">
        <v>257</v>
      </c>
      <c r="AZ166" s="64" t="s" ph="1">
        <v>408</v>
      </c>
    </row>
    <row r="167" spans="33:52" ph="1">
      <c r="AZ167" s="64" t="s" ph="1">
        <v>603</v>
      </c>
    </row>
    <row r="168" spans="33:52" ph="1">
      <c r="AG168" s="64" t="s" ph="1">
        <v>346</v>
      </c>
      <c r="AI168" s="64" t="s" ph="1">
        <v>250</v>
      </c>
      <c r="AJ168" s="64" t="s" ph="1">
        <v>251</v>
      </c>
      <c r="AK168" s="64" t="s" ph="1">
        <v>252</v>
      </c>
      <c r="AM168" s="64" t="s" ph="1">
        <v>251</v>
      </c>
      <c r="AN168" s="64" t="s" ph="1">
        <v>252</v>
      </c>
      <c r="AO168" s="64" t="s" ph="1">
        <v>253</v>
      </c>
      <c r="AP168" s="64" t="s" ph="1">
        <v>251</v>
      </c>
      <c r="AQ168" s="64" t="s" ph="1">
        <v>252</v>
      </c>
      <c r="AR168" s="64" t="s" ph="1">
        <v>253</v>
      </c>
      <c r="AS168" s="64" t="s" ph="1">
        <v>251</v>
      </c>
      <c r="AT168" s="64" t="s" ph="1">
        <v>252</v>
      </c>
      <c r="AU168" s="64" t="s" ph="1">
        <v>253</v>
      </c>
      <c r="AV168" s="64" t="s" ph="1">
        <v>251</v>
      </c>
      <c r="AW168" s="64" t="s" ph="1">
        <v>252</v>
      </c>
      <c r="AX168" s="64" t="s" ph="1">
        <v>253</v>
      </c>
      <c r="AY168" s="64" t="s" ph="1">
        <v>252</v>
      </c>
      <c r="AZ168" s="64" t="s" ph="1">
        <v>254</v>
      </c>
    </row>
    <row r="169" spans="33:52" ph="1">
      <c r="AH169" s="64" ph="1">
        <v>1</v>
      </c>
      <c r="AI169" s="64" t="s" ph="1">
        <v>604</v>
      </c>
      <c r="AY169" s="64" t="s" ph="1">
        <v>257</v>
      </c>
      <c r="AZ169" s="64" t="s" ph="1">
        <v>408</v>
      </c>
    </row>
    <row r="170" spans="33:52" ph="1">
      <c r="AH170" s="64" ph="1">
        <v>2</v>
      </c>
      <c r="AI170" s="64" t="s" ph="1">
        <v>605</v>
      </c>
      <c r="AY170" s="64" t="s" ph="1">
        <v>257</v>
      </c>
      <c r="AZ170" s="64" t="s" ph="1">
        <v>408</v>
      </c>
    </row>
    <row r="171" spans="33:52" ph="1">
      <c r="AH171" s="64" ph="1">
        <v>3</v>
      </c>
      <c r="AI171" s="64" t="s" ph="1">
        <v>606</v>
      </c>
      <c r="AY171" s="64" t="s" ph="1">
        <v>257</v>
      </c>
      <c r="AZ171" s="64" t="s" ph="1">
        <v>408</v>
      </c>
    </row>
    <row r="172" spans="33:52" ph="1">
      <c r="AH172" s="64" ph="1">
        <v>4</v>
      </c>
      <c r="AI172" s="64" t="s" ph="1">
        <v>607</v>
      </c>
      <c r="AY172" s="64" t="s" ph="1">
        <v>257</v>
      </c>
      <c r="AZ172" s="64" t="s" ph="1">
        <v>408</v>
      </c>
    </row>
    <row r="173" spans="33:52" ph="1">
      <c r="AH173" s="64" ph="1">
        <v>5</v>
      </c>
      <c r="AI173" s="64" t="s" ph="1">
        <v>608</v>
      </c>
      <c r="AY173" s="64" t="s" ph="1">
        <v>257</v>
      </c>
      <c r="AZ173" s="64" t="s" ph="1">
        <v>408</v>
      </c>
    </row>
    <row r="174" spans="33:52" ph="1">
      <c r="AZ174" s="64" t="s" ph="1">
        <v>426</v>
      </c>
    </row>
    <row r="175" spans="33:52" ph="1">
      <c r="AJ175" s="64" t="s" ph="1">
        <v>347</v>
      </c>
    </row>
    <row r="176" spans="33:52" ph="1">
      <c r="AJ176" s="64" t="s" ph="1">
        <v>348</v>
      </c>
      <c r="AK176" s="64" t="s" ph="1">
        <v>349</v>
      </c>
      <c r="AM176" s="64" t="s" ph="1">
        <v>350</v>
      </c>
      <c r="AO176" s="64" t="s" ph="1">
        <v>351</v>
      </c>
      <c r="AP176" s="64" t="s" ph="1">
        <v>352</v>
      </c>
      <c r="AQ176" s="64" t="s" ph="1">
        <v>342</v>
      </c>
      <c r="AR176" s="64" t="s" ph="1">
        <v>262</v>
      </c>
    </row>
    <row r="177" spans="36:56" ph="1">
      <c r="AJ177" s="64" t="s" ph="1">
        <v>644</v>
      </c>
      <c r="AK177" s="64" t="s" ph="1">
        <v>353</v>
      </c>
      <c r="AO177" s="64" t="s" ph="1">
        <v>353</v>
      </c>
      <c r="AP177" s="64" t="s" ph="1">
        <v>353</v>
      </c>
      <c r="AQ177" s="64" t="s" ph="1">
        <v>354</v>
      </c>
      <c r="AR177" s="64" t="s" ph="1">
        <v>355</v>
      </c>
    </row>
    <row r="179" spans="36:56" ph="1">
      <c r="AJ179" s="64" t="s" ph="1">
        <v>356</v>
      </c>
      <c r="AK179" s="64" t="s" ph="1">
        <v>357</v>
      </c>
      <c r="AM179" s="64" t="s" ph="1">
        <v>358</v>
      </c>
      <c r="AN179" s="64" t="s" ph="1">
        <v>334</v>
      </c>
      <c r="AO179" s="64" t="s" ph="1">
        <v>359</v>
      </c>
      <c r="AP179" s="64" t="s" ph="1">
        <v>338</v>
      </c>
      <c r="AQ179" s="64" t="s" ph="1">
        <v>360</v>
      </c>
      <c r="AR179" s="64" t="s" ph="1">
        <v>361</v>
      </c>
    </row>
    <row r="180" spans="36:56" ph="1">
      <c r="AJ180" s="64" t="s" ph="1">
        <v>353</v>
      </c>
      <c r="AK180" s="64" t="s" ph="1">
        <v>353</v>
      </c>
      <c r="AL180" s="64" ph="1">
        <v>116</v>
      </c>
      <c r="AM180" s="64" t="s" ph="1">
        <v>353</v>
      </c>
      <c r="AN180" s="64" t="s" ph="1">
        <v>362</v>
      </c>
      <c r="AO180" s="64" t="s" ph="1">
        <v>353</v>
      </c>
      <c r="AP180" s="64" t="s" ph="1">
        <v>363</v>
      </c>
      <c r="AQ180" s="64" t="s" ph="1">
        <v>364</v>
      </c>
      <c r="AR180" s="64" t="s" ph="1">
        <v>365</v>
      </c>
    </row>
    <row r="189" spans="36:56" ph="1">
      <c r="BD189" s="64" t="s" ph="1">
        <v>609</v>
      </c>
    </row>
    <row r="223" spans="18:18" ph="1">
      <c r="R223" s="138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511" priority="96">
      <formula>ABS(D$7-D$10)&gt;=1000</formula>
    </cfRule>
  </conditionalFormatting>
  <conditionalFormatting sqref="E4 E6:E11">
    <cfRule type="expression" dxfId="1510" priority="95">
      <formula>ABS(E$7-E$10)&gt;=1000</formula>
    </cfRule>
  </conditionalFormatting>
  <conditionalFormatting sqref="F4:F11">
    <cfRule type="expression" dxfId="1509" priority="94">
      <formula>ABS(F$7-F$10)&gt;=1000</formula>
    </cfRule>
  </conditionalFormatting>
  <conditionalFormatting sqref="G4:G11">
    <cfRule type="expression" dxfId="1508" priority="93">
      <formula>ABS(G$7-G$10)&gt;=1000</formula>
    </cfRule>
  </conditionalFormatting>
  <conditionalFormatting sqref="H4:H11">
    <cfRule type="expression" dxfId="1507" priority="92">
      <formula>ABS(H$7-H$10)&gt;=1000</formula>
    </cfRule>
  </conditionalFormatting>
  <conditionalFormatting sqref="I4:I11">
    <cfRule type="expression" dxfId="1506" priority="91">
      <formula>ABS(I$7-I$10)&gt;=1000</formula>
    </cfRule>
  </conditionalFormatting>
  <conditionalFormatting sqref="J4:J11">
    <cfRule type="expression" dxfId="1505" priority="90">
      <formula>ABS(J$7-J$10)&gt;=1000</formula>
    </cfRule>
  </conditionalFormatting>
  <conditionalFormatting sqref="K4:K11">
    <cfRule type="expression" dxfId="1504" priority="89">
      <formula>ABS(K$7-K$10)&gt;=1000</formula>
    </cfRule>
  </conditionalFormatting>
  <conditionalFormatting sqref="L4:L11">
    <cfRule type="expression" dxfId="1503" priority="88">
      <formula>ABS(L$7-L$10)&gt;=1000</formula>
    </cfRule>
  </conditionalFormatting>
  <conditionalFormatting sqref="M4 M6:M11">
    <cfRule type="expression" dxfId="1502" priority="87">
      <formula>ABS(M$7-M$10)&gt;=1000</formula>
    </cfRule>
  </conditionalFormatting>
  <conditionalFormatting sqref="N4 N6:N11">
    <cfRule type="expression" dxfId="1501" priority="86">
      <formula>ABS(N$7-N$10)&gt;=1000</formula>
    </cfRule>
  </conditionalFormatting>
  <conditionalFormatting sqref="O4 O6:O11">
    <cfRule type="expression" dxfId="1500" priority="85">
      <formula>ABS(O$7-O$10)&gt;=1000</formula>
    </cfRule>
  </conditionalFormatting>
  <conditionalFormatting sqref="P4 P6:P11">
    <cfRule type="expression" dxfId="1499" priority="84">
      <formula>ABS(P$7-P$10)&gt;=1000</formula>
    </cfRule>
  </conditionalFormatting>
  <conditionalFormatting sqref="Q4:Q11">
    <cfRule type="expression" dxfId="1498" priority="83">
      <formula>ABS(Q$7-Q$10)&gt;=1000</formula>
    </cfRule>
  </conditionalFormatting>
  <conditionalFormatting sqref="R4:R11">
    <cfRule type="expression" dxfId="1497" priority="82">
      <formula>ABS(R$7-R$10)&gt;=1000</formula>
    </cfRule>
  </conditionalFormatting>
  <conditionalFormatting sqref="S4:S11">
    <cfRule type="expression" dxfId="1496" priority="81">
      <formula>ABS(S$7-S$10)&gt;=1000</formula>
    </cfRule>
  </conditionalFormatting>
  <conditionalFormatting sqref="T4:T9 T11">
    <cfRule type="expression" dxfId="1495" priority="80">
      <formula>ABS(T$7-T$10)&gt;=1000</formula>
    </cfRule>
  </conditionalFormatting>
  <conditionalFormatting sqref="U4:U9 U11">
    <cfRule type="expression" dxfId="1494" priority="79">
      <formula>ABS(U$7-U$10)&gt;=1000</formula>
    </cfRule>
  </conditionalFormatting>
  <conditionalFormatting sqref="V4:V9 V11">
    <cfRule type="expression" dxfId="1493" priority="78">
      <formula>ABS(V$7-V$10)&gt;=1000</formula>
    </cfRule>
  </conditionalFormatting>
  <conditionalFormatting sqref="W4:W9 W11">
    <cfRule type="expression" dxfId="1492" priority="77">
      <formula>ABS(W$7-W$10)&gt;=1000</formula>
    </cfRule>
  </conditionalFormatting>
  <conditionalFormatting sqref="X4:X9 X11">
    <cfRule type="expression" dxfId="1491" priority="76">
      <formula>ABS(X$7-X$10)&gt;=1000</formula>
    </cfRule>
  </conditionalFormatting>
  <conditionalFormatting sqref="Y4:Y9 Y11">
    <cfRule type="expression" dxfId="1490" priority="75">
      <formula>ABS(Y$7-Y$10)&gt;=1000</formula>
    </cfRule>
  </conditionalFormatting>
  <conditionalFormatting sqref="Z4:Z11">
    <cfRule type="expression" dxfId="1489" priority="74">
      <formula>ABS(Z$7-Z$10)&gt;=1000</formula>
    </cfRule>
  </conditionalFormatting>
  <conditionalFormatting sqref="AA4:AA11">
    <cfRule type="expression" dxfId="1488" priority="73">
      <formula>ABS(AA$7-AA$10)&gt;=1000</formula>
    </cfRule>
  </conditionalFormatting>
  <conditionalFormatting sqref="AB4:AB11">
    <cfRule type="expression" dxfId="1487" priority="72">
      <formula>ABS(AB$7-AB$10)&gt;=1000</formula>
    </cfRule>
  </conditionalFormatting>
  <conditionalFormatting sqref="AC4 AC6:AC11">
    <cfRule type="expression" dxfId="1486" priority="71">
      <formula>ABS(AC$7-AC$10)&gt;=1000</formula>
    </cfRule>
  </conditionalFormatting>
  <conditionalFormatting sqref="AD4:AD11">
    <cfRule type="expression" dxfId="1485" priority="70">
      <formula>ABS(AD$7-AD$10)&gt;=1000</formula>
    </cfRule>
  </conditionalFormatting>
  <conditionalFormatting sqref="AE4:AE11">
    <cfRule type="expression" dxfId="1484" priority="69">
      <formula>ABS(AE$7-AE$10)&gt;=1000</formula>
    </cfRule>
  </conditionalFormatting>
  <conditionalFormatting sqref="D13:D20">
    <cfRule type="expression" dxfId="1483" priority="68">
      <formula>ABS(D$16-D$19)&gt;=1000</formula>
    </cfRule>
  </conditionalFormatting>
  <conditionalFormatting sqref="E13:E20">
    <cfRule type="expression" dxfId="1482" priority="67">
      <formula>ABS(E$16-E$19)&gt;=1000</formula>
    </cfRule>
  </conditionalFormatting>
  <conditionalFormatting sqref="F13 F15:F20">
    <cfRule type="expression" dxfId="1481" priority="66">
      <formula>ABS(F$16-F$19)&gt;=1000</formula>
    </cfRule>
  </conditionalFormatting>
  <conditionalFormatting sqref="G13:G20">
    <cfRule type="expression" dxfId="1480" priority="65">
      <formula>ABS(G$16-G$19)&gt;=1000</formula>
    </cfRule>
  </conditionalFormatting>
  <conditionalFormatting sqref="H13:H20">
    <cfRule type="expression" dxfId="1479" priority="64">
      <formula>ABS(H$16-H$19)&gt;=1000</formula>
    </cfRule>
  </conditionalFormatting>
  <conditionalFormatting sqref="I13:I20">
    <cfRule type="expression" dxfId="1478" priority="63">
      <formula>ABS(I$16-I$19)&gt;=1000</formula>
    </cfRule>
  </conditionalFormatting>
  <conditionalFormatting sqref="J13:J20">
    <cfRule type="expression" dxfId="1477" priority="62">
      <formula>ABS(J$16-J$19)&gt;=1000</formula>
    </cfRule>
  </conditionalFormatting>
  <conditionalFormatting sqref="L13:L20">
    <cfRule type="expression" dxfId="1476" priority="61">
      <formula>ABS(L$16-L$19)&gt;=1000</formula>
    </cfRule>
  </conditionalFormatting>
  <conditionalFormatting sqref="M13 M15 M17:M18 M20">
    <cfRule type="expression" dxfId="1475" priority="60">
      <formula>ABS(M$16-M$19)&gt;=1000</formula>
    </cfRule>
  </conditionalFormatting>
  <conditionalFormatting sqref="N13:N20">
    <cfRule type="expression" dxfId="1474" priority="59">
      <formula>ABS(N$16-N$19)&gt;=1000</formula>
    </cfRule>
  </conditionalFormatting>
  <conditionalFormatting sqref="O13:O20">
    <cfRule type="expression" dxfId="1473" priority="58">
      <formula>ABS(O$16-O$19)&gt;=1000</formula>
    </cfRule>
  </conditionalFormatting>
  <conditionalFormatting sqref="P13:P20">
    <cfRule type="expression" dxfId="1472" priority="57">
      <formula>ABS(P$16-P$19)&gt;=1000</formula>
    </cfRule>
  </conditionalFormatting>
  <conditionalFormatting sqref="Q13 Q15:Q20">
    <cfRule type="expression" dxfId="1471" priority="56">
      <formula>ABS(Q$16-Q$19)&gt;=1000</formula>
    </cfRule>
  </conditionalFormatting>
  <conditionalFormatting sqref="R13:R20">
    <cfRule type="expression" dxfId="1470" priority="55">
      <formula>ABS(R$16-R$19)&gt;=1000</formula>
    </cfRule>
  </conditionalFormatting>
  <conditionalFormatting sqref="S13:S20">
    <cfRule type="expression" dxfId="1469" priority="54">
      <formula>ABS(S$16-S$19)&gt;=1000</formula>
    </cfRule>
  </conditionalFormatting>
  <conditionalFormatting sqref="T13:T20">
    <cfRule type="expression" dxfId="1468" priority="53">
      <formula>ABS(T$16-T$19)&gt;=1000</formula>
    </cfRule>
  </conditionalFormatting>
  <conditionalFormatting sqref="U13:U20">
    <cfRule type="expression" dxfId="1467" priority="52">
      <formula>ABS(U$16-U$19)&gt;=1000</formula>
    </cfRule>
  </conditionalFormatting>
  <conditionalFormatting sqref="V13:V20">
    <cfRule type="expression" dxfId="1466" priority="51">
      <formula>ABS(V$16-V$19)&gt;=1000</formula>
    </cfRule>
  </conditionalFormatting>
  <conditionalFormatting sqref="W13 W15:W18 W20">
    <cfRule type="expression" dxfId="1465" priority="50">
      <formula>ABS(W$16-W$19)&gt;=1000</formula>
    </cfRule>
  </conditionalFormatting>
  <conditionalFormatting sqref="X13 X15:X20 Y19">
    <cfRule type="expression" dxfId="1464" priority="49">
      <formula>ABS(X$16-X$19)&gt;=1000</formula>
    </cfRule>
  </conditionalFormatting>
  <conditionalFormatting sqref="Y13 Y15:Y18 Y20">
    <cfRule type="expression" dxfId="1463" priority="48">
      <formula>ABS(Y$16-Y$19)&gt;=1000</formula>
    </cfRule>
  </conditionalFormatting>
  <conditionalFormatting sqref="Z13:Z20">
    <cfRule type="expression" dxfId="1462" priority="47">
      <formula>ABS(Z$16-Z$19)&gt;=1000</formula>
    </cfRule>
  </conditionalFormatting>
  <conditionalFormatting sqref="AA13:AA20">
    <cfRule type="expression" dxfId="1461" priority="46">
      <formula>ABS(AA$16-AA$19)&gt;=1000</formula>
    </cfRule>
  </conditionalFormatting>
  <conditionalFormatting sqref="AB13 AB15:AB20">
    <cfRule type="expression" dxfId="1460" priority="45">
      <formula>ABS(AB$16-AB$19)&gt;=1000</formula>
    </cfRule>
  </conditionalFormatting>
  <conditionalFormatting sqref="AC13 AC15:AC20">
    <cfRule type="expression" dxfId="1459" priority="44">
      <formula>ABS(AC$16-AC$19)&gt;=1000</formula>
    </cfRule>
  </conditionalFormatting>
  <conditionalFormatting sqref="AD13:AD20">
    <cfRule type="expression" dxfId="1458" priority="43">
      <formula>ABS(AD$16-AD$19)&gt;=1000</formula>
    </cfRule>
  </conditionalFormatting>
  <conditionalFormatting sqref="AE13:AE20">
    <cfRule type="expression" dxfId="1457" priority="42">
      <formula>ABS(AE$16-AE$19)&gt;=1000</formula>
    </cfRule>
  </conditionalFormatting>
  <conditionalFormatting sqref="D22:D29">
    <cfRule type="expression" dxfId="1456" priority="41">
      <formula>ABS(D$25-D$28)&gt;=1000</formula>
    </cfRule>
  </conditionalFormatting>
  <conditionalFormatting sqref="E22:E29">
    <cfRule type="expression" dxfId="1455" priority="40">
      <formula>ABS(E$25-E$28)&gt;=1000</formula>
    </cfRule>
  </conditionalFormatting>
  <conditionalFormatting sqref="F22:F29">
    <cfRule type="expression" dxfId="1454" priority="39">
      <formula>ABS(F$25-F$28)&gt;=1000</formula>
    </cfRule>
  </conditionalFormatting>
  <conditionalFormatting sqref="G22:G29">
    <cfRule type="expression" dxfId="1453" priority="38">
      <formula>ABS(G$25-G$28)&gt;=1000</formula>
    </cfRule>
  </conditionalFormatting>
  <conditionalFormatting sqref="H22:H29">
    <cfRule type="expression" dxfId="1452" priority="37">
      <formula>ABS(H$25-H$28)&gt;=1000</formula>
    </cfRule>
  </conditionalFormatting>
  <conditionalFormatting sqref="I22 I24:I29">
    <cfRule type="expression" dxfId="1451" priority="36">
      <formula>ABS(I$25-I$28)&gt;=1000</formula>
    </cfRule>
  </conditionalFormatting>
  <conditionalFormatting sqref="J22:J29 K22">
    <cfRule type="expression" dxfId="1450" priority="35">
      <formula>ABS(J$25-J$28)&gt;=1000</formula>
    </cfRule>
  </conditionalFormatting>
  <conditionalFormatting sqref="K23:K29 L25 L28">
    <cfRule type="expression" dxfId="1449" priority="34">
      <formula>ABS(K$25-K$28)&gt;=1000</formula>
    </cfRule>
  </conditionalFormatting>
  <conditionalFormatting sqref="L22:L24 L26:L27 L29">
    <cfRule type="expression" dxfId="1448" priority="33">
      <formula>ABS(L$25-L$28)&gt;=1000</formula>
    </cfRule>
  </conditionalFormatting>
  <conditionalFormatting sqref="M22:M29">
    <cfRule type="expression" dxfId="1447" priority="32">
      <formula>ABS(M$25-M$28)&gt;=1000</formula>
    </cfRule>
  </conditionalFormatting>
  <conditionalFormatting sqref="N22:N29">
    <cfRule type="expression" dxfId="1446" priority="31">
      <formula>ABS(N$25-N$28)&gt;=1000</formula>
    </cfRule>
  </conditionalFormatting>
  <conditionalFormatting sqref="O22:O29">
    <cfRule type="expression" dxfId="1445" priority="30">
      <formula>ABS(O$25-O$28)&gt;=1000</formula>
    </cfRule>
  </conditionalFormatting>
  <conditionalFormatting sqref="P22:P29">
    <cfRule type="expression" dxfId="1444" priority="29">
      <formula>ABS(P$25-P$28)&gt;=1000</formula>
    </cfRule>
  </conditionalFormatting>
  <conditionalFormatting sqref="Q22:Q29">
    <cfRule type="expression" dxfId="1443" priority="28">
      <formula>ABS(Q$25-Q$28)&gt;=1000</formula>
    </cfRule>
  </conditionalFormatting>
  <conditionalFormatting sqref="R22:R29">
    <cfRule type="expression" dxfId="1442" priority="27">
      <formula>ABS(R$25-R$28)&gt;=1000</formula>
    </cfRule>
  </conditionalFormatting>
  <conditionalFormatting sqref="S22:S29">
    <cfRule type="expression" dxfId="1441" priority="26">
      <formula>ABS(S$25-S$28)&gt;=1000</formula>
    </cfRule>
  </conditionalFormatting>
  <conditionalFormatting sqref="T22:T29">
    <cfRule type="expression" dxfId="1440" priority="25">
      <formula>ABS(T$25-T$28)&gt;=1000</formula>
    </cfRule>
  </conditionalFormatting>
  <conditionalFormatting sqref="U22:U29">
    <cfRule type="expression" dxfId="1439" priority="24">
      <formula>ABS(U$25-U$28)&gt;=1000</formula>
    </cfRule>
  </conditionalFormatting>
  <conditionalFormatting sqref="V22:V29">
    <cfRule type="expression" dxfId="1438" priority="23">
      <formula>ABS(V$25-V$28)&gt;=1000</formula>
    </cfRule>
  </conditionalFormatting>
  <conditionalFormatting sqref="W22:W29">
    <cfRule type="expression" dxfId="1437" priority="22">
      <formula>ABS(W$25-W$28)&gt;=1000</formula>
    </cfRule>
  </conditionalFormatting>
  <conditionalFormatting sqref="X22:X29">
    <cfRule type="expression" dxfId="1436" priority="21">
      <formula>ABS(X$25-X$28)&gt;=1000</formula>
    </cfRule>
  </conditionalFormatting>
  <conditionalFormatting sqref="Y22:Y29">
    <cfRule type="expression" dxfId="1435" priority="20">
      <formula>ABS(Y$25-Y$28)&gt;=1000</formula>
    </cfRule>
  </conditionalFormatting>
  <conditionalFormatting sqref="I23">
    <cfRule type="expression" dxfId="1434" priority="19">
      <formula>ABS(I$25-I$28)&gt;=1000</formula>
    </cfRule>
  </conditionalFormatting>
  <conditionalFormatting sqref="F14">
    <cfRule type="expression" dxfId="1433" priority="18">
      <formula>ABS(F$16-F$19)&gt;=1000</formula>
    </cfRule>
  </conditionalFormatting>
  <conditionalFormatting sqref="Q14">
    <cfRule type="expression" dxfId="1432" priority="17">
      <formula>ABS(Q$16-Q$19)&gt;=1000</formula>
    </cfRule>
  </conditionalFormatting>
  <conditionalFormatting sqref="W14">
    <cfRule type="expression" dxfId="1431" priority="16">
      <formula>ABS(W$16-W$19)&gt;=1000</formula>
    </cfRule>
  </conditionalFormatting>
  <conditionalFormatting sqref="Y14">
    <cfRule type="expression" dxfId="1430" priority="15">
      <formula>ABS(Y$16-Y$19)&gt;=1000</formula>
    </cfRule>
  </conditionalFormatting>
  <conditionalFormatting sqref="X14">
    <cfRule type="expression" dxfId="1429" priority="14">
      <formula>ABS(X$16-X$19)&gt;=1000</formula>
    </cfRule>
  </conditionalFormatting>
  <conditionalFormatting sqref="T10:Y10">
    <cfRule type="expression" dxfId="1428" priority="13">
      <formula>ABS(T$7-T$10)&gt;=1000</formula>
    </cfRule>
  </conditionalFormatting>
  <conditionalFormatting sqref="W19">
    <cfRule type="expression" dxfId="1427" priority="12">
      <formula>ABS(W$16-W$19)&gt;=1000</formula>
    </cfRule>
  </conditionalFormatting>
  <conditionalFormatting sqref="AC5">
    <cfRule type="expression" dxfId="1426" priority="11">
      <formula>ABS(AC$7-AC$10)&gt;=1000</formula>
    </cfRule>
  </conditionalFormatting>
  <conditionalFormatting sqref="M14">
    <cfRule type="expression" dxfId="1425" priority="10">
      <formula>ABS(M$16-M$19)&gt;=1000</formula>
    </cfRule>
  </conditionalFormatting>
  <conditionalFormatting sqref="M16">
    <cfRule type="expression" dxfId="1424" priority="9">
      <formula>ABS(M$16-M$19)&gt;=1000</formula>
    </cfRule>
  </conditionalFormatting>
  <conditionalFormatting sqref="M19">
    <cfRule type="expression" dxfId="1423" priority="8">
      <formula>ABS(M$16-M$19)&gt;=1000</formula>
    </cfRule>
  </conditionalFormatting>
  <conditionalFormatting sqref="K13:K20">
    <cfRule type="expression" dxfId="1422" priority="7">
      <formula>ABS(K$16-K$19)&gt;=1000</formula>
    </cfRule>
  </conditionalFormatting>
  <conditionalFormatting sqref="E5">
    <cfRule type="expression" dxfId="1421" priority="6">
      <formula>ABS(E$7-E$10)&gt;=1000</formula>
    </cfRule>
  </conditionalFormatting>
  <conditionalFormatting sqref="AB14:AC14">
    <cfRule type="expression" dxfId="1420" priority="5">
      <formula>ABS(AB$16-AB$19)&gt;=1000</formula>
    </cfRule>
  </conditionalFormatting>
  <conditionalFormatting sqref="M5">
    <cfRule type="expression" dxfId="1419" priority="4">
      <formula>ABS(M$7-M$10)&gt;=1000</formula>
    </cfRule>
  </conditionalFormatting>
  <conditionalFormatting sqref="N5">
    <cfRule type="expression" dxfId="1418" priority="3">
      <formula>ABS(N$7-N$10)&gt;=1000</formula>
    </cfRule>
  </conditionalFormatting>
  <conditionalFormatting sqref="O5">
    <cfRule type="expression" dxfId="1417" priority="2">
      <formula>ABS(O$7-O$10)&gt;=1000</formula>
    </cfRule>
  </conditionalFormatting>
  <conditionalFormatting sqref="P5">
    <cfRule type="expression" dxfId="1416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9616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73">
    <pageSetUpPr fitToPage="1"/>
  </sheetPr>
  <dimension ref="A1:CU223"/>
  <sheetViews>
    <sheetView view="pageBreakPreview" topLeftCell="A10" zoomScale="70" zoomScaleNormal="100" zoomScaleSheetLayoutView="70" workbookViewId="0">
      <selection activeCell="Z23" sqref="Z23:AE29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08" t="s" ph="1">
        <v>192</v>
      </c>
      <c r="C1" s="208" ph="1"/>
      <c r="D1" s="208" ph="1"/>
      <c r="E1" s="208" ph="1"/>
      <c r="F1" s="208" ph="1"/>
      <c r="G1" s="208" ph="1"/>
      <c r="H1" s="208" ph="1"/>
      <c r="I1" s="208" ph="1"/>
      <c r="J1" s="208" ph="1"/>
      <c r="K1" s="208" ph="1"/>
      <c r="L1" s="208" ph="1"/>
      <c r="M1" s="208" ph="1"/>
      <c r="N1" s="208" ph="1"/>
      <c r="O1" s="208" ph="1"/>
      <c r="P1" s="208" ph="1"/>
      <c r="Q1" s="208" ph="1"/>
      <c r="R1" s="208" ph="1"/>
      <c r="S1" s="208" ph="1"/>
      <c r="T1" s="208" ph="1"/>
      <c r="U1" s="208" ph="1"/>
      <c r="V1" s="208" ph="1"/>
      <c r="W1" s="208" ph="1"/>
      <c r="X1" s="208" ph="1"/>
      <c r="Y1" s="208" ph="1"/>
      <c r="Z1" s="208" ph="1"/>
      <c r="AA1" s="208" ph="1"/>
      <c r="AB1" s="208" ph="1"/>
      <c r="AC1" s="208" ph="1"/>
      <c r="AD1" s="208" ph="1"/>
      <c r="AE1" s="208" ph="1"/>
    </row>
    <row r="2" spans="1:99" s="66" customFormat="1" ht="24" customHeight="1" ph="1">
      <c r="B2" s="209" t="s" ph="1">
        <v>99</v>
      </c>
      <c r="C2" s="209" ph="1"/>
      <c r="D2" s="209" ph="1"/>
      <c r="E2" s="209" ph="1"/>
      <c r="F2" s="209" ph="1"/>
      <c r="G2" s="209" ph="1"/>
      <c r="H2" s="209" ph="1"/>
      <c r="I2" s="209" ph="1"/>
      <c r="J2" s="209" ph="1"/>
      <c r="K2" s="209" ph="1"/>
      <c r="L2" s="209" ph="1"/>
      <c r="M2" s="209" ph="1"/>
      <c r="N2" s="209" ph="1"/>
      <c r="O2" s="209" ph="1"/>
      <c r="P2" s="209" ph="1"/>
      <c r="Q2" s="209" ph="1"/>
      <c r="R2" s="209" ph="1"/>
      <c r="S2" s="209" ph="1"/>
      <c r="T2" s="209" ph="1"/>
      <c r="U2" s="209" ph="1"/>
      <c r="V2" s="209" ph="1"/>
      <c r="W2" s="209" ph="1"/>
      <c r="X2" s="209" ph="1"/>
      <c r="Y2" s="209" ph="1"/>
      <c r="Z2" s="209" ph="1"/>
      <c r="AA2" s="209" ph="1"/>
      <c r="AB2" s="209" ph="1"/>
      <c r="AC2" s="209" ph="1"/>
      <c r="AD2" s="209" ph="1"/>
      <c r="AE2" s="209" ph="1"/>
    </row>
    <row r="3" spans="1:99" ht="21" customHeight="1" ph="1">
      <c r="B3" s="210" ph="1">
        <v>45701</v>
      </c>
      <c r="C3" s="210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210"/>
      <c r="R3" s="210"/>
      <c r="S3" s="210"/>
      <c r="T3" s="210"/>
      <c r="U3" s="210"/>
      <c r="V3" s="210"/>
      <c r="W3" s="210"/>
      <c r="X3" s="210"/>
      <c r="Y3" s="210"/>
      <c r="Z3" s="210"/>
      <c r="AA3" s="210"/>
      <c r="AB3" s="210"/>
      <c r="AC3" s="210"/>
      <c r="AD3" s="210"/>
      <c r="AE3" s="210"/>
    </row>
    <row r="4" spans="1:99" s="69" customFormat="1" ph="1">
      <c r="A4" s="65" ph="1"/>
      <c r="B4" s="211" t="s" ph="1">
        <v>37</v>
      </c>
      <c r="C4" s="67" t="s" ph="1">
        <v>207</v>
      </c>
      <c r="D4" s="68" t="s" ph="1">
        <v>45</v>
      </c>
      <c r="E4" s="68" t="s" ph="1">
        <v>46</v>
      </c>
      <c r="F4" s="68" t="s" ph="1">
        <v>39</v>
      </c>
      <c r="G4" s="68" t="s" ph="1">
        <v>47</v>
      </c>
      <c r="H4" s="68" t="s" ph="1">
        <v>48</v>
      </c>
      <c r="I4" s="68" t="s" ph="1">
        <v>132</v>
      </c>
      <c r="J4" s="68" t="s" ph="1">
        <v>49</v>
      </c>
      <c r="K4" s="68" t="s" ph="1">
        <v>133</v>
      </c>
      <c r="L4" s="68" t="s" ph="1">
        <v>134</v>
      </c>
      <c r="M4" s="68" t="s" ph="1">
        <v>50</v>
      </c>
      <c r="N4" s="68" t="s" ph="1">
        <v>51</v>
      </c>
      <c r="O4" s="68" t="s" ph="1">
        <v>136</v>
      </c>
      <c r="P4" s="68" t="s" ph="1">
        <v>138</v>
      </c>
      <c r="Q4" s="68" t="s" ph="1">
        <v>139</v>
      </c>
      <c r="R4" s="68" t="s" ph="1">
        <v>140</v>
      </c>
      <c r="S4" s="68" t="s" ph="1">
        <v>141</v>
      </c>
      <c r="T4" s="68" t="s" ph="1">
        <v>142</v>
      </c>
      <c r="U4" s="68" t="s" ph="1">
        <v>143</v>
      </c>
      <c r="V4" s="68" t="s" ph="1">
        <v>144</v>
      </c>
      <c r="W4" s="68" t="s" ph="1">
        <v>145</v>
      </c>
      <c r="X4" s="68" t="s" ph="1">
        <v>146</v>
      </c>
      <c r="Y4" s="68" t="s" ph="1">
        <v>147</v>
      </c>
      <c r="Z4" s="68" t="s" ph="1">
        <v>52</v>
      </c>
      <c r="AA4" s="68" t="s" ph="1">
        <v>148</v>
      </c>
      <c r="AB4" s="68" t="s" ph="1">
        <v>149</v>
      </c>
      <c r="AC4" s="68" t="s" ph="1">
        <v>150</v>
      </c>
      <c r="AD4" s="68" t="s" ph="1">
        <v>40</v>
      </c>
      <c r="AE4" s="68" t="s" ph="1">
        <v>151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1" ph="1"/>
      <c r="C5" s="67" t="s" ph="1">
        <v>36</v>
      </c>
      <c r="D5" s="70" t="s" ph="1">
        <v>191</v>
      </c>
      <c r="E5" s="70" t="s" ph="1">
        <v>7</v>
      </c>
      <c r="F5" s="70" t="s" ph="1">
        <v>1</v>
      </c>
      <c r="G5" s="70" t="s" ph="1">
        <v>7</v>
      </c>
      <c r="H5" s="70" t="s" ph="1">
        <v>7</v>
      </c>
      <c r="I5" s="70" t="s" ph="1">
        <v>657</v>
      </c>
      <c r="J5" s="70" t="s" ph="1">
        <v>658</v>
      </c>
      <c r="K5" s="70" t="s" ph="1">
        <v>660</v>
      </c>
      <c r="L5" s="70" t="s" ph="1">
        <v>662</v>
      </c>
      <c r="M5" s="70" t="s" ph="1">
        <v>657</v>
      </c>
      <c r="N5" s="70" t="s" ph="1">
        <v>658</v>
      </c>
      <c r="O5" s="70" t="s" ph="1">
        <v>660</v>
      </c>
      <c r="P5" s="70" t="s" ph="1">
        <v>662</v>
      </c>
      <c r="Q5" s="70" t="s" ph="1">
        <v>656</v>
      </c>
      <c r="R5" s="70" t="s" ph="1">
        <v>656</v>
      </c>
      <c r="S5" s="70" t="s" ph="1">
        <v>656</v>
      </c>
      <c r="T5" s="70" t="s" ph="1">
        <v>656</v>
      </c>
      <c r="U5" s="70" t="s" ph="1">
        <v>656</v>
      </c>
      <c r="V5" s="70" t="s" ph="1">
        <v>656</v>
      </c>
      <c r="W5" s="70" t="s" ph="1">
        <v>656</v>
      </c>
      <c r="X5" s="70" t="s" ph="1">
        <v>656</v>
      </c>
      <c r="Y5" s="70" t="s" ph="1">
        <v>656</v>
      </c>
      <c r="Z5" s="70" t="s" ph="1">
        <v>663</v>
      </c>
      <c r="AA5" s="70" t="s" ph="1">
        <v>62</v>
      </c>
      <c r="AB5" s="70" t="s" ph="1">
        <v>62</v>
      </c>
      <c r="AC5" s="70" t="s" ph="1">
        <v>664</v>
      </c>
      <c r="AD5" s="70" t="s" ph="1">
        <v>83</v>
      </c>
      <c r="AE5" s="70" t="s" ph="1">
        <v>654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07" ph="1">
        <v>0.33333333333333331</v>
      </c>
      <c r="C6" s="164" t="s" ph="1">
        <v>208</v>
      </c>
      <c r="D6" s="71">
        <v>1269</v>
      </c>
      <c r="E6" s="71">
        <v>0</v>
      </c>
      <c r="F6" s="71">
        <v>2327</v>
      </c>
      <c r="G6" s="71">
        <v>2356</v>
      </c>
      <c r="H6" s="71">
        <v>7897</v>
      </c>
      <c r="I6" s="71">
        <v>39.04</v>
      </c>
      <c r="J6" s="71">
        <v>7.81</v>
      </c>
      <c r="K6" s="71">
        <v>90.61</v>
      </c>
      <c r="L6" s="71">
        <v>42.51</v>
      </c>
      <c r="M6" s="71">
        <v>4518</v>
      </c>
      <c r="N6" s="71">
        <v>5349</v>
      </c>
      <c r="O6" s="71">
        <v>4949</v>
      </c>
      <c r="P6" s="71">
        <v>5831</v>
      </c>
      <c r="Q6" s="71">
        <v>2383</v>
      </c>
      <c r="R6" s="71">
        <v>0</v>
      </c>
      <c r="S6" s="71">
        <v>0</v>
      </c>
      <c r="T6" s="71">
        <v>0</v>
      </c>
      <c r="U6" s="71">
        <v>0</v>
      </c>
      <c r="V6" s="71">
        <v>3815</v>
      </c>
      <c r="W6" s="71">
        <v>7000</v>
      </c>
      <c r="X6" s="71">
        <v>6831</v>
      </c>
      <c r="Y6" s="71">
        <v>6618</v>
      </c>
      <c r="Z6" s="71">
        <v>3618</v>
      </c>
      <c r="AA6" s="71">
        <v>1626</v>
      </c>
      <c r="AB6" s="71">
        <v>2535</v>
      </c>
      <c r="AC6" s="71">
        <v>8734</v>
      </c>
      <c r="AD6" s="71">
        <v>265</v>
      </c>
      <c r="AE6" s="71">
        <v>1867</v>
      </c>
    </row>
    <row r="7" spans="1:99" s="72" customFormat="1" ht="22.5" ph="1">
      <c r="B7" s="207" ph="1"/>
      <c r="C7" s="68" t="s" ph="1">
        <v>209</v>
      </c>
      <c r="D7" s="73" ph="1">
        <f>D6*33.183*LOOKUP(D8,密度!$A$2:$A$50,密度!$Q$2:$Q$50)</f>
        <v>40194.941540580003</v>
      </c>
      <c r="E7" s="73" ph="1">
        <f>E6*51.53*LOOKUP(E8,密度!$A$2:$A$50,密度!$I$2:$I$50)</f>
        <v>0</v>
      </c>
      <c r="F7" s="73" ph="1">
        <f>F6*33.183*LOOKUP(F8,密度!$A$2:$A$50,密度!$C$2:$C$50)</f>
        <v>86158.551187799996</v>
      </c>
      <c r="G7" s="73" ph="1">
        <f xml:space="preserve"> (G6+2)*51.53*LOOKUP(G8,密度!$A$2:$A$50,密度!$B$2:$B$50)</f>
        <v>95857.456086000006</v>
      </c>
      <c r="H7" s="73" ph="1">
        <f>(H6)*51.53*LOOKUP(H8,密度!$A$2:$A$50,密度!$B$2:$B$50)</f>
        <v>323104.33354000002</v>
      </c>
      <c r="I7" s="73" ph="1">
        <f>I6*290.8*1.0267</f>
        <v>11655.952614399999</v>
      </c>
      <c r="J7" s="73" ph="1">
        <f>J6*290.8*0.7892</f>
        <v>1792.3900016000002</v>
      </c>
      <c r="K7" s="73" ph="1">
        <f>K6*290.8*1.1126</f>
        <v>29316.329088800005</v>
      </c>
      <c r="L7" s="73" ph="1">
        <f>L6*290.8*0.777</f>
        <v>9605.2025159999994</v>
      </c>
      <c r="M7" s="73" ph="1">
        <f>M6*33.183*LOOKUP(M8,密度!$A$2:$A$50,密度!$D$2:$D$50)</f>
        <v>155527.83169560001</v>
      </c>
      <c r="N7" s="73" ph="1">
        <f>N6*33.183*LOOKUP(N8,密度!$A$2:$A$50,密度!$E$2:$E$50)</f>
        <v>140860.72005119998</v>
      </c>
      <c r="O7" s="73" ph="1">
        <f>O6*20.428*LOOKUP(O8,密度!$A$2:$A$50,密度!$C$2:$C$50)</f>
        <v>112481.82616720001</v>
      </c>
      <c r="P7" s="73" ph="1">
        <f>P6*51.53*LOOKUP(P8,密度!$A$2:$A$50,密度!$B$2:$B$50)</f>
        <v>237282.28827099997</v>
      </c>
      <c r="Q7" s="73" ph="1">
        <f>Q6*1.5*1.5*3.1416*LOOKUP(W8,密度!$A$2:$A$50,密度!$L$2:$L$50)</f>
        <v>15951.7166886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25456.573295999999</v>
      </c>
      <c r="W7" s="73" ph="1">
        <f>W6*1.5*1.5*3.1416*LOOKUP(W8,密度!$A$2:$A$50,密度!$L$2:$L$50)</f>
        <v>46857.749399999993</v>
      </c>
      <c r="X7" s="73" ph="1">
        <f>X6*1.5*1.5*3.1416*LOOKUP(X8,密度!$A$2:$A$50,密度!$L$2:$L$50)</f>
        <v>45967.897483199995</v>
      </c>
      <c r="Y7" s="73" ph="1">
        <f>Y6*1.5*1.5*3.1416*LOOKUP(Y8,密度!$A$2:$A$50,密度!$L$2:$L$50)</f>
        <v>44300.6550756</v>
      </c>
      <c r="Z7" s="73" ph="1">
        <f>Z6*33.183*LOOKUP(Z8,密度!$A$2:$A$50,密度!$L$2:$L$50)</f>
        <v>113933.23320599999</v>
      </c>
      <c r="AA7" s="73" ph="1">
        <f>AA6*33.183*LOOKUP(AA8,密度!$A$2:$A$50,密度!$D$2:$D$50)</f>
        <v>56022.0558714</v>
      </c>
      <c r="AB7" s="73" ph="1">
        <f>AB6*20.428*LOOKUP(AB8,密度!$A$2:$A$50,密度!$D$2:$D$50)</f>
        <v>54089.411610000003</v>
      </c>
      <c r="AC7" s="73" ph="1">
        <f>AC6*51.53*LOOKUP(AC8,密度!$A$2:$A$50,密度!$Q$2:$Q$50)</f>
        <v>429603.15511080006</v>
      </c>
      <c r="AD7" s="73" ph="1">
        <f>AD6*20.428*LOOKUP(AD8,密度!$A$2:$A$50,密度!$V$2:$V$50)</f>
        <v>5218.5368799999997</v>
      </c>
      <c r="AE7" s="73" ph="1">
        <f>AE6*20.428</f>
        <v>38139.076000000001</v>
      </c>
    </row>
    <row r="8" spans="1:99" ph="1">
      <c r="B8" s="207" ph="1"/>
      <c r="C8" s="68" t="s" ph="1">
        <v>210</v>
      </c>
      <c r="D8" s="74">
        <v>15</v>
      </c>
      <c r="E8" s="74">
        <v>15</v>
      </c>
      <c r="F8" s="74">
        <v>15</v>
      </c>
      <c r="G8" s="74">
        <v>14</v>
      </c>
      <c r="H8" s="74">
        <v>8</v>
      </c>
      <c r="I8" s="74">
        <v>25</v>
      </c>
      <c r="J8" s="74">
        <v>25</v>
      </c>
      <c r="K8" s="74">
        <v>25</v>
      </c>
      <c r="L8" s="74">
        <v>25</v>
      </c>
      <c r="M8" s="74">
        <v>13</v>
      </c>
      <c r="N8" s="74">
        <v>16</v>
      </c>
      <c r="O8" s="74">
        <v>20</v>
      </c>
      <c r="P8" s="74">
        <v>13</v>
      </c>
      <c r="Q8" s="74">
        <v>13</v>
      </c>
      <c r="R8" s="74">
        <v>21</v>
      </c>
      <c r="S8" s="74">
        <v>12</v>
      </c>
      <c r="T8" s="74">
        <v>10</v>
      </c>
      <c r="U8" s="74">
        <v>14</v>
      </c>
      <c r="V8" s="74">
        <v>18</v>
      </c>
      <c r="W8" s="74">
        <v>15</v>
      </c>
      <c r="X8" s="74">
        <v>10</v>
      </c>
      <c r="Y8" s="74">
        <v>15</v>
      </c>
      <c r="Z8" s="74">
        <v>13</v>
      </c>
      <c r="AA8" s="74">
        <v>12</v>
      </c>
      <c r="AB8" s="74">
        <v>5</v>
      </c>
      <c r="AC8" s="74">
        <v>12</v>
      </c>
      <c r="AD8" s="74">
        <v>12</v>
      </c>
      <c r="AE8" s="74">
        <v>12</v>
      </c>
    </row>
    <row r="9" spans="1:99" ph="1">
      <c r="B9" s="207" ph="1">
        <v>0.66666666666666663</v>
      </c>
      <c r="C9" s="164" t="s" ph="1">
        <v>211</v>
      </c>
      <c r="D9" s="71">
        <v>503</v>
      </c>
      <c r="E9" s="71">
        <v>0</v>
      </c>
      <c r="F9" s="71">
        <v>2909</v>
      </c>
      <c r="G9" s="71">
        <v>4062</v>
      </c>
      <c r="H9" s="71">
        <v>7594</v>
      </c>
      <c r="I9" s="71">
        <v>39.01</v>
      </c>
      <c r="J9" s="71">
        <v>7.81</v>
      </c>
      <c r="K9" s="71">
        <v>44.81</v>
      </c>
      <c r="L9" s="71">
        <v>13.31</v>
      </c>
      <c r="M9" s="71">
        <v>4518</v>
      </c>
      <c r="N9" s="71">
        <v>5346</v>
      </c>
      <c r="O9" s="71">
        <v>4321</v>
      </c>
      <c r="P9" s="71">
        <v>5767</v>
      </c>
      <c r="Q9" s="71">
        <v>5772</v>
      </c>
      <c r="R9" s="71">
        <v>0</v>
      </c>
      <c r="S9" s="71">
        <v>0</v>
      </c>
      <c r="T9" s="71">
        <v>0</v>
      </c>
      <c r="U9" s="71">
        <v>0</v>
      </c>
      <c r="V9" s="71">
        <v>0</v>
      </c>
      <c r="W9" s="71">
        <v>6998</v>
      </c>
      <c r="X9" s="71">
        <v>6829</v>
      </c>
      <c r="Y9" s="71">
        <v>6615</v>
      </c>
      <c r="Z9" s="71">
        <v>2494</v>
      </c>
      <c r="AA9" s="71">
        <v>1626</v>
      </c>
      <c r="AB9" s="71">
        <v>2534</v>
      </c>
      <c r="AC9" s="71">
        <v>8732</v>
      </c>
      <c r="AD9" s="71">
        <v>264</v>
      </c>
      <c r="AE9" s="71">
        <v>1845</v>
      </c>
    </row>
    <row r="10" spans="1:99" s="72" customFormat="1" ht="22.5" ph="1">
      <c r="B10" s="207" ph="1"/>
      <c r="C10" s="164" t="s" ph="1">
        <v>209</v>
      </c>
      <c r="D10" s="73" ph="1">
        <f>D9*33.183*LOOKUP(D11,密度!$A$2:$A$50,密度!$Q$2:$Q$50)</f>
        <v>15932.273912459999</v>
      </c>
      <c r="E10" s="73" ph="1">
        <f>E9*51.53*LOOKUP(E11,密度!$A$2:$A$50,密度!$I$2:$I$50)</f>
        <v>0</v>
      </c>
      <c r="F10" s="73" ph="1">
        <f>F9*33.183*LOOKUP(F11,密度!$A$2:$A$50,密度!$C$2:$C$50)</f>
        <v>107581.9572315</v>
      </c>
      <c r="G10" s="73" ph="1">
        <f xml:space="preserve"> (G9+2)*51.53*LOOKUP(G11,密度!$A$2:$A$50,密度!$B$2:$B$50)</f>
        <v>165209.79708800002</v>
      </c>
      <c r="H10" s="73" ph="1">
        <f>(H9)*51.53*LOOKUP(H11,密度!$A$2:$A$50,密度!$B$2:$B$50)</f>
        <v>310041.90108600003</v>
      </c>
      <c r="I10" s="73" ph="1">
        <f>I9*290.8*1.0267</f>
        <v>11646.9956836</v>
      </c>
      <c r="J10" s="73" ph="1">
        <f>J9*290.8*0.7892</f>
        <v>1792.3900016000002</v>
      </c>
      <c r="K10" s="73" ph="1">
        <f>K9*290.8*1.1126</f>
        <v>14498.010224800002</v>
      </c>
      <c r="L10" s="73" ph="1">
        <f>L9*290.8*0.777</f>
        <v>3007.4157960000002</v>
      </c>
      <c r="M10" s="73" ph="1">
        <f>M9*33.183*LOOKUP(M11,密度!$A$2:$A$50,密度!$D$2:$D$50)</f>
        <v>155257.97426640001</v>
      </c>
      <c r="N10" s="73" ph="1">
        <f>N9*33.183*LOOKUP(N11,密度!$A$2:$A$50,密度!$E$2:$E$50)</f>
        <v>140976.85391459998</v>
      </c>
      <c r="O10" s="73" ph="1">
        <f>O9*20.428*LOOKUP(O11,密度!$A$2:$A$50,密度!$C$2:$C$50)</f>
        <v>98208.521088800015</v>
      </c>
      <c r="P10" s="73" ph="1">
        <f>P9*51.53*LOOKUP(P11,密度!$A$2:$A$50,密度!$B$2:$B$50)</f>
        <v>234440.18203900001</v>
      </c>
      <c r="Q10" s="73" ph="1">
        <f>Q9*1.5*1.5*3.1416*LOOKUP(W11,密度!$A$2:$A$50,密度!$L$2:$L$50)</f>
        <v>38596.761403199998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46794.895408799995</v>
      </c>
      <c r="X10" s="73" ph="1">
        <f>X9*1.5*1.5*3.1416*LOOKUP(X11,密度!$A$2:$A$50,密度!$L$2:$L$50)</f>
        <v>46147.524746399999</v>
      </c>
      <c r="Y10" s="73" ph="1">
        <f>Y9*1.5*1.5*3.1416*LOOKUP(Y11,密度!$A$2:$A$50,密度!$L$2:$L$50)</f>
        <v>44280.573182999993</v>
      </c>
      <c r="Z10" s="73" ph="1">
        <f>Z9*33.183*LOOKUP(Z11,密度!$A$2:$A$50,密度!$L$2:$L$50)</f>
        <v>78372.206693999993</v>
      </c>
      <c r="AA10" s="73" ph="1">
        <f>AA9*33.183*LOOKUP(AA11,密度!$A$2:$A$50,密度!$D$2:$D$50)</f>
        <v>55876.3758648</v>
      </c>
      <c r="AB10" s="73" ph="1">
        <f>AB9*20.428*LOOKUP(AB11,密度!$A$2:$A$50,密度!$D$2:$D$50)</f>
        <v>54068.074564000002</v>
      </c>
      <c r="AC10" s="73" ph="1">
        <f>AC9*51.53*LOOKUP(AC11,密度!$A$2:$A$50,密度!$Q$2:$Q$50)</f>
        <v>429504.78021840006</v>
      </c>
      <c r="AD10" s="73" ph="1">
        <f>AD9*20.428*LOOKUP(AD11,密度!$A$2:$A$50,密度!$V$2:$V$50)</f>
        <v>5198.8442880000002</v>
      </c>
      <c r="AE10" s="73" ph="1">
        <f>AE9*20.428</f>
        <v>37689.660000000003</v>
      </c>
    </row>
    <row r="11" spans="1:99" ph="1">
      <c r="A11" s="64" t="s" ph="1">
        <v>193</v>
      </c>
      <c r="B11" s="207" ph="1"/>
      <c r="C11" s="164" t="s" ph="1">
        <v>210</v>
      </c>
      <c r="D11" s="74">
        <v>15</v>
      </c>
      <c r="E11" s="74">
        <v>15</v>
      </c>
      <c r="F11" s="74">
        <v>17</v>
      </c>
      <c r="G11" s="74">
        <v>14</v>
      </c>
      <c r="H11" s="74">
        <v>10</v>
      </c>
      <c r="I11" s="74">
        <v>25</v>
      </c>
      <c r="J11" s="74">
        <v>25</v>
      </c>
      <c r="K11" s="74">
        <v>25</v>
      </c>
      <c r="L11" s="74">
        <v>25</v>
      </c>
      <c r="M11" s="74">
        <v>15</v>
      </c>
      <c r="N11" s="74">
        <v>15</v>
      </c>
      <c r="O11" s="74">
        <v>20</v>
      </c>
      <c r="P11" s="74">
        <v>14</v>
      </c>
      <c r="Q11" s="74">
        <v>14</v>
      </c>
      <c r="R11" s="74">
        <v>22</v>
      </c>
      <c r="S11" s="74">
        <v>10</v>
      </c>
      <c r="T11" s="74">
        <v>11</v>
      </c>
      <c r="U11" s="74">
        <v>15</v>
      </c>
      <c r="V11" s="74">
        <v>20</v>
      </c>
      <c r="W11" s="74">
        <v>16</v>
      </c>
      <c r="X11" s="74">
        <v>6</v>
      </c>
      <c r="Y11" s="74">
        <v>15</v>
      </c>
      <c r="Z11" s="74">
        <v>15</v>
      </c>
      <c r="AA11" s="74">
        <v>15</v>
      </c>
      <c r="AB11" s="74">
        <v>5</v>
      </c>
      <c r="AC11" s="74">
        <v>13</v>
      </c>
      <c r="AD11" s="74">
        <v>18</v>
      </c>
      <c r="AE11" s="74">
        <v>15</v>
      </c>
    </row>
    <row r="12" spans="1:99" ht="9.9499999999999993" customHeight="1" ph="1"/>
    <row r="13" spans="1:99" s="72" customFormat="1" ht="29.25" customHeight="1" ph="1">
      <c r="B13" s="215" t="s" ph="1">
        <v>37</v>
      </c>
      <c r="C13" s="164" t="s" ph="1">
        <v>207</v>
      </c>
      <c r="D13" s="76" t="s" ph="1">
        <v>53</v>
      </c>
      <c r="E13" s="76" t="s" ph="1">
        <v>54</v>
      </c>
      <c r="F13" s="76" t="s" ph="1">
        <v>66</v>
      </c>
      <c r="G13" s="76" t="s" ph="1">
        <v>67</v>
      </c>
      <c r="H13" s="76" t="s" ph="1">
        <v>152</v>
      </c>
      <c r="I13" s="76" t="s" ph="1">
        <v>68</v>
      </c>
      <c r="J13" s="76" t="s" ph="1">
        <v>153</v>
      </c>
      <c r="K13" s="76" t="s" ph="1">
        <v>63</v>
      </c>
      <c r="L13" s="76" t="s" ph="1">
        <v>69</v>
      </c>
      <c r="M13" s="76" t="s" ph="1">
        <v>70</v>
      </c>
      <c r="N13" s="76" t="s" ph="1">
        <v>154</v>
      </c>
      <c r="O13" s="76" t="s" ph="1">
        <v>64</v>
      </c>
      <c r="P13" s="76" t="s" ph="1">
        <v>71</v>
      </c>
      <c r="Q13" s="76" t="s" ph="1">
        <v>72</v>
      </c>
      <c r="R13" s="76" t="s" ph="1">
        <v>73</v>
      </c>
      <c r="S13" s="76" t="s" ph="1">
        <v>74</v>
      </c>
      <c r="T13" s="76" t="s" ph="1">
        <v>75</v>
      </c>
      <c r="U13" s="76" t="s" ph="1">
        <v>76</v>
      </c>
      <c r="V13" s="76" t="s" ph="1">
        <v>155</v>
      </c>
      <c r="W13" s="76" t="s" ph="1">
        <v>156</v>
      </c>
      <c r="X13" s="76" t="s" ph="1">
        <v>157</v>
      </c>
      <c r="Y13" s="105" t="s" ph="1">
        <v>77</v>
      </c>
      <c r="Z13" s="76" t="s" ph="1">
        <v>86</v>
      </c>
      <c r="AA13" s="76" t="s" ph="1">
        <v>158</v>
      </c>
      <c r="AB13" s="76" t="s" ph="1">
        <v>159</v>
      </c>
      <c r="AC13" s="76" t="s" ph="1">
        <v>160</v>
      </c>
      <c r="AD13" s="76" t="s" ph="1">
        <v>161</v>
      </c>
      <c r="AE13" s="76" t="s" ph="1">
        <v>162</v>
      </c>
      <c r="AG13" s="72" t="s" ph="1">
        <v>366</v>
      </c>
      <c r="AH13" s="72" t="s" ph="1">
        <v>229</v>
      </c>
      <c r="AI13" s="72" t="s" ph="1">
        <v>230</v>
      </c>
      <c r="AJ13" s="72" t="s" ph="1">
        <v>231</v>
      </c>
      <c r="AK13" s="72" t="s" ph="1">
        <v>232</v>
      </c>
      <c r="AL13" s="72" t="s" ph="1">
        <v>233</v>
      </c>
      <c r="AM13" s="72" t="s" ph="1">
        <v>234</v>
      </c>
      <c r="AN13" s="72" t="s" ph="1">
        <v>235</v>
      </c>
      <c r="AO13" s="72" t="s" ph="1">
        <v>236</v>
      </c>
      <c r="AP13" s="72" t="s" ph="1">
        <v>237</v>
      </c>
      <c r="AQ13" s="72" t="s" ph="1">
        <v>238</v>
      </c>
      <c r="AR13" s="72" t="s" ph="1">
        <v>239</v>
      </c>
      <c r="AS13" s="72" t="s" ph="1">
        <v>240</v>
      </c>
      <c r="AT13" s="72" t="s" ph="1">
        <v>241</v>
      </c>
      <c r="AU13" s="72" t="s" ph="1">
        <v>242</v>
      </c>
      <c r="AV13" s="72" t="s" ph="1">
        <v>243</v>
      </c>
      <c r="AW13" s="72" t="s" ph="1">
        <v>244</v>
      </c>
      <c r="AX13" s="72" t="s" ph="1">
        <v>245</v>
      </c>
      <c r="AY13" s="72" t="s" ph="1">
        <v>367</v>
      </c>
      <c r="AZ13" s="72" t="s" ph="1">
        <v>246</v>
      </c>
      <c r="BA13" s="72" t="s" ph="1">
        <v>247</v>
      </c>
      <c r="BB13" s="72" t="s" ph="1">
        <v>632</v>
      </c>
      <c r="BC13" s="72" t="s" ph="1">
        <v>248</v>
      </c>
      <c r="BD13" s="72" t="s" ph="1">
        <v>368</v>
      </c>
      <c r="BE13" s="72" t="s" ph="1">
        <v>369</v>
      </c>
      <c r="BF13" s="72" t="s" ph="1">
        <v>370</v>
      </c>
      <c r="BG13" s="72" t="s" ph="1">
        <v>371</v>
      </c>
      <c r="BH13" s="72" t="s" ph="1">
        <v>372</v>
      </c>
    </row>
    <row r="14" spans="1:99" s="72" customFormat="1" ht="24" ph="1">
      <c r="B14" s="216" ph="1"/>
      <c r="C14" s="67" t="s" ph="1">
        <v>36</v>
      </c>
      <c r="D14" s="77" t="s" ph="1">
        <v>665</v>
      </c>
      <c r="E14" s="77" t="s" ph="1">
        <v>665</v>
      </c>
      <c r="F14" s="142" t="s" ph="1">
        <v>651</v>
      </c>
      <c r="G14" s="77" t="s" ph="1">
        <v>667</v>
      </c>
      <c r="H14" s="77" t="s" ph="1">
        <v>668</v>
      </c>
      <c r="I14" s="167" t="s" ph="1">
        <v>669</v>
      </c>
      <c r="J14" s="77" t="s" ph="1">
        <v>670</v>
      </c>
      <c r="K14" s="77" t="s" ph="1">
        <v>223</v>
      </c>
      <c r="L14" s="77" t="s" ph="1">
        <v>42</v>
      </c>
      <c r="M14" s="104" t="s" ph="1">
        <v>671</v>
      </c>
      <c r="N14" s="104" t="s" ph="1">
        <v>672</v>
      </c>
      <c r="O14" s="104" t="s" ph="1">
        <v>670</v>
      </c>
      <c r="P14" s="77" t="s" ph="1">
        <v>673</v>
      </c>
      <c r="Q14" s="77" t="s" ph="1">
        <v>673</v>
      </c>
      <c r="R14" s="88" t="s" ph="1">
        <v>674</v>
      </c>
      <c r="S14" s="77" t="s" ph="1">
        <v>81</v>
      </c>
      <c r="T14" s="77" t="s" ph="1">
        <v>676</v>
      </c>
      <c r="U14" s="77" t="s" ph="1">
        <v>652</v>
      </c>
      <c r="V14" s="77" t="s" ph="1">
        <v>677</v>
      </c>
      <c r="W14" s="77" t="s" ph="1">
        <v>673</v>
      </c>
      <c r="X14" s="77" t="s" ph="1">
        <v>678</v>
      </c>
      <c r="Y14" s="141" t="s" ph="1">
        <v>0</v>
      </c>
      <c r="Z14" s="77" t="s" ph="1">
        <v>62</v>
      </c>
      <c r="AA14" s="77" t="s" ph="1">
        <v>662</v>
      </c>
      <c r="AB14" s="77" t="s" ph="1">
        <v>648</v>
      </c>
      <c r="AC14" s="77" t="s" ph="1">
        <v>648</v>
      </c>
      <c r="AD14" s="77" t="s" ph="1">
        <v>661</v>
      </c>
      <c r="AE14" s="77" t="s" ph="1">
        <v>661</v>
      </c>
      <c r="AG14" s="72" t="s" ph="1">
        <v>249</v>
      </c>
      <c r="AI14" s="72" t="s" ph="1">
        <v>250</v>
      </c>
      <c r="AJ14" s="72" t="s" ph="1">
        <v>373</v>
      </c>
      <c r="AK14" s="72" t="s" ph="1">
        <v>251</v>
      </c>
      <c r="AM14" s="72" t="s" ph="1">
        <v>253</v>
      </c>
      <c r="AN14" s="72" t="s" ph="1">
        <v>251</v>
      </c>
      <c r="AO14" s="72" t="s" ph="1">
        <v>252</v>
      </c>
      <c r="AP14" s="72" t="s" ph="1">
        <v>253</v>
      </c>
      <c r="AQ14" s="72" t="s" ph="1">
        <v>251</v>
      </c>
      <c r="AR14" s="72" t="s" ph="1">
        <v>252</v>
      </c>
      <c r="AS14" s="72" t="s" ph="1">
        <v>253</v>
      </c>
      <c r="AT14" s="72" t="s" ph="1">
        <v>251</v>
      </c>
      <c r="AU14" s="72" t="s" ph="1">
        <v>252</v>
      </c>
      <c r="AV14" s="72" t="s" ph="1">
        <v>253</v>
      </c>
      <c r="AW14" s="72" t="s" ph="1">
        <v>251</v>
      </c>
      <c r="AX14" s="72" t="s" ph="1">
        <v>252</v>
      </c>
      <c r="AY14" s="72" t="s" ph="1">
        <v>253</v>
      </c>
      <c r="AZ14" s="72" t="s" ph="1">
        <v>252</v>
      </c>
    </row>
    <row r="15" spans="1:99" ph="1">
      <c r="B15" s="217" ph="1">
        <v>0.33333333333333331</v>
      </c>
      <c r="C15" s="164" t="s" ph="1">
        <v>208</v>
      </c>
      <c r="D15" s="78">
        <v>0</v>
      </c>
      <c r="E15" s="78">
        <v>67</v>
      </c>
      <c r="F15" s="78">
        <v>2199</v>
      </c>
      <c r="G15" s="78">
        <v>3164</v>
      </c>
      <c r="H15" s="78">
        <v>2863</v>
      </c>
      <c r="I15" s="78">
        <v>9</v>
      </c>
      <c r="J15" s="78">
        <v>3599</v>
      </c>
      <c r="K15" s="78">
        <v>1593</v>
      </c>
      <c r="L15" s="78">
        <v>6277</v>
      </c>
      <c r="M15" s="78">
        <v>6048</v>
      </c>
      <c r="N15" s="78">
        <v>1685</v>
      </c>
      <c r="O15" s="78">
        <v>233</v>
      </c>
      <c r="P15" s="78">
        <v>3229</v>
      </c>
      <c r="Q15" s="78">
        <v>5921</v>
      </c>
      <c r="R15" s="78">
        <v>3486</v>
      </c>
      <c r="S15" s="78">
        <v>5607</v>
      </c>
      <c r="T15" s="78">
        <v>2308</v>
      </c>
      <c r="U15" s="78">
        <v>5588</v>
      </c>
      <c r="V15" s="78">
        <v>-1635</v>
      </c>
      <c r="W15" s="78">
        <v>-596</v>
      </c>
      <c r="X15" s="78">
        <v>625</v>
      </c>
      <c r="Y15" s="106">
        <v>-9900</v>
      </c>
      <c r="Z15" s="78">
        <v>0</v>
      </c>
      <c r="AA15" s="78">
        <v>2504</v>
      </c>
      <c r="AB15" s="78" ph="1">
        <v>5152</v>
      </c>
      <c r="AC15" s="78" ph="1">
        <v>6493</v>
      </c>
      <c r="AD15" s="78">
        <v>79.709999999999994</v>
      </c>
      <c r="AE15" s="78">
        <v>5.61</v>
      </c>
      <c r="AG15" s="64" t="s" ph="1">
        <v>255</v>
      </c>
      <c r="AH15" s="64" ph="1">
        <v>1</v>
      </c>
      <c r="AI15" s="64" t="s" ph="1">
        <v>374</v>
      </c>
      <c r="AK15" s="64" t="s" ph="1">
        <v>628</v>
      </c>
      <c r="AM15" s="64" t="s" ph="1">
        <v>376</v>
      </c>
      <c r="AZ15" s="64" t="s" ph="1">
        <v>257</v>
      </c>
      <c r="BA15" s="64" ph="1">
        <v>0</v>
      </c>
    </row>
    <row r="16" spans="1:99" s="72" customFormat="1" ht="22.5" ph="1">
      <c r="B16" s="218" ph="1"/>
      <c r="C16" s="164" t="s" ph="1">
        <v>209</v>
      </c>
      <c r="D16" s="73" ph="1">
        <f>D15*7.0686*LOOKUP(D17,密度!$A$2:$A$50,密度!$L$2:$L$50)</f>
        <v>0</v>
      </c>
      <c r="E16" s="73" ph="1">
        <f>E15*7.0686*LOOKUP(E17,密度!$A$2:$A$50,密度!$L$2:$L$50)</f>
        <v>447.07481279999996</v>
      </c>
      <c r="F16" s="73" ph="1">
        <f>F15*9.0746*LOOKUP(F17,密度!$A$2:$A$50,密度!$L$2:$L$50)</f>
        <v>18937.3380846</v>
      </c>
      <c r="G16" s="73" ph="1">
        <f>G15*9.0746*LOOKUP(G17,密度!$A$2:$A$50,密度!$B$2:$B$50)</f>
        <v>22650.923938160002</v>
      </c>
      <c r="H16" s="73" ph="1">
        <f>H15*9.0746*LOOKUP(H17,密度!$A$2:$A$50,密度!$L$2:$L$50)</f>
        <v>24733.5119696</v>
      </c>
      <c r="I16" s="73" ph="1">
        <f>I15*9.0746*LOOKUP(I17,密度!$A$2:$A$50,密度!$U$2:$U$50)</f>
        <v>83.95819920000001</v>
      </c>
      <c r="J16" s="73" ph="1">
        <f>J15*9.0746*LOOKUP(J17,密度!$A$2:$A$50,密度!$L$2:$L$50)</f>
        <v>30993.851644599999</v>
      </c>
      <c r="K16" s="73" ph="1">
        <f>K15*9.0746*LOOKUP(K17,密度!$A$2:$A$50,密度!$C$2:$C$50)</f>
        <v>16152.953157720001</v>
      </c>
      <c r="L16" s="73" ph="1">
        <f>L15*9.0746*LOOKUP(L17,密度!$A$2:$A$50,密度!$E$2:$E$50)</f>
        <v>45529.138475059997</v>
      </c>
      <c r="M16" s="73" ph="1">
        <f>M15*9.0746*LOOKUP(M17,密度!$A$2:$A$50,密度!$M$2:$M$50)</f>
        <v>48313.66405824</v>
      </c>
      <c r="N16" s="73" ph="1">
        <f>N15*9.0746*LOOKUP(N17,密度!$A$2:$A$50,密度!$M$2:$M$50)</f>
        <v>13460.4040903</v>
      </c>
      <c r="O16" s="73" ph="1">
        <f>O15*9.0746*LOOKUP(O17,密度!$A$2:$A$50,密度!$G$2:$G$50)</f>
        <v>2053.48760416</v>
      </c>
      <c r="P16" s="73" ph="1">
        <f ca="1">P15*9.0746*LOOKUP(P17,密度!$A$2:$A$51,密度!$Q$2:$Q$50)</f>
        <v>27918.83450352</v>
      </c>
      <c r="Q16" s="73" ph="1">
        <f>Q15*9.0746*LOOKUP(Q17,密度!$A$2:$A$50,密度!$Q$2:$Q$50)</f>
        <v>51152.169990265997</v>
      </c>
      <c r="R16" s="73" ph="1">
        <f>MAX(R15*9.0746*LOOKUP(R17,密度!$A$2:$A$50,密度!$B$2:$B$50),0)</f>
        <v>24927.635812799999</v>
      </c>
      <c r="S16" s="73" ph="1">
        <f>S15*9.0746*LOOKUP(S17,密度!$A$2:$A$50,密度!$Q$2:$Q$50)</f>
        <v>48568.219111188002</v>
      </c>
      <c r="T16" s="73" ph="1">
        <f>T15*9.0746*LOOKUP(T17,密度!$A$2:$A$50,密度!$O$2:$O$50)</f>
        <v>19561.861131200003</v>
      </c>
      <c r="U16" s="73" ph="1">
        <f>U15*9.0746*LOOKUP(U17,密度!$A$2:$A$50,密度!$H$2:$H$50)</f>
        <v>47093.322739759999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198.19152201600082</v>
      </c>
      <c r="X16" s="73" ph="1">
        <f>MAX(5600*LOOKUP(X17,密度!$A$2:$A$50,密度!$I$2:$I$50)+X15*9.0476*LOOKUP(X17,密度!$A$2:$A$50,密度!$I$2:$I$50),0)</f>
        <v>11760.088274999998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17964.644415039998</v>
      </c>
      <c r="AB16" s="73" ph="1">
        <f>AB15*9.0746*LOOKUP(AB17,密度!$A$2:$A$50,密度!$L$2:$L$50)</f>
        <v>44134.208204800001</v>
      </c>
      <c r="AC16" s="73" ph="1">
        <f>AC15*9.0746*LOOKUP(AC17,密度!$A$2:$A$50,密度!$L$2:$L$50)</f>
        <v>55975.30891</v>
      </c>
      <c r="AD16" s="73" ph="1">
        <f>AD15*268.68*LOOKUP(AD17,密度!$A$2:$A$50,密度!B2:B50)+IF(AD15&lt;=0,0,1566*LOOKUP(AD17,密度!$A$2:$A$50,密度!B2:B50))</f>
        <v>17917.143590879998</v>
      </c>
      <c r="AE16" s="73" ph="1">
        <f>AE15*268.68*LOOKUP(AE17,密度!$A$2:$A$50,密度!B2:B50)+IF(AE15&lt;=0,0,1566*LOOKUP(AE17,密度!$A$2:$A$50,密度!B2:B50))</f>
        <v>2395.9406260799997</v>
      </c>
      <c r="AH16" s="72" ph="1">
        <v>2</v>
      </c>
      <c r="AI16" s="72" t="s" ph="1">
        <v>378</v>
      </c>
      <c r="AZ16" s="72" t="s" ph="1">
        <v>257</v>
      </c>
      <c r="BA16" s="72" ph="1">
        <v>0</v>
      </c>
    </row>
    <row r="17" spans="1:57" ph="1">
      <c r="A17" s="64" t="s" ph="1">
        <v>85</v>
      </c>
      <c r="B17" s="219" ph="1"/>
      <c r="C17" s="79" t="s" ph="1">
        <v>210</v>
      </c>
      <c r="D17" s="74">
        <v>18</v>
      </c>
      <c r="E17" s="74">
        <v>18</v>
      </c>
      <c r="F17" s="74">
        <v>13</v>
      </c>
      <c r="G17" s="74">
        <v>14</v>
      </c>
      <c r="H17" s="74">
        <v>10</v>
      </c>
      <c r="I17" s="74">
        <v>12</v>
      </c>
      <c r="J17" s="74">
        <v>13</v>
      </c>
      <c r="K17" s="74">
        <v>13</v>
      </c>
      <c r="L17" s="74">
        <v>12</v>
      </c>
      <c r="M17" s="74">
        <v>15</v>
      </c>
      <c r="N17" s="74">
        <v>15</v>
      </c>
      <c r="O17" s="74">
        <v>15</v>
      </c>
      <c r="P17" s="74">
        <v>17</v>
      </c>
      <c r="Q17" s="74">
        <v>18</v>
      </c>
      <c r="R17" s="74">
        <v>15</v>
      </c>
      <c r="S17" s="74">
        <v>12</v>
      </c>
      <c r="T17" s="74">
        <v>13</v>
      </c>
      <c r="U17" s="74">
        <v>11</v>
      </c>
      <c r="V17" s="74">
        <v>15</v>
      </c>
      <c r="W17" s="74">
        <v>15</v>
      </c>
      <c r="X17" s="74">
        <v>23</v>
      </c>
      <c r="Y17" s="108">
        <v>23</v>
      </c>
      <c r="Z17" s="74">
        <v>15</v>
      </c>
      <c r="AA17" s="74">
        <v>12</v>
      </c>
      <c r="AB17" s="74">
        <v>18</v>
      </c>
      <c r="AC17" s="74">
        <v>12</v>
      </c>
      <c r="AD17" s="74">
        <v>25</v>
      </c>
      <c r="AE17" s="74">
        <v>25</v>
      </c>
      <c r="AH17" s="64" ph="1">
        <v>3</v>
      </c>
      <c r="AI17" s="64" t="s" ph="1">
        <v>379</v>
      </c>
      <c r="AK17" s="64" t="s" ph="1">
        <v>611</v>
      </c>
      <c r="AL17" s="64" ph="1">
        <v>80</v>
      </c>
      <c r="AM17" s="64" t="s" ph="1">
        <v>376</v>
      </c>
      <c r="AZ17" s="64" t="s" ph="1">
        <v>257</v>
      </c>
      <c r="BA17" s="64" ph="1">
        <v>80</v>
      </c>
      <c r="BD17" s="64" t="s" ph="1">
        <v>255</v>
      </c>
      <c r="BE17" s="64" ph="1">
        <v>2270</v>
      </c>
    </row>
    <row r="18" spans="1:57" ph="1">
      <c r="B18" s="217" ph="1">
        <v>0.66666666666666663</v>
      </c>
      <c r="C18" s="79" t="s" ph="1">
        <v>211</v>
      </c>
      <c r="D18" s="71">
        <v>0</v>
      </c>
      <c r="E18" s="71">
        <v>1156</v>
      </c>
      <c r="F18" s="71">
        <v>2198</v>
      </c>
      <c r="G18" s="71">
        <v>3196</v>
      </c>
      <c r="H18" s="71">
        <v>2863</v>
      </c>
      <c r="I18" s="71">
        <v>10</v>
      </c>
      <c r="J18" s="71">
        <v>4175</v>
      </c>
      <c r="K18" s="71">
        <v>1593</v>
      </c>
      <c r="L18" s="71">
        <v>6274</v>
      </c>
      <c r="M18" s="71">
        <v>3088</v>
      </c>
      <c r="N18" s="71">
        <v>3096</v>
      </c>
      <c r="O18" s="71">
        <v>233</v>
      </c>
      <c r="P18" s="71">
        <v>4493</v>
      </c>
      <c r="Q18" s="71">
        <v>7009</v>
      </c>
      <c r="R18" s="71">
        <v>3485</v>
      </c>
      <c r="S18" s="71">
        <v>5605</v>
      </c>
      <c r="T18" s="71">
        <v>1500</v>
      </c>
      <c r="U18" s="71">
        <v>5586</v>
      </c>
      <c r="V18" s="71">
        <v>-1632</v>
      </c>
      <c r="W18" s="71">
        <v>-595</v>
      </c>
      <c r="X18" s="71">
        <v>625</v>
      </c>
      <c r="Y18" s="109">
        <v>-9900</v>
      </c>
      <c r="Z18" s="71">
        <v>0</v>
      </c>
      <c r="AA18" s="71">
        <v>2503</v>
      </c>
      <c r="AB18" s="71">
        <v>5145</v>
      </c>
      <c r="AC18" s="71">
        <v>6491</v>
      </c>
      <c r="AD18" s="71">
        <v>84.21</v>
      </c>
      <c r="AE18" s="71">
        <v>26.91</v>
      </c>
      <c r="AH18" s="64" ph="1">
        <v>4</v>
      </c>
      <c r="AI18" s="64" t="s" ph="1">
        <v>381</v>
      </c>
      <c r="AJ18" s="64" t="s" ph="1">
        <v>629</v>
      </c>
      <c r="AK18" s="64" t="s" ph="1">
        <v>628</v>
      </c>
      <c r="AL18" s="64" ph="1">
        <v>740</v>
      </c>
      <c r="AM18" s="64" t="s" ph="1">
        <v>380</v>
      </c>
      <c r="AZ18" s="64" t="s" ph="1">
        <v>257</v>
      </c>
      <c r="BA18" s="64" ph="1">
        <v>740</v>
      </c>
    </row>
    <row r="19" spans="1:57" s="72" customFormat="1" ht="22.5" ph="1">
      <c r="B19" s="218" ph="1"/>
      <c r="C19" s="164" t="s" ph="1">
        <v>209</v>
      </c>
      <c r="D19" s="73" ph="1">
        <f>D18*7.0686*LOOKUP(D20,密度!$A$2:$A$50,密度!$L$2:$L$50)</f>
        <v>0</v>
      </c>
      <c r="E19" s="73" ph="1">
        <f>E18*7.0686*LOOKUP(E20,密度!$A$2:$A$50,密度!$L$2:$L$50)</f>
        <v>7705.537408799999</v>
      </c>
      <c r="F19" s="73" ph="1">
        <f>F18*9.0746*LOOKUP(F20,密度!$A$2:$A$50,密度!$L$2:$L$50)</f>
        <v>18848.942405999998</v>
      </c>
      <c r="G19" s="73" ph="1">
        <f>G18*9.0746*LOOKUP(G20,密度!$A$2:$A$50,密度!$B$2:$B$50)</f>
        <v>22830.706283520001</v>
      </c>
      <c r="H19" s="73" ph="1">
        <f>H18*9.0746*LOOKUP(H20,密度!$A$2:$A$50,密度!$L$2:$L$50)</f>
        <v>24707.531389799999</v>
      </c>
      <c r="I19" s="73" ph="1">
        <f>I18*9.0746*LOOKUP(I20,密度!$A$2:$A$50,密度!$U$2:$U$50)</f>
        <v>93.286888000000019</v>
      </c>
      <c r="J19" s="73" ph="1">
        <f>J18*9.0746*LOOKUP(J20,密度!$A$2:$A$50,密度!$L$2:$L$50)</f>
        <v>35802.699975000003</v>
      </c>
      <c r="K19" s="73" ph="1">
        <f>K18*9.0746*LOOKUP(K20,密度!$A$2:$A$50,密度!$C$2:$C$50)</f>
        <v>16129.82381724</v>
      </c>
      <c r="L19" s="73" ph="1">
        <f>L18*9.0746*LOOKUP(L20,密度!$A$2:$A$50,密度!$E$2:$E$50)</f>
        <v>45245.481905879999</v>
      </c>
      <c r="M19" s="73" ph="1">
        <f>M18*9.0746*LOOKUP(M20,密度!$A$2:$A$50,密度!$M$2:$M$50)</f>
        <v>24668.087733439999</v>
      </c>
      <c r="N19" s="73" ph="1">
        <f>N18*9.0746*LOOKUP(N20,密度!$A$2:$A$50,密度!$M$2:$M$50)</f>
        <v>24731.99469648</v>
      </c>
      <c r="O19" s="73" ph="1">
        <f>O18*9.0746*LOOKUP(O20,密度!$A$2:$A$50,密度!$G$2:$G$50)</f>
        <v>2048.8359642</v>
      </c>
      <c r="P19" s="73" ph="1">
        <f ca="1">P18*9.0746*LOOKUP(P20,密度!$A$2:$A$51,密度!$Q$2:$Q$50)</f>
        <v>38918.674597211997</v>
      </c>
      <c r="Q19" s="73" ph="1">
        <f>Q18*9.0746*LOOKUP(Q20,密度!$A$2:$A$50,密度!$Q$2:$Q$50)</f>
        <v>60501.910591822001</v>
      </c>
      <c r="R19" s="73" ph="1">
        <f>MAX(R18*9.0746*LOOKUP(R20,密度!$A$2:$A$50,密度!$B$2:$B$50),0)</f>
        <v>24895.185043199999</v>
      </c>
      <c r="S19" s="73" ph="1">
        <f>S18*9.0746*LOOKUP(S20,密度!$A$2:$A$50,密度!$Q$2:$Q$50)</f>
        <v>48550.894973820003</v>
      </c>
      <c r="T19" s="73" ph="1">
        <f>T18*9.0746*LOOKUP(T20,密度!$A$2:$A$50,密度!$O$2:$O$50)</f>
        <v>12713.5146</v>
      </c>
      <c r="U19" s="73" ph="1">
        <f>U18*9.0746*LOOKUP(U20,密度!$A$2:$A$50,密度!$H$2:$H$50)</f>
        <v>46873.704715320004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206.8278181200003</v>
      </c>
      <c r="X19" s="73" ph="1">
        <f>MAX(5600*LOOKUP(X20,密度!$A$2:$A$50,密度!$I$2:$I$50)+X18*9.0476*LOOKUP(X20,密度!$A$2:$A$50,密度!$I$2:$I$50),0)</f>
        <v>11746.582575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17898.4143544</v>
      </c>
      <c r="AB19" s="73" ph="1">
        <f>AB18*9.0746*LOOKUP(AB20,密度!$A$2:$A$50,密度!$L$2:$L$50)</f>
        <v>44120.932065000001</v>
      </c>
      <c r="AC19" s="73" ph="1">
        <f>AC18*9.0746*LOOKUP(AC20,密度!$A$2:$A$50,密度!$L$2:$L$50)</f>
        <v>55840.260712800002</v>
      </c>
      <c r="AD19" s="73" ph="1">
        <f>AD18*268.68*LOOKUP(AD20,密度!$A$2:$A$50,密度!B5:B53)+IF(AD18&lt;=0,0,1566*LOOKUP(AD20,密度!$A$2:$A$50,密度!B5:B53))</f>
        <v>18796.8287556</v>
      </c>
      <c r="AE19" s="73" ph="1">
        <f>AE18*268.68*LOOKUP(AE20,密度!$A$2:$A$50,密度!B5:B53)+IF(AE18&lt;=0,0,1566*LOOKUP(AE20,密度!$A$2:$A$50,密度!B5:B53))</f>
        <v>6834.6309276000011</v>
      </c>
      <c r="AH19" s="72" ph="1">
        <v>5</v>
      </c>
      <c r="AI19" s="72" t="s" ph="1">
        <v>382</v>
      </c>
      <c r="AZ19" s="72" t="s" ph="1">
        <v>257</v>
      </c>
      <c r="BA19" s="72" ph="1">
        <v>0</v>
      </c>
      <c r="BD19" s="72" t="s" ph="1">
        <v>383</v>
      </c>
      <c r="BE19" s="72" ph="1">
        <v>1440</v>
      </c>
    </row>
    <row r="20" spans="1:57" ph="1">
      <c r="A20" s="72" ph="1"/>
      <c r="B20" s="218" ph="1"/>
      <c r="C20" s="80" t="s" ph="1">
        <v>210</v>
      </c>
      <c r="D20" s="81">
        <v>19</v>
      </c>
      <c r="E20" s="81">
        <v>19</v>
      </c>
      <c r="F20" s="81">
        <v>17</v>
      </c>
      <c r="G20" s="81">
        <v>16</v>
      </c>
      <c r="H20" s="81">
        <v>11</v>
      </c>
      <c r="I20" s="81">
        <v>17</v>
      </c>
      <c r="J20" s="81">
        <v>17</v>
      </c>
      <c r="K20" s="81">
        <v>15</v>
      </c>
      <c r="L20" s="81">
        <v>15</v>
      </c>
      <c r="M20" s="81">
        <v>16</v>
      </c>
      <c r="N20" s="81">
        <v>15</v>
      </c>
      <c r="O20" s="81">
        <v>17</v>
      </c>
      <c r="P20" s="81">
        <v>15</v>
      </c>
      <c r="Q20" s="81">
        <v>19</v>
      </c>
      <c r="R20" s="81">
        <v>16</v>
      </c>
      <c r="S20" s="81">
        <v>15</v>
      </c>
      <c r="T20" s="81">
        <v>15</v>
      </c>
      <c r="U20" s="81">
        <v>15</v>
      </c>
      <c r="V20" s="81">
        <v>15</v>
      </c>
      <c r="W20" s="81">
        <v>15</v>
      </c>
      <c r="X20" s="81">
        <v>24</v>
      </c>
      <c r="Y20" s="110">
        <v>24</v>
      </c>
      <c r="Z20" s="81">
        <v>15</v>
      </c>
      <c r="AA20" s="81">
        <v>15</v>
      </c>
      <c r="AB20" s="81">
        <v>17</v>
      </c>
      <c r="AC20" s="81">
        <v>14</v>
      </c>
      <c r="AD20" s="81">
        <v>25</v>
      </c>
      <c r="AE20" s="81">
        <v>25</v>
      </c>
      <c r="AH20" s="64" ph="1">
        <v>6</v>
      </c>
      <c r="AI20" s="64" t="s" ph="1">
        <v>384</v>
      </c>
      <c r="AZ20" s="64" t="s" ph="1">
        <v>257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385</v>
      </c>
      <c r="AZ21" s="64" t="s" ph="1">
        <v>257</v>
      </c>
      <c r="BA21" s="64" ph="1">
        <v>0</v>
      </c>
      <c r="BD21" s="64" t="s" ph="1">
        <v>273</v>
      </c>
      <c r="BE21" s="64" ph="1">
        <v>730</v>
      </c>
    </row>
    <row r="22" spans="1:57" ph="1">
      <c r="A22" s="72" ph="1"/>
      <c r="B22" s="216" t="s" ph="1">
        <v>37</v>
      </c>
      <c r="C22" s="85" t="s" ph="1">
        <v>207</v>
      </c>
      <c r="D22" s="86" t="s" ph="1">
        <v>103</v>
      </c>
      <c r="E22" s="86" t="s" ph="1">
        <v>104</v>
      </c>
      <c r="F22" s="86" t="s" ph="1">
        <v>105</v>
      </c>
      <c r="G22" s="86" t="s" ph="1">
        <v>106</v>
      </c>
      <c r="H22" s="86" t="s" ph="1">
        <v>107</v>
      </c>
      <c r="I22" s="86" t="s" ph="1">
        <v>108</v>
      </c>
      <c r="J22" s="86" t="s" ph="1">
        <v>109</v>
      </c>
      <c r="K22" s="86" t="s" ph="1">
        <v>110</v>
      </c>
      <c r="L22" s="86" t="s" ph="1">
        <v>111</v>
      </c>
      <c r="M22" s="86" t="s" ph="1">
        <v>112</v>
      </c>
      <c r="N22" s="86" t="s" ph="1">
        <v>113</v>
      </c>
      <c r="O22" s="86" t="s" ph="1">
        <v>114</v>
      </c>
      <c r="P22" s="86" t="s" ph="1">
        <v>115</v>
      </c>
      <c r="Q22" s="87" t="s" ph="1">
        <v>116</v>
      </c>
      <c r="R22" s="86" t="s" ph="1">
        <v>117</v>
      </c>
      <c r="S22" s="86" t="s" ph="1">
        <v>118</v>
      </c>
      <c r="T22" s="86" t="s" ph="1">
        <v>119</v>
      </c>
      <c r="U22" s="86" t="s" ph="1">
        <v>120</v>
      </c>
      <c r="V22" s="86" t="s" ph="1">
        <v>121</v>
      </c>
      <c r="W22" s="86" t="s" ph="1">
        <v>122</v>
      </c>
      <c r="X22" s="86" t="s" ph="1">
        <v>123</v>
      </c>
      <c r="Y22" s="86" t="s" ph="1">
        <v>125</v>
      </c>
      <c r="Z22" s="195" t="s" ph="1">
        <v>79</v>
      </c>
      <c r="AA22" s="196"/>
      <c r="AB22" s="196"/>
      <c r="AC22" s="196"/>
      <c r="AD22" s="196"/>
      <c r="AE22" s="197"/>
      <c r="AH22" s="64" ph="1">
        <v>8</v>
      </c>
      <c r="AI22" s="64" t="s" ph="1">
        <v>386</v>
      </c>
      <c r="AZ22" s="64" t="s" ph="1">
        <v>257</v>
      </c>
      <c r="BA22" s="64" ph="1">
        <v>0</v>
      </c>
    </row>
    <row r="23" spans="1:57" ph="1">
      <c r="A23" s="72" ph="1"/>
      <c r="B23" s="211" ph="1"/>
      <c r="C23" s="67" t="s" ph="1">
        <v>36</v>
      </c>
      <c r="D23" s="88" t="s" ph="1">
        <v>127</v>
      </c>
      <c r="E23" s="88" t="s" ph="1">
        <v>124</v>
      </c>
      <c r="F23" s="88" t="s" ph="1">
        <v>127</v>
      </c>
      <c r="G23" s="88" t="s" ph="1">
        <v>679</v>
      </c>
      <c r="H23" s="88" t="s" ph="1">
        <v>679</v>
      </c>
      <c r="I23" s="88" t="s" ph="1">
        <v>680</v>
      </c>
      <c r="J23" s="88" t="s" ph="1">
        <v>681</v>
      </c>
      <c r="K23" s="88" t="s" ph="1">
        <v>682</v>
      </c>
      <c r="L23" s="88" t="s" ph="1">
        <v>682</v>
      </c>
      <c r="M23" s="88" t="s" ph="1">
        <v>675</v>
      </c>
      <c r="N23" s="88" t="s" ph="1">
        <v>675</v>
      </c>
      <c r="O23" s="88" t="s" ph="1">
        <v>359</v>
      </c>
      <c r="P23" s="88" t="s" ph="1">
        <v>666</v>
      </c>
      <c r="Q23" s="89" t="s" ph="1">
        <v>666</v>
      </c>
      <c r="R23" s="88" t="s" ph="1">
        <v>659</v>
      </c>
      <c r="S23" s="88" t="s" ph="1">
        <v>683</v>
      </c>
      <c r="T23" s="88" t="s" ph="1">
        <v>647</v>
      </c>
      <c r="U23" s="88" t="s" ph="1">
        <v>653</v>
      </c>
      <c r="V23" s="88" t="s" ph="1">
        <v>684</v>
      </c>
      <c r="W23" s="88" t="s" ph="1">
        <v>685</v>
      </c>
      <c r="X23" s="88" t="s" ph="1">
        <v>228</v>
      </c>
      <c r="Y23" s="88" t="s" ph="1">
        <v>686</v>
      </c>
      <c r="Z23" s="198" t="s" ph="1">
        <v>687</v>
      </c>
      <c r="AA23" s="199"/>
      <c r="AB23" s="199"/>
      <c r="AC23" s="199"/>
      <c r="AD23" s="199"/>
      <c r="AE23" s="200"/>
      <c r="AH23" s="64" ph="1">
        <v>9</v>
      </c>
      <c r="AI23" s="64" t="s" ph="1">
        <v>387</v>
      </c>
      <c r="AZ23" s="64" t="s" ph="1">
        <v>257</v>
      </c>
      <c r="BA23" s="64" ph="1">
        <v>0</v>
      </c>
      <c r="BD23" s="64" t="s" ph="1">
        <v>279</v>
      </c>
      <c r="BE23" s="64" ph="1">
        <v>890</v>
      </c>
    </row>
    <row r="24" spans="1:57" ph="1">
      <c r="A24" s="72" ph="1"/>
      <c r="B24" s="207" ph="1">
        <v>0.33333333333333331</v>
      </c>
      <c r="C24" s="164" t="s" ph="1">
        <v>208</v>
      </c>
      <c r="D24" s="71">
        <v>98.41</v>
      </c>
      <c r="E24" s="71">
        <v>95.02</v>
      </c>
      <c r="F24" s="71">
        <v>4010</v>
      </c>
      <c r="G24" s="71">
        <v>3848</v>
      </c>
      <c r="H24" s="71">
        <v>2637</v>
      </c>
      <c r="I24" s="71">
        <v>2312</v>
      </c>
      <c r="J24" s="71">
        <v>1538</v>
      </c>
      <c r="K24" s="71">
        <v>5602</v>
      </c>
      <c r="L24" s="71">
        <v>5575</v>
      </c>
      <c r="M24" s="71">
        <v>4855</v>
      </c>
      <c r="N24" s="71">
        <v>2581</v>
      </c>
      <c r="O24" s="71">
        <v>2060</v>
      </c>
      <c r="P24" s="71">
        <v>452</v>
      </c>
      <c r="Q24" s="90">
        <v>841</v>
      </c>
      <c r="R24" s="71">
        <v>6080</v>
      </c>
      <c r="S24" s="71">
        <v>1024</v>
      </c>
      <c r="T24" s="71">
        <v>6</v>
      </c>
      <c r="U24" s="71">
        <v>5658</v>
      </c>
      <c r="V24" s="71">
        <v>414</v>
      </c>
      <c r="W24" s="71">
        <v>9561</v>
      </c>
      <c r="X24" s="71">
        <v>7729</v>
      </c>
      <c r="Y24" s="71">
        <v>5067</v>
      </c>
      <c r="Z24" s="201"/>
      <c r="AA24" s="202"/>
      <c r="AB24" s="202"/>
      <c r="AC24" s="202"/>
      <c r="AD24" s="202"/>
      <c r="AE24" s="203"/>
      <c r="AH24" s="64" ph="1">
        <v>10</v>
      </c>
      <c r="AI24" s="64" t="s" ph="1">
        <v>388</v>
      </c>
      <c r="AZ24" s="64" t="s" ph="1">
        <v>257</v>
      </c>
      <c r="BA24" s="64" ph="1">
        <v>0</v>
      </c>
    </row>
    <row r="25" spans="1:57" ph="1">
      <c r="A25" s="72" ph="1"/>
      <c r="B25" s="207" ph="1"/>
      <c r="C25" s="68" t="s" ph="1">
        <v>209</v>
      </c>
      <c r="D25" s="91" ph="1">
        <f>D24*268.68*LOOKUP(D26,密度!$A$2:$A$50,密度!$Q$2:$Q$50)+IF(D24&lt;=0,0,1566*LOOKUP(D26,密度!$A$2:$A$50,密度!$Q$2:$Q$50))</f>
        <v>26515.156695912003</v>
      </c>
      <c r="E25" s="91" ph="1">
        <f>E24*268.68*LOOKUP(E26,密度!$A$2:$A$50,密度!$C$2:$C$50)+IF(E24&lt;=0,0,1566*LOOKUP(E26,密度!$A$2:$A$50,密度!$C$2:$C$50))</f>
        <v>30046.725125040004</v>
      </c>
      <c r="F25" s="91" ph="1">
        <f>F24*11.702*LOOKUP(F26,密度!$A$2:$A$50,密度!$Q$2:$Q$50)</f>
        <v>44791.808590799999</v>
      </c>
      <c r="G25" s="91" ph="1">
        <f>G24*18.322*LOOKUP(G26,密度!$A$2:$A$50,密度!$B$2:$B$50)</f>
        <v>55556.408128000003</v>
      </c>
      <c r="H25" s="91" ph="1">
        <f>H24*18.322*LOOKUP(H26,密度!$A$2:$A$50,密度!$B$2:$B$50)</f>
        <v>38072.309832000006</v>
      </c>
      <c r="I25" s="91" ph="1">
        <f>I24*18.322*LOOKUP(I26,密度!$A$2:$A$50,密度!$Q$2:$Q$50)</f>
        <v>40394.938470399997</v>
      </c>
      <c r="J25" s="91" ph="1">
        <f>J24*18.322*LOOKUP(J26,密度!$A$2:$A$50,密度!$Q$2:$Q$50)</f>
        <v>26871.719449599997</v>
      </c>
      <c r="K25" s="91" ph="1">
        <f>K24*18.322*LOOKUP(K26,密度!$A$2:$A$50,密度!$Q$2:$Q$50)</f>
        <v>97973.836691760007</v>
      </c>
      <c r="L25" s="91" ph="1">
        <f>L24*18.322*LOOKUP(L26,密度!$A$2:$A$50,密度!$Q$2:$Q$50)</f>
        <v>97501.631481000004</v>
      </c>
      <c r="M25" s="91" ph="1">
        <f>M24*18.322*LOOKUP(M26,密度!$A$2:$A$50,密度!$Q$2:$Q$50)</f>
        <v>84909.492527399998</v>
      </c>
      <c r="N25" s="91" ph="1">
        <f>N24*18.322*LOOKUP(N26,密度!$A$2:$A$50,密度!$Q$2:$Q$50)</f>
        <v>45139.320332279996</v>
      </c>
      <c r="O25" s="91" ph="1">
        <f>O24*18.322*LOOKUP(O26,密度!$A$2:$A$50,密度!$C$2:$C$50)</f>
        <v>42113.996455999993</v>
      </c>
      <c r="P25" s="91" ph="1">
        <f>P24*11.702*LOOKUP(P26,密度!$A$2:$A$50,密度!$B$2:$B$50)</f>
        <v>4167.971552</v>
      </c>
      <c r="Q25" s="92" ph="1">
        <f>Q24*18.322*LOOKUP(Q26,密度!$A$2:$A$50,密度!$B$2:$B$50)</f>
        <v>12142.135976</v>
      </c>
      <c r="R25" s="91" ph="1">
        <f>R24*35.891*LOOKUP(R26,密度!$A$2:$A$50,密度!$C$2:$C$50)</f>
        <v>243355.91065599999</v>
      </c>
      <c r="S25" s="91" ph="1">
        <f>S24*35.891*LOOKUP(S26,密度!$A$2:$A$50,密度!$B$2:$B$50)</f>
        <v>28960.878592000001</v>
      </c>
      <c r="T25" s="91" ph="1">
        <f>T24*35.891*LOOKUP(T26,密度!$A$2:$A$50,密度!$Q$2:$Q$50)</f>
        <v>205.55637084000003</v>
      </c>
      <c r="U25" s="91" ph="1">
        <f>U24*35.891</f>
        <v>203071.27799999999</v>
      </c>
      <c r="V25" s="91" ph="1">
        <f>V24*47.051*LOOKUP(V26,密度!$A$2:$A$50,密度!$B$2:$B$50)</f>
        <v>15333.958540800002</v>
      </c>
      <c r="W25" s="91" ph="1">
        <f>W24*47.051*LOOKUP(W26,密度!$A$2:$A$50,密度!$B$2:$B$50)</f>
        <v>353765.66609040002</v>
      </c>
      <c r="X25" s="91" ph="1">
        <f>X24*47.051*LOOKUP(X26,密度!$A$2:$A$50,密度!$I$2:$I$50)</f>
        <v>376617.92085955996</v>
      </c>
      <c r="Y25" s="91" ph="1">
        <f>Y24*47.051*LOOKUP(Y26,密度!$A$2:$A$50,密度!$L$2:$L$50)</f>
        <v>225056.60164800001</v>
      </c>
      <c r="Z25" s="201"/>
      <c r="AA25" s="202"/>
      <c r="AB25" s="202"/>
      <c r="AC25" s="202"/>
      <c r="AD25" s="202"/>
      <c r="AE25" s="203"/>
      <c r="AH25" s="64" ph="1">
        <v>11</v>
      </c>
      <c r="AI25" s="64" t="s" ph="1">
        <v>389</v>
      </c>
      <c r="AZ25" s="64" t="s" ph="1">
        <v>257</v>
      </c>
      <c r="BA25" s="64" ph="1">
        <v>0</v>
      </c>
      <c r="BD25" s="64" t="s" ph="1">
        <v>282</v>
      </c>
      <c r="BE25" s="64" ph="1">
        <v>8920</v>
      </c>
    </row>
    <row r="26" spans="1:57" ph="1">
      <c r="A26" s="72" ph="1"/>
      <c r="B26" s="207" ph="1"/>
      <c r="C26" s="68" t="s" ph="1">
        <v>210</v>
      </c>
      <c r="D26" s="74">
        <v>25</v>
      </c>
      <c r="E26" s="74">
        <v>25</v>
      </c>
      <c r="F26" s="74">
        <v>13</v>
      </c>
      <c r="G26" s="74">
        <v>15</v>
      </c>
      <c r="H26" s="74">
        <v>15</v>
      </c>
      <c r="I26" s="74">
        <v>16</v>
      </c>
      <c r="J26" s="74">
        <v>16</v>
      </c>
      <c r="K26" s="74">
        <v>15</v>
      </c>
      <c r="L26" s="74">
        <v>15</v>
      </c>
      <c r="M26" s="74">
        <v>15</v>
      </c>
      <c r="N26" s="74">
        <v>15</v>
      </c>
      <c r="O26" s="74">
        <v>15</v>
      </c>
      <c r="P26" s="74">
        <v>15</v>
      </c>
      <c r="Q26" s="93">
        <v>15</v>
      </c>
      <c r="R26" s="74">
        <v>16</v>
      </c>
      <c r="S26" s="74">
        <v>15</v>
      </c>
      <c r="T26" s="74">
        <v>15</v>
      </c>
      <c r="U26" s="74">
        <v>16</v>
      </c>
      <c r="V26" s="74">
        <v>16</v>
      </c>
      <c r="W26" s="74">
        <v>17</v>
      </c>
      <c r="X26" s="74">
        <v>55</v>
      </c>
      <c r="Y26" s="74">
        <v>18</v>
      </c>
      <c r="Z26" s="201"/>
      <c r="AA26" s="202"/>
      <c r="AB26" s="202"/>
      <c r="AC26" s="202"/>
      <c r="AD26" s="202"/>
      <c r="AE26" s="203"/>
      <c r="AH26" s="64" ph="1">
        <v>12</v>
      </c>
      <c r="AI26" s="64" t="s" ph="1">
        <v>390</v>
      </c>
      <c r="AZ26" s="64" t="s" ph="1">
        <v>257</v>
      </c>
      <c r="BA26" s="64" ph="1">
        <v>0</v>
      </c>
    </row>
    <row r="27" spans="1:57" ph="1">
      <c r="A27" s="72" ph="1"/>
      <c r="B27" s="207" ph="1">
        <v>0.66666666666666663</v>
      </c>
      <c r="C27" s="164" t="s" ph="1">
        <v>211</v>
      </c>
      <c r="D27" s="71">
        <v>98.41</v>
      </c>
      <c r="E27" s="71">
        <v>94.91</v>
      </c>
      <c r="F27" s="71">
        <v>4010</v>
      </c>
      <c r="G27" s="71">
        <v>3336</v>
      </c>
      <c r="H27" s="71">
        <v>2200</v>
      </c>
      <c r="I27" s="71">
        <v>2310</v>
      </c>
      <c r="J27" s="71">
        <v>1537</v>
      </c>
      <c r="K27" s="71">
        <v>5601</v>
      </c>
      <c r="L27" s="71">
        <v>5574</v>
      </c>
      <c r="M27" s="71">
        <v>4854</v>
      </c>
      <c r="N27" s="71">
        <v>2580</v>
      </c>
      <c r="O27" s="71">
        <v>2059</v>
      </c>
      <c r="P27" s="71">
        <v>451</v>
      </c>
      <c r="Q27" s="90">
        <v>1459</v>
      </c>
      <c r="R27" s="71">
        <v>6079</v>
      </c>
      <c r="S27" s="71">
        <v>1928</v>
      </c>
      <c r="T27" s="71">
        <v>3</v>
      </c>
      <c r="U27" s="71">
        <v>5722</v>
      </c>
      <c r="V27" s="71">
        <v>411</v>
      </c>
      <c r="W27" s="71">
        <v>10503</v>
      </c>
      <c r="X27" s="71">
        <v>7236</v>
      </c>
      <c r="Y27" s="71">
        <v>5355</v>
      </c>
      <c r="Z27" s="201"/>
      <c r="AA27" s="202"/>
      <c r="AB27" s="202"/>
      <c r="AC27" s="202"/>
      <c r="AD27" s="202"/>
      <c r="AE27" s="203"/>
      <c r="AH27" s="64" ph="1">
        <v>13</v>
      </c>
      <c r="AI27" s="64" t="s" ph="1">
        <v>391</v>
      </c>
      <c r="AZ27" s="64" t="s" ph="1">
        <v>257</v>
      </c>
      <c r="BA27" s="64" ph="1">
        <v>0</v>
      </c>
      <c r="BD27" s="64" t="s" ph="1">
        <v>336</v>
      </c>
      <c r="BE27" s="64" ph="1">
        <v>7100</v>
      </c>
    </row>
    <row r="28" spans="1:57" ph="1">
      <c r="A28" s="72" ph="1"/>
      <c r="B28" s="207" ph="1"/>
      <c r="C28" s="164" t="s" ph="1">
        <v>209</v>
      </c>
      <c r="D28" s="91" ph="1">
        <f>D27*268.68*LOOKUP(D29,密度!$A$2:$A$50,密度!$Q$2:$Q$50)+IF(D27&lt;=0,0,1566*LOOKUP(D29,密度!$A$2:$A$50,密度!$Q$2:$Q$50))</f>
        <v>26515.156695912003</v>
      </c>
      <c r="E28" s="91" ph="1">
        <f>E27*268.68*LOOKUP(E29,密度!$A$2:$A$50,密度!$C$2:$C$50)+IF(E27&lt;=0,0,1566*LOOKUP(E29,密度!$A$2:$A$50,密度!$C$2:$C$50))</f>
        <v>30013.951807320002</v>
      </c>
      <c r="F28" s="91" ph="1">
        <f>F27*11.702*LOOKUP(F29,密度!$A$2:$A$50,密度!$Q$2:$Q$50)</f>
        <v>44791.808590799999</v>
      </c>
      <c r="G28" s="91" ph="1">
        <f>G27*18.322*LOOKUP(G29,密度!$A$2:$A$50,密度!$B$2:$B$50)</f>
        <v>48164.287295999995</v>
      </c>
      <c r="H28" s="91" ph="1">
        <f>H27*18.322*LOOKUP(H29,密度!$A$2:$A$50,密度!$B$2:$B$50)</f>
        <v>31763.019200000002</v>
      </c>
      <c r="I28" s="91" ph="1">
        <f>I27*18.322*LOOKUP(I29,密度!$A$2:$A$50,密度!$Q$2:$Q$50)</f>
        <v>40399.779142800006</v>
      </c>
      <c r="J28" s="91" ph="1">
        <f>J27*18.322*LOOKUP(J29,密度!$A$2:$A$50,密度!$Q$2:$Q$50)</f>
        <v>26880.718849559998</v>
      </c>
      <c r="K28" s="91" ph="1">
        <f>K27*18.322*LOOKUP(K29,密度!$A$2:$A$50,密度!$Q$2:$Q$50)</f>
        <v>97859.883379199993</v>
      </c>
      <c r="L28" s="91" ph="1">
        <f>L27*18.322*LOOKUP(L29,密度!$A$2:$A$50,密度!$Q$2:$Q$50)</f>
        <v>97484.142399119999</v>
      </c>
      <c r="M28" s="91" ph="1">
        <f>M27*18.322*LOOKUP(M29,密度!$A$2:$A$50,密度!$Q$2:$Q$50)</f>
        <v>84892.003445520008</v>
      </c>
      <c r="N28" s="91" ph="1">
        <f>N27*18.322*LOOKUP(N29,密度!$A$2:$A$50,密度!$Q$2:$Q$50)</f>
        <v>45121.831250399999</v>
      </c>
      <c r="O28" s="91" ph="1">
        <f>O27*18.322*LOOKUP(O29,密度!$A$2:$A$50,密度!$C$2:$C$50)</f>
        <v>42093.552768399997</v>
      </c>
      <c r="P28" s="91" ph="1">
        <f>P27*11.702*LOOKUP(P29,密度!$A$2:$A$50,密度!$B$2:$B$50)</f>
        <v>4158.750376</v>
      </c>
      <c r="Q28" s="92" ph="1">
        <f>Q27*18.322*LOOKUP(Q29,密度!$A$2:$A$50,密度!$B$2:$B$50)</f>
        <v>21064.656824000002</v>
      </c>
      <c r="R28" s="91" ph="1">
        <f>R27*35.891*LOOKUP(R29,密度!$A$2:$A$50,密度!$C$2:$C$50)</f>
        <v>243446.79384619999</v>
      </c>
      <c r="S28" s="91" ph="1">
        <f>S27*35.891*LOOKUP(S29,密度!$A$2:$A$50,密度!$B$2:$B$50)</f>
        <v>54527.904223999998</v>
      </c>
      <c r="T28" s="91" ph="1">
        <f>T27*35.891*LOOKUP(T29,密度!$A$2:$A$50,密度!$Q$2:$Q$50)</f>
        <v>102.6769728</v>
      </c>
      <c r="U28" s="91" ph="1">
        <f>U27*35.891</f>
        <v>205368.302</v>
      </c>
      <c r="V28" s="91" ph="1">
        <f>V27*47.051*LOOKUP(V29,密度!$A$2:$A$50,密度!$B$2:$B$50)</f>
        <v>15238.313268</v>
      </c>
      <c r="W28" s="91" ph="1">
        <f>W27*47.051*LOOKUP(W29,密度!$A$2:$A$50,密度!$B$2:$B$50)</f>
        <v>389411.20256400004</v>
      </c>
      <c r="X28" s="91" ph="1">
        <f>X27*47.051*LOOKUP(X29,密度!$A$2:$A$50,密度!$I$2:$I$50)</f>
        <v>352595.06732303998</v>
      </c>
      <c r="Y28" s="91" ph="1">
        <f>Y27*47.051*LOOKUP(Y29,密度!$A$2:$A$50,密度!$L$2:$L$50)</f>
        <v>238604.32543500001</v>
      </c>
      <c r="Z28" s="201"/>
      <c r="AA28" s="202"/>
      <c r="AB28" s="202"/>
      <c r="AC28" s="202"/>
      <c r="AD28" s="202"/>
      <c r="AE28" s="203"/>
      <c r="AH28" s="64" ph="1">
        <v>14</v>
      </c>
      <c r="AI28" s="64" t="s" ph="1">
        <v>392</v>
      </c>
      <c r="AZ28" s="64" t="s" ph="1">
        <v>257</v>
      </c>
      <c r="BA28" s="64" ph="1">
        <v>0</v>
      </c>
    </row>
    <row r="29" spans="1:57" ph="1">
      <c r="A29" s="72" ph="1"/>
      <c r="B29" s="207" ph="1"/>
      <c r="C29" s="164" t="s" ph="1">
        <v>210</v>
      </c>
      <c r="D29" s="74">
        <v>25</v>
      </c>
      <c r="E29" s="74">
        <v>25</v>
      </c>
      <c r="F29" s="74">
        <v>15</v>
      </c>
      <c r="G29" s="74">
        <v>15</v>
      </c>
      <c r="H29" s="74">
        <v>15</v>
      </c>
      <c r="I29" s="74">
        <v>15</v>
      </c>
      <c r="J29" s="74">
        <v>15</v>
      </c>
      <c r="K29" s="74">
        <v>16</v>
      </c>
      <c r="L29" s="74">
        <v>15</v>
      </c>
      <c r="M29" s="74">
        <v>14</v>
      </c>
      <c r="N29" s="74">
        <v>14</v>
      </c>
      <c r="O29" s="74">
        <v>15</v>
      </c>
      <c r="P29" s="74">
        <v>15</v>
      </c>
      <c r="Q29" s="93">
        <v>15</v>
      </c>
      <c r="R29" s="74">
        <v>15</v>
      </c>
      <c r="S29" s="74">
        <v>15</v>
      </c>
      <c r="T29" s="74">
        <v>16</v>
      </c>
      <c r="U29" s="74">
        <v>16</v>
      </c>
      <c r="V29" s="74">
        <v>15</v>
      </c>
      <c r="W29" s="74">
        <v>15</v>
      </c>
      <c r="X29" s="74">
        <v>54</v>
      </c>
      <c r="Y29" s="74">
        <v>15</v>
      </c>
      <c r="Z29" s="204"/>
      <c r="AA29" s="205"/>
      <c r="AB29" s="205"/>
      <c r="AC29" s="205"/>
      <c r="AD29" s="205"/>
      <c r="AE29" s="206"/>
      <c r="AH29" s="64" ph="1">
        <v>15</v>
      </c>
      <c r="AI29" s="64" t="s" ph="1">
        <v>393</v>
      </c>
      <c r="AZ29" s="64" t="s" ph="1">
        <v>257</v>
      </c>
      <c r="BA29" s="64" ph="1">
        <v>0</v>
      </c>
      <c r="BD29" s="64" t="s" ph="1">
        <v>394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395</v>
      </c>
      <c r="AZ30" s="64" t="s" ph="1">
        <v>257</v>
      </c>
      <c r="BA30" s="64" ph="1">
        <v>0</v>
      </c>
    </row>
    <row r="31" spans="1:57" ht="28.5" ph="1">
      <c r="A31" s="64"/>
      <c r="B31" s="220" t="s" ph="1">
        <v>35</v>
      </c>
      <c r="C31" s="221" ph="1"/>
      <c r="D31" s="224" t="s" ph="1">
        <v>9</v>
      </c>
      <c r="E31" s="213" ph="1"/>
      <c r="F31" s="214" ph="1"/>
      <c r="G31" s="224" t="s" ph="1">
        <v>18</v>
      </c>
      <c r="H31" s="213" ph="1"/>
      <c r="I31" s="214" ph="1"/>
      <c r="J31" s="212" t="s" ph="1">
        <v>1</v>
      </c>
      <c r="K31" s="213" ph="1"/>
      <c r="L31" s="214" ph="1"/>
      <c r="M31" s="212" t="s" ph="1">
        <v>7</v>
      </c>
      <c r="N31" s="213" ph="1"/>
      <c r="O31" s="214" ph="1"/>
      <c r="P31" s="212" t="s" ph="1">
        <v>42</v>
      </c>
      <c r="Q31" s="213"/>
      <c r="R31" s="214"/>
      <c r="S31" s="212" t="s" ph="1">
        <v>2</v>
      </c>
      <c r="T31" s="213"/>
      <c r="U31" s="214"/>
      <c r="V31" s="212" t="s" ph="1">
        <v>81</v>
      </c>
      <c r="W31" s="213" ph="1"/>
      <c r="X31" s="214" ph="1"/>
      <c r="Y31" s="212" t="s" ph="1">
        <v>3</v>
      </c>
      <c r="Z31" s="213" ph="1"/>
      <c r="AA31" s="214" ph="1"/>
      <c r="AB31" s="235" t="s">
        <v>43</v>
      </c>
      <c r="AC31" s="236"/>
      <c r="AD31" s="236"/>
      <c r="AE31" s="237"/>
      <c r="AH31" s="64" ph="1">
        <v>17</v>
      </c>
      <c r="AI31" s="64" t="s" ph="1">
        <v>396</v>
      </c>
      <c r="AZ31" s="64" t="s" ph="1">
        <v>257</v>
      </c>
      <c r="BA31" s="64" ph="1">
        <v>0</v>
      </c>
      <c r="BD31" s="64" t="s" ph="1">
        <v>397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64" t="s" ph="1">
        <v>5</v>
      </c>
      <c r="F32" s="165" t="s" ph="1">
        <v>44</v>
      </c>
      <c r="G32" s="97" t="s" ph="1">
        <v>4</v>
      </c>
      <c r="H32" s="164" t="s" ph="1">
        <v>5</v>
      </c>
      <c r="I32" s="165" t="s" ph="1">
        <v>44</v>
      </c>
      <c r="J32" s="97" t="s" ph="1">
        <v>4</v>
      </c>
      <c r="K32" s="164" t="s" ph="1">
        <v>5</v>
      </c>
      <c r="L32" s="165" t="s" ph="1">
        <v>44</v>
      </c>
      <c r="M32" s="97" t="s" ph="1">
        <v>4</v>
      </c>
      <c r="N32" s="164" t="s" ph="1">
        <v>5</v>
      </c>
      <c r="O32" s="165" t="s" ph="1">
        <v>44</v>
      </c>
      <c r="P32" s="97" t="s" ph="1">
        <v>4</v>
      </c>
      <c r="Q32" s="98" t="s" ph="1">
        <v>5</v>
      </c>
      <c r="R32" s="99" t="s" ph="1">
        <v>44</v>
      </c>
      <c r="S32" s="97" t="s" ph="1">
        <v>4</v>
      </c>
      <c r="T32" s="164" t="s" ph="1">
        <v>5</v>
      </c>
      <c r="U32" s="99" t="s" ph="1">
        <v>44</v>
      </c>
      <c r="V32" s="97" t="s" ph="1">
        <v>4</v>
      </c>
      <c r="W32" s="164" t="s" ph="1">
        <v>5</v>
      </c>
      <c r="X32" s="99" t="s" ph="1">
        <v>44</v>
      </c>
      <c r="Y32" s="100" t="s" ph="1">
        <v>4</v>
      </c>
      <c r="Z32" s="164" t="s" ph="1">
        <v>5</v>
      </c>
      <c r="AA32" s="165" t="s" ph="1">
        <v>44</v>
      </c>
      <c r="AB32" s="97" t="s" ph="1">
        <v>102</v>
      </c>
      <c r="AC32" s="164" t="s" ph="1">
        <v>101</v>
      </c>
      <c r="AD32" s="238" t="s" ph="1">
        <v>100</v>
      </c>
      <c r="AE32" s="239"/>
      <c r="AH32" s="64" ph="1">
        <v>18</v>
      </c>
      <c r="AI32" s="64" t="s" ph="1">
        <v>398</v>
      </c>
      <c r="AZ32" s="64" t="s" ph="1">
        <v>257</v>
      </c>
      <c r="BA32" s="64" ph="1">
        <v>0</v>
      </c>
    </row>
    <row r="33" spans="1:57" ph="1">
      <c r="A33" s="64"/>
      <c r="B33" s="225" t="s" ph="1">
        <v>212</v>
      </c>
      <c r="C33" s="226" ph="1"/>
      <c r="D33" s="229" ph="1">
        <f>AA10+AB10+Z19</f>
        <v>109944.4504288</v>
      </c>
      <c r="E33" s="229" ph="1">
        <f>M10+I10</f>
        <v>166904.96995</v>
      </c>
      <c r="F33" s="23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[[#This Row],[F25]]</f>
        <v>3880</v>
      </c>
      <c r="G33" s="233" ph="1">
        <v>0</v>
      </c>
      <c r="H33" s="229" ph="1">
        <f>N19</f>
        <v>24731.99469648</v>
      </c>
      <c r="I33" s="242" ph="1">
        <v>0</v>
      </c>
      <c r="J33" s="240" ph="1">
        <f>F10+O28</f>
        <v>149675.50999990001</v>
      </c>
      <c r="K33" s="229" ph="1">
        <f>O10+K10+E28+R28</f>
        <v>386167.27696712001</v>
      </c>
      <c r="L33" s="244" ph="1">
        <f>BE27</f>
        <v>7100</v>
      </c>
      <c r="M33" s="240" ph="1">
        <f>G10+H10+W28+S28</f>
        <v>919190.80496200011</v>
      </c>
      <c r="N33" s="229" ph="1">
        <f>L10+P10++G28+H28+V28</f>
        <v>332613.21759899997</v>
      </c>
      <c r="O33" s="242" ph="1">
        <f>BE17</f>
        <v>2270</v>
      </c>
      <c r="P33" s="240" ph="1">
        <f>L19</f>
        <v>45245.481905879999</v>
      </c>
      <c r="Q33" s="229" ph="1">
        <f>J10+N10</f>
        <v>142769.24391619998</v>
      </c>
      <c r="R33" s="242" ph="1">
        <f>BE23</f>
        <v>890</v>
      </c>
      <c r="S33" s="240" ph="1">
        <f>E10+X28</f>
        <v>352595.06732303998</v>
      </c>
      <c r="T33" s="229" ph="1">
        <f>X19</f>
        <v>11746.582575</v>
      </c>
      <c r="U33" s="250" ph="1">
        <f>BE21</f>
        <v>730</v>
      </c>
      <c r="V33" s="261" ph="1">
        <f ca="1">P19+Q19+S19+M28+N28+J28</f>
        <v>304866.03370833403</v>
      </c>
      <c r="W33" s="261" ph="1">
        <f>D28+F28+V19+T28</f>
        <v>71409.642259512009</v>
      </c>
      <c r="X33" s="242" ph="1">
        <f>BE29+BE31</f>
        <v>10200</v>
      </c>
      <c r="Y33" s="263" ph="1">
        <f>+Q10+R10+S10+T10+U10+V10+W10+X10+Y10</f>
        <v>175819.75474139999</v>
      </c>
      <c r="Z33" s="248" ph="1">
        <f>D10+T19+U19+Y28+Z10</f>
        <v>392496.02535677998</v>
      </c>
      <c r="AA33" s="250" ph="1">
        <f>BE19</f>
        <v>1440</v>
      </c>
      <c r="AB33" s="252" ph="1">
        <f>I19</f>
        <v>93.286888000000019</v>
      </c>
      <c r="AC33" s="254" ph="1">
        <f>AD10</f>
        <v>5198.8442880000002</v>
      </c>
      <c r="AD33" s="256" ph="1">
        <v>0</v>
      </c>
      <c r="AE33" s="257"/>
      <c r="AH33" s="64" ph="1">
        <v>19</v>
      </c>
      <c r="AI33" s="64" t="s" ph="1">
        <v>399</v>
      </c>
      <c r="AJ33" s="64" t="s" ph="1">
        <v>633</v>
      </c>
      <c r="AK33" s="64" t="s" ph="1">
        <v>630</v>
      </c>
      <c r="AL33" s="64" ph="1">
        <v>730</v>
      </c>
      <c r="AM33" s="64" t="s" ph="1">
        <v>380</v>
      </c>
      <c r="AZ33" s="64" t="s" ph="1">
        <v>257</v>
      </c>
      <c r="BA33" s="64" ph="1">
        <v>730</v>
      </c>
      <c r="BD33" s="64" t="s" ph="1">
        <v>331</v>
      </c>
      <c r="BE33" s="64" ph="1">
        <v>3880</v>
      </c>
    </row>
    <row r="34" spans="1:57" ph="1">
      <c r="A34" s="64"/>
      <c r="B34" s="227" ph="1"/>
      <c r="C34" s="228" ph="1"/>
      <c r="D34" s="230" ph="1"/>
      <c r="E34" s="230" ph="1"/>
      <c r="F34" s="232" ph="1"/>
      <c r="G34" s="234" ph="1"/>
      <c r="H34" s="230" ph="1"/>
      <c r="I34" s="243" ph="1"/>
      <c r="J34" s="241" ph="1"/>
      <c r="K34" s="230" ph="1"/>
      <c r="L34" s="245" ph="1"/>
      <c r="M34" s="241" ph="1"/>
      <c r="N34" s="230" ph="1"/>
      <c r="O34" s="243" ph="1"/>
      <c r="P34" s="241" ph="1"/>
      <c r="Q34" s="230" ph="1"/>
      <c r="R34" s="243" ph="1"/>
      <c r="S34" s="241" ph="1"/>
      <c r="T34" s="230"/>
      <c r="U34" s="251"/>
      <c r="V34" s="262" ph="1"/>
      <c r="W34" s="262" ph="1"/>
      <c r="X34" s="243" ph="1"/>
      <c r="Y34" s="264" ph="1"/>
      <c r="Z34" s="249" ph="1"/>
      <c r="AA34" s="251" ph="1"/>
      <c r="AB34" s="253"/>
      <c r="AC34" s="255"/>
      <c r="AD34" s="258"/>
      <c r="AE34" s="259"/>
      <c r="AH34" s="64" ph="1">
        <v>20</v>
      </c>
      <c r="AI34" s="64" t="s" ph="1">
        <v>400</v>
      </c>
      <c r="AJ34" s="64" t="s" ph="1">
        <v>634</v>
      </c>
      <c r="AK34" s="64" t="s" ph="1">
        <v>630</v>
      </c>
      <c r="AL34" s="64" ph="1">
        <v>720</v>
      </c>
      <c r="AM34" s="64" t="s" ph="1">
        <v>380</v>
      </c>
      <c r="AZ34" s="64" t="s" ph="1">
        <v>257</v>
      </c>
      <c r="BA34" s="64" ph="1">
        <v>720</v>
      </c>
    </row>
    <row r="35" spans="1:57" ph="1">
      <c r="A35" s="64"/>
      <c r="AC35" s="260" t="s" ph="1">
        <v>84</v>
      </c>
      <c r="AD35" s="260"/>
      <c r="AE35" s="260"/>
      <c r="AH35" s="64" ph="1">
        <v>21</v>
      </c>
      <c r="AI35" s="64" t="s" ph="1">
        <v>401</v>
      </c>
      <c r="AZ35" s="64" t="s" ph="1">
        <v>257</v>
      </c>
      <c r="BA35" s="64" ph="1">
        <v>0</v>
      </c>
      <c r="BD35" s="64" t="s" ph="1">
        <v>402</v>
      </c>
      <c r="BE35" s="64" ph="1">
        <v>2030</v>
      </c>
    </row>
    <row r="36" spans="1:57" ht="28.5" ph="1">
      <c r="A36" s="64"/>
      <c r="B36" s="103" t="s" ph="1">
        <v>213</v>
      </c>
      <c r="I36" s="246" t="s" ph="1">
        <v>214</v>
      </c>
      <c r="J36" s="246" ph="1"/>
      <c r="K36" s="101" ph="1"/>
      <c r="P36" s="101" ph="1"/>
      <c r="R36" s="246" t="s" ph="1">
        <v>215</v>
      </c>
      <c r="S36" s="246" ph="1"/>
      <c r="Y36" s="102" ph="1"/>
      <c r="Z36" s="166" t="s" ph="1">
        <v>216</v>
      </c>
      <c r="AA36" s="166" ph="1"/>
      <c r="AB36" s="247" t="s" ph="1">
        <v>655</v>
      </c>
      <c r="AC36" s="247" ph="1"/>
      <c r="AD36" s="247" ph="1"/>
      <c r="AE36" s="247" ph="1"/>
      <c r="BA36" s="64" ph="1">
        <v>2270</v>
      </c>
    </row>
    <row r="37" spans="1:57" s="166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6" t="s" ph="1">
        <v>383</v>
      </c>
      <c r="AI37" s="166" t="s" ph="1">
        <v>250</v>
      </c>
      <c r="AJ37" s="166" t="s" ph="1">
        <v>251</v>
      </c>
      <c r="AK37" s="166" t="s" ph="1">
        <v>252</v>
      </c>
      <c r="AM37" s="166" t="s" ph="1">
        <v>251</v>
      </c>
      <c r="AN37" s="166" t="s" ph="1">
        <v>252</v>
      </c>
      <c r="AO37" s="166" t="s" ph="1">
        <v>253</v>
      </c>
      <c r="AP37" s="166" t="s" ph="1">
        <v>251</v>
      </c>
      <c r="AQ37" s="166" t="s" ph="1">
        <v>252</v>
      </c>
      <c r="AR37" s="166" t="s" ph="1">
        <v>253</v>
      </c>
      <c r="AS37" s="166" t="s" ph="1">
        <v>251</v>
      </c>
      <c r="AT37" s="166" t="s" ph="1">
        <v>252</v>
      </c>
      <c r="AU37" s="166" t="s" ph="1">
        <v>253</v>
      </c>
      <c r="AV37" s="166" t="s" ph="1">
        <v>251</v>
      </c>
      <c r="AW37" s="166" t="s" ph="1">
        <v>252</v>
      </c>
      <c r="AX37" s="166" t="s" ph="1">
        <v>253</v>
      </c>
      <c r="AY37" s="166" t="s" ph="1">
        <v>252</v>
      </c>
      <c r="AZ37" s="166" t="s" ph="1">
        <v>254</v>
      </c>
      <c r="BD37" s="166" t="s" ph="1">
        <v>346</v>
      </c>
      <c r="BE37" s="166" ph="1">
        <v>0</v>
      </c>
    </row>
    <row r="38" spans="1:57" ph="1">
      <c r="AE38" s="64" ph="1"/>
      <c r="AH38" s="64" ph="1">
        <v>1</v>
      </c>
      <c r="AI38" s="64" t="s" ph="1">
        <v>403</v>
      </c>
      <c r="AY38" s="64" t="s" ph="1">
        <v>257</v>
      </c>
      <c r="AZ38" s="64" t="s" ph="1">
        <v>408</v>
      </c>
    </row>
    <row r="39" spans="1:57" ph="1">
      <c r="AH39" s="64" ph="1">
        <v>2</v>
      </c>
      <c r="AI39" s="64" t="s" ph="1">
        <v>405</v>
      </c>
      <c r="AJ39" s="64" t="s" ph="1">
        <v>377</v>
      </c>
      <c r="AK39" s="64" t="s" ph="1">
        <v>406</v>
      </c>
      <c r="AM39" s="64" t="s" ph="1">
        <v>611</v>
      </c>
      <c r="AN39" s="64" t="s" ph="1">
        <v>269</v>
      </c>
      <c r="AO39" s="64" t="s" ph="1">
        <v>404</v>
      </c>
      <c r="AY39" s="64" t="s" ph="1">
        <v>257</v>
      </c>
      <c r="AZ39" s="64" t="s" ph="1">
        <v>540</v>
      </c>
    </row>
    <row r="40" spans="1:57" ph="1">
      <c r="AH40" s="64" ph="1">
        <v>3</v>
      </c>
      <c r="AI40" s="64" t="s" ph="1">
        <v>407</v>
      </c>
      <c r="AJ40" s="64" t="s" ph="1">
        <v>611</v>
      </c>
      <c r="AK40" s="64" t="s" ph="1">
        <v>612</v>
      </c>
      <c r="AY40" s="64" t="s" ph="1">
        <v>257</v>
      </c>
      <c r="AZ40" s="64" t="s" ph="1">
        <v>612</v>
      </c>
    </row>
    <row r="41" spans="1:57" ph="1">
      <c r="AH41" s="64" ph="1">
        <v>4</v>
      </c>
      <c r="AI41" s="64" t="s" ph="1">
        <v>409</v>
      </c>
      <c r="AJ41" s="64" t="s" ph="1">
        <v>613</v>
      </c>
      <c r="AK41" s="64" t="s" ph="1">
        <v>614</v>
      </c>
      <c r="AM41" s="64" t="s" ph="1">
        <v>615</v>
      </c>
      <c r="AY41" s="64" t="s" ph="1">
        <v>257</v>
      </c>
      <c r="AZ41" s="64" t="s" ph="1">
        <v>614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410</v>
      </c>
      <c r="AY42" s="64" t="s" ph="1">
        <v>257</v>
      </c>
      <c r="AZ42" s="64" t="s" ph="1">
        <v>408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411</v>
      </c>
      <c r="AY43" s="64" t="s" ph="1">
        <v>257</v>
      </c>
      <c r="AZ43" s="64" t="s" ph="1">
        <v>408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412</v>
      </c>
      <c r="AV44" s="64" t="s" ph="1">
        <v>258</v>
      </c>
      <c r="AY44" s="64" t="s" ph="1">
        <v>257</v>
      </c>
      <c r="AZ44" s="64" t="s" ph="1">
        <v>408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413</v>
      </c>
      <c r="AV45" s="64" t="s" ph="1">
        <v>258</v>
      </c>
      <c r="AY45" s="64" t="s" ph="1">
        <v>257</v>
      </c>
      <c r="AZ45" s="64" t="s" ph="1">
        <v>408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414</v>
      </c>
      <c r="AV46" s="64" t="s" ph="1">
        <v>258</v>
      </c>
      <c r="AY46" s="64" t="s" ph="1">
        <v>257</v>
      </c>
      <c r="AZ46" s="64" t="s" ph="1">
        <v>408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415</v>
      </c>
      <c r="AV47" s="64" t="s" ph="1">
        <v>258</v>
      </c>
      <c r="AY47" s="64" t="s" ph="1">
        <v>257</v>
      </c>
      <c r="AZ47" s="64" t="s" ph="1">
        <v>408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616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273</v>
      </c>
      <c r="AI49" s="64" t="s" ph="1">
        <v>250</v>
      </c>
      <c r="AJ49" s="64" t="s" ph="1">
        <v>251</v>
      </c>
      <c r="AK49" s="64" t="s" ph="1">
        <v>252</v>
      </c>
      <c r="AM49" s="64" t="s" ph="1">
        <v>251</v>
      </c>
      <c r="AN49" s="64" t="s" ph="1">
        <v>252</v>
      </c>
      <c r="AO49" s="64" t="s" ph="1">
        <v>253</v>
      </c>
      <c r="AP49" s="64" t="s" ph="1">
        <v>251</v>
      </c>
      <c r="AQ49" s="64" t="s" ph="1">
        <v>252</v>
      </c>
      <c r="AR49" s="64" t="s" ph="1">
        <v>253</v>
      </c>
      <c r="AS49" s="64" t="s" ph="1">
        <v>251</v>
      </c>
      <c r="AT49" s="64" t="s" ph="1">
        <v>252</v>
      </c>
      <c r="AU49" s="64" t="s" ph="1">
        <v>253</v>
      </c>
      <c r="AV49" s="64" t="s" ph="1">
        <v>251</v>
      </c>
      <c r="AW49" s="64" t="s" ph="1">
        <v>252</v>
      </c>
      <c r="AX49" s="64" t="s" ph="1">
        <v>253</v>
      </c>
      <c r="AY49" s="64" t="s" ph="1">
        <v>252</v>
      </c>
      <c r="AZ49" s="64" t="s" ph="1">
        <v>254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416</v>
      </c>
      <c r="AY50" s="64" t="s" ph="1">
        <v>257</v>
      </c>
      <c r="AZ50" s="64" t="s" ph="1">
        <v>408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417</v>
      </c>
      <c r="AY51" s="64" t="s" ph="1">
        <v>257</v>
      </c>
      <c r="AZ51" s="64" t="s" ph="1">
        <v>408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418</v>
      </c>
      <c r="AJ52" s="64" t="s" ph="1">
        <v>375</v>
      </c>
      <c r="AK52" s="64" t="s" ph="1">
        <v>269</v>
      </c>
      <c r="AM52" s="64" t="s" ph="1">
        <v>377</v>
      </c>
      <c r="AN52" s="64" t="s" ph="1">
        <v>341</v>
      </c>
      <c r="AO52" s="64" t="s" ph="1">
        <v>274</v>
      </c>
      <c r="AP52" s="64" t="s" ph="1">
        <v>611</v>
      </c>
      <c r="AQ52" s="64" t="s" ph="1">
        <v>323</v>
      </c>
      <c r="AR52" s="64" t="s" ph="1">
        <v>274</v>
      </c>
      <c r="AY52" s="64" t="s" ph="1">
        <v>257</v>
      </c>
      <c r="AZ52" s="64" t="s" ph="1">
        <v>617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419</v>
      </c>
      <c r="AY53" s="64" t="s" ph="1">
        <v>257</v>
      </c>
      <c r="AZ53" s="64" t="s" ph="1">
        <v>408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420</v>
      </c>
      <c r="AJ54" s="64" t="s" ph="1">
        <v>375</v>
      </c>
      <c r="AK54" s="64" t="s" ph="1">
        <v>260</v>
      </c>
      <c r="AM54" s="64" t="s" ph="1">
        <v>377</v>
      </c>
      <c r="AN54" s="64" t="s" ph="1">
        <v>265</v>
      </c>
      <c r="AO54" s="64" t="s" ph="1">
        <v>274</v>
      </c>
      <c r="AP54" s="64" t="s" ph="1">
        <v>611</v>
      </c>
      <c r="AQ54" s="64" t="s" ph="1">
        <v>281</v>
      </c>
      <c r="AR54" s="64" t="s" ph="1">
        <v>274</v>
      </c>
      <c r="AY54" s="64" t="s" ph="1">
        <v>257</v>
      </c>
      <c r="AZ54" s="64" t="s" ph="1">
        <v>275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421</v>
      </c>
      <c r="AY55" s="64" t="s" ph="1">
        <v>257</v>
      </c>
      <c r="AZ55" s="64" t="s" ph="1">
        <v>408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422</v>
      </c>
      <c r="AY56" s="64" t="s" ph="1">
        <v>257</v>
      </c>
      <c r="AZ56" s="64" t="s" ph="1">
        <v>408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423</v>
      </c>
      <c r="AY57" s="64" t="s" ph="1">
        <v>257</v>
      </c>
      <c r="AZ57" s="64" t="s" ph="1">
        <v>408</v>
      </c>
    </row>
    <row r="58" spans="16:52" ph="1">
      <c r="P58" s="64"/>
      <c r="AN58" s="64" t="s" ph="1">
        <v>258</v>
      </c>
      <c r="AZ58" s="64" t="s" ph="1">
        <v>618</v>
      </c>
    </row>
    <row r="59" spans="16:52" ph="1">
      <c r="V59" s="64"/>
      <c r="AG59" s="64" t="s" ph="1">
        <v>276</v>
      </c>
      <c r="AI59" s="64" t="s" ph="1">
        <v>250</v>
      </c>
      <c r="AJ59" s="64" t="s" ph="1">
        <v>251</v>
      </c>
      <c r="AK59" s="64" t="s" ph="1">
        <v>252</v>
      </c>
      <c r="AM59" s="64" t="s" ph="1">
        <v>251</v>
      </c>
      <c r="AN59" s="64" t="s" ph="1">
        <v>252</v>
      </c>
      <c r="AO59" s="64" t="s" ph="1">
        <v>253</v>
      </c>
      <c r="AP59" s="64" t="s" ph="1">
        <v>251</v>
      </c>
      <c r="AQ59" s="64" t="s" ph="1">
        <v>252</v>
      </c>
      <c r="AR59" s="64" t="s" ph="1">
        <v>253</v>
      </c>
      <c r="AS59" s="64" t="s" ph="1">
        <v>251</v>
      </c>
      <c r="AT59" s="64" t="s" ph="1">
        <v>252</v>
      </c>
      <c r="AU59" s="64" t="s" ph="1">
        <v>253</v>
      </c>
      <c r="AV59" s="64" t="s" ph="1">
        <v>251</v>
      </c>
      <c r="AW59" s="64" t="s" ph="1">
        <v>252</v>
      </c>
      <c r="AX59" s="64" t="s" ph="1">
        <v>253</v>
      </c>
      <c r="AY59" s="64" t="s" ph="1">
        <v>252</v>
      </c>
      <c r="AZ59" s="64" t="s" ph="1">
        <v>254</v>
      </c>
    </row>
    <row r="60" spans="16:52" ph="1">
      <c r="R60" s="64"/>
      <c r="S60" s="64"/>
      <c r="T60" s="64"/>
      <c r="AH60" s="64" ph="1">
        <v>1</v>
      </c>
      <c r="AI60" s="64" t="s" ph="1">
        <v>424</v>
      </c>
      <c r="AY60" s="64" t="s" ph="1">
        <v>257</v>
      </c>
      <c r="AZ60" s="64" t="s" ph="1">
        <v>408</v>
      </c>
    </row>
    <row r="61" spans="16:52" ph="1">
      <c r="AH61" s="64" ph="1">
        <v>2</v>
      </c>
      <c r="AI61" s="64" t="s" ph="1">
        <v>425</v>
      </c>
      <c r="AS61" s="64" t="s" ph="1">
        <v>258</v>
      </c>
      <c r="AY61" s="64" t="s" ph="1">
        <v>257</v>
      </c>
      <c r="AZ61" s="64" t="s" ph="1">
        <v>408</v>
      </c>
    </row>
    <row r="62" spans="16:52" ph="1">
      <c r="AZ62" s="64" t="s" ph="1">
        <v>426</v>
      </c>
    </row>
    <row r="63" spans="16:52" ph="1">
      <c r="AG63" s="64" t="s" ph="1">
        <v>279</v>
      </c>
      <c r="AI63" s="64" t="s" ph="1">
        <v>250</v>
      </c>
      <c r="AJ63" s="64" t="s" ph="1">
        <v>251</v>
      </c>
      <c r="AK63" s="64" t="s" ph="1">
        <v>252</v>
      </c>
      <c r="AM63" s="64" t="s" ph="1">
        <v>251</v>
      </c>
      <c r="AN63" s="64" t="s" ph="1">
        <v>252</v>
      </c>
      <c r="AO63" s="64" t="s" ph="1">
        <v>253</v>
      </c>
      <c r="AP63" s="64" t="s" ph="1">
        <v>251</v>
      </c>
      <c r="AQ63" s="64" t="s" ph="1">
        <v>252</v>
      </c>
      <c r="AR63" s="64" t="s" ph="1">
        <v>253</v>
      </c>
      <c r="AS63" s="64" t="s" ph="1">
        <v>251</v>
      </c>
      <c r="AT63" s="64" t="s" ph="1">
        <v>252</v>
      </c>
      <c r="AU63" s="64" t="s" ph="1">
        <v>253</v>
      </c>
      <c r="AV63" s="64" t="s" ph="1">
        <v>251</v>
      </c>
      <c r="AW63" s="64" t="s" ph="1">
        <v>252</v>
      </c>
      <c r="AX63" s="64" t="s" ph="1">
        <v>253</v>
      </c>
      <c r="AY63" s="64" t="s" ph="1">
        <v>252</v>
      </c>
      <c r="AZ63" s="64" t="s" ph="1">
        <v>254</v>
      </c>
    </row>
    <row r="64" spans="16:52" ph="1">
      <c r="AH64" s="64" ph="1">
        <v>1</v>
      </c>
      <c r="AI64" s="64" t="s" ph="1">
        <v>427</v>
      </c>
      <c r="AJ64" s="64" t="s" ph="1">
        <v>428</v>
      </c>
      <c r="AK64" s="64" t="s" ph="1">
        <v>429</v>
      </c>
      <c r="AY64" s="64" t="s" ph="1">
        <v>257</v>
      </c>
      <c r="AZ64" s="64" t="s" ph="1">
        <v>429</v>
      </c>
    </row>
    <row r="65" spans="33:52" ph="1">
      <c r="AH65" s="64" ph="1">
        <v>2</v>
      </c>
      <c r="AI65" s="64" t="s" ph="1">
        <v>430</v>
      </c>
      <c r="AY65" s="64" t="s" ph="1">
        <v>257</v>
      </c>
      <c r="AZ65" s="64" t="s" ph="1">
        <v>408</v>
      </c>
    </row>
    <row r="66" spans="33:52" ph="1">
      <c r="AH66" s="64" ph="1">
        <v>3</v>
      </c>
      <c r="AI66" s="64" t="s" ph="1">
        <v>431</v>
      </c>
      <c r="AY66" s="64" t="s" ph="1">
        <v>257</v>
      </c>
      <c r="AZ66" s="64" t="s" ph="1">
        <v>408</v>
      </c>
    </row>
    <row r="67" spans="33:52" ph="1">
      <c r="AH67" s="64" ph="1">
        <v>4</v>
      </c>
      <c r="AI67" s="64" t="s" ph="1">
        <v>432</v>
      </c>
      <c r="AY67" s="64" t="s" ph="1">
        <v>257</v>
      </c>
      <c r="AZ67" s="64" t="s" ph="1">
        <v>408</v>
      </c>
    </row>
    <row r="68" spans="33:52" ph="1">
      <c r="AH68" s="64" ph="1">
        <v>5</v>
      </c>
      <c r="AI68" s="64" t="s" ph="1">
        <v>433</v>
      </c>
      <c r="AY68" s="64" t="s" ph="1">
        <v>257</v>
      </c>
      <c r="AZ68" s="64" t="s" ph="1">
        <v>408</v>
      </c>
    </row>
    <row r="69" spans="33:52" ph="1">
      <c r="AH69" s="64" ph="1">
        <v>6</v>
      </c>
      <c r="AI69" s="64" t="s" ph="1">
        <v>434</v>
      </c>
      <c r="AY69" s="64" t="s" ph="1">
        <v>257</v>
      </c>
      <c r="AZ69" s="64" t="s" ph="1">
        <v>408</v>
      </c>
    </row>
    <row r="70" spans="33:52" ph="1">
      <c r="AI70" s="64" t="s" ph="1">
        <v>435</v>
      </c>
      <c r="AY70" s="64" t="s" ph="1">
        <v>257</v>
      </c>
      <c r="AZ70" s="64" t="s" ph="1">
        <v>408</v>
      </c>
    </row>
    <row r="71" spans="33:52" ph="1">
      <c r="AH71" s="64" ph="1">
        <v>7</v>
      </c>
      <c r="AI71" s="64" t="s" ph="1">
        <v>436</v>
      </c>
      <c r="AJ71" s="64" t="s" ph="1">
        <v>375</v>
      </c>
      <c r="AK71" s="64" t="s" ph="1">
        <v>269</v>
      </c>
      <c r="AM71" s="64" t="s" ph="1">
        <v>377</v>
      </c>
      <c r="AN71" s="64" t="s" ph="1">
        <v>269</v>
      </c>
      <c r="AO71" s="64" t="s" ph="1">
        <v>437</v>
      </c>
      <c r="AP71" s="64" t="s" ph="1">
        <v>611</v>
      </c>
      <c r="AQ71" s="64" t="s" ph="1">
        <v>260</v>
      </c>
      <c r="AR71" s="64" t="s" ph="1">
        <v>437</v>
      </c>
      <c r="AY71" s="64" t="s" ph="1">
        <v>257</v>
      </c>
      <c r="AZ71" s="64" t="s" ph="1">
        <v>619</v>
      </c>
    </row>
    <row r="72" spans="33:52" ph="1">
      <c r="AZ72" s="64" t="s" ph="1">
        <v>620</v>
      </c>
    </row>
    <row r="73" spans="33:52" ph="1">
      <c r="AG73" s="64" t="s" ph="1">
        <v>282</v>
      </c>
      <c r="AI73" s="64" t="s" ph="1">
        <v>250</v>
      </c>
      <c r="AJ73" s="64" t="s" ph="1">
        <v>251</v>
      </c>
      <c r="AK73" s="64" t="s" ph="1">
        <v>252</v>
      </c>
      <c r="AM73" s="64" t="s" ph="1">
        <v>251</v>
      </c>
      <c r="AN73" s="64" t="s" ph="1">
        <v>252</v>
      </c>
      <c r="AO73" s="64" t="s" ph="1">
        <v>253</v>
      </c>
      <c r="AP73" s="64" t="s" ph="1">
        <v>251</v>
      </c>
      <c r="AQ73" s="64" t="s" ph="1">
        <v>252</v>
      </c>
      <c r="AR73" s="64" t="s" ph="1">
        <v>253</v>
      </c>
      <c r="AS73" s="64" t="s" ph="1">
        <v>251</v>
      </c>
      <c r="AT73" s="64" t="s" ph="1">
        <v>252</v>
      </c>
      <c r="AU73" s="64" t="s" ph="1">
        <v>253</v>
      </c>
      <c r="AV73" s="64" t="s" ph="1">
        <v>251</v>
      </c>
      <c r="AW73" s="64" t="s" ph="1">
        <v>252</v>
      </c>
      <c r="AX73" s="64" t="s" ph="1">
        <v>253</v>
      </c>
      <c r="AY73" s="64" t="s" ph="1">
        <v>252</v>
      </c>
      <c r="AZ73" s="64" t="s" ph="1">
        <v>254</v>
      </c>
    </row>
    <row r="74" spans="33:52" ph="1">
      <c r="AH74" s="64" ph="1">
        <v>1</v>
      </c>
      <c r="AI74" s="64" t="s" ph="1">
        <v>438</v>
      </c>
      <c r="AJ74" s="64" t="s" ph="1">
        <v>283</v>
      </c>
      <c r="AK74" s="64" t="s" ph="1">
        <v>265</v>
      </c>
      <c r="AM74" s="64" t="s" ph="1">
        <v>285</v>
      </c>
      <c r="AN74" s="64" t="s" ph="1">
        <v>295</v>
      </c>
      <c r="AO74" s="64" t="s" ph="1">
        <v>284</v>
      </c>
      <c r="AP74" s="64" t="s" ph="1">
        <v>286</v>
      </c>
      <c r="AQ74" s="64" t="s" ph="1">
        <v>263</v>
      </c>
      <c r="AR74" s="64" t="s" ph="1">
        <v>284</v>
      </c>
      <c r="AS74" s="64" t="s" ph="1">
        <v>256</v>
      </c>
      <c r="AT74" s="64" t="s" ph="1">
        <v>258</v>
      </c>
      <c r="AV74" s="64" t="s" ph="1">
        <v>439</v>
      </c>
      <c r="AW74" s="64" t="s" ph="1">
        <v>440</v>
      </c>
      <c r="AX74" s="64" t="s" ph="1">
        <v>441</v>
      </c>
      <c r="AY74" s="64" t="s" ph="1">
        <v>257</v>
      </c>
      <c r="AZ74" s="64" t="s" ph="1">
        <v>442</v>
      </c>
    </row>
    <row r="75" spans="33:52" ph="1">
      <c r="AJ75" s="64" t="s" ph="1">
        <v>288</v>
      </c>
      <c r="AK75" s="64" t="s" ph="1">
        <v>341</v>
      </c>
      <c r="AM75" s="64" t="s" ph="1">
        <v>286</v>
      </c>
      <c r="AN75" s="64" t="s" ph="1">
        <v>266</v>
      </c>
      <c r="AO75" s="64" t="s" ph="1">
        <v>284</v>
      </c>
      <c r="AS75" s="64" t="s" ph="1">
        <v>256</v>
      </c>
      <c r="AT75" s="64" t="s" ph="1">
        <v>287</v>
      </c>
    </row>
    <row r="76" spans="33:52" ph="1">
      <c r="AJ76" s="64" t="s" ph="1">
        <v>288</v>
      </c>
      <c r="AK76" s="64" t="s" ph="1">
        <v>281</v>
      </c>
      <c r="AM76" s="64" t="s" ph="1">
        <v>286</v>
      </c>
      <c r="AN76" s="64" t="s" ph="1">
        <v>269</v>
      </c>
      <c r="AO76" s="64" t="s" ph="1">
        <v>284</v>
      </c>
      <c r="AS76" s="64" t="s" ph="1">
        <v>256</v>
      </c>
      <c r="AT76" s="64" t="s" ph="1">
        <v>287</v>
      </c>
    </row>
    <row r="77" spans="33:52" ph="1">
      <c r="AJ77" s="64" t="s" ph="1">
        <v>324</v>
      </c>
      <c r="AK77" s="64" t="s" ph="1">
        <v>281</v>
      </c>
      <c r="AM77" s="64" t="s" ph="1">
        <v>325</v>
      </c>
      <c r="AN77" s="64" t="s" ph="1">
        <v>264</v>
      </c>
      <c r="AO77" s="64" t="s" ph="1">
        <v>284</v>
      </c>
      <c r="AS77" s="64" t="s" ph="1">
        <v>256</v>
      </c>
      <c r="AT77" s="64" t="s" ph="1">
        <v>326</v>
      </c>
    </row>
    <row r="78" spans="33:52" ph="1">
      <c r="AH78" s="64" ph="1">
        <v>2</v>
      </c>
      <c r="AI78" s="64" t="s" ph="1">
        <v>290</v>
      </c>
      <c r="AJ78" s="64" t="s" ph="1">
        <v>291</v>
      </c>
      <c r="AK78" s="64" t="s" ph="1">
        <v>260</v>
      </c>
      <c r="AM78" s="64" t="s" ph="1">
        <v>292</v>
      </c>
      <c r="AN78" s="64" t="s" ph="1">
        <v>295</v>
      </c>
      <c r="AO78" s="64" t="s" ph="1">
        <v>284</v>
      </c>
      <c r="AP78" s="64" t="s" ph="1">
        <v>293</v>
      </c>
      <c r="AQ78" s="64" t="s" ph="1">
        <v>339</v>
      </c>
      <c r="AR78" s="64" t="s" ph="1">
        <v>284</v>
      </c>
      <c r="AS78" s="64" t="s" ph="1">
        <v>294</v>
      </c>
      <c r="AT78" s="64" t="s" ph="1">
        <v>295</v>
      </c>
      <c r="AU78" s="64" t="s" ph="1">
        <v>284</v>
      </c>
      <c r="AV78" s="64" t="s" ph="1">
        <v>296</v>
      </c>
      <c r="AW78" s="64" t="s" ph="1">
        <v>284</v>
      </c>
      <c r="AY78" s="64" t="s" ph="1">
        <v>257</v>
      </c>
      <c r="AZ78" s="64" t="s" ph="1">
        <v>443</v>
      </c>
    </row>
    <row r="79" spans="33:52" ph="1">
      <c r="AJ79" s="64" t="s" ph="1">
        <v>286</v>
      </c>
      <c r="AK79" s="64" t="s" ph="1">
        <v>297</v>
      </c>
      <c r="AM79" s="64" t="s" ph="1">
        <v>298</v>
      </c>
      <c r="AN79" s="64" t="s" ph="1">
        <v>266</v>
      </c>
      <c r="AO79" s="64" t="s" ph="1">
        <v>284</v>
      </c>
      <c r="AP79" s="64" t="s" ph="1">
        <v>299</v>
      </c>
      <c r="AQ79" s="64" t="s" ph="1">
        <v>264</v>
      </c>
      <c r="AR79" s="64" t="s" ph="1">
        <v>300</v>
      </c>
      <c r="AS79" s="64" t="s" ph="1">
        <v>256</v>
      </c>
      <c r="AT79" s="64" t="s" ph="1">
        <v>301</v>
      </c>
      <c r="AV79" s="64" t="s" ph="1">
        <v>444</v>
      </c>
      <c r="AW79" s="64" t="s" ph="1">
        <v>343</v>
      </c>
      <c r="AX79" s="64" t="s" ph="1">
        <v>441</v>
      </c>
    </row>
    <row r="80" spans="33:52" ph="1">
      <c r="AH80" s="64" ph="1">
        <v>3</v>
      </c>
      <c r="AI80" s="64" t="s" ph="1">
        <v>302</v>
      </c>
      <c r="AJ80" s="64" t="s" ph="1">
        <v>303</v>
      </c>
      <c r="AK80" s="64" t="s" ph="1">
        <v>304</v>
      </c>
      <c r="AM80" s="64" t="s" ph="1">
        <v>305</v>
      </c>
      <c r="AN80" s="64" t="s" ph="1">
        <v>295</v>
      </c>
      <c r="AO80" s="64" t="s" ph="1">
        <v>284</v>
      </c>
      <c r="AP80" s="64" t="s" ph="1">
        <v>306</v>
      </c>
      <c r="AQ80" s="64" t="s" ph="1">
        <v>269</v>
      </c>
      <c r="AR80" s="64" t="s" ph="1">
        <v>284</v>
      </c>
      <c r="AS80" s="64" t="s" ph="1">
        <v>307</v>
      </c>
      <c r="AT80" s="64" t="s" ph="1">
        <v>268</v>
      </c>
      <c r="AU80" s="64" t="s" ph="1">
        <v>284</v>
      </c>
      <c r="AV80" s="64" t="s" ph="1">
        <v>308</v>
      </c>
      <c r="AW80" s="64" t="s" ph="1">
        <v>284</v>
      </c>
      <c r="AY80" s="64" t="s" ph="1">
        <v>257</v>
      </c>
      <c r="AZ80" s="64" t="s" ph="1">
        <v>445</v>
      </c>
    </row>
    <row r="81" spans="34:52" ph="1">
      <c r="AJ81" s="64" t="s" ph="1">
        <v>309</v>
      </c>
      <c r="AK81" s="64" t="s" ph="1">
        <v>263</v>
      </c>
      <c r="AM81" s="64" t="s" ph="1">
        <v>310</v>
      </c>
      <c r="AN81" s="64" t="s" ph="1">
        <v>266</v>
      </c>
      <c r="AO81" s="64" t="s" ph="1">
        <v>284</v>
      </c>
      <c r="AP81" s="64" t="s" ph="1">
        <v>311</v>
      </c>
      <c r="AQ81" s="64" t="s" ph="1">
        <v>295</v>
      </c>
      <c r="AR81" s="64" t="s" ph="1">
        <v>284</v>
      </c>
      <c r="AS81" s="64" t="s" ph="1">
        <v>312</v>
      </c>
      <c r="AT81" s="64" t="s" ph="1">
        <v>313</v>
      </c>
      <c r="AU81" s="64" t="s" ph="1">
        <v>284</v>
      </c>
      <c r="AV81" s="64" t="s" ph="1">
        <v>314</v>
      </c>
    </row>
    <row r="82" spans="34:52" ph="1">
      <c r="AJ82" s="64" t="s" ph="1">
        <v>315</v>
      </c>
      <c r="AK82" s="64" t="s" ph="1">
        <v>263</v>
      </c>
      <c r="AM82" s="64" t="s" ph="1">
        <v>316</v>
      </c>
      <c r="AN82" s="64" t="s" ph="1">
        <v>313</v>
      </c>
      <c r="AO82" s="64" t="s" ph="1">
        <v>317</v>
      </c>
      <c r="AP82" s="64" t="s" ph="1">
        <v>318</v>
      </c>
      <c r="AQ82" s="64" t="s" ph="1">
        <v>295</v>
      </c>
      <c r="AR82" s="64" t="s" ph="1">
        <v>284</v>
      </c>
      <c r="AS82" s="64" t="s" ph="1">
        <v>319</v>
      </c>
      <c r="AT82" s="64" t="s" ph="1">
        <v>270</v>
      </c>
      <c r="AU82" s="64" t="s" ph="1">
        <v>284</v>
      </c>
      <c r="AV82" s="64" t="s" ph="1">
        <v>444</v>
      </c>
      <c r="AW82" s="64" t="s" ph="1">
        <v>344</v>
      </c>
      <c r="AX82" s="64" t="s" ph="1">
        <v>441</v>
      </c>
    </row>
    <row r="83" spans="34:52" ph="1">
      <c r="AJ83" s="64" t="s" ph="1">
        <v>320</v>
      </c>
      <c r="AK83" s="64" t="s" ph="1">
        <v>337</v>
      </c>
      <c r="AM83" s="64" t="s" ph="1">
        <v>321</v>
      </c>
      <c r="AN83" s="64" t="s" ph="1">
        <v>269</v>
      </c>
      <c r="AO83" s="64" t="s" ph="1">
        <v>300</v>
      </c>
      <c r="AP83" s="64" t="s" ph="1">
        <v>322</v>
      </c>
      <c r="AQ83" s="64" t="s" ph="1">
        <v>323</v>
      </c>
      <c r="AR83" s="64" t="s" ph="1">
        <v>300</v>
      </c>
      <c r="AS83" s="64" t="s" ph="1">
        <v>446</v>
      </c>
      <c r="AT83" s="64" t="s" ph="1">
        <v>295</v>
      </c>
      <c r="AU83" s="64" t="s" ph="1">
        <v>300</v>
      </c>
      <c r="AV83" s="64" t="s" ph="1">
        <v>447</v>
      </c>
      <c r="AW83" s="64" t="s" ph="1">
        <v>344</v>
      </c>
      <c r="AX83" s="64" t="s" ph="1">
        <v>448</v>
      </c>
    </row>
    <row r="84" spans="34:52" ph="1">
      <c r="AH84" s="64" ph="1">
        <v>4</v>
      </c>
      <c r="AI84" s="64" t="s" ph="1">
        <v>327</v>
      </c>
      <c r="AJ84" s="64" t="s" ph="1">
        <v>267</v>
      </c>
      <c r="AK84" s="64" t="s" ph="1">
        <v>270</v>
      </c>
      <c r="AM84" s="64" t="s" ph="1">
        <v>271</v>
      </c>
      <c r="AN84" s="64" t="s" ph="1">
        <v>264</v>
      </c>
      <c r="AO84" s="64" t="s" ph="1">
        <v>300</v>
      </c>
      <c r="AP84" s="64" t="s" ph="1">
        <v>329</v>
      </c>
      <c r="AQ84" s="64" t="s" ph="1">
        <v>263</v>
      </c>
      <c r="AR84" s="64" t="s" ph="1">
        <v>300</v>
      </c>
      <c r="AS84" s="64" t="s" ph="1">
        <v>329</v>
      </c>
      <c r="AT84" s="64" t="s" ph="1">
        <v>265</v>
      </c>
      <c r="AU84" s="64" t="s" ph="1">
        <v>300</v>
      </c>
      <c r="AY84" s="64" t="s" ph="1">
        <v>257</v>
      </c>
      <c r="AZ84" s="64" t="s" ph="1">
        <v>449</v>
      </c>
    </row>
    <row r="85" spans="34:52" ph="1">
      <c r="AJ85" s="64" t="s" ph="1">
        <v>259</v>
      </c>
      <c r="AK85" s="64" t="s" ph="1">
        <v>263</v>
      </c>
      <c r="AM85" s="64" t="s" ph="1">
        <v>450</v>
      </c>
      <c r="AN85" s="64" t="s" ph="1">
        <v>270</v>
      </c>
      <c r="AO85" s="64" t="s" ph="1">
        <v>300</v>
      </c>
      <c r="AP85" s="64" t="s" ph="1">
        <v>451</v>
      </c>
      <c r="AQ85" s="64" t="s" ph="1">
        <v>266</v>
      </c>
      <c r="AR85" s="64" t="s" ph="1">
        <v>300</v>
      </c>
      <c r="AS85" s="64" t="s" ph="1">
        <v>452</v>
      </c>
      <c r="AT85" s="64" t="s" ph="1">
        <v>266</v>
      </c>
      <c r="AU85" s="64" t="s" ph="1">
        <v>300</v>
      </c>
    </row>
    <row r="86" spans="34:52" ph="1">
      <c r="AJ86" s="64" t="s" ph="1">
        <v>453</v>
      </c>
      <c r="AK86" s="64" t="s" ph="1">
        <v>272</v>
      </c>
      <c r="AM86" s="64" t="s" ph="1">
        <v>454</v>
      </c>
      <c r="AN86" s="64" t="s" ph="1">
        <v>313</v>
      </c>
      <c r="AO86" s="64" t="s" ph="1">
        <v>300</v>
      </c>
      <c r="AP86" s="64" t="s" ph="1">
        <v>455</v>
      </c>
      <c r="AQ86" s="64" t="s" ph="1">
        <v>260</v>
      </c>
      <c r="AR86" s="64" t="s" ph="1">
        <v>300</v>
      </c>
      <c r="AS86" s="64" t="s" ph="1">
        <v>456</v>
      </c>
      <c r="AT86" s="64" t="s" ph="1">
        <v>278</v>
      </c>
      <c r="AU86" s="64" t="s" ph="1">
        <v>300</v>
      </c>
    </row>
    <row r="87" spans="34:52" ph="1">
      <c r="AJ87" s="64" t="s" ph="1">
        <v>457</v>
      </c>
      <c r="AK87" s="64" t="s" ph="1">
        <v>313</v>
      </c>
      <c r="AM87" s="64" t="s" ph="1">
        <v>444</v>
      </c>
      <c r="AN87" s="64" t="s" ph="1">
        <v>458</v>
      </c>
      <c r="AO87" s="64" t="s" ph="1">
        <v>441</v>
      </c>
    </row>
    <row r="88" spans="34:52" ph="1">
      <c r="AH88" s="64" ph="1">
        <v>5</v>
      </c>
      <c r="AI88" s="64" t="s" ph="1">
        <v>330</v>
      </c>
      <c r="AJ88" s="64" t="s" ph="1">
        <v>459</v>
      </c>
      <c r="AK88" s="64" t="s" ph="1">
        <v>313</v>
      </c>
      <c r="AM88" s="64" t="s" ph="1">
        <v>460</v>
      </c>
      <c r="AN88" s="64" t="s" ph="1">
        <v>313</v>
      </c>
      <c r="AO88" s="64" t="s" ph="1">
        <v>300</v>
      </c>
      <c r="AP88" s="64" t="s" ph="1">
        <v>461</v>
      </c>
      <c r="AQ88" s="64" t="s" ph="1">
        <v>263</v>
      </c>
      <c r="AR88" s="64" t="s" ph="1">
        <v>300</v>
      </c>
      <c r="AS88" s="64" t="s" ph="1">
        <v>462</v>
      </c>
      <c r="AT88" s="64" t="s" ph="1">
        <v>313</v>
      </c>
      <c r="AU88" s="64" t="s" ph="1">
        <v>300</v>
      </c>
      <c r="AV88" s="64" t="s" ph="1">
        <v>463</v>
      </c>
      <c r="AW88" s="64" t="s" ph="1">
        <v>268</v>
      </c>
      <c r="AX88" s="64" t="s" ph="1">
        <v>300</v>
      </c>
      <c r="AY88" s="64" t="s" ph="1">
        <v>257</v>
      </c>
      <c r="AZ88" s="64" t="s" ph="1">
        <v>464</v>
      </c>
    </row>
    <row r="89" spans="34:52" ph="1">
      <c r="AJ89" s="64" t="s" ph="1">
        <v>465</v>
      </c>
      <c r="AK89" s="64" t="s" ph="1">
        <v>266</v>
      </c>
      <c r="AM89" s="64" t="s" ph="1">
        <v>466</v>
      </c>
      <c r="AN89" s="64" t="s" ph="1">
        <v>269</v>
      </c>
      <c r="AO89" s="64" t="s" ph="1">
        <v>300</v>
      </c>
      <c r="AP89" s="64" t="s" ph="1">
        <v>467</v>
      </c>
      <c r="AQ89" s="64" t="s" ph="1">
        <v>278</v>
      </c>
      <c r="AR89" s="64" t="s" ph="1">
        <v>300</v>
      </c>
      <c r="AS89" s="64" t="s" ph="1">
        <v>468</v>
      </c>
      <c r="AT89" s="64" t="s" ph="1">
        <v>313</v>
      </c>
      <c r="AU89" s="64" t="s" ph="1">
        <v>300</v>
      </c>
      <c r="AV89" s="64" t="s" ph="1">
        <v>469</v>
      </c>
      <c r="AW89" s="64" t="s" ph="1">
        <v>295</v>
      </c>
      <c r="AX89" s="64" t="s" ph="1">
        <v>328</v>
      </c>
    </row>
    <row r="90" spans="34:52" ph="1">
      <c r="AJ90" s="64" t="s" ph="1">
        <v>470</v>
      </c>
      <c r="AK90" s="64" t="s" ph="1">
        <v>269</v>
      </c>
      <c r="AM90" s="64" t="s" ph="1">
        <v>471</v>
      </c>
      <c r="AN90" s="64" t="s" ph="1">
        <v>266</v>
      </c>
      <c r="AO90" s="64" t="s" ph="1">
        <v>300</v>
      </c>
      <c r="AP90" s="64" t="s" ph="1">
        <v>472</v>
      </c>
      <c r="AQ90" s="64" t="s" ph="1">
        <v>335</v>
      </c>
      <c r="AR90" s="64" t="s" ph="1">
        <v>300</v>
      </c>
      <c r="AS90" s="64" t="s" ph="1">
        <v>473</v>
      </c>
      <c r="AT90" s="64" t="s" ph="1">
        <v>323</v>
      </c>
      <c r="AU90" s="64" t="s" ph="1">
        <v>300</v>
      </c>
      <c r="AV90" s="64" t="s" ph="1">
        <v>474</v>
      </c>
      <c r="AW90" s="64" t="s" ph="1">
        <v>260</v>
      </c>
      <c r="AX90" s="64" t="s" ph="1">
        <v>300</v>
      </c>
    </row>
    <row r="91" spans="34:52" ph="1">
      <c r="AJ91" s="64" t="s" ph="1">
        <v>475</v>
      </c>
      <c r="AK91" s="64" t="s" ph="1">
        <v>313</v>
      </c>
      <c r="AM91" s="64" t="s" ph="1">
        <v>476</v>
      </c>
      <c r="AN91" s="64" t="s" ph="1">
        <v>280</v>
      </c>
      <c r="AO91" s="64" t="s" ph="1">
        <v>300</v>
      </c>
      <c r="AP91" s="64" t="s" ph="1">
        <v>477</v>
      </c>
      <c r="AQ91" s="64" t="s" ph="1">
        <v>260</v>
      </c>
      <c r="AS91" s="64" t="s" ph="1">
        <v>444</v>
      </c>
      <c r="AT91" s="64" t="s" ph="1">
        <v>440</v>
      </c>
      <c r="AU91" s="64" t="s" ph="1">
        <v>441</v>
      </c>
    </row>
    <row r="92" spans="34:52" ph="1">
      <c r="AH92" s="64" ph="1">
        <v>6</v>
      </c>
      <c r="AI92" s="64" t="s" ph="1">
        <v>478</v>
      </c>
      <c r="AJ92" s="64" t="s" ph="1">
        <v>479</v>
      </c>
      <c r="AK92" s="64" t="s" ph="1">
        <v>408</v>
      </c>
      <c r="AM92" s="64" t="s" ph="1">
        <v>480</v>
      </c>
      <c r="AN92" s="64" t="s" ph="1">
        <v>268</v>
      </c>
      <c r="AO92" s="64" t="s" ph="1">
        <v>300</v>
      </c>
      <c r="AP92" s="64" t="s" ph="1">
        <v>481</v>
      </c>
      <c r="AQ92" s="64" t="s" ph="1">
        <v>340</v>
      </c>
      <c r="AR92" s="64" t="s" ph="1">
        <v>300</v>
      </c>
      <c r="AS92" s="64" t="s" ph="1">
        <v>482</v>
      </c>
      <c r="AT92" s="64" t="s" ph="1">
        <v>313</v>
      </c>
      <c r="AU92" s="64" t="s" ph="1">
        <v>300</v>
      </c>
      <c r="AV92" s="64" t="s" ph="1">
        <v>483</v>
      </c>
      <c r="AW92" s="64" t="s" ph="1">
        <v>269</v>
      </c>
      <c r="AX92" s="64" t="s" ph="1">
        <v>300</v>
      </c>
      <c r="AY92" s="64" t="s" ph="1">
        <v>257</v>
      </c>
      <c r="AZ92" s="64" t="s" ph="1">
        <v>464</v>
      </c>
    </row>
    <row r="93" spans="34:52" ph="1">
      <c r="AJ93" s="64" t="s" ph="1">
        <v>484</v>
      </c>
      <c r="AK93" s="64" t="s" ph="1">
        <v>263</v>
      </c>
      <c r="AM93" s="64" t="s" ph="1">
        <v>485</v>
      </c>
      <c r="AN93" s="64" t="s" ph="1">
        <v>268</v>
      </c>
      <c r="AO93" s="64" t="s" ph="1">
        <v>300</v>
      </c>
      <c r="AP93" s="64" t="s" ph="1">
        <v>486</v>
      </c>
      <c r="AQ93" s="64" t="s" ph="1">
        <v>272</v>
      </c>
      <c r="AR93" s="64" t="s" ph="1">
        <v>300</v>
      </c>
      <c r="AS93" s="64" t="s" ph="1">
        <v>487</v>
      </c>
      <c r="AT93" s="64" t="s" ph="1">
        <v>278</v>
      </c>
      <c r="AU93" s="64" t="s" ph="1">
        <v>300</v>
      </c>
      <c r="AV93" s="64" t="s" ph="1">
        <v>488</v>
      </c>
      <c r="AW93" s="64" t="s" ph="1">
        <v>272</v>
      </c>
      <c r="AX93" s="64" t="s" ph="1">
        <v>300</v>
      </c>
    </row>
    <row r="94" spans="34:52" ph="1">
      <c r="AJ94" s="64" t="s" ph="1">
        <v>489</v>
      </c>
      <c r="AK94" s="64" t="s" ph="1">
        <v>335</v>
      </c>
      <c r="AM94" s="64" t="s" ph="1">
        <v>490</v>
      </c>
      <c r="AN94" s="64" t="s" ph="1">
        <v>272</v>
      </c>
      <c r="AO94" s="64" t="s" ph="1">
        <v>300</v>
      </c>
      <c r="AP94" s="64" t="s" ph="1">
        <v>491</v>
      </c>
      <c r="AQ94" s="64" t="s" ph="1">
        <v>280</v>
      </c>
      <c r="AR94" s="64" t="s" ph="1">
        <v>300</v>
      </c>
      <c r="AS94" s="64" t="s" ph="1">
        <v>492</v>
      </c>
      <c r="AT94" s="64" t="s" ph="1">
        <v>266</v>
      </c>
      <c r="AU94" s="64" t="s" ph="1">
        <v>300</v>
      </c>
      <c r="AV94" s="64" t="s" ph="1">
        <v>493</v>
      </c>
      <c r="AW94" s="64" t="s" ph="1">
        <v>266</v>
      </c>
      <c r="AX94" s="64" t="s" ph="1">
        <v>300</v>
      </c>
    </row>
    <row r="95" spans="34:52" ph="1">
      <c r="AJ95" s="64" t="s" ph="1">
        <v>494</v>
      </c>
      <c r="AK95" s="64" t="s" ph="1">
        <v>340</v>
      </c>
    </row>
    <row r="96" spans="34:52" ph="1">
      <c r="AH96" s="64" ph="1">
        <v>7</v>
      </c>
      <c r="AI96" s="64" t="s" ph="1">
        <v>495</v>
      </c>
      <c r="AJ96" s="64" t="s" ph="1">
        <v>494</v>
      </c>
      <c r="AK96" s="64" t="s" ph="1">
        <v>295</v>
      </c>
      <c r="AM96" s="64" t="s" ph="1">
        <v>496</v>
      </c>
      <c r="AN96" s="64" t="s" ph="1">
        <v>269</v>
      </c>
      <c r="AO96" s="64" t="s" ph="1">
        <v>300</v>
      </c>
      <c r="AP96" s="64" t="s" ph="1">
        <v>497</v>
      </c>
      <c r="AQ96" s="64" t="s" ph="1">
        <v>313</v>
      </c>
      <c r="AR96" s="64" t="s" ph="1">
        <v>328</v>
      </c>
      <c r="AS96" s="64" t="s" ph="1">
        <v>498</v>
      </c>
      <c r="AT96" s="64" t="s" ph="1">
        <v>272</v>
      </c>
      <c r="AU96" s="64" t="s" ph="1">
        <v>328</v>
      </c>
      <c r="AV96" s="64" t="s" ph="1">
        <v>499</v>
      </c>
      <c r="AW96" s="64" t="s" ph="1">
        <v>268</v>
      </c>
      <c r="AX96" s="64" t="s" ph="1">
        <v>328</v>
      </c>
      <c r="AY96" s="64" t="s" ph="1">
        <v>257</v>
      </c>
      <c r="AZ96" s="64" t="s" ph="1">
        <v>500</v>
      </c>
    </row>
    <row r="97" spans="33:52" ph="1">
      <c r="AJ97" s="64" t="s" ph="1">
        <v>501</v>
      </c>
      <c r="AK97" s="64" t="s" ph="1">
        <v>323</v>
      </c>
      <c r="AM97" s="64" t="s" ph="1">
        <v>502</v>
      </c>
      <c r="AN97" s="64" t="s" ph="1">
        <v>266</v>
      </c>
      <c r="AO97" s="64" t="s" ph="1">
        <v>300</v>
      </c>
      <c r="AP97" s="64" t="s" ph="1">
        <v>503</v>
      </c>
      <c r="AQ97" s="64" t="s" ph="1">
        <v>260</v>
      </c>
      <c r="AR97" s="64" t="s" ph="1">
        <v>328</v>
      </c>
      <c r="AS97" s="64" t="s" ph="1">
        <v>504</v>
      </c>
      <c r="AT97" s="64" t="s" ph="1">
        <v>263</v>
      </c>
      <c r="AU97" s="64" t="s" ph="1">
        <v>328</v>
      </c>
      <c r="AV97" s="64" t="s" ph="1">
        <v>505</v>
      </c>
      <c r="AW97" s="64" t="s" ph="1">
        <v>269</v>
      </c>
      <c r="AX97" s="64" t="s" ph="1">
        <v>328</v>
      </c>
    </row>
    <row r="98" spans="33:52" ph="1">
      <c r="AJ98" s="64" t="s" ph="1">
        <v>506</v>
      </c>
      <c r="AK98" s="64" t="s" ph="1">
        <v>272</v>
      </c>
      <c r="AM98" s="64" t="s" ph="1">
        <v>507</v>
      </c>
      <c r="AN98" s="64" t="s" ph="1">
        <v>280</v>
      </c>
      <c r="AO98" s="64" t="s" ph="1">
        <v>300</v>
      </c>
      <c r="AP98" s="64" t="s" ph="1">
        <v>508</v>
      </c>
      <c r="AQ98" s="64" t="s" ph="1">
        <v>260</v>
      </c>
      <c r="AR98" s="64" t="s" ph="1">
        <v>328</v>
      </c>
      <c r="AS98" s="64" t="s" ph="1">
        <v>509</v>
      </c>
      <c r="AT98" s="64" t="s" ph="1">
        <v>340</v>
      </c>
      <c r="AU98" s="64" t="s" ph="1">
        <v>328</v>
      </c>
      <c r="AV98" s="64" t="s" ph="1">
        <v>510</v>
      </c>
      <c r="AW98" s="64" t="s" ph="1">
        <v>263</v>
      </c>
      <c r="AX98" s="64" t="s" ph="1">
        <v>328</v>
      </c>
    </row>
    <row r="99" spans="33:52" ph="1">
      <c r="AH99" s="64" ph="1">
        <v>8</v>
      </c>
      <c r="AI99" s="64" t="s" ph="1">
        <v>511</v>
      </c>
      <c r="AJ99" s="64" t="s" ph="1">
        <v>512</v>
      </c>
      <c r="AK99" s="64" t="s" ph="1">
        <v>408</v>
      </c>
      <c r="AM99" s="64" t="s" ph="1">
        <v>513</v>
      </c>
      <c r="AN99" s="64" t="s" ph="1">
        <v>295</v>
      </c>
      <c r="AO99" s="64" t="s" ph="1">
        <v>300</v>
      </c>
      <c r="AP99" s="64" t="s" ph="1">
        <v>514</v>
      </c>
      <c r="AQ99" s="64" t="s" ph="1">
        <v>265</v>
      </c>
      <c r="AR99" s="64" t="s" ph="1">
        <v>328</v>
      </c>
      <c r="AS99" s="64" t="s" ph="1">
        <v>515</v>
      </c>
      <c r="AT99" s="64" t="s" ph="1">
        <v>280</v>
      </c>
      <c r="AU99" s="64" t="s" ph="1">
        <v>328</v>
      </c>
      <c r="AV99" s="64" t="s" ph="1">
        <v>516</v>
      </c>
      <c r="AW99" s="64" t="s" ph="1">
        <v>265</v>
      </c>
      <c r="AX99" s="64" t="s" ph="1">
        <v>328</v>
      </c>
      <c r="AY99" s="64" t="s" ph="1">
        <v>257</v>
      </c>
      <c r="AZ99" s="64" t="s" ph="1">
        <v>517</v>
      </c>
    </row>
    <row r="100" spans="33:52" ph="1">
      <c r="AJ100" s="64" t="s" ph="1">
        <v>518</v>
      </c>
      <c r="AK100" s="64" t="s" ph="1">
        <v>263</v>
      </c>
      <c r="AM100" s="64" t="s" ph="1">
        <v>519</v>
      </c>
      <c r="AN100" s="64" t="s" ph="1">
        <v>335</v>
      </c>
      <c r="AO100" s="64" t="s" ph="1">
        <v>300</v>
      </c>
      <c r="AP100" s="64" t="s" ph="1">
        <v>520</v>
      </c>
      <c r="AQ100" s="64" t="s" ph="1">
        <v>341</v>
      </c>
      <c r="AR100" s="64" t="s" ph="1">
        <v>328</v>
      </c>
      <c r="AS100" s="64" t="s" ph="1">
        <v>521</v>
      </c>
      <c r="AT100" s="64" t="s" ph="1">
        <v>408</v>
      </c>
      <c r="AU100" s="64" t="s" ph="1">
        <v>300</v>
      </c>
      <c r="AV100" s="64" t="s" ph="1">
        <v>522</v>
      </c>
      <c r="AW100" s="64" t="s" ph="1">
        <v>408</v>
      </c>
      <c r="AX100" s="64" t="s" ph="1">
        <v>300</v>
      </c>
    </row>
    <row r="101" spans="33:52" ph="1">
      <c r="AJ101" s="64" t="s" ph="1">
        <v>523</v>
      </c>
      <c r="AK101" s="64" t="s" ph="1">
        <v>408</v>
      </c>
      <c r="AM101" s="64" t="s" ph="1">
        <v>524</v>
      </c>
      <c r="AN101" s="64" t="s" ph="1">
        <v>266</v>
      </c>
      <c r="AO101" s="64" t="s" ph="1">
        <v>300</v>
      </c>
      <c r="AP101" s="64" t="s" ph="1">
        <v>525</v>
      </c>
      <c r="AQ101" s="64" t="s" ph="1">
        <v>278</v>
      </c>
      <c r="AR101" s="64" t="s" ph="1">
        <v>328</v>
      </c>
      <c r="AS101" s="64" t="s" ph="1">
        <v>526</v>
      </c>
      <c r="AT101" s="64" t="s" ph="1">
        <v>335</v>
      </c>
      <c r="AU101" s="64" t="s" ph="1">
        <v>328</v>
      </c>
      <c r="AV101" s="64" t="s" ph="1">
        <v>527</v>
      </c>
      <c r="AW101" s="64" t="s" ph="1">
        <v>266</v>
      </c>
      <c r="AX101" s="64" t="s" ph="1">
        <v>300</v>
      </c>
    </row>
    <row r="102" spans="33:52" ph="1">
      <c r="AJ102" s="64" t="s" ph="1">
        <v>528</v>
      </c>
      <c r="AK102" s="64" t="s" ph="1">
        <v>263</v>
      </c>
      <c r="AM102" s="64" t="s" ph="1">
        <v>529</v>
      </c>
      <c r="AN102" s="64" t="s" ph="1">
        <v>272</v>
      </c>
      <c r="AO102" s="64" t="s" ph="1">
        <v>300</v>
      </c>
      <c r="AP102" s="64" t="s" ph="1">
        <v>530</v>
      </c>
      <c r="AQ102" s="64" t="s" ph="1">
        <v>278</v>
      </c>
      <c r="AR102" s="64" t="s" ph="1">
        <v>300</v>
      </c>
      <c r="AS102" s="64" t="s" ph="1">
        <v>531</v>
      </c>
      <c r="AT102" s="64" t="s" ph="1">
        <v>295</v>
      </c>
      <c r="AU102" s="64" t="s" ph="1">
        <v>300</v>
      </c>
      <c r="AV102" s="64" t="s" ph="1">
        <v>532</v>
      </c>
      <c r="AW102" s="64" t="s" ph="1">
        <v>313</v>
      </c>
      <c r="AX102" s="64" t="s" ph="1">
        <v>300</v>
      </c>
    </row>
    <row r="103" spans="33:52" ph="1">
      <c r="AH103" s="64" ph="1">
        <v>9</v>
      </c>
      <c r="AI103" s="64" t="s" ph="1">
        <v>533</v>
      </c>
      <c r="AJ103" s="64" t="s" ph="1">
        <v>534</v>
      </c>
      <c r="AK103" s="64" t="s" ph="1">
        <v>408</v>
      </c>
      <c r="AM103" s="64" t="s" ph="1">
        <v>535</v>
      </c>
      <c r="AN103" s="64" t="s" ph="1">
        <v>323</v>
      </c>
      <c r="AO103" s="64" t="s" ph="1">
        <v>300</v>
      </c>
      <c r="AP103" s="64" t="s" ph="1">
        <v>377</v>
      </c>
      <c r="AQ103" s="64" t="s" ph="1">
        <v>266</v>
      </c>
      <c r="AR103" s="64" t="s" ph="1">
        <v>300</v>
      </c>
      <c r="AS103" s="64" t="s" ph="1">
        <v>611</v>
      </c>
      <c r="AT103" s="64" t="s" ph="1">
        <v>408</v>
      </c>
      <c r="AU103" s="64" t="s" ph="1">
        <v>300</v>
      </c>
      <c r="AY103" s="64" t="s" ph="1">
        <v>257</v>
      </c>
      <c r="AZ103" s="64" t="s" ph="1">
        <v>265</v>
      </c>
    </row>
    <row r="104" spans="33:52" ph="1">
      <c r="AZ104" s="64" t="s" ph="1">
        <v>536</v>
      </c>
    </row>
    <row r="105" spans="33:52" ph="1">
      <c r="AG105" s="64" t="s" ph="1">
        <v>336</v>
      </c>
      <c r="AI105" s="64" t="s" ph="1">
        <v>250</v>
      </c>
      <c r="AJ105" s="64" t="s" ph="1">
        <v>251</v>
      </c>
      <c r="AK105" s="64" t="s" ph="1">
        <v>252</v>
      </c>
      <c r="AM105" s="64" t="s" ph="1">
        <v>251</v>
      </c>
      <c r="AN105" s="64" t="s" ph="1">
        <v>252</v>
      </c>
      <c r="AO105" s="64" t="s" ph="1">
        <v>253</v>
      </c>
      <c r="AP105" s="64" t="s" ph="1">
        <v>251</v>
      </c>
      <c r="AQ105" s="64" t="s" ph="1">
        <v>252</v>
      </c>
      <c r="AR105" s="64" t="s" ph="1">
        <v>253</v>
      </c>
      <c r="AS105" s="64" t="s" ph="1">
        <v>251</v>
      </c>
      <c r="AT105" s="64" t="s" ph="1">
        <v>252</v>
      </c>
      <c r="AU105" s="64" t="s" ph="1">
        <v>253</v>
      </c>
      <c r="AV105" s="64" t="s" ph="1">
        <v>251</v>
      </c>
      <c r="AW105" s="64" t="s" ph="1">
        <v>252</v>
      </c>
      <c r="AX105" s="64" t="s" ph="1">
        <v>253</v>
      </c>
      <c r="AZ105" s="64" t="s" ph="1">
        <v>254</v>
      </c>
    </row>
    <row r="106" spans="33:52" ph="1">
      <c r="AH106" s="64" ph="1">
        <v>1</v>
      </c>
      <c r="AI106" s="64" t="s" ph="1">
        <v>537</v>
      </c>
      <c r="AJ106" s="64" t="s" ph="1">
        <v>611</v>
      </c>
      <c r="AK106" s="64" t="s" ph="1">
        <v>272</v>
      </c>
      <c r="AZ106" s="64" t="s" ph="1">
        <v>272</v>
      </c>
    </row>
    <row r="107" spans="33:52" ph="1">
      <c r="AH107" s="64" ph="1">
        <v>2</v>
      </c>
      <c r="AI107" s="64" t="s" ph="1">
        <v>538</v>
      </c>
      <c r="AJ107" s="64" t="s" ph="1">
        <v>539</v>
      </c>
      <c r="AK107" s="64" t="s" ph="1">
        <v>269</v>
      </c>
      <c r="AM107" s="64" t="s" ph="1">
        <v>375</v>
      </c>
      <c r="AN107" s="64" t="s" ph="1">
        <v>540</v>
      </c>
      <c r="AO107" s="64" t="s" ph="1">
        <v>541</v>
      </c>
      <c r="AP107" s="64" t="s" ph="1">
        <v>377</v>
      </c>
      <c r="AQ107" s="64" t="s" ph="1">
        <v>345</v>
      </c>
      <c r="AR107" s="64" t="s" ph="1">
        <v>541</v>
      </c>
      <c r="AS107" s="64" t="s" ph="1">
        <v>611</v>
      </c>
      <c r="AT107" s="64" t="s" ph="1">
        <v>540</v>
      </c>
      <c r="AU107" s="64" t="s" ph="1">
        <v>541</v>
      </c>
      <c r="AY107" s="64" t="s" ph="1">
        <v>257</v>
      </c>
      <c r="AZ107" s="64" t="s" ph="1">
        <v>621</v>
      </c>
    </row>
    <row r="108" spans="33:52" ph="1">
      <c r="AH108" s="64" ph="1">
        <v>3</v>
      </c>
      <c r="AI108" s="64" t="s" ph="1">
        <v>542</v>
      </c>
      <c r="AY108" s="64" t="s" ph="1">
        <v>257</v>
      </c>
      <c r="AZ108" s="64" t="s" ph="1">
        <v>408</v>
      </c>
    </row>
    <row r="109" spans="33:52" ph="1">
      <c r="AH109" s="64" ph="1">
        <v>4</v>
      </c>
      <c r="AI109" s="64" t="s" ph="1">
        <v>543</v>
      </c>
      <c r="AY109" s="64" t="s" ph="1">
        <v>257</v>
      </c>
      <c r="AZ109" s="64" t="s" ph="1">
        <v>408</v>
      </c>
    </row>
    <row r="110" spans="33:52" ph="1">
      <c r="AH110" s="64" ph="1">
        <v>5</v>
      </c>
      <c r="AI110" s="64" t="s" ph="1">
        <v>544</v>
      </c>
      <c r="AY110" s="64" t="s" ph="1">
        <v>257</v>
      </c>
      <c r="AZ110" s="64" t="s" ph="1">
        <v>408</v>
      </c>
    </row>
    <row r="111" spans="33:52" ph="1">
      <c r="AH111" s="64" ph="1">
        <v>6</v>
      </c>
      <c r="AI111" s="64" t="s" ph="1">
        <v>622</v>
      </c>
      <c r="AJ111" s="64" t="s" ph="1">
        <v>527</v>
      </c>
      <c r="AK111" s="64" t="s" ph="1">
        <v>266</v>
      </c>
      <c r="AM111" s="64" t="s" ph="1">
        <v>528</v>
      </c>
      <c r="AN111" s="64" t="s" ph="1">
        <v>260</v>
      </c>
      <c r="AO111" s="64" t="s" ph="1">
        <v>541</v>
      </c>
      <c r="AP111" s="64" t="s" ph="1">
        <v>529</v>
      </c>
      <c r="AQ111" s="64" t="s" ph="1">
        <v>269</v>
      </c>
      <c r="AR111" s="64" t="s" ph="1">
        <v>541</v>
      </c>
      <c r="AS111" s="64" t="s" ph="1">
        <v>530</v>
      </c>
      <c r="AT111" s="64" t="s" ph="1">
        <v>278</v>
      </c>
      <c r="AU111" s="64" t="s" ph="1">
        <v>541</v>
      </c>
      <c r="AV111" s="64" t="s" ph="1">
        <v>531</v>
      </c>
      <c r="AW111" s="64" t="s" ph="1">
        <v>268</v>
      </c>
      <c r="AX111" s="64" t="s" ph="1">
        <v>541</v>
      </c>
      <c r="AY111" s="64" t="s" ph="1">
        <v>257</v>
      </c>
      <c r="AZ111" s="64" t="s" ph="1">
        <v>545</v>
      </c>
    </row>
    <row r="112" spans="33:52" ph="1">
      <c r="AJ112" s="64" t="s" ph="1">
        <v>532</v>
      </c>
      <c r="AK112" s="64" t="s" ph="1">
        <v>313</v>
      </c>
      <c r="AM112" s="64" t="s" ph="1">
        <v>534</v>
      </c>
      <c r="AN112" s="64" t="s" ph="1">
        <v>337</v>
      </c>
      <c r="AO112" s="64" t="s" ph="1">
        <v>541</v>
      </c>
      <c r="AP112" s="64" t="s" ph="1">
        <v>535</v>
      </c>
      <c r="AQ112" s="64" t="s" ph="1">
        <v>546</v>
      </c>
      <c r="AR112" s="64" t="s" ph="1">
        <v>541</v>
      </c>
      <c r="AS112" s="64" t="s" ph="1">
        <v>547</v>
      </c>
      <c r="AT112" s="64" t="s" ph="1">
        <v>289</v>
      </c>
      <c r="AU112" s="64" t="s" ph="1">
        <v>541</v>
      </c>
      <c r="AV112" s="64" t="s" ph="1">
        <v>548</v>
      </c>
      <c r="AW112" s="64" t="s" ph="1">
        <v>335</v>
      </c>
      <c r="AX112" s="64" t="s" ph="1">
        <v>541</v>
      </c>
    </row>
    <row r="113" spans="33:52" ph="1">
      <c r="AH113" s="64" ph="1">
        <v>7</v>
      </c>
      <c r="AI113" s="64" t="s" ph="1">
        <v>549</v>
      </c>
      <c r="AJ113" s="64" t="s" ph="1">
        <v>630</v>
      </c>
      <c r="AK113" s="64" t="s" ph="1">
        <v>635</v>
      </c>
      <c r="AY113" s="64" t="s" ph="1">
        <v>257</v>
      </c>
      <c r="AZ113" s="64" t="s" ph="1">
        <v>635</v>
      </c>
    </row>
    <row r="114" spans="33:52" ph="1">
      <c r="AH114" s="64" ph="1">
        <v>8</v>
      </c>
      <c r="AI114" s="64" t="s" ph="1">
        <v>550</v>
      </c>
      <c r="AJ114" s="64" t="s" ph="1">
        <v>630</v>
      </c>
      <c r="AK114" s="64" t="s" ph="1">
        <v>636</v>
      </c>
      <c r="AY114" s="64" t="s" ph="1">
        <v>257</v>
      </c>
      <c r="AZ114" s="64" t="s" ph="1">
        <v>636</v>
      </c>
    </row>
    <row r="115" spans="33:52" ph="1">
      <c r="AH115" s="64" ph="1">
        <v>9</v>
      </c>
      <c r="AI115" s="64" t="s" ph="1">
        <v>551</v>
      </c>
      <c r="AJ115" s="64" t="s" ph="1">
        <v>630</v>
      </c>
      <c r="AK115" s="64" t="s" ph="1">
        <v>636</v>
      </c>
      <c r="AY115" s="64" t="s" ph="1">
        <v>257</v>
      </c>
      <c r="AZ115" s="64" t="s" ph="1">
        <v>636</v>
      </c>
    </row>
    <row r="116" spans="33:52" ph="1">
      <c r="AH116" s="64" ph="1">
        <v>10</v>
      </c>
      <c r="AI116" s="64" t="s" ph="1">
        <v>552</v>
      </c>
      <c r="AJ116" s="64" t="s" ph="1">
        <v>630</v>
      </c>
      <c r="AK116" s="64" t="s" ph="1">
        <v>636</v>
      </c>
      <c r="AY116" s="64" t="s" ph="1">
        <v>257</v>
      </c>
      <c r="AZ116" s="64" t="s" ph="1">
        <v>636</v>
      </c>
    </row>
    <row r="117" spans="33:52" ph="1">
      <c r="AH117" s="64" ph="1">
        <v>11</v>
      </c>
      <c r="AI117" s="64" t="s" ph="1">
        <v>553</v>
      </c>
      <c r="AJ117" s="64" t="s" ph="1">
        <v>630</v>
      </c>
      <c r="AK117" s="64" t="s" ph="1">
        <v>636</v>
      </c>
      <c r="AY117" s="64" t="s" ph="1">
        <v>257</v>
      </c>
      <c r="AZ117" s="64" t="s" ph="1">
        <v>636</v>
      </c>
    </row>
    <row r="118" spans="33:52" ph="1">
      <c r="AZ118" s="64" t="s" ph="1">
        <v>637</v>
      </c>
    </row>
    <row r="119" spans="33:52" ph="1">
      <c r="AI119" s="64" t="s" ph="1">
        <v>250</v>
      </c>
      <c r="AJ119" s="64" t="s" ph="1">
        <v>251</v>
      </c>
      <c r="AK119" s="64" t="s" ph="1">
        <v>252</v>
      </c>
      <c r="AM119" s="64" t="s" ph="1">
        <v>251</v>
      </c>
      <c r="AN119" s="64" t="s" ph="1">
        <v>252</v>
      </c>
      <c r="AO119" s="64" t="s" ph="1">
        <v>253</v>
      </c>
      <c r="AP119" s="64" t="s" ph="1">
        <v>251</v>
      </c>
      <c r="AQ119" s="64" t="s" ph="1">
        <v>252</v>
      </c>
      <c r="AR119" s="64" t="s" ph="1">
        <v>253</v>
      </c>
      <c r="AS119" s="64" t="s" ph="1">
        <v>251</v>
      </c>
      <c r="AT119" s="64" t="s" ph="1">
        <v>252</v>
      </c>
      <c r="AU119" s="64" t="s" ph="1">
        <v>253</v>
      </c>
      <c r="AV119" s="64" t="s" ph="1">
        <v>251</v>
      </c>
      <c r="AW119" s="64" t="s" ph="1">
        <v>252</v>
      </c>
      <c r="AX119" s="64" t="s" ph="1">
        <v>253</v>
      </c>
      <c r="AY119" s="64" t="s" ph="1">
        <v>252</v>
      </c>
      <c r="AZ119" s="64" t="s" ph="1">
        <v>254</v>
      </c>
    </row>
    <row r="120" spans="33:52" ph="1">
      <c r="AG120" s="64" t="s" ph="1">
        <v>394</v>
      </c>
      <c r="AH120" s="64" ph="1">
        <v>1</v>
      </c>
      <c r="AI120" s="64" t="s" ph="1">
        <v>554</v>
      </c>
      <c r="AJ120" s="64" t="s" ph="1">
        <v>628</v>
      </c>
      <c r="AK120" s="64" t="s" ph="1">
        <v>408</v>
      </c>
      <c r="AY120" s="64" t="s" ph="1">
        <v>257</v>
      </c>
      <c r="AZ120" s="64" t="s" ph="1">
        <v>408</v>
      </c>
    </row>
    <row r="121" spans="33:52" ph="1">
      <c r="AH121" s="64" ph="1">
        <v>2</v>
      </c>
      <c r="AI121" s="64" t="s" ph="1">
        <v>555</v>
      </c>
      <c r="AY121" s="64" t="s" ph="1">
        <v>257</v>
      </c>
      <c r="AZ121" s="64" t="s" ph="1">
        <v>408</v>
      </c>
    </row>
    <row r="122" spans="33:52" ph="1">
      <c r="AH122" s="64" ph="1">
        <v>3</v>
      </c>
      <c r="AI122" s="64" t="s" ph="1">
        <v>556</v>
      </c>
      <c r="AJ122" s="64" t="s" ph="1">
        <v>611</v>
      </c>
      <c r="AK122" s="64" t="s" ph="1">
        <v>623</v>
      </c>
      <c r="AM122" s="64" t="s" ph="1">
        <v>638</v>
      </c>
      <c r="AN122" s="64" t="s" ph="1">
        <v>631</v>
      </c>
      <c r="AO122" s="64" t="s" ph="1">
        <v>108</v>
      </c>
      <c r="AY122" s="64" t="s" ph="1">
        <v>257</v>
      </c>
      <c r="AZ122" s="64" t="s" ph="1">
        <v>620</v>
      </c>
    </row>
    <row r="123" spans="33:52" ph="1">
      <c r="AY123" s="64" t="s" ph="1">
        <v>257</v>
      </c>
      <c r="AZ123" s="64" t="s" ph="1">
        <v>620</v>
      </c>
    </row>
    <row r="124" spans="33:52" ph="1">
      <c r="AG124" s="64" t="s" ph="1">
        <v>397</v>
      </c>
      <c r="AH124" s="64" ph="1">
        <v>4</v>
      </c>
      <c r="AI124" s="64" t="s" ph="1">
        <v>557</v>
      </c>
      <c r="AJ124" s="64" t="s" ph="1">
        <v>558</v>
      </c>
      <c r="AK124" s="64" t="s" ph="1">
        <v>559</v>
      </c>
      <c r="AY124" s="64" t="s" ph="1">
        <v>257</v>
      </c>
      <c r="AZ124" s="64" t="s" ph="1">
        <v>559</v>
      </c>
    </row>
    <row r="125" spans="33:52" ph="1">
      <c r="AH125" s="64" ph="1">
        <v>5</v>
      </c>
      <c r="AI125" s="64" t="s" ph="1">
        <v>560</v>
      </c>
      <c r="AJ125" s="64" t="s" ph="1">
        <v>558</v>
      </c>
      <c r="AK125" s="64" t="s" ph="1">
        <v>559</v>
      </c>
      <c r="AY125" s="64" t="s" ph="1">
        <v>257</v>
      </c>
      <c r="AZ125" s="64" t="s" ph="1">
        <v>559</v>
      </c>
    </row>
    <row r="126" spans="33:52" ph="1">
      <c r="AH126" s="64" ph="1">
        <v>6</v>
      </c>
      <c r="AI126" s="64" t="s" ph="1">
        <v>561</v>
      </c>
      <c r="AJ126" s="64" t="s" ph="1">
        <v>630</v>
      </c>
      <c r="AK126" s="64" t="s" ph="1">
        <v>639</v>
      </c>
      <c r="AY126" s="64" t="s" ph="1">
        <v>257</v>
      </c>
      <c r="AZ126" s="64" t="s" ph="1">
        <v>639</v>
      </c>
    </row>
    <row r="127" spans="33:52" ph="1">
      <c r="AH127" s="64" ph="1">
        <v>7</v>
      </c>
      <c r="AI127" s="64" t="s" ph="1">
        <v>562</v>
      </c>
      <c r="AJ127" s="64" t="s" ph="1">
        <v>630</v>
      </c>
      <c r="AK127" s="64" t="s" ph="1">
        <v>640</v>
      </c>
      <c r="AY127" s="64" t="s" ph="1">
        <v>257</v>
      </c>
      <c r="AZ127" s="64" t="s" ph="1">
        <v>640</v>
      </c>
    </row>
    <row r="128" spans="33:52" ph="1">
      <c r="AH128" s="64" ph="1">
        <v>8</v>
      </c>
      <c r="AI128" s="64" t="s" ph="1">
        <v>563</v>
      </c>
      <c r="AY128" s="64" t="s" ph="1">
        <v>257</v>
      </c>
      <c r="AZ128" s="64" t="s" ph="1">
        <v>408</v>
      </c>
    </row>
    <row r="129" spans="33:52" ph="1">
      <c r="AH129" s="64" ph="1">
        <v>9</v>
      </c>
      <c r="AI129" s="64" t="s" ph="1">
        <v>564</v>
      </c>
      <c r="AY129" s="64" t="s" ph="1">
        <v>257</v>
      </c>
      <c r="AZ129" s="64" t="s" ph="1">
        <v>408</v>
      </c>
    </row>
    <row r="130" spans="33:52" ph="1">
      <c r="AH130" s="64" ph="1">
        <v>10</v>
      </c>
      <c r="AI130" s="64" t="s" ph="1">
        <v>565</v>
      </c>
      <c r="AY130" s="64" t="s" ph="1">
        <v>257</v>
      </c>
      <c r="AZ130" s="64" t="s" ph="1">
        <v>408</v>
      </c>
    </row>
    <row r="131" spans="33:52" ph="1">
      <c r="AH131" s="64" ph="1">
        <v>11</v>
      </c>
      <c r="AI131" s="64" t="s" ph="1">
        <v>566</v>
      </c>
      <c r="AJ131" s="64" t="s" ph="1">
        <v>624</v>
      </c>
      <c r="AK131" s="64" t="s" ph="1">
        <v>620</v>
      </c>
      <c r="AY131" s="64" t="s" ph="1">
        <v>257</v>
      </c>
      <c r="AZ131" s="64" t="s" ph="1">
        <v>620</v>
      </c>
    </row>
    <row r="132" spans="33:52" ph="1">
      <c r="AH132" s="64" ph="1">
        <v>12</v>
      </c>
      <c r="AI132" s="64" t="s" ph="1">
        <v>567</v>
      </c>
      <c r="AJ132" s="64" t="s" ph="1">
        <v>624</v>
      </c>
      <c r="AK132" s="64" t="s" ph="1">
        <v>559</v>
      </c>
      <c r="AY132" s="64" t="s" ph="1">
        <v>257</v>
      </c>
      <c r="AZ132" s="64" t="s" ph="1">
        <v>559</v>
      </c>
    </row>
    <row r="133" spans="33:52" ph="1">
      <c r="AH133" s="64" ph="1">
        <v>13</v>
      </c>
      <c r="AI133" s="64" t="s" ph="1">
        <v>568</v>
      </c>
      <c r="AJ133" s="64" t="s" ph="1">
        <v>624</v>
      </c>
      <c r="AK133" s="64" t="s" ph="1">
        <v>625</v>
      </c>
      <c r="AY133" s="64" t="s" ph="1">
        <v>257</v>
      </c>
      <c r="AZ133" s="64" t="s" ph="1">
        <v>625</v>
      </c>
    </row>
    <row r="134" spans="33:52" ph="1">
      <c r="AH134" s="64" ph="1">
        <v>14</v>
      </c>
      <c r="AI134" s="64" t="s" ph="1">
        <v>569</v>
      </c>
      <c r="AJ134" s="64" t="s" ph="1">
        <v>624</v>
      </c>
      <c r="AK134" s="64" t="s" ph="1">
        <v>626</v>
      </c>
      <c r="AY134" s="64" t="s" ph="1">
        <v>257</v>
      </c>
      <c r="AZ134" s="64" t="s" ph="1">
        <v>626</v>
      </c>
    </row>
    <row r="135" spans="33:52" ph="1">
      <c r="AH135" s="64" ph="1">
        <v>15</v>
      </c>
      <c r="AI135" s="64" t="s" ph="1">
        <v>570</v>
      </c>
      <c r="AJ135" s="64" t="s" ph="1">
        <v>624</v>
      </c>
      <c r="AK135" s="64" t="s" ph="1">
        <v>627</v>
      </c>
      <c r="AY135" s="64" t="s" ph="1">
        <v>257</v>
      </c>
      <c r="AZ135" s="64" t="s" ph="1">
        <v>627</v>
      </c>
    </row>
    <row r="136" spans="33:52" ph="1">
      <c r="AZ136" s="64" t="s" ph="1">
        <v>641</v>
      </c>
    </row>
    <row r="137" spans="33:52" ph="1">
      <c r="AG137" s="64" t="s" ph="1">
        <v>331</v>
      </c>
      <c r="AI137" s="64" t="s" ph="1">
        <v>250</v>
      </c>
      <c r="AJ137" s="64" t="s" ph="1">
        <v>251</v>
      </c>
      <c r="AK137" s="64" t="s" ph="1">
        <v>252</v>
      </c>
      <c r="AM137" s="64" t="s" ph="1">
        <v>251</v>
      </c>
      <c r="AN137" s="64" t="s" ph="1">
        <v>252</v>
      </c>
      <c r="AO137" s="64" t="s" ph="1">
        <v>253</v>
      </c>
      <c r="AP137" s="64" t="s" ph="1">
        <v>251</v>
      </c>
      <c r="AQ137" s="64" t="s" ph="1">
        <v>252</v>
      </c>
      <c r="AR137" s="64" t="s" ph="1">
        <v>253</v>
      </c>
      <c r="AS137" s="64" t="s" ph="1">
        <v>251</v>
      </c>
      <c r="AT137" s="64" t="s" ph="1">
        <v>252</v>
      </c>
      <c r="AU137" s="64" t="s" ph="1">
        <v>253</v>
      </c>
      <c r="AV137" s="64" t="s" ph="1">
        <v>251</v>
      </c>
      <c r="AW137" s="64" t="s" ph="1">
        <v>252</v>
      </c>
      <c r="AX137" s="64" t="s" ph="1">
        <v>253</v>
      </c>
      <c r="AY137" s="64" t="s" ph="1">
        <v>252</v>
      </c>
      <c r="AZ137" s="64" t="s" ph="1">
        <v>254</v>
      </c>
    </row>
    <row r="138" spans="33:52" ph="1">
      <c r="AH138" s="64" ph="1">
        <v>1</v>
      </c>
      <c r="AI138" s="64" t="s" ph="1">
        <v>571</v>
      </c>
      <c r="AJ138" s="64" t="s" ph="1">
        <v>572</v>
      </c>
      <c r="AK138" s="64" t="s" ph="1">
        <v>573</v>
      </c>
      <c r="AY138" s="64" t="s" ph="1">
        <v>257</v>
      </c>
      <c r="AZ138" s="64" t="s" ph="1">
        <v>573</v>
      </c>
    </row>
    <row r="139" spans="33:52" ph="1">
      <c r="AH139" s="64" ph="1">
        <v>2</v>
      </c>
      <c r="AI139" s="64" t="s" ph="1">
        <v>574</v>
      </c>
      <c r="AJ139" s="64" t="s" ph="1">
        <v>630</v>
      </c>
      <c r="AK139" s="64" t="s" ph="1">
        <v>642</v>
      </c>
      <c r="AY139" s="64" t="s" ph="1">
        <v>257</v>
      </c>
      <c r="AZ139" s="64" t="s" ph="1">
        <v>642</v>
      </c>
    </row>
    <row r="140" spans="33:52" ph="1">
      <c r="AH140" s="64" ph="1">
        <v>3</v>
      </c>
      <c r="AI140" s="64" t="s" ph="1">
        <v>575</v>
      </c>
      <c r="AJ140" s="64" t="s" ph="1">
        <v>528</v>
      </c>
      <c r="AK140" s="64" t="s" ph="1">
        <v>340</v>
      </c>
      <c r="AM140" s="64" t="s" ph="1">
        <v>529</v>
      </c>
      <c r="AN140" s="64" t="s" ph="1">
        <v>260</v>
      </c>
      <c r="AO140" s="64" t="s" ph="1">
        <v>576</v>
      </c>
      <c r="AP140" s="64" t="s" ph="1">
        <v>530</v>
      </c>
      <c r="AQ140" s="64" t="s" ph="1">
        <v>277</v>
      </c>
      <c r="AR140" s="64" t="s" ph="1">
        <v>576</v>
      </c>
      <c r="AS140" s="64" t="s" ph="1">
        <v>531</v>
      </c>
      <c r="AT140" s="64" t="s" ph="1">
        <v>270</v>
      </c>
      <c r="AU140" s="64" t="s" ph="1">
        <v>576</v>
      </c>
      <c r="AV140" s="64" t="s" ph="1">
        <v>532</v>
      </c>
      <c r="AW140" s="64" t="s" ph="1">
        <v>263</v>
      </c>
      <c r="AX140" s="64" t="s" ph="1">
        <v>576</v>
      </c>
      <c r="AY140" s="64" t="s" ph="1">
        <v>257</v>
      </c>
      <c r="AZ140" s="64" t="s" ph="1">
        <v>332</v>
      </c>
    </row>
    <row r="141" spans="33:52" ph="1">
      <c r="AJ141" s="64" t="s" ph="1">
        <v>534</v>
      </c>
      <c r="AK141" s="64" t="s" ph="1">
        <v>263</v>
      </c>
      <c r="AM141" s="64" t="s" ph="1">
        <v>535</v>
      </c>
      <c r="AN141" s="64" t="s" ph="1">
        <v>266</v>
      </c>
      <c r="AO141" s="64" t="s" ph="1">
        <v>576</v>
      </c>
      <c r="AP141" s="64" t="s" ph="1">
        <v>547</v>
      </c>
      <c r="AQ141" s="64" t="s" ph="1">
        <v>335</v>
      </c>
      <c r="AR141" s="64" t="s" ph="1">
        <v>576</v>
      </c>
      <c r="AS141" s="64" t="s" ph="1">
        <v>539</v>
      </c>
      <c r="AT141" s="64" t="s" ph="1">
        <v>263</v>
      </c>
      <c r="AU141" s="64" t="s" ph="1">
        <v>576</v>
      </c>
      <c r="AV141" s="64" t="s" ph="1">
        <v>375</v>
      </c>
      <c r="AW141" s="64" t="s" ph="1">
        <v>269</v>
      </c>
      <c r="AX141" s="64" t="s" ph="1">
        <v>576</v>
      </c>
    </row>
    <row r="142" spans="33:52" ph="1">
      <c r="AJ142" s="64" t="s" ph="1">
        <v>577</v>
      </c>
      <c r="AK142" s="64" t="s" ph="1">
        <v>280</v>
      </c>
    </row>
    <row r="143" spans="33:52" ph="1">
      <c r="AH143" s="64" ph="1">
        <v>4</v>
      </c>
      <c r="AI143" s="64" t="s" ph="1">
        <v>578</v>
      </c>
      <c r="AJ143" s="64" t="s" ph="1">
        <v>558</v>
      </c>
      <c r="AK143" s="64" t="s" ph="1">
        <v>579</v>
      </c>
      <c r="AY143" s="64" t="s" ph="1">
        <v>257</v>
      </c>
      <c r="AZ143" s="64" t="s" ph="1">
        <v>579</v>
      </c>
    </row>
    <row r="144" spans="33:52" ph="1">
      <c r="AH144" s="64" ph="1">
        <v>5</v>
      </c>
      <c r="AI144" s="64" t="s" ph="1">
        <v>580</v>
      </c>
      <c r="AY144" s="64" t="s" ph="1">
        <v>257</v>
      </c>
      <c r="AZ144" s="64" t="s" ph="1">
        <v>408</v>
      </c>
    </row>
    <row r="145" spans="33:52" ph="1">
      <c r="AH145" s="64" ph="1">
        <v>6</v>
      </c>
      <c r="AI145" s="64" t="s" ph="1">
        <v>581</v>
      </c>
      <c r="AY145" s="64" t="s" ph="1">
        <v>257</v>
      </c>
      <c r="AZ145" s="64" t="s" ph="1">
        <v>408</v>
      </c>
    </row>
    <row r="146" spans="33:52" ph="1">
      <c r="AH146" s="64" ph="1">
        <v>7</v>
      </c>
      <c r="AI146" s="64" t="s" ph="1">
        <v>582</v>
      </c>
      <c r="AY146" s="64" t="s" ph="1">
        <v>257</v>
      </c>
      <c r="AZ146" s="64" t="s" ph="1">
        <v>408</v>
      </c>
    </row>
    <row r="147" spans="33:52" ph="1">
      <c r="AH147" s="64" ph="1">
        <v>8</v>
      </c>
      <c r="AI147" s="64" t="s" ph="1">
        <v>583</v>
      </c>
      <c r="AY147" s="64" t="s" ph="1">
        <v>257</v>
      </c>
      <c r="AZ147" s="64" t="s" ph="1">
        <v>408</v>
      </c>
    </row>
    <row r="148" spans="33:52" ph="1">
      <c r="AH148" s="64" ph="1">
        <v>9</v>
      </c>
      <c r="AI148" s="64" t="s" ph="1">
        <v>584</v>
      </c>
      <c r="AY148" s="64" t="s" ph="1">
        <v>257</v>
      </c>
      <c r="AZ148" s="64" t="s" ph="1">
        <v>408</v>
      </c>
    </row>
    <row r="149" spans="33:52" ph="1">
      <c r="AH149" s="64" ph="1">
        <v>10</v>
      </c>
      <c r="AI149" s="64" t="s" ph="1">
        <v>585</v>
      </c>
      <c r="AY149" s="64" t="s" ph="1">
        <v>257</v>
      </c>
      <c r="AZ149" s="64" t="s" ph="1">
        <v>408</v>
      </c>
    </row>
    <row r="150" spans="33:52" ph="1">
      <c r="AH150" s="64" ph="1">
        <v>11</v>
      </c>
      <c r="AI150" s="64" t="s" ph="1">
        <v>586</v>
      </c>
      <c r="AY150" s="64" t="s" ph="1">
        <v>257</v>
      </c>
      <c r="AZ150" s="64" t="s" ph="1">
        <v>408</v>
      </c>
    </row>
    <row r="151" spans="33:52" ph="1">
      <c r="AH151" s="64" ph="1">
        <v>12</v>
      </c>
      <c r="AI151" s="64" t="s" ph="1">
        <v>587</v>
      </c>
      <c r="AY151" s="64" t="s" ph="1">
        <v>257</v>
      </c>
      <c r="AZ151" s="64" t="s" ph="1">
        <v>408</v>
      </c>
    </row>
    <row r="152" spans="33:52" ph="1">
      <c r="AH152" s="64" ph="1">
        <v>13</v>
      </c>
      <c r="AI152" s="64" t="s" ph="1">
        <v>588</v>
      </c>
      <c r="AY152" s="64" t="s" ph="1">
        <v>257</v>
      </c>
      <c r="AZ152" s="64" t="s" ph="1">
        <v>408</v>
      </c>
    </row>
    <row r="153" spans="33:52" ph="1">
      <c r="AH153" s="64" ph="1">
        <v>14</v>
      </c>
      <c r="AI153" s="64" t="s" ph="1">
        <v>589</v>
      </c>
      <c r="AY153" s="64" t="s" ph="1">
        <v>257</v>
      </c>
      <c r="AZ153" s="64" t="s" ph="1">
        <v>408</v>
      </c>
    </row>
    <row r="154" spans="33:52" ph="1">
      <c r="AH154" s="64" ph="1">
        <v>15</v>
      </c>
      <c r="AI154" s="64" t="s" ph="1">
        <v>590</v>
      </c>
      <c r="AY154" s="64" t="s" ph="1">
        <v>257</v>
      </c>
      <c r="AZ154" s="64" t="s" ph="1">
        <v>408</v>
      </c>
    </row>
    <row r="155" spans="33:52" ph="1">
      <c r="AH155" s="64" ph="1">
        <v>16</v>
      </c>
      <c r="AI155" s="64" t="s" ph="1">
        <v>591</v>
      </c>
      <c r="AJ155" s="64" t="s" ph="1">
        <v>377</v>
      </c>
      <c r="AK155" s="64" t="s" ph="1">
        <v>272</v>
      </c>
      <c r="AM155" s="64" t="s" ph="1">
        <v>611</v>
      </c>
      <c r="AN155" s="64" t="s" ph="1">
        <v>323</v>
      </c>
      <c r="AO155" s="64" t="s" ph="1">
        <v>576</v>
      </c>
      <c r="AY155" s="64" t="s" ph="1">
        <v>257</v>
      </c>
      <c r="AZ155" s="64" t="s" ph="1">
        <v>264</v>
      </c>
    </row>
    <row r="156" spans="33:52" ph="1">
      <c r="AZ156" s="64" t="s" ph="1">
        <v>643</v>
      </c>
    </row>
    <row r="157" spans="33:52" ph="1">
      <c r="AG157" s="64" t="s" ph="1">
        <v>592</v>
      </c>
      <c r="AI157" s="64" t="s" ph="1">
        <v>250</v>
      </c>
      <c r="AJ157" s="64" t="s" ph="1">
        <v>251</v>
      </c>
      <c r="AK157" s="64" t="s" ph="1">
        <v>252</v>
      </c>
      <c r="AM157" s="64" t="s" ph="1">
        <v>251</v>
      </c>
      <c r="AN157" s="64" t="s" ph="1">
        <v>252</v>
      </c>
      <c r="AO157" s="64" t="s" ph="1">
        <v>253</v>
      </c>
      <c r="AP157" s="64" t="s" ph="1">
        <v>251</v>
      </c>
      <c r="AQ157" s="64" t="s" ph="1">
        <v>252</v>
      </c>
      <c r="AR157" s="64" t="s" ph="1">
        <v>253</v>
      </c>
      <c r="AS157" s="64" t="s" ph="1">
        <v>251</v>
      </c>
      <c r="AT157" s="64" t="s" ph="1">
        <v>252</v>
      </c>
      <c r="AU157" s="64" t="s" ph="1">
        <v>253</v>
      </c>
      <c r="AV157" s="64" t="s" ph="1">
        <v>251</v>
      </c>
      <c r="AW157" s="64" t="s" ph="1">
        <v>252</v>
      </c>
      <c r="AX157" s="64" t="s" ph="1">
        <v>253</v>
      </c>
      <c r="AY157" s="64" t="s" ph="1">
        <v>252</v>
      </c>
      <c r="AZ157" s="64" t="s" ph="1">
        <v>254</v>
      </c>
    </row>
    <row r="158" spans="33:52" ph="1">
      <c r="AH158" s="64" ph="1">
        <v>1</v>
      </c>
      <c r="AI158" s="64" t="s" ph="1">
        <v>593</v>
      </c>
      <c r="AY158" s="64" t="s" ph="1">
        <v>257</v>
      </c>
      <c r="AZ158" s="64" t="s" ph="1">
        <v>408</v>
      </c>
    </row>
    <row r="159" spans="33:52" ph="1">
      <c r="AH159" s="64" ph="1">
        <v>2</v>
      </c>
      <c r="AI159" s="64" t="s" ph="1">
        <v>594</v>
      </c>
      <c r="AY159" s="64" t="s" ph="1">
        <v>257</v>
      </c>
      <c r="AZ159" s="64" t="s" ph="1">
        <v>408</v>
      </c>
    </row>
    <row r="160" spans="33:52" ph="1">
      <c r="AZ160" s="64" t="s" ph="1">
        <v>426</v>
      </c>
    </row>
    <row r="161" spans="33:52" ph="1">
      <c r="AG161" s="64" t="s" ph="1">
        <v>402</v>
      </c>
      <c r="AI161" s="64" t="s" ph="1">
        <v>250</v>
      </c>
      <c r="AJ161" s="64" t="s" ph="1">
        <v>251</v>
      </c>
      <c r="AK161" s="64" t="s" ph="1">
        <v>252</v>
      </c>
      <c r="AM161" s="64" t="s" ph="1">
        <v>251</v>
      </c>
      <c r="AN161" s="64" t="s" ph="1">
        <v>252</v>
      </c>
      <c r="AO161" s="64" t="s" ph="1">
        <v>253</v>
      </c>
      <c r="AP161" s="64" t="s" ph="1">
        <v>251</v>
      </c>
      <c r="AQ161" s="64" t="s" ph="1">
        <v>252</v>
      </c>
      <c r="AR161" s="64" t="s" ph="1">
        <v>253</v>
      </c>
      <c r="AS161" s="64" t="s" ph="1">
        <v>251</v>
      </c>
      <c r="AT161" s="64" t="s" ph="1">
        <v>252</v>
      </c>
      <c r="AU161" s="64" t="s" ph="1">
        <v>253</v>
      </c>
      <c r="AV161" s="64" t="s" ph="1">
        <v>251</v>
      </c>
      <c r="AW161" s="64" t="s" ph="1">
        <v>252</v>
      </c>
      <c r="AX161" s="64" t="s" ph="1">
        <v>253</v>
      </c>
      <c r="AY161" s="64" t="s" ph="1">
        <v>252</v>
      </c>
      <c r="AZ161" s="64" t="s" ph="1">
        <v>254</v>
      </c>
    </row>
    <row r="162" spans="33:52" ph="1">
      <c r="AH162" s="64" ph="1">
        <v>1</v>
      </c>
      <c r="AI162" s="64" t="s" ph="1">
        <v>595</v>
      </c>
      <c r="AJ162" s="64" t="s" ph="1">
        <v>596</v>
      </c>
      <c r="AK162" s="64" t="s" ph="1">
        <v>540</v>
      </c>
      <c r="AM162" s="64" t="s" ph="1">
        <v>597</v>
      </c>
      <c r="AN162" s="64" t="s" ph="1">
        <v>261</v>
      </c>
      <c r="AO162" s="64" t="s" ph="1">
        <v>598</v>
      </c>
      <c r="AY162" s="64" t="s" ph="1">
        <v>257</v>
      </c>
      <c r="AZ162" s="64" t="s" ph="1">
        <v>333</v>
      </c>
    </row>
    <row r="163" spans="33:52" ph="1">
      <c r="AH163" s="64" ph="1">
        <v>2</v>
      </c>
      <c r="AI163" s="64" t="s" ph="1">
        <v>599</v>
      </c>
      <c r="AJ163" s="64" t="s" ph="1">
        <v>596</v>
      </c>
      <c r="AK163" s="64" t="s" ph="1">
        <v>429</v>
      </c>
      <c r="AY163" s="64" t="s" ph="1">
        <v>257</v>
      </c>
      <c r="AZ163" s="64" t="s" ph="1">
        <v>429</v>
      </c>
    </row>
    <row r="164" spans="33:52" ph="1">
      <c r="AH164" s="64" ph="1">
        <v>3</v>
      </c>
      <c r="AI164" s="64" t="s" ph="1">
        <v>600</v>
      </c>
      <c r="AJ164" s="64" t="s" ph="1">
        <v>596</v>
      </c>
      <c r="AK164" s="64" t="s" ph="1">
        <v>333</v>
      </c>
      <c r="AY164" s="64" t="s" ph="1">
        <v>257</v>
      </c>
      <c r="AZ164" s="64" t="s" ph="1">
        <v>333</v>
      </c>
    </row>
    <row r="165" spans="33:52" ph="1">
      <c r="AH165" s="64" ph="1">
        <v>4</v>
      </c>
      <c r="AI165" s="64" t="s" ph="1">
        <v>601</v>
      </c>
      <c r="AY165" s="64" t="s" ph="1">
        <v>257</v>
      </c>
      <c r="AZ165" s="64" t="s" ph="1">
        <v>408</v>
      </c>
    </row>
    <row r="166" spans="33:52" ph="1">
      <c r="AH166" s="64" ph="1">
        <v>5</v>
      </c>
      <c r="AI166" s="64" t="s" ph="1">
        <v>602</v>
      </c>
      <c r="AY166" s="64" t="s" ph="1">
        <v>257</v>
      </c>
      <c r="AZ166" s="64" t="s" ph="1">
        <v>408</v>
      </c>
    </row>
    <row r="167" spans="33:52" ph="1">
      <c r="AZ167" s="64" t="s" ph="1">
        <v>603</v>
      </c>
    </row>
    <row r="168" spans="33:52" ph="1">
      <c r="AG168" s="64" t="s" ph="1">
        <v>346</v>
      </c>
      <c r="AI168" s="64" t="s" ph="1">
        <v>250</v>
      </c>
      <c r="AJ168" s="64" t="s" ph="1">
        <v>251</v>
      </c>
      <c r="AK168" s="64" t="s" ph="1">
        <v>252</v>
      </c>
      <c r="AM168" s="64" t="s" ph="1">
        <v>251</v>
      </c>
      <c r="AN168" s="64" t="s" ph="1">
        <v>252</v>
      </c>
      <c r="AO168" s="64" t="s" ph="1">
        <v>253</v>
      </c>
      <c r="AP168" s="64" t="s" ph="1">
        <v>251</v>
      </c>
      <c r="AQ168" s="64" t="s" ph="1">
        <v>252</v>
      </c>
      <c r="AR168" s="64" t="s" ph="1">
        <v>253</v>
      </c>
      <c r="AS168" s="64" t="s" ph="1">
        <v>251</v>
      </c>
      <c r="AT168" s="64" t="s" ph="1">
        <v>252</v>
      </c>
      <c r="AU168" s="64" t="s" ph="1">
        <v>253</v>
      </c>
      <c r="AV168" s="64" t="s" ph="1">
        <v>251</v>
      </c>
      <c r="AW168" s="64" t="s" ph="1">
        <v>252</v>
      </c>
      <c r="AX168" s="64" t="s" ph="1">
        <v>253</v>
      </c>
      <c r="AY168" s="64" t="s" ph="1">
        <v>252</v>
      </c>
      <c r="AZ168" s="64" t="s" ph="1">
        <v>254</v>
      </c>
    </row>
    <row r="169" spans="33:52" ph="1">
      <c r="AH169" s="64" ph="1">
        <v>1</v>
      </c>
      <c r="AI169" s="64" t="s" ph="1">
        <v>604</v>
      </c>
      <c r="AY169" s="64" t="s" ph="1">
        <v>257</v>
      </c>
      <c r="AZ169" s="64" t="s" ph="1">
        <v>408</v>
      </c>
    </row>
    <row r="170" spans="33:52" ph="1">
      <c r="AH170" s="64" ph="1">
        <v>2</v>
      </c>
      <c r="AI170" s="64" t="s" ph="1">
        <v>605</v>
      </c>
      <c r="AY170" s="64" t="s" ph="1">
        <v>257</v>
      </c>
      <c r="AZ170" s="64" t="s" ph="1">
        <v>408</v>
      </c>
    </row>
    <row r="171" spans="33:52" ph="1">
      <c r="AH171" s="64" ph="1">
        <v>3</v>
      </c>
      <c r="AI171" s="64" t="s" ph="1">
        <v>606</v>
      </c>
      <c r="AY171" s="64" t="s" ph="1">
        <v>257</v>
      </c>
      <c r="AZ171" s="64" t="s" ph="1">
        <v>408</v>
      </c>
    </row>
    <row r="172" spans="33:52" ph="1">
      <c r="AH172" s="64" ph="1">
        <v>4</v>
      </c>
      <c r="AI172" s="64" t="s" ph="1">
        <v>607</v>
      </c>
      <c r="AY172" s="64" t="s" ph="1">
        <v>257</v>
      </c>
      <c r="AZ172" s="64" t="s" ph="1">
        <v>408</v>
      </c>
    </row>
    <row r="173" spans="33:52" ph="1">
      <c r="AH173" s="64" ph="1">
        <v>5</v>
      </c>
      <c r="AI173" s="64" t="s" ph="1">
        <v>608</v>
      </c>
      <c r="AY173" s="64" t="s" ph="1">
        <v>257</v>
      </c>
      <c r="AZ173" s="64" t="s" ph="1">
        <v>408</v>
      </c>
    </row>
    <row r="174" spans="33:52" ph="1">
      <c r="AZ174" s="64" t="s" ph="1">
        <v>426</v>
      </c>
    </row>
    <row r="175" spans="33:52" ph="1">
      <c r="AJ175" s="64" t="s" ph="1">
        <v>347</v>
      </c>
    </row>
    <row r="176" spans="33:52" ph="1">
      <c r="AJ176" s="64" t="s" ph="1">
        <v>348</v>
      </c>
      <c r="AK176" s="64" t="s" ph="1">
        <v>349</v>
      </c>
      <c r="AM176" s="64" t="s" ph="1">
        <v>350</v>
      </c>
      <c r="AO176" s="64" t="s" ph="1">
        <v>351</v>
      </c>
      <c r="AP176" s="64" t="s" ph="1">
        <v>352</v>
      </c>
      <c r="AQ176" s="64" t="s" ph="1">
        <v>342</v>
      </c>
      <c r="AR176" s="64" t="s" ph="1">
        <v>262</v>
      </c>
    </row>
    <row r="177" spans="36:56" ph="1">
      <c r="AJ177" s="64" t="s" ph="1">
        <v>644</v>
      </c>
      <c r="AK177" s="64" t="s" ph="1">
        <v>353</v>
      </c>
      <c r="AO177" s="64" t="s" ph="1">
        <v>353</v>
      </c>
      <c r="AP177" s="64" t="s" ph="1">
        <v>353</v>
      </c>
      <c r="AQ177" s="64" t="s" ph="1">
        <v>354</v>
      </c>
      <c r="AR177" s="64" t="s" ph="1">
        <v>355</v>
      </c>
    </row>
    <row r="179" spans="36:56" ph="1">
      <c r="AJ179" s="64" t="s" ph="1">
        <v>356</v>
      </c>
      <c r="AK179" s="64" t="s" ph="1">
        <v>357</v>
      </c>
      <c r="AM179" s="64" t="s" ph="1">
        <v>358</v>
      </c>
      <c r="AN179" s="64" t="s" ph="1">
        <v>334</v>
      </c>
      <c r="AO179" s="64" t="s" ph="1">
        <v>359</v>
      </c>
      <c r="AP179" s="64" t="s" ph="1">
        <v>338</v>
      </c>
      <c r="AQ179" s="64" t="s" ph="1">
        <v>360</v>
      </c>
      <c r="AR179" s="64" t="s" ph="1">
        <v>361</v>
      </c>
    </row>
    <row r="180" spans="36:56" ph="1">
      <c r="AJ180" s="64" t="s" ph="1">
        <v>353</v>
      </c>
      <c r="AK180" s="64" t="s" ph="1">
        <v>353</v>
      </c>
      <c r="AL180" s="64" ph="1">
        <v>116</v>
      </c>
      <c r="AM180" s="64" t="s" ph="1">
        <v>353</v>
      </c>
      <c r="AN180" s="64" t="s" ph="1">
        <v>362</v>
      </c>
      <c r="AO180" s="64" t="s" ph="1">
        <v>353</v>
      </c>
      <c r="AP180" s="64" t="s" ph="1">
        <v>363</v>
      </c>
      <c r="AQ180" s="64" t="s" ph="1">
        <v>364</v>
      </c>
      <c r="AR180" s="64" t="s" ph="1">
        <v>365</v>
      </c>
    </row>
    <row r="189" spans="36:56" ph="1">
      <c r="BD189" s="64" t="s" ph="1">
        <v>609</v>
      </c>
    </row>
    <row r="223" spans="18:18" ph="1">
      <c r="R223" s="138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385" priority="96">
      <formula>ABS(D$7-D$10)&gt;=1000</formula>
    </cfRule>
  </conditionalFormatting>
  <conditionalFormatting sqref="E4 E6:E11">
    <cfRule type="expression" dxfId="1384" priority="95">
      <formula>ABS(E$7-E$10)&gt;=1000</formula>
    </cfRule>
  </conditionalFormatting>
  <conditionalFormatting sqref="F4:F11">
    <cfRule type="expression" dxfId="1383" priority="94">
      <formula>ABS(F$7-F$10)&gt;=1000</formula>
    </cfRule>
  </conditionalFormatting>
  <conditionalFormatting sqref="G4:G11">
    <cfRule type="expression" dxfId="1382" priority="93">
      <formula>ABS(G$7-G$10)&gt;=1000</formula>
    </cfRule>
  </conditionalFormatting>
  <conditionalFormatting sqref="H4:H11">
    <cfRule type="expression" dxfId="1381" priority="92">
      <formula>ABS(H$7-H$10)&gt;=1000</formula>
    </cfRule>
  </conditionalFormatting>
  <conditionalFormatting sqref="I4:I11">
    <cfRule type="expression" dxfId="1380" priority="91">
      <formula>ABS(I$7-I$10)&gt;=1000</formula>
    </cfRule>
  </conditionalFormatting>
  <conditionalFormatting sqref="J4:J11">
    <cfRule type="expression" dxfId="1379" priority="90">
      <formula>ABS(J$7-J$10)&gt;=1000</formula>
    </cfRule>
  </conditionalFormatting>
  <conditionalFormatting sqref="K4:K11">
    <cfRule type="expression" dxfId="1378" priority="89">
      <formula>ABS(K$7-K$10)&gt;=1000</formula>
    </cfRule>
  </conditionalFormatting>
  <conditionalFormatting sqref="L4:L11">
    <cfRule type="expression" dxfId="1377" priority="88">
      <formula>ABS(L$7-L$10)&gt;=1000</formula>
    </cfRule>
  </conditionalFormatting>
  <conditionalFormatting sqref="M4 M6:M11">
    <cfRule type="expression" dxfId="1376" priority="87">
      <formula>ABS(M$7-M$10)&gt;=1000</formula>
    </cfRule>
  </conditionalFormatting>
  <conditionalFormatting sqref="N4 N6:N11">
    <cfRule type="expression" dxfId="1375" priority="86">
      <formula>ABS(N$7-N$10)&gt;=1000</formula>
    </cfRule>
  </conditionalFormatting>
  <conditionalFormatting sqref="O4 O6:O11">
    <cfRule type="expression" dxfId="1374" priority="85">
      <formula>ABS(O$7-O$10)&gt;=1000</formula>
    </cfRule>
  </conditionalFormatting>
  <conditionalFormatting sqref="P4 P6:P11">
    <cfRule type="expression" dxfId="1373" priority="84">
      <formula>ABS(P$7-P$10)&gt;=1000</formula>
    </cfRule>
  </conditionalFormatting>
  <conditionalFormatting sqref="Q4:Q11">
    <cfRule type="expression" dxfId="1372" priority="83">
      <formula>ABS(Q$7-Q$10)&gt;=1000</formula>
    </cfRule>
  </conditionalFormatting>
  <conditionalFormatting sqref="R4:R11">
    <cfRule type="expression" dxfId="1371" priority="82">
      <formula>ABS(R$7-R$10)&gt;=1000</formula>
    </cfRule>
  </conditionalFormatting>
  <conditionalFormatting sqref="S4:S11">
    <cfRule type="expression" dxfId="1370" priority="81">
      <formula>ABS(S$7-S$10)&gt;=1000</formula>
    </cfRule>
  </conditionalFormatting>
  <conditionalFormatting sqref="T4:T9 T11">
    <cfRule type="expression" dxfId="1369" priority="80">
      <formula>ABS(T$7-T$10)&gt;=1000</formula>
    </cfRule>
  </conditionalFormatting>
  <conditionalFormatting sqref="U4:U9 U11">
    <cfRule type="expression" dxfId="1368" priority="79">
      <formula>ABS(U$7-U$10)&gt;=1000</formula>
    </cfRule>
  </conditionalFormatting>
  <conditionalFormatting sqref="V4:V9 V11">
    <cfRule type="expression" dxfId="1367" priority="78">
      <formula>ABS(V$7-V$10)&gt;=1000</formula>
    </cfRule>
  </conditionalFormatting>
  <conditionalFormatting sqref="W4:W9 W11">
    <cfRule type="expression" dxfId="1366" priority="77">
      <formula>ABS(W$7-W$10)&gt;=1000</formula>
    </cfRule>
  </conditionalFormatting>
  <conditionalFormatting sqref="X4:X9 X11">
    <cfRule type="expression" dxfId="1365" priority="76">
      <formula>ABS(X$7-X$10)&gt;=1000</formula>
    </cfRule>
  </conditionalFormatting>
  <conditionalFormatting sqref="Y4:Y9 Y11">
    <cfRule type="expression" dxfId="1364" priority="75">
      <formula>ABS(Y$7-Y$10)&gt;=1000</formula>
    </cfRule>
  </conditionalFormatting>
  <conditionalFormatting sqref="Z4:Z11">
    <cfRule type="expression" dxfId="1363" priority="74">
      <formula>ABS(Z$7-Z$10)&gt;=1000</formula>
    </cfRule>
  </conditionalFormatting>
  <conditionalFormatting sqref="AA4:AA11">
    <cfRule type="expression" dxfId="1362" priority="73">
      <formula>ABS(AA$7-AA$10)&gt;=1000</formula>
    </cfRule>
  </conditionalFormatting>
  <conditionalFormatting sqref="AB4:AB11">
    <cfRule type="expression" dxfId="1361" priority="72">
      <formula>ABS(AB$7-AB$10)&gt;=1000</formula>
    </cfRule>
  </conditionalFormatting>
  <conditionalFormatting sqref="AC4 AC6:AC11">
    <cfRule type="expression" dxfId="1360" priority="71">
      <formula>ABS(AC$7-AC$10)&gt;=1000</formula>
    </cfRule>
  </conditionalFormatting>
  <conditionalFormatting sqref="AD4:AD11">
    <cfRule type="expression" dxfId="1359" priority="70">
      <formula>ABS(AD$7-AD$10)&gt;=1000</formula>
    </cfRule>
  </conditionalFormatting>
  <conditionalFormatting sqref="AE4:AE11">
    <cfRule type="expression" dxfId="1358" priority="69">
      <formula>ABS(AE$7-AE$10)&gt;=1000</formula>
    </cfRule>
  </conditionalFormatting>
  <conditionalFormatting sqref="D13:D20">
    <cfRule type="expression" dxfId="1357" priority="68">
      <formula>ABS(D$16-D$19)&gt;=1000</formula>
    </cfRule>
  </conditionalFormatting>
  <conditionalFormatting sqref="E13:E20">
    <cfRule type="expression" dxfId="1356" priority="67">
      <formula>ABS(E$16-E$19)&gt;=1000</formula>
    </cfRule>
  </conditionalFormatting>
  <conditionalFormatting sqref="F13 F15:F20">
    <cfRule type="expression" dxfId="1355" priority="66">
      <formula>ABS(F$16-F$19)&gt;=1000</formula>
    </cfRule>
  </conditionalFormatting>
  <conditionalFormatting sqref="G13:G20">
    <cfRule type="expression" dxfId="1354" priority="65">
      <formula>ABS(G$16-G$19)&gt;=1000</formula>
    </cfRule>
  </conditionalFormatting>
  <conditionalFormatting sqref="H13:H20">
    <cfRule type="expression" dxfId="1353" priority="64">
      <formula>ABS(H$16-H$19)&gt;=1000</formula>
    </cfRule>
  </conditionalFormatting>
  <conditionalFormatting sqref="I13:I20">
    <cfRule type="expression" dxfId="1352" priority="63">
      <formula>ABS(I$16-I$19)&gt;=1000</formula>
    </cfRule>
  </conditionalFormatting>
  <conditionalFormatting sqref="J13:J20">
    <cfRule type="expression" dxfId="1351" priority="62">
      <formula>ABS(J$16-J$19)&gt;=1000</formula>
    </cfRule>
  </conditionalFormatting>
  <conditionalFormatting sqref="L13:L20">
    <cfRule type="expression" dxfId="1350" priority="61">
      <formula>ABS(L$16-L$19)&gt;=1000</formula>
    </cfRule>
  </conditionalFormatting>
  <conditionalFormatting sqref="M13 M15 M17:M18 M20">
    <cfRule type="expression" dxfId="1349" priority="60">
      <formula>ABS(M$16-M$19)&gt;=1000</formula>
    </cfRule>
  </conditionalFormatting>
  <conditionalFormatting sqref="N13:N20">
    <cfRule type="expression" dxfId="1348" priority="59">
      <formula>ABS(N$16-N$19)&gt;=1000</formula>
    </cfRule>
  </conditionalFormatting>
  <conditionalFormatting sqref="O13:O20">
    <cfRule type="expression" dxfId="1347" priority="58">
      <formula>ABS(O$16-O$19)&gt;=1000</formula>
    </cfRule>
  </conditionalFormatting>
  <conditionalFormatting sqref="P13:P20">
    <cfRule type="expression" dxfId="1346" priority="57">
      <formula>ABS(P$16-P$19)&gt;=1000</formula>
    </cfRule>
  </conditionalFormatting>
  <conditionalFormatting sqref="Q13 Q15:Q20">
    <cfRule type="expression" dxfId="1345" priority="56">
      <formula>ABS(Q$16-Q$19)&gt;=1000</formula>
    </cfRule>
  </conditionalFormatting>
  <conditionalFormatting sqref="R13:R20">
    <cfRule type="expression" dxfId="1344" priority="55">
      <formula>ABS(R$16-R$19)&gt;=1000</formula>
    </cfRule>
  </conditionalFormatting>
  <conditionalFormatting sqref="S13:S20">
    <cfRule type="expression" dxfId="1343" priority="54">
      <formula>ABS(S$16-S$19)&gt;=1000</formula>
    </cfRule>
  </conditionalFormatting>
  <conditionalFormatting sqref="T13:T20">
    <cfRule type="expression" dxfId="1342" priority="53">
      <formula>ABS(T$16-T$19)&gt;=1000</formula>
    </cfRule>
  </conditionalFormatting>
  <conditionalFormatting sqref="U13:U20">
    <cfRule type="expression" dxfId="1341" priority="52">
      <formula>ABS(U$16-U$19)&gt;=1000</formula>
    </cfRule>
  </conditionalFormatting>
  <conditionalFormatting sqref="V13:V20">
    <cfRule type="expression" dxfId="1340" priority="51">
      <formula>ABS(V$16-V$19)&gt;=1000</formula>
    </cfRule>
  </conditionalFormatting>
  <conditionalFormatting sqref="W13 W15:W18 W20">
    <cfRule type="expression" dxfId="1339" priority="50">
      <formula>ABS(W$16-W$19)&gt;=1000</formula>
    </cfRule>
  </conditionalFormatting>
  <conditionalFormatting sqref="X13 X15:X20 Y19">
    <cfRule type="expression" dxfId="1338" priority="49">
      <formula>ABS(X$16-X$19)&gt;=1000</formula>
    </cfRule>
  </conditionalFormatting>
  <conditionalFormatting sqref="Y13 Y15:Y18 Y20">
    <cfRule type="expression" dxfId="1337" priority="48">
      <formula>ABS(Y$16-Y$19)&gt;=1000</formula>
    </cfRule>
  </conditionalFormatting>
  <conditionalFormatting sqref="Z13:Z20">
    <cfRule type="expression" dxfId="1336" priority="47">
      <formula>ABS(Z$16-Z$19)&gt;=1000</formula>
    </cfRule>
  </conditionalFormatting>
  <conditionalFormatting sqref="AA13:AA20">
    <cfRule type="expression" dxfId="1335" priority="46">
      <formula>ABS(AA$16-AA$19)&gt;=1000</formula>
    </cfRule>
  </conditionalFormatting>
  <conditionalFormatting sqref="AB13 AB15:AB20">
    <cfRule type="expression" dxfId="1334" priority="45">
      <formula>ABS(AB$16-AB$19)&gt;=1000</formula>
    </cfRule>
  </conditionalFormatting>
  <conditionalFormatting sqref="AC13 AC15:AC20">
    <cfRule type="expression" dxfId="1333" priority="44">
      <formula>ABS(AC$16-AC$19)&gt;=1000</formula>
    </cfRule>
  </conditionalFormatting>
  <conditionalFormatting sqref="AD13:AD20">
    <cfRule type="expression" dxfId="1332" priority="43">
      <formula>ABS(AD$16-AD$19)&gt;=1000</formula>
    </cfRule>
  </conditionalFormatting>
  <conditionalFormatting sqref="AE13:AE20">
    <cfRule type="expression" dxfId="1331" priority="42">
      <formula>ABS(AE$16-AE$19)&gt;=1000</formula>
    </cfRule>
  </conditionalFormatting>
  <conditionalFormatting sqref="D22:D29">
    <cfRule type="expression" dxfId="1330" priority="41">
      <formula>ABS(D$25-D$28)&gt;=1000</formula>
    </cfRule>
  </conditionalFormatting>
  <conditionalFormatting sqref="E22:E29">
    <cfRule type="expression" dxfId="1329" priority="40">
      <formula>ABS(E$25-E$28)&gt;=1000</formula>
    </cfRule>
  </conditionalFormatting>
  <conditionalFormatting sqref="F22:F29">
    <cfRule type="expression" dxfId="1328" priority="39">
      <formula>ABS(F$25-F$28)&gt;=1000</formula>
    </cfRule>
  </conditionalFormatting>
  <conditionalFormatting sqref="G22:G29">
    <cfRule type="expression" dxfId="1327" priority="38">
      <formula>ABS(G$25-G$28)&gt;=1000</formula>
    </cfRule>
  </conditionalFormatting>
  <conditionalFormatting sqref="H22:H29">
    <cfRule type="expression" dxfId="1326" priority="37">
      <formula>ABS(H$25-H$28)&gt;=1000</formula>
    </cfRule>
  </conditionalFormatting>
  <conditionalFormatting sqref="I22 I24:I29">
    <cfRule type="expression" dxfId="1325" priority="36">
      <formula>ABS(I$25-I$28)&gt;=1000</formula>
    </cfRule>
  </conditionalFormatting>
  <conditionalFormatting sqref="J22:J29 K22">
    <cfRule type="expression" dxfId="1324" priority="35">
      <formula>ABS(J$25-J$28)&gt;=1000</formula>
    </cfRule>
  </conditionalFormatting>
  <conditionalFormatting sqref="K23:K29 L25 L28">
    <cfRule type="expression" dxfId="1323" priority="34">
      <formula>ABS(K$25-K$28)&gt;=1000</formula>
    </cfRule>
  </conditionalFormatting>
  <conditionalFormatting sqref="L22:L24 L26:L27 L29">
    <cfRule type="expression" dxfId="1322" priority="33">
      <formula>ABS(L$25-L$28)&gt;=1000</formula>
    </cfRule>
  </conditionalFormatting>
  <conditionalFormatting sqref="M22:M29">
    <cfRule type="expression" dxfId="1321" priority="32">
      <formula>ABS(M$25-M$28)&gt;=1000</formula>
    </cfRule>
  </conditionalFormatting>
  <conditionalFormatting sqref="N22:N29">
    <cfRule type="expression" dxfId="1320" priority="31">
      <formula>ABS(N$25-N$28)&gt;=1000</formula>
    </cfRule>
  </conditionalFormatting>
  <conditionalFormatting sqref="O22:O29">
    <cfRule type="expression" dxfId="1319" priority="30">
      <formula>ABS(O$25-O$28)&gt;=1000</formula>
    </cfRule>
  </conditionalFormatting>
  <conditionalFormatting sqref="P22:P29">
    <cfRule type="expression" dxfId="1318" priority="29">
      <formula>ABS(P$25-P$28)&gt;=1000</formula>
    </cfRule>
  </conditionalFormatting>
  <conditionalFormatting sqref="Q22:Q29">
    <cfRule type="expression" dxfId="1317" priority="28">
      <formula>ABS(Q$25-Q$28)&gt;=1000</formula>
    </cfRule>
  </conditionalFormatting>
  <conditionalFormatting sqref="R22:R29">
    <cfRule type="expression" dxfId="1316" priority="27">
      <formula>ABS(R$25-R$28)&gt;=1000</formula>
    </cfRule>
  </conditionalFormatting>
  <conditionalFormatting sqref="S22:S29">
    <cfRule type="expression" dxfId="1315" priority="26">
      <formula>ABS(S$25-S$28)&gt;=1000</formula>
    </cfRule>
  </conditionalFormatting>
  <conditionalFormatting sqref="T22:T29">
    <cfRule type="expression" dxfId="1314" priority="25">
      <formula>ABS(T$25-T$28)&gt;=1000</formula>
    </cfRule>
  </conditionalFormatting>
  <conditionalFormatting sqref="U22:U29">
    <cfRule type="expression" dxfId="1313" priority="24">
      <formula>ABS(U$25-U$28)&gt;=1000</formula>
    </cfRule>
  </conditionalFormatting>
  <conditionalFormatting sqref="V22:V29">
    <cfRule type="expression" dxfId="1312" priority="23">
      <formula>ABS(V$25-V$28)&gt;=1000</formula>
    </cfRule>
  </conditionalFormatting>
  <conditionalFormatting sqref="W22:W29">
    <cfRule type="expression" dxfId="1311" priority="22">
      <formula>ABS(W$25-W$28)&gt;=1000</formula>
    </cfRule>
  </conditionalFormatting>
  <conditionalFormatting sqref="X22:X29">
    <cfRule type="expression" dxfId="1310" priority="21">
      <formula>ABS(X$25-X$28)&gt;=1000</formula>
    </cfRule>
  </conditionalFormatting>
  <conditionalFormatting sqref="Y22:Y29">
    <cfRule type="expression" dxfId="1309" priority="20">
      <formula>ABS(Y$25-Y$28)&gt;=1000</formula>
    </cfRule>
  </conditionalFormatting>
  <conditionalFormatting sqref="I23">
    <cfRule type="expression" dxfId="1308" priority="19">
      <formula>ABS(I$25-I$28)&gt;=1000</formula>
    </cfRule>
  </conditionalFormatting>
  <conditionalFormatting sqref="F14">
    <cfRule type="expression" dxfId="1307" priority="18">
      <formula>ABS(F$16-F$19)&gt;=1000</formula>
    </cfRule>
  </conditionalFormatting>
  <conditionalFormatting sqref="Q14">
    <cfRule type="expression" dxfId="1306" priority="17">
      <formula>ABS(Q$16-Q$19)&gt;=1000</formula>
    </cfRule>
  </conditionalFormatting>
  <conditionalFormatting sqref="W14">
    <cfRule type="expression" dxfId="1305" priority="16">
      <formula>ABS(W$16-W$19)&gt;=1000</formula>
    </cfRule>
  </conditionalFormatting>
  <conditionalFormatting sqref="Y14">
    <cfRule type="expression" dxfId="1304" priority="15">
      <formula>ABS(Y$16-Y$19)&gt;=1000</formula>
    </cfRule>
  </conditionalFormatting>
  <conditionalFormatting sqref="X14">
    <cfRule type="expression" dxfId="1303" priority="14">
      <formula>ABS(X$16-X$19)&gt;=1000</formula>
    </cfRule>
  </conditionalFormatting>
  <conditionalFormatting sqref="T10:Y10">
    <cfRule type="expression" dxfId="1302" priority="13">
      <formula>ABS(T$7-T$10)&gt;=1000</formula>
    </cfRule>
  </conditionalFormatting>
  <conditionalFormatting sqref="W19">
    <cfRule type="expression" dxfId="1301" priority="12">
      <formula>ABS(W$16-W$19)&gt;=1000</formula>
    </cfRule>
  </conditionalFormatting>
  <conditionalFormatting sqref="AC5">
    <cfRule type="expression" dxfId="1300" priority="11">
      <formula>ABS(AC$7-AC$10)&gt;=1000</formula>
    </cfRule>
  </conditionalFormatting>
  <conditionalFormatting sqref="M14">
    <cfRule type="expression" dxfId="1299" priority="10">
      <formula>ABS(M$16-M$19)&gt;=1000</formula>
    </cfRule>
  </conditionalFormatting>
  <conditionalFormatting sqref="M16">
    <cfRule type="expression" dxfId="1298" priority="9">
      <formula>ABS(M$16-M$19)&gt;=1000</formula>
    </cfRule>
  </conditionalFormatting>
  <conditionalFormatting sqref="M19">
    <cfRule type="expression" dxfId="1297" priority="8">
      <formula>ABS(M$16-M$19)&gt;=1000</formula>
    </cfRule>
  </conditionalFormatting>
  <conditionalFormatting sqref="K13:K20">
    <cfRule type="expression" dxfId="1296" priority="7">
      <formula>ABS(K$16-K$19)&gt;=1000</formula>
    </cfRule>
  </conditionalFormatting>
  <conditionalFormatting sqref="E5">
    <cfRule type="expression" dxfId="1295" priority="6">
      <formula>ABS(E$7-E$10)&gt;=1000</formula>
    </cfRule>
  </conditionalFormatting>
  <conditionalFormatting sqref="AB14:AC14">
    <cfRule type="expression" dxfId="1294" priority="5">
      <formula>ABS(AB$16-AB$19)&gt;=1000</formula>
    </cfRule>
  </conditionalFormatting>
  <conditionalFormatting sqref="M5">
    <cfRule type="expression" dxfId="1293" priority="4">
      <formula>ABS(M$7-M$10)&gt;=1000</formula>
    </cfRule>
  </conditionalFormatting>
  <conditionalFormatting sqref="N5">
    <cfRule type="expression" dxfId="1292" priority="3">
      <formula>ABS(N$7-N$10)&gt;=1000</formula>
    </cfRule>
  </conditionalFormatting>
  <conditionalFormatting sqref="O5">
    <cfRule type="expression" dxfId="1291" priority="2">
      <formula>ABS(O$7-O$10)&gt;=1000</formula>
    </cfRule>
  </conditionalFormatting>
  <conditionalFormatting sqref="P5">
    <cfRule type="expression" dxfId="1290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9718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74">
    <pageSetUpPr fitToPage="1"/>
  </sheetPr>
  <dimension ref="A1:CU223"/>
  <sheetViews>
    <sheetView view="pageBreakPreview" zoomScale="70" zoomScaleNormal="100" zoomScaleSheetLayoutView="70" workbookViewId="0">
      <selection activeCell="Z23" sqref="Z23:AE29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08" t="s" ph="1">
        <v>192</v>
      </c>
      <c r="C1" s="208" ph="1"/>
      <c r="D1" s="208" ph="1"/>
      <c r="E1" s="208" ph="1"/>
      <c r="F1" s="208" ph="1"/>
      <c r="G1" s="208" ph="1"/>
      <c r="H1" s="208" ph="1"/>
      <c r="I1" s="208" ph="1"/>
      <c r="J1" s="208" ph="1"/>
      <c r="K1" s="208" ph="1"/>
      <c r="L1" s="208" ph="1"/>
      <c r="M1" s="208" ph="1"/>
      <c r="N1" s="208" ph="1"/>
      <c r="O1" s="208" ph="1"/>
      <c r="P1" s="208" ph="1"/>
      <c r="Q1" s="208" ph="1"/>
      <c r="R1" s="208" ph="1"/>
      <c r="S1" s="208" ph="1"/>
      <c r="T1" s="208" ph="1"/>
      <c r="U1" s="208" ph="1"/>
      <c r="V1" s="208" ph="1"/>
      <c r="W1" s="208" ph="1"/>
      <c r="X1" s="208" ph="1"/>
      <c r="Y1" s="208" ph="1"/>
      <c r="Z1" s="208" ph="1"/>
      <c r="AA1" s="208" ph="1"/>
      <c r="AB1" s="208" ph="1"/>
      <c r="AC1" s="208" ph="1"/>
      <c r="AD1" s="208" ph="1"/>
      <c r="AE1" s="208" ph="1"/>
    </row>
    <row r="2" spans="1:99" s="66" customFormat="1" ht="24" customHeight="1" ph="1">
      <c r="B2" s="209" t="s" ph="1">
        <v>99</v>
      </c>
      <c r="C2" s="209" ph="1"/>
      <c r="D2" s="209" ph="1"/>
      <c r="E2" s="209" ph="1"/>
      <c r="F2" s="209" ph="1"/>
      <c r="G2" s="209" ph="1"/>
      <c r="H2" s="209" ph="1"/>
      <c r="I2" s="209" ph="1"/>
      <c r="J2" s="209" ph="1"/>
      <c r="K2" s="209" ph="1"/>
      <c r="L2" s="209" ph="1"/>
      <c r="M2" s="209" ph="1"/>
      <c r="N2" s="209" ph="1"/>
      <c r="O2" s="209" ph="1"/>
      <c r="P2" s="209" ph="1"/>
      <c r="Q2" s="209" ph="1"/>
      <c r="R2" s="209" ph="1"/>
      <c r="S2" s="209" ph="1"/>
      <c r="T2" s="209" ph="1"/>
      <c r="U2" s="209" ph="1"/>
      <c r="V2" s="209" ph="1"/>
      <c r="W2" s="209" ph="1"/>
      <c r="X2" s="209" ph="1"/>
      <c r="Y2" s="209" ph="1"/>
      <c r="Z2" s="209" ph="1"/>
      <c r="AA2" s="209" ph="1"/>
      <c r="AB2" s="209" ph="1"/>
      <c r="AC2" s="209" ph="1"/>
      <c r="AD2" s="209" ph="1"/>
      <c r="AE2" s="209" ph="1"/>
    </row>
    <row r="3" spans="1:99" ht="21" customHeight="1" ph="1">
      <c r="B3" s="210" ph="1">
        <v>45702</v>
      </c>
      <c r="C3" s="210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210"/>
      <c r="R3" s="210"/>
      <c r="S3" s="210"/>
      <c r="T3" s="210"/>
      <c r="U3" s="210"/>
      <c r="V3" s="210"/>
      <c r="W3" s="210"/>
      <c r="X3" s="210"/>
      <c r="Y3" s="210"/>
      <c r="Z3" s="210"/>
      <c r="AA3" s="210"/>
      <c r="AB3" s="210"/>
      <c r="AC3" s="210"/>
      <c r="AD3" s="210"/>
      <c r="AE3" s="210"/>
    </row>
    <row r="4" spans="1:99" s="69" customFormat="1" ph="1">
      <c r="A4" s="65" ph="1"/>
      <c r="B4" s="211" t="s" ph="1">
        <v>37</v>
      </c>
      <c r="C4" s="67" t="s" ph="1">
        <v>207</v>
      </c>
      <c r="D4" s="68" t="s" ph="1">
        <v>45</v>
      </c>
      <c r="E4" s="68" t="s" ph="1">
        <v>46</v>
      </c>
      <c r="F4" s="68" t="s" ph="1">
        <v>39</v>
      </c>
      <c r="G4" s="68" t="s" ph="1">
        <v>47</v>
      </c>
      <c r="H4" s="68" t="s" ph="1">
        <v>48</v>
      </c>
      <c r="I4" s="68" t="s" ph="1">
        <v>132</v>
      </c>
      <c r="J4" s="68" t="s" ph="1">
        <v>49</v>
      </c>
      <c r="K4" s="68" t="s" ph="1">
        <v>133</v>
      </c>
      <c r="L4" s="68" t="s" ph="1">
        <v>134</v>
      </c>
      <c r="M4" s="68" t="s" ph="1">
        <v>50</v>
      </c>
      <c r="N4" s="68" t="s" ph="1">
        <v>51</v>
      </c>
      <c r="O4" s="68" t="s" ph="1">
        <v>136</v>
      </c>
      <c r="P4" s="68" t="s" ph="1">
        <v>138</v>
      </c>
      <c r="Q4" s="68" t="s" ph="1">
        <v>139</v>
      </c>
      <c r="R4" s="68" t="s" ph="1">
        <v>140</v>
      </c>
      <c r="S4" s="68" t="s" ph="1">
        <v>141</v>
      </c>
      <c r="T4" s="68" t="s" ph="1">
        <v>142</v>
      </c>
      <c r="U4" s="68" t="s" ph="1">
        <v>143</v>
      </c>
      <c r="V4" s="68" t="s" ph="1">
        <v>144</v>
      </c>
      <c r="W4" s="68" t="s" ph="1">
        <v>145</v>
      </c>
      <c r="X4" s="68" t="s" ph="1">
        <v>146</v>
      </c>
      <c r="Y4" s="68" t="s" ph="1">
        <v>147</v>
      </c>
      <c r="Z4" s="68" t="s" ph="1">
        <v>52</v>
      </c>
      <c r="AA4" s="68" t="s" ph="1">
        <v>148</v>
      </c>
      <c r="AB4" s="68" t="s" ph="1">
        <v>149</v>
      </c>
      <c r="AC4" s="68" t="s" ph="1">
        <v>150</v>
      </c>
      <c r="AD4" s="68" t="s" ph="1">
        <v>40</v>
      </c>
      <c r="AE4" s="68" t="s" ph="1">
        <v>151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1" ph="1"/>
      <c r="C5" s="67" t="s" ph="1">
        <v>36</v>
      </c>
      <c r="D5" s="70" t="s" ph="1">
        <v>191</v>
      </c>
      <c r="E5" s="70" t="s" ph="1">
        <v>7</v>
      </c>
      <c r="F5" s="70" t="s" ph="1">
        <v>1</v>
      </c>
      <c r="G5" s="70" t="s" ph="1">
        <v>7</v>
      </c>
      <c r="H5" s="70" t="s" ph="1">
        <v>7</v>
      </c>
      <c r="I5" s="70" t="s" ph="1">
        <v>657</v>
      </c>
      <c r="J5" s="70" t="s" ph="1">
        <v>658</v>
      </c>
      <c r="K5" s="70" t="s" ph="1">
        <v>660</v>
      </c>
      <c r="L5" s="70" t="s" ph="1">
        <v>662</v>
      </c>
      <c r="M5" s="70" t="s" ph="1">
        <v>657</v>
      </c>
      <c r="N5" s="70" t="s" ph="1">
        <v>658</v>
      </c>
      <c r="O5" s="70" t="s" ph="1">
        <v>660</v>
      </c>
      <c r="P5" s="70" t="s" ph="1">
        <v>662</v>
      </c>
      <c r="Q5" s="70" t="s" ph="1">
        <v>656</v>
      </c>
      <c r="R5" s="70" t="s" ph="1">
        <v>656</v>
      </c>
      <c r="S5" s="70" t="s" ph="1">
        <v>656</v>
      </c>
      <c r="T5" s="70" t="s" ph="1">
        <v>656</v>
      </c>
      <c r="U5" s="70" t="s" ph="1">
        <v>656</v>
      </c>
      <c r="V5" s="70" t="s" ph="1">
        <v>656</v>
      </c>
      <c r="W5" s="70" t="s" ph="1">
        <v>656</v>
      </c>
      <c r="X5" s="70" t="s" ph="1">
        <v>656</v>
      </c>
      <c r="Y5" s="70" t="s" ph="1">
        <v>656</v>
      </c>
      <c r="Z5" s="70" t="s" ph="1">
        <v>663</v>
      </c>
      <c r="AA5" s="70" t="s" ph="1">
        <v>62</v>
      </c>
      <c r="AB5" s="70" t="s" ph="1">
        <v>62</v>
      </c>
      <c r="AC5" s="70" t="s" ph="1">
        <v>664</v>
      </c>
      <c r="AD5" s="70" t="s" ph="1">
        <v>83</v>
      </c>
      <c r="AE5" s="70" t="s" ph="1">
        <v>654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07" ph="1">
        <v>0.33333333333333331</v>
      </c>
      <c r="C6" s="164" t="s" ph="1">
        <v>208</v>
      </c>
      <c r="D6" s="71">
        <v>134</v>
      </c>
      <c r="E6" s="71">
        <v>0</v>
      </c>
      <c r="F6" s="71">
        <v>2465</v>
      </c>
      <c r="G6" s="71">
        <v>4069</v>
      </c>
      <c r="H6" s="71">
        <v>6960</v>
      </c>
      <c r="I6" s="71">
        <v>39.11</v>
      </c>
      <c r="J6" s="71">
        <v>7.81</v>
      </c>
      <c r="K6" s="71">
        <v>40.71</v>
      </c>
      <c r="L6" s="71">
        <v>45.31</v>
      </c>
      <c r="M6" s="71">
        <v>4518</v>
      </c>
      <c r="N6" s="71">
        <v>5346</v>
      </c>
      <c r="O6" s="71">
        <v>5074</v>
      </c>
      <c r="P6" s="71">
        <v>5641</v>
      </c>
      <c r="Q6" s="71">
        <v>7020</v>
      </c>
      <c r="R6" s="71">
        <v>918</v>
      </c>
      <c r="S6" s="71">
        <v>0</v>
      </c>
      <c r="T6" s="71">
        <v>0</v>
      </c>
      <c r="U6" s="71">
        <v>0</v>
      </c>
      <c r="V6" s="71">
        <v>0</v>
      </c>
      <c r="W6" s="71">
        <v>6988</v>
      </c>
      <c r="X6" s="71">
        <v>6828</v>
      </c>
      <c r="Y6" s="71">
        <v>6613</v>
      </c>
      <c r="Z6" s="71">
        <v>2630</v>
      </c>
      <c r="AA6" s="71">
        <v>1626</v>
      </c>
      <c r="AB6" s="71">
        <v>2634</v>
      </c>
      <c r="AC6" s="71">
        <v>8730</v>
      </c>
      <c r="AD6" s="71">
        <v>265</v>
      </c>
      <c r="AE6" s="71">
        <v>1912</v>
      </c>
    </row>
    <row r="7" spans="1:99" s="72" customFormat="1" ht="22.5" ph="1">
      <c r="B7" s="207" ph="1"/>
      <c r="C7" s="68" t="s" ph="1">
        <v>209</v>
      </c>
      <c r="D7" s="73" ph="1">
        <f>D6*33.183*LOOKUP(D8,密度!$A$2:$A$50,密度!$Q$2:$Q$50)</f>
        <v>4244.3831098800001</v>
      </c>
      <c r="E7" s="73" ph="1">
        <f>E6*51.53*LOOKUP(E8,密度!$A$2:$A$50,密度!$I$2:$I$50)</f>
        <v>0</v>
      </c>
      <c r="F7" s="73" ph="1">
        <f>F6*33.183*LOOKUP(F8,密度!$A$2:$A$50,密度!$C$2:$C$50)</f>
        <v>91161.747877500005</v>
      </c>
      <c r="G7" s="73" ph="1">
        <f xml:space="preserve"> (G6+2)*51.53*LOOKUP(G8,密度!$A$2:$A$50,密度!$B$2:$B$50)</f>
        <v>165494.36120700001</v>
      </c>
      <c r="H7" s="73" ph="1">
        <f>(H6)*51.53*LOOKUP(H8,密度!$A$2:$A$50,密度!$B$2:$B$50)</f>
        <v>284444.36327999999</v>
      </c>
      <c r="I7" s="73" ph="1">
        <f>I6*290.8*1.0267</f>
        <v>11676.8521196</v>
      </c>
      <c r="J7" s="73" ph="1">
        <f>J6*290.8*0.7892</f>
        <v>1792.3900016000002</v>
      </c>
      <c r="K7" s="73" ph="1">
        <f>K6*290.8*1.1126</f>
        <v>13171.479496800001</v>
      </c>
      <c r="L7" s="73" ph="1">
        <f>L6*290.8*0.777</f>
        <v>10237.866996000001</v>
      </c>
      <c r="M7" s="73" ph="1">
        <f>M6*33.183*LOOKUP(M8,密度!$A$2:$A$50,密度!$D$2:$D$50)</f>
        <v>155257.97426640001</v>
      </c>
      <c r="N7" s="73" ph="1">
        <f>N6*33.183*LOOKUP(N8,密度!$A$2:$A$50,密度!$E$2:$E$50)</f>
        <v>140781.71796479999</v>
      </c>
      <c r="O7" s="73" ph="1">
        <f>O6*20.428*LOOKUP(O8,密度!$A$2:$A$50,密度!$C$2:$C$50)</f>
        <v>115385.0412704</v>
      </c>
      <c r="P7" s="73" ph="1">
        <f>P6*51.53*LOOKUP(P8,密度!$A$2:$A$50,密度!$B$2:$B$50)</f>
        <v>229318.02789699999</v>
      </c>
      <c r="Q7" s="73" ph="1">
        <f>Q6*1.5*1.5*3.1416*LOOKUP(W8,密度!$A$2:$A$50,密度!$L$2:$L$50)</f>
        <v>46942.007111999999</v>
      </c>
      <c r="R7" s="73" ph="1">
        <f>R6*1.5*1.5*3.1416*LOOKUP(R8,密度!$A$2:$A$50,密度!$L$2:$L$50)</f>
        <v>6093.1473372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46728.026452799997</v>
      </c>
      <c r="X7" s="73" ph="1">
        <f>X6*1.5*1.5*3.1416*LOOKUP(X8,密度!$A$2:$A$50,密度!$L$2:$L$50)</f>
        <v>46189.031565599995</v>
      </c>
      <c r="Y7" s="73" ph="1">
        <f>Y6*1.5*1.5*3.1416*LOOKUP(Y8,密度!$A$2:$A$50,密度!$L$2:$L$50)</f>
        <v>44313.929906400001</v>
      </c>
      <c r="Z7" s="73" ph="1">
        <f>Z6*33.183*LOOKUP(Z8,密度!$A$2:$A$50,密度!$L$2:$L$50)</f>
        <v>82645.911629999988</v>
      </c>
      <c r="AA7" s="73" ph="1">
        <f>AA6*33.183*LOOKUP(AA8,密度!$A$2:$A$50,密度!$D$2:$D$50)</f>
        <v>55876.3758648</v>
      </c>
      <c r="AB7" s="73" ph="1">
        <f>AB6*20.428*LOOKUP(AB8,密度!$A$2:$A$50,密度!$D$2:$D$50)</f>
        <v>56201.779164</v>
      </c>
      <c r="AC7" s="73" ph="1">
        <f>AC6*51.53*LOOKUP(AC8,密度!$A$2:$A$50,密度!$Q$2:$Q$50)</f>
        <v>429406.40532600007</v>
      </c>
      <c r="AD7" s="73" ph="1">
        <f>AD6*20.428*LOOKUP(AD8,密度!$A$2:$A$50,密度!$V$2:$V$50)</f>
        <v>5218.5368799999997</v>
      </c>
      <c r="AE7" s="73" ph="1">
        <f>AE6*20.428</f>
        <v>39058.336000000003</v>
      </c>
    </row>
    <row r="8" spans="1:99" ph="1">
      <c r="B8" s="207" ph="1"/>
      <c r="C8" s="68" t="s" ph="1">
        <v>210</v>
      </c>
      <c r="D8" s="74">
        <v>15</v>
      </c>
      <c r="E8" s="74">
        <v>15</v>
      </c>
      <c r="F8" s="74">
        <v>17</v>
      </c>
      <c r="G8" s="74">
        <v>14</v>
      </c>
      <c r="H8" s="74">
        <v>9</v>
      </c>
      <c r="I8" s="74">
        <v>25</v>
      </c>
      <c r="J8" s="74">
        <v>25</v>
      </c>
      <c r="K8" s="74">
        <v>25</v>
      </c>
      <c r="L8" s="74">
        <v>25</v>
      </c>
      <c r="M8" s="74">
        <v>15</v>
      </c>
      <c r="N8" s="74">
        <v>16</v>
      </c>
      <c r="O8" s="74">
        <v>19</v>
      </c>
      <c r="P8" s="74">
        <v>14</v>
      </c>
      <c r="Q8" s="74">
        <v>14</v>
      </c>
      <c r="R8" s="74">
        <v>23</v>
      </c>
      <c r="S8" s="74">
        <v>9</v>
      </c>
      <c r="T8" s="74">
        <v>11</v>
      </c>
      <c r="U8" s="74">
        <v>15</v>
      </c>
      <c r="V8" s="74">
        <v>20</v>
      </c>
      <c r="W8" s="74">
        <v>16</v>
      </c>
      <c r="X8" s="74">
        <v>5</v>
      </c>
      <c r="Y8" s="74">
        <v>14</v>
      </c>
      <c r="Z8" s="74">
        <v>15</v>
      </c>
      <c r="AA8" s="74">
        <v>15</v>
      </c>
      <c r="AB8" s="74">
        <v>5</v>
      </c>
      <c r="AC8" s="74">
        <v>13</v>
      </c>
      <c r="AD8" s="74">
        <v>12</v>
      </c>
      <c r="AE8" s="74">
        <v>14</v>
      </c>
    </row>
    <row r="9" spans="1:99" ph="1">
      <c r="B9" s="207" ph="1">
        <v>0.66666666666666663</v>
      </c>
      <c r="C9" s="164" t="s" ph="1">
        <v>211</v>
      </c>
      <c r="D9" s="71">
        <v>133</v>
      </c>
      <c r="E9" s="71">
        <v>0</v>
      </c>
      <c r="F9" s="71">
        <v>3070</v>
      </c>
      <c r="G9" s="71">
        <v>4069</v>
      </c>
      <c r="H9" s="71">
        <v>6659</v>
      </c>
      <c r="I9" s="71">
        <v>27.11</v>
      </c>
      <c r="J9" s="71">
        <v>7.81</v>
      </c>
      <c r="K9" s="71">
        <v>12.71</v>
      </c>
      <c r="L9" s="71">
        <v>14.21</v>
      </c>
      <c r="M9" s="71">
        <v>4519</v>
      </c>
      <c r="N9" s="71">
        <v>5311</v>
      </c>
      <c r="O9" s="71">
        <v>4828</v>
      </c>
      <c r="P9" s="71">
        <v>5342</v>
      </c>
      <c r="Q9" s="71">
        <v>7024</v>
      </c>
      <c r="R9" s="71">
        <v>5993</v>
      </c>
      <c r="S9" s="71">
        <v>0</v>
      </c>
      <c r="T9" s="71">
        <v>0</v>
      </c>
      <c r="U9" s="71">
        <v>0</v>
      </c>
      <c r="V9" s="71">
        <v>0</v>
      </c>
      <c r="W9" s="71">
        <v>5198</v>
      </c>
      <c r="X9" s="71">
        <v>5831</v>
      </c>
      <c r="Y9" s="71">
        <v>6617</v>
      </c>
      <c r="Z9" s="71">
        <v>2806</v>
      </c>
      <c r="AA9" s="71">
        <v>1626</v>
      </c>
      <c r="AB9" s="71">
        <v>2534</v>
      </c>
      <c r="AC9" s="71">
        <v>8865</v>
      </c>
      <c r="AD9" s="71">
        <v>26</v>
      </c>
      <c r="AE9" s="71">
        <v>2252</v>
      </c>
    </row>
    <row r="10" spans="1:99" s="72" customFormat="1" ht="22.5" ph="1">
      <c r="B10" s="207" ph="1"/>
      <c r="C10" s="164" t="s" ph="1">
        <v>209</v>
      </c>
      <c r="D10" s="73" ph="1">
        <f>D9*33.183*LOOKUP(D11,密度!$A$2:$A$50,密度!$Q$2:$Q$50)</f>
        <v>4205.0293991999997</v>
      </c>
      <c r="E10" s="73" ph="1">
        <f>E9*51.53*LOOKUP(E11,密度!$A$2:$A$50,密度!$I$2:$I$50)</f>
        <v>0</v>
      </c>
      <c r="F10" s="73" ph="1">
        <f>F9*33.183*LOOKUP(F11,密度!$A$2:$A$50,密度!$C$2:$C$50)</f>
        <v>113536.132245</v>
      </c>
      <c r="G10" s="73" ph="1">
        <f xml:space="preserve"> (G9+2)*51.53*LOOKUP(G11,密度!$A$2:$A$50,密度!$B$2:$B$50)</f>
        <v>165305.56044</v>
      </c>
      <c r="H10" s="73" ph="1">
        <f>(H9)*51.53*LOOKUP(H11,密度!$A$2:$A$50,密度!$B$2:$B$50)</f>
        <v>270118.44614400005</v>
      </c>
      <c r="I10" s="73" ph="1">
        <f>I9*290.8*1.0267</f>
        <v>8094.0797995999992</v>
      </c>
      <c r="J10" s="73" ph="1">
        <f>J9*290.8*0.7892</f>
        <v>1792.3900016000002</v>
      </c>
      <c r="K10" s="73" ph="1">
        <f>K9*290.8*1.1126</f>
        <v>4112.2452568000008</v>
      </c>
      <c r="L10" s="73" ph="1">
        <f>L9*290.8*0.777</f>
        <v>3210.7722360000002</v>
      </c>
      <c r="M10" s="73" ph="1">
        <f>M9*33.183*LOOKUP(M11,密度!$A$2:$A$50,密度!$D$2:$D$50)</f>
        <v>155172.37539960002</v>
      </c>
      <c r="N10" s="73" ph="1">
        <f>N9*33.183*LOOKUP(N11,密度!$A$2:$A$50,密度!$E$2:$E$50)</f>
        <v>139860.02695679999</v>
      </c>
      <c r="O10" s="73" ph="1">
        <f>O9*20.428*LOOKUP(O11,密度!$A$2:$A$50,密度!$C$2:$C$50)</f>
        <v>109662.67636960001</v>
      </c>
      <c r="P10" s="73" ph="1">
        <f>P9*51.53*LOOKUP(P11,密度!$A$2:$A$50,密度!$B$2:$B$50)</f>
        <v>216915.32888000002</v>
      </c>
      <c r="Q10" s="73" ph="1">
        <f>Q9*1.5*1.5*3.1416*LOOKUP(W11,密度!$A$2:$A$50,密度!$L$2:$L$50)</f>
        <v>46968.754694399999</v>
      </c>
      <c r="R10" s="73" ph="1">
        <f>R9*1.5*1.5*3.1416*LOOKUP(R11,密度!$A$2:$A$50,密度!$L$2:$L$50)</f>
        <v>39735.668372399996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34758.483328799994</v>
      </c>
      <c r="X10" s="73" ph="1">
        <f>X9*1.5*1.5*3.1416*LOOKUP(X11,密度!$A$2:$A$50,密度!$L$2:$L$50)</f>
        <v>39321.024296399999</v>
      </c>
      <c r="Y10" s="73" ph="1">
        <f>Y9*1.5*1.5*3.1416*LOOKUP(Y11,密度!$A$2:$A$50,密度!$L$2:$L$50)</f>
        <v>44247.188185200001</v>
      </c>
      <c r="Z10" s="73" ph="1">
        <f>Z9*33.183*LOOKUP(Z11,密度!$A$2:$A$50,密度!$L$2:$L$50)</f>
        <v>88455.923099999985</v>
      </c>
      <c r="AA10" s="73" ph="1">
        <f>AA9*33.183*LOOKUP(AA11,密度!$A$2:$A$50,密度!$D$2:$D$50)</f>
        <v>55784.651416200002</v>
      </c>
      <c r="AB10" s="73" ph="1">
        <f>AB9*20.428*LOOKUP(AB11,密度!$A$2:$A$50,密度!$D$2:$D$50)</f>
        <v>54021.486467200011</v>
      </c>
      <c r="AC10" s="73" ph="1">
        <f>AC9*51.53*LOOKUP(AC11,密度!$A$2:$A$50,密度!$Q$2:$Q$50)</f>
        <v>436046.71056300006</v>
      </c>
      <c r="AD10" s="73" ph="1">
        <f>AD9*20.428*LOOKUP(AD11,密度!$A$2:$A$50,密度!$V$2:$V$50)</f>
        <v>512.00739199999998</v>
      </c>
      <c r="AE10" s="73" ph="1">
        <f>AE9*20.428</f>
        <v>46003.856</v>
      </c>
    </row>
    <row r="11" spans="1:99" ph="1">
      <c r="A11" s="64" t="s" ph="1">
        <v>193</v>
      </c>
      <c r="B11" s="207" ph="1"/>
      <c r="C11" s="164" t="s" ph="1">
        <v>210</v>
      </c>
      <c r="D11" s="74">
        <v>17</v>
      </c>
      <c r="E11" s="74">
        <v>16</v>
      </c>
      <c r="F11" s="74">
        <v>17</v>
      </c>
      <c r="G11" s="74">
        <v>15</v>
      </c>
      <c r="H11" s="74">
        <v>16</v>
      </c>
      <c r="I11" s="74">
        <v>25</v>
      </c>
      <c r="J11" s="74">
        <v>25</v>
      </c>
      <c r="K11" s="74">
        <v>25</v>
      </c>
      <c r="L11" s="74">
        <v>25</v>
      </c>
      <c r="M11" s="74">
        <v>16</v>
      </c>
      <c r="N11" s="74">
        <v>16</v>
      </c>
      <c r="O11" s="74">
        <v>21</v>
      </c>
      <c r="P11" s="74">
        <v>15</v>
      </c>
      <c r="Q11" s="74">
        <v>15</v>
      </c>
      <c r="R11" s="74">
        <v>24</v>
      </c>
      <c r="S11" s="74">
        <v>23</v>
      </c>
      <c r="T11" s="74">
        <v>14</v>
      </c>
      <c r="U11" s="74">
        <v>17</v>
      </c>
      <c r="V11" s="74">
        <v>12</v>
      </c>
      <c r="W11" s="74">
        <v>16</v>
      </c>
      <c r="X11" s="74">
        <v>8</v>
      </c>
      <c r="Y11" s="74">
        <v>16</v>
      </c>
      <c r="Z11" s="74">
        <v>12</v>
      </c>
      <c r="AA11" s="74">
        <v>17</v>
      </c>
      <c r="AB11" s="74">
        <v>6</v>
      </c>
      <c r="AC11" s="74">
        <v>15</v>
      </c>
      <c r="AD11" s="74">
        <v>16</v>
      </c>
      <c r="AE11" s="74">
        <v>15</v>
      </c>
    </row>
    <row r="12" spans="1:99" ht="9.9499999999999993" customHeight="1" ph="1"/>
    <row r="13" spans="1:99" s="72" customFormat="1" ht="29.25" customHeight="1" ph="1">
      <c r="B13" s="215" t="s" ph="1">
        <v>37</v>
      </c>
      <c r="C13" s="164" t="s" ph="1">
        <v>207</v>
      </c>
      <c r="D13" s="76" t="s" ph="1">
        <v>53</v>
      </c>
      <c r="E13" s="76" t="s" ph="1">
        <v>54</v>
      </c>
      <c r="F13" s="76" t="s" ph="1">
        <v>66</v>
      </c>
      <c r="G13" s="76" t="s" ph="1">
        <v>67</v>
      </c>
      <c r="H13" s="76" t="s" ph="1">
        <v>152</v>
      </c>
      <c r="I13" s="76" t="s" ph="1">
        <v>68</v>
      </c>
      <c r="J13" s="76" t="s" ph="1">
        <v>153</v>
      </c>
      <c r="K13" s="76" t="s" ph="1">
        <v>63</v>
      </c>
      <c r="L13" s="76" t="s" ph="1">
        <v>69</v>
      </c>
      <c r="M13" s="76" t="s" ph="1">
        <v>70</v>
      </c>
      <c r="N13" s="76" t="s" ph="1">
        <v>154</v>
      </c>
      <c r="O13" s="76" t="s" ph="1">
        <v>64</v>
      </c>
      <c r="P13" s="76" t="s" ph="1">
        <v>71</v>
      </c>
      <c r="Q13" s="76" t="s" ph="1">
        <v>72</v>
      </c>
      <c r="R13" s="76" t="s" ph="1">
        <v>73</v>
      </c>
      <c r="S13" s="76" t="s" ph="1">
        <v>74</v>
      </c>
      <c r="T13" s="76" t="s" ph="1">
        <v>75</v>
      </c>
      <c r="U13" s="76" t="s" ph="1">
        <v>76</v>
      </c>
      <c r="V13" s="76" t="s" ph="1">
        <v>155</v>
      </c>
      <c r="W13" s="76" t="s" ph="1">
        <v>156</v>
      </c>
      <c r="X13" s="76" t="s" ph="1">
        <v>157</v>
      </c>
      <c r="Y13" s="105" t="s" ph="1">
        <v>77</v>
      </c>
      <c r="Z13" s="76" t="s" ph="1">
        <v>86</v>
      </c>
      <c r="AA13" s="76" t="s" ph="1">
        <v>158</v>
      </c>
      <c r="AB13" s="76" t="s" ph="1">
        <v>159</v>
      </c>
      <c r="AC13" s="76" t="s" ph="1">
        <v>160</v>
      </c>
      <c r="AD13" s="76" t="s" ph="1">
        <v>161</v>
      </c>
      <c r="AE13" s="76" t="s" ph="1">
        <v>162</v>
      </c>
      <c r="AG13" s="72" t="s" ph="1">
        <v>366</v>
      </c>
      <c r="AH13" s="72" t="s" ph="1">
        <v>229</v>
      </c>
      <c r="AI13" s="72" t="s" ph="1">
        <v>230</v>
      </c>
      <c r="AJ13" s="72" t="s" ph="1">
        <v>231</v>
      </c>
      <c r="AK13" s="72" t="s" ph="1">
        <v>232</v>
      </c>
      <c r="AL13" s="72" t="s" ph="1">
        <v>233</v>
      </c>
      <c r="AM13" s="72" t="s" ph="1">
        <v>234</v>
      </c>
      <c r="AN13" s="72" t="s" ph="1">
        <v>235</v>
      </c>
      <c r="AO13" s="72" t="s" ph="1">
        <v>236</v>
      </c>
      <c r="AP13" s="72" t="s" ph="1">
        <v>237</v>
      </c>
      <c r="AQ13" s="72" t="s" ph="1">
        <v>238</v>
      </c>
      <c r="AR13" s="72" t="s" ph="1">
        <v>239</v>
      </c>
      <c r="AS13" s="72" t="s" ph="1">
        <v>240</v>
      </c>
      <c r="AT13" s="72" t="s" ph="1">
        <v>241</v>
      </c>
      <c r="AU13" s="72" t="s" ph="1">
        <v>242</v>
      </c>
      <c r="AV13" s="72" t="s" ph="1">
        <v>243</v>
      </c>
      <c r="AW13" s="72" t="s" ph="1">
        <v>244</v>
      </c>
      <c r="AX13" s="72" t="s" ph="1">
        <v>245</v>
      </c>
      <c r="AY13" s="72" t="s" ph="1">
        <v>367</v>
      </c>
      <c r="AZ13" s="72" t="s" ph="1">
        <v>246</v>
      </c>
      <c r="BA13" s="72" t="s" ph="1">
        <v>247</v>
      </c>
      <c r="BB13" s="72" t="s" ph="1">
        <v>632</v>
      </c>
      <c r="BC13" s="72" t="s" ph="1">
        <v>248</v>
      </c>
      <c r="BD13" s="72" t="s" ph="1">
        <v>368</v>
      </c>
      <c r="BE13" s="72" t="s" ph="1">
        <v>369</v>
      </c>
      <c r="BF13" s="72" t="s" ph="1">
        <v>370</v>
      </c>
      <c r="BG13" s="72" t="s" ph="1">
        <v>371</v>
      </c>
      <c r="BH13" s="72" t="s" ph="1">
        <v>372</v>
      </c>
    </row>
    <row r="14" spans="1:99" s="72" customFormat="1" ht="24" ph="1">
      <c r="B14" s="216" ph="1"/>
      <c r="C14" s="67" t="s" ph="1">
        <v>36</v>
      </c>
      <c r="D14" s="77" t="s" ph="1">
        <v>665</v>
      </c>
      <c r="E14" s="77" t="s" ph="1">
        <v>665</v>
      </c>
      <c r="F14" s="142" t="s" ph="1">
        <v>651</v>
      </c>
      <c r="G14" s="77" t="s" ph="1">
        <v>667</v>
      </c>
      <c r="H14" s="77" t="s" ph="1">
        <v>668</v>
      </c>
      <c r="I14" s="167" t="s" ph="1">
        <v>669</v>
      </c>
      <c r="J14" s="77" t="s" ph="1">
        <v>670</v>
      </c>
      <c r="K14" s="77" t="s" ph="1">
        <v>223</v>
      </c>
      <c r="L14" s="77" t="s" ph="1">
        <v>42</v>
      </c>
      <c r="M14" s="104" t="s" ph="1">
        <v>671</v>
      </c>
      <c r="N14" s="104" t="s" ph="1">
        <v>672</v>
      </c>
      <c r="O14" s="104" t="s" ph="1">
        <v>670</v>
      </c>
      <c r="P14" s="77" t="s" ph="1">
        <v>673</v>
      </c>
      <c r="Q14" s="77" t="s" ph="1">
        <v>673</v>
      </c>
      <c r="R14" s="88" t="s" ph="1">
        <v>674</v>
      </c>
      <c r="S14" s="77" t="s" ph="1">
        <v>81</v>
      </c>
      <c r="T14" s="77" t="s" ph="1">
        <v>676</v>
      </c>
      <c r="U14" s="77" t="s" ph="1">
        <v>652</v>
      </c>
      <c r="V14" s="77" t="s" ph="1">
        <v>677</v>
      </c>
      <c r="W14" s="77" t="s" ph="1">
        <v>673</v>
      </c>
      <c r="X14" s="77" t="s" ph="1">
        <v>678</v>
      </c>
      <c r="Y14" s="141" t="s" ph="1">
        <v>0</v>
      </c>
      <c r="Z14" s="77" t="s" ph="1">
        <v>62</v>
      </c>
      <c r="AA14" s="77" t="s" ph="1">
        <v>662</v>
      </c>
      <c r="AB14" s="77" t="s" ph="1">
        <v>648</v>
      </c>
      <c r="AC14" s="77" t="s" ph="1">
        <v>648</v>
      </c>
      <c r="AD14" s="77" t="s" ph="1">
        <v>661</v>
      </c>
      <c r="AE14" s="77" t="s" ph="1">
        <v>661</v>
      </c>
      <c r="AG14" s="72" t="s" ph="1">
        <v>249</v>
      </c>
      <c r="AI14" s="72" t="s" ph="1">
        <v>250</v>
      </c>
      <c r="AJ14" s="72" t="s" ph="1">
        <v>373</v>
      </c>
      <c r="AK14" s="72" t="s" ph="1">
        <v>251</v>
      </c>
      <c r="AM14" s="72" t="s" ph="1">
        <v>253</v>
      </c>
      <c r="AN14" s="72" t="s" ph="1">
        <v>251</v>
      </c>
      <c r="AO14" s="72" t="s" ph="1">
        <v>252</v>
      </c>
      <c r="AP14" s="72" t="s" ph="1">
        <v>253</v>
      </c>
      <c r="AQ14" s="72" t="s" ph="1">
        <v>251</v>
      </c>
      <c r="AR14" s="72" t="s" ph="1">
        <v>252</v>
      </c>
      <c r="AS14" s="72" t="s" ph="1">
        <v>253</v>
      </c>
      <c r="AT14" s="72" t="s" ph="1">
        <v>251</v>
      </c>
      <c r="AU14" s="72" t="s" ph="1">
        <v>252</v>
      </c>
      <c r="AV14" s="72" t="s" ph="1">
        <v>253</v>
      </c>
      <c r="AW14" s="72" t="s" ph="1">
        <v>251</v>
      </c>
      <c r="AX14" s="72" t="s" ph="1">
        <v>252</v>
      </c>
      <c r="AY14" s="72" t="s" ph="1">
        <v>253</v>
      </c>
      <c r="AZ14" s="72" t="s" ph="1">
        <v>252</v>
      </c>
    </row>
    <row r="15" spans="1:99" ph="1">
      <c r="B15" s="217" ph="1">
        <v>0.33333333333333331</v>
      </c>
      <c r="C15" s="164" t="s" ph="1">
        <v>208</v>
      </c>
      <c r="D15" s="78">
        <v>0</v>
      </c>
      <c r="E15" s="78">
        <v>1157</v>
      </c>
      <c r="F15" s="78">
        <v>2636</v>
      </c>
      <c r="G15" s="78">
        <v>3248</v>
      </c>
      <c r="H15" s="78">
        <v>2863</v>
      </c>
      <c r="I15" s="78">
        <v>9</v>
      </c>
      <c r="J15" s="78">
        <v>4711</v>
      </c>
      <c r="K15" s="78">
        <v>1593</v>
      </c>
      <c r="L15" s="78">
        <v>6271</v>
      </c>
      <c r="M15" s="78">
        <v>3086</v>
      </c>
      <c r="N15" s="78">
        <v>3096</v>
      </c>
      <c r="O15" s="78">
        <v>233</v>
      </c>
      <c r="P15" s="78">
        <v>5624</v>
      </c>
      <c r="Q15" s="78">
        <v>6330</v>
      </c>
      <c r="R15" s="78">
        <v>3483</v>
      </c>
      <c r="S15" s="78">
        <v>5605</v>
      </c>
      <c r="T15" s="78">
        <v>1454</v>
      </c>
      <c r="U15" s="78">
        <v>5585</v>
      </c>
      <c r="V15" s="78">
        <v>-1632</v>
      </c>
      <c r="W15" s="78">
        <v>-595</v>
      </c>
      <c r="X15" s="78">
        <v>623</v>
      </c>
      <c r="Y15" s="106">
        <v>-9900</v>
      </c>
      <c r="Z15" s="78">
        <v>0</v>
      </c>
      <c r="AA15" s="78">
        <v>2504</v>
      </c>
      <c r="AB15" s="78" ph="1">
        <v>5147</v>
      </c>
      <c r="AC15" s="78" ph="1">
        <v>6490</v>
      </c>
      <c r="AD15" s="78">
        <v>6.41</v>
      </c>
      <c r="AE15" s="78">
        <v>84.81</v>
      </c>
      <c r="AG15" s="64" t="s" ph="1">
        <v>255</v>
      </c>
      <c r="AH15" s="64" ph="1">
        <v>1</v>
      </c>
      <c r="AI15" s="64" t="s" ph="1">
        <v>374</v>
      </c>
      <c r="AK15" s="64" t="s" ph="1">
        <v>628</v>
      </c>
      <c r="AM15" s="64" t="s" ph="1">
        <v>376</v>
      </c>
      <c r="AZ15" s="64" t="s" ph="1">
        <v>257</v>
      </c>
      <c r="BA15" s="64" ph="1">
        <v>0</v>
      </c>
    </row>
    <row r="16" spans="1:99" s="72" customFormat="1" ht="22.5" ph="1">
      <c r="B16" s="218" ph="1"/>
      <c r="C16" s="164" t="s" ph="1">
        <v>209</v>
      </c>
      <c r="D16" s="73" ph="1">
        <f>D15*7.0686*LOOKUP(D17,密度!$A$2:$A$50,密度!$L$2:$L$50)</f>
        <v>0</v>
      </c>
      <c r="E16" s="73" ph="1">
        <f>E15*7.0686*LOOKUP(E17,密度!$A$2:$A$50,密度!$L$2:$L$50)</f>
        <v>7720.3814688000002</v>
      </c>
      <c r="F16" s="73" ph="1">
        <f>F15*9.0746*LOOKUP(F17,密度!$A$2:$A$50,密度!$L$2:$L$50)</f>
        <v>22652.851383199999</v>
      </c>
      <c r="G16" s="73" ph="1">
        <f>G15*9.0746*LOOKUP(G17,密度!$A$2:$A$50,密度!$B$2:$B$50)</f>
        <v>23225.749030400002</v>
      </c>
      <c r="H16" s="73" ph="1">
        <f>H15*9.0746*LOOKUP(H17,密度!$A$2:$A$50,密度!$L$2:$L$50)</f>
        <v>24733.5119696</v>
      </c>
      <c r="I16" s="73" ph="1">
        <f>I15*9.0746*LOOKUP(I17,密度!$A$2:$A$50,密度!$U$2:$U$50)</f>
        <v>83.95819920000001</v>
      </c>
      <c r="J16" s="73" ph="1">
        <f>J15*9.0746*LOOKUP(J17,密度!$A$2:$A$50,密度!$L$2:$L$50)</f>
        <v>40356.415926399997</v>
      </c>
      <c r="K16" s="73" ph="1">
        <f>K15*9.0746*LOOKUP(K17,密度!$A$2:$A$50,密度!$C$2:$C$50)</f>
        <v>16129.82381724</v>
      </c>
      <c r="L16" s="73" ph="1">
        <f>L15*9.0746*LOOKUP(L17,密度!$A$2:$A$50,密度!$E$2:$E$50)</f>
        <v>45354.732830200002</v>
      </c>
      <c r="M16" s="73" ph="1">
        <f>M15*9.0746*LOOKUP(M17,密度!$A$2:$A$50,密度!$M$2:$M$50)</f>
        <v>24652.110992679998</v>
      </c>
      <c r="N16" s="73" ph="1">
        <f>N15*9.0746*LOOKUP(N17,密度!$A$2:$A$50,密度!$M$2:$M$50)</f>
        <v>24731.99469648</v>
      </c>
      <c r="O16" s="73" ph="1">
        <f>O15*9.0746*LOOKUP(O17,密度!$A$2:$A$50,密度!$G$2:$G$50)</f>
        <v>2048.8359642</v>
      </c>
      <c r="P16" s="73" ph="1">
        <f ca="1">P15*9.0746*LOOKUP(P17,密度!$A$2:$A$51,密度!$Q$2:$Q$50)</f>
        <v>48586.354336304001</v>
      </c>
      <c r="Q16" s="73" ph="1">
        <f>Q15*9.0746*LOOKUP(Q17,密度!$A$2:$A$50,密度!$Q$2:$Q$50)</f>
        <v>54685.565958179999</v>
      </c>
      <c r="R16" s="73" ph="1">
        <f>MAX(R15*9.0746*LOOKUP(R17,密度!$A$2:$A$50,密度!$B$2:$B$50),0)</f>
        <v>24906.183458400003</v>
      </c>
      <c r="S16" s="73" ph="1">
        <f>S15*9.0746*LOOKUP(S17,密度!$A$2:$A$50,密度!$Q$2:$Q$50)</f>
        <v>48550.894973820003</v>
      </c>
      <c r="T16" s="73" ph="1">
        <f>T15*9.0746*LOOKUP(T17,密度!$A$2:$A$50,密度!$O$2:$O$50)</f>
        <v>12323.633485600001</v>
      </c>
      <c r="U16" s="73" ph="1">
        <f>U15*9.0746*LOOKUP(U17,密度!$A$2:$A$50,密度!$H$2:$H$50)</f>
        <v>46915.995073700004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206.8278181200003</v>
      </c>
      <c r="X16" s="73" ph="1">
        <f>MAX(5600*LOOKUP(X17,密度!$A$2:$A$50,密度!$I$2:$I$50)+X15*9.0476*LOOKUP(X17,密度!$A$2:$A$50,密度!$I$2:$I$50),0)</f>
        <v>11623.19572512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17905.5651392</v>
      </c>
      <c r="AB16" s="73" ph="1">
        <f>AB15*9.0746*LOOKUP(AB17,密度!$A$2:$A$50,密度!$L$2:$L$50)</f>
        <v>44184.790025200004</v>
      </c>
      <c r="AC16" s="73" ph="1">
        <f>AC15*9.0746*LOOKUP(AC17,密度!$A$2:$A$50,密度!$L$2:$L$50)</f>
        <v>55890.552146000002</v>
      </c>
      <c r="AD16" s="73" ph="1">
        <f>AD15*268.68*LOOKUP(AD17,密度!$A$2:$A$50,密度!B2:B50)+IF(AD15&lt;=0,0,1566*LOOKUP(AD17,密度!$A$2:$A$50,密度!B2:B50))</f>
        <v>2563.51096848</v>
      </c>
      <c r="AE16" s="73" ph="1">
        <f>AE15*268.68*LOOKUP(AE17,密度!$A$2:$A$50,密度!B2:B50)+IF(AE15&lt;=0,0,1566*LOOKUP(AE17,密度!$A$2:$A$50,密度!B2:B50))</f>
        <v>18985.404523679998</v>
      </c>
      <c r="AH16" s="72" ph="1">
        <v>2</v>
      </c>
      <c r="AI16" s="72" t="s" ph="1">
        <v>378</v>
      </c>
      <c r="AZ16" s="72" t="s" ph="1">
        <v>257</v>
      </c>
      <c r="BA16" s="72" ph="1">
        <v>0</v>
      </c>
    </row>
    <row r="17" spans="1:57" ph="1">
      <c r="A17" s="64" t="s" ph="1">
        <v>85</v>
      </c>
      <c r="B17" s="219" ph="1"/>
      <c r="C17" s="79" t="s" ph="1">
        <v>210</v>
      </c>
      <c r="D17" s="74">
        <v>18</v>
      </c>
      <c r="E17" s="74">
        <v>18</v>
      </c>
      <c r="F17" s="74">
        <v>15</v>
      </c>
      <c r="G17" s="74">
        <v>15</v>
      </c>
      <c r="H17" s="74">
        <v>10</v>
      </c>
      <c r="I17" s="74">
        <v>12</v>
      </c>
      <c r="J17" s="74">
        <v>18</v>
      </c>
      <c r="K17" s="74">
        <v>15</v>
      </c>
      <c r="L17" s="74">
        <v>14</v>
      </c>
      <c r="M17" s="74">
        <v>15</v>
      </c>
      <c r="N17" s="74">
        <v>15</v>
      </c>
      <c r="O17" s="74">
        <v>17</v>
      </c>
      <c r="P17" s="74">
        <v>18</v>
      </c>
      <c r="Q17" s="74">
        <v>18</v>
      </c>
      <c r="R17" s="74">
        <v>15</v>
      </c>
      <c r="S17" s="74">
        <v>15</v>
      </c>
      <c r="T17" s="74">
        <v>16</v>
      </c>
      <c r="U17" s="74">
        <v>14</v>
      </c>
      <c r="V17" s="74">
        <v>15</v>
      </c>
      <c r="W17" s="74">
        <v>15</v>
      </c>
      <c r="X17" s="74">
        <v>32</v>
      </c>
      <c r="Y17" s="108">
        <v>32</v>
      </c>
      <c r="Z17" s="74">
        <v>16</v>
      </c>
      <c r="AA17" s="74">
        <v>15</v>
      </c>
      <c r="AB17" s="74">
        <v>16</v>
      </c>
      <c r="AC17" s="74">
        <v>13</v>
      </c>
      <c r="AD17" s="74">
        <v>25</v>
      </c>
      <c r="AE17" s="74">
        <v>25</v>
      </c>
      <c r="AH17" s="64" ph="1">
        <v>3</v>
      </c>
      <c r="AI17" s="64" t="s" ph="1">
        <v>379</v>
      </c>
      <c r="AK17" s="64" t="s" ph="1">
        <v>611</v>
      </c>
      <c r="AL17" s="64" ph="1">
        <v>80</v>
      </c>
      <c r="AM17" s="64" t="s" ph="1">
        <v>376</v>
      </c>
      <c r="AZ17" s="64" t="s" ph="1">
        <v>257</v>
      </c>
      <c r="BA17" s="64" ph="1">
        <v>80</v>
      </c>
      <c r="BD17" s="64" t="s" ph="1">
        <v>255</v>
      </c>
      <c r="BE17" s="64" ph="1">
        <v>2270</v>
      </c>
    </row>
    <row r="18" spans="1:57" ph="1">
      <c r="B18" s="217" ph="1">
        <v>0.66666666666666663</v>
      </c>
      <c r="C18" s="79" t="s" ph="1">
        <v>211</v>
      </c>
      <c r="D18" s="71">
        <v>0</v>
      </c>
      <c r="E18" s="71">
        <v>55</v>
      </c>
      <c r="F18" s="71">
        <v>3349</v>
      </c>
      <c r="G18" s="71">
        <v>3276</v>
      </c>
      <c r="H18" s="71">
        <v>2864</v>
      </c>
      <c r="I18" s="71">
        <v>9</v>
      </c>
      <c r="J18" s="71">
        <v>4825</v>
      </c>
      <c r="K18" s="71">
        <v>1593</v>
      </c>
      <c r="L18" s="71">
        <v>6279</v>
      </c>
      <c r="M18" s="71">
        <v>124</v>
      </c>
      <c r="N18" s="71">
        <v>4478</v>
      </c>
      <c r="O18" s="71">
        <v>233</v>
      </c>
      <c r="P18" s="71">
        <v>5551</v>
      </c>
      <c r="Q18" s="71">
        <v>5321</v>
      </c>
      <c r="R18" s="71">
        <v>3485</v>
      </c>
      <c r="S18" s="71">
        <v>5608</v>
      </c>
      <c r="T18" s="71">
        <v>1455</v>
      </c>
      <c r="U18" s="71">
        <v>5588</v>
      </c>
      <c r="V18" s="71">
        <v>-1643</v>
      </c>
      <c r="W18" s="71">
        <v>-596</v>
      </c>
      <c r="X18" s="71">
        <v>622</v>
      </c>
      <c r="Y18" s="109">
        <v>-9900</v>
      </c>
      <c r="Z18" s="71">
        <v>0</v>
      </c>
      <c r="AA18" s="71">
        <v>2505</v>
      </c>
      <c r="AB18" s="71">
        <v>5276</v>
      </c>
      <c r="AC18" s="71">
        <v>6495</v>
      </c>
      <c r="AD18" s="71">
        <v>30.71</v>
      </c>
      <c r="AE18" s="71">
        <v>84.41</v>
      </c>
      <c r="AH18" s="64" ph="1">
        <v>4</v>
      </c>
      <c r="AI18" s="64" t="s" ph="1">
        <v>381</v>
      </c>
      <c r="AJ18" s="64" t="s" ph="1">
        <v>629</v>
      </c>
      <c r="AK18" s="64" t="s" ph="1">
        <v>628</v>
      </c>
      <c r="AL18" s="64" ph="1">
        <v>740</v>
      </c>
      <c r="AM18" s="64" t="s" ph="1">
        <v>380</v>
      </c>
      <c r="AZ18" s="64" t="s" ph="1">
        <v>257</v>
      </c>
      <c r="BA18" s="64" ph="1">
        <v>740</v>
      </c>
    </row>
    <row r="19" spans="1:57" s="72" customFormat="1" ht="22.5" ph="1">
      <c r="B19" s="218" ph="1"/>
      <c r="C19" s="164" t="s" ph="1">
        <v>209</v>
      </c>
      <c r="D19" s="73" ph="1">
        <f>D18*7.0686*LOOKUP(D20,密度!$A$2:$A$50,密度!$L$2:$L$50)</f>
        <v>0</v>
      </c>
      <c r="E19" s="73" ph="1">
        <f>E18*7.0686*LOOKUP(E20,密度!$A$2:$A$50,密度!$L$2:$L$50)</f>
        <v>367.001712</v>
      </c>
      <c r="F19" s="73" ph="1">
        <f>F18*9.0746*LOOKUP(F20,密度!$A$2:$A$50,密度!$L$2:$L$50)</f>
        <v>28263.476922000002</v>
      </c>
      <c r="G19" s="73" ph="1">
        <f>G18*9.0746*LOOKUP(G20,密度!$A$2:$A$50,密度!$B$2:$B$50)</f>
        <v>23378.405581440002</v>
      </c>
      <c r="H19" s="73" ph="1">
        <f>H18*9.0746*LOOKUP(H20,密度!$A$2:$A$50,密度!$L$2:$L$50)</f>
        <v>24690.171679999999</v>
      </c>
      <c r="I19" s="73" ph="1">
        <f>I18*9.0746*LOOKUP(I20,密度!$A$2:$A$50,密度!$U$2:$U$50)</f>
        <v>83.95819920000001</v>
      </c>
      <c r="J19" s="73" ph="1">
        <f>J18*9.0746*LOOKUP(J20,密度!$A$2:$A$50,密度!$L$2:$L$50)</f>
        <v>41332.988079999996</v>
      </c>
      <c r="K19" s="73" ph="1">
        <f>K18*9.0746*LOOKUP(K20,密度!$A$2:$A$50,密度!$C$2:$C$50)</f>
        <v>16111.031228100002</v>
      </c>
      <c r="L19" s="73" ph="1">
        <f>L18*9.0746*LOOKUP(L20,密度!$A$2:$A$50,密度!$E$2:$E$50)</f>
        <v>45281.53982898</v>
      </c>
      <c r="M19" s="73" ph="1">
        <f>M18*9.0746*LOOKUP(M20,密度!$A$2:$A$50,密度!$M$2:$M$50)</f>
        <v>990.55792712000004</v>
      </c>
      <c r="N19" s="73" ph="1">
        <f>N18*9.0746*LOOKUP(N20,密度!$A$2:$A$50,密度!$M$2:$M$50)</f>
        <v>35771.92256164</v>
      </c>
      <c r="O19" s="73" ph="1">
        <f>O18*9.0746*LOOKUP(O20,密度!$A$2:$A$50,密度!$G$2:$G$50)</f>
        <v>2046.7215824</v>
      </c>
      <c r="P19" s="73" ph="1">
        <f ca="1">P18*9.0746*LOOKUP(P20,密度!$A$2:$A$51,密度!$Q$2:$Q$50)</f>
        <v>47873.591149747997</v>
      </c>
      <c r="Q19" s="73" ph="1">
        <f>Q18*9.0746*LOOKUP(Q20,密度!$A$2:$A$50,密度!$Q$2:$Q$50)</f>
        <v>45968.704022666003</v>
      </c>
      <c r="R19" s="73" ph="1">
        <f>MAX(R18*9.0746*LOOKUP(R20,密度!$A$2:$A$50,密度!$B$2:$B$50),0)</f>
        <v>24847.747571699998</v>
      </c>
      <c r="S19" s="73" ph="1">
        <f>S18*9.0746*LOOKUP(S20,密度!$A$2:$A$50,密度!$Q$2:$Q$50)</f>
        <v>48576.881179872005</v>
      </c>
      <c r="T19" s="73" ph="1">
        <f>T18*9.0746*LOOKUP(T20,密度!$A$2:$A$50,密度!$O$2:$O$50)</f>
        <v>12332.109162000001</v>
      </c>
      <c r="U19" s="73" ph="1">
        <f>U18*9.0746*LOOKUP(U20,密度!$A$2:$A$50,密度!$H$2:$H$50)</f>
        <v>46890.487280560003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198.19152201600082</v>
      </c>
      <c r="X19" s="73" ph="1">
        <f>MAX(5600*LOOKUP(X20,密度!$A$2:$A$50,密度!$I$2:$I$50)+X18*9.0476*LOOKUP(X20,密度!$A$2:$A$50,密度!$I$2:$I$50),0)</f>
        <v>11613.83688768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17912.715924</v>
      </c>
      <c r="AB19" s="73" ph="1">
        <f>AB18*9.0746*LOOKUP(AB20,密度!$A$2:$A$50,密度!$L$2:$L$50)</f>
        <v>45244.322172</v>
      </c>
      <c r="AC19" s="73" ph="1">
        <f>AC18*9.0746*LOOKUP(AC20,密度!$A$2:$A$50,密度!$L$2:$L$50)</f>
        <v>55874.671596</v>
      </c>
      <c r="AD19" s="73" ph="1">
        <f>AD18*268.68*LOOKUP(AD20,密度!$A$2:$A$50,密度!B5:B53)+IF(AD18&lt;=0,0,1566*LOOKUP(AD20,密度!$A$2:$A$50,密度!B5:B53))</f>
        <v>7627.9354956000006</v>
      </c>
      <c r="AE19" s="73" ph="1">
        <f>AE18*268.68*LOOKUP(AE20,密度!$A$2:$A$50,密度!B5:B53)+IF(AE18&lt;=0,0,1566*LOOKUP(AE20,密度!$A$2:$A$50,密度!B5:B53))</f>
        <v>18838.581627600001</v>
      </c>
      <c r="AH19" s="72" ph="1">
        <v>5</v>
      </c>
      <c r="AI19" s="72" t="s" ph="1">
        <v>382</v>
      </c>
      <c r="AZ19" s="72" t="s" ph="1">
        <v>257</v>
      </c>
      <c r="BA19" s="72" ph="1">
        <v>0</v>
      </c>
      <c r="BD19" s="72" t="s" ph="1">
        <v>383</v>
      </c>
      <c r="BE19" s="72" ph="1">
        <v>1440</v>
      </c>
    </row>
    <row r="20" spans="1:57" ph="1">
      <c r="A20" s="72" ph="1"/>
      <c r="B20" s="218" ph="1"/>
      <c r="C20" s="80" t="s" ph="1">
        <v>210</v>
      </c>
      <c r="D20" s="81">
        <v>18</v>
      </c>
      <c r="E20" s="81">
        <v>18</v>
      </c>
      <c r="F20" s="81">
        <v>32</v>
      </c>
      <c r="G20" s="81">
        <v>17</v>
      </c>
      <c r="H20" s="81">
        <v>12</v>
      </c>
      <c r="I20" s="81">
        <v>18</v>
      </c>
      <c r="J20" s="81">
        <v>18</v>
      </c>
      <c r="K20" s="81">
        <v>17</v>
      </c>
      <c r="L20" s="81">
        <v>15</v>
      </c>
      <c r="M20" s="81">
        <v>19</v>
      </c>
      <c r="N20" s="81">
        <v>15</v>
      </c>
      <c r="O20" s="81">
        <v>18</v>
      </c>
      <c r="P20" s="81">
        <v>20</v>
      </c>
      <c r="Q20" s="81">
        <v>18</v>
      </c>
      <c r="R20" s="81">
        <v>18</v>
      </c>
      <c r="S20" s="81">
        <v>15</v>
      </c>
      <c r="T20" s="81">
        <v>16</v>
      </c>
      <c r="U20" s="81">
        <v>15</v>
      </c>
      <c r="V20" s="81">
        <v>17</v>
      </c>
      <c r="W20" s="81">
        <v>15</v>
      </c>
      <c r="X20" s="81">
        <v>32</v>
      </c>
      <c r="Y20" s="110">
        <v>32</v>
      </c>
      <c r="Z20" s="81">
        <v>18</v>
      </c>
      <c r="AA20" s="81">
        <v>15</v>
      </c>
      <c r="AB20" s="81">
        <v>17</v>
      </c>
      <c r="AC20" s="81">
        <v>14</v>
      </c>
      <c r="AD20" s="81">
        <v>25</v>
      </c>
      <c r="AE20" s="81">
        <v>25</v>
      </c>
      <c r="AH20" s="64" ph="1">
        <v>6</v>
      </c>
      <c r="AI20" s="64" t="s" ph="1">
        <v>384</v>
      </c>
      <c r="AZ20" s="64" t="s" ph="1">
        <v>257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385</v>
      </c>
      <c r="AZ21" s="64" t="s" ph="1">
        <v>257</v>
      </c>
      <c r="BA21" s="64" ph="1">
        <v>0</v>
      </c>
      <c r="BD21" s="64" t="s" ph="1">
        <v>273</v>
      </c>
      <c r="BE21" s="64" ph="1">
        <v>730</v>
      </c>
    </row>
    <row r="22" spans="1:57" ph="1">
      <c r="A22" s="72" ph="1"/>
      <c r="B22" s="216" t="s" ph="1">
        <v>37</v>
      </c>
      <c r="C22" s="85" t="s" ph="1">
        <v>207</v>
      </c>
      <c r="D22" s="86" t="s" ph="1">
        <v>103</v>
      </c>
      <c r="E22" s="86" t="s" ph="1">
        <v>104</v>
      </c>
      <c r="F22" s="86" t="s" ph="1">
        <v>105</v>
      </c>
      <c r="G22" s="86" t="s" ph="1">
        <v>106</v>
      </c>
      <c r="H22" s="86" t="s" ph="1">
        <v>107</v>
      </c>
      <c r="I22" s="86" t="s" ph="1">
        <v>108</v>
      </c>
      <c r="J22" s="86" t="s" ph="1">
        <v>109</v>
      </c>
      <c r="K22" s="86" t="s" ph="1">
        <v>110</v>
      </c>
      <c r="L22" s="86" t="s" ph="1">
        <v>111</v>
      </c>
      <c r="M22" s="86" t="s" ph="1">
        <v>112</v>
      </c>
      <c r="N22" s="86" t="s" ph="1">
        <v>113</v>
      </c>
      <c r="O22" s="86" t="s" ph="1">
        <v>114</v>
      </c>
      <c r="P22" s="86" t="s" ph="1">
        <v>115</v>
      </c>
      <c r="Q22" s="87" t="s" ph="1">
        <v>116</v>
      </c>
      <c r="R22" s="86" t="s" ph="1">
        <v>117</v>
      </c>
      <c r="S22" s="86" t="s" ph="1">
        <v>118</v>
      </c>
      <c r="T22" s="86" t="s" ph="1">
        <v>119</v>
      </c>
      <c r="U22" s="86" t="s" ph="1">
        <v>120</v>
      </c>
      <c r="V22" s="86" t="s" ph="1">
        <v>121</v>
      </c>
      <c r="W22" s="86" t="s" ph="1">
        <v>122</v>
      </c>
      <c r="X22" s="86" t="s" ph="1">
        <v>123</v>
      </c>
      <c r="Y22" s="86" t="s" ph="1">
        <v>125</v>
      </c>
      <c r="Z22" s="195" t="s" ph="1">
        <v>79</v>
      </c>
      <c r="AA22" s="196"/>
      <c r="AB22" s="196"/>
      <c r="AC22" s="196"/>
      <c r="AD22" s="196"/>
      <c r="AE22" s="197"/>
      <c r="AH22" s="64" ph="1">
        <v>8</v>
      </c>
      <c r="AI22" s="64" t="s" ph="1">
        <v>386</v>
      </c>
      <c r="AZ22" s="64" t="s" ph="1">
        <v>257</v>
      </c>
      <c r="BA22" s="64" ph="1">
        <v>0</v>
      </c>
    </row>
    <row r="23" spans="1:57" ph="1">
      <c r="A23" s="72" ph="1"/>
      <c r="B23" s="211" ph="1"/>
      <c r="C23" s="67" t="s" ph="1">
        <v>36</v>
      </c>
      <c r="D23" s="88" t="s" ph="1">
        <v>127</v>
      </c>
      <c r="E23" s="88" t="s" ph="1">
        <v>124</v>
      </c>
      <c r="F23" s="88" t="s" ph="1">
        <v>127</v>
      </c>
      <c r="G23" s="88" t="s" ph="1">
        <v>679</v>
      </c>
      <c r="H23" s="88" t="s" ph="1">
        <v>679</v>
      </c>
      <c r="I23" s="88" t="s" ph="1">
        <v>680</v>
      </c>
      <c r="J23" s="88" t="s" ph="1">
        <v>681</v>
      </c>
      <c r="K23" s="88" t="s" ph="1">
        <v>682</v>
      </c>
      <c r="L23" s="88" t="s" ph="1">
        <v>682</v>
      </c>
      <c r="M23" s="88" t="s" ph="1">
        <v>675</v>
      </c>
      <c r="N23" s="88" t="s" ph="1">
        <v>675</v>
      </c>
      <c r="O23" s="88" t="s" ph="1">
        <v>359</v>
      </c>
      <c r="P23" s="88" t="s" ph="1">
        <v>666</v>
      </c>
      <c r="Q23" s="89" t="s" ph="1">
        <v>666</v>
      </c>
      <c r="R23" s="88" t="s" ph="1">
        <v>659</v>
      </c>
      <c r="S23" s="88" t="s" ph="1">
        <v>683</v>
      </c>
      <c r="T23" s="88" t="s" ph="1">
        <v>647</v>
      </c>
      <c r="U23" s="88" t="s" ph="1">
        <v>653</v>
      </c>
      <c r="V23" s="88" t="s" ph="1">
        <v>684</v>
      </c>
      <c r="W23" s="88" t="s" ph="1">
        <v>685</v>
      </c>
      <c r="X23" s="88" t="s" ph="1">
        <v>228</v>
      </c>
      <c r="Y23" s="88" t="s" ph="1">
        <v>686</v>
      </c>
      <c r="Z23" s="198" t="s" ph="1">
        <v>688</v>
      </c>
      <c r="AA23" s="199"/>
      <c r="AB23" s="199"/>
      <c r="AC23" s="199"/>
      <c r="AD23" s="199"/>
      <c r="AE23" s="200"/>
      <c r="AH23" s="64" ph="1">
        <v>9</v>
      </c>
      <c r="AI23" s="64" t="s" ph="1">
        <v>387</v>
      </c>
      <c r="AZ23" s="64" t="s" ph="1">
        <v>257</v>
      </c>
      <c r="BA23" s="64" ph="1">
        <v>0</v>
      </c>
      <c r="BD23" s="64" t="s" ph="1">
        <v>279</v>
      </c>
      <c r="BE23" s="64" ph="1">
        <v>890</v>
      </c>
    </row>
    <row r="24" spans="1:57" ph="1">
      <c r="A24" s="72" ph="1"/>
      <c r="B24" s="207" ph="1">
        <v>0.33333333333333331</v>
      </c>
      <c r="C24" s="164" t="s" ph="1">
        <v>208</v>
      </c>
      <c r="D24" s="71">
        <v>98.31</v>
      </c>
      <c r="E24" s="71">
        <v>94.81</v>
      </c>
      <c r="F24" s="71">
        <v>4008</v>
      </c>
      <c r="G24" s="71">
        <v>2581</v>
      </c>
      <c r="H24" s="71">
        <v>3336</v>
      </c>
      <c r="I24" s="71">
        <v>2335</v>
      </c>
      <c r="J24" s="71">
        <v>1538</v>
      </c>
      <c r="K24" s="71">
        <v>5601</v>
      </c>
      <c r="L24" s="71">
        <v>5575</v>
      </c>
      <c r="M24" s="71">
        <v>4854</v>
      </c>
      <c r="N24" s="71">
        <v>2581</v>
      </c>
      <c r="O24" s="71">
        <v>2060</v>
      </c>
      <c r="P24" s="71">
        <v>452</v>
      </c>
      <c r="Q24" s="90">
        <v>1562</v>
      </c>
      <c r="R24" s="71">
        <v>6079</v>
      </c>
      <c r="S24" s="71">
        <v>2264</v>
      </c>
      <c r="T24" s="71">
        <v>5</v>
      </c>
      <c r="U24" s="71">
        <v>5899</v>
      </c>
      <c r="V24" s="71">
        <v>415</v>
      </c>
      <c r="W24" s="71">
        <v>10504</v>
      </c>
      <c r="X24" s="71">
        <v>7853</v>
      </c>
      <c r="Y24" s="71">
        <v>5357</v>
      </c>
      <c r="Z24" s="201"/>
      <c r="AA24" s="202"/>
      <c r="AB24" s="202"/>
      <c r="AC24" s="202"/>
      <c r="AD24" s="202"/>
      <c r="AE24" s="203"/>
      <c r="AH24" s="64" ph="1">
        <v>10</v>
      </c>
      <c r="AI24" s="64" t="s" ph="1">
        <v>388</v>
      </c>
      <c r="AZ24" s="64" t="s" ph="1">
        <v>257</v>
      </c>
      <c r="BA24" s="64" ph="1">
        <v>0</v>
      </c>
    </row>
    <row r="25" spans="1:57" ph="1">
      <c r="A25" s="72" ph="1"/>
      <c r="B25" s="207" ph="1"/>
      <c r="C25" s="68" t="s" ph="1">
        <v>209</v>
      </c>
      <c r="D25" s="91" ph="1">
        <f>D24*268.68*LOOKUP(D26,密度!$A$2:$A$50,密度!$Q$2:$Q$50)+IF(D24&lt;=0,0,1566*LOOKUP(D26,密度!$A$2:$A$50,密度!$Q$2:$Q$50))</f>
        <v>26489.719685592005</v>
      </c>
      <c r="E25" s="91" ph="1">
        <f>E24*268.68*LOOKUP(E26,密度!$A$2:$A$50,密度!$C$2:$C$50)+IF(E24&lt;=0,0,1566*LOOKUP(E26,密度!$A$2:$A$50,密度!$C$2:$C$50))</f>
        <v>29984.157882120002</v>
      </c>
      <c r="F25" s="91" ph="1">
        <f>F24*11.702*LOOKUP(F26,密度!$A$2:$A$50,密度!$Q$2:$Q$50)</f>
        <v>44769.468536640001</v>
      </c>
      <c r="G25" s="91" ph="1">
        <f>G24*18.322*LOOKUP(G26,密度!$A$2:$A$50,密度!$B$2:$B$50)</f>
        <v>37263.796616</v>
      </c>
      <c r="H25" s="91" ph="1">
        <f>H24*18.322*LOOKUP(H26,密度!$A$2:$A$50,密度!$B$2:$B$50)</f>
        <v>48164.287295999995</v>
      </c>
      <c r="I25" s="91" ph="1">
        <f>I24*18.322*LOOKUP(I26,密度!$A$2:$A$50,密度!$Q$2:$Q$50)</f>
        <v>40796.791231999996</v>
      </c>
      <c r="J25" s="91" ph="1">
        <f>J24*18.322*LOOKUP(J26,密度!$A$2:$A$50,密度!$Q$2:$Q$50)</f>
        <v>26871.719449599997</v>
      </c>
      <c r="K25" s="91" ph="1">
        <f>K24*18.322*LOOKUP(K26,密度!$A$2:$A$50,密度!$Q$2:$Q$50)</f>
        <v>97956.347609880002</v>
      </c>
      <c r="L25" s="91" ph="1">
        <f>L24*18.322*LOOKUP(L26,密度!$A$2:$A$50,密度!$Q$2:$Q$50)</f>
        <v>97501.631481000004</v>
      </c>
      <c r="M25" s="91" ph="1">
        <f>M24*18.322*LOOKUP(M26,密度!$A$2:$A$50,密度!$Q$2:$Q$50)</f>
        <v>84892.003445520008</v>
      </c>
      <c r="N25" s="91" ph="1">
        <f>N24*18.322*LOOKUP(N26,密度!$A$2:$A$50,密度!$Q$2:$Q$50)</f>
        <v>45139.320332279996</v>
      </c>
      <c r="O25" s="91" ph="1">
        <f>O24*18.322*LOOKUP(O26,密度!$A$2:$A$50,密度!$C$2:$C$50)</f>
        <v>42144.191112</v>
      </c>
      <c r="P25" s="91" ph="1">
        <f>P24*11.702*LOOKUP(P26,密度!$A$2:$A$50,密度!$B$2:$B$50)</f>
        <v>4172.7319256000001</v>
      </c>
      <c r="Q25" s="92" ph="1">
        <f>Q24*18.322*LOOKUP(Q26,密度!$A$2:$A$50,密度!$B$2:$B$50)</f>
        <v>22551.743632000002</v>
      </c>
      <c r="R25" s="91" ph="1">
        <f>R24*35.891*LOOKUP(R26,密度!$A$2:$A$50,密度!$C$2:$C$50)</f>
        <v>243315.88501279999</v>
      </c>
      <c r="S25" s="91" ph="1">
        <f>S24*35.891*LOOKUP(S26,密度!$A$2:$A$50,密度!$B$2:$B$50)</f>
        <v>64030.692512000001</v>
      </c>
      <c r="T25" s="91" ph="1">
        <f>T24*35.891*LOOKUP(T26,密度!$A$2:$A$50,密度!$Q$2:$Q$50)</f>
        <v>171.29697569999999</v>
      </c>
      <c r="U25" s="91" ph="1">
        <f>U24*35.891</f>
        <v>211721.00899999999</v>
      </c>
      <c r="V25" s="91" ph="1">
        <f>V24*47.051*LOOKUP(V26,密度!$A$2:$A$50,密度!$B$2:$B$50)</f>
        <v>15404.191568500002</v>
      </c>
      <c r="W25" s="91" ph="1">
        <f>W24*47.051*LOOKUP(W26,密度!$A$2:$A$50,密度!$B$2:$B$50)</f>
        <v>389448.27875200001</v>
      </c>
      <c r="X25" s="91" ph="1">
        <f>X24*47.051*LOOKUP(X26,密度!$A$2:$A$50,密度!$I$2:$I$50)</f>
        <v>382660.18016692001</v>
      </c>
      <c r="Y25" s="91" ph="1">
        <f>Y24*47.051*LOOKUP(Y26,密度!$A$2:$A$50,密度!$L$2:$L$50)</f>
        <v>238189.33561500002</v>
      </c>
      <c r="Z25" s="201"/>
      <c r="AA25" s="202"/>
      <c r="AB25" s="202"/>
      <c r="AC25" s="202"/>
      <c r="AD25" s="202"/>
      <c r="AE25" s="203"/>
      <c r="AH25" s="64" ph="1">
        <v>11</v>
      </c>
      <c r="AI25" s="64" t="s" ph="1">
        <v>389</v>
      </c>
      <c r="AZ25" s="64" t="s" ph="1">
        <v>257</v>
      </c>
      <c r="BA25" s="64" ph="1">
        <v>0</v>
      </c>
      <c r="BD25" s="64" t="s" ph="1">
        <v>282</v>
      </c>
      <c r="BE25" s="64" ph="1">
        <v>8920</v>
      </c>
    </row>
    <row r="26" spans="1:57" ph="1">
      <c r="A26" s="72" ph="1"/>
      <c r="B26" s="207" ph="1"/>
      <c r="C26" s="68" t="s" ph="1">
        <v>210</v>
      </c>
      <c r="D26" s="74">
        <v>25</v>
      </c>
      <c r="E26" s="74">
        <v>25</v>
      </c>
      <c r="F26" s="74">
        <v>15</v>
      </c>
      <c r="G26" s="74">
        <v>15</v>
      </c>
      <c r="H26" s="74">
        <v>15</v>
      </c>
      <c r="I26" s="74">
        <v>16</v>
      </c>
      <c r="J26" s="74">
        <v>16</v>
      </c>
      <c r="K26" s="74">
        <v>15</v>
      </c>
      <c r="L26" s="74">
        <v>15</v>
      </c>
      <c r="M26" s="74">
        <v>15</v>
      </c>
      <c r="N26" s="74">
        <v>15</v>
      </c>
      <c r="O26" s="74">
        <v>14</v>
      </c>
      <c r="P26" s="74">
        <v>14</v>
      </c>
      <c r="Q26" s="93">
        <v>15</v>
      </c>
      <c r="R26" s="74">
        <v>16</v>
      </c>
      <c r="S26" s="74">
        <v>15</v>
      </c>
      <c r="T26" s="74">
        <v>15</v>
      </c>
      <c r="U26" s="74">
        <v>15</v>
      </c>
      <c r="V26" s="74">
        <v>14</v>
      </c>
      <c r="W26" s="74">
        <v>15</v>
      </c>
      <c r="X26" s="74">
        <v>55</v>
      </c>
      <c r="Y26" s="74">
        <v>17</v>
      </c>
      <c r="Z26" s="201"/>
      <c r="AA26" s="202"/>
      <c r="AB26" s="202"/>
      <c r="AC26" s="202"/>
      <c r="AD26" s="202"/>
      <c r="AE26" s="203"/>
      <c r="AH26" s="64" ph="1">
        <v>12</v>
      </c>
      <c r="AI26" s="64" t="s" ph="1">
        <v>390</v>
      </c>
      <c r="AZ26" s="64" t="s" ph="1">
        <v>257</v>
      </c>
      <c r="BA26" s="64" ph="1">
        <v>0</v>
      </c>
    </row>
    <row r="27" spans="1:57" ph="1">
      <c r="A27" s="72" ph="1"/>
      <c r="B27" s="207" ph="1">
        <v>0.66666666666666663</v>
      </c>
      <c r="C27" s="164" t="s" ph="1">
        <v>211</v>
      </c>
      <c r="D27" s="71">
        <v>98.41</v>
      </c>
      <c r="E27" s="71">
        <v>5.41</v>
      </c>
      <c r="F27" s="71">
        <v>4010</v>
      </c>
      <c r="G27" s="71">
        <v>2493</v>
      </c>
      <c r="H27" s="71">
        <v>2944</v>
      </c>
      <c r="I27" s="71">
        <v>2041</v>
      </c>
      <c r="J27" s="71">
        <v>1538</v>
      </c>
      <c r="K27" s="71">
        <v>5602</v>
      </c>
      <c r="L27" s="71">
        <v>5575</v>
      </c>
      <c r="M27" s="71">
        <v>4857</v>
      </c>
      <c r="N27" s="71">
        <v>2580</v>
      </c>
      <c r="O27" s="71">
        <v>2059</v>
      </c>
      <c r="P27" s="71">
        <v>450</v>
      </c>
      <c r="Q27" s="90">
        <v>1813</v>
      </c>
      <c r="R27" s="71">
        <v>6736</v>
      </c>
      <c r="S27" s="71">
        <v>2261</v>
      </c>
      <c r="T27" s="71">
        <v>2</v>
      </c>
      <c r="U27" s="71">
        <v>5805</v>
      </c>
      <c r="V27" s="71">
        <v>414</v>
      </c>
      <c r="W27" s="71">
        <v>10506</v>
      </c>
      <c r="X27" s="71">
        <v>7859</v>
      </c>
      <c r="Y27" s="71">
        <v>4303</v>
      </c>
      <c r="Z27" s="201"/>
      <c r="AA27" s="202"/>
      <c r="AB27" s="202"/>
      <c r="AC27" s="202"/>
      <c r="AD27" s="202"/>
      <c r="AE27" s="203"/>
      <c r="AH27" s="64" ph="1">
        <v>13</v>
      </c>
      <c r="AI27" s="64" t="s" ph="1">
        <v>391</v>
      </c>
      <c r="AZ27" s="64" t="s" ph="1">
        <v>257</v>
      </c>
      <c r="BA27" s="64" ph="1">
        <v>0</v>
      </c>
      <c r="BD27" s="64" t="s" ph="1">
        <v>336</v>
      </c>
      <c r="BE27" s="64" ph="1">
        <v>7100</v>
      </c>
    </row>
    <row r="28" spans="1:57" ph="1">
      <c r="A28" s="72" ph="1"/>
      <c r="B28" s="207" ph="1"/>
      <c r="C28" s="164" t="s" ph="1">
        <v>209</v>
      </c>
      <c r="D28" s="91" ph="1">
        <f>D27*268.68*LOOKUP(D29,密度!$A$2:$A$50,密度!$Q$2:$Q$50)+IF(D27&lt;=0,0,1566*LOOKUP(D29,密度!$A$2:$A$50,密度!$Q$2:$Q$50))</f>
        <v>26515.156695912003</v>
      </c>
      <c r="E28" s="91" ph="1">
        <f>E27*268.68*LOOKUP(E29,密度!$A$2:$A$50,密度!$C$2:$C$50)+IF(E27&lt;=0,0,1566*LOOKUP(E29,密度!$A$2:$A$50,密度!$C$2:$C$50))</f>
        <v>3348.38875332</v>
      </c>
      <c r="F28" s="91" ph="1">
        <f>F27*11.702*LOOKUP(F29,密度!$A$2:$A$50,密度!$Q$2:$Q$50)</f>
        <v>44791.808590799999</v>
      </c>
      <c r="G28" s="91" ph="1">
        <f>G27*18.322*LOOKUP(G29,密度!$A$2:$A$50,密度!$B$2:$B$50)</f>
        <v>35993.275847999997</v>
      </c>
      <c r="H28" s="91" ph="1">
        <f>H27*18.322*LOOKUP(H29,密度!$A$2:$A$50,密度!$B$2:$B$50)</f>
        <v>42504.694783999999</v>
      </c>
      <c r="I28" s="91" ph="1">
        <f>I27*18.322*LOOKUP(I29,密度!$A$2:$A$50,密度!$Q$2:$Q$50)</f>
        <v>35695.216117080003</v>
      </c>
      <c r="J28" s="91" ph="1">
        <f>J27*18.322*LOOKUP(J29,密度!$A$2:$A$50,密度!$Q$2:$Q$50)</f>
        <v>26898.20793144</v>
      </c>
      <c r="K28" s="91" ph="1">
        <f>K27*18.322*LOOKUP(K29,密度!$A$2:$A$50,密度!$Q$2:$Q$50)</f>
        <v>97973.836691760007</v>
      </c>
      <c r="L28" s="91" ph="1">
        <f>L27*18.322*LOOKUP(L29,密度!$A$2:$A$50,密度!$Q$2:$Q$50)</f>
        <v>97501.631481000004</v>
      </c>
      <c r="M28" s="91" ph="1">
        <f>M27*18.322*LOOKUP(M29,密度!$A$2:$A$50,密度!$Q$2:$Q$50)</f>
        <v>84860.820134399997</v>
      </c>
      <c r="N28" s="91" ph="1">
        <f>N27*18.322*LOOKUP(N29,密度!$A$2:$A$50,密度!$Q$2:$Q$50)</f>
        <v>45077.396735999995</v>
      </c>
      <c r="O28" s="91" ph="1">
        <f>O27*18.322*LOOKUP(O29,密度!$A$2:$A$50,密度!$C$2:$C$50)</f>
        <v>42093.552768399997</v>
      </c>
      <c r="P28" s="91" ph="1">
        <f>P27*11.702*LOOKUP(P29,密度!$A$2:$A$50,密度!$B$2:$B$50)</f>
        <v>4149.5291999999999</v>
      </c>
      <c r="Q28" s="92" ph="1">
        <f>Q27*18.322*LOOKUP(Q29,密度!$A$2:$A$50,密度!$B$2:$B$50)</f>
        <v>26175.615368000002</v>
      </c>
      <c r="R28" s="91" ph="1">
        <f>R27*35.891*LOOKUP(R29,密度!$A$2:$A$50,密度!$C$2:$C$50)</f>
        <v>269612.73259519995</v>
      </c>
      <c r="S28" s="91" ph="1">
        <f>S27*35.891*LOOKUP(S29,密度!$A$2:$A$50,密度!$B$2:$B$50)</f>
        <v>63945.846187999996</v>
      </c>
      <c r="T28" s="91" ph="1">
        <f>T27*35.891*LOOKUP(T29,密度!$A$2:$A$50,密度!$Q$2:$Q$50)</f>
        <v>68.451315199999996</v>
      </c>
      <c r="U28" s="91" ph="1">
        <f>U27*35.891</f>
        <v>208347.25499999998</v>
      </c>
      <c r="V28" s="91" ph="1">
        <f>V27*47.051*LOOKUP(V29,密度!$A$2:$A$50,密度!$B$2:$B$50)</f>
        <v>15333.958540800002</v>
      </c>
      <c r="W28" s="91" ph="1">
        <f>W27*47.051*LOOKUP(W29,密度!$A$2:$A$50,密度!$B$2:$B$50)</f>
        <v>389126.97688320006</v>
      </c>
      <c r="X28" s="91" ph="1">
        <f>X27*47.051*LOOKUP(X29,密度!$A$2:$A$50,密度!$I$2:$I$50)</f>
        <v>382952.54755275999</v>
      </c>
      <c r="Y28" s="91" ph="1">
        <f>Y27*47.051*LOOKUP(Y29,密度!$A$2:$A$50,密度!$L$2:$L$50)</f>
        <v>191122.667632</v>
      </c>
      <c r="Z28" s="201"/>
      <c r="AA28" s="202"/>
      <c r="AB28" s="202"/>
      <c r="AC28" s="202"/>
      <c r="AD28" s="202"/>
      <c r="AE28" s="203"/>
      <c r="AH28" s="64" ph="1">
        <v>14</v>
      </c>
      <c r="AI28" s="64" t="s" ph="1">
        <v>392</v>
      </c>
      <c r="AZ28" s="64" t="s" ph="1">
        <v>257</v>
      </c>
      <c r="BA28" s="64" ph="1">
        <v>0</v>
      </c>
    </row>
    <row r="29" spans="1:57" ph="1">
      <c r="A29" s="72" ph="1"/>
      <c r="B29" s="207" ph="1"/>
      <c r="C29" s="164" t="s" ph="1">
        <v>210</v>
      </c>
      <c r="D29" s="74">
        <v>25</v>
      </c>
      <c r="E29" s="74">
        <v>25</v>
      </c>
      <c r="F29" s="74">
        <v>15</v>
      </c>
      <c r="G29" s="74">
        <v>15</v>
      </c>
      <c r="H29" s="74">
        <v>15</v>
      </c>
      <c r="I29" s="74">
        <v>15</v>
      </c>
      <c r="J29" s="74">
        <v>15</v>
      </c>
      <c r="K29" s="74">
        <v>15</v>
      </c>
      <c r="L29" s="74">
        <v>15</v>
      </c>
      <c r="M29" s="74">
        <v>16</v>
      </c>
      <c r="N29" s="74">
        <v>16</v>
      </c>
      <c r="O29" s="74">
        <v>15</v>
      </c>
      <c r="P29" s="74">
        <v>15</v>
      </c>
      <c r="Q29" s="93">
        <v>15</v>
      </c>
      <c r="R29" s="74">
        <v>16</v>
      </c>
      <c r="S29" s="74">
        <v>15</v>
      </c>
      <c r="T29" s="74">
        <v>16</v>
      </c>
      <c r="U29" s="74">
        <v>16</v>
      </c>
      <c r="V29" s="74">
        <v>16</v>
      </c>
      <c r="W29" s="74">
        <v>16</v>
      </c>
      <c r="X29" s="74">
        <v>56</v>
      </c>
      <c r="Y29" s="74">
        <v>18</v>
      </c>
      <c r="Z29" s="204"/>
      <c r="AA29" s="205"/>
      <c r="AB29" s="205"/>
      <c r="AC29" s="205"/>
      <c r="AD29" s="205"/>
      <c r="AE29" s="206"/>
      <c r="AH29" s="64" ph="1">
        <v>15</v>
      </c>
      <c r="AI29" s="64" t="s" ph="1">
        <v>393</v>
      </c>
      <c r="AZ29" s="64" t="s" ph="1">
        <v>257</v>
      </c>
      <c r="BA29" s="64" ph="1">
        <v>0</v>
      </c>
      <c r="BD29" s="64" t="s" ph="1">
        <v>394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395</v>
      </c>
      <c r="AZ30" s="64" t="s" ph="1">
        <v>257</v>
      </c>
      <c r="BA30" s="64" ph="1">
        <v>0</v>
      </c>
    </row>
    <row r="31" spans="1:57" ht="28.5" ph="1">
      <c r="A31" s="64"/>
      <c r="B31" s="220" t="s" ph="1">
        <v>35</v>
      </c>
      <c r="C31" s="221" ph="1"/>
      <c r="D31" s="224" t="s" ph="1">
        <v>9</v>
      </c>
      <c r="E31" s="213" ph="1"/>
      <c r="F31" s="214" ph="1"/>
      <c r="G31" s="224" t="s" ph="1">
        <v>18</v>
      </c>
      <c r="H31" s="213" ph="1"/>
      <c r="I31" s="214" ph="1"/>
      <c r="J31" s="212" t="s" ph="1">
        <v>1</v>
      </c>
      <c r="K31" s="213" ph="1"/>
      <c r="L31" s="214" ph="1"/>
      <c r="M31" s="212" t="s" ph="1">
        <v>7</v>
      </c>
      <c r="N31" s="213" ph="1"/>
      <c r="O31" s="214" ph="1"/>
      <c r="P31" s="212" t="s" ph="1">
        <v>42</v>
      </c>
      <c r="Q31" s="213"/>
      <c r="R31" s="214"/>
      <c r="S31" s="212" t="s" ph="1">
        <v>2</v>
      </c>
      <c r="T31" s="213"/>
      <c r="U31" s="214"/>
      <c r="V31" s="212" t="s" ph="1">
        <v>81</v>
      </c>
      <c r="W31" s="213" ph="1"/>
      <c r="X31" s="214" ph="1"/>
      <c r="Y31" s="212" t="s" ph="1">
        <v>3</v>
      </c>
      <c r="Z31" s="213" ph="1"/>
      <c r="AA31" s="214" ph="1"/>
      <c r="AB31" s="235" t="s">
        <v>43</v>
      </c>
      <c r="AC31" s="236"/>
      <c r="AD31" s="236"/>
      <c r="AE31" s="237"/>
      <c r="AH31" s="64" ph="1">
        <v>17</v>
      </c>
      <c r="AI31" s="64" t="s" ph="1">
        <v>396</v>
      </c>
      <c r="AZ31" s="64" t="s" ph="1">
        <v>257</v>
      </c>
      <c r="BA31" s="64" ph="1">
        <v>0</v>
      </c>
      <c r="BD31" s="64" t="s" ph="1">
        <v>397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64" t="s" ph="1">
        <v>5</v>
      </c>
      <c r="F32" s="165" t="s" ph="1">
        <v>44</v>
      </c>
      <c r="G32" s="97" t="s" ph="1">
        <v>4</v>
      </c>
      <c r="H32" s="164" t="s" ph="1">
        <v>5</v>
      </c>
      <c r="I32" s="165" t="s" ph="1">
        <v>44</v>
      </c>
      <c r="J32" s="97" t="s" ph="1">
        <v>4</v>
      </c>
      <c r="K32" s="164" t="s" ph="1">
        <v>5</v>
      </c>
      <c r="L32" s="165" t="s" ph="1">
        <v>44</v>
      </c>
      <c r="M32" s="97" t="s" ph="1">
        <v>4</v>
      </c>
      <c r="N32" s="164" t="s" ph="1">
        <v>5</v>
      </c>
      <c r="O32" s="165" t="s" ph="1">
        <v>44</v>
      </c>
      <c r="P32" s="97" t="s" ph="1">
        <v>4</v>
      </c>
      <c r="Q32" s="98" t="s" ph="1">
        <v>5</v>
      </c>
      <c r="R32" s="99" t="s" ph="1">
        <v>44</v>
      </c>
      <c r="S32" s="97" t="s" ph="1">
        <v>4</v>
      </c>
      <c r="T32" s="164" t="s" ph="1">
        <v>5</v>
      </c>
      <c r="U32" s="99" t="s" ph="1">
        <v>44</v>
      </c>
      <c r="V32" s="97" t="s" ph="1">
        <v>4</v>
      </c>
      <c r="W32" s="164" t="s" ph="1">
        <v>5</v>
      </c>
      <c r="X32" s="99" t="s" ph="1">
        <v>44</v>
      </c>
      <c r="Y32" s="100" t="s" ph="1">
        <v>4</v>
      </c>
      <c r="Z32" s="164" t="s" ph="1">
        <v>5</v>
      </c>
      <c r="AA32" s="165" t="s" ph="1">
        <v>44</v>
      </c>
      <c r="AB32" s="97" t="s" ph="1">
        <v>102</v>
      </c>
      <c r="AC32" s="164" t="s" ph="1">
        <v>101</v>
      </c>
      <c r="AD32" s="238" t="s" ph="1">
        <v>100</v>
      </c>
      <c r="AE32" s="239"/>
      <c r="AH32" s="64" ph="1">
        <v>18</v>
      </c>
      <c r="AI32" s="64" t="s" ph="1">
        <v>398</v>
      </c>
      <c r="AZ32" s="64" t="s" ph="1">
        <v>257</v>
      </c>
      <c r="BA32" s="64" ph="1">
        <v>0</v>
      </c>
    </row>
    <row r="33" spans="1:57" ph="1">
      <c r="A33" s="64"/>
      <c r="B33" s="225" t="s" ph="1">
        <v>212</v>
      </c>
      <c r="C33" s="226" ph="1"/>
      <c r="D33" s="229" ph="1">
        <f>AA10+AB10+Z19</f>
        <v>109806.13788340002</v>
      </c>
      <c r="E33" s="229" ph="1">
        <f>M10+I10</f>
        <v>163266.45519920002</v>
      </c>
      <c r="F33" s="23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[[#This Row],[F25]]</f>
        <v>3880</v>
      </c>
      <c r="G33" s="233" ph="1">
        <v>0</v>
      </c>
      <c r="H33" s="229" ph="1">
        <f>N19</f>
        <v>35771.92256164</v>
      </c>
      <c r="I33" s="242" ph="1">
        <v>0</v>
      </c>
      <c r="J33" s="240" ph="1">
        <f>F10+O28</f>
        <v>155629.68501339998</v>
      </c>
      <c r="K33" s="229" ph="1">
        <f>O10+K10+E28+R28</f>
        <v>386736.04297491995</v>
      </c>
      <c r="L33" s="244" ph="1">
        <f>BE27</f>
        <v>7100</v>
      </c>
      <c r="M33" s="240" ph="1">
        <f>G10+H10+W28+S28</f>
        <v>888496.82965520001</v>
      </c>
      <c r="N33" s="229" ph="1">
        <f>L10+P10++G28+H28+V28</f>
        <v>313958.03028880002</v>
      </c>
      <c r="O33" s="242" ph="1">
        <f>BE17</f>
        <v>2270</v>
      </c>
      <c r="P33" s="240" ph="1">
        <f>L19</f>
        <v>45281.53982898</v>
      </c>
      <c r="Q33" s="229" ph="1">
        <f>J10+N10</f>
        <v>141652.41695839999</v>
      </c>
      <c r="R33" s="242" ph="1">
        <f>BE23</f>
        <v>890</v>
      </c>
      <c r="S33" s="240" ph="1">
        <f>E10+X28</f>
        <v>382952.54755275999</v>
      </c>
      <c r="T33" s="229" ph="1">
        <f>X19</f>
        <v>11613.83688768</v>
      </c>
      <c r="U33" s="250" ph="1">
        <f>BE21</f>
        <v>730</v>
      </c>
      <c r="V33" s="261" ph="1">
        <f ca="1">P19+Q19+S19+M28+N28+J28</f>
        <v>299255.60115412599</v>
      </c>
      <c r="W33" s="261" ph="1">
        <f>D28+F28+V19+T28</f>
        <v>71375.416601912002</v>
      </c>
      <c r="X33" s="242" ph="1">
        <f>BE29+BE31</f>
        <v>10200</v>
      </c>
      <c r="Y33" s="263" ph="1">
        <f>+Q10+R10+S10+T10+U10+V10+W10+X10+Y10</f>
        <v>205031.1188772</v>
      </c>
      <c r="Z33" s="248" ph="1">
        <f>D10+T19+U19+Y28+Z10</f>
        <v>343006.21657376003</v>
      </c>
      <c r="AA33" s="250" ph="1">
        <f>BE19</f>
        <v>1440</v>
      </c>
      <c r="AB33" s="252" ph="1">
        <f>I19</f>
        <v>83.95819920000001</v>
      </c>
      <c r="AC33" s="254" ph="1">
        <f>AD10</f>
        <v>512.00739199999998</v>
      </c>
      <c r="AD33" s="256" ph="1">
        <v>0</v>
      </c>
      <c r="AE33" s="257"/>
      <c r="AH33" s="64" ph="1">
        <v>19</v>
      </c>
      <c r="AI33" s="64" t="s" ph="1">
        <v>399</v>
      </c>
      <c r="AJ33" s="64" t="s" ph="1">
        <v>633</v>
      </c>
      <c r="AK33" s="64" t="s" ph="1">
        <v>630</v>
      </c>
      <c r="AL33" s="64" ph="1">
        <v>730</v>
      </c>
      <c r="AM33" s="64" t="s" ph="1">
        <v>380</v>
      </c>
      <c r="AZ33" s="64" t="s" ph="1">
        <v>257</v>
      </c>
      <c r="BA33" s="64" ph="1">
        <v>730</v>
      </c>
      <c r="BD33" s="64" t="s" ph="1">
        <v>331</v>
      </c>
      <c r="BE33" s="64" ph="1">
        <v>3880</v>
      </c>
    </row>
    <row r="34" spans="1:57" ph="1">
      <c r="A34" s="64"/>
      <c r="B34" s="227" ph="1"/>
      <c r="C34" s="228" ph="1"/>
      <c r="D34" s="230" ph="1"/>
      <c r="E34" s="230" ph="1"/>
      <c r="F34" s="232" ph="1"/>
      <c r="G34" s="234" ph="1"/>
      <c r="H34" s="230" ph="1"/>
      <c r="I34" s="243" ph="1"/>
      <c r="J34" s="241" ph="1"/>
      <c r="K34" s="230" ph="1"/>
      <c r="L34" s="245" ph="1"/>
      <c r="M34" s="241" ph="1"/>
      <c r="N34" s="230" ph="1"/>
      <c r="O34" s="243" ph="1"/>
      <c r="P34" s="241" ph="1"/>
      <c r="Q34" s="230" ph="1"/>
      <c r="R34" s="243" ph="1"/>
      <c r="S34" s="241" ph="1"/>
      <c r="T34" s="230"/>
      <c r="U34" s="251"/>
      <c r="V34" s="262" ph="1"/>
      <c r="W34" s="262" ph="1"/>
      <c r="X34" s="243" ph="1"/>
      <c r="Y34" s="264" ph="1"/>
      <c r="Z34" s="249" ph="1"/>
      <c r="AA34" s="251" ph="1"/>
      <c r="AB34" s="253"/>
      <c r="AC34" s="255"/>
      <c r="AD34" s="258"/>
      <c r="AE34" s="259"/>
      <c r="AH34" s="64" ph="1">
        <v>20</v>
      </c>
      <c r="AI34" s="64" t="s" ph="1">
        <v>400</v>
      </c>
      <c r="AJ34" s="64" t="s" ph="1">
        <v>634</v>
      </c>
      <c r="AK34" s="64" t="s" ph="1">
        <v>630</v>
      </c>
      <c r="AL34" s="64" ph="1">
        <v>720</v>
      </c>
      <c r="AM34" s="64" t="s" ph="1">
        <v>380</v>
      </c>
      <c r="AZ34" s="64" t="s" ph="1">
        <v>257</v>
      </c>
      <c r="BA34" s="64" ph="1">
        <v>720</v>
      </c>
    </row>
    <row r="35" spans="1:57" ph="1">
      <c r="A35" s="64"/>
      <c r="AC35" s="260" t="s" ph="1">
        <v>84</v>
      </c>
      <c r="AD35" s="260"/>
      <c r="AE35" s="260"/>
      <c r="AH35" s="64" ph="1">
        <v>21</v>
      </c>
      <c r="AI35" s="64" t="s" ph="1">
        <v>401</v>
      </c>
      <c r="AZ35" s="64" t="s" ph="1">
        <v>257</v>
      </c>
      <c r="BA35" s="64" ph="1">
        <v>0</v>
      </c>
      <c r="BD35" s="64" t="s" ph="1">
        <v>402</v>
      </c>
      <c r="BE35" s="64" ph="1">
        <v>2030</v>
      </c>
    </row>
    <row r="36" spans="1:57" ht="28.5" ph="1">
      <c r="A36" s="64"/>
      <c r="B36" s="103" t="s" ph="1">
        <v>213</v>
      </c>
      <c r="I36" s="246" t="s" ph="1">
        <v>214</v>
      </c>
      <c r="J36" s="246" ph="1"/>
      <c r="K36" s="101" ph="1"/>
      <c r="P36" s="101" ph="1"/>
      <c r="R36" s="246" t="s" ph="1">
        <v>215</v>
      </c>
      <c r="S36" s="246" ph="1"/>
      <c r="Y36" s="102" ph="1"/>
      <c r="Z36" s="166" t="s" ph="1">
        <v>216</v>
      </c>
      <c r="AA36" s="166" ph="1"/>
      <c r="AB36" s="247" t="s" ph="1">
        <v>655</v>
      </c>
      <c r="AC36" s="247" ph="1"/>
      <c r="AD36" s="247" ph="1"/>
      <c r="AE36" s="247" ph="1"/>
      <c r="BA36" s="64" ph="1">
        <v>2270</v>
      </c>
    </row>
    <row r="37" spans="1:57" s="166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6" t="s" ph="1">
        <v>383</v>
      </c>
      <c r="AI37" s="166" t="s" ph="1">
        <v>250</v>
      </c>
      <c r="AJ37" s="166" t="s" ph="1">
        <v>251</v>
      </c>
      <c r="AK37" s="166" t="s" ph="1">
        <v>252</v>
      </c>
      <c r="AM37" s="166" t="s" ph="1">
        <v>251</v>
      </c>
      <c r="AN37" s="166" t="s" ph="1">
        <v>252</v>
      </c>
      <c r="AO37" s="166" t="s" ph="1">
        <v>253</v>
      </c>
      <c r="AP37" s="166" t="s" ph="1">
        <v>251</v>
      </c>
      <c r="AQ37" s="166" t="s" ph="1">
        <v>252</v>
      </c>
      <c r="AR37" s="166" t="s" ph="1">
        <v>253</v>
      </c>
      <c r="AS37" s="166" t="s" ph="1">
        <v>251</v>
      </c>
      <c r="AT37" s="166" t="s" ph="1">
        <v>252</v>
      </c>
      <c r="AU37" s="166" t="s" ph="1">
        <v>253</v>
      </c>
      <c r="AV37" s="166" t="s" ph="1">
        <v>251</v>
      </c>
      <c r="AW37" s="166" t="s" ph="1">
        <v>252</v>
      </c>
      <c r="AX37" s="166" t="s" ph="1">
        <v>253</v>
      </c>
      <c r="AY37" s="166" t="s" ph="1">
        <v>252</v>
      </c>
      <c r="AZ37" s="166" t="s" ph="1">
        <v>254</v>
      </c>
      <c r="BD37" s="166" t="s" ph="1">
        <v>346</v>
      </c>
      <c r="BE37" s="166" ph="1">
        <v>0</v>
      </c>
    </row>
    <row r="38" spans="1:57" ph="1">
      <c r="AE38" s="64" ph="1"/>
      <c r="AH38" s="64" ph="1">
        <v>1</v>
      </c>
      <c r="AI38" s="64" t="s" ph="1">
        <v>403</v>
      </c>
      <c r="AY38" s="64" t="s" ph="1">
        <v>257</v>
      </c>
      <c r="AZ38" s="64" t="s" ph="1">
        <v>408</v>
      </c>
    </row>
    <row r="39" spans="1:57" ph="1">
      <c r="AH39" s="64" ph="1">
        <v>2</v>
      </c>
      <c r="AI39" s="64" t="s" ph="1">
        <v>405</v>
      </c>
      <c r="AJ39" s="64" t="s" ph="1">
        <v>377</v>
      </c>
      <c r="AK39" s="64" t="s" ph="1">
        <v>406</v>
      </c>
      <c r="AM39" s="64" t="s" ph="1">
        <v>611</v>
      </c>
      <c r="AN39" s="64" t="s" ph="1">
        <v>269</v>
      </c>
      <c r="AO39" s="64" t="s" ph="1">
        <v>404</v>
      </c>
      <c r="AY39" s="64" t="s" ph="1">
        <v>257</v>
      </c>
      <c r="AZ39" s="64" t="s" ph="1">
        <v>540</v>
      </c>
    </row>
    <row r="40" spans="1:57" ph="1">
      <c r="AH40" s="64" ph="1">
        <v>3</v>
      </c>
      <c r="AI40" s="64" t="s" ph="1">
        <v>407</v>
      </c>
      <c r="AJ40" s="64" t="s" ph="1">
        <v>611</v>
      </c>
      <c r="AK40" s="64" t="s" ph="1">
        <v>612</v>
      </c>
      <c r="AY40" s="64" t="s" ph="1">
        <v>257</v>
      </c>
      <c r="AZ40" s="64" t="s" ph="1">
        <v>612</v>
      </c>
    </row>
    <row r="41" spans="1:57" ph="1">
      <c r="AH41" s="64" ph="1">
        <v>4</v>
      </c>
      <c r="AI41" s="64" t="s" ph="1">
        <v>409</v>
      </c>
      <c r="AJ41" s="64" t="s" ph="1">
        <v>613</v>
      </c>
      <c r="AK41" s="64" t="s" ph="1">
        <v>614</v>
      </c>
      <c r="AM41" s="64" t="s" ph="1">
        <v>615</v>
      </c>
      <c r="AY41" s="64" t="s" ph="1">
        <v>257</v>
      </c>
      <c r="AZ41" s="64" t="s" ph="1">
        <v>614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410</v>
      </c>
      <c r="AY42" s="64" t="s" ph="1">
        <v>257</v>
      </c>
      <c r="AZ42" s="64" t="s" ph="1">
        <v>408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411</v>
      </c>
      <c r="AY43" s="64" t="s" ph="1">
        <v>257</v>
      </c>
      <c r="AZ43" s="64" t="s" ph="1">
        <v>408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412</v>
      </c>
      <c r="AV44" s="64" t="s" ph="1">
        <v>258</v>
      </c>
      <c r="AY44" s="64" t="s" ph="1">
        <v>257</v>
      </c>
      <c r="AZ44" s="64" t="s" ph="1">
        <v>408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413</v>
      </c>
      <c r="AV45" s="64" t="s" ph="1">
        <v>258</v>
      </c>
      <c r="AY45" s="64" t="s" ph="1">
        <v>257</v>
      </c>
      <c r="AZ45" s="64" t="s" ph="1">
        <v>408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414</v>
      </c>
      <c r="AV46" s="64" t="s" ph="1">
        <v>258</v>
      </c>
      <c r="AY46" s="64" t="s" ph="1">
        <v>257</v>
      </c>
      <c r="AZ46" s="64" t="s" ph="1">
        <v>408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415</v>
      </c>
      <c r="AV47" s="64" t="s" ph="1">
        <v>258</v>
      </c>
      <c r="AY47" s="64" t="s" ph="1">
        <v>257</v>
      </c>
      <c r="AZ47" s="64" t="s" ph="1">
        <v>408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616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273</v>
      </c>
      <c r="AI49" s="64" t="s" ph="1">
        <v>250</v>
      </c>
      <c r="AJ49" s="64" t="s" ph="1">
        <v>251</v>
      </c>
      <c r="AK49" s="64" t="s" ph="1">
        <v>252</v>
      </c>
      <c r="AM49" s="64" t="s" ph="1">
        <v>251</v>
      </c>
      <c r="AN49" s="64" t="s" ph="1">
        <v>252</v>
      </c>
      <c r="AO49" s="64" t="s" ph="1">
        <v>253</v>
      </c>
      <c r="AP49" s="64" t="s" ph="1">
        <v>251</v>
      </c>
      <c r="AQ49" s="64" t="s" ph="1">
        <v>252</v>
      </c>
      <c r="AR49" s="64" t="s" ph="1">
        <v>253</v>
      </c>
      <c r="AS49" s="64" t="s" ph="1">
        <v>251</v>
      </c>
      <c r="AT49" s="64" t="s" ph="1">
        <v>252</v>
      </c>
      <c r="AU49" s="64" t="s" ph="1">
        <v>253</v>
      </c>
      <c r="AV49" s="64" t="s" ph="1">
        <v>251</v>
      </c>
      <c r="AW49" s="64" t="s" ph="1">
        <v>252</v>
      </c>
      <c r="AX49" s="64" t="s" ph="1">
        <v>253</v>
      </c>
      <c r="AY49" s="64" t="s" ph="1">
        <v>252</v>
      </c>
      <c r="AZ49" s="64" t="s" ph="1">
        <v>254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416</v>
      </c>
      <c r="AY50" s="64" t="s" ph="1">
        <v>257</v>
      </c>
      <c r="AZ50" s="64" t="s" ph="1">
        <v>408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417</v>
      </c>
      <c r="AY51" s="64" t="s" ph="1">
        <v>257</v>
      </c>
      <c r="AZ51" s="64" t="s" ph="1">
        <v>408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418</v>
      </c>
      <c r="AJ52" s="64" t="s" ph="1">
        <v>375</v>
      </c>
      <c r="AK52" s="64" t="s" ph="1">
        <v>269</v>
      </c>
      <c r="AM52" s="64" t="s" ph="1">
        <v>377</v>
      </c>
      <c r="AN52" s="64" t="s" ph="1">
        <v>341</v>
      </c>
      <c r="AO52" s="64" t="s" ph="1">
        <v>274</v>
      </c>
      <c r="AP52" s="64" t="s" ph="1">
        <v>611</v>
      </c>
      <c r="AQ52" s="64" t="s" ph="1">
        <v>323</v>
      </c>
      <c r="AR52" s="64" t="s" ph="1">
        <v>274</v>
      </c>
      <c r="AY52" s="64" t="s" ph="1">
        <v>257</v>
      </c>
      <c r="AZ52" s="64" t="s" ph="1">
        <v>617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419</v>
      </c>
      <c r="AY53" s="64" t="s" ph="1">
        <v>257</v>
      </c>
      <c r="AZ53" s="64" t="s" ph="1">
        <v>408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420</v>
      </c>
      <c r="AJ54" s="64" t="s" ph="1">
        <v>375</v>
      </c>
      <c r="AK54" s="64" t="s" ph="1">
        <v>260</v>
      </c>
      <c r="AM54" s="64" t="s" ph="1">
        <v>377</v>
      </c>
      <c r="AN54" s="64" t="s" ph="1">
        <v>265</v>
      </c>
      <c r="AO54" s="64" t="s" ph="1">
        <v>274</v>
      </c>
      <c r="AP54" s="64" t="s" ph="1">
        <v>611</v>
      </c>
      <c r="AQ54" s="64" t="s" ph="1">
        <v>281</v>
      </c>
      <c r="AR54" s="64" t="s" ph="1">
        <v>274</v>
      </c>
      <c r="AY54" s="64" t="s" ph="1">
        <v>257</v>
      </c>
      <c r="AZ54" s="64" t="s" ph="1">
        <v>275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421</v>
      </c>
      <c r="AY55" s="64" t="s" ph="1">
        <v>257</v>
      </c>
      <c r="AZ55" s="64" t="s" ph="1">
        <v>408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422</v>
      </c>
      <c r="AY56" s="64" t="s" ph="1">
        <v>257</v>
      </c>
      <c r="AZ56" s="64" t="s" ph="1">
        <v>408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423</v>
      </c>
      <c r="AY57" s="64" t="s" ph="1">
        <v>257</v>
      </c>
      <c r="AZ57" s="64" t="s" ph="1">
        <v>408</v>
      </c>
    </row>
    <row r="58" spans="16:52" ph="1">
      <c r="P58" s="64"/>
      <c r="AN58" s="64" t="s" ph="1">
        <v>258</v>
      </c>
      <c r="AZ58" s="64" t="s" ph="1">
        <v>618</v>
      </c>
    </row>
    <row r="59" spans="16:52" ph="1">
      <c r="V59" s="64"/>
      <c r="AG59" s="64" t="s" ph="1">
        <v>276</v>
      </c>
      <c r="AI59" s="64" t="s" ph="1">
        <v>250</v>
      </c>
      <c r="AJ59" s="64" t="s" ph="1">
        <v>251</v>
      </c>
      <c r="AK59" s="64" t="s" ph="1">
        <v>252</v>
      </c>
      <c r="AM59" s="64" t="s" ph="1">
        <v>251</v>
      </c>
      <c r="AN59" s="64" t="s" ph="1">
        <v>252</v>
      </c>
      <c r="AO59" s="64" t="s" ph="1">
        <v>253</v>
      </c>
      <c r="AP59" s="64" t="s" ph="1">
        <v>251</v>
      </c>
      <c r="AQ59" s="64" t="s" ph="1">
        <v>252</v>
      </c>
      <c r="AR59" s="64" t="s" ph="1">
        <v>253</v>
      </c>
      <c r="AS59" s="64" t="s" ph="1">
        <v>251</v>
      </c>
      <c r="AT59" s="64" t="s" ph="1">
        <v>252</v>
      </c>
      <c r="AU59" s="64" t="s" ph="1">
        <v>253</v>
      </c>
      <c r="AV59" s="64" t="s" ph="1">
        <v>251</v>
      </c>
      <c r="AW59" s="64" t="s" ph="1">
        <v>252</v>
      </c>
      <c r="AX59" s="64" t="s" ph="1">
        <v>253</v>
      </c>
      <c r="AY59" s="64" t="s" ph="1">
        <v>252</v>
      </c>
      <c r="AZ59" s="64" t="s" ph="1">
        <v>254</v>
      </c>
    </row>
    <row r="60" spans="16:52" ph="1">
      <c r="R60" s="64"/>
      <c r="S60" s="64"/>
      <c r="T60" s="64"/>
      <c r="AH60" s="64" ph="1">
        <v>1</v>
      </c>
      <c r="AI60" s="64" t="s" ph="1">
        <v>424</v>
      </c>
      <c r="AY60" s="64" t="s" ph="1">
        <v>257</v>
      </c>
      <c r="AZ60" s="64" t="s" ph="1">
        <v>408</v>
      </c>
    </row>
    <row r="61" spans="16:52" ph="1">
      <c r="AH61" s="64" ph="1">
        <v>2</v>
      </c>
      <c r="AI61" s="64" t="s" ph="1">
        <v>425</v>
      </c>
      <c r="AS61" s="64" t="s" ph="1">
        <v>258</v>
      </c>
      <c r="AY61" s="64" t="s" ph="1">
        <v>257</v>
      </c>
      <c r="AZ61" s="64" t="s" ph="1">
        <v>408</v>
      </c>
    </row>
    <row r="62" spans="16:52" ph="1">
      <c r="AZ62" s="64" t="s" ph="1">
        <v>426</v>
      </c>
    </row>
    <row r="63" spans="16:52" ph="1">
      <c r="AG63" s="64" t="s" ph="1">
        <v>279</v>
      </c>
      <c r="AI63" s="64" t="s" ph="1">
        <v>250</v>
      </c>
      <c r="AJ63" s="64" t="s" ph="1">
        <v>251</v>
      </c>
      <c r="AK63" s="64" t="s" ph="1">
        <v>252</v>
      </c>
      <c r="AM63" s="64" t="s" ph="1">
        <v>251</v>
      </c>
      <c r="AN63" s="64" t="s" ph="1">
        <v>252</v>
      </c>
      <c r="AO63" s="64" t="s" ph="1">
        <v>253</v>
      </c>
      <c r="AP63" s="64" t="s" ph="1">
        <v>251</v>
      </c>
      <c r="AQ63" s="64" t="s" ph="1">
        <v>252</v>
      </c>
      <c r="AR63" s="64" t="s" ph="1">
        <v>253</v>
      </c>
      <c r="AS63" s="64" t="s" ph="1">
        <v>251</v>
      </c>
      <c r="AT63" s="64" t="s" ph="1">
        <v>252</v>
      </c>
      <c r="AU63" s="64" t="s" ph="1">
        <v>253</v>
      </c>
      <c r="AV63" s="64" t="s" ph="1">
        <v>251</v>
      </c>
      <c r="AW63" s="64" t="s" ph="1">
        <v>252</v>
      </c>
      <c r="AX63" s="64" t="s" ph="1">
        <v>253</v>
      </c>
      <c r="AY63" s="64" t="s" ph="1">
        <v>252</v>
      </c>
      <c r="AZ63" s="64" t="s" ph="1">
        <v>254</v>
      </c>
    </row>
    <row r="64" spans="16:52" ph="1">
      <c r="AH64" s="64" ph="1">
        <v>1</v>
      </c>
      <c r="AI64" s="64" t="s" ph="1">
        <v>427</v>
      </c>
      <c r="AJ64" s="64" t="s" ph="1">
        <v>428</v>
      </c>
      <c r="AK64" s="64" t="s" ph="1">
        <v>429</v>
      </c>
      <c r="AY64" s="64" t="s" ph="1">
        <v>257</v>
      </c>
      <c r="AZ64" s="64" t="s" ph="1">
        <v>429</v>
      </c>
    </row>
    <row r="65" spans="33:52" ph="1">
      <c r="AH65" s="64" ph="1">
        <v>2</v>
      </c>
      <c r="AI65" s="64" t="s" ph="1">
        <v>430</v>
      </c>
      <c r="AY65" s="64" t="s" ph="1">
        <v>257</v>
      </c>
      <c r="AZ65" s="64" t="s" ph="1">
        <v>408</v>
      </c>
    </row>
    <row r="66" spans="33:52" ph="1">
      <c r="AH66" s="64" ph="1">
        <v>3</v>
      </c>
      <c r="AI66" s="64" t="s" ph="1">
        <v>431</v>
      </c>
      <c r="AY66" s="64" t="s" ph="1">
        <v>257</v>
      </c>
      <c r="AZ66" s="64" t="s" ph="1">
        <v>408</v>
      </c>
    </row>
    <row r="67" spans="33:52" ph="1">
      <c r="AH67" s="64" ph="1">
        <v>4</v>
      </c>
      <c r="AI67" s="64" t="s" ph="1">
        <v>432</v>
      </c>
      <c r="AY67" s="64" t="s" ph="1">
        <v>257</v>
      </c>
      <c r="AZ67" s="64" t="s" ph="1">
        <v>408</v>
      </c>
    </row>
    <row r="68" spans="33:52" ph="1">
      <c r="AH68" s="64" ph="1">
        <v>5</v>
      </c>
      <c r="AI68" s="64" t="s" ph="1">
        <v>433</v>
      </c>
      <c r="AY68" s="64" t="s" ph="1">
        <v>257</v>
      </c>
      <c r="AZ68" s="64" t="s" ph="1">
        <v>408</v>
      </c>
    </row>
    <row r="69" spans="33:52" ph="1">
      <c r="AH69" s="64" ph="1">
        <v>6</v>
      </c>
      <c r="AI69" s="64" t="s" ph="1">
        <v>434</v>
      </c>
      <c r="AY69" s="64" t="s" ph="1">
        <v>257</v>
      </c>
      <c r="AZ69" s="64" t="s" ph="1">
        <v>408</v>
      </c>
    </row>
    <row r="70" spans="33:52" ph="1">
      <c r="AI70" s="64" t="s" ph="1">
        <v>435</v>
      </c>
      <c r="AY70" s="64" t="s" ph="1">
        <v>257</v>
      </c>
      <c r="AZ70" s="64" t="s" ph="1">
        <v>408</v>
      </c>
    </row>
    <row r="71" spans="33:52" ph="1">
      <c r="AH71" s="64" ph="1">
        <v>7</v>
      </c>
      <c r="AI71" s="64" t="s" ph="1">
        <v>436</v>
      </c>
      <c r="AJ71" s="64" t="s" ph="1">
        <v>375</v>
      </c>
      <c r="AK71" s="64" t="s" ph="1">
        <v>269</v>
      </c>
      <c r="AM71" s="64" t="s" ph="1">
        <v>377</v>
      </c>
      <c r="AN71" s="64" t="s" ph="1">
        <v>269</v>
      </c>
      <c r="AO71" s="64" t="s" ph="1">
        <v>437</v>
      </c>
      <c r="AP71" s="64" t="s" ph="1">
        <v>611</v>
      </c>
      <c r="AQ71" s="64" t="s" ph="1">
        <v>260</v>
      </c>
      <c r="AR71" s="64" t="s" ph="1">
        <v>437</v>
      </c>
      <c r="AY71" s="64" t="s" ph="1">
        <v>257</v>
      </c>
      <c r="AZ71" s="64" t="s" ph="1">
        <v>619</v>
      </c>
    </row>
    <row r="72" spans="33:52" ph="1">
      <c r="AZ72" s="64" t="s" ph="1">
        <v>620</v>
      </c>
    </row>
    <row r="73" spans="33:52" ph="1">
      <c r="AG73" s="64" t="s" ph="1">
        <v>282</v>
      </c>
      <c r="AI73" s="64" t="s" ph="1">
        <v>250</v>
      </c>
      <c r="AJ73" s="64" t="s" ph="1">
        <v>251</v>
      </c>
      <c r="AK73" s="64" t="s" ph="1">
        <v>252</v>
      </c>
      <c r="AM73" s="64" t="s" ph="1">
        <v>251</v>
      </c>
      <c r="AN73" s="64" t="s" ph="1">
        <v>252</v>
      </c>
      <c r="AO73" s="64" t="s" ph="1">
        <v>253</v>
      </c>
      <c r="AP73" s="64" t="s" ph="1">
        <v>251</v>
      </c>
      <c r="AQ73" s="64" t="s" ph="1">
        <v>252</v>
      </c>
      <c r="AR73" s="64" t="s" ph="1">
        <v>253</v>
      </c>
      <c r="AS73" s="64" t="s" ph="1">
        <v>251</v>
      </c>
      <c r="AT73" s="64" t="s" ph="1">
        <v>252</v>
      </c>
      <c r="AU73" s="64" t="s" ph="1">
        <v>253</v>
      </c>
      <c r="AV73" s="64" t="s" ph="1">
        <v>251</v>
      </c>
      <c r="AW73" s="64" t="s" ph="1">
        <v>252</v>
      </c>
      <c r="AX73" s="64" t="s" ph="1">
        <v>253</v>
      </c>
      <c r="AY73" s="64" t="s" ph="1">
        <v>252</v>
      </c>
      <c r="AZ73" s="64" t="s" ph="1">
        <v>254</v>
      </c>
    </row>
    <row r="74" spans="33:52" ph="1">
      <c r="AH74" s="64" ph="1">
        <v>1</v>
      </c>
      <c r="AI74" s="64" t="s" ph="1">
        <v>438</v>
      </c>
      <c r="AJ74" s="64" t="s" ph="1">
        <v>283</v>
      </c>
      <c r="AK74" s="64" t="s" ph="1">
        <v>265</v>
      </c>
      <c r="AM74" s="64" t="s" ph="1">
        <v>285</v>
      </c>
      <c r="AN74" s="64" t="s" ph="1">
        <v>295</v>
      </c>
      <c r="AO74" s="64" t="s" ph="1">
        <v>284</v>
      </c>
      <c r="AP74" s="64" t="s" ph="1">
        <v>286</v>
      </c>
      <c r="AQ74" s="64" t="s" ph="1">
        <v>263</v>
      </c>
      <c r="AR74" s="64" t="s" ph="1">
        <v>284</v>
      </c>
      <c r="AS74" s="64" t="s" ph="1">
        <v>256</v>
      </c>
      <c r="AT74" s="64" t="s" ph="1">
        <v>258</v>
      </c>
      <c r="AV74" s="64" t="s" ph="1">
        <v>439</v>
      </c>
      <c r="AW74" s="64" t="s" ph="1">
        <v>440</v>
      </c>
      <c r="AX74" s="64" t="s" ph="1">
        <v>441</v>
      </c>
      <c r="AY74" s="64" t="s" ph="1">
        <v>257</v>
      </c>
      <c r="AZ74" s="64" t="s" ph="1">
        <v>442</v>
      </c>
    </row>
    <row r="75" spans="33:52" ph="1">
      <c r="AJ75" s="64" t="s" ph="1">
        <v>288</v>
      </c>
      <c r="AK75" s="64" t="s" ph="1">
        <v>341</v>
      </c>
      <c r="AM75" s="64" t="s" ph="1">
        <v>286</v>
      </c>
      <c r="AN75" s="64" t="s" ph="1">
        <v>266</v>
      </c>
      <c r="AO75" s="64" t="s" ph="1">
        <v>284</v>
      </c>
      <c r="AS75" s="64" t="s" ph="1">
        <v>256</v>
      </c>
      <c r="AT75" s="64" t="s" ph="1">
        <v>287</v>
      </c>
    </row>
    <row r="76" spans="33:52" ph="1">
      <c r="AJ76" s="64" t="s" ph="1">
        <v>288</v>
      </c>
      <c r="AK76" s="64" t="s" ph="1">
        <v>281</v>
      </c>
      <c r="AM76" s="64" t="s" ph="1">
        <v>286</v>
      </c>
      <c r="AN76" s="64" t="s" ph="1">
        <v>269</v>
      </c>
      <c r="AO76" s="64" t="s" ph="1">
        <v>284</v>
      </c>
      <c r="AS76" s="64" t="s" ph="1">
        <v>256</v>
      </c>
      <c r="AT76" s="64" t="s" ph="1">
        <v>287</v>
      </c>
    </row>
    <row r="77" spans="33:52" ph="1">
      <c r="AJ77" s="64" t="s" ph="1">
        <v>324</v>
      </c>
      <c r="AK77" s="64" t="s" ph="1">
        <v>281</v>
      </c>
      <c r="AM77" s="64" t="s" ph="1">
        <v>325</v>
      </c>
      <c r="AN77" s="64" t="s" ph="1">
        <v>264</v>
      </c>
      <c r="AO77" s="64" t="s" ph="1">
        <v>284</v>
      </c>
      <c r="AS77" s="64" t="s" ph="1">
        <v>256</v>
      </c>
      <c r="AT77" s="64" t="s" ph="1">
        <v>326</v>
      </c>
    </row>
    <row r="78" spans="33:52" ph="1">
      <c r="AH78" s="64" ph="1">
        <v>2</v>
      </c>
      <c r="AI78" s="64" t="s" ph="1">
        <v>290</v>
      </c>
      <c r="AJ78" s="64" t="s" ph="1">
        <v>291</v>
      </c>
      <c r="AK78" s="64" t="s" ph="1">
        <v>260</v>
      </c>
      <c r="AM78" s="64" t="s" ph="1">
        <v>292</v>
      </c>
      <c r="AN78" s="64" t="s" ph="1">
        <v>295</v>
      </c>
      <c r="AO78" s="64" t="s" ph="1">
        <v>284</v>
      </c>
      <c r="AP78" s="64" t="s" ph="1">
        <v>293</v>
      </c>
      <c r="AQ78" s="64" t="s" ph="1">
        <v>339</v>
      </c>
      <c r="AR78" s="64" t="s" ph="1">
        <v>284</v>
      </c>
      <c r="AS78" s="64" t="s" ph="1">
        <v>294</v>
      </c>
      <c r="AT78" s="64" t="s" ph="1">
        <v>295</v>
      </c>
      <c r="AU78" s="64" t="s" ph="1">
        <v>284</v>
      </c>
      <c r="AV78" s="64" t="s" ph="1">
        <v>296</v>
      </c>
      <c r="AW78" s="64" t="s" ph="1">
        <v>284</v>
      </c>
      <c r="AY78" s="64" t="s" ph="1">
        <v>257</v>
      </c>
      <c r="AZ78" s="64" t="s" ph="1">
        <v>443</v>
      </c>
    </row>
    <row r="79" spans="33:52" ph="1">
      <c r="AJ79" s="64" t="s" ph="1">
        <v>286</v>
      </c>
      <c r="AK79" s="64" t="s" ph="1">
        <v>297</v>
      </c>
      <c r="AM79" s="64" t="s" ph="1">
        <v>298</v>
      </c>
      <c r="AN79" s="64" t="s" ph="1">
        <v>266</v>
      </c>
      <c r="AO79" s="64" t="s" ph="1">
        <v>284</v>
      </c>
      <c r="AP79" s="64" t="s" ph="1">
        <v>299</v>
      </c>
      <c r="AQ79" s="64" t="s" ph="1">
        <v>264</v>
      </c>
      <c r="AR79" s="64" t="s" ph="1">
        <v>300</v>
      </c>
      <c r="AS79" s="64" t="s" ph="1">
        <v>256</v>
      </c>
      <c r="AT79" s="64" t="s" ph="1">
        <v>301</v>
      </c>
      <c r="AV79" s="64" t="s" ph="1">
        <v>444</v>
      </c>
      <c r="AW79" s="64" t="s" ph="1">
        <v>343</v>
      </c>
      <c r="AX79" s="64" t="s" ph="1">
        <v>441</v>
      </c>
    </row>
    <row r="80" spans="33:52" ph="1">
      <c r="AH80" s="64" ph="1">
        <v>3</v>
      </c>
      <c r="AI80" s="64" t="s" ph="1">
        <v>302</v>
      </c>
      <c r="AJ80" s="64" t="s" ph="1">
        <v>303</v>
      </c>
      <c r="AK80" s="64" t="s" ph="1">
        <v>304</v>
      </c>
      <c r="AM80" s="64" t="s" ph="1">
        <v>305</v>
      </c>
      <c r="AN80" s="64" t="s" ph="1">
        <v>295</v>
      </c>
      <c r="AO80" s="64" t="s" ph="1">
        <v>284</v>
      </c>
      <c r="AP80" s="64" t="s" ph="1">
        <v>306</v>
      </c>
      <c r="AQ80" s="64" t="s" ph="1">
        <v>269</v>
      </c>
      <c r="AR80" s="64" t="s" ph="1">
        <v>284</v>
      </c>
      <c r="AS80" s="64" t="s" ph="1">
        <v>307</v>
      </c>
      <c r="AT80" s="64" t="s" ph="1">
        <v>268</v>
      </c>
      <c r="AU80" s="64" t="s" ph="1">
        <v>284</v>
      </c>
      <c r="AV80" s="64" t="s" ph="1">
        <v>308</v>
      </c>
      <c r="AW80" s="64" t="s" ph="1">
        <v>284</v>
      </c>
      <c r="AY80" s="64" t="s" ph="1">
        <v>257</v>
      </c>
      <c r="AZ80" s="64" t="s" ph="1">
        <v>445</v>
      </c>
    </row>
    <row r="81" spans="34:52" ph="1">
      <c r="AJ81" s="64" t="s" ph="1">
        <v>309</v>
      </c>
      <c r="AK81" s="64" t="s" ph="1">
        <v>263</v>
      </c>
      <c r="AM81" s="64" t="s" ph="1">
        <v>310</v>
      </c>
      <c r="AN81" s="64" t="s" ph="1">
        <v>266</v>
      </c>
      <c r="AO81" s="64" t="s" ph="1">
        <v>284</v>
      </c>
      <c r="AP81" s="64" t="s" ph="1">
        <v>311</v>
      </c>
      <c r="AQ81" s="64" t="s" ph="1">
        <v>295</v>
      </c>
      <c r="AR81" s="64" t="s" ph="1">
        <v>284</v>
      </c>
      <c r="AS81" s="64" t="s" ph="1">
        <v>312</v>
      </c>
      <c r="AT81" s="64" t="s" ph="1">
        <v>313</v>
      </c>
      <c r="AU81" s="64" t="s" ph="1">
        <v>284</v>
      </c>
      <c r="AV81" s="64" t="s" ph="1">
        <v>314</v>
      </c>
    </row>
    <row r="82" spans="34:52" ph="1">
      <c r="AJ82" s="64" t="s" ph="1">
        <v>315</v>
      </c>
      <c r="AK82" s="64" t="s" ph="1">
        <v>263</v>
      </c>
      <c r="AM82" s="64" t="s" ph="1">
        <v>316</v>
      </c>
      <c r="AN82" s="64" t="s" ph="1">
        <v>313</v>
      </c>
      <c r="AO82" s="64" t="s" ph="1">
        <v>317</v>
      </c>
      <c r="AP82" s="64" t="s" ph="1">
        <v>318</v>
      </c>
      <c r="AQ82" s="64" t="s" ph="1">
        <v>295</v>
      </c>
      <c r="AR82" s="64" t="s" ph="1">
        <v>284</v>
      </c>
      <c r="AS82" s="64" t="s" ph="1">
        <v>319</v>
      </c>
      <c r="AT82" s="64" t="s" ph="1">
        <v>270</v>
      </c>
      <c r="AU82" s="64" t="s" ph="1">
        <v>284</v>
      </c>
      <c r="AV82" s="64" t="s" ph="1">
        <v>444</v>
      </c>
      <c r="AW82" s="64" t="s" ph="1">
        <v>344</v>
      </c>
      <c r="AX82" s="64" t="s" ph="1">
        <v>441</v>
      </c>
    </row>
    <row r="83" spans="34:52" ph="1">
      <c r="AJ83" s="64" t="s" ph="1">
        <v>320</v>
      </c>
      <c r="AK83" s="64" t="s" ph="1">
        <v>337</v>
      </c>
      <c r="AM83" s="64" t="s" ph="1">
        <v>321</v>
      </c>
      <c r="AN83" s="64" t="s" ph="1">
        <v>269</v>
      </c>
      <c r="AO83" s="64" t="s" ph="1">
        <v>300</v>
      </c>
      <c r="AP83" s="64" t="s" ph="1">
        <v>322</v>
      </c>
      <c r="AQ83" s="64" t="s" ph="1">
        <v>323</v>
      </c>
      <c r="AR83" s="64" t="s" ph="1">
        <v>300</v>
      </c>
      <c r="AS83" s="64" t="s" ph="1">
        <v>446</v>
      </c>
      <c r="AT83" s="64" t="s" ph="1">
        <v>295</v>
      </c>
      <c r="AU83" s="64" t="s" ph="1">
        <v>300</v>
      </c>
      <c r="AV83" s="64" t="s" ph="1">
        <v>447</v>
      </c>
      <c r="AW83" s="64" t="s" ph="1">
        <v>344</v>
      </c>
      <c r="AX83" s="64" t="s" ph="1">
        <v>448</v>
      </c>
    </row>
    <row r="84" spans="34:52" ph="1">
      <c r="AH84" s="64" ph="1">
        <v>4</v>
      </c>
      <c r="AI84" s="64" t="s" ph="1">
        <v>327</v>
      </c>
      <c r="AJ84" s="64" t="s" ph="1">
        <v>267</v>
      </c>
      <c r="AK84" s="64" t="s" ph="1">
        <v>270</v>
      </c>
      <c r="AM84" s="64" t="s" ph="1">
        <v>271</v>
      </c>
      <c r="AN84" s="64" t="s" ph="1">
        <v>264</v>
      </c>
      <c r="AO84" s="64" t="s" ph="1">
        <v>300</v>
      </c>
      <c r="AP84" s="64" t="s" ph="1">
        <v>329</v>
      </c>
      <c r="AQ84" s="64" t="s" ph="1">
        <v>263</v>
      </c>
      <c r="AR84" s="64" t="s" ph="1">
        <v>300</v>
      </c>
      <c r="AS84" s="64" t="s" ph="1">
        <v>329</v>
      </c>
      <c r="AT84" s="64" t="s" ph="1">
        <v>265</v>
      </c>
      <c r="AU84" s="64" t="s" ph="1">
        <v>300</v>
      </c>
      <c r="AY84" s="64" t="s" ph="1">
        <v>257</v>
      </c>
      <c r="AZ84" s="64" t="s" ph="1">
        <v>449</v>
      </c>
    </row>
    <row r="85" spans="34:52" ph="1">
      <c r="AJ85" s="64" t="s" ph="1">
        <v>259</v>
      </c>
      <c r="AK85" s="64" t="s" ph="1">
        <v>263</v>
      </c>
      <c r="AM85" s="64" t="s" ph="1">
        <v>450</v>
      </c>
      <c r="AN85" s="64" t="s" ph="1">
        <v>270</v>
      </c>
      <c r="AO85" s="64" t="s" ph="1">
        <v>300</v>
      </c>
      <c r="AP85" s="64" t="s" ph="1">
        <v>451</v>
      </c>
      <c r="AQ85" s="64" t="s" ph="1">
        <v>266</v>
      </c>
      <c r="AR85" s="64" t="s" ph="1">
        <v>300</v>
      </c>
      <c r="AS85" s="64" t="s" ph="1">
        <v>452</v>
      </c>
      <c r="AT85" s="64" t="s" ph="1">
        <v>266</v>
      </c>
      <c r="AU85" s="64" t="s" ph="1">
        <v>300</v>
      </c>
    </row>
    <row r="86" spans="34:52" ph="1">
      <c r="AJ86" s="64" t="s" ph="1">
        <v>453</v>
      </c>
      <c r="AK86" s="64" t="s" ph="1">
        <v>272</v>
      </c>
      <c r="AM86" s="64" t="s" ph="1">
        <v>454</v>
      </c>
      <c r="AN86" s="64" t="s" ph="1">
        <v>313</v>
      </c>
      <c r="AO86" s="64" t="s" ph="1">
        <v>300</v>
      </c>
      <c r="AP86" s="64" t="s" ph="1">
        <v>455</v>
      </c>
      <c r="AQ86" s="64" t="s" ph="1">
        <v>260</v>
      </c>
      <c r="AR86" s="64" t="s" ph="1">
        <v>300</v>
      </c>
      <c r="AS86" s="64" t="s" ph="1">
        <v>456</v>
      </c>
      <c r="AT86" s="64" t="s" ph="1">
        <v>278</v>
      </c>
      <c r="AU86" s="64" t="s" ph="1">
        <v>300</v>
      </c>
    </row>
    <row r="87" spans="34:52" ph="1">
      <c r="AJ87" s="64" t="s" ph="1">
        <v>457</v>
      </c>
      <c r="AK87" s="64" t="s" ph="1">
        <v>313</v>
      </c>
      <c r="AM87" s="64" t="s" ph="1">
        <v>444</v>
      </c>
      <c r="AN87" s="64" t="s" ph="1">
        <v>458</v>
      </c>
      <c r="AO87" s="64" t="s" ph="1">
        <v>441</v>
      </c>
    </row>
    <row r="88" spans="34:52" ph="1">
      <c r="AH88" s="64" ph="1">
        <v>5</v>
      </c>
      <c r="AI88" s="64" t="s" ph="1">
        <v>330</v>
      </c>
      <c r="AJ88" s="64" t="s" ph="1">
        <v>459</v>
      </c>
      <c r="AK88" s="64" t="s" ph="1">
        <v>313</v>
      </c>
      <c r="AM88" s="64" t="s" ph="1">
        <v>460</v>
      </c>
      <c r="AN88" s="64" t="s" ph="1">
        <v>313</v>
      </c>
      <c r="AO88" s="64" t="s" ph="1">
        <v>300</v>
      </c>
      <c r="AP88" s="64" t="s" ph="1">
        <v>461</v>
      </c>
      <c r="AQ88" s="64" t="s" ph="1">
        <v>263</v>
      </c>
      <c r="AR88" s="64" t="s" ph="1">
        <v>300</v>
      </c>
      <c r="AS88" s="64" t="s" ph="1">
        <v>462</v>
      </c>
      <c r="AT88" s="64" t="s" ph="1">
        <v>313</v>
      </c>
      <c r="AU88" s="64" t="s" ph="1">
        <v>300</v>
      </c>
      <c r="AV88" s="64" t="s" ph="1">
        <v>463</v>
      </c>
      <c r="AW88" s="64" t="s" ph="1">
        <v>268</v>
      </c>
      <c r="AX88" s="64" t="s" ph="1">
        <v>300</v>
      </c>
      <c r="AY88" s="64" t="s" ph="1">
        <v>257</v>
      </c>
      <c r="AZ88" s="64" t="s" ph="1">
        <v>464</v>
      </c>
    </row>
    <row r="89" spans="34:52" ph="1">
      <c r="AJ89" s="64" t="s" ph="1">
        <v>465</v>
      </c>
      <c r="AK89" s="64" t="s" ph="1">
        <v>266</v>
      </c>
      <c r="AM89" s="64" t="s" ph="1">
        <v>466</v>
      </c>
      <c r="AN89" s="64" t="s" ph="1">
        <v>269</v>
      </c>
      <c r="AO89" s="64" t="s" ph="1">
        <v>300</v>
      </c>
      <c r="AP89" s="64" t="s" ph="1">
        <v>467</v>
      </c>
      <c r="AQ89" s="64" t="s" ph="1">
        <v>278</v>
      </c>
      <c r="AR89" s="64" t="s" ph="1">
        <v>300</v>
      </c>
      <c r="AS89" s="64" t="s" ph="1">
        <v>468</v>
      </c>
      <c r="AT89" s="64" t="s" ph="1">
        <v>313</v>
      </c>
      <c r="AU89" s="64" t="s" ph="1">
        <v>300</v>
      </c>
      <c r="AV89" s="64" t="s" ph="1">
        <v>469</v>
      </c>
      <c r="AW89" s="64" t="s" ph="1">
        <v>295</v>
      </c>
      <c r="AX89" s="64" t="s" ph="1">
        <v>328</v>
      </c>
    </row>
    <row r="90" spans="34:52" ph="1">
      <c r="AJ90" s="64" t="s" ph="1">
        <v>470</v>
      </c>
      <c r="AK90" s="64" t="s" ph="1">
        <v>269</v>
      </c>
      <c r="AM90" s="64" t="s" ph="1">
        <v>471</v>
      </c>
      <c r="AN90" s="64" t="s" ph="1">
        <v>266</v>
      </c>
      <c r="AO90" s="64" t="s" ph="1">
        <v>300</v>
      </c>
      <c r="AP90" s="64" t="s" ph="1">
        <v>472</v>
      </c>
      <c r="AQ90" s="64" t="s" ph="1">
        <v>335</v>
      </c>
      <c r="AR90" s="64" t="s" ph="1">
        <v>300</v>
      </c>
      <c r="AS90" s="64" t="s" ph="1">
        <v>473</v>
      </c>
      <c r="AT90" s="64" t="s" ph="1">
        <v>323</v>
      </c>
      <c r="AU90" s="64" t="s" ph="1">
        <v>300</v>
      </c>
      <c r="AV90" s="64" t="s" ph="1">
        <v>474</v>
      </c>
      <c r="AW90" s="64" t="s" ph="1">
        <v>260</v>
      </c>
      <c r="AX90" s="64" t="s" ph="1">
        <v>300</v>
      </c>
    </row>
    <row r="91" spans="34:52" ph="1">
      <c r="AJ91" s="64" t="s" ph="1">
        <v>475</v>
      </c>
      <c r="AK91" s="64" t="s" ph="1">
        <v>313</v>
      </c>
      <c r="AM91" s="64" t="s" ph="1">
        <v>476</v>
      </c>
      <c r="AN91" s="64" t="s" ph="1">
        <v>280</v>
      </c>
      <c r="AO91" s="64" t="s" ph="1">
        <v>300</v>
      </c>
      <c r="AP91" s="64" t="s" ph="1">
        <v>477</v>
      </c>
      <c r="AQ91" s="64" t="s" ph="1">
        <v>260</v>
      </c>
      <c r="AS91" s="64" t="s" ph="1">
        <v>444</v>
      </c>
      <c r="AT91" s="64" t="s" ph="1">
        <v>440</v>
      </c>
      <c r="AU91" s="64" t="s" ph="1">
        <v>441</v>
      </c>
    </row>
    <row r="92" spans="34:52" ph="1">
      <c r="AH92" s="64" ph="1">
        <v>6</v>
      </c>
      <c r="AI92" s="64" t="s" ph="1">
        <v>478</v>
      </c>
      <c r="AJ92" s="64" t="s" ph="1">
        <v>479</v>
      </c>
      <c r="AK92" s="64" t="s" ph="1">
        <v>408</v>
      </c>
      <c r="AM92" s="64" t="s" ph="1">
        <v>480</v>
      </c>
      <c r="AN92" s="64" t="s" ph="1">
        <v>268</v>
      </c>
      <c r="AO92" s="64" t="s" ph="1">
        <v>300</v>
      </c>
      <c r="AP92" s="64" t="s" ph="1">
        <v>481</v>
      </c>
      <c r="AQ92" s="64" t="s" ph="1">
        <v>340</v>
      </c>
      <c r="AR92" s="64" t="s" ph="1">
        <v>300</v>
      </c>
      <c r="AS92" s="64" t="s" ph="1">
        <v>482</v>
      </c>
      <c r="AT92" s="64" t="s" ph="1">
        <v>313</v>
      </c>
      <c r="AU92" s="64" t="s" ph="1">
        <v>300</v>
      </c>
      <c r="AV92" s="64" t="s" ph="1">
        <v>483</v>
      </c>
      <c r="AW92" s="64" t="s" ph="1">
        <v>269</v>
      </c>
      <c r="AX92" s="64" t="s" ph="1">
        <v>300</v>
      </c>
      <c r="AY92" s="64" t="s" ph="1">
        <v>257</v>
      </c>
      <c r="AZ92" s="64" t="s" ph="1">
        <v>464</v>
      </c>
    </row>
    <row r="93" spans="34:52" ph="1">
      <c r="AJ93" s="64" t="s" ph="1">
        <v>484</v>
      </c>
      <c r="AK93" s="64" t="s" ph="1">
        <v>263</v>
      </c>
      <c r="AM93" s="64" t="s" ph="1">
        <v>485</v>
      </c>
      <c r="AN93" s="64" t="s" ph="1">
        <v>268</v>
      </c>
      <c r="AO93" s="64" t="s" ph="1">
        <v>300</v>
      </c>
      <c r="AP93" s="64" t="s" ph="1">
        <v>486</v>
      </c>
      <c r="AQ93" s="64" t="s" ph="1">
        <v>272</v>
      </c>
      <c r="AR93" s="64" t="s" ph="1">
        <v>300</v>
      </c>
      <c r="AS93" s="64" t="s" ph="1">
        <v>487</v>
      </c>
      <c r="AT93" s="64" t="s" ph="1">
        <v>278</v>
      </c>
      <c r="AU93" s="64" t="s" ph="1">
        <v>300</v>
      </c>
      <c r="AV93" s="64" t="s" ph="1">
        <v>488</v>
      </c>
      <c r="AW93" s="64" t="s" ph="1">
        <v>272</v>
      </c>
      <c r="AX93" s="64" t="s" ph="1">
        <v>300</v>
      </c>
    </row>
    <row r="94" spans="34:52" ph="1">
      <c r="AJ94" s="64" t="s" ph="1">
        <v>489</v>
      </c>
      <c r="AK94" s="64" t="s" ph="1">
        <v>335</v>
      </c>
      <c r="AM94" s="64" t="s" ph="1">
        <v>490</v>
      </c>
      <c r="AN94" s="64" t="s" ph="1">
        <v>272</v>
      </c>
      <c r="AO94" s="64" t="s" ph="1">
        <v>300</v>
      </c>
      <c r="AP94" s="64" t="s" ph="1">
        <v>491</v>
      </c>
      <c r="AQ94" s="64" t="s" ph="1">
        <v>280</v>
      </c>
      <c r="AR94" s="64" t="s" ph="1">
        <v>300</v>
      </c>
      <c r="AS94" s="64" t="s" ph="1">
        <v>492</v>
      </c>
      <c r="AT94" s="64" t="s" ph="1">
        <v>266</v>
      </c>
      <c r="AU94" s="64" t="s" ph="1">
        <v>300</v>
      </c>
      <c r="AV94" s="64" t="s" ph="1">
        <v>493</v>
      </c>
      <c r="AW94" s="64" t="s" ph="1">
        <v>266</v>
      </c>
      <c r="AX94" s="64" t="s" ph="1">
        <v>300</v>
      </c>
    </row>
    <row r="95" spans="34:52" ph="1">
      <c r="AJ95" s="64" t="s" ph="1">
        <v>494</v>
      </c>
      <c r="AK95" s="64" t="s" ph="1">
        <v>340</v>
      </c>
    </row>
    <row r="96" spans="34:52" ph="1">
      <c r="AH96" s="64" ph="1">
        <v>7</v>
      </c>
      <c r="AI96" s="64" t="s" ph="1">
        <v>495</v>
      </c>
      <c r="AJ96" s="64" t="s" ph="1">
        <v>494</v>
      </c>
      <c r="AK96" s="64" t="s" ph="1">
        <v>295</v>
      </c>
      <c r="AM96" s="64" t="s" ph="1">
        <v>496</v>
      </c>
      <c r="AN96" s="64" t="s" ph="1">
        <v>269</v>
      </c>
      <c r="AO96" s="64" t="s" ph="1">
        <v>300</v>
      </c>
      <c r="AP96" s="64" t="s" ph="1">
        <v>497</v>
      </c>
      <c r="AQ96" s="64" t="s" ph="1">
        <v>313</v>
      </c>
      <c r="AR96" s="64" t="s" ph="1">
        <v>328</v>
      </c>
      <c r="AS96" s="64" t="s" ph="1">
        <v>498</v>
      </c>
      <c r="AT96" s="64" t="s" ph="1">
        <v>272</v>
      </c>
      <c r="AU96" s="64" t="s" ph="1">
        <v>328</v>
      </c>
      <c r="AV96" s="64" t="s" ph="1">
        <v>499</v>
      </c>
      <c r="AW96" s="64" t="s" ph="1">
        <v>268</v>
      </c>
      <c r="AX96" s="64" t="s" ph="1">
        <v>328</v>
      </c>
      <c r="AY96" s="64" t="s" ph="1">
        <v>257</v>
      </c>
      <c r="AZ96" s="64" t="s" ph="1">
        <v>500</v>
      </c>
    </row>
    <row r="97" spans="33:52" ph="1">
      <c r="AJ97" s="64" t="s" ph="1">
        <v>501</v>
      </c>
      <c r="AK97" s="64" t="s" ph="1">
        <v>323</v>
      </c>
      <c r="AM97" s="64" t="s" ph="1">
        <v>502</v>
      </c>
      <c r="AN97" s="64" t="s" ph="1">
        <v>266</v>
      </c>
      <c r="AO97" s="64" t="s" ph="1">
        <v>300</v>
      </c>
      <c r="AP97" s="64" t="s" ph="1">
        <v>503</v>
      </c>
      <c r="AQ97" s="64" t="s" ph="1">
        <v>260</v>
      </c>
      <c r="AR97" s="64" t="s" ph="1">
        <v>328</v>
      </c>
      <c r="AS97" s="64" t="s" ph="1">
        <v>504</v>
      </c>
      <c r="AT97" s="64" t="s" ph="1">
        <v>263</v>
      </c>
      <c r="AU97" s="64" t="s" ph="1">
        <v>328</v>
      </c>
      <c r="AV97" s="64" t="s" ph="1">
        <v>505</v>
      </c>
      <c r="AW97" s="64" t="s" ph="1">
        <v>269</v>
      </c>
      <c r="AX97" s="64" t="s" ph="1">
        <v>328</v>
      </c>
    </row>
    <row r="98" spans="33:52" ph="1">
      <c r="AJ98" s="64" t="s" ph="1">
        <v>506</v>
      </c>
      <c r="AK98" s="64" t="s" ph="1">
        <v>272</v>
      </c>
      <c r="AM98" s="64" t="s" ph="1">
        <v>507</v>
      </c>
      <c r="AN98" s="64" t="s" ph="1">
        <v>280</v>
      </c>
      <c r="AO98" s="64" t="s" ph="1">
        <v>300</v>
      </c>
      <c r="AP98" s="64" t="s" ph="1">
        <v>508</v>
      </c>
      <c r="AQ98" s="64" t="s" ph="1">
        <v>260</v>
      </c>
      <c r="AR98" s="64" t="s" ph="1">
        <v>328</v>
      </c>
      <c r="AS98" s="64" t="s" ph="1">
        <v>509</v>
      </c>
      <c r="AT98" s="64" t="s" ph="1">
        <v>340</v>
      </c>
      <c r="AU98" s="64" t="s" ph="1">
        <v>328</v>
      </c>
      <c r="AV98" s="64" t="s" ph="1">
        <v>510</v>
      </c>
      <c r="AW98" s="64" t="s" ph="1">
        <v>263</v>
      </c>
      <c r="AX98" s="64" t="s" ph="1">
        <v>328</v>
      </c>
    </row>
    <row r="99" spans="33:52" ph="1">
      <c r="AH99" s="64" ph="1">
        <v>8</v>
      </c>
      <c r="AI99" s="64" t="s" ph="1">
        <v>511</v>
      </c>
      <c r="AJ99" s="64" t="s" ph="1">
        <v>512</v>
      </c>
      <c r="AK99" s="64" t="s" ph="1">
        <v>408</v>
      </c>
      <c r="AM99" s="64" t="s" ph="1">
        <v>513</v>
      </c>
      <c r="AN99" s="64" t="s" ph="1">
        <v>295</v>
      </c>
      <c r="AO99" s="64" t="s" ph="1">
        <v>300</v>
      </c>
      <c r="AP99" s="64" t="s" ph="1">
        <v>514</v>
      </c>
      <c r="AQ99" s="64" t="s" ph="1">
        <v>265</v>
      </c>
      <c r="AR99" s="64" t="s" ph="1">
        <v>328</v>
      </c>
      <c r="AS99" s="64" t="s" ph="1">
        <v>515</v>
      </c>
      <c r="AT99" s="64" t="s" ph="1">
        <v>280</v>
      </c>
      <c r="AU99" s="64" t="s" ph="1">
        <v>328</v>
      </c>
      <c r="AV99" s="64" t="s" ph="1">
        <v>516</v>
      </c>
      <c r="AW99" s="64" t="s" ph="1">
        <v>265</v>
      </c>
      <c r="AX99" s="64" t="s" ph="1">
        <v>328</v>
      </c>
      <c r="AY99" s="64" t="s" ph="1">
        <v>257</v>
      </c>
      <c r="AZ99" s="64" t="s" ph="1">
        <v>517</v>
      </c>
    </row>
    <row r="100" spans="33:52" ph="1">
      <c r="AJ100" s="64" t="s" ph="1">
        <v>518</v>
      </c>
      <c r="AK100" s="64" t="s" ph="1">
        <v>263</v>
      </c>
      <c r="AM100" s="64" t="s" ph="1">
        <v>519</v>
      </c>
      <c r="AN100" s="64" t="s" ph="1">
        <v>335</v>
      </c>
      <c r="AO100" s="64" t="s" ph="1">
        <v>300</v>
      </c>
      <c r="AP100" s="64" t="s" ph="1">
        <v>520</v>
      </c>
      <c r="AQ100" s="64" t="s" ph="1">
        <v>341</v>
      </c>
      <c r="AR100" s="64" t="s" ph="1">
        <v>328</v>
      </c>
      <c r="AS100" s="64" t="s" ph="1">
        <v>521</v>
      </c>
      <c r="AT100" s="64" t="s" ph="1">
        <v>408</v>
      </c>
      <c r="AU100" s="64" t="s" ph="1">
        <v>300</v>
      </c>
      <c r="AV100" s="64" t="s" ph="1">
        <v>522</v>
      </c>
      <c r="AW100" s="64" t="s" ph="1">
        <v>408</v>
      </c>
      <c r="AX100" s="64" t="s" ph="1">
        <v>300</v>
      </c>
    </row>
    <row r="101" spans="33:52" ph="1">
      <c r="AJ101" s="64" t="s" ph="1">
        <v>523</v>
      </c>
      <c r="AK101" s="64" t="s" ph="1">
        <v>408</v>
      </c>
      <c r="AM101" s="64" t="s" ph="1">
        <v>524</v>
      </c>
      <c r="AN101" s="64" t="s" ph="1">
        <v>266</v>
      </c>
      <c r="AO101" s="64" t="s" ph="1">
        <v>300</v>
      </c>
      <c r="AP101" s="64" t="s" ph="1">
        <v>525</v>
      </c>
      <c r="AQ101" s="64" t="s" ph="1">
        <v>278</v>
      </c>
      <c r="AR101" s="64" t="s" ph="1">
        <v>328</v>
      </c>
      <c r="AS101" s="64" t="s" ph="1">
        <v>526</v>
      </c>
      <c r="AT101" s="64" t="s" ph="1">
        <v>335</v>
      </c>
      <c r="AU101" s="64" t="s" ph="1">
        <v>328</v>
      </c>
      <c r="AV101" s="64" t="s" ph="1">
        <v>527</v>
      </c>
      <c r="AW101" s="64" t="s" ph="1">
        <v>266</v>
      </c>
      <c r="AX101" s="64" t="s" ph="1">
        <v>300</v>
      </c>
    </row>
    <row r="102" spans="33:52" ph="1">
      <c r="AJ102" s="64" t="s" ph="1">
        <v>528</v>
      </c>
      <c r="AK102" s="64" t="s" ph="1">
        <v>263</v>
      </c>
      <c r="AM102" s="64" t="s" ph="1">
        <v>529</v>
      </c>
      <c r="AN102" s="64" t="s" ph="1">
        <v>272</v>
      </c>
      <c r="AO102" s="64" t="s" ph="1">
        <v>300</v>
      </c>
      <c r="AP102" s="64" t="s" ph="1">
        <v>530</v>
      </c>
      <c r="AQ102" s="64" t="s" ph="1">
        <v>278</v>
      </c>
      <c r="AR102" s="64" t="s" ph="1">
        <v>300</v>
      </c>
      <c r="AS102" s="64" t="s" ph="1">
        <v>531</v>
      </c>
      <c r="AT102" s="64" t="s" ph="1">
        <v>295</v>
      </c>
      <c r="AU102" s="64" t="s" ph="1">
        <v>300</v>
      </c>
      <c r="AV102" s="64" t="s" ph="1">
        <v>532</v>
      </c>
      <c r="AW102" s="64" t="s" ph="1">
        <v>313</v>
      </c>
      <c r="AX102" s="64" t="s" ph="1">
        <v>300</v>
      </c>
    </row>
    <row r="103" spans="33:52" ph="1">
      <c r="AH103" s="64" ph="1">
        <v>9</v>
      </c>
      <c r="AI103" s="64" t="s" ph="1">
        <v>533</v>
      </c>
      <c r="AJ103" s="64" t="s" ph="1">
        <v>534</v>
      </c>
      <c r="AK103" s="64" t="s" ph="1">
        <v>408</v>
      </c>
      <c r="AM103" s="64" t="s" ph="1">
        <v>535</v>
      </c>
      <c r="AN103" s="64" t="s" ph="1">
        <v>323</v>
      </c>
      <c r="AO103" s="64" t="s" ph="1">
        <v>300</v>
      </c>
      <c r="AP103" s="64" t="s" ph="1">
        <v>377</v>
      </c>
      <c r="AQ103" s="64" t="s" ph="1">
        <v>266</v>
      </c>
      <c r="AR103" s="64" t="s" ph="1">
        <v>300</v>
      </c>
      <c r="AS103" s="64" t="s" ph="1">
        <v>611</v>
      </c>
      <c r="AT103" s="64" t="s" ph="1">
        <v>408</v>
      </c>
      <c r="AU103" s="64" t="s" ph="1">
        <v>300</v>
      </c>
      <c r="AY103" s="64" t="s" ph="1">
        <v>257</v>
      </c>
      <c r="AZ103" s="64" t="s" ph="1">
        <v>265</v>
      </c>
    </row>
    <row r="104" spans="33:52" ph="1">
      <c r="AZ104" s="64" t="s" ph="1">
        <v>536</v>
      </c>
    </row>
    <row r="105" spans="33:52" ph="1">
      <c r="AG105" s="64" t="s" ph="1">
        <v>336</v>
      </c>
      <c r="AI105" s="64" t="s" ph="1">
        <v>250</v>
      </c>
      <c r="AJ105" s="64" t="s" ph="1">
        <v>251</v>
      </c>
      <c r="AK105" s="64" t="s" ph="1">
        <v>252</v>
      </c>
      <c r="AM105" s="64" t="s" ph="1">
        <v>251</v>
      </c>
      <c r="AN105" s="64" t="s" ph="1">
        <v>252</v>
      </c>
      <c r="AO105" s="64" t="s" ph="1">
        <v>253</v>
      </c>
      <c r="AP105" s="64" t="s" ph="1">
        <v>251</v>
      </c>
      <c r="AQ105" s="64" t="s" ph="1">
        <v>252</v>
      </c>
      <c r="AR105" s="64" t="s" ph="1">
        <v>253</v>
      </c>
      <c r="AS105" s="64" t="s" ph="1">
        <v>251</v>
      </c>
      <c r="AT105" s="64" t="s" ph="1">
        <v>252</v>
      </c>
      <c r="AU105" s="64" t="s" ph="1">
        <v>253</v>
      </c>
      <c r="AV105" s="64" t="s" ph="1">
        <v>251</v>
      </c>
      <c r="AW105" s="64" t="s" ph="1">
        <v>252</v>
      </c>
      <c r="AX105" s="64" t="s" ph="1">
        <v>253</v>
      </c>
      <c r="AZ105" s="64" t="s" ph="1">
        <v>254</v>
      </c>
    </row>
    <row r="106" spans="33:52" ph="1">
      <c r="AH106" s="64" ph="1">
        <v>1</v>
      </c>
      <c r="AI106" s="64" t="s" ph="1">
        <v>537</v>
      </c>
      <c r="AJ106" s="64" t="s" ph="1">
        <v>611</v>
      </c>
      <c r="AK106" s="64" t="s" ph="1">
        <v>272</v>
      </c>
      <c r="AZ106" s="64" t="s" ph="1">
        <v>272</v>
      </c>
    </row>
    <row r="107" spans="33:52" ph="1">
      <c r="AH107" s="64" ph="1">
        <v>2</v>
      </c>
      <c r="AI107" s="64" t="s" ph="1">
        <v>538</v>
      </c>
      <c r="AJ107" s="64" t="s" ph="1">
        <v>539</v>
      </c>
      <c r="AK107" s="64" t="s" ph="1">
        <v>269</v>
      </c>
      <c r="AM107" s="64" t="s" ph="1">
        <v>375</v>
      </c>
      <c r="AN107" s="64" t="s" ph="1">
        <v>540</v>
      </c>
      <c r="AO107" s="64" t="s" ph="1">
        <v>541</v>
      </c>
      <c r="AP107" s="64" t="s" ph="1">
        <v>377</v>
      </c>
      <c r="AQ107" s="64" t="s" ph="1">
        <v>345</v>
      </c>
      <c r="AR107" s="64" t="s" ph="1">
        <v>541</v>
      </c>
      <c r="AS107" s="64" t="s" ph="1">
        <v>611</v>
      </c>
      <c r="AT107" s="64" t="s" ph="1">
        <v>540</v>
      </c>
      <c r="AU107" s="64" t="s" ph="1">
        <v>541</v>
      </c>
      <c r="AY107" s="64" t="s" ph="1">
        <v>257</v>
      </c>
      <c r="AZ107" s="64" t="s" ph="1">
        <v>621</v>
      </c>
    </row>
    <row r="108" spans="33:52" ph="1">
      <c r="AH108" s="64" ph="1">
        <v>3</v>
      </c>
      <c r="AI108" s="64" t="s" ph="1">
        <v>542</v>
      </c>
      <c r="AY108" s="64" t="s" ph="1">
        <v>257</v>
      </c>
      <c r="AZ108" s="64" t="s" ph="1">
        <v>408</v>
      </c>
    </row>
    <row r="109" spans="33:52" ph="1">
      <c r="AH109" s="64" ph="1">
        <v>4</v>
      </c>
      <c r="AI109" s="64" t="s" ph="1">
        <v>543</v>
      </c>
      <c r="AY109" s="64" t="s" ph="1">
        <v>257</v>
      </c>
      <c r="AZ109" s="64" t="s" ph="1">
        <v>408</v>
      </c>
    </row>
    <row r="110" spans="33:52" ph="1">
      <c r="AH110" s="64" ph="1">
        <v>5</v>
      </c>
      <c r="AI110" s="64" t="s" ph="1">
        <v>544</v>
      </c>
      <c r="AY110" s="64" t="s" ph="1">
        <v>257</v>
      </c>
      <c r="AZ110" s="64" t="s" ph="1">
        <v>408</v>
      </c>
    </row>
    <row r="111" spans="33:52" ph="1">
      <c r="AH111" s="64" ph="1">
        <v>6</v>
      </c>
      <c r="AI111" s="64" t="s" ph="1">
        <v>622</v>
      </c>
      <c r="AJ111" s="64" t="s" ph="1">
        <v>527</v>
      </c>
      <c r="AK111" s="64" t="s" ph="1">
        <v>266</v>
      </c>
      <c r="AM111" s="64" t="s" ph="1">
        <v>528</v>
      </c>
      <c r="AN111" s="64" t="s" ph="1">
        <v>260</v>
      </c>
      <c r="AO111" s="64" t="s" ph="1">
        <v>541</v>
      </c>
      <c r="AP111" s="64" t="s" ph="1">
        <v>529</v>
      </c>
      <c r="AQ111" s="64" t="s" ph="1">
        <v>269</v>
      </c>
      <c r="AR111" s="64" t="s" ph="1">
        <v>541</v>
      </c>
      <c r="AS111" s="64" t="s" ph="1">
        <v>530</v>
      </c>
      <c r="AT111" s="64" t="s" ph="1">
        <v>278</v>
      </c>
      <c r="AU111" s="64" t="s" ph="1">
        <v>541</v>
      </c>
      <c r="AV111" s="64" t="s" ph="1">
        <v>531</v>
      </c>
      <c r="AW111" s="64" t="s" ph="1">
        <v>268</v>
      </c>
      <c r="AX111" s="64" t="s" ph="1">
        <v>541</v>
      </c>
      <c r="AY111" s="64" t="s" ph="1">
        <v>257</v>
      </c>
      <c r="AZ111" s="64" t="s" ph="1">
        <v>545</v>
      </c>
    </row>
    <row r="112" spans="33:52" ph="1">
      <c r="AJ112" s="64" t="s" ph="1">
        <v>532</v>
      </c>
      <c r="AK112" s="64" t="s" ph="1">
        <v>313</v>
      </c>
      <c r="AM112" s="64" t="s" ph="1">
        <v>534</v>
      </c>
      <c r="AN112" s="64" t="s" ph="1">
        <v>337</v>
      </c>
      <c r="AO112" s="64" t="s" ph="1">
        <v>541</v>
      </c>
      <c r="AP112" s="64" t="s" ph="1">
        <v>535</v>
      </c>
      <c r="AQ112" s="64" t="s" ph="1">
        <v>546</v>
      </c>
      <c r="AR112" s="64" t="s" ph="1">
        <v>541</v>
      </c>
      <c r="AS112" s="64" t="s" ph="1">
        <v>547</v>
      </c>
      <c r="AT112" s="64" t="s" ph="1">
        <v>289</v>
      </c>
      <c r="AU112" s="64" t="s" ph="1">
        <v>541</v>
      </c>
      <c r="AV112" s="64" t="s" ph="1">
        <v>548</v>
      </c>
      <c r="AW112" s="64" t="s" ph="1">
        <v>335</v>
      </c>
      <c r="AX112" s="64" t="s" ph="1">
        <v>541</v>
      </c>
    </row>
    <row r="113" spans="33:52" ph="1">
      <c r="AH113" s="64" ph="1">
        <v>7</v>
      </c>
      <c r="AI113" s="64" t="s" ph="1">
        <v>549</v>
      </c>
      <c r="AJ113" s="64" t="s" ph="1">
        <v>630</v>
      </c>
      <c r="AK113" s="64" t="s" ph="1">
        <v>635</v>
      </c>
      <c r="AY113" s="64" t="s" ph="1">
        <v>257</v>
      </c>
      <c r="AZ113" s="64" t="s" ph="1">
        <v>635</v>
      </c>
    </row>
    <row r="114" spans="33:52" ph="1">
      <c r="AH114" s="64" ph="1">
        <v>8</v>
      </c>
      <c r="AI114" s="64" t="s" ph="1">
        <v>550</v>
      </c>
      <c r="AJ114" s="64" t="s" ph="1">
        <v>630</v>
      </c>
      <c r="AK114" s="64" t="s" ph="1">
        <v>636</v>
      </c>
      <c r="AY114" s="64" t="s" ph="1">
        <v>257</v>
      </c>
      <c r="AZ114" s="64" t="s" ph="1">
        <v>636</v>
      </c>
    </row>
    <row r="115" spans="33:52" ph="1">
      <c r="AH115" s="64" ph="1">
        <v>9</v>
      </c>
      <c r="AI115" s="64" t="s" ph="1">
        <v>551</v>
      </c>
      <c r="AJ115" s="64" t="s" ph="1">
        <v>630</v>
      </c>
      <c r="AK115" s="64" t="s" ph="1">
        <v>636</v>
      </c>
      <c r="AY115" s="64" t="s" ph="1">
        <v>257</v>
      </c>
      <c r="AZ115" s="64" t="s" ph="1">
        <v>636</v>
      </c>
    </row>
    <row r="116" spans="33:52" ph="1">
      <c r="AH116" s="64" ph="1">
        <v>10</v>
      </c>
      <c r="AI116" s="64" t="s" ph="1">
        <v>552</v>
      </c>
      <c r="AJ116" s="64" t="s" ph="1">
        <v>630</v>
      </c>
      <c r="AK116" s="64" t="s" ph="1">
        <v>636</v>
      </c>
      <c r="AY116" s="64" t="s" ph="1">
        <v>257</v>
      </c>
      <c r="AZ116" s="64" t="s" ph="1">
        <v>636</v>
      </c>
    </row>
    <row r="117" spans="33:52" ph="1">
      <c r="AH117" s="64" ph="1">
        <v>11</v>
      </c>
      <c r="AI117" s="64" t="s" ph="1">
        <v>553</v>
      </c>
      <c r="AJ117" s="64" t="s" ph="1">
        <v>630</v>
      </c>
      <c r="AK117" s="64" t="s" ph="1">
        <v>636</v>
      </c>
      <c r="AY117" s="64" t="s" ph="1">
        <v>257</v>
      </c>
      <c r="AZ117" s="64" t="s" ph="1">
        <v>636</v>
      </c>
    </row>
    <row r="118" spans="33:52" ph="1">
      <c r="AZ118" s="64" t="s" ph="1">
        <v>637</v>
      </c>
    </row>
    <row r="119" spans="33:52" ph="1">
      <c r="AI119" s="64" t="s" ph="1">
        <v>250</v>
      </c>
      <c r="AJ119" s="64" t="s" ph="1">
        <v>251</v>
      </c>
      <c r="AK119" s="64" t="s" ph="1">
        <v>252</v>
      </c>
      <c r="AM119" s="64" t="s" ph="1">
        <v>251</v>
      </c>
      <c r="AN119" s="64" t="s" ph="1">
        <v>252</v>
      </c>
      <c r="AO119" s="64" t="s" ph="1">
        <v>253</v>
      </c>
      <c r="AP119" s="64" t="s" ph="1">
        <v>251</v>
      </c>
      <c r="AQ119" s="64" t="s" ph="1">
        <v>252</v>
      </c>
      <c r="AR119" s="64" t="s" ph="1">
        <v>253</v>
      </c>
      <c r="AS119" s="64" t="s" ph="1">
        <v>251</v>
      </c>
      <c r="AT119" s="64" t="s" ph="1">
        <v>252</v>
      </c>
      <c r="AU119" s="64" t="s" ph="1">
        <v>253</v>
      </c>
      <c r="AV119" s="64" t="s" ph="1">
        <v>251</v>
      </c>
      <c r="AW119" s="64" t="s" ph="1">
        <v>252</v>
      </c>
      <c r="AX119" s="64" t="s" ph="1">
        <v>253</v>
      </c>
      <c r="AY119" s="64" t="s" ph="1">
        <v>252</v>
      </c>
      <c r="AZ119" s="64" t="s" ph="1">
        <v>254</v>
      </c>
    </row>
    <row r="120" spans="33:52" ph="1">
      <c r="AG120" s="64" t="s" ph="1">
        <v>394</v>
      </c>
      <c r="AH120" s="64" ph="1">
        <v>1</v>
      </c>
      <c r="AI120" s="64" t="s" ph="1">
        <v>554</v>
      </c>
      <c r="AJ120" s="64" t="s" ph="1">
        <v>628</v>
      </c>
      <c r="AK120" s="64" t="s" ph="1">
        <v>408</v>
      </c>
      <c r="AY120" s="64" t="s" ph="1">
        <v>257</v>
      </c>
      <c r="AZ120" s="64" t="s" ph="1">
        <v>408</v>
      </c>
    </row>
    <row r="121" spans="33:52" ph="1">
      <c r="AH121" s="64" ph="1">
        <v>2</v>
      </c>
      <c r="AI121" s="64" t="s" ph="1">
        <v>555</v>
      </c>
      <c r="AY121" s="64" t="s" ph="1">
        <v>257</v>
      </c>
      <c r="AZ121" s="64" t="s" ph="1">
        <v>408</v>
      </c>
    </row>
    <row r="122" spans="33:52" ph="1">
      <c r="AH122" s="64" ph="1">
        <v>3</v>
      </c>
      <c r="AI122" s="64" t="s" ph="1">
        <v>556</v>
      </c>
      <c r="AJ122" s="64" t="s" ph="1">
        <v>611</v>
      </c>
      <c r="AK122" s="64" t="s" ph="1">
        <v>623</v>
      </c>
      <c r="AM122" s="64" t="s" ph="1">
        <v>638</v>
      </c>
      <c r="AN122" s="64" t="s" ph="1">
        <v>631</v>
      </c>
      <c r="AO122" s="64" t="s" ph="1">
        <v>108</v>
      </c>
      <c r="AY122" s="64" t="s" ph="1">
        <v>257</v>
      </c>
      <c r="AZ122" s="64" t="s" ph="1">
        <v>620</v>
      </c>
    </row>
    <row r="123" spans="33:52" ph="1">
      <c r="AY123" s="64" t="s" ph="1">
        <v>257</v>
      </c>
      <c r="AZ123" s="64" t="s" ph="1">
        <v>620</v>
      </c>
    </row>
    <row r="124" spans="33:52" ph="1">
      <c r="AG124" s="64" t="s" ph="1">
        <v>397</v>
      </c>
      <c r="AH124" s="64" ph="1">
        <v>4</v>
      </c>
      <c r="AI124" s="64" t="s" ph="1">
        <v>557</v>
      </c>
      <c r="AJ124" s="64" t="s" ph="1">
        <v>558</v>
      </c>
      <c r="AK124" s="64" t="s" ph="1">
        <v>559</v>
      </c>
      <c r="AY124" s="64" t="s" ph="1">
        <v>257</v>
      </c>
      <c r="AZ124" s="64" t="s" ph="1">
        <v>559</v>
      </c>
    </row>
    <row r="125" spans="33:52" ph="1">
      <c r="AH125" s="64" ph="1">
        <v>5</v>
      </c>
      <c r="AI125" s="64" t="s" ph="1">
        <v>560</v>
      </c>
      <c r="AJ125" s="64" t="s" ph="1">
        <v>558</v>
      </c>
      <c r="AK125" s="64" t="s" ph="1">
        <v>559</v>
      </c>
      <c r="AY125" s="64" t="s" ph="1">
        <v>257</v>
      </c>
      <c r="AZ125" s="64" t="s" ph="1">
        <v>559</v>
      </c>
    </row>
    <row r="126" spans="33:52" ph="1">
      <c r="AH126" s="64" ph="1">
        <v>6</v>
      </c>
      <c r="AI126" s="64" t="s" ph="1">
        <v>561</v>
      </c>
      <c r="AJ126" s="64" t="s" ph="1">
        <v>630</v>
      </c>
      <c r="AK126" s="64" t="s" ph="1">
        <v>639</v>
      </c>
      <c r="AY126" s="64" t="s" ph="1">
        <v>257</v>
      </c>
      <c r="AZ126" s="64" t="s" ph="1">
        <v>639</v>
      </c>
    </row>
    <row r="127" spans="33:52" ph="1">
      <c r="AH127" s="64" ph="1">
        <v>7</v>
      </c>
      <c r="AI127" s="64" t="s" ph="1">
        <v>562</v>
      </c>
      <c r="AJ127" s="64" t="s" ph="1">
        <v>630</v>
      </c>
      <c r="AK127" s="64" t="s" ph="1">
        <v>640</v>
      </c>
      <c r="AY127" s="64" t="s" ph="1">
        <v>257</v>
      </c>
      <c r="AZ127" s="64" t="s" ph="1">
        <v>640</v>
      </c>
    </row>
    <row r="128" spans="33:52" ph="1">
      <c r="AH128" s="64" ph="1">
        <v>8</v>
      </c>
      <c r="AI128" s="64" t="s" ph="1">
        <v>563</v>
      </c>
      <c r="AY128" s="64" t="s" ph="1">
        <v>257</v>
      </c>
      <c r="AZ128" s="64" t="s" ph="1">
        <v>408</v>
      </c>
    </row>
    <row r="129" spans="33:52" ph="1">
      <c r="AH129" s="64" ph="1">
        <v>9</v>
      </c>
      <c r="AI129" s="64" t="s" ph="1">
        <v>564</v>
      </c>
      <c r="AY129" s="64" t="s" ph="1">
        <v>257</v>
      </c>
      <c r="AZ129" s="64" t="s" ph="1">
        <v>408</v>
      </c>
    </row>
    <row r="130" spans="33:52" ph="1">
      <c r="AH130" s="64" ph="1">
        <v>10</v>
      </c>
      <c r="AI130" s="64" t="s" ph="1">
        <v>565</v>
      </c>
      <c r="AY130" s="64" t="s" ph="1">
        <v>257</v>
      </c>
      <c r="AZ130" s="64" t="s" ph="1">
        <v>408</v>
      </c>
    </row>
    <row r="131" spans="33:52" ph="1">
      <c r="AH131" s="64" ph="1">
        <v>11</v>
      </c>
      <c r="AI131" s="64" t="s" ph="1">
        <v>566</v>
      </c>
      <c r="AJ131" s="64" t="s" ph="1">
        <v>624</v>
      </c>
      <c r="AK131" s="64" t="s" ph="1">
        <v>620</v>
      </c>
      <c r="AY131" s="64" t="s" ph="1">
        <v>257</v>
      </c>
      <c r="AZ131" s="64" t="s" ph="1">
        <v>620</v>
      </c>
    </row>
    <row r="132" spans="33:52" ph="1">
      <c r="AH132" s="64" ph="1">
        <v>12</v>
      </c>
      <c r="AI132" s="64" t="s" ph="1">
        <v>567</v>
      </c>
      <c r="AJ132" s="64" t="s" ph="1">
        <v>624</v>
      </c>
      <c r="AK132" s="64" t="s" ph="1">
        <v>559</v>
      </c>
      <c r="AY132" s="64" t="s" ph="1">
        <v>257</v>
      </c>
      <c r="AZ132" s="64" t="s" ph="1">
        <v>559</v>
      </c>
    </row>
    <row r="133" spans="33:52" ph="1">
      <c r="AH133" s="64" ph="1">
        <v>13</v>
      </c>
      <c r="AI133" s="64" t="s" ph="1">
        <v>568</v>
      </c>
      <c r="AJ133" s="64" t="s" ph="1">
        <v>624</v>
      </c>
      <c r="AK133" s="64" t="s" ph="1">
        <v>625</v>
      </c>
      <c r="AY133" s="64" t="s" ph="1">
        <v>257</v>
      </c>
      <c r="AZ133" s="64" t="s" ph="1">
        <v>625</v>
      </c>
    </row>
    <row r="134" spans="33:52" ph="1">
      <c r="AH134" s="64" ph="1">
        <v>14</v>
      </c>
      <c r="AI134" s="64" t="s" ph="1">
        <v>569</v>
      </c>
      <c r="AJ134" s="64" t="s" ph="1">
        <v>624</v>
      </c>
      <c r="AK134" s="64" t="s" ph="1">
        <v>626</v>
      </c>
      <c r="AY134" s="64" t="s" ph="1">
        <v>257</v>
      </c>
      <c r="AZ134" s="64" t="s" ph="1">
        <v>626</v>
      </c>
    </row>
    <row r="135" spans="33:52" ph="1">
      <c r="AH135" s="64" ph="1">
        <v>15</v>
      </c>
      <c r="AI135" s="64" t="s" ph="1">
        <v>570</v>
      </c>
      <c r="AJ135" s="64" t="s" ph="1">
        <v>624</v>
      </c>
      <c r="AK135" s="64" t="s" ph="1">
        <v>627</v>
      </c>
      <c r="AY135" s="64" t="s" ph="1">
        <v>257</v>
      </c>
      <c r="AZ135" s="64" t="s" ph="1">
        <v>627</v>
      </c>
    </row>
    <row r="136" spans="33:52" ph="1">
      <c r="AZ136" s="64" t="s" ph="1">
        <v>641</v>
      </c>
    </row>
    <row r="137" spans="33:52" ph="1">
      <c r="AG137" s="64" t="s" ph="1">
        <v>331</v>
      </c>
      <c r="AI137" s="64" t="s" ph="1">
        <v>250</v>
      </c>
      <c r="AJ137" s="64" t="s" ph="1">
        <v>251</v>
      </c>
      <c r="AK137" s="64" t="s" ph="1">
        <v>252</v>
      </c>
      <c r="AM137" s="64" t="s" ph="1">
        <v>251</v>
      </c>
      <c r="AN137" s="64" t="s" ph="1">
        <v>252</v>
      </c>
      <c r="AO137" s="64" t="s" ph="1">
        <v>253</v>
      </c>
      <c r="AP137" s="64" t="s" ph="1">
        <v>251</v>
      </c>
      <c r="AQ137" s="64" t="s" ph="1">
        <v>252</v>
      </c>
      <c r="AR137" s="64" t="s" ph="1">
        <v>253</v>
      </c>
      <c r="AS137" s="64" t="s" ph="1">
        <v>251</v>
      </c>
      <c r="AT137" s="64" t="s" ph="1">
        <v>252</v>
      </c>
      <c r="AU137" s="64" t="s" ph="1">
        <v>253</v>
      </c>
      <c r="AV137" s="64" t="s" ph="1">
        <v>251</v>
      </c>
      <c r="AW137" s="64" t="s" ph="1">
        <v>252</v>
      </c>
      <c r="AX137" s="64" t="s" ph="1">
        <v>253</v>
      </c>
      <c r="AY137" s="64" t="s" ph="1">
        <v>252</v>
      </c>
      <c r="AZ137" s="64" t="s" ph="1">
        <v>254</v>
      </c>
    </row>
    <row r="138" spans="33:52" ph="1">
      <c r="AH138" s="64" ph="1">
        <v>1</v>
      </c>
      <c r="AI138" s="64" t="s" ph="1">
        <v>571</v>
      </c>
      <c r="AJ138" s="64" t="s" ph="1">
        <v>572</v>
      </c>
      <c r="AK138" s="64" t="s" ph="1">
        <v>573</v>
      </c>
      <c r="AY138" s="64" t="s" ph="1">
        <v>257</v>
      </c>
      <c r="AZ138" s="64" t="s" ph="1">
        <v>573</v>
      </c>
    </row>
    <row r="139" spans="33:52" ph="1">
      <c r="AH139" s="64" ph="1">
        <v>2</v>
      </c>
      <c r="AI139" s="64" t="s" ph="1">
        <v>574</v>
      </c>
      <c r="AJ139" s="64" t="s" ph="1">
        <v>630</v>
      </c>
      <c r="AK139" s="64" t="s" ph="1">
        <v>642</v>
      </c>
      <c r="AY139" s="64" t="s" ph="1">
        <v>257</v>
      </c>
      <c r="AZ139" s="64" t="s" ph="1">
        <v>642</v>
      </c>
    </row>
    <row r="140" spans="33:52" ph="1">
      <c r="AH140" s="64" ph="1">
        <v>3</v>
      </c>
      <c r="AI140" s="64" t="s" ph="1">
        <v>575</v>
      </c>
      <c r="AJ140" s="64" t="s" ph="1">
        <v>528</v>
      </c>
      <c r="AK140" s="64" t="s" ph="1">
        <v>340</v>
      </c>
      <c r="AM140" s="64" t="s" ph="1">
        <v>529</v>
      </c>
      <c r="AN140" s="64" t="s" ph="1">
        <v>260</v>
      </c>
      <c r="AO140" s="64" t="s" ph="1">
        <v>576</v>
      </c>
      <c r="AP140" s="64" t="s" ph="1">
        <v>530</v>
      </c>
      <c r="AQ140" s="64" t="s" ph="1">
        <v>277</v>
      </c>
      <c r="AR140" s="64" t="s" ph="1">
        <v>576</v>
      </c>
      <c r="AS140" s="64" t="s" ph="1">
        <v>531</v>
      </c>
      <c r="AT140" s="64" t="s" ph="1">
        <v>270</v>
      </c>
      <c r="AU140" s="64" t="s" ph="1">
        <v>576</v>
      </c>
      <c r="AV140" s="64" t="s" ph="1">
        <v>532</v>
      </c>
      <c r="AW140" s="64" t="s" ph="1">
        <v>263</v>
      </c>
      <c r="AX140" s="64" t="s" ph="1">
        <v>576</v>
      </c>
      <c r="AY140" s="64" t="s" ph="1">
        <v>257</v>
      </c>
      <c r="AZ140" s="64" t="s" ph="1">
        <v>332</v>
      </c>
    </row>
    <row r="141" spans="33:52" ph="1">
      <c r="AJ141" s="64" t="s" ph="1">
        <v>534</v>
      </c>
      <c r="AK141" s="64" t="s" ph="1">
        <v>263</v>
      </c>
      <c r="AM141" s="64" t="s" ph="1">
        <v>535</v>
      </c>
      <c r="AN141" s="64" t="s" ph="1">
        <v>266</v>
      </c>
      <c r="AO141" s="64" t="s" ph="1">
        <v>576</v>
      </c>
      <c r="AP141" s="64" t="s" ph="1">
        <v>547</v>
      </c>
      <c r="AQ141" s="64" t="s" ph="1">
        <v>335</v>
      </c>
      <c r="AR141" s="64" t="s" ph="1">
        <v>576</v>
      </c>
      <c r="AS141" s="64" t="s" ph="1">
        <v>539</v>
      </c>
      <c r="AT141" s="64" t="s" ph="1">
        <v>263</v>
      </c>
      <c r="AU141" s="64" t="s" ph="1">
        <v>576</v>
      </c>
      <c r="AV141" s="64" t="s" ph="1">
        <v>375</v>
      </c>
      <c r="AW141" s="64" t="s" ph="1">
        <v>269</v>
      </c>
      <c r="AX141" s="64" t="s" ph="1">
        <v>576</v>
      </c>
    </row>
    <row r="142" spans="33:52" ph="1">
      <c r="AJ142" s="64" t="s" ph="1">
        <v>577</v>
      </c>
      <c r="AK142" s="64" t="s" ph="1">
        <v>280</v>
      </c>
    </row>
    <row r="143" spans="33:52" ph="1">
      <c r="AH143" s="64" ph="1">
        <v>4</v>
      </c>
      <c r="AI143" s="64" t="s" ph="1">
        <v>578</v>
      </c>
      <c r="AJ143" s="64" t="s" ph="1">
        <v>558</v>
      </c>
      <c r="AK143" s="64" t="s" ph="1">
        <v>579</v>
      </c>
      <c r="AY143" s="64" t="s" ph="1">
        <v>257</v>
      </c>
      <c r="AZ143" s="64" t="s" ph="1">
        <v>579</v>
      </c>
    </row>
    <row r="144" spans="33:52" ph="1">
      <c r="AH144" s="64" ph="1">
        <v>5</v>
      </c>
      <c r="AI144" s="64" t="s" ph="1">
        <v>580</v>
      </c>
      <c r="AY144" s="64" t="s" ph="1">
        <v>257</v>
      </c>
      <c r="AZ144" s="64" t="s" ph="1">
        <v>408</v>
      </c>
    </row>
    <row r="145" spans="33:52" ph="1">
      <c r="AH145" s="64" ph="1">
        <v>6</v>
      </c>
      <c r="AI145" s="64" t="s" ph="1">
        <v>581</v>
      </c>
      <c r="AY145" s="64" t="s" ph="1">
        <v>257</v>
      </c>
      <c r="AZ145" s="64" t="s" ph="1">
        <v>408</v>
      </c>
    </row>
    <row r="146" spans="33:52" ph="1">
      <c r="AH146" s="64" ph="1">
        <v>7</v>
      </c>
      <c r="AI146" s="64" t="s" ph="1">
        <v>582</v>
      </c>
      <c r="AY146" s="64" t="s" ph="1">
        <v>257</v>
      </c>
      <c r="AZ146" s="64" t="s" ph="1">
        <v>408</v>
      </c>
    </row>
    <row r="147" spans="33:52" ph="1">
      <c r="AH147" s="64" ph="1">
        <v>8</v>
      </c>
      <c r="AI147" s="64" t="s" ph="1">
        <v>583</v>
      </c>
      <c r="AY147" s="64" t="s" ph="1">
        <v>257</v>
      </c>
      <c r="AZ147" s="64" t="s" ph="1">
        <v>408</v>
      </c>
    </row>
    <row r="148" spans="33:52" ph="1">
      <c r="AH148" s="64" ph="1">
        <v>9</v>
      </c>
      <c r="AI148" s="64" t="s" ph="1">
        <v>584</v>
      </c>
      <c r="AY148" s="64" t="s" ph="1">
        <v>257</v>
      </c>
      <c r="AZ148" s="64" t="s" ph="1">
        <v>408</v>
      </c>
    </row>
    <row r="149" spans="33:52" ph="1">
      <c r="AH149" s="64" ph="1">
        <v>10</v>
      </c>
      <c r="AI149" s="64" t="s" ph="1">
        <v>585</v>
      </c>
      <c r="AY149" s="64" t="s" ph="1">
        <v>257</v>
      </c>
      <c r="AZ149" s="64" t="s" ph="1">
        <v>408</v>
      </c>
    </row>
    <row r="150" spans="33:52" ph="1">
      <c r="AH150" s="64" ph="1">
        <v>11</v>
      </c>
      <c r="AI150" s="64" t="s" ph="1">
        <v>586</v>
      </c>
      <c r="AY150" s="64" t="s" ph="1">
        <v>257</v>
      </c>
      <c r="AZ150" s="64" t="s" ph="1">
        <v>408</v>
      </c>
    </row>
    <row r="151" spans="33:52" ph="1">
      <c r="AH151" s="64" ph="1">
        <v>12</v>
      </c>
      <c r="AI151" s="64" t="s" ph="1">
        <v>587</v>
      </c>
      <c r="AY151" s="64" t="s" ph="1">
        <v>257</v>
      </c>
      <c r="AZ151" s="64" t="s" ph="1">
        <v>408</v>
      </c>
    </row>
    <row r="152" spans="33:52" ph="1">
      <c r="AH152" s="64" ph="1">
        <v>13</v>
      </c>
      <c r="AI152" s="64" t="s" ph="1">
        <v>588</v>
      </c>
      <c r="AY152" s="64" t="s" ph="1">
        <v>257</v>
      </c>
      <c r="AZ152" s="64" t="s" ph="1">
        <v>408</v>
      </c>
    </row>
    <row r="153" spans="33:52" ph="1">
      <c r="AH153" s="64" ph="1">
        <v>14</v>
      </c>
      <c r="AI153" s="64" t="s" ph="1">
        <v>589</v>
      </c>
      <c r="AY153" s="64" t="s" ph="1">
        <v>257</v>
      </c>
      <c r="AZ153" s="64" t="s" ph="1">
        <v>408</v>
      </c>
    </row>
    <row r="154" spans="33:52" ph="1">
      <c r="AH154" s="64" ph="1">
        <v>15</v>
      </c>
      <c r="AI154" s="64" t="s" ph="1">
        <v>590</v>
      </c>
      <c r="AY154" s="64" t="s" ph="1">
        <v>257</v>
      </c>
      <c r="AZ154" s="64" t="s" ph="1">
        <v>408</v>
      </c>
    </row>
    <row r="155" spans="33:52" ph="1">
      <c r="AH155" s="64" ph="1">
        <v>16</v>
      </c>
      <c r="AI155" s="64" t="s" ph="1">
        <v>591</v>
      </c>
      <c r="AJ155" s="64" t="s" ph="1">
        <v>377</v>
      </c>
      <c r="AK155" s="64" t="s" ph="1">
        <v>272</v>
      </c>
      <c r="AM155" s="64" t="s" ph="1">
        <v>611</v>
      </c>
      <c r="AN155" s="64" t="s" ph="1">
        <v>323</v>
      </c>
      <c r="AO155" s="64" t="s" ph="1">
        <v>576</v>
      </c>
      <c r="AY155" s="64" t="s" ph="1">
        <v>257</v>
      </c>
      <c r="AZ155" s="64" t="s" ph="1">
        <v>264</v>
      </c>
    </row>
    <row r="156" spans="33:52" ph="1">
      <c r="AZ156" s="64" t="s" ph="1">
        <v>643</v>
      </c>
    </row>
    <row r="157" spans="33:52" ph="1">
      <c r="AG157" s="64" t="s" ph="1">
        <v>592</v>
      </c>
      <c r="AI157" s="64" t="s" ph="1">
        <v>250</v>
      </c>
      <c r="AJ157" s="64" t="s" ph="1">
        <v>251</v>
      </c>
      <c r="AK157" s="64" t="s" ph="1">
        <v>252</v>
      </c>
      <c r="AM157" s="64" t="s" ph="1">
        <v>251</v>
      </c>
      <c r="AN157" s="64" t="s" ph="1">
        <v>252</v>
      </c>
      <c r="AO157" s="64" t="s" ph="1">
        <v>253</v>
      </c>
      <c r="AP157" s="64" t="s" ph="1">
        <v>251</v>
      </c>
      <c r="AQ157" s="64" t="s" ph="1">
        <v>252</v>
      </c>
      <c r="AR157" s="64" t="s" ph="1">
        <v>253</v>
      </c>
      <c r="AS157" s="64" t="s" ph="1">
        <v>251</v>
      </c>
      <c r="AT157" s="64" t="s" ph="1">
        <v>252</v>
      </c>
      <c r="AU157" s="64" t="s" ph="1">
        <v>253</v>
      </c>
      <c r="AV157" s="64" t="s" ph="1">
        <v>251</v>
      </c>
      <c r="AW157" s="64" t="s" ph="1">
        <v>252</v>
      </c>
      <c r="AX157" s="64" t="s" ph="1">
        <v>253</v>
      </c>
      <c r="AY157" s="64" t="s" ph="1">
        <v>252</v>
      </c>
      <c r="AZ157" s="64" t="s" ph="1">
        <v>254</v>
      </c>
    </row>
    <row r="158" spans="33:52" ph="1">
      <c r="AH158" s="64" ph="1">
        <v>1</v>
      </c>
      <c r="AI158" s="64" t="s" ph="1">
        <v>593</v>
      </c>
      <c r="AY158" s="64" t="s" ph="1">
        <v>257</v>
      </c>
      <c r="AZ158" s="64" t="s" ph="1">
        <v>408</v>
      </c>
    </row>
    <row r="159" spans="33:52" ph="1">
      <c r="AH159" s="64" ph="1">
        <v>2</v>
      </c>
      <c r="AI159" s="64" t="s" ph="1">
        <v>594</v>
      </c>
      <c r="AY159" s="64" t="s" ph="1">
        <v>257</v>
      </c>
      <c r="AZ159" s="64" t="s" ph="1">
        <v>408</v>
      </c>
    </row>
    <row r="160" spans="33:52" ph="1">
      <c r="AZ160" s="64" t="s" ph="1">
        <v>426</v>
      </c>
    </row>
    <row r="161" spans="33:52" ph="1">
      <c r="AG161" s="64" t="s" ph="1">
        <v>402</v>
      </c>
      <c r="AI161" s="64" t="s" ph="1">
        <v>250</v>
      </c>
      <c r="AJ161" s="64" t="s" ph="1">
        <v>251</v>
      </c>
      <c r="AK161" s="64" t="s" ph="1">
        <v>252</v>
      </c>
      <c r="AM161" s="64" t="s" ph="1">
        <v>251</v>
      </c>
      <c r="AN161" s="64" t="s" ph="1">
        <v>252</v>
      </c>
      <c r="AO161" s="64" t="s" ph="1">
        <v>253</v>
      </c>
      <c r="AP161" s="64" t="s" ph="1">
        <v>251</v>
      </c>
      <c r="AQ161" s="64" t="s" ph="1">
        <v>252</v>
      </c>
      <c r="AR161" s="64" t="s" ph="1">
        <v>253</v>
      </c>
      <c r="AS161" s="64" t="s" ph="1">
        <v>251</v>
      </c>
      <c r="AT161" s="64" t="s" ph="1">
        <v>252</v>
      </c>
      <c r="AU161" s="64" t="s" ph="1">
        <v>253</v>
      </c>
      <c r="AV161" s="64" t="s" ph="1">
        <v>251</v>
      </c>
      <c r="AW161" s="64" t="s" ph="1">
        <v>252</v>
      </c>
      <c r="AX161" s="64" t="s" ph="1">
        <v>253</v>
      </c>
      <c r="AY161" s="64" t="s" ph="1">
        <v>252</v>
      </c>
      <c r="AZ161" s="64" t="s" ph="1">
        <v>254</v>
      </c>
    </row>
    <row r="162" spans="33:52" ph="1">
      <c r="AH162" s="64" ph="1">
        <v>1</v>
      </c>
      <c r="AI162" s="64" t="s" ph="1">
        <v>595</v>
      </c>
      <c r="AJ162" s="64" t="s" ph="1">
        <v>596</v>
      </c>
      <c r="AK162" s="64" t="s" ph="1">
        <v>540</v>
      </c>
      <c r="AM162" s="64" t="s" ph="1">
        <v>597</v>
      </c>
      <c r="AN162" s="64" t="s" ph="1">
        <v>261</v>
      </c>
      <c r="AO162" s="64" t="s" ph="1">
        <v>598</v>
      </c>
      <c r="AY162" s="64" t="s" ph="1">
        <v>257</v>
      </c>
      <c r="AZ162" s="64" t="s" ph="1">
        <v>333</v>
      </c>
    </row>
    <row r="163" spans="33:52" ph="1">
      <c r="AH163" s="64" ph="1">
        <v>2</v>
      </c>
      <c r="AI163" s="64" t="s" ph="1">
        <v>599</v>
      </c>
      <c r="AJ163" s="64" t="s" ph="1">
        <v>596</v>
      </c>
      <c r="AK163" s="64" t="s" ph="1">
        <v>429</v>
      </c>
      <c r="AY163" s="64" t="s" ph="1">
        <v>257</v>
      </c>
      <c r="AZ163" s="64" t="s" ph="1">
        <v>429</v>
      </c>
    </row>
    <row r="164" spans="33:52" ph="1">
      <c r="AH164" s="64" ph="1">
        <v>3</v>
      </c>
      <c r="AI164" s="64" t="s" ph="1">
        <v>600</v>
      </c>
      <c r="AJ164" s="64" t="s" ph="1">
        <v>596</v>
      </c>
      <c r="AK164" s="64" t="s" ph="1">
        <v>333</v>
      </c>
      <c r="AY164" s="64" t="s" ph="1">
        <v>257</v>
      </c>
      <c r="AZ164" s="64" t="s" ph="1">
        <v>333</v>
      </c>
    </row>
    <row r="165" spans="33:52" ph="1">
      <c r="AH165" s="64" ph="1">
        <v>4</v>
      </c>
      <c r="AI165" s="64" t="s" ph="1">
        <v>601</v>
      </c>
      <c r="AY165" s="64" t="s" ph="1">
        <v>257</v>
      </c>
      <c r="AZ165" s="64" t="s" ph="1">
        <v>408</v>
      </c>
    </row>
    <row r="166" spans="33:52" ph="1">
      <c r="AH166" s="64" ph="1">
        <v>5</v>
      </c>
      <c r="AI166" s="64" t="s" ph="1">
        <v>602</v>
      </c>
      <c r="AY166" s="64" t="s" ph="1">
        <v>257</v>
      </c>
      <c r="AZ166" s="64" t="s" ph="1">
        <v>408</v>
      </c>
    </row>
    <row r="167" spans="33:52" ph="1">
      <c r="AZ167" s="64" t="s" ph="1">
        <v>603</v>
      </c>
    </row>
    <row r="168" spans="33:52" ph="1">
      <c r="AG168" s="64" t="s" ph="1">
        <v>346</v>
      </c>
      <c r="AI168" s="64" t="s" ph="1">
        <v>250</v>
      </c>
      <c r="AJ168" s="64" t="s" ph="1">
        <v>251</v>
      </c>
      <c r="AK168" s="64" t="s" ph="1">
        <v>252</v>
      </c>
      <c r="AM168" s="64" t="s" ph="1">
        <v>251</v>
      </c>
      <c r="AN168" s="64" t="s" ph="1">
        <v>252</v>
      </c>
      <c r="AO168" s="64" t="s" ph="1">
        <v>253</v>
      </c>
      <c r="AP168" s="64" t="s" ph="1">
        <v>251</v>
      </c>
      <c r="AQ168" s="64" t="s" ph="1">
        <v>252</v>
      </c>
      <c r="AR168" s="64" t="s" ph="1">
        <v>253</v>
      </c>
      <c r="AS168" s="64" t="s" ph="1">
        <v>251</v>
      </c>
      <c r="AT168" s="64" t="s" ph="1">
        <v>252</v>
      </c>
      <c r="AU168" s="64" t="s" ph="1">
        <v>253</v>
      </c>
      <c r="AV168" s="64" t="s" ph="1">
        <v>251</v>
      </c>
      <c r="AW168" s="64" t="s" ph="1">
        <v>252</v>
      </c>
      <c r="AX168" s="64" t="s" ph="1">
        <v>253</v>
      </c>
      <c r="AY168" s="64" t="s" ph="1">
        <v>252</v>
      </c>
      <c r="AZ168" s="64" t="s" ph="1">
        <v>254</v>
      </c>
    </row>
    <row r="169" spans="33:52" ph="1">
      <c r="AH169" s="64" ph="1">
        <v>1</v>
      </c>
      <c r="AI169" s="64" t="s" ph="1">
        <v>604</v>
      </c>
      <c r="AY169" s="64" t="s" ph="1">
        <v>257</v>
      </c>
      <c r="AZ169" s="64" t="s" ph="1">
        <v>408</v>
      </c>
    </row>
    <row r="170" spans="33:52" ph="1">
      <c r="AH170" s="64" ph="1">
        <v>2</v>
      </c>
      <c r="AI170" s="64" t="s" ph="1">
        <v>605</v>
      </c>
      <c r="AY170" s="64" t="s" ph="1">
        <v>257</v>
      </c>
      <c r="AZ170" s="64" t="s" ph="1">
        <v>408</v>
      </c>
    </row>
    <row r="171" spans="33:52" ph="1">
      <c r="AH171" s="64" ph="1">
        <v>3</v>
      </c>
      <c r="AI171" s="64" t="s" ph="1">
        <v>606</v>
      </c>
      <c r="AY171" s="64" t="s" ph="1">
        <v>257</v>
      </c>
      <c r="AZ171" s="64" t="s" ph="1">
        <v>408</v>
      </c>
    </row>
    <row r="172" spans="33:52" ph="1">
      <c r="AH172" s="64" ph="1">
        <v>4</v>
      </c>
      <c r="AI172" s="64" t="s" ph="1">
        <v>607</v>
      </c>
      <c r="AY172" s="64" t="s" ph="1">
        <v>257</v>
      </c>
      <c r="AZ172" s="64" t="s" ph="1">
        <v>408</v>
      </c>
    </row>
    <row r="173" spans="33:52" ph="1">
      <c r="AH173" s="64" ph="1">
        <v>5</v>
      </c>
      <c r="AI173" s="64" t="s" ph="1">
        <v>608</v>
      </c>
      <c r="AY173" s="64" t="s" ph="1">
        <v>257</v>
      </c>
      <c r="AZ173" s="64" t="s" ph="1">
        <v>408</v>
      </c>
    </row>
    <row r="174" spans="33:52" ph="1">
      <c r="AZ174" s="64" t="s" ph="1">
        <v>426</v>
      </c>
    </row>
    <row r="175" spans="33:52" ph="1">
      <c r="AJ175" s="64" t="s" ph="1">
        <v>347</v>
      </c>
    </row>
    <row r="176" spans="33:52" ph="1">
      <c r="AJ176" s="64" t="s" ph="1">
        <v>348</v>
      </c>
      <c r="AK176" s="64" t="s" ph="1">
        <v>349</v>
      </c>
      <c r="AM176" s="64" t="s" ph="1">
        <v>350</v>
      </c>
      <c r="AO176" s="64" t="s" ph="1">
        <v>351</v>
      </c>
      <c r="AP176" s="64" t="s" ph="1">
        <v>352</v>
      </c>
      <c r="AQ176" s="64" t="s" ph="1">
        <v>342</v>
      </c>
      <c r="AR176" s="64" t="s" ph="1">
        <v>262</v>
      </c>
    </row>
    <row r="177" spans="36:56" ph="1">
      <c r="AJ177" s="64" t="s" ph="1">
        <v>644</v>
      </c>
      <c r="AK177" s="64" t="s" ph="1">
        <v>353</v>
      </c>
      <c r="AO177" s="64" t="s" ph="1">
        <v>353</v>
      </c>
      <c r="AP177" s="64" t="s" ph="1">
        <v>353</v>
      </c>
      <c r="AQ177" s="64" t="s" ph="1">
        <v>354</v>
      </c>
      <c r="AR177" s="64" t="s" ph="1">
        <v>355</v>
      </c>
    </row>
    <row r="179" spans="36:56" ph="1">
      <c r="AJ179" s="64" t="s" ph="1">
        <v>356</v>
      </c>
      <c r="AK179" s="64" t="s" ph="1">
        <v>357</v>
      </c>
      <c r="AM179" s="64" t="s" ph="1">
        <v>358</v>
      </c>
      <c r="AN179" s="64" t="s" ph="1">
        <v>334</v>
      </c>
      <c r="AO179" s="64" t="s" ph="1">
        <v>359</v>
      </c>
      <c r="AP179" s="64" t="s" ph="1">
        <v>338</v>
      </c>
      <c r="AQ179" s="64" t="s" ph="1">
        <v>360</v>
      </c>
      <c r="AR179" s="64" t="s" ph="1">
        <v>361</v>
      </c>
    </row>
    <row r="180" spans="36:56" ph="1">
      <c r="AJ180" s="64" t="s" ph="1">
        <v>353</v>
      </c>
      <c r="AK180" s="64" t="s" ph="1">
        <v>353</v>
      </c>
      <c r="AL180" s="64" ph="1">
        <v>116</v>
      </c>
      <c r="AM180" s="64" t="s" ph="1">
        <v>353</v>
      </c>
      <c r="AN180" s="64" t="s" ph="1">
        <v>362</v>
      </c>
      <c r="AO180" s="64" t="s" ph="1">
        <v>353</v>
      </c>
      <c r="AP180" s="64" t="s" ph="1">
        <v>363</v>
      </c>
      <c r="AQ180" s="64" t="s" ph="1">
        <v>364</v>
      </c>
      <c r="AR180" s="64" t="s" ph="1">
        <v>365</v>
      </c>
    </row>
    <row r="189" spans="36:56" ph="1">
      <c r="BD189" s="64" t="s" ph="1">
        <v>609</v>
      </c>
    </row>
    <row r="223" spans="18:18" ph="1">
      <c r="R223" s="138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259" priority="96">
      <formula>ABS(D$7-D$10)&gt;=1000</formula>
    </cfRule>
  </conditionalFormatting>
  <conditionalFormatting sqref="E4 E6:E11">
    <cfRule type="expression" dxfId="1258" priority="95">
      <formula>ABS(E$7-E$10)&gt;=1000</formula>
    </cfRule>
  </conditionalFormatting>
  <conditionalFormatting sqref="F4:F11">
    <cfRule type="expression" dxfId="1257" priority="94">
      <formula>ABS(F$7-F$10)&gt;=1000</formula>
    </cfRule>
  </conditionalFormatting>
  <conditionalFormatting sqref="G4:G11">
    <cfRule type="expression" dxfId="1256" priority="93">
      <formula>ABS(G$7-G$10)&gt;=1000</formula>
    </cfRule>
  </conditionalFormatting>
  <conditionalFormatting sqref="H4:H11">
    <cfRule type="expression" dxfId="1255" priority="92">
      <formula>ABS(H$7-H$10)&gt;=1000</formula>
    </cfRule>
  </conditionalFormatting>
  <conditionalFormatting sqref="I4:I11">
    <cfRule type="expression" dxfId="1254" priority="91">
      <formula>ABS(I$7-I$10)&gt;=1000</formula>
    </cfRule>
  </conditionalFormatting>
  <conditionalFormatting sqref="J4:J11">
    <cfRule type="expression" dxfId="1253" priority="90">
      <formula>ABS(J$7-J$10)&gt;=1000</formula>
    </cfRule>
  </conditionalFormatting>
  <conditionalFormatting sqref="K4:K11">
    <cfRule type="expression" dxfId="1252" priority="89">
      <formula>ABS(K$7-K$10)&gt;=1000</formula>
    </cfRule>
  </conditionalFormatting>
  <conditionalFormatting sqref="L4:L11">
    <cfRule type="expression" dxfId="1251" priority="88">
      <formula>ABS(L$7-L$10)&gt;=1000</formula>
    </cfRule>
  </conditionalFormatting>
  <conditionalFormatting sqref="M4 M6:M11">
    <cfRule type="expression" dxfId="1250" priority="87">
      <formula>ABS(M$7-M$10)&gt;=1000</formula>
    </cfRule>
  </conditionalFormatting>
  <conditionalFormatting sqref="N4 N6:N11">
    <cfRule type="expression" dxfId="1249" priority="86">
      <formula>ABS(N$7-N$10)&gt;=1000</formula>
    </cfRule>
  </conditionalFormatting>
  <conditionalFormatting sqref="O4 O6:O11">
    <cfRule type="expression" dxfId="1248" priority="85">
      <formula>ABS(O$7-O$10)&gt;=1000</formula>
    </cfRule>
  </conditionalFormatting>
  <conditionalFormatting sqref="P4 P6:P11">
    <cfRule type="expression" dxfId="1247" priority="84">
      <formula>ABS(P$7-P$10)&gt;=1000</formula>
    </cfRule>
  </conditionalFormatting>
  <conditionalFormatting sqref="Q4:Q11">
    <cfRule type="expression" dxfId="1246" priority="83">
      <formula>ABS(Q$7-Q$10)&gt;=1000</formula>
    </cfRule>
  </conditionalFormatting>
  <conditionalFormatting sqref="R4:R11">
    <cfRule type="expression" dxfId="1245" priority="82">
      <formula>ABS(R$7-R$10)&gt;=1000</formula>
    </cfRule>
  </conditionalFormatting>
  <conditionalFormatting sqref="S4:S11">
    <cfRule type="expression" dxfId="1244" priority="81">
      <formula>ABS(S$7-S$10)&gt;=1000</formula>
    </cfRule>
  </conditionalFormatting>
  <conditionalFormatting sqref="T4:T9 T11">
    <cfRule type="expression" dxfId="1243" priority="80">
      <formula>ABS(T$7-T$10)&gt;=1000</formula>
    </cfRule>
  </conditionalFormatting>
  <conditionalFormatting sqref="U4:U9 U11">
    <cfRule type="expression" dxfId="1242" priority="79">
      <formula>ABS(U$7-U$10)&gt;=1000</formula>
    </cfRule>
  </conditionalFormatting>
  <conditionalFormatting sqref="V4:V9 V11">
    <cfRule type="expression" dxfId="1241" priority="78">
      <formula>ABS(V$7-V$10)&gt;=1000</formula>
    </cfRule>
  </conditionalFormatting>
  <conditionalFormatting sqref="W4:W9 W11">
    <cfRule type="expression" dxfId="1240" priority="77">
      <formula>ABS(W$7-W$10)&gt;=1000</formula>
    </cfRule>
  </conditionalFormatting>
  <conditionalFormatting sqref="X4:X9 X11">
    <cfRule type="expression" dxfId="1239" priority="76">
      <formula>ABS(X$7-X$10)&gt;=1000</formula>
    </cfRule>
  </conditionalFormatting>
  <conditionalFormatting sqref="Y4:Y9 Y11">
    <cfRule type="expression" dxfId="1238" priority="75">
      <formula>ABS(Y$7-Y$10)&gt;=1000</formula>
    </cfRule>
  </conditionalFormatting>
  <conditionalFormatting sqref="Z4:Z11">
    <cfRule type="expression" dxfId="1237" priority="74">
      <formula>ABS(Z$7-Z$10)&gt;=1000</formula>
    </cfRule>
  </conditionalFormatting>
  <conditionalFormatting sqref="AA4:AA11">
    <cfRule type="expression" dxfId="1236" priority="73">
      <formula>ABS(AA$7-AA$10)&gt;=1000</formula>
    </cfRule>
  </conditionalFormatting>
  <conditionalFormatting sqref="AB4:AB11">
    <cfRule type="expression" dxfId="1235" priority="72">
      <formula>ABS(AB$7-AB$10)&gt;=1000</formula>
    </cfRule>
  </conditionalFormatting>
  <conditionalFormatting sqref="AC4 AC6:AC11">
    <cfRule type="expression" dxfId="1234" priority="71">
      <formula>ABS(AC$7-AC$10)&gt;=1000</formula>
    </cfRule>
  </conditionalFormatting>
  <conditionalFormatting sqref="AD4:AD11">
    <cfRule type="expression" dxfId="1233" priority="70">
      <formula>ABS(AD$7-AD$10)&gt;=1000</formula>
    </cfRule>
  </conditionalFormatting>
  <conditionalFormatting sqref="AE4:AE11">
    <cfRule type="expression" dxfId="1232" priority="69">
      <formula>ABS(AE$7-AE$10)&gt;=1000</formula>
    </cfRule>
  </conditionalFormatting>
  <conditionalFormatting sqref="D13:D20">
    <cfRule type="expression" dxfId="1231" priority="68">
      <formula>ABS(D$16-D$19)&gt;=1000</formula>
    </cfRule>
  </conditionalFormatting>
  <conditionalFormatting sqref="E13:E20">
    <cfRule type="expression" dxfId="1230" priority="67">
      <formula>ABS(E$16-E$19)&gt;=1000</formula>
    </cfRule>
  </conditionalFormatting>
  <conditionalFormatting sqref="F13 F15:F20">
    <cfRule type="expression" dxfId="1229" priority="66">
      <formula>ABS(F$16-F$19)&gt;=1000</formula>
    </cfRule>
  </conditionalFormatting>
  <conditionalFormatting sqref="G13:G20">
    <cfRule type="expression" dxfId="1228" priority="65">
      <formula>ABS(G$16-G$19)&gt;=1000</formula>
    </cfRule>
  </conditionalFormatting>
  <conditionalFormatting sqref="H13:H20">
    <cfRule type="expression" dxfId="1227" priority="64">
      <formula>ABS(H$16-H$19)&gt;=1000</formula>
    </cfRule>
  </conditionalFormatting>
  <conditionalFormatting sqref="I13:I20">
    <cfRule type="expression" dxfId="1226" priority="63">
      <formula>ABS(I$16-I$19)&gt;=1000</formula>
    </cfRule>
  </conditionalFormatting>
  <conditionalFormatting sqref="J13:J20">
    <cfRule type="expression" dxfId="1225" priority="62">
      <formula>ABS(J$16-J$19)&gt;=1000</formula>
    </cfRule>
  </conditionalFormatting>
  <conditionalFormatting sqref="L13:L20">
    <cfRule type="expression" dxfId="1224" priority="61">
      <formula>ABS(L$16-L$19)&gt;=1000</formula>
    </cfRule>
  </conditionalFormatting>
  <conditionalFormatting sqref="M13 M15 M17:M18 M20">
    <cfRule type="expression" dxfId="1223" priority="60">
      <formula>ABS(M$16-M$19)&gt;=1000</formula>
    </cfRule>
  </conditionalFormatting>
  <conditionalFormatting sqref="N13:N20">
    <cfRule type="expression" dxfId="1222" priority="59">
      <formula>ABS(N$16-N$19)&gt;=1000</formula>
    </cfRule>
  </conditionalFormatting>
  <conditionalFormatting sqref="O13:O20">
    <cfRule type="expression" dxfId="1221" priority="58">
      <formula>ABS(O$16-O$19)&gt;=1000</formula>
    </cfRule>
  </conditionalFormatting>
  <conditionalFormatting sqref="P13:P20">
    <cfRule type="expression" dxfId="1220" priority="57">
      <formula>ABS(P$16-P$19)&gt;=1000</formula>
    </cfRule>
  </conditionalFormatting>
  <conditionalFormatting sqref="Q13 Q15:Q20">
    <cfRule type="expression" dxfId="1219" priority="56">
      <formula>ABS(Q$16-Q$19)&gt;=1000</formula>
    </cfRule>
  </conditionalFormatting>
  <conditionalFormatting sqref="R13:R20">
    <cfRule type="expression" dxfId="1218" priority="55">
      <formula>ABS(R$16-R$19)&gt;=1000</formula>
    </cfRule>
  </conditionalFormatting>
  <conditionalFormatting sqref="S13:S20">
    <cfRule type="expression" dxfId="1217" priority="54">
      <formula>ABS(S$16-S$19)&gt;=1000</formula>
    </cfRule>
  </conditionalFormatting>
  <conditionalFormatting sqref="T13:T20">
    <cfRule type="expression" dxfId="1216" priority="53">
      <formula>ABS(T$16-T$19)&gt;=1000</formula>
    </cfRule>
  </conditionalFormatting>
  <conditionalFormatting sqref="U13:U20">
    <cfRule type="expression" dxfId="1215" priority="52">
      <formula>ABS(U$16-U$19)&gt;=1000</formula>
    </cfRule>
  </conditionalFormatting>
  <conditionalFormatting sqref="V13:V20">
    <cfRule type="expression" dxfId="1214" priority="51">
      <formula>ABS(V$16-V$19)&gt;=1000</formula>
    </cfRule>
  </conditionalFormatting>
  <conditionalFormatting sqref="W13 W15:W18 W20">
    <cfRule type="expression" dxfId="1213" priority="50">
      <formula>ABS(W$16-W$19)&gt;=1000</formula>
    </cfRule>
  </conditionalFormatting>
  <conditionalFormatting sqref="X13 X15:X20 Y19">
    <cfRule type="expression" dxfId="1212" priority="49">
      <formula>ABS(X$16-X$19)&gt;=1000</formula>
    </cfRule>
  </conditionalFormatting>
  <conditionalFormatting sqref="Y13 Y15:Y18 Y20">
    <cfRule type="expression" dxfId="1211" priority="48">
      <formula>ABS(Y$16-Y$19)&gt;=1000</formula>
    </cfRule>
  </conditionalFormatting>
  <conditionalFormatting sqref="Z13:Z20">
    <cfRule type="expression" dxfId="1210" priority="47">
      <formula>ABS(Z$16-Z$19)&gt;=1000</formula>
    </cfRule>
  </conditionalFormatting>
  <conditionalFormatting sqref="AA13:AA20">
    <cfRule type="expression" dxfId="1209" priority="46">
      <formula>ABS(AA$16-AA$19)&gt;=1000</formula>
    </cfRule>
  </conditionalFormatting>
  <conditionalFormatting sqref="AB13 AB15:AB20">
    <cfRule type="expression" dxfId="1208" priority="45">
      <formula>ABS(AB$16-AB$19)&gt;=1000</formula>
    </cfRule>
  </conditionalFormatting>
  <conditionalFormatting sqref="AC13 AC15:AC20">
    <cfRule type="expression" dxfId="1207" priority="44">
      <formula>ABS(AC$16-AC$19)&gt;=1000</formula>
    </cfRule>
  </conditionalFormatting>
  <conditionalFormatting sqref="AD13:AD20">
    <cfRule type="expression" dxfId="1206" priority="43">
      <formula>ABS(AD$16-AD$19)&gt;=1000</formula>
    </cfRule>
  </conditionalFormatting>
  <conditionalFormatting sqref="AE13:AE20">
    <cfRule type="expression" dxfId="1205" priority="42">
      <formula>ABS(AE$16-AE$19)&gt;=1000</formula>
    </cfRule>
  </conditionalFormatting>
  <conditionalFormatting sqref="D22:D29">
    <cfRule type="expression" dxfId="1204" priority="41">
      <formula>ABS(D$25-D$28)&gt;=1000</formula>
    </cfRule>
  </conditionalFormatting>
  <conditionalFormatting sqref="E22:E29">
    <cfRule type="expression" dxfId="1203" priority="40">
      <formula>ABS(E$25-E$28)&gt;=1000</formula>
    </cfRule>
  </conditionalFormatting>
  <conditionalFormatting sqref="F22:F29">
    <cfRule type="expression" dxfId="1202" priority="39">
      <formula>ABS(F$25-F$28)&gt;=1000</formula>
    </cfRule>
  </conditionalFormatting>
  <conditionalFormatting sqref="G22:G29">
    <cfRule type="expression" dxfId="1201" priority="38">
      <formula>ABS(G$25-G$28)&gt;=1000</formula>
    </cfRule>
  </conditionalFormatting>
  <conditionalFormatting sqref="H22:H29">
    <cfRule type="expression" dxfId="1200" priority="37">
      <formula>ABS(H$25-H$28)&gt;=1000</formula>
    </cfRule>
  </conditionalFormatting>
  <conditionalFormatting sqref="I22 I24:I29">
    <cfRule type="expression" dxfId="1199" priority="36">
      <formula>ABS(I$25-I$28)&gt;=1000</formula>
    </cfRule>
  </conditionalFormatting>
  <conditionalFormatting sqref="J22:J29 K22">
    <cfRule type="expression" dxfId="1198" priority="35">
      <formula>ABS(J$25-J$28)&gt;=1000</formula>
    </cfRule>
  </conditionalFormatting>
  <conditionalFormatting sqref="K23:K29 L25 L28">
    <cfRule type="expression" dxfId="1197" priority="34">
      <formula>ABS(K$25-K$28)&gt;=1000</formula>
    </cfRule>
  </conditionalFormatting>
  <conditionalFormatting sqref="L22:L24 L26:L27 L29">
    <cfRule type="expression" dxfId="1196" priority="33">
      <formula>ABS(L$25-L$28)&gt;=1000</formula>
    </cfRule>
  </conditionalFormatting>
  <conditionalFormatting sqref="M22:M29">
    <cfRule type="expression" dxfId="1195" priority="32">
      <formula>ABS(M$25-M$28)&gt;=1000</formula>
    </cfRule>
  </conditionalFormatting>
  <conditionalFormatting sqref="N22:N29">
    <cfRule type="expression" dxfId="1194" priority="31">
      <formula>ABS(N$25-N$28)&gt;=1000</formula>
    </cfRule>
  </conditionalFormatting>
  <conditionalFormatting sqref="O22:O29">
    <cfRule type="expression" dxfId="1193" priority="30">
      <formula>ABS(O$25-O$28)&gt;=1000</formula>
    </cfRule>
  </conditionalFormatting>
  <conditionalFormatting sqref="P22:P29">
    <cfRule type="expression" dxfId="1192" priority="29">
      <formula>ABS(P$25-P$28)&gt;=1000</formula>
    </cfRule>
  </conditionalFormatting>
  <conditionalFormatting sqref="Q22:Q29">
    <cfRule type="expression" dxfId="1191" priority="28">
      <formula>ABS(Q$25-Q$28)&gt;=1000</formula>
    </cfRule>
  </conditionalFormatting>
  <conditionalFormatting sqref="R22:R29">
    <cfRule type="expression" dxfId="1190" priority="27">
      <formula>ABS(R$25-R$28)&gt;=1000</formula>
    </cfRule>
  </conditionalFormatting>
  <conditionalFormatting sqref="S22:S29">
    <cfRule type="expression" dxfId="1189" priority="26">
      <formula>ABS(S$25-S$28)&gt;=1000</formula>
    </cfRule>
  </conditionalFormatting>
  <conditionalFormatting sqref="T22:T29">
    <cfRule type="expression" dxfId="1188" priority="25">
      <formula>ABS(T$25-T$28)&gt;=1000</formula>
    </cfRule>
  </conditionalFormatting>
  <conditionalFormatting sqref="U22:U29">
    <cfRule type="expression" dxfId="1187" priority="24">
      <formula>ABS(U$25-U$28)&gt;=1000</formula>
    </cfRule>
  </conditionalFormatting>
  <conditionalFormatting sqref="V22:V29">
    <cfRule type="expression" dxfId="1186" priority="23">
      <formula>ABS(V$25-V$28)&gt;=1000</formula>
    </cfRule>
  </conditionalFormatting>
  <conditionalFormatting sqref="W22:W29">
    <cfRule type="expression" dxfId="1185" priority="22">
      <formula>ABS(W$25-W$28)&gt;=1000</formula>
    </cfRule>
  </conditionalFormatting>
  <conditionalFormatting sqref="X22:X29">
    <cfRule type="expression" dxfId="1184" priority="21">
      <formula>ABS(X$25-X$28)&gt;=1000</formula>
    </cfRule>
  </conditionalFormatting>
  <conditionalFormatting sqref="Y22:Y29">
    <cfRule type="expression" dxfId="1183" priority="20">
      <formula>ABS(Y$25-Y$28)&gt;=1000</formula>
    </cfRule>
  </conditionalFormatting>
  <conditionalFormatting sqref="I23">
    <cfRule type="expression" dxfId="1182" priority="19">
      <formula>ABS(I$25-I$28)&gt;=1000</formula>
    </cfRule>
  </conditionalFormatting>
  <conditionalFormatting sqref="F14">
    <cfRule type="expression" dxfId="1181" priority="18">
      <formula>ABS(F$16-F$19)&gt;=1000</formula>
    </cfRule>
  </conditionalFormatting>
  <conditionalFormatting sqref="Q14">
    <cfRule type="expression" dxfId="1180" priority="17">
      <formula>ABS(Q$16-Q$19)&gt;=1000</formula>
    </cfRule>
  </conditionalFormatting>
  <conditionalFormatting sqref="W14">
    <cfRule type="expression" dxfId="1179" priority="16">
      <formula>ABS(W$16-W$19)&gt;=1000</formula>
    </cfRule>
  </conditionalFormatting>
  <conditionalFormatting sqref="Y14">
    <cfRule type="expression" dxfId="1178" priority="15">
      <formula>ABS(Y$16-Y$19)&gt;=1000</formula>
    </cfRule>
  </conditionalFormatting>
  <conditionalFormatting sqref="X14">
    <cfRule type="expression" dxfId="1177" priority="14">
      <formula>ABS(X$16-X$19)&gt;=1000</formula>
    </cfRule>
  </conditionalFormatting>
  <conditionalFormatting sqref="T10:Y10">
    <cfRule type="expression" dxfId="1176" priority="13">
      <formula>ABS(T$7-T$10)&gt;=1000</formula>
    </cfRule>
  </conditionalFormatting>
  <conditionalFormatting sqref="W19">
    <cfRule type="expression" dxfId="1175" priority="12">
      <formula>ABS(W$16-W$19)&gt;=1000</formula>
    </cfRule>
  </conditionalFormatting>
  <conditionalFormatting sqref="AC5">
    <cfRule type="expression" dxfId="1174" priority="11">
      <formula>ABS(AC$7-AC$10)&gt;=1000</formula>
    </cfRule>
  </conditionalFormatting>
  <conditionalFormatting sqref="M14">
    <cfRule type="expression" dxfId="1173" priority="10">
      <formula>ABS(M$16-M$19)&gt;=1000</formula>
    </cfRule>
  </conditionalFormatting>
  <conditionalFormatting sqref="M16">
    <cfRule type="expression" dxfId="1172" priority="9">
      <formula>ABS(M$16-M$19)&gt;=1000</formula>
    </cfRule>
  </conditionalFormatting>
  <conditionalFormatting sqref="M19">
    <cfRule type="expression" dxfId="1171" priority="8">
      <formula>ABS(M$16-M$19)&gt;=1000</formula>
    </cfRule>
  </conditionalFormatting>
  <conditionalFormatting sqref="K13:K20">
    <cfRule type="expression" dxfId="1170" priority="7">
      <formula>ABS(K$16-K$19)&gt;=1000</formula>
    </cfRule>
  </conditionalFormatting>
  <conditionalFormatting sqref="E5">
    <cfRule type="expression" dxfId="1169" priority="6">
      <formula>ABS(E$7-E$10)&gt;=1000</formula>
    </cfRule>
  </conditionalFormatting>
  <conditionalFormatting sqref="AB14:AC14">
    <cfRule type="expression" dxfId="1168" priority="5">
      <formula>ABS(AB$16-AB$19)&gt;=1000</formula>
    </cfRule>
  </conditionalFormatting>
  <conditionalFormatting sqref="M5">
    <cfRule type="expression" dxfId="1167" priority="4">
      <formula>ABS(M$7-M$10)&gt;=1000</formula>
    </cfRule>
  </conditionalFormatting>
  <conditionalFormatting sqref="N5">
    <cfRule type="expression" dxfId="1166" priority="3">
      <formula>ABS(N$7-N$10)&gt;=1000</formula>
    </cfRule>
  </conditionalFormatting>
  <conditionalFormatting sqref="O5">
    <cfRule type="expression" dxfId="1165" priority="2">
      <formula>ABS(O$7-O$10)&gt;=1000</formula>
    </cfRule>
  </conditionalFormatting>
  <conditionalFormatting sqref="P5">
    <cfRule type="expression" dxfId="1164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9820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75">
    <pageSetUpPr fitToPage="1"/>
  </sheetPr>
  <dimension ref="A1:CU223"/>
  <sheetViews>
    <sheetView view="pageBreakPreview" zoomScale="70" zoomScaleNormal="100" zoomScaleSheetLayoutView="70" workbookViewId="0">
      <selection activeCell="V18" sqref="V18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08" t="s" ph="1">
        <v>192</v>
      </c>
      <c r="C1" s="208" ph="1"/>
      <c r="D1" s="208" ph="1"/>
      <c r="E1" s="208" ph="1"/>
      <c r="F1" s="208" ph="1"/>
      <c r="G1" s="208" ph="1"/>
      <c r="H1" s="208" ph="1"/>
      <c r="I1" s="208" ph="1"/>
      <c r="J1" s="208" ph="1"/>
      <c r="K1" s="208" ph="1"/>
      <c r="L1" s="208" ph="1"/>
      <c r="M1" s="208" ph="1"/>
      <c r="N1" s="208" ph="1"/>
      <c r="O1" s="208" ph="1"/>
      <c r="P1" s="208" ph="1"/>
      <c r="Q1" s="208" ph="1"/>
      <c r="R1" s="208" ph="1"/>
      <c r="S1" s="208" ph="1"/>
      <c r="T1" s="208" ph="1"/>
      <c r="U1" s="208" ph="1"/>
      <c r="V1" s="208" ph="1"/>
      <c r="W1" s="208" ph="1"/>
      <c r="X1" s="208" ph="1"/>
      <c r="Y1" s="208" ph="1"/>
      <c r="Z1" s="208" ph="1"/>
      <c r="AA1" s="208" ph="1"/>
      <c r="AB1" s="208" ph="1"/>
      <c r="AC1" s="208" ph="1"/>
      <c r="AD1" s="208" ph="1"/>
      <c r="AE1" s="208" ph="1"/>
    </row>
    <row r="2" spans="1:99" s="66" customFormat="1" ht="24" customHeight="1" ph="1">
      <c r="B2" s="209" t="s" ph="1">
        <v>99</v>
      </c>
      <c r="C2" s="209" ph="1"/>
      <c r="D2" s="209" ph="1"/>
      <c r="E2" s="209" ph="1"/>
      <c r="F2" s="209" ph="1"/>
      <c r="G2" s="209" ph="1"/>
      <c r="H2" s="209" ph="1"/>
      <c r="I2" s="209" ph="1"/>
      <c r="J2" s="209" ph="1"/>
      <c r="K2" s="209" ph="1"/>
      <c r="L2" s="209" ph="1"/>
      <c r="M2" s="209" ph="1"/>
      <c r="N2" s="209" ph="1"/>
      <c r="O2" s="209" ph="1"/>
      <c r="P2" s="209" ph="1"/>
      <c r="Q2" s="209" ph="1"/>
      <c r="R2" s="209" ph="1"/>
      <c r="S2" s="209" ph="1"/>
      <c r="T2" s="209" ph="1"/>
      <c r="U2" s="209" ph="1"/>
      <c r="V2" s="209" ph="1"/>
      <c r="W2" s="209" ph="1"/>
      <c r="X2" s="209" ph="1"/>
      <c r="Y2" s="209" ph="1"/>
      <c r="Z2" s="209" ph="1"/>
      <c r="AA2" s="209" ph="1"/>
      <c r="AB2" s="209" ph="1"/>
      <c r="AC2" s="209" ph="1"/>
      <c r="AD2" s="209" ph="1"/>
      <c r="AE2" s="209" ph="1"/>
    </row>
    <row r="3" spans="1:99" ht="21" customHeight="1" ph="1">
      <c r="B3" s="210" ph="1">
        <v>45705</v>
      </c>
      <c r="C3" s="210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210"/>
      <c r="R3" s="210"/>
      <c r="S3" s="210"/>
      <c r="T3" s="210"/>
      <c r="U3" s="210"/>
      <c r="V3" s="210"/>
      <c r="W3" s="210"/>
      <c r="X3" s="210"/>
      <c r="Y3" s="210"/>
      <c r="Z3" s="210"/>
      <c r="AA3" s="210"/>
      <c r="AB3" s="210"/>
      <c r="AC3" s="210"/>
      <c r="AD3" s="210"/>
      <c r="AE3" s="210"/>
    </row>
    <row r="4" spans="1:99" s="69" customFormat="1" ph="1">
      <c r="A4" s="65" ph="1"/>
      <c r="B4" s="211" t="s" ph="1">
        <v>37</v>
      </c>
      <c r="C4" s="67" t="s" ph="1">
        <v>207</v>
      </c>
      <c r="D4" s="68" t="s" ph="1">
        <v>45</v>
      </c>
      <c r="E4" s="68" t="s" ph="1">
        <v>46</v>
      </c>
      <c r="F4" s="68" t="s" ph="1">
        <v>39</v>
      </c>
      <c r="G4" s="68" t="s" ph="1">
        <v>47</v>
      </c>
      <c r="H4" s="68" t="s" ph="1">
        <v>48</v>
      </c>
      <c r="I4" s="68" t="s" ph="1">
        <v>132</v>
      </c>
      <c r="J4" s="68" t="s" ph="1">
        <v>49</v>
      </c>
      <c r="K4" s="68" t="s" ph="1">
        <v>133</v>
      </c>
      <c r="L4" s="68" t="s" ph="1">
        <v>134</v>
      </c>
      <c r="M4" s="68" t="s" ph="1">
        <v>50</v>
      </c>
      <c r="N4" s="68" t="s" ph="1">
        <v>51</v>
      </c>
      <c r="O4" s="68" t="s" ph="1">
        <v>136</v>
      </c>
      <c r="P4" s="68" t="s" ph="1">
        <v>138</v>
      </c>
      <c r="Q4" s="68" t="s" ph="1">
        <v>139</v>
      </c>
      <c r="R4" s="68" t="s" ph="1">
        <v>140</v>
      </c>
      <c r="S4" s="68" t="s" ph="1">
        <v>141</v>
      </c>
      <c r="T4" s="68" t="s" ph="1">
        <v>142</v>
      </c>
      <c r="U4" s="68" t="s" ph="1">
        <v>143</v>
      </c>
      <c r="V4" s="68" t="s" ph="1">
        <v>144</v>
      </c>
      <c r="W4" s="68" t="s" ph="1">
        <v>145</v>
      </c>
      <c r="X4" s="68" t="s" ph="1">
        <v>146</v>
      </c>
      <c r="Y4" s="68" t="s" ph="1">
        <v>147</v>
      </c>
      <c r="Z4" s="68" t="s" ph="1">
        <v>52</v>
      </c>
      <c r="AA4" s="68" t="s" ph="1">
        <v>148</v>
      </c>
      <c r="AB4" s="68" t="s" ph="1">
        <v>149</v>
      </c>
      <c r="AC4" s="68" t="s" ph="1">
        <v>150</v>
      </c>
      <c r="AD4" s="68" t="s" ph="1">
        <v>40</v>
      </c>
      <c r="AE4" s="68" t="s" ph="1">
        <v>151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1" ph="1"/>
      <c r="C5" s="67" t="s" ph="1">
        <v>36</v>
      </c>
      <c r="D5" s="70" t="s" ph="1">
        <v>191</v>
      </c>
      <c r="E5" s="70" t="s" ph="1">
        <v>7</v>
      </c>
      <c r="F5" s="70" t="s" ph="1">
        <v>1</v>
      </c>
      <c r="G5" s="70" t="s" ph="1">
        <v>7</v>
      </c>
      <c r="H5" s="70" t="s" ph="1">
        <v>7</v>
      </c>
      <c r="I5" s="70" t="s" ph="1">
        <v>657</v>
      </c>
      <c r="J5" s="70" t="s" ph="1">
        <v>658</v>
      </c>
      <c r="K5" s="70" t="s" ph="1">
        <v>660</v>
      </c>
      <c r="L5" s="70" t="s" ph="1">
        <v>662</v>
      </c>
      <c r="M5" s="70" t="s" ph="1">
        <v>657</v>
      </c>
      <c r="N5" s="70" t="s" ph="1">
        <v>658</v>
      </c>
      <c r="O5" s="70" t="s" ph="1">
        <v>660</v>
      </c>
      <c r="P5" s="70" t="s" ph="1">
        <v>662</v>
      </c>
      <c r="Q5" s="70" t="s" ph="1">
        <v>656</v>
      </c>
      <c r="R5" s="70" t="s" ph="1">
        <v>656</v>
      </c>
      <c r="S5" s="70" t="s" ph="1">
        <v>656</v>
      </c>
      <c r="T5" s="70" t="s" ph="1">
        <v>656</v>
      </c>
      <c r="U5" s="70" t="s" ph="1">
        <v>656</v>
      </c>
      <c r="V5" s="70" t="s" ph="1">
        <v>656</v>
      </c>
      <c r="W5" s="70" t="s" ph="1">
        <v>656</v>
      </c>
      <c r="X5" s="70" t="s" ph="1">
        <v>656</v>
      </c>
      <c r="Y5" s="70" t="s" ph="1">
        <v>656</v>
      </c>
      <c r="Z5" s="70" t="s" ph="1">
        <v>663</v>
      </c>
      <c r="AA5" s="70" t="s" ph="1">
        <v>62</v>
      </c>
      <c r="AB5" s="70" t="s" ph="1">
        <v>62</v>
      </c>
      <c r="AC5" s="70" t="s" ph="1">
        <v>664</v>
      </c>
      <c r="AD5" s="70" t="s" ph="1">
        <v>83</v>
      </c>
      <c r="AE5" s="70" t="s" ph="1">
        <v>654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07" ph="1">
        <v>0.33333333333333331</v>
      </c>
      <c r="C6" s="170" t="s" ph="1">
        <v>208</v>
      </c>
      <c r="D6" s="71">
        <v>134</v>
      </c>
      <c r="E6" s="71">
        <v>0</v>
      </c>
      <c r="F6" s="71">
        <v>1632</v>
      </c>
      <c r="G6" s="71">
        <v>4074</v>
      </c>
      <c r="H6" s="71">
        <v>4241</v>
      </c>
      <c r="I6" s="71">
        <v>27.11</v>
      </c>
      <c r="J6" s="71">
        <v>7.81</v>
      </c>
      <c r="K6" s="71">
        <v>87.41</v>
      </c>
      <c r="L6" s="71">
        <v>46.91</v>
      </c>
      <c r="M6" s="71">
        <v>4522</v>
      </c>
      <c r="N6" s="71">
        <v>5163</v>
      </c>
      <c r="O6" s="71">
        <v>5216</v>
      </c>
      <c r="P6" s="71">
        <v>5036</v>
      </c>
      <c r="Q6" s="71">
        <v>7028</v>
      </c>
      <c r="R6" s="71">
        <v>7005</v>
      </c>
      <c r="S6" s="71">
        <v>6194</v>
      </c>
      <c r="T6" s="71">
        <v>0</v>
      </c>
      <c r="U6" s="71">
        <v>0</v>
      </c>
      <c r="V6" s="71">
        <v>0</v>
      </c>
      <c r="W6" s="71">
        <v>0</v>
      </c>
      <c r="X6" s="71">
        <v>252</v>
      </c>
      <c r="Y6" s="71">
        <v>6623</v>
      </c>
      <c r="Z6" s="71">
        <v>4754</v>
      </c>
      <c r="AA6" s="71">
        <v>1628</v>
      </c>
      <c r="AB6" s="71">
        <v>2537</v>
      </c>
      <c r="AC6" s="71">
        <v>8874</v>
      </c>
      <c r="AD6" s="71">
        <v>261</v>
      </c>
      <c r="AE6" s="71">
        <v>3077</v>
      </c>
    </row>
    <row r="7" spans="1:99" s="72" customFormat="1" ht="22.5" ph="1">
      <c r="B7" s="207" ph="1"/>
      <c r="C7" s="68" t="s" ph="1">
        <v>209</v>
      </c>
      <c r="D7" s="73" ph="1">
        <f>D6*33.183*LOOKUP(D8,密度!$A$2:$A$50,密度!$Q$2:$Q$50)</f>
        <v>4240.2033792000002</v>
      </c>
      <c r="E7" s="73" ph="1">
        <f>E6*51.53*LOOKUP(E8,密度!$A$2:$A$50,密度!$I$2:$I$50)</f>
        <v>0</v>
      </c>
      <c r="F7" s="73" ph="1">
        <f>F6*33.183*LOOKUP(F8,密度!$A$2:$A$50,密度!$C$2:$C$50)</f>
        <v>60355.364112000003</v>
      </c>
      <c r="G7" s="73" ph="1">
        <f xml:space="preserve"> (G6+2)*51.53*LOOKUP(G8,密度!$A$2:$A$50,密度!$B$2:$B$50)</f>
        <v>165340.55961600001</v>
      </c>
      <c r="H7" s="73" ph="1">
        <f>(H6)*51.53*LOOKUP(H8,密度!$A$2:$A$50,密度!$B$2:$B$50)</f>
        <v>173148.23577900001</v>
      </c>
      <c r="I7" s="73" ph="1">
        <f>I6*290.8*1.0267</f>
        <v>8094.0797995999992</v>
      </c>
      <c r="J7" s="73" ph="1">
        <f>J6*290.8*0.7892</f>
        <v>1792.3900016000002</v>
      </c>
      <c r="K7" s="73" ph="1">
        <f>K6*290.8*1.1126</f>
        <v>28280.988032800004</v>
      </c>
      <c r="L7" s="73" ph="1">
        <f>L6*290.8*0.777</f>
        <v>10599.389556</v>
      </c>
      <c r="M7" s="73" ph="1">
        <f>M6*33.183*LOOKUP(M8,密度!$A$2:$A$50,密度!$D$2:$D$50)</f>
        <v>155275.38870480002</v>
      </c>
      <c r="N7" s="73" ph="1">
        <f>N6*33.183*LOOKUP(N8,密度!$A$2:$A$50,密度!$E$2:$E$50)</f>
        <v>135962.59069439999</v>
      </c>
      <c r="O7" s="73" ph="1">
        <f>O6*20.428*LOOKUP(O8,密度!$A$2:$A$50,密度!$C$2:$C$50)</f>
        <v>118475.66693120002</v>
      </c>
      <c r="P7" s="73" ph="1">
        <f>P6*51.53*LOOKUP(P8,密度!$A$2:$A$50,密度!$B$2:$B$50)</f>
        <v>204490.00304000001</v>
      </c>
      <c r="Q7" s="73" ph="1">
        <f>Q6*1.5*1.5*3.1416*LOOKUP(W8,密度!$A$2:$A$50,密度!$L$2:$L$50)</f>
        <v>46995.502276799998</v>
      </c>
      <c r="R7" s="73" ph="1">
        <f>R6*1.5*1.5*3.1416*LOOKUP(R8,密度!$A$2:$A$50,密度!$L$2:$L$50)</f>
        <v>46495.094876999996</v>
      </c>
      <c r="S7" s="73" ph="1">
        <f>S6*1.5*1.5*3.1416*LOOKUP(S8,密度!$A$2:$A$50,密度!$L$2:$L$50)</f>
        <v>41681.3287968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1701.1292759999999</v>
      </c>
      <c r="Y7" s="73" ph="1">
        <f>Y6*1.5*1.5*3.1416*LOOKUP(Y8,密度!$A$2:$A$50,密度!$L$2:$L$50)</f>
        <v>44334.124896599998</v>
      </c>
      <c r="Z7" s="73" ph="1">
        <f>Z6*33.183*LOOKUP(Z8,密度!$A$2:$A$50,密度!$L$2:$L$50)</f>
        <v>149548.87893599999</v>
      </c>
      <c r="AA7" s="73" ph="1">
        <f>AA6*33.183*LOOKUP(AA8,密度!$A$2:$A$50,密度!$D$2:$D$50)</f>
        <v>55945.104494400002</v>
      </c>
      <c r="AB7" s="73" ph="1">
        <f>AB6*20.428*LOOKUP(AB8,密度!$A$2:$A$50,密度!$D$2:$D$50)</f>
        <v>54085.442449600007</v>
      </c>
      <c r="AC7" s="73" ph="1">
        <f>AC6*51.53*LOOKUP(AC8,密度!$A$2:$A$50,密度!$Q$2:$Q$50)</f>
        <v>436489.39757880004</v>
      </c>
      <c r="AD7" s="73" ph="1">
        <f>AD6*20.428*LOOKUP(AD8,密度!$A$2:$A$50,密度!$V$2:$V$50)</f>
        <v>5139.7665120000001</v>
      </c>
      <c r="AE7" s="73" ph="1">
        <f>AE6*20.428</f>
        <v>62856.956000000006</v>
      </c>
    </row>
    <row r="8" spans="1:99" ph="1">
      <c r="B8" s="207" ph="1"/>
      <c r="C8" s="68" t="s" ph="1">
        <v>210</v>
      </c>
      <c r="D8" s="74">
        <v>16</v>
      </c>
      <c r="E8" s="74">
        <v>15</v>
      </c>
      <c r="F8" s="74">
        <v>17</v>
      </c>
      <c r="G8" s="74">
        <v>16</v>
      </c>
      <c r="H8" s="74">
        <v>10</v>
      </c>
      <c r="I8" s="74">
        <v>25</v>
      </c>
      <c r="J8" s="74">
        <v>25</v>
      </c>
      <c r="K8" s="74">
        <v>25</v>
      </c>
      <c r="L8" s="74">
        <v>25</v>
      </c>
      <c r="M8" s="74">
        <v>16</v>
      </c>
      <c r="N8" s="74">
        <v>16</v>
      </c>
      <c r="O8" s="74">
        <v>21</v>
      </c>
      <c r="P8" s="74">
        <v>15</v>
      </c>
      <c r="Q8" s="74">
        <v>15</v>
      </c>
      <c r="R8" s="74">
        <v>23</v>
      </c>
      <c r="S8" s="74">
        <v>10</v>
      </c>
      <c r="T8" s="74">
        <v>12</v>
      </c>
      <c r="U8" s="74">
        <v>16</v>
      </c>
      <c r="V8" s="74">
        <v>22</v>
      </c>
      <c r="W8" s="74">
        <v>16</v>
      </c>
      <c r="X8" s="74">
        <v>7</v>
      </c>
      <c r="Y8" s="74">
        <v>15</v>
      </c>
      <c r="Z8" s="74">
        <v>14</v>
      </c>
      <c r="AA8" s="74">
        <v>15</v>
      </c>
      <c r="AB8" s="74">
        <v>6</v>
      </c>
      <c r="AC8" s="74">
        <v>13</v>
      </c>
      <c r="AD8" s="74">
        <v>13</v>
      </c>
      <c r="AE8" s="74">
        <v>15</v>
      </c>
    </row>
    <row r="9" spans="1:99" ph="1">
      <c r="B9" s="207" ph="1">
        <v>0.66666666666666663</v>
      </c>
      <c r="C9" s="170" t="s" ph="1">
        <v>211</v>
      </c>
      <c r="D9" s="71">
        <v>248</v>
      </c>
      <c r="E9" s="71">
        <v>0</v>
      </c>
      <c r="F9" s="71">
        <v>2648</v>
      </c>
      <c r="G9" s="71">
        <v>4930</v>
      </c>
      <c r="H9" s="71">
        <v>3967</v>
      </c>
      <c r="I9" s="71">
        <v>27.11</v>
      </c>
      <c r="J9" s="71">
        <v>7.81</v>
      </c>
      <c r="K9" s="71">
        <v>87.21</v>
      </c>
      <c r="L9" s="71">
        <v>12.11</v>
      </c>
      <c r="M9" s="71">
        <v>4524</v>
      </c>
      <c r="N9" s="71">
        <v>4995</v>
      </c>
      <c r="O9" s="71">
        <v>5219</v>
      </c>
      <c r="P9" s="71">
        <v>4739</v>
      </c>
      <c r="Q9" s="71">
        <v>7034</v>
      </c>
      <c r="R9" s="71">
        <v>7011</v>
      </c>
      <c r="S9" s="71">
        <v>6199</v>
      </c>
      <c r="T9" s="71">
        <v>7155</v>
      </c>
      <c r="U9" s="71">
        <v>645</v>
      </c>
      <c r="V9" s="71">
        <v>0</v>
      </c>
      <c r="W9" s="71">
        <v>0</v>
      </c>
      <c r="X9" s="71">
        <v>0</v>
      </c>
      <c r="Y9" s="71">
        <v>2487</v>
      </c>
      <c r="Z9" s="71">
        <v>5712</v>
      </c>
      <c r="AA9" s="71">
        <v>1624</v>
      </c>
      <c r="AB9" s="71">
        <v>2535</v>
      </c>
      <c r="AC9" s="71">
        <v>9039</v>
      </c>
      <c r="AD9" s="71">
        <v>259</v>
      </c>
      <c r="AE9" s="71">
        <v>2971</v>
      </c>
    </row>
    <row r="10" spans="1:99" s="72" customFormat="1" ht="22.5" ph="1">
      <c r="B10" s="207" ph="1"/>
      <c r="C10" s="170" t="s" ph="1">
        <v>209</v>
      </c>
      <c r="D10" s="73" ph="1">
        <f>D9*33.183*LOOKUP(D11,密度!$A$2:$A$50,密度!$Q$2:$Q$50)</f>
        <v>7821.0419659199997</v>
      </c>
      <c r="E10" s="73" ph="1">
        <f>E9*51.53*LOOKUP(E11,密度!$A$2:$A$50,密度!$I$2:$I$50)</f>
        <v>0</v>
      </c>
      <c r="F10" s="73" ph="1">
        <f>F9*33.183*LOOKUP(F11,密度!$A$2:$A$50,密度!$C$2:$C$50)</f>
        <v>97876.815717599995</v>
      </c>
      <c r="G10" s="73" ph="1">
        <f xml:space="preserve"> (G9+2)*51.53*LOOKUP(G11,密度!$A$2:$A$50,密度!$B$2:$B$50)</f>
        <v>199682.48077199998</v>
      </c>
      <c r="H10" s="73" ph="1">
        <f>(H9)*51.53*LOOKUP(H11,密度!$A$2:$A$50,密度!$B$2:$B$50)</f>
        <v>161266.551439</v>
      </c>
      <c r="I10" s="73" ph="1">
        <f>I9*290.8*1.0267</f>
        <v>8094.0797995999992</v>
      </c>
      <c r="J10" s="73" ph="1">
        <f>J9*290.8*0.7892</f>
        <v>1792.3900016000002</v>
      </c>
      <c r="K10" s="73" ph="1">
        <f>K9*290.8*1.1126</f>
        <v>28216.279216799998</v>
      </c>
      <c r="L10" s="73" ph="1">
        <f>L9*290.8*0.777</f>
        <v>2736.2738760000002</v>
      </c>
      <c r="M10" s="73" ph="1">
        <f>M9*33.183*LOOKUP(M11,密度!$A$2:$A$50,密度!$D$2:$D$50)</f>
        <v>155088.86042519996</v>
      </c>
      <c r="N10" s="73" ph="1">
        <f>N9*33.183*LOOKUP(N11,密度!$A$2:$A$50,密度!$E$2:$E$50)</f>
        <v>131173.82586899999</v>
      </c>
      <c r="O10" s="73" ph="1">
        <f>O9*20.428*LOOKUP(O11,密度!$A$2:$A$50,密度!$C$2:$C$50)</f>
        <v>118298.5970272</v>
      </c>
      <c r="P10" s="73" ph="1">
        <f>P9*51.53*LOOKUP(P11,密度!$A$2:$A$50,密度!$B$2:$B$50)</f>
        <v>191673.10588300001</v>
      </c>
      <c r="Q10" s="73" ph="1">
        <f>Q9*1.5*1.5*3.1416*LOOKUP(W11,密度!$A$2:$A$50,密度!$L$2:$L$50)</f>
        <v>46389.256729200002</v>
      </c>
      <c r="R10" s="73" ph="1">
        <f>R9*1.5*1.5*3.1416*LOOKUP(R11,密度!$A$2:$A$50,密度!$L$2:$L$50)</f>
        <v>46485.361414799998</v>
      </c>
      <c r="S10" s="73" ph="1">
        <f>S9*1.5*1.5*3.1416*LOOKUP(S11,密度!$A$2:$A$50,密度!$L$2:$L$50)</f>
        <v>41627.338830000001</v>
      </c>
      <c r="T10" s="73" ph="1">
        <f>T9*1.5*1.5*3.1416*LOOKUP(T11,密度!$A$2:$A$50,密度!$L$2:$L$50)</f>
        <v>47844.738017999996</v>
      </c>
      <c r="U10" s="73" ph="1">
        <f>U9*1.5*1.5*3.1416*LOOKUP(U11,密度!$A$2:$A$50,密度!$L$2:$L$50)</f>
        <v>4299.3699210000004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16595.150140799997</v>
      </c>
      <c r="Z10" s="73" ph="1">
        <f>Z9*33.183*LOOKUP(Z11,密度!$A$2:$A$50,密度!$L$2:$L$50)</f>
        <v>179116.52471999999</v>
      </c>
      <c r="AA10" s="73" ph="1">
        <f>AA9*33.183*LOOKUP(AA11,密度!$A$2:$A$50,密度!$D$2:$D$50)</f>
        <v>55672.9242552</v>
      </c>
      <c r="AB10" s="73" ph="1">
        <f>AB9*20.428*LOOKUP(AB11,密度!$A$2:$A$50,密度!$D$2:$D$50)</f>
        <v>53949.592164000009</v>
      </c>
      <c r="AC10" s="73" ph="1">
        <f>AC9*51.53*LOOKUP(AC11,密度!$A$2:$A$50,密度!$Q$2:$Q$50)</f>
        <v>443426.90363670001</v>
      </c>
      <c r="AD10" s="73" ph="1">
        <f>AD9*20.428*LOOKUP(AD11,密度!$A$2:$A$50,密度!$V$2:$V$50)</f>
        <v>5100.3813279999995</v>
      </c>
      <c r="AE10" s="73" ph="1">
        <f>AE9*20.428</f>
        <v>60691.588000000003</v>
      </c>
    </row>
    <row r="11" spans="1:99" ph="1">
      <c r="A11" s="64" t="s" ph="1">
        <v>193</v>
      </c>
      <c r="B11" s="207" ph="1"/>
      <c r="C11" s="170" t="s" ph="1">
        <v>210</v>
      </c>
      <c r="D11" s="74">
        <v>20</v>
      </c>
      <c r="E11" s="74">
        <v>18</v>
      </c>
      <c r="F11" s="74">
        <v>18</v>
      </c>
      <c r="G11" s="74">
        <v>18</v>
      </c>
      <c r="H11" s="74">
        <v>14</v>
      </c>
      <c r="I11" s="74">
        <v>25</v>
      </c>
      <c r="J11" s="74">
        <v>25</v>
      </c>
      <c r="K11" s="74">
        <v>25</v>
      </c>
      <c r="L11" s="74">
        <v>25</v>
      </c>
      <c r="M11" s="74">
        <v>18</v>
      </c>
      <c r="N11" s="74">
        <v>18</v>
      </c>
      <c r="O11" s="74">
        <v>24</v>
      </c>
      <c r="P11" s="74">
        <v>19</v>
      </c>
      <c r="Q11" s="74">
        <v>17</v>
      </c>
      <c r="R11" s="74">
        <v>24</v>
      </c>
      <c r="S11" s="74">
        <v>12</v>
      </c>
      <c r="T11" s="74">
        <v>16</v>
      </c>
      <c r="U11" s="74">
        <v>19</v>
      </c>
      <c r="V11" s="74">
        <v>16</v>
      </c>
      <c r="W11" s="74">
        <v>29</v>
      </c>
      <c r="X11" s="74">
        <v>20</v>
      </c>
      <c r="Y11" s="74">
        <v>18</v>
      </c>
      <c r="Z11" s="74">
        <v>17</v>
      </c>
      <c r="AA11" s="74">
        <v>18</v>
      </c>
      <c r="AB11" s="74">
        <v>8</v>
      </c>
      <c r="AC11" s="74">
        <v>18</v>
      </c>
      <c r="AD11" s="74">
        <v>20</v>
      </c>
      <c r="AE11" s="74">
        <v>18</v>
      </c>
    </row>
    <row r="12" spans="1:99" ht="9.9499999999999993" customHeight="1" ph="1"/>
    <row r="13" spans="1:99" s="72" customFormat="1" ht="29.25" customHeight="1" ph="1">
      <c r="B13" s="215" t="s" ph="1">
        <v>37</v>
      </c>
      <c r="C13" s="170" t="s" ph="1">
        <v>207</v>
      </c>
      <c r="D13" s="76" t="s" ph="1">
        <v>53</v>
      </c>
      <c r="E13" s="76" t="s" ph="1">
        <v>54</v>
      </c>
      <c r="F13" s="76" t="s" ph="1">
        <v>66</v>
      </c>
      <c r="G13" s="76" t="s" ph="1">
        <v>67</v>
      </c>
      <c r="H13" s="76" t="s" ph="1">
        <v>152</v>
      </c>
      <c r="I13" s="76" t="s" ph="1">
        <v>68</v>
      </c>
      <c r="J13" s="76" t="s" ph="1">
        <v>153</v>
      </c>
      <c r="K13" s="76" t="s" ph="1">
        <v>63</v>
      </c>
      <c r="L13" s="76" t="s" ph="1">
        <v>69</v>
      </c>
      <c r="M13" s="76" t="s" ph="1">
        <v>70</v>
      </c>
      <c r="N13" s="76" t="s" ph="1">
        <v>154</v>
      </c>
      <c r="O13" s="76" t="s" ph="1">
        <v>64</v>
      </c>
      <c r="P13" s="76" t="s" ph="1">
        <v>71</v>
      </c>
      <c r="Q13" s="76" t="s" ph="1">
        <v>72</v>
      </c>
      <c r="R13" s="76" t="s" ph="1">
        <v>73</v>
      </c>
      <c r="S13" s="76" t="s" ph="1">
        <v>74</v>
      </c>
      <c r="T13" s="76" t="s" ph="1">
        <v>75</v>
      </c>
      <c r="U13" s="76" t="s" ph="1">
        <v>76</v>
      </c>
      <c r="V13" s="76" t="s" ph="1">
        <v>155</v>
      </c>
      <c r="W13" s="76" t="s" ph="1">
        <v>156</v>
      </c>
      <c r="X13" s="76" t="s" ph="1">
        <v>157</v>
      </c>
      <c r="Y13" s="105" t="s" ph="1">
        <v>77</v>
      </c>
      <c r="Z13" s="76" t="s" ph="1">
        <v>86</v>
      </c>
      <c r="AA13" s="76" t="s" ph="1">
        <v>158</v>
      </c>
      <c r="AB13" s="76" t="s" ph="1">
        <v>159</v>
      </c>
      <c r="AC13" s="76" t="s" ph="1">
        <v>160</v>
      </c>
      <c r="AD13" s="76" t="s" ph="1">
        <v>161</v>
      </c>
      <c r="AE13" s="76" t="s" ph="1">
        <v>162</v>
      </c>
      <c r="AG13" s="72" t="s" ph="1">
        <v>366</v>
      </c>
      <c r="AH13" s="72" t="s" ph="1">
        <v>229</v>
      </c>
      <c r="AI13" s="72" t="s" ph="1">
        <v>230</v>
      </c>
      <c r="AJ13" s="72" t="s" ph="1">
        <v>231</v>
      </c>
      <c r="AK13" s="72" t="s" ph="1">
        <v>232</v>
      </c>
      <c r="AL13" s="72" t="s" ph="1">
        <v>233</v>
      </c>
      <c r="AM13" s="72" t="s" ph="1">
        <v>234</v>
      </c>
      <c r="AN13" s="72" t="s" ph="1">
        <v>235</v>
      </c>
      <c r="AO13" s="72" t="s" ph="1">
        <v>236</v>
      </c>
      <c r="AP13" s="72" t="s" ph="1">
        <v>237</v>
      </c>
      <c r="AQ13" s="72" t="s" ph="1">
        <v>238</v>
      </c>
      <c r="AR13" s="72" t="s" ph="1">
        <v>239</v>
      </c>
      <c r="AS13" s="72" t="s" ph="1">
        <v>240</v>
      </c>
      <c r="AT13" s="72" t="s" ph="1">
        <v>241</v>
      </c>
      <c r="AU13" s="72" t="s" ph="1">
        <v>242</v>
      </c>
      <c r="AV13" s="72" t="s" ph="1">
        <v>243</v>
      </c>
      <c r="AW13" s="72" t="s" ph="1">
        <v>244</v>
      </c>
      <c r="AX13" s="72" t="s" ph="1">
        <v>245</v>
      </c>
      <c r="AY13" s="72" t="s" ph="1">
        <v>367</v>
      </c>
      <c r="AZ13" s="72" t="s" ph="1">
        <v>246</v>
      </c>
      <c r="BA13" s="72" t="s" ph="1">
        <v>247</v>
      </c>
      <c r="BB13" s="72" t="s" ph="1">
        <v>632</v>
      </c>
      <c r="BC13" s="72" t="s" ph="1">
        <v>248</v>
      </c>
      <c r="BD13" s="72" t="s" ph="1">
        <v>368</v>
      </c>
      <c r="BE13" s="72" t="s" ph="1">
        <v>369</v>
      </c>
      <c r="BF13" s="72" t="s" ph="1">
        <v>370</v>
      </c>
      <c r="BG13" s="72" t="s" ph="1">
        <v>371</v>
      </c>
      <c r="BH13" s="72" t="s" ph="1">
        <v>372</v>
      </c>
    </row>
    <row r="14" spans="1:99" s="72" customFormat="1" ht="24" ph="1">
      <c r="B14" s="216" ph="1"/>
      <c r="C14" s="67" t="s" ph="1">
        <v>36</v>
      </c>
      <c r="D14" s="77" t="s" ph="1">
        <v>665</v>
      </c>
      <c r="E14" s="77" t="s" ph="1">
        <v>665</v>
      </c>
      <c r="F14" s="142" t="s" ph="1">
        <v>651</v>
      </c>
      <c r="G14" s="77" t="s" ph="1">
        <v>667</v>
      </c>
      <c r="H14" s="77" t="s" ph="1">
        <v>668</v>
      </c>
      <c r="I14" s="167" t="s" ph="1">
        <v>669</v>
      </c>
      <c r="J14" s="77" t="s" ph="1">
        <v>670</v>
      </c>
      <c r="K14" s="77" t="s" ph="1">
        <v>223</v>
      </c>
      <c r="L14" s="77" t="s" ph="1">
        <v>42</v>
      </c>
      <c r="M14" s="104" t="s" ph="1">
        <v>671</v>
      </c>
      <c r="N14" s="104" t="s" ph="1">
        <v>672</v>
      </c>
      <c r="O14" s="104" t="s" ph="1">
        <v>670</v>
      </c>
      <c r="P14" s="77" t="s" ph="1">
        <v>673</v>
      </c>
      <c r="Q14" s="77" t="s" ph="1">
        <v>673</v>
      </c>
      <c r="R14" s="88" t="s" ph="1">
        <v>674</v>
      </c>
      <c r="S14" s="77" t="s" ph="1">
        <v>81</v>
      </c>
      <c r="T14" s="77" t="s" ph="1">
        <v>676</v>
      </c>
      <c r="U14" s="77" t="s" ph="1">
        <v>652</v>
      </c>
      <c r="V14" s="77" t="s" ph="1">
        <v>127</v>
      </c>
      <c r="W14" s="77" t="s" ph="1">
        <v>673</v>
      </c>
      <c r="X14" s="77" t="s" ph="1">
        <v>678</v>
      </c>
      <c r="Y14" s="141" t="s" ph="1">
        <v>0</v>
      </c>
      <c r="Z14" s="77" t="s" ph="1">
        <v>62</v>
      </c>
      <c r="AA14" s="77" t="s" ph="1">
        <v>662</v>
      </c>
      <c r="AB14" s="77" t="s" ph="1">
        <v>648</v>
      </c>
      <c r="AC14" s="77" t="s" ph="1">
        <v>648</v>
      </c>
      <c r="AD14" s="77" t="s" ph="1">
        <v>661</v>
      </c>
      <c r="AE14" s="77" t="s" ph="1">
        <v>661</v>
      </c>
      <c r="AG14" s="72" t="s" ph="1">
        <v>249</v>
      </c>
      <c r="AI14" s="72" t="s" ph="1">
        <v>250</v>
      </c>
      <c r="AJ14" s="72" t="s" ph="1">
        <v>373</v>
      </c>
      <c r="AK14" s="72" t="s" ph="1">
        <v>251</v>
      </c>
      <c r="AM14" s="72" t="s" ph="1">
        <v>253</v>
      </c>
      <c r="AN14" s="72" t="s" ph="1">
        <v>251</v>
      </c>
      <c r="AO14" s="72" t="s" ph="1">
        <v>252</v>
      </c>
      <c r="AP14" s="72" t="s" ph="1">
        <v>253</v>
      </c>
      <c r="AQ14" s="72" t="s" ph="1">
        <v>251</v>
      </c>
      <c r="AR14" s="72" t="s" ph="1">
        <v>252</v>
      </c>
      <c r="AS14" s="72" t="s" ph="1">
        <v>253</v>
      </c>
      <c r="AT14" s="72" t="s" ph="1">
        <v>251</v>
      </c>
      <c r="AU14" s="72" t="s" ph="1">
        <v>252</v>
      </c>
      <c r="AV14" s="72" t="s" ph="1">
        <v>253</v>
      </c>
      <c r="AW14" s="72" t="s" ph="1">
        <v>251</v>
      </c>
      <c r="AX14" s="72" t="s" ph="1">
        <v>252</v>
      </c>
      <c r="AY14" s="72" t="s" ph="1">
        <v>253</v>
      </c>
      <c r="AZ14" s="72" t="s" ph="1">
        <v>252</v>
      </c>
    </row>
    <row r="15" spans="1:99" ph="1">
      <c r="B15" s="217" ph="1">
        <v>0.33333333333333331</v>
      </c>
      <c r="C15" s="170" t="s" ph="1">
        <v>208</v>
      </c>
      <c r="D15" s="78">
        <v>0</v>
      </c>
      <c r="E15" s="78">
        <v>1088</v>
      </c>
      <c r="F15" s="78">
        <v>3349</v>
      </c>
      <c r="G15" s="78">
        <v>3507</v>
      </c>
      <c r="H15" s="78">
        <v>2867</v>
      </c>
      <c r="I15" s="78">
        <v>9</v>
      </c>
      <c r="J15" s="78">
        <v>4823</v>
      </c>
      <c r="K15" s="78">
        <v>947</v>
      </c>
      <c r="L15" s="78">
        <v>6287</v>
      </c>
      <c r="M15" s="78">
        <v>3920</v>
      </c>
      <c r="N15" s="78">
        <v>1572</v>
      </c>
      <c r="O15" s="78">
        <v>1934</v>
      </c>
      <c r="P15" s="78">
        <v>81</v>
      </c>
      <c r="Q15" s="78">
        <v>2978</v>
      </c>
      <c r="R15" s="78">
        <v>3490</v>
      </c>
      <c r="S15" s="78">
        <v>5615</v>
      </c>
      <c r="T15" s="78">
        <v>1457</v>
      </c>
      <c r="U15" s="78">
        <v>5592</v>
      </c>
      <c r="V15" s="78">
        <v>-1631</v>
      </c>
      <c r="W15" s="78">
        <v>-595</v>
      </c>
      <c r="X15" s="78">
        <v>624</v>
      </c>
      <c r="Y15" s="106">
        <v>-9901</v>
      </c>
      <c r="Z15" s="78">
        <v>0</v>
      </c>
      <c r="AA15" s="78">
        <v>2507</v>
      </c>
      <c r="AB15" s="78" ph="1">
        <v>6863</v>
      </c>
      <c r="AC15" s="78" ph="1">
        <v>6501</v>
      </c>
      <c r="AD15" s="78">
        <v>84.51</v>
      </c>
      <c r="AE15" s="78">
        <v>5.61</v>
      </c>
      <c r="AG15" s="64" t="s" ph="1">
        <v>255</v>
      </c>
      <c r="AH15" s="64" ph="1">
        <v>1</v>
      </c>
      <c r="AI15" s="64" t="s" ph="1">
        <v>374</v>
      </c>
      <c r="AK15" s="64" t="s" ph="1">
        <v>628</v>
      </c>
      <c r="AM15" s="64" t="s" ph="1">
        <v>376</v>
      </c>
      <c r="AZ15" s="64" t="s" ph="1">
        <v>257</v>
      </c>
      <c r="BA15" s="64" ph="1">
        <v>0</v>
      </c>
    </row>
    <row r="16" spans="1:99" s="72" customFormat="1" ht="22.5" ph="1">
      <c r="B16" s="218" ph="1"/>
      <c r="C16" s="170" t="s" ph="1">
        <v>209</v>
      </c>
      <c r="D16" s="73" ph="1">
        <f>D15*7.0686*LOOKUP(D17,密度!$A$2:$A$50,密度!$L$2:$L$50)</f>
        <v>0</v>
      </c>
      <c r="E16" s="73" ph="1">
        <f>E15*7.0686*LOOKUP(E17,密度!$A$2:$A$50,密度!$L$2:$L$50)</f>
        <v>7244.5798655999997</v>
      </c>
      <c r="F16" s="73" ph="1">
        <f>F15*9.0746*LOOKUP(F17,密度!$A$2:$A$50,密度!$L$2:$L$50)</f>
        <v>28567.385275999997</v>
      </c>
      <c r="G16" s="73" ph="1">
        <f>G15*9.0746*LOOKUP(G17,密度!$A$2:$A$50,密度!$B$2:$B$50)</f>
        <v>25077.802293600002</v>
      </c>
      <c r="H16" s="73" ph="1">
        <f>H15*9.0746*LOOKUP(H17,密度!$A$2:$A$50,密度!$L$2:$L$50)</f>
        <v>24716.03429</v>
      </c>
      <c r="I16" s="73" ph="1">
        <f>I15*9.0746*LOOKUP(I17,密度!$A$2:$A$50,密度!$U$2:$U$50)</f>
        <v>83.95819920000001</v>
      </c>
      <c r="J16" s="73" ph="1">
        <f>J15*9.0746*LOOKUP(J17,密度!$A$2:$A$50,密度!$L$2:$L$50)</f>
        <v>41315.855235199997</v>
      </c>
      <c r="K16" s="73" ph="1">
        <f>K15*9.0746*LOOKUP(K17,密度!$A$2:$A$50,密度!$C$2:$C$50)</f>
        <v>9588.7904299599995</v>
      </c>
      <c r="L16" s="73" ph="1">
        <f>L15*9.0746*LOOKUP(L17,密度!$A$2:$A$50,密度!$E$2:$E$50)</f>
        <v>45276.475294720003</v>
      </c>
      <c r="M16" s="73" ph="1">
        <f>M15*9.0746*LOOKUP(M17,密度!$A$2:$A$50,密度!$M$2:$M$50)</f>
        <v>31314.4118896</v>
      </c>
      <c r="N16" s="73" ph="1">
        <f>N15*9.0746*LOOKUP(N17,密度!$A$2:$A$50,密度!$M$2:$M$50)</f>
        <v>12557.718237360001</v>
      </c>
      <c r="O16" s="73" ph="1">
        <f>O15*9.0746*LOOKUP(O17,密度!$A$2:$A$50,密度!$G$2:$G$50)</f>
        <v>16971.117278799997</v>
      </c>
      <c r="P16" s="73" ph="1">
        <f ca="1">P15*9.0746*LOOKUP(P17,密度!$A$2:$A$51,密度!$Q$2:$Q$50)</f>
        <v>701.62756340400006</v>
      </c>
      <c r="Q16" s="73" ph="1">
        <f>Q15*9.0746*LOOKUP(Q17,密度!$A$2:$A$50,密度!$Q$2:$Q$50)</f>
        <v>25683.220040344</v>
      </c>
      <c r="R16" s="73" ph="1">
        <f>MAX(R15*9.0746*LOOKUP(R17,密度!$A$2:$A$50,密度!$B$2:$B$50),0)</f>
        <v>24858.0608546</v>
      </c>
      <c r="S16" s="73" ph="1">
        <f>S15*9.0746*LOOKUP(S17,密度!$A$2:$A$50,密度!$Q$2:$Q$50)</f>
        <v>48637.515660660007</v>
      </c>
      <c r="T16" s="73" ph="1">
        <f>T15*9.0746*LOOKUP(T17,密度!$A$2:$A$50,密度!$O$2:$O$50)</f>
        <v>12349.0605148</v>
      </c>
      <c r="U16" s="73" ph="1">
        <f>U15*9.0746*LOOKUP(U17,密度!$A$2:$A$50,密度!$H$2:$H$50)</f>
        <v>46924.05241104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206.8278181200003</v>
      </c>
      <c r="X16" s="73" ph="1">
        <f>MAX(5600*LOOKUP(X17,密度!$A$2:$A$50,密度!$I$2:$I$50)+X15*9.0476*LOOKUP(X17,密度!$A$2:$A$50,密度!$I$2:$I$50),0)</f>
        <v>11750.634437759998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17947.49251358</v>
      </c>
      <c r="AB16" s="73" ph="1">
        <f>AB15*9.0746*LOOKUP(AB17,密度!$A$2:$A$50,密度!$L$2:$L$50)</f>
        <v>58791.356931199996</v>
      </c>
      <c r="AC16" s="73" ph="1">
        <f>AC15*9.0746*LOOKUP(AC17,密度!$A$2:$A$50,密度!$L$2:$L$50)</f>
        <v>55867.293946199999</v>
      </c>
      <c r="AD16" s="73" ph="1">
        <f>AD15*268.68*LOOKUP(AD17,密度!$A$2:$A$50,密度!B2:B50)+IF(AD15&lt;=0,0,1566*LOOKUP(AD17,密度!$A$2:$A$50,密度!B2:B50))</f>
        <v>18922.565645279999</v>
      </c>
      <c r="AE16" s="73" ph="1">
        <f>AE15*268.68*LOOKUP(AE17,密度!$A$2:$A$50,密度!B2:B50)+IF(AE15&lt;=0,0,1566*LOOKUP(AE17,密度!$A$2:$A$50,密度!B2:B50))</f>
        <v>2395.9406260799997</v>
      </c>
      <c r="AH16" s="72" ph="1">
        <v>2</v>
      </c>
      <c r="AI16" s="72" t="s" ph="1">
        <v>378</v>
      </c>
      <c r="AZ16" s="72" t="s" ph="1">
        <v>257</v>
      </c>
      <c r="BA16" s="72" ph="1">
        <v>0</v>
      </c>
    </row>
    <row r="17" spans="1:57" ph="1">
      <c r="A17" s="64" t="s" ph="1">
        <v>85</v>
      </c>
      <c r="B17" s="219" ph="1"/>
      <c r="C17" s="79" t="s" ph="1">
        <v>210</v>
      </c>
      <c r="D17" s="74">
        <v>20</v>
      </c>
      <c r="E17" s="74">
        <v>20</v>
      </c>
      <c r="F17" s="74">
        <v>22</v>
      </c>
      <c r="G17" s="74">
        <v>15</v>
      </c>
      <c r="H17" s="74">
        <v>12</v>
      </c>
      <c r="I17" s="74">
        <v>15</v>
      </c>
      <c r="J17" s="74">
        <v>18</v>
      </c>
      <c r="K17" s="74">
        <v>15</v>
      </c>
      <c r="L17" s="74">
        <v>16</v>
      </c>
      <c r="M17" s="74">
        <v>17</v>
      </c>
      <c r="N17" s="74">
        <v>18</v>
      </c>
      <c r="O17" s="74">
        <v>19</v>
      </c>
      <c r="P17" s="74">
        <v>15</v>
      </c>
      <c r="Q17" s="74">
        <v>20</v>
      </c>
      <c r="R17" s="74">
        <v>19</v>
      </c>
      <c r="S17" s="74">
        <v>15</v>
      </c>
      <c r="T17" s="74">
        <v>16</v>
      </c>
      <c r="U17" s="74">
        <v>15</v>
      </c>
      <c r="V17" s="74">
        <v>15</v>
      </c>
      <c r="W17" s="74">
        <v>15</v>
      </c>
      <c r="X17" s="74">
        <v>23</v>
      </c>
      <c r="Y17" s="108">
        <v>23</v>
      </c>
      <c r="Z17" s="74">
        <v>16</v>
      </c>
      <c r="AA17" s="74">
        <v>14</v>
      </c>
      <c r="AB17" s="74">
        <v>18</v>
      </c>
      <c r="AC17" s="74">
        <v>15</v>
      </c>
      <c r="AD17" s="74">
        <v>25</v>
      </c>
      <c r="AE17" s="74">
        <v>25</v>
      </c>
      <c r="AH17" s="64" ph="1">
        <v>3</v>
      </c>
      <c r="AI17" s="64" t="s" ph="1">
        <v>379</v>
      </c>
      <c r="AK17" s="64" t="s" ph="1">
        <v>611</v>
      </c>
      <c r="AL17" s="64" ph="1">
        <v>80</v>
      </c>
      <c r="AM17" s="64" t="s" ph="1">
        <v>376</v>
      </c>
      <c r="AZ17" s="64" t="s" ph="1">
        <v>257</v>
      </c>
      <c r="BA17" s="64" ph="1">
        <v>80</v>
      </c>
      <c r="BD17" s="64" t="s" ph="1">
        <v>255</v>
      </c>
      <c r="BE17" s="64" ph="1">
        <v>2270</v>
      </c>
    </row>
    <row r="18" spans="1:57" ph="1">
      <c r="B18" s="217" ph="1">
        <v>0.66666666666666663</v>
      </c>
      <c r="C18" s="79" t="s" ph="1">
        <v>211</v>
      </c>
      <c r="D18" s="71">
        <v>0</v>
      </c>
      <c r="E18" s="71">
        <v>75</v>
      </c>
      <c r="F18" s="71">
        <v>3348</v>
      </c>
      <c r="G18" s="71">
        <v>3533</v>
      </c>
      <c r="H18" s="71">
        <v>2869</v>
      </c>
      <c r="I18" s="71">
        <v>8</v>
      </c>
      <c r="J18" s="71">
        <v>4845</v>
      </c>
      <c r="K18" s="71">
        <v>253</v>
      </c>
      <c r="L18" s="71">
        <v>6300</v>
      </c>
      <c r="M18" s="71">
        <v>3938</v>
      </c>
      <c r="N18" s="71">
        <v>1571</v>
      </c>
      <c r="O18" s="71">
        <v>1259</v>
      </c>
      <c r="P18" s="71">
        <v>0</v>
      </c>
      <c r="Q18" s="71">
        <v>1484</v>
      </c>
      <c r="R18" s="71">
        <v>3495</v>
      </c>
      <c r="S18" s="71">
        <v>5621</v>
      </c>
      <c r="T18" s="71">
        <v>6713</v>
      </c>
      <c r="U18" s="71">
        <v>1879</v>
      </c>
      <c r="V18" s="71">
        <v>-1641</v>
      </c>
      <c r="W18" s="71">
        <v>-597</v>
      </c>
      <c r="X18" s="71">
        <v>484</v>
      </c>
      <c r="Y18" s="109">
        <v>-9902</v>
      </c>
      <c r="Z18" s="71">
        <v>0</v>
      </c>
      <c r="AA18" s="71">
        <v>2508</v>
      </c>
      <c r="AB18" s="71">
        <v>6872</v>
      </c>
      <c r="AC18" s="71">
        <v>6509</v>
      </c>
      <c r="AD18" s="71">
        <v>84.41</v>
      </c>
      <c r="AE18" s="71">
        <v>32.21</v>
      </c>
      <c r="AH18" s="64" ph="1">
        <v>4</v>
      </c>
      <c r="AI18" s="64" t="s" ph="1">
        <v>381</v>
      </c>
      <c r="AJ18" s="64" t="s" ph="1">
        <v>629</v>
      </c>
      <c r="AK18" s="64" t="s" ph="1">
        <v>628</v>
      </c>
      <c r="AL18" s="64" ph="1">
        <v>740</v>
      </c>
      <c r="AM18" s="64" t="s" ph="1">
        <v>380</v>
      </c>
      <c r="AZ18" s="64" t="s" ph="1">
        <v>257</v>
      </c>
      <c r="BA18" s="64" ph="1">
        <v>740</v>
      </c>
    </row>
    <row r="19" spans="1:57" s="72" customFormat="1" ht="22.5" ph="1">
      <c r="B19" s="218" ph="1"/>
      <c r="C19" s="170" t="s" ph="1">
        <v>209</v>
      </c>
      <c r="D19" s="73" ph="1">
        <f>D18*7.0686*LOOKUP(D20,密度!$A$2:$A$50,密度!$L$2:$L$50)</f>
        <v>0</v>
      </c>
      <c r="E19" s="73" ph="1">
        <f>E18*7.0686*LOOKUP(E20,密度!$A$2:$A$50,密度!$L$2:$L$50)</f>
        <v>498.86644499999994</v>
      </c>
      <c r="F19" s="73" ph="1">
        <f>F18*9.0746*LOOKUP(F20,密度!$A$2:$A$50,密度!$L$2:$L$50)</f>
        <v>28528.473391199997</v>
      </c>
      <c r="G19" s="73" ph="1">
        <f>G18*9.0746*LOOKUP(G20,密度!$A$2:$A$50,密度!$B$2:$B$50)</f>
        <v>25189.983406259998</v>
      </c>
      <c r="H19" s="73" ph="1">
        <f>H18*9.0746*LOOKUP(H20,密度!$A$2:$A$50,密度!$L$2:$L$50)</f>
        <v>24394.820673800001</v>
      </c>
      <c r="I19" s="73" ph="1">
        <f>I18*9.0746*LOOKUP(I20,密度!$A$2:$A$50,密度!$U$2:$U$50)</f>
        <v>74.629510400000001</v>
      </c>
      <c r="J19" s="73" ph="1">
        <f>J18*9.0746*LOOKUP(J20,密度!$A$2:$A$50,密度!$L$2:$L$50)</f>
        <v>41416.383653999997</v>
      </c>
      <c r="K19" s="73" ph="1">
        <f>K18*9.0746*LOOKUP(K20,密度!$A$2:$A$50,密度!$C$2:$C$50)</f>
        <v>2555.7667141599995</v>
      </c>
      <c r="L19" s="73" ph="1">
        <f>L18*9.0746*LOOKUP(L20,密度!$A$2:$A$50,密度!$E$2:$E$50)</f>
        <v>45244.322172</v>
      </c>
      <c r="M19" s="73" ph="1">
        <f>M18*9.0746*LOOKUP(M20,密度!$A$2:$A$50,密度!$M$2:$M$50)</f>
        <v>31458.202556439999</v>
      </c>
      <c r="N19" s="73" ph="1">
        <f>N18*9.0746*LOOKUP(N20,密度!$A$2:$A$50,密度!$M$2:$M$50)</f>
        <v>12549.72986698</v>
      </c>
      <c r="O19" s="73" ph="1">
        <f>O18*9.0746*LOOKUP(O20,密度!$A$2:$A$50,密度!$G$2:$G$50)</f>
        <v>11023.906658860002</v>
      </c>
      <c r="P19" s="73" ph="1">
        <f ca="1">P18*9.0746*LOOKUP(P20,密度!$A$2:$A$51,密度!$Q$2:$Q$50)</f>
        <v>0</v>
      </c>
      <c r="Q19" s="73" ph="1">
        <f>Q18*9.0746*LOOKUP(Q20,密度!$A$2:$A$50,密度!$Q$2:$Q$50)</f>
        <v>12789.196401016001</v>
      </c>
      <c r="R19" s="73" ph="1">
        <f>MAX(R18*9.0746*LOOKUP(R20,密度!$A$2:$A$50,密度!$B$2:$B$50),0)</f>
        <v>24839.757386400001</v>
      </c>
      <c r="S19" s="73" ph="1">
        <f>S18*9.0746*LOOKUP(S20,密度!$A$2:$A$50,密度!$Q$2:$Q$50)</f>
        <v>48560.437006466003</v>
      </c>
      <c r="T19" s="73" ph="1">
        <f>T18*9.0746*LOOKUP(T20,密度!$A$2:$A$50,密度!$O$2:$O$50)</f>
        <v>56897.2156732</v>
      </c>
      <c r="U19" s="73" ph="1">
        <f>U18*9.0746*LOOKUP(U20,密度!$A$2:$A$50,密度!$H$2:$H$50)</f>
        <v>15733.117696179999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188.89791684400006</v>
      </c>
      <c r="X19" s="73" ph="1">
        <f>MAX(5600*LOOKUP(X20,密度!$A$2:$A$50,密度!$I$2:$I$50)+X18*9.0476*LOOKUP(X20,密度!$A$2:$A$50,密度!$I$2:$I$50),0)</f>
        <v>10378.199936000001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17845.407800879999</v>
      </c>
      <c r="AB19" s="73" ph="1">
        <f>AB18*9.0746*LOOKUP(AB20,密度!$A$2:$A$50,密度!$L$2:$L$50)</f>
        <v>58743.733430399996</v>
      </c>
      <c r="AC19" s="73" ph="1">
        <f>AC18*9.0746*LOOKUP(AC20,密度!$A$2:$A$50,密度!$L$2:$L$50)</f>
        <v>55876.9765444</v>
      </c>
      <c r="AD19" s="73" ph="1">
        <f>AD18*268.68*LOOKUP(AD20,密度!$A$2:$A$50,密度!B5:B53)+IF(AD18&lt;=0,0,1566*LOOKUP(AD20,密度!$A$2:$A$50,密度!B5:B53))</f>
        <v>18838.581627600001</v>
      </c>
      <c r="AE19" s="73" ph="1">
        <f>AE18*268.68*LOOKUP(AE20,密度!$A$2:$A$50,密度!B5:B53)+IF(AE18&lt;=0,0,1566*LOOKUP(AE20,密度!$A$2:$A$50,密度!B5:B53))</f>
        <v>7941.0820356000004</v>
      </c>
      <c r="AH19" s="72" ph="1">
        <v>5</v>
      </c>
      <c r="AI19" s="72" t="s" ph="1">
        <v>382</v>
      </c>
      <c r="AZ19" s="72" t="s" ph="1">
        <v>257</v>
      </c>
      <c r="BA19" s="72" ph="1">
        <v>0</v>
      </c>
      <c r="BD19" s="72" t="s" ph="1">
        <v>383</v>
      </c>
      <c r="BE19" s="72" ph="1">
        <v>1440</v>
      </c>
    </row>
    <row r="20" spans="1:57" ph="1">
      <c r="A20" s="72" ph="1"/>
      <c r="B20" s="218" ph="1"/>
      <c r="C20" s="80" t="s" ph="1">
        <v>210</v>
      </c>
      <c r="D20" s="81">
        <v>21</v>
      </c>
      <c r="E20" s="81">
        <v>21</v>
      </c>
      <c r="F20" s="81">
        <v>23</v>
      </c>
      <c r="G20" s="81">
        <v>18</v>
      </c>
      <c r="H20" s="81">
        <v>25</v>
      </c>
      <c r="I20" s="81">
        <v>20</v>
      </c>
      <c r="J20" s="81">
        <v>20</v>
      </c>
      <c r="K20" s="81">
        <v>19</v>
      </c>
      <c r="L20" s="81">
        <v>18</v>
      </c>
      <c r="M20" s="81">
        <v>20</v>
      </c>
      <c r="N20" s="81">
        <v>18</v>
      </c>
      <c r="O20" s="81">
        <v>21</v>
      </c>
      <c r="P20" s="81">
        <v>17</v>
      </c>
      <c r="Q20" s="81">
        <v>21</v>
      </c>
      <c r="R20" s="81">
        <v>21</v>
      </c>
      <c r="S20" s="81">
        <v>18</v>
      </c>
      <c r="T20" s="81">
        <v>18</v>
      </c>
      <c r="U20" s="81">
        <v>17</v>
      </c>
      <c r="V20" s="81">
        <v>18</v>
      </c>
      <c r="W20" s="81">
        <v>19</v>
      </c>
      <c r="X20" s="81">
        <v>27</v>
      </c>
      <c r="Y20" s="110">
        <v>27</v>
      </c>
      <c r="Z20" s="81">
        <v>25</v>
      </c>
      <c r="AA20" s="81">
        <v>20</v>
      </c>
      <c r="AB20" s="81">
        <v>20</v>
      </c>
      <c r="AC20" s="81">
        <v>16</v>
      </c>
      <c r="AD20" s="81">
        <v>25</v>
      </c>
      <c r="AE20" s="81">
        <v>25</v>
      </c>
      <c r="AH20" s="64" ph="1">
        <v>6</v>
      </c>
      <c r="AI20" s="64" t="s" ph="1">
        <v>384</v>
      </c>
      <c r="AZ20" s="64" t="s" ph="1">
        <v>257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385</v>
      </c>
      <c r="AZ21" s="64" t="s" ph="1">
        <v>257</v>
      </c>
      <c r="BA21" s="64" ph="1">
        <v>0</v>
      </c>
      <c r="BD21" s="64" t="s" ph="1">
        <v>273</v>
      </c>
      <c r="BE21" s="64" ph="1">
        <v>730</v>
      </c>
    </row>
    <row r="22" spans="1:57" ph="1">
      <c r="A22" s="72" ph="1"/>
      <c r="B22" s="216" t="s" ph="1">
        <v>37</v>
      </c>
      <c r="C22" s="85" t="s" ph="1">
        <v>207</v>
      </c>
      <c r="D22" s="86" t="s" ph="1">
        <v>103</v>
      </c>
      <c r="E22" s="86" t="s" ph="1">
        <v>104</v>
      </c>
      <c r="F22" s="86" t="s" ph="1">
        <v>105</v>
      </c>
      <c r="G22" s="86" t="s" ph="1">
        <v>106</v>
      </c>
      <c r="H22" s="86" t="s" ph="1">
        <v>107</v>
      </c>
      <c r="I22" s="86" t="s" ph="1">
        <v>108</v>
      </c>
      <c r="J22" s="86" t="s" ph="1">
        <v>109</v>
      </c>
      <c r="K22" s="86" t="s" ph="1">
        <v>110</v>
      </c>
      <c r="L22" s="86" t="s" ph="1">
        <v>111</v>
      </c>
      <c r="M22" s="86" t="s" ph="1">
        <v>112</v>
      </c>
      <c r="N22" s="86" t="s" ph="1">
        <v>113</v>
      </c>
      <c r="O22" s="86" t="s" ph="1">
        <v>114</v>
      </c>
      <c r="P22" s="86" t="s" ph="1">
        <v>115</v>
      </c>
      <c r="Q22" s="87" t="s" ph="1">
        <v>116</v>
      </c>
      <c r="R22" s="86" t="s" ph="1">
        <v>117</v>
      </c>
      <c r="S22" s="86" t="s" ph="1">
        <v>118</v>
      </c>
      <c r="T22" s="86" t="s" ph="1">
        <v>119</v>
      </c>
      <c r="U22" s="86" t="s" ph="1">
        <v>120</v>
      </c>
      <c r="V22" s="86" t="s" ph="1">
        <v>121</v>
      </c>
      <c r="W22" s="86" t="s" ph="1">
        <v>122</v>
      </c>
      <c r="X22" s="86" t="s" ph="1">
        <v>123</v>
      </c>
      <c r="Y22" s="86" t="s" ph="1">
        <v>125</v>
      </c>
      <c r="Z22" s="195" t="s" ph="1">
        <v>79</v>
      </c>
      <c r="AA22" s="196"/>
      <c r="AB22" s="196"/>
      <c r="AC22" s="196"/>
      <c r="AD22" s="196"/>
      <c r="AE22" s="197"/>
      <c r="AH22" s="64" ph="1">
        <v>8</v>
      </c>
      <c r="AI22" s="64" t="s" ph="1">
        <v>386</v>
      </c>
      <c r="AZ22" s="64" t="s" ph="1">
        <v>257</v>
      </c>
      <c r="BA22" s="64" ph="1">
        <v>0</v>
      </c>
    </row>
    <row r="23" spans="1:57" ph="1">
      <c r="A23" s="72" ph="1"/>
      <c r="B23" s="211" ph="1"/>
      <c r="C23" s="67" t="s" ph="1">
        <v>36</v>
      </c>
      <c r="D23" s="88" t="s" ph="1">
        <v>127</v>
      </c>
      <c r="E23" s="88" t="s" ph="1">
        <v>124</v>
      </c>
      <c r="F23" s="88" t="s" ph="1">
        <v>127</v>
      </c>
      <c r="G23" s="88" t="s" ph="1">
        <v>679</v>
      </c>
      <c r="H23" s="88" t="s" ph="1">
        <v>679</v>
      </c>
      <c r="I23" s="88" t="s" ph="1">
        <v>680</v>
      </c>
      <c r="J23" s="88" t="s" ph="1">
        <v>681</v>
      </c>
      <c r="K23" s="88" t="s" ph="1">
        <v>682</v>
      </c>
      <c r="L23" s="88" t="s" ph="1">
        <v>682</v>
      </c>
      <c r="M23" s="88" t="s" ph="1">
        <v>675</v>
      </c>
      <c r="N23" s="88" t="s" ph="1">
        <v>675</v>
      </c>
      <c r="O23" s="88" t="s" ph="1">
        <v>359</v>
      </c>
      <c r="P23" s="88" t="s" ph="1">
        <v>666</v>
      </c>
      <c r="Q23" s="89" t="s" ph="1">
        <v>666</v>
      </c>
      <c r="R23" s="88" t="s" ph="1">
        <v>659</v>
      </c>
      <c r="S23" s="88" t="s" ph="1">
        <v>683</v>
      </c>
      <c r="T23" s="88" t="s" ph="1">
        <v>647</v>
      </c>
      <c r="U23" s="88" t="s" ph="1">
        <v>653</v>
      </c>
      <c r="V23" s="88" t="s" ph="1">
        <v>684</v>
      </c>
      <c r="W23" s="88" t="s" ph="1">
        <v>684</v>
      </c>
      <c r="X23" s="88" t="s" ph="1">
        <v>228</v>
      </c>
      <c r="Y23" s="88" t="s" ph="1">
        <v>686</v>
      </c>
      <c r="Z23" s="198" t="s" ph="1">
        <v>689</v>
      </c>
      <c r="AA23" s="199"/>
      <c r="AB23" s="199"/>
      <c r="AC23" s="199"/>
      <c r="AD23" s="199"/>
      <c r="AE23" s="200"/>
      <c r="AH23" s="64" ph="1">
        <v>9</v>
      </c>
      <c r="AI23" s="64" t="s" ph="1">
        <v>387</v>
      </c>
      <c r="AZ23" s="64" t="s" ph="1">
        <v>257</v>
      </c>
      <c r="BA23" s="64" ph="1">
        <v>0</v>
      </c>
      <c r="BD23" s="64" t="s" ph="1">
        <v>279</v>
      </c>
      <c r="BE23" s="64" ph="1">
        <v>890</v>
      </c>
    </row>
    <row r="24" spans="1:57" ph="1">
      <c r="A24" s="72" ph="1"/>
      <c r="B24" s="207" ph="1">
        <v>0.33333333333333331</v>
      </c>
      <c r="C24" s="170" t="s" ph="1">
        <v>208</v>
      </c>
      <c r="D24" s="71">
        <v>98.61</v>
      </c>
      <c r="E24" s="71">
        <v>95.51</v>
      </c>
      <c r="F24" s="71">
        <v>4014</v>
      </c>
      <c r="G24" s="71">
        <v>2851</v>
      </c>
      <c r="H24" s="71">
        <v>3167</v>
      </c>
      <c r="I24" s="71">
        <v>5098</v>
      </c>
      <c r="J24" s="71">
        <v>1542</v>
      </c>
      <c r="K24" s="71">
        <v>5609</v>
      </c>
      <c r="L24" s="71">
        <v>5582</v>
      </c>
      <c r="M24" s="71">
        <v>4865</v>
      </c>
      <c r="N24" s="71">
        <v>2584</v>
      </c>
      <c r="O24" s="71">
        <v>2061</v>
      </c>
      <c r="P24" s="71">
        <v>2520</v>
      </c>
      <c r="Q24" s="90">
        <v>2599</v>
      </c>
      <c r="R24" s="71">
        <v>6733</v>
      </c>
      <c r="S24" s="71">
        <v>2261</v>
      </c>
      <c r="T24" s="71">
        <v>4</v>
      </c>
      <c r="U24" s="71">
        <v>5779</v>
      </c>
      <c r="V24" s="71">
        <v>417</v>
      </c>
      <c r="W24" s="71">
        <v>10521</v>
      </c>
      <c r="X24" s="71">
        <v>7954</v>
      </c>
      <c r="Y24" s="71">
        <v>4303</v>
      </c>
      <c r="Z24" s="201"/>
      <c r="AA24" s="202"/>
      <c r="AB24" s="202"/>
      <c r="AC24" s="202"/>
      <c r="AD24" s="202"/>
      <c r="AE24" s="203"/>
      <c r="AH24" s="64" ph="1">
        <v>10</v>
      </c>
      <c r="AI24" s="64" t="s" ph="1">
        <v>388</v>
      </c>
      <c r="AZ24" s="64" t="s" ph="1">
        <v>257</v>
      </c>
      <c r="BA24" s="64" ph="1">
        <v>0</v>
      </c>
    </row>
    <row r="25" spans="1:57" ph="1">
      <c r="A25" s="72" ph="1"/>
      <c r="B25" s="207" ph="1"/>
      <c r="C25" s="68" t="s" ph="1">
        <v>209</v>
      </c>
      <c r="D25" s="91" ph="1">
        <f>D24*268.68*LOOKUP(D26,密度!$A$2:$A$50,密度!$Q$2:$Q$50)+IF(D24&lt;=0,0,1566*LOOKUP(D26,密度!$A$2:$A$50,密度!$Q$2:$Q$50))</f>
        <v>26566.030716552003</v>
      </c>
      <c r="E25" s="91" ph="1">
        <f>E24*268.68*LOOKUP(E26,密度!$A$2:$A$50,密度!$C$2:$C$50)+IF(E24&lt;=0,0,1566*LOOKUP(E26,密度!$A$2:$A$50,密度!$C$2:$C$50))</f>
        <v>30192.715358520003</v>
      </c>
      <c r="F25" s="91" ph="1">
        <f>F24*11.702*LOOKUP(F26,密度!$A$2:$A$50,密度!$Q$2:$Q$50)</f>
        <v>44754.757718400004</v>
      </c>
      <c r="G25" s="91" ph="1">
        <f>G24*18.322*LOOKUP(G26,密度!$A$2:$A$50,密度!$B$2:$B$50)</f>
        <v>41208.997755800003</v>
      </c>
      <c r="H25" s="91" ph="1">
        <f>H24*18.322*LOOKUP(H26,密度!$A$2:$A$50,密度!$B$2:$B$50)</f>
        <v>45724.309911999997</v>
      </c>
      <c r="I25" s="91" ph="1">
        <f>I24*18.322*LOOKUP(I26,密度!$A$2:$A$50,密度!$Q$2:$Q$50)</f>
        <v>89159.339424239995</v>
      </c>
      <c r="J25" s="91" ph="1">
        <f>J24*18.322*LOOKUP(J26,密度!$A$2:$A$50,密度!$Q$2:$Q$50)</f>
        <v>26968.164258959998</v>
      </c>
      <c r="K25" s="91" ph="1">
        <f>K24*18.322*LOOKUP(K26,密度!$A$2:$A$50,密度!$Q$2:$Q$50)</f>
        <v>98096.260264919998</v>
      </c>
      <c r="L25" s="91" ph="1">
        <f>L24*18.322*LOOKUP(L26,密度!$A$2:$A$50,密度!$Q$2:$Q$50)</f>
        <v>97624.055054159995</v>
      </c>
      <c r="M25" s="91" ph="1">
        <f>M24*18.322*LOOKUP(M26,密度!$A$2:$A$50,密度!$Q$2:$Q$50)</f>
        <v>85084.383346200004</v>
      </c>
      <c r="N25" s="91" ph="1">
        <f>N24*18.322*LOOKUP(N26,密度!$A$2:$A$50,密度!$Q$2:$Q$50)</f>
        <v>45191.787577919997</v>
      </c>
      <c r="O25" s="91" ph="1">
        <f>O24*18.322*LOOKUP(O26,密度!$A$2:$A$50,密度!$C$2:$C$50)</f>
        <v>42062.693023799999</v>
      </c>
      <c r="P25" s="91" ph="1">
        <f>P24*11.702*LOOKUP(P26,密度!$A$2:$A$50,密度!$B$2:$B$50)</f>
        <v>23237.363520000003</v>
      </c>
      <c r="Q25" s="92" ph="1">
        <f>Q24*18.322*LOOKUP(Q26,密度!$A$2:$A$50,密度!$B$2:$B$50)</f>
        <v>37523.675863999997</v>
      </c>
      <c r="R25" s="91" ph="1">
        <f>R24*35.891*LOOKUP(R26,密度!$A$2:$A$50,密度!$C$2:$C$50)</f>
        <v>269637.64812739997</v>
      </c>
      <c r="S25" s="91" ph="1">
        <f>S24*35.891*LOOKUP(S26,密度!$A$2:$A$50,密度!$B$2:$B$50)</f>
        <v>63945.846187999996</v>
      </c>
      <c r="T25" s="91" ph="1">
        <f>T24*35.891*LOOKUP(T26,密度!$A$2:$A$50,密度!$Q$2:$Q$50)</f>
        <v>137.03758056000001</v>
      </c>
      <c r="U25" s="91" ph="1">
        <f>U24*35.891</f>
        <v>207414.08899999998</v>
      </c>
      <c r="V25" s="91" ph="1">
        <f>V24*47.051*LOOKUP(V26,密度!$A$2:$A$50,密度!$B$2:$B$50)</f>
        <v>15460.770396</v>
      </c>
      <c r="W25" s="91" ph="1">
        <f>W24*47.051*LOOKUP(W26,密度!$A$2:$A$50,密度!$B$2:$B$50)</f>
        <v>389682.55509119999</v>
      </c>
      <c r="X25" s="91" ph="1">
        <f>X24*47.051*LOOKUP(X26,密度!$A$2:$A$50,密度!$I$2:$I$50)</f>
        <v>387581.69782856002</v>
      </c>
      <c r="Y25" s="91" ph="1">
        <f>Y24*47.051*LOOKUP(Y26,密度!$A$2:$A$50,密度!$L$2:$L$50)</f>
        <v>191527.58853800001</v>
      </c>
      <c r="Z25" s="201"/>
      <c r="AA25" s="202"/>
      <c r="AB25" s="202"/>
      <c r="AC25" s="202"/>
      <c r="AD25" s="202"/>
      <c r="AE25" s="203"/>
      <c r="AH25" s="64" ph="1">
        <v>11</v>
      </c>
      <c r="AI25" s="64" t="s" ph="1">
        <v>389</v>
      </c>
      <c r="AZ25" s="64" t="s" ph="1">
        <v>257</v>
      </c>
      <c r="BA25" s="64" ph="1">
        <v>0</v>
      </c>
      <c r="BD25" s="64" t="s" ph="1">
        <v>282</v>
      </c>
      <c r="BE25" s="64" ph="1">
        <v>8920</v>
      </c>
    </row>
    <row r="26" spans="1:57" ph="1">
      <c r="A26" s="72" ph="1"/>
      <c r="B26" s="207" ph="1"/>
      <c r="C26" s="68" t="s" ph="1">
        <v>210</v>
      </c>
      <c r="D26" s="74">
        <v>25</v>
      </c>
      <c r="E26" s="74">
        <v>25</v>
      </c>
      <c r="F26" s="74">
        <v>17</v>
      </c>
      <c r="G26" s="74">
        <v>14</v>
      </c>
      <c r="H26" s="74">
        <v>15</v>
      </c>
      <c r="I26" s="74">
        <v>15</v>
      </c>
      <c r="J26" s="74">
        <v>15</v>
      </c>
      <c r="K26" s="74">
        <v>15</v>
      </c>
      <c r="L26" s="74">
        <v>15</v>
      </c>
      <c r="M26" s="74">
        <v>15</v>
      </c>
      <c r="N26" s="74">
        <v>15</v>
      </c>
      <c r="O26" s="74">
        <v>18</v>
      </c>
      <c r="P26" s="74">
        <v>15</v>
      </c>
      <c r="Q26" s="93">
        <v>15</v>
      </c>
      <c r="R26" s="74">
        <v>15</v>
      </c>
      <c r="S26" s="74">
        <v>15</v>
      </c>
      <c r="T26" s="74">
        <v>15</v>
      </c>
      <c r="U26" s="74">
        <v>15</v>
      </c>
      <c r="V26" s="74">
        <v>15</v>
      </c>
      <c r="W26" s="74">
        <v>16</v>
      </c>
      <c r="X26" s="74">
        <v>52</v>
      </c>
      <c r="Y26" s="74">
        <v>16</v>
      </c>
      <c r="Z26" s="201"/>
      <c r="AA26" s="202"/>
      <c r="AB26" s="202"/>
      <c r="AC26" s="202"/>
      <c r="AD26" s="202"/>
      <c r="AE26" s="203"/>
      <c r="AH26" s="64" ph="1">
        <v>12</v>
      </c>
      <c r="AI26" s="64" t="s" ph="1">
        <v>390</v>
      </c>
      <c r="AZ26" s="64" t="s" ph="1">
        <v>257</v>
      </c>
      <c r="BA26" s="64" ph="1">
        <v>0</v>
      </c>
    </row>
    <row r="27" spans="1:57" ph="1">
      <c r="A27" s="72" ph="1"/>
      <c r="B27" s="207" ph="1">
        <v>0.66666666666666663</v>
      </c>
      <c r="C27" s="170" t="s" ph="1">
        <v>211</v>
      </c>
      <c r="D27" s="71">
        <v>98.71</v>
      </c>
      <c r="E27" s="71">
        <v>95.51</v>
      </c>
      <c r="F27" s="71">
        <v>4018</v>
      </c>
      <c r="G27" s="71">
        <v>2418</v>
      </c>
      <c r="H27" s="71">
        <v>2739</v>
      </c>
      <c r="I27" s="71">
        <v>4181</v>
      </c>
      <c r="J27" s="71">
        <v>1540</v>
      </c>
      <c r="K27" s="71">
        <v>5610</v>
      </c>
      <c r="L27" s="71">
        <v>5580</v>
      </c>
      <c r="M27" s="71">
        <v>4866</v>
      </c>
      <c r="N27" s="71">
        <v>2583</v>
      </c>
      <c r="O27" s="71">
        <v>2057</v>
      </c>
      <c r="P27" s="71">
        <v>2520</v>
      </c>
      <c r="Q27" s="90">
        <v>3158</v>
      </c>
      <c r="R27" s="71">
        <v>6738</v>
      </c>
      <c r="S27" s="71">
        <v>2503</v>
      </c>
      <c r="T27" s="71">
        <v>0</v>
      </c>
      <c r="U27" s="71">
        <v>5542</v>
      </c>
      <c r="V27" s="71">
        <v>411</v>
      </c>
      <c r="W27" s="71">
        <v>10804</v>
      </c>
      <c r="X27" s="71">
        <v>8558</v>
      </c>
      <c r="Y27" s="71">
        <v>2605</v>
      </c>
      <c r="Z27" s="201"/>
      <c r="AA27" s="202"/>
      <c r="AB27" s="202"/>
      <c r="AC27" s="202"/>
      <c r="AD27" s="202"/>
      <c r="AE27" s="203"/>
      <c r="AH27" s="64" ph="1">
        <v>13</v>
      </c>
      <c r="AI27" s="64" t="s" ph="1">
        <v>391</v>
      </c>
      <c r="AZ27" s="64" t="s" ph="1">
        <v>257</v>
      </c>
      <c r="BA27" s="64" ph="1">
        <v>0</v>
      </c>
      <c r="BD27" s="64" t="s" ph="1">
        <v>336</v>
      </c>
      <c r="BE27" s="64" ph="1">
        <v>7100</v>
      </c>
    </row>
    <row r="28" spans="1:57" ph="1">
      <c r="A28" s="72" ph="1"/>
      <c r="B28" s="207" ph="1"/>
      <c r="C28" s="170" t="s" ph="1">
        <v>209</v>
      </c>
      <c r="D28" s="91" ph="1">
        <f>D27*268.68*LOOKUP(D29,密度!$A$2:$A$50,密度!$Q$2:$Q$50)+IF(D27&lt;=0,0,1566*LOOKUP(D29,密度!$A$2:$A$50,密度!$Q$2:$Q$50))</f>
        <v>26591.467726872001</v>
      </c>
      <c r="E28" s="91" ph="1">
        <f>E27*268.68*LOOKUP(E29,密度!$A$2:$A$50,密度!$C$2:$C$50)+IF(E27&lt;=0,0,1566*LOOKUP(E29,密度!$A$2:$A$50,密度!$C$2:$C$50))</f>
        <v>30192.715358520003</v>
      </c>
      <c r="F28" s="91" ph="1">
        <f>F27*11.702*LOOKUP(F29,密度!$A$2:$A$50,密度!$Q$2:$Q$50)</f>
        <v>44881.168807440001</v>
      </c>
      <c r="G28" s="91" ph="1">
        <f>G27*18.322*LOOKUP(G29,密度!$A$2:$A$50,密度!$B$2:$B$50)</f>
        <v>34910.445648000001</v>
      </c>
      <c r="H28" s="91" ph="1">
        <f>H27*18.322*LOOKUP(H29,密度!$A$2:$A$50,密度!$B$2:$B$50)</f>
        <v>39544.958903999999</v>
      </c>
      <c r="I28" s="91" ph="1">
        <f>I27*18.322*LOOKUP(I29,密度!$A$2:$A$50,密度!$Q$2:$Q$50)</f>
        <v>73121.851340280002</v>
      </c>
      <c r="J28" s="91" ph="1">
        <f>J27*18.322*LOOKUP(J29,密度!$A$2:$A$50,密度!$Q$2:$Q$50)</f>
        <v>26933.186095199999</v>
      </c>
      <c r="K28" s="91" ph="1">
        <f>K27*18.322*LOOKUP(K29,密度!$A$2:$A$50,密度!$Q$2:$Q$50)</f>
        <v>98113.749346800003</v>
      </c>
      <c r="L28" s="91" ph="1">
        <f>L27*18.322*LOOKUP(L29,密度!$A$2:$A$50,密度!$Q$2:$Q$50)</f>
        <v>97589.0768904</v>
      </c>
      <c r="M28" s="91" ph="1">
        <f>M27*18.322*LOOKUP(M29,密度!$A$2:$A$50,密度!$Q$2:$Q$50)</f>
        <v>85018.066867200003</v>
      </c>
      <c r="N28" s="91" ph="1">
        <f>N27*18.322*LOOKUP(N29,密度!$A$2:$A$50,密度!$Q$2:$Q$50)</f>
        <v>45174.298496039999</v>
      </c>
      <c r="O28" s="91" ph="1">
        <f>O27*18.322*LOOKUP(O29,密度!$A$2:$A$50,密度!$C$2:$C$50)</f>
        <v>42052.665393199997</v>
      </c>
      <c r="P28" s="91" ph="1">
        <f>P27*11.702*LOOKUP(P29,密度!$A$2:$A$50,密度!$B$2:$B$50)</f>
        <v>23237.363520000003</v>
      </c>
      <c r="Q28" s="92" ph="1">
        <f>Q27*18.322*LOOKUP(Q29,密度!$A$2:$A$50,密度!$B$2:$B$50)</f>
        <v>45548.081587199995</v>
      </c>
      <c r="R28" s="91" ph="1">
        <f>R27*35.891*LOOKUP(R29,密度!$A$2:$A$50,密度!$C$2:$C$50)</f>
        <v>269692.78388159996</v>
      </c>
      <c r="S28" s="91" ph="1">
        <f>S27*35.891*LOOKUP(S29,密度!$A$2:$A$50,密度!$B$2:$B$50)</f>
        <v>70790.116324000002</v>
      </c>
      <c r="T28" s="91" ph="1">
        <f>T27*35.891*LOOKUP(T29,密度!$A$2:$A$50,密度!$Q$2:$Q$50)</f>
        <v>0</v>
      </c>
      <c r="U28" s="91" ph="1">
        <f>U27*35.891</f>
        <v>198907.92199999999</v>
      </c>
      <c r="V28" s="91" ph="1">
        <f>V27*47.051*LOOKUP(V29,密度!$A$2:$A$50,密度!$B$2:$B$50)</f>
        <v>15222.842899199999</v>
      </c>
      <c r="W28" s="91" ph="1">
        <f>W27*47.051*LOOKUP(W29,密度!$A$2:$A$50,密度!$B$2:$B$50)</f>
        <v>399757.79274559999</v>
      </c>
      <c r="X28" s="91" ph="1">
        <f>X27*47.051*LOOKUP(X29,密度!$A$2:$A$50,密度!$I$2:$I$50)</f>
        <v>417013.34800311999</v>
      </c>
      <c r="Y28" s="91" ph="1">
        <f>Y27*47.051*LOOKUP(Y29,密度!$A$2:$A$50,密度!$L$2:$L$50)</f>
        <v>115826.62297500001</v>
      </c>
      <c r="Z28" s="201"/>
      <c r="AA28" s="202"/>
      <c r="AB28" s="202"/>
      <c r="AC28" s="202"/>
      <c r="AD28" s="202"/>
      <c r="AE28" s="203"/>
      <c r="AH28" s="64" ph="1">
        <v>14</v>
      </c>
      <c r="AI28" s="64" t="s" ph="1">
        <v>392</v>
      </c>
      <c r="AZ28" s="64" t="s" ph="1">
        <v>257</v>
      </c>
      <c r="BA28" s="64" ph="1">
        <v>0</v>
      </c>
    </row>
    <row r="29" spans="1:57" ph="1">
      <c r="A29" s="72" ph="1"/>
      <c r="B29" s="207" ph="1"/>
      <c r="C29" s="170" t="s" ph="1">
        <v>210</v>
      </c>
      <c r="D29" s="74">
        <v>25</v>
      </c>
      <c r="E29" s="74">
        <v>25</v>
      </c>
      <c r="F29" s="74">
        <v>15</v>
      </c>
      <c r="G29" s="74">
        <v>15</v>
      </c>
      <c r="H29" s="74">
        <v>15</v>
      </c>
      <c r="I29" s="74">
        <v>15</v>
      </c>
      <c r="J29" s="74">
        <v>15</v>
      </c>
      <c r="K29" s="74">
        <v>15</v>
      </c>
      <c r="L29" s="74">
        <v>15</v>
      </c>
      <c r="M29" s="74">
        <v>16</v>
      </c>
      <c r="N29" s="74">
        <v>15</v>
      </c>
      <c r="O29" s="74">
        <v>15</v>
      </c>
      <c r="P29" s="74">
        <v>15</v>
      </c>
      <c r="Q29" s="93">
        <v>16</v>
      </c>
      <c r="R29" s="74">
        <v>16</v>
      </c>
      <c r="S29" s="74">
        <v>15</v>
      </c>
      <c r="T29" s="74">
        <v>15</v>
      </c>
      <c r="U29" s="74">
        <v>16</v>
      </c>
      <c r="V29" s="74">
        <v>16</v>
      </c>
      <c r="W29" s="74">
        <v>17</v>
      </c>
      <c r="X29" s="74">
        <v>50</v>
      </c>
      <c r="Y29" s="74">
        <v>17</v>
      </c>
      <c r="Z29" s="204"/>
      <c r="AA29" s="205"/>
      <c r="AB29" s="205"/>
      <c r="AC29" s="205"/>
      <c r="AD29" s="205"/>
      <c r="AE29" s="206"/>
      <c r="AH29" s="64" ph="1">
        <v>15</v>
      </c>
      <c r="AI29" s="64" t="s" ph="1">
        <v>393</v>
      </c>
      <c r="AZ29" s="64" t="s" ph="1">
        <v>257</v>
      </c>
      <c r="BA29" s="64" ph="1">
        <v>0</v>
      </c>
      <c r="BD29" s="64" t="s" ph="1">
        <v>394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395</v>
      </c>
      <c r="AZ30" s="64" t="s" ph="1">
        <v>257</v>
      </c>
      <c r="BA30" s="64" ph="1">
        <v>0</v>
      </c>
    </row>
    <row r="31" spans="1:57" ht="28.5" ph="1">
      <c r="A31" s="64"/>
      <c r="B31" s="220" t="s" ph="1">
        <v>35</v>
      </c>
      <c r="C31" s="221" ph="1"/>
      <c r="D31" s="224" t="s" ph="1">
        <v>9</v>
      </c>
      <c r="E31" s="213" ph="1"/>
      <c r="F31" s="214" ph="1"/>
      <c r="G31" s="224" t="s" ph="1">
        <v>18</v>
      </c>
      <c r="H31" s="213" ph="1"/>
      <c r="I31" s="214" ph="1"/>
      <c r="J31" s="212" t="s" ph="1">
        <v>1</v>
      </c>
      <c r="K31" s="213" ph="1"/>
      <c r="L31" s="214" ph="1"/>
      <c r="M31" s="212" t="s" ph="1">
        <v>7</v>
      </c>
      <c r="N31" s="213" ph="1"/>
      <c r="O31" s="214" ph="1"/>
      <c r="P31" s="212" t="s" ph="1">
        <v>42</v>
      </c>
      <c r="Q31" s="213"/>
      <c r="R31" s="214"/>
      <c r="S31" s="212" t="s" ph="1">
        <v>2</v>
      </c>
      <c r="T31" s="213"/>
      <c r="U31" s="214"/>
      <c r="V31" s="212" t="s" ph="1">
        <v>81</v>
      </c>
      <c r="W31" s="213" ph="1"/>
      <c r="X31" s="214" ph="1"/>
      <c r="Y31" s="212" t="s" ph="1">
        <v>3</v>
      </c>
      <c r="Z31" s="213" ph="1"/>
      <c r="AA31" s="214" ph="1"/>
      <c r="AB31" s="235" t="s">
        <v>43</v>
      </c>
      <c r="AC31" s="236"/>
      <c r="AD31" s="236"/>
      <c r="AE31" s="237"/>
      <c r="AH31" s="64" ph="1">
        <v>17</v>
      </c>
      <c r="AI31" s="64" t="s" ph="1">
        <v>396</v>
      </c>
      <c r="AZ31" s="64" t="s" ph="1">
        <v>257</v>
      </c>
      <c r="BA31" s="64" ph="1">
        <v>0</v>
      </c>
      <c r="BD31" s="64" t="s" ph="1">
        <v>397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70" t="s" ph="1">
        <v>5</v>
      </c>
      <c r="F32" s="169" t="s" ph="1">
        <v>44</v>
      </c>
      <c r="G32" s="97" t="s" ph="1">
        <v>4</v>
      </c>
      <c r="H32" s="170" t="s" ph="1">
        <v>5</v>
      </c>
      <c r="I32" s="169" t="s" ph="1">
        <v>44</v>
      </c>
      <c r="J32" s="97" t="s" ph="1">
        <v>4</v>
      </c>
      <c r="K32" s="170" t="s" ph="1">
        <v>5</v>
      </c>
      <c r="L32" s="169" t="s" ph="1">
        <v>44</v>
      </c>
      <c r="M32" s="97" t="s" ph="1">
        <v>4</v>
      </c>
      <c r="N32" s="170" t="s" ph="1">
        <v>5</v>
      </c>
      <c r="O32" s="169" t="s" ph="1">
        <v>44</v>
      </c>
      <c r="P32" s="97" t="s" ph="1">
        <v>4</v>
      </c>
      <c r="Q32" s="98" t="s" ph="1">
        <v>5</v>
      </c>
      <c r="R32" s="99" t="s" ph="1">
        <v>44</v>
      </c>
      <c r="S32" s="97" t="s" ph="1">
        <v>4</v>
      </c>
      <c r="T32" s="170" t="s" ph="1">
        <v>5</v>
      </c>
      <c r="U32" s="99" t="s" ph="1">
        <v>44</v>
      </c>
      <c r="V32" s="97" t="s" ph="1">
        <v>4</v>
      </c>
      <c r="W32" s="170" t="s" ph="1">
        <v>5</v>
      </c>
      <c r="X32" s="99" t="s" ph="1">
        <v>44</v>
      </c>
      <c r="Y32" s="100" t="s" ph="1">
        <v>4</v>
      </c>
      <c r="Z32" s="170" t="s" ph="1">
        <v>5</v>
      </c>
      <c r="AA32" s="169" t="s" ph="1">
        <v>44</v>
      </c>
      <c r="AB32" s="97" t="s" ph="1">
        <v>102</v>
      </c>
      <c r="AC32" s="170" t="s" ph="1">
        <v>101</v>
      </c>
      <c r="AD32" s="238" t="s" ph="1">
        <v>100</v>
      </c>
      <c r="AE32" s="239"/>
      <c r="AH32" s="64" ph="1">
        <v>18</v>
      </c>
      <c r="AI32" s="64" t="s" ph="1">
        <v>398</v>
      </c>
      <c r="AZ32" s="64" t="s" ph="1">
        <v>257</v>
      </c>
      <c r="BA32" s="64" ph="1">
        <v>0</v>
      </c>
    </row>
    <row r="33" spans="1:57" ph="1">
      <c r="A33" s="64"/>
      <c r="B33" s="225" t="s" ph="1">
        <v>212</v>
      </c>
      <c r="C33" s="226" ph="1"/>
      <c r="D33" s="229" ph="1">
        <f>AA10+AB10+Z19</f>
        <v>109622.51641920001</v>
      </c>
      <c r="E33" s="229" ph="1">
        <f>M10+I10</f>
        <v>163182.94022479997</v>
      </c>
      <c r="F33" s="23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[[#This Row],[F25]]</f>
        <v>3880</v>
      </c>
      <c r="G33" s="233" ph="1">
        <v>0</v>
      </c>
      <c r="H33" s="229" ph="1">
        <f>N19</f>
        <v>12549.72986698</v>
      </c>
      <c r="I33" s="242" ph="1">
        <v>0</v>
      </c>
      <c r="J33" s="240" ph="1">
        <f>F10+O28</f>
        <v>139929.4811108</v>
      </c>
      <c r="K33" s="229" ph="1">
        <f>O10+K10+E28+R28</f>
        <v>446400.37548411998</v>
      </c>
      <c r="L33" s="244" ph="1">
        <f>BE27</f>
        <v>7100</v>
      </c>
      <c r="M33" s="240" ph="1">
        <f>G10+H10+W28+S28</f>
        <v>831496.94128059992</v>
      </c>
      <c r="N33" s="229" ph="1">
        <f>L10+P10++G28+H28+V28</f>
        <v>284087.62721020001</v>
      </c>
      <c r="O33" s="242" ph="1">
        <f>BE17</f>
        <v>2270</v>
      </c>
      <c r="P33" s="240" ph="1">
        <f>L19</f>
        <v>45244.322172</v>
      </c>
      <c r="Q33" s="229" ph="1">
        <f>J10+N10</f>
        <v>132966.21587059999</v>
      </c>
      <c r="R33" s="242" ph="1">
        <f>BE23</f>
        <v>890</v>
      </c>
      <c r="S33" s="240" ph="1">
        <f>E10+X28</f>
        <v>417013.34800311999</v>
      </c>
      <c r="T33" s="229" ph="1">
        <f>X19</f>
        <v>10378.199936000001</v>
      </c>
      <c r="U33" s="250" ph="1">
        <f>BE21</f>
        <v>730</v>
      </c>
      <c r="V33" s="261" ph="1">
        <f ca="1">P19+Q19+S19+M28+N28+J28</f>
        <v>218475.18486592203</v>
      </c>
      <c r="W33" s="261" ph="1">
        <f>D28+F28+V19+T28</f>
        <v>71472.636534311998</v>
      </c>
      <c r="X33" s="242" ph="1">
        <f>BE29+BE31</f>
        <v>10200</v>
      </c>
      <c r="Y33" s="263" ph="1">
        <f>+Q10+R10+S10+T10+U10+V10+W10+X10+Y10</f>
        <v>203241.2150538</v>
      </c>
      <c r="Z33" s="248" ph="1">
        <f>D10+T19+U19+Y28+Z10</f>
        <v>375394.52303029998</v>
      </c>
      <c r="AA33" s="250" ph="1">
        <f>BE19</f>
        <v>1440</v>
      </c>
      <c r="AB33" s="252" ph="1">
        <f>I19</f>
        <v>74.629510400000001</v>
      </c>
      <c r="AC33" s="254" ph="1">
        <f>AD10</f>
        <v>5100.3813279999995</v>
      </c>
      <c r="AD33" s="256" ph="1">
        <v>0</v>
      </c>
      <c r="AE33" s="257"/>
      <c r="AH33" s="64" ph="1">
        <v>19</v>
      </c>
      <c r="AI33" s="64" t="s" ph="1">
        <v>399</v>
      </c>
      <c r="AJ33" s="64" t="s" ph="1">
        <v>633</v>
      </c>
      <c r="AK33" s="64" t="s" ph="1">
        <v>630</v>
      </c>
      <c r="AL33" s="64" ph="1">
        <v>730</v>
      </c>
      <c r="AM33" s="64" t="s" ph="1">
        <v>380</v>
      </c>
      <c r="AZ33" s="64" t="s" ph="1">
        <v>257</v>
      </c>
      <c r="BA33" s="64" ph="1">
        <v>730</v>
      </c>
      <c r="BD33" s="64" t="s" ph="1">
        <v>331</v>
      </c>
      <c r="BE33" s="64" ph="1">
        <v>3880</v>
      </c>
    </row>
    <row r="34" spans="1:57" ph="1">
      <c r="A34" s="64"/>
      <c r="B34" s="227" ph="1"/>
      <c r="C34" s="228" ph="1"/>
      <c r="D34" s="230" ph="1"/>
      <c r="E34" s="230" ph="1"/>
      <c r="F34" s="232" ph="1"/>
      <c r="G34" s="234" ph="1"/>
      <c r="H34" s="230" ph="1"/>
      <c r="I34" s="243" ph="1"/>
      <c r="J34" s="241" ph="1"/>
      <c r="K34" s="230" ph="1"/>
      <c r="L34" s="245" ph="1"/>
      <c r="M34" s="241" ph="1"/>
      <c r="N34" s="230" ph="1"/>
      <c r="O34" s="243" ph="1"/>
      <c r="P34" s="241" ph="1"/>
      <c r="Q34" s="230" ph="1"/>
      <c r="R34" s="243" ph="1"/>
      <c r="S34" s="241" ph="1"/>
      <c r="T34" s="230"/>
      <c r="U34" s="251"/>
      <c r="V34" s="262" ph="1"/>
      <c r="W34" s="262" ph="1"/>
      <c r="X34" s="243" ph="1"/>
      <c r="Y34" s="264" ph="1"/>
      <c r="Z34" s="249" ph="1"/>
      <c r="AA34" s="251" ph="1"/>
      <c r="AB34" s="253"/>
      <c r="AC34" s="255"/>
      <c r="AD34" s="258"/>
      <c r="AE34" s="259"/>
      <c r="AH34" s="64" ph="1">
        <v>20</v>
      </c>
      <c r="AI34" s="64" t="s" ph="1">
        <v>400</v>
      </c>
      <c r="AJ34" s="64" t="s" ph="1">
        <v>634</v>
      </c>
      <c r="AK34" s="64" t="s" ph="1">
        <v>630</v>
      </c>
      <c r="AL34" s="64" ph="1">
        <v>720</v>
      </c>
      <c r="AM34" s="64" t="s" ph="1">
        <v>380</v>
      </c>
      <c r="AZ34" s="64" t="s" ph="1">
        <v>257</v>
      </c>
      <c r="BA34" s="64" ph="1">
        <v>720</v>
      </c>
    </row>
    <row r="35" spans="1:57" ph="1">
      <c r="A35" s="64"/>
      <c r="AC35" s="260" t="s" ph="1">
        <v>84</v>
      </c>
      <c r="AD35" s="260"/>
      <c r="AE35" s="260"/>
      <c r="AH35" s="64" ph="1">
        <v>21</v>
      </c>
      <c r="AI35" s="64" t="s" ph="1">
        <v>401</v>
      </c>
      <c r="AZ35" s="64" t="s" ph="1">
        <v>257</v>
      </c>
      <c r="BA35" s="64" ph="1">
        <v>0</v>
      </c>
      <c r="BD35" s="64" t="s" ph="1">
        <v>402</v>
      </c>
      <c r="BE35" s="64" ph="1">
        <v>2030</v>
      </c>
    </row>
    <row r="36" spans="1:57" ht="28.5" ph="1">
      <c r="A36" s="64"/>
      <c r="B36" s="103" t="s" ph="1">
        <v>213</v>
      </c>
      <c r="I36" s="246" t="s" ph="1">
        <v>214</v>
      </c>
      <c r="J36" s="246" ph="1"/>
      <c r="K36" s="101" ph="1"/>
      <c r="P36" s="101" ph="1"/>
      <c r="R36" s="246" t="s" ph="1">
        <v>215</v>
      </c>
      <c r="S36" s="246" ph="1"/>
      <c r="Y36" s="102" ph="1"/>
      <c r="Z36" s="168" t="s" ph="1">
        <v>216</v>
      </c>
      <c r="AA36" s="168" ph="1"/>
      <c r="AB36" s="247" t="s" ph="1">
        <v>655</v>
      </c>
      <c r="AC36" s="247" ph="1"/>
      <c r="AD36" s="247" ph="1"/>
      <c r="AE36" s="247" ph="1"/>
      <c r="BA36" s="64" ph="1">
        <v>2270</v>
      </c>
    </row>
    <row r="37" spans="1:57" s="168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8" t="s" ph="1">
        <v>383</v>
      </c>
      <c r="AI37" s="168" t="s" ph="1">
        <v>250</v>
      </c>
      <c r="AJ37" s="168" t="s" ph="1">
        <v>251</v>
      </c>
      <c r="AK37" s="168" t="s" ph="1">
        <v>252</v>
      </c>
      <c r="AM37" s="168" t="s" ph="1">
        <v>251</v>
      </c>
      <c r="AN37" s="168" t="s" ph="1">
        <v>252</v>
      </c>
      <c r="AO37" s="168" t="s" ph="1">
        <v>253</v>
      </c>
      <c r="AP37" s="168" t="s" ph="1">
        <v>251</v>
      </c>
      <c r="AQ37" s="168" t="s" ph="1">
        <v>252</v>
      </c>
      <c r="AR37" s="168" t="s" ph="1">
        <v>253</v>
      </c>
      <c r="AS37" s="168" t="s" ph="1">
        <v>251</v>
      </c>
      <c r="AT37" s="168" t="s" ph="1">
        <v>252</v>
      </c>
      <c r="AU37" s="168" t="s" ph="1">
        <v>253</v>
      </c>
      <c r="AV37" s="168" t="s" ph="1">
        <v>251</v>
      </c>
      <c r="AW37" s="168" t="s" ph="1">
        <v>252</v>
      </c>
      <c r="AX37" s="168" t="s" ph="1">
        <v>253</v>
      </c>
      <c r="AY37" s="168" t="s" ph="1">
        <v>252</v>
      </c>
      <c r="AZ37" s="168" t="s" ph="1">
        <v>254</v>
      </c>
      <c r="BD37" s="168" t="s" ph="1">
        <v>346</v>
      </c>
      <c r="BE37" s="168" ph="1">
        <v>0</v>
      </c>
    </row>
    <row r="38" spans="1:57" ph="1">
      <c r="AE38" s="64" ph="1"/>
      <c r="AH38" s="64" ph="1">
        <v>1</v>
      </c>
      <c r="AI38" s="64" t="s" ph="1">
        <v>403</v>
      </c>
      <c r="AY38" s="64" t="s" ph="1">
        <v>257</v>
      </c>
      <c r="AZ38" s="64" t="s" ph="1">
        <v>408</v>
      </c>
    </row>
    <row r="39" spans="1:57" ph="1">
      <c r="AH39" s="64" ph="1">
        <v>2</v>
      </c>
      <c r="AI39" s="64" t="s" ph="1">
        <v>405</v>
      </c>
      <c r="AJ39" s="64" t="s" ph="1">
        <v>377</v>
      </c>
      <c r="AK39" s="64" t="s" ph="1">
        <v>406</v>
      </c>
      <c r="AM39" s="64" t="s" ph="1">
        <v>611</v>
      </c>
      <c r="AN39" s="64" t="s" ph="1">
        <v>269</v>
      </c>
      <c r="AO39" s="64" t="s" ph="1">
        <v>404</v>
      </c>
      <c r="AY39" s="64" t="s" ph="1">
        <v>257</v>
      </c>
      <c r="AZ39" s="64" t="s" ph="1">
        <v>540</v>
      </c>
    </row>
    <row r="40" spans="1:57" ph="1">
      <c r="AH40" s="64" ph="1">
        <v>3</v>
      </c>
      <c r="AI40" s="64" t="s" ph="1">
        <v>407</v>
      </c>
      <c r="AJ40" s="64" t="s" ph="1">
        <v>611</v>
      </c>
      <c r="AK40" s="64" t="s" ph="1">
        <v>612</v>
      </c>
      <c r="AY40" s="64" t="s" ph="1">
        <v>257</v>
      </c>
      <c r="AZ40" s="64" t="s" ph="1">
        <v>612</v>
      </c>
    </row>
    <row r="41" spans="1:57" ph="1">
      <c r="AH41" s="64" ph="1">
        <v>4</v>
      </c>
      <c r="AI41" s="64" t="s" ph="1">
        <v>409</v>
      </c>
      <c r="AJ41" s="64" t="s" ph="1">
        <v>613</v>
      </c>
      <c r="AK41" s="64" t="s" ph="1">
        <v>614</v>
      </c>
      <c r="AM41" s="64" t="s" ph="1">
        <v>615</v>
      </c>
      <c r="AY41" s="64" t="s" ph="1">
        <v>257</v>
      </c>
      <c r="AZ41" s="64" t="s" ph="1">
        <v>614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410</v>
      </c>
      <c r="AY42" s="64" t="s" ph="1">
        <v>257</v>
      </c>
      <c r="AZ42" s="64" t="s" ph="1">
        <v>408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411</v>
      </c>
      <c r="AY43" s="64" t="s" ph="1">
        <v>257</v>
      </c>
      <c r="AZ43" s="64" t="s" ph="1">
        <v>408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412</v>
      </c>
      <c r="AV44" s="64" t="s" ph="1">
        <v>258</v>
      </c>
      <c r="AY44" s="64" t="s" ph="1">
        <v>257</v>
      </c>
      <c r="AZ44" s="64" t="s" ph="1">
        <v>408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413</v>
      </c>
      <c r="AV45" s="64" t="s" ph="1">
        <v>258</v>
      </c>
      <c r="AY45" s="64" t="s" ph="1">
        <v>257</v>
      </c>
      <c r="AZ45" s="64" t="s" ph="1">
        <v>408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414</v>
      </c>
      <c r="AV46" s="64" t="s" ph="1">
        <v>258</v>
      </c>
      <c r="AY46" s="64" t="s" ph="1">
        <v>257</v>
      </c>
      <c r="AZ46" s="64" t="s" ph="1">
        <v>408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415</v>
      </c>
      <c r="AV47" s="64" t="s" ph="1">
        <v>258</v>
      </c>
      <c r="AY47" s="64" t="s" ph="1">
        <v>257</v>
      </c>
      <c r="AZ47" s="64" t="s" ph="1">
        <v>408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616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273</v>
      </c>
      <c r="AI49" s="64" t="s" ph="1">
        <v>250</v>
      </c>
      <c r="AJ49" s="64" t="s" ph="1">
        <v>251</v>
      </c>
      <c r="AK49" s="64" t="s" ph="1">
        <v>252</v>
      </c>
      <c r="AM49" s="64" t="s" ph="1">
        <v>251</v>
      </c>
      <c r="AN49" s="64" t="s" ph="1">
        <v>252</v>
      </c>
      <c r="AO49" s="64" t="s" ph="1">
        <v>253</v>
      </c>
      <c r="AP49" s="64" t="s" ph="1">
        <v>251</v>
      </c>
      <c r="AQ49" s="64" t="s" ph="1">
        <v>252</v>
      </c>
      <c r="AR49" s="64" t="s" ph="1">
        <v>253</v>
      </c>
      <c r="AS49" s="64" t="s" ph="1">
        <v>251</v>
      </c>
      <c r="AT49" s="64" t="s" ph="1">
        <v>252</v>
      </c>
      <c r="AU49" s="64" t="s" ph="1">
        <v>253</v>
      </c>
      <c r="AV49" s="64" t="s" ph="1">
        <v>251</v>
      </c>
      <c r="AW49" s="64" t="s" ph="1">
        <v>252</v>
      </c>
      <c r="AX49" s="64" t="s" ph="1">
        <v>253</v>
      </c>
      <c r="AY49" s="64" t="s" ph="1">
        <v>252</v>
      </c>
      <c r="AZ49" s="64" t="s" ph="1">
        <v>254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416</v>
      </c>
      <c r="AY50" s="64" t="s" ph="1">
        <v>257</v>
      </c>
      <c r="AZ50" s="64" t="s" ph="1">
        <v>408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417</v>
      </c>
      <c r="AY51" s="64" t="s" ph="1">
        <v>257</v>
      </c>
      <c r="AZ51" s="64" t="s" ph="1">
        <v>408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418</v>
      </c>
      <c r="AJ52" s="64" t="s" ph="1">
        <v>375</v>
      </c>
      <c r="AK52" s="64" t="s" ph="1">
        <v>269</v>
      </c>
      <c r="AM52" s="64" t="s" ph="1">
        <v>377</v>
      </c>
      <c r="AN52" s="64" t="s" ph="1">
        <v>341</v>
      </c>
      <c r="AO52" s="64" t="s" ph="1">
        <v>274</v>
      </c>
      <c r="AP52" s="64" t="s" ph="1">
        <v>611</v>
      </c>
      <c r="AQ52" s="64" t="s" ph="1">
        <v>323</v>
      </c>
      <c r="AR52" s="64" t="s" ph="1">
        <v>274</v>
      </c>
      <c r="AY52" s="64" t="s" ph="1">
        <v>257</v>
      </c>
      <c r="AZ52" s="64" t="s" ph="1">
        <v>617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419</v>
      </c>
      <c r="AY53" s="64" t="s" ph="1">
        <v>257</v>
      </c>
      <c r="AZ53" s="64" t="s" ph="1">
        <v>408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420</v>
      </c>
      <c r="AJ54" s="64" t="s" ph="1">
        <v>375</v>
      </c>
      <c r="AK54" s="64" t="s" ph="1">
        <v>260</v>
      </c>
      <c r="AM54" s="64" t="s" ph="1">
        <v>377</v>
      </c>
      <c r="AN54" s="64" t="s" ph="1">
        <v>265</v>
      </c>
      <c r="AO54" s="64" t="s" ph="1">
        <v>274</v>
      </c>
      <c r="AP54" s="64" t="s" ph="1">
        <v>611</v>
      </c>
      <c r="AQ54" s="64" t="s" ph="1">
        <v>281</v>
      </c>
      <c r="AR54" s="64" t="s" ph="1">
        <v>274</v>
      </c>
      <c r="AY54" s="64" t="s" ph="1">
        <v>257</v>
      </c>
      <c r="AZ54" s="64" t="s" ph="1">
        <v>275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421</v>
      </c>
      <c r="AY55" s="64" t="s" ph="1">
        <v>257</v>
      </c>
      <c r="AZ55" s="64" t="s" ph="1">
        <v>408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422</v>
      </c>
      <c r="AY56" s="64" t="s" ph="1">
        <v>257</v>
      </c>
      <c r="AZ56" s="64" t="s" ph="1">
        <v>408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423</v>
      </c>
      <c r="AY57" s="64" t="s" ph="1">
        <v>257</v>
      </c>
      <c r="AZ57" s="64" t="s" ph="1">
        <v>408</v>
      </c>
    </row>
    <row r="58" spans="16:52" ph="1">
      <c r="P58" s="64"/>
      <c r="AN58" s="64" t="s" ph="1">
        <v>258</v>
      </c>
      <c r="AZ58" s="64" t="s" ph="1">
        <v>618</v>
      </c>
    </row>
    <row r="59" spans="16:52" ph="1">
      <c r="V59" s="64"/>
      <c r="AG59" s="64" t="s" ph="1">
        <v>276</v>
      </c>
      <c r="AI59" s="64" t="s" ph="1">
        <v>250</v>
      </c>
      <c r="AJ59" s="64" t="s" ph="1">
        <v>251</v>
      </c>
      <c r="AK59" s="64" t="s" ph="1">
        <v>252</v>
      </c>
      <c r="AM59" s="64" t="s" ph="1">
        <v>251</v>
      </c>
      <c r="AN59" s="64" t="s" ph="1">
        <v>252</v>
      </c>
      <c r="AO59" s="64" t="s" ph="1">
        <v>253</v>
      </c>
      <c r="AP59" s="64" t="s" ph="1">
        <v>251</v>
      </c>
      <c r="AQ59" s="64" t="s" ph="1">
        <v>252</v>
      </c>
      <c r="AR59" s="64" t="s" ph="1">
        <v>253</v>
      </c>
      <c r="AS59" s="64" t="s" ph="1">
        <v>251</v>
      </c>
      <c r="AT59" s="64" t="s" ph="1">
        <v>252</v>
      </c>
      <c r="AU59" s="64" t="s" ph="1">
        <v>253</v>
      </c>
      <c r="AV59" s="64" t="s" ph="1">
        <v>251</v>
      </c>
      <c r="AW59" s="64" t="s" ph="1">
        <v>252</v>
      </c>
      <c r="AX59" s="64" t="s" ph="1">
        <v>253</v>
      </c>
      <c r="AY59" s="64" t="s" ph="1">
        <v>252</v>
      </c>
      <c r="AZ59" s="64" t="s" ph="1">
        <v>254</v>
      </c>
    </row>
    <row r="60" spans="16:52" ph="1">
      <c r="R60" s="64"/>
      <c r="S60" s="64"/>
      <c r="T60" s="64"/>
      <c r="AH60" s="64" ph="1">
        <v>1</v>
      </c>
      <c r="AI60" s="64" t="s" ph="1">
        <v>424</v>
      </c>
      <c r="AY60" s="64" t="s" ph="1">
        <v>257</v>
      </c>
      <c r="AZ60" s="64" t="s" ph="1">
        <v>408</v>
      </c>
    </row>
    <row r="61" spans="16:52" ph="1">
      <c r="AH61" s="64" ph="1">
        <v>2</v>
      </c>
      <c r="AI61" s="64" t="s" ph="1">
        <v>425</v>
      </c>
      <c r="AS61" s="64" t="s" ph="1">
        <v>258</v>
      </c>
      <c r="AY61" s="64" t="s" ph="1">
        <v>257</v>
      </c>
      <c r="AZ61" s="64" t="s" ph="1">
        <v>408</v>
      </c>
    </row>
    <row r="62" spans="16:52" ph="1">
      <c r="AZ62" s="64" t="s" ph="1">
        <v>426</v>
      </c>
    </row>
    <row r="63" spans="16:52" ph="1">
      <c r="AG63" s="64" t="s" ph="1">
        <v>279</v>
      </c>
      <c r="AI63" s="64" t="s" ph="1">
        <v>250</v>
      </c>
      <c r="AJ63" s="64" t="s" ph="1">
        <v>251</v>
      </c>
      <c r="AK63" s="64" t="s" ph="1">
        <v>252</v>
      </c>
      <c r="AM63" s="64" t="s" ph="1">
        <v>251</v>
      </c>
      <c r="AN63" s="64" t="s" ph="1">
        <v>252</v>
      </c>
      <c r="AO63" s="64" t="s" ph="1">
        <v>253</v>
      </c>
      <c r="AP63" s="64" t="s" ph="1">
        <v>251</v>
      </c>
      <c r="AQ63" s="64" t="s" ph="1">
        <v>252</v>
      </c>
      <c r="AR63" s="64" t="s" ph="1">
        <v>253</v>
      </c>
      <c r="AS63" s="64" t="s" ph="1">
        <v>251</v>
      </c>
      <c r="AT63" s="64" t="s" ph="1">
        <v>252</v>
      </c>
      <c r="AU63" s="64" t="s" ph="1">
        <v>253</v>
      </c>
      <c r="AV63" s="64" t="s" ph="1">
        <v>251</v>
      </c>
      <c r="AW63" s="64" t="s" ph="1">
        <v>252</v>
      </c>
      <c r="AX63" s="64" t="s" ph="1">
        <v>253</v>
      </c>
      <c r="AY63" s="64" t="s" ph="1">
        <v>252</v>
      </c>
      <c r="AZ63" s="64" t="s" ph="1">
        <v>254</v>
      </c>
    </row>
    <row r="64" spans="16:52" ph="1">
      <c r="AH64" s="64" ph="1">
        <v>1</v>
      </c>
      <c r="AI64" s="64" t="s" ph="1">
        <v>427</v>
      </c>
      <c r="AJ64" s="64" t="s" ph="1">
        <v>428</v>
      </c>
      <c r="AK64" s="64" t="s" ph="1">
        <v>429</v>
      </c>
      <c r="AY64" s="64" t="s" ph="1">
        <v>257</v>
      </c>
      <c r="AZ64" s="64" t="s" ph="1">
        <v>429</v>
      </c>
    </row>
    <row r="65" spans="33:52" ph="1">
      <c r="AH65" s="64" ph="1">
        <v>2</v>
      </c>
      <c r="AI65" s="64" t="s" ph="1">
        <v>430</v>
      </c>
      <c r="AY65" s="64" t="s" ph="1">
        <v>257</v>
      </c>
      <c r="AZ65" s="64" t="s" ph="1">
        <v>408</v>
      </c>
    </row>
    <row r="66" spans="33:52" ph="1">
      <c r="AH66" s="64" ph="1">
        <v>3</v>
      </c>
      <c r="AI66" s="64" t="s" ph="1">
        <v>431</v>
      </c>
      <c r="AY66" s="64" t="s" ph="1">
        <v>257</v>
      </c>
      <c r="AZ66" s="64" t="s" ph="1">
        <v>408</v>
      </c>
    </row>
    <row r="67" spans="33:52" ph="1">
      <c r="AH67" s="64" ph="1">
        <v>4</v>
      </c>
      <c r="AI67" s="64" t="s" ph="1">
        <v>432</v>
      </c>
      <c r="AY67" s="64" t="s" ph="1">
        <v>257</v>
      </c>
      <c r="AZ67" s="64" t="s" ph="1">
        <v>408</v>
      </c>
    </row>
    <row r="68" spans="33:52" ph="1">
      <c r="AH68" s="64" ph="1">
        <v>5</v>
      </c>
      <c r="AI68" s="64" t="s" ph="1">
        <v>433</v>
      </c>
      <c r="AY68" s="64" t="s" ph="1">
        <v>257</v>
      </c>
      <c r="AZ68" s="64" t="s" ph="1">
        <v>408</v>
      </c>
    </row>
    <row r="69" spans="33:52" ph="1">
      <c r="AH69" s="64" ph="1">
        <v>6</v>
      </c>
      <c r="AI69" s="64" t="s" ph="1">
        <v>434</v>
      </c>
      <c r="AY69" s="64" t="s" ph="1">
        <v>257</v>
      </c>
      <c r="AZ69" s="64" t="s" ph="1">
        <v>408</v>
      </c>
    </row>
    <row r="70" spans="33:52" ph="1">
      <c r="AI70" s="64" t="s" ph="1">
        <v>435</v>
      </c>
      <c r="AY70" s="64" t="s" ph="1">
        <v>257</v>
      </c>
      <c r="AZ70" s="64" t="s" ph="1">
        <v>408</v>
      </c>
    </row>
    <row r="71" spans="33:52" ph="1">
      <c r="AH71" s="64" ph="1">
        <v>7</v>
      </c>
      <c r="AI71" s="64" t="s" ph="1">
        <v>436</v>
      </c>
      <c r="AJ71" s="64" t="s" ph="1">
        <v>375</v>
      </c>
      <c r="AK71" s="64" t="s" ph="1">
        <v>269</v>
      </c>
      <c r="AM71" s="64" t="s" ph="1">
        <v>377</v>
      </c>
      <c r="AN71" s="64" t="s" ph="1">
        <v>269</v>
      </c>
      <c r="AO71" s="64" t="s" ph="1">
        <v>437</v>
      </c>
      <c r="AP71" s="64" t="s" ph="1">
        <v>611</v>
      </c>
      <c r="AQ71" s="64" t="s" ph="1">
        <v>260</v>
      </c>
      <c r="AR71" s="64" t="s" ph="1">
        <v>437</v>
      </c>
      <c r="AY71" s="64" t="s" ph="1">
        <v>257</v>
      </c>
      <c r="AZ71" s="64" t="s" ph="1">
        <v>619</v>
      </c>
    </row>
    <row r="72" spans="33:52" ph="1">
      <c r="AZ72" s="64" t="s" ph="1">
        <v>620</v>
      </c>
    </row>
    <row r="73" spans="33:52" ph="1">
      <c r="AG73" s="64" t="s" ph="1">
        <v>282</v>
      </c>
      <c r="AI73" s="64" t="s" ph="1">
        <v>250</v>
      </c>
      <c r="AJ73" s="64" t="s" ph="1">
        <v>251</v>
      </c>
      <c r="AK73" s="64" t="s" ph="1">
        <v>252</v>
      </c>
      <c r="AM73" s="64" t="s" ph="1">
        <v>251</v>
      </c>
      <c r="AN73" s="64" t="s" ph="1">
        <v>252</v>
      </c>
      <c r="AO73" s="64" t="s" ph="1">
        <v>253</v>
      </c>
      <c r="AP73" s="64" t="s" ph="1">
        <v>251</v>
      </c>
      <c r="AQ73" s="64" t="s" ph="1">
        <v>252</v>
      </c>
      <c r="AR73" s="64" t="s" ph="1">
        <v>253</v>
      </c>
      <c r="AS73" s="64" t="s" ph="1">
        <v>251</v>
      </c>
      <c r="AT73" s="64" t="s" ph="1">
        <v>252</v>
      </c>
      <c r="AU73" s="64" t="s" ph="1">
        <v>253</v>
      </c>
      <c r="AV73" s="64" t="s" ph="1">
        <v>251</v>
      </c>
      <c r="AW73" s="64" t="s" ph="1">
        <v>252</v>
      </c>
      <c r="AX73" s="64" t="s" ph="1">
        <v>253</v>
      </c>
      <c r="AY73" s="64" t="s" ph="1">
        <v>252</v>
      </c>
      <c r="AZ73" s="64" t="s" ph="1">
        <v>254</v>
      </c>
    </row>
    <row r="74" spans="33:52" ph="1">
      <c r="AH74" s="64" ph="1">
        <v>1</v>
      </c>
      <c r="AI74" s="64" t="s" ph="1">
        <v>438</v>
      </c>
      <c r="AJ74" s="64" t="s" ph="1">
        <v>283</v>
      </c>
      <c r="AK74" s="64" t="s" ph="1">
        <v>265</v>
      </c>
      <c r="AM74" s="64" t="s" ph="1">
        <v>285</v>
      </c>
      <c r="AN74" s="64" t="s" ph="1">
        <v>295</v>
      </c>
      <c r="AO74" s="64" t="s" ph="1">
        <v>284</v>
      </c>
      <c r="AP74" s="64" t="s" ph="1">
        <v>286</v>
      </c>
      <c r="AQ74" s="64" t="s" ph="1">
        <v>263</v>
      </c>
      <c r="AR74" s="64" t="s" ph="1">
        <v>284</v>
      </c>
      <c r="AS74" s="64" t="s" ph="1">
        <v>256</v>
      </c>
      <c r="AT74" s="64" t="s" ph="1">
        <v>258</v>
      </c>
      <c r="AV74" s="64" t="s" ph="1">
        <v>439</v>
      </c>
      <c r="AW74" s="64" t="s" ph="1">
        <v>440</v>
      </c>
      <c r="AX74" s="64" t="s" ph="1">
        <v>441</v>
      </c>
      <c r="AY74" s="64" t="s" ph="1">
        <v>257</v>
      </c>
      <c r="AZ74" s="64" t="s" ph="1">
        <v>442</v>
      </c>
    </row>
    <row r="75" spans="33:52" ph="1">
      <c r="AJ75" s="64" t="s" ph="1">
        <v>288</v>
      </c>
      <c r="AK75" s="64" t="s" ph="1">
        <v>341</v>
      </c>
      <c r="AM75" s="64" t="s" ph="1">
        <v>286</v>
      </c>
      <c r="AN75" s="64" t="s" ph="1">
        <v>266</v>
      </c>
      <c r="AO75" s="64" t="s" ph="1">
        <v>284</v>
      </c>
      <c r="AS75" s="64" t="s" ph="1">
        <v>256</v>
      </c>
      <c r="AT75" s="64" t="s" ph="1">
        <v>287</v>
      </c>
    </row>
    <row r="76" spans="33:52" ph="1">
      <c r="AJ76" s="64" t="s" ph="1">
        <v>288</v>
      </c>
      <c r="AK76" s="64" t="s" ph="1">
        <v>281</v>
      </c>
      <c r="AM76" s="64" t="s" ph="1">
        <v>286</v>
      </c>
      <c r="AN76" s="64" t="s" ph="1">
        <v>269</v>
      </c>
      <c r="AO76" s="64" t="s" ph="1">
        <v>284</v>
      </c>
      <c r="AS76" s="64" t="s" ph="1">
        <v>256</v>
      </c>
      <c r="AT76" s="64" t="s" ph="1">
        <v>287</v>
      </c>
    </row>
    <row r="77" spans="33:52" ph="1">
      <c r="AJ77" s="64" t="s" ph="1">
        <v>324</v>
      </c>
      <c r="AK77" s="64" t="s" ph="1">
        <v>281</v>
      </c>
      <c r="AM77" s="64" t="s" ph="1">
        <v>325</v>
      </c>
      <c r="AN77" s="64" t="s" ph="1">
        <v>264</v>
      </c>
      <c r="AO77" s="64" t="s" ph="1">
        <v>284</v>
      </c>
      <c r="AS77" s="64" t="s" ph="1">
        <v>256</v>
      </c>
      <c r="AT77" s="64" t="s" ph="1">
        <v>326</v>
      </c>
    </row>
    <row r="78" spans="33:52" ph="1">
      <c r="AH78" s="64" ph="1">
        <v>2</v>
      </c>
      <c r="AI78" s="64" t="s" ph="1">
        <v>290</v>
      </c>
      <c r="AJ78" s="64" t="s" ph="1">
        <v>291</v>
      </c>
      <c r="AK78" s="64" t="s" ph="1">
        <v>260</v>
      </c>
      <c r="AM78" s="64" t="s" ph="1">
        <v>292</v>
      </c>
      <c r="AN78" s="64" t="s" ph="1">
        <v>295</v>
      </c>
      <c r="AO78" s="64" t="s" ph="1">
        <v>284</v>
      </c>
      <c r="AP78" s="64" t="s" ph="1">
        <v>293</v>
      </c>
      <c r="AQ78" s="64" t="s" ph="1">
        <v>339</v>
      </c>
      <c r="AR78" s="64" t="s" ph="1">
        <v>284</v>
      </c>
      <c r="AS78" s="64" t="s" ph="1">
        <v>294</v>
      </c>
      <c r="AT78" s="64" t="s" ph="1">
        <v>295</v>
      </c>
      <c r="AU78" s="64" t="s" ph="1">
        <v>284</v>
      </c>
      <c r="AV78" s="64" t="s" ph="1">
        <v>296</v>
      </c>
      <c r="AW78" s="64" t="s" ph="1">
        <v>284</v>
      </c>
      <c r="AY78" s="64" t="s" ph="1">
        <v>257</v>
      </c>
      <c r="AZ78" s="64" t="s" ph="1">
        <v>443</v>
      </c>
    </row>
    <row r="79" spans="33:52" ph="1">
      <c r="AJ79" s="64" t="s" ph="1">
        <v>286</v>
      </c>
      <c r="AK79" s="64" t="s" ph="1">
        <v>297</v>
      </c>
      <c r="AM79" s="64" t="s" ph="1">
        <v>298</v>
      </c>
      <c r="AN79" s="64" t="s" ph="1">
        <v>266</v>
      </c>
      <c r="AO79" s="64" t="s" ph="1">
        <v>284</v>
      </c>
      <c r="AP79" s="64" t="s" ph="1">
        <v>299</v>
      </c>
      <c r="AQ79" s="64" t="s" ph="1">
        <v>264</v>
      </c>
      <c r="AR79" s="64" t="s" ph="1">
        <v>300</v>
      </c>
      <c r="AS79" s="64" t="s" ph="1">
        <v>256</v>
      </c>
      <c r="AT79" s="64" t="s" ph="1">
        <v>301</v>
      </c>
      <c r="AV79" s="64" t="s" ph="1">
        <v>444</v>
      </c>
      <c r="AW79" s="64" t="s" ph="1">
        <v>343</v>
      </c>
      <c r="AX79" s="64" t="s" ph="1">
        <v>441</v>
      </c>
    </row>
    <row r="80" spans="33:52" ph="1">
      <c r="AH80" s="64" ph="1">
        <v>3</v>
      </c>
      <c r="AI80" s="64" t="s" ph="1">
        <v>302</v>
      </c>
      <c r="AJ80" s="64" t="s" ph="1">
        <v>303</v>
      </c>
      <c r="AK80" s="64" t="s" ph="1">
        <v>304</v>
      </c>
      <c r="AM80" s="64" t="s" ph="1">
        <v>305</v>
      </c>
      <c r="AN80" s="64" t="s" ph="1">
        <v>295</v>
      </c>
      <c r="AO80" s="64" t="s" ph="1">
        <v>284</v>
      </c>
      <c r="AP80" s="64" t="s" ph="1">
        <v>306</v>
      </c>
      <c r="AQ80" s="64" t="s" ph="1">
        <v>269</v>
      </c>
      <c r="AR80" s="64" t="s" ph="1">
        <v>284</v>
      </c>
      <c r="AS80" s="64" t="s" ph="1">
        <v>307</v>
      </c>
      <c r="AT80" s="64" t="s" ph="1">
        <v>268</v>
      </c>
      <c r="AU80" s="64" t="s" ph="1">
        <v>284</v>
      </c>
      <c r="AV80" s="64" t="s" ph="1">
        <v>308</v>
      </c>
      <c r="AW80" s="64" t="s" ph="1">
        <v>284</v>
      </c>
      <c r="AY80" s="64" t="s" ph="1">
        <v>257</v>
      </c>
      <c r="AZ80" s="64" t="s" ph="1">
        <v>445</v>
      </c>
    </row>
    <row r="81" spans="34:52" ph="1">
      <c r="AJ81" s="64" t="s" ph="1">
        <v>309</v>
      </c>
      <c r="AK81" s="64" t="s" ph="1">
        <v>263</v>
      </c>
      <c r="AM81" s="64" t="s" ph="1">
        <v>310</v>
      </c>
      <c r="AN81" s="64" t="s" ph="1">
        <v>266</v>
      </c>
      <c r="AO81" s="64" t="s" ph="1">
        <v>284</v>
      </c>
      <c r="AP81" s="64" t="s" ph="1">
        <v>311</v>
      </c>
      <c r="AQ81" s="64" t="s" ph="1">
        <v>295</v>
      </c>
      <c r="AR81" s="64" t="s" ph="1">
        <v>284</v>
      </c>
      <c r="AS81" s="64" t="s" ph="1">
        <v>312</v>
      </c>
      <c r="AT81" s="64" t="s" ph="1">
        <v>313</v>
      </c>
      <c r="AU81" s="64" t="s" ph="1">
        <v>284</v>
      </c>
      <c r="AV81" s="64" t="s" ph="1">
        <v>314</v>
      </c>
    </row>
    <row r="82" spans="34:52" ph="1">
      <c r="AJ82" s="64" t="s" ph="1">
        <v>315</v>
      </c>
      <c r="AK82" s="64" t="s" ph="1">
        <v>263</v>
      </c>
      <c r="AM82" s="64" t="s" ph="1">
        <v>316</v>
      </c>
      <c r="AN82" s="64" t="s" ph="1">
        <v>313</v>
      </c>
      <c r="AO82" s="64" t="s" ph="1">
        <v>317</v>
      </c>
      <c r="AP82" s="64" t="s" ph="1">
        <v>318</v>
      </c>
      <c r="AQ82" s="64" t="s" ph="1">
        <v>295</v>
      </c>
      <c r="AR82" s="64" t="s" ph="1">
        <v>284</v>
      </c>
      <c r="AS82" s="64" t="s" ph="1">
        <v>319</v>
      </c>
      <c r="AT82" s="64" t="s" ph="1">
        <v>270</v>
      </c>
      <c r="AU82" s="64" t="s" ph="1">
        <v>284</v>
      </c>
      <c r="AV82" s="64" t="s" ph="1">
        <v>444</v>
      </c>
      <c r="AW82" s="64" t="s" ph="1">
        <v>344</v>
      </c>
      <c r="AX82" s="64" t="s" ph="1">
        <v>441</v>
      </c>
    </row>
    <row r="83" spans="34:52" ph="1">
      <c r="AJ83" s="64" t="s" ph="1">
        <v>320</v>
      </c>
      <c r="AK83" s="64" t="s" ph="1">
        <v>337</v>
      </c>
      <c r="AM83" s="64" t="s" ph="1">
        <v>321</v>
      </c>
      <c r="AN83" s="64" t="s" ph="1">
        <v>269</v>
      </c>
      <c r="AO83" s="64" t="s" ph="1">
        <v>300</v>
      </c>
      <c r="AP83" s="64" t="s" ph="1">
        <v>322</v>
      </c>
      <c r="AQ83" s="64" t="s" ph="1">
        <v>323</v>
      </c>
      <c r="AR83" s="64" t="s" ph="1">
        <v>300</v>
      </c>
      <c r="AS83" s="64" t="s" ph="1">
        <v>446</v>
      </c>
      <c r="AT83" s="64" t="s" ph="1">
        <v>295</v>
      </c>
      <c r="AU83" s="64" t="s" ph="1">
        <v>300</v>
      </c>
      <c r="AV83" s="64" t="s" ph="1">
        <v>447</v>
      </c>
      <c r="AW83" s="64" t="s" ph="1">
        <v>344</v>
      </c>
      <c r="AX83" s="64" t="s" ph="1">
        <v>448</v>
      </c>
    </row>
    <row r="84" spans="34:52" ph="1">
      <c r="AH84" s="64" ph="1">
        <v>4</v>
      </c>
      <c r="AI84" s="64" t="s" ph="1">
        <v>327</v>
      </c>
      <c r="AJ84" s="64" t="s" ph="1">
        <v>267</v>
      </c>
      <c r="AK84" s="64" t="s" ph="1">
        <v>270</v>
      </c>
      <c r="AM84" s="64" t="s" ph="1">
        <v>271</v>
      </c>
      <c r="AN84" s="64" t="s" ph="1">
        <v>264</v>
      </c>
      <c r="AO84" s="64" t="s" ph="1">
        <v>300</v>
      </c>
      <c r="AP84" s="64" t="s" ph="1">
        <v>329</v>
      </c>
      <c r="AQ84" s="64" t="s" ph="1">
        <v>263</v>
      </c>
      <c r="AR84" s="64" t="s" ph="1">
        <v>300</v>
      </c>
      <c r="AS84" s="64" t="s" ph="1">
        <v>329</v>
      </c>
      <c r="AT84" s="64" t="s" ph="1">
        <v>265</v>
      </c>
      <c r="AU84" s="64" t="s" ph="1">
        <v>300</v>
      </c>
      <c r="AY84" s="64" t="s" ph="1">
        <v>257</v>
      </c>
      <c r="AZ84" s="64" t="s" ph="1">
        <v>449</v>
      </c>
    </row>
    <row r="85" spans="34:52" ph="1">
      <c r="AJ85" s="64" t="s" ph="1">
        <v>259</v>
      </c>
      <c r="AK85" s="64" t="s" ph="1">
        <v>263</v>
      </c>
      <c r="AM85" s="64" t="s" ph="1">
        <v>450</v>
      </c>
      <c r="AN85" s="64" t="s" ph="1">
        <v>270</v>
      </c>
      <c r="AO85" s="64" t="s" ph="1">
        <v>300</v>
      </c>
      <c r="AP85" s="64" t="s" ph="1">
        <v>451</v>
      </c>
      <c r="AQ85" s="64" t="s" ph="1">
        <v>266</v>
      </c>
      <c r="AR85" s="64" t="s" ph="1">
        <v>300</v>
      </c>
      <c r="AS85" s="64" t="s" ph="1">
        <v>452</v>
      </c>
      <c r="AT85" s="64" t="s" ph="1">
        <v>266</v>
      </c>
      <c r="AU85" s="64" t="s" ph="1">
        <v>300</v>
      </c>
    </row>
    <row r="86" spans="34:52" ph="1">
      <c r="AJ86" s="64" t="s" ph="1">
        <v>453</v>
      </c>
      <c r="AK86" s="64" t="s" ph="1">
        <v>272</v>
      </c>
      <c r="AM86" s="64" t="s" ph="1">
        <v>454</v>
      </c>
      <c r="AN86" s="64" t="s" ph="1">
        <v>313</v>
      </c>
      <c r="AO86" s="64" t="s" ph="1">
        <v>300</v>
      </c>
      <c r="AP86" s="64" t="s" ph="1">
        <v>455</v>
      </c>
      <c r="AQ86" s="64" t="s" ph="1">
        <v>260</v>
      </c>
      <c r="AR86" s="64" t="s" ph="1">
        <v>300</v>
      </c>
      <c r="AS86" s="64" t="s" ph="1">
        <v>456</v>
      </c>
      <c r="AT86" s="64" t="s" ph="1">
        <v>278</v>
      </c>
      <c r="AU86" s="64" t="s" ph="1">
        <v>300</v>
      </c>
    </row>
    <row r="87" spans="34:52" ph="1">
      <c r="AJ87" s="64" t="s" ph="1">
        <v>457</v>
      </c>
      <c r="AK87" s="64" t="s" ph="1">
        <v>313</v>
      </c>
      <c r="AM87" s="64" t="s" ph="1">
        <v>444</v>
      </c>
      <c r="AN87" s="64" t="s" ph="1">
        <v>458</v>
      </c>
      <c r="AO87" s="64" t="s" ph="1">
        <v>441</v>
      </c>
    </row>
    <row r="88" spans="34:52" ph="1">
      <c r="AH88" s="64" ph="1">
        <v>5</v>
      </c>
      <c r="AI88" s="64" t="s" ph="1">
        <v>330</v>
      </c>
      <c r="AJ88" s="64" t="s" ph="1">
        <v>459</v>
      </c>
      <c r="AK88" s="64" t="s" ph="1">
        <v>313</v>
      </c>
      <c r="AM88" s="64" t="s" ph="1">
        <v>460</v>
      </c>
      <c r="AN88" s="64" t="s" ph="1">
        <v>313</v>
      </c>
      <c r="AO88" s="64" t="s" ph="1">
        <v>300</v>
      </c>
      <c r="AP88" s="64" t="s" ph="1">
        <v>461</v>
      </c>
      <c r="AQ88" s="64" t="s" ph="1">
        <v>263</v>
      </c>
      <c r="AR88" s="64" t="s" ph="1">
        <v>300</v>
      </c>
      <c r="AS88" s="64" t="s" ph="1">
        <v>462</v>
      </c>
      <c r="AT88" s="64" t="s" ph="1">
        <v>313</v>
      </c>
      <c r="AU88" s="64" t="s" ph="1">
        <v>300</v>
      </c>
      <c r="AV88" s="64" t="s" ph="1">
        <v>463</v>
      </c>
      <c r="AW88" s="64" t="s" ph="1">
        <v>268</v>
      </c>
      <c r="AX88" s="64" t="s" ph="1">
        <v>300</v>
      </c>
      <c r="AY88" s="64" t="s" ph="1">
        <v>257</v>
      </c>
      <c r="AZ88" s="64" t="s" ph="1">
        <v>464</v>
      </c>
    </row>
    <row r="89" spans="34:52" ph="1">
      <c r="AJ89" s="64" t="s" ph="1">
        <v>465</v>
      </c>
      <c r="AK89" s="64" t="s" ph="1">
        <v>266</v>
      </c>
      <c r="AM89" s="64" t="s" ph="1">
        <v>466</v>
      </c>
      <c r="AN89" s="64" t="s" ph="1">
        <v>269</v>
      </c>
      <c r="AO89" s="64" t="s" ph="1">
        <v>300</v>
      </c>
      <c r="AP89" s="64" t="s" ph="1">
        <v>467</v>
      </c>
      <c r="AQ89" s="64" t="s" ph="1">
        <v>278</v>
      </c>
      <c r="AR89" s="64" t="s" ph="1">
        <v>300</v>
      </c>
      <c r="AS89" s="64" t="s" ph="1">
        <v>468</v>
      </c>
      <c r="AT89" s="64" t="s" ph="1">
        <v>313</v>
      </c>
      <c r="AU89" s="64" t="s" ph="1">
        <v>300</v>
      </c>
      <c r="AV89" s="64" t="s" ph="1">
        <v>469</v>
      </c>
      <c r="AW89" s="64" t="s" ph="1">
        <v>295</v>
      </c>
      <c r="AX89" s="64" t="s" ph="1">
        <v>328</v>
      </c>
    </row>
    <row r="90" spans="34:52" ph="1">
      <c r="AJ90" s="64" t="s" ph="1">
        <v>470</v>
      </c>
      <c r="AK90" s="64" t="s" ph="1">
        <v>269</v>
      </c>
      <c r="AM90" s="64" t="s" ph="1">
        <v>471</v>
      </c>
      <c r="AN90" s="64" t="s" ph="1">
        <v>266</v>
      </c>
      <c r="AO90" s="64" t="s" ph="1">
        <v>300</v>
      </c>
      <c r="AP90" s="64" t="s" ph="1">
        <v>472</v>
      </c>
      <c r="AQ90" s="64" t="s" ph="1">
        <v>335</v>
      </c>
      <c r="AR90" s="64" t="s" ph="1">
        <v>300</v>
      </c>
      <c r="AS90" s="64" t="s" ph="1">
        <v>473</v>
      </c>
      <c r="AT90" s="64" t="s" ph="1">
        <v>323</v>
      </c>
      <c r="AU90" s="64" t="s" ph="1">
        <v>300</v>
      </c>
      <c r="AV90" s="64" t="s" ph="1">
        <v>474</v>
      </c>
      <c r="AW90" s="64" t="s" ph="1">
        <v>260</v>
      </c>
      <c r="AX90" s="64" t="s" ph="1">
        <v>300</v>
      </c>
    </row>
    <row r="91" spans="34:52" ph="1">
      <c r="AJ91" s="64" t="s" ph="1">
        <v>475</v>
      </c>
      <c r="AK91" s="64" t="s" ph="1">
        <v>313</v>
      </c>
      <c r="AM91" s="64" t="s" ph="1">
        <v>476</v>
      </c>
      <c r="AN91" s="64" t="s" ph="1">
        <v>280</v>
      </c>
      <c r="AO91" s="64" t="s" ph="1">
        <v>300</v>
      </c>
      <c r="AP91" s="64" t="s" ph="1">
        <v>477</v>
      </c>
      <c r="AQ91" s="64" t="s" ph="1">
        <v>260</v>
      </c>
      <c r="AS91" s="64" t="s" ph="1">
        <v>444</v>
      </c>
      <c r="AT91" s="64" t="s" ph="1">
        <v>440</v>
      </c>
      <c r="AU91" s="64" t="s" ph="1">
        <v>441</v>
      </c>
    </row>
    <row r="92" spans="34:52" ph="1">
      <c r="AH92" s="64" ph="1">
        <v>6</v>
      </c>
      <c r="AI92" s="64" t="s" ph="1">
        <v>478</v>
      </c>
      <c r="AJ92" s="64" t="s" ph="1">
        <v>479</v>
      </c>
      <c r="AK92" s="64" t="s" ph="1">
        <v>408</v>
      </c>
      <c r="AM92" s="64" t="s" ph="1">
        <v>480</v>
      </c>
      <c r="AN92" s="64" t="s" ph="1">
        <v>268</v>
      </c>
      <c r="AO92" s="64" t="s" ph="1">
        <v>300</v>
      </c>
      <c r="AP92" s="64" t="s" ph="1">
        <v>481</v>
      </c>
      <c r="AQ92" s="64" t="s" ph="1">
        <v>340</v>
      </c>
      <c r="AR92" s="64" t="s" ph="1">
        <v>300</v>
      </c>
      <c r="AS92" s="64" t="s" ph="1">
        <v>482</v>
      </c>
      <c r="AT92" s="64" t="s" ph="1">
        <v>313</v>
      </c>
      <c r="AU92" s="64" t="s" ph="1">
        <v>300</v>
      </c>
      <c r="AV92" s="64" t="s" ph="1">
        <v>483</v>
      </c>
      <c r="AW92" s="64" t="s" ph="1">
        <v>269</v>
      </c>
      <c r="AX92" s="64" t="s" ph="1">
        <v>300</v>
      </c>
      <c r="AY92" s="64" t="s" ph="1">
        <v>257</v>
      </c>
      <c r="AZ92" s="64" t="s" ph="1">
        <v>464</v>
      </c>
    </row>
    <row r="93" spans="34:52" ph="1">
      <c r="AJ93" s="64" t="s" ph="1">
        <v>484</v>
      </c>
      <c r="AK93" s="64" t="s" ph="1">
        <v>263</v>
      </c>
      <c r="AM93" s="64" t="s" ph="1">
        <v>485</v>
      </c>
      <c r="AN93" s="64" t="s" ph="1">
        <v>268</v>
      </c>
      <c r="AO93" s="64" t="s" ph="1">
        <v>300</v>
      </c>
      <c r="AP93" s="64" t="s" ph="1">
        <v>486</v>
      </c>
      <c r="AQ93" s="64" t="s" ph="1">
        <v>272</v>
      </c>
      <c r="AR93" s="64" t="s" ph="1">
        <v>300</v>
      </c>
      <c r="AS93" s="64" t="s" ph="1">
        <v>487</v>
      </c>
      <c r="AT93" s="64" t="s" ph="1">
        <v>278</v>
      </c>
      <c r="AU93" s="64" t="s" ph="1">
        <v>300</v>
      </c>
      <c r="AV93" s="64" t="s" ph="1">
        <v>488</v>
      </c>
      <c r="AW93" s="64" t="s" ph="1">
        <v>272</v>
      </c>
      <c r="AX93" s="64" t="s" ph="1">
        <v>300</v>
      </c>
    </row>
    <row r="94" spans="34:52" ph="1">
      <c r="AJ94" s="64" t="s" ph="1">
        <v>489</v>
      </c>
      <c r="AK94" s="64" t="s" ph="1">
        <v>335</v>
      </c>
      <c r="AM94" s="64" t="s" ph="1">
        <v>490</v>
      </c>
      <c r="AN94" s="64" t="s" ph="1">
        <v>272</v>
      </c>
      <c r="AO94" s="64" t="s" ph="1">
        <v>300</v>
      </c>
      <c r="AP94" s="64" t="s" ph="1">
        <v>491</v>
      </c>
      <c r="AQ94" s="64" t="s" ph="1">
        <v>280</v>
      </c>
      <c r="AR94" s="64" t="s" ph="1">
        <v>300</v>
      </c>
      <c r="AS94" s="64" t="s" ph="1">
        <v>492</v>
      </c>
      <c r="AT94" s="64" t="s" ph="1">
        <v>266</v>
      </c>
      <c r="AU94" s="64" t="s" ph="1">
        <v>300</v>
      </c>
      <c r="AV94" s="64" t="s" ph="1">
        <v>493</v>
      </c>
      <c r="AW94" s="64" t="s" ph="1">
        <v>266</v>
      </c>
      <c r="AX94" s="64" t="s" ph="1">
        <v>300</v>
      </c>
    </row>
    <row r="95" spans="34:52" ph="1">
      <c r="AJ95" s="64" t="s" ph="1">
        <v>494</v>
      </c>
      <c r="AK95" s="64" t="s" ph="1">
        <v>340</v>
      </c>
    </row>
    <row r="96" spans="34:52" ph="1">
      <c r="AH96" s="64" ph="1">
        <v>7</v>
      </c>
      <c r="AI96" s="64" t="s" ph="1">
        <v>495</v>
      </c>
      <c r="AJ96" s="64" t="s" ph="1">
        <v>494</v>
      </c>
      <c r="AK96" s="64" t="s" ph="1">
        <v>295</v>
      </c>
      <c r="AM96" s="64" t="s" ph="1">
        <v>496</v>
      </c>
      <c r="AN96" s="64" t="s" ph="1">
        <v>269</v>
      </c>
      <c r="AO96" s="64" t="s" ph="1">
        <v>300</v>
      </c>
      <c r="AP96" s="64" t="s" ph="1">
        <v>497</v>
      </c>
      <c r="AQ96" s="64" t="s" ph="1">
        <v>313</v>
      </c>
      <c r="AR96" s="64" t="s" ph="1">
        <v>328</v>
      </c>
      <c r="AS96" s="64" t="s" ph="1">
        <v>498</v>
      </c>
      <c r="AT96" s="64" t="s" ph="1">
        <v>272</v>
      </c>
      <c r="AU96" s="64" t="s" ph="1">
        <v>328</v>
      </c>
      <c r="AV96" s="64" t="s" ph="1">
        <v>499</v>
      </c>
      <c r="AW96" s="64" t="s" ph="1">
        <v>268</v>
      </c>
      <c r="AX96" s="64" t="s" ph="1">
        <v>328</v>
      </c>
      <c r="AY96" s="64" t="s" ph="1">
        <v>257</v>
      </c>
      <c r="AZ96" s="64" t="s" ph="1">
        <v>500</v>
      </c>
    </row>
    <row r="97" spans="33:52" ph="1">
      <c r="AJ97" s="64" t="s" ph="1">
        <v>501</v>
      </c>
      <c r="AK97" s="64" t="s" ph="1">
        <v>323</v>
      </c>
      <c r="AM97" s="64" t="s" ph="1">
        <v>502</v>
      </c>
      <c r="AN97" s="64" t="s" ph="1">
        <v>266</v>
      </c>
      <c r="AO97" s="64" t="s" ph="1">
        <v>300</v>
      </c>
      <c r="AP97" s="64" t="s" ph="1">
        <v>503</v>
      </c>
      <c r="AQ97" s="64" t="s" ph="1">
        <v>260</v>
      </c>
      <c r="AR97" s="64" t="s" ph="1">
        <v>328</v>
      </c>
      <c r="AS97" s="64" t="s" ph="1">
        <v>504</v>
      </c>
      <c r="AT97" s="64" t="s" ph="1">
        <v>263</v>
      </c>
      <c r="AU97" s="64" t="s" ph="1">
        <v>328</v>
      </c>
      <c r="AV97" s="64" t="s" ph="1">
        <v>505</v>
      </c>
      <c r="AW97" s="64" t="s" ph="1">
        <v>269</v>
      </c>
      <c r="AX97" s="64" t="s" ph="1">
        <v>328</v>
      </c>
    </row>
    <row r="98" spans="33:52" ph="1">
      <c r="AJ98" s="64" t="s" ph="1">
        <v>506</v>
      </c>
      <c r="AK98" s="64" t="s" ph="1">
        <v>272</v>
      </c>
      <c r="AM98" s="64" t="s" ph="1">
        <v>507</v>
      </c>
      <c r="AN98" s="64" t="s" ph="1">
        <v>280</v>
      </c>
      <c r="AO98" s="64" t="s" ph="1">
        <v>300</v>
      </c>
      <c r="AP98" s="64" t="s" ph="1">
        <v>508</v>
      </c>
      <c r="AQ98" s="64" t="s" ph="1">
        <v>260</v>
      </c>
      <c r="AR98" s="64" t="s" ph="1">
        <v>328</v>
      </c>
      <c r="AS98" s="64" t="s" ph="1">
        <v>509</v>
      </c>
      <c r="AT98" s="64" t="s" ph="1">
        <v>340</v>
      </c>
      <c r="AU98" s="64" t="s" ph="1">
        <v>328</v>
      </c>
      <c r="AV98" s="64" t="s" ph="1">
        <v>510</v>
      </c>
      <c r="AW98" s="64" t="s" ph="1">
        <v>263</v>
      </c>
      <c r="AX98" s="64" t="s" ph="1">
        <v>328</v>
      </c>
    </row>
    <row r="99" spans="33:52" ph="1">
      <c r="AH99" s="64" ph="1">
        <v>8</v>
      </c>
      <c r="AI99" s="64" t="s" ph="1">
        <v>511</v>
      </c>
      <c r="AJ99" s="64" t="s" ph="1">
        <v>512</v>
      </c>
      <c r="AK99" s="64" t="s" ph="1">
        <v>408</v>
      </c>
      <c r="AM99" s="64" t="s" ph="1">
        <v>513</v>
      </c>
      <c r="AN99" s="64" t="s" ph="1">
        <v>295</v>
      </c>
      <c r="AO99" s="64" t="s" ph="1">
        <v>300</v>
      </c>
      <c r="AP99" s="64" t="s" ph="1">
        <v>514</v>
      </c>
      <c r="AQ99" s="64" t="s" ph="1">
        <v>265</v>
      </c>
      <c r="AR99" s="64" t="s" ph="1">
        <v>328</v>
      </c>
      <c r="AS99" s="64" t="s" ph="1">
        <v>515</v>
      </c>
      <c r="AT99" s="64" t="s" ph="1">
        <v>280</v>
      </c>
      <c r="AU99" s="64" t="s" ph="1">
        <v>328</v>
      </c>
      <c r="AV99" s="64" t="s" ph="1">
        <v>516</v>
      </c>
      <c r="AW99" s="64" t="s" ph="1">
        <v>265</v>
      </c>
      <c r="AX99" s="64" t="s" ph="1">
        <v>328</v>
      </c>
      <c r="AY99" s="64" t="s" ph="1">
        <v>257</v>
      </c>
      <c r="AZ99" s="64" t="s" ph="1">
        <v>517</v>
      </c>
    </row>
    <row r="100" spans="33:52" ph="1">
      <c r="AJ100" s="64" t="s" ph="1">
        <v>518</v>
      </c>
      <c r="AK100" s="64" t="s" ph="1">
        <v>263</v>
      </c>
      <c r="AM100" s="64" t="s" ph="1">
        <v>519</v>
      </c>
      <c r="AN100" s="64" t="s" ph="1">
        <v>335</v>
      </c>
      <c r="AO100" s="64" t="s" ph="1">
        <v>300</v>
      </c>
      <c r="AP100" s="64" t="s" ph="1">
        <v>520</v>
      </c>
      <c r="AQ100" s="64" t="s" ph="1">
        <v>341</v>
      </c>
      <c r="AR100" s="64" t="s" ph="1">
        <v>328</v>
      </c>
      <c r="AS100" s="64" t="s" ph="1">
        <v>521</v>
      </c>
      <c r="AT100" s="64" t="s" ph="1">
        <v>408</v>
      </c>
      <c r="AU100" s="64" t="s" ph="1">
        <v>300</v>
      </c>
      <c r="AV100" s="64" t="s" ph="1">
        <v>522</v>
      </c>
      <c r="AW100" s="64" t="s" ph="1">
        <v>408</v>
      </c>
      <c r="AX100" s="64" t="s" ph="1">
        <v>300</v>
      </c>
    </row>
    <row r="101" spans="33:52" ph="1">
      <c r="AJ101" s="64" t="s" ph="1">
        <v>523</v>
      </c>
      <c r="AK101" s="64" t="s" ph="1">
        <v>408</v>
      </c>
      <c r="AM101" s="64" t="s" ph="1">
        <v>524</v>
      </c>
      <c r="AN101" s="64" t="s" ph="1">
        <v>266</v>
      </c>
      <c r="AO101" s="64" t="s" ph="1">
        <v>300</v>
      </c>
      <c r="AP101" s="64" t="s" ph="1">
        <v>525</v>
      </c>
      <c r="AQ101" s="64" t="s" ph="1">
        <v>278</v>
      </c>
      <c r="AR101" s="64" t="s" ph="1">
        <v>328</v>
      </c>
      <c r="AS101" s="64" t="s" ph="1">
        <v>526</v>
      </c>
      <c r="AT101" s="64" t="s" ph="1">
        <v>335</v>
      </c>
      <c r="AU101" s="64" t="s" ph="1">
        <v>328</v>
      </c>
      <c r="AV101" s="64" t="s" ph="1">
        <v>527</v>
      </c>
      <c r="AW101" s="64" t="s" ph="1">
        <v>266</v>
      </c>
      <c r="AX101" s="64" t="s" ph="1">
        <v>300</v>
      </c>
    </row>
    <row r="102" spans="33:52" ph="1">
      <c r="AJ102" s="64" t="s" ph="1">
        <v>528</v>
      </c>
      <c r="AK102" s="64" t="s" ph="1">
        <v>263</v>
      </c>
      <c r="AM102" s="64" t="s" ph="1">
        <v>529</v>
      </c>
      <c r="AN102" s="64" t="s" ph="1">
        <v>272</v>
      </c>
      <c r="AO102" s="64" t="s" ph="1">
        <v>300</v>
      </c>
      <c r="AP102" s="64" t="s" ph="1">
        <v>530</v>
      </c>
      <c r="AQ102" s="64" t="s" ph="1">
        <v>278</v>
      </c>
      <c r="AR102" s="64" t="s" ph="1">
        <v>300</v>
      </c>
      <c r="AS102" s="64" t="s" ph="1">
        <v>531</v>
      </c>
      <c r="AT102" s="64" t="s" ph="1">
        <v>295</v>
      </c>
      <c r="AU102" s="64" t="s" ph="1">
        <v>300</v>
      </c>
      <c r="AV102" s="64" t="s" ph="1">
        <v>532</v>
      </c>
      <c r="AW102" s="64" t="s" ph="1">
        <v>313</v>
      </c>
      <c r="AX102" s="64" t="s" ph="1">
        <v>300</v>
      </c>
    </row>
    <row r="103" spans="33:52" ph="1">
      <c r="AH103" s="64" ph="1">
        <v>9</v>
      </c>
      <c r="AI103" s="64" t="s" ph="1">
        <v>533</v>
      </c>
      <c r="AJ103" s="64" t="s" ph="1">
        <v>534</v>
      </c>
      <c r="AK103" s="64" t="s" ph="1">
        <v>408</v>
      </c>
      <c r="AM103" s="64" t="s" ph="1">
        <v>535</v>
      </c>
      <c r="AN103" s="64" t="s" ph="1">
        <v>323</v>
      </c>
      <c r="AO103" s="64" t="s" ph="1">
        <v>300</v>
      </c>
      <c r="AP103" s="64" t="s" ph="1">
        <v>377</v>
      </c>
      <c r="AQ103" s="64" t="s" ph="1">
        <v>266</v>
      </c>
      <c r="AR103" s="64" t="s" ph="1">
        <v>300</v>
      </c>
      <c r="AS103" s="64" t="s" ph="1">
        <v>611</v>
      </c>
      <c r="AT103" s="64" t="s" ph="1">
        <v>408</v>
      </c>
      <c r="AU103" s="64" t="s" ph="1">
        <v>300</v>
      </c>
      <c r="AY103" s="64" t="s" ph="1">
        <v>257</v>
      </c>
      <c r="AZ103" s="64" t="s" ph="1">
        <v>265</v>
      </c>
    </row>
    <row r="104" spans="33:52" ph="1">
      <c r="AZ104" s="64" t="s" ph="1">
        <v>536</v>
      </c>
    </row>
    <row r="105" spans="33:52" ph="1">
      <c r="AG105" s="64" t="s" ph="1">
        <v>336</v>
      </c>
      <c r="AI105" s="64" t="s" ph="1">
        <v>250</v>
      </c>
      <c r="AJ105" s="64" t="s" ph="1">
        <v>251</v>
      </c>
      <c r="AK105" s="64" t="s" ph="1">
        <v>252</v>
      </c>
      <c r="AM105" s="64" t="s" ph="1">
        <v>251</v>
      </c>
      <c r="AN105" s="64" t="s" ph="1">
        <v>252</v>
      </c>
      <c r="AO105" s="64" t="s" ph="1">
        <v>253</v>
      </c>
      <c r="AP105" s="64" t="s" ph="1">
        <v>251</v>
      </c>
      <c r="AQ105" s="64" t="s" ph="1">
        <v>252</v>
      </c>
      <c r="AR105" s="64" t="s" ph="1">
        <v>253</v>
      </c>
      <c r="AS105" s="64" t="s" ph="1">
        <v>251</v>
      </c>
      <c r="AT105" s="64" t="s" ph="1">
        <v>252</v>
      </c>
      <c r="AU105" s="64" t="s" ph="1">
        <v>253</v>
      </c>
      <c r="AV105" s="64" t="s" ph="1">
        <v>251</v>
      </c>
      <c r="AW105" s="64" t="s" ph="1">
        <v>252</v>
      </c>
      <c r="AX105" s="64" t="s" ph="1">
        <v>253</v>
      </c>
      <c r="AZ105" s="64" t="s" ph="1">
        <v>254</v>
      </c>
    </row>
    <row r="106" spans="33:52" ph="1">
      <c r="AH106" s="64" ph="1">
        <v>1</v>
      </c>
      <c r="AI106" s="64" t="s" ph="1">
        <v>537</v>
      </c>
      <c r="AJ106" s="64" t="s" ph="1">
        <v>611</v>
      </c>
      <c r="AK106" s="64" t="s" ph="1">
        <v>272</v>
      </c>
      <c r="AZ106" s="64" t="s" ph="1">
        <v>272</v>
      </c>
    </row>
    <row r="107" spans="33:52" ph="1">
      <c r="AH107" s="64" ph="1">
        <v>2</v>
      </c>
      <c r="AI107" s="64" t="s" ph="1">
        <v>538</v>
      </c>
      <c r="AJ107" s="64" t="s" ph="1">
        <v>539</v>
      </c>
      <c r="AK107" s="64" t="s" ph="1">
        <v>269</v>
      </c>
      <c r="AM107" s="64" t="s" ph="1">
        <v>375</v>
      </c>
      <c r="AN107" s="64" t="s" ph="1">
        <v>540</v>
      </c>
      <c r="AO107" s="64" t="s" ph="1">
        <v>541</v>
      </c>
      <c r="AP107" s="64" t="s" ph="1">
        <v>377</v>
      </c>
      <c r="AQ107" s="64" t="s" ph="1">
        <v>345</v>
      </c>
      <c r="AR107" s="64" t="s" ph="1">
        <v>541</v>
      </c>
      <c r="AS107" s="64" t="s" ph="1">
        <v>611</v>
      </c>
      <c r="AT107" s="64" t="s" ph="1">
        <v>540</v>
      </c>
      <c r="AU107" s="64" t="s" ph="1">
        <v>541</v>
      </c>
      <c r="AY107" s="64" t="s" ph="1">
        <v>257</v>
      </c>
      <c r="AZ107" s="64" t="s" ph="1">
        <v>621</v>
      </c>
    </row>
    <row r="108" spans="33:52" ph="1">
      <c r="AH108" s="64" ph="1">
        <v>3</v>
      </c>
      <c r="AI108" s="64" t="s" ph="1">
        <v>542</v>
      </c>
      <c r="AY108" s="64" t="s" ph="1">
        <v>257</v>
      </c>
      <c r="AZ108" s="64" t="s" ph="1">
        <v>408</v>
      </c>
    </row>
    <row r="109" spans="33:52" ph="1">
      <c r="AH109" s="64" ph="1">
        <v>4</v>
      </c>
      <c r="AI109" s="64" t="s" ph="1">
        <v>543</v>
      </c>
      <c r="AY109" s="64" t="s" ph="1">
        <v>257</v>
      </c>
      <c r="AZ109" s="64" t="s" ph="1">
        <v>408</v>
      </c>
    </row>
    <row r="110" spans="33:52" ph="1">
      <c r="AH110" s="64" ph="1">
        <v>5</v>
      </c>
      <c r="AI110" s="64" t="s" ph="1">
        <v>544</v>
      </c>
      <c r="AY110" s="64" t="s" ph="1">
        <v>257</v>
      </c>
      <c r="AZ110" s="64" t="s" ph="1">
        <v>408</v>
      </c>
    </row>
    <row r="111" spans="33:52" ph="1">
      <c r="AH111" s="64" ph="1">
        <v>6</v>
      </c>
      <c r="AI111" s="64" t="s" ph="1">
        <v>622</v>
      </c>
      <c r="AJ111" s="64" t="s" ph="1">
        <v>527</v>
      </c>
      <c r="AK111" s="64" t="s" ph="1">
        <v>266</v>
      </c>
      <c r="AM111" s="64" t="s" ph="1">
        <v>528</v>
      </c>
      <c r="AN111" s="64" t="s" ph="1">
        <v>260</v>
      </c>
      <c r="AO111" s="64" t="s" ph="1">
        <v>541</v>
      </c>
      <c r="AP111" s="64" t="s" ph="1">
        <v>529</v>
      </c>
      <c r="AQ111" s="64" t="s" ph="1">
        <v>269</v>
      </c>
      <c r="AR111" s="64" t="s" ph="1">
        <v>541</v>
      </c>
      <c r="AS111" s="64" t="s" ph="1">
        <v>530</v>
      </c>
      <c r="AT111" s="64" t="s" ph="1">
        <v>278</v>
      </c>
      <c r="AU111" s="64" t="s" ph="1">
        <v>541</v>
      </c>
      <c r="AV111" s="64" t="s" ph="1">
        <v>531</v>
      </c>
      <c r="AW111" s="64" t="s" ph="1">
        <v>268</v>
      </c>
      <c r="AX111" s="64" t="s" ph="1">
        <v>541</v>
      </c>
      <c r="AY111" s="64" t="s" ph="1">
        <v>257</v>
      </c>
      <c r="AZ111" s="64" t="s" ph="1">
        <v>545</v>
      </c>
    </row>
    <row r="112" spans="33:52" ph="1">
      <c r="AJ112" s="64" t="s" ph="1">
        <v>532</v>
      </c>
      <c r="AK112" s="64" t="s" ph="1">
        <v>313</v>
      </c>
      <c r="AM112" s="64" t="s" ph="1">
        <v>534</v>
      </c>
      <c r="AN112" s="64" t="s" ph="1">
        <v>337</v>
      </c>
      <c r="AO112" s="64" t="s" ph="1">
        <v>541</v>
      </c>
      <c r="AP112" s="64" t="s" ph="1">
        <v>535</v>
      </c>
      <c r="AQ112" s="64" t="s" ph="1">
        <v>546</v>
      </c>
      <c r="AR112" s="64" t="s" ph="1">
        <v>541</v>
      </c>
      <c r="AS112" s="64" t="s" ph="1">
        <v>547</v>
      </c>
      <c r="AT112" s="64" t="s" ph="1">
        <v>289</v>
      </c>
      <c r="AU112" s="64" t="s" ph="1">
        <v>541</v>
      </c>
      <c r="AV112" s="64" t="s" ph="1">
        <v>548</v>
      </c>
      <c r="AW112" s="64" t="s" ph="1">
        <v>335</v>
      </c>
      <c r="AX112" s="64" t="s" ph="1">
        <v>541</v>
      </c>
    </row>
    <row r="113" spans="33:52" ph="1">
      <c r="AH113" s="64" ph="1">
        <v>7</v>
      </c>
      <c r="AI113" s="64" t="s" ph="1">
        <v>549</v>
      </c>
      <c r="AJ113" s="64" t="s" ph="1">
        <v>630</v>
      </c>
      <c r="AK113" s="64" t="s" ph="1">
        <v>635</v>
      </c>
      <c r="AY113" s="64" t="s" ph="1">
        <v>257</v>
      </c>
      <c r="AZ113" s="64" t="s" ph="1">
        <v>635</v>
      </c>
    </row>
    <row r="114" spans="33:52" ph="1">
      <c r="AH114" s="64" ph="1">
        <v>8</v>
      </c>
      <c r="AI114" s="64" t="s" ph="1">
        <v>550</v>
      </c>
      <c r="AJ114" s="64" t="s" ph="1">
        <v>630</v>
      </c>
      <c r="AK114" s="64" t="s" ph="1">
        <v>636</v>
      </c>
      <c r="AY114" s="64" t="s" ph="1">
        <v>257</v>
      </c>
      <c r="AZ114" s="64" t="s" ph="1">
        <v>636</v>
      </c>
    </row>
    <row r="115" spans="33:52" ph="1">
      <c r="AH115" s="64" ph="1">
        <v>9</v>
      </c>
      <c r="AI115" s="64" t="s" ph="1">
        <v>551</v>
      </c>
      <c r="AJ115" s="64" t="s" ph="1">
        <v>630</v>
      </c>
      <c r="AK115" s="64" t="s" ph="1">
        <v>636</v>
      </c>
      <c r="AY115" s="64" t="s" ph="1">
        <v>257</v>
      </c>
      <c r="AZ115" s="64" t="s" ph="1">
        <v>636</v>
      </c>
    </row>
    <row r="116" spans="33:52" ph="1">
      <c r="AH116" s="64" ph="1">
        <v>10</v>
      </c>
      <c r="AI116" s="64" t="s" ph="1">
        <v>552</v>
      </c>
      <c r="AJ116" s="64" t="s" ph="1">
        <v>630</v>
      </c>
      <c r="AK116" s="64" t="s" ph="1">
        <v>636</v>
      </c>
      <c r="AY116" s="64" t="s" ph="1">
        <v>257</v>
      </c>
      <c r="AZ116" s="64" t="s" ph="1">
        <v>636</v>
      </c>
    </row>
    <row r="117" spans="33:52" ph="1">
      <c r="AH117" s="64" ph="1">
        <v>11</v>
      </c>
      <c r="AI117" s="64" t="s" ph="1">
        <v>553</v>
      </c>
      <c r="AJ117" s="64" t="s" ph="1">
        <v>630</v>
      </c>
      <c r="AK117" s="64" t="s" ph="1">
        <v>636</v>
      </c>
      <c r="AY117" s="64" t="s" ph="1">
        <v>257</v>
      </c>
      <c r="AZ117" s="64" t="s" ph="1">
        <v>636</v>
      </c>
    </row>
    <row r="118" spans="33:52" ph="1">
      <c r="AZ118" s="64" t="s" ph="1">
        <v>637</v>
      </c>
    </row>
    <row r="119" spans="33:52" ph="1">
      <c r="AI119" s="64" t="s" ph="1">
        <v>250</v>
      </c>
      <c r="AJ119" s="64" t="s" ph="1">
        <v>251</v>
      </c>
      <c r="AK119" s="64" t="s" ph="1">
        <v>252</v>
      </c>
      <c r="AM119" s="64" t="s" ph="1">
        <v>251</v>
      </c>
      <c r="AN119" s="64" t="s" ph="1">
        <v>252</v>
      </c>
      <c r="AO119" s="64" t="s" ph="1">
        <v>253</v>
      </c>
      <c r="AP119" s="64" t="s" ph="1">
        <v>251</v>
      </c>
      <c r="AQ119" s="64" t="s" ph="1">
        <v>252</v>
      </c>
      <c r="AR119" s="64" t="s" ph="1">
        <v>253</v>
      </c>
      <c r="AS119" s="64" t="s" ph="1">
        <v>251</v>
      </c>
      <c r="AT119" s="64" t="s" ph="1">
        <v>252</v>
      </c>
      <c r="AU119" s="64" t="s" ph="1">
        <v>253</v>
      </c>
      <c r="AV119" s="64" t="s" ph="1">
        <v>251</v>
      </c>
      <c r="AW119" s="64" t="s" ph="1">
        <v>252</v>
      </c>
      <c r="AX119" s="64" t="s" ph="1">
        <v>253</v>
      </c>
      <c r="AY119" s="64" t="s" ph="1">
        <v>252</v>
      </c>
      <c r="AZ119" s="64" t="s" ph="1">
        <v>254</v>
      </c>
    </row>
    <row r="120" spans="33:52" ph="1">
      <c r="AG120" s="64" t="s" ph="1">
        <v>394</v>
      </c>
      <c r="AH120" s="64" ph="1">
        <v>1</v>
      </c>
      <c r="AI120" s="64" t="s" ph="1">
        <v>554</v>
      </c>
      <c r="AJ120" s="64" t="s" ph="1">
        <v>628</v>
      </c>
      <c r="AK120" s="64" t="s" ph="1">
        <v>408</v>
      </c>
      <c r="AY120" s="64" t="s" ph="1">
        <v>257</v>
      </c>
      <c r="AZ120" s="64" t="s" ph="1">
        <v>408</v>
      </c>
    </row>
    <row r="121" spans="33:52" ph="1">
      <c r="AH121" s="64" ph="1">
        <v>2</v>
      </c>
      <c r="AI121" s="64" t="s" ph="1">
        <v>555</v>
      </c>
      <c r="AY121" s="64" t="s" ph="1">
        <v>257</v>
      </c>
      <c r="AZ121" s="64" t="s" ph="1">
        <v>408</v>
      </c>
    </row>
    <row r="122" spans="33:52" ph="1">
      <c r="AH122" s="64" ph="1">
        <v>3</v>
      </c>
      <c r="AI122" s="64" t="s" ph="1">
        <v>556</v>
      </c>
      <c r="AJ122" s="64" t="s" ph="1">
        <v>611</v>
      </c>
      <c r="AK122" s="64" t="s" ph="1">
        <v>623</v>
      </c>
      <c r="AM122" s="64" t="s" ph="1">
        <v>638</v>
      </c>
      <c r="AN122" s="64" t="s" ph="1">
        <v>631</v>
      </c>
      <c r="AO122" s="64" t="s" ph="1">
        <v>108</v>
      </c>
      <c r="AY122" s="64" t="s" ph="1">
        <v>257</v>
      </c>
      <c r="AZ122" s="64" t="s" ph="1">
        <v>620</v>
      </c>
    </row>
    <row r="123" spans="33:52" ph="1">
      <c r="AY123" s="64" t="s" ph="1">
        <v>257</v>
      </c>
      <c r="AZ123" s="64" t="s" ph="1">
        <v>620</v>
      </c>
    </row>
    <row r="124" spans="33:52" ph="1">
      <c r="AG124" s="64" t="s" ph="1">
        <v>397</v>
      </c>
      <c r="AH124" s="64" ph="1">
        <v>4</v>
      </c>
      <c r="AI124" s="64" t="s" ph="1">
        <v>557</v>
      </c>
      <c r="AJ124" s="64" t="s" ph="1">
        <v>558</v>
      </c>
      <c r="AK124" s="64" t="s" ph="1">
        <v>559</v>
      </c>
      <c r="AY124" s="64" t="s" ph="1">
        <v>257</v>
      </c>
      <c r="AZ124" s="64" t="s" ph="1">
        <v>559</v>
      </c>
    </row>
    <row r="125" spans="33:52" ph="1">
      <c r="AH125" s="64" ph="1">
        <v>5</v>
      </c>
      <c r="AI125" s="64" t="s" ph="1">
        <v>560</v>
      </c>
      <c r="AJ125" s="64" t="s" ph="1">
        <v>558</v>
      </c>
      <c r="AK125" s="64" t="s" ph="1">
        <v>559</v>
      </c>
      <c r="AY125" s="64" t="s" ph="1">
        <v>257</v>
      </c>
      <c r="AZ125" s="64" t="s" ph="1">
        <v>559</v>
      </c>
    </row>
    <row r="126" spans="33:52" ph="1">
      <c r="AH126" s="64" ph="1">
        <v>6</v>
      </c>
      <c r="AI126" s="64" t="s" ph="1">
        <v>561</v>
      </c>
      <c r="AJ126" s="64" t="s" ph="1">
        <v>630</v>
      </c>
      <c r="AK126" s="64" t="s" ph="1">
        <v>639</v>
      </c>
      <c r="AY126" s="64" t="s" ph="1">
        <v>257</v>
      </c>
      <c r="AZ126" s="64" t="s" ph="1">
        <v>639</v>
      </c>
    </row>
    <row r="127" spans="33:52" ph="1">
      <c r="AH127" s="64" ph="1">
        <v>7</v>
      </c>
      <c r="AI127" s="64" t="s" ph="1">
        <v>562</v>
      </c>
      <c r="AJ127" s="64" t="s" ph="1">
        <v>630</v>
      </c>
      <c r="AK127" s="64" t="s" ph="1">
        <v>640</v>
      </c>
      <c r="AY127" s="64" t="s" ph="1">
        <v>257</v>
      </c>
      <c r="AZ127" s="64" t="s" ph="1">
        <v>640</v>
      </c>
    </row>
    <row r="128" spans="33:52" ph="1">
      <c r="AH128" s="64" ph="1">
        <v>8</v>
      </c>
      <c r="AI128" s="64" t="s" ph="1">
        <v>563</v>
      </c>
      <c r="AY128" s="64" t="s" ph="1">
        <v>257</v>
      </c>
      <c r="AZ128" s="64" t="s" ph="1">
        <v>408</v>
      </c>
    </row>
    <row r="129" spans="33:52" ph="1">
      <c r="AH129" s="64" ph="1">
        <v>9</v>
      </c>
      <c r="AI129" s="64" t="s" ph="1">
        <v>564</v>
      </c>
      <c r="AY129" s="64" t="s" ph="1">
        <v>257</v>
      </c>
      <c r="AZ129" s="64" t="s" ph="1">
        <v>408</v>
      </c>
    </row>
    <row r="130" spans="33:52" ph="1">
      <c r="AH130" s="64" ph="1">
        <v>10</v>
      </c>
      <c r="AI130" s="64" t="s" ph="1">
        <v>565</v>
      </c>
      <c r="AY130" s="64" t="s" ph="1">
        <v>257</v>
      </c>
      <c r="AZ130" s="64" t="s" ph="1">
        <v>408</v>
      </c>
    </row>
    <row r="131" spans="33:52" ph="1">
      <c r="AH131" s="64" ph="1">
        <v>11</v>
      </c>
      <c r="AI131" s="64" t="s" ph="1">
        <v>566</v>
      </c>
      <c r="AJ131" s="64" t="s" ph="1">
        <v>624</v>
      </c>
      <c r="AK131" s="64" t="s" ph="1">
        <v>620</v>
      </c>
      <c r="AY131" s="64" t="s" ph="1">
        <v>257</v>
      </c>
      <c r="AZ131" s="64" t="s" ph="1">
        <v>620</v>
      </c>
    </row>
    <row r="132" spans="33:52" ph="1">
      <c r="AH132" s="64" ph="1">
        <v>12</v>
      </c>
      <c r="AI132" s="64" t="s" ph="1">
        <v>567</v>
      </c>
      <c r="AJ132" s="64" t="s" ph="1">
        <v>624</v>
      </c>
      <c r="AK132" s="64" t="s" ph="1">
        <v>559</v>
      </c>
      <c r="AY132" s="64" t="s" ph="1">
        <v>257</v>
      </c>
      <c r="AZ132" s="64" t="s" ph="1">
        <v>559</v>
      </c>
    </row>
    <row r="133" spans="33:52" ph="1">
      <c r="AH133" s="64" ph="1">
        <v>13</v>
      </c>
      <c r="AI133" s="64" t="s" ph="1">
        <v>568</v>
      </c>
      <c r="AJ133" s="64" t="s" ph="1">
        <v>624</v>
      </c>
      <c r="AK133" s="64" t="s" ph="1">
        <v>625</v>
      </c>
      <c r="AY133" s="64" t="s" ph="1">
        <v>257</v>
      </c>
      <c r="AZ133" s="64" t="s" ph="1">
        <v>625</v>
      </c>
    </row>
    <row r="134" spans="33:52" ph="1">
      <c r="AH134" s="64" ph="1">
        <v>14</v>
      </c>
      <c r="AI134" s="64" t="s" ph="1">
        <v>569</v>
      </c>
      <c r="AJ134" s="64" t="s" ph="1">
        <v>624</v>
      </c>
      <c r="AK134" s="64" t="s" ph="1">
        <v>626</v>
      </c>
      <c r="AY134" s="64" t="s" ph="1">
        <v>257</v>
      </c>
      <c r="AZ134" s="64" t="s" ph="1">
        <v>626</v>
      </c>
    </row>
    <row r="135" spans="33:52" ph="1">
      <c r="AH135" s="64" ph="1">
        <v>15</v>
      </c>
      <c r="AI135" s="64" t="s" ph="1">
        <v>570</v>
      </c>
      <c r="AJ135" s="64" t="s" ph="1">
        <v>624</v>
      </c>
      <c r="AK135" s="64" t="s" ph="1">
        <v>627</v>
      </c>
      <c r="AY135" s="64" t="s" ph="1">
        <v>257</v>
      </c>
      <c r="AZ135" s="64" t="s" ph="1">
        <v>627</v>
      </c>
    </row>
    <row r="136" spans="33:52" ph="1">
      <c r="AZ136" s="64" t="s" ph="1">
        <v>641</v>
      </c>
    </row>
    <row r="137" spans="33:52" ph="1">
      <c r="AG137" s="64" t="s" ph="1">
        <v>331</v>
      </c>
      <c r="AI137" s="64" t="s" ph="1">
        <v>250</v>
      </c>
      <c r="AJ137" s="64" t="s" ph="1">
        <v>251</v>
      </c>
      <c r="AK137" s="64" t="s" ph="1">
        <v>252</v>
      </c>
      <c r="AM137" s="64" t="s" ph="1">
        <v>251</v>
      </c>
      <c r="AN137" s="64" t="s" ph="1">
        <v>252</v>
      </c>
      <c r="AO137" s="64" t="s" ph="1">
        <v>253</v>
      </c>
      <c r="AP137" s="64" t="s" ph="1">
        <v>251</v>
      </c>
      <c r="AQ137" s="64" t="s" ph="1">
        <v>252</v>
      </c>
      <c r="AR137" s="64" t="s" ph="1">
        <v>253</v>
      </c>
      <c r="AS137" s="64" t="s" ph="1">
        <v>251</v>
      </c>
      <c r="AT137" s="64" t="s" ph="1">
        <v>252</v>
      </c>
      <c r="AU137" s="64" t="s" ph="1">
        <v>253</v>
      </c>
      <c r="AV137" s="64" t="s" ph="1">
        <v>251</v>
      </c>
      <c r="AW137" s="64" t="s" ph="1">
        <v>252</v>
      </c>
      <c r="AX137" s="64" t="s" ph="1">
        <v>253</v>
      </c>
      <c r="AY137" s="64" t="s" ph="1">
        <v>252</v>
      </c>
      <c r="AZ137" s="64" t="s" ph="1">
        <v>254</v>
      </c>
    </row>
    <row r="138" spans="33:52" ph="1">
      <c r="AH138" s="64" ph="1">
        <v>1</v>
      </c>
      <c r="AI138" s="64" t="s" ph="1">
        <v>571</v>
      </c>
      <c r="AJ138" s="64" t="s" ph="1">
        <v>572</v>
      </c>
      <c r="AK138" s="64" t="s" ph="1">
        <v>573</v>
      </c>
      <c r="AY138" s="64" t="s" ph="1">
        <v>257</v>
      </c>
      <c r="AZ138" s="64" t="s" ph="1">
        <v>573</v>
      </c>
    </row>
    <row r="139" spans="33:52" ph="1">
      <c r="AH139" s="64" ph="1">
        <v>2</v>
      </c>
      <c r="AI139" s="64" t="s" ph="1">
        <v>574</v>
      </c>
      <c r="AJ139" s="64" t="s" ph="1">
        <v>630</v>
      </c>
      <c r="AK139" s="64" t="s" ph="1">
        <v>642</v>
      </c>
      <c r="AY139" s="64" t="s" ph="1">
        <v>257</v>
      </c>
      <c r="AZ139" s="64" t="s" ph="1">
        <v>642</v>
      </c>
    </row>
    <row r="140" spans="33:52" ph="1">
      <c r="AH140" s="64" ph="1">
        <v>3</v>
      </c>
      <c r="AI140" s="64" t="s" ph="1">
        <v>575</v>
      </c>
      <c r="AJ140" s="64" t="s" ph="1">
        <v>528</v>
      </c>
      <c r="AK140" s="64" t="s" ph="1">
        <v>340</v>
      </c>
      <c r="AM140" s="64" t="s" ph="1">
        <v>529</v>
      </c>
      <c r="AN140" s="64" t="s" ph="1">
        <v>260</v>
      </c>
      <c r="AO140" s="64" t="s" ph="1">
        <v>576</v>
      </c>
      <c r="AP140" s="64" t="s" ph="1">
        <v>530</v>
      </c>
      <c r="AQ140" s="64" t="s" ph="1">
        <v>277</v>
      </c>
      <c r="AR140" s="64" t="s" ph="1">
        <v>576</v>
      </c>
      <c r="AS140" s="64" t="s" ph="1">
        <v>531</v>
      </c>
      <c r="AT140" s="64" t="s" ph="1">
        <v>270</v>
      </c>
      <c r="AU140" s="64" t="s" ph="1">
        <v>576</v>
      </c>
      <c r="AV140" s="64" t="s" ph="1">
        <v>532</v>
      </c>
      <c r="AW140" s="64" t="s" ph="1">
        <v>263</v>
      </c>
      <c r="AX140" s="64" t="s" ph="1">
        <v>576</v>
      </c>
      <c r="AY140" s="64" t="s" ph="1">
        <v>257</v>
      </c>
      <c r="AZ140" s="64" t="s" ph="1">
        <v>332</v>
      </c>
    </row>
    <row r="141" spans="33:52" ph="1">
      <c r="AJ141" s="64" t="s" ph="1">
        <v>534</v>
      </c>
      <c r="AK141" s="64" t="s" ph="1">
        <v>263</v>
      </c>
      <c r="AM141" s="64" t="s" ph="1">
        <v>535</v>
      </c>
      <c r="AN141" s="64" t="s" ph="1">
        <v>266</v>
      </c>
      <c r="AO141" s="64" t="s" ph="1">
        <v>576</v>
      </c>
      <c r="AP141" s="64" t="s" ph="1">
        <v>547</v>
      </c>
      <c r="AQ141" s="64" t="s" ph="1">
        <v>335</v>
      </c>
      <c r="AR141" s="64" t="s" ph="1">
        <v>576</v>
      </c>
      <c r="AS141" s="64" t="s" ph="1">
        <v>539</v>
      </c>
      <c r="AT141" s="64" t="s" ph="1">
        <v>263</v>
      </c>
      <c r="AU141" s="64" t="s" ph="1">
        <v>576</v>
      </c>
      <c r="AV141" s="64" t="s" ph="1">
        <v>375</v>
      </c>
      <c r="AW141" s="64" t="s" ph="1">
        <v>269</v>
      </c>
      <c r="AX141" s="64" t="s" ph="1">
        <v>576</v>
      </c>
    </row>
    <row r="142" spans="33:52" ph="1">
      <c r="AJ142" s="64" t="s" ph="1">
        <v>577</v>
      </c>
      <c r="AK142" s="64" t="s" ph="1">
        <v>280</v>
      </c>
    </row>
    <row r="143" spans="33:52" ph="1">
      <c r="AH143" s="64" ph="1">
        <v>4</v>
      </c>
      <c r="AI143" s="64" t="s" ph="1">
        <v>578</v>
      </c>
      <c r="AJ143" s="64" t="s" ph="1">
        <v>558</v>
      </c>
      <c r="AK143" s="64" t="s" ph="1">
        <v>579</v>
      </c>
      <c r="AY143" s="64" t="s" ph="1">
        <v>257</v>
      </c>
      <c r="AZ143" s="64" t="s" ph="1">
        <v>579</v>
      </c>
    </row>
    <row r="144" spans="33:52" ph="1">
      <c r="AH144" s="64" ph="1">
        <v>5</v>
      </c>
      <c r="AI144" s="64" t="s" ph="1">
        <v>580</v>
      </c>
      <c r="AY144" s="64" t="s" ph="1">
        <v>257</v>
      </c>
      <c r="AZ144" s="64" t="s" ph="1">
        <v>408</v>
      </c>
    </row>
    <row r="145" spans="33:52" ph="1">
      <c r="AH145" s="64" ph="1">
        <v>6</v>
      </c>
      <c r="AI145" s="64" t="s" ph="1">
        <v>581</v>
      </c>
      <c r="AY145" s="64" t="s" ph="1">
        <v>257</v>
      </c>
      <c r="AZ145" s="64" t="s" ph="1">
        <v>408</v>
      </c>
    </row>
    <row r="146" spans="33:52" ph="1">
      <c r="AH146" s="64" ph="1">
        <v>7</v>
      </c>
      <c r="AI146" s="64" t="s" ph="1">
        <v>582</v>
      </c>
      <c r="AY146" s="64" t="s" ph="1">
        <v>257</v>
      </c>
      <c r="AZ146" s="64" t="s" ph="1">
        <v>408</v>
      </c>
    </row>
    <row r="147" spans="33:52" ph="1">
      <c r="AH147" s="64" ph="1">
        <v>8</v>
      </c>
      <c r="AI147" s="64" t="s" ph="1">
        <v>583</v>
      </c>
      <c r="AY147" s="64" t="s" ph="1">
        <v>257</v>
      </c>
      <c r="AZ147" s="64" t="s" ph="1">
        <v>408</v>
      </c>
    </row>
    <row r="148" spans="33:52" ph="1">
      <c r="AH148" s="64" ph="1">
        <v>9</v>
      </c>
      <c r="AI148" s="64" t="s" ph="1">
        <v>584</v>
      </c>
      <c r="AY148" s="64" t="s" ph="1">
        <v>257</v>
      </c>
      <c r="AZ148" s="64" t="s" ph="1">
        <v>408</v>
      </c>
    </row>
    <row r="149" spans="33:52" ph="1">
      <c r="AH149" s="64" ph="1">
        <v>10</v>
      </c>
      <c r="AI149" s="64" t="s" ph="1">
        <v>585</v>
      </c>
      <c r="AY149" s="64" t="s" ph="1">
        <v>257</v>
      </c>
      <c r="AZ149" s="64" t="s" ph="1">
        <v>408</v>
      </c>
    </row>
    <row r="150" spans="33:52" ph="1">
      <c r="AH150" s="64" ph="1">
        <v>11</v>
      </c>
      <c r="AI150" s="64" t="s" ph="1">
        <v>586</v>
      </c>
      <c r="AY150" s="64" t="s" ph="1">
        <v>257</v>
      </c>
      <c r="AZ150" s="64" t="s" ph="1">
        <v>408</v>
      </c>
    </row>
    <row r="151" spans="33:52" ph="1">
      <c r="AH151" s="64" ph="1">
        <v>12</v>
      </c>
      <c r="AI151" s="64" t="s" ph="1">
        <v>587</v>
      </c>
      <c r="AY151" s="64" t="s" ph="1">
        <v>257</v>
      </c>
      <c r="AZ151" s="64" t="s" ph="1">
        <v>408</v>
      </c>
    </row>
    <row r="152" spans="33:52" ph="1">
      <c r="AH152" s="64" ph="1">
        <v>13</v>
      </c>
      <c r="AI152" s="64" t="s" ph="1">
        <v>588</v>
      </c>
      <c r="AY152" s="64" t="s" ph="1">
        <v>257</v>
      </c>
      <c r="AZ152" s="64" t="s" ph="1">
        <v>408</v>
      </c>
    </row>
    <row r="153" spans="33:52" ph="1">
      <c r="AH153" s="64" ph="1">
        <v>14</v>
      </c>
      <c r="AI153" s="64" t="s" ph="1">
        <v>589</v>
      </c>
      <c r="AY153" s="64" t="s" ph="1">
        <v>257</v>
      </c>
      <c r="AZ153" s="64" t="s" ph="1">
        <v>408</v>
      </c>
    </row>
    <row r="154" spans="33:52" ph="1">
      <c r="AH154" s="64" ph="1">
        <v>15</v>
      </c>
      <c r="AI154" s="64" t="s" ph="1">
        <v>590</v>
      </c>
      <c r="AY154" s="64" t="s" ph="1">
        <v>257</v>
      </c>
      <c r="AZ154" s="64" t="s" ph="1">
        <v>408</v>
      </c>
    </row>
    <row r="155" spans="33:52" ph="1">
      <c r="AH155" s="64" ph="1">
        <v>16</v>
      </c>
      <c r="AI155" s="64" t="s" ph="1">
        <v>591</v>
      </c>
      <c r="AJ155" s="64" t="s" ph="1">
        <v>377</v>
      </c>
      <c r="AK155" s="64" t="s" ph="1">
        <v>272</v>
      </c>
      <c r="AM155" s="64" t="s" ph="1">
        <v>611</v>
      </c>
      <c r="AN155" s="64" t="s" ph="1">
        <v>323</v>
      </c>
      <c r="AO155" s="64" t="s" ph="1">
        <v>576</v>
      </c>
      <c r="AY155" s="64" t="s" ph="1">
        <v>257</v>
      </c>
      <c r="AZ155" s="64" t="s" ph="1">
        <v>264</v>
      </c>
    </row>
    <row r="156" spans="33:52" ph="1">
      <c r="AZ156" s="64" t="s" ph="1">
        <v>643</v>
      </c>
    </row>
    <row r="157" spans="33:52" ph="1">
      <c r="AG157" s="64" t="s" ph="1">
        <v>592</v>
      </c>
      <c r="AI157" s="64" t="s" ph="1">
        <v>250</v>
      </c>
      <c r="AJ157" s="64" t="s" ph="1">
        <v>251</v>
      </c>
      <c r="AK157" s="64" t="s" ph="1">
        <v>252</v>
      </c>
      <c r="AM157" s="64" t="s" ph="1">
        <v>251</v>
      </c>
      <c r="AN157" s="64" t="s" ph="1">
        <v>252</v>
      </c>
      <c r="AO157" s="64" t="s" ph="1">
        <v>253</v>
      </c>
      <c r="AP157" s="64" t="s" ph="1">
        <v>251</v>
      </c>
      <c r="AQ157" s="64" t="s" ph="1">
        <v>252</v>
      </c>
      <c r="AR157" s="64" t="s" ph="1">
        <v>253</v>
      </c>
      <c r="AS157" s="64" t="s" ph="1">
        <v>251</v>
      </c>
      <c r="AT157" s="64" t="s" ph="1">
        <v>252</v>
      </c>
      <c r="AU157" s="64" t="s" ph="1">
        <v>253</v>
      </c>
      <c r="AV157" s="64" t="s" ph="1">
        <v>251</v>
      </c>
      <c r="AW157" s="64" t="s" ph="1">
        <v>252</v>
      </c>
      <c r="AX157" s="64" t="s" ph="1">
        <v>253</v>
      </c>
      <c r="AY157" s="64" t="s" ph="1">
        <v>252</v>
      </c>
      <c r="AZ157" s="64" t="s" ph="1">
        <v>254</v>
      </c>
    </row>
    <row r="158" spans="33:52" ph="1">
      <c r="AH158" s="64" ph="1">
        <v>1</v>
      </c>
      <c r="AI158" s="64" t="s" ph="1">
        <v>593</v>
      </c>
      <c r="AY158" s="64" t="s" ph="1">
        <v>257</v>
      </c>
      <c r="AZ158" s="64" t="s" ph="1">
        <v>408</v>
      </c>
    </row>
    <row r="159" spans="33:52" ph="1">
      <c r="AH159" s="64" ph="1">
        <v>2</v>
      </c>
      <c r="AI159" s="64" t="s" ph="1">
        <v>594</v>
      </c>
      <c r="AY159" s="64" t="s" ph="1">
        <v>257</v>
      </c>
      <c r="AZ159" s="64" t="s" ph="1">
        <v>408</v>
      </c>
    </row>
    <row r="160" spans="33:52" ph="1">
      <c r="AZ160" s="64" t="s" ph="1">
        <v>426</v>
      </c>
    </row>
    <row r="161" spans="33:52" ph="1">
      <c r="AG161" s="64" t="s" ph="1">
        <v>402</v>
      </c>
      <c r="AI161" s="64" t="s" ph="1">
        <v>250</v>
      </c>
      <c r="AJ161" s="64" t="s" ph="1">
        <v>251</v>
      </c>
      <c r="AK161" s="64" t="s" ph="1">
        <v>252</v>
      </c>
      <c r="AM161" s="64" t="s" ph="1">
        <v>251</v>
      </c>
      <c r="AN161" s="64" t="s" ph="1">
        <v>252</v>
      </c>
      <c r="AO161" s="64" t="s" ph="1">
        <v>253</v>
      </c>
      <c r="AP161" s="64" t="s" ph="1">
        <v>251</v>
      </c>
      <c r="AQ161" s="64" t="s" ph="1">
        <v>252</v>
      </c>
      <c r="AR161" s="64" t="s" ph="1">
        <v>253</v>
      </c>
      <c r="AS161" s="64" t="s" ph="1">
        <v>251</v>
      </c>
      <c r="AT161" s="64" t="s" ph="1">
        <v>252</v>
      </c>
      <c r="AU161" s="64" t="s" ph="1">
        <v>253</v>
      </c>
      <c r="AV161" s="64" t="s" ph="1">
        <v>251</v>
      </c>
      <c r="AW161" s="64" t="s" ph="1">
        <v>252</v>
      </c>
      <c r="AX161" s="64" t="s" ph="1">
        <v>253</v>
      </c>
      <c r="AY161" s="64" t="s" ph="1">
        <v>252</v>
      </c>
      <c r="AZ161" s="64" t="s" ph="1">
        <v>254</v>
      </c>
    </row>
    <row r="162" spans="33:52" ph="1">
      <c r="AH162" s="64" ph="1">
        <v>1</v>
      </c>
      <c r="AI162" s="64" t="s" ph="1">
        <v>595</v>
      </c>
      <c r="AJ162" s="64" t="s" ph="1">
        <v>596</v>
      </c>
      <c r="AK162" s="64" t="s" ph="1">
        <v>540</v>
      </c>
      <c r="AM162" s="64" t="s" ph="1">
        <v>597</v>
      </c>
      <c r="AN162" s="64" t="s" ph="1">
        <v>261</v>
      </c>
      <c r="AO162" s="64" t="s" ph="1">
        <v>598</v>
      </c>
      <c r="AY162" s="64" t="s" ph="1">
        <v>257</v>
      </c>
      <c r="AZ162" s="64" t="s" ph="1">
        <v>333</v>
      </c>
    </row>
    <row r="163" spans="33:52" ph="1">
      <c r="AH163" s="64" ph="1">
        <v>2</v>
      </c>
      <c r="AI163" s="64" t="s" ph="1">
        <v>599</v>
      </c>
      <c r="AJ163" s="64" t="s" ph="1">
        <v>596</v>
      </c>
      <c r="AK163" s="64" t="s" ph="1">
        <v>429</v>
      </c>
      <c r="AY163" s="64" t="s" ph="1">
        <v>257</v>
      </c>
      <c r="AZ163" s="64" t="s" ph="1">
        <v>429</v>
      </c>
    </row>
    <row r="164" spans="33:52" ph="1">
      <c r="AH164" s="64" ph="1">
        <v>3</v>
      </c>
      <c r="AI164" s="64" t="s" ph="1">
        <v>600</v>
      </c>
      <c r="AJ164" s="64" t="s" ph="1">
        <v>596</v>
      </c>
      <c r="AK164" s="64" t="s" ph="1">
        <v>333</v>
      </c>
      <c r="AY164" s="64" t="s" ph="1">
        <v>257</v>
      </c>
      <c r="AZ164" s="64" t="s" ph="1">
        <v>333</v>
      </c>
    </row>
    <row r="165" spans="33:52" ph="1">
      <c r="AH165" s="64" ph="1">
        <v>4</v>
      </c>
      <c r="AI165" s="64" t="s" ph="1">
        <v>601</v>
      </c>
      <c r="AY165" s="64" t="s" ph="1">
        <v>257</v>
      </c>
      <c r="AZ165" s="64" t="s" ph="1">
        <v>408</v>
      </c>
    </row>
    <row r="166" spans="33:52" ph="1">
      <c r="AH166" s="64" ph="1">
        <v>5</v>
      </c>
      <c r="AI166" s="64" t="s" ph="1">
        <v>602</v>
      </c>
      <c r="AY166" s="64" t="s" ph="1">
        <v>257</v>
      </c>
      <c r="AZ166" s="64" t="s" ph="1">
        <v>408</v>
      </c>
    </row>
    <row r="167" spans="33:52" ph="1">
      <c r="AZ167" s="64" t="s" ph="1">
        <v>603</v>
      </c>
    </row>
    <row r="168" spans="33:52" ph="1">
      <c r="AG168" s="64" t="s" ph="1">
        <v>346</v>
      </c>
      <c r="AI168" s="64" t="s" ph="1">
        <v>250</v>
      </c>
      <c r="AJ168" s="64" t="s" ph="1">
        <v>251</v>
      </c>
      <c r="AK168" s="64" t="s" ph="1">
        <v>252</v>
      </c>
      <c r="AM168" s="64" t="s" ph="1">
        <v>251</v>
      </c>
      <c r="AN168" s="64" t="s" ph="1">
        <v>252</v>
      </c>
      <c r="AO168" s="64" t="s" ph="1">
        <v>253</v>
      </c>
      <c r="AP168" s="64" t="s" ph="1">
        <v>251</v>
      </c>
      <c r="AQ168" s="64" t="s" ph="1">
        <v>252</v>
      </c>
      <c r="AR168" s="64" t="s" ph="1">
        <v>253</v>
      </c>
      <c r="AS168" s="64" t="s" ph="1">
        <v>251</v>
      </c>
      <c r="AT168" s="64" t="s" ph="1">
        <v>252</v>
      </c>
      <c r="AU168" s="64" t="s" ph="1">
        <v>253</v>
      </c>
      <c r="AV168" s="64" t="s" ph="1">
        <v>251</v>
      </c>
      <c r="AW168" s="64" t="s" ph="1">
        <v>252</v>
      </c>
      <c r="AX168" s="64" t="s" ph="1">
        <v>253</v>
      </c>
      <c r="AY168" s="64" t="s" ph="1">
        <v>252</v>
      </c>
      <c r="AZ168" s="64" t="s" ph="1">
        <v>254</v>
      </c>
    </row>
    <row r="169" spans="33:52" ph="1">
      <c r="AH169" s="64" ph="1">
        <v>1</v>
      </c>
      <c r="AI169" s="64" t="s" ph="1">
        <v>604</v>
      </c>
      <c r="AY169" s="64" t="s" ph="1">
        <v>257</v>
      </c>
      <c r="AZ169" s="64" t="s" ph="1">
        <v>408</v>
      </c>
    </row>
    <row r="170" spans="33:52" ph="1">
      <c r="AH170" s="64" ph="1">
        <v>2</v>
      </c>
      <c r="AI170" s="64" t="s" ph="1">
        <v>605</v>
      </c>
      <c r="AY170" s="64" t="s" ph="1">
        <v>257</v>
      </c>
      <c r="AZ170" s="64" t="s" ph="1">
        <v>408</v>
      </c>
    </row>
    <row r="171" spans="33:52" ph="1">
      <c r="AH171" s="64" ph="1">
        <v>3</v>
      </c>
      <c r="AI171" s="64" t="s" ph="1">
        <v>606</v>
      </c>
      <c r="AY171" s="64" t="s" ph="1">
        <v>257</v>
      </c>
      <c r="AZ171" s="64" t="s" ph="1">
        <v>408</v>
      </c>
    </row>
    <row r="172" spans="33:52" ph="1">
      <c r="AH172" s="64" ph="1">
        <v>4</v>
      </c>
      <c r="AI172" s="64" t="s" ph="1">
        <v>607</v>
      </c>
      <c r="AY172" s="64" t="s" ph="1">
        <v>257</v>
      </c>
      <c r="AZ172" s="64" t="s" ph="1">
        <v>408</v>
      </c>
    </row>
    <row r="173" spans="33:52" ph="1">
      <c r="AH173" s="64" ph="1">
        <v>5</v>
      </c>
      <c r="AI173" s="64" t="s" ph="1">
        <v>608</v>
      </c>
      <c r="AY173" s="64" t="s" ph="1">
        <v>257</v>
      </c>
      <c r="AZ173" s="64" t="s" ph="1">
        <v>408</v>
      </c>
    </row>
    <row r="174" spans="33:52" ph="1">
      <c r="AZ174" s="64" t="s" ph="1">
        <v>426</v>
      </c>
    </row>
    <row r="175" spans="33:52" ph="1">
      <c r="AJ175" s="64" t="s" ph="1">
        <v>347</v>
      </c>
    </row>
    <row r="176" spans="33:52" ph="1">
      <c r="AJ176" s="64" t="s" ph="1">
        <v>348</v>
      </c>
      <c r="AK176" s="64" t="s" ph="1">
        <v>349</v>
      </c>
      <c r="AM176" s="64" t="s" ph="1">
        <v>350</v>
      </c>
      <c r="AO176" s="64" t="s" ph="1">
        <v>351</v>
      </c>
      <c r="AP176" s="64" t="s" ph="1">
        <v>352</v>
      </c>
      <c r="AQ176" s="64" t="s" ph="1">
        <v>342</v>
      </c>
      <c r="AR176" s="64" t="s" ph="1">
        <v>262</v>
      </c>
    </row>
    <row r="177" spans="36:56" ph="1">
      <c r="AJ177" s="64" t="s" ph="1">
        <v>644</v>
      </c>
      <c r="AK177" s="64" t="s" ph="1">
        <v>353</v>
      </c>
      <c r="AO177" s="64" t="s" ph="1">
        <v>353</v>
      </c>
      <c r="AP177" s="64" t="s" ph="1">
        <v>353</v>
      </c>
      <c r="AQ177" s="64" t="s" ph="1">
        <v>354</v>
      </c>
      <c r="AR177" s="64" t="s" ph="1">
        <v>355</v>
      </c>
    </row>
    <row r="179" spans="36:56" ph="1">
      <c r="AJ179" s="64" t="s" ph="1">
        <v>356</v>
      </c>
      <c r="AK179" s="64" t="s" ph="1">
        <v>357</v>
      </c>
      <c r="AM179" s="64" t="s" ph="1">
        <v>358</v>
      </c>
      <c r="AN179" s="64" t="s" ph="1">
        <v>334</v>
      </c>
      <c r="AO179" s="64" t="s" ph="1">
        <v>359</v>
      </c>
      <c r="AP179" s="64" t="s" ph="1">
        <v>338</v>
      </c>
      <c r="AQ179" s="64" t="s" ph="1">
        <v>360</v>
      </c>
      <c r="AR179" s="64" t="s" ph="1">
        <v>361</v>
      </c>
    </row>
    <row r="180" spans="36:56" ph="1">
      <c r="AJ180" s="64" t="s" ph="1">
        <v>353</v>
      </c>
      <c r="AK180" s="64" t="s" ph="1">
        <v>353</v>
      </c>
      <c r="AL180" s="64" ph="1">
        <v>116</v>
      </c>
      <c r="AM180" s="64" t="s" ph="1">
        <v>353</v>
      </c>
      <c r="AN180" s="64" t="s" ph="1">
        <v>362</v>
      </c>
      <c r="AO180" s="64" t="s" ph="1">
        <v>353</v>
      </c>
      <c r="AP180" s="64" t="s" ph="1">
        <v>363</v>
      </c>
      <c r="AQ180" s="64" t="s" ph="1">
        <v>364</v>
      </c>
      <c r="AR180" s="64" t="s" ph="1">
        <v>365</v>
      </c>
    </row>
    <row r="189" spans="36:56" ph="1">
      <c r="BD189" s="64" t="s" ph="1">
        <v>609</v>
      </c>
    </row>
    <row r="223" spans="18:18" ph="1">
      <c r="R223" s="138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133" priority="96">
      <formula>ABS(D$7-D$10)&gt;=1000</formula>
    </cfRule>
  </conditionalFormatting>
  <conditionalFormatting sqref="E4 E6:E11">
    <cfRule type="expression" dxfId="1132" priority="95">
      <formula>ABS(E$7-E$10)&gt;=1000</formula>
    </cfRule>
  </conditionalFormatting>
  <conditionalFormatting sqref="F4:F11">
    <cfRule type="expression" dxfId="1131" priority="94">
      <formula>ABS(F$7-F$10)&gt;=1000</formula>
    </cfRule>
  </conditionalFormatting>
  <conditionalFormatting sqref="G4:G11">
    <cfRule type="expression" dxfId="1130" priority="93">
      <formula>ABS(G$7-G$10)&gt;=1000</formula>
    </cfRule>
  </conditionalFormatting>
  <conditionalFormatting sqref="H4:H11">
    <cfRule type="expression" dxfId="1129" priority="92">
      <formula>ABS(H$7-H$10)&gt;=1000</formula>
    </cfRule>
  </conditionalFormatting>
  <conditionalFormatting sqref="I4:I11">
    <cfRule type="expression" dxfId="1128" priority="91">
      <formula>ABS(I$7-I$10)&gt;=1000</formula>
    </cfRule>
  </conditionalFormatting>
  <conditionalFormatting sqref="J4:J11">
    <cfRule type="expression" dxfId="1127" priority="90">
      <formula>ABS(J$7-J$10)&gt;=1000</formula>
    </cfRule>
  </conditionalFormatting>
  <conditionalFormatting sqref="K4:K11">
    <cfRule type="expression" dxfId="1126" priority="89">
      <formula>ABS(K$7-K$10)&gt;=1000</formula>
    </cfRule>
  </conditionalFormatting>
  <conditionalFormatting sqref="L4:L11">
    <cfRule type="expression" dxfId="1125" priority="88">
      <formula>ABS(L$7-L$10)&gt;=1000</formula>
    </cfRule>
  </conditionalFormatting>
  <conditionalFormatting sqref="M4 M6:M11">
    <cfRule type="expression" dxfId="1124" priority="87">
      <formula>ABS(M$7-M$10)&gt;=1000</formula>
    </cfRule>
  </conditionalFormatting>
  <conditionalFormatting sqref="N4 N6:N11">
    <cfRule type="expression" dxfId="1123" priority="86">
      <formula>ABS(N$7-N$10)&gt;=1000</formula>
    </cfRule>
  </conditionalFormatting>
  <conditionalFormatting sqref="O4 O6:O11">
    <cfRule type="expression" dxfId="1122" priority="85">
      <formula>ABS(O$7-O$10)&gt;=1000</formula>
    </cfRule>
  </conditionalFormatting>
  <conditionalFormatting sqref="P4 P6:P11">
    <cfRule type="expression" dxfId="1121" priority="84">
      <formula>ABS(P$7-P$10)&gt;=1000</formula>
    </cfRule>
  </conditionalFormatting>
  <conditionalFormatting sqref="Q4:Q11">
    <cfRule type="expression" dxfId="1120" priority="83">
      <formula>ABS(Q$7-Q$10)&gt;=1000</formula>
    </cfRule>
  </conditionalFormatting>
  <conditionalFormatting sqref="R4:R11">
    <cfRule type="expression" dxfId="1119" priority="82">
      <formula>ABS(R$7-R$10)&gt;=1000</formula>
    </cfRule>
  </conditionalFormatting>
  <conditionalFormatting sqref="S4:S11">
    <cfRule type="expression" dxfId="1118" priority="81">
      <formula>ABS(S$7-S$10)&gt;=1000</formula>
    </cfRule>
  </conditionalFormatting>
  <conditionalFormatting sqref="T4:T9 T11">
    <cfRule type="expression" dxfId="1117" priority="80">
      <formula>ABS(T$7-T$10)&gt;=1000</formula>
    </cfRule>
  </conditionalFormatting>
  <conditionalFormatting sqref="U4:U9 U11">
    <cfRule type="expression" dxfId="1116" priority="79">
      <formula>ABS(U$7-U$10)&gt;=1000</formula>
    </cfRule>
  </conditionalFormatting>
  <conditionalFormatting sqref="V4:V9 V11">
    <cfRule type="expression" dxfId="1115" priority="78">
      <formula>ABS(V$7-V$10)&gt;=1000</formula>
    </cfRule>
  </conditionalFormatting>
  <conditionalFormatting sqref="W4:W9 W11">
    <cfRule type="expression" dxfId="1114" priority="77">
      <formula>ABS(W$7-W$10)&gt;=1000</formula>
    </cfRule>
  </conditionalFormatting>
  <conditionalFormatting sqref="X4:X9 X11">
    <cfRule type="expression" dxfId="1113" priority="76">
      <formula>ABS(X$7-X$10)&gt;=1000</formula>
    </cfRule>
  </conditionalFormatting>
  <conditionalFormatting sqref="Y4:Y9 Y11">
    <cfRule type="expression" dxfId="1112" priority="75">
      <formula>ABS(Y$7-Y$10)&gt;=1000</formula>
    </cfRule>
  </conditionalFormatting>
  <conditionalFormatting sqref="Z4:Z11">
    <cfRule type="expression" dxfId="1111" priority="74">
      <formula>ABS(Z$7-Z$10)&gt;=1000</formula>
    </cfRule>
  </conditionalFormatting>
  <conditionalFormatting sqref="AA4:AA11">
    <cfRule type="expression" dxfId="1110" priority="73">
      <formula>ABS(AA$7-AA$10)&gt;=1000</formula>
    </cfRule>
  </conditionalFormatting>
  <conditionalFormatting sqref="AB4:AB11">
    <cfRule type="expression" dxfId="1109" priority="72">
      <formula>ABS(AB$7-AB$10)&gt;=1000</formula>
    </cfRule>
  </conditionalFormatting>
  <conditionalFormatting sqref="AC4 AC6:AC11">
    <cfRule type="expression" dxfId="1108" priority="71">
      <formula>ABS(AC$7-AC$10)&gt;=1000</formula>
    </cfRule>
  </conditionalFormatting>
  <conditionalFormatting sqref="AD4:AD11">
    <cfRule type="expression" dxfId="1107" priority="70">
      <formula>ABS(AD$7-AD$10)&gt;=1000</formula>
    </cfRule>
  </conditionalFormatting>
  <conditionalFormatting sqref="AE4:AE11">
    <cfRule type="expression" dxfId="1106" priority="69">
      <formula>ABS(AE$7-AE$10)&gt;=1000</formula>
    </cfRule>
  </conditionalFormatting>
  <conditionalFormatting sqref="D13:D20">
    <cfRule type="expression" dxfId="1105" priority="68">
      <formula>ABS(D$16-D$19)&gt;=1000</formula>
    </cfRule>
  </conditionalFormatting>
  <conditionalFormatting sqref="E13:E20">
    <cfRule type="expression" dxfId="1104" priority="67">
      <formula>ABS(E$16-E$19)&gt;=1000</formula>
    </cfRule>
  </conditionalFormatting>
  <conditionalFormatting sqref="F13 F15:F20">
    <cfRule type="expression" dxfId="1103" priority="66">
      <formula>ABS(F$16-F$19)&gt;=1000</formula>
    </cfRule>
  </conditionalFormatting>
  <conditionalFormatting sqref="G13:G20">
    <cfRule type="expression" dxfId="1102" priority="65">
      <formula>ABS(G$16-G$19)&gt;=1000</formula>
    </cfRule>
  </conditionalFormatting>
  <conditionalFormatting sqref="H13:H20">
    <cfRule type="expression" dxfId="1101" priority="64">
      <formula>ABS(H$16-H$19)&gt;=1000</formula>
    </cfRule>
  </conditionalFormatting>
  <conditionalFormatting sqref="I13:I20">
    <cfRule type="expression" dxfId="1100" priority="63">
      <formula>ABS(I$16-I$19)&gt;=1000</formula>
    </cfRule>
  </conditionalFormatting>
  <conditionalFormatting sqref="J13:J20">
    <cfRule type="expression" dxfId="1099" priority="62">
      <formula>ABS(J$16-J$19)&gt;=1000</formula>
    </cfRule>
  </conditionalFormatting>
  <conditionalFormatting sqref="L13:L20">
    <cfRule type="expression" dxfId="1098" priority="61">
      <formula>ABS(L$16-L$19)&gt;=1000</formula>
    </cfRule>
  </conditionalFormatting>
  <conditionalFormatting sqref="M13 M15 M17:M18 M20">
    <cfRule type="expression" dxfId="1097" priority="60">
      <formula>ABS(M$16-M$19)&gt;=1000</formula>
    </cfRule>
  </conditionalFormatting>
  <conditionalFormatting sqref="N13:N20">
    <cfRule type="expression" dxfId="1096" priority="59">
      <formula>ABS(N$16-N$19)&gt;=1000</formula>
    </cfRule>
  </conditionalFormatting>
  <conditionalFormatting sqref="O13:O20">
    <cfRule type="expression" dxfId="1095" priority="58">
      <formula>ABS(O$16-O$19)&gt;=1000</formula>
    </cfRule>
  </conditionalFormatting>
  <conditionalFormatting sqref="P13:P20">
    <cfRule type="expression" dxfId="1094" priority="57">
      <formula>ABS(P$16-P$19)&gt;=1000</formula>
    </cfRule>
  </conditionalFormatting>
  <conditionalFormatting sqref="Q13 Q15:Q20">
    <cfRule type="expression" dxfId="1093" priority="56">
      <formula>ABS(Q$16-Q$19)&gt;=1000</formula>
    </cfRule>
  </conditionalFormatting>
  <conditionalFormatting sqref="R13:R20">
    <cfRule type="expression" dxfId="1092" priority="55">
      <formula>ABS(R$16-R$19)&gt;=1000</formula>
    </cfRule>
  </conditionalFormatting>
  <conditionalFormatting sqref="S13:S20">
    <cfRule type="expression" dxfId="1091" priority="54">
      <formula>ABS(S$16-S$19)&gt;=1000</formula>
    </cfRule>
  </conditionalFormatting>
  <conditionalFormatting sqref="T13:T20">
    <cfRule type="expression" dxfId="1090" priority="53">
      <formula>ABS(T$16-T$19)&gt;=1000</formula>
    </cfRule>
  </conditionalFormatting>
  <conditionalFormatting sqref="U13:U20">
    <cfRule type="expression" dxfId="1089" priority="52">
      <formula>ABS(U$16-U$19)&gt;=1000</formula>
    </cfRule>
  </conditionalFormatting>
  <conditionalFormatting sqref="V13:V20">
    <cfRule type="expression" dxfId="1088" priority="51">
      <formula>ABS(V$16-V$19)&gt;=1000</formula>
    </cfRule>
  </conditionalFormatting>
  <conditionalFormatting sqref="W13 W15:W18 W20">
    <cfRule type="expression" dxfId="1087" priority="50">
      <formula>ABS(W$16-W$19)&gt;=1000</formula>
    </cfRule>
  </conditionalFormatting>
  <conditionalFormatting sqref="X13 X15:X20 Y19">
    <cfRule type="expression" dxfId="1086" priority="49">
      <formula>ABS(X$16-X$19)&gt;=1000</formula>
    </cfRule>
  </conditionalFormatting>
  <conditionalFormatting sqref="Y13 Y15:Y18 Y20">
    <cfRule type="expression" dxfId="1085" priority="48">
      <formula>ABS(Y$16-Y$19)&gt;=1000</formula>
    </cfRule>
  </conditionalFormatting>
  <conditionalFormatting sqref="Z13:Z20">
    <cfRule type="expression" dxfId="1084" priority="47">
      <formula>ABS(Z$16-Z$19)&gt;=1000</formula>
    </cfRule>
  </conditionalFormatting>
  <conditionalFormatting sqref="AA13:AA20">
    <cfRule type="expression" dxfId="1083" priority="46">
      <formula>ABS(AA$16-AA$19)&gt;=1000</formula>
    </cfRule>
  </conditionalFormatting>
  <conditionalFormatting sqref="AB13 AB15:AB20">
    <cfRule type="expression" dxfId="1082" priority="45">
      <formula>ABS(AB$16-AB$19)&gt;=1000</formula>
    </cfRule>
  </conditionalFormatting>
  <conditionalFormatting sqref="AC13 AC15:AC20">
    <cfRule type="expression" dxfId="1081" priority="44">
      <formula>ABS(AC$16-AC$19)&gt;=1000</formula>
    </cfRule>
  </conditionalFormatting>
  <conditionalFormatting sqref="AD13:AD20">
    <cfRule type="expression" dxfId="1080" priority="43">
      <formula>ABS(AD$16-AD$19)&gt;=1000</formula>
    </cfRule>
  </conditionalFormatting>
  <conditionalFormatting sqref="AE13:AE20">
    <cfRule type="expression" dxfId="1079" priority="42">
      <formula>ABS(AE$16-AE$19)&gt;=1000</formula>
    </cfRule>
  </conditionalFormatting>
  <conditionalFormatting sqref="D22:D29">
    <cfRule type="expression" dxfId="1078" priority="41">
      <formula>ABS(D$25-D$28)&gt;=1000</formula>
    </cfRule>
  </conditionalFormatting>
  <conditionalFormatting sqref="E22:E29">
    <cfRule type="expression" dxfId="1077" priority="40">
      <formula>ABS(E$25-E$28)&gt;=1000</formula>
    </cfRule>
  </conditionalFormatting>
  <conditionalFormatting sqref="F22:F29">
    <cfRule type="expression" dxfId="1076" priority="39">
      <formula>ABS(F$25-F$28)&gt;=1000</formula>
    </cfRule>
  </conditionalFormatting>
  <conditionalFormatting sqref="G22:G29">
    <cfRule type="expression" dxfId="1075" priority="38">
      <formula>ABS(G$25-G$28)&gt;=1000</formula>
    </cfRule>
  </conditionalFormatting>
  <conditionalFormatting sqref="H22:H29">
    <cfRule type="expression" dxfId="1074" priority="37">
      <formula>ABS(H$25-H$28)&gt;=1000</formula>
    </cfRule>
  </conditionalFormatting>
  <conditionalFormatting sqref="I22 I24:I29">
    <cfRule type="expression" dxfId="1073" priority="36">
      <formula>ABS(I$25-I$28)&gt;=1000</formula>
    </cfRule>
  </conditionalFormatting>
  <conditionalFormatting sqref="J22:J29 K22">
    <cfRule type="expression" dxfId="1072" priority="35">
      <formula>ABS(J$25-J$28)&gt;=1000</formula>
    </cfRule>
  </conditionalFormatting>
  <conditionalFormatting sqref="K23:K29 L25 L28">
    <cfRule type="expression" dxfId="1071" priority="34">
      <formula>ABS(K$25-K$28)&gt;=1000</formula>
    </cfRule>
  </conditionalFormatting>
  <conditionalFormatting sqref="L22:L24 L26:L27 L29">
    <cfRule type="expression" dxfId="1070" priority="33">
      <formula>ABS(L$25-L$28)&gt;=1000</formula>
    </cfRule>
  </conditionalFormatting>
  <conditionalFormatting sqref="M22:M29">
    <cfRule type="expression" dxfId="1069" priority="32">
      <formula>ABS(M$25-M$28)&gt;=1000</formula>
    </cfRule>
  </conditionalFormatting>
  <conditionalFormatting sqref="N22:N29">
    <cfRule type="expression" dxfId="1068" priority="31">
      <formula>ABS(N$25-N$28)&gt;=1000</formula>
    </cfRule>
  </conditionalFormatting>
  <conditionalFormatting sqref="O22:O29">
    <cfRule type="expression" dxfId="1067" priority="30">
      <formula>ABS(O$25-O$28)&gt;=1000</formula>
    </cfRule>
  </conditionalFormatting>
  <conditionalFormatting sqref="P22:P29">
    <cfRule type="expression" dxfId="1066" priority="29">
      <formula>ABS(P$25-P$28)&gt;=1000</formula>
    </cfRule>
  </conditionalFormatting>
  <conditionalFormatting sqref="Q22:Q29">
    <cfRule type="expression" dxfId="1065" priority="28">
      <formula>ABS(Q$25-Q$28)&gt;=1000</formula>
    </cfRule>
  </conditionalFormatting>
  <conditionalFormatting sqref="R22:R29">
    <cfRule type="expression" dxfId="1064" priority="27">
      <formula>ABS(R$25-R$28)&gt;=1000</formula>
    </cfRule>
  </conditionalFormatting>
  <conditionalFormatting sqref="S22:S29">
    <cfRule type="expression" dxfId="1063" priority="26">
      <formula>ABS(S$25-S$28)&gt;=1000</formula>
    </cfRule>
  </conditionalFormatting>
  <conditionalFormatting sqref="T22:T29">
    <cfRule type="expression" dxfId="1062" priority="25">
      <formula>ABS(T$25-T$28)&gt;=1000</formula>
    </cfRule>
  </conditionalFormatting>
  <conditionalFormatting sqref="U22:U29">
    <cfRule type="expression" dxfId="1061" priority="24">
      <formula>ABS(U$25-U$28)&gt;=1000</formula>
    </cfRule>
  </conditionalFormatting>
  <conditionalFormatting sqref="V22:V29">
    <cfRule type="expression" dxfId="1060" priority="23">
      <formula>ABS(V$25-V$28)&gt;=1000</formula>
    </cfRule>
  </conditionalFormatting>
  <conditionalFormatting sqref="W22:W29">
    <cfRule type="expression" dxfId="1059" priority="22">
      <formula>ABS(W$25-W$28)&gt;=1000</formula>
    </cfRule>
  </conditionalFormatting>
  <conditionalFormatting sqref="X22:X29">
    <cfRule type="expression" dxfId="1058" priority="21">
      <formula>ABS(X$25-X$28)&gt;=1000</formula>
    </cfRule>
  </conditionalFormatting>
  <conditionalFormatting sqref="Y22:Y29">
    <cfRule type="expression" dxfId="1057" priority="20">
      <formula>ABS(Y$25-Y$28)&gt;=1000</formula>
    </cfRule>
  </conditionalFormatting>
  <conditionalFormatting sqref="I23">
    <cfRule type="expression" dxfId="1056" priority="19">
      <formula>ABS(I$25-I$28)&gt;=1000</formula>
    </cfRule>
  </conditionalFormatting>
  <conditionalFormatting sqref="F14">
    <cfRule type="expression" dxfId="1055" priority="18">
      <formula>ABS(F$16-F$19)&gt;=1000</formula>
    </cfRule>
  </conditionalFormatting>
  <conditionalFormatting sqref="Q14">
    <cfRule type="expression" dxfId="1054" priority="17">
      <formula>ABS(Q$16-Q$19)&gt;=1000</formula>
    </cfRule>
  </conditionalFormatting>
  <conditionalFormatting sqref="W14">
    <cfRule type="expression" dxfId="1053" priority="16">
      <formula>ABS(W$16-W$19)&gt;=1000</formula>
    </cfRule>
  </conditionalFormatting>
  <conditionalFormatting sqref="Y14">
    <cfRule type="expression" dxfId="1052" priority="15">
      <formula>ABS(Y$16-Y$19)&gt;=1000</formula>
    </cfRule>
  </conditionalFormatting>
  <conditionalFormatting sqref="X14">
    <cfRule type="expression" dxfId="1051" priority="14">
      <formula>ABS(X$16-X$19)&gt;=1000</formula>
    </cfRule>
  </conditionalFormatting>
  <conditionalFormatting sqref="T10:Y10">
    <cfRule type="expression" dxfId="1050" priority="13">
      <formula>ABS(T$7-T$10)&gt;=1000</formula>
    </cfRule>
  </conditionalFormatting>
  <conditionalFormatting sqref="W19">
    <cfRule type="expression" dxfId="1049" priority="12">
      <formula>ABS(W$16-W$19)&gt;=1000</formula>
    </cfRule>
  </conditionalFormatting>
  <conditionalFormatting sqref="AC5">
    <cfRule type="expression" dxfId="1048" priority="11">
      <formula>ABS(AC$7-AC$10)&gt;=1000</formula>
    </cfRule>
  </conditionalFormatting>
  <conditionalFormatting sqref="M14">
    <cfRule type="expression" dxfId="1047" priority="10">
      <formula>ABS(M$16-M$19)&gt;=1000</formula>
    </cfRule>
  </conditionalFormatting>
  <conditionalFormatting sqref="M16">
    <cfRule type="expression" dxfId="1046" priority="9">
      <formula>ABS(M$16-M$19)&gt;=1000</formula>
    </cfRule>
  </conditionalFormatting>
  <conditionalFormatting sqref="M19">
    <cfRule type="expression" dxfId="1045" priority="8">
      <formula>ABS(M$16-M$19)&gt;=1000</formula>
    </cfRule>
  </conditionalFormatting>
  <conditionalFormatting sqref="K13:K20">
    <cfRule type="expression" dxfId="1044" priority="7">
      <formula>ABS(K$16-K$19)&gt;=1000</formula>
    </cfRule>
  </conditionalFormatting>
  <conditionalFormatting sqref="E5">
    <cfRule type="expression" dxfId="1043" priority="6">
      <formula>ABS(E$7-E$10)&gt;=1000</formula>
    </cfRule>
  </conditionalFormatting>
  <conditionalFormatting sqref="AB14:AC14">
    <cfRule type="expression" dxfId="1042" priority="5">
      <formula>ABS(AB$16-AB$19)&gt;=1000</formula>
    </cfRule>
  </conditionalFormatting>
  <conditionalFormatting sqref="M5">
    <cfRule type="expression" dxfId="1041" priority="4">
      <formula>ABS(M$7-M$10)&gt;=1000</formula>
    </cfRule>
  </conditionalFormatting>
  <conditionalFormatting sqref="N5">
    <cfRule type="expression" dxfId="1040" priority="3">
      <formula>ABS(N$7-N$10)&gt;=1000</formula>
    </cfRule>
  </conditionalFormatting>
  <conditionalFormatting sqref="O5">
    <cfRule type="expression" dxfId="1039" priority="2">
      <formula>ABS(O$7-O$10)&gt;=1000</formula>
    </cfRule>
  </conditionalFormatting>
  <conditionalFormatting sqref="P5">
    <cfRule type="expression" dxfId="1038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0025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76">
    <pageSetUpPr fitToPage="1"/>
  </sheetPr>
  <dimension ref="A1:CU223"/>
  <sheetViews>
    <sheetView view="pageBreakPreview" topLeftCell="A13" zoomScale="70" zoomScaleNormal="100" zoomScaleSheetLayoutView="70" workbookViewId="0">
      <selection activeCell="V18" sqref="V18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08" t="s" ph="1">
        <v>192</v>
      </c>
      <c r="C1" s="208" ph="1"/>
      <c r="D1" s="208" ph="1"/>
      <c r="E1" s="208" ph="1"/>
      <c r="F1" s="208" ph="1"/>
      <c r="G1" s="208" ph="1"/>
      <c r="H1" s="208" ph="1"/>
      <c r="I1" s="208" ph="1"/>
      <c r="J1" s="208" ph="1"/>
      <c r="K1" s="208" ph="1"/>
      <c r="L1" s="208" ph="1"/>
      <c r="M1" s="208" ph="1"/>
      <c r="N1" s="208" ph="1"/>
      <c r="O1" s="208" ph="1"/>
      <c r="P1" s="208" ph="1"/>
      <c r="Q1" s="208" ph="1"/>
      <c r="R1" s="208" ph="1"/>
      <c r="S1" s="208" ph="1"/>
      <c r="T1" s="208" ph="1"/>
      <c r="U1" s="208" ph="1"/>
      <c r="V1" s="208" ph="1"/>
      <c r="W1" s="208" ph="1"/>
      <c r="X1" s="208" ph="1"/>
      <c r="Y1" s="208" ph="1"/>
      <c r="Z1" s="208" ph="1"/>
      <c r="AA1" s="208" ph="1"/>
      <c r="AB1" s="208" ph="1"/>
      <c r="AC1" s="208" ph="1"/>
      <c r="AD1" s="208" ph="1"/>
      <c r="AE1" s="208" ph="1"/>
    </row>
    <row r="2" spans="1:99" s="66" customFormat="1" ht="24" customHeight="1" ph="1">
      <c r="B2" s="209" t="s" ph="1">
        <v>99</v>
      </c>
      <c r="C2" s="209" ph="1"/>
      <c r="D2" s="209" ph="1"/>
      <c r="E2" s="209" ph="1"/>
      <c r="F2" s="209" ph="1"/>
      <c r="G2" s="209" ph="1"/>
      <c r="H2" s="209" ph="1"/>
      <c r="I2" s="209" ph="1"/>
      <c r="J2" s="209" ph="1"/>
      <c r="K2" s="209" ph="1"/>
      <c r="L2" s="209" ph="1"/>
      <c r="M2" s="209" ph="1"/>
      <c r="N2" s="209" ph="1"/>
      <c r="O2" s="209" ph="1"/>
      <c r="P2" s="209" ph="1"/>
      <c r="Q2" s="209" ph="1"/>
      <c r="R2" s="209" ph="1"/>
      <c r="S2" s="209" ph="1"/>
      <c r="T2" s="209" ph="1"/>
      <c r="U2" s="209" ph="1"/>
      <c r="V2" s="209" ph="1"/>
      <c r="W2" s="209" ph="1"/>
      <c r="X2" s="209" ph="1"/>
      <c r="Y2" s="209" ph="1"/>
      <c r="Z2" s="209" ph="1"/>
      <c r="AA2" s="209" ph="1"/>
      <c r="AB2" s="209" ph="1"/>
      <c r="AC2" s="209" ph="1"/>
      <c r="AD2" s="209" ph="1"/>
      <c r="AE2" s="209" ph="1"/>
    </row>
    <row r="3" spans="1:99" ht="21" customHeight="1" ph="1">
      <c r="B3" s="210" ph="1">
        <v>45706</v>
      </c>
      <c r="C3" s="210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210"/>
      <c r="R3" s="210"/>
      <c r="S3" s="210"/>
      <c r="T3" s="210"/>
      <c r="U3" s="210"/>
      <c r="V3" s="210"/>
      <c r="W3" s="210"/>
      <c r="X3" s="210"/>
      <c r="Y3" s="210"/>
      <c r="Z3" s="210"/>
      <c r="AA3" s="210"/>
      <c r="AB3" s="210"/>
      <c r="AC3" s="210"/>
      <c r="AD3" s="210"/>
      <c r="AE3" s="210"/>
    </row>
    <row r="4" spans="1:99" s="69" customFormat="1" ph="1">
      <c r="A4" s="65" ph="1"/>
      <c r="B4" s="211" t="s" ph="1">
        <v>37</v>
      </c>
      <c r="C4" s="67" t="s" ph="1">
        <v>207</v>
      </c>
      <c r="D4" s="68" t="s" ph="1">
        <v>45</v>
      </c>
      <c r="E4" s="68" t="s" ph="1">
        <v>46</v>
      </c>
      <c r="F4" s="68" t="s" ph="1">
        <v>39</v>
      </c>
      <c r="G4" s="68" t="s" ph="1">
        <v>47</v>
      </c>
      <c r="H4" s="68" t="s" ph="1">
        <v>48</v>
      </c>
      <c r="I4" s="68" t="s" ph="1">
        <v>132</v>
      </c>
      <c r="J4" s="68" t="s" ph="1">
        <v>49</v>
      </c>
      <c r="K4" s="68" t="s" ph="1">
        <v>133</v>
      </c>
      <c r="L4" s="68" t="s" ph="1">
        <v>134</v>
      </c>
      <c r="M4" s="68" t="s" ph="1">
        <v>50</v>
      </c>
      <c r="N4" s="68" t="s" ph="1">
        <v>51</v>
      </c>
      <c r="O4" s="68" t="s" ph="1">
        <v>136</v>
      </c>
      <c r="P4" s="68" t="s" ph="1">
        <v>138</v>
      </c>
      <c r="Q4" s="68" t="s" ph="1">
        <v>139</v>
      </c>
      <c r="R4" s="68" t="s" ph="1">
        <v>140</v>
      </c>
      <c r="S4" s="68" t="s" ph="1">
        <v>141</v>
      </c>
      <c r="T4" s="68" t="s" ph="1">
        <v>142</v>
      </c>
      <c r="U4" s="68" t="s" ph="1">
        <v>143</v>
      </c>
      <c r="V4" s="68" t="s" ph="1">
        <v>144</v>
      </c>
      <c r="W4" s="68" t="s" ph="1">
        <v>145</v>
      </c>
      <c r="X4" s="68" t="s" ph="1">
        <v>146</v>
      </c>
      <c r="Y4" s="68" t="s" ph="1">
        <v>147</v>
      </c>
      <c r="Z4" s="68" t="s" ph="1">
        <v>52</v>
      </c>
      <c r="AA4" s="68" t="s" ph="1">
        <v>148</v>
      </c>
      <c r="AB4" s="68" t="s" ph="1">
        <v>149</v>
      </c>
      <c r="AC4" s="68" t="s" ph="1">
        <v>150</v>
      </c>
      <c r="AD4" s="68" t="s" ph="1">
        <v>40</v>
      </c>
      <c r="AE4" s="68" t="s" ph="1">
        <v>151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1" ph="1"/>
      <c r="C5" s="67" t="s" ph="1">
        <v>36</v>
      </c>
      <c r="D5" s="70" t="s" ph="1">
        <v>191</v>
      </c>
      <c r="E5" s="70" t="s" ph="1">
        <v>7</v>
      </c>
      <c r="F5" s="70" t="s" ph="1">
        <v>1</v>
      </c>
      <c r="G5" s="70" t="s" ph="1">
        <v>7</v>
      </c>
      <c r="H5" s="70" t="s" ph="1">
        <v>7</v>
      </c>
      <c r="I5" s="70" t="s" ph="1">
        <v>657</v>
      </c>
      <c r="J5" s="70" t="s" ph="1">
        <v>658</v>
      </c>
      <c r="K5" s="70" t="s" ph="1">
        <v>660</v>
      </c>
      <c r="L5" s="70" t="s" ph="1">
        <v>662</v>
      </c>
      <c r="M5" s="70" t="s" ph="1">
        <v>657</v>
      </c>
      <c r="N5" s="70" t="s" ph="1">
        <v>658</v>
      </c>
      <c r="O5" s="70" t="s" ph="1">
        <v>660</v>
      </c>
      <c r="P5" s="70" t="s" ph="1">
        <v>662</v>
      </c>
      <c r="Q5" s="70" t="s" ph="1">
        <v>656</v>
      </c>
      <c r="R5" s="70" t="s" ph="1">
        <v>656</v>
      </c>
      <c r="S5" s="70" t="s" ph="1">
        <v>656</v>
      </c>
      <c r="T5" s="70" t="s" ph="1">
        <v>656</v>
      </c>
      <c r="U5" s="70" t="s" ph="1">
        <v>656</v>
      </c>
      <c r="V5" s="70" t="s" ph="1">
        <v>656</v>
      </c>
      <c r="W5" s="70" t="s" ph="1">
        <v>656</v>
      </c>
      <c r="X5" s="70" t="s" ph="1">
        <v>656</v>
      </c>
      <c r="Y5" s="70" t="s" ph="1">
        <v>656</v>
      </c>
      <c r="Z5" s="70" t="s" ph="1">
        <v>663</v>
      </c>
      <c r="AA5" s="70" t="s" ph="1">
        <v>62</v>
      </c>
      <c r="AB5" s="70" t="s" ph="1">
        <v>62</v>
      </c>
      <c r="AC5" s="70" t="s" ph="1">
        <v>664</v>
      </c>
      <c r="AD5" s="70" t="s" ph="1">
        <v>83</v>
      </c>
      <c r="AE5" s="70" t="s" ph="1">
        <v>654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07" ph="1">
        <v>0.33333333333333331</v>
      </c>
      <c r="C6" s="171" t="s" ph="1">
        <v>208</v>
      </c>
      <c r="D6" s="71">
        <v>829</v>
      </c>
      <c r="E6" s="71">
        <v>0</v>
      </c>
      <c r="F6" s="71">
        <v>2777</v>
      </c>
      <c r="G6" s="71">
        <v>4936</v>
      </c>
      <c r="H6" s="71">
        <v>3403</v>
      </c>
      <c r="I6" s="71">
        <v>27.11</v>
      </c>
      <c r="J6" s="71">
        <v>7.81</v>
      </c>
      <c r="K6" s="71">
        <v>87.71</v>
      </c>
      <c r="L6" s="71">
        <v>45.41</v>
      </c>
      <c r="M6" s="71">
        <v>4525</v>
      </c>
      <c r="N6" s="71">
        <v>4993</v>
      </c>
      <c r="O6" s="71">
        <v>5218</v>
      </c>
      <c r="P6" s="71">
        <v>4382</v>
      </c>
      <c r="Q6" s="71">
        <v>5308</v>
      </c>
      <c r="R6" s="71">
        <v>7006</v>
      </c>
      <c r="S6" s="71">
        <v>6194</v>
      </c>
      <c r="T6" s="71">
        <v>7149</v>
      </c>
      <c r="U6" s="71">
        <v>644</v>
      </c>
      <c r="V6" s="71">
        <v>0</v>
      </c>
      <c r="W6" s="71">
        <v>0</v>
      </c>
      <c r="X6" s="71">
        <v>0</v>
      </c>
      <c r="Y6" s="71">
        <v>0</v>
      </c>
      <c r="Z6" s="71">
        <v>6455</v>
      </c>
      <c r="AA6" s="71">
        <v>1630</v>
      </c>
      <c r="AB6" s="71">
        <v>2538</v>
      </c>
      <c r="AC6" s="71">
        <v>9058</v>
      </c>
      <c r="AD6" s="71">
        <v>261</v>
      </c>
      <c r="AE6" s="71">
        <v>2990</v>
      </c>
    </row>
    <row r="7" spans="1:99" s="72" customFormat="1" ht="22.5" ph="1">
      <c r="B7" s="207" ph="1"/>
      <c r="C7" s="68" t="s" ph="1">
        <v>209</v>
      </c>
      <c r="D7" s="73" ph="1">
        <f>D6*33.183*LOOKUP(D8,密度!$A$2:$A$50,密度!$Q$2:$Q$50)</f>
        <v>26232.3029952</v>
      </c>
      <c r="E7" s="73" ph="1">
        <f>E6*51.53*LOOKUP(E8,密度!$A$2:$A$50,密度!$I$2:$I$50)</f>
        <v>0</v>
      </c>
      <c r="F7" s="73" ph="1">
        <f>F6*33.183*LOOKUP(F8,密度!$A$2:$A$50,密度!$C$2:$C$50)</f>
        <v>102700.27336950001</v>
      </c>
      <c r="G7" s="73" ph="1">
        <f xml:space="preserve"> (G6+2)*51.53*LOOKUP(G8,密度!$A$2:$A$50,密度!$B$2:$B$50)</f>
        <v>200307.08620800002</v>
      </c>
      <c r="H7" s="73" ph="1">
        <f>(H6)*51.53*LOOKUP(H8,密度!$A$2:$A$50,密度!$B$2:$B$50)</f>
        <v>138935.02625699999</v>
      </c>
      <c r="I7" s="73" ph="1">
        <f>I6*290.8*1.0267</f>
        <v>8094.0797995999992</v>
      </c>
      <c r="J7" s="73" ph="1">
        <f>J6*290.8*0.7892</f>
        <v>1792.3900016000002</v>
      </c>
      <c r="K7" s="73" ph="1">
        <f>K6*290.8*1.1126</f>
        <v>28378.051256800001</v>
      </c>
      <c r="L7" s="73" ph="1">
        <f>L6*290.8*0.777</f>
        <v>10260.462156</v>
      </c>
      <c r="M7" s="73" ph="1">
        <f>M6*33.183*LOOKUP(M8,密度!$A$2:$A$50,密度!$D$2:$D$50)</f>
        <v>155498.52447000003</v>
      </c>
      <c r="N7" s="73" ph="1">
        <f>N6*33.183*LOOKUP(N8,密度!$A$2:$A$50,密度!$E$2:$E$50)</f>
        <v>131303.55480750001</v>
      </c>
      <c r="O7" s="73" ph="1">
        <f>O6*20.428*LOOKUP(O8,密度!$A$2:$A$50,密度!$C$2:$C$50)</f>
        <v>118361.20476160001</v>
      </c>
      <c r="P7" s="73" ph="1">
        <f>P6*51.53*LOOKUP(P8,密度!$A$2:$A$50,密度!$B$2:$B$50)</f>
        <v>177933.91448000001</v>
      </c>
      <c r="Q7" s="73" ph="1">
        <f>Q6*1.5*1.5*3.1416*LOOKUP(W8,密度!$A$2:$A$50,密度!$L$2:$L$50)</f>
        <v>35494.041844799998</v>
      </c>
      <c r="R7" s="73" ph="1">
        <f>R6*1.5*1.5*3.1416*LOOKUP(R8,密度!$A$2:$A$50,密度!$L$2:$L$50)</f>
        <v>46551.254903999994</v>
      </c>
      <c r="S7" s="73" ph="1">
        <f>S6*1.5*1.5*3.1416*LOOKUP(S8,密度!$A$2:$A$50,密度!$L$2:$L$50)</f>
        <v>41681.3287968</v>
      </c>
      <c r="T7" s="73" ph="1">
        <f>T6*1.5*1.5*3.1416*LOOKUP(T8,密度!$A$2:$A$50,密度!$L$2:$L$50)</f>
        <v>47956.216908599999</v>
      </c>
      <c r="U7" s="73" ph="1">
        <f>U6*1.5*1.5*3.1416*LOOKUP(U8,密度!$A$2:$A$50,密度!$L$2:$L$50)</f>
        <v>4306.3607663999992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202843.86295499999</v>
      </c>
      <c r="AA7" s="73" ph="1">
        <f>AA6*33.183*LOOKUP(AA8,密度!$A$2:$A$50,密度!$D$2:$D$50)</f>
        <v>55970.562491999997</v>
      </c>
      <c r="AB7" s="73" ph="1">
        <f>AB6*20.428*LOOKUP(AB8,密度!$A$2:$A$50,密度!$D$2:$D$50)</f>
        <v>54106.76111040001</v>
      </c>
      <c r="AC7" s="73" ph="1">
        <f>AC6*51.53*LOOKUP(AC8,密度!$A$2:$A$50,密度!$Q$2:$Q$50)</f>
        <v>444358.9880674</v>
      </c>
      <c r="AD7" s="73" ph="1">
        <f>AD6*20.428*LOOKUP(AD8,密度!$A$2:$A$50,密度!$V$2:$V$50)</f>
        <v>5139.7665120000001</v>
      </c>
      <c r="AE7" s="73" ph="1">
        <f>AE6*20.428</f>
        <v>61079.72</v>
      </c>
    </row>
    <row r="8" spans="1:99" ph="1">
      <c r="B8" s="207" ph="1"/>
      <c r="C8" s="68" t="s" ph="1">
        <v>210</v>
      </c>
      <c r="D8" s="74">
        <v>16</v>
      </c>
      <c r="E8" s="74">
        <v>16</v>
      </c>
      <c r="F8" s="74">
        <v>17</v>
      </c>
      <c r="G8" s="74">
        <v>16</v>
      </c>
      <c r="H8" s="74">
        <v>10</v>
      </c>
      <c r="I8" s="74">
        <v>25</v>
      </c>
      <c r="J8" s="74">
        <v>25</v>
      </c>
      <c r="K8" s="74">
        <v>25</v>
      </c>
      <c r="L8" s="74">
        <v>25</v>
      </c>
      <c r="M8" s="74">
        <v>15</v>
      </c>
      <c r="N8" s="74">
        <v>17</v>
      </c>
      <c r="O8" s="74">
        <v>23</v>
      </c>
      <c r="P8" s="74">
        <v>15</v>
      </c>
      <c r="Q8" s="74">
        <v>15</v>
      </c>
      <c r="R8" s="74">
        <v>22</v>
      </c>
      <c r="S8" s="74">
        <v>10</v>
      </c>
      <c r="T8" s="74">
        <v>13</v>
      </c>
      <c r="U8" s="74">
        <v>16</v>
      </c>
      <c r="V8" s="74">
        <v>22</v>
      </c>
      <c r="W8" s="74">
        <v>16</v>
      </c>
      <c r="X8" s="74">
        <v>7</v>
      </c>
      <c r="Y8" s="74">
        <v>15</v>
      </c>
      <c r="Z8" s="74">
        <v>15</v>
      </c>
      <c r="AA8" s="74">
        <v>16</v>
      </c>
      <c r="AB8" s="74">
        <v>6</v>
      </c>
      <c r="AC8" s="74">
        <v>18</v>
      </c>
      <c r="AD8" s="74">
        <v>13</v>
      </c>
      <c r="AE8" s="74">
        <v>16</v>
      </c>
    </row>
    <row r="9" spans="1:99" ph="1">
      <c r="B9" s="207" ph="1">
        <v>0.66666666666666663</v>
      </c>
      <c r="C9" s="171" t="s" ph="1">
        <v>211</v>
      </c>
      <c r="D9" s="71">
        <v>1176</v>
      </c>
      <c r="E9" s="71">
        <v>0</v>
      </c>
      <c r="F9" s="71">
        <v>3355</v>
      </c>
      <c r="G9" s="71">
        <v>4934</v>
      </c>
      <c r="H9" s="71">
        <v>3401</v>
      </c>
      <c r="I9" s="71">
        <v>27.11</v>
      </c>
      <c r="J9" s="71">
        <v>7.81</v>
      </c>
      <c r="K9" s="71">
        <v>87.51</v>
      </c>
      <c r="L9" s="71">
        <v>11.31</v>
      </c>
      <c r="M9" s="71">
        <v>4525</v>
      </c>
      <c r="N9" s="71">
        <v>4939</v>
      </c>
      <c r="O9" s="71">
        <v>5219</v>
      </c>
      <c r="P9" s="71">
        <v>4084</v>
      </c>
      <c r="Q9" s="71">
        <v>2404</v>
      </c>
      <c r="R9" s="71">
        <v>7009</v>
      </c>
      <c r="S9" s="71">
        <v>6197</v>
      </c>
      <c r="T9" s="71">
        <v>7151</v>
      </c>
      <c r="U9" s="71">
        <v>3190</v>
      </c>
      <c r="V9" s="71">
        <v>0</v>
      </c>
      <c r="W9" s="71">
        <v>0</v>
      </c>
      <c r="X9" s="71">
        <v>0</v>
      </c>
      <c r="Y9" s="71">
        <v>0</v>
      </c>
      <c r="Z9" s="71">
        <v>5854</v>
      </c>
      <c r="AA9" s="71">
        <v>1624</v>
      </c>
      <c r="AB9" s="71">
        <v>2536</v>
      </c>
      <c r="AC9" s="71">
        <v>9123</v>
      </c>
      <c r="AD9" s="71">
        <v>259</v>
      </c>
      <c r="AE9" s="71">
        <v>2850</v>
      </c>
    </row>
    <row r="10" spans="1:99" s="72" customFormat="1" ht="22.5" ph="1">
      <c r="B10" s="207" ph="1"/>
      <c r="C10" s="171" t="s" ph="1">
        <v>209</v>
      </c>
      <c r="D10" s="73" ph="1">
        <f>D9*33.183*LOOKUP(D11,密度!$A$2:$A$50,密度!$Q$2:$Q$50)</f>
        <v>37249.212964320002</v>
      </c>
      <c r="E10" s="73" ph="1">
        <f>E9*51.53*LOOKUP(E11,密度!$A$2:$A$50,密度!$I$2:$I$50)</f>
        <v>0</v>
      </c>
      <c r="F10" s="73" ph="1">
        <f>F9*33.183*LOOKUP(F11,密度!$A$2:$A$50,密度!$C$2:$C$50)</f>
        <v>124076.1314925</v>
      </c>
      <c r="G10" s="73" ph="1">
        <f xml:space="preserve"> (G9+2)*51.53*LOOKUP(G11,密度!$A$2:$A$50,密度!$B$2:$B$50)</f>
        <v>200022.47571200001</v>
      </c>
      <c r="H10" s="73" ph="1">
        <f>(H9)*51.53*LOOKUP(H11,密度!$A$2:$A$50,密度!$B$2:$B$50)</f>
        <v>137819.37599199999</v>
      </c>
      <c r="I10" s="73" ph="1">
        <f>I9*290.8*1.0267</f>
        <v>8094.0797995999992</v>
      </c>
      <c r="J10" s="73" ph="1">
        <f>J9*290.8*0.7892</f>
        <v>1792.3900016000002</v>
      </c>
      <c r="K10" s="73" ph="1">
        <f>K9*290.8*1.1126</f>
        <v>28313.342440800003</v>
      </c>
      <c r="L10" s="73" ph="1">
        <f>L9*290.8*0.777</f>
        <v>2555.5125960000005</v>
      </c>
      <c r="M10" s="73" ph="1">
        <f>M9*33.183*LOOKUP(M11,密度!$A$2:$A$50,密度!$D$2:$D$50)</f>
        <v>155243.26424250001</v>
      </c>
      <c r="N10" s="73" ph="1">
        <f>N9*33.183*LOOKUP(N11,密度!$A$2:$A$50,密度!$E$2:$E$50)</f>
        <v>129883.48832249999</v>
      </c>
      <c r="O10" s="73" ph="1">
        <f>O9*20.428*LOOKUP(O11,密度!$A$2:$A$50,密度!$C$2:$C$50)</f>
        <v>118383.88801280002</v>
      </c>
      <c r="P10" s="73" ph="1">
        <f>P9*51.53*LOOKUP(P11,密度!$A$2:$A$50,密度!$B$2:$B$50)</f>
        <v>165496.716128</v>
      </c>
      <c r="Q10" s="73" ph="1">
        <f>Q9*1.5*1.5*3.1416*LOOKUP(W11,密度!$A$2:$A$50,密度!$L$2:$L$50)</f>
        <v>15871.382049600003</v>
      </c>
      <c r="R10" s="73" ph="1">
        <f>R9*1.5*1.5*3.1416*LOOKUP(R11,密度!$A$2:$A$50,密度!$L$2:$L$50)</f>
        <v>46521.644538599998</v>
      </c>
      <c r="S10" s="73" ph="1">
        <f>S9*1.5*1.5*3.1416*LOOKUP(S11,密度!$A$2:$A$50,密度!$L$2:$L$50)</f>
        <v>41613.908489999994</v>
      </c>
      <c r="T10" s="73" ph="1">
        <f>T9*1.5*1.5*3.1416*LOOKUP(T11,密度!$A$2:$A$50,密度!$L$2:$L$50)</f>
        <v>47868.537994199993</v>
      </c>
      <c r="U10" s="73" ph="1">
        <f>U9*1.5*1.5*3.1416*LOOKUP(U11,密度!$A$2:$A$50,密度!$L$2:$L$50)</f>
        <v>21308.648129999998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183763.60477199999</v>
      </c>
      <c r="AA10" s="73" ph="1">
        <f>AA9*33.183*LOOKUP(AA11,密度!$A$2:$A$50,密度!$D$2:$D$50)</f>
        <v>55716.035608800004</v>
      </c>
      <c r="AB10" s="73" ph="1">
        <f>AB9*20.428*LOOKUP(AB11,密度!$A$2:$A$50,密度!$D$2:$D$50)</f>
        <v>53970.874054400003</v>
      </c>
      <c r="AC10" s="73" ph="1">
        <f>AC9*51.53*LOOKUP(AC11,密度!$A$2:$A$50,密度!$Q$2:$Q$50)</f>
        <v>447919.08343200001</v>
      </c>
      <c r="AD10" s="73" ph="1">
        <f>AD9*20.428*LOOKUP(AD11,密度!$A$2:$A$50,密度!$V$2:$V$50)</f>
        <v>5100.3813279999995</v>
      </c>
      <c r="AE10" s="73" ph="1">
        <f>AE9*20.428</f>
        <v>58219.8</v>
      </c>
    </row>
    <row r="11" spans="1:99" ph="1">
      <c r="A11" s="64" t="s" ph="1">
        <v>193</v>
      </c>
      <c r="B11" s="207" ph="1"/>
      <c r="C11" s="171" t="s" ph="1">
        <v>210</v>
      </c>
      <c r="D11" s="74">
        <v>15</v>
      </c>
      <c r="E11" s="74">
        <v>17</v>
      </c>
      <c r="F11" s="74">
        <v>17</v>
      </c>
      <c r="G11" s="74">
        <v>17</v>
      </c>
      <c r="H11" s="74">
        <v>17</v>
      </c>
      <c r="I11" s="74">
        <v>25</v>
      </c>
      <c r="J11" s="74">
        <v>25</v>
      </c>
      <c r="K11" s="74">
        <v>25</v>
      </c>
      <c r="L11" s="74">
        <v>25</v>
      </c>
      <c r="M11" s="74">
        <v>17</v>
      </c>
      <c r="N11" s="74">
        <v>17</v>
      </c>
      <c r="O11" s="74">
        <v>23</v>
      </c>
      <c r="P11" s="74">
        <v>17</v>
      </c>
      <c r="Q11" s="74">
        <v>18</v>
      </c>
      <c r="R11" s="74">
        <v>23</v>
      </c>
      <c r="S11" s="74">
        <v>12</v>
      </c>
      <c r="T11" s="74">
        <v>15</v>
      </c>
      <c r="U11" s="74">
        <v>17</v>
      </c>
      <c r="V11" s="74">
        <v>25</v>
      </c>
      <c r="W11" s="74">
        <v>28</v>
      </c>
      <c r="X11" s="74">
        <v>19</v>
      </c>
      <c r="Y11" s="74">
        <v>18</v>
      </c>
      <c r="Z11" s="74">
        <v>16</v>
      </c>
      <c r="AA11" s="74">
        <v>17</v>
      </c>
      <c r="AB11" s="74">
        <v>8</v>
      </c>
      <c r="AC11" s="74">
        <v>17</v>
      </c>
      <c r="AD11" s="74">
        <v>18</v>
      </c>
      <c r="AE11" s="74">
        <v>18</v>
      </c>
    </row>
    <row r="12" spans="1:99" ht="9.9499999999999993" customHeight="1" ph="1"/>
    <row r="13" spans="1:99" s="72" customFormat="1" ht="29.25" customHeight="1" ph="1">
      <c r="B13" s="215" t="s" ph="1">
        <v>37</v>
      </c>
      <c r="C13" s="171" t="s" ph="1">
        <v>207</v>
      </c>
      <c r="D13" s="76" t="s" ph="1">
        <v>53</v>
      </c>
      <c r="E13" s="76" t="s" ph="1">
        <v>54</v>
      </c>
      <c r="F13" s="76" t="s" ph="1">
        <v>66</v>
      </c>
      <c r="G13" s="76" t="s" ph="1">
        <v>67</v>
      </c>
      <c r="H13" s="76" t="s" ph="1">
        <v>152</v>
      </c>
      <c r="I13" s="76" t="s" ph="1">
        <v>68</v>
      </c>
      <c r="J13" s="76" t="s" ph="1">
        <v>153</v>
      </c>
      <c r="K13" s="76" t="s" ph="1">
        <v>63</v>
      </c>
      <c r="L13" s="76" t="s" ph="1">
        <v>69</v>
      </c>
      <c r="M13" s="76" t="s" ph="1">
        <v>70</v>
      </c>
      <c r="N13" s="76" t="s" ph="1">
        <v>154</v>
      </c>
      <c r="O13" s="76" t="s" ph="1">
        <v>64</v>
      </c>
      <c r="P13" s="76" t="s" ph="1">
        <v>71</v>
      </c>
      <c r="Q13" s="76" t="s" ph="1">
        <v>72</v>
      </c>
      <c r="R13" s="76" t="s" ph="1">
        <v>73</v>
      </c>
      <c r="S13" s="76" t="s" ph="1">
        <v>74</v>
      </c>
      <c r="T13" s="76" t="s" ph="1">
        <v>75</v>
      </c>
      <c r="U13" s="76" t="s" ph="1">
        <v>76</v>
      </c>
      <c r="V13" s="76" t="s" ph="1">
        <v>155</v>
      </c>
      <c r="W13" s="76" t="s" ph="1">
        <v>156</v>
      </c>
      <c r="X13" s="76" t="s" ph="1">
        <v>157</v>
      </c>
      <c r="Y13" s="105" t="s" ph="1">
        <v>77</v>
      </c>
      <c r="Z13" s="76" t="s" ph="1">
        <v>86</v>
      </c>
      <c r="AA13" s="76" t="s" ph="1">
        <v>158</v>
      </c>
      <c r="AB13" s="76" t="s" ph="1">
        <v>159</v>
      </c>
      <c r="AC13" s="76" t="s" ph="1">
        <v>160</v>
      </c>
      <c r="AD13" s="76" t="s" ph="1">
        <v>161</v>
      </c>
      <c r="AE13" s="76" t="s" ph="1">
        <v>162</v>
      </c>
      <c r="AG13" s="72" t="s" ph="1">
        <v>366</v>
      </c>
      <c r="AH13" s="72" t="s" ph="1">
        <v>229</v>
      </c>
      <c r="AI13" s="72" t="s" ph="1">
        <v>230</v>
      </c>
      <c r="AJ13" s="72" t="s" ph="1">
        <v>231</v>
      </c>
      <c r="AK13" s="72" t="s" ph="1">
        <v>232</v>
      </c>
      <c r="AL13" s="72" t="s" ph="1">
        <v>233</v>
      </c>
      <c r="AM13" s="72" t="s" ph="1">
        <v>234</v>
      </c>
      <c r="AN13" s="72" t="s" ph="1">
        <v>235</v>
      </c>
      <c r="AO13" s="72" t="s" ph="1">
        <v>236</v>
      </c>
      <c r="AP13" s="72" t="s" ph="1">
        <v>237</v>
      </c>
      <c r="AQ13" s="72" t="s" ph="1">
        <v>238</v>
      </c>
      <c r="AR13" s="72" t="s" ph="1">
        <v>239</v>
      </c>
      <c r="AS13" s="72" t="s" ph="1">
        <v>240</v>
      </c>
      <c r="AT13" s="72" t="s" ph="1">
        <v>241</v>
      </c>
      <c r="AU13" s="72" t="s" ph="1">
        <v>242</v>
      </c>
      <c r="AV13" s="72" t="s" ph="1">
        <v>243</v>
      </c>
      <c r="AW13" s="72" t="s" ph="1">
        <v>244</v>
      </c>
      <c r="AX13" s="72" t="s" ph="1">
        <v>245</v>
      </c>
      <c r="AY13" s="72" t="s" ph="1">
        <v>367</v>
      </c>
      <c r="AZ13" s="72" t="s" ph="1">
        <v>246</v>
      </c>
      <c r="BA13" s="72" t="s" ph="1">
        <v>247</v>
      </c>
      <c r="BB13" s="72" t="s" ph="1">
        <v>632</v>
      </c>
      <c r="BC13" s="72" t="s" ph="1">
        <v>248</v>
      </c>
      <c r="BD13" s="72" t="s" ph="1">
        <v>368</v>
      </c>
      <c r="BE13" s="72" t="s" ph="1">
        <v>369</v>
      </c>
      <c r="BF13" s="72" t="s" ph="1">
        <v>370</v>
      </c>
      <c r="BG13" s="72" t="s" ph="1">
        <v>371</v>
      </c>
      <c r="BH13" s="72" t="s" ph="1">
        <v>372</v>
      </c>
    </row>
    <row r="14" spans="1:99" s="72" customFormat="1" ht="24" ph="1">
      <c r="B14" s="216" ph="1"/>
      <c r="C14" s="67" t="s" ph="1">
        <v>36</v>
      </c>
      <c r="D14" s="77" t="s" ph="1">
        <v>665</v>
      </c>
      <c r="E14" s="77" t="s" ph="1">
        <v>665</v>
      </c>
      <c r="F14" s="142" t="s" ph="1">
        <v>651</v>
      </c>
      <c r="G14" s="77" t="s" ph="1">
        <v>667</v>
      </c>
      <c r="H14" s="77" t="s" ph="1">
        <v>668</v>
      </c>
      <c r="I14" s="167" t="s" ph="1">
        <v>669</v>
      </c>
      <c r="J14" s="77" t="s" ph="1">
        <v>670</v>
      </c>
      <c r="K14" s="77" t="s" ph="1">
        <v>223</v>
      </c>
      <c r="L14" s="77" t="s" ph="1">
        <v>42</v>
      </c>
      <c r="M14" s="104" t="s" ph="1">
        <v>671</v>
      </c>
      <c r="N14" s="104" t="s" ph="1">
        <v>672</v>
      </c>
      <c r="O14" s="104" t="s" ph="1">
        <v>670</v>
      </c>
      <c r="P14" s="77" t="s" ph="1">
        <v>673</v>
      </c>
      <c r="Q14" s="77" t="s" ph="1">
        <v>673</v>
      </c>
      <c r="R14" s="88" t="s" ph="1">
        <v>674</v>
      </c>
      <c r="S14" s="77" t="s" ph="1">
        <v>81</v>
      </c>
      <c r="T14" s="77" t="s" ph="1">
        <v>676</v>
      </c>
      <c r="U14" s="77" t="s" ph="1">
        <v>652</v>
      </c>
      <c r="V14" s="77" t="s" ph="1">
        <v>127</v>
      </c>
      <c r="W14" s="77" t="s" ph="1">
        <v>673</v>
      </c>
      <c r="X14" s="77" t="s" ph="1">
        <v>678</v>
      </c>
      <c r="Y14" s="141" t="s" ph="1">
        <v>0</v>
      </c>
      <c r="Z14" s="77" t="s" ph="1">
        <v>62</v>
      </c>
      <c r="AA14" s="77" t="s" ph="1">
        <v>662</v>
      </c>
      <c r="AB14" s="77" t="s" ph="1">
        <v>648</v>
      </c>
      <c r="AC14" s="77" t="s" ph="1">
        <v>648</v>
      </c>
      <c r="AD14" s="77" t="s" ph="1">
        <v>661</v>
      </c>
      <c r="AE14" s="77" t="s" ph="1">
        <v>661</v>
      </c>
      <c r="AG14" s="72" t="s" ph="1">
        <v>249</v>
      </c>
      <c r="AI14" s="72" t="s" ph="1">
        <v>250</v>
      </c>
      <c r="AJ14" s="72" t="s" ph="1">
        <v>373</v>
      </c>
      <c r="AK14" s="72" t="s" ph="1">
        <v>251</v>
      </c>
      <c r="AM14" s="72" t="s" ph="1">
        <v>253</v>
      </c>
      <c r="AN14" s="72" t="s" ph="1">
        <v>251</v>
      </c>
      <c r="AO14" s="72" t="s" ph="1">
        <v>252</v>
      </c>
      <c r="AP14" s="72" t="s" ph="1">
        <v>253</v>
      </c>
      <c r="AQ14" s="72" t="s" ph="1">
        <v>251</v>
      </c>
      <c r="AR14" s="72" t="s" ph="1">
        <v>252</v>
      </c>
      <c r="AS14" s="72" t="s" ph="1">
        <v>253</v>
      </c>
      <c r="AT14" s="72" t="s" ph="1">
        <v>251</v>
      </c>
      <c r="AU14" s="72" t="s" ph="1">
        <v>252</v>
      </c>
      <c r="AV14" s="72" t="s" ph="1">
        <v>253</v>
      </c>
      <c r="AW14" s="72" t="s" ph="1">
        <v>251</v>
      </c>
      <c r="AX14" s="72" t="s" ph="1">
        <v>252</v>
      </c>
      <c r="AY14" s="72" t="s" ph="1">
        <v>253</v>
      </c>
      <c r="AZ14" s="72" t="s" ph="1">
        <v>252</v>
      </c>
    </row>
    <row r="15" spans="1:99" ph="1">
      <c r="B15" s="217" ph="1">
        <v>0.33333333333333331</v>
      </c>
      <c r="C15" s="171" t="s" ph="1">
        <v>208</v>
      </c>
      <c r="D15" s="78">
        <v>0</v>
      </c>
      <c r="E15" s="78">
        <v>76</v>
      </c>
      <c r="F15" s="78">
        <v>3522</v>
      </c>
      <c r="G15" s="78">
        <v>3583</v>
      </c>
      <c r="H15" s="78">
        <v>2868</v>
      </c>
      <c r="I15" s="78">
        <v>9</v>
      </c>
      <c r="J15" s="78">
        <v>3669</v>
      </c>
      <c r="K15" s="78">
        <v>169</v>
      </c>
      <c r="L15" s="78">
        <v>6293</v>
      </c>
      <c r="M15" s="78">
        <v>3931</v>
      </c>
      <c r="N15" s="78">
        <v>1573</v>
      </c>
      <c r="O15" s="78">
        <v>226</v>
      </c>
      <c r="P15" s="78">
        <v>0</v>
      </c>
      <c r="Q15" s="78">
        <v>1480</v>
      </c>
      <c r="R15" s="78">
        <v>3493</v>
      </c>
      <c r="S15" s="78">
        <v>5617</v>
      </c>
      <c r="T15" s="78">
        <v>6698</v>
      </c>
      <c r="U15" s="78">
        <v>1886</v>
      </c>
      <c r="V15" s="78">
        <v>-1632</v>
      </c>
      <c r="W15" s="78">
        <v>-596</v>
      </c>
      <c r="X15" s="78">
        <v>493</v>
      </c>
      <c r="Y15" s="106">
        <v>-9901</v>
      </c>
      <c r="Z15" s="78">
        <v>0</v>
      </c>
      <c r="AA15" s="78">
        <v>2507</v>
      </c>
      <c r="AB15" s="78" ph="1">
        <v>6862</v>
      </c>
      <c r="AC15" s="78" ph="1">
        <v>6504</v>
      </c>
      <c r="AD15" s="78">
        <v>9.41</v>
      </c>
      <c r="AE15" s="78">
        <v>84.61</v>
      </c>
      <c r="AG15" s="64" t="s" ph="1">
        <v>255</v>
      </c>
      <c r="AH15" s="64" ph="1">
        <v>1</v>
      </c>
      <c r="AI15" s="64" t="s" ph="1">
        <v>374</v>
      </c>
      <c r="AK15" s="64" t="s" ph="1">
        <v>628</v>
      </c>
      <c r="AM15" s="64" t="s" ph="1">
        <v>376</v>
      </c>
      <c r="AZ15" s="64" t="s" ph="1">
        <v>257</v>
      </c>
      <c r="BA15" s="64" ph="1">
        <v>0</v>
      </c>
    </row>
    <row r="16" spans="1:99" s="72" customFormat="1" ht="22.5" ph="1">
      <c r="B16" s="218" ph="1"/>
      <c r="C16" s="171" t="s" ph="1">
        <v>209</v>
      </c>
      <c r="D16" s="73" ph="1">
        <f>D15*7.0686*LOOKUP(D17,密度!$A$2:$A$50,密度!$L$2:$L$50)</f>
        <v>0</v>
      </c>
      <c r="E16" s="73" ph="1">
        <f>E15*7.0686*LOOKUP(E17,密度!$A$2:$A$50,密度!$L$2:$L$50)</f>
        <v>507.12963840000003</v>
      </c>
      <c r="F16" s="73" ph="1">
        <f>F15*9.0746*LOOKUP(F17,密度!$A$2:$A$50,密度!$L$2:$L$50)</f>
        <v>30138.978951599998</v>
      </c>
      <c r="G16" s="73" ph="1">
        <f>G15*9.0746*LOOKUP(G17,密度!$A$2:$A$50,密度!$B$2:$B$50)</f>
        <v>25595.25050496</v>
      </c>
      <c r="H16" s="73" ph="1">
        <f>H15*9.0746*LOOKUP(H17,密度!$A$2:$A$50,密度!$L$2:$L$50)</f>
        <v>24724.655159999998</v>
      </c>
      <c r="I16" s="73" ph="1">
        <f>I15*9.0746*LOOKUP(I17,密度!$A$2:$A$50,密度!$U$2:$U$50)</f>
        <v>83.95819920000001</v>
      </c>
      <c r="J16" s="73" ph="1">
        <f>J15*9.0746*LOOKUP(J17,密度!$A$2:$A$50,密度!$L$2:$L$50)</f>
        <v>31430.203785599999</v>
      </c>
      <c r="K16" s="73" ph="1">
        <f>K15*9.0746*LOOKUP(K17,密度!$A$2:$A$50,密度!$C$2:$C$50)</f>
        <v>1711.19913692</v>
      </c>
      <c r="L16" s="73" ph="1">
        <f>L15*9.0746*LOOKUP(L17,密度!$A$2:$A$50,密度!$E$2:$E$50)</f>
        <v>45382.50201366</v>
      </c>
      <c r="M16" s="73" ph="1">
        <f>M15*9.0746*LOOKUP(M17,密度!$A$2:$A$50,密度!$M$2:$M$50)</f>
        <v>31402.283963779999</v>
      </c>
      <c r="N16" s="73" ph="1">
        <f>N15*9.0746*LOOKUP(N17,密度!$A$2:$A$50,密度!$M$2:$M$50)</f>
        <v>12565.706607740001</v>
      </c>
      <c r="O16" s="73" ph="1">
        <f>O15*9.0746*LOOKUP(O17,密度!$A$2:$A$50,密度!$G$2:$G$50)</f>
        <v>1985.2320928000001</v>
      </c>
      <c r="P16" s="73" ph="1">
        <f ca="1">P15*9.0746*LOOKUP(P17,密度!$A$2:$A$51,密度!$Q$2:$Q$50)</f>
        <v>0</v>
      </c>
      <c r="Q16" s="73" ph="1">
        <f>Q15*9.0746*LOOKUP(Q17,密度!$A$2:$A$50,密度!$Q$2:$Q$50)</f>
        <v>12785.882720080001</v>
      </c>
      <c r="R16" s="73" ph="1">
        <f>MAX(R15*9.0746*LOOKUP(R17,密度!$A$2:$A$50,密度!$B$2:$B$50),0)</f>
        <v>24879.428815220002</v>
      </c>
      <c r="S16" s="73" ph="1">
        <f>S15*9.0746*LOOKUP(S17,密度!$A$2:$A$50,密度!$Q$2:$Q$50)</f>
        <v>48654.839798028006</v>
      </c>
      <c r="T16" s="73" ph="1">
        <f>T15*9.0746*LOOKUP(T17,密度!$A$2:$A$50,密度!$O$2:$O$50)</f>
        <v>56770.0805272</v>
      </c>
      <c r="U16" s="73" ph="1">
        <f>U15*9.0746*LOOKUP(U17,密度!$A$2:$A$50,密度!$H$2:$H$50)</f>
        <v>15843.073716919998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198.19152201600082</v>
      </c>
      <c r="X16" s="73" ph="1">
        <f>MAX(5600*LOOKUP(X17,密度!$A$2:$A$50,密度!$I$2:$I$50)+X15*9.0476*LOOKUP(X17,密度!$A$2:$A$50,密度!$I$2:$I$50),0)</f>
        <v>10439.746398359999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17927.0174936</v>
      </c>
      <c r="AB16" s="73" ph="1">
        <f>AB15*9.0746*LOOKUP(AB17,密度!$A$2:$A$50,密度!$L$2:$L$50)</f>
        <v>58782.790508799997</v>
      </c>
      <c r="AC16" s="73" ph="1">
        <f>AC15*9.0746*LOOKUP(AC17,密度!$A$2:$A$50,密度!$L$2:$L$50)</f>
        <v>55952.096083199998</v>
      </c>
      <c r="AD16" s="73" ph="1">
        <f>AD15*268.68*LOOKUP(AD17,密度!$A$2:$A$50,密度!B2:B50)+IF(AD15&lt;=0,0,1566*LOOKUP(AD17,密度!$A$2:$A$50,密度!B2:B50))</f>
        <v>3191.8997524799997</v>
      </c>
      <c r="AE16" s="73" ph="1">
        <f>AE15*268.68*LOOKUP(AE17,密度!$A$2:$A$50,密度!B2:B50)+IF(AE15&lt;=0,0,1566*LOOKUP(AE17,密度!$A$2:$A$50,密度!B2:B50))</f>
        <v>18943.511938079999</v>
      </c>
      <c r="AH16" s="72" ph="1">
        <v>2</v>
      </c>
      <c r="AI16" s="72" t="s" ph="1">
        <v>378</v>
      </c>
      <c r="AZ16" s="72" t="s" ph="1">
        <v>257</v>
      </c>
      <c r="BA16" s="72" ph="1">
        <v>0</v>
      </c>
    </row>
    <row r="17" spans="1:57" ph="1">
      <c r="A17" s="64" t="s" ph="1">
        <v>85</v>
      </c>
      <c r="B17" s="219" ph="1"/>
      <c r="C17" s="79" t="s" ph="1">
        <v>210</v>
      </c>
      <c r="D17" s="74">
        <v>18</v>
      </c>
      <c r="E17" s="74">
        <v>18</v>
      </c>
      <c r="F17" s="74">
        <v>19</v>
      </c>
      <c r="G17" s="74">
        <v>16</v>
      </c>
      <c r="H17" s="74">
        <v>12</v>
      </c>
      <c r="I17" s="74">
        <v>14</v>
      </c>
      <c r="J17" s="74">
        <v>18</v>
      </c>
      <c r="K17" s="74">
        <v>15</v>
      </c>
      <c r="L17" s="74">
        <v>15</v>
      </c>
      <c r="M17" s="74">
        <v>18</v>
      </c>
      <c r="N17" s="74">
        <v>16</v>
      </c>
      <c r="O17" s="74">
        <v>18</v>
      </c>
      <c r="P17" s="74">
        <v>15</v>
      </c>
      <c r="Q17" s="74">
        <v>18</v>
      </c>
      <c r="R17" s="74">
        <v>19</v>
      </c>
      <c r="S17" s="74">
        <v>15</v>
      </c>
      <c r="T17" s="74">
        <v>15</v>
      </c>
      <c r="U17" s="74">
        <v>14</v>
      </c>
      <c r="V17" s="74">
        <v>15</v>
      </c>
      <c r="W17" s="74">
        <v>15</v>
      </c>
      <c r="X17" s="74">
        <v>29</v>
      </c>
      <c r="Y17" s="108">
        <v>29</v>
      </c>
      <c r="Z17" s="74">
        <v>15</v>
      </c>
      <c r="AA17" s="74">
        <v>15</v>
      </c>
      <c r="AB17" s="74">
        <v>18</v>
      </c>
      <c r="AC17" s="74">
        <v>14</v>
      </c>
      <c r="AD17" s="74">
        <v>25</v>
      </c>
      <c r="AE17" s="74">
        <v>25</v>
      </c>
      <c r="AH17" s="64" ph="1">
        <v>3</v>
      </c>
      <c r="AI17" s="64" t="s" ph="1">
        <v>379</v>
      </c>
      <c r="AK17" s="64" t="s" ph="1">
        <v>611</v>
      </c>
      <c r="AL17" s="64" ph="1">
        <v>80</v>
      </c>
      <c r="AM17" s="64" t="s" ph="1">
        <v>376</v>
      </c>
      <c r="AZ17" s="64" t="s" ph="1">
        <v>257</v>
      </c>
      <c r="BA17" s="64" ph="1">
        <v>80</v>
      </c>
      <c r="BD17" s="64" t="s" ph="1">
        <v>255</v>
      </c>
      <c r="BE17" s="64" ph="1">
        <v>2270</v>
      </c>
    </row>
    <row r="18" spans="1:57" ph="1">
      <c r="B18" s="217" ph="1">
        <v>0.66666666666666663</v>
      </c>
      <c r="C18" s="79" t="s" ph="1">
        <v>211</v>
      </c>
      <c r="D18" s="71">
        <v>0</v>
      </c>
      <c r="E18" s="71">
        <v>95</v>
      </c>
      <c r="F18" s="71">
        <v>3652</v>
      </c>
      <c r="G18" s="71">
        <v>3610</v>
      </c>
      <c r="H18" s="71">
        <v>2869</v>
      </c>
      <c r="I18" s="71">
        <v>8</v>
      </c>
      <c r="J18" s="71">
        <v>2329</v>
      </c>
      <c r="K18" s="71">
        <v>350</v>
      </c>
      <c r="L18" s="71">
        <v>6301</v>
      </c>
      <c r="M18" s="71">
        <v>3937</v>
      </c>
      <c r="N18" s="71">
        <v>2666</v>
      </c>
      <c r="O18" s="71">
        <v>224</v>
      </c>
      <c r="P18" s="71">
        <v>0</v>
      </c>
      <c r="Q18" s="71">
        <v>1476</v>
      </c>
      <c r="R18" s="71">
        <v>3495</v>
      </c>
      <c r="S18" s="71">
        <v>5620</v>
      </c>
      <c r="T18" s="71">
        <v>6088</v>
      </c>
      <c r="U18" s="71">
        <v>3639</v>
      </c>
      <c r="V18" s="71">
        <v>-2017</v>
      </c>
      <c r="W18" s="71">
        <v>-595</v>
      </c>
      <c r="X18" s="71">
        <v>492</v>
      </c>
      <c r="Y18" s="109">
        <v>-9903</v>
      </c>
      <c r="Z18" s="71">
        <v>0</v>
      </c>
      <c r="AA18" s="71">
        <v>2507</v>
      </c>
      <c r="AB18" s="71">
        <v>5867</v>
      </c>
      <c r="AC18" s="71">
        <v>6509</v>
      </c>
      <c r="AD18" s="71">
        <v>34.909999999999997</v>
      </c>
      <c r="AE18" s="71">
        <v>84.21</v>
      </c>
      <c r="AH18" s="64" ph="1">
        <v>4</v>
      </c>
      <c r="AI18" s="64" t="s" ph="1">
        <v>381</v>
      </c>
      <c r="AJ18" s="64" t="s" ph="1">
        <v>629</v>
      </c>
      <c r="AK18" s="64" t="s" ph="1">
        <v>628</v>
      </c>
      <c r="AL18" s="64" ph="1">
        <v>740</v>
      </c>
      <c r="AM18" s="64" t="s" ph="1">
        <v>380</v>
      </c>
      <c r="AZ18" s="64" t="s" ph="1">
        <v>257</v>
      </c>
      <c r="BA18" s="64" ph="1">
        <v>740</v>
      </c>
    </row>
    <row r="19" spans="1:57" s="72" customFormat="1" ht="22.5" ph="1">
      <c r="B19" s="218" ph="1"/>
      <c r="C19" s="171" t="s" ph="1">
        <v>209</v>
      </c>
      <c r="D19" s="73" ph="1">
        <f>D18*7.0686*LOOKUP(D20,密度!$A$2:$A$50,密度!$L$2:$L$50)</f>
        <v>0</v>
      </c>
      <c r="E19" s="73" ph="1">
        <f>E18*7.0686*LOOKUP(E20,密度!$A$2:$A$50,密度!$L$2:$L$50)</f>
        <v>633.24053100000003</v>
      </c>
      <c r="F19" s="73" ph="1">
        <f>F18*9.0746*LOOKUP(F20,密度!$A$2:$A$50,密度!$L$2:$L$50)</f>
        <v>31185.153287199999</v>
      </c>
      <c r="G19" s="73" ph="1">
        <f>G18*9.0746*LOOKUP(G20,密度!$A$2:$A$50,密度!$B$2:$B$50)</f>
        <v>25761.918238400001</v>
      </c>
      <c r="H19" s="73" ph="1">
        <f>H18*9.0746*LOOKUP(H20,密度!$A$2:$A$50,密度!$L$2:$L$50)</f>
        <v>24681.205975199999</v>
      </c>
      <c r="I19" s="73" ph="1">
        <f>I18*9.0746*LOOKUP(I20,密度!$A$2:$A$50,密度!$U$2:$U$50)</f>
        <v>74.629510400000001</v>
      </c>
      <c r="J19" s="73" ph="1">
        <f>J18*9.0746*LOOKUP(J20,密度!$A$2:$A$50,密度!$L$2:$L$50)</f>
        <v>19930.063026199998</v>
      </c>
      <c r="K19" s="73" ph="1">
        <f>K18*9.0746*LOOKUP(K20,密度!$A$2:$A$50,密度!$C$2:$C$50)</f>
        <v>3537.8689289999998</v>
      </c>
      <c r="L19" s="73" ph="1">
        <f>L18*9.0746*LOOKUP(L20,密度!$A$2:$A$50,密度!$E$2:$E$50)</f>
        <v>45251.503810440001</v>
      </c>
      <c r="M19" s="73" ph="1">
        <f>M18*9.0746*LOOKUP(M20,密度!$A$2:$A$50,密度!$M$2:$M$50)</f>
        <v>31450.214186059999</v>
      </c>
      <c r="N19" s="73" ph="1">
        <f>N18*9.0746*LOOKUP(N20,密度!$A$2:$A$50,密度!$M$2:$M$50)</f>
        <v>21296.995433079999</v>
      </c>
      <c r="O19" s="73" ph="1">
        <f>O18*9.0746*LOOKUP(O20,密度!$A$2:$A$50,密度!$G$2:$G$50)</f>
        <v>1963.39497536</v>
      </c>
      <c r="P19" s="73" ph="1">
        <f ca="1">P18*9.0746*LOOKUP(P20,密度!$A$2:$A$51,密度!$Q$2:$Q$50)</f>
        <v>0</v>
      </c>
      <c r="Q19" s="73" ph="1">
        <f>Q18*9.0746*LOOKUP(Q20,密度!$A$2:$A$50,密度!$Q$2:$Q$50)</f>
        <v>12740.878874808001</v>
      </c>
      <c r="R19" s="73" ph="1">
        <f>MAX(R18*9.0746*LOOKUP(R20,密度!$A$2:$A$50,密度!$B$2:$B$50),0)</f>
        <v>24868.301540700002</v>
      </c>
      <c r="S19" s="73" ph="1">
        <f>S18*9.0746*LOOKUP(S20,密度!$A$2:$A$50,密度!$Q$2:$Q$50)</f>
        <v>48551.797896520002</v>
      </c>
      <c r="T19" s="73" ph="1">
        <f>T18*9.0746*LOOKUP(T20,密度!$A$2:$A$50,密度!$O$2:$O$50)</f>
        <v>51599.917923200002</v>
      </c>
      <c r="U19" s="73" ph="1">
        <f>U18*9.0746*LOOKUP(U20,密度!$A$2:$A$50,密度!$H$2:$H$50)</f>
        <v>30436.810045980001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206.27962278000086</v>
      </c>
      <c r="X19" s="73" ph="1">
        <f>MAX(5600*LOOKUP(X20,密度!$A$2:$A$50,密度!$I$2:$I$50)+X18*9.0476*LOOKUP(X20,密度!$A$2:$A$50,密度!$I$2:$I$50),0)</f>
        <v>10419.30114272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17927.0174936</v>
      </c>
      <c r="AB19" s="73" ph="1">
        <f>AB18*9.0746*LOOKUP(AB20,密度!$A$2:$A$50,密度!$L$2:$L$50)</f>
        <v>50205.959542600001</v>
      </c>
      <c r="AC19" s="73" ph="1">
        <f>AC18*9.0746*LOOKUP(AC20,密度!$A$2:$A$50,密度!$L$2:$L$50)</f>
        <v>55876.9765444</v>
      </c>
      <c r="AD19" s="73" ph="1">
        <f>AD18*268.68*LOOKUP(AD20,密度!$A$2:$A$50,密度!B5:B53)+IF(AD18&lt;=0,0,1566*LOOKUP(AD20,密度!$A$2:$A$50,密度!B5:B53))</f>
        <v>8504.7458076000003</v>
      </c>
      <c r="AE19" s="73" ph="1">
        <f>AE18*268.68*LOOKUP(AE20,密度!$A$2:$A$50,密度!B5:B53)+IF(AE18&lt;=0,0,1566*LOOKUP(AE20,密度!$A$2:$A$50,密度!B5:B53))</f>
        <v>18796.8287556</v>
      </c>
      <c r="AH19" s="72" ph="1">
        <v>5</v>
      </c>
      <c r="AI19" s="72" t="s" ph="1">
        <v>382</v>
      </c>
      <c r="AZ19" s="72" t="s" ph="1">
        <v>257</v>
      </c>
      <c r="BA19" s="72" ph="1">
        <v>0</v>
      </c>
      <c r="BD19" s="72" t="s" ph="1">
        <v>383</v>
      </c>
      <c r="BE19" s="72" ph="1">
        <v>1440</v>
      </c>
    </row>
    <row r="20" spans="1:57" ph="1">
      <c r="A20" s="72" ph="1"/>
      <c r="B20" s="218" ph="1"/>
      <c r="C20" s="80" t="s" ph="1">
        <v>210</v>
      </c>
      <c r="D20" s="81">
        <v>19</v>
      </c>
      <c r="E20" s="81">
        <v>19</v>
      </c>
      <c r="F20" s="81">
        <v>21</v>
      </c>
      <c r="G20" s="81">
        <v>17</v>
      </c>
      <c r="H20" s="81">
        <v>14</v>
      </c>
      <c r="I20" s="81">
        <v>17</v>
      </c>
      <c r="J20" s="81">
        <v>19</v>
      </c>
      <c r="K20" s="81">
        <v>18</v>
      </c>
      <c r="L20" s="81">
        <v>18</v>
      </c>
      <c r="M20" s="81">
        <v>20</v>
      </c>
      <c r="N20" s="81">
        <v>18</v>
      </c>
      <c r="O20" s="81">
        <v>20</v>
      </c>
      <c r="P20" s="81">
        <v>24</v>
      </c>
      <c r="Q20" s="81">
        <v>19</v>
      </c>
      <c r="R20" s="81">
        <v>20</v>
      </c>
      <c r="S20" s="81">
        <v>18</v>
      </c>
      <c r="T20" s="81">
        <v>19</v>
      </c>
      <c r="U20" s="81">
        <v>18</v>
      </c>
      <c r="V20" s="81">
        <v>18</v>
      </c>
      <c r="W20" s="81">
        <v>18</v>
      </c>
      <c r="X20" s="81">
        <v>30</v>
      </c>
      <c r="Y20" s="110">
        <v>30</v>
      </c>
      <c r="Z20" s="81">
        <v>16</v>
      </c>
      <c r="AA20" s="81">
        <v>15</v>
      </c>
      <c r="AB20" s="81">
        <v>19</v>
      </c>
      <c r="AC20" s="81">
        <v>16</v>
      </c>
      <c r="AD20" s="81">
        <v>25</v>
      </c>
      <c r="AE20" s="81">
        <v>25</v>
      </c>
      <c r="AH20" s="64" ph="1">
        <v>6</v>
      </c>
      <c r="AI20" s="64" t="s" ph="1">
        <v>384</v>
      </c>
      <c r="AZ20" s="64" t="s" ph="1">
        <v>257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385</v>
      </c>
      <c r="AZ21" s="64" t="s" ph="1">
        <v>257</v>
      </c>
      <c r="BA21" s="64" ph="1">
        <v>0</v>
      </c>
      <c r="BD21" s="64" t="s" ph="1">
        <v>273</v>
      </c>
      <c r="BE21" s="64" ph="1">
        <v>730</v>
      </c>
    </row>
    <row r="22" spans="1:57" ph="1">
      <c r="A22" s="72" ph="1"/>
      <c r="B22" s="216" t="s" ph="1">
        <v>37</v>
      </c>
      <c r="C22" s="85" t="s" ph="1">
        <v>207</v>
      </c>
      <c r="D22" s="86" t="s" ph="1">
        <v>103</v>
      </c>
      <c r="E22" s="86" t="s" ph="1">
        <v>104</v>
      </c>
      <c r="F22" s="86" t="s" ph="1">
        <v>105</v>
      </c>
      <c r="G22" s="86" t="s" ph="1">
        <v>106</v>
      </c>
      <c r="H22" s="86" t="s" ph="1">
        <v>107</v>
      </c>
      <c r="I22" s="86" t="s" ph="1">
        <v>108</v>
      </c>
      <c r="J22" s="86" t="s" ph="1">
        <v>109</v>
      </c>
      <c r="K22" s="86" t="s" ph="1">
        <v>110</v>
      </c>
      <c r="L22" s="86" t="s" ph="1">
        <v>111</v>
      </c>
      <c r="M22" s="86" t="s" ph="1">
        <v>112</v>
      </c>
      <c r="N22" s="86" t="s" ph="1">
        <v>113</v>
      </c>
      <c r="O22" s="86" t="s" ph="1">
        <v>114</v>
      </c>
      <c r="P22" s="86" t="s" ph="1">
        <v>115</v>
      </c>
      <c r="Q22" s="87" t="s" ph="1">
        <v>116</v>
      </c>
      <c r="R22" s="86" t="s" ph="1">
        <v>117</v>
      </c>
      <c r="S22" s="86" t="s" ph="1">
        <v>118</v>
      </c>
      <c r="T22" s="86" t="s" ph="1">
        <v>119</v>
      </c>
      <c r="U22" s="86" t="s" ph="1">
        <v>120</v>
      </c>
      <c r="V22" s="86" t="s" ph="1">
        <v>121</v>
      </c>
      <c r="W22" s="86" t="s" ph="1">
        <v>122</v>
      </c>
      <c r="X22" s="86" t="s" ph="1">
        <v>123</v>
      </c>
      <c r="Y22" s="86" t="s" ph="1">
        <v>125</v>
      </c>
      <c r="Z22" s="195" t="s" ph="1">
        <v>79</v>
      </c>
      <c r="AA22" s="196"/>
      <c r="AB22" s="196"/>
      <c r="AC22" s="196"/>
      <c r="AD22" s="196"/>
      <c r="AE22" s="197"/>
      <c r="AH22" s="64" ph="1">
        <v>8</v>
      </c>
      <c r="AI22" s="64" t="s" ph="1">
        <v>386</v>
      </c>
      <c r="AZ22" s="64" t="s" ph="1">
        <v>257</v>
      </c>
      <c r="BA22" s="64" ph="1">
        <v>0</v>
      </c>
    </row>
    <row r="23" spans="1:57" ph="1">
      <c r="A23" s="72" ph="1"/>
      <c r="B23" s="211" ph="1"/>
      <c r="C23" s="67" t="s" ph="1">
        <v>36</v>
      </c>
      <c r="D23" s="88" t="s" ph="1">
        <v>127</v>
      </c>
      <c r="E23" s="88" t="s" ph="1">
        <v>124</v>
      </c>
      <c r="F23" s="88" t="s" ph="1">
        <v>127</v>
      </c>
      <c r="G23" s="88" t="s" ph="1">
        <v>679</v>
      </c>
      <c r="H23" s="88" t="s" ph="1">
        <v>679</v>
      </c>
      <c r="I23" s="88" t="s" ph="1">
        <v>680</v>
      </c>
      <c r="J23" s="88" t="s" ph="1">
        <v>681</v>
      </c>
      <c r="K23" s="88" t="s" ph="1">
        <v>682</v>
      </c>
      <c r="L23" s="88" t="s" ph="1">
        <v>682</v>
      </c>
      <c r="M23" s="88" t="s" ph="1">
        <v>675</v>
      </c>
      <c r="N23" s="88" t="s" ph="1">
        <v>675</v>
      </c>
      <c r="O23" s="88" t="s" ph="1">
        <v>359</v>
      </c>
      <c r="P23" s="88" t="s" ph="1">
        <v>666</v>
      </c>
      <c r="Q23" s="89" t="s" ph="1">
        <v>666</v>
      </c>
      <c r="R23" s="88" t="s" ph="1">
        <v>659</v>
      </c>
      <c r="S23" s="88" t="s" ph="1">
        <v>683</v>
      </c>
      <c r="T23" s="88" t="s" ph="1">
        <v>647</v>
      </c>
      <c r="U23" s="88" t="s" ph="1">
        <v>653</v>
      </c>
      <c r="V23" s="88" t="s" ph="1">
        <v>684</v>
      </c>
      <c r="W23" s="88" t="s" ph="1">
        <v>684</v>
      </c>
      <c r="X23" s="88" t="s" ph="1">
        <v>228</v>
      </c>
      <c r="Y23" s="88" t="s" ph="1">
        <v>686</v>
      </c>
      <c r="Z23" s="198" t="s" ph="1">
        <v>690</v>
      </c>
      <c r="AA23" s="199"/>
      <c r="AB23" s="199"/>
      <c r="AC23" s="199"/>
      <c r="AD23" s="199"/>
      <c r="AE23" s="200"/>
      <c r="AH23" s="64" ph="1">
        <v>9</v>
      </c>
      <c r="AI23" s="64" t="s" ph="1">
        <v>387</v>
      </c>
      <c r="AZ23" s="64" t="s" ph="1">
        <v>257</v>
      </c>
      <c r="BA23" s="64" ph="1">
        <v>0</v>
      </c>
      <c r="BD23" s="64" t="s" ph="1">
        <v>279</v>
      </c>
      <c r="BE23" s="64" ph="1">
        <v>890</v>
      </c>
    </row>
    <row r="24" spans="1:57" ph="1">
      <c r="A24" s="72" ph="1"/>
      <c r="B24" s="207" ph="1">
        <v>0.33333333333333331</v>
      </c>
      <c r="C24" s="171" t="s" ph="1">
        <v>208</v>
      </c>
      <c r="D24" s="71">
        <v>98.61</v>
      </c>
      <c r="E24" s="71">
        <v>95.41</v>
      </c>
      <c r="F24" s="71">
        <v>4017</v>
      </c>
      <c r="G24" s="71">
        <v>3551</v>
      </c>
      <c r="H24" s="71">
        <v>2740</v>
      </c>
      <c r="I24" s="71">
        <v>4181</v>
      </c>
      <c r="J24" s="71">
        <v>1543</v>
      </c>
      <c r="K24" s="71">
        <v>5611</v>
      </c>
      <c r="L24" s="71">
        <v>5584</v>
      </c>
      <c r="M24" s="71">
        <v>4866</v>
      </c>
      <c r="N24" s="71">
        <v>2586</v>
      </c>
      <c r="O24" s="71">
        <v>2061</v>
      </c>
      <c r="P24" s="71">
        <v>2520</v>
      </c>
      <c r="Q24" s="90">
        <v>3149</v>
      </c>
      <c r="R24" s="71">
        <v>6733</v>
      </c>
      <c r="S24" s="71">
        <v>2505</v>
      </c>
      <c r="T24" s="71">
        <v>4</v>
      </c>
      <c r="U24" s="71">
        <v>5710</v>
      </c>
      <c r="V24" s="71">
        <v>419</v>
      </c>
      <c r="W24" s="71">
        <v>10998</v>
      </c>
      <c r="X24" s="71">
        <v>8570</v>
      </c>
      <c r="Y24" s="71">
        <v>2183</v>
      </c>
      <c r="Z24" s="201"/>
      <c r="AA24" s="202"/>
      <c r="AB24" s="202"/>
      <c r="AC24" s="202"/>
      <c r="AD24" s="202"/>
      <c r="AE24" s="203"/>
      <c r="AH24" s="64" ph="1">
        <v>10</v>
      </c>
      <c r="AI24" s="64" t="s" ph="1">
        <v>388</v>
      </c>
      <c r="AZ24" s="64" t="s" ph="1">
        <v>257</v>
      </c>
      <c r="BA24" s="64" ph="1">
        <v>0</v>
      </c>
    </row>
    <row r="25" spans="1:57" ph="1">
      <c r="A25" s="72" ph="1"/>
      <c r="B25" s="207" ph="1"/>
      <c r="C25" s="68" t="s" ph="1">
        <v>209</v>
      </c>
      <c r="D25" s="91" ph="1">
        <f>D24*268.68*LOOKUP(D26,密度!$A$2:$A$50,密度!$Q$2:$Q$50)+IF(D24&lt;=0,0,1566*LOOKUP(D26,密度!$A$2:$A$50,密度!$Q$2:$Q$50))</f>
        <v>26566.030716552003</v>
      </c>
      <c r="E25" s="91" ph="1">
        <f>E24*268.68*LOOKUP(E26,密度!$A$2:$A$50,密度!$C$2:$C$50)+IF(E24&lt;=0,0,1566*LOOKUP(E26,密度!$A$2:$A$50,密度!$C$2:$C$50))</f>
        <v>30162.92143332</v>
      </c>
      <c r="F25" s="91" ph="1">
        <f>F24*11.702*LOOKUP(F26,密度!$A$2:$A$50,密度!$Q$2:$Q$50)</f>
        <v>44751.071237340002</v>
      </c>
      <c r="G25" s="91" ph="1">
        <f>G24*18.322*LOOKUP(G26,密度!$A$2:$A$50,密度!$B$2:$B$50)</f>
        <v>51216.351398400002</v>
      </c>
      <c r="H25" s="91" ph="1">
        <f>H24*18.322*LOOKUP(H26,密度!$A$2:$A$50,密度!$B$2:$B$50)</f>
        <v>39559.396639999999</v>
      </c>
      <c r="I25" s="91" ph="1">
        <f>I24*18.322*LOOKUP(I26,密度!$A$2:$A$50,密度!$Q$2:$Q$50)</f>
        <v>73049.843315199993</v>
      </c>
      <c r="J25" s="91" ph="1">
        <f>J24*18.322*LOOKUP(J26,密度!$A$2:$A$50,密度!$Q$2:$Q$50)</f>
        <v>26959.078745599996</v>
      </c>
      <c r="K25" s="91" ph="1">
        <f>K24*18.322*LOOKUP(K26,密度!$A$2:$A$50,密度!$Q$2:$Q$50)</f>
        <v>98034.601971199998</v>
      </c>
      <c r="L25" s="91" ph="1">
        <f>L24*18.322*LOOKUP(L26,密度!$A$2:$A$50,密度!$Q$2:$Q$50)</f>
        <v>97562.861772799995</v>
      </c>
      <c r="M25" s="91" ph="1">
        <f>M24*18.322*LOOKUP(M26,密度!$A$2:$A$50,密度!$Q$2:$Q$50)</f>
        <v>85018.066867200003</v>
      </c>
      <c r="N25" s="91" ph="1">
        <f>N24*18.322*LOOKUP(N26,密度!$A$2:$A$50,密度!$Q$2:$Q$50)</f>
        <v>45226.765741679999</v>
      </c>
      <c r="O25" s="91" ph="1">
        <f>O24*18.322*LOOKUP(O26,密度!$A$2:$A$50,密度!$C$2:$C$50)</f>
        <v>42164.649457200001</v>
      </c>
      <c r="P25" s="91" ph="1">
        <f>P24*11.702*LOOKUP(P26,密度!$A$2:$A$50,密度!$B$2:$B$50)</f>
        <v>23169.538728</v>
      </c>
      <c r="Q25" s="92" ph="1">
        <f>Q24*18.322*LOOKUP(Q26,密度!$A$2:$A$50,密度!$B$2:$B$50)</f>
        <v>45418.273881599998</v>
      </c>
      <c r="R25" s="91" ph="1">
        <f>R24*35.891*LOOKUP(R26,密度!$A$2:$A$50,密度!$C$2:$C$50)</f>
        <v>269492.65566559997</v>
      </c>
      <c r="S25" s="91" ph="1">
        <f>S24*35.891*LOOKUP(S26,密度!$A$2:$A$50,密度!$B$2:$B$50)</f>
        <v>70774.754975999997</v>
      </c>
      <c r="T25" s="91" ph="1">
        <f>T24*35.891*LOOKUP(T26,密度!$A$2:$A$50,密度!$Q$2:$Q$50)</f>
        <v>136.90263039999999</v>
      </c>
      <c r="U25" s="91" ph="1">
        <f>U24*35.891</f>
        <v>204937.61</v>
      </c>
      <c r="V25" s="91" ph="1">
        <f>V24*47.051*LOOKUP(V26,密度!$A$2:$A$50,密度!$B$2:$B$50)</f>
        <v>15534.922772000002</v>
      </c>
      <c r="W25" s="91" ph="1">
        <f>W24*47.051*LOOKUP(W26,密度!$A$2:$A$50,密度!$B$2:$B$50)</f>
        <v>406935.96858720004</v>
      </c>
      <c r="X25" s="91" ph="1">
        <f>X24*47.051*LOOKUP(X26,密度!$A$2:$A$50,密度!$I$2:$I$50)</f>
        <v>417598.08277479996</v>
      </c>
      <c r="Y25" s="91" ph="1">
        <f>Y24*47.051*LOOKUP(Y26,密度!$A$2:$A$50,密度!$L$2:$L$50)</f>
        <v>97063.154684999987</v>
      </c>
      <c r="Z25" s="201"/>
      <c r="AA25" s="202"/>
      <c r="AB25" s="202"/>
      <c r="AC25" s="202"/>
      <c r="AD25" s="202"/>
      <c r="AE25" s="203"/>
      <c r="AH25" s="64" ph="1">
        <v>11</v>
      </c>
      <c r="AI25" s="64" t="s" ph="1">
        <v>389</v>
      </c>
      <c r="AZ25" s="64" t="s" ph="1">
        <v>257</v>
      </c>
      <c r="BA25" s="64" ph="1">
        <v>0</v>
      </c>
      <c r="BD25" s="64" t="s" ph="1">
        <v>282</v>
      </c>
      <c r="BE25" s="64" ph="1">
        <v>8920</v>
      </c>
    </row>
    <row r="26" spans="1:57" ph="1">
      <c r="A26" s="72" ph="1"/>
      <c r="B26" s="207" ph="1"/>
      <c r="C26" s="68" t="s" ph="1">
        <v>210</v>
      </c>
      <c r="D26" s="74">
        <v>25</v>
      </c>
      <c r="E26" s="74">
        <v>25</v>
      </c>
      <c r="F26" s="74">
        <v>18</v>
      </c>
      <c r="G26" s="74">
        <v>16</v>
      </c>
      <c r="H26" s="74">
        <v>15</v>
      </c>
      <c r="I26" s="74">
        <v>16</v>
      </c>
      <c r="J26" s="74">
        <v>16</v>
      </c>
      <c r="K26" s="74">
        <v>16</v>
      </c>
      <c r="L26" s="74">
        <v>16</v>
      </c>
      <c r="M26" s="74">
        <v>16</v>
      </c>
      <c r="N26" s="74">
        <v>15</v>
      </c>
      <c r="O26" s="74">
        <v>14</v>
      </c>
      <c r="P26" s="74">
        <v>18</v>
      </c>
      <c r="Q26" s="93">
        <v>16</v>
      </c>
      <c r="R26" s="74">
        <v>16</v>
      </c>
      <c r="S26" s="74">
        <v>16</v>
      </c>
      <c r="T26" s="74">
        <v>16</v>
      </c>
      <c r="U26" s="74">
        <v>18</v>
      </c>
      <c r="V26" s="74">
        <v>15</v>
      </c>
      <c r="W26" s="74">
        <v>17</v>
      </c>
      <c r="X26" s="74">
        <v>52</v>
      </c>
      <c r="Y26" s="74">
        <v>17</v>
      </c>
      <c r="Z26" s="201"/>
      <c r="AA26" s="202"/>
      <c r="AB26" s="202"/>
      <c r="AC26" s="202"/>
      <c r="AD26" s="202"/>
      <c r="AE26" s="203"/>
      <c r="AH26" s="64" ph="1">
        <v>12</v>
      </c>
      <c r="AI26" s="64" t="s" ph="1">
        <v>390</v>
      </c>
      <c r="AZ26" s="64" t="s" ph="1">
        <v>257</v>
      </c>
      <c r="BA26" s="64" ph="1">
        <v>0</v>
      </c>
    </row>
    <row r="27" spans="1:57" ph="1">
      <c r="A27" s="72" ph="1"/>
      <c r="B27" s="207" ph="1">
        <v>0.66666666666666663</v>
      </c>
      <c r="C27" s="171" t="s" ph="1">
        <v>211</v>
      </c>
      <c r="D27" s="71">
        <v>98.71</v>
      </c>
      <c r="E27" s="71">
        <v>95.41</v>
      </c>
      <c r="F27" s="71">
        <v>4018</v>
      </c>
      <c r="G27" s="71">
        <v>3080</v>
      </c>
      <c r="H27" s="71">
        <v>2390</v>
      </c>
      <c r="I27" s="71">
        <v>4179</v>
      </c>
      <c r="J27" s="71">
        <v>3766</v>
      </c>
      <c r="K27" s="71">
        <v>5611</v>
      </c>
      <c r="L27" s="71">
        <v>5583</v>
      </c>
      <c r="M27" s="71">
        <v>4867</v>
      </c>
      <c r="N27" s="71">
        <v>3707</v>
      </c>
      <c r="O27" s="71">
        <v>2058</v>
      </c>
      <c r="P27" s="71">
        <v>2519</v>
      </c>
      <c r="Q27" s="90">
        <v>2715</v>
      </c>
      <c r="R27" s="71">
        <v>6739</v>
      </c>
      <c r="S27" s="71">
        <v>2504</v>
      </c>
      <c r="T27" s="71">
        <v>0</v>
      </c>
      <c r="U27" s="71">
        <v>5720</v>
      </c>
      <c r="V27" s="71">
        <v>413</v>
      </c>
      <c r="W27" s="71">
        <v>11478</v>
      </c>
      <c r="X27" s="71">
        <v>8626</v>
      </c>
      <c r="Y27" s="71">
        <v>586</v>
      </c>
      <c r="Z27" s="201"/>
      <c r="AA27" s="202"/>
      <c r="AB27" s="202"/>
      <c r="AC27" s="202"/>
      <c r="AD27" s="202"/>
      <c r="AE27" s="203"/>
      <c r="AH27" s="64" ph="1">
        <v>13</v>
      </c>
      <c r="AI27" s="64" t="s" ph="1">
        <v>391</v>
      </c>
      <c r="AZ27" s="64" t="s" ph="1">
        <v>257</v>
      </c>
      <c r="BA27" s="64" ph="1">
        <v>0</v>
      </c>
      <c r="BD27" s="64" t="s" ph="1">
        <v>336</v>
      </c>
      <c r="BE27" s="64" ph="1">
        <v>7100</v>
      </c>
    </row>
    <row r="28" spans="1:57" ph="1">
      <c r="A28" s="72" ph="1"/>
      <c r="B28" s="207" ph="1"/>
      <c r="C28" s="171" t="s" ph="1">
        <v>209</v>
      </c>
      <c r="D28" s="91" ph="1">
        <f>D27*268.68*LOOKUP(D29,密度!$A$2:$A$50,密度!$Q$2:$Q$50)+IF(D27&lt;=0,0,1566*LOOKUP(D29,密度!$A$2:$A$50,密度!$Q$2:$Q$50))</f>
        <v>26591.467726872001</v>
      </c>
      <c r="E28" s="91" ph="1">
        <f>E27*268.68*LOOKUP(E29,密度!$A$2:$A$50,密度!$C$2:$C$50)+IF(E27&lt;=0,0,1566*LOOKUP(E29,密度!$A$2:$A$50,密度!$C$2:$C$50))</f>
        <v>30162.92143332</v>
      </c>
      <c r="F28" s="91" ph="1">
        <f>F27*11.702*LOOKUP(F29,密度!$A$2:$A$50,密度!$Q$2:$Q$50)</f>
        <v>44762.21165836</v>
      </c>
      <c r="G28" s="91" ph="1">
        <f>G27*18.322*LOOKUP(G29,密度!$A$2:$A$50,密度!$B$2:$B$50)</f>
        <v>44338.433831999995</v>
      </c>
      <c r="H28" s="91" ph="1">
        <f>H27*18.322*LOOKUP(H29,密度!$A$2:$A$50,密度!$B$2:$B$50)</f>
        <v>34405.473005999993</v>
      </c>
      <c r="I28" s="91" ph="1">
        <f>I27*18.322*LOOKUP(I29,密度!$A$2:$A$50,密度!$Q$2:$Q$50)</f>
        <v>72893.157052379989</v>
      </c>
      <c r="J28" s="91" ph="1">
        <f>J27*18.322*LOOKUP(J29,密度!$A$2:$A$50,密度!$Q$2:$Q$50)</f>
        <v>65635.490201959998</v>
      </c>
      <c r="K28" s="91" ph="1">
        <f>K27*18.322*LOOKUP(K29,密度!$A$2:$A$50,密度!$Q$2:$Q$50)</f>
        <v>97871.142431419998</v>
      </c>
      <c r="L28" s="91" ph="1">
        <f>L27*18.322*LOOKUP(L29,密度!$A$2:$A$50,密度!$Q$2:$Q$50)</f>
        <v>97382.74606926</v>
      </c>
      <c r="M28" s="91" ph="1">
        <f>M27*18.322*LOOKUP(M29,密度!$A$2:$A$50,密度!$Q$2:$Q$50)</f>
        <v>84748.40110612</v>
      </c>
      <c r="N28" s="91" ph="1">
        <f>N27*18.322*LOOKUP(N29,密度!$A$2:$A$50,密度!$Q$2:$Q$50)</f>
        <v>64660.189804539994</v>
      </c>
      <c r="O28" s="91" ph="1">
        <f>O27*18.322*LOOKUP(O29,密度!$A$2:$A$50,密度!$C$2:$C$50)</f>
        <v>42001.466396399992</v>
      </c>
      <c r="P28" s="91" ph="1">
        <f>P27*11.702*LOOKUP(P29,密度!$A$2:$A$50,密度!$B$2:$B$50)</f>
        <v>23160.3444666</v>
      </c>
      <c r="Q28" s="92" ph="1">
        <f>Q27*18.322*LOOKUP(Q29,密度!$A$2:$A$50,密度!$B$2:$B$50)</f>
        <v>39004.450743000001</v>
      </c>
      <c r="R28" s="91" ph="1">
        <f>R27*35.891*LOOKUP(R29,密度!$A$2:$A$50,密度!$C$2:$C$50)</f>
        <v>269418.37924109999</v>
      </c>
      <c r="S28" s="91" ph="1">
        <f>S27*35.891*LOOKUP(S29,密度!$A$2:$A$50,密度!$B$2:$B$50)</f>
        <v>70467.901282399995</v>
      </c>
      <c r="T28" s="91" ph="1">
        <f>T27*35.891*LOOKUP(T29,密度!$A$2:$A$50,密度!$Q$2:$Q$50)</f>
        <v>0</v>
      </c>
      <c r="U28" s="91" ph="1">
        <f>U27*35.891</f>
        <v>205296.52</v>
      </c>
      <c r="V28" s="91" ph="1">
        <f>V27*47.051*LOOKUP(V29,密度!$A$2:$A$50,密度!$B$2:$B$50)</f>
        <v>15267.7718991</v>
      </c>
      <c r="W28" s="91" ph="1">
        <f>W27*47.051*LOOKUP(W29,密度!$A$2:$A$50,密度!$B$2:$B$50)</f>
        <v>424318.36769460002</v>
      </c>
      <c r="X28" s="91" ph="1">
        <f>X27*47.051*LOOKUP(X29,密度!$A$2:$A$50,密度!$I$2:$I$50)</f>
        <v>420326.84504263999</v>
      </c>
      <c r="Y28" s="91" ph="1">
        <f>Y27*47.051*LOOKUP(Y29,密度!$A$2:$A$50,密度!$L$2:$L$50)</f>
        <v>25972.716612</v>
      </c>
      <c r="Z28" s="201"/>
      <c r="AA28" s="202"/>
      <c r="AB28" s="202"/>
      <c r="AC28" s="202"/>
      <c r="AD28" s="202"/>
      <c r="AE28" s="203"/>
      <c r="AH28" s="64" ph="1">
        <v>14</v>
      </c>
      <c r="AI28" s="64" t="s" ph="1">
        <v>392</v>
      </c>
      <c r="AZ28" s="64" t="s" ph="1">
        <v>257</v>
      </c>
      <c r="BA28" s="64" ph="1">
        <v>0</v>
      </c>
    </row>
    <row r="29" spans="1:57" ph="1">
      <c r="A29" s="72" ph="1"/>
      <c r="B29" s="207" ph="1"/>
      <c r="C29" s="171" t="s" ph="1">
        <v>210</v>
      </c>
      <c r="D29" s="74">
        <v>25</v>
      </c>
      <c r="E29" s="74">
        <v>25</v>
      </c>
      <c r="F29" s="74">
        <v>18</v>
      </c>
      <c r="G29" s="74">
        <v>18</v>
      </c>
      <c r="H29" s="74">
        <v>18</v>
      </c>
      <c r="I29" s="74">
        <v>18</v>
      </c>
      <c r="J29" s="74">
        <v>19</v>
      </c>
      <c r="K29" s="74">
        <v>18</v>
      </c>
      <c r="L29" s="74">
        <v>18</v>
      </c>
      <c r="M29" s="74">
        <v>20</v>
      </c>
      <c r="N29" s="74">
        <v>18</v>
      </c>
      <c r="O29" s="74">
        <v>18</v>
      </c>
      <c r="P29" s="74">
        <v>18</v>
      </c>
      <c r="Q29" s="93">
        <v>20</v>
      </c>
      <c r="R29" s="74">
        <v>18</v>
      </c>
      <c r="S29" s="74">
        <v>20</v>
      </c>
      <c r="T29" s="74">
        <v>20</v>
      </c>
      <c r="U29" s="74">
        <v>20</v>
      </c>
      <c r="V29" s="74">
        <v>18</v>
      </c>
      <c r="W29" s="74">
        <v>18</v>
      </c>
      <c r="X29" s="74">
        <v>52</v>
      </c>
      <c r="Y29" s="74">
        <v>20</v>
      </c>
      <c r="Z29" s="204"/>
      <c r="AA29" s="205"/>
      <c r="AB29" s="205"/>
      <c r="AC29" s="205"/>
      <c r="AD29" s="205"/>
      <c r="AE29" s="206"/>
      <c r="AH29" s="64" ph="1">
        <v>15</v>
      </c>
      <c r="AI29" s="64" t="s" ph="1">
        <v>393</v>
      </c>
      <c r="AZ29" s="64" t="s" ph="1">
        <v>257</v>
      </c>
      <c r="BA29" s="64" ph="1">
        <v>0</v>
      </c>
      <c r="BD29" s="64" t="s" ph="1">
        <v>394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395</v>
      </c>
      <c r="AZ30" s="64" t="s" ph="1">
        <v>257</v>
      </c>
      <c r="BA30" s="64" ph="1">
        <v>0</v>
      </c>
    </row>
    <row r="31" spans="1:57" ht="28.5" ph="1">
      <c r="A31" s="64"/>
      <c r="B31" s="220" t="s" ph="1">
        <v>35</v>
      </c>
      <c r="C31" s="221" ph="1"/>
      <c r="D31" s="224" t="s" ph="1">
        <v>9</v>
      </c>
      <c r="E31" s="213" ph="1"/>
      <c r="F31" s="214" ph="1"/>
      <c r="G31" s="224" t="s" ph="1">
        <v>18</v>
      </c>
      <c r="H31" s="213" ph="1"/>
      <c r="I31" s="214" ph="1"/>
      <c r="J31" s="212" t="s" ph="1">
        <v>1</v>
      </c>
      <c r="K31" s="213" ph="1"/>
      <c r="L31" s="214" ph="1"/>
      <c r="M31" s="212" t="s" ph="1">
        <v>7</v>
      </c>
      <c r="N31" s="213" ph="1"/>
      <c r="O31" s="214" ph="1"/>
      <c r="P31" s="212" t="s" ph="1">
        <v>42</v>
      </c>
      <c r="Q31" s="213"/>
      <c r="R31" s="214"/>
      <c r="S31" s="212" t="s" ph="1">
        <v>2</v>
      </c>
      <c r="T31" s="213"/>
      <c r="U31" s="214"/>
      <c r="V31" s="212" t="s" ph="1">
        <v>81</v>
      </c>
      <c r="W31" s="213" ph="1"/>
      <c r="X31" s="214" ph="1"/>
      <c r="Y31" s="212" t="s" ph="1">
        <v>3</v>
      </c>
      <c r="Z31" s="213" ph="1"/>
      <c r="AA31" s="214" ph="1"/>
      <c r="AB31" s="235" t="s">
        <v>43</v>
      </c>
      <c r="AC31" s="236"/>
      <c r="AD31" s="236"/>
      <c r="AE31" s="237"/>
      <c r="AH31" s="64" ph="1">
        <v>17</v>
      </c>
      <c r="AI31" s="64" t="s" ph="1">
        <v>396</v>
      </c>
      <c r="AZ31" s="64" t="s" ph="1">
        <v>257</v>
      </c>
      <c r="BA31" s="64" ph="1">
        <v>0</v>
      </c>
      <c r="BD31" s="64" t="s" ph="1">
        <v>397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71" t="s" ph="1">
        <v>5</v>
      </c>
      <c r="F32" s="172" t="s" ph="1">
        <v>44</v>
      </c>
      <c r="G32" s="97" t="s" ph="1">
        <v>4</v>
      </c>
      <c r="H32" s="171" t="s" ph="1">
        <v>5</v>
      </c>
      <c r="I32" s="172" t="s" ph="1">
        <v>44</v>
      </c>
      <c r="J32" s="97" t="s" ph="1">
        <v>4</v>
      </c>
      <c r="K32" s="171" t="s" ph="1">
        <v>5</v>
      </c>
      <c r="L32" s="172" t="s" ph="1">
        <v>44</v>
      </c>
      <c r="M32" s="97" t="s" ph="1">
        <v>4</v>
      </c>
      <c r="N32" s="171" t="s" ph="1">
        <v>5</v>
      </c>
      <c r="O32" s="172" t="s" ph="1">
        <v>44</v>
      </c>
      <c r="P32" s="97" t="s" ph="1">
        <v>4</v>
      </c>
      <c r="Q32" s="98" t="s" ph="1">
        <v>5</v>
      </c>
      <c r="R32" s="99" t="s" ph="1">
        <v>44</v>
      </c>
      <c r="S32" s="97" t="s" ph="1">
        <v>4</v>
      </c>
      <c r="T32" s="171" t="s" ph="1">
        <v>5</v>
      </c>
      <c r="U32" s="99" t="s" ph="1">
        <v>44</v>
      </c>
      <c r="V32" s="97" t="s" ph="1">
        <v>4</v>
      </c>
      <c r="W32" s="171" t="s" ph="1">
        <v>5</v>
      </c>
      <c r="X32" s="99" t="s" ph="1">
        <v>44</v>
      </c>
      <c r="Y32" s="100" t="s" ph="1">
        <v>4</v>
      </c>
      <c r="Z32" s="171" t="s" ph="1">
        <v>5</v>
      </c>
      <c r="AA32" s="172" t="s" ph="1">
        <v>44</v>
      </c>
      <c r="AB32" s="97" t="s" ph="1">
        <v>102</v>
      </c>
      <c r="AC32" s="171" t="s" ph="1">
        <v>101</v>
      </c>
      <c r="AD32" s="238" t="s" ph="1">
        <v>100</v>
      </c>
      <c r="AE32" s="239"/>
      <c r="AH32" s="64" ph="1">
        <v>18</v>
      </c>
      <c r="AI32" s="64" t="s" ph="1">
        <v>398</v>
      </c>
      <c r="AZ32" s="64" t="s" ph="1">
        <v>257</v>
      </c>
      <c r="BA32" s="64" ph="1">
        <v>0</v>
      </c>
    </row>
    <row r="33" spans="1:57" ph="1">
      <c r="A33" s="64"/>
      <c r="B33" s="225" t="s" ph="1">
        <v>212</v>
      </c>
      <c r="C33" s="226" ph="1"/>
      <c r="D33" s="229" ph="1">
        <f>AA10+AB10+Z19</f>
        <v>109686.9096632</v>
      </c>
      <c r="E33" s="229" ph="1">
        <f>M10+I10</f>
        <v>163337.34404210001</v>
      </c>
      <c r="F33" s="23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[[#This Row],[F25]]</f>
        <v>3880</v>
      </c>
      <c r="G33" s="233" ph="1">
        <v>0</v>
      </c>
      <c r="H33" s="229" ph="1">
        <f>N19</f>
        <v>21296.995433079999</v>
      </c>
      <c r="I33" s="242" ph="1">
        <v>0</v>
      </c>
      <c r="J33" s="240" ph="1">
        <f>F10+O28</f>
        <v>166077.5978889</v>
      </c>
      <c r="K33" s="229" ph="1">
        <f>O10+K10+E28+R28</f>
        <v>446278.53112802003</v>
      </c>
      <c r="L33" s="244" ph="1">
        <f>BE27</f>
        <v>7100</v>
      </c>
      <c r="M33" s="240" ph="1">
        <f>G10+H10+W28+S28</f>
        <v>832628.12068100006</v>
      </c>
      <c r="N33" s="229" ph="1">
        <f>L10+P10++G28+H28+V28</f>
        <v>262063.90746109997</v>
      </c>
      <c r="O33" s="242" ph="1">
        <f>BE17</f>
        <v>2270</v>
      </c>
      <c r="P33" s="240" ph="1">
        <f>L19</f>
        <v>45251.503810440001</v>
      </c>
      <c r="Q33" s="229" ph="1">
        <f>J10+N10</f>
        <v>131675.87832409999</v>
      </c>
      <c r="R33" s="242" ph="1">
        <f>BE23</f>
        <v>890</v>
      </c>
      <c r="S33" s="240" ph="1">
        <f>E10+X28</f>
        <v>420326.84504263999</v>
      </c>
      <c r="T33" s="229" ph="1">
        <f>X19</f>
        <v>10419.30114272</v>
      </c>
      <c r="U33" s="250" ph="1">
        <f>BE21</f>
        <v>730</v>
      </c>
      <c r="V33" s="261" ph="1">
        <f ca="1">P19+Q19+S19+M28+N28+J28</f>
        <v>276336.75788394798</v>
      </c>
      <c r="W33" s="261" ph="1">
        <f>D28+F28+V19+T28</f>
        <v>71353.679385231997</v>
      </c>
      <c r="X33" s="242" ph="1">
        <f>BE29+BE31</f>
        <v>10200</v>
      </c>
      <c r="Y33" s="263" ph="1">
        <f>+Q10+R10+S10+T10+U10+V10+W10+X10+Y10</f>
        <v>173184.12120239998</v>
      </c>
      <c r="Z33" s="248" ph="1">
        <f>D10+T19+U19+Y28+Z10</f>
        <v>329022.26231749996</v>
      </c>
      <c r="AA33" s="250" ph="1">
        <f>BE19</f>
        <v>1440</v>
      </c>
      <c r="AB33" s="252" ph="1">
        <f>I19</f>
        <v>74.629510400000001</v>
      </c>
      <c r="AC33" s="254" ph="1">
        <f>AD10</f>
        <v>5100.3813279999995</v>
      </c>
      <c r="AD33" s="256" ph="1">
        <v>0</v>
      </c>
      <c r="AE33" s="257"/>
      <c r="AH33" s="64" ph="1">
        <v>19</v>
      </c>
      <c r="AI33" s="64" t="s" ph="1">
        <v>399</v>
      </c>
      <c r="AJ33" s="64" t="s" ph="1">
        <v>633</v>
      </c>
      <c r="AK33" s="64" t="s" ph="1">
        <v>630</v>
      </c>
      <c r="AL33" s="64" ph="1">
        <v>730</v>
      </c>
      <c r="AM33" s="64" t="s" ph="1">
        <v>380</v>
      </c>
      <c r="AZ33" s="64" t="s" ph="1">
        <v>257</v>
      </c>
      <c r="BA33" s="64" ph="1">
        <v>730</v>
      </c>
      <c r="BD33" s="64" t="s" ph="1">
        <v>331</v>
      </c>
      <c r="BE33" s="64" ph="1">
        <v>3880</v>
      </c>
    </row>
    <row r="34" spans="1:57" ph="1">
      <c r="A34" s="64"/>
      <c r="B34" s="227" ph="1"/>
      <c r="C34" s="228" ph="1"/>
      <c r="D34" s="230" ph="1"/>
      <c r="E34" s="230" ph="1"/>
      <c r="F34" s="232" ph="1"/>
      <c r="G34" s="234" ph="1"/>
      <c r="H34" s="230" ph="1"/>
      <c r="I34" s="243" ph="1"/>
      <c r="J34" s="241" ph="1"/>
      <c r="K34" s="230" ph="1"/>
      <c r="L34" s="245" ph="1"/>
      <c r="M34" s="241" ph="1"/>
      <c r="N34" s="230" ph="1"/>
      <c r="O34" s="243" ph="1"/>
      <c r="P34" s="241" ph="1"/>
      <c r="Q34" s="230" ph="1"/>
      <c r="R34" s="243" ph="1"/>
      <c r="S34" s="241" ph="1"/>
      <c r="T34" s="230"/>
      <c r="U34" s="251"/>
      <c r="V34" s="262" ph="1"/>
      <c r="W34" s="262" ph="1"/>
      <c r="X34" s="243" ph="1"/>
      <c r="Y34" s="264" ph="1"/>
      <c r="Z34" s="249" ph="1"/>
      <c r="AA34" s="251" ph="1"/>
      <c r="AB34" s="253"/>
      <c r="AC34" s="255"/>
      <c r="AD34" s="258"/>
      <c r="AE34" s="259"/>
      <c r="AH34" s="64" ph="1">
        <v>20</v>
      </c>
      <c r="AI34" s="64" t="s" ph="1">
        <v>400</v>
      </c>
      <c r="AJ34" s="64" t="s" ph="1">
        <v>634</v>
      </c>
      <c r="AK34" s="64" t="s" ph="1">
        <v>630</v>
      </c>
      <c r="AL34" s="64" ph="1">
        <v>720</v>
      </c>
      <c r="AM34" s="64" t="s" ph="1">
        <v>380</v>
      </c>
      <c r="AZ34" s="64" t="s" ph="1">
        <v>257</v>
      </c>
      <c r="BA34" s="64" ph="1">
        <v>720</v>
      </c>
    </row>
    <row r="35" spans="1:57" ph="1">
      <c r="A35" s="64"/>
      <c r="AC35" s="260" t="s" ph="1">
        <v>84</v>
      </c>
      <c r="AD35" s="260"/>
      <c r="AE35" s="260"/>
      <c r="AH35" s="64" ph="1">
        <v>21</v>
      </c>
      <c r="AI35" s="64" t="s" ph="1">
        <v>401</v>
      </c>
      <c r="AZ35" s="64" t="s" ph="1">
        <v>257</v>
      </c>
      <c r="BA35" s="64" ph="1">
        <v>0</v>
      </c>
      <c r="BD35" s="64" t="s" ph="1">
        <v>402</v>
      </c>
      <c r="BE35" s="64" ph="1">
        <v>2030</v>
      </c>
    </row>
    <row r="36" spans="1:57" ht="28.5" ph="1">
      <c r="A36" s="64"/>
      <c r="B36" s="103" t="s" ph="1">
        <v>213</v>
      </c>
      <c r="I36" s="246" t="s" ph="1">
        <v>214</v>
      </c>
      <c r="J36" s="246" ph="1"/>
      <c r="K36" s="101" ph="1"/>
      <c r="P36" s="101" ph="1"/>
      <c r="R36" s="246" t="s" ph="1">
        <v>215</v>
      </c>
      <c r="S36" s="246" ph="1"/>
      <c r="Y36" s="102" ph="1"/>
      <c r="Z36" s="173" t="s" ph="1">
        <v>216</v>
      </c>
      <c r="AA36" s="173" ph="1"/>
      <c r="AB36" s="247" t="s" ph="1">
        <v>655</v>
      </c>
      <c r="AC36" s="247" ph="1"/>
      <c r="AD36" s="247" ph="1"/>
      <c r="AE36" s="247" ph="1"/>
      <c r="BA36" s="64" ph="1">
        <v>2270</v>
      </c>
    </row>
    <row r="37" spans="1:57" s="17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73" t="s" ph="1">
        <v>383</v>
      </c>
      <c r="AI37" s="173" t="s" ph="1">
        <v>250</v>
      </c>
      <c r="AJ37" s="173" t="s" ph="1">
        <v>251</v>
      </c>
      <c r="AK37" s="173" t="s" ph="1">
        <v>252</v>
      </c>
      <c r="AM37" s="173" t="s" ph="1">
        <v>251</v>
      </c>
      <c r="AN37" s="173" t="s" ph="1">
        <v>252</v>
      </c>
      <c r="AO37" s="173" t="s" ph="1">
        <v>253</v>
      </c>
      <c r="AP37" s="173" t="s" ph="1">
        <v>251</v>
      </c>
      <c r="AQ37" s="173" t="s" ph="1">
        <v>252</v>
      </c>
      <c r="AR37" s="173" t="s" ph="1">
        <v>253</v>
      </c>
      <c r="AS37" s="173" t="s" ph="1">
        <v>251</v>
      </c>
      <c r="AT37" s="173" t="s" ph="1">
        <v>252</v>
      </c>
      <c r="AU37" s="173" t="s" ph="1">
        <v>253</v>
      </c>
      <c r="AV37" s="173" t="s" ph="1">
        <v>251</v>
      </c>
      <c r="AW37" s="173" t="s" ph="1">
        <v>252</v>
      </c>
      <c r="AX37" s="173" t="s" ph="1">
        <v>253</v>
      </c>
      <c r="AY37" s="173" t="s" ph="1">
        <v>252</v>
      </c>
      <c r="AZ37" s="173" t="s" ph="1">
        <v>254</v>
      </c>
      <c r="BD37" s="173" t="s" ph="1">
        <v>346</v>
      </c>
      <c r="BE37" s="173" ph="1">
        <v>0</v>
      </c>
    </row>
    <row r="38" spans="1:57" ph="1">
      <c r="AE38" s="64" ph="1"/>
      <c r="AH38" s="64" ph="1">
        <v>1</v>
      </c>
      <c r="AI38" s="64" t="s" ph="1">
        <v>403</v>
      </c>
      <c r="AY38" s="64" t="s" ph="1">
        <v>257</v>
      </c>
      <c r="AZ38" s="64" t="s" ph="1">
        <v>408</v>
      </c>
    </row>
    <row r="39" spans="1:57" ph="1">
      <c r="AH39" s="64" ph="1">
        <v>2</v>
      </c>
      <c r="AI39" s="64" t="s" ph="1">
        <v>405</v>
      </c>
      <c r="AJ39" s="64" t="s" ph="1">
        <v>377</v>
      </c>
      <c r="AK39" s="64" t="s" ph="1">
        <v>406</v>
      </c>
      <c r="AM39" s="64" t="s" ph="1">
        <v>611</v>
      </c>
      <c r="AN39" s="64" t="s" ph="1">
        <v>269</v>
      </c>
      <c r="AO39" s="64" t="s" ph="1">
        <v>404</v>
      </c>
      <c r="AY39" s="64" t="s" ph="1">
        <v>257</v>
      </c>
      <c r="AZ39" s="64" t="s" ph="1">
        <v>540</v>
      </c>
    </row>
    <row r="40" spans="1:57" ph="1">
      <c r="AH40" s="64" ph="1">
        <v>3</v>
      </c>
      <c r="AI40" s="64" t="s" ph="1">
        <v>407</v>
      </c>
      <c r="AJ40" s="64" t="s" ph="1">
        <v>611</v>
      </c>
      <c r="AK40" s="64" t="s" ph="1">
        <v>612</v>
      </c>
      <c r="AY40" s="64" t="s" ph="1">
        <v>257</v>
      </c>
      <c r="AZ40" s="64" t="s" ph="1">
        <v>612</v>
      </c>
    </row>
    <row r="41" spans="1:57" ph="1">
      <c r="AH41" s="64" ph="1">
        <v>4</v>
      </c>
      <c r="AI41" s="64" t="s" ph="1">
        <v>409</v>
      </c>
      <c r="AJ41" s="64" t="s" ph="1">
        <v>613</v>
      </c>
      <c r="AK41" s="64" t="s" ph="1">
        <v>614</v>
      </c>
      <c r="AM41" s="64" t="s" ph="1">
        <v>615</v>
      </c>
      <c r="AY41" s="64" t="s" ph="1">
        <v>257</v>
      </c>
      <c r="AZ41" s="64" t="s" ph="1">
        <v>614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410</v>
      </c>
      <c r="AY42" s="64" t="s" ph="1">
        <v>257</v>
      </c>
      <c r="AZ42" s="64" t="s" ph="1">
        <v>408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411</v>
      </c>
      <c r="AY43" s="64" t="s" ph="1">
        <v>257</v>
      </c>
      <c r="AZ43" s="64" t="s" ph="1">
        <v>408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412</v>
      </c>
      <c r="AV44" s="64" t="s" ph="1">
        <v>258</v>
      </c>
      <c r="AY44" s="64" t="s" ph="1">
        <v>257</v>
      </c>
      <c r="AZ44" s="64" t="s" ph="1">
        <v>408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413</v>
      </c>
      <c r="AV45" s="64" t="s" ph="1">
        <v>258</v>
      </c>
      <c r="AY45" s="64" t="s" ph="1">
        <v>257</v>
      </c>
      <c r="AZ45" s="64" t="s" ph="1">
        <v>408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414</v>
      </c>
      <c r="AV46" s="64" t="s" ph="1">
        <v>258</v>
      </c>
      <c r="AY46" s="64" t="s" ph="1">
        <v>257</v>
      </c>
      <c r="AZ46" s="64" t="s" ph="1">
        <v>408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415</v>
      </c>
      <c r="AV47" s="64" t="s" ph="1">
        <v>258</v>
      </c>
      <c r="AY47" s="64" t="s" ph="1">
        <v>257</v>
      </c>
      <c r="AZ47" s="64" t="s" ph="1">
        <v>408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616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273</v>
      </c>
      <c r="AI49" s="64" t="s" ph="1">
        <v>250</v>
      </c>
      <c r="AJ49" s="64" t="s" ph="1">
        <v>251</v>
      </c>
      <c r="AK49" s="64" t="s" ph="1">
        <v>252</v>
      </c>
      <c r="AM49" s="64" t="s" ph="1">
        <v>251</v>
      </c>
      <c r="AN49" s="64" t="s" ph="1">
        <v>252</v>
      </c>
      <c r="AO49" s="64" t="s" ph="1">
        <v>253</v>
      </c>
      <c r="AP49" s="64" t="s" ph="1">
        <v>251</v>
      </c>
      <c r="AQ49" s="64" t="s" ph="1">
        <v>252</v>
      </c>
      <c r="AR49" s="64" t="s" ph="1">
        <v>253</v>
      </c>
      <c r="AS49" s="64" t="s" ph="1">
        <v>251</v>
      </c>
      <c r="AT49" s="64" t="s" ph="1">
        <v>252</v>
      </c>
      <c r="AU49" s="64" t="s" ph="1">
        <v>253</v>
      </c>
      <c r="AV49" s="64" t="s" ph="1">
        <v>251</v>
      </c>
      <c r="AW49" s="64" t="s" ph="1">
        <v>252</v>
      </c>
      <c r="AX49" s="64" t="s" ph="1">
        <v>253</v>
      </c>
      <c r="AY49" s="64" t="s" ph="1">
        <v>252</v>
      </c>
      <c r="AZ49" s="64" t="s" ph="1">
        <v>254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416</v>
      </c>
      <c r="AY50" s="64" t="s" ph="1">
        <v>257</v>
      </c>
      <c r="AZ50" s="64" t="s" ph="1">
        <v>408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417</v>
      </c>
      <c r="AY51" s="64" t="s" ph="1">
        <v>257</v>
      </c>
      <c r="AZ51" s="64" t="s" ph="1">
        <v>408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418</v>
      </c>
      <c r="AJ52" s="64" t="s" ph="1">
        <v>375</v>
      </c>
      <c r="AK52" s="64" t="s" ph="1">
        <v>269</v>
      </c>
      <c r="AM52" s="64" t="s" ph="1">
        <v>377</v>
      </c>
      <c r="AN52" s="64" t="s" ph="1">
        <v>341</v>
      </c>
      <c r="AO52" s="64" t="s" ph="1">
        <v>274</v>
      </c>
      <c r="AP52" s="64" t="s" ph="1">
        <v>611</v>
      </c>
      <c r="AQ52" s="64" t="s" ph="1">
        <v>323</v>
      </c>
      <c r="AR52" s="64" t="s" ph="1">
        <v>274</v>
      </c>
      <c r="AY52" s="64" t="s" ph="1">
        <v>257</v>
      </c>
      <c r="AZ52" s="64" t="s" ph="1">
        <v>617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419</v>
      </c>
      <c r="AY53" s="64" t="s" ph="1">
        <v>257</v>
      </c>
      <c r="AZ53" s="64" t="s" ph="1">
        <v>408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420</v>
      </c>
      <c r="AJ54" s="64" t="s" ph="1">
        <v>375</v>
      </c>
      <c r="AK54" s="64" t="s" ph="1">
        <v>260</v>
      </c>
      <c r="AM54" s="64" t="s" ph="1">
        <v>377</v>
      </c>
      <c r="AN54" s="64" t="s" ph="1">
        <v>265</v>
      </c>
      <c r="AO54" s="64" t="s" ph="1">
        <v>274</v>
      </c>
      <c r="AP54" s="64" t="s" ph="1">
        <v>611</v>
      </c>
      <c r="AQ54" s="64" t="s" ph="1">
        <v>281</v>
      </c>
      <c r="AR54" s="64" t="s" ph="1">
        <v>274</v>
      </c>
      <c r="AY54" s="64" t="s" ph="1">
        <v>257</v>
      </c>
      <c r="AZ54" s="64" t="s" ph="1">
        <v>275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421</v>
      </c>
      <c r="AY55" s="64" t="s" ph="1">
        <v>257</v>
      </c>
      <c r="AZ55" s="64" t="s" ph="1">
        <v>408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422</v>
      </c>
      <c r="AY56" s="64" t="s" ph="1">
        <v>257</v>
      </c>
      <c r="AZ56" s="64" t="s" ph="1">
        <v>408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423</v>
      </c>
      <c r="AY57" s="64" t="s" ph="1">
        <v>257</v>
      </c>
      <c r="AZ57" s="64" t="s" ph="1">
        <v>408</v>
      </c>
    </row>
    <row r="58" spans="16:52" ph="1">
      <c r="P58" s="64"/>
      <c r="AN58" s="64" t="s" ph="1">
        <v>258</v>
      </c>
      <c r="AZ58" s="64" t="s" ph="1">
        <v>618</v>
      </c>
    </row>
    <row r="59" spans="16:52" ph="1">
      <c r="V59" s="64"/>
      <c r="AG59" s="64" t="s" ph="1">
        <v>276</v>
      </c>
      <c r="AI59" s="64" t="s" ph="1">
        <v>250</v>
      </c>
      <c r="AJ59" s="64" t="s" ph="1">
        <v>251</v>
      </c>
      <c r="AK59" s="64" t="s" ph="1">
        <v>252</v>
      </c>
      <c r="AM59" s="64" t="s" ph="1">
        <v>251</v>
      </c>
      <c r="AN59" s="64" t="s" ph="1">
        <v>252</v>
      </c>
      <c r="AO59" s="64" t="s" ph="1">
        <v>253</v>
      </c>
      <c r="AP59" s="64" t="s" ph="1">
        <v>251</v>
      </c>
      <c r="AQ59" s="64" t="s" ph="1">
        <v>252</v>
      </c>
      <c r="AR59" s="64" t="s" ph="1">
        <v>253</v>
      </c>
      <c r="AS59" s="64" t="s" ph="1">
        <v>251</v>
      </c>
      <c r="AT59" s="64" t="s" ph="1">
        <v>252</v>
      </c>
      <c r="AU59" s="64" t="s" ph="1">
        <v>253</v>
      </c>
      <c r="AV59" s="64" t="s" ph="1">
        <v>251</v>
      </c>
      <c r="AW59" s="64" t="s" ph="1">
        <v>252</v>
      </c>
      <c r="AX59" s="64" t="s" ph="1">
        <v>253</v>
      </c>
      <c r="AY59" s="64" t="s" ph="1">
        <v>252</v>
      </c>
      <c r="AZ59" s="64" t="s" ph="1">
        <v>254</v>
      </c>
    </row>
    <row r="60" spans="16:52" ph="1">
      <c r="R60" s="64"/>
      <c r="S60" s="64"/>
      <c r="T60" s="64"/>
      <c r="AH60" s="64" ph="1">
        <v>1</v>
      </c>
      <c r="AI60" s="64" t="s" ph="1">
        <v>424</v>
      </c>
      <c r="AY60" s="64" t="s" ph="1">
        <v>257</v>
      </c>
      <c r="AZ60" s="64" t="s" ph="1">
        <v>408</v>
      </c>
    </row>
    <row r="61" spans="16:52" ph="1">
      <c r="AH61" s="64" ph="1">
        <v>2</v>
      </c>
      <c r="AI61" s="64" t="s" ph="1">
        <v>425</v>
      </c>
      <c r="AS61" s="64" t="s" ph="1">
        <v>258</v>
      </c>
      <c r="AY61" s="64" t="s" ph="1">
        <v>257</v>
      </c>
      <c r="AZ61" s="64" t="s" ph="1">
        <v>408</v>
      </c>
    </row>
    <row r="62" spans="16:52" ph="1">
      <c r="AZ62" s="64" t="s" ph="1">
        <v>426</v>
      </c>
    </row>
    <row r="63" spans="16:52" ph="1">
      <c r="AG63" s="64" t="s" ph="1">
        <v>279</v>
      </c>
      <c r="AI63" s="64" t="s" ph="1">
        <v>250</v>
      </c>
      <c r="AJ63" s="64" t="s" ph="1">
        <v>251</v>
      </c>
      <c r="AK63" s="64" t="s" ph="1">
        <v>252</v>
      </c>
      <c r="AM63" s="64" t="s" ph="1">
        <v>251</v>
      </c>
      <c r="AN63" s="64" t="s" ph="1">
        <v>252</v>
      </c>
      <c r="AO63" s="64" t="s" ph="1">
        <v>253</v>
      </c>
      <c r="AP63" s="64" t="s" ph="1">
        <v>251</v>
      </c>
      <c r="AQ63" s="64" t="s" ph="1">
        <v>252</v>
      </c>
      <c r="AR63" s="64" t="s" ph="1">
        <v>253</v>
      </c>
      <c r="AS63" s="64" t="s" ph="1">
        <v>251</v>
      </c>
      <c r="AT63" s="64" t="s" ph="1">
        <v>252</v>
      </c>
      <c r="AU63" s="64" t="s" ph="1">
        <v>253</v>
      </c>
      <c r="AV63" s="64" t="s" ph="1">
        <v>251</v>
      </c>
      <c r="AW63" s="64" t="s" ph="1">
        <v>252</v>
      </c>
      <c r="AX63" s="64" t="s" ph="1">
        <v>253</v>
      </c>
      <c r="AY63" s="64" t="s" ph="1">
        <v>252</v>
      </c>
      <c r="AZ63" s="64" t="s" ph="1">
        <v>254</v>
      </c>
    </row>
    <row r="64" spans="16:52" ph="1">
      <c r="AH64" s="64" ph="1">
        <v>1</v>
      </c>
      <c r="AI64" s="64" t="s" ph="1">
        <v>427</v>
      </c>
      <c r="AJ64" s="64" t="s" ph="1">
        <v>428</v>
      </c>
      <c r="AK64" s="64" t="s" ph="1">
        <v>429</v>
      </c>
      <c r="AY64" s="64" t="s" ph="1">
        <v>257</v>
      </c>
      <c r="AZ64" s="64" t="s" ph="1">
        <v>429</v>
      </c>
    </row>
    <row r="65" spans="33:52" ph="1">
      <c r="AH65" s="64" ph="1">
        <v>2</v>
      </c>
      <c r="AI65" s="64" t="s" ph="1">
        <v>430</v>
      </c>
      <c r="AY65" s="64" t="s" ph="1">
        <v>257</v>
      </c>
      <c r="AZ65" s="64" t="s" ph="1">
        <v>408</v>
      </c>
    </row>
    <row r="66" spans="33:52" ph="1">
      <c r="AH66" s="64" ph="1">
        <v>3</v>
      </c>
      <c r="AI66" s="64" t="s" ph="1">
        <v>431</v>
      </c>
      <c r="AY66" s="64" t="s" ph="1">
        <v>257</v>
      </c>
      <c r="AZ66" s="64" t="s" ph="1">
        <v>408</v>
      </c>
    </row>
    <row r="67" spans="33:52" ph="1">
      <c r="AH67" s="64" ph="1">
        <v>4</v>
      </c>
      <c r="AI67" s="64" t="s" ph="1">
        <v>432</v>
      </c>
      <c r="AY67" s="64" t="s" ph="1">
        <v>257</v>
      </c>
      <c r="AZ67" s="64" t="s" ph="1">
        <v>408</v>
      </c>
    </row>
    <row r="68" spans="33:52" ph="1">
      <c r="AH68" s="64" ph="1">
        <v>5</v>
      </c>
      <c r="AI68" s="64" t="s" ph="1">
        <v>433</v>
      </c>
      <c r="AY68" s="64" t="s" ph="1">
        <v>257</v>
      </c>
      <c r="AZ68" s="64" t="s" ph="1">
        <v>408</v>
      </c>
    </row>
    <row r="69" spans="33:52" ph="1">
      <c r="AH69" s="64" ph="1">
        <v>6</v>
      </c>
      <c r="AI69" s="64" t="s" ph="1">
        <v>434</v>
      </c>
      <c r="AY69" s="64" t="s" ph="1">
        <v>257</v>
      </c>
      <c r="AZ69" s="64" t="s" ph="1">
        <v>408</v>
      </c>
    </row>
    <row r="70" spans="33:52" ph="1">
      <c r="AI70" s="64" t="s" ph="1">
        <v>435</v>
      </c>
      <c r="AY70" s="64" t="s" ph="1">
        <v>257</v>
      </c>
      <c r="AZ70" s="64" t="s" ph="1">
        <v>408</v>
      </c>
    </row>
    <row r="71" spans="33:52" ph="1">
      <c r="AH71" s="64" ph="1">
        <v>7</v>
      </c>
      <c r="AI71" s="64" t="s" ph="1">
        <v>436</v>
      </c>
      <c r="AJ71" s="64" t="s" ph="1">
        <v>375</v>
      </c>
      <c r="AK71" s="64" t="s" ph="1">
        <v>269</v>
      </c>
      <c r="AM71" s="64" t="s" ph="1">
        <v>377</v>
      </c>
      <c r="AN71" s="64" t="s" ph="1">
        <v>269</v>
      </c>
      <c r="AO71" s="64" t="s" ph="1">
        <v>437</v>
      </c>
      <c r="AP71" s="64" t="s" ph="1">
        <v>611</v>
      </c>
      <c r="AQ71" s="64" t="s" ph="1">
        <v>260</v>
      </c>
      <c r="AR71" s="64" t="s" ph="1">
        <v>437</v>
      </c>
      <c r="AY71" s="64" t="s" ph="1">
        <v>257</v>
      </c>
      <c r="AZ71" s="64" t="s" ph="1">
        <v>619</v>
      </c>
    </row>
    <row r="72" spans="33:52" ph="1">
      <c r="AZ72" s="64" t="s" ph="1">
        <v>620</v>
      </c>
    </row>
    <row r="73" spans="33:52" ph="1">
      <c r="AG73" s="64" t="s" ph="1">
        <v>282</v>
      </c>
      <c r="AI73" s="64" t="s" ph="1">
        <v>250</v>
      </c>
      <c r="AJ73" s="64" t="s" ph="1">
        <v>251</v>
      </c>
      <c r="AK73" s="64" t="s" ph="1">
        <v>252</v>
      </c>
      <c r="AM73" s="64" t="s" ph="1">
        <v>251</v>
      </c>
      <c r="AN73" s="64" t="s" ph="1">
        <v>252</v>
      </c>
      <c r="AO73" s="64" t="s" ph="1">
        <v>253</v>
      </c>
      <c r="AP73" s="64" t="s" ph="1">
        <v>251</v>
      </c>
      <c r="AQ73" s="64" t="s" ph="1">
        <v>252</v>
      </c>
      <c r="AR73" s="64" t="s" ph="1">
        <v>253</v>
      </c>
      <c r="AS73" s="64" t="s" ph="1">
        <v>251</v>
      </c>
      <c r="AT73" s="64" t="s" ph="1">
        <v>252</v>
      </c>
      <c r="AU73" s="64" t="s" ph="1">
        <v>253</v>
      </c>
      <c r="AV73" s="64" t="s" ph="1">
        <v>251</v>
      </c>
      <c r="AW73" s="64" t="s" ph="1">
        <v>252</v>
      </c>
      <c r="AX73" s="64" t="s" ph="1">
        <v>253</v>
      </c>
      <c r="AY73" s="64" t="s" ph="1">
        <v>252</v>
      </c>
      <c r="AZ73" s="64" t="s" ph="1">
        <v>254</v>
      </c>
    </row>
    <row r="74" spans="33:52" ph="1">
      <c r="AH74" s="64" ph="1">
        <v>1</v>
      </c>
      <c r="AI74" s="64" t="s" ph="1">
        <v>438</v>
      </c>
      <c r="AJ74" s="64" t="s" ph="1">
        <v>283</v>
      </c>
      <c r="AK74" s="64" t="s" ph="1">
        <v>265</v>
      </c>
      <c r="AM74" s="64" t="s" ph="1">
        <v>285</v>
      </c>
      <c r="AN74" s="64" t="s" ph="1">
        <v>295</v>
      </c>
      <c r="AO74" s="64" t="s" ph="1">
        <v>284</v>
      </c>
      <c r="AP74" s="64" t="s" ph="1">
        <v>286</v>
      </c>
      <c r="AQ74" s="64" t="s" ph="1">
        <v>263</v>
      </c>
      <c r="AR74" s="64" t="s" ph="1">
        <v>284</v>
      </c>
      <c r="AS74" s="64" t="s" ph="1">
        <v>256</v>
      </c>
      <c r="AT74" s="64" t="s" ph="1">
        <v>258</v>
      </c>
      <c r="AV74" s="64" t="s" ph="1">
        <v>439</v>
      </c>
      <c r="AW74" s="64" t="s" ph="1">
        <v>440</v>
      </c>
      <c r="AX74" s="64" t="s" ph="1">
        <v>441</v>
      </c>
      <c r="AY74" s="64" t="s" ph="1">
        <v>257</v>
      </c>
      <c r="AZ74" s="64" t="s" ph="1">
        <v>442</v>
      </c>
    </row>
    <row r="75" spans="33:52" ph="1">
      <c r="AJ75" s="64" t="s" ph="1">
        <v>288</v>
      </c>
      <c r="AK75" s="64" t="s" ph="1">
        <v>341</v>
      </c>
      <c r="AM75" s="64" t="s" ph="1">
        <v>286</v>
      </c>
      <c r="AN75" s="64" t="s" ph="1">
        <v>266</v>
      </c>
      <c r="AO75" s="64" t="s" ph="1">
        <v>284</v>
      </c>
      <c r="AS75" s="64" t="s" ph="1">
        <v>256</v>
      </c>
      <c r="AT75" s="64" t="s" ph="1">
        <v>287</v>
      </c>
    </row>
    <row r="76" spans="33:52" ph="1">
      <c r="AJ76" s="64" t="s" ph="1">
        <v>288</v>
      </c>
      <c r="AK76" s="64" t="s" ph="1">
        <v>281</v>
      </c>
      <c r="AM76" s="64" t="s" ph="1">
        <v>286</v>
      </c>
      <c r="AN76" s="64" t="s" ph="1">
        <v>269</v>
      </c>
      <c r="AO76" s="64" t="s" ph="1">
        <v>284</v>
      </c>
      <c r="AS76" s="64" t="s" ph="1">
        <v>256</v>
      </c>
      <c r="AT76" s="64" t="s" ph="1">
        <v>287</v>
      </c>
    </row>
    <row r="77" spans="33:52" ph="1">
      <c r="AJ77" s="64" t="s" ph="1">
        <v>324</v>
      </c>
      <c r="AK77" s="64" t="s" ph="1">
        <v>281</v>
      </c>
      <c r="AM77" s="64" t="s" ph="1">
        <v>325</v>
      </c>
      <c r="AN77" s="64" t="s" ph="1">
        <v>264</v>
      </c>
      <c r="AO77" s="64" t="s" ph="1">
        <v>284</v>
      </c>
      <c r="AS77" s="64" t="s" ph="1">
        <v>256</v>
      </c>
      <c r="AT77" s="64" t="s" ph="1">
        <v>326</v>
      </c>
    </row>
    <row r="78" spans="33:52" ph="1">
      <c r="AH78" s="64" ph="1">
        <v>2</v>
      </c>
      <c r="AI78" s="64" t="s" ph="1">
        <v>290</v>
      </c>
      <c r="AJ78" s="64" t="s" ph="1">
        <v>291</v>
      </c>
      <c r="AK78" s="64" t="s" ph="1">
        <v>260</v>
      </c>
      <c r="AM78" s="64" t="s" ph="1">
        <v>292</v>
      </c>
      <c r="AN78" s="64" t="s" ph="1">
        <v>295</v>
      </c>
      <c r="AO78" s="64" t="s" ph="1">
        <v>284</v>
      </c>
      <c r="AP78" s="64" t="s" ph="1">
        <v>293</v>
      </c>
      <c r="AQ78" s="64" t="s" ph="1">
        <v>339</v>
      </c>
      <c r="AR78" s="64" t="s" ph="1">
        <v>284</v>
      </c>
      <c r="AS78" s="64" t="s" ph="1">
        <v>294</v>
      </c>
      <c r="AT78" s="64" t="s" ph="1">
        <v>295</v>
      </c>
      <c r="AU78" s="64" t="s" ph="1">
        <v>284</v>
      </c>
      <c r="AV78" s="64" t="s" ph="1">
        <v>296</v>
      </c>
      <c r="AW78" s="64" t="s" ph="1">
        <v>284</v>
      </c>
      <c r="AY78" s="64" t="s" ph="1">
        <v>257</v>
      </c>
      <c r="AZ78" s="64" t="s" ph="1">
        <v>443</v>
      </c>
    </row>
    <row r="79" spans="33:52" ph="1">
      <c r="AJ79" s="64" t="s" ph="1">
        <v>286</v>
      </c>
      <c r="AK79" s="64" t="s" ph="1">
        <v>297</v>
      </c>
      <c r="AM79" s="64" t="s" ph="1">
        <v>298</v>
      </c>
      <c r="AN79" s="64" t="s" ph="1">
        <v>266</v>
      </c>
      <c r="AO79" s="64" t="s" ph="1">
        <v>284</v>
      </c>
      <c r="AP79" s="64" t="s" ph="1">
        <v>299</v>
      </c>
      <c r="AQ79" s="64" t="s" ph="1">
        <v>264</v>
      </c>
      <c r="AR79" s="64" t="s" ph="1">
        <v>300</v>
      </c>
      <c r="AS79" s="64" t="s" ph="1">
        <v>256</v>
      </c>
      <c r="AT79" s="64" t="s" ph="1">
        <v>301</v>
      </c>
      <c r="AV79" s="64" t="s" ph="1">
        <v>444</v>
      </c>
      <c r="AW79" s="64" t="s" ph="1">
        <v>343</v>
      </c>
      <c r="AX79" s="64" t="s" ph="1">
        <v>441</v>
      </c>
    </row>
    <row r="80" spans="33:52" ph="1">
      <c r="AH80" s="64" ph="1">
        <v>3</v>
      </c>
      <c r="AI80" s="64" t="s" ph="1">
        <v>302</v>
      </c>
      <c r="AJ80" s="64" t="s" ph="1">
        <v>303</v>
      </c>
      <c r="AK80" s="64" t="s" ph="1">
        <v>304</v>
      </c>
      <c r="AM80" s="64" t="s" ph="1">
        <v>305</v>
      </c>
      <c r="AN80" s="64" t="s" ph="1">
        <v>295</v>
      </c>
      <c r="AO80" s="64" t="s" ph="1">
        <v>284</v>
      </c>
      <c r="AP80" s="64" t="s" ph="1">
        <v>306</v>
      </c>
      <c r="AQ80" s="64" t="s" ph="1">
        <v>269</v>
      </c>
      <c r="AR80" s="64" t="s" ph="1">
        <v>284</v>
      </c>
      <c r="AS80" s="64" t="s" ph="1">
        <v>307</v>
      </c>
      <c r="AT80" s="64" t="s" ph="1">
        <v>268</v>
      </c>
      <c r="AU80" s="64" t="s" ph="1">
        <v>284</v>
      </c>
      <c r="AV80" s="64" t="s" ph="1">
        <v>308</v>
      </c>
      <c r="AW80" s="64" t="s" ph="1">
        <v>284</v>
      </c>
      <c r="AY80" s="64" t="s" ph="1">
        <v>257</v>
      </c>
      <c r="AZ80" s="64" t="s" ph="1">
        <v>445</v>
      </c>
    </row>
    <row r="81" spans="34:52" ph="1">
      <c r="AJ81" s="64" t="s" ph="1">
        <v>309</v>
      </c>
      <c r="AK81" s="64" t="s" ph="1">
        <v>263</v>
      </c>
      <c r="AM81" s="64" t="s" ph="1">
        <v>310</v>
      </c>
      <c r="AN81" s="64" t="s" ph="1">
        <v>266</v>
      </c>
      <c r="AO81" s="64" t="s" ph="1">
        <v>284</v>
      </c>
      <c r="AP81" s="64" t="s" ph="1">
        <v>311</v>
      </c>
      <c r="AQ81" s="64" t="s" ph="1">
        <v>295</v>
      </c>
      <c r="AR81" s="64" t="s" ph="1">
        <v>284</v>
      </c>
      <c r="AS81" s="64" t="s" ph="1">
        <v>312</v>
      </c>
      <c r="AT81" s="64" t="s" ph="1">
        <v>313</v>
      </c>
      <c r="AU81" s="64" t="s" ph="1">
        <v>284</v>
      </c>
      <c r="AV81" s="64" t="s" ph="1">
        <v>314</v>
      </c>
    </row>
    <row r="82" spans="34:52" ph="1">
      <c r="AJ82" s="64" t="s" ph="1">
        <v>315</v>
      </c>
      <c r="AK82" s="64" t="s" ph="1">
        <v>263</v>
      </c>
      <c r="AM82" s="64" t="s" ph="1">
        <v>316</v>
      </c>
      <c r="AN82" s="64" t="s" ph="1">
        <v>313</v>
      </c>
      <c r="AO82" s="64" t="s" ph="1">
        <v>317</v>
      </c>
      <c r="AP82" s="64" t="s" ph="1">
        <v>318</v>
      </c>
      <c r="AQ82" s="64" t="s" ph="1">
        <v>295</v>
      </c>
      <c r="AR82" s="64" t="s" ph="1">
        <v>284</v>
      </c>
      <c r="AS82" s="64" t="s" ph="1">
        <v>319</v>
      </c>
      <c r="AT82" s="64" t="s" ph="1">
        <v>270</v>
      </c>
      <c r="AU82" s="64" t="s" ph="1">
        <v>284</v>
      </c>
      <c r="AV82" s="64" t="s" ph="1">
        <v>444</v>
      </c>
      <c r="AW82" s="64" t="s" ph="1">
        <v>344</v>
      </c>
      <c r="AX82" s="64" t="s" ph="1">
        <v>441</v>
      </c>
    </row>
    <row r="83" spans="34:52" ph="1">
      <c r="AJ83" s="64" t="s" ph="1">
        <v>320</v>
      </c>
      <c r="AK83" s="64" t="s" ph="1">
        <v>337</v>
      </c>
      <c r="AM83" s="64" t="s" ph="1">
        <v>321</v>
      </c>
      <c r="AN83" s="64" t="s" ph="1">
        <v>269</v>
      </c>
      <c r="AO83" s="64" t="s" ph="1">
        <v>300</v>
      </c>
      <c r="AP83" s="64" t="s" ph="1">
        <v>322</v>
      </c>
      <c r="AQ83" s="64" t="s" ph="1">
        <v>323</v>
      </c>
      <c r="AR83" s="64" t="s" ph="1">
        <v>300</v>
      </c>
      <c r="AS83" s="64" t="s" ph="1">
        <v>446</v>
      </c>
      <c r="AT83" s="64" t="s" ph="1">
        <v>295</v>
      </c>
      <c r="AU83" s="64" t="s" ph="1">
        <v>300</v>
      </c>
      <c r="AV83" s="64" t="s" ph="1">
        <v>447</v>
      </c>
      <c r="AW83" s="64" t="s" ph="1">
        <v>344</v>
      </c>
      <c r="AX83" s="64" t="s" ph="1">
        <v>448</v>
      </c>
    </row>
    <row r="84" spans="34:52" ph="1">
      <c r="AH84" s="64" ph="1">
        <v>4</v>
      </c>
      <c r="AI84" s="64" t="s" ph="1">
        <v>327</v>
      </c>
      <c r="AJ84" s="64" t="s" ph="1">
        <v>267</v>
      </c>
      <c r="AK84" s="64" t="s" ph="1">
        <v>270</v>
      </c>
      <c r="AM84" s="64" t="s" ph="1">
        <v>271</v>
      </c>
      <c r="AN84" s="64" t="s" ph="1">
        <v>264</v>
      </c>
      <c r="AO84" s="64" t="s" ph="1">
        <v>300</v>
      </c>
      <c r="AP84" s="64" t="s" ph="1">
        <v>329</v>
      </c>
      <c r="AQ84" s="64" t="s" ph="1">
        <v>263</v>
      </c>
      <c r="AR84" s="64" t="s" ph="1">
        <v>300</v>
      </c>
      <c r="AS84" s="64" t="s" ph="1">
        <v>329</v>
      </c>
      <c r="AT84" s="64" t="s" ph="1">
        <v>265</v>
      </c>
      <c r="AU84" s="64" t="s" ph="1">
        <v>300</v>
      </c>
      <c r="AY84" s="64" t="s" ph="1">
        <v>257</v>
      </c>
      <c r="AZ84" s="64" t="s" ph="1">
        <v>449</v>
      </c>
    </row>
    <row r="85" spans="34:52" ph="1">
      <c r="AJ85" s="64" t="s" ph="1">
        <v>259</v>
      </c>
      <c r="AK85" s="64" t="s" ph="1">
        <v>263</v>
      </c>
      <c r="AM85" s="64" t="s" ph="1">
        <v>450</v>
      </c>
      <c r="AN85" s="64" t="s" ph="1">
        <v>270</v>
      </c>
      <c r="AO85" s="64" t="s" ph="1">
        <v>300</v>
      </c>
      <c r="AP85" s="64" t="s" ph="1">
        <v>451</v>
      </c>
      <c r="AQ85" s="64" t="s" ph="1">
        <v>266</v>
      </c>
      <c r="AR85" s="64" t="s" ph="1">
        <v>300</v>
      </c>
      <c r="AS85" s="64" t="s" ph="1">
        <v>452</v>
      </c>
      <c r="AT85" s="64" t="s" ph="1">
        <v>266</v>
      </c>
      <c r="AU85" s="64" t="s" ph="1">
        <v>300</v>
      </c>
    </row>
    <row r="86" spans="34:52" ph="1">
      <c r="AJ86" s="64" t="s" ph="1">
        <v>453</v>
      </c>
      <c r="AK86" s="64" t="s" ph="1">
        <v>272</v>
      </c>
      <c r="AM86" s="64" t="s" ph="1">
        <v>454</v>
      </c>
      <c r="AN86" s="64" t="s" ph="1">
        <v>313</v>
      </c>
      <c r="AO86" s="64" t="s" ph="1">
        <v>300</v>
      </c>
      <c r="AP86" s="64" t="s" ph="1">
        <v>455</v>
      </c>
      <c r="AQ86" s="64" t="s" ph="1">
        <v>260</v>
      </c>
      <c r="AR86" s="64" t="s" ph="1">
        <v>300</v>
      </c>
      <c r="AS86" s="64" t="s" ph="1">
        <v>456</v>
      </c>
      <c r="AT86" s="64" t="s" ph="1">
        <v>278</v>
      </c>
      <c r="AU86" s="64" t="s" ph="1">
        <v>300</v>
      </c>
    </row>
    <row r="87" spans="34:52" ph="1">
      <c r="AJ87" s="64" t="s" ph="1">
        <v>457</v>
      </c>
      <c r="AK87" s="64" t="s" ph="1">
        <v>313</v>
      </c>
      <c r="AM87" s="64" t="s" ph="1">
        <v>444</v>
      </c>
      <c r="AN87" s="64" t="s" ph="1">
        <v>458</v>
      </c>
      <c r="AO87" s="64" t="s" ph="1">
        <v>441</v>
      </c>
    </row>
    <row r="88" spans="34:52" ph="1">
      <c r="AH88" s="64" ph="1">
        <v>5</v>
      </c>
      <c r="AI88" s="64" t="s" ph="1">
        <v>330</v>
      </c>
      <c r="AJ88" s="64" t="s" ph="1">
        <v>459</v>
      </c>
      <c r="AK88" s="64" t="s" ph="1">
        <v>313</v>
      </c>
      <c r="AM88" s="64" t="s" ph="1">
        <v>460</v>
      </c>
      <c r="AN88" s="64" t="s" ph="1">
        <v>313</v>
      </c>
      <c r="AO88" s="64" t="s" ph="1">
        <v>300</v>
      </c>
      <c r="AP88" s="64" t="s" ph="1">
        <v>461</v>
      </c>
      <c r="AQ88" s="64" t="s" ph="1">
        <v>263</v>
      </c>
      <c r="AR88" s="64" t="s" ph="1">
        <v>300</v>
      </c>
      <c r="AS88" s="64" t="s" ph="1">
        <v>462</v>
      </c>
      <c r="AT88" s="64" t="s" ph="1">
        <v>313</v>
      </c>
      <c r="AU88" s="64" t="s" ph="1">
        <v>300</v>
      </c>
      <c r="AV88" s="64" t="s" ph="1">
        <v>463</v>
      </c>
      <c r="AW88" s="64" t="s" ph="1">
        <v>268</v>
      </c>
      <c r="AX88" s="64" t="s" ph="1">
        <v>300</v>
      </c>
      <c r="AY88" s="64" t="s" ph="1">
        <v>257</v>
      </c>
      <c r="AZ88" s="64" t="s" ph="1">
        <v>464</v>
      </c>
    </row>
    <row r="89" spans="34:52" ph="1">
      <c r="AJ89" s="64" t="s" ph="1">
        <v>465</v>
      </c>
      <c r="AK89" s="64" t="s" ph="1">
        <v>266</v>
      </c>
      <c r="AM89" s="64" t="s" ph="1">
        <v>466</v>
      </c>
      <c r="AN89" s="64" t="s" ph="1">
        <v>269</v>
      </c>
      <c r="AO89" s="64" t="s" ph="1">
        <v>300</v>
      </c>
      <c r="AP89" s="64" t="s" ph="1">
        <v>467</v>
      </c>
      <c r="AQ89" s="64" t="s" ph="1">
        <v>278</v>
      </c>
      <c r="AR89" s="64" t="s" ph="1">
        <v>300</v>
      </c>
      <c r="AS89" s="64" t="s" ph="1">
        <v>468</v>
      </c>
      <c r="AT89" s="64" t="s" ph="1">
        <v>313</v>
      </c>
      <c r="AU89" s="64" t="s" ph="1">
        <v>300</v>
      </c>
      <c r="AV89" s="64" t="s" ph="1">
        <v>469</v>
      </c>
      <c r="AW89" s="64" t="s" ph="1">
        <v>295</v>
      </c>
      <c r="AX89" s="64" t="s" ph="1">
        <v>328</v>
      </c>
    </row>
    <row r="90" spans="34:52" ph="1">
      <c r="AJ90" s="64" t="s" ph="1">
        <v>470</v>
      </c>
      <c r="AK90" s="64" t="s" ph="1">
        <v>269</v>
      </c>
      <c r="AM90" s="64" t="s" ph="1">
        <v>471</v>
      </c>
      <c r="AN90" s="64" t="s" ph="1">
        <v>266</v>
      </c>
      <c r="AO90" s="64" t="s" ph="1">
        <v>300</v>
      </c>
      <c r="AP90" s="64" t="s" ph="1">
        <v>472</v>
      </c>
      <c r="AQ90" s="64" t="s" ph="1">
        <v>335</v>
      </c>
      <c r="AR90" s="64" t="s" ph="1">
        <v>300</v>
      </c>
      <c r="AS90" s="64" t="s" ph="1">
        <v>473</v>
      </c>
      <c r="AT90" s="64" t="s" ph="1">
        <v>323</v>
      </c>
      <c r="AU90" s="64" t="s" ph="1">
        <v>300</v>
      </c>
      <c r="AV90" s="64" t="s" ph="1">
        <v>474</v>
      </c>
      <c r="AW90" s="64" t="s" ph="1">
        <v>260</v>
      </c>
      <c r="AX90" s="64" t="s" ph="1">
        <v>300</v>
      </c>
    </row>
    <row r="91" spans="34:52" ph="1">
      <c r="AJ91" s="64" t="s" ph="1">
        <v>475</v>
      </c>
      <c r="AK91" s="64" t="s" ph="1">
        <v>313</v>
      </c>
      <c r="AM91" s="64" t="s" ph="1">
        <v>476</v>
      </c>
      <c r="AN91" s="64" t="s" ph="1">
        <v>280</v>
      </c>
      <c r="AO91" s="64" t="s" ph="1">
        <v>300</v>
      </c>
      <c r="AP91" s="64" t="s" ph="1">
        <v>477</v>
      </c>
      <c r="AQ91" s="64" t="s" ph="1">
        <v>260</v>
      </c>
      <c r="AS91" s="64" t="s" ph="1">
        <v>444</v>
      </c>
      <c r="AT91" s="64" t="s" ph="1">
        <v>440</v>
      </c>
      <c r="AU91" s="64" t="s" ph="1">
        <v>441</v>
      </c>
    </row>
    <row r="92" spans="34:52" ph="1">
      <c r="AH92" s="64" ph="1">
        <v>6</v>
      </c>
      <c r="AI92" s="64" t="s" ph="1">
        <v>478</v>
      </c>
      <c r="AJ92" s="64" t="s" ph="1">
        <v>479</v>
      </c>
      <c r="AK92" s="64" t="s" ph="1">
        <v>408</v>
      </c>
      <c r="AM92" s="64" t="s" ph="1">
        <v>480</v>
      </c>
      <c r="AN92" s="64" t="s" ph="1">
        <v>268</v>
      </c>
      <c r="AO92" s="64" t="s" ph="1">
        <v>300</v>
      </c>
      <c r="AP92" s="64" t="s" ph="1">
        <v>481</v>
      </c>
      <c r="AQ92" s="64" t="s" ph="1">
        <v>340</v>
      </c>
      <c r="AR92" s="64" t="s" ph="1">
        <v>300</v>
      </c>
      <c r="AS92" s="64" t="s" ph="1">
        <v>482</v>
      </c>
      <c r="AT92" s="64" t="s" ph="1">
        <v>313</v>
      </c>
      <c r="AU92" s="64" t="s" ph="1">
        <v>300</v>
      </c>
      <c r="AV92" s="64" t="s" ph="1">
        <v>483</v>
      </c>
      <c r="AW92" s="64" t="s" ph="1">
        <v>269</v>
      </c>
      <c r="AX92" s="64" t="s" ph="1">
        <v>300</v>
      </c>
      <c r="AY92" s="64" t="s" ph="1">
        <v>257</v>
      </c>
      <c r="AZ92" s="64" t="s" ph="1">
        <v>464</v>
      </c>
    </row>
    <row r="93" spans="34:52" ph="1">
      <c r="AJ93" s="64" t="s" ph="1">
        <v>484</v>
      </c>
      <c r="AK93" s="64" t="s" ph="1">
        <v>263</v>
      </c>
      <c r="AM93" s="64" t="s" ph="1">
        <v>485</v>
      </c>
      <c r="AN93" s="64" t="s" ph="1">
        <v>268</v>
      </c>
      <c r="AO93" s="64" t="s" ph="1">
        <v>300</v>
      </c>
      <c r="AP93" s="64" t="s" ph="1">
        <v>486</v>
      </c>
      <c r="AQ93" s="64" t="s" ph="1">
        <v>272</v>
      </c>
      <c r="AR93" s="64" t="s" ph="1">
        <v>300</v>
      </c>
      <c r="AS93" s="64" t="s" ph="1">
        <v>487</v>
      </c>
      <c r="AT93" s="64" t="s" ph="1">
        <v>278</v>
      </c>
      <c r="AU93" s="64" t="s" ph="1">
        <v>300</v>
      </c>
      <c r="AV93" s="64" t="s" ph="1">
        <v>488</v>
      </c>
      <c r="AW93" s="64" t="s" ph="1">
        <v>272</v>
      </c>
      <c r="AX93" s="64" t="s" ph="1">
        <v>300</v>
      </c>
    </row>
    <row r="94" spans="34:52" ph="1">
      <c r="AJ94" s="64" t="s" ph="1">
        <v>489</v>
      </c>
      <c r="AK94" s="64" t="s" ph="1">
        <v>335</v>
      </c>
      <c r="AM94" s="64" t="s" ph="1">
        <v>490</v>
      </c>
      <c r="AN94" s="64" t="s" ph="1">
        <v>272</v>
      </c>
      <c r="AO94" s="64" t="s" ph="1">
        <v>300</v>
      </c>
      <c r="AP94" s="64" t="s" ph="1">
        <v>491</v>
      </c>
      <c r="AQ94" s="64" t="s" ph="1">
        <v>280</v>
      </c>
      <c r="AR94" s="64" t="s" ph="1">
        <v>300</v>
      </c>
      <c r="AS94" s="64" t="s" ph="1">
        <v>492</v>
      </c>
      <c r="AT94" s="64" t="s" ph="1">
        <v>266</v>
      </c>
      <c r="AU94" s="64" t="s" ph="1">
        <v>300</v>
      </c>
      <c r="AV94" s="64" t="s" ph="1">
        <v>493</v>
      </c>
      <c r="AW94" s="64" t="s" ph="1">
        <v>266</v>
      </c>
      <c r="AX94" s="64" t="s" ph="1">
        <v>300</v>
      </c>
    </row>
    <row r="95" spans="34:52" ph="1">
      <c r="AJ95" s="64" t="s" ph="1">
        <v>494</v>
      </c>
      <c r="AK95" s="64" t="s" ph="1">
        <v>340</v>
      </c>
    </row>
    <row r="96" spans="34:52" ph="1">
      <c r="AH96" s="64" ph="1">
        <v>7</v>
      </c>
      <c r="AI96" s="64" t="s" ph="1">
        <v>495</v>
      </c>
      <c r="AJ96" s="64" t="s" ph="1">
        <v>494</v>
      </c>
      <c r="AK96" s="64" t="s" ph="1">
        <v>295</v>
      </c>
      <c r="AM96" s="64" t="s" ph="1">
        <v>496</v>
      </c>
      <c r="AN96" s="64" t="s" ph="1">
        <v>269</v>
      </c>
      <c r="AO96" s="64" t="s" ph="1">
        <v>300</v>
      </c>
      <c r="AP96" s="64" t="s" ph="1">
        <v>497</v>
      </c>
      <c r="AQ96" s="64" t="s" ph="1">
        <v>313</v>
      </c>
      <c r="AR96" s="64" t="s" ph="1">
        <v>328</v>
      </c>
      <c r="AS96" s="64" t="s" ph="1">
        <v>498</v>
      </c>
      <c r="AT96" s="64" t="s" ph="1">
        <v>272</v>
      </c>
      <c r="AU96" s="64" t="s" ph="1">
        <v>328</v>
      </c>
      <c r="AV96" s="64" t="s" ph="1">
        <v>499</v>
      </c>
      <c r="AW96" s="64" t="s" ph="1">
        <v>268</v>
      </c>
      <c r="AX96" s="64" t="s" ph="1">
        <v>328</v>
      </c>
      <c r="AY96" s="64" t="s" ph="1">
        <v>257</v>
      </c>
      <c r="AZ96" s="64" t="s" ph="1">
        <v>500</v>
      </c>
    </row>
    <row r="97" spans="33:52" ph="1">
      <c r="AJ97" s="64" t="s" ph="1">
        <v>501</v>
      </c>
      <c r="AK97" s="64" t="s" ph="1">
        <v>323</v>
      </c>
      <c r="AM97" s="64" t="s" ph="1">
        <v>502</v>
      </c>
      <c r="AN97" s="64" t="s" ph="1">
        <v>266</v>
      </c>
      <c r="AO97" s="64" t="s" ph="1">
        <v>300</v>
      </c>
      <c r="AP97" s="64" t="s" ph="1">
        <v>503</v>
      </c>
      <c r="AQ97" s="64" t="s" ph="1">
        <v>260</v>
      </c>
      <c r="AR97" s="64" t="s" ph="1">
        <v>328</v>
      </c>
      <c r="AS97" s="64" t="s" ph="1">
        <v>504</v>
      </c>
      <c r="AT97" s="64" t="s" ph="1">
        <v>263</v>
      </c>
      <c r="AU97" s="64" t="s" ph="1">
        <v>328</v>
      </c>
      <c r="AV97" s="64" t="s" ph="1">
        <v>505</v>
      </c>
      <c r="AW97" s="64" t="s" ph="1">
        <v>269</v>
      </c>
      <c r="AX97" s="64" t="s" ph="1">
        <v>328</v>
      </c>
    </row>
    <row r="98" spans="33:52" ph="1">
      <c r="AJ98" s="64" t="s" ph="1">
        <v>506</v>
      </c>
      <c r="AK98" s="64" t="s" ph="1">
        <v>272</v>
      </c>
      <c r="AM98" s="64" t="s" ph="1">
        <v>507</v>
      </c>
      <c r="AN98" s="64" t="s" ph="1">
        <v>280</v>
      </c>
      <c r="AO98" s="64" t="s" ph="1">
        <v>300</v>
      </c>
      <c r="AP98" s="64" t="s" ph="1">
        <v>508</v>
      </c>
      <c r="AQ98" s="64" t="s" ph="1">
        <v>260</v>
      </c>
      <c r="AR98" s="64" t="s" ph="1">
        <v>328</v>
      </c>
      <c r="AS98" s="64" t="s" ph="1">
        <v>509</v>
      </c>
      <c r="AT98" s="64" t="s" ph="1">
        <v>340</v>
      </c>
      <c r="AU98" s="64" t="s" ph="1">
        <v>328</v>
      </c>
      <c r="AV98" s="64" t="s" ph="1">
        <v>510</v>
      </c>
      <c r="AW98" s="64" t="s" ph="1">
        <v>263</v>
      </c>
      <c r="AX98" s="64" t="s" ph="1">
        <v>328</v>
      </c>
    </row>
    <row r="99" spans="33:52" ph="1">
      <c r="AH99" s="64" ph="1">
        <v>8</v>
      </c>
      <c r="AI99" s="64" t="s" ph="1">
        <v>511</v>
      </c>
      <c r="AJ99" s="64" t="s" ph="1">
        <v>512</v>
      </c>
      <c r="AK99" s="64" t="s" ph="1">
        <v>408</v>
      </c>
      <c r="AM99" s="64" t="s" ph="1">
        <v>513</v>
      </c>
      <c r="AN99" s="64" t="s" ph="1">
        <v>295</v>
      </c>
      <c r="AO99" s="64" t="s" ph="1">
        <v>300</v>
      </c>
      <c r="AP99" s="64" t="s" ph="1">
        <v>514</v>
      </c>
      <c r="AQ99" s="64" t="s" ph="1">
        <v>265</v>
      </c>
      <c r="AR99" s="64" t="s" ph="1">
        <v>328</v>
      </c>
      <c r="AS99" s="64" t="s" ph="1">
        <v>515</v>
      </c>
      <c r="AT99" s="64" t="s" ph="1">
        <v>280</v>
      </c>
      <c r="AU99" s="64" t="s" ph="1">
        <v>328</v>
      </c>
      <c r="AV99" s="64" t="s" ph="1">
        <v>516</v>
      </c>
      <c r="AW99" s="64" t="s" ph="1">
        <v>265</v>
      </c>
      <c r="AX99" s="64" t="s" ph="1">
        <v>328</v>
      </c>
      <c r="AY99" s="64" t="s" ph="1">
        <v>257</v>
      </c>
      <c r="AZ99" s="64" t="s" ph="1">
        <v>517</v>
      </c>
    </row>
    <row r="100" spans="33:52" ph="1">
      <c r="AJ100" s="64" t="s" ph="1">
        <v>518</v>
      </c>
      <c r="AK100" s="64" t="s" ph="1">
        <v>263</v>
      </c>
      <c r="AM100" s="64" t="s" ph="1">
        <v>519</v>
      </c>
      <c r="AN100" s="64" t="s" ph="1">
        <v>335</v>
      </c>
      <c r="AO100" s="64" t="s" ph="1">
        <v>300</v>
      </c>
      <c r="AP100" s="64" t="s" ph="1">
        <v>520</v>
      </c>
      <c r="AQ100" s="64" t="s" ph="1">
        <v>341</v>
      </c>
      <c r="AR100" s="64" t="s" ph="1">
        <v>328</v>
      </c>
      <c r="AS100" s="64" t="s" ph="1">
        <v>521</v>
      </c>
      <c r="AT100" s="64" t="s" ph="1">
        <v>408</v>
      </c>
      <c r="AU100" s="64" t="s" ph="1">
        <v>300</v>
      </c>
      <c r="AV100" s="64" t="s" ph="1">
        <v>522</v>
      </c>
      <c r="AW100" s="64" t="s" ph="1">
        <v>408</v>
      </c>
      <c r="AX100" s="64" t="s" ph="1">
        <v>300</v>
      </c>
    </row>
    <row r="101" spans="33:52" ph="1">
      <c r="AJ101" s="64" t="s" ph="1">
        <v>523</v>
      </c>
      <c r="AK101" s="64" t="s" ph="1">
        <v>408</v>
      </c>
      <c r="AM101" s="64" t="s" ph="1">
        <v>524</v>
      </c>
      <c r="AN101" s="64" t="s" ph="1">
        <v>266</v>
      </c>
      <c r="AO101" s="64" t="s" ph="1">
        <v>300</v>
      </c>
      <c r="AP101" s="64" t="s" ph="1">
        <v>525</v>
      </c>
      <c r="AQ101" s="64" t="s" ph="1">
        <v>278</v>
      </c>
      <c r="AR101" s="64" t="s" ph="1">
        <v>328</v>
      </c>
      <c r="AS101" s="64" t="s" ph="1">
        <v>526</v>
      </c>
      <c r="AT101" s="64" t="s" ph="1">
        <v>335</v>
      </c>
      <c r="AU101" s="64" t="s" ph="1">
        <v>328</v>
      </c>
      <c r="AV101" s="64" t="s" ph="1">
        <v>527</v>
      </c>
      <c r="AW101" s="64" t="s" ph="1">
        <v>266</v>
      </c>
      <c r="AX101" s="64" t="s" ph="1">
        <v>300</v>
      </c>
    </row>
    <row r="102" spans="33:52" ph="1">
      <c r="AJ102" s="64" t="s" ph="1">
        <v>528</v>
      </c>
      <c r="AK102" s="64" t="s" ph="1">
        <v>263</v>
      </c>
      <c r="AM102" s="64" t="s" ph="1">
        <v>529</v>
      </c>
      <c r="AN102" s="64" t="s" ph="1">
        <v>272</v>
      </c>
      <c r="AO102" s="64" t="s" ph="1">
        <v>300</v>
      </c>
      <c r="AP102" s="64" t="s" ph="1">
        <v>530</v>
      </c>
      <c r="AQ102" s="64" t="s" ph="1">
        <v>278</v>
      </c>
      <c r="AR102" s="64" t="s" ph="1">
        <v>300</v>
      </c>
      <c r="AS102" s="64" t="s" ph="1">
        <v>531</v>
      </c>
      <c r="AT102" s="64" t="s" ph="1">
        <v>295</v>
      </c>
      <c r="AU102" s="64" t="s" ph="1">
        <v>300</v>
      </c>
      <c r="AV102" s="64" t="s" ph="1">
        <v>532</v>
      </c>
      <c r="AW102" s="64" t="s" ph="1">
        <v>313</v>
      </c>
      <c r="AX102" s="64" t="s" ph="1">
        <v>300</v>
      </c>
    </row>
    <row r="103" spans="33:52" ph="1">
      <c r="AH103" s="64" ph="1">
        <v>9</v>
      </c>
      <c r="AI103" s="64" t="s" ph="1">
        <v>533</v>
      </c>
      <c r="AJ103" s="64" t="s" ph="1">
        <v>534</v>
      </c>
      <c r="AK103" s="64" t="s" ph="1">
        <v>408</v>
      </c>
      <c r="AM103" s="64" t="s" ph="1">
        <v>535</v>
      </c>
      <c r="AN103" s="64" t="s" ph="1">
        <v>323</v>
      </c>
      <c r="AO103" s="64" t="s" ph="1">
        <v>300</v>
      </c>
      <c r="AP103" s="64" t="s" ph="1">
        <v>377</v>
      </c>
      <c r="AQ103" s="64" t="s" ph="1">
        <v>266</v>
      </c>
      <c r="AR103" s="64" t="s" ph="1">
        <v>300</v>
      </c>
      <c r="AS103" s="64" t="s" ph="1">
        <v>611</v>
      </c>
      <c r="AT103" s="64" t="s" ph="1">
        <v>408</v>
      </c>
      <c r="AU103" s="64" t="s" ph="1">
        <v>300</v>
      </c>
      <c r="AY103" s="64" t="s" ph="1">
        <v>257</v>
      </c>
      <c r="AZ103" s="64" t="s" ph="1">
        <v>265</v>
      </c>
    </row>
    <row r="104" spans="33:52" ph="1">
      <c r="AZ104" s="64" t="s" ph="1">
        <v>536</v>
      </c>
    </row>
    <row r="105" spans="33:52" ph="1">
      <c r="AG105" s="64" t="s" ph="1">
        <v>336</v>
      </c>
      <c r="AI105" s="64" t="s" ph="1">
        <v>250</v>
      </c>
      <c r="AJ105" s="64" t="s" ph="1">
        <v>251</v>
      </c>
      <c r="AK105" s="64" t="s" ph="1">
        <v>252</v>
      </c>
      <c r="AM105" s="64" t="s" ph="1">
        <v>251</v>
      </c>
      <c r="AN105" s="64" t="s" ph="1">
        <v>252</v>
      </c>
      <c r="AO105" s="64" t="s" ph="1">
        <v>253</v>
      </c>
      <c r="AP105" s="64" t="s" ph="1">
        <v>251</v>
      </c>
      <c r="AQ105" s="64" t="s" ph="1">
        <v>252</v>
      </c>
      <c r="AR105" s="64" t="s" ph="1">
        <v>253</v>
      </c>
      <c r="AS105" s="64" t="s" ph="1">
        <v>251</v>
      </c>
      <c r="AT105" s="64" t="s" ph="1">
        <v>252</v>
      </c>
      <c r="AU105" s="64" t="s" ph="1">
        <v>253</v>
      </c>
      <c r="AV105" s="64" t="s" ph="1">
        <v>251</v>
      </c>
      <c r="AW105" s="64" t="s" ph="1">
        <v>252</v>
      </c>
      <c r="AX105" s="64" t="s" ph="1">
        <v>253</v>
      </c>
      <c r="AZ105" s="64" t="s" ph="1">
        <v>254</v>
      </c>
    </row>
    <row r="106" spans="33:52" ph="1">
      <c r="AH106" s="64" ph="1">
        <v>1</v>
      </c>
      <c r="AI106" s="64" t="s" ph="1">
        <v>537</v>
      </c>
      <c r="AJ106" s="64" t="s" ph="1">
        <v>611</v>
      </c>
      <c r="AK106" s="64" t="s" ph="1">
        <v>272</v>
      </c>
      <c r="AZ106" s="64" t="s" ph="1">
        <v>272</v>
      </c>
    </row>
    <row r="107" spans="33:52" ph="1">
      <c r="AH107" s="64" ph="1">
        <v>2</v>
      </c>
      <c r="AI107" s="64" t="s" ph="1">
        <v>538</v>
      </c>
      <c r="AJ107" s="64" t="s" ph="1">
        <v>539</v>
      </c>
      <c r="AK107" s="64" t="s" ph="1">
        <v>269</v>
      </c>
      <c r="AM107" s="64" t="s" ph="1">
        <v>375</v>
      </c>
      <c r="AN107" s="64" t="s" ph="1">
        <v>540</v>
      </c>
      <c r="AO107" s="64" t="s" ph="1">
        <v>541</v>
      </c>
      <c r="AP107" s="64" t="s" ph="1">
        <v>377</v>
      </c>
      <c r="AQ107" s="64" t="s" ph="1">
        <v>345</v>
      </c>
      <c r="AR107" s="64" t="s" ph="1">
        <v>541</v>
      </c>
      <c r="AS107" s="64" t="s" ph="1">
        <v>611</v>
      </c>
      <c r="AT107" s="64" t="s" ph="1">
        <v>540</v>
      </c>
      <c r="AU107" s="64" t="s" ph="1">
        <v>541</v>
      </c>
      <c r="AY107" s="64" t="s" ph="1">
        <v>257</v>
      </c>
      <c r="AZ107" s="64" t="s" ph="1">
        <v>621</v>
      </c>
    </row>
    <row r="108" spans="33:52" ph="1">
      <c r="AH108" s="64" ph="1">
        <v>3</v>
      </c>
      <c r="AI108" s="64" t="s" ph="1">
        <v>542</v>
      </c>
      <c r="AY108" s="64" t="s" ph="1">
        <v>257</v>
      </c>
      <c r="AZ108" s="64" t="s" ph="1">
        <v>408</v>
      </c>
    </row>
    <row r="109" spans="33:52" ph="1">
      <c r="AH109" s="64" ph="1">
        <v>4</v>
      </c>
      <c r="AI109" s="64" t="s" ph="1">
        <v>543</v>
      </c>
      <c r="AY109" s="64" t="s" ph="1">
        <v>257</v>
      </c>
      <c r="AZ109" s="64" t="s" ph="1">
        <v>408</v>
      </c>
    </row>
    <row r="110" spans="33:52" ph="1">
      <c r="AH110" s="64" ph="1">
        <v>5</v>
      </c>
      <c r="AI110" s="64" t="s" ph="1">
        <v>544</v>
      </c>
      <c r="AY110" s="64" t="s" ph="1">
        <v>257</v>
      </c>
      <c r="AZ110" s="64" t="s" ph="1">
        <v>408</v>
      </c>
    </row>
    <row r="111" spans="33:52" ph="1">
      <c r="AH111" s="64" ph="1">
        <v>6</v>
      </c>
      <c r="AI111" s="64" t="s" ph="1">
        <v>622</v>
      </c>
      <c r="AJ111" s="64" t="s" ph="1">
        <v>527</v>
      </c>
      <c r="AK111" s="64" t="s" ph="1">
        <v>266</v>
      </c>
      <c r="AM111" s="64" t="s" ph="1">
        <v>528</v>
      </c>
      <c r="AN111" s="64" t="s" ph="1">
        <v>260</v>
      </c>
      <c r="AO111" s="64" t="s" ph="1">
        <v>541</v>
      </c>
      <c r="AP111" s="64" t="s" ph="1">
        <v>529</v>
      </c>
      <c r="AQ111" s="64" t="s" ph="1">
        <v>269</v>
      </c>
      <c r="AR111" s="64" t="s" ph="1">
        <v>541</v>
      </c>
      <c r="AS111" s="64" t="s" ph="1">
        <v>530</v>
      </c>
      <c r="AT111" s="64" t="s" ph="1">
        <v>278</v>
      </c>
      <c r="AU111" s="64" t="s" ph="1">
        <v>541</v>
      </c>
      <c r="AV111" s="64" t="s" ph="1">
        <v>531</v>
      </c>
      <c r="AW111" s="64" t="s" ph="1">
        <v>268</v>
      </c>
      <c r="AX111" s="64" t="s" ph="1">
        <v>541</v>
      </c>
      <c r="AY111" s="64" t="s" ph="1">
        <v>257</v>
      </c>
      <c r="AZ111" s="64" t="s" ph="1">
        <v>545</v>
      </c>
    </row>
    <row r="112" spans="33:52" ph="1">
      <c r="AJ112" s="64" t="s" ph="1">
        <v>532</v>
      </c>
      <c r="AK112" s="64" t="s" ph="1">
        <v>313</v>
      </c>
      <c r="AM112" s="64" t="s" ph="1">
        <v>534</v>
      </c>
      <c r="AN112" s="64" t="s" ph="1">
        <v>337</v>
      </c>
      <c r="AO112" s="64" t="s" ph="1">
        <v>541</v>
      </c>
      <c r="AP112" s="64" t="s" ph="1">
        <v>535</v>
      </c>
      <c r="AQ112" s="64" t="s" ph="1">
        <v>546</v>
      </c>
      <c r="AR112" s="64" t="s" ph="1">
        <v>541</v>
      </c>
      <c r="AS112" s="64" t="s" ph="1">
        <v>547</v>
      </c>
      <c r="AT112" s="64" t="s" ph="1">
        <v>289</v>
      </c>
      <c r="AU112" s="64" t="s" ph="1">
        <v>541</v>
      </c>
      <c r="AV112" s="64" t="s" ph="1">
        <v>548</v>
      </c>
      <c r="AW112" s="64" t="s" ph="1">
        <v>335</v>
      </c>
      <c r="AX112" s="64" t="s" ph="1">
        <v>541</v>
      </c>
    </row>
    <row r="113" spans="33:52" ph="1">
      <c r="AH113" s="64" ph="1">
        <v>7</v>
      </c>
      <c r="AI113" s="64" t="s" ph="1">
        <v>549</v>
      </c>
      <c r="AJ113" s="64" t="s" ph="1">
        <v>630</v>
      </c>
      <c r="AK113" s="64" t="s" ph="1">
        <v>635</v>
      </c>
      <c r="AY113" s="64" t="s" ph="1">
        <v>257</v>
      </c>
      <c r="AZ113" s="64" t="s" ph="1">
        <v>635</v>
      </c>
    </row>
    <row r="114" spans="33:52" ph="1">
      <c r="AH114" s="64" ph="1">
        <v>8</v>
      </c>
      <c r="AI114" s="64" t="s" ph="1">
        <v>550</v>
      </c>
      <c r="AJ114" s="64" t="s" ph="1">
        <v>630</v>
      </c>
      <c r="AK114" s="64" t="s" ph="1">
        <v>636</v>
      </c>
      <c r="AY114" s="64" t="s" ph="1">
        <v>257</v>
      </c>
      <c r="AZ114" s="64" t="s" ph="1">
        <v>636</v>
      </c>
    </row>
    <row r="115" spans="33:52" ph="1">
      <c r="AH115" s="64" ph="1">
        <v>9</v>
      </c>
      <c r="AI115" s="64" t="s" ph="1">
        <v>551</v>
      </c>
      <c r="AJ115" s="64" t="s" ph="1">
        <v>630</v>
      </c>
      <c r="AK115" s="64" t="s" ph="1">
        <v>636</v>
      </c>
      <c r="AY115" s="64" t="s" ph="1">
        <v>257</v>
      </c>
      <c r="AZ115" s="64" t="s" ph="1">
        <v>636</v>
      </c>
    </row>
    <row r="116" spans="33:52" ph="1">
      <c r="AH116" s="64" ph="1">
        <v>10</v>
      </c>
      <c r="AI116" s="64" t="s" ph="1">
        <v>552</v>
      </c>
      <c r="AJ116" s="64" t="s" ph="1">
        <v>630</v>
      </c>
      <c r="AK116" s="64" t="s" ph="1">
        <v>636</v>
      </c>
      <c r="AY116" s="64" t="s" ph="1">
        <v>257</v>
      </c>
      <c r="AZ116" s="64" t="s" ph="1">
        <v>636</v>
      </c>
    </row>
    <row r="117" spans="33:52" ph="1">
      <c r="AH117" s="64" ph="1">
        <v>11</v>
      </c>
      <c r="AI117" s="64" t="s" ph="1">
        <v>553</v>
      </c>
      <c r="AJ117" s="64" t="s" ph="1">
        <v>630</v>
      </c>
      <c r="AK117" s="64" t="s" ph="1">
        <v>636</v>
      </c>
      <c r="AY117" s="64" t="s" ph="1">
        <v>257</v>
      </c>
      <c r="AZ117" s="64" t="s" ph="1">
        <v>636</v>
      </c>
    </row>
    <row r="118" spans="33:52" ph="1">
      <c r="AZ118" s="64" t="s" ph="1">
        <v>637</v>
      </c>
    </row>
    <row r="119" spans="33:52" ph="1">
      <c r="AI119" s="64" t="s" ph="1">
        <v>250</v>
      </c>
      <c r="AJ119" s="64" t="s" ph="1">
        <v>251</v>
      </c>
      <c r="AK119" s="64" t="s" ph="1">
        <v>252</v>
      </c>
      <c r="AM119" s="64" t="s" ph="1">
        <v>251</v>
      </c>
      <c r="AN119" s="64" t="s" ph="1">
        <v>252</v>
      </c>
      <c r="AO119" s="64" t="s" ph="1">
        <v>253</v>
      </c>
      <c r="AP119" s="64" t="s" ph="1">
        <v>251</v>
      </c>
      <c r="AQ119" s="64" t="s" ph="1">
        <v>252</v>
      </c>
      <c r="AR119" s="64" t="s" ph="1">
        <v>253</v>
      </c>
      <c r="AS119" s="64" t="s" ph="1">
        <v>251</v>
      </c>
      <c r="AT119" s="64" t="s" ph="1">
        <v>252</v>
      </c>
      <c r="AU119" s="64" t="s" ph="1">
        <v>253</v>
      </c>
      <c r="AV119" s="64" t="s" ph="1">
        <v>251</v>
      </c>
      <c r="AW119" s="64" t="s" ph="1">
        <v>252</v>
      </c>
      <c r="AX119" s="64" t="s" ph="1">
        <v>253</v>
      </c>
      <c r="AY119" s="64" t="s" ph="1">
        <v>252</v>
      </c>
      <c r="AZ119" s="64" t="s" ph="1">
        <v>254</v>
      </c>
    </row>
    <row r="120" spans="33:52" ph="1">
      <c r="AG120" s="64" t="s" ph="1">
        <v>394</v>
      </c>
      <c r="AH120" s="64" ph="1">
        <v>1</v>
      </c>
      <c r="AI120" s="64" t="s" ph="1">
        <v>554</v>
      </c>
      <c r="AJ120" s="64" t="s" ph="1">
        <v>628</v>
      </c>
      <c r="AK120" s="64" t="s" ph="1">
        <v>408</v>
      </c>
      <c r="AY120" s="64" t="s" ph="1">
        <v>257</v>
      </c>
      <c r="AZ120" s="64" t="s" ph="1">
        <v>408</v>
      </c>
    </row>
    <row r="121" spans="33:52" ph="1">
      <c r="AH121" s="64" ph="1">
        <v>2</v>
      </c>
      <c r="AI121" s="64" t="s" ph="1">
        <v>555</v>
      </c>
      <c r="AY121" s="64" t="s" ph="1">
        <v>257</v>
      </c>
      <c r="AZ121" s="64" t="s" ph="1">
        <v>408</v>
      </c>
    </row>
    <row r="122" spans="33:52" ph="1">
      <c r="AH122" s="64" ph="1">
        <v>3</v>
      </c>
      <c r="AI122" s="64" t="s" ph="1">
        <v>556</v>
      </c>
      <c r="AJ122" s="64" t="s" ph="1">
        <v>611</v>
      </c>
      <c r="AK122" s="64" t="s" ph="1">
        <v>623</v>
      </c>
      <c r="AM122" s="64" t="s" ph="1">
        <v>638</v>
      </c>
      <c r="AN122" s="64" t="s" ph="1">
        <v>631</v>
      </c>
      <c r="AO122" s="64" t="s" ph="1">
        <v>108</v>
      </c>
      <c r="AY122" s="64" t="s" ph="1">
        <v>257</v>
      </c>
      <c r="AZ122" s="64" t="s" ph="1">
        <v>620</v>
      </c>
    </row>
    <row r="123" spans="33:52" ph="1">
      <c r="AY123" s="64" t="s" ph="1">
        <v>257</v>
      </c>
      <c r="AZ123" s="64" t="s" ph="1">
        <v>620</v>
      </c>
    </row>
    <row r="124" spans="33:52" ph="1">
      <c r="AG124" s="64" t="s" ph="1">
        <v>397</v>
      </c>
      <c r="AH124" s="64" ph="1">
        <v>4</v>
      </c>
      <c r="AI124" s="64" t="s" ph="1">
        <v>557</v>
      </c>
      <c r="AJ124" s="64" t="s" ph="1">
        <v>558</v>
      </c>
      <c r="AK124" s="64" t="s" ph="1">
        <v>559</v>
      </c>
      <c r="AY124" s="64" t="s" ph="1">
        <v>257</v>
      </c>
      <c r="AZ124" s="64" t="s" ph="1">
        <v>559</v>
      </c>
    </row>
    <row r="125" spans="33:52" ph="1">
      <c r="AH125" s="64" ph="1">
        <v>5</v>
      </c>
      <c r="AI125" s="64" t="s" ph="1">
        <v>560</v>
      </c>
      <c r="AJ125" s="64" t="s" ph="1">
        <v>558</v>
      </c>
      <c r="AK125" s="64" t="s" ph="1">
        <v>559</v>
      </c>
      <c r="AY125" s="64" t="s" ph="1">
        <v>257</v>
      </c>
      <c r="AZ125" s="64" t="s" ph="1">
        <v>559</v>
      </c>
    </row>
    <row r="126" spans="33:52" ph="1">
      <c r="AH126" s="64" ph="1">
        <v>6</v>
      </c>
      <c r="AI126" s="64" t="s" ph="1">
        <v>561</v>
      </c>
      <c r="AJ126" s="64" t="s" ph="1">
        <v>630</v>
      </c>
      <c r="AK126" s="64" t="s" ph="1">
        <v>639</v>
      </c>
      <c r="AY126" s="64" t="s" ph="1">
        <v>257</v>
      </c>
      <c r="AZ126" s="64" t="s" ph="1">
        <v>639</v>
      </c>
    </row>
    <row r="127" spans="33:52" ph="1">
      <c r="AH127" s="64" ph="1">
        <v>7</v>
      </c>
      <c r="AI127" s="64" t="s" ph="1">
        <v>562</v>
      </c>
      <c r="AJ127" s="64" t="s" ph="1">
        <v>630</v>
      </c>
      <c r="AK127" s="64" t="s" ph="1">
        <v>640</v>
      </c>
      <c r="AY127" s="64" t="s" ph="1">
        <v>257</v>
      </c>
      <c r="AZ127" s="64" t="s" ph="1">
        <v>640</v>
      </c>
    </row>
    <row r="128" spans="33:52" ph="1">
      <c r="AH128" s="64" ph="1">
        <v>8</v>
      </c>
      <c r="AI128" s="64" t="s" ph="1">
        <v>563</v>
      </c>
      <c r="AY128" s="64" t="s" ph="1">
        <v>257</v>
      </c>
      <c r="AZ128" s="64" t="s" ph="1">
        <v>408</v>
      </c>
    </row>
    <row r="129" spans="33:52" ph="1">
      <c r="AH129" s="64" ph="1">
        <v>9</v>
      </c>
      <c r="AI129" s="64" t="s" ph="1">
        <v>564</v>
      </c>
      <c r="AY129" s="64" t="s" ph="1">
        <v>257</v>
      </c>
      <c r="AZ129" s="64" t="s" ph="1">
        <v>408</v>
      </c>
    </row>
    <row r="130" spans="33:52" ph="1">
      <c r="AH130" s="64" ph="1">
        <v>10</v>
      </c>
      <c r="AI130" s="64" t="s" ph="1">
        <v>565</v>
      </c>
      <c r="AY130" s="64" t="s" ph="1">
        <v>257</v>
      </c>
      <c r="AZ130" s="64" t="s" ph="1">
        <v>408</v>
      </c>
    </row>
    <row r="131" spans="33:52" ph="1">
      <c r="AH131" s="64" ph="1">
        <v>11</v>
      </c>
      <c r="AI131" s="64" t="s" ph="1">
        <v>566</v>
      </c>
      <c r="AJ131" s="64" t="s" ph="1">
        <v>624</v>
      </c>
      <c r="AK131" s="64" t="s" ph="1">
        <v>620</v>
      </c>
      <c r="AY131" s="64" t="s" ph="1">
        <v>257</v>
      </c>
      <c r="AZ131" s="64" t="s" ph="1">
        <v>620</v>
      </c>
    </row>
    <row r="132" spans="33:52" ph="1">
      <c r="AH132" s="64" ph="1">
        <v>12</v>
      </c>
      <c r="AI132" s="64" t="s" ph="1">
        <v>567</v>
      </c>
      <c r="AJ132" s="64" t="s" ph="1">
        <v>624</v>
      </c>
      <c r="AK132" s="64" t="s" ph="1">
        <v>559</v>
      </c>
      <c r="AY132" s="64" t="s" ph="1">
        <v>257</v>
      </c>
      <c r="AZ132" s="64" t="s" ph="1">
        <v>559</v>
      </c>
    </row>
    <row r="133" spans="33:52" ph="1">
      <c r="AH133" s="64" ph="1">
        <v>13</v>
      </c>
      <c r="AI133" s="64" t="s" ph="1">
        <v>568</v>
      </c>
      <c r="AJ133" s="64" t="s" ph="1">
        <v>624</v>
      </c>
      <c r="AK133" s="64" t="s" ph="1">
        <v>625</v>
      </c>
      <c r="AY133" s="64" t="s" ph="1">
        <v>257</v>
      </c>
      <c r="AZ133" s="64" t="s" ph="1">
        <v>625</v>
      </c>
    </row>
    <row r="134" spans="33:52" ph="1">
      <c r="AH134" s="64" ph="1">
        <v>14</v>
      </c>
      <c r="AI134" s="64" t="s" ph="1">
        <v>569</v>
      </c>
      <c r="AJ134" s="64" t="s" ph="1">
        <v>624</v>
      </c>
      <c r="AK134" s="64" t="s" ph="1">
        <v>626</v>
      </c>
      <c r="AY134" s="64" t="s" ph="1">
        <v>257</v>
      </c>
      <c r="AZ134" s="64" t="s" ph="1">
        <v>626</v>
      </c>
    </row>
    <row r="135" spans="33:52" ph="1">
      <c r="AH135" s="64" ph="1">
        <v>15</v>
      </c>
      <c r="AI135" s="64" t="s" ph="1">
        <v>570</v>
      </c>
      <c r="AJ135" s="64" t="s" ph="1">
        <v>624</v>
      </c>
      <c r="AK135" s="64" t="s" ph="1">
        <v>627</v>
      </c>
      <c r="AY135" s="64" t="s" ph="1">
        <v>257</v>
      </c>
      <c r="AZ135" s="64" t="s" ph="1">
        <v>627</v>
      </c>
    </row>
    <row r="136" spans="33:52" ph="1">
      <c r="AZ136" s="64" t="s" ph="1">
        <v>641</v>
      </c>
    </row>
    <row r="137" spans="33:52" ph="1">
      <c r="AG137" s="64" t="s" ph="1">
        <v>331</v>
      </c>
      <c r="AI137" s="64" t="s" ph="1">
        <v>250</v>
      </c>
      <c r="AJ137" s="64" t="s" ph="1">
        <v>251</v>
      </c>
      <c r="AK137" s="64" t="s" ph="1">
        <v>252</v>
      </c>
      <c r="AM137" s="64" t="s" ph="1">
        <v>251</v>
      </c>
      <c r="AN137" s="64" t="s" ph="1">
        <v>252</v>
      </c>
      <c r="AO137" s="64" t="s" ph="1">
        <v>253</v>
      </c>
      <c r="AP137" s="64" t="s" ph="1">
        <v>251</v>
      </c>
      <c r="AQ137" s="64" t="s" ph="1">
        <v>252</v>
      </c>
      <c r="AR137" s="64" t="s" ph="1">
        <v>253</v>
      </c>
      <c r="AS137" s="64" t="s" ph="1">
        <v>251</v>
      </c>
      <c r="AT137" s="64" t="s" ph="1">
        <v>252</v>
      </c>
      <c r="AU137" s="64" t="s" ph="1">
        <v>253</v>
      </c>
      <c r="AV137" s="64" t="s" ph="1">
        <v>251</v>
      </c>
      <c r="AW137" s="64" t="s" ph="1">
        <v>252</v>
      </c>
      <c r="AX137" s="64" t="s" ph="1">
        <v>253</v>
      </c>
      <c r="AY137" s="64" t="s" ph="1">
        <v>252</v>
      </c>
      <c r="AZ137" s="64" t="s" ph="1">
        <v>254</v>
      </c>
    </row>
    <row r="138" spans="33:52" ph="1">
      <c r="AH138" s="64" ph="1">
        <v>1</v>
      </c>
      <c r="AI138" s="64" t="s" ph="1">
        <v>571</v>
      </c>
      <c r="AJ138" s="64" t="s" ph="1">
        <v>572</v>
      </c>
      <c r="AK138" s="64" t="s" ph="1">
        <v>573</v>
      </c>
      <c r="AY138" s="64" t="s" ph="1">
        <v>257</v>
      </c>
      <c r="AZ138" s="64" t="s" ph="1">
        <v>573</v>
      </c>
    </row>
    <row r="139" spans="33:52" ph="1">
      <c r="AH139" s="64" ph="1">
        <v>2</v>
      </c>
      <c r="AI139" s="64" t="s" ph="1">
        <v>574</v>
      </c>
      <c r="AJ139" s="64" t="s" ph="1">
        <v>630</v>
      </c>
      <c r="AK139" s="64" t="s" ph="1">
        <v>642</v>
      </c>
      <c r="AY139" s="64" t="s" ph="1">
        <v>257</v>
      </c>
      <c r="AZ139" s="64" t="s" ph="1">
        <v>642</v>
      </c>
    </row>
    <row r="140" spans="33:52" ph="1">
      <c r="AH140" s="64" ph="1">
        <v>3</v>
      </c>
      <c r="AI140" s="64" t="s" ph="1">
        <v>575</v>
      </c>
      <c r="AJ140" s="64" t="s" ph="1">
        <v>528</v>
      </c>
      <c r="AK140" s="64" t="s" ph="1">
        <v>340</v>
      </c>
      <c r="AM140" s="64" t="s" ph="1">
        <v>529</v>
      </c>
      <c r="AN140" s="64" t="s" ph="1">
        <v>260</v>
      </c>
      <c r="AO140" s="64" t="s" ph="1">
        <v>576</v>
      </c>
      <c r="AP140" s="64" t="s" ph="1">
        <v>530</v>
      </c>
      <c r="AQ140" s="64" t="s" ph="1">
        <v>277</v>
      </c>
      <c r="AR140" s="64" t="s" ph="1">
        <v>576</v>
      </c>
      <c r="AS140" s="64" t="s" ph="1">
        <v>531</v>
      </c>
      <c r="AT140" s="64" t="s" ph="1">
        <v>270</v>
      </c>
      <c r="AU140" s="64" t="s" ph="1">
        <v>576</v>
      </c>
      <c r="AV140" s="64" t="s" ph="1">
        <v>532</v>
      </c>
      <c r="AW140" s="64" t="s" ph="1">
        <v>263</v>
      </c>
      <c r="AX140" s="64" t="s" ph="1">
        <v>576</v>
      </c>
      <c r="AY140" s="64" t="s" ph="1">
        <v>257</v>
      </c>
      <c r="AZ140" s="64" t="s" ph="1">
        <v>332</v>
      </c>
    </row>
    <row r="141" spans="33:52" ph="1">
      <c r="AJ141" s="64" t="s" ph="1">
        <v>534</v>
      </c>
      <c r="AK141" s="64" t="s" ph="1">
        <v>263</v>
      </c>
      <c r="AM141" s="64" t="s" ph="1">
        <v>535</v>
      </c>
      <c r="AN141" s="64" t="s" ph="1">
        <v>266</v>
      </c>
      <c r="AO141" s="64" t="s" ph="1">
        <v>576</v>
      </c>
      <c r="AP141" s="64" t="s" ph="1">
        <v>547</v>
      </c>
      <c r="AQ141" s="64" t="s" ph="1">
        <v>335</v>
      </c>
      <c r="AR141" s="64" t="s" ph="1">
        <v>576</v>
      </c>
      <c r="AS141" s="64" t="s" ph="1">
        <v>539</v>
      </c>
      <c r="AT141" s="64" t="s" ph="1">
        <v>263</v>
      </c>
      <c r="AU141" s="64" t="s" ph="1">
        <v>576</v>
      </c>
      <c r="AV141" s="64" t="s" ph="1">
        <v>375</v>
      </c>
      <c r="AW141" s="64" t="s" ph="1">
        <v>269</v>
      </c>
      <c r="AX141" s="64" t="s" ph="1">
        <v>576</v>
      </c>
    </row>
    <row r="142" spans="33:52" ph="1">
      <c r="AJ142" s="64" t="s" ph="1">
        <v>577</v>
      </c>
      <c r="AK142" s="64" t="s" ph="1">
        <v>280</v>
      </c>
    </row>
    <row r="143" spans="33:52" ph="1">
      <c r="AH143" s="64" ph="1">
        <v>4</v>
      </c>
      <c r="AI143" s="64" t="s" ph="1">
        <v>578</v>
      </c>
      <c r="AJ143" s="64" t="s" ph="1">
        <v>558</v>
      </c>
      <c r="AK143" s="64" t="s" ph="1">
        <v>579</v>
      </c>
      <c r="AY143" s="64" t="s" ph="1">
        <v>257</v>
      </c>
      <c r="AZ143" s="64" t="s" ph="1">
        <v>579</v>
      </c>
    </row>
    <row r="144" spans="33:52" ph="1">
      <c r="AH144" s="64" ph="1">
        <v>5</v>
      </c>
      <c r="AI144" s="64" t="s" ph="1">
        <v>580</v>
      </c>
      <c r="AY144" s="64" t="s" ph="1">
        <v>257</v>
      </c>
      <c r="AZ144" s="64" t="s" ph="1">
        <v>408</v>
      </c>
    </row>
    <row r="145" spans="33:52" ph="1">
      <c r="AH145" s="64" ph="1">
        <v>6</v>
      </c>
      <c r="AI145" s="64" t="s" ph="1">
        <v>581</v>
      </c>
      <c r="AY145" s="64" t="s" ph="1">
        <v>257</v>
      </c>
      <c r="AZ145" s="64" t="s" ph="1">
        <v>408</v>
      </c>
    </row>
    <row r="146" spans="33:52" ph="1">
      <c r="AH146" s="64" ph="1">
        <v>7</v>
      </c>
      <c r="AI146" s="64" t="s" ph="1">
        <v>582</v>
      </c>
      <c r="AY146" s="64" t="s" ph="1">
        <v>257</v>
      </c>
      <c r="AZ146" s="64" t="s" ph="1">
        <v>408</v>
      </c>
    </row>
    <row r="147" spans="33:52" ph="1">
      <c r="AH147" s="64" ph="1">
        <v>8</v>
      </c>
      <c r="AI147" s="64" t="s" ph="1">
        <v>583</v>
      </c>
      <c r="AY147" s="64" t="s" ph="1">
        <v>257</v>
      </c>
      <c r="AZ147" s="64" t="s" ph="1">
        <v>408</v>
      </c>
    </row>
    <row r="148" spans="33:52" ph="1">
      <c r="AH148" s="64" ph="1">
        <v>9</v>
      </c>
      <c r="AI148" s="64" t="s" ph="1">
        <v>584</v>
      </c>
      <c r="AY148" s="64" t="s" ph="1">
        <v>257</v>
      </c>
      <c r="AZ148" s="64" t="s" ph="1">
        <v>408</v>
      </c>
    </row>
    <row r="149" spans="33:52" ph="1">
      <c r="AH149" s="64" ph="1">
        <v>10</v>
      </c>
      <c r="AI149" s="64" t="s" ph="1">
        <v>585</v>
      </c>
      <c r="AY149" s="64" t="s" ph="1">
        <v>257</v>
      </c>
      <c r="AZ149" s="64" t="s" ph="1">
        <v>408</v>
      </c>
    </row>
    <row r="150" spans="33:52" ph="1">
      <c r="AH150" s="64" ph="1">
        <v>11</v>
      </c>
      <c r="AI150" s="64" t="s" ph="1">
        <v>586</v>
      </c>
      <c r="AY150" s="64" t="s" ph="1">
        <v>257</v>
      </c>
      <c r="AZ150" s="64" t="s" ph="1">
        <v>408</v>
      </c>
    </row>
    <row r="151" spans="33:52" ph="1">
      <c r="AH151" s="64" ph="1">
        <v>12</v>
      </c>
      <c r="AI151" s="64" t="s" ph="1">
        <v>587</v>
      </c>
      <c r="AY151" s="64" t="s" ph="1">
        <v>257</v>
      </c>
      <c r="AZ151" s="64" t="s" ph="1">
        <v>408</v>
      </c>
    </row>
    <row r="152" spans="33:52" ph="1">
      <c r="AH152" s="64" ph="1">
        <v>13</v>
      </c>
      <c r="AI152" s="64" t="s" ph="1">
        <v>588</v>
      </c>
      <c r="AY152" s="64" t="s" ph="1">
        <v>257</v>
      </c>
      <c r="AZ152" s="64" t="s" ph="1">
        <v>408</v>
      </c>
    </row>
    <row r="153" spans="33:52" ph="1">
      <c r="AH153" s="64" ph="1">
        <v>14</v>
      </c>
      <c r="AI153" s="64" t="s" ph="1">
        <v>589</v>
      </c>
      <c r="AY153" s="64" t="s" ph="1">
        <v>257</v>
      </c>
      <c r="AZ153" s="64" t="s" ph="1">
        <v>408</v>
      </c>
    </row>
    <row r="154" spans="33:52" ph="1">
      <c r="AH154" s="64" ph="1">
        <v>15</v>
      </c>
      <c r="AI154" s="64" t="s" ph="1">
        <v>590</v>
      </c>
      <c r="AY154" s="64" t="s" ph="1">
        <v>257</v>
      </c>
      <c r="AZ154" s="64" t="s" ph="1">
        <v>408</v>
      </c>
    </row>
    <row r="155" spans="33:52" ph="1">
      <c r="AH155" s="64" ph="1">
        <v>16</v>
      </c>
      <c r="AI155" s="64" t="s" ph="1">
        <v>591</v>
      </c>
      <c r="AJ155" s="64" t="s" ph="1">
        <v>377</v>
      </c>
      <c r="AK155" s="64" t="s" ph="1">
        <v>272</v>
      </c>
      <c r="AM155" s="64" t="s" ph="1">
        <v>611</v>
      </c>
      <c r="AN155" s="64" t="s" ph="1">
        <v>323</v>
      </c>
      <c r="AO155" s="64" t="s" ph="1">
        <v>576</v>
      </c>
      <c r="AY155" s="64" t="s" ph="1">
        <v>257</v>
      </c>
      <c r="AZ155" s="64" t="s" ph="1">
        <v>264</v>
      </c>
    </row>
    <row r="156" spans="33:52" ph="1">
      <c r="AZ156" s="64" t="s" ph="1">
        <v>643</v>
      </c>
    </row>
    <row r="157" spans="33:52" ph="1">
      <c r="AG157" s="64" t="s" ph="1">
        <v>592</v>
      </c>
      <c r="AI157" s="64" t="s" ph="1">
        <v>250</v>
      </c>
      <c r="AJ157" s="64" t="s" ph="1">
        <v>251</v>
      </c>
      <c r="AK157" s="64" t="s" ph="1">
        <v>252</v>
      </c>
      <c r="AM157" s="64" t="s" ph="1">
        <v>251</v>
      </c>
      <c r="AN157" s="64" t="s" ph="1">
        <v>252</v>
      </c>
      <c r="AO157" s="64" t="s" ph="1">
        <v>253</v>
      </c>
      <c r="AP157" s="64" t="s" ph="1">
        <v>251</v>
      </c>
      <c r="AQ157" s="64" t="s" ph="1">
        <v>252</v>
      </c>
      <c r="AR157" s="64" t="s" ph="1">
        <v>253</v>
      </c>
      <c r="AS157" s="64" t="s" ph="1">
        <v>251</v>
      </c>
      <c r="AT157" s="64" t="s" ph="1">
        <v>252</v>
      </c>
      <c r="AU157" s="64" t="s" ph="1">
        <v>253</v>
      </c>
      <c r="AV157" s="64" t="s" ph="1">
        <v>251</v>
      </c>
      <c r="AW157" s="64" t="s" ph="1">
        <v>252</v>
      </c>
      <c r="AX157" s="64" t="s" ph="1">
        <v>253</v>
      </c>
      <c r="AY157" s="64" t="s" ph="1">
        <v>252</v>
      </c>
      <c r="AZ157" s="64" t="s" ph="1">
        <v>254</v>
      </c>
    </row>
    <row r="158" spans="33:52" ph="1">
      <c r="AH158" s="64" ph="1">
        <v>1</v>
      </c>
      <c r="AI158" s="64" t="s" ph="1">
        <v>593</v>
      </c>
      <c r="AY158" s="64" t="s" ph="1">
        <v>257</v>
      </c>
      <c r="AZ158" s="64" t="s" ph="1">
        <v>408</v>
      </c>
    </row>
    <row r="159" spans="33:52" ph="1">
      <c r="AH159" s="64" ph="1">
        <v>2</v>
      </c>
      <c r="AI159" s="64" t="s" ph="1">
        <v>594</v>
      </c>
      <c r="AY159" s="64" t="s" ph="1">
        <v>257</v>
      </c>
      <c r="AZ159" s="64" t="s" ph="1">
        <v>408</v>
      </c>
    </row>
    <row r="160" spans="33:52" ph="1">
      <c r="AZ160" s="64" t="s" ph="1">
        <v>426</v>
      </c>
    </row>
    <row r="161" spans="33:52" ph="1">
      <c r="AG161" s="64" t="s" ph="1">
        <v>402</v>
      </c>
      <c r="AI161" s="64" t="s" ph="1">
        <v>250</v>
      </c>
      <c r="AJ161" s="64" t="s" ph="1">
        <v>251</v>
      </c>
      <c r="AK161" s="64" t="s" ph="1">
        <v>252</v>
      </c>
      <c r="AM161" s="64" t="s" ph="1">
        <v>251</v>
      </c>
      <c r="AN161" s="64" t="s" ph="1">
        <v>252</v>
      </c>
      <c r="AO161" s="64" t="s" ph="1">
        <v>253</v>
      </c>
      <c r="AP161" s="64" t="s" ph="1">
        <v>251</v>
      </c>
      <c r="AQ161" s="64" t="s" ph="1">
        <v>252</v>
      </c>
      <c r="AR161" s="64" t="s" ph="1">
        <v>253</v>
      </c>
      <c r="AS161" s="64" t="s" ph="1">
        <v>251</v>
      </c>
      <c r="AT161" s="64" t="s" ph="1">
        <v>252</v>
      </c>
      <c r="AU161" s="64" t="s" ph="1">
        <v>253</v>
      </c>
      <c r="AV161" s="64" t="s" ph="1">
        <v>251</v>
      </c>
      <c r="AW161" s="64" t="s" ph="1">
        <v>252</v>
      </c>
      <c r="AX161" s="64" t="s" ph="1">
        <v>253</v>
      </c>
      <c r="AY161" s="64" t="s" ph="1">
        <v>252</v>
      </c>
      <c r="AZ161" s="64" t="s" ph="1">
        <v>254</v>
      </c>
    </row>
    <row r="162" spans="33:52" ph="1">
      <c r="AH162" s="64" ph="1">
        <v>1</v>
      </c>
      <c r="AI162" s="64" t="s" ph="1">
        <v>595</v>
      </c>
      <c r="AJ162" s="64" t="s" ph="1">
        <v>596</v>
      </c>
      <c r="AK162" s="64" t="s" ph="1">
        <v>540</v>
      </c>
      <c r="AM162" s="64" t="s" ph="1">
        <v>597</v>
      </c>
      <c r="AN162" s="64" t="s" ph="1">
        <v>261</v>
      </c>
      <c r="AO162" s="64" t="s" ph="1">
        <v>598</v>
      </c>
      <c r="AY162" s="64" t="s" ph="1">
        <v>257</v>
      </c>
      <c r="AZ162" s="64" t="s" ph="1">
        <v>333</v>
      </c>
    </row>
    <row r="163" spans="33:52" ph="1">
      <c r="AH163" s="64" ph="1">
        <v>2</v>
      </c>
      <c r="AI163" s="64" t="s" ph="1">
        <v>599</v>
      </c>
      <c r="AJ163" s="64" t="s" ph="1">
        <v>596</v>
      </c>
      <c r="AK163" s="64" t="s" ph="1">
        <v>429</v>
      </c>
      <c r="AY163" s="64" t="s" ph="1">
        <v>257</v>
      </c>
      <c r="AZ163" s="64" t="s" ph="1">
        <v>429</v>
      </c>
    </row>
    <row r="164" spans="33:52" ph="1">
      <c r="AH164" s="64" ph="1">
        <v>3</v>
      </c>
      <c r="AI164" s="64" t="s" ph="1">
        <v>600</v>
      </c>
      <c r="AJ164" s="64" t="s" ph="1">
        <v>596</v>
      </c>
      <c r="AK164" s="64" t="s" ph="1">
        <v>333</v>
      </c>
      <c r="AY164" s="64" t="s" ph="1">
        <v>257</v>
      </c>
      <c r="AZ164" s="64" t="s" ph="1">
        <v>333</v>
      </c>
    </row>
    <row r="165" spans="33:52" ph="1">
      <c r="AH165" s="64" ph="1">
        <v>4</v>
      </c>
      <c r="AI165" s="64" t="s" ph="1">
        <v>601</v>
      </c>
      <c r="AY165" s="64" t="s" ph="1">
        <v>257</v>
      </c>
      <c r="AZ165" s="64" t="s" ph="1">
        <v>408</v>
      </c>
    </row>
    <row r="166" spans="33:52" ph="1">
      <c r="AH166" s="64" ph="1">
        <v>5</v>
      </c>
      <c r="AI166" s="64" t="s" ph="1">
        <v>602</v>
      </c>
      <c r="AY166" s="64" t="s" ph="1">
        <v>257</v>
      </c>
      <c r="AZ166" s="64" t="s" ph="1">
        <v>408</v>
      </c>
    </row>
    <row r="167" spans="33:52" ph="1">
      <c r="AZ167" s="64" t="s" ph="1">
        <v>603</v>
      </c>
    </row>
    <row r="168" spans="33:52" ph="1">
      <c r="AG168" s="64" t="s" ph="1">
        <v>346</v>
      </c>
      <c r="AI168" s="64" t="s" ph="1">
        <v>250</v>
      </c>
      <c r="AJ168" s="64" t="s" ph="1">
        <v>251</v>
      </c>
      <c r="AK168" s="64" t="s" ph="1">
        <v>252</v>
      </c>
      <c r="AM168" s="64" t="s" ph="1">
        <v>251</v>
      </c>
      <c r="AN168" s="64" t="s" ph="1">
        <v>252</v>
      </c>
      <c r="AO168" s="64" t="s" ph="1">
        <v>253</v>
      </c>
      <c r="AP168" s="64" t="s" ph="1">
        <v>251</v>
      </c>
      <c r="AQ168" s="64" t="s" ph="1">
        <v>252</v>
      </c>
      <c r="AR168" s="64" t="s" ph="1">
        <v>253</v>
      </c>
      <c r="AS168" s="64" t="s" ph="1">
        <v>251</v>
      </c>
      <c r="AT168" s="64" t="s" ph="1">
        <v>252</v>
      </c>
      <c r="AU168" s="64" t="s" ph="1">
        <v>253</v>
      </c>
      <c r="AV168" s="64" t="s" ph="1">
        <v>251</v>
      </c>
      <c r="AW168" s="64" t="s" ph="1">
        <v>252</v>
      </c>
      <c r="AX168" s="64" t="s" ph="1">
        <v>253</v>
      </c>
      <c r="AY168" s="64" t="s" ph="1">
        <v>252</v>
      </c>
      <c r="AZ168" s="64" t="s" ph="1">
        <v>254</v>
      </c>
    </row>
    <row r="169" spans="33:52" ph="1">
      <c r="AH169" s="64" ph="1">
        <v>1</v>
      </c>
      <c r="AI169" s="64" t="s" ph="1">
        <v>604</v>
      </c>
      <c r="AY169" s="64" t="s" ph="1">
        <v>257</v>
      </c>
      <c r="AZ169" s="64" t="s" ph="1">
        <v>408</v>
      </c>
    </row>
    <row r="170" spans="33:52" ph="1">
      <c r="AH170" s="64" ph="1">
        <v>2</v>
      </c>
      <c r="AI170" s="64" t="s" ph="1">
        <v>605</v>
      </c>
      <c r="AY170" s="64" t="s" ph="1">
        <v>257</v>
      </c>
      <c r="AZ170" s="64" t="s" ph="1">
        <v>408</v>
      </c>
    </row>
    <row r="171" spans="33:52" ph="1">
      <c r="AH171" s="64" ph="1">
        <v>3</v>
      </c>
      <c r="AI171" s="64" t="s" ph="1">
        <v>606</v>
      </c>
      <c r="AY171" s="64" t="s" ph="1">
        <v>257</v>
      </c>
      <c r="AZ171" s="64" t="s" ph="1">
        <v>408</v>
      </c>
    </row>
    <row r="172" spans="33:52" ph="1">
      <c r="AH172" s="64" ph="1">
        <v>4</v>
      </c>
      <c r="AI172" s="64" t="s" ph="1">
        <v>607</v>
      </c>
      <c r="AY172" s="64" t="s" ph="1">
        <v>257</v>
      </c>
      <c r="AZ172" s="64" t="s" ph="1">
        <v>408</v>
      </c>
    </row>
    <row r="173" spans="33:52" ph="1">
      <c r="AH173" s="64" ph="1">
        <v>5</v>
      </c>
      <c r="AI173" s="64" t="s" ph="1">
        <v>608</v>
      </c>
      <c r="AY173" s="64" t="s" ph="1">
        <v>257</v>
      </c>
      <c r="AZ173" s="64" t="s" ph="1">
        <v>408</v>
      </c>
    </row>
    <row r="174" spans="33:52" ph="1">
      <c r="AZ174" s="64" t="s" ph="1">
        <v>426</v>
      </c>
    </row>
    <row r="175" spans="33:52" ph="1">
      <c r="AJ175" s="64" t="s" ph="1">
        <v>347</v>
      </c>
    </row>
    <row r="176" spans="33:52" ph="1">
      <c r="AJ176" s="64" t="s" ph="1">
        <v>348</v>
      </c>
      <c r="AK176" s="64" t="s" ph="1">
        <v>349</v>
      </c>
      <c r="AM176" s="64" t="s" ph="1">
        <v>350</v>
      </c>
      <c r="AO176" s="64" t="s" ph="1">
        <v>351</v>
      </c>
      <c r="AP176" s="64" t="s" ph="1">
        <v>352</v>
      </c>
      <c r="AQ176" s="64" t="s" ph="1">
        <v>342</v>
      </c>
      <c r="AR176" s="64" t="s" ph="1">
        <v>262</v>
      </c>
    </row>
    <row r="177" spans="36:56" ph="1">
      <c r="AJ177" s="64" t="s" ph="1">
        <v>644</v>
      </c>
      <c r="AK177" s="64" t="s" ph="1">
        <v>353</v>
      </c>
      <c r="AO177" s="64" t="s" ph="1">
        <v>353</v>
      </c>
      <c r="AP177" s="64" t="s" ph="1">
        <v>353</v>
      </c>
      <c r="AQ177" s="64" t="s" ph="1">
        <v>354</v>
      </c>
      <c r="AR177" s="64" t="s" ph="1">
        <v>355</v>
      </c>
    </row>
    <row r="179" spans="36:56" ph="1">
      <c r="AJ179" s="64" t="s" ph="1">
        <v>356</v>
      </c>
      <c r="AK179" s="64" t="s" ph="1">
        <v>357</v>
      </c>
      <c r="AM179" s="64" t="s" ph="1">
        <v>358</v>
      </c>
      <c r="AN179" s="64" t="s" ph="1">
        <v>334</v>
      </c>
      <c r="AO179" s="64" t="s" ph="1">
        <v>359</v>
      </c>
      <c r="AP179" s="64" t="s" ph="1">
        <v>338</v>
      </c>
      <c r="AQ179" s="64" t="s" ph="1">
        <v>360</v>
      </c>
      <c r="AR179" s="64" t="s" ph="1">
        <v>361</v>
      </c>
    </row>
    <row r="180" spans="36:56" ph="1">
      <c r="AJ180" s="64" t="s" ph="1">
        <v>353</v>
      </c>
      <c r="AK180" s="64" t="s" ph="1">
        <v>353</v>
      </c>
      <c r="AL180" s="64" ph="1">
        <v>116</v>
      </c>
      <c r="AM180" s="64" t="s" ph="1">
        <v>353</v>
      </c>
      <c r="AN180" s="64" t="s" ph="1">
        <v>362</v>
      </c>
      <c r="AO180" s="64" t="s" ph="1">
        <v>353</v>
      </c>
      <c r="AP180" s="64" t="s" ph="1">
        <v>363</v>
      </c>
      <c r="AQ180" s="64" t="s" ph="1">
        <v>364</v>
      </c>
      <c r="AR180" s="64" t="s" ph="1">
        <v>365</v>
      </c>
    </row>
    <row r="189" spans="36:56" ph="1">
      <c r="BD189" s="64" t="s" ph="1">
        <v>609</v>
      </c>
    </row>
    <row r="223" spans="18:18" ph="1">
      <c r="R223" s="138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007" priority="96">
      <formula>ABS(D$7-D$10)&gt;=1000</formula>
    </cfRule>
  </conditionalFormatting>
  <conditionalFormatting sqref="E4 E6:E11">
    <cfRule type="expression" dxfId="1006" priority="95">
      <formula>ABS(E$7-E$10)&gt;=1000</formula>
    </cfRule>
  </conditionalFormatting>
  <conditionalFormatting sqref="F4:F11">
    <cfRule type="expression" dxfId="1005" priority="94">
      <formula>ABS(F$7-F$10)&gt;=1000</formula>
    </cfRule>
  </conditionalFormatting>
  <conditionalFormatting sqref="G4:G11">
    <cfRule type="expression" dxfId="1004" priority="93">
      <formula>ABS(G$7-G$10)&gt;=1000</formula>
    </cfRule>
  </conditionalFormatting>
  <conditionalFormatting sqref="H4:H11">
    <cfRule type="expression" dxfId="1003" priority="92">
      <formula>ABS(H$7-H$10)&gt;=1000</formula>
    </cfRule>
  </conditionalFormatting>
  <conditionalFormatting sqref="I4:I11">
    <cfRule type="expression" dxfId="1002" priority="91">
      <formula>ABS(I$7-I$10)&gt;=1000</formula>
    </cfRule>
  </conditionalFormatting>
  <conditionalFormatting sqref="J4:J11">
    <cfRule type="expression" dxfId="1001" priority="90">
      <formula>ABS(J$7-J$10)&gt;=1000</formula>
    </cfRule>
  </conditionalFormatting>
  <conditionalFormatting sqref="K4:K11">
    <cfRule type="expression" dxfId="1000" priority="89">
      <formula>ABS(K$7-K$10)&gt;=1000</formula>
    </cfRule>
  </conditionalFormatting>
  <conditionalFormatting sqref="L4:L11">
    <cfRule type="expression" dxfId="999" priority="88">
      <formula>ABS(L$7-L$10)&gt;=1000</formula>
    </cfRule>
  </conditionalFormatting>
  <conditionalFormatting sqref="M4 M6:M11">
    <cfRule type="expression" dxfId="998" priority="87">
      <formula>ABS(M$7-M$10)&gt;=1000</formula>
    </cfRule>
  </conditionalFormatting>
  <conditionalFormatting sqref="N4 N6:N11">
    <cfRule type="expression" dxfId="997" priority="86">
      <formula>ABS(N$7-N$10)&gt;=1000</formula>
    </cfRule>
  </conditionalFormatting>
  <conditionalFormatting sqref="O4 O6:O11">
    <cfRule type="expression" dxfId="996" priority="85">
      <formula>ABS(O$7-O$10)&gt;=1000</formula>
    </cfRule>
  </conditionalFormatting>
  <conditionalFormatting sqref="P4 P6:P11">
    <cfRule type="expression" dxfId="995" priority="84">
      <formula>ABS(P$7-P$10)&gt;=1000</formula>
    </cfRule>
  </conditionalFormatting>
  <conditionalFormatting sqref="Q4:Q11">
    <cfRule type="expression" dxfId="994" priority="83">
      <formula>ABS(Q$7-Q$10)&gt;=1000</formula>
    </cfRule>
  </conditionalFormatting>
  <conditionalFormatting sqref="R4:R11">
    <cfRule type="expression" dxfId="993" priority="82">
      <formula>ABS(R$7-R$10)&gt;=1000</formula>
    </cfRule>
  </conditionalFormatting>
  <conditionalFormatting sqref="S4:S11">
    <cfRule type="expression" dxfId="992" priority="81">
      <formula>ABS(S$7-S$10)&gt;=1000</formula>
    </cfRule>
  </conditionalFormatting>
  <conditionalFormatting sqref="T4:T9 T11">
    <cfRule type="expression" dxfId="991" priority="80">
      <formula>ABS(T$7-T$10)&gt;=1000</formula>
    </cfRule>
  </conditionalFormatting>
  <conditionalFormatting sqref="U4:U9 U11">
    <cfRule type="expression" dxfId="990" priority="79">
      <formula>ABS(U$7-U$10)&gt;=1000</formula>
    </cfRule>
  </conditionalFormatting>
  <conditionalFormatting sqref="V4:V9 V11">
    <cfRule type="expression" dxfId="989" priority="78">
      <formula>ABS(V$7-V$10)&gt;=1000</formula>
    </cfRule>
  </conditionalFormatting>
  <conditionalFormatting sqref="W4:W9 W11">
    <cfRule type="expression" dxfId="988" priority="77">
      <formula>ABS(W$7-W$10)&gt;=1000</formula>
    </cfRule>
  </conditionalFormatting>
  <conditionalFormatting sqref="X4:X9 X11">
    <cfRule type="expression" dxfId="987" priority="76">
      <formula>ABS(X$7-X$10)&gt;=1000</formula>
    </cfRule>
  </conditionalFormatting>
  <conditionalFormatting sqref="Y4:Y9 Y11">
    <cfRule type="expression" dxfId="986" priority="75">
      <formula>ABS(Y$7-Y$10)&gt;=1000</formula>
    </cfRule>
  </conditionalFormatting>
  <conditionalFormatting sqref="Z4:Z11">
    <cfRule type="expression" dxfId="985" priority="74">
      <formula>ABS(Z$7-Z$10)&gt;=1000</formula>
    </cfRule>
  </conditionalFormatting>
  <conditionalFormatting sqref="AA4:AA11">
    <cfRule type="expression" dxfId="984" priority="73">
      <formula>ABS(AA$7-AA$10)&gt;=1000</formula>
    </cfRule>
  </conditionalFormatting>
  <conditionalFormatting sqref="AB4:AB11">
    <cfRule type="expression" dxfId="983" priority="72">
      <formula>ABS(AB$7-AB$10)&gt;=1000</formula>
    </cfRule>
  </conditionalFormatting>
  <conditionalFormatting sqref="AC4 AC6:AC11">
    <cfRule type="expression" dxfId="982" priority="71">
      <formula>ABS(AC$7-AC$10)&gt;=1000</formula>
    </cfRule>
  </conditionalFormatting>
  <conditionalFormatting sqref="AD4:AD11">
    <cfRule type="expression" dxfId="981" priority="70">
      <formula>ABS(AD$7-AD$10)&gt;=1000</formula>
    </cfRule>
  </conditionalFormatting>
  <conditionalFormatting sqref="AE4:AE11">
    <cfRule type="expression" dxfId="980" priority="69">
      <formula>ABS(AE$7-AE$10)&gt;=1000</formula>
    </cfRule>
  </conditionalFormatting>
  <conditionalFormatting sqref="D13:D20">
    <cfRule type="expression" dxfId="979" priority="68">
      <formula>ABS(D$16-D$19)&gt;=1000</formula>
    </cfRule>
  </conditionalFormatting>
  <conditionalFormatting sqref="E13:E20">
    <cfRule type="expression" dxfId="978" priority="67">
      <formula>ABS(E$16-E$19)&gt;=1000</formula>
    </cfRule>
  </conditionalFormatting>
  <conditionalFormatting sqref="F13 F15:F20">
    <cfRule type="expression" dxfId="977" priority="66">
      <formula>ABS(F$16-F$19)&gt;=1000</formula>
    </cfRule>
  </conditionalFormatting>
  <conditionalFormatting sqref="G13:G20">
    <cfRule type="expression" dxfId="976" priority="65">
      <formula>ABS(G$16-G$19)&gt;=1000</formula>
    </cfRule>
  </conditionalFormatting>
  <conditionalFormatting sqref="H13:H20">
    <cfRule type="expression" dxfId="975" priority="64">
      <formula>ABS(H$16-H$19)&gt;=1000</formula>
    </cfRule>
  </conditionalFormatting>
  <conditionalFormatting sqref="I13:I20">
    <cfRule type="expression" dxfId="974" priority="63">
      <formula>ABS(I$16-I$19)&gt;=1000</formula>
    </cfRule>
  </conditionalFormatting>
  <conditionalFormatting sqref="J13:J20">
    <cfRule type="expression" dxfId="973" priority="62">
      <formula>ABS(J$16-J$19)&gt;=1000</formula>
    </cfRule>
  </conditionalFormatting>
  <conditionalFormatting sqref="L13:L20">
    <cfRule type="expression" dxfId="972" priority="61">
      <formula>ABS(L$16-L$19)&gt;=1000</formula>
    </cfRule>
  </conditionalFormatting>
  <conditionalFormatting sqref="M13 M15 M17:M18 M20">
    <cfRule type="expression" dxfId="971" priority="60">
      <formula>ABS(M$16-M$19)&gt;=1000</formula>
    </cfRule>
  </conditionalFormatting>
  <conditionalFormatting sqref="N13:N20">
    <cfRule type="expression" dxfId="970" priority="59">
      <formula>ABS(N$16-N$19)&gt;=1000</formula>
    </cfRule>
  </conditionalFormatting>
  <conditionalFormatting sqref="O13:O20">
    <cfRule type="expression" dxfId="969" priority="58">
      <formula>ABS(O$16-O$19)&gt;=1000</formula>
    </cfRule>
  </conditionalFormatting>
  <conditionalFormatting sqref="P13:P20">
    <cfRule type="expression" dxfId="968" priority="57">
      <formula>ABS(P$16-P$19)&gt;=1000</formula>
    </cfRule>
  </conditionalFormatting>
  <conditionalFormatting sqref="Q13 Q15:Q20">
    <cfRule type="expression" dxfId="967" priority="56">
      <formula>ABS(Q$16-Q$19)&gt;=1000</formula>
    </cfRule>
  </conditionalFormatting>
  <conditionalFormatting sqref="R13:R20">
    <cfRule type="expression" dxfId="966" priority="55">
      <formula>ABS(R$16-R$19)&gt;=1000</formula>
    </cfRule>
  </conditionalFormatting>
  <conditionalFormatting sqref="S13:S20">
    <cfRule type="expression" dxfId="965" priority="54">
      <formula>ABS(S$16-S$19)&gt;=1000</formula>
    </cfRule>
  </conditionalFormatting>
  <conditionalFormatting sqref="T13:T20">
    <cfRule type="expression" dxfId="964" priority="53">
      <formula>ABS(T$16-T$19)&gt;=1000</formula>
    </cfRule>
  </conditionalFormatting>
  <conditionalFormatting sqref="U13:U20">
    <cfRule type="expression" dxfId="963" priority="52">
      <formula>ABS(U$16-U$19)&gt;=1000</formula>
    </cfRule>
  </conditionalFormatting>
  <conditionalFormatting sqref="V13:V20">
    <cfRule type="expression" dxfId="962" priority="51">
      <formula>ABS(V$16-V$19)&gt;=1000</formula>
    </cfRule>
  </conditionalFormatting>
  <conditionalFormatting sqref="W13 W15:W18 W20">
    <cfRule type="expression" dxfId="961" priority="50">
      <formula>ABS(W$16-W$19)&gt;=1000</formula>
    </cfRule>
  </conditionalFormatting>
  <conditionalFormatting sqref="X13 X15:X20 Y19">
    <cfRule type="expression" dxfId="960" priority="49">
      <formula>ABS(X$16-X$19)&gt;=1000</formula>
    </cfRule>
  </conditionalFormatting>
  <conditionalFormatting sqref="Y13 Y15:Y18 Y20">
    <cfRule type="expression" dxfId="959" priority="48">
      <formula>ABS(Y$16-Y$19)&gt;=1000</formula>
    </cfRule>
  </conditionalFormatting>
  <conditionalFormatting sqref="Z13:Z20">
    <cfRule type="expression" dxfId="958" priority="47">
      <formula>ABS(Z$16-Z$19)&gt;=1000</formula>
    </cfRule>
  </conditionalFormatting>
  <conditionalFormatting sqref="AA13:AA20">
    <cfRule type="expression" dxfId="957" priority="46">
      <formula>ABS(AA$16-AA$19)&gt;=1000</formula>
    </cfRule>
  </conditionalFormatting>
  <conditionalFormatting sqref="AB13 AB15:AB20">
    <cfRule type="expression" dxfId="956" priority="45">
      <formula>ABS(AB$16-AB$19)&gt;=1000</formula>
    </cfRule>
  </conditionalFormatting>
  <conditionalFormatting sqref="AC13 AC15:AC20">
    <cfRule type="expression" dxfId="955" priority="44">
      <formula>ABS(AC$16-AC$19)&gt;=1000</formula>
    </cfRule>
  </conditionalFormatting>
  <conditionalFormatting sqref="AD13:AD20">
    <cfRule type="expression" dxfId="954" priority="43">
      <formula>ABS(AD$16-AD$19)&gt;=1000</formula>
    </cfRule>
  </conditionalFormatting>
  <conditionalFormatting sqref="AE13:AE20">
    <cfRule type="expression" dxfId="953" priority="42">
      <formula>ABS(AE$16-AE$19)&gt;=1000</formula>
    </cfRule>
  </conditionalFormatting>
  <conditionalFormatting sqref="D22:D29">
    <cfRule type="expression" dxfId="952" priority="41">
      <formula>ABS(D$25-D$28)&gt;=1000</formula>
    </cfRule>
  </conditionalFormatting>
  <conditionalFormatting sqref="E22:E29">
    <cfRule type="expression" dxfId="951" priority="40">
      <formula>ABS(E$25-E$28)&gt;=1000</formula>
    </cfRule>
  </conditionalFormatting>
  <conditionalFormatting sqref="F22:F29">
    <cfRule type="expression" dxfId="950" priority="39">
      <formula>ABS(F$25-F$28)&gt;=1000</formula>
    </cfRule>
  </conditionalFormatting>
  <conditionalFormatting sqref="G22:G29">
    <cfRule type="expression" dxfId="949" priority="38">
      <formula>ABS(G$25-G$28)&gt;=1000</formula>
    </cfRule>
  </conditionalFormatting>
  <conditionalFormatting sqref="H22:H29">
    <cfRule type="expression" dxfId="948" priority="37">
      <formula>ABS(H$25-H$28)&gt;=1000</formula>
    </cfRule>
  </conditionalFormatting>
  <conditionalFormatting sqref="I22 I24:I29">
    <cfRule type="expression" dxfId="947" priority="36">
      <formula>ABS(I$25-I$28)&gt;=1000</formula>
    </cfRule>
  </conditionalFormatting>
  <conditionalFormatting sqref="J22:J29 K22">
    <cfRule type="expression" dxfId="946" priority="35">
      <formula>ABS(J$25-J$28)&gt;=1000</formula>
    </cfRule>
  </conditionalFormatting>
  <conditionalFormatting sqref="K23:K29 L25 L28">
    <cfRule type="expression" dxfId="945" priority="34">
      <formula>ABS(K$25-K$28)&gt;=1000</formula>
    </cfRule>
  </conditionalFormatting>
  <conditionalFormatting sqref="L22:L24 L26:L27 L29">
    <cfRule type="expression" dxfId="944" priority="33">
      <formula>ABS(L$25-L$28)&gt;=1000</formula>
    </cfRule>
  </conditionalFormatting>
  <conditionalFormatting sqref="M22:M29">
    <cfRule type="expression" dxfId="943" priority="32">
      <formula>ABS(M$25-M$28)&gt;=1000</formula>
    </cfRule>
  </conditionalFormatting>
  <conditionalFormatting sqref="N22:N29">
    <cfRule type="expression" dxfId="942" priority="31">
      <formula>ABS(N$25-N$28)&gt;=1000</formula>
    </cfRule>
  </conditionalFormatting>
  <conditionalFormatting sqref="O22:O29">
    <cfRule type="expression" dxfId="941" priority="30">
      <formula>ABS(O$25-O$28)&gt;=1000</formula>
    </cfRule>
  </conditionalFormatting>
  <conditionalFormatting sqref="P22:P29">
    <cfRule type="expression" dxfId="940" priority="29">
      <formula>ABS(P$25-P$28)&gt;=1000</formula>
    </cfRule>
  </conditionalFormatting>
  <conditionalFormatting sqref="Q22:Q29">
    <cfRule type="expression" dxfId="939" priority="28">
      <formula>ABS(Q$25-Q$28)&gt;=1000</formula>
    </cfRule>
  </conditionalFormatting>
  <conditionalFormatting sqref="R22:R29">
    <cfRule type="expression" dxfId="938" priority="27">
      <formula>ABS(R$25-R$28)&gt;=1000</formula>
    </cfRule>
  </conditionalFormatting>
  <conditionalFormatting sqref="S22:S29">
    <cfRule type="expression" dxfId="937" priority="26">
      <formula>ABS(S$25-S$28)&gt;=1000</formula>
    </cfRule>
  </conditionalFormatting>
  <conditionalFormatting sqref="T22:T29">
    <cfRule type="expression" dxfId="936" priority="25">
      <formula>ABS(T$25-T$28)&gt;=1000</formula>
    </cfRule>
  </conditionalFormatting>
  <conditionalFormatting sqref="U22:U29">
    <cfRule type="expression" dxfId="935" priority="24">
      <formula>ABS(U$25-U$28)&gt;=1000</formula>
    </cfRule>
  </conditionalFormatting>
  <conditionalFormatting sqref="V22:V29">
    <cfRule type="expression" dxfId="934" priority="23">
      <formula>ABS(V$25-V$28)&gt;=1000</formula>
    </cfRule>
  </conditionalFormatting>
  <conditionalFormatting sqref="W22:W29">
    <cfRule type="expression" dxfId="933" priority="22">
      <formula>ABS(W$25-W$28)&gt;=1000</formula>
    </cfRule>
  </conditionalFormatting>
  <conditionalFormatting sqref="X22:X29">
    <cfRule type="expression" dxfId="932" priority="21">
      <formula>ABS(X$25-X$28)&gt;=1000</formula>
    </cfRule>
  </conditionalFormatting>
  <conditionalFormatting sqref="Y22:Y29">
    <cfRule type="expression" dxfId="931" priority="20">
      <formula>ABS(Y$25-Y$28)&gt;=1000</formula>
    </cfRule>
  </conditionalFormatting>
  <conditionalFormatting sqref="I23">
    <cfRule type="expression" dxfId="930" priority="19">
      <formula>ABS(I$25-I$28)&gt;=1000</formula>
    </cfRule>
  </conditionalFormatting>
  <conditionalFormatting sqref="F14">
    <cfRule type="expression" dxfId="929" priority="18">
      <formula>ABS(F$16-F$19)&gt;=1000</formula>
    </cfRule>
  </conditionalFormatting>
  <conditionalFormatting sqref="Q14">
    <cfRule type="expression" dxfId="928" priority="17">
      <formula>ABS(Q$16-Q$19)&gt;=1000</formula>
    </cfRule>
  </conditionalFormatting>
  <conditionalFormatting sqref="W14">
    <cfRule type="expression" dxfId="927" priority="16">
      <formula>ABS(W$16-W$19)&gt;=1000</formula>
    </cfRule>
  </conditionalFormatting>
  <conditionalFormatting sqref="Y14">
    <cfRule type="expression" dxfId="926" priority="15">
      <formula>ABS(Y$16-Y$19)&gt;=1000</formula>
    </cfRule>
  </conditionalFormatting>
  <conditionalFormatting sqref="X14">
    <cfRule type="expression" dxfId="925" priority="14">
      <formula>ABS(X$16-X$19)&gt;=1000</formula>
    </cfRule>
  </conditionalFormatting>
  <conditionalFormatting sqref="T10:Y10">
    <cfRule type="expression" dxfId="924" priority="13">
      <formula>ABS(T$7-T$10)&gt;=1000</formula>
    </cfRule>
  </conditionalFormatting>
  <conditionalFormatting sqref="W19">
    <cfRule type="expression" dxfId="923" priority="12">
      <formula>ABS(W$16-W$19)&gt;=1000</formula>
    </cfRule>
  </conditionalFormatting>
  <conditionalFormatting sqref="AC5">
    <cfRule type="expression" dxfId="922" priority="11">
      <formula>ABS(AC$7-AC$10)&gt;=1000</formula>
    </cfRule>
  </conditionalFormatting>
  <conditionalFormatting sqref="M14">
    <cfRule type="expression" dxfId="921" priority="10">
      <formula>ABS(M$16-M$19)&gt;=1000</formula>
    </cfRule>
  </conditionalFormatting>
  <conditionalFormatting sqref="M16">
    <cfRule type="expression" dxfId="920" priority="9">
      <formula>ABS(M$16-M$19)&gt;=1000</formula>
    </cfRule>
  </conditionalFormatting>
  <conditionalFormatting sqref="M19">
    <cfRule type="expression" dxfId="919" priority="8">
      <formula>ABS(M$16-M$19)&gt;=1000</formula>
    </cfRule>
  </conditionalFormatting>
  <conditionalFormatting sqref="K13:K20">
    <cfRule type="expression" dxfId="918" priority="7">
      <formula>ABS(K$16-K$19)&gt;=1000</formula>
    </cfRule>
  </conditionalFormatting>
  <conditionalFormatting sqref="E5">
    <cfRule type="expression" dxfId="917" priority="6">
      <formula>ABS(E$7-E$10)&gt;=1000</formula>
    </cfRule>
  </conditionalFormatting>
  <conditionalFormatting sqref="AB14:AC14">
    <cfRule type="expression" dxfId="916" priority="5">
      <formula>ABS(AB$16-AB$19)&gt;=1000</formula>
    </cfRule>
  </conditionalFormatting>
  <conditionalFormatting sqref="M5">
    <cfRule type="expression" dxfId="915" priority="4">
      <formula>ABS(M$7-M$10)&gt;=1000</formula>
    </cfRule>
  </conditionalFormatting>
  <conditionalFormatting sqref="N5">
    <cfRule type="expression" dxfId="914" priority="3">
      <formula>ABS(N$7-N$10)&gt;=1000</formula>
    </cfRule>
  </conditionalFormatting>
  <conditionalFormatting sqref="O5">
    <cfRule type="expression" dxfId="913" priority="2">
      <formula>ABS(O$7-O$10)&gt;=1000</formula>
    </cfRule>
  </conditionalFormatting>
  <conditionalFormatting sqref="P5">
    <cfRule type="expression" dxfId="912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0128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77">
    <pageSetUpPr fitToPage="1"/>
  </sheetPr>
  <dimension ref="A1:CU223"/>
  <sheetViews>
    <sheetView view="pageBreakPreview" topLeftCell="A4" zoomScale="70" zoomScaleNormal="100" zoomScaleSheetLayoutView="70" workbookViewId="0">
      <selection activeCell="Z23" sqref="Z23:AE29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08" t="s" ph="1">
        <v>192</v>
      </c>
      <c r="C1" s="208" ph="1"/>
      <c r="D1" s="208" ph="1"/>
      <c r="E1" s="208" ph="1"/>
      <c r="F1" s="208" ph="1"/>
      <c r="G1" s="208" ph="1"/>
      <c r="H1" s="208" ph="1"/>
      <c r="I1" s="208" ph="1"/>
      <c r="J1" s="208" ph="1"/>
      <c r="K1" s="208" ph="1"/>
      <c r="L1" s="208" ph="1"/>
      <c r="M1" s="208" ph="1"/>
      <c r="N1" s="208" ph="1"/>
      <c r="O1" s="208" ph="1"/>
      <c r="P1" s="208" ph="1"/>
      <c r="Q1" s="208" ph="1"/>
      <c r="R1" s="208" ph="1"/>
      <c r="S1" s="208" ph="1"/>
      <c r="T1" s="208" ph="1"/>
      <c r="U1" s="208" ph="1"/>
      <c r="V1" s="208" ph="1"/>
      <c r="W1" s="208" ph="1"/>
      <c r="X1" s="208" ph="1"/>
      <c r="Y1" s="208" ph="1"/>
      <c r="Z1" s="208" ph="1"/>
      <c r="AA1" s="208" ph="1"/>
      <c r="AB1" s="208" ph="1"/>
      <c r="AC1" s="208" ph="1"/>
      <c r="AD1" s="208" ph="1"/>
      <c r="AE1" s="208" ph="1"/>
    </row>
    <row r="2" spans="1:99" s="66" customFormat="1" ht="24" customHeight="1" ph="1">
      <c r="B2" s="209" t="s" ph="1">
        <v>99</v>
      </c>
      <c r="C2" s="209" ph="1"/>
      <c r="D2" s="209" ph="1"/>
      <c r="E2" s="209" ph="1"/>
      <c r="F2" s="209" ph="1"/>
      <c r="G2" s="209" ph="1"/>
      <c r="H2" s="209" ph="1"/>
      <c r="I2" s="209" ph="1"/>
      <c r="J2" s="209" ph="1"/>
      <c r="K2" s="209" ph="1"/>
      <c r="L2" s="209" ph="1"/>
      <c r="M2" s="209" ph="1"/>
      <c r="N2" s="209" ph="1"/>
      <c r="O2" s="209" ph="1"/>
      <c r="P2" s="209" ph="1"/>
      <c r="Q2" s="209" ph="1"/>
      <c r="R2" s="209" ph="1"/>
      <c r="S2" s="209" ph="1"/>
      <c r="T2" s="209" ph="1"/>
      <c r="U2" s="209" ph="1"/>
      <c r="V2" s="209" ph="1"/>
      <c r="W2" s="209" ph="1"/>
      <c r="X2" s="209" ph="1"/>
      <c r="Y2" s="209" ph="1"/>
      <c r="Z2" s="209" ph="1"/>
      <c r="AA2" s="209" ph="1"/>
      <c r="AB2" s="209" ph="1"/>
      <c r="AC2" s="209" ph="1"/>
      <c r="AD2" s="209" ph="1"/>
      <c r="AE2" s="209" ph="1"/>
    </row>
    <row r="3" spans="1:99" ht="21" customHeight="1" ph="1">
      <c r="B3" s="210" ph="1">
        <v>45707</v>
      </c>
      <c r="C3" s="210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210"/>
      <c r="R3" s="210"/>
      <c r="S3" s="210"/>
      <c r="T3" s="210"/>
      <c r="U3" s="210"/>
      <c r="V3" s="210"/>
      <c r="W3" s="210"/>
      <c r="X3" s="210"/>
      <c r="Y3" s="210"/>
      <c r="Z3" s="210"/>
      <c r="AA3" s="210"/>
      <c r="AB3" s="210"/>
      <c r="AC3" s="210"/>
      <c r="AD3" s="210"/>
      <c r="AE3" s="210"/>
    </row>
    <row r="4" spans="1:99" s="69" customFormat="1" ph="1">
      <c r="A4" s="65" ph="1"/>
      <c r="B4" s="211" t="s" ph="1">
        <v>37</v>
      </c>
      <c r="C4" s="67" t="s" ph="1">
        <v>207</v>
      </c>
      <c r="D4" s="68" t="s" ph="1">
        <v>45</v>
      </c>
      <c r="E4" s="68" t="s" ph="1">
        <v>46</v>
      </c>
      <c r="F4" s="68" t="s" ph="1">
        <v>39</v>
      </c>
      <c r="G4" s="68" t="s" ph="1">
        <v>47</v>
      </c>
      <c r="H4" s="68" t="s" ph="1">
        <v>48</v>
      </c>
      <c r="I4" s="68" t="s" ph="1">
        <v>132</v>
      </c>
      <c r="J4" s="68" t="s" ph="1">
        <v>49</v>
      </c>
      <c r="K4" s="68" t="s" ph="1">
        <v>133</v>
      </c>
      <c r="L4" s="68" t="s" ph="1">
        <v>134</v>
      </c>
      <c r="M4" s="68" t="s" ph="1">
        <v>50</v>
      </c>
      <c r="N4" s="68" t="s" ph="1">
        <v>51</v>
      </c>
      <c r="O4" s="68" t="s" ph="1">
        <v>136</v>
      </c>
      <c r="P4" s="68" t="s" ph="1">
        <v>138</v>
      </c>
      <c r="Q4" s="68" t="s" ph="1">
        <v>139</v>
      </c>
      <c r="R4" s="68" t="s" ph="1">
        <v>140</v>
      </c>
      <c r="S4" s="68" t="s" ph="1">
        <v>141</v>
      </c>
      <c r="T4" s="68" t="s" ph="1">
        <v>142</v>
      </c>
      <c r="U4" s="68" t="s" ph="1">
        <v>143</v>
      </c>
      <c r="V4" s="68" t="s" ph="1">
        <v>144</v>
      </c>
      <c r="W4" s="68" t="s" ph="1">
        <v>145</v>
      </c>
      <c r="X4" s="68" t="s" ph="1">
        <v>146</v>
      </c>
      <c r="Y4" s="68" t="s" ph="1">
        <v>147</v>
      </c>
      <c r="Z4" s="68" t="s" ph="1">
        <v>52</v>
      </c>
      <c r="AA4" s="68" t="s" ph="1">
        <v>148</v>
      </c>
      <c r="AB4" s="68" t="s" ph="1">
        <v>149</v>
      </c>
      <c r="AC4" s="68" t="s" ph="1">
        <v>150</v>
      </c>
      <c r="AD4" s="68" t="s" ph="1">
        <v>40</v>
      </c>
      <c r="AE4" s="68" t="s" ph="1">
        <v>151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1" ph="1"/>
      <c r="C5" s="67" t="s" ph="1">
        <v>36</v>
      </c>
      <c r="D5" s="70" t="s" ph="1">
        <v>191</v>
      </c>
      <c r="E5" s="70" t="s" ph="1">
        <v>7</v>
      </c>
      <c r="F5" s="70" t="s" ph="1">
        <v>1</v>
      </c>
      <c r="G5" s="70" t="s" ph="1">
        <v>7</v>
      </c>
      <c r="H5" s="70" t="s" ph="1">
        <v>7</v>
      </c>
      <c r="I5" s="70" t="s" ph="1">
        <v>657</v>
      </c>
      <c r="J5" s="70" t="s" ph="1">
        <v>658</v>
      </c>
      <c r="K5" s="70" t="s" ph="1">
        <v>660</v>
      </c>
      <c r="L5" s="70" t="s" ph="1">
        <v>662</v>
      </c>
      <c r="M5" s="70" t="s" ph="1">
        <v>657</v>
      </c>
      <c r="N5" s="70" t="s" ph="1">
        <v>658</v>
      </c>
      <c r="O5" s="70" t="s" ph="1">
        <v>660</v>
      </c>
      <c r="P5" s="70" t="s" ph="1">
        <v>662</v>
      </c>
      <c r="Q5" s="70" t="s" ph="1">
        <v>656</v>
      </c>
      <c r="R5" s="70" t="s" ph="1">
        <v>656</v>
      </c>
      <c r="S5" s="70" t="s" ph="1">
        <v>656</v>
      </c>
      <c r="T5" s="70" t="s" ph="1">
        <v>656</v>
      </c>
      <c r="U5" s="70" t="s" ph="1">
        <v>656</v>
      </c>
      <c r="V5" s="70" t="s" ph="1">
        <v>656</v>
      </c>
      <c r="W5" s="70" t="s" ph="1">
        <v>656</v>
      </c>
      <c r="X5" s="70" t="s" ph="1">
        <v>656</v>
      </c>
      <c r="Y5" s="70" t="s" ph="1">
        <v>656</v>
      </c>
      <c r="Z5" s="70" t="s" ph="1">
        <v>663</v>
      </c>
      <c r="AA5" s="70" t="s" ph="1">
        <v>62</v>
      </c>
      <c r="AB5" s="70" t="s" ph="1">
        <v>62</v>
      </c>
      <c r="AC5" s="70" t="s" ph="1">
        <v>664</v>
      </c>
      <c r="AD5" s="70" t="s" ph="1">
        <v>83</v>
      </c>
      <c r="AE5" s="70" t="s" ph="1">
        <v>654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07" ph="1">
        <v>0.33333333333333331</v>
      </c>
      <c r="C6" s="176" t="s" ph="1">
        <v>208</v>
      </c>
      <c r="D6" s="71">
        <v>1800</v>
      </c>
      <c r="E6" s="71">
        <v>0</v>
      </c>
      <c r="F6" s="71">
        <v>3563</v>
      </c>
      <c r="G6" s="71">
        <v>5366</v>
      </c>
      <c r="H6" s="71">
        <v>3401</v>
      </c>
      <c r="I6" s="71">
        <v>27.11</v>
      </c>
      <c r="J6" s="71">
        <v>7.81</v>
      </c>
      <c r="K6" s="71">
        <v>87.41</v>
      </c>
      <c r="L6" s="71">
        <v>45.81</v>
      </c>
      <c r="M6" s="71">
        <v>4523</v>
      </c>
      <c r="N6" s="71">
        <v>4934</v>
      </c>
      <c r="O6" s="71">
        <v>5217</v>
      </c>
      <c r="P6" s="71">
        <v>4112</v>
      </c>
      <c r="Q6" s="71">
        <v>0</v>
      </c>
      <c r="R6" s="71">
        <v>4783</v>
      </c>
      <c r="S6" s="71">
        <v>6190</v>
      </c>
      <c r="T6" s="71">
        <v>7143</v>
      </c>
      <c r="U6" s="71">
        <v>3188</v>
      </c>
      <c r="V6" s="71">
        <v>0</v>
      </c>
      <c r="W6" s="71">
        <v>0</v>
      </c>
      <c r="X6" s="71">
        <v>0</v>
      </c>
      <c r="Y6" s="71">
        <v>0</v>
      </c>
      <c r="Z6" s="71">
        <v>6770</v>
      </c>
      <c r="AA6" s="71">
        <v>1630</v>
      </c>
      <c r="AB6" s="71">
        <v>2537</v>
      </c>
      <c r="AC6" s="71">
        <v>9114</v>
      </c>
      <c r="AD6" s="71">
        <v>259</v>
      </c>
      <c r="AE6" s="71">
        <v>3285</v>
      </c>
    </row>
    <row r="7" spans="1:99" s="72" customFormat="1" ht="22.5" ph="1">
      <c r="B7" s="207" ph="1"/>
      <c r="C7" s="68" t="s" ph="1">
        <v>209</v>
      </c>
      <c r="D7" s="73" ph="1">
        <f>D6*33.183*LOOKUP(D8,密度!$A$2:$A$50,密度!$Q$2:$Q$50)</f>
        <v>57014.101476000003</v>
      </c>
      <c r="E7" s="73" ph="1">
        <f>E6*51.53*LOOKUP(E8,密度!$A$2:$A$50,密度!$I$2:$I$50)</f>
        <v>0</v>
      </c>
      <c r="F7" s="73" ph="1">
        <f>F6*33.183*LOOKUP(F8,密度!$A$2:$A$50,密度!$C$2:$C$50)</f>
        <v>131851.2435408</v>
      </c>
      <c r="G7" s="73" ph="1">
        <f xml:space="preserve"> (G6+2)*51.53*LOOKUP(G8,密度!$A$2:$A$50,密度!$B$2:$B$50)</f>
        <v>217971.07551999998</v>
      </c>
      <c r="H7" s="73" ph="1">
        <f>(H6)*51.53*LOOKUP(H8,密度!$A$2:$A$50,密度!$B$2:$B$50)</f>
        <v>138853.37181899999</v>
      </c>
      <c r="I7" s="73" ph="1">
        <f>I6*290.8*1.0267</f>
        <v>8094.0797995999992</v>
      </c>
      <c r="J7" s="73" ph="1">
        <f>J6*290.8*0.7892</f>
        <v>1792.3900016000002</v>
      </c>
      <c r="K7" s="73" ph="1">
        <f>K6*290.8*1.1126</f>
        <v>28280.988032800004</v>
      </c>
      <c r="L7" s="73" ph="1">
        <f>L6*290.8*0.777</f>
        <v>10350.842796000001</v>
      </c>
      <c r="M7" s="73" ph="1">
        <f>M6*33.183*LOOKUP(M8,密度!$A$2:$A$50,密度!$D$2:$D$50)</f>
        <v>155429.79584040001</v>
      </c>
      <c r="N7" s="73" ph="1">
        <f>N6*33.183*LOOKUP(N8,密度!$A$2:$A$50,密度!$E$2:$E$50)</f>
        <v>129752.00068499999</v>
      </c>
      <c r="O7" s="73" ph="1">
        <f>O6*20.428*LOOKUP(O8,密度!$A$2:$A$50,密度!$C$2:$C$50)</f>
        <v>118498.38082440001</v>
      </c>
      <c r="P7" s="73" ph="1">
        <f>P6*51.53*LOOKUP(P8,密度!$A$2:$A$50,密度!$B$2:$B$50)</f>
        <v>167161.09390400001</v>
      </c>
      <c r="Q7" s="73" ph="1">
        <f>Q6*1.5*1.5*3.1416*LOOKUP(W8,密度!$A$2:$A$50,密度!$L$2:$L$50)</f>
        <v>0</v>
      </c>
      <c r="R7" s="73" ph="1">
        <f>R6*1.5*1.5*3.1416*LOOKUP(R8,密度!$A$2:$A$50,密度!$L$2:$L$50)</f>
        <v>31780.566971999997</v>
      </c>
      <c r="S7" s="73" ph="1">
        <f>S6*1.5*1.5*3.1416*LOOKUP(S8,密度!$A$2:$A$50,密度!$L$2:$L$50)</f>
        <v>41654.411567999996</v>
      </c>
      <c r="T7" s="73" ph="1">
        <f>T6*1.5*1.5*3.1416*LOOKUP(T8,密度!$A$2:$A$50,密度!$L$2:$L$50)</f>
        <v>47966.459309999998</v>
      </c>
      <c r="U7" s="73" ph="1">
        <f>U6*1.5*1.5*3.1416*LOOKUP(U8,密度!$A$2:$A$50,密度!$L$2:$L$50)</f>
        <v>21317.823172799996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212742.51777000001</v>
      </c>
      <c r="AA7" s="73" ph="1">
        <f>AA6*33.183*LOOKUP(AA8,密度!$A$2:$A$50,密度!$D$2:$D$50)</f>
        <v>56013.833124000004</v>
      </c>
      <c r="AB7" s="73" ph="1">
        <f>AB6*20.428*LOOKUP(AB8,密度!$A$2:$A$50,密度!$D$2:$D$50)</f>
        <v>54085.442449600007</v>
      </c>
      <c r="AC7" s="73" ph="1">
        <f>AC6*51.53*LOOKUP(AC8,密度!$A$2:$A$50,密度!$Q$2:$Q$50)</f>
        <v>448294.38466680003</v>
      </c>
      <c r="AD7" s="73" ph="1">
        <f>AD6*20.428*LOOKUP(AD8,密度!$A$2:$A$50,密度!$V$2:$V$50)</f>
        <v>5100.3813279999995</v>
      </c>
      <c r="AE7" s="73" ph="1">
        <f>AE6*20.428</f>
        <v>67105.98</v>
      </c>
    </row>
    <row r="8" spans="1:99" ph="1">
      <c r="B8" s="207" ph="1"/>
      <c r="C8" s="68" t="s" ph="1">
        <v>210</v>
      </c>
      <c r="D8" s="74">
        <v>13</v>
      </c>
      <c r="E8" s="74">
        <v>15</v>
      </c>
      <c r="F8" s="74">
        <v>16</v>
      </c>
      <c r="G8" s="74">
        <v>15</v>
      </c>
      <c r="H8" s="74">
        <v>10</v>
      </c>
      <c r="I8" s="74">
        <v>25</v>
      </c>
      <c r="J8" s="74">
        <v>25</v>
      </c>
      <c r="K8" s="74">
        <v>25</v>
      </c>
      <c r="L8" s="74">
        <v>25</v>
      </c>
      <c r="M8" s="74">
        <v>15</v>
      </c>
      <c r="N8" s="74">
        <v>17</v>
      </c>
      <c r="O8" s="74">
        <v>21</v>
      </c>
      <c r="P8" s="74">
        <v>14</v>
      </c>
      <c r="Q8" s="74">
        <v>14</v>
      </c>
      <c r="R8" s="74">
        <v>22</v>
      </c>
      <c r="S8" s="74">
        <v>10</v>
      </c>
      <c r="T8" s="74">
        <v>12</v>
      </c>
      <c r="U8" s="74">
        <v>16</v>
      </c>
      <c r="V8" s="74">
        <v>21</v>
      </c>
      <c r="W8" s="74">
        <v>15</v>
      </c>
      <c r="X8" s="74">
        <v>5</v>
      </c>
      <c r="Y8" s="74">
        <v>14</v>
      </c>
      <c r="Z8" s="74">
        <v>15</v>
      </c>
      <c r="AA8" s="74">
        <v>15</v>
      </c>
      <c r="AB8" s="74">
        <v>6</v>
      </c>
      <c r="AC8" s="74">
        <v>14</v>
      </c>
      <c r="AD8" s="74">
        <v>8</v>
      </c>
      <c r="AE8" s="74">
        <v>18</v>
      </c>
    </row>
    <row r="9" spans="1:99" ph="1">
      <c r="B9" s="207" ph="1">
        <v>0.66666666666666663</v>
      </c>
      <c r="C9" s="176" t="s" ph="1">
        <v>211</v>
      </c>
      <c r="D9" s="71">
        <v>2075</v>
      </c>
      <c r="E9" s="71">
        <v>0</v>
      </c>
      <c r="F9" s="71">
        <v>4378</v>
      </c>
      <c r="G9" s="71">
        <v>6616</v>
      </c>
      <c r="H9" s="71">
        <v>3400</v>
      </c>
      <c r="I9" s="71">
        <v>27.11</v>
      </c>
      <c r="J9" s="71">
        <v>7.81</v>
      </c>
      <c r="K9" s="71">
        <v>87.81</v>
      </c>
      <c r="L9" s="71">
        <v>13.01</v>
      </c>
      <c r="M9" s="71">
        <v>4525</v>
      </c>
      <c r="N9" s="71">
        <v>4718</v>
      </c>
      <c r="O9" s="71">
        <v>5219</v>
      </c>
      <c r="P9" s="71">
        <v>3877</v>
      </c>
      <c r="Q9" s="71">
        <v>0</v>
      </c>
      <c r="R9" s="71">
        <v>0</v>
      </c>
      <c r="S9" s="71">
        <v>5936</v>
      </c>
      <c r="T9" s="71">
        <v>7149</v>
      </c>
      <c r="U9" s="71">
        <v>7009</v>
      </c>
      <c r="V9" s="71">
        <v>1504</v>
      </c>
      <c r="W9" s="71">
        <v>0</v>
      </c>
      <c r="X9" s="71">
        <v>0</v>
      </c>
      <c r="Y9" s="71">
        <v>0</v>
      </c>
      <c r="Z9" s="71">
        <v>4665</v>
      </c>
      <c r="AA9" s="71">
        <v>1624</v>
      </c>
      <c r="AB9" s="71">
        <v>2536</v>
      </c>
      <c r="AC9" s="71">
        <v>8867</v>
      </c>
      <c r="AD9" s="71">
        <v>237</v>
      </c>
      <c r="AE9" s="71">
        <v>3250</v>
      </c>
    </row>
    <row r="10" spans="1:99" s="72" customFormat="1" ht="22.5" ph="1">
      <c r="B10" s="207" ph="1"/>
      <c r="C10" s="176" t="s" ph="1">
        <v>209</v>
      </c>
      <c r="D10" s="73" ph="1">
        <f>D9*33.183*LOOKUP(D11,密度!$A$2:$A$50,密度!$Q$2:$Q$50)</f>
        <v>65237.786295750011</v>
      </c>
      <c r="E10" s="73" ph="1">
        <f>E9*51.53*LOOKUP(E11,密度!$A$2:$A$50,密度!$I$2:$I$50)</f>
        <v>0</v>
      </c>
      <c r="F10" s="73" ph="1">
        <f>F9*33.183*LOOKUP(F11,密度!$A$2:$A$50,密度!$C$2:$C$50)</f>
        <v>161822.01631859998</v>
      </c>
      <c r="G10" s="73" ph="1">
        <f xml:space="preserve"> (G9+2)*51.53*LOOKUP(G11,密度!$A$2:$A$50,密度!$B$2:$B$50)</f>
        <v>268455.30508799996</v>
      </c>
      <c r="H10" s="73" ph="1">
        <f>(H9)*51.53*LOOKUP(H11,密度!$A$2:$A$50,密度!$B$2:$B$50)</f>
        <v>137778.85279999999</v>
      </c>
      <c r="I10" s="73" ph="1">
        <f>I9*290.8*1.0267</f>
        <v>8094.0797995999992</v>
      </c>
      <c r="J10" s="73" ph="1">
        <f>J9*290.8*0.7892</f>
        <v>1792.3900016000002</v>
      </c>
      <c r="K10" s="73" ph="1">
        <f>K9*290.8*1.1126</f>
        <v>28410.405664800001</v>
      </c>
      <c r="L10" s="73" ph="1">
        <f>L9*290.8*0.777</f>
        <v>2939.6303160000002</v>
      </c>
      <c r="M10" s="73" ph="1">
        <f>M9*33.183*LOOKUP(M11,密度!$A$2:$A$50,密度!$D$2:$D$50)</f>
        <v>155378.40200999999</v>
      </c>
      <c r="N10" s="73" ph="1">
        <f>N9*33.183*LOOKUP(N11,密度!$A$2:$A$50,密度!$E$2:$E$50)</f>
        <v>124071.73474499999</v>
      </c>
      <c r="O10" s="73" ph="1">
        <f>O9*20.428*LOOKUP(O11,密度!$A$2:$A$50,密度!$C$2:$C$50)</f>
        <v>118298.5970272</v>
      </c>
      <c r="P10" s="73" ph="1">
        <f>P9*51.53*LOOKUP(P11,密度!$A$2:$A$50,密度!$B$2:$B$50)</f>
        <v>156808.742669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39861.24912</v>
      </c>
      <c r="T10" s="73" ph="1">
        <f>T9*1.5*1.5*3.1416*LOOKUP(T11,密度!$A$2:$A$50,密度!$L$2:$L$50)</f>
        <v>47905.683487199996</v>
      </c>
      <c r="U10" s="73" ph="1">
        <f>U9*1.5*1.5*3.1416*LOOKUP(U11,密度!$A$2:$A$50,密度!$L$2:$L$50)</f>
        <v>46818.907442999996</v>
      </c>
      <c r="V10" s="73" ph="1">
        <f>V9*1.5*1.5*3.1416*LOOKUP(V11,密度!$A$2:$A$50,密度!$L$2:$L$50)</f>
        <v>9961.4104127999999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146594.36416500001</v>
      </c>
      <c r="AA10" s="73" ph="1">
        <f>AA9*33.183*LOOKUP(AA11,密度!$A$2:$A$50,密度!$D$2:$D$50)</f>
        <v>55672.9242552</v>
      </c>
      <c r="AB10" s="73" ph="1">
        <f>AB9*20.428*LOOKUP(AB11,密度!$A$2:$A$50,密度!$D$2:$D$50)</f>
        <v>53970.874054400003</v>
      </c>
      <c r="AC10" s="73" ph="1">
        <f>AC9*51.53*LOOKUP(AC11,密度!$A$2:$A$50,密度!$Q$2:$Q$50)</f>
        <v>434989.08668510005</v>
      </c>
      <c r="AD10" s="73" ph="1">
        <f>AD9*20.428*LOOKUP(AD11,密度!$A$2:$A$50,密度!$V$2:$V$50)</f>
        <v>4651.651708800001</v>
      </c>
      <c r="AE10" s="73" ph="1">
        <f>AE9*20.428</f>
        <v>66391</v>
      </c>
    </row>
    <row r="11" spans="1:99" ph="1">
      <c r="A11" s="64" t="s" ph="1">
        <v>193</v>
      </c>
      <c r="B11" s="207" ph="1"/>
      <c r="C11" s="176" t="s" ph="1">
        <v>210</v>
      </c>
      <c r="D11" s="74">
        <v>24</v>
      </c>
      <c r="E11" s="74">
        <v>18</v>
      </c>
      <c r="F11" s="74">
        <v>18</v>
      </c>
      <c r="G11" s="74">
        <v>16</v>
      </c>
      <c r="H11" s="74">
        <v>17</v>
      </c>
      <c r="I11" s="74">
        <v>25</v>
      </c>
      <c r="J11" s="74">
        <v>25</v>
      </c>
      <c r="K11" s="74">
        <v>25</v>
      </c>
      <c r="L11" s="74">
        <v>25</v>
      </c>
      <c r="M11" s="74">
        <v>16</v>
      </c>
      <c r="N11" s="74">
        <v>17</v>
      </c>
      <c r="O11" s="74">
        <v>24</v>
      </c>
      <c r="P11" s="74">
        <v>19</v>
      </c>
      <c r="Q11" s="74">
        <v>21</v>
      </c>
      <c r="R11" s="74">
        <v>25</v>
      </c>
      <c r="S11" s="74">
        <v>12</v>
      </c>
      <c r="T11" s="74">
        <v>14</v>
      </c>
      <c r="U11" s="74">
        <v>17</v>
      </c>
      <c r="V11" s="74">
        <v>25</v>
      </c>
      <c r="W11" s="74">
        <v>28</v>
      </c>
      <c r="X11" s="74">
        <v>19</v>
      </c>
      <c r="Y11" s="74">
        <v>20</v>
      </c>
      <c r="Z11" s="74">
        <v>15</v>
      </c>
      <c r="AA11" s="74">
        <v>18</v>
      </c>
      <c r="AB11" s="74">
        <v>8</v>
      </c>
      <c r="AC11" s="74">
        <v>18</v>
      </c>
      <c r="AD11" s="74">
        <v>21</v>
      </c>
      <c r="AE11" s="74">
        <v>22</v>
      </c>
    </row>
    <row r="12" spans="1:99" ht="9.9499999999999993" customHeight="1" ph="1"/>
    <row r="13" spans="1:99" s="72" customFormat="1" ht="29.25" customHeight="1" ph="1">
      <c r="B13" s="215" t="s" ph="1">
        <v>37</v>
      </c>
      <c r="C13" s="176" t="s" ph="1">
        <v>207</v>
      </c>
      <c r="D13" s="76" t="s" ph="1">
        <v>53</v>
      </c>
      <c r="E13" s="76" t="s" ph="1">
        <v>54</v>
      </c>
      <c r="F13" s="76" t="s" ph="1">
        <v>66</v>
      </c>
      <c r="G13" s="76" t="s" ph="1">
        <v>67</v>
      </c>
      <c r="H13" s="76" t="s" ph="1">
        <v>152</v>
      </c>
      <c r="I13" s="76" t="s" ph="1">
        <v>68</v>
      </c>
      <c r="J13" s="76" t="s" ph="1">
        <v>153</v>
      </c>
      <c r="K13" s="76" t="s" ph="1">
        <v>63</v>
      </c>
      <c r="L13" s="76" t="s" ph="1">
        <v>69</v>
      </c>
      <c r="M13" s="76" t="s" ph="1">
        <v>70</v>
      </c>
      <c r="N13" s="76" t="s" ph="1">
        <v>154</v>
      </c>
      <c r="O13" s="76" t="s" ph="1">
        <v>64</v>
      </c>
      <c r="P13" s="76" t="s" ph="1">
        <v>71</v>
      </c>
      <c r="Q13" s="76" t="s" ph="1">
        <v>72</v>
      </c>
      <c r="R13" s="76" t="s" ph="1">
        <v>73</v>
      </c>
      <c r="S13" s="76" t="s" ph="1">
        <v>74</v>
      </c>
      <c r="T13" s="76" t="s" ph="1">
        <v>75</v>
      </c>
      <c r="U13" s="76" t="s" ph="1">
        <v>76</v>
      </c>
      <c r="V13" s="76" t="s" ph="1">
        <v>155</v>
      </c>
      <c r="W13" s="76" t="s" ph="1">
        <v>156</v>
      </c>
      <c r="X13" s="76" t="s" ph="1">
        <v>157</v>
      </c>
      <c r="Y13" s="105" t="s" ph="1">
        <v>77</v>
      </c>
      <c r="Z13" s="76" t="s" ph="1">
        <v>86</v>
      </c>
      <c r="AA13" s="76" t="s" ph="1">
        <v>158</v>
      </c>
      <c r="AB13" s="76" t="s" ph="1">
        <v>159</v>
      </c>
      <c r="AC13" s="76" t="s" ph="1">
        <v>160</v>
      </c>
      <c r="AD13" s="76" t="s" ph="1">
        <v>161</v>
      </c>
      <c r="AE13" s="76" t="s" ph="1">
        <v>162</v>
      </c>
      <c r="AG13" s="72" t="s" ph="1">
        <v>366</v>
      </c>
      <c r="AH13" s="72" t="s" ph="1">
        <v>229</v>
      </c>
      <c r="AI13" s="72" t="s" ph="1">
        <v>230</v>
      </c>
      <c r="AJ13" s="72" t="s" ph="1">
        <v>231</v>
      </c>
      <c r="AK13" s="72" t="s" ph="1">
        <v>232</v>
      </c>
      <c r="AL13" s="72" t="s" ph="1">
        <v>233</v>
      </c>
      <c r="AM13" s="72" t="s" ph="1">
        <v>234</v>
      </c>
      <c r="AN13" s="72" t="s" ph="1">
        <v>235</v>
      </c>
      <c r="AO13" s="72" t="s" ph="1">
        <v>236</v>
      </c>
      <c r="AP13" s="72" t="s" ph="1">
        <v>237</v>
      </c>
      <c r="AQ13" s="72" t="s" ph="1">
        <v>238</v>
      </c>
      <c r="AR13" s="72" t="s" ph="1">
        <v>239</v>
      </c>
      <c r="AS13" s="72" t="s" ph="1">
        <v>240</v>
      </c>
      <c r="AT13" s="72" t="s" ph="1">
        <v>241</v>
      </c>
      <c r="AU13" s="72" t="s" ph="1">
        <v>242</v>
      </c>
      <c r="AV13" s="72" t="s" ph="1">
        <v>243</v>
      </c>
      <c r="AW13" s="72" t="s" ph="1">
        <v>244</v>
      </c>
      <c r="AX13" s="72" t="s" ph="1">
        <v>245</v>
      </c>
      <c r="AY13" s="72" t="s" ph="1">
        <v>367</v>
      </c>
      <c r="AZ13" s="72" t="s" ph="1">
        <v>246</v>
      </c>
      <c r="BA13" s="72" t="s" ph="1">
        <v>247</v>
      </c>
      <c r="BB13" s="72" t="s" ph="1">
        <v>632</v>
      </c>
      <c r="BC13" s="72" t="s" ph="1">
        <v>248</v>
      </c>
      <c r="BD13" s="72" t="s" ph="1">
        <v>368</v>
      </c>
      <c r="BE13" s="72" t="s" ph="1">
        <v>369</v>
      </c>
      <c r="BF13" s="72" t="s" ph="1">
        <v>370</v>
      </c>
      <c r="BG13" s="72" t="s" ph="1">
        <v>371</v>
      </c>
      <c r="BH13" s="72" t="s" ph="1">
        <v>372</v>
      </c>
    </row>
    <row r="14" spans="1:99" s="72" customFormat="1" ht="24" ph="1">
      <c r="B14" s="216" ph="1"/>
      <c r="C14" s="67" t="s" ph="1">
        <v>36</v>
      </c>
      <c r="D14" s="77" t="s" ph="1">
        <v>665</v>
      </c>
      <c r="E14" s="77" t="s" ph="1">
        <v>665</v>
      </c>
      <c r="F14" s="142" t="s" ph="1">
        <v>651</v>
      </c>
      <c r="G14" s="77" t="s" ph="1">
        <v>667</v>
      </c>
      <c r="H14" s="77" t="s" ph="1">
        <v>668</v>
      </c>
      <c r="I14" s="167" t="s" ph="1">
        <v>669</v>
      </c>
      <c r="J14" s="77" t="s" ph="1">
        <v>670</v>
      </c>
      <c r="K14" s="77" t="s" ph="1">
        <v>223</v>
      </c>
      <c r="L14" s="77" t="s" ph="1">
        <v>42</v>
      </c>
      <c r="M14" s="104" t="s" ph="1">
        <v>671</v>
      </c>
      <c r="N14" s="104" t="s" ph="1">
        <v>672</v>
      </c>
      <c r="O14" s="104" t="s" ph="1">
        <v>670</v>
      </c>
      <c r="P14" s="77" t="s" ph="1">
        <v>673</v>
      </c>
      <c r="Q14" s="77" t="s" ph="1">
        <v>673</v>
      </c>
      <c r="R14" s="88" t="s" ph="1">
        <v>674</v>
      </c>
      <c r="S14" s="77" t="s" ph="1">
        <v>81</v>
      </c>
      <c r="T14" s="77" t="s" ph="1">
        <v>676</v>
      </c>
      <c r="U14" s="77" t="s" ph="1">
        <v>652</v>
      </c>
      <c r="V14" s="77" t="s" ph="1">
        <v>127</v>
      </c>
      <c r="W14" s="77" t="s" ph="1">
        <v>673</v>
      </c>
      <c r="X14" s="77" t="s" ph="1">
        <v>678</v>
      </c>
      <c r="Y14" s="141" t="s" ph="1">
        <v>0</v>
      </c>
      <c r="Z14" s="77" t="s" ph="1">
        <v>62</v>
      </c>
      <c r="AA14" s="77" t="s" ph="1">
        <v>662</v>
      </c>
      <c r="AB14" s="77" t="s" ph="1">
        <v>648</v>
      </c>
      <c r="AC14" s="77" t="s" ph="1">
        <v>648</v>
      </c>
      <c r="AD14" s="77" t="s" ph="1">
        <v>661</v>
      </c>
      <c r="AE14" s="77" t="s" ph="1">
        <v>661</v>
      </c>
      <c r="AG14" s="72" t="s" ph="1">
        <v>249</v>
      </c>
      <c r="AI14" s="72" t="s" ph="1">
        <v>250</v>
      </c>
      <c r="AJ14" s="72" t="s" ph="1">
        <v>373</v>
      </c>
      <c r="AK14" s="72" t="s" ph="1">
        <v>251</v>
      </c>
      <c r="AM14" s="72" t="s" ph="1">
        <v>253</v>
      </c>
      <c r="AN14" s="72" t="s" ph="1">
        <v>251</v>
      </c>
      <c r="AO14" s="72" t="s" ph="1">
        <v>252</v>
      </c>
      <c r="AP14" s="72" t="s" ph="1">
        <v>253</v>
      </c>
      <c r="AQ14" s="72" t="s" ph="1">
        <v>251</v>
      </c>
      <c r="AR14" s="72" t="s" ph="1">
        <v>252</v>
      </c>
      <c r="AS14" s="72" t="s" ph="1">
        <v>253</v>
      </c>
      <c r="AT14" s="72" t="s" ph="1">
        <v>251</v>
      </c>
      <c r="AU14" s="72" t="s" ph="1">
        <v>252</v>
      </c>
      <c r="AV14" s="72" t="s" ph="1">
        <v>253</v>
      </c>
      <c r="AW14" s="72" t="s" ph="1">
        <v>251</v>
      </c>
      <c r="AX14" s="72" t="s" ph="1">
        <v>252</v>
      </c>
      <c r="AY14" s="72" t="s" ph="1">
        <v>253</v>
      </c>
      <c r="AZ14" s="72" t="s" ph="1">
        <v>252</v>
      </c>
    </row>
    <row r="15" spans="1:99" ph="1">
      <c r="B15" s="217" ph="1">
        <v>0.33333333333333331</v>
      </c>
      <c r="C15" s="176" t="s" ph="1">
        <v>208</v>
      </c>
      <c r="D15" s="78">
        <v>0</v>
      </c>
      <c r="E15" s="78">
        <v>96</v>
      </c>
      <c r="F15" s="78">
        <v>3695</v>
      </c>
      <c r="G15" s="78">
        <v>3679</v>
      </c>
      <c r="H15" s="78">
        <v>2867</v>
      </c>
      <c r="I15" s="78">
        <v>9</v>
      </c>
      <c r="J15" s="78">
        <v>27</v>
      </c>
      <c r="K15" s="78">
        <v>350</v>
      </c>
      <c r="L15" s="78">
        <v>6289</v>
      </c>
      <c r="M15" s="78">
        <v>3928</v>
      </c>
      <c r="N15" s="78">
        <v>2663</v>
      </c>
      <c r="O15" s="78">
        <v>307</v>
      </c>
      <c r="P15" s="78">
        <v>0</v>
      </c>
      <c r="Q15" s="78">
        <v>1472</v>
      </c>
      <c r="R15" s="78">
        <v>3492</v>
      </c>
      <c r="S15" s="78">
        <v>5614</v>
      </c>
      <c r="T15" s="78">
        <v>6083</v>
      </c>
      <c r="U15" s="78">
        <v>3634</v>
      </c>
      <c r="V15" s="78">
        <v>-1629</v>
      </c>
      <c r="W15" s="78">
        <v>-595</v>
      </c>
      <c r="X15" s="78">
        <v>493</v>
      </c>
      <c r="Y15" s="106">
        <v>-9900</v>
      </c>
      <c r="Z15" s="78">
        <v>0</v>
      </c>
      <c r="AA15" s="78">
        <v>2506</v>
      </c>
      <c r="AB15" s="78" ph="1">
        <v>6856</v>
      </c>
      <c r="AC15" s="78" ph="1">
        <v>6501</v>
      </c>
      <c r="AD15" s="78">
        <v>84.41</v>
      </c>
      <c r="AE15" s="78">
        <v>6.02</v>
      </c>
      <c r="AG15" s="64" t="s" ph="1">
        <v>255</v>
      </c>
      <c r="AH15" s="64" ph="1">
        <v>1</v>
      </c>
      <c r="AI15" s="64" t="s" ph="1">
        <v>374</v>
      </c>
      <c r="AK15" s="64" t="s" ph="1">
        <v>628</v>
      </c>
      <c r="AM15" s="64" t="s" ph="1">
        <v>376</v>
      </c>
      <c r="AZ15" s="64" t="s" ph="1">
        <v>257</v>
      </c>
      <c r="BA15" s="64" ph="1">
        <v>0</v>
      </c>
    </row>
    <row r="16" spans="1:99" s="72" customFormat="1" ht="22.5" ph="1">
      <c r="B16" s="218" ph="1"/>
      <c r="C16" s="176" t="s" ph="1">
        <v>209</v>
      </c>
      <c r="D16" s="73" ph="1">
        <f>D15*7.0686*LOOKUP(D17,密度!$A$2:$A$50,密度!$L$2:$L$50)</f>
        <v>0</v>
      </c>
      <c r="E16" s="73" ph="1">
        <f>E15*7.0686*LOOKUP(E17,密度!$A$2:$A$50,密度!$L$2:$L$50)</f>
        <v>640.58480639999993</v>
      </c>
      <c r="F16" s="73" ph="1">
        <f>F15*9.0746*LOOKUP(F17,密度!$A$2:$A$50,密度!$L$2:$L$50)</f>
        <v>31619.400120999995</v>
      </c>
      <c r="G16" s="73" ph="1">
        <f>G15*9.0746*LOOKUP(G17,密度!$A$2:$A$50,密度!$B$2:$B$50)</f>
        <v>26254.320553759997</v>
      </c>
      <c r="H16" s="73" ph="1">
        <f>H15*9.0746*LOOKUP(H17,密度!$A$2:$A$50,密度!$L$2:$L$50)</f>
        <v>24716.03429</v>
      </c>
      <c r="I16" s="73" ph="1">
        <f>I15*9.0746*LOOKUP(I17,密度!$A$2:$A$50,密度!$U$2:$U$50)</f>
        <v>83.95819920000001</v>
      </c>
      <c r="J16" s="73" ph="1">
        <f>J15*9.0746*LOOKUP(J17,密度!$A$2:$A$50,密度!$L$2:$L$50)</f>
        <v>231.78343319999999</v>
      </c>
      <c r="K16" s="73" ph="1">
        <f>K15*9.0746*LOOKUP(K17,密度!$A$2:$A$50,密度!$C$2:$C$50)</f>
        <v>3543.903538</v>
      </c>
      <c r="L16" s="73" ph="1">
        <f>L15*9.0746*LOOKUP(L17,密度!$A$2:$A$50,密度!$E$2:$E$50)</f>
        <v>45353.655675180002</v>
      </c>
      <c r="M16" s="73" ph="1">
        <f>M15*9.0746*LOOKUP(M17,密度!$A$2:$A$50,密度!$M$2:$M$50)</f>
        <v>31378.318852639997</v>
      </c>
      <c r="N16" s="73" ph="1">
        <f>N15*9.0746*LOOKUP(N17,密度!$A$2:$A$50,密度!$M$2:$M$50)</f>
        <v>21273.030321940001</v>
      </c>
      <c r="O16" s="73" ph="1">
        <f>O15*9.0746*LOOKUP(O17,密度!$A$2:$A$50,密度!$G$2:$G$50)</f>
        <v>2696.7533295999997</v>
      </c>
      <c r="P16" s="73" ph="1">
        <f ca="1">P15*9.0746*LOOKUP(P17,密度!$A$2:$A$51,密度!$Q$2:$Q$50)</f>
        <v>0</v>
      </c>
      <c r="Q16" s="73" ph="1">
        <f>Q15*9.0746*LOOKUP(Q17,密度!$A$2:$A$50,密度!$Q$2:$Q$50)</f>
        <v>12716.769840512001</v>
      </c>
      <c r="R16" s="73" ph="1">
        <f>MAX(R15*9.0746*LOOKUP(R17,密度!$A$2:$A$50,密度!$B$2:$B$50),0)</f>
        <v>24897.656964239999</v>
      </c>
      <c r="S16" s="73" ph="1">
        <f>S15*9.0746*LOOKUP(S17,密度!$A$2:$A$50,密度!$Q$2:$Q$50)</f>
        <v>48628.853591976003</v>
      </c>
      <c r="T16" s="73" ph="1">
        <f>T15*9.0746*LOOKUP(T17,密度!$A$2:$A$50,密度!$O$2:$O$50)</f>
        <v>51557.5395412</v>
      </c>
      <c r="U16" s="73" ph="1">
        <f>U15*9.0746*LOOKUP(U17,密度!$A$2:$A$50,密度!$H$2:$H$50)</f>
        <v>30493.921041080001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206.8278181200003</v>
      </c>
      <c r="X16" s="73" ph="1">
        <f>MAX(5600*LOOKUP(X17,密度!$A$2:$A$50,密度!$I$2:$I$50)+X15*9.0476*LOOKUP(X17,密度!$A$2:$A$50,密度!$I$2:$I$50),0)</f>
        <v>10428.679884879999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17901.67395072</v>
      </c>
      <c r="AB16" s="73" ph="1">
        <f>AB15*9.0746*LOOKUP(AB17,密度!$A$2:$A$50,密度!$L$2:$L$50)</f>
        <v>58793.607431999997</v>
      </c>
      <c r="AC16" s="73" ph="1">
        <f>AC15*9.0746*LOOKUP(AC17,密度!$A$2:$A$50,密度!$L$2:$L$50)</f>
        <v>55926.287920800001</v>
      </c>
      <c r="AD16" s="73" ph="1">
        <f>AD15*268.68*LOOKUP(AD17,密度!$A$2:$A$50,密度!B2:B50)+IF(AD15&lt;=0,0,1566*LOOKUP(AD17,密度!$A$2:$A$50,密度!B2:B50))</f>
        <v>18901.619352479996</v>
      </c>
      <c r="AE16" s="73" ph="1">
        <f>AE15*268.68*LOOKUP(AE17,密度!$A$2:$A$50,密度!B2:B50)+IF(AE15&lt;=0,0,1566*LOOKUP(AE17,密度!$A$2:$A$50,密度!B2:B50))</f>
        <v>2481.8204265599998</v>
      </c>
      <c r="AH16" s="72" ph="1">
        <v>2</v>
      </c>
      <c r="AI16" s="72" t="s" ph="1">
        <v>378</v>
      </c>
      <c r="AZ16" s="72" t="s" ph="1">
        <v>257</v>
      </c>
      <c r="BA16" s="72" ph="1">
        <v>0</v>
      </c>
    </row>
    <row r="17" spans="1:57" ph="1">
      <c r="A17" s="64" t="s" ph="1">
        <v>85</v>
      </c>
      <c r="B17" s="219" ph="1"/>
      <c r="C17" s="79" t="s" ph="1">
        <v>210</v>
      </c>
      <c r="D17" s="74">
        <v>18</v>
      </c>
      <c r="E17" s="74">
        <v>18</v>
      </c>
      <c r="F17" s="74">
        <v>19</v>
      </c>
      <c r="G17" s="74">
        <v>17</v>
      </c>
      <c r="H17" s="74">
        <v>12</v>
      </c>
      <c r="I17" s="74">
        <v>12</v>
      </c>
      <c r="J17" s="74">
        <v>16</v>
      </c>
      <c r="K17" s="74">
        <v>15</v>
      </c>
      <c r="L17" s="74">
        <v>15</v>
      </c>
      <c r="M17" s="74">
        <v>18</v>
      </c>
      <c r="N17" s="74">
        <v>17</v>
      </c>
      <c r="O17" s="74">
        <v>18</v>
      </c>
      <c r="P17" s="74">
        <v>15</v>
      </c>
      <c r="Q17" s="74">
        <v>18</v>
      </c>
      <c r="R17" s="74">
        <v>18</v>
      </c>
      <c r="S17" s="74">
        <v>15</v>
      </c>
      <c r="T17" s="74">
        <v>15</v>
      </c>
      <c r="U17" s="74">
        <v>15</v>
      </c>
      <c r="V17" s="74">
        <v>15</v>
      </c>
      <c r="W17" s="74">
        <v>15</v>
      </c>
      <c r="X17" s="74">
        <v>30</v>
      </c>
      <c r="Y17" s="108">
        <v>30</v>
      </c>
      <c r="Z17" s="74">
        <v>16</v>
      </c>
      <c r="AA17" s="74">
        <v>16</v>
      </c>
      <c r="AB17" s="74">
        <v>17</v>
      </c>
      <c r="AC17" s="74">
        <v>14</v>
      </c>
      <c r="AD17" s="74">
        <v>25</v>
      </c>
      <c r="AE17" s="74">
        <v>25</v>
      </c>
      <c r="AH17" s="64" ph="1">
        <v>3</v>
      </c>
      <c r="AI17" s="64" t="s" ph="1">
        <v>379</v>
      </c>
      <c r="AK17" s="64" t="s" ph="1">
        <v>611</v>
      </c>
      <c r="AL17" s="64" ph="1">
        <v>80</v>
      </c>
      <c r="AM17" s="64" t="s" ph="1">
        <v>376</v>
      </c>
      <c r="AZ17" s="64" t="s" ph="1">
        <v>257</v>
      </c>
      <c r="BA17" s="64" ph="1">
        <v>80</v>
      </c>
      <c r="BD17" s="64" t="s" ph="1">
        <v>255</v>
      </c>
      <c r="BE17" s="64" ph="1">
        <v>2270</v>
      </c>
    </row>
    <row r="18" spans="1:57" ph="1">
      <c r="B18" s="217" ph="1">
        <v>0.66666666666666663</v>
      </c>
      <c r="C18" s="79" t="s" ph="1">
        <v>211</v>
      </c>
      <c r="D18" s="71">
        <v>0</v>
      </c>
      <c r="E18" s="71">
        <v>1219</v>
      </c>
      <c r="F18" s="71">
        <v>3770</v>
      </c>
      <c r="G18" s="71">
        <v>3704</v>
      </c>
      <c r="H18" s="71">
        <v>2869</v>
      </c>
      <c r="I18" s="71">
        <v>8</v>
      </c>
      <c r="J18" s="71">
        <v>27</v>
      </c>
      <c r="K18" s="71">
        <v>742</v>
      </c>
      <c r="L18" s="71">
        <v>3922</v>
      </c>
      <c r="M18" s="71">
        <v>988</v>
      </c>
      <c r="N18" s="71">
        <v>5148</v>
      </c>
      <c r="O18" s="71">
        <v>619</v>
      </c>
      <c r="P18" s="71">
        <v>375</v>
      </c>
      <c r="Q18" s="71">
        <v>1475</v>
      </c>
      <c r="R18" s="71">
        <v>3495</v>
      </c>
      <c r="S18" s="71">
        <v>5619</v>
      </c>
      <c r="T18" s="71">
        <v>4455</v>
      </c>
      <c r="U18" s="71">
        <v>3635</v>
      </c>
      <c r="V18" s="71">
        <v>-1643</v>
      </c>
      <c r="W18" s="71">
        <v>-597</v>
      </c>
      <c r="X18" s="71">
        <v>493</v>
      </c>
      <c r="Y18" s="109">
        <v>-9902</v>
      </c>
      <c r="Z18" s="71">
        <v>0</v>
      </c>
      <c r="AA18" s="71">
        <v>2506</v>
      </c>
      <c r="AB18" s="71">
        <v>6866</v>
      </c>
      <c r="AC18" s="71">
        <v>6508</v>
      </c>
      <c r="AD18" s="71">
        <v>84.01</v>
      </c>
      <c r="AE18" s="71">
        <v>35.31</v>
      </c>
      <c r="AH18" s="64" ph="1">
        <v>4</v>
      </c>
      <c r="AI18" s="64" t="s" ph="1">
        <v>381</v>
      </c>
      <c r="AJ18" s="64" t="s" ph="1">
        <v>629</v>
      </c>
      <c r="AK18" s="64" t="s" ph="1">
        <v>628</v>
      </c>
      <c r="AL18" s="64" ph="1">
        <v>740</v>
      </c>
      <c r="AM18" s="64" t="s" ph="1">
        <v>380</v>
      </c>
      <c r="AZ18" s="64" t="s" ph="1">
        <v>257</v>
      </c>
      <c r="BA18" s="64" ph="1">
        <v>740</v>
      </c>
    </row>
    <row r="19" spans="1:57" s="72" customFormat="1" ht="22.5" ph="1">
      <c r="B19" s="218" ph="1"/>
      <c r="C19" s="176" t="s" ph="1">
        <v>209</v>
      </c>
      <c r="D19" s="73" ph="1">
        <f>D18*7.0686*LOOKUP(D20,密度!$A$2:$A$50,密度!$L$2:$L$50)</f>
        <v>0</v>
      </c>
      <c r="E19" s="73" ph="1">
        <f>E18*7.0686*LOOKUP(E20,密度!$A$2:$A$50,密度!$L$2:$L$50)</f>
        <v>8125.4758662000004</v>
      </c>
      <c r="F19" s="73" ph="1">
        <f>F18*9.0746*LOOKUP(F20,密度!$A$2:$A$50,密度!$L$2:$L$50)</f>
        <v>32192.778721999995</v>
      </c>
      <c r="G19" s="73" ph="1">
        <f>G18*9.0746*LOOKUP(G20,密度!$A$2:$A$50,密度!$B$2:$B$50)</f>
        <v>26409.198566880001</v>
      </c>
      <c r="H19" s="73" ph="1">
        <f>H18*9.0746*LOOKUP(H20,密度!$A$2:$A$50,密度!$L$2:$L$50)</f>
        <v>24655.170947799998</v>
      </c>
      <c r="I19" s="73" ph="1">
        <f>I18*9.0746*LOOKUP(I20,密度!$A$2:$A$50,密度!$U$2:$U$50)</f>
        <v>74.629510400000001</v>
      </c>
      <c r="J19" s="73" ph="1">
        <f>J18*9.0746*LOOKUP(J20,密度!$A$2:$A$50,密度!$L$2:$L$50)</f>
        <v>230.80337639999999</v>
      </c>
      <c r="K19" s="73" ph="1">
        <f>K18*9.0746*LOOKUP(K20,密度!$A$2:$A$50,密度!$C$2:$C$50)</f>
        <v>7500.2821294799996</v>
      </c>
      <c r="L19" s="73" ph="1">
        <f>L18*9.0746*LOOKUP(L20,密度!$A$2:$A$50,密度!$E$2:$E$50)</f>
        <v>28166.38596168</v>
      </c>
      <c r="M19" s="73" ph="1">
        <f>M18*9.0746*LOOKUP(M20,密度!$A$2:$A$50,密度!$M$2:$M$50)</f>
        <v>7881.7510896799995</v>
      </c>
      <c r="N19" s="73" ph="1">
        <f>N18*9.0746*LOOKUP(N20,密度!$A$2:$A$50,密度!$M$2:$M$50)</f>
        <v>41124.130716240004</v>
      </c>
      <c r="O19" s="73" ph="1">
        <f>O18*9.0746*LOOKUP(O20,密度!$A$2:$A$50,密度!$G$2:$G$50)</f>
        <v>5425.6316506600006</v>
      </c>
      <c r="P19" s="73" ph="1">
        <f ca="1">P18*9.0746*LOOKUP(P20,密度!$A$2:$A$51,密度!$Q$2:$Q$50)</f>
        <v>3221.7325515000002</v>
      </c>
      <c r="Q19" s="73" ph="1">
        <f>Q18*9.0746*LOOKUP(Q20,密度!$A$2:$A$50,密度!$Q$2:$Q$50)</f>
        <v>12732.246843049999</v>
      </c>
      <c r="R19" s="73" ph="1">
        <f>MAX(R18*9.0746*LOOKUP(R20,密度!$A$2:$A$50,密度!$B$2:$B$50),0)</f>
        <v>24839.757386400001</v>
      </c>
      <c r="S19" s="73" ph="1">
        <f>S18*9.0746*LOOKUP(S20,密度!$A$2:$A$50,密度!$Q$2:$Q$50)</f>
        <v>48543.158786574</v>
      </c>
      <c r="T19" s="73" ph="1">
        <f>T18*9.0746*LOOKUP(T20,密度!$A$2:$A$50,密度!$O$2:$O$50)</f>
        <v>37597.42899</v>
      </c>
      <c r="U19" s="73" ph="1">
        <f>U18*9.0746*LOOKUP(U20,密度!$A$2:$A$50,密度!$H$2:$H$50)</f>
        <v>30403.353810700002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188.89791684400006</v>
      </c>
      <c r="X19" s="73" ph="1">
        <f>MAX(5600*LOOKUP(X20,密度!$A$2:$A$50,密度!$I$2:$I$50)+X18*9.0476*LOOKUP(X20,密度!$A$2:$A$50,密度!$I$2:$I$50),0)</f>
        <v>10395.379739771999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17919.8667088</v>
      </c>
      <c r="AB19" s="73" ph="1">
        <f>AB18*9.0746*LOOKUP(AB20,密度!$A$2:$A$50,密度!$L$2:$L$50)</f>
        <v>58754.749994799997</v>
      </c>
      <c r="AC19" s="73" ph="1">
        <f>AC18*9.0746*LOOKUP(AC20,密度!$A$2:$A$50,密度!$L$2:$L$50)</f>
        <v>55868.391972799996</v>
      </c>
      <c r="AD19" s="73" ph="1">
        <f>AD18*268.68*LOOKUP(AD20,密度!$A$2:$A$50,密度!B5:B53)+IF(AD18&lt;=0,0,1566*LOOKUP(AD20,密度!$A$2:$A$50,密度!B5:B53))</f>
        <v>18755.075883600002</v>
      </c>
      <c r="AE19" s="73" ph="1">
        <f>AE18*268.68*LOOKUP(AE20,密度!$A$2:$A$50,密度!B5:B53)+IF(AE18&lt;=0,0,1566*LOOKUP(AE20,密度!$A$2:$A$50,密度!B5:B53))</f>
        <v>8588.2515516000003</v>
      </c>
      <c r="AH19" s="72" ph="1">
        <v>5</v>
      </c>
      <c r="AI19" s="72" t="s" ph="1">
        <v>382</v>
      </c>
      <c r="AZ19" s="72" t="s" ph="1">
        <v>257</v>
      </c>
      <c r="BA19" s="72" ph="1">
        <v>0</v>
      </c>
      <c r="BD19" s="72" t="s" ph="1">
        <v>383</v>
      </c>
      <c r="BE19" s="72" ph="1">
        <v>1440</v>
      </c>
    </row>
    <row r="20" spans="1:57" ph="1">
      <c r="A20" s="72" ph="1"/>
      <c r="B20" s="218" ph="1"/>
      <c r="C20" s="80" t="s" ph="1">
        <v>210</v>
      </c>
      <c r="D20" s="81">
        <v>19</v>
      </c>
      <c r="E20" s="81">
        <v>19</v>
      </c>
      <c r="F20" s="81">
        <v>21</v>
      </c>
      <c r="G20" s="81">
        <v>18</v>
      </c>
      <c r="H20" s="81">
        <v>15</v>
      </c>
      <c r="I20" s="81">
        <v>18</v>
      </c>
      <c r="J20" s="81">
        <v>20</v>
      </c>
      <c r="K20" s="81">
        <v>18</v>
      </c>
      <c r="L20" s="81">
        <v>18</v>
      </c>
      <c r="M20" s="81">
        <v>21</v>
      </c>
      <c r="N20" s="81">
        <v>18</v>
      </c>
      <c r="O20" s="81">
        <v>20</v>
      </c>
      <c r="P20" s="81">
        <v>25</v>
      </c>
      <c r="Q20" s="81">
        <v>19</v>
      </c>
      <c r="R20" s="81">
        <v>21</v>
      </c>
      <c r="S20" s="81">
        <v>18</v>
      </c>
      <c r="T20" s="81">
        <v>20</v>
      </c>
      <c r="U20" s="81">
        <v>18</v>
      </c>
      <c r="V20" s="81">
        <v>19</v>
      </c>
      <c r="W20" s="81">
        <v>19</v>
      </c>
      <c r="X20" s="81">
        <v>33</v>
      </c>
      <c r="Y20" s="110">
        <v>33</v>
      </c>
      <c r="Z20" s="81">
        <v>25</v>
      </c>
      <c r="AA20" s="81">
        <v>15</v>
      </c>
      <c r="AB20" s="81">
        <v>19</v>
      </c>
      <c r="AC20" s="81">
        <v>16</v>
      </c>
      <c r="AD20" s="81">
        <v>25</v>
      </c>
      <c r="AE20" s="81">
        <v>25</v>
      </c>
      <c r="AH20" s="64" ph="1">
        <v>6</v>
      </c>
      <c r="AI20" s="64" t="s" ph="1">
        <v>384</v>
      </c>
      <c r="AZ20" s="64" t="s" ph="1">
        <v>257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385</v>
      </c>
      <c r="AZ21" s="64" t="s" ph="1">
        <v>257</v>
      </c>
      <c r="BA21" s="64" ph="1">
        <v>0</v>
      </c>
      <c r="BD21" s="64" t="s" ph="1">
        <v>273</v>
      </c>
      <c r="BE21" s="64" ph="1">
        <v>730</v>
      </c>
    </row>
    <row r="22" spans="1:57" ph="1">
      <c r="A22" s="72" ph="1"/>
      <c r="B22" s="216" t="s" ph="1">
        <v>37</v>
      </c>
      <c r="C22" s="85" t="s" ph="1">
        <v>207</v>
      </c>
      <c r="D22" s="86" t="s" ph="1">
        <v>103</v>
      </c>
      <c r="E22" s="86" t="s" ph="1">
        <v>104</v>
      </c>
      <c r="F22" s="86" t="s" ph="1">
        <v>105</v>
      </c>
      <c r="G22" s="86" t="s" ph="1">
        <v>106</v>
      </c>
      <c r="H22" s="86" t="s" ph="1">
        <v>107</v>
      </c>
      <c r="I22" s="86" t="s" ph="1">
        <v>108</v>
      </c>
      <c r="J22" s="86" t="s" ph="1">
        <v>109</v>
      </c>
      <c r="K22" s="86" t="s" ph="1">
        <v>110</v>
      </c>
      <c r="L22" s="86" t="s" ph="1">
        <v>111</v>
      </c>
      <c r="M22" s="86" t="s" ph="1">
        <v>112</v>
      </c>
      <c r="N22" s="86" t="s" ph="1">
        <v>113</v>
      </c>
      <c r="O22" s="86" t="s" ph="1">
        <v>114</v>
      </c>
      <c r="P22" s="86" t="s" ph="1">
        <v>115</v>
      </c>
      <c r="Q22" s="87" t="s" ph="1">
        <v>116</v>
      </c>
      <c r="R22" s="86" t="s" ph="1">
        <v>117</v>
      </c>
      <c r="S22" s="86" t="s" ph="1">
        <v>118</v>
      </c>
      <c r="T22" s="86" t="s" ph="1">
        <v>119</v>
      </c>
      <c r="U22" s="86" t="s" ph="1">
        <v>120</v>
      </c>
      <c r="V22" s="86" t="s" ph="1">
        <v>121</v>
      </c>
      <c r="W22" s="86" t="s" ph="1">
        <v>122</v>
      </c>
      <c r="X22" s="86" t="s" ph="1">
        <v>123</v>
      </c>
      <c r="Y22" s="86" t="s" ph="1">
        <v>125</v>
      </c>
      <c r="Z22" s="195" t="s" ph="1">
        <v>79</v>
      </c>
      <c r="AA22" s="196"/>
      <c r="AB22" s="196"/>
      <c r="AC22" s="196"/>
      <c r="AD22" s="196"/>
      <c r="AE22" s="197"/>
      <c r="AH22" s="64" ph="1">
        <v>8</v>
      </c>
      <c r="AI22" s="64" t="s" ph="1">
        <v>386</v>
      </c>
      <c r="AZ22" s="64" t="s" ph="1">
        <v>257</v>
      </c>
      <c r="BA22" s="64" ph="1">
        <v>0</v>
      </c>
    </row>
    <row r="23" spans="1:57" ph="1">
      <c r="A23" s="72" ph="1"/>
      <c r="B23" s="211" ph="1"/>
      <c r="C23" s="67" t="s" ph="1">
        <v>36</v>
      </c>
      <c r="D23" s="88" t="s" ph="1">
        <v>127</v>
      </c>
      <c r="E23" s="88" t="s" ph="1">
        <v>124</v>
      </c>
      <c r="F23" s="88" t="s" ph="1">
        <v>127</v>
      </c>
      <c r="G23" s="88" t="s" ph="1">
        <v>679</v>
      </c>
      <c r="H23" s="88" t="s" ph="1">
        <v>679</v>
      </c>
      <c r="I23" s="88" t="s" ph="1">
        <v>680</v>
      </c>
      <c r="J23" s="88" t="s" ph="1">
        <v>681</v>
      </c>
      <c r="K23" s="88" t="s" ph="1">
        <v>682</v>
      </c>
      <c r="L23" s="88" t="s" ph="1">
        <v>682</v>
      </c>
      <c r="M23" s="88" t="s" ph="1">
        <v>675</v>
      </c>
      <c r="N23" s="88" t="s" ph="1">
        <v>675</v>
      </c>
      <c r="O23" s="88" t="s" ph="1">
        <v>359</v>
      </c>
      <c r="P23" s="88" t="s" ph="1">
        <v>666</v>
      </c>
      <c r="Q23" s="89" t="s" ph="1">
        <v>666</v>
      </c>
      <c r="R23" s="88" t="s" ph="1">
        <v>659</v>
      </c>
      <c r="S23" s="88" t="s" ph="1">
        <v>683</v>
      </c>
      <c r="T23" s="88" t="s" ph="1">
        <v>647</v>
      </c>
      <c r="U23" s="88" t="s" ph="1">
        <v>653</v>
      </c>
      <c r="V23" s="88" t="s" ph="1">
        <v>684</v>
      </c>
      <c r="W23" s="88" t="s" ph="1">
        <v>684</v>
      </c>
      <c r="X23" s="88" t="s" ph="1">
        <v>228</v>
      </c>
      <c r="Y23" s="88" t="s" ph="1">
        <v>686</v>
      </c>
      <c r="Z23" s="198" t="s" ph="1">
        <v>690</v>
      </c>
      <c r="AA23" s="199"/>
      <c r="AB23" s="199"/>
      <c r="AC23" s="199"/>
      <c r="AD23" s="199"/>
      <c r="AE23" s="200"/>
      <c r="AH23" s="64" ph="1">
        <v>9</v>
      </c>
      <c r="AI23" s="64" t="s" ph="1">
        <v>387</v>
      </c>
      <c r="AZ23" s="64" t="s" ph="1">
        <v>257</v>
      </c>
      <c r="BA23" s="64" ph="1">
        <v>0</v>
      </c>
      <c r="BD23" s="64" t="s" ph="1">
        <v>279</v>
      </c>
      <c r="BE23" s="64" ph="1">
        <v>890</v>
      </c>
    </row>
    <row r="24" spans="1:57" ph="1">
      <c r="A24" s="72" ph="1"/>
      <c r="B24" s="207" ph="1">
        <v>0.33333333333333331</v>
      </c>
      <c r="C24" s="176" t="s" ph="1">
        <v>208</v>
      </c>
      <c r="D24" s="71">
        <v>98.51</v>
      </c>
      <c r="E24" s="71">
        <v>95.31</v>
      </c>
      <c r="F24" s="71">
        <v>4014</v>
      </c>
      <c r="G24" s="71">
        <v>3809</v>
      </c>
      <c r="H24" s="71">
        <v>2389</v>
      </c>
      <c r="I24" s="71">
        <v>4177</v>
      </c>
      <c r="J24" s="71">
        <v>3784</v>
      </c>
      <c r="K24" s="71">
        <v>5610</v>
      </c>
      <c r="L24" s="71">
        <v>5583</v>
      </c>
      <c r="M24" s="71">
        <v>4866</v>
      </c>
      <c r="N24" s="71">
        <v>3706</v>
      </c>
      <c r="O24" s="71">
        <v>2061</v>
      </c>
      <c r="P24" s="71">
        <v>2518</v>
      </c>
      <c r="Q24" s="90">
        <v>1179</v>
      </c>
      <c r="R24" s="71">
        <v>6740</v>
      </c>
      <c r="S24" s="71">
        <v>2504</v>
      </c>
      <c r="T24" s="71">
        <v>4</v>
      </c>
      <c r="U24" s="71">
        <v>5897</v>
      </c>
      <c r="V24" s="71">
        <v>420</v>
      </c>
      <c r="W24" s="71">
        <v>11477</v>
      </c>
      <c r="X24" s="71">
        <v>8693</v>
      </c>
      <c r="Y24" s="71">
        <v>123</v>
      </c>
      <c r="Z24" s="201"/>
      <c r="AA24" s="202"/>
      <c r="AB24" s="202"/>
      <c r="AC24" s="202"/>
      <c r="AD24" s="202"/>
      <c r="AE24" s="203"/>
      <c r="AH24" s="64" ph="1">
        <v>10</v>
      </c>
      <c r="AI24" s="64" t="s" ph="1">
        <v>388</v>
      </c>
      <c r="AZ24" s="64" t="s" ph="1">
        <v>257</v>
      </c>
      <c r="BA24" s="64" ph="1">
        <v>0</v>
      </c>
    </row>
    <row r="25" spans="1:57" ph="1">
      <c r="A25" s="72" ph="1"/>
      <c r="B25" s="207" ph="1"/>
      <c r="C25" s="68" t="s" ph="1">
        <v>209</v>
      </c>
      <c r="D25" s="91" ph="1">
        <f>D24*268.68*LOOKUP(D26,密度!$A$2:$A$50,密度!$Q$2:$Q$50)+IF(D24&lt;=0,0,1566*LOOKUP(D26,密度!$A$2:$A$50,密度!$Q$2:$Q$50))</f>
        <v>26540.593706232004</v>
      </c>
      <c r="E25" s="91" ph="1">
        <f>E24*268.68*LOOKUP(E26,密度!$A$2:$A$50,密度!$C$2:$C$50)+IF(E24&lt;=0,0,1566*LOOKUP(E26,密度!$A$2:$A$50,密度!$C$2:$C$50))</f>
        <v>30133.127508120004</v>
      </c>
      <c r="F25" s="91" ph="1">
        <f>F24*11.702*LOOKUP(F26,密度!$A$2:$A$50,密度!$Q$2:$Q$50)</f>
        <v>44717.649974280001</v>
      </c>
      <c r="G25" s="91" ph="1">
        <f>G24*18.322*LOOKUP(G26,密度!$A$2:$A$50,密度!$B$2:$B$50)</f>
        <v>54993.336423999994</v>
      </c>
      <c r="H25" s="91" ph="1">
        <f>H24*18.322*LOOKUP(H26,密度!$A$2:$A$50,密度!$B$2:$B$50)</f>
        <v>34456.7342976</v>
      </c>
      <c r="I25" s="91" ph="1">
        <f>I24*18.322*LOOKUP(I26,密度!$A$2:$A$50,密度!$Q$2:$Q$50)</f>
        <v>72979.955878399996</v>
      </c>
      <c r="J25" s="91" ph="1">
        <f>J24*18.322*LOOKUP(J26,密度!$A$2:$A$50,密度!$Q$2:$Q$50)</f>
        <v>66003.279800479999</v>
      </c>
      <c r="K25" s="91" ph="1">
        <f>K24*18.322*LOOKUP(K26,密度!$A$2:$A$50,密度!$Q$2:$Q$50)</f>
        <v>98017.130111999999</v>
      </c>
      <c r="L25" s="91" ph="1">
        <f>L24*18.322*LOOKUP(L26,密度!$A$2:$A$50,密度!$Q$2:$Q$50)</f>
        <v>97545.389913599996</v>
      </c>
      <c r="M25" s="91" ph="1">
        <f>M24*18.322*LOOKUP(M26,密度!$A$2:$A$50,密度!$Q$2:$Q$50)</f>
        <v>85018.066867200003</v>
      </c>
      <c r="N25" s="91" ph="1">
        <f>N24*18.322*LOOKUP(N26,密度!$A$2:$A$50,密度!$Q$2:$Q$50)</f>
        <v>64750.710195199994</v>
      </c>
      <c r="O25" s="91" ph="1">
        <f>O24*18.322*LOOKUP(O26,密度!$A$2:$A$50,密度!$C$2:$C$50)</f>
        <v>42062.693023799999</v>
      </c>
      <c r="P25" s="91" ph="1">
        <f>P24*11.702*LOOKUP(P26,密度!$A$2:$A$50,密度!$B$2:$B$50)</f>
        <v>23195.348659200001</v>
      </c>
      <c r="Q25" s="92" ph="1">
        <f>Q24*18.322*LOOKUP(Q26,密度!$A$2:$A$50,密度!$B$2:$B$50)</f>
        <v>17004.809433599999</v>
      </c>
      <c r="R25" s="91" ph="1">
        <f>R24*35.891*LOOKUP(R26,密度!$A$2:$A$50,密度!$C$2:$C$50)</f>
        <v>269458.35822599998</v>
      </c>
      <c r="S25" s="91" ph="1">
        <f>S24*35.891*LOOKUP(S26,密度!$A$2:$A$50,密度!$B$2:$B$50)</f>
        <v>70611.694984799993</v>
      </c>
      <c r="T25" s="91" ph="1">
        <f>T24*35.891*LOOKUP(T26,密度!$A$2:$A$50,密度!$Q$2:$Q$50)</f>
        <v>136.90263039999999</v>
      </c>
      <c r="U25" s="91" ph="1">
        <f>U24*35.891</f>
        <v>211649.22699999998</v>
      </c>
      <c r="V25" s="91" ph="1">
        <f>V24*47.051*LOOKUP(V26,密度!$A$2:$A$50,密度!$B$2:$B$50)</f>
        <v>15556.189824000001</v>
      </c>
      <c r="W25" s="91" ph="1">
        <f>W24*47.051*LOOKUP(W26,密度!$A$2:$A$50,密度!$B$2:$B$50)</f>
        <v>425091.40621440002</v>
      </c>
      <c r="X25" s="91" ph="1">
        <f>X24*47.051*LOOKUP(X26,密度!$A$2:$A$50,密度!$I$2:$I$50)</f>
        <v>423591.61418451997</v>
      </c>
      <c r="Y25" s="91" ph="1">
        <f>Y24*47.051*LOOKUP(Y26,密度!$A$2:$A$50,密度!$L$2:$L$50)</f>
        <v>5463.1857119999995</v>
      </c>
      <c r="Z25" s="201"/>
      <c r="AA25" s="202"/>
      <c r="AB25" s="202"/>
      <c r="AC25" s="202"/>
      <c r="AD25" s="202"/>
      <c r="AE25" s="203"/>
      <c r="AH25" s="64" ph="1">
        <v>11</v>
      </c>
      <c r="AI25" s="64" t="s" ph="1">
        <v>389</v>
      </c>
      <c r="AZ25" s="64" t="s" ph="1">
        <v>257</v>
      </c>
      <c r="BA25" s="64" ph="1">
        <v>0</v>
      </c>
      <c r="BD25" s="64" t="s" ph="1">
        <v>282</v>
      </c>
      <c r="BE25" s="64" ph="1">
        <v>8920</v>
      </c>
    </row>
    <row r="26" spans="1:57" ph="1">
      <c r="A26" s="72" ph="1"/>
      <c r="B26" s="207" ph="1"/>
      <c r="C26" s="68" t="s" ph="1">
        <v>210</v>
      </c>
      <c r="D26" s="74">
        <v>25</v>
      </c>
      <c r="E26" s="74">
        <v>25</v>
      </c>
      <c r="F26" s="74">
        <v>18</v>
      </c>
      <c r="G26" s="74">
        <v>15</v>
      </c>
      <c r="H26" s="74">
        <v>16</v>
      </c>
      <c r="I26" s="74">
        <v>16</v>
      </c>
      <c r="J26" s="74">
        <v>18</v>
      </c>
      <c r="K26" s="74">
        <v>16</v>
      </c>
      <c r="L26" s="74">
        <v>16</v>
      </c>
      <c r="M26" s="74">
        <v>16</v>
      </c>
      <c r="N26" s="74">
        <v>16</v>
      </c>
      <c r="O26" s="74">
        <v>18</v>
      </c>
      <c r="P26" s="74">
        <v>16</v>
      </c>
      <c r="Q26" s="93">
        <v>16</v>
      </c>
      <c r="R26" s="74">
        <v>18</v>
      </c>
      <c r="S26" s="74">
        <v>18</v>
      </c>
      <c r="T26" s="74">
        <v>16</v>
      </c>
      <c r="U26" s="74">
        <v>16</v>
      </c>
      <c r="V26" s="74">
        <v>16</v>
      </c>
      <c r="W26" s="74">
        <v>16</v>
      </c>
      <c r="X26" s="74">
        <v>52</v>
      </c>
      <c r="Y26" s="74">
        <v>18</v>
      </c>
      <c r="Z26" s="201"/>
      <c r="AA26" s="202"/>
      <c r="AB26" s="202"/>
      <c r="AC26" s="202"/>
      <c r="AD26" s="202"/>
      <c r="AE26" s="203"/>
      <c r="AH26" s="64" ph="1">
        <v>12</v>
      </c>
      <c r="AI26" s="64" t="s" ph="1">
        <v>390</v>
      </c>
      <c r="AZ26" s="64" t="s" ph="1">
        <v>257</v>
      </c>
      <c r="BA26" s="64" ph="1">
        <v>0</v>
      </c>
    </row>
    <row r="27" spans="1:57" ph="1">
      <c r="A27" s="72" ph="1"/>
      <c r="B27" s="207" ph="1">
        <v>0.66666666666666663</v>
      </c>
      <c r="C27" s="176" t="s" ph="1">
        <v>211</v>
      </c>
      <c r="D27" s="71">
        <v>98.61</v>
      </c>
      <c r="E27" s="71">
        <v>95.31</v>
      </c>
      <c r="F27" s="71">
        <v>4018</v>
      </c>
      <c r="G27" s="71">
        <v>3221</v>
      </c>
      <c r="H27" s="71">
        <v>1959</v>
      </c>
      <c r="I27" s="71">
        <v>4178</v>
      </c>
      <c r="J27" s="71">
        <v>3783</v>
      </c>
      <c r="K27" s="71">
        <v>5611</v>
      </c>
      <c r="L27" s="71">
        <v>5581</v>
      </c>
      <c r="M27" s="71">
        <v>4866</v>
      </c>
      <c r="N27" s="71">
        <v>3703</v>
      </c>
      <c r="O27" s="71">
        <v>2058</v>
      </c>
      <c r="P27" s="71">
        <v>2519</v>
      </c>
      <c r="Q27" s="90">
        <v>1035</v>
      </c>
      <c r="R27" s="71">
        <v>6738</v>
      </c>
      <c r="S27" s="71">
        <v>2502</v>
      </c>
      <c r="T27" s="71">
        <v>0</v>
      </c>
      <c r="U27" s="71">
        <v>5920</v>
      </c>
      <c r="V27" s="71">
        <v>413</v>
      </c>
      <c r="W27" s="71">
        <v>11480</v>
      </c>
      <c r="X27" s="71">
        <v>9305</v>
      </c>
      <c r="Y27" s="71">
        <v>913</v>
      </c>
      <c r="Z27" s="201"/>
      <c r="AA27" s="202"/>
      <c r="AB27" s="202"/>
      <c r="AC27" s="202"/>
      <c r="AD27" s="202"/>
      <c r="AE27" s="203"/>
      <c r="AH27" s="64" ph="1">
        <v>13</v>
      </c>
      <c r="AI27" s="64" t="s" ph="1">
        <v>391</v>
      </c>
      <c r="AZ27" s="64" t="s" ph="1">
        <v>257</v>
      </c>
      <c r="BA27" s="64" ph="1">
        <v>0</v>
      </c>
      <c r="BD27" s="64" t="s" ph="1">
        <v>336</v>
      </c>
      <c r="BE27" s="64" ph="1">
        <v>7100</v>
      </c>
    </row>
    <row r="28" spans="1:57" ph="1">
      <c r="A28" s="72" ph="1"/>
      <c r="B28" s="207" ph="1"/>
      <c r="C28" s="176" t="s" ph="1">
        <v>209</v>
      </c>
      <c r="D28" s="91" ph="1">
        <f>D27*268.68*LOOKUP(D29,密度!$A$2:$A$50,密度!$Q$2:$Q$50)+IF(D27&lt;=0,0,1566*LOOKUP(D29,密度!$A$2:$A$50,密度!$Q$2:$Q$50))</f>
        <v>26566.030716552003</v>
      </c>
      <c r="E28" s="91" ph="1">
        <f>E27*268.68*LOOKUP(E29,密度!$A$2:$A$50,密度!$C$2:$C$50)+IF(E27&lt;=0,0,1566*LOOKUP(E29,密度!$A$2:$A$50,密度!$C$2:$C$50))</f>
        <v>30133.127508120004</v>
      </c>
      <c r="F28" s="91" ph="1">
        <f>F27*11.702*LOOKUP(F29,密度!$A$2:$A$50,密度!$Q$2:$Q$50)</f>
        <v>44799.356380799996</v>
      </c>
      <c r="G28" s="91" ph="1">
        <f>G27*18.322*LOOKUP(G29,密度!$A$2:$A$50,密度!$B$2:$B$50)</f>
        <v>46368.212783399991</v>
      </c>
      <c r="H28" s="91" ph="1">
        <f>H27*18.322*LOOKUP(H29,密度!$A$2:$A$50,密度!$B$2:$B$50)</f>
        <v>28200.971388599995</v>
      </c>
      <c r="I28" s="91" ph="1">
        <f>I27*18.322*LOOKUP(I29,密度!$A$2:$A$50,密度!$Q$2:$Q$50)</f>
        <v>72875.714325159992</v>
      </c>
      <c r="J28" s="91" ph="1">
        <f>J27*18.322*LOOKUP(J29,密度!$A$2:$A$50,密度!$Q$2:$Q$50)</f>
        <v>65872.85830788</v>
      </c>
      <c r="K28" s="91" ph="1">
        <f>K27*18.322*LOOKUP(K29,密度!$A$2:$A$50,密度!$Q$2:$Q$50)</f>
        <v>97871.142431419998</v>
      </c>
      <c r="L28" s="91" ph="1">
        <f>L27*18.322*LOOKUP(L29,密度!$A$2:$A$50,密度!$Q$2:$Q$50)</f>
        <v>97347.860614819991</v>
      </c>
      <c r="M28" s="91" ph="1">
        <f>M27*18.322*LOOKUP(M29,密度!$A$2:$A$50,密度!$Q$2:$Q$50)</f>
        <v>84806.76986796</v>
      </c>
      <c r="N28" s="91" ph="1">
        <f>N27*18.322*LOOKUP(N29,密度!$A$2:$A$50,密度!$Q$2:$Q$50)</f>
        <v>64590.418895659997</v>
      </c>
      <c r="O28" s="91" ph="1">
        <f>O27*18.322*LOOKUP(O29,密度!$A$2:$A$50,密度!$C$2:$C$50)</f>
        <v>42001.466396399992</v>
      </c>
      <c r="P28" s="91" ph="1">
        <f>P27*11.702*LOOKUP(P29,密度!$A$2:$A$50,密度!$B$2:$B$50)</f>
        <v>23160.3444666</v>
      </c>
      <c r="Q28" s="92" ph="1">
        <f>Q27*18.322*LOOKUP(Q29,密度!$A$2:$A$50,密度!$B$2:$B$50)</f>
        <v>14912.715528000001</v>
      </c>
      <c r="R28" s="91" ph="1">
        <f>R27*35.891*LOOKUP(R29,密度!$A$2:$A$50,密度!$C$2:$C$50)</f>
        <v>269523.50039100001</v>
      </c>
      <c r="S28" s="91" ph="1">
        <f>S27*35.891*LOOKUP(S29,密度!$A$2:$A$50,密度!$B$2:$B$50)</f>
        <v>70555.295867399996</v>
      </c>
      <c r="T28" s="91" ph="1">
        <f>T27*35.891*LOOKUP(T29,密度!$A$2:$A$50,密度!$Q$2:$Q$50)</f>
        <v>0</v>
      </c>
      <c r="U28" s="91" ph="1">
        <f>U27*35.891</f>
        <v>212474.72</v>
      </c>
      <c r="V28" s="91" ph="1">
        <f>V27*47.051*LOOKUP(V29,密度!$A$2:$A$50,密度!$B$2:$B$50)</f>
        <v>15252.226248700003</v>
      </c>
      <c r="W28" s="91" ph="1">
        <f>W27*47.051*LOOKUP(W29,密度!$A$2:$A$50,密度!$B$2:$B$50)</f>
        <v>424392.30363599997</v>
      </c>
      <c r="X28" s="91" ph="1">
        <f>X27*47.051*LOOKUP(X29,密度!$A$2:$A$50,密度!$I$2:$I$50)</f>
        <v>451915.77886209998</v>
      </c>
      <c r="Y28" s="91" ph="1">
        <f>Y27*47.051*LOOKUP(Y29,密度!$A$2:$A$50,密度!$L$2:$L$50)</f>
        <v>40551.939471999998</v>
      </c>
      <c r="Z28" s="201"/>
      <c r="AA28" s="202"/>
      <c r="AB28" s="202"/>
      <c r="AC28" s="202"/>
      <c r="AD28" s="202"/>
      <c r="AE28" s="203"/>
      <c r="AH28" s="64" ph="1">
        <v>14</v>
      </c>
      <c r="AI28" s="64" t="s" ph="1">
        <v>392</v>
      </c>
      <c r="AZ28" s="64" t="s" ph="1">
        <v>257</v>
      </c>
      <c r="BA28" s="64" ph="1">
        <v>0</v>
      </c>
    </row>
    <row r="29" spans="1:57" ph="1">
      <c r="A29" s="72" ph="1"/>
      <c r="B29" s="207" ph="1"/>
      <c r="C29" s="176" t="s" ph="1">
        <v>210</v>
      </c>
      <c r="D29" s="74">
        <v>25</v>
      </c>
      <c r="E29" s="74">
        <v>25</v>
      </c>
      <c r="F29" s="74">
        <v>17</v>
      </c>
      <c r="G29" s="74">
        <v>18</v>
      </c>
      <c r="H29" s="74">
        <v>18</v>
      </c>
      <c r="I29" s="74">
        <v>18</v>
      </c>
      <c r="J29" s="74">
        <v>20</v>
      </c>
      <c r="K29" s="74">
        <v>18</v>
      </c>
      <c r="L29" s="74">
        <v>18</v>
      </c>
      <c r="M29" s="74">
        <v>19</v>
      </c>
      <c r="N29" s="74">
        <v>18</v>
      </c>
      <c r="O29" s="74">
        <v>18</v>
      </c>
      <c r="P29" s="74">
        <v>18</v>
      </c>
      <c r="Q29" s="93">
        <v>17</v>
      </c>
      <c r="R29" s="74">
        <v>17</v>
      </c>
      <c r="S29" s="74">
        <v>18</v>
      </c>
      <c r="T29" s="74">
        <v>18</v>
      </c>
      <c r="U29" s="74">
        <v>18</v>
      </c>
      <c r="V29" s="74">
        <v>19</v>
      </c>
      <c r="W29" s="74">
        <v>18</v>
      </c>
      <c r="X29" s="74">
        <v>46</v>
      </c>
      <c r="Y29" s="74">
        <v>18</v>
      </c>
      <c r="Z29" s="204"/>
      <c r="AA29" s="205"/>
      <c r="AB29" s="205"/>
      <c r="AC29" s="205"/>
      <c r="AD29" s="205"/>
      <c r="AE29" s="206"/>
      <c r="AH29" s="64" ph="1">
        <v>15</v>
      </c>
      <c r="AI29" s="64" t="s" ph="1">
        <v>393</v>
      </c>
      <c r="AZ29" s="64" t="s" ph="1">
        <v>257</v>
      </c>
      <c r="BA29" s="64" ph="1">
        <v>0</v>
      </c>
      <c r="BD29" s="64" t="s" ph="1">
        <v>394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395</v>
      </c>
      <c r="AZ30" s="64" t="s" ph="1">
        <v>257</v>
      </c>
      <c r="BA30" s="64" ph="1">
        <v>0</v>
      </c>
    </row>
    <row r="31" spans="1:57" ht="28.5" ph="1">
      <c r="A31" s="64"/>
      <c r="B31" s="220" t="s" ph="1">
        <v>35</v>
      </c>
      <c r="C31" s="221" ph="1"/>
      <c r="D31" s="224" t="s" ph="1">
        <v>9</v>
      </c>
      <c r="E31" s="213" ph="1"/>
      <c r="F31" s="214" ph="1"/>
      <c r="G31" s="224" t="s" ph="1">
        <v>18</v>
      </c>
      <c r="H31" s="213" ph="1"/>
      <c r="I31" s="214" ph="1"/>
      <c r="J31" s="212" t="s" ph="1">
        <v>1</v>
      </c>
      <c r="K31" s="213" ph="1"/>
      <c r="L31" s="214" ph="1"/>
      <c r="M31" s="212" t="s" ph="1">
        <v>7</v>
      </c>
      <c r="N31" s="213" ph="1"/>
      <c r="O31" s="214" ph="1"/>
      <c r="P31" s="212" t="s" ph="1">
        <v>42</v>
      </c>
      <c r="Q31" s="213"/>
      <c r="R31" s="214"/>
      <c r="S31" s="212" t="s" ph="1">
        <v>2</v>
      </c>
      <c r="T31" s="213"/>
      <c r="U31" s="214"/>
      <c r="V31" s="212" t="s" ph="1">
        <v>81</v>
      </c>
      <c r="W31" s="213" ph="1"/>
      <c r="X31" s="214" ph="1"/>
      <c r="Y31" s="212" t="s" ph="1">
        <v>3</v>
      </c>
      <c r="Z31" s="213" ph="1"/>
      <c r="AA31" s="214" ph="1"/>
      <c r="AB31" s="235" t="s">
        <v>43</v>
      </c>
      <c r="AC31" s="236"/>
      <c r="AD31" s="236"/>
      <c r="AE31" s="237"/>
      <c r="AH31" s="64" ph="1">
        <v>17</v>
      </c>
      <c r="AI31" s="64" t="s" ph="1">
        <v>396</v>
      </c>
      <c r="AZ31" s="64" t="s" ph="1">
        <v>257</v>
      </c>
      <c r="BA31" s="64" ph="1">
        <v>0</v>
      </c>
      <c r="BD31" s="64" t="s" ph="1">
        <v>397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76" t="s" ph="1">
        <v>5</v>
      </c>
      <c r="F32" s="175" t="s" ph="1">
        <v>44</v>
      </c>
      <c r="G32" s="97" t="s" ph="1">
        <v>4</v>
      </c>
      <c r="H32" s="176" t="s" ph="1">
        <v>5</v>
      </c>
      <c r="I32" s="175" t="s" ph="1">
        <v>44</v>
      </c>
      <c r="J32" s="97" t="s" ph="1">
        <v>4</v>
      </c>
      <c r="K32" s="176" t="s" ph="1">
        <v>5</v>
      </c>
      <c r="L32" s="175" t="s" ph="1">
        <v>44</v>
      </c>
      <c r="M32" s="97" t="s" ph="1">
        <v>4</v>
      </c>
      <c r="N32" s="176" t="s" ph="1">
        <v>5</v>
      </c>
      <c r="O32" s="175" t="s" ph="1">
        <v>44</v>
      </c>
      <c r="P32" s="97" t="s" ph="1">
        <v>4</v>
      </c>
      <c r="Q32" s="98" t="s" ph="1">
        <v>5</v>
      </c>
      <c r="R32" s="99" t="s" ph="1">
        <v>44</v>
      </c>
      <c r="S32" s="97" t="s" ph="1">
        <v>4</v>
      </c>
      <c r="T32" s="176" t="s" ph="1">
        <v>5</v>
      </c>
      <c r="U32" s="99" t="s" ph="1">
        <v>44</v>
      </c>
      <c r="V32" s="97" t="s" ph="1">
        <v>4</v>
      </c>
      <c r="W32" s="176" t="s" ph="1">
        <v>5</v>
      </c>
      <c r="X32" s="99" t="s" ph="1">
        <v>44</v>
      </c>
      <c r="Y32" s="100" t="s" ph="1">
        <v>4</v>
      </c>
      <c r="Z32" s="176" t="s" ph="1">
        <v>5</v>
      </c>
      <c r="AA32" s="175" t="s" ph="1">
        <v>44</v>
      </c>
      <c r="AB32" s="97" t="s" ph="1">
        <v>102</v>
      </c>
      <c r="AC32" s="176" t="s" ph="1">
        <v>101</v>
      </c>
      <c r="AD32" s="238" t="s" ph="1">
        <v>100</v>
      </c>
      <c r="AE32" s="239"/>
      <c r="AH32" s="64" ph="1">
        <v>18</v>
      </c>
      <c r="AI32" s="64" t="s" ph="1">
        <v>398</v>
      </c>
      <c r="AZ32" s="64" t="s" ph="1">
        <v>257</v>
      </c>
      <c r="BA32" s="64" ph="1">
        <v>0</v>
      </c>
    </row>
    <row r="33" spans="1:57" ph="1">
      <c r="A33" s="64"/>
      <c r="B33" s="225" t="s" ph="1">
        <v>212</v>
      </c>
      <c r="C33" s="226" ph="1"/>
      <c r="D33" s="229" ph="1">
        <f>AA10+AB10+Z19</f>
        <v>109643.79830960001</v>
      </c>
      <c r="E33" s="229" ph="1">
        <f>M10+I10</f>
        <v>163472.48180959999</v>
      </c>
      <c r="F33" s="23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1522252632456786910111213141516171819202123456789101112131415161718192022232424356789101112131415161718192021222345678910111213141516171819202345678910111213149101516171819222123234567891012131415161711181920212224252345678910111213124[[#This Row],[F25]]</f>
        <v>3880</v>
      </c>
      <c r="G33" s="233" ph="1">
        <v>0</v>
      </c>
      <c r="H33" s="229" ph="1">
        <f>N19</f>
        <v>41124.130716240004</v>
      </c>
      <c r="I33" s="242" ph="1">
        <v>0</v>
      </c>
      <c r="J33" s="240" ph="1">
        <f>F10+O28</f>
        <v>203823.48271499999</v>
      </c>
      <c r="K33" s="229" ph="1">
        <f>O10+K10+E28+R28</f>
        <v>446365.63059111999</v>
      </c>
      <c r="L33" s="244" ph="1">
        <f>BE27</f>
        <v>7100</v>
      </c>
      <c r="M33" s="240" ph="1">
        <f>G10+H10+W28+S28</f>
        <v>901181.75739139994</v>
      </c>
      <c r="N33" s="229" ph="1">
        <f>L10+P10++G28+H28+V28</f>
        <v>249569.7834057</v>
      </c>
      <c r="O33" s="242" ph="1">
        <f>BE17</f>
        <v>2270</v>
      </c>
      <c r="P33" s="240" ph="1">
        <f>L19</f>
        <v>28166.38596168</v>
      </c>
      <c r="Q33" s="229" ph="1">
        <f>J10+N10</f>
        <v>125864.12474659999</v>
      </c>
      <c r="R33" s="242" ph="1">
        <f>BE23</f>
        <v>890</v>
      </c>
      <c r="S33" s="240" ph="1">
        <f>E10+X28</f>
        <v>451915.77886209998</v>
      </c>
      <c r="T33" s="229" ph="1">
        <f>X19</f>
        <v>10395.379739771999</v>
      </c>
      <c r="U33" s="250" ph="1">
        <f>BE21</f>
        <v>730</v>
      </c>
      <c r="V33" s="261" ph="1">
        <f ca="1">P19+Q19+S19+M28+N28+J28</f>
        <v>279767.18525262398</v>
      </c>
      <c r="W33" s="261" ph="1">
        <f>D28+F28+V19+T28</f>
        <v>71365.387097351995</v>
      </c>
      <c r="X33" s="242" ph="1">
        <f>BE29+BE31</f>
        <v>10200</v>
      </c>
      <c r="Y33" s="263" ph="1">
        <f>+Q10+R10+S10+T10+U10+V10+W10+X10+Y10</f>
        <v>144547.250463</v>
      </c>
      <c r="Z33" s="248" ph="1">
        <f>D10+T19+U19+Y28+Z10</f>
        <v>320384.87273345003</v>
      </c>
      <c r="AA33" s="250" ph="1">
        <f>BE19</f>
        <v>1440</v>
      </c>
      <c r="AB33" s="252" ph="1">
        <f>I19</f>
        <v>74.629510400000001</v>
      </c>
      <c r="AC33" s="254" ph="1">
        <f>AD10</f>
        <v>4651.651708800001</v>
      </c>
      <c r="AD33" s="256" ph="1">
        <v>0</v>
      </c>
      <c r="AE33" s="257"/>
      <c r="AH33" s="64" ph="1">
        <v>19</v>
      </c>
      <c r="AI33" s="64" t="s" ph="1">
        <v>399</v>
      </c>
      <c r="AJ33" s="64" t="s" ph="1">
        <v>633</v>
      </c>
      <c r="AK33" s="64" t="s" ph="1">
        <v>630</v>
      </c>
      <c r="AL33" s="64" ph="1">
        <v>730</v>
      </c>
      <c r="AM33" s="64" t="s" ph="1">
        <v>380</v>
      </c>
      <c r="AZ33" s="64" t="s" ph="1">
        <v>257</v>
      </c>
      <c r="BA33" s="64" ph="1">
        <v>730</v>
      </c>
      <c r="BD33" s="64" t="s" ph="1">
        <v>331</v>
      </c>
      <c r="BE33" s="64" ph="1">
        <v>3880</v>
      </c>
    </row>
    <row r="34" spans="1:57" ph="1">
      <c r="A34" s="64"/>
      <c r="B34" s="227" ph="1"/>
      <c r="C34" s="228" ph="1"/>
      <c r="D34" s="230" ph="1"/>
      <c r="E34" s="230" ph="1"/>
      <c r="F34" s="232" ph="1"/>
      <c r="G34" s="234" ph="1"/>
      <c r="H34" s="230" ph="1"/>
      <c r="I34" s="243" ph="1"/>
      <c r="J34" s="241" ph="1"/>
      <c r="K34" s="230" ph="1"/>
      <c r="L34" s="245" ph="1"/>
      <c r="M34" s="241" ph="1"/>
      <c r="N34" s="230" ph="1"/>
      <c r="O34" s="243" ph="1"/>
      <c r="P34" s="241" ph="1"/>
      <c r="Q34" s="230" ph="1"/>
      <c r="R34" s="243" ph="1"/>
      <c r="S34" s="241" ph="1"/>
      <c r="T34" s="230"/>
      <c r="U34" s="251"/>
      <c r="V34" s="262" ph="1"/>
      <c r="W34" s="262" ph="1"/>
      <c r="X34" s="243" ph="1"/>
      <c r="Y34" s="264" ph="1"/>
      <c r="Z34" s="249" ph="1"/>
      <c r="AA34" s="251" ph="1"/>
      <c r="AB34" s="253"/>
      <c r="AC34" s="255"/>
      <c r="AD34" s="258"/>
      <c r="AE34" s="259"/>
      <c r="AH34" s="64" ph="1">
        <v>20</v>
      </c>
      <c r="AI34" s="64" t="s" ph="1">
        <v>400</v>
      </c>
      <c r="AJ34" s="64" t="s" ph="1">
        <v>634</v>
      </c>
      <c r="AK34" s="64" t="s" ph="1">
        <v>630</v>
      </c>
      <c r="AL34" s="64" ph="1">
        <v>720</v>
      </c>
      <c r="AM34" s="64" t="s" ph="1">
        <v>380</v>
      </c>
      <c r="AZ34" s="64" t="s" ph="1">
        <v>257</v>
      </c>
      <c r="BA34" s="64" ph="1">
        <v>720</v>
      </c>
    </row>
    <row r="35" spans="1:57" ph="1">
      <c r="A35" s="64"/>
      <c r="AC35" s="260" t="s" ph="1">
        <v>84</v>
      </c>
      <c r="AD35" s="260"/>
      <c r="AE35" s="260"/>
      <c r="AH35" s="64" ph="1">
        <v>21</v>
      </c>
      <c r="AI35" s="64" t="s" ph="1">
        <v>401</v>
      </c>
      <c r="AZ35" s="64" t="s" ph="1">
        <v>257</v>
      </c>
      <c r="BA35" s="64" ph="1">
        <v>0</v>
      </c>
      <c r="BD35" s="64" t="s" ph="1">
        <v>402</v>
      </c>
      <c r="BE35" s="64" ph="1">
        <v>2030</v>
      </c>
    </row>
    <row r="36" spans="1:57" ht="28.5" ph="1">
      <c r="A36" s="64"/>
      <c r="B36" s="103" t="s" ph="1">
        <v>213</v>
      </c>
      <c r="I36" s="246" t="s" ph="1">
        <v>214</v>
      </c>
      <c r="J36" s="246" ph="1"/>
      <c r="K36" s="101" ph="1"/>
      <c r="P36" s="101" ph="1"/>
      <c r="R36" s="246" t="s" ph="1">
        <v>215</v>
      </c>
      <c r="S36" s="246" ph="1"/>
      <c r="Y36" s="102" ph="1"/>
      <c r="Z36" s="174" t="s" ph="1">
        <v>216</v>
      </c>
      <c r="AA36" s="174" ph="1"/>
      <c r="AB36" s="247" t="s" ph="1">
        <v>655</v>
      </c>
      <c r="AC36" s="247" ph="1"/>
      <c r="AD36" s="247" ph="1"/>
      <c r="AE36" s="247" ph="1"/>
      <c r="BA36" s="64" ph="1">
        <v>2270</v>
      </c>
    </row>
    <row r="37" spans="1:57" s="17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74" t="s" ph="1">
        <v>383</v>
      </c>
      <c r="AI37" s="174" t="s" ph="1">
        <v>250</v>
      </c>
      <c r="AJ37" s="174" t="s" ph="1">
        <v>251</v>
      </c>
      <c r="AK37" s="174" t="s" ph="1">
        <v>252</v>
      </c>
      <c r="AM37" s="174" t="s" ph="1">
        <v>251</v>
      </c>
      <c r="AN37" s="174" t="s" ph="1">
        <v>252</v>
      </c>
      <c r="AO37" s="174" t="s" ph="1">
        <v>253</v>
      </c>
      <c r="AP37" s="174" t="s" ph="1">
        <v>251</v>
      </c>
      <c r="AQ37" s="174" t="s" ph="1">
        <v>252</v>
      </c>
      <c r="AR37" s="174" t="s" ph="1">
        <v>253</v>
      </c>
      <c r="AS37" s="174" t="s" ph="1">
        <v>251</v>
      </c>
      <c r="AT37" s="174" t="s" ph="1">
        <v>252</v>
      </c>
      <c r="AU37" s="174" t="s" ph="1">
        <v>253</v>
      </c>
      <c r="AV37" s="174" t="s" ph="1">
        <v>251</v>
      </c>
      <c r="AW37" s="174" t="s" ph="1">
        <v>252</v>
      </c>
      <c r="AX37" s="174" t="s" ph="1">
        <v>253</v>
      </c>
      <c r="AY37" s="174" t="s" ph="1">
        <v>252</v>
      </c>
      <c r="AZ37" s="174" t="s" ph="1">
        <v>254</v>
      </c>
      <c r="BD37" s="174" t="s" ph="1">
        <v>346</v>
      </c>
      <c r="BE37" s="174" ph="1">
        <v>0</v>
      </c>
    </row>
    <row r="38" spans="1:57" ph="1">
      <c r="AE38" s="64" ph="1"/>
      <c r="AH38" s="64" ph="1">
        <v>1</v>
      </c>
      <c r="AI38" s="64" t="s" ph="1">
        <v>403</v>
      </c>
      <c r="AY38" s="64" t="s" ph="1">
        <v>257</v>
      </c>
      <c r="AZ38" s="64" t="s" ph="1">
        <v>408</v>
      </c>
    </row>
    <row r="39" spans="1:57" ph="1">
      <c r="AH39" s="64" ph="1">
        <v>2</v>
      </c>
      <c r="AI39" s="64" t="s" ph="1">
        <v>405</v>
      </c>
      <c r="AJ39" s="64" t="s" ph="1">
        <v>377</v>
      </c>
      <c r="AK39" s="64" t="s" ph="1">
        <v>406</v>
      </c>
      <c r="AM39" s="64" t="s" ph="1">
        <v>611</v>
      </c>
      <c r="AN39" s="64" t="s" ph="1">
        <v>269</v>
      </c>
      <c r="AO39" s="64" t="s" ph="1">
        <v>404</v>
      </c>
      <c r="AY39" s="64" t="s" ph="1">
        <v>257</v>
      </c>
      <c r="AZ39" s="64" t="s" ph="1">
        <v>540</v>
      </c>
    </row>
    <row r="40" spans="1:57" ph="1">
      <c r="AH40" s="64" ph="1">
        <v>3</v>
      </c>
      <c r="AI40" s="64" t="s" ph="1">
        <v>407</v>
      </c>
      <c r="AJ40" s="64" t="s" ph="1">
        <v>611</v>
      </c>
      <c r="AK40" s="64" t="s" ph="1">
        <v>612</v>
      </c>
      <c r="AY40" s="64" t="s" ph="1">
        <v>257</v>
      </c>
      <c r="AZ40" s="64" t="s" ph="1">
        <v>612</v>
      </c>
    </row>
    <row r="41" spans="1:57" ph="1">
      <c r="AH41" s="64" ph="1">
        <v>4</v>
      </c>
      <c r="AI41" s="64" t="s" ph="1">
        <v>409</v>
      </c>
      <c r="AJ41" s="64" t="s" ph="1">
        <v>613</v>
      </c>
      <c r="AK41" s="64" t="s" ph="1">
        <v>614</v>
      </c>
      <c r="AM41" s="64" t="s" ph="1">
        <v>615</v>
      </c>
      <c r="AY41" s="64" t="s" ph="1">
        <v>257</v>
      </c>
      <c r="AZ41" s="64" t="s" ph="1">
        <v>614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410</v>
      </c>
      <c r="AY42" s="64" t="s" ph="1">
        <v>257</v>
      </c>
      <c r="AZ42" s="64" t="s" ph="1">
        <v>408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411</v>
      </c>
      <c r="AY43" s="64" t="s" ph="1">
        <v>257</v>
      </c>
      <c r="AZ43" s="64" t="s" ph="1">
        <v>408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412</v>
      </c>
      <c r="AV44" s="64" t="s" ph="1">
        <v>258</v>
      </c>
      <c r="AY44" s="64" t="s" ph="1">
        <v>257</v>
      </c>
      <c r="AZ44" s="64" t="s" ph="1">
        <v>408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413</v>
      </c>
      <c r="AV45" s="64" t="s" ph="1">
        <v>258</v>
      </c>
      <c r="AY45" s="64" t="s" ph="1">
        <v>257</v>
      </c>
      <c r="AZ45" s="64" t="s" ph="1">
        <v>408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414</v>
      </c>
      <c r="AV46" s="64" t="s" ph="1">
        <v>258</v>
      </c>
      <c r="AY46" s="64" t="s" ph="1">
        <v>257</v>
      </c>
      <c r="AZ46" s="64" t="s" ph="1">
        <v>408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415</v>
      </c>
      <c r="AV47" s="64" t="s" ph="1">
        <v>258</v>
      </c>
      <c r="AY47" s="64" t="s" ph="1">
        <v>257</v>
      </c>
      <c r="AZ47" s="64" t="s" ph="1">
        <v>408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616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273</v>
      </c>
      <c r="AI49" s="64" t="s" ph="1">
        <v>250</v>
      </c>
      <c r="AJ49" s="64" t="s" ph="1">
        <v>251</v>
      </c>
      <c r="AK49" s="64" t="s" ph="1">
        <v>252</v>
      </c>
      <c r="AM49" s="64" t="s" ph="1">
        <v>251</v>
      </c>
      <c r="AN49" s="64" t="s" ph="1">
        <v>252</v>
      </c>
      <c r="AO49" s="64" t="s" ph="1">
        <v>253</v>
      </c>
      <c r="AP49" s="64" t="s" ph="1">
        <v>251</v>
      </c>
      <c r="AQ49" s="64" t="s" ph="1">
        <v>252</v>
      </c>
      <c r="AR49" s="64" t="s" ph="1">
        <v>253</v>
      </c>
      <c r="AS49" s="64" t="s" ph="1">
        <v>251</v>
      </c>
      <c r="AT49" s="64" t="s" ph="1">
        <v>252</v>
      </c>
      <c r="AU49" s="64" t="s" ph="1">
        <v>253</v>
      </c>
      <c r="AV49" s="64" t="s" ph="1">
        <v>251</v>
      </c>
      <c r="AW49" s="64" t="s" ph="1">
        <v>252</v>
      </c>
      <c r="AX49" s="64" t="s" ph="1">
        <v>253</v>
      </c>
      <c r="AY49" s="64" t="s" ph="1">
        <v>252</v>
      </c>
      <c r="AZ49" s="64" t="s" ph="1">
        <v>254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416</v>
      </c>
      <c r="AY50" s="64" t="s" ph="1">
        <v>257</v>
      </c>
      <c r="AZ50" s="64" t="s" ph="1">
        <v>408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417</v>
      </c>
      <c r="AY51" s="64" t="s" ph="1">
        <v>257</v>
      </c>
      <c r="AZ51" s="64" t="s" ph="1">
        <v>408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418</v>
      </c>
      <c r="AJ52" s="64" t="s" ph="1">
        <v>375</v>
      </c>
      <c r="AK52" s="64" t="s" ph="1">
        <v>269</v>
      </c>
      <c r="AM52" s="64" t="s" ph="1">
        <v>377</v>
      </c>
      <c r="AN52" s="64" t="s" ph="1">
        <v>341</v>
      </c>
      <c r="AO52" s="64" t="s" ph="1">
        <v>274</v>
      </c>
      <c r="AP52" s="64" t="s" ph="1">
        <v>611</v>
      </c>
      <c r="AQ52" s="64" t="s" ph="1">
        <v>323</v>
      </c>
      <c r="AR52" s="64" t="s" ph="1">
        <v>274</v>
      </c>
      <c r="AY52" s="64" t="s" ph="1">
        <v>257</v>
      </c>
      <c r="AZ52" s="64" t="s" ph="1">
        <v>617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419</v>
      </c>
      <c r="AY53" s="64" t="s" ph="1">
        <v>257</v>
      </c>
      <c r="AZ53" s="64" t="s" ph="1">
        <v>408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420</v>
      </c>
      <c r="AJ54" s="64" t="s" ph="1">
        <v>375</v>
      </c>
      <c r="AK54" s="64" t="s" ph="1">
        <v>260</v>
      </c>
      <c r="AM54" s="64" t="s" ph="1">
        <v>377</v>
      </c>
      <c r="AN54" s="64" t="s" ph="1">
        <v>265</v>
      </c>
      <c r="AO54" s="64" t="s" ph="1">
        <v>274</v>
      </c>
      <c r="AP54" s="64" t="s" ph="1">
        <v>611</v>
      </c>
      <c r="AQ54" s="64" t="s" ph="1">
        <v>281</v>
      </c>
      <c r="AR54" s="64" t="s" ph="1">
        <v>274</v>
      </c>
      <c r="AY54" s="64" t="s" ph="1">
        <v>257</v>
      </c>
      <c r="AZ54" s="64" t="s" ph="1">
        <v>275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421</v>
      </c>
      <c r="AY55" s="64" t="s" ph="1">
        <v>257</v>
      </c>
      <c r="AZ55" s="64" t="s" ph="1">
        <v>408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422</v>
      </c>
      <c r="AY56" s="64" t="s" ph="1">
        <v>257</v>
      </c>
      <c r="AZ56" s="64" t="s" ph="1">
        <v>408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423</v>
      </c>
      <c r="AY57" s="64" t="s" ph="1">
        <v>257</v>
      </c>
      <c r="AZ57" s="64" t="s" ph="1">
        <v>408</v>
      </c>
    </row>
    <row r="58" spans="16:52" ph="1">
      <c r="P58" s="64"/>
      <c r="AN58" s="64" t="s" ph="1">
        <v>258</v>
      </c>
      <c r="AZ58" s="64" t="s" ph="1">
        <v>618</v>
      </c>
    </row>
    <row r="59" spans="16:52" ph="1">
      <c r="V59" s="64"/>
      <c r="AG59" s="64" t="s" ph="1">
        <v>276</v>
      </c>
      <c r="AI59" s="64" t="s" ph="1">
        <v>250</v>
      </c>
      <c r="AJ59" s="64" t="s" ph="1">
        <v>251</v>
      </c>
      <c r="AK59" s="64" t="s" ph="1">
        <v>252</v>
      </c>
      <c r="AM59" s="64" t="s" ph="1">
        <v>251</v>
      </c>
      <c r="AN59" s="64" t="s" ph="1">
        <v>252</v>
      </c>
      <c r="AO59" s="64" t="s" ph="1">
        <v>253</v>
      </c>
      <c r="AP59" s="64" t="s" ph="1">
        <v>251</v>
      </c>
      <c r="AQ59" s="64" t="s" ph="1">
        <v>252</v>
      </c>
      <c r="AR59" s="64" t="s" ph="1">
        <v>253</v>
      </c>
      <c r="AS59" s="64" t="s" ph="1">
        <v>251</v>
      </c>
      <c r="AT59" s="64" t="s" ph="1">
        <v>252</v>
      </c>
      <c r="AU59" s="64" t="s" ph="1">
        <v>253</v>
      </c>
      <c r="AV59" s="64" t="s" ph="1">
        <v>251</v>
      </c>
      <c r="AW59" s="64" t="s" ph="1">
        <v>252</v>
      </c>
      <c r="AX59" s="64" t="s" ph="1">
        <v>253</v>
      </c>
      <c r="AY59" s="64" t="s" ph="1">
        <v>252</v>
      </c>
      <c r="AZ59" s="64" t="s" ph="1">
        <v>254</v>
      </c>
    </row>
    <row r="60" spans="16:52" ph="1">
      <c r="R60" s="64"/>
      <c r="S60" s="64"/>
      <c r="T60" s="64"/>
      <c r="AH60" s="64" ph="1">
        <v>1</v>
      </c>
      <c r="AI60" s="64" t="s" ph="1">
        <v>424</v>
      </c>
      <c r="AY60" s="64" t="s" ph="1">
        <v>257</v>
      </c>
      <c r="AZ60" s="64" t="s" ph="1">
        <v>408</v>
      </c>
    </row>
    <row r="61" spans="16:52" ph="1">
      <c r="AH61" s="64" ph="1">
        <v>2</v>
      </c>
      <c r="AI61" s="64" t="s" ph="1">
        <v>425</v>
      </c>
      <c r="AS61" s="64" t="s" ph="1">
        <v>258</v>
      </c>
      <c r="AY61" s="64" t="s" ph="1">
        <v>257</v>
      </c>
      <c r="AZ61" s="64" t="s" ph="1">
        <v>408</v>
      </c>
    </row>
    <row r="62" spans="16:52" ph="1">
      <c r="AZ62" s="64" t="s" ph="1">
        <v>426</v>
      </c>
    </row>
    <row r="63" spans="16:52" ph="1">
      <c r="AG63" s="64" t="s" ph="1">
        <v>279</v>
      </c>
      <c r="AI63" s="64" t="s" ph="1">
        <v>250</v>
      </c>
      <c r="AJ63" s="64" t="s" ph="1">
        <v>251</v>
      </c>
      <c r="AK63" s="64" t="s" ph="1">
        <v>252</v>
      </c>
      <c r="AM63" s="64" t="s" ph="1">
        <v>251</v>
      </c>
      <c r="AN63" s="64" t="s" ph="1">
        <v>252</v>
      </c>
      <c r="AO63" s="64" t="s" ph="1">
        <v>253</v>
      </c>
      <c r="AP63" s="64" t="s" ph="1">
        <v>251</v>
      </c>
      <c r="AQ63" s="64" t="s" ph="1">
        <v>252</v>
      </c>
      <c r="AR63" s="64" t="s" ph="1">
        <v>253</v>
      </c>
      <c r="AS63" s="64" t="s" ph="1">
        <v>251</v>
      </c>
      <c r="AT63" s="64" t="s" ph="1">
        <v>252</v>
      </c>
      <c r="AU63" s="64" t="s" ph="1">
        <v>253</v>
      </c>
      <c r="AV63" s="64" t="s" ph="1">
        <v>251</v>
      </c>
      <c r="AW63" s="64" t="s" ph="1">
        <v>252</v>
      </c>
      <c r="AX63" s="64" t="s" ph="1">
        <v>253</v>
      </c>
      <c r="AY63" s="64" t="s" ph="1">
        <v>252</v>
      </c>
      <c r="AZ63" s="64" t="s" ph="1">
        <v>254</v>
      </c>
    </row>
    <row r="64" spans="16:52" ph="1">
      <c r="AH64" s="64" ph="1">
        <v>1</v>
      </c>
      <c r="AI64" s="64" t="s" ph="1">
        <v>427</v>
      </c>
      <c r="AJ64" s="64" t="s" ph="1">
        <v>428</v>
      </c>
      <c r="AK64" s="64" t="s" ph="1">
        <v>429</v>
      </c>
      <c r="AY64" s="64" t="s" ph="1">
        <v>257</v>
      </c>
      <c r="AZ64" s="64" t="s" ph="1">
        <v>429</v>
      </c>
    </row>
    <row r="65" spans="33:52" ph="1">
      <c r="AH65" s="64" ph="1">
        <v>2</v>
      </c>
      <c r="AI65" s="64" t="s" ph="1">
        <v>430</v>
      </c>
      <c r="AY65" s="64" t="s" ph="1">
        <v>257</v>
      </c>
      <c r="AZ65" s="64" t="s" ph="1">
        <v>408</v>
      </c>
    </row>
    <row r="66" spans="33:52" ph="1">
      <c r="AH66" s="64" ph="1">
        <v>3</v>
      </c>
      <c r="AI66" s="64" t="s" ph="1">
        <v>431</v>
      </c>
      <c r="AY66" s="64" t="s" ph="1">
        <v>257</v>
      </c>
      <c r="AZ66" s="64" t="s" ph="1">
        <v>408</v>
      </c>
    </row>
    <row r="67" spans="33:52" ph="1">
      <c r="AH67" s="64" ph="1">
        <v>4</v>
      </c>
      <c r="AI67" s="64" t="s" ph="1">
        <v>432</v>
      </c>
      <c r="AY67" s="64" t="s" ph="1">
        <v>257</v>
      </c>
      <c r="AZ67" s="64" t="s" ph="1">
        <v>408</v>
      </c>
    </row>
    <row r="68" spans="33:52" ph="1">
      <c r="AH68" s="64" ph="1">
        <v>5</v>
      </c>
      <c r="AI68" s="64" t="s" ph="1">
        <v>433</v>
      </c>
      <c r="AY68" s="64" t="s" ph="1">
        <v>257</v>
      </c>
      <c r="AZ68" s="64" t="s" ph="1">
        <v>408</v>
      </c>
    </row>
    <row r="69" spans="33:52" ph="1">
      <c r="AH69" s="64" ph="1">
        <v>6</v>
      </c>
      <c r="AI69" s="64" t="s" ph="1">
        <v>434</v>
      </c>
      <c r="AY69" s="64" t="s" ph="1">
        <v>257</v>
      </c>
      <c r="AZ69" s="64" t="s" ph="1">
        <v>408</v>
      </c>
    </row>
    <row r="70" spans="33:52" ph="1">
      <c r="AI70" s="64" t="s" ph="1">
        <v>435</v>
      </c>
      <c r="AY70" s="64" t="s" ph="1">
        <v>257</v>
      </c>
      <c r="AZ70" s="64" t="s" ph="1">
        <v>408</v>
      </c>
    </row>
    <row r="71" spans="33:52" ph="1">
      <c r="AH71" s="64" ph="1">
        <v>7</v>
      </c>
      <c r="AI71" s="64" t="s" ph="1">
        <v>436</v>
      </c>
      <c r="AJ71" s="64" t="s" ph="1">
        <v>375</v>
      </c>
      <c r="AK71" s="64" t="s" ph="1">
        <v>269</v>
      </c>
      <c r="AM71" s="64" t="s" ph="1">
        <v>377</v>
      </c>
      <c r="AN71" s="64" t="s" ph="1">
        <v>269</v>
      </c>
      <c r="AO71" s="64" t="s" ph="1">
        <v>437</v>
      </c>
      <c r="AP71" s="64" t="s" ph="1">
        <v>611</v>
      </c>
      <c r="AQ71" s="64" t="s" ph="1">
        <v>260</v>
      </c>
      <c r="AR71" s="64" t="s" ph="1">
        <v>437</v>
      </c>
      <c r="AY71" s="64" t="s" ph="1">
        <v>257</v>
      </c>
      <c r="AZ71" s="64" t="s" ph="1">
        <v>619</v>
      </c>
    </row>
    <row r="72" spans="33:52" ph="1">
      <c r="AZ72" s="64" t="s" ph="1">
        <v>620</v>
      </c>
    </row>
    <row r="73" spans="33:52" ph="1">
      <c r="AG73" s="64" t="s" ph="1">
        <v>282</v>
      </c>
      <c r="AI73" s="64" t="s" ph="1">
        <v>250</v>
      </c>
      <c r="AJ73" s="64" t="s" ph="1">
        <v>251</v>
      </c>
      <c r="AK73" s="64" t="s" ph="1">
        <v>252</v>
      </c>
      <c r="AM73" s="64" t="s" ph="1">
        <v>251</v>
      </c>
      <c r="AN73" s="64" t="s" ph="1">
        <v>252</v>
      </c>
      <c r="AO73" s="64" t="s" ph="1">
        <v>253</v>
      </c>
      <c r="AP73" s="64" t="s" ph="1">
        <v>251</v>
      </c>
      <c r="AQ73" s="64" t="s" ph="1">
        <v>252</v>
      </c>
      <c r="AR73" s="64" t="s" ph="1">
        <v>253</v>
      </c>
      <c r="AS73" s="64" t="s" ph="1">
        <v>251</v>
      </c>
      <c r="AT73" s="64" t="s" ph="1">
        <v>252</v>
      </c>
      <c r="AU73" s="64" t="s" ph="1">
        <v>253</v>
      </c>
      <c r="AV73" s="64" t="s" ph="1">
        <v>251</v>
      </c>
      <c r="AW73" s="64" t="s" ph="1">
        <v>252</v>
      </c>
      <c r="AX73" s="64" t="s" ph="1">
        <v>253</v>
      </c>
      <c r="AY73" s="64" t="s" ph="1">
        <v>252</v>
      </c>
      <c r="AZ73" s="64" t="s" ph="1">
        <v>254</v>
      </c>
    </row>
    <row r="74" spans="33:52" ph="1">
      <c r="AH74" s="64" ph="1">
        <v>1</v>
      </c>
      <c r="AI74" s="64" t="s" ph="1">
        <v>438</v>
      </c>
      <c r="AJ74" s="64" t="s" ph="1">
        <v>283</v>
      </c>
      <c r="AK74" s="64" t="s" ph="1">
        <v>265</v>
      </c>
      <c r="AM74" s="64" t="s" ph="1">
        <v>285</v>
      </c>
      <c r="AN74" s="64" t="s" ph="1">
        <v>295</v>
      </c>
      <c r="AO74" s="64" t="s" ph="1">
        <v>284</v>
      </c>
      <c r="AP74" s="64" t="s" ph="1">
        <v>286</v>
      </c>
      <c r="AQ74" s="64" t="s" ph="1">
        <v>263</v>
      </c>
      <c r="AR74" s="64" t="s" ph="1">
        <v>284</v>
      </c>
      <c r="AS74" s="64" t="s" ph="1">
        <v>256</v>
      </c>
      <c r="AT74" s="64" t="s" ph="1">
        <v>258</v>
      </c>
      <c r="AV74" s="64" t="s" ph="1">
        <v>439</v>
      </c>
      <c r="AW74" s="64" t="s" ph="1">
        <v>440</v>
      </c>
      <c r="AX74" s="64" t="s" ph="1">
        <v>441</v>
      </c>
      <c r="AY74" s="64" t="s" ph="1">
        <v>257</v>
      </c>
      <c r="AZ74" s="64" t="s" ph="1">
        <v>442</v>
      </c>
    </row>
    <row r="75" spans="33:52" ph="1">
      <c r="AJ75" s="64" t="s" ph="1">
        <v>288</v>
      </c>
      <c r="AK75" s="64" t="s" ph="1">
        <v>341</v>
      </c>
      <c r="AM75" s="64" t="s" ph="1">
        <v>286</v>
      </c>
      <c r="AN75" s="64" t="s" ph="1">
        <v>266</v>
      </c>
      <c r="AO75" s="64" t="s" ph="1">
        <v>284</v>
      </c>
      <c r="AS75" s="64" t="s" ph="1">
        <v>256</v>
      </c>
      <c r="AT75" s="64" t="s" ph="1">
        <v>287</v>
      </c>
    </row>
    <row r="76" spans="33:52" ph="1">
      <c r="AJ76" s="64" t="s" ph="1">
        <v>288</v>
      </c>
      <c r="AK76" s="64" t="s" ph="1">
        <v>281</v>
      </c>
      <c r="AM76" s="64" t="s" ph="1">
        <v>286</v>
      </c>
      <c r="AN76" s="64" t="s" ph="1">
        <v>269</v>
      </c>
      <c r="AO76" s="64" t="s" ph="1">
        <v>284</v>
      </c>
      <c r="AS76" s="64" t="s" ph="1">
        <v>256</v>
      </c>
      <c r="AT76" s="64" t="s" ph="1">
        <v>287</v>
      </c>
    </row>
    <row r="77" spans="33:52" ph="1">
      <c r="AJ77" s="64" t="s" ph="1">
        <v>324</v>
      </c>
      <c r="AK77" s="64" t="s" ph="1">
        <v>281</v>
      </c>
      <c r="AM77" s="64" t="s" ph="1">
        <v>325</v>
      </c>
      <c r="AN77" s="64" t="s" ph="1">
        <v>264</v>
      </c>
      <c r="AO77" s="64" t="s" ph="1">
        <v>284</v>
      </c>
      <c r="AS77" s="64" t="s" ph="1">
        <v>256</v>
      </c>
      <c r="AT77" s="64" t="s" ph="1">
        <v>326</v>
      </c>
    </row>
    <row r="78" spans="33:52" ph="1">
      <c r="AH78" s="64" ph="1">
        <v>2</v>
      </c>
      <c r="AI78" s="64" t="s" ph="1">
        <v>290</v>
      </c>
      <c r="AJ78" s="64" t="s" ph="1">
        <v>291</v>
      </c>
      <c r="AK78" s="64" t="s" ph="1">
        <v>260</v>
      </c>
      <c r="AM78" s="64" t="s" ph="1">
        <v>292</v>
      </c>
      <c r="AN78" s="64" t="s" ph="1">
        <v>295</v>
      </c>
      <c r="AO78" s="64" t="s" ph="1">
        <v>284</v>
      </c>
      <c r="AP78" s="64" t="s" ph="1">
        <v>293</v>
      </c>
      <c r="AQ78" s="64" t="s" ph="1">
        <v>339</v>
      </c>
      <c r="AR78" s="64" t="s" ph="1">
        <v>284</v>
      </c>
      <c r="AS78" s="64" t="s" ph="1">
        <v>294</v>
      </c>
      <c r="AT78" s="64" t="s" ph="1">
        <v>295</v>
      </c>
      <c r="AU78" s="64" t="s" ph="1">
        <v>284</v>
      </c>
      <c r="AV78" s="64" t="s" ph="1">
        <v>296</v>
      </c>
      <c r="AW78" s="64" t="s" ph="1">
        <v>284</v>
      </c>
      <c r="AY78" s="64" t="s" ph="1">
        <v>257</v>
      </c>
      <c r="AZ78" s="64" t="s" ph="1">
        <v>443</v>
      </c>
    </row>
    <row r="79" spans="33:52" ph="1">
      <c r="AJ79" s="64" t="s" ph="1">
        <v>286</v>
      </c>
      <c r="AK79" s="64" t="s" ph="1">
        <v>297</v>
      </c>
      <c r="AM79" s="64" t="s" ph="1">
        <v>298</v>
      </c>
      <c r="AN79" s="64" t="s" ph="1">
        <v>266</v>
      </c>
      <c r="AO79" s="64" t="s" ph="1">
        <v>284</v>
      </c>
      <c r="AP79" s="64" t="s" ph="1">
        <v>299</v>
      </c>
      <c r="AQ79" s="64" t="s" ph="1">
        <v>264</v>
      </c>
      <c r="AR79" s="64" t="s" ph="1">
        <v>300</v>
      </c>
      <c r="AS79" s="64" t="s" ph="1">
        <v>256</v>
      </c>
      <c r="AT79" s="64" t="s" ph="1">
        <v>301</v>
      </c>
      <c r="AV79" s="64" t="s" ph="1">
        <v>444</v>
      </c>
      <c r="AW79" s="64" t="s" ph="1">
        <v>343</v>
      </c>
      <c r="AX79" s="64" t="s" ph="1">
        <v>441</v>
      </c>
    </row>
    <row r="80" spans="33:52" ph="1">
      <c r="AH80" s="64" ph="1">
        <v>3</v>
      </c>
      <c r="AI80" s="64" t="s" ph="1">
        <v>302</v>
      </c>
      <c r="AJ80" s="64" t="s" ph="1">
        <v>303</v>
      </c>
      <c r="AK80" s="64" t="s" ph="1">
        <v>304</v>
      </c>
      <c r="AM80" s="64" t="s" ph="1">
        <v>305</v>
      </c>
      <c r="AN80" s="64" t="s" ph="1">
        <v>295</v>
      </c>
      <c r="AO80" s="64" t="s" ph="1">
        <v>284</v>
      </c>
      <c r="AP80" s="64" t="s" ph="1">
        <v>306</v>
      </c>
      <c r="AQ80" s="64" t="s" ph="1">
        <v>269</v>
      </c>
      <c r="AR80" s="64" t="s" ph="1">
        <v>284</v>
      </c>
      <c r="AS80" s="64" t="s" ph="1">
        <v>307</v>
      </c>
      <c r="AT80" s="64" t="s" ph="1">
        <v>268</v>
      </c>
      <c r="AU80" s="64" t="s" ph="1">
        <v>284</v>
      </c>
      <c r="AV80" s="64" t="s" ph="1">
        <v>308</v>
      </c>
      <c r="AW80" s="64" t="s" ph="1">
        <v>284</v>
      </c>
      <c r="AY80" s="64" t="s" ph="1">
        <v>257</v>
      </c>
      <c r="AZ80" s="64" t="s" ph="1">
        <v>445</v>
      </c>
    </row>
    <row r="81" spans="34:52" ph="1">
      <c r="AJ81" s="64" t="s" ph="1">
        <v>309</v>
      </c>
      <c r="AK81" s="64" t="s" ph="1">
        <v>263</v>
      </c>
      <c r="AM81" s="64" t="s" ph="1">
        <v>310</v>
      </c>
      <c r="AN81" s="64" t="s" ph="1">
        <v>266</v>
      </c>
      <c r="AO81" s="64" t="s" ph="1">
        <v>284</v>
      </c>
      <c r="AP81" s="64" t="s" ph="1">
        <v>311</v>
      </c>
      <c r="AQ81" s="64" t="s" ph="1">
        <v>295</v>
      </c>
      <c r="AR81" s="64" t="s" ph="1">
        <v>284</v>
      </c>
      <c r="AS81" s="64" t="s" ph="1">
        <v>312</v>
      </c>
      <c r="AT81" s="64" t="s" ph="1">
        <v>313</v>
      </c>
      <c r="AU81" s="64" t="s" ph="1">
        <v>284</v>
      </c>
      <c r="AV81" s="64" t="s" ph="1">
        <v>314</v>
      </c>
    </row>
    <row r="82" spans="34:52" ph="1">
      <c r="AJ82" s="64" t="s" ph="1">
        <v>315</v>
      </c>
      <c r="AK82" s="64" t="s" ph="1">
        <v>263</v>
      </c>
      <c r="AM82" s="64" t="s" ph="1">
        <v>316</v>
      </c>
      <c r="AN82" s="64" t="s" ph="1">
        <v>313</v>
      </c>
      <c r="AO82" s="64" t="s" ph="1">
        <v>317</v>
      </c>
      <c r="AP82" s="64" t="s" ph="1">
        <v>318</v>
      </c>
      <c r="AQ82" s="64" t="s" ph="1">
        <v>295</v>
      </c>
      <c r="AR82" s="64" t="s" ph="1">
        <v>284</v>
      </c>
      <c r="AS82" s="64" t="s" ph="1">
        <v>319</v>
      </c>
      <c r="AT82" s="64" t="s" ph="1">
        <v>270</v>
      </c>
      <c r="AU82" s="64" t="s" ph="1">
        <v>284</v>
      </c>
      <c r="AV82" s="64" t="s" ph="1">
        <v>444</v>
      </c>
      <c r="AW82" s="64" t="s" ph="1">
        <v>344</v>
      </c>
      <c r="AX82" s="64" t="s" ph="1">
        <v>441</v>
      </c>
    </row>
    <row r="83" spans="34:52" ph="1">
      <c r="AJ83" s="64" t="s" ph="1">
        <v>320</v>
      </c>
      <c r="AK83" s="64" t="s" ph="1">
        <v>337</v>
      </c>
      <c r="AM83" s="64" t="s" ph="1">
        <v>321</v>
      </c>
      <c r="AN83" s="64" t="s" ph="1">
        <v>269</v>
      </c>
      <c r="AO83" s="64" t="s" ph="1">
        <v>300</v>
      </c>
      <c r="AP83" s="64" t="s" ph="1">
        <v>322</v>
      </c>
      <c r="AQ83" s="64" t="s" ph="1">
        <v>323</v>
      </c>
      <c r="AR83" s="64" t="s" ph="1">
        <v>300</v>
      </c>
      <c r="AS83" s="64" t="s" ph="1">
        <v>446</v>
      </c>
      <c r="AT83" s="64" t="s" ph="1">
        <v>295</v>
      </c>
      <c r="AU83" s="64" t="s" ph="1">
        <v>300</v>
      </c>
      <c r="AV83" s="64" t="s" ph="1">
        <v>447</v>
      </c>
      <c r="AW83" s="64" t="s" ph="1">
        <v>344</v>
      </c>
      <c r="AX83" s="64" t="s" ph="1">
        <v>448</v>
      </c>
    </row>
    <row r="84" spans="34:52" ph="1">
      <c r="AH84" s="64" ph="1">
        <v>4</v>
      </c>
      <c r="AI84" s="64" t="s" ph="1">
        <v>327</v>
      </c>
      <c r="AJ84" s="64" t="s" ph="1">
        <v>267</v>
      </c>
      <c r="AK84" s="64" t="s" ph="1">
        <v>270</v>
      </c>
      <c r="AM84" s="64" t="s" ph="1">
        <v>271</v>
      </c>
      <c r="AN84" s="64" t="s" ph="1">
        <v>264</v>
      </c>
      <c r="AO84" s="64" t="s" ph="1">
        <v>300</v>
      </c>
      <c r="AP84" s="64" t="s" ph="1">
        <v>329</v>
      </c>
      <c r="AQ84" s="64" t="s" ph="1">
        <v>263</v>
      </c>
      <c r="AR84" s="64" t="s" ph="1">
        <v>300</v>
      </c>
      <c r="AS84" s="64" t="s" ph="1">
        <v>329</v>
      </c>
      <c r="AT84" s="64" t="s" ph="1">
        <v>265</v>
      </c>
      <c r="AU84" s="64" t="s" ph="1">
        <v>300</v>
      </c>
      <c r="AY84" s="64" t="s" ph="1">
        <v>257</v>
      </c>
      <c r="AZ84" s="64" t="s" ph="1">
        <v>449</v>
      </c>
    </row>
    <row r="85" spans="34:52" ph="1">
      <c r="AJ85" s="64" t="s" ph="1">
        <v>259</v>
      </c>
      <c r="AK85" s="64" t="s" ph="1">
        <v>263</v>
      </c>
      <c r="AM85" s="64" t="s" ph="1">
        <v>450</v>
      </c>
      <c r="AN85" s="64" t="s" ph="1">
        <v>270</v>
      </c>
      <c r="AO85" s="64" t="s" ph="1">
        <v>300</v>
      </c>
      <c r="AP85" s="64" t="s" ph="1">
        <v>451</v>
      </c>
      <c r="AQ85" s="64" t="s" ph="1">
        <v>266</v>
      </c>
      <c r="AR85" s="64" t="s" ph="1">
        <v>300</v>
      </c>
      <c r="AS85" s="64" t="s" ph="1">
        <v>452</v>
      </c>
      <c r="AT85" s="64" t="s" ph="1">
        <v>266</v>
      </c>
      <c r="AU85" s="64" t="s" ph="1">
        <v>300</v>
      </c>
    </row>
    <row r="86" spans="34:52" ph="1">
      <c r="AJ86" s="64" t="s" ph="1">
        <v>453</v>
      </c>
      <c r="AK86" s="64" t="s" ph="1">
        <v>272</v>
      </c>
      <c r="AM86" s="64" t="s" ph="1">
        <v>454</v>
      </c>
      <c r="AN86" s="64" t="s" ph="1">
        <v>313</v>
      </c>
      <c r="AO86" s="64" t="s" ph="1">
        <v>300</v>
      </c>
      <c r="AP86" s="64" t="s" ph="1">
        <v>455</v>
      </c>
      <c r="AQ86" s="64" t="s" ph="1">
        <v>260</v>
      </c>
      <c r="AR86" s="64" t="s" ph="1">
        <v>300</v>
      </c>
      <c r="AS86" s="64" t="s" ph="1">
        <v>456</v>
      </c>
      <c r="AT86" s="64" t="s" ph="1">
        <v>278</v>
      </c>
      <c r="AU86" s="64" t="s" ph="1">
        <v>300</v>
      </c>
    </row>
    <row r="87" spans="34:52" ph="1">
      <c r="AJ87" s="64" t="s" ph="1">
        <v>457</v>
      </c>
      <c r="AK87" s="64" t="s" ph="1">
        <v>313</v>
      </c>
      <c r="AM87" s="64" t="s" ph="1">
        <v>444</v>
      </c>
      <c r="AN87" s="64" t="s" ph="1">
        <v>458</v>
      </c>
      <c r="AO87" s="64" t="s" ph="1">
        <v>441</v>
      </c>
    </row>
    <row r="88" spans="34:52" ph="1">
      <c r="AH88" s="64" ph="1">
        <v>5</v>
      </c>
      <c r="AI88" s="64" t="s" ph="1">
        <v>330</v>
      </c>
      <c r="AJ88" s="64" t="s" ph="1">
        <v>459</v>
      </c>
      <c r="AK88" s="64" t="s" ph="1">
        <v>313</v>
      </c>
      <c r="AM88" s="64" t="s" ph="1">
        <v>460</v>
      </c>
      <c r="AN88" s="64" t="s" ph="1">
        <v>313</v>
      </c>
      <c r="AO88" s="64" t="s" ph="1">
        <v>300</v>
      </c>
      <c r="AP88" s="64" t="s" ph="1">
        <v>461</v>
      </c>
      <c r="AQ88" s="64" t="s" ph="1">
        <v>263</v>
      </c>
      <c r="AR88" s="64" t="s" ph="1">
        <v>300</v>
      </c>
      <c r="AS88" s="64" t="s" ph="1">
        <v>462</v>
      </c>
      <c r="AT88" s="64" t="s" ph="1">
        <v>313</v>
      </c>
      <c r="AU88" s="64" t="s" ph="1">
        <v>300</v>
      </c>
      <c r="AV88" s="64" t="s" ph="1">
        <v>463</v>
      </c>
      <c r="AW88" s="64" t="s" ph="1">
        <v>268</v>
      </c>
      <c r="AX88" s="64" t="s" ph="1">
        <v>300</v>
      </c>
      <c r="AY88" s="64" t="s" ph="1">
        <v>257</v>
      </c>
      <c r="AZ88" s="64" t="s" ph="1">
        <v>464</v>
      </c>
    </row>
    <row r="89" spans="34:52" ph="1">
      <c r="AJ89" s="64" t="s" ph="1">
        <v>465</v>
      </c>
      <c r="AK89" s="64" t="s" ph="1">
        <v>266</v>
      </c>
      <c r="AM89" s="64" t="s" ph="1">
        <v>466</v>
      </c>
      <c r="AN89" s="64" t="s" ph="1">
        <v>269</v>
      </c>
      <c r="AO89" s="64" t="s" ph="1">
        <v>300</v>
      </c>
      <c r="AP89" s="64" t="s" ph="1">
        <v>467</v>
      </c>
      <c r="AQ89" s="64" t="s" ph="1">
        <v>278</v>
      </c>
      <c r="AR89" s="64" t="s" ph="1">
        <v>300</v>
      </c>
      <c r="AS89" s="64" t="s" ph="1">
        <v>468</v>
      </c>
      <c r="AT89" s="64" t="s" ph="1">
        <v>313</v>
      </c>
      <c r="AU89" s="64" t="s" ph="1">
        <v>300</v>
      </c>
      <c r="AV89" s="64" t="s" ph="1">
        <v>469</v>
      </c>
      <c r="AW89" s="64" t="s" ph="1">
        <v>295</v>
      </c>
      <c r="AX89" s="64" t="s" ph="1">
        <v>328</v>
      </c>
    </row>
    <row r="90" spans="34:52" ph="1">
      <c r="AJ90" s="64" t="s" ph="1">
        <v>470</v>
      </c>
      <c r="AK90" s="64" t="s" ph="1">
        <v>269</v>
      </c>
      <c r="AM90" s="64" t="s" ph="1">
        <v>471</v>
      </c>
      <c r="AN90" s="64" t="s" ph="1">
        <v>266</v>
      </c>
      <c r="AO90" s="64" t="s" ph="1">
        <v>300</v>
      </c>
      <c r="AP90" s="64" t="s" ph="1">
        <v>472</v>
      </c>
      <c r="AQ90" s="64" t="s" ph="1">
        <v>335</v>
      </c>
      <c r="AR90" s="64" t="s" ph="1">
        <v>300</v>
      </c>
      <c r="AS90" s="64" t="s" ph="1">
        <v>473</v>
      </c>
      <c r="AT90" s="64" t="s" ph="1">
        <v>323</v>
      </c>
      <c r="AU90" s="64" t="s" ph="1">
        <v>300</v>
      </c>
      <c r="AV90" s="64" t="s" ph="1">
        <v>474</v>
      </c>
      <c r="AW90" s="64" t="s" ph="1">
        <v>260</v>
      </c>
      <c r="AX90" s="64" t="s" ph="1">
        <v>300</v>
      </c>
    </row>
    <row r="91" spans="34:52" ph="1">
      <c r="AJ91" s="64" t="s" ph="1">
        <v>475</v>
      </c>
      <c r="AK91" s="64" t="s" ph="1">
        <v>313</v>
      </c>
      <c r="AM91" s="64" t="s" ph="1">
        <v>476</v>
      </c>
      <c r="AN91" s="64" t="s" ph="1">
        <v>280</v>
      </c>
      <c r="AO91" s="64" t="s" ph="1">
        <v>300</v>
      </c>
      <c r="AP91" s="64" t="s" ph="1">
        <v>477</v>
      </c>
      <c r="AQ91" s="64" t="s" ph="1">
        <v>260</v>
      </c>
      <c r="AS91" s="64" t="s" ph="1">
        <v>444</v>
      </c>
      <c r="AT91" s="64" t="s" ph="1">
        <v>440</v>
      </c>
      <c r="AU91" s="64" t="s" ph="1">
        <v>441</v>
      </c>
    </row>
    <row r="92" spans="34:52" ph="1">
      <c r="AH92" s="64" ph="1">
        <v>6</v>
      </c>
      <c r="AI92" s="64" t="s" ph="1">
        <v>478</v>
      </c>
      <c r="AJ92" s="64" t="s" ph="1">
        <v>479</v>
      </c>
      <c r="AK92" s="64" t="s" ph="1">
        <v>408</v>
      </c>
      <c r="AM92" s="64" t="s" ph="1">
        <v>480</v>
      </c>
      <c r="AN92" s="64" t="s" ph="1">
        <v>268</v>
      </c>
      <c r="AO92" s="64" t="s" ph="1">
        <v>300</v>
      </c>
      <c r="AP92" s="64" t="s" ph="1">
        <v>481</v>
      </c>
      <c r="AQ92" s="64" t="s" ph="1">
        <v>340</v>
      </c>
      <c r="AR92" s="64" t="s" ph="1">
        <v>300</v>
      </c>
      <c r="AS92" s="64" t="s" ph="1">
        <v>482</v>
      </c>
      <c r="AT92" s="64" t="s" ph="1">
        <v>313</v>
      </c>
      <c r="AU92" s="64" t="s" ph="1">
        <v>300</v>
      </c>
      <c r="AV92" s="64" t="s" ph="1">
        <v>483</v>
      </c>
      <c r="AW92" s="64" t="s" ph="1">
        <v>269</v>
      </c>
      <c r="AX92" s="64" t="s" ph="1">
        <v>300</v>
      </c>
      <c r="AY92" s="64" t="s" ph="1">
        <v>257</v>
      </c>
      <c r="AZ92" s="64" t="s" ph="1">
        <v>464</v>
      </c>
    </row>
    <row r="93" spans="34:52" ph="1">
      <c r="AJ93" s="64" t="s" ph="1">
        <v>484</v>
      </c>
      <c r="AK93" s="64" t="s" ph="1">
        <v>263</v>
      </c>
      <c r="AM93" s="64" t="s" ph="1">
        <v>485</v>
      </c>
      <c r="AN93" s="64" t="s" ph="1">
        <v>268</v>
      </c>
      <c r="AO93" s="64" t="s" ph="1">
        <v>300</v>
      </c>
      <c r="AP93" s="64" t="s" ph="1">
        <v>486</v>
      </c>
      <c r="AQ93" s="64" t="s" ph="1">
        <v>272</v>
      </c>
      <c r="AR93" s="64" t="s" ph="1">
        <v>300</v>
      </c>
      <c r="AS93" s="64" t="s" ph="1">
        <v>487</v>
      </c>
      <c r="AT93" s="64" t="s" ph="1">
        <v>278</v>
      </c>
      <c r="AU93" s="64" t="s" ph="1">
        <v>300</v>
      </c>
      <c r="AV93" s="64" t="s" ph="1">
        <v>488</v>
      </c>
      <c r="AW93" s="64" t="s" ph="1">
        <v>272</v>
      </c>
      <c r="AX93" s="64" t="s" ph="1">
        <v>300</v>
      </c>
    </row>
    <row r="94" spans="34:52" ph="1">
      <c r="AJ94" s="64" t="s" ph="1">
        <v>489</v>
      </c>
      <c r="AK94" s="64" t="s" ph="1">
        <v>335</v>
      </c>
      <c r="AM94" s="64" t="s" ph="1">
        <v>490</v>
      </c>
      <c r="AN94" s="64" t="s" ph="1">
        <v>272</v>
      </c>
      <c r="AO94" s="64" t="s" ph="1">
        <v>300</v>
      </c>
      <c r="AP94" s="64" t="s" ph="1">
        <v>491</v>
      </c>
      <c r="AQ94" s="64" t="s" ph="1">
        <v>280</v>
      </c>
      <c r="AR94" s="64" t="s" ph="1">
        <v>300</v>
      </c>
      <c r="AS94" s="64" t="s" ph="1">
        <v>492</v>
      </c>
      <c r="AT94" s="64" t="s" ph="1">
        <v>266</v>
      </c>
      <c r="AU94" s="64" t="s" ph="1">
        <v>300</v>
      </c>
      <c r="AV94" s="64" t="s" ph="1">
        <v>493</v>
      </c>
      <c r="AW94" s="64" t="s" ph="1">
        <v>266</v>
      </c>
      <c r="AX94" s="64" t="s" ph="1">
        <v>300</v>
      </c>
    </row>
    <row r="95" spans="34:52" ph="1">
      <c r="AJ95" s="64" t="s" ph="1">
        <v>494</v>
      </c>
      <c r="AK95" s="64" t="s" ph="1">
        <v>340</v>
      </c>
    </row>
    <row r="96" spans="34:52" ph="1">
      <c r="AH96" s="64" ph="1">
        <v>7</v>
      </c>
      <c r="AI96" s="64" t="s" ph="1">
        <v>495</v>
      </c>
      <c r="AJ96" s="64" t="s" ph="1">
        <v>494</v>
      </c>
      <c r="AK96" s="64" t="s" ph="1">
        <v>295</v>
      </c>
      <c r="AM96" s="64" t="s" ph="1">
        <v>496</v>
      </c>
      <c r="AN96" s="64" t="s" ph="1">
        <v>269</v>
      </c>
      <c r="AO96" s="64" t="s" ph="1">
        <v>300</v>
      </c>
      <c r="AP96" s="64" t="s" ph="1">
        <v>497</v>
      </c>
      <c r="AQ96" s="64" t="s" ph="1">
        <v>313</v>
      </c>
      <c r="AR96" s="64" t="s" ph="1">
        <v>328</v>
      </c>
      <c r="AS96" s="64" t="s" ph="1">
        <v>498</v>
      </c>
      <c r="AT96" s="64" t="s" ph="1">
        <v>272</v>
      </c>
      <c r="AU96" s="64" t="s" ph="1">
        <v>328</v>
      </c>
      <c r="AV96" s="64" t="s" ph="1">
        <v>499</v>
      </c>
      <c r="AW96" s="64" t="s" ph="1">
        <v>268</v>
      </c>
      <c r="AX96" s="64" t="s" ph="1">
        <v>328</v>
      </c>
      <c r="AY96" s="64" t="s" ph="1">
        <v>257</v>
      </c>
      <c r="AZ96" s="64" t="s" ph="1">
        <v>500</v>
      </c>
    </row>
    <row r="97" spans="33:52" ph="1">
      <c r="AJ97" s="64" t="s" ph="1">
        <v>501</v>
      </c>
      <c r="AK97" s="64" t="s" ph="1">
        <v>323</v>
      </c>
      <c r="AM97" s="64" t="s" ph="1">
        <v>502</v>
      </c>
      <c r="AN97" s="64" t="s" ph="1">
        <v>266</v>
      </c>
      <c r="AO97" s="64" t="s" ph="1">
        <v>300</v>
      </c>
      <c r="AP97" s="64" t="s" ph="1">
        <v>503</v>
      </c>
      <c r="AQ97" s="64" t="s" ph="1">
        <v>260</v>
      </c>
      <c r="AR97" s="64" t="s" ph="1">
        <v>328</v>
      </c>
      <c r="AS97" s="64" t="s" ph="1">
        <v>504</v>
      </c>
      <c r="AT97" s="64" t="s" ph="1">
        <v>263</v>
      </c>
      <c r="AU97" s="64" t="s" ph="1">
        <v>328</v>
      </c>
      <c r="AV97" s="64" t="s" ph="1">
        <v>505</v>
      </c>
      <c r="AW97" s="64" t="s" ph="1">
        <v>269</v>
      </c>
      <c r="AX97" s="64" t="s" ph="1">
        <v>328</v>
      </c>
    </row>
    <row r="98" spans="33:52" ph="1">
      <c r="AJ98" s="64" t="s" ph="1">
        <v>506</v>
      </c>
      <c r="AK98" s="64" t="s" ph="1">
        <v>272</v>
      </c>
      <c r="AM98" s="64" t="s" ph="1">
        <v>507</v>
      </c>
      <c r="AN98" s="64" t="s" ph="1">
        <v>280</v>
      </c>
      <c r="AO98" s="64" t="s" ph="1">
        <v>300</v>
      </c>
      <c r="AP98" s="64" t="s" ph="1">
        <v>508</v>
      </c>
      <c r="AQ98" s="64" t="s" ph="1">
        <v>260</v>
      </c>
      <c r="AR98" s="64" t="s" ph="1">
        <v>328</v>
      </c>
      <c r="AS98" s="64" t="s" ph="1">
        <v>509</v>
      </c>
      <c r="AT98" s="64" t="s" ph="1">
        <v>340</v>
      </c>
      <c r="AU98" s="64" t="s" ph="1">
        <v>328</v>
      </c>
      <c r="AV98" s="64" t="s" ph="1">
        <v>510</v>
      </c>
      <c r="AW98" s="64" t="s" ph="1">
        <v>263</v>
      </c>
      <c r="AX98" s="64" t="s" ph="1">
        <v>328</v>
      </c>
    </row>
    <row r="99" spans="33:52" ph="1">
      <c r="AH99" s="64" ph="1">
        <v>8</v>
      </c>
      <c r="AI99" s="64" t="s" ph="1">
        <v>511</v>
      </c>
      <c r="AJ99" s="64" t="s" ph="1">
        <v>512</v>
      </c>
      <c r="AK99" s="64" t="s" ph="1">
        <v>408</v>
      </c>
      <c r="AM99" s="64" t="s" ph="1">
        <v>513</v>
      </c>
      <c r="AN99" s="64" t="s" ph="1">
        <v>295</v>
      </c>
      <c r="AO99" s="64" t="s" ph="1">
        <v>300</v>
      </c>
      <c r="AP99" s="64" t="s" ph="1">
        <v>514</v>
      </c>
      <c r="AQ99" s="64" t="s" ph="1">
        <v>265</v>
      </c>
      <c r="AR99" s="64" t="s" ph="1">
        <v>328</v>
      </c>
      <c r="AS99" s="64" t="s" ph="1">
        <v>515</v>
      </c>
      <c r="AT99" s="64" t="s" ph="1">
        <v>280</v>
      </c>
      <c r="AU99" s="64" t="s" ph="1">
        <v>328</v>
      </c>
      <c r="AV99" s="64" t="s" ph="1">
        <v>516</v>
      </c>
      <c r="AW99" s="64" t="s" ph="1">
        <v>265</v>
      </c>
      <c r="AX99" s="64" t="s" ph="1">
        <v>328</v>
      </c>
      <c r="AY99" s="64" t="s" ph="1">
        <v>257</v>
      </c>
      <c r="AZ99" s="64" t="s" ph="1">
        <v>517</v>
      </c>
    </row>
    <row r="100" spans="33:52" ph="1">
      <c r="AJ100" s="64" t="s" ph="1">
        <v>518</v>
      </c>
      <c r="AK100" s="64" t="s" ph="1">
        <v>263</v>
      </c>
      <c r="AM100" s="64" t="s" ph="1">
        <v>519</v>
      </c>
      <c r="AN100" s="64" t="s" ph="1">
        <v>335</v>
      </c>
      <c r="AO100" s="64" t="s" ph="1">
        <v>300</v>
      </c>
      <c r="AP100" s="64" t="s" ph="1">
        <v>520</v>
      </c>
      <c r="AQ100" s="64" t="s" ph="1">
        <v>341</v>
      </c>
      <c r="AR100" s="64" t="s" ph="1">
        <v>328</v>
      </c>
      <c r="AS100" s="64" t="s" ph="1">
        <v>521</v>
      </c>
      <c r="AT100" s="64" t="s" ph="1">
        <v>408</v>
      </c>
      <c r="AU100" s="64" t="s" ph="1">
        <v>300</v>
      </c>
      <c r="AV100" s="64" t="s" ph="1">
        <v>522</v>
      </c>
      <c r="AW100" s="64" t="s" ph="1">
        <v>408</v>
      </c>
      <c r="AX100" s="64" t="s" ph="1">
        <v>300</v>
      </c>
    </row>
    <row r="101" spans="33:52" ph="1">
      <c r="AJ101" s="64" t="s" ph="1">
        <v>523</v>
      </c>
      <c r="AK101" s="64" t="s" ph="1">
        <v>408</v>
      </c>
      <c r="AM101" s="64" t="s" ph="1">
        <v>524</v>
      </c>
      <c r="AN101" s="64" t="s" ph="1">
        <v>266</v>
      </c>
      <c r="AO101" s="64" t="s" ph="1">
        <v>300</v>
      </c>
      <c r="AP101" s="64" t="s" ph="1">
        <v>525</v>
      </c>
      <c r="AQ101" s="64" t="s" ph="1">
        <v>278</v>
      </c>
      <c r="AR101" s="64" t="s" ph="1">
        <v>328</v>
      </c>
      <c r="AS101" s="64" t="s" ph="1">
        <v>526</v>
      </c>
      <c r="AT101" s="64" t="s" ph="1">
        <v>335</v>
      </c>
      <c r="AU101" s="64" t="s" ph="1">
        <v>328</v>
      </c>
      <c r="AV101" s="64" t="s" ph="1">
        <v>527</v>
      </c>
      <c r="AW101" s="64" t="s" ph="1">
        <v>266</v>
      </c>
      <c r="AX101" s="64" t="s" ph="1">
        <v>300</v>
      </c>
    </row>
    <row r="102" spans="33:52" ph="1">
      <c r="AJ102" s="64" t="s" ph="1">
        <v>528</v>
      </c>
      <c r="AK102" s="64" t="s" ph="1">
        <v>263</v>
      </c>
      <c r="AM102" s="64" t="s" ph="1">
        <v>529</v>
      </c>
      <c r="AN102" s="64" t="s" ph="1">
        <v>272</v>
      </c>
      <c r="AO102" s="64" t="s" ph="1">
        <v>300</v>
      </c>
      <c r="AP102" s="64" t="s" ph="1">
        <v>530</v>
      </c>
      <c r="AQ102" s="64" t="s" ph="1">
        <v>278</v>
      </c>
      <c r="AR102" s="64" t="s" ph="1">
        <v>300</v>
      </c>
      <c r="AS102" s="64" t="s" ph="1">
        <v>531</v>
      </c>
      <c r="AT102" s="64" t="s" ph="1">
        <v>295</v>
      </c>
      <c r="AU102" s="64" t="s" ph="1">
        <v>300</v>
      </c>
      <c r="AV102" s="64" t="s" ph="1">
        <v>532</v>
      </c>
      <c r="AW102" s="64" t="s" ph="1">
        <v>313</v>
      </c>
      <c r="AX102" s="64" t="s" ph="1">
        <v>300</v>
      </c>
    </row>
    <row r="103" spans="33:52" ph="1">
      <c r="AH103" s="64" ph="1">
        <v>9</v>
      </c>
      <c r="AI103" s="64" t="s" ph="1">
        <v>533</v>
      </c>
      <c r="AJ103" s="64" t="s" ph="1">
        <v>534</v>
      </c>
      <c r="AK103" s="64" t="s" ph="1">
        <v>408</v>
      </c>
      <c r="AM103" s="64" t="s" ph="1">
        <v>535</v>
      </c>
      <c r="AN103" s="64" t="s" ph="1">
        <v>323</v>
      </c>
      <c r="AO103" s="64" t="s" ph="1">
        <v>300</v>
      </c>
      <c r="AP103" s="64" t="s" ph="1">
        <v>377</v>
      </c>
      <c r="AQ103" s="64" t="s" ph="1">
        <v>266</v>
      </c>
      <c r="AR103" s="64" t="s" ph="1">
        <v>300</v>
      </c>
      <c r="AS103" s="64" t="s" ph="1">
        <v>611</v>
      </c>
      <c r="AT103" s="64" t="s" ph="1">
        <v>408</v>
      </c>
      <c r="AU103" s="64" t="s" ph="1">
        <v>300</v>
      </c>
      <c r="AY103" s="64" t="s" ph="1">
        <v>257</v>
      </c>
      <c r="AZ103" s="64" t="s" ph="1">
        <v>265</v>
      </c>
    </row>
    <row r="104" spans="33:52" ph="1">
      <c r="AZ104" s="64" t="s" ph="1">
        <v>536</v>
      </c>
    </row>
    <row r="105" spans="33:52" ph="1">
      <c r="AG105" s="64" t="s" ph="1">
        <v>336</v>
      </c>
      <c r="AI105" s="64" t="s" ph="1">
        <v>250</v>
      </c>
      <c r="AJ105" s="64" t="s" ph="1">
        <v>251</v>
      </c>
      <c r="AK105" s="64" t="s" ph="1">
        <v>252</v>
      </c>
      <c r="AM105" s="64" t="s" ph="1">
        <v>251</v>
      </c>
      <c r="AN105" s="64" t="s" ph="1">
        <v>252</v>
      </c>
      <c r="AO105" s="64" t="s" ph="1">
        <v>253</v>
      </c>
      <c r="AP105" s="64" t="s" ph="1">
        <v>251</v>
      </c>
      <c r="AQ105" s="64" t="s" ph="1">
        <v>252</v>
      </c>
      <c r="AR105" s="64" t="s" ph="1">
        <v>253</v>
      </c>
      <c r="AS105" s="64" t="s" ph="1">
        <v>251</v>
      </c>
      <c r="AT105" s="64" t="s" ph="1">
        <v>252</v>
      </c>
      <c r="AU105" s="64" t="s" ph="1">
        <v>253</v>
      </c>
      <c r="AV105" s="64" t="s" ph="1">
        <v>251</v>
      </c>
      <c r="AW105" s="64" t="s" ph="1">
        <v>252</v>
      </c>
      <c r="AX105" s="64" t="s" ph="1">
        <v>253</v>
      </c>
      <c r="AZ105" s="64" t="s" ph="1">
        <v>254</v>
      </c>
    </row>
    <row r="106" spans="33:52" ph="1">
      <c r="AH106" s="64" ph="1">
        <v>1</v>
      </c>
      <c r="AI106" s="64" t="s" ph="1">
        <v>537</v>
      </c>
      <c r="AJ106" s="64" t="s" ph="1">
        <v>611</v>
      </c>
      <c r="AK106" s="64" t="s" ph="1">
        <v>272</v>
      </c>
      <c r="AZ106" s="64" t="s" ph="1">
        <v>272</v>
      </c>
    </row>
    <row r="107" spans="33:52" ph="1">
      <c r="AH107" s="64" ph="1">
        <v>2</v>
      </c>
      <c r="AI107" s="64" t="s" ph="1">
        <v>538</v>
      </c>
      <c r="AJ107" s="64" t="s" ph="1">
        <v>539</v>
      </c>
      <c r="AK107" s="64" t="s" ph="1">
        <v>269</v>
      </c>
      <c r="AM107" s="64" t="s" ph="1">
        <v>375</v>
      </c>
      <c r="AN107" s="64" t="s" ph="1">
        <v>540</v>
      </c>
      <c r="AO107" s="64" t="s" ph="1">
        <v>541</v>
      </c>
      <c r="AP107" s="64" t="s" ph="1">
        <v>377</v>
      </c>
      <c r="AQ107" s="64" t="s" ph="1">
        <v>345</v>
      </c>
      <c r="AR107" s="64" t="s" ph="1">
        <v>541</v>
      </c>
      <c r="AS107" s="64" t="s" ph="1">
        <v>611</v>
      </c>
      <c r="AT107" s="64" t="s" ph="1">
        <v>540</v>
      </c>
      <c r="AU107" s="64" t="s" ph="1">
        <v>541</v>
      </c>
      <c r="AY107" s="64" t="s" ph="1">
        <v>257</v>
      </c>
      <c r="AZ107" s="64" t="s" ph="1">
        <v>621</v>
      </c>
    </row>
    <row r="108" spans="33:52" ph="1">
      <c r="AH108" s="64" ph="1">
        <v>3</v>
      </c>
      <c r="AI108" s="64" t="s" ph="1">
        <v>542</v>
      </c>
      <c r="AY108" s="64" t="s" ph="1">
        <v>257</v>
      </c>
      <c r="AZ108" s="64" t="s" ph="1">
        <v>408</v>
      </c>
    </row>
    <row r="109" spans="33:52" ph="1">
      <c r="AH109" s="64" ph="1">
        <v>4</v>
      </c>
      <c r="AI109" s="64" t="s" ph="1">
        <v>543</v>
      </c>
      <c r="AY109" s="64" t="s" ph="1">
        <v>257</v>
      </c>
      <c r="AZ109" s="64" t="s" ph="1">
        <v>408</v>
      </c>
    </row>
    <row r="110" spans="33:52" ph="1">
      <c r="AH110" s="64" ph="1">
        <v>5</v>
      </c>
      <c r="AI110" s="64" t="s" ph="1">
        <v>544</v>
      </c>
      <c r="AY110" s="64" t="s" ph="1">
        <v>257</v>
      </c>
      <c r="AZ110" s="64" t="s" ph="1">
        <v>408</v>
      </c>
    </row>
    <row r="111" spans="33:52" ph="1">
      <c r="AH111" s="64" ph="1">
        <v>6</v>
      </c>
      <c r="AI111" s="64" t="s" ph="1">
        <v>622</v>
      </c>
      <c r="AJ111" s="64" t="s" ph="1">
        <v>527</v>
      </c>
      <c r="AK111" s="64" t="s" ph="1">
        <v>266</v>
      </c>
      <c r="AM111" s="64" t="s" ph="1">
        <v>528</v>
      </c>
      <c r="AN111" s="64" t="s" ph="1">
        <v>260</v>
      </c>
      <c r="AO111" s="64" t="s" ph="1">
        <v>541</v>
      </c>
      <c r="AP111" s="64" t="s" ph="1">
        <v>529</v>
      </c>
      <c r="AQ111" s="64" t="s" ph="1">
        <v>269</v>
      </c>
      <c r="AR111" s="64" t="s" ph="1">
        <v>541</v>
      </c>
      <c r="AS111" s="64" t="s" ph="1">
        <v>530</v>
      </c>
      <c r="AT111" s="64" t="s" ph="1">
        <v>278</v>
      </c>
      <c r="AU111" s="64" t="s" ph="1">
        <v>541</v>
      </c>
      <c r="AV111" s="64" t="s" ph="1">
        <v>531</v>
      </c>
      <c r="AW111" s="64" t="s" ph="1">
        <v>268</v>
      </c>
      <c r="AX111" s="64" t="s" ph="1">
        <v>541</v>
      </c>
      <c r="AY111" s="64" t="s" ph="1">
        <v>257</v>
      </c>
      <c r="AZ111" s="64" t="s" ph="1">
        <v>545</v>
      </c>
    </row>
    <row r="112" spans="33:52" ph="1">
      <c r="AJ112" s="64" t="s" ph="1">
        <v>532</v>
      </c>
      <c r="AK112" s="64" t="s" ph="1">
        <v>313</v>
      </c>
      <c r="AM112" s="64" t="s" ph="1">
        <v>534</v>
      </c>
      <c r="AN112" s="64" t="s" ph="1">
        <v>337</v>
      </c>
      <c r="AO112" s="64" t="s" ph="1">
        <v>541</v>
      </c>
      <c r="AP112" s="64" t="s" ph="1">
        <v>535</v>
      </c>
      <c r="AQ112" s="64" t="s" ph="1">
        <v>546</v>
      </c>
      <c r="AR112" s="64" t="s" ph="1">
        <v>541</v>
      </c>
      <c r="AS112" s="64" t="s" ph="1">
        <v>547</v>
      </c>
      <c r="AT112" s="64" t="s" ph="1">
        <v>289</v>
      </c>
      <c r="AU112" s="64" t="s" ph="1">
        <v>541</v>
      </c>
      <c r="AV112" s="64" t="s" ph="1">
        <v>548</v>
      </c>
      <c r="AW112" s="64" t="s" ph="1">
        <v>335</v>
      </c>
      <c r="AX112" s="64" t="s" ph="1">
        <v>541</v>
      </c>
    </row>
    <row r="113" spans="33:52" ph="1">
      <c r="AH113" s="64" ph="1">
        <v>7</v>
      </c>
      <c r="AI113" s="64" t="s" ph="1">
        <v>549</v>
      </c>
      <c r="AJ113" s="64" t="s" ph="1">
        <v>630</v>
      </c>
      <c r="AK113" s="64" t="s" ph="1">
        <v>635</v>
      </c>
      <c r="AY113" s="64" t="s" ph="1">
        <v>257</v>
      </c>
      <c r="AZ113" s="64" t="s" ph="1">
        <v>635</v>
      </c>
    </row>
    <row r="114" spans="33:52" ph="1">
      <c r="AH114" s="64" ph="1">
        <v>8</v>
      </c>
      <c r="AI114" s="64" t="s" ph="1">
        <v>550</v>
      </c>
      <c r="AJ114" s="64" t="s" ph="1">
        <v>630</v>
      </c>
      <c r="AK114" s="64" t="s" ph="1">
        <v>636</v>
      </c>
      <c r="AY114" s="64" t="s" ph="1">
        <v>257</v>
      </c>
      <c r="AZ114" s="64" t="s" ph="1">
        <v>636</v>
      </c>
    </row>
    <row r="115" spans="33:52" ph="1">
      <c r="AH115" s="64" ph="1">
        <v>9</v>
      </c>
      <c r="AI115" s="64" t="s" ph="1">
        <v>551</v>
      </c>
      <c r="AJ115" s="64" t="s" ph="1">
        <v>630</v>
      </c>
      <c r="AK115" s="64" t="s" ph="1">
        <v>636</v>
      </c>
      <c r="AY115" s="64" t="s" ph="1">
        <v>257</v>
      </c>
      <c r="AZ115" s="64" t="s" ph="1">
        <v>636</v>
      </c>
    </row>
    <row r="116" spans="33:52" ph="1">
      <c r="AH116" s="64" ph="1">
        <v>10</v>
      </c>
      <c r="AI116" s="64" t="s" ph="1">
        <v>552</v>
      </c>
      <c r="AJ116" s="64" t="s" ph="1">
        <v>630</v>
      </c>
      <c r="AK116" s="64" t="s" ph="1">
        <v>636</v>
      </c>
      <c r="AY116" s="64" t="s" ph="1">
        <v>257</v>
      </c>
      <c r="AZ116" s="64" t="s" ph="1">
        <v>636</v>
      </c>
    </row>
    <row r="117" spans="33:52" ph="1">
      <c r="AH117" s="64" ph="1">
        <v>11</v>
      </c>
      <c r="AI117" s="64" t="s" ph="1">
        <v>553</v>
      </c>
      <c r="AJ117" s="64" t="s" ph="1">
        <v>630</v>
      </c>
      <c r="AK117" s="64" t="s" ph="1">
        <v>636</v>
      </c>
      <c r="AY117" s="64" t="s" ph="1">
        <v>257</v>
      </c>
      <c r="AZ117" s="64" t="s" ph="1">
        <v>636</v>
      </c>
    </row>
    <row r="118" spans="33:52" ph="1">
      <c r="AZ118" s="64" t="s" ph="1">
        <v>637</v>
      </c>
    </row>
    <row r="119" spans="33:52" ph="1">
      <c r="AI119" s="64" t="s" ph="1">
        <v>250</v>
      </c>
      <c r="AJ119" s="64" t="s" ph="1">
        <v>251</v>
      </c>
      <c r="AK119" s="64" t="s" ph="1">
        <v>252</v>
      </c>
      <c r="AM119" s="64" t="s" ph="1">
        <v>251</v>
      </c>
      <c r="AN119" s="64" t="s" ph="1">
        <v>252</v>
      </c>
      <c r="AO119" s="64" t="s" ph="1">
        <v>253</v>
      </c>
      <c r="AP119" s="64" t="s" ph="1">
        <v>251</v>
      </c>
      <c r="AQ119" s="64" t="s" ph="1">
        <v>252</v>
      </c>
      <c r="AR119" s="64" t="s" ph="1">
        <v>253</v>
      </c>
      <c r="AS119" s="64" t="s" ph="1">
        <v>251</v>
      </c>
      <c r="AT119" s="64" t="s" ph="1">
        <v>252</v>
      </c>
      <c r="AU119" s="64" t="s" ph="1">
        <v>253</v>
      </c>
      <c r="AV119" s="64" t="s" ph="1">
        <v>251</v>
      </c>
      <c r="AW119" s="64" t="s" ph="1">
        <v>252</v>
      </c>
      <c r="AX119" s="64" t="s" ph="1">
        <v>253</v>
      </c>
      <c r="AY119" s="64" t="s" ph="1">
        <v>252</v>
      </c>
      <c r="AZ119" s="64" t="s" ph="1">
        <v>254</v>
      </c>
    </row>
    <row r="120" spans="33:52" ph="1">
      <c r="AG120" s="64" t="s" ph="1">
        <v>394</v>
      </c>
      <c r="AH120" s="64" ph="1">
        <v>1</v>
      </c>
      <c r="AI120" s="64" t="s" ph="1">
        <v>554</v>
      </c>
      <c r="AJ120" s="64" t="s" ph="1">
        <v>628</v>
      </c>
      <c r="AK120" s="64" t="s" ph="1">
        <v>408</v>
      </c>
      <c r="AY120" s="64" t="s" ph="1">
        <v>257</v>
      </c>
      <c r="AZ120" s="64" t="s" ph="1">
        <v>408</v>
      </c>
    </row>
    <row r="121" spans="33:52" ph="1">
      <c r="AH121" s="64" ph="1">
        <v>2</v>
      </c>
      <c r="AI121" s="64" t="s" ph="1">
        <v>555</v>
      </c>
      <c r="AY121" s="64" t="s" ph="1">
        <v>257</v>
      </c>
      <c r="AZ121" s="64" t="s" ph="1">
        <v>408</v>
      </c>
    </row>
    <row r="122" spans="33:52" ph="1">
      <c r="AH122" s="64" ph="1">
        <v>3</v>
      </c>
      <c r="AI122" s="64" t="s" ph="1">
        <v>556</v>
      </c>
      <c r="AJ122" s="64" t="s" ph="1">
        <v>611</v>
      </c>
      <c r="AK122" s="64" t="s" ph="1">
        <v>623</v>
      </c>
      <c r="AM122" s="64" t="s" ph="1">
        <v>638</v>
      </c>
      <c r="AN122" s="64" t="s" ph="1">
        <v>631</v>
      </c>
      <c r="AO122" s="64" t="s" ph="1">
        <v>108</v>
      </c>
      <c r="AY122" s="64" t="s" ph="1">
        <v>257</v>
      </c>
      <c r="AZ122" s="64" t="s" ph="1">
        <v>620</v>
      </c>
    </row>
    <row r="123" spans="33:52" ph="1">
      <c r="AY123" s="64" t="s" ph="1">
        <v>257</v>
      </c>
      <c r="AZ123" s="64" t="s" ph="1">
        <v>620</v>
      </c>
    </row>
    <row r="124" spans="33:52" ph="1">
      <c r="AG124" s="64" t="s" ph="1">
        <v>397</v>
      </c>
      <c r="AH124" s="64" ph="1">
        <v>4</v>
      </c>
      <c r="AI124" s="64" t="s" ph="1">
        <v>557</v>
      </c>
      <c r="AJ124" s="64" t="s" ph="1">
        <v>558</v>
      </c>
      <c r="AK124" s="64" t="s" ph="1">
        <v>559</v>
      </c>
      <c r="AY124" s="64" t="s" ph="1">
        <v>257</v>
      </c>
      <c r="AZ124" s="64" t="s" ph="1">
        <v>559</v>
      </c>
    </row>
    <row r="125" spans="33:52" ph="1">
      <c r="AH125" s="64" ph="1">
        <v>5</v>
      </c>
      <c r="AI125" s="64" t="s" ph="1">
        <v>560</v>
      </c>
      <c r="AJ125" s="64" t="s" ph="1">
        <v>558</v>
      </c>
      <c r="AK125" s="64" t="s" ph="1">
        <v>559</v>
      </c>
      <c r="AY125" s="64" t="s" ph="1">
        <v>257</v>
      </c>
      <c r="AZ125" s="64" t="s" ph="1">
        <v>559</v>
      </c>
    </row>
    <row r="126" spans="33:52" ph="1">
      <c r="AH126" s="64" ph="1">
        <v>6</v>
      </c>
      <c r="AI126" s="64" t="s" ph="1">
        <v>561</v>
      </c>
      <c r="AJ126" s="64" t="s" ph="1">
        <v>630</v>
      </c>
      <c r="AK126" s="64" t="s" ph="1">
        <v>639</v>
      </c>
      <c r="AY126" s="64" t="s" ph="1">
        <v>257</v>
      </c>
      <c r="AZ126" s="64" t="s" ph="1">
        <v>639</v>
      </c>
    </row>
    <row r="127" spans="33:52" ph="1">
      <c r="AH127" s="64" ph="1">
        <v>7</v>
      </c>
      <c r="AI127" s="64" t="s" ph="1">
        <v>562</v>
      </c>
      <c r="AJ127" s="64" t="s" ph="1">
        <v>630</v>
      </c>
      <c r="AK127" s="64" t="s" ph="1">
        <v>640</v>
      </c>
      <c r="AY127" s="64" t="s" ph="1">
        <v>257</v>
      </c>
      <c r="AZ127" s="64" t="s" ph="1">
        <v>640</v>
      </c>
    </row>
    <row r="128" spans="33:52" ph="1">
      <c r="AH128" s="64" ph="1">
        <v>8</v>
      </c>
      <c r="AI128" s="64" t="s" ph="1">
        <v>563</v>
      </c>
      <c r="AY128" s="64" t="s" ph="1">
        <v>257</v>
      </c>
      <c r="AZ128" s="64" t="s" ph="1">
        <v>408</v>
      </c>
    </row>
    <row r="129" spans="33:52" ph="1">
      <c r="AH129" s="64" ph="1">
        <v>9</v>
      </c>
      <c r="AI129" s="64" t="s" ph="1">
        <v>564</v>
      </c>
      <c r="AY129" s="64" t="s" ph="1">
        <v>257</v>
      </c>
      <c r="AZ129" s="64" t="s" ph="1">
        <v>408</v>
      </c>
    </row>
    <row r="130" spans="33:52" ph="1">
      <c r="AH130" s="64" ph="1">
        <v>10</v>
      </c>
      <c r="AI130" s="64" t="s" ph="1">
        <v>565</v>
      </c>
      <c r="AY130" s="64" t="s" ph="1">
        <v>257</v>
      </c>
      <c r="AZ130" s="64" t="s" ph="1">
        <v>408</v>
      </c>
    </row>
    <row r="131" spans="33:52" ph="1">
      <c r="AH131" s="64" ph="1">
        <v>11</v>
      </c>
      <c r="AI131" s="64" t="s" ph="1">
        <v>566</v>
      </c>
      <c r="AJ131" s="64" t="s" ph="1">
        <v>624</v>
      </c>
      <c r="AK131" s="64" t="s" ph="1">
        <v>620</v>
      </c>
      <c r="AY131" s="64" t="s" ph="1">
        <v>257</v>
      </c>
      <c r="AZ131" s="64" t="s" ph="1">
        <v>620</v>
      </c>
    </row>
    <row r="132" spans="33:52" ph="1">
      <c r="AH132" s="64" ph="1">
        <v>12</v>
      </c>
      <c r="AI132" s="64" t="s" ph="1">
        <v>567</v>
      </c>
      <c r="AJ132" s="64" t="s" ph="1">
        <v>624</v>
      </c>
      <c r="AK132" s="64" t="s" ph="1">
        <v>559</v>
      </c>
      <c r="AY132" s="64" t="s" ph="1">
        <v>257</v>
      </c>
      <c r="AZ132" s="64" t="s" ph="1">
        <v>559</v>
      </c>
    </row>
    <row r="133" spans="33:52" ph="1">
      <c r="AH133" s="64" ph="1">
        <v>13</v>
      </c>
      <c r="AI133" s="64" t="s" ph="1">
        <v>568</v>
      </c>
      <c r="AJ133" s="64" t="s" ph="1">
        <v>624</v>
      </c>
      <c r="AK133" s="64" t="s" ph="1">
        <v>625</v>
      </c>
      <c r="AY133" s="64" t="s" ph="1">
        <v>257</v>
      </c>
      <c r="AZ133" s="64" t="s" ph="1">
        <v>625</v>
      </c>
    </row>
    <row r="134" spans="33:52" ph="1">
      <c r="AH134" s="64" ph="1">
        <v>14</v>
      </c>
      <c r="AI134" s="64" t="s" ph="1">
        <v>569</v>
      </c>
      <c r="AJ134" s="64" t="s" ph="1">
        <v>624</v>
      </c>
      <c r="AK134" s="64" t="s" ph="1">
        <v>626</v>
      </c>
      <c r="AY134" s="64" t="s" ph="1">
        <v>257</v>
      </c>
      <c r="AZ134" s="64" t="s" ph="1">
        <v>626</v>
      </c>
    </row>
    <row r="135" spans="33:52" ph="1">
      <c r="AH135" s="64" ph="1">
        <v>15</v>
      </c>
      <c r="AI135" s="64" t="s" ph="1">
        <v>570</v>
      </c>
      <c r="AJ135" s="64" t="s" ph="1">
        <v>624</v>
      </c>
      <c r="AK135" s="64" t="s" ph="1">
        <v>627</v>
      </c>
      <c r="AY135" s="64" t="s" ph="1">
        <v>257</v>
      </c>
      <c r="AZ135" s="64" t="s" ph="1">
        <v>627</v>
      </c>
    </row>
    <row r="136" spans="33:52" ph="1">
      <c r="AZ136" s="64" t="s" ph="1">
        <v>641</v>
      </c>
    </row>
    <row r="137" spans="33:52" ph="1">
      <c r="AG137" s="64" t="s" ph="1">
        <v>331</v>
      </c>
      <c r="AI137" s="64" t="s" ph="1">
        <v>250</v>
      </c>
      <c r="AJ137" s="64" t="s" ph="1">
        <v>251</v>
      </c>
      <c r="AK137" s="64" t="s" ph="1">
        <v>252</v>
      </c>
      <c r="AM137" s="64" t="s" ph="1">
        <v>251</v>
      </c>
      <c r="AN137" s="64" t="s" ph="1">
        <v>252</v>
      </c>
      <c r="AO137" s="64" t="s" ph="1">
        <v>253</v>
      </c>
      <c r="AP137" s="64" t="s" ph="1">
        <v>251</v>
      </c>
      <c r="AQ137" s="64" t="s" ph="1">
        <v>252</v>
      </c>
      <c r="AR137" s="64" t="s" ph="1">
        <v>253</v>
      </c>
      <c r="AS137" s="64" t="s" ph="1">
        <v>251</v>
      </c>
      <c r="AT137" s="64" t="s" ph="1">
        <v>252</v>
      </c>
      <c r="AU137" s="64" t="s" ph="1">
        <v>253</v>
      </c>
      <c r="AV137" s="64" t="s" ph="1">
        <v>251</v>
      </c>
      <c r="AW137" s="64" t="s" ph="1">
        <v>252</v>
      </c>
      <c r="AX137" s="64" t="s" ph="1">
        <v>253</v>
      </c>
      <c r="AY137" s="64" t="s" ph="1">
        <v>252</v>
      </c>
      <c r="AZ137" s="64" t="s" ph="1">
        <v>254</v>
      </c>
    </row>
    <row r="138" spans="33:52" ph="1">
      <c r="AH138" s="64" ph="1">
        <v>1</v>
      </c>
      <c r="AI138" s="64" t="s" ph="1">
        <v>571</v>
      </c>
      <c r="AJ138" s="64" t="s" ph="1">
        <v>572</v>
      </c>
      <c r="AK138" s="64" t="s" ph="1">
        <v>573</v>
      </c>
      <c r="AY138" s="64" t="s" ph="1">
        <v>257</v>
      </c>
      <c r="AZ138" s="64" t="s" ph="1">
        <v>573</v>
      </c>
    </row>
    <row r="139" spans="33:52" ph="1">
      <c r="AH139" s="64" ph="1">
        <v>2</v>
      </c>
      <c r="AI139" s="64" t="s" ph="1">
        <v>574</v>
      </c>
      <c r="AJ139" s="64" t="s" ph="1">
        <v>630</v>
      </c>
      <c r="AK139" s="64" t="s" ph="1">
        <v>642</v>
      </c>
      <c r="AY139" s="64" t="s" ph="1">
        <v>257</v>
      </c>
      <c r="AZ139" s="64" t="s" ph="1">
        <v>642</v>
      </c>
    </row>
    <row r="140" spans="33:52" ph="1">
      <c r="AH140" s="64" ph="1">
        <v>3</v>
      </c>
      <c r="AI140" s="64" t="s" ph="1">
        <v>575</v>
      </c>
      <c r="AJ140" s="64" t="s" ph="1">
        <v>528</v>
      </c>
      <c r="AK140" s="64" t="s" ph="1">
        <v>340</v>
      </c>
      <c r="AM140" s="64" t="s" ph="1">
        <v>529</v>
      </c>
      <c r="AN140" s="64" t="s" ph="1">
        <v>260</v>
      </c>
      <c r="AO140" s="64" t="s" ph="1">
        <v>576</v>
      </c>
      <c r="AP140" s="64" t="s" ph="1">
        <v>530</v>
      </c>
      <c r="AQ140" s="64" t="s" ph="1">
        <v>277</v>
      </c>
      <c r="AR140" s="64" t="s" ph="1">
        <v>576</v>
      </c>
      <c r="AS140" s="64" t="s" ph="1">
        <v>531</v>
      </c>
      <c r="AT140" s="64" t="s" ph="1">
        <v>270</v>
      </c>
      <c r="AU140" s="64" t="s" ph="1">
        <v>576</v>
      </c>
      <c r="AV140" s="64" t="s" ph="1">
        <v>532</v>
      </c>
      <c r="AW140" s="64" t="s" ph="1">
        <v>263</v>
      </c>
      <c r="AX140" s="64" t="s" ph="1">
        <v>576</v>
      </c>
      <c r="AY140" s="64" t="s" ph="1">
        <v>257</v>
      </c>
      <c r="AZ140" s="64" t="s" ph="1">
        <v>332</v>
      </c>
    </row>
    <row r="141" spans="33:52" ph="1">
      <c r="AJ141" s="64" t="s" ph="1">
        <v>534</v>
      </c>
      <c r="AK141" s="64" t="s" ph="1">
        <v>263</v>
      </c>
      <c r="AM141" s="64" t="s" ph="1">
        <v>535</v>
      </c>
      <c r="AN141" s="64" t="s" ph="1">
        <v>266</v>
      </c>
      <c r="AO141" s="64" t="s" ph="1">
        <v>576</v>
      </c>
      <c r="AP141" s="64" t="s" ph="1">
        <v>547</v>
      </c>
      <c r="AQ141" s="64" t="s" ph="1">
        <v>335</v>
      </c>
      <c r="AR141" s="64" t="s" ph="1">
        <v>576</v>
      </c>
      <c r="AS141" s="64" t="s" ph="1">
        <v>539</v>
      </c>
      <c r="AT141" s="64" t="s" ph="1">
        <v>263</v>
      </c>
      <c r="AU141" s="64" t="s" ph="1">
        <v>576</v>
      </c>
      <c r="AV141" s="64" t="s" ph="1">
        <v>375</v>
      </c>
      <c r="AW141" s="64" t="s" ph="1">
        <v>269</v>
      </c>
      <c r="AX141" s="64" t="s" ph="1">
        <v>576</v>
      </c>
    </row>
    <row r="142" spans="33:52" ph="1">
      <c r="AJ142" s="64" t="s" ph="1">
        <v>577</v>
      </c>
      <c r="AK142" s="64" t="s" ph="1">
        <v>280</v>
      </c>
    </row>
    <row r="143" spans="33:52" ph="1">
      <c r="AH143" s="64" ph="1">
        <v>4</v>
      </c>
      <c r="AI143" s="64" t="s" ph="1">
        <v>578</v>
      </c>
      <c r="AJ143" s="64" t="s" ph="1">
        <v>558</v>
      </c>
      <c r="AK143" s="64" t="s" ph="1">
        <v>579</v>
      </c>
      <c r="AY143" s="64" t="s" ph="1">
        <v>257</v>
      </c>
      <c r="AZ143" s="64" t="s" ph="1">
        <v>579</v>
      </c>
    </row>
    <row r="144" spans="33:52" ph="1">
      <c r="AH144" s="64" ph="1">
        <v>5</v>
      </c>
      <c r="AI144" s="64" t="s" ph="1">
        <v>580</v>
      </c>
      <c r="AY144" s="64" t="s" ph="1">
        <v>257</v>
      </c>
      <c r="AZ144" s="64" t="s" ph="1">
        <v>408</v>
      </c>
    </row>
    <row r="145" spans="33:52" ph="1">
      <c r="AH145" s="64" ph="1">
        <v>6</v>
      </c>
      <c r="AI145" s="64" t="s" ph="1">
        <v>581</v>
      </c>
      <c r="AY145" s="64" t="s" ph="1">
        <v>257</v>
      </c>
      <c r="AZ145" s="64" t="s" ph="1">
        <v>408</v>
      </c>
    </row>
    <row r="146" spans="33:52" ph="1">
      <c r="AH146" s="64" ph="1">
        <v>7</v>
      </c>
      <c r="AI146" s="64" t="s" ph="1">
        <v>582</v>
      </c>
      <c r="AY146" s="64" t="s" ph="1">
        <v>257</v>
      </c>
      <c r="AZ146" s="64" t="s" ph="1">
        <v>408</v>
      </c>
    </row>
    <row r="147" spans="33:52" ph="1">
      <c r="AH147" s="64" ph="1">
        <v>8</v>
      </c>
      <c r="AI147" s="64" t="s" ph="1">
        <v>583</v>
      </c>
      <c r="AY147" s="64" t="s" ph="1">
        <v>257</v>
      </c>
      <c r="AZ147" s="64" t="s" ph="1">
        <v>408</v>
      </c>
    </row>
    <row r="148" spans="33:52" ph="1">
      <c r="AH148" s="64" ph="1">
        <v>9</v>
      </c>
      <c r="AI148" s="64" t="s" ph="1">
        <v>584</v>
      </c>
      <c r="AY148" s="64" t="s" ph="1">
        <v>257</v>
      </c>
      <c r="AZ148" s="64" t="s" ph="1">
        <v>408</v>
      </c>
    </row>
    <row r="149" spans="33:52" ph="1">
      <c r="AH149" s="64" ph="1">
        <v>10</v>
      </c>
      <c r="AI149" s="64" t="s" ph="1">
        <v>585</v>
      </c>
      <c r="AY149" s="64" t="s" ph="1">
        <v>257</v>
      </c>
      <c r="AZ149" s="64" t="s" ph="1">
        <v>408</v>
      </c>
    </row>
    <row r="150" spans="33:52" ph="1">
      <c r="AH150" s="64" ph="1">
        <v>11</v>
      </c>
      <c r="AI150" s="64" t="s" ph="1">
        <v>586</v>
      </c>
      <c r="AY150" s="64" t="s" ph="1">
        <v>257</v>
      </c>
      <c r="AZ150" s="64" t="s" ph="1">
        <v>408</v>
      </c>
    </row>
    <row r="151" spans="33:52" ph="1">
      <c r="AH151" s="64" ph="1">
        <v>12</v>
      </c>
      <c r="AI151" s="64" t="s" ph="1">
        <v>587</v>
      </c>
      <c r="AY151" s="64" t="s" ph="1">
        <v>257</v>
      </c>
      <c r="AZ151" s="64" t="s" ph="1">
        <v>408</v>
      </c>
    </row>
    <row r="152" spans="33:52" ph="1">
      <c r="AH152" s="64" ph="1">
        <v>13</v>
      </c>
      <c r="AI152" s="64" t="s" ph="1">
        <v>588</v>
      </c>
      <c r="AY152" s="64" t="s" ph="1">
        <v>257</v>
      </c>
      <c r="AZ152" s="64" t="s" ph="1">
        <v>408</v>
      </c>
    </row>
    <row r="153" spans="33:52" ph="1">
      <c r="AH153" s="64" ph="1">
        <v>14</v>
      </c>
      <c r="AI153" s="64" t="s" ph="1">
        <v>589</v>
      </c>
      <c r="AY153" s="64" t="s" ph="1">
        <v>257</v>
      </c>
      <c r="AZ153" s="64" t="s" ph="1">
        <v>408</v>
      </c>
    </row>
    <row r="154" spans="33:52" ph="1">
      <c r="AH154" s="64" ph="1">
        <v>15</v>
      </c>
      <c r="AI154" s="64" t="s" ph="1">
        <v>590</v>
      </c>
      <c r="AY154" s="64" t="s" ph="1">
        <v>257</v>
      </c>
      <c r="AZ154" s="64" t="s" ph="1">
        <v>408</v>
      </c>
    </row>
    <row r="155" spans="33:52" ph="1">
      <c r="AH155" s="64" ph="1">
        <v>16</v>
      </c>
      <c r="AI155" s="64" t="s" ph="1">
        <v>591</v>
      </c>
      <c r="AJ155" s="64" t="s" ph="1">
        <v>377</v>
      </c>
      <c r="AK155" s="64" t="s" ph="1">
        <v>272</v>
      </c>
      <c r="AM155" s="64" t="s" ph="1">
        <v>611</v>
      </c>
      <c r="AN155" s="64" t="s" ph="1">
        <v>323</v>
      </c>
      <c r="AO155" s="64" t="s" ph="1">
        <v>576</v>
      </c>
      <c r="AY155" s="64" t="s" ph="1">
        <v>257</v>
      </c>
      <c r="AZ155" s="64" t="s" ph="1">
        <v>264</v>
      </c>
    </row>
    <row r="156" spans="33:52" ph="1">
      <c r="AZ156" s="64" t="s" ph="1">
        <v>643</v>
      </c>
    </row>
    <row r="157" spans="33:52" ph="1">
      <c r="AG157" s="64" t="s" ph="1">
        <v>592</v>
      </c>
      <c r="AI157" s="64" t="s" ph="1">
        <v>250</v>
      </c>
      <c r="AJ157" s="64" t="s" ph="1">
        <v>251</v>
      </c>
      <c r="AK157" s="64" t="s" ph="1">
        <v>252</v>
      </c>
      <c r="AM157" s="64" t="s" ph="1">
        <v>251</v>
      </c>
      <c r="AN157" s="64" t="s" ph="1">
        <v>252</v>
      </c>
      <c r="AO157" s="64" t="s" ph="1">
        <v>253</v>
      </c>
      <c r="AP157" s="64" t="s" ph="1">
        <v>251</v>
      </c>
      <c r="AQ157" s="64" t="s" ph="1">
        <v>252</v>
      </c>
      <c r="AR157" s="64" t="s" ph="1">
        <v>253</v>
      </c>
      <c r="AS157" s="64" t="s" ph="1">
        <v>251</v>
      </c>
      <c r="AT157" s="64" t="s" ph="1">
        <v>252</v>
      </c>
      <c r="AU157" s="64" t="s" ph="1">
        <v>253</v>
      </c>
      <c r="AV157" s="64" t="s" ph="1">
        <v>251</v>
      </c>
      <c r="AW157" s="64" t="s" ph="1">
        <v>252</v>
      </c>
      <c r="AX157" s="64" t="s" ph="1">
        <v>253</v>
      </c>
      <c r="AY157" s="64" t="s" ph="1">
        <v>252</v>
      </c>
      <c r="AZ157" s="64" t="s" ph="1">
        <v>254</v>
      </c>
    </row>
    <row r="158" spans="33:52" ph="1">
      <c r="AH158" s="64" ph="1">
        <v>1</v>
      </c>
      <c r="AI158" s="64" t="s" ph="1">
        <v>593</v>
      </c>
      <c r="AY158" s="64" t="s" ph="1">
        <v>257</v>
      </c>
      <c r="AZ158" s="64" t="s" ph="1">
        <v>408</v>
      </c>
    </row>
    <row r="159" spans="33:52" ph="1">
      <c r="AH159" s="64" ph="1">
        <v>2</v>
      </c>
      <c r="AI159" s="64" t="s" ph="1">
        <v>594</v>
      </c>
      <c r="AY159" s="64" t="s" ph="1">
        <v>257</v>
      </c>
      <c r="AZ159" s="64" t="s" ph="1">
        <v>408</v>
      </c>
    </row>
    <row r="160" spans="33:52" ph="1">
      <c r="AZ160" s="64" t="s" ph="1">
        <v>426</v>
      </c>
    </row>
    <row r="161" spans="33:52" ph="1">
      <c r="AG161" s="64" t="s" ph="1">
        <v>402</v>
      </c>
      <c r="AI161" s="64" t="s" ph="1">
        <v>250</v>
      </c>
      <c r="AJ161" s="64" t="s" ph="1">
        <v>251</v>
      </c>
      <c r="AK161" s="64" t="s" ph="1">
        <v>252</v>
      </c>
      <c r="AM161" s="64" t="s" ph="1">
        <v>251</v>
      </c>
      <c r="AN161" s="64" t="s" ph="1">
        <v>252</v>
      </c>
      <c r="AO161" s="64" t="s" ph="1">
        <v>253</v>
      </c>
      <c r="AP161" s="64" t="s" ph="1">
        <v>251</v>
      </c>
      <c r="AQ161" s="64" t="s" ph="1">
        <v>252</v>
      </c>
      <c r="AR161" s="64" t="s" ph="1">
        <v>253</v>
      </c>
      <c r="AS161" s="64" t="s" ph="1">
        <v>251</v>
      </c>
      <c r="AT161" s="64" t="s" ph="1">
        <v>252</v>
      </c>
      <c r="AU161" s="64" t="s" ph="1">
        <v>253</v>
      </c>
      <c r="AV161" s="64" t="s" ph="1">
        <v>251</v>
      </c>
      <c r="AW161" s="64" t="s" ph="1">
        <v>252</v>
      </c>
      <c r="AX161" s="64" t="s" ph="1">
        <v>253</v>
      </c>
      <c r="AY161" s="64" t="s" ph="1">
        <v>252</v>
      </c>
      <c r="AZ161" s="64" t="s" ph="1">
        <v>254</v>
      </c>
    </row>
    <row r="162" spans="33:52" ph="1">
      <c r="AH162" s="64" ph="1">
        <v>1</v>
      </c>
      <c r="AI162" s="64" t="s" ph="1">
        <v>595</v>
      </c>
      <c r="AJ162" s="64" t="s" ph="1">
        <v>596</v>
      </c>
      <c r="AK162" s="64" t="s" ph="1">
        <v>540</v>
      </c>
      <c r="AM162" s="64" t="s" ph="1">
        <v>597</v>
      </c>
      <c r="AN162" s="64" t="s" ph="1">
        <v>261</v>
      </c>
      <c r="AO162" s="64" t="s" ph="1">
        <v>598</v>
      </c>
      <c r="AY162" s="64" t="s" ph="1">
        <v>257</v>
      </c>
      <c r="AZ162" s="64" t="s" ph="1">
        <v>333</v>
      </c>
    </row>
    <row r="163" spans="33:52" ph="1">
      <c r="AH163" s="64" ph="1">
        <v>2</v>
      </c>
      <c r="AI163" s="64" t="s" ph="1">
        <v>599</v>
      </c>
      <c r="AJ163" s="64" t="s" ph="1">
        <v>596</v>
      </c>
      <c r="AK163" s="64" t="s" ph="1">
        <v>429</v>
      </c>
      <c r="AY163" s="64" t="s" ph="1">
        <v>257</v>
      </c>
      <c r="AZ163" s="64" t="s" ph="1">
        <v>429</v>
      </c>
    </row>
    <row r="164" spans="33:52" ph="1">
      <c r="AH164" s="64" ph="1">
        <v>3</v>
      </c>
      <c r="AI164" s="64" t="s" ph="1">
        <v>600</v>
      </c>
      <c r="AJ164" s="64" t="s" ph="1">
        <v>596</v>
      </c>
      <c r="AK164" s="64" t="s" ph="1">
        <v>333</v>
      </c>
      <c r="AY164" s="64" t="s" ph="1">
        <v>257</v>
      </c>
      <c r="AZ164" s="64" t="s" ph="1">
        <v>333</v>
      </c>
    </row>
    <row r="165" spans="33:52" ph="1">
      <c r="AH165" s="64" ph="1">
        <v>4</v>
      </c>
      <c r="AI165" s="64" t="s" ph="1">
        <v>601</v>
      </c>
      <c r="AY165" s="64" t="s" ph="1">
        <v>257</v>
      </c>
      <c r="AZ165" s="64" t="s" ph="1">
        <v>408</v>
      </c>
    </row>
    <row r="166" spans="33:52" ph="1">
      <c r="AH166" s="64" ph="1">
        <v>5</v>
      </c>
      <c r="AI166" s="64" t="s" ph="1">
        <v>602</v>
      </c>
      <c r="AY166" s="64" t="s" ph="1">
        <v>257</v>
      </c>
      <c r="AZ166" s="64" t="s" ph="1">
        <v>408</v>
      </c>
    </row>
    <row r="167" spans="33:52" ph="1">
      <c r="AZ167" s="64" t="s" ph="1">
        <v>603</v>
      </c>
    </row>
    <row r="168" spans="33:52" ph="1">
      <c r="AG168" s="64" t="s" ph="1">
        <v>346</v>
      </c>
      <c r="AI168" s="64" t="s" ph="1">
        <v>250</v>
      </c>
      <c r="AJ168" s="64" t="s" ph="1">
        <v>251</v>
      </c>
      <c r="AK168" s="64" t="s" ph="1">
        <v>252</v>
      </c>
      <c r="AM168" s="64" t="s" ph="1">
        <v>251</v>
      </c>
      <c r="AN168" s="64" t="s" ph="1">
        <v>252</v>
      </c>
      <c r="AO168" s="64" t="s" ph="1">
        <v>253</v>
      </c>
      <c r="AP168" s="64" t="s" ph="1">
        <v>251</v>
      </c>
      <c r="AQ168" s="64" t="s" ph="1">
        <v>252</v>
      </c>
      <c r="AR168" s="64" t="s" ph="1">
        <v>253</v>
      </c>
      <c r="AS168" s="64" t="s" ph="1">
        <v>251</v>
      </c>
      <c r="AT168" s="64" t="s" ph="1">
        <v>252</v>
      </c>
      <c r="AU168" s="64" t="s" ph="1">
        <v>253</v>
      </c>
      <c r="AV168" s="64" t="s" ph="1">
        <v>251</v>
      </c>
      <c r="AW168" s="64" t="s" ph="1">
        <v>252</v>
      </c>
      <c r="AX168" s="64" t="s" ph="1">
        <v>253</v>
      </c>
      <c r="AY168" s="64" t="s" ph="1">
        <v>252</v>
      </c>
      <c r="AZ168" s="64" t="s" ph="1">
        <v>254</v>
      </c>
    </row>
    <row r="169" spans="33:52" ph="1">
      <c r="AH169" s="64" ph="1">
        <v>1</v>
      </c>
      <c r="AI169" s="64" t="s" ph="1">
        <v>604</v>
      </c>
      <c r="AY169" s="64" t="s" ph="1">
        <v>257</v>
      </c>
      <c r="AZ169" s="64" t="s" ph="1">
        <v>408</v>
      </c>
    </row>
    <row r="170" spans="33:52" ph="1">
      <c r="AH170" s="64" ph="1">
        <v>2</v>
      </c>
      <c r="AI170" s="64" t="s" ph="1">
        <v>605</v>
      </c>
      <c r="AY170" s="64" t="s" ph="1">
        <v>257</v>
      </c>
      <c r="AZ170" s="64" t="s" ph="1">
        <v>408</v>
      </c>
    </row>
    <row r="171" spans="33:52" ph="1">
      <c r="AH171" s="64" ph="1">
        <v>3</v>
      </c>
      <c r="AI171" s="64" t="s" ph="1">
        <v>606</v>
      </c>
      <c r="AY171" s="64" t="s" ph="1">
        <v>257</v>
      </c>
      <c r="AZ171" s="64" t="s" ph="1">
        <v>408</v>
      </c>
    </row>
    <row r="172" spans="33:52" ph="1">
      <c r="AH172" s="64" ph="1">
        <v>4</v>
      </c>
      <c r="AI172" s="64" t="s" ph="1">
        <v>607</v>
      </c>
      <c r="AY172" s="64" t="s" ph="1">
        <v>257</v>
      </c>
      <c r="AZ172" s="64" t="s" ph="1">
        <v>408</v>
      </c>
    </row>
    <row r="173" spans="33:52" ph="1">
      <c r="AH173" s="64" ph="1">
        <v>5</v>
      </c>
      <c r="AI173" s="64" t="s" ph="1">
        <v>608</v>
      </c>
      <c r="AY173" s="64" t="s" ph="1">
        <v>257</v>
      </c>
      <c r="AZ173" s="64" t="s" ph="1">
        <v>408</v>
      </c>
    </row>
    <row r="174" spans="33:52" ph="1">
      <c r="AZ174" s="64" t="s" ph="1">
        <v>426</v>
      </c>
    </row>
    <row r="175" spans="33:52" ph="1">
      <c r="AJ175" s="64" t="s" ph="1">
        <v>347</v>
      </c>
    </row>
    <row r="176" spans="33:52" ph="1">
      <c r="AJ176" s="64" t="s" ph="1">
        <v>348</v>
      </c>
      <c r="AK176" s="64" t="s" ph="1">
        <v>349</v>
      </c>
      <c r="AM176" s="64" t="s" ph="1">
        <v>350</v>
      </c>
      <c r="AO176" s="64" t="s" ph="1">
        <v>351</v>
      </c>
      <c r="AP176" s="64" t="s" ph="1">
        <v>352</v>
      </c>
      <c r="AQ176" s="64" t="s" ph="1">
        <v>342</v>
      </c>
      <c r="AR176" s="64" t="s" ph="1">
        <v>262</v>
      </c>
    </row>
    <row r="177" spans="36:56" ph="1">
      <c r="AJ177" s="64" t="s" ph="1">
        <v>644</v>
      </c>
      <c r="AK177" s="64" t="s" ph="1">
        <v>353</v>
      </c>
      <c r="AO177" s="64" t="s" ph="1">
        <v>353</v>
      </c>
      <c r="AP177" s="64" t="s" ph="1">
        <v>353</v>
      </c>
      <c r="AQ177" s="64" t="s" ph="1">
        <v>354</v>
      </c>
      <c r="AR177" s="64" t="s" ph="1">
        <v>355</v>
      </c>
    </row>
    <row r="179" spans="36:56" ph="1">
      <c r="AJ179" s="64" t="s" ph="1">
        <v>356</v>
      </c>
      <c r="AK179" s="64" t="s" ph="1">
        <v>357</v>
      </c>
      <c r="AM179" s="64" t="s" ph="1">
        <v>358</v>
      </c>
      <c r="AN179" s="64" t="s" ph="1">
        <v>334</v>
      </c>
      <c r="AO179" s="64" t="s" ph="1">
        <v>359</v>
      </c>
      <c r="AP179" s="64" t="s" ph="1">
        <v>338</v>
      </c>
      <c r="AQ179" s="64" t="s" ph="1">
        <v>360</v>
      </c>
      <c r="AR179" s="64" t="s" ph="1">
        <v>361</v>
      </c>
    </row>
    <row r="180" spans="36:56" ph="1">
      <c r="AJ180" s="64" t="s" ph="1">
        <v>353</v>
      </c>
      <c r="AK180" s="64" t="s" ph="1">
        <v>353</v>
      </c>
      <c r="AL180" s="64" ph="1">
        <v>116</v>
      </c>
      <c r="AM180" s="64" t="s" ph="1">
        <v>353</v>
      </c>
      <c r="AN180" s="64" t="s" ph="1">
        <v>362</v>
      </c>
      <c r="AO180" s="64" t="s" ph="1">
        <v>353</v>
      </c>
      <c r="AP180" s="64" t="s" ph="1">
        <v>363</v>
      </c>
      <c r="AQ180" s="64" t="s" ph="1">
        <v>364</v>
      </c>
      <c r="AR180" s="64" t="s" ph="1">
        <v>365</v>
      </c>
    </row>
    <row r="189" spans="36:56" ph="1">
      <c r="BD189" s="64" t="s" ph="1">
        <v>609</v>
      </c>
    </row>
    <row r="223" spans="18:18" ph="1">
      <c r="R223" s="138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881" priority="96">
      <formula>ABS(D$7-D$10)&gt;=1000</formula>
    </cfRule>
  </conditionalFormatting>
  <conditionalFormatting sqref="E4 E6:E11">
    <cfRule type="expression" dxfId="880" priority="95">
      <formula>ABS(E$7-E$10)&gt;=1000</formula>
    </cfRule>
  </conditionalFormatting>
  <conditionalFormatting sqref="F4:F11">
    <cfRule type="expression" dxfId="879" priority="94">
      <formula>ABS(F$7-F$10)&gt;=1000</formula>
    </cfRule>
  </conditionalFormatting>
  <conditionalFormatting sqref="G4:G11">
    <cfRule type="expression" dxfId="878" priority="93">
      <formula>ABS(G$7-G$10)&gt;=1000</formula>
    </cfRule>
  </conditionalFormatting>
  <conditionalFormatting sqref="H4:H11">
    <cfRule type="expression" dxfId="877" priority="92">
      <formula>ABS(H$7-H$10)&gt;=1000</formula>
    </cfRule>
  </conditionalFormatting>
  <conditionalFormatting sqref="I4:I11">
    <cfRule type="expression" dxfId="876" priority="91">
      <formula>ABS(I$7-I$10)&gt;=1000</formula>
    </cfRule>
  </conditionalFormatting>
  <conditionalFormatting sqref="J4:J11">
    <cfRule type="expression" dxfId="875" priority="90">
      <formula>ABS(J$7-J$10)&gt;=1000</formula>
    </cfRule>
  </conditionalFormatting>
  <conditionalFormatting sqref="K4:K11">
    <cfRule type="expression" dxfId="874" priority="89">
      <formula>ABS(K$7-K$10)&gt;=1000</formula>
    </cfRule>
  </conditionalFormatting>
  <conditionalFormatting sqref="L4:L11">
    <cfRule type="expression" dxfId="873" priority="88">
      <formula>ABS(L$7-L$10)&gt;=1000</formula>
    </cfRule>
  </conditionalFormatting>
  <conditionalFormatting sqref="M4 M6:M11">
    <cfRule type="expression" dxfId="872" priority="87">
      <formula>ABS(M$7-M$10)&gt;=1000</formula>
    </cfRule>
  </conditionalFormatting>
  <conditionalFormatting sqref="N4 N6:N11">
    <cfRule type="expression" dxfId="871" priority="86">
      <formula>ABS(N$7-N$10)&gt;=1000</formula>
    </cfRule>
  </conditionalFormatting>
  <conditionalFormatting sqref="O4 O6:O11">
    <cfRule type="expression" dxfId="870" priority="85">
      <formula>ABS(O$7-O$10)&gt;=1000</formula>
    </cfRule>
  </conditionalFormatting>
  <conditionalFormatting sqref="P4 P6:P11">
    <cfRule type="expression" dxfId="869" priority="84">
      <formula>ABS(P$7-P$10)&gt;=1000</formula>
    </cfRule>
  </conditionalFormatting>
  <conditionalFormatting sqref="Q4:Q11">
    <cfRule type="expression" dxfId="868" priority="83">
      <formula>ABS(Q$7-Q$10)&gt;=1000</formula>
    </cfRule>
  </conditionalFormatting>
  <conditionalFormatting sqref="R4:R11">
    <cfRule type="expression" dxfId="867" priority="82">
      <formula>ABS(R$7-R$10)&gt;=1000</formula>
    </cfRule>
  </conditionalFormatting>
  <conditionalFormatting sqref="S4:S11">
    <cfRule type="expression" dxfId="866" priority="81">
      <formula>ABS(S$7-S$10)&gt;=1000</formula>
    </cfRule>
  </conditionalFormatting>
  <conditionalFormatting sqref="T4:T9 T11">
    <cfRule type="expression" dxfId="865" priority="80">
      <formula>ABS(T$7-T$10)&gt;=1000</formula>
    </cfRule>
  </conditionalFormatting>
  <conditionalFormatting sqref="U4:U9 U11">
    <cfRule type="expression" dxfId="864" priority="79">
      <formula>ABS(U$7-U$10)&gt;=1000</formula>
    </cfRule>
  </conditionalFormatting>
  <conditionalFormatting sqref="V4:V9 V11">
    <cfRule type="expression" dxfId="863" priority="78">
      <formula>ABS(V$7-V$10)&gt;=1000</formula>
    </cfRule>
  </conditionalFormatting>
  <conditionalFormatting sqref="W4:W9 W11">
    <cfRule type="expression" dxfId="862" priority="77">
      <formula>ABS(W$7-W$10)&gt;=1000</formula>
    </cfRule>
  </conditionalFormatting>
  <conditionalFormatting sqref="X4:X9 X11">
    <cfRule type="expression" dxfId="861" priority="76">
      <formula>ABS(X$7-X$10)&gt;=1000</formula>
    </cfRule>
  </conditionalFormatting>
  <conditionalFormatting sqref="Y4:Y9 Y11">
    <cfRule type="expression" dxfId="860" priority="75">
      <formula>ABS(Y$7-Y$10)&gt;=1000</formula>
    </cfRule>
  </conditionalFormatting>
  <conditionalFormatting sqref="Z4:Z11">
    <cfRule type="expression" dxfId="859" priority="74">
      <formula>ABS(Z$7-Z$10)&gt;=1000</formula>
    </cfRule>
  </conditionalFormatting>
  <conditionalFormatting sqref="AA4:AA11">
    <cfRule type="expression" dxfId="858" priority="73">
      <formula>ABS(AA$7-AA$10)&gt;=1000</formula>
    </cfRule>
  </conditionalFormatting>
  <conditionalFormatting sqref="AB4:AB11">
    <cfRule type="expression" dxfId="857" priority="72">
      <formula>ABS(AB$7-AB$10)&gt;=1000</formula>
    </cfRule>
  </conditionalFormatting>
  <conditionalFormatting sqref="AC4 AC6:AC11">
    <cfRule type="expression" dxfId="856" priority="71">
      <formula>ABS(AC$7-AC$10)&gt;=1000</formula>
    </cfRule>
  </conditionalFormatting>
  <conditionalFormatting sqref="AD4:AD11">
    <cfRule type="expression" dxfId="855" priority="70">
      <formula>ABS(AD$7-AD$10)&gt;=1000</formula>
    </cfRule>
  </conditionalFormatting>
  <conditionalFormatting sqref="AE4:AE11">
    <cfRule type="expression" dxfId="854" priority="69">
      <formula>ABS(AE$7-AE$10)&gt;=1000</formula>
    </cfRule>
  </conditionalFormatting>
  <conditionalFormatting sqref="D13:D20">
    <cfRule type="expression" dxfId="853" priority="68">
      <formula>ABS(D$16-D$19)&gt;=1000</formula>
    </cfRule>
  </conditionalFormatting>
  <conditionalFormatting sqref="E13:E20">
    <cfRule type="expression" dxfId="852" priority="67">
      <formula>ABS(E$16-E$19)&gt;=1000</formula>
    </cfRule>
  </conditionalFormatting>
  <conditionalFormatting sqref="F13 F15:F20">
    <cfRule type="expression" dxfId="851" priority="66">
      <formula>ABS(F$16-F$19)&gt;=1000</formula>
    </cfRule>
  </conditionalFormatting>
  <conditionalFormatting sqref="G13:G20">
    <cfRule type="expression" dxfId="850" priority="65">
      <formula>ABS(G$16-G$19)&gt;=1000</formula>
    </cfRule>
  </conditionalFormatting>
  <conditionalFormatting sqref="H13:H20">
    <cfRule type="expression" dxfId="849" priority="64">
      <formula>ABS(H$16-H$19)&gt;=1000</formula>
    </cfRule>
  </conditionalFormatting>
  <conditionalFormatting sqref="I13:I20">
    <cfRule type="expression" dxfId="848" priority="63">
      <formula>ABS(I$16-I$19)&gt;=1000</formula>
    </cfRule>
  </conditionalFormatting>
  <conditionalFormatting sqref="J13:J20">
    <cfRule type="expression" dxfId="847" priority="62">
      <formula>ABS(J$16-J$19)&gt;=1000</formula>
    </cfRule>
  </conditionalFormatting>
  <conditionalFormatting sqref="L13:L20">
    <cfRule type="expression" dxfId="846" priority="61">
      <formula>ABS(L$16-L$19)&gt;=1000</formula>
    </cfRule>
  </conditionalFormatting>
  <conditionalFormatting sqref="M13 M15 M17:M18 M20">
    <cfRule type="expression" dxfId="845" priority="60">
      <formula>ABS(M$16-M$19)&gt;=1000</formula>
    </cfRule>
  </conditionalFormatting>
  <conditionalFormatting sqref="N13:N20">
    <cfRule type="expression" dxfId="844" priority="59">
      <formula>ABS(N$16-N$19)&gt;=1000</formula>
    </cfRule>
  </conditionalFormatting>
  <conditionalFormatting sqref="O13:O20">
    <cfRule type="expression" dxfId="843" priority="58">
      <formula>ABS(O$16-O$19)&gt;=1000</formula>
    </cfRule>
  </conditionalFormatting>
  <conditionalFormatting sqref="P13:P20">
    <cfRule type="expression" dxfId="842" priority="57">
      <formula>ABS(P$16-P$19)&gt;=1000</formula>
    </cfRule>
  </conditionalFormatting>
  <conditionalFormatting sqref="Q13 Q15:Q20">
    <cfRule type="expression" dxfId="841" priority="56">
      <formula>ABS(Q$16-Q$19)&gt;=1000</formula>
    </cfRule>
  </conditionalFormatting>
  <conditionalFormatting sqref="R13:R20">
    <cfRule type="expression" dxfId="840" priority="55">
      <formula>ABS(R$16-R$19)&gt;=1000</formula>
    </cfRule>
  </conditionalFormatting>
  <conditionalFormatting sqref="S13:S20">
    <cfRule type="expression" dxfId="839" priority="54">
      <formula>ABS(S$16-S$19)&gt;=1000</formula>
    </cfRule>
  </conditionalFormatting>
  <conditionalFormatting sqref="T13:T20">
    <cfRule type="expression" dxfId="838" priority="53">
      <formula>ABS(T$16-T$19)&gt;=1000</formula>
    </cfRule>
  </conditionalFormatting>
  <conditionalFormatting sqref="U13:U20">
    <cfRule type="expression" dxfId="837" priority="52">
      <formula>ABS(U$16-U$19)&gt;=1000</formula>
    </cfRule>
  </conditionalFormatting>
  <conditionalFormatting sqref="V13:V20">
    <cfRule type="expression" dxfId="836" priority="51">
      <formula>ABS(V$16-V$19)&gt;=1000</formula>
    </cfRule>
  </conditionalFormatting>
  <conditionalFormatting sqref="W13 W15:W18 W20">
    <cfRule type="expression" dxfId="835" priority="50">
      <formula>ABS(W$16-W$19)&gt;=1000</formula>
    </cfRule>
  </conditionalFormatting>
  <conditionalFormatting sqref="X13 X15:X20 Y19">
    <cfRule type="expression" dxfId="834" priority="49">
      <formula>ABS(X$16-X$19)&gt;=1000</formula>
    </cfRule>
  </conditionalFormatting>
  <conditionalFormatting sqref="Y13 Y15:Y18 Y20">
    <cfRule type="expression" dxfId="833" priority="48">
      <formula>ABS(Y$16-Y$19)&gt;=1000</formula>
    </cfRule>
  </conditionalFormatting>
  <conditionalFormatting sqref="Z13:Z20">
    <cfRule type="expression" dxfId="832" priority="47">
      <formula>ABS(Z$16-Z$19)&gt;=1000</formula>
    </cfRule>
  </conditionalFormatting>
  <conditionalFormatting sqref="AA13:AA20">
    <cfRule type="expression" dxfId="831" priority="46">
      <formula>ABS(AA$16-AA$19)&gt;=1000</formula>
    </cfRule>
  </conditionalFormatting>
  <conditionalFormatting sqref="AB13 AB15:AB20">
    <cfRule type="expression" dxfId="830" priority="45">
      <formula>ABS(AB$16-AB$19)&gt;=1000</formula>
    </cfRule>
  </conditionalFormatting>
  <conditionalFormatting sqref="AC13 AC15:AC20">
    <cfRule type="expression" dxfId="829" priority="44">
      <formula>ABS(AC$16-AC$19)&gt;=1000</formula>
    </cfRule>
  </conditionalFormatting>
  <conditionalFormatting sqref="AD13:AD20">
    <cfRule type="expression" dxfId="828" priority="43">
      <formula>ABS(AD$16-AD$19)&gt;=1000</formula>
    </cfRule>
  </conditionalFormatting>
  <conditionalFormatting sqref="AE13:AE20">
    <cfRule type="expression" dxfId="827" priority="42">
      <formula>ABS(AE$16-AE$19)&gt;=1000</formula>
    </cfRule>
  </conditionalFormatting>
  <conditionalFormatting sqref="D22:D29">
    <cfRule type="expression" dxfId="826" priority="41">
      <formula>ABS(D$25-D$28)&gt;=1000</formula>
    </cfRule>
  </conditionalFormatting>
  <conditionalFormatting sqref="E22:E29">
    <cfRule type="expression" dxfId="825" priority="40">
      <formula>ABS(E$25-E$28)&gt;=1000</formula>
    </cfRule>
  </conditionalFormatting>
  <conditionalFormatting sqref="F22:F29">
    <cfRule type="expression" dxfId="824" priority="39">
      <formula>ABS(F$25-F$28)&gt;=1000</formula>
    </cfRule>
  </conditionalFormatting>
  <conditionalFormatting sqref="G22:G29">
    <cfRule type="expression" dxfId="823" priority="38">
      <formula>ABS(G$25-G$28)&gt;=1000</formula>
    </cfRule>
  </conditionalFormatting>
  <conditionalFormatting sqref="H22:H29">
    <cfRule type="expression" dxfId="822" priority="37">
      <formula>ABS(H$25-H$28)&gt;=1000</formula>
    </cfRule>
  </conditionalFormatting>
  <conditionalFormatting sqref="I22 I24:I29">
    <cfRule type="expression" dxfId="821" priority="36">
      <formula>ABS(I$25-I$28)&gt;=1000</formula>
    </cfRule>
  </conditionalFormatting>
  <conditionalFormatting sqref="J22:J29 K22">
    <cfRule type="expression" dxfId="820" priority="35">
      <formula>ABS(J$25-J$28)&gt;=1000</formula>
    </cfRule>
  </conditionalFormatting>
  <conditionalFormatting sqref="K23:K29 L25 L28">
    <cfRule type="expression" dxfId="819" priority="34">
      <formula>ABS(K$25-K$28)&gt;=1000</formula>
    </cfRule>
  </conditionalFormatting>
  <conditionalFormatting sqref="L22:L24 L26:L27 L29">
    <cfRule type="expression" dxfId="818" priority="33">
      <formula>ABS(L$25-L$28)&gt;=1000</formula>
    </cfRule>
  </conditionalFormatting>
  <conditionalFormatting sqref="M22:M29">
    <cfRule type="expression" dxfId="817" priority="32">
      <formula>ABS(M$25-M$28)&gt;=1000</formula>
    </cfRule>
  </conditionalFormatting>
  <conditionalFormatting sqref="N22:N29">
    <cfRule type="expression" dxfId="816" priority="31">
      <formula>ABS(N$25-N$28)&gt;=1000</formula>
    </cfRule>
  </conditionalFormatting>
  <conditionalFormatting sqref="O22:O29">
    <cfRule type="expression" dxfId="815" priority="30">
      <formula>ABS(O$25-O$28)&gt;=1000</formula>
    </cfRule>
  </conditionalFormatting>
  <conditionalFormatting sqref="P22:P29">
    <cfRule type="expression" dxfId="814" priority="29">
      <formula>ABS(P$25-P$28)&gt;=1000</formula>
    </cfRule>
  </conditionalFormatting>
  <conditionalFormatting sqref="Q22:Q29">
    <cfRule type="expression" dxfId="813" priority="28">
      <formula>ABS(Q$25-Q$28)&gt;=1000</formula>
    </cfRule>
  </conditionalFormatting>
  <conditionalFormatting sqref="R22:R29">
    <cfRule type="expression" dxfId="812" priority="27">
      <formula>ABS(R$25-R$28)&gt;=1000</formula>
    </cfRule>
  </conditionalFormatting>
  <conditionalFormatting sqref="S22:S29">
    <cfRule type="expression" dxfId="811" priority="26">
      <formula>ABS(S$25-S$28)&gt;=1000</formula>
    </cfRule>
  </conditionalFormatting>
  <conditionalFormatting sqref="T22:T29">
    <cfRule type="expression" dxfId="810" priority="25">
      <formula>ABS(T$25-T$28)&gt;=1000</formula>
    </cfRule>
  </conditionalFormatting>
  <conditionalFormatting sqref="U22:U29">
    <cfRule type="expression" dxfId="809" priority="24">
      <formula>ABS(U$25-U$28)&gt;=1000</formula>
    </cfRule>
  </conditionalFormatting>
  <conditionalFormatting sqref="V22:V29">
    <cfRule type="expression" dxfId="808" priority="23">
      <formula>ABS(V$25-V$28)&gt;=1000</formula>
    </cfRule>
  </conditionalFormatting>
  <conditionalFormatting sqref="W22:W29">
    <cfRule type="expression" dxfId="807" priority="22">
      <formula>ABS(W$25-W$28)&gt;=1000</formula>
    </cfRule>
  </conditionalFormatting>
  <conditionalFormatting sqref="X22:X29">
    <cfRule type="expression" dxfId="806" priority="21">
      <formula>ABS(X$25-X$28)&gt;=1000</formula>
    </cfRule>
  </conditionalFormatting>
  <conditionalFormatting sqref="Y22:Y29">
    <cfRule type="expression" dxfId="805" priority="20">
      <formula>ABS(Y$25-Y$28)&gt;=1000</formula>
    </cfRule>
  </conditionalFormatting>
  <conditionalFormatting sqref="I23">
    <cfRule type="expression" dxfId="804" priority="19">
      <formula>ABS(I$25-I$28)&gt;=1000</formula>
    </cfRule>
  </conditionalFormatting>
  <conditionalFormatting sqref="F14">
    <cfRule type="expression" dxfId="803" priority="18">
      <formula>ABS(F$16-F$19)&gt;=1000</formula>
    </cfRule>
  </conditionalFormatting>
  <conditionalFormatting sqref="Q14">
    <cfRule type="expression" dxfId="802" priority="17">
      <formula>ABS(Q$16-Q$19)&gt;=1000</formula>
    </cfRule>
  </conditionalFormatting>
  <conditionalFormatting sqref="W14">
    <cfRule type="expression" dxfId="801" priority="16">
      <formula>ABS(W$16-W$19)&gt;=1000</formula>
    </cfRule>
  </conditionalFormatting>
  <conditionalFormatting sqref="Y14">
    <cfRule type="expression" dxfId="800" priority="15">
      <formula>ABS(Y$16-Y$19)&gt;=1000</formula>
    </cfRule>
  </conditionalFormatting>
  <conditionalFormatting sqref="X14">
    <cfRule type="expression" dxfId="799" priority="14">
      <formula>ABS(X$16-X$19)&gt;=1000</formula>
    </cfRule>
  </conditionalFormatting>
  <conditionalFormatting sqref="T10:Y10">
    <cfRule type="expression" dxfId="798" priority="13">
      <formula>ABS(T$7-T$10)&gt;=1000</formula>
    </cfRule>
  </conditionalFormatting>
  <conditionalFormatting sqref="W19">
    <cfRule type="expression" dxfId="797" priority="12">
      <formula>ABS(W$16-W$19)&gt;=1000</formula>
    </cfRule>
  </conditionalFormatting>
  <conditionalFormatting sqref="AC5">
    <cfRule type="expression" dxfId="796" priority="11">
      <formula>ABS(AC$7-AC$10)&gt;=1000</formula>
    </cfRule>
  </conditionalFormatting>
  <conditionalFormatting sqref="M14">
    <cfRule type="expression" dxfId="795" priority="10">
      <formula>ABS(M$16-M$19)&gt;=1000</formula>
    </cfRule>
  </conditionalFormatting>
  <conditionalFormatting sqref="M16">
    <cfRule type="expression" dxfId="794" priority="9">
      <formula>ABS(M$16-M$19)&gt;=1000</formula>
    </cfRule>
  </conditionalFormatting>
  <conditionalFormatting sqref="M19">
    <cfRule type="expression" dxfId="793" priority="8">
      <formula>ABS(M$16-M$19)&gt;=1000</formula>
    </cfRule>
  </conditionalFormatting>
  <conditionalFormatting sqref="K13:K20">
    <cfRule type="expression" dxfId="792" priority="7">
      <formula>ABS(K$16-K$19)&gt;=1000</formula>
    </cfRule>
  </conditionalFormatting>
  <conditionalFormatting sqref="E5">
    <cfRule type="expression" dxfId="791" priority="6">
      <formula>ABS(E$7-E$10)&gt;=1000</formula>
    </cfRule>
  </conditionalFormatting>
  <conditionalFormatting sqref="AB14:AC14">
    <cfRule type="expression" dxfId="790" priority="5">
      <formula>ABS(AB$16-AB$19)&gt;=1000</formula>
    </cfRule>
  </conditionalFormatting>
  <conditionalFormatting sqref="M5">
    <cfRule type="expression" dxfId="789" priority="4">
      <formula>ABS(M$7-M$10)&gt;=1000</formula>
    </cfRule>
  </conditionalFormatting>
  <conditionalFormatting sqref="N5">
    <cfRule type="expression" dxfId="788" priority="3">
      <formula>ABS(N$7-N$10)&gt;=1000</formula>
    </cfRule>
  </conditionalFormatting>
  <conditionalFormatting sqref="O5">
    <cfRule type="expression" dxfId="787" priority="2">
      <formula>ABS(O$7-O$10)&gt;=1000</formula>
    </cfRule>
  </conditionalFormatting>
  <conditionalFormatting sqref="P5">
    <cfRule type="expression" dxfId="786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0332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78">
    <pageSetUpPr fitToPage="1"/>
  </sheetPr>
  <dimension ref="A1:CU223"/>
  <sheetViews>
    <sheetView view="pageBreakPreview" topLeftCell="A7" zoomScale="70" zoomScaleNormal="100" zoomScaleSheetLayoutView="70" workbookViewId="0">
      <selection activeCell="V18" sqref="V18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08" t="s" ph="1">
        <v>192</v>
      </c>
      <c r="C1" s="208" ph="1"/>
      <c r="D1" s="208" ph="1"/>
      <c r="E1" s="208" ph="1"/>
      <c r="F1" s="208" ph="1"/>
      <c r="G1" s="208" ph="1"/>
      <c r="H1" s="208" ph="1"/>
      <c r="I1" s="208" ph="1"/>
      <c r="J1" s="208" ph="1"/>
      <c r="K1" s="208" ph="1"/>
      <c r="L1" s="208" ph="1"/>
      <c r="M1" s="208" ph="1"/>
      <c r="N1" s="208" ph="1"/>
      <c r="O1" s="208" ph="1"/>
      <c r="P1" s="208" ph="1"/>
      <c r="Q1" s="208" ph="1"/>
      <c r="R1" s="208" ph="1"/>
      <c r="S1" s="208" ph="1"/>
      <c r="T1" s="208" ph="1"/>
      <c r="U1" s="208" ph="1"/>
      <c r="V1" s="208" ph="1"/>
      <c r="W1" s="208" ph="1"/>
      <c r="X1" s="208" ph="1"/>
      <c r="Y1" s="208" ph="1"/>
      <c r="Z1" s="208" ph="1"/>
      <c r="AA1" s="208" ph="1"/>
      <c r="AB1" s="208" ph="1"/>
      <c r="AC1" s="208" ph="1"/>
      <c r="AD1" s="208" ph="1"/>
      <c r="AE1" s="208" ph="1"/>
    </row>
    <row r="2" spans="1:99" s="66" customFormat="1" ht="24" customHeight="1" ph="1">
      <c r="B2" s="209" t="s" ph="1">
        <v>99</v>
      </c>
      <c r="C2" s="209" ph="1"/>
      <c r="D2" s="209" ph="1"/>
      <c r="E2" s="209" ph="1"/>
      <c r="F2" s="209" ph="1"/>
      <c r="G2" s="209" ph="1"/>
      <c r="H2" s="209" ph="1"/>
      <c r="I2" s="209" ph="1"/>
      <c r="J2" s="209" ph="1"/>
      <c r="K2" s="209" ph="1"/>
      <c r="L2" s="209" ph="1"/>
      <c r="M2" s="209" ph="1"/>
      <c r="N2" s="209" ph="1"/>
      <c r="O2" s="209" ph="1"/>
      <c r="P2" s="209" ph="1"/>
      <c r="Q2" s="209" ph="1"/>
      <c r="R2" s="209" ph="1"/>
      <c r="S2" s="209" ph="1"/>
      <c r="T2" s="209" ph="1"/>
      <c r="U2" s="209" ph="1"/>
      <c r="V2" s="209" ph="1"/>
      <c r="W2" s="209" ph="1"/>
      <c r="X2" s="209" ph="1"/>
      <c r="Y2" s="209" ph="1"/>
      <c r="Z2" s="209" ph="1"/>
      <c r="AA2" s="209" ph="1"/>
      <c r="AB2" s="209" ph="1"/>
      <c r="AC2" s="209" ph="1"/>
      <c r="AD2" s="209" ph="1"/>
      <c r="AE2" s="209" ph="1"/>
    </row>
    <row r="3" spans="1:99" ht="21" customHeight="1" ph="1">
      <c r="B3" s="210" ph="1">
        <v>45708</v>
      </c>
      <c r="C3" s="210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210"/>
      <c r="R3" s="210"/>
      <c r="S3" s="210"/>
      <c r="T3" s="210"/>
      <c r="U3" s="210"/>
      <c r="V3" s="210"/>
      <c r="W3" s="210"/>
      <c r="X3" s="210"/>
      <c r="Y3" s="210"/>
      <c r="Z3" s="210"/>
      <c r="AA3" s="210"/>
      <c r="AB3" s="210"/>
      <c r="AC3" s="210"/>
      <c r="AD3" s="210"/>
      <c r="AE3" s="210"/>
    </row>
    <row r="4" spans="1:99" s="69" customFormat="1" ph="1">
      <c r="A4" s="65" ph="1"/>
      <c r="B4" s="211" t="s" ph="1">
        <v>37</v>
      </c>
      <c r="C4" s="67" t="s" ph="1">
        <v>207</v>
      </c>
      <c r="D4" s="68" t="s" ph="1">
        <v>45</v>
      </c>
      <c r="E4" s="68" t="s" ph="1">
        <v>46</v>
      </c>
      <c r="F4" s="68" t="s" ph="1">
        <v>39</v>
      </c>
      <c r="G4" s="68" t="s" ph="1">
        <v>47</v>
      </c>
      <c r="H4" s="68" t="s" ph="1">
        <v>48</v>
      </c>
      <c r="I4" s="68" t="s" ph="1">
        <v>132</v>
      </c>
      <c r="J4" s="68" t="s" ph="1">
        <v>49</v>
      </c>
      <c r="K4" s="68" t="s" ph="1">
        <v>133</v>
      </c>
      <c r="L4" s="68" t="s" ph="1">
        <v>134</v>
      </c>
      <c r="M4" s="68" t="s" ph="1">
        <v>50</v>
      </c>
      <c r="N4" s="68" t="s" ph="1">
        <v>51</v>
      </c>
      <c r="O4" s="68" t="s" ph="1">
        <v>136</v>
      </c>
      <c r="P4" s="68" t="s" ph="1">
        <v>138</v>
      </c>
      <c r="Q4" s="68" t="s" ph="1">
        <v>139</v>
      </c>
      <c r="R4" s="68" t="s" ph="1">
        <v>140</v>
      </c>
      <c r="S4" s="68" t="s" ph="1">
        <v>141</v>
      </c>
      <c r="T4" s="68" t="s" ph="1">
        <v>142</v>
      </c>
      <c r="U4" s="68" t="s" ph="1">
        <v>143</v>
      </c>
      <c r="V4" s="68" t="s" ph="1">
        <v>144</v>
      </c>
      <c r="W4" s="68" t="s" ph="1">
        <v>145</v>
      </c>
      <c r="X4" s="68" t="s" ph="1">
        <v>146</v>
      </c>
      <c r="Y4" s="68" t="s" ph="1">
        <v>147</v>
      </c>
      <c r="Z4" s="68" t="s" ph="1">
        <v>52</v>
      </c>
      <c r="AA4" s="68" t="s" ph="1">
        <v>148</v>
      </c>
      <c r="AB4" s="68" t="s" ph="1">
        <v>149</v>
      </c>
      <c r="AC4" s="68" t="s" ph="1">
        <v>150</v>
      </c>
      <c r="AD4" s="68" t="s" ph="1">
        <v>40</v>
      </c>
      <c r="AE4" s="68" t="s" ph="1">
        <v>151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1" ph="1"/>
      <c r="C5" s="67" t="s" ph="1">
        <v>36</v>
      </c>
      <c r="D5" s="70" t="s" ph="1">
        <v>191</v>
      </c>
      <c r="E5" s="70" t="s" ph="1">
        <v>7</v>
      </c>
      <c r="F5" s="70" t="s" ph="1">
        <v>1</v>
      </c>
      <c r="G5" s="70" t="s" ph="1">
        <v>7</v>
      </c>
      <c r="H5" s="70" t="s" ph="1">
        <v>7</v>
      </c>
      <c r="I5" s="70" t="s" ph="1">
        <v>657</v>
      </c>
      <c r="J5" s="70" t="s" ph="1">
        <v>658</v>
      </c>
      <c r="K5" s="70" t="s" ph="1">
        <v>660</v>
      </c>
      <c r="L5" s="70" t="s" ph="1">
        <v>662</v>
      </c>
      <c r="M5" s="70" t="s" ph="1">
        <v>657</v>
      </c>
      <c r="N5" s="70" t="s" ph="1">
        <v>658</v>
      </c>
      <c r="O5" s="70" t="s" ph="1">
        <v>660</v>
      </c>
      <c r="P5" s="70" t="s" ph="1">
        <v>662</v>
      </c>
      <c r="Q5" s="70" t="s" ph="1">
        <v>656</v>
      </c>
      <c r="R5" s="70" t="s" ph="1">
        <v>656</v>
      </c>
      <c r="S5" s="70" t="s" ph="1">
        <v>656</v>
      </c>
      <c r="T5" s="70" t="s" ph="1">
        <v>656</v>
      </c>
      <c r="U5" s="70" t="s" ph="1">
        <v>656</v>
      </c>
      <c r="V5" s="70" t="s" ph="1">
        <v>656</v>
      </c>
      <c r="W5" s="70" t="s" ph="1">
        <v>656</v>
      </c>
      <c r="X5" s="70" t="s" ph="1">
        <v>656</v>
      </c>
      <c r="Y5" s="70" t="s" ph="1">
        <v>656</v>
      </c>
      <c r="Z5" s="70" t="s" ph="1">
        <v>663</v>
      </c>
      <c r="AA5" s="70" t="s" ph="1">
        <v>62</v>
      </c>
      <c r="AB5" s="70" t="s" ph="1">
        <v>62</v>
      </c>
      <c r="AC5" s="70" t="s" ph="1">
        <v>664</v>
      </c>
      <c r="AD5" s="70" t="s" ph="1">
        <v>83</v>
      </c>
      <c r="AE5" s="70" t="s" ph="1">
        <v>654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07" ph="1">
        <v>0.33333333333333331</v>
      </c>
      <c r="C6" s="176" t="s" ph="1">
        <v>208</v>
      </c>
      <c r="D6" s="71">
        <v>2634</v>
      </c>
      <c r="E6" s="71">
        <v>0</v>
      </c>
      <c r="F6" s="71">
        <v>4381</v>
      </c>
      <c r="G6" s="71">
        <v>7096</v>
      </c>
      <c r="H6" s="71">
        <v>3403</v>
      </c>
      <c r="I6" s="71">
        <v>27.11</v>
      </c>
      <c r="J6" s="71">
        <v>7.81</v>
      </c>
      <c r="K6" s="71">
        <v>87.41</v>
      </c>
      <c r="L6" s="71">
        <v>34.909999999999997</v>
      </c>
      <c r="M6" s="71">
        <v>4525</v>
      </c>
      <c r="N6" s="71">
        <v>4715</v>
      </c>
      <c r="O6" s="71">
        <v>5217</v>
      </c>
      <c r="P6" s="71">
        <v>3897</v>
      </c>
      <c r="Q6" s="71">
        <v>0</v>
      </c>
      <c r="R6" s="71">
        <v>0</v>
      </c>
      <c r="S6" s="71">
        <v>0</v>
      </c>
      <c r="T6" s="71">
        <v>7043</v>
      </c>
      <c r="U6" s="71">
        <v>7003</v>
      </c>
      <c r="V6" s="71">
        <v>1501</v>
      </c>
      <c r="W6" s="71">
        <v>0</v>
      </c>
      <c r="X6" s="71">
        <v>0</v>
      </c>
      <c r="Y6" s="71">
        <v>0</v>
      </c>
      <c r="Z6" s="71">
        <v>4658</v>
      </c>
      <c r="AA6" s="71">
        <v>1628</v>
      </c>
      <c r="AB6" s="71">
        <v>2538</v>
      </c>
      <c r="AC6" s="71">
        <v>8346</v>
      </c>
      <c r="AD6" s="71">
        <v>270</v>
      </c>
      <c r="AE6" s="71">
        <v>3610</v>
      </c>
    </row>
    <row r="7" spans="1:99" s="72" customFormat="1" ht="22.5" ph="1">
      <c r="B7" s="207" ph="1"/>
      <c r="C7" s="68" t="s" ph="1">
        <v>209</v>
      </c>
      <c r="D7" s="73" ph="1">
        <f>D6*33.183*LOOKUP(D8,密度!$A$2:$A$50,密度!$Q$2:$Q$50)</f>
        <v>82876.493660399996</v>
      </c>
      <c r="E7" s="73" ph="1">
        <f>E6*51.53*LOOKUP(E8,密度!$A$2:$A$50,密度!$I$2:$I$50)</f>
        <v>0</v>
      </c>
      <c r="F7" s="73" ph="1">
        <f>F6*33.183*LOOKUP(F8,密度!$A$2:$A$50,密度!$C$2:$C$50)</f>
        <v>162020.1287835</v>
      </c>
      <c r="G7" s="73" ph="1">
        <f xml:space="preserve"> (G6+2)*51.53*LOOKUP(G8,密度!$A$2:$A$50,密度!$B$2:$B$50)</f>
        <v>287926.22476800001</v>
      </c>
      <c r="H7" s="73" ph="1">
        <f>(H6)*51.53*LOOKUP(H8,密度!$A$2:$A$50,密度!$B$2:$B$50)</f>
        <v>138935.02625699999</v>
      </c>
      <c r="I7" s="73" ph="1">
        <f>I6*290.8*1.0267</f>
        <v>8094.0797995999992</v>
      </c>
      <c r="J7" s="73" ph="1">
        <f>J6*290.8*0.7892</f>
        <v>1792.3900016000002</v>
      </c>
      <c r="K7" s="73" ph="1">
        <f>K6*290.8*1.1126</f>
        <v>28280.988032800004</v>
      </c>
      <c r="L7" s="73" ph="1">
        <f>L6*290.8*0.777</f>
        <v>7887.9703559999998</v>
      </c>
      <c r="M7" s="73" ph="1">
        <f>M6*33.183*LOOKUP(M8,密度!$A$2:$A$50,密度!$D$2:$D$50)</f>
        <v>155498.52447000003</v>
      </c>
      <c r="N7" s="73" ph="1">
        <f>N6*33.183*LOOKUP(N8,密度!$A$2:$A$50,密度!$E$2:$E$50)</f>
        <v>124164.945792</v>
      </c>
      <c r="O7" s="73" ph="1">
        <f>O6*20.428*LOOKUP(O8,密度!$A$2:$A$50,密度!$C$2:$C$50)</f>
        <v>118498.38082440001</v>
      </c>
      <c r="P7" s="73" ph="1">
        <f>P6*51.53*LOOKUP(P8,密度!$A$2:$A$50,密度!$B$2:$B$50)</f>
        <v>158420.91024900001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47294.942309999999</v>
      </c>
      <c r="U7" s="73" ph="1">
        <f>U6*1.5*1.5*3.1416*LOOKUP(U8,密度!$A$2:$A$50,密度!$L$2:$L$50)</f>
        <v>46828.329886799998</v>
      </c>
      <c r="V7" s="73" ph="1">
        <f>V6*1.5*1.5*3.1416*LOOKUP(V8,密度!$A$2:$A$50,密度!$L$2:$L$50)</f>
        <v>9983.9804525999989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146374.39405799998</v>
      </c>
      <c r="AA7" s="73" ph="1">
        <f>AA6*33.183*LOOKUP(AA8,密度!$A$2:$A$50,密度!$D$2:$D$50)</f>
        <v>55945.104494400002</v>
      </c>
      <c r="AB7" s="73" ph="1">
        <f>AB6*20.428*LOOKUP(AB8,密度!$A$2:$A$50,密度!$D$2:$D$50)</f>
        <v>54106.76111040001</v>
      </c>
      <c r="AC7" s="73" ph="1">
        <f>AC6*51.53*LOOKUP(AC8,密度!$A$2:$A$50,密度!$Q$2:$Q$50)</f>
        <v>410518.42598520004</v>
      </c>
      <c r="AD7" s="73" ph="1">
        <f>AD6*20.428*LOOKUP(AD8,密度!$A$2:$A$50,密度!$V$2:$V$50)</f>
        <v>5316.9998400000004</v>
      </c>
      <c r="AE7" s="73" ph="1">
        <f>AE6*20.428</f>
        <v>73745.08</v>
      </c>
    </row>
    <row r="8" spans="1:99" ph="1">
      <c r="B8" s="207" ph="1"/>
      <c r="C8" s="68" t="s" ph="1">
        <v>210</v>
      </c>
      <c r="D8" s="74">
        <v>23</v>
      </c>
      <c r="E8" s="74">
        <v>15</v>
      </c>
      <c r="F8" s="74">
        <v>17</v>
      </c>
      <c r="G8" s="74">
        <v>16</v>
      </c>
      <c r="H8" s="74">
        <v>10</v>
      </c>
      <c r="I8" s="74">
        <v>25</v>
      </c>
      <c r="J8" s="74">
        <v>25</v>
      </c>
      <c r="K8" s="74">
        <v>25</v>
      </c>
      <c r="L8" s="74">
        <v>25</v>
      </c>
      <c r="M8" s="74">
        <v>15</v>
      </c>
      <c r="N8" s="74">
        <v>16</v>
      </c>
      <c r="O8" s="74">
        <v>21</v>
      </c>
      <c r="P8" s="74">
        <v>14</v>
      </c>
      <c r="Q8" s="74">
        <v>14</v>
      </c>
      <c r="R8" s="74">
        <v>22</v>
      </c>
      <c r="S8" s="74">
        <v>10</v>
      </c>
      <c r="T8" s="74">
        <v>12</v>
      </c>
      <c r="U8" s="74">
        <v>16</v>
      </c>
      <c r="V8" s="74">
        <v>21</v>
      </c>
      <c r="W8" s="74">
        <v>16</v>
      </c>
      <c r="X8" s="74">
        <v>8</v>
      </c>
      <c r="Y8" s="74">
        <v>15</v>
      </c>
      <c r="Z8" s="74">
        <v>15</v>
      </c>
      <c r="AA8" s="74">
        <v>15</v>
      </c>
      <c r="AB8" s="74">
        <v>6</v>
      </c>
      <c r="AC8" s="74">
        <v>14</v>
      </c>
      <c r="AD8" s="74">
        <v>14</v>
      </c>
      <c r="AE8" s="74">
        <v>19</v>
      </c>
    </row>
    <row r="9" spans="1:99" ph="1">
      <c r="B9" s="207" ph="1">
        <v>0.66666666666666663</v>
      </c>
      <c r="C9" s="176" t="s" ph="1">
        <v>211</v>
      </c>
      <c r="D9" s="71">
        <v>2924</v>
      </c>
      <c r="E9" s="71">
        <v>0</v>
      </c>
      <c r="F9" s="71">
        <v>5187</v>
      </c>
      <c r="G9" s="71">
        <v>8829</v>
      </c>
      <c r="H9" s="71">
        <v>3557</v>
      </c>
      <c r="I9" s="71">
        <v>27.11</v>
      </c>
      <c r="J9" s="71">
        <v>7.81</v>
      </c>
      <c r="K9" s="71">
        <v>87.51</v>
      </c>
      <c r="L9" s="71">
        <v>14.21</v>
      </c>
      <c r="M9" s="71">
        <v>4525</v>
      </c>
      <c r="N9" s="71">
        <v>4716</v>
      </c>
      <c r="O9" s="71">
        <v>5217</v>
      </c>
      <c r="P9" s="71">
        <v>3575</v>
      </c>
      <c r="Q9" s="71">
        <v>0</v>
      </c>
      <c r="R9" s="71">
        <v>0</v>
      </c>
      <c r="S9" s="71">
        <v>0</v>
      </c>
      <c r="T9" s="71">
        <v>3175</v>
      </c>
      <c r="U9" s="71">
        <v>7004</v>
      </c>
      <c r="V9" s="71">
        <v>6515</v>
      </c>
      <c r="W9" s="71">
        <v>0</v>
      </c>
      <c r="X9" s="71">
        <v>0</v>
      </c>
      <c r="Y9" s="71">
        <v>0</v>
      </c>
      <c r="Z9" s="71">
        <v>2417</v>
      </c>
      <c r="AA9" s="71">
        <v>1627</v>
      </c>
      <c r="AB9" s="71">
        <v>2538</v>
      </c>
      <c r="AC9" s="71">
        <v>8090</v>
      </c>
      <c r="AD9" s="71">
        <v>269</v>
      </c>
      <c r="AE9" s="71">
        <v>3580</v>
      </c>
    </row>
    <row r="10" spans="1:99" s="72" customFormat="1" ht="22.5" ph="1">
      <c r="B10" s="207" ph="1"/>
      <c r="C10" s="176" t="s" ph="1">
        <v>209</v>
      </c>
      <c r="D10" s="73" ph="1">
        <f>D9*33.183*LOOKUP(D11,密度!$A$2:$A$50,密度!$Q$2:$Q$50)</f>
        <v>92001.088634400003</v>
      </c>
      <c r="E10" s="73" ph="1">
        <f>E9*51.53*LOOKUP(E11,密度!$A$2:$A$50,密度!$I$2:$I$50)</f>
        <v>0</v>
      </c>
      <c r="F10" s="73" ph="1">
        <f>F9*33.183*LOOKUP(F11,密度!$A$2:$A$50,密度!$C$2:$C$50)</f>
        <v>191827.98630449999</v>
      </c>
      <c r="G10" s="73" ph="1">
        <f xml:space="preserve"> (G9+2)*51.53*LOOKUP(G11,密度!$A$2:$A$50,密度!$B$2:$B$50)</f>
        <v>358224.35769600002</v>
      </c>
      <c r="H10" s="73" ph="1">
        <f>(H9)*51.53*LOOKUP(H11,密度!$A$2:$A$50,密度!$B$2:$B$50)</f>
        <v>145057.454994</v>
      </c>
      <c r="I10" s="73" ph="1">
        <f>I9*290.8*1.0267</f>
        <v>8094.0797995999992</v>
      </c>
      <c r="J10" s="73" ph="1">
        <f>J9*290.8*0.7892</f>
        <v>1792.3900016000002</v>
      </c>
      <c r="K10" s="73" ph="1">
        <f>K9*290.8*1.1126</f>
        <v>28313.342440800003</v>
      </c>
      <c r="L10" s="73" ph="1">
        <f>L9*290.8*0.777</f>
        <v>3210.7722360000002</v>
      </c>
      <c r="M10" s="73" ph="1">
        <f>M9*33.183*LOOKUP(M11,密度!$A$2:$A$50,密度!$D$2:$D$50)</f>
        <v>155243.26424250001</v>
      </c>
      <c r="N10" s="73" ph="1">
        <f>N9*33.183*LOOKUP(N11,密度!$A$2:$A$50,密度!$E$2:$E$50)</f>
        <v>123846.99955919999</v>
      </c>
      <c r="O10" s="73" ph="1">
        <f>O9*20.428*LOOKUP(O11,密度!$A$2:$A$50,密度!$C$2:$C$50)</f>
        <v>118413.1225236</v>
      </c>
      <c r="P10" s="73" ph="1">
        <f>P9*51.53*LOOKUP(P11,密度!$A$2:$A$50,密度!$B$2:$B$50)</f>
        <v>145017.78719999999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21275.779139999999</v>
      </c>
      <c r="U10" s="73" ph="1">
        <f>U9*1.5*1.5*3.1416*LOOKUP(U11,密度!$A$2:$A$50,密度!$L$2:$L$50)</f>
        <v>46785.508307999997</v>
      </c>
      <c r="V10" s="73" ph="1">
        <f>V9*1.5*1.5*3.1416*LOOKUP(V11,密度!$A$2:$A$50,密度!$L$2:$L$50)</f>
        <v>43196.709401999993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75952.535516999997</v>
      </c>
      <c r="AA10" s="73" ph="1">
        <f>AA9*33.183*LOOKUP(AA11,密度!$A$2:$A$50,密度!$D$2:$D$50)</f>
        <v>55910.740179600005</v>
      </c>
      <c r="AB10" s="73" ph="1">
        <f>AB9*20.428*LOOKUP(AB11,密度!$A$2:$A$50,密度!$D$2:$D$50)</f>
        <v>54060.099472800001</v>
      </c>
      <c r="AC10" s="73" ph="1">
        <f>AC9*51.53*LOOKUP(AC11,密度!$A$2:$A$50,密度!$Q$2:$Q$50)</f>
        <v>397926.43975800002</v>
      </c>
      <c r="AD10" s="73" ph="1">
        <f>AD9*20.428*LOOKUP(AD11,密度!$A$2:$A$50,密度!$V$2:$V$50)</f>
        <v>5297.3072480000001</v>
      </c>
      <c r="AE10" s="73" ph="1">
        <f>AE9*20.428</f>
        <v>73132.240000000005</v>
      </c>
    </row>
    <row r="11" spans="1:99" ph="1">
      <c r="A11" s="64" t="s" ph="1">
        <v>193</v>
      </c>
      <c r="B11" s="207" ph="1"/>
      <c r="C11" s="176" t="s" ph="1">
        <v>210</v>
      </c>
      <c r="D11" s="74">
        <v>23</v>
      </c>
      <c r="E11" s="74">
        <v>15</v>
      </c>
      <c r="F11" s="74">
        <v>17</v>
      </c>
      <c r="G11" s="74">
        <v>16</v>
      </c>
      <c r="H11" s="74">
        <v>11</v>
      </c>
      <c r="I11" s="74">
        <v>25</v>
      </c>
      <c r="J11" s="74">
        <v>25</v>
      </c>
      <c r="K11" s="74">
        <v>25</v>
      </c>
      <c r="L11" s="74">
        <v>25</v>
      </c>
      <c r="M11" s="74">
        <v>17</v>
      </c>
      <c r="N11" s="74">
        <v>18</v>
      </c>
      <c r="O11" s="74">
        <v>22</v>
      </c>
      <c r="P11" s="74">
        <v>16</v>
      </c>
      <c r="Q11" s="74">
        <v>17</v>
      </c>
      <c r="R11" s="74">
        <v>24</v>
      </c>
      <c r="S11" s="74">
        <v>12</v>
      </c>
      <c r="T11" s="74">
        <v>14</v>
      </c>
      <c r="U11" s="74">
        <v>17</v>
      </c>
      <c r="V11" s="74">
        <v>24</v>
      </c>
      <c r="W11" s="74">
        <v>19</v>
      </c>
      <c r="X11" s="74">
        <v>9</v>
      </c>
      <c r="Y11" s="74">
        <v>17</v>
      </c>
      <c r="Z11" s="74">
        <v>15</v>
      </c>
      <c r="AA11" s="74">
        <v>15</v>
      </c>
      <c r="AB11" s="74">
        <v>7</v>
      </c>
      <c r="AC11" s="74">
        <v>15</v>
      </c>
      <c r="AD11" s="74">
        <v>16</v>
      </c>
      <c r="AE11" s="74">
        <v>20</v>
      </c>
    </row>
    <row r="12" spans="1:99" ht="9.9499999999999993" customHeight="1" ph="1"/>
    <row r="13" spans="1:99" s="72" customFormat="1" ht="29.25" customHeight="1" ph="1">
      <c r="B13" s="215" t="s" ph="1">
        <v>37</v>
      </c>
      <c r="C13" s="176" t="s" ph="1">
        <v>207</v>
      </c>
      <c r="D13" s="76" t="s" ph="1">
        <v>53</v>
      </c>
      <c r="E13" s="76" t="s" ph="1">
        <v>54</v>
      </c>
      <c r="F13" s="76" t="s" ph="1">
        <v>66</v>
      </c>
      <c r="G13" s="76" t="s" ph="1">
        <v>67</v>
      </c>
      <c r="H13" s="76" t="s" ph="1">
        <v>152</v>
      </c>
      <c r="I13" s="76" t="s" ph="1">
        <v>68</v>
      </c>
      <c r="J13" s="76" t="s" ph="1">
        <v>153</v>
      </c>
      <c r="K13" s="76" t="s" ph="1">
        <v>63</v>
      </c>
      <c r="L13" s="76" t="s" ph="1">
        <v>69</v>
      </c>
      <c r="M13" s="76" t="s" ph="1">
        <v>70</v>
      </c>
      <c r="N13" s="76" t="s" ph="1">
        <v>154</v>
      </c>
      <c r="O13" s="76" t="s" ph="1">
        <v>64</v>
      </c>
      <c r="P13" s="76" t="s" ph="1">
        <v>71</v>
      </c>
      <c r="Q13" s="76" t="s" ph="1">
        <v>72</v>
      </c>
      <c r="R13" s="76" t="s" ph="1">
        <v>73</v>
      </c>
      <c r="S13" s="76" t="s" ph="1">
        <v>74</v>
      </c>
      <c r="T13" s="76" t="s" ph="1">
        <v>75</v>
      </c>
      <c r="U13" s="76" t="s" ph="1">
        <v>76</v>
      </c>
      <c r="V13" s="76" t="s" ph="1">
        <v>155</v>
      </c>
      <c r="W13" s="76" t="s" ph="1">
        <v>156</v>
      </c>
      <c r="X13" s="76" t="s" ph="1">
        <v>157</v>
      </c>
      <c r="Y13" s="105" t="s" ph="1">
        <v>77</v>
      </c>
      <c r="Z13" s="76" t="s" ph="1">
        <v>86</v>
      </c>
      <c r="AA13" s="76" t="s" ph="1">
        <v>158</v>
      </c>
      <c r="AB13" s="76" t="s" ph="1">
        <v>159</v>
      </c>
      <c r="AC13" s="76" t="s" ph="1">
        <v>160</v>
      </c>
      <c r="AD13" s="76" t="s" ph="1">
        <v>161</v>
      </c>
      <c r="AE13" s="76" t="s" ph="1">
        <v>162</v>
      </c>
      <c r="AG13" s="72" t="s" ph="1">
        <v>366</v>
      </c>
      <c r="AH13" s="72" t="s" ph="1">
        <v>229</v>
      </c>
      <c r="AI13" s="72" t="s" ph="1">
        <v>230</v>
      </c>
      <c r="AJ13" s="72" t="s" ph="1">
        <v>231</v>
      </c>
      <c r="AK13" s="72" t="s" ph="1">
        <v>232</v>
      </c>
      <c r="AL13" s="72" t="s" ph="1">
        <v>233</v>
      </c>
      <c r="AM13" s="72" t="s" ph="1">
        <v>234</v>
      </c>
      <c r="AN13" s="72" t="s" ph="1">
        <v>235</v>
      </c>
      <c r="AO13" s="72" t="s" ph="1">
        <v>236</v>
      </c>
      <c r="AP13" s="72" t="s" ph="1">
        <v>237</v>
      </c>
      <c r="AQ13" s="72" t="s" ph="1">
        <v>238</v>
      </c>
      <c r="AR13" s="72" t="s" ph="1">
        <v>239</v>
      </c>
      <c r="AS13" s="72" t="s" ph="1">
        <v>240</v>
      </c>
      <c r="AT13" s="72" t="s" ph="1">
        <v>241</v>
      </c>
      <c r="AU13" s="72" t="s" ph="1">
        <v>242</v>
      </c>
      <c r="AV13" s="72" t="s" ph="1">
        <v>243</v>
      </c>
      <c r="AW13" s="72" t="s" ph="1">
        <v>244</v>
      </c>
      <c r="AX13" s="72" t="s" ph="1">
        <v>245</v>
      </c>
      <c r="AY13" s="72" t="s" ph="1">
        <v>367</v>
      </c>
      <c r="AZ13" s="72" t="s" ph="1">
        <v>246</v>
      </c>
      <c r="BA13" s="72" t="s" ph="1">
        <v>247</v>
      </c>
      <c r="BB13" s="72" t="s" ph="1">
        <v>632</v>
      </c>
      <c r="BC13" s="72" t="s" ph="1">
        <v>248</v>
      </c>
      <c r="BD13" s="72" t="s" ph="1">
        <v>368</v>
      </c>
      <c r="BE13" s="72" t="s" ph="1">
        <v>369</v>
      </c>
      <c r="BF13" s="72" t="s" ph="1">
        <v>370</v>
      </c>
      <c r="BG13" s="72" t="s" ph="1">
        <v>371</v>
      </c>
      <c r="BH13" s="72" t="s" ph="1">
        <v>372</v>
      </c>
    </row>
    <row r="14" spans="1:99" s="72" customFormat="1" ht="24" ph="1">
      <c r="B14" s="216" ph="1"/>
      <c r="C14" s="67" t="s" ph="1">
        <v>36</v>
      </c>
      <c r="D14" s="77" t="s" ph="1">
        <v>665</v>
      </c>
      <c r="E14" s="77" t="s" ph="1">
        <v>665</v>
      </c>
      <c r="F14" s="142" t="s" ph="1">
        <v>651</v>
      </c>
      <c r="G14" s="77" t="s" ph="1">
        <v>667</v>
      </c>
      <c r="H14" s="77" t="s" ph="1">
        <v>668</v>
      </c>
      <c r="I14" s="167" t="s" ph="1">
        <v>669</v>
      </c>
      <c r="J14" s="77" t="s" ph="1">
        <v>670</v>
      </c>
      <c r="K14" s="77" t="s" ph="1">
        <v>223</v>
      </c>
      <c r="L14" s="77" t="s" ph="1">
        <v>42</v>
      </c>
      <c r="M14" s="104" t="s" ph="1">
        <v>671</v>
      </c>
      <c r="N14" s="104" t="s" ph="1">
        <v>672</v>
      </c>
      <c r="O14" s="104" t="s" ph="1">
        <v>670</v>
      </c>
      <c r="P14" s="77" t="s" ph="1">
        <v>673</v>
      </c>
      <c r="Q14" s="77" t="s" ph="1">
        <v>673</v>
      </c>
      <c r="R14" s="88" t="s" ph="1">
        <v>674</v>
      </c>
      <c r="S14" s="77" t="s" ph="1">
        <v>81</v>
      </c>
      <c r="T14" s="77" t="s" ph="1">
        <v>676</v>
      </c>
      <c r="U14" s="77" t="s" ph="1">
        <v>652</v>
      </c>
      <c r="V14" s="77" t="s" ph="1">
        <v>127</v>
      </c>
      <c r="W14" s="77" t="s" ph="1">
        <v>673</v>
      </c>
      <c r="X14" s="77" t="s" ph="1">
        <v>678</v>
      </c>
      <c r="Y14" s="141" t="s" ph="1">
        <v>0</v>
      </c>
      <c r="Z14" s="77" t="s" ph="1">
        <v>62</v>
      </c>
      <c r="AA14" s="77" t="s" ph="1">
        <v>662</v>
      </c>
      <c r="AB14" s="77" t="s" ph="1">
        <v>648</v>
      </c>
      <c r="AC14" s="77" t="s" ph="1">
        <v>648</v>
      </c>
      <c r="AD14" s="77" t="s" ph="1">
        <v>661</v>
      </c>
      <c r="AE14" s="77" t="s" ph="1">
        <v>661</v>
      </c>
      <c r="AG14" s="72" t="s" ph="1">
        <v>249</v>
      </c>
      <c r="AI14" s="72" t="s" ph="1">
        <v>250</v>
      </c>
      <c r="AJ14" s="72" t="s" ph="1">
        <v>373</v>
      </c>
      <c r="AK14" s="72" t="s" ph="1">
        <v>251</v>
      </c>
      <c r="AM14" s="72" t="s" ph="1">
        <v>253</v>
      </c>
      <c r="AN14" s="72" t="s" ph="1">
        <v>251</v>
      </c>
      <c r="AO14" s="72" t="s" ph="1">
        <v>252</v>
      </c>
      <c r="AP14" s="72" t="s" ph="1">
        <v>253</v>
      </c>
      <c r="AQ14" s="72" t="s" ph="1">
        <v>251</v>
      </c>
      <c r="AR14" s="72" t="s" ph="1">
        <v>252</v>
      </c>
      <c r="AS14" s="72" t="s" ph="1">
        <v>253</v>
      </c>
      <c r="AT14" s="72" t="s" ph="1">
        <v>251</v>
      </c>
      <c r="AU14" s="72" t="s" ph="1">
        <v>252</v>
      </c>
      <c r="AV14" s="72" t="s" ph="1">
        <v>253</v>
      </c>
      <c r="AW14" s="72" t="s" ph="1">
        <v>251</v>
      </c>
      <c r="AX14" s="72" t="s" ph="1">
        <v>252</v>
      </c>
      <c r="AY14" s="72" t="s" ph="1">
        <v>253</v>
      </c>
      <c r="AZ14" s="72" t="s" ph="1">
        <v>252</v>
      </c>
    </row>
    <row r="15" spans="1:99" ph="1">
      <c r="B15" s="217" ph="1">
        <v>0.33333333333333331</v>
      </c>
      <c r="C15" s="176" t="s" ph="1">
        <v>208</v>
      </c>
      <c r="D15" s="78">
        <v>0</v>
      </c>
      <c r="E15" s="78">
        <v>1219</v>
      </c>
      <c r="F15" s="78">
        <v>3913</v>
      </c>
      <c r="G15" s="78">
        <v>3751</v>
      </c>
      <c r="H15" s="78">
        <v>2868</v>
      </c>
      <c r="I15" s="78">
        <v>9</v>
      </c>
      <c r="J15" s="78">
        <v>27</v>
      </c>
      <c r="K15" s="78">
        <v>742</v>
      </c>
      <c r="L15" s="78">
        <v>3913</v>
      </c>
      <c r="M15" s="78">
        <v>1377</v>
      </c>
      <c r="N15" s="78">
        <v>4854</v>
      </c>
      <c r="O15" s="78">
        <v>1337</v>
      </c>
      <c r="P15" s="78">
        <v>382</v>
      </c>
      <c r="Q15" s="78">
        <v>1471</v>
      </c>
      <c r="R15" s="78">
        <v>3494</v>
      </c>
      <c r="S15" s="78">
        <v>5617</v>
      </c>
      <c r="T15" s="78">
        <v>3774</v>
      </c>
      <c r="U15" s="78">
        <v>3634</v>
      </c>
      <c r="V15" s="78">
        <v>-1639</v>
      </c>
      <c r="W15" s="78">
        <v>-596</v>
      </c>
      <c r="X15" s="78">
        <v>493</v>
      </c>
      <c r="Y15" s="106">
        <v>-9900</v>
      </c>
      <c r="Z15" s="78">
        <v>0</v>
      </c>
      <c r="AA15" s="78">
        <v>2506</v>
      </c>
      <c r="AB15" s="78" ph="1">
        <v>6859</v>
      </c>
      <c r="AC15" s="78" ph="1">
        <v>6503</v>
      </c>
      <c r="AD15" s="78">
        <v>10.02</v>
      </c>
      <c r="AE15" s="78">
        <v>84.51</v>
      </c>
      <c r="AG15" s="64" t="s" ph="1">
        <v>255</v>
      </c>
      <c r="AH15" s="64" ph="1">
        <v>1</v>
      </c>
      <c r="AI15" s="64" t="s" ph="1">
        <v>374</v>
      </c>
      <c r="AK15" s="64" t="s" ph="1">
        <v>628</v>
      </c>
      <c r="AM15" s="64" t="s" ph="1">
        <v>376</v>
      </c>
      <c r="AZ15" s="64" t="s" ph="1">
        <v>257</v>
      </c>
      <c r="BA15" s="64" ph="1">
        <v>0</v>
      </c>
    </row>
    <row r="16" spans="1:99" s="72" customFormat="1" ht="22.5" ph="1">
      <c r="B16" s="218" ph="1"/>
      <c r="C16" s="176" t="s" ph="1">
        <v>209</v>
      </c>
      <c r="D16" s="73" ph="1">
        <f>D15*7.0686*LOOKUP(D17,密度!$A$2:$A$50,密度!$L$2:$L$50)</f>
        <v>0</v>
      </c>
      <c r="E16" s="73" ph="1">
        <f>E15*7.0686*LOOKUP(E17,密度!$A$2:$A$50,密度!$L$2:$L$50)</f>
        <v>8142.7091129999999</v>
      </c>
      <c r="F16" s="73" ph="1">
        <f>F15*9.0746*LOOKUP(F17,密度!$A$2:$A$50,密度!$L$2:$L$50)</f>
        <v>33520.410851200002</v>
      </c>
      <c r="G16" s="73" ph="1">
        <f>G15*9.0746*LOOKUP(G17,密度!$A$2:$A$50,密度!$B$2:$B$50)</f>
        <v>26795.362725120001</v>
      </c>
      <c r="H16" s="73" ph="1">
        <f>H15*9.0746*LOOKUP(H17,密度!$A$2:$A$50,密度!$L$2:$L$50)</f>
        <v>24724.655159999998</v>
      </c>
      <c r="I16" s="73" ph="1">
        <f>I15*9.0746*LOOKUP(I17,密度!$A$2:$A$50,密度!$U$2:$U$50)</f>
        <v>83.95819920000001</v>
      </c>
      <c r="J16" s="73" ph="1">
        <f>J15*9.0746*LOOKUP(J17,密度!$A$2:$A$50,密度!$L$2:$L$50)</f>
        <v>232.0284474</v>
      </c>
      <c r="K16" s="73" ph="1">
        <f>K15*9.0746*LOOKUP(K17,密度!$A$2:$A$50,密度!$C$2:$C$50)</f>
        <v>7513.0755005599995</v>
      </c>
      <c r="L16" s="73" ph="1">
        <f>L15*9.0746*LOOKUP(L17,密度!$A$2:$A$50,密度!$E$2:$E$50)</f>
        <v>28179.87081728</v>
      </c>
      <c r="M16" s="73" ph="1">
        <f>M15*9.0746*LOOKUP(M17,密度!$A$2:$A$50,密度!$M$2:$M$50)</f>
        <v>10999.986013260001</v>
      </c>
      <c r="N16" s="73" ph="1">
        <f>N15*9.0746*LOOKUP(N17,密度!$A$2:$A$50,密度!$M$2:$M$50)</f>
        <v>38775.54982452</v>
      </c>
      <c r="O16" s="73" ph="1">
        <f>O15*9.0746*LOOKUP(O17,密度!$A$2:$A$50,密度!$G$2:$G$50)</f>
        <v>11732.3597734</v>
      </c>
      <c r="P16" s="73" ph="1">
        <f ca="1">P15*9.0746*LOOKUP(P17,密度!$A$2:$A$51,密度!$Q$2:$Q$50)</f>
        <v>3308.9102372880006</v>
      </c>
      <c r="Q16" s="73" ph="1">
        <f>Q15*9.0746*LOOKUP(Q17,密度!$A$2:$A$50,密度!$Q$2:$Q$50)</f>
        <v>12718.67623248</v>
      </c>
      <c r="R16" s="73" ph="1">
        <f>MAX(R15*9.0746*LOOKUP(R17,密度!$A$2:$A$50,密度!$B$2:$B$50),0)</f>
        <v>24861.186146839998</v>
      </c>
      <c r="S16" s="73" ph="1">
        <f>S15*9.0746*LOOKUP(S17,密度!$A$2:$A$50,密度!$Q$2:$Q$50)</f>
        <v>48606.926091519999</v>
      </c>
      <c r="T16" s="73" ph="1">
        <f>T15*9.0746*LOOKUP(T17,密度!$A$2:$A$50,密度!$O$2:$O$50)</f>
        <v>31987.202733599999</v>
      </c>
      <c r="U16" s="73" ph="1">
        <f>U15*9.0746*LOOKUP(U17,密度!$A$2:$A$50,密度!$H$2:$H$50)</f>
        <v>30493.921041080001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198.19152201600082</v>
      </c>
      <c r="X16" s="73" ph="1">
        <f>MAX(5600*LOOKUP(X17,密度!$A$2:$A$50,密度!$I$2:$I$50)+X15*9.0476*LOOKUP(X17,密度!$A$2:$A$50,密度!$I$2:$I$50),0)</f>
        <v>10395.379739771999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17919.8667088</v>
      </c>
      <c r="AB16" s="73" ph="1">
        <f>AB15*9.0746*LOOKUP(AB17,密度!$A$2:$A$50,密度!$L$2:$L$50)</f>
        <v>58757.091241599999</v>
      </c>
      <c r="AC16" s="73" ph="1">
        <f>AC15*9.0746*LOOKUP(AC17,密度!$A$2:$A$50,密度!$L$2:$L$50)</f>
        <v>55943.493362399997</v>
      </c>
      <c r="AD16" s="73" ph="1">
        <f>AD15*268.68*LOOKUP(AD17,密度!$A$2:$A$50,密度!B2:B50)+IF(AD15&lt;=0,0,1566*LOOKUP(AD17,密度!$A$2:$A$50,密度!B2:B50))</f>
        <v>3319.6721385599999</v>
      </c>
      <c r="AE16" s="73" ph="1">
        <f>AE15*268.68*LOOKUP(AE17,密度!$A$2:$A$50,密度!B2:B50)+IF(AE15&lt;=0,0,1566*LOOKUP(AE17,密度!$A$2:$A$50,密度!B2:B50))</f>
        <v>18922.565645279999</v>
      </c>
      <c r="AH16" s="72" ph="1">
        <v>2</v>
      </c>
      <c r="AI16" s="72" t="s" ph="1">
        <v>378</v>
      </c>
      <c r="AZ16" s="72" t="s" ph="1">
        <v>257</v>
      </c>
      <c r="BA16" s="72" ph="1">
        <v>0</v>
      </c>
    </row>
    <row r="17" spans="1:57" ph="1">
      <c r="A17" s="64" t="s" ph="1">
        <v>85</v>
      </c>
      <c r="B17" s="219" ph="1"/>
      <c r="C17" s="79" t="s" ph="1">
        <v>210</v>
      </c>
      <c r="D17" s="74">
        <v>17</v>
      </c>
      <c r="E17" s="74">
        <v>17</v>
      </c>
      <c r="F17" s="74">
        <v>18</v>
      </c>
      <c r="G17" s="74">
        <v>16</v>
      </c>
      <c r="H17" s="74">
        <v>12</v>
      </c>
      <c r="I17" s="74">
        <v>15</v>
      </c>
      <c r="J17" s="74">
        <v>15</v>
      </c>
      <c r="K17" s="74">
        <v>15</v>
      </c>
      <c r="L17" s="74">
        <v>16</v>
      </c>
      <c r="M17" s="74">
        <v>17</v>
      </c>
      <c r="N17" s="74">
        <v>17</v>
      </c>
      <c r="O17" s="74">
        <v>19</v>
      </c>
      <c r="P17" s="74">
        <v>15</v>
      </c>
      <c r="Q17" s="74">
        <v>17</v>
      </c>
      <c r="R17" s="74">
        <v>20</v>
      </c>
      <c r="S17" s="74">
        <v>16</v>
      </c>
      <c r="T17" s="74">
        <v>16</v>
      </c>
      <c r="U17" s="74">
        <v>15</v>
      </c>
      <c r="V17" s="74">
        <v>15</v>
      </c>
      <c r="W17" s="74">
        <v>15</v>
      </c>
      <c r="X17" s="74">
        <v>33</v>
      </c>
      <c r="Y17" s="108">
        <v>33</v>
      </c>
      <c r="Z17" s="74">
        <v>16</v>
      </c>
      <c r="AA17" s="74">
        <v>15</v>
      </c>
      <c r="AB17" s="74">
        <v>18</v>
      </c>
      <c r="AC17" s="74">
        <v>14</v>
      </c>
      <c r="AD17" s="74">
        <v>25</v>
      </c>
      <c r="AE17" s="74">
        <v>25</v>
      </c>
      <c r="AH17" s="64" ph="1">
        <v>3</v>
      </c>
      <c r="AI17" s="64" t="s" ph="1">
        <v>379</v>
      </c>
      <c r="AK17" s="64" t="s" ph="1">
        <v>611</v>
      </c>
      <c r="AL17" s="64" ph="1">
        <v>80</v>
      </c>
      <c r="AM17" s="64" t="s" ph="1">
        <v>376</v>
      </c>
      <c r="AZ17" s="64" t="s" ph="1">
        <v>257</v>
      </c>
      <c r="BA17" s="64" ph="1">
        <v>80</v>
      </c>
      <c r="BD17" s="64" t="s" ph="1">
        <v>255</v>
      </c>
      <c r="BE17" s="64" ph="1">
        <v>2270</v>
      </c>
    </row>
    <row r="18" spans="1:57" ph="1">
      <c r="B18" s="217" ph="1">
        <v>0.66666666666666663</v>
      </c>
      <c r="C18" s="79" t="s" ph="1">
        <v>211</v>
      </c>
      <c r="D18" s="71">
        <v>0</v>
      </c>
      <c r="E18" s="71">
        <v>1217</v>
      </c>
      <c r="F18" s="71">
        <v>3985</v>
      </c>
      <c r="G18" s="71">
        <v>1571</v>
      </c>
      <c r="H18" s="71">
        <v>2868</v>
      </c>
      <c r="I18" s="71">
        <v>1906</v>
      </c>
      <c r="J18" s="71">
        <v>26</v>
      </c>
      <c r="K18" s="71">
        <v>742</v>
      </c>
      <c r="L18" s="71">
        <v>3912</v>
      </c>
      <c r="M18" s="71">
        <v>4604</v>
      </c>
      <c r="N18" s="71">
        <v>1603</v>
      </c>
      <c r="O18" s="71">
        <v>1737</v>
      </c>
      <c r="P18" s="71">
        <v>381</v>
      </c>
      <c r="Q18" s="71">
        <v>1473</v>
      </c>
      <c r="R18" s="71">
        <v>3495</v>
      </c>
      <c r="S18" s="71">
        <v>5619</v>
      </c>
      <c r="T18" s="71">
        <v>2995</v>
      </c>
      <c r="U18" s="71">
        <v>5402</v>
      </c>
      <c r="V18" s="71">
        <v>-1641</v>
      </c>
      <c r="W18" s="71">
        <v>-596</v>
      </c>
      <c r="X18" s="71">
        <v>493</v>
      </c>
      <c r="Y18" s="109">
        <v>-9902</v>
      </c>
      <c r="Z18" s="71">
        <v>0</v>
      </c>
      <c r="AA18" s="71">
        <v>2505</v>
      </c>
      <c r="AB18" s="71">
        <v>6861</v>
      </c>
      <c r="AC18" s="71">
        <v>6506</v>
      </c>
      <c r="AD18" s="71">
        <v>34.409999999999997</v>
      </c>
      <c r="AE18" s="71">
        <v>83.71</v>
      </c>
      <c r="AH18" s="64" ph="1">
        <v>4</v>
      </c>
      <c r="AI18" s="64" t="s" ph="1">
        <v>381</v>
      </c>
      <c r="AJ18" s="64" t="s" ph="1">
        <v>629</v>
      </c>
      <c r="AK18" s="64" t="s" ph="1">
        <v>628</v>
      </c>
      <c r="AL18" s="64" ph="1">
        <v>740</v>
      </c>
      <c r="AM18" s="64" t="s" ph="1">
        <v>380</v>
      </c>
      <c r="AZ18" s="64" t="s" ph="1">
        <v>257</v>
      </c>
      <c r="BA18" s="64" ph="1">
        <v>740</v>
      </c>
    </row>
    <row r="19" spans="1:57" s="72" customFormat="1" ht="22.5" ph="1">
      <c r="B19" s="218" ph="1"/>
      <c r="C19" s="176" t="s" ph="1">
        <v>209</v>
      </c>
      <c r="D19" s="73" ph="1">
        <f>D18*7.0686*LOOKUP(D20,密度!$A$2:$A$50,密度!$L$2:$L$50)</f>
        <v>0</v>
      </c>
      <c r="E19" s="73" ph="1">
        <f>E18*7.0686*LOOKUP(E20,密度!$A$2:$A$50,密度!$L$2:$L$50)</f>
        <v>8120.7469727999987</v>
      </c>
      <c r="F19" s="73" ph="1">
        <f>F18*9.0746*LOOKUP(F20,密度!$A$2:$A$50,密度!$L$2:$L$50)</f>
        <v>34101.030983000004</v>
      </c>
      <c r="G19" s="73" ph="1">
        <f>G18*9.0746*LOOKUP(G20,密度!$A$2:$A$50,密度!$B$2:$B$50)</f>
        <v>11201.09366862</v>
      </c>
      <c r="H19" s="73" ph="1">
        <f>H18*9.0746*LOOKUP(H20,密度!$A$2:$A$50,密度!$L$2:$L$50)</f>
        <v>24698.6292072</v>
      </c>
      <c r="I19" s="73" ph="1">
        <f>I18*9.0746*LOOKUP(I20,密度!$A$2:$A$50,密度!$U$2:$U$50)</f>
        <v>17780.480852800003</v>
      </c>
      <c r="J19" s="73" ph="1">
        <f>J18*9.0746*LOOKUP(J20,密度!$A$2:$A$50,密度!$L$2:$L$50)</f>
        <v>222.7269824</v>
      </c>
      <c r="K19" s="73" ph="1">
        <f>K18*9.0746*LOOKUP(K20,密度!$A$2:$A$50,密度!$C$2:$C$50)</f>
        <v>7500.2821294799996</v>
      </c>
      <c r="L19" s="73" ph="1">
        <f>L18*9.0746*LOOKUP(L20,密度!$A$2:$A$50,密度!$E$2:$E$50)</f>
        <v>28094.569577279999</v>
      </c>
      <c r="M19" s="73" ph="1">
        <f>M18*9.0746*LOOKUP(M20,密度!$A$2:$A$50,密度!$M$2:$M$50)</f>
        <v>36778.457229520005</v>
      </c>
      <c r="N19" s="73" ph="1">
        <f>N18*9.0746*LOOKUP(N20,密度!$A$2:$A$50,密度!$M$2:$M$50)</f>
        <v>12805.35771914</v>
      </c>
      <c r="O19" s="73" ph="1">
        <f>O18*9.0746*LOOKUP(O20,密度!$A$2:$A$50,密度!$G$2:$G$50)</f>
        <v>15209.313634980001</v>
      </c>
      <c r="P19" s="73" ph="1">
        <f ca="1">P18*9.0746*LOOKUP(P20,密度!$A$2:$A$51,密度!$Q$2:$Q$50)</f>
        <v>3291.500889426</v>
      </c>
      <c r="Q19" s="73" ph="1">
        <f>Q18*9.0746*LOOKUP(Q20,密度!$A$2:$A$50,密度!$Q$2:$Q$50)</f>
        <v>12725.408950458001</v>
      </c>
      <c r="R19" s="73" ph="1">
        <f>MAX(R18*9.0746*LOOKUP(R20,密度!$A$2:$A$50,密度!$B$2:$B$50),0)</f>
        <v>24868.301540700002</v>
      </c>
      <c r="S19" s="73" ph="1">
        <f>S18*9.0746*LOOKUP(S20,密度!$A$2:$A$50,密度!$Q$2:$Q$50)</f>
        <v>48543.158786574</v>
      </c>
      <c r="T19" s="73" ph="1">
        <f>T18*9.0746*LOOKUP(T20,密度!$A$2:$A$50,密度!$O$2:$O$50)</f>
        <v>25384.650818000002</v>
      </c>
      <c r="U19" s="73" ph="1">
        <f>U18*9.0746*LOOKUP(U20,密度!$A$2:$A$50,密度!$H$2:$H$50)</f>
        <v>45280.687724039999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197.66621710400068</v>
      </c>
      <c r="X19" s="73" ph="1">
        <f>MAX(5600*LOOKUP(X20,密度!$A$2:$A$50,密度!$I$2:$I$50)+X18*9.0476*LOOKUP(X20,密度!$A$2:$A$50,密度!$I$2:$I$50),0)</f>
        <v>10384.212621623999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17912.715924</v>
      </c>
      <c r="AB19" s="73" ph="1">
        <f>AB18*9.0746*LOOKUP(AB20,密度!$A$2:$A$50,密度!$L$2:$L$50)</f>
        <v>58774.224086399998</v>
      </c>
      <c r="AC19" s="73" ph="1">
        <f>AC18*9.0746*LOOKUP(AC20,密度!$A$2:$A$50,密度!$L$2:$L$50)</f>
        <v>55910.262177199998</v>
      </c>
      <c r="AD19" s="73" ph="1">
        <f>AD18*268.68*LOOKUP(AD20,密度!$A$2:$A$50,密度!B5:B53)+IF(AD18&lt;=0,0,1566*LOOKUP(AD20,密度!$A$2:$A$50,密度!B5:B53))</f>
        <v>8400.3636275999997</v>
      </c>
      <c r="AE19" s="73" ph="1">
        <f>AE18*268.68*LOOKUP(AE20,密度!$A$2:$A$50,密度!B5:B53)+IF(AE18&lt;=0,0,1566*LOOKUP(AE20,密度!$A$2:$A$50,密度!B5:B53))</f>
        <v>18692.446575599999</v>
      </c>
      <c r="AH19" s="72" ph="1">
        <v>5</v>
      </c>
      <c r="AI19" s="72" t="s" ph="1">
        <v>382</v>
      </c>
      <c r="AZ19" s="72" t="s" ph="1">
        <v>257</v>
      </c>
      <c r="BA19" s="72" ph="1">
        <v>0</v>
      </c>
      <c r="BD19" s="72" t="s" ph="1">
        <v>383</v>
      </c>
      <c r="BE19" s="72" ph="1">
        <v>1440</v>
      </c>
    </row>
    <row r="20" spans="1:57" ph="1">
      <c r="A20" s="72" ph="1"/>
      <c r="B20" s="218" ph="1"/>
      <c r="C20" s="80" t="s" ph="1">
        <v>210</v>
      </c>
      <c r="D20" s="81">
        <v>18</v>
      </c>
      <c r="E20" s="81">
        <v>18</v>
      </c>
      <c r="F20" s="81">
        <v>19</v>
      </c>
      <c r="G20" s="81">
        <v>18</v>
      </c>
      <c r="H20" s="81">
        <v>13</v>
      </c>
      <c r="I20" s="81">
        <v>19</v>
      </c>
      <c r="J20" s="81">
        <v>18</v>
      </c>
      <c r="K20" s="81">
        <v>18</v>
      </c>
      <c r="L20" s="81">
        <v>18</v>
      </c>
      <c r="M20" s="81">
        <v>18</v>
      </c>
      <c r="N20" s="81">
        <v>18</v>
      </c>
      <c r="O20" s="81">
        <v>21</v>
      </c>
      <c r="P20" s="81">
        <v>18</v>
      </c>
      <c r="Q20" s="81">
        <v>18</v>
      </c>
      <c r="R20" s="81">
        <v>20</v>
      </c>
      <c r="S20" s="81">
        <v>18</v>
      </c>
      <c r="T20" s="81">
        <v>18</v>
      </c>
      <c r="U20" s="81">
        <v>16</v>
      </c>
      <c r="V20" s="81">
        <v>18</v>
      </c>
      <c r="W20" s="81">
        <v>18</v>
      </c>
      <c r="X20" s="81">
        <v>34</v>
      </c>
      <c r="Y20" s="110">
        <v>34</v>
      </c>
      <c r="Z20" s="81">
        <v>18</v>
      </c>
      <c r="AA20" s="81">
        <v>15</v>
      </c>
      <c r="AB20" s="81">
        <v>18</v>
      </c>
      <c r="AC20" s="81">
        <v>15</v>
      </c>
      <c r="AD20" s="81">
        <v>25</v>
      </c>
      <c r="AE20" s="81">
        <v>25</v>
      </c>
      <c r="AH20" s="64" ph="1">
        <v>6</v>
      </c>
      <c r="AI20" s="64" t="s" ph="1">
        <v>384</v>
      </c>
      <c r="AZ20" s="64" t="s" ph="1">
        <v>257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385</v>
      </c>
      <c r="AZ21" s="64" t="s" ph="1">
        <v>257</v>
      </c>
      <c r="BA21" s="64" ph="1">
        <v>0</v>
      </c>
      <c r="BD21" s="64" t="s" ph="1">
        <v>273</v>
      </c>
      <c r="BE21" s="64" ph="1">
        <v>730</v>
      </c>
    </row>
    <row r="22" spans="1:57" ph="1">
      <c r="A22" s="72" ph="1"/>
      <c r="B22" s="216" t="s" ph="1">
        <v>37</v>
      </c>
      <c r="C22" s="85" t="s" ph="1">
        <v>207</v>
      </c>
      <c r="D22" s="86" t="s" ph="1">
        <v>103</v>
      </c>
      <c r="E22" s="86" t="s" ph="1">
        <v>104</v>
      </c>
      <c r="F22" s="86" t="s" ph="1">
        <v>105</v>
      </c>
      <c r="G22" s="86" t="s" ph="1">
        <v>106</v>
      </c>
      <c r="H22" s="86" t="s" ph="1">
        <v>107</v>
      </c>
      <c r="I22" s="86" t="s" ph="1">
        <v>108</v>
      </c>
      <c r="J22" s="86" t="s" ph="1">
        <v>109</v>
      </c>
      <c r="K22" s="86" t="s" ph="1">
        <v>110</v>
      </c>
      <c r="L22" s="86" t="s" ph="1">
        <v>111</v>
      </c>
      <c r="M22" s="86" t="s" ph="1">
        <v>112</v>
      </c>
      <c r="N22" s="86" t="s" ph="1">
        <v>113</v>
      </c>
      <c r="O22" s="86" t="s" ph="1">
        <v>114</v>
      </c>
      <c r="P22" s="86" t="s" ph="1">
        <v>115</v>
      </c>
      <c r="Q22" s="87" t="s" ph="1">
        <v>116</v>
      </c>
      <c r="R22" s="86" t="s" ph="1">
        <v>117</v>
      </c>
      <c r="S22" s="86" t="s" ph="1">
        <v>118</v>
      </c>
      <c r="T22" s="86" t="s" ph="1">
        <v>119</v>
      </c>
      <c r="U22" s="86" t="s" ph="1">
        <v>120</v>
      </c>
      <c r="V22" s="86" t="s" ph="1">
        <v>121</v>
      </c>
      <c r="W22" s="86" t="s" ph="1">
        <v>122</v>
      </c>
      <c r="X22" s="86" t="s" ph="1">
        <v>123</v>
      </c>
      <c r="Y22" s="86" t="s" ph="1">
        <v>125</v>
      </c>
      <c r="Z22" s="195" t="s" ph="1">
        <v>79</v>
      </c>
      <c r="AA22" s="196"/>
      <c r="AB22" s="196"/>
      <c r="AC22" s="196"/>
      <c r="AD22" s="196"/>
      <c r="AE22" s="197"/>
      <c r="AH22" s="64" ph="1">
        <v>8</v>
      </c>
      <c r="AI22" s="64" t="s" ph="1">
        <v>386</v>
      </c>
      <c r="AZ22" s="64" t="s" ph="1">
        <v>257</v>
      </c>
      <c r="BA22" s="64" ph="1">
        <v>0</v>
      </c>
    </row>
    <row r="23" spans="1:57" ph="1">
      <c r="A23" s="72" ph="1"/>
      <c r="B23" s="211" ph="1"/>
      <c r="C23" s="67" t="s" ph="1">
        <v>36</v>
      </c>
      <c r="D23" s="88" t="s" ph="1">
        <v>127</v>
      </c>
      <c r="E23" s="88" t="s" ph="1">
        <v>124</v>
      </c>
      <c r="F23" s="88" t="s" ph="1">
        <v>127</v>
      </c>
      <c r="G23" s="88" t="s" ph="1">
        <v>679</v>
      </c>
      <c r="H23" s="88" t="s" ph="1">
        <v>679</v>
      </c>
      <c r="I23" s="88" t="s" ph="1">
        <v>680</v>
      </c>
      <c r="J23" s="88" t="s" ph="1">
        <v>681</v>
      </c>
      <c r="K23" s="88" t="s" ph="1">
        <v>682</v>
      </c>
      <c r="L23" s="88" t="s" ph="1">
        <v>682</v>
      </c>
      <c r="M23" s="88" t="s" ph="1">
        <v>675</v>
      </c>
      <c r="N23" s="88" t="s" ph="1">
        <v>675</v>
      </c>
      <c r="O23" s="88" t="s" ph="1">
        <v>359</v>
      </c>
      <c r="P23" s="88" t="s" ph="1">
        <v>666</v>
      </c>
      <c r="Q23" s="89" t="s" ph="1">
        <v>666</v>
      </c>
      <c r="R23" s="88" t="s" ph="1">
        <v>659</v>
      </c>
      <c r="S23" s="88" t="s" ph="1">
        <v>683</v>
      </c>
      <c r="T23" s="88" t="s" ph="1">
        <v>647</v>
      </c>
      <c r="U23" s="88" t="s" ph="1">
        <v>653</v>
      </c>
      <c r="V23" s="88" t="s" ph="1">
        <v>684</v>
      </c>
      <c r="W23" s="88" t="s" ph="1">
        <v>684</v>
      </c>
      <c r="X23" s="88" t="s" ph="1">
        <v>228</v>
      </c>
      <c r="Y23" s="88" t="s" ph="1">
        <v>686</v>
      </c>
      <c r="Z23" s="198" t="s" ph="1">
        <v>690</v>
      </c>
      <c r="AA23" s="199"/>
      <c r="AB23" s="199"/>
      <c r="AC23" s="199"/>
      <c r="AD23" s="199"/>
      <c r="AE23" s="200"/>
      <c r="AH23" s="64" ph="1">
        <v>9</v>
      </c>
      <c r="AI23" s="64" t="s" ph="1">
        <v>387</v>
      </c>
      <c r="AZ23" s="64" t="s" ph="1">
        <v>257</v>
      </c>
      <c r="BA23" s="64" ph="1">
        <v>0</v>
      </c>
      <c r="BD23" s="64" t="s" ph="1">
        <v>279</v>
      </c>
      <c r="BE23" s="64" ph="1">
        <v>890</v>
      </c>
    </row>
    <row r="24" spans="1:57" ph="1">
      <c r="A24" s="72" ph="1"/>
      <c r="B24" s="207" ph="1">
        <v>0.33333333333333331</v>
      </c>
      <c r="C24" s="176" t="s" ph="1">
        <v>208</v>
      </c>
      <c r="D24" s="71">
        <v>98.61</v>
      </c>
      <c r="E24" s="71">
        <v>95.31</v>
      </c>
      <c r="F24" s="71">
        <v>4017</v>
      </c>
      <c r="G24" s="71">
        <v>2979</v>
      </c>
      <c r="H24" s="71">
        <v>3111</v>
      </c>
      <c r="I24" s="71">
        <v>4178</v>
      </c>
      <c r="J24" s="71">
        <v>3783</v>
      </c>
      <c r="K24" s="71">
        <v>5612</v>
      </c>
      <c r="L24" s="71">
        <v>5584</v>
      </c>
      <c r="M24" s="71">
        <v>4867</v>
      </c>
      <c r="N24" s="71">
        <v>3706</v>
      </c>
      <c r="O24" s="71">
        <v>2062</v>
      </c>
      <c r="P24" s="71">
        <v>826</v>
      </c>
      <c r="Q24" s="90">
        <v>532</v>
      </c>
      <c r="R24" s="71">
        <v>6741</v>
      </c>
      <c r="S24" s="71">
        <v>2505</v>
      </c>
      <c r="T24" s="71">
        <v>5</v>
      </c>
      <c r="U24" s="71">
        <v>6102</v>
      </c>
      <c r="V24" s="71">
        <v>421</v>
      </c>
      <c r="W24" s="71">
        <v>11482</v>
      </c>
      <c r="X24" s="71">
        <v>9318</v>
      </c>
      <c r="Y24" s="71">
        <v>1859</v>
      </c>
      <c r="Z24" s="201"/>
      <c r="AA24" s="202"/>
      <c r="AB24" s="202"/>
      <c r="AC24" s="202"/>
      <c r="AD24" s="202"/>
      <c r="AE24" s="203"/>
      <c r="AH24" s="64" ph="1">
        <v>10</v>
      </c>
      <c r="AI24" s="64" t="s" ph="1">
        <v>388</v>
      </c>
      <c r="AZ24" s="64" t="s" ph="1">
        <v>257</v>
      </c>
      <c r="BA24" s="64" ph="1">
        <v>0</v>
      </c>
    </row>
    <row r="25" spans="1:57" ph="1">
      <c r="A25" s="72" ph="1"/>
      <c r="B25" s="207" ph="1"/>
      <c r="C25" s="68" t="s" ph="1">
        <v>209</v>
      </c>
      <c r="D25" s="91" ph="1">
        <f>D24*268.68*LOOKUP(D26,密度!$A$2:$A$50,密度!$Q$2:$Q$50)+IF(D24&lt;=0,0,1566*LOOKUP(D26,密度!$A$2:$A$50,密度!$Q$2:$Q$50))</f>
        <v>26566.030716552003</v>
      </c>
      <c r="E25" s="91" ph="1">
        <f>E24*268.68*LOOKUP(E26,密度!$A$2:$A$50,密度!$C$2:$C$50)+IF(E24&lt;=0,0,1566*LOOKUP(E26,密度!$A$2:$A$50,密度!$C$2:$C$50))</f>
        <v>30133.127508120004</v>
      </c>
      <c r="F25" s="91" ph="1">
        <f>F24*11.702*LOOKUP(F26,密度!$A$2:$A$50,密度!$Q$2:$Q$50)</f>
        <v>44788.206715200002</v>
      </c>
      <c r="G25" s="91" ph="1">
        <f>G24*18.322*LOOKUP(G26,密度!$A$2:$A$50,密度!$B$2:$B$50)</f>
        <v>42966.350553600001</v>
      </c>
      <c r="H25" s="91" ph="1">
        <f>H24*18.322*LOOKUP(H26,密度!$A$2:$A$50,密度!$B$2:$B$50)</f>
        <v>44870.196902399999</v>
      </c>
      <c r="I25" s="91" ph="1">
        <f>I24*18.322*LOOKUP(I26,密度!$A$2:$A$50,密度!$Q$2:$Q$50)</f>
        <v>72997.427737599995</v>
      </c>
      <c r="J25" s="91" ph="1">
        <f>J24*18.322*LOOKUP(J26,密度!$A$2:$A$50,密度!$Q$2:$Q$50)</f>
        <v>66161.196752040007</v>
      </c>
      <c r="K25" s="91" ph="1">
        <f>K24*18.322*LOOKUP(K26,密度!$A$2:$A$50,密度!$Q$2:$Q$50)</f>
        <v>98052.073830399997</v>
      </c>
      <c r="L25" s="91" ph="1">
        <f>L24*18.322*LOOKUP(L26,密度!$A$2:$A$50,密度!$Q$2:$Q$50)</f>
        <v>97481.013734399996</v>
      </c>
      <c r="M25" s="91" ph="1">
        <f>M24*18.322*LOOKUP(M26,密度!$A$2:$A$50,密度!$Q$2:$Q$50)</f>
        <v>85035.538726400002</v>
      </c>
      <c r="N25" s="91" ph="1">
        <f>N24*18.322*LOOKUP(N26,密度!$A$2:$A$50,密度!$Q$2:$Q$50)</f>
        <v>64750.710195199994</v>
      </c>
      <c r="O25" s="91" ph="1">
        <f>O24*18.322*LOOKUP(O26,密度!$A$2:$A$50,密度!$C$2:$C$50)</f>
        <v>42132.2158528</v>
      </c>
      <c r="P25" s="91" ph="1">
        <f>P24*11.702*LOOKUP(P26,密度!$A$2:$A$50,密度!$B$2:$B$50)</f>
        <v>7601.2260128000007</v>
      </c>
      <c r="Q25" s="92" ph="1">
        <f>Q24*18.322*LOOKUP(Q26,密度!$A$2:$A$50,密度!$B$2:$B$50)</f>
        <v>7665.2798655999995</v>
      </c>
      <c r="R25" s="91" ph="1">
        <f>R24*35.891*LOOKUP(R26,密度!$A$2:$A$50,密度!$C$2:$C$50)</f>
        <v>269812.86081119999</v>
      </c>
      <c r="S25" s="91" ph="1">
        <f>S24*35.891*LOOKUP(S26,密度!$A$2:$A$50,密度!$B$2:$B$50)</f>
        <v>70774.754975999997</v>
      </c>
      <c r="T25" s="91" ph="1">
        <f>T24*35.891*LOOKUP(T26,密度!$A$2:$A$50,密度!$Q$2:$Q$50)</f>
        <v>171.128288</v>
      </c>
      <c r="U25" s="91" ph="1">
        <f>U24*35.891</f>
        <v>219006.88199999998</v>
      </c>
      <c r="V25" s="91" ph="1">
        <f>V24*47.051*LOOKUP(V26,密度!$A$2:$A$50,密度!$B$2:$B$50)</f>
        <v>15577.381594400002</v>
      </c>
      <c r="W25" s="91" ph="1">
        <f>W24*47.051*LOOKUP(W26,密度!$A$2:$A$50,密度!$B$2:$B$50)</f>
        <v>424844.40728480002</v>
      </c>
      <c r="X25" s="91" ph="1">
        <f>X24*47.051*LOOKUP(X26,密度!$A$2:$A$50,密度!$I$2:$I$50)</f>
        <v>454046.55020951992</v>
      </c>
      <c r="Y25" s="91" ph="1">
        <f>Y24*47.051*LOOKUP(Y26,密度!$A$2:$A$50,密度!$L$2:$L$50)</f>
        <v>82657.079505000002</v>
      </c>
      <c r="Z25" s="201"/>
      <c r="AA25" s="202"/>
      <c r="AB25" s="202"/>
      <c r="AC25" s="202"/>
      <c r="AD25" s="202"/>
      <c r="AE25" s="203"/>
      <c r="AH25" s="64" ph="1">
        <v>11</v>
      </c>
      <c r="AI25" s="64" t="s" ph="1">
        <v>389</v>
      </c>
      <c r="AZ25" s="64" t="s" ph="1">
        <v>257</v>
      </c>
      <c r="BA25" s="64" ph="1">
        <v>0</v>
      </c>
      <c r="BD25" s="64" t="s" ph="1">
        <v>282</v>
      </c>
      <c r="BE25" s="64" ph="1">
        <v>8920</v>
      </c>
    </row>
    <row r="26" spans="1:57" ph="1">
      <c r="A26" s="72" ph="1"/>
      <c r="B26" s="207" ph="1"/>
      <c r="C26" s="68" t="s" ph="1">
        <v>210</v>
      </c>
      <c r="D26" s="74">
        <v>25</v>
      </c>
      <c r="E26" s="74">
        <v>25</v>
      </c>
      <c r="F26" s="74">
        <v>17</v>
      </c>
      <c r="G26" s="74">
        <v>16</v>
      </c>
      <c r="H26" s="74">
        <v>16</v>
      </c>
      <c r="I26" s="74">
        <v>16</v>
      </c>
      <c r="J26" s="74">
        <v>15</v>
      </c>
      <c r="K26" s="74">
        <v>16</v>
      </c>
      <c r="L26" s="74">
        <v>17</v>
      </c>
      <c r="M26" s="74">
        <v>16</v>
      </c>
      <c r="N26" s="74">
        <v>16</v>
      </c>
      <c r="O26" s="74">
        <v>16</v>
      </c>
      <c r="P26" s="74">
        <v>17</v>
      </c>
      <c r="Q26" s="93">
        <v>17</v>
      </c>
      <c r="R26" s="74">
        <v>16</v>
      </c>
      <c r="S26" s="74">
        <v>16</v>
      </c>
      <c r="T26" s="74">
        <v>16</v>
      </c>
      <c r="U26" s="74">
        <v>16</v>
      </c>
      <c r="V26" s="74">
        <v>17</v>
      </c>
      <c r="W26" s="74">
        <v>17</v>
      </c>
      <c r="X26" s="74">
        <v>53</v>
      </c>
      <c r="Y26" s="74">
        <v>17</v>
      </c>
      <c r="Z26" s="201"/>
      <c r="AA26" s="202"/>
      <c r="AB26" s="202"/>
      <c r="AC26" s="202"/>
      <c r="AD26" s="202"/>
      <c r="AE26" s="203"/>
      <c r="AH26" s="64" ph="1">
        <v>12</v>
      </c>
      <c r="AI26" s="64" t="s" ph="1">
        <v>390</v>
      </c>
      <c r="AZ26" s="64" t="s" ph="1">
        <v>257</v>
      </c>
      <c r="BA26" s="64" ph="1">
        <v>0</v>
      </c>
    </row>
    <row r="27" spans="1:57" ph="1">
      <c r="A27" s="72" ph="1"/>
      <c r="B27" s="207" ph="1">
        <v>0.66666666666666663</v>
      </c>
      <c r="C27" s="176" t="s" ph="1">
        <v>211</v>
      </c>
      <c r="D27" s="71">
        <v>98.61</v>
      </c>
      <c r="E27" s="71">
        <v>95.31</v>
      </c>
      <c r="F27" s="71">
        <v>4017</v>
      </c>
      <c r="G27" s="71">
        <v>2491</v>
      </c>
      <c r="H27" s="71">
        <v>2993</v>
      </c>
      <c r="I27" s="71">
        <v>4179</v>
      </c>
      <c r="J27" s="71">
        <v>3783</v>
      </c>
      <c r="K27" s="71">
        <v>5612</v>
      </c>
      <c r="L27" s="71">
        <v>5584</v>
      </c>
      <c r="M27" s="71">
        <v>4868</v>
      </c>
      <c r="N27" s="71">
        <v>3705</v>
      </c>
      <c r="O27" s="71">
        <v>2060</v>
      </c>
      <c r="P27" s="71">
        <v>430</v>
      </c>
      <c r="Q27" s="90">
        <v>1130</v>
      </c>
      <c r="R27" s="71">
        <v>6740</v>
      </c>
      <c r="S27" s="71">
        <v>2503</v>
      </c>
      <c r="T27" s="71">
        <v>2</v>
      </c>
      <c r="U27" s="71">
        <v>6062</v>
      </c>
      <c r="V27" s="71">
        <v>419</v>
      </c>
      <c r="W27" s="71">
        <v>11482</v>
      </c>
      <c r="X27" s="71">
        <v>9549</v>
      </c>
      <c r="Y27" s="71">
        <v>1689</v>
      </c>
      <c r="Z27" s="201"/>
      <c r="AA27" s="202"/>
      <c r="AB27" s="202"/>
      <c r="AC27" s="202"/>
      <c r="AD27" s="202"/>
      <c r="AE27" s="203"/>
      <c r="AH27" s="64" ph="1">
        <v>13</v>
      </c>
      <c r="AI27" s="64" t="s" ph="1">
        <v>391</v>
      </c>
      <c r="AZ27" s="64" t="s" ph="1">
        <v>257</v>
      </c>
      <c r="BA27" s="64" ph="1">
        <v>0</v>
      </c>
      <c r="BD27" s="64" t="s" ph="1">
        <v>336</v>
      </c>
      <c r="BE27" s="64" ph="1">
        <v>7100</v>
      </c>
    </row>
    <row r="28" spans="1:57" ph="1">
      <c r="A28" s="72" ph="1"/>
      <c r="B28" s="207" ph="1"/>
      <c r="C28" s="176" t="s" ph="1">
        <v>209</v>
      </c>
      <c r="D28" s="91" ph="1">
        <f>D27*268.68*LOOKUP(D29,密度!$A$2:$A$50,密度!$Q$2:$Q$50)+IF(D27&lt;=0,0,1566*LOOKUP(D29,密度!$A$2:$A$50,密度!$Q$2:$Q$50))</f>
        <v>26566.030716552003</v>
      </c>
      <c r="E28" s="91" ph="1">
        <f>E27*268.68*LOOKUP(E29,密度!$A$2:$A$50,密度!$C$2:$C$50)+IF(E27&lt;=0,0,1566*LOOKUP(E29,密度!$A$2:$A$50,密度!$C$2:$C$50))</f>
        <v>30133.127508120004</v>
      </c>
      <c r="F28" s="91" ph="1">
        <f>F27*11.702*LOOKUP(F29,密度!$A$2:$A$50,密度!$Q$2:$Q$50)</f>
        <v>44788.206715200002</v>
      </c>
      <c r="G28" s="91" ph="1">
        <f>G27*18.322*LOOKUP(G29,密度!$A$2:$A$50,密度!$B$2:$B$50)</f>
        <v>35859.4281414</v>
      </c>
      <c r="H28" s="91" ph="1">
        <f>H27*18.322*LOOKUP(H29,密度!$A$2:$A$50,密度!$B$2:$B$50)</f>
        <v>43086.017032199998</v>
      </c>
      <c r="I28" s="91" ph="1">
        <f>I27*18.322*LOOKUP(I29,密度!$A$2:$A$50,密度!$Q$2:$Q$50)</f>
        <v>72893.157052379989</v>
      </c>
      <c r="J28" s="91" ph="1">
        <f>J27*18.322*LOOKUP(J29,密度!$A$2:$A$50,密度!$Q$2:$Q$50)</f>
        <v>65985.837073260001</v>
      </c>
      <c r="K28" s="91" ph="1">
        <f>K27*18.322*LOOKUP(K29,密度!$A$2:$A$50,密度!$Q$2:$Q$50)</f>
        <v>97969.815379199994</v>
      </c>
      <c r="L28" s="91" ph="1">
        <f>L27*18.322*LOOKUP(L29,密度!$A$2:$A$50,密度!$Q$2:$Q$50)</f>
        <v>97481.013734399996</v>
      </c>
      <c r="M28" s="91" ph="1">
        <f>M27*18.322*LOOKUP(M29,密度!$A$2:$A$50,密度!$Q$2:$Q$50)</f>
        <v>84981.657388799998</v>
      </c>
      <c r="N28" s="91" ph="1">
        <f>N27*18.322*LOOKUP(N29,密度!$A$2:$A$50,密度!$Q$2:$Q$50)</f>
        <v>64625.304350099999</v>
      </c>
      <c r="O28" s="91" ph="1">
        <f>O27*18.322*LOOKUP(O29,密度!$A$2:$A$50,密度!$C$2:$C$50)</f>
        <v>42042.284147999999</v>
      </c>
      <c r="P28" s="91" ph="1">
        <f>P27*11.702*LOOKUP(P29,密度!$A$2:$A$50,密度!$B$2:$B$50)</f>
        <v>3953.5324019999994</v>
      </c>
      <c r="Q28" s="92" ph="1">
        <f>Q27*18.322*LOOKUP(Q29,密度!$A$2:$A$50,密度!$B$2:$B$50)</f>
        <v>16281.515504000001</v>
      </c>
      <c r="R28" s="91" ph="1">
        <f>R27*35.891*LOOKUP(R29,密度!$A$2:$A$50,密度!$C$2:$C$50)</f>
        <v>269603.50143</v>
      </c>
      <c r="S28" s="91" ph="1">
        <f>S27*35.891*LOOKUP(S29,密度!$A$2:$A$50,密度!$B$2:$B$50)</f>
        <v>70718.248185599994</v>
      </c>
      <c r="T28" s="91" ph="1">
        <f>T27*35.891*LOOKUP(T29,密度!$A$2:$A$50,密度!$Q$2:$Q$50)</f>
        <v>68.451315199999996</v>
      </c>
      <c r="U28" s="91" ph="1">
        <f>U27*35.891</f>
        <v>217571.242</v>
      </c>
      <c r="V28" s="91" ph="1">
        <f>V27*47.051*LOOKUP(V29,密度!$A$2:$A$50,密度!$B$2:$B$50)</f>
        <v>15503.379781600002</v>
      </c>
      <c r="W28" s="91" ph="1">
        <f>W27*47.051*LOOKUP(W29,密度!$A$2:$A$50,密度!$B$2:$B$50)</f>
        <v>424844.40728480002</v>
      </c>
      <c r="X28" s="91" ph="1">
        <f>X27*47.051*LOOKUP(X29,密度!$A$2:$A$50,密度!$I$2:$I$50)</f>
        <v>464278.31336664001</v>
      </c>
      <c r="Y28" s="91" ph="1">
        <f>Y27*47.051*LOOKUP(Y29,密度!$A$2:$A$50,密度!$L$2:$L$50)</f>
        <v>75018.867215999999</v>
      </c>
      <c r="Z28" s="201"/>
      <c r="AA28" s="202"/>
      <c r="AB28" s="202"/>
      <c r="AC28" s="202"/>
      <c r="AD28" s="202"/>
      <c r="AE28" s="203"/>
      <c r="AH28" s="64" ph="1">
        <v>14</v>
      </c>
      <c r="AI28" s="64" t="s" ph="1">
        <v>392</v>
      </c>
      <c r="AZ28" s="64" t="s" ph="1">
        <v>257</v>
      </c>
      <c r="BA28" s="64" ph="1">
        <v>0</v>
      </c>
    </row>
    <row r="29" spans="1:57" ph="1">
      <c r="A29" s="72" ph="1"/>
      <c r="B29" s="207" ph="1"/>
      <c r="C29" s="176" t="s" ph="1">
        <v>210</v>
      </c>
      <c r="D29" s="74">
        <v>25</v>
      </c>
      <c r="E29" s="74">
        <v>25</v>
      </c>
      <c r="F29" s="74">
        <v>17</v>
      </c>
      <c r="G29" s="74">
        <v>18</v>
      </c>
      <c r="H29" s="74">
        <v>18</v>
      </c>
      <c r="I29" s="74">
        <v>18</v>
      </c>
      <c r="J29" s="74">
        <v>18</v>
      </c>
      <c r="K29" s="74">
        <v>17</v>
      </c>
      <c r="L29" s="74">
        <v>17</v>
      </c>
      <c r="M29" s="74">
        <v>17</v>
      </c>
      <c r="N29" s="74">
        <v>18</v>
      </c>
      <c r="O29" s="74">
        <v>18</v>
      </c>
      <c r="P29" s="74">
        <v>18</v>
      </c>
      <c r="Q29" s="93">
        <v>17</v>
      </c>
      <c r="R29" s="74">
        <v>17</v>
      </c>
      <c r="S29" s="74">
        <v>16</v>
      </c>
      <c r="T29" s="74">
        <v>16</v>
      </c>
      <c r="U29" s="74">
        <v>17</v>
      </c>
      <c r="V29" s="74">
        <v>17</v>
      </c>
      <c r="W29" s="74">
        <v>17</v>
      </c>
      <c r="X29" s="74">
        <v>47</v>
      </c>
      <c r="Y29" s="74">
        <v>18</v>
      </c>
      <c r="Z29" s="204"/>
      <c r="AA29" s="205"/>
      <c r="AB29" s="205"/>
      <c r="AC29" s="205"/>
      <c r="AD29" s="205"/>
      <c r="AE29" s="206"/>
      <c r="AH29" s="64" ph="1">
        <v>15</v>
      </c>
      <c r="AI29" s="64" t="s" ph="1">
        <v>393</v>
      </c>
      <c r="AZ29" s="64" t="s" ph="1">
        <v>257</v>
      </c>
      <c r="BA29" s="64" ph="1">
        <v>0</v>
      </c>
      <c r="BD29" s="64" t="s" ph="1">
        <v>394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395</v>
      </c>
      <c r="AZ30" s="64" t="s" ph="1">
        <v>257</v>
      </c>
      <c r="BA30" s="64" ph="1">
        <v>0</v>
      </c>
    </row>
    <row r="31" spans="1:57" ht="28.5" ph="1">
      <c r="A31" s="64"/>
      <c r="B31" s="220" t="s" ph="1">
        <v>35</v>
      </c>
      <c r="C31" s="221" ph="1"/>
      <c r="D31" s="224" t="s" ph="1">
        <v>9</v>
      </c>
      <c r="E31" s="213" ph="1"/>
      <c r="F31" s="214" ph="1"/>
      <c r="G31" s="224" t="s" ph="1">
        <v>18</v>
      </c>
      <c r="H31" s="213" ph="1"/>
      <c r="I31" s="214" ph="1"/>
      <c r="J31" s="212" t="s" ph="1">
        <v>1</v>
      </c>
      <c r="K31" s="213" ph="1"/>
      <c r="L31" s="214" ph="1"/>
      <c r="M31" s="212" t="s" ph="1">
        <v>7</v>
      </c>
      <c r="N31" s="213" ph="1"/>
      <c r="O31" s="214" ph="1"/>
      <c r="P31" s="212" t="s" ph="1">
        <v>42</v>
      </c>
      <c r="Q31" s="213"/>
      <c r="R31" s="214"/>
      <c r="S31" s="212" t="s" ph="1">
        <v>2</v>
      </c>
      <c r="T31" s="213"/>
      <c r="U31" s="214"/>
      <c r="V31" s="212" t="s" ph="1">
        <v>81</v>
      </c>
      <c r="W31" s="213" ph="1"/>
      <c r="X31" s="214" ph="1"/>
      <c r="Y31" s="212" t="s" ph="1">
        <v>3</v>
      </c>
      <c r="Z31" s="213" ph="1"/>
      <c r="AA31" s="214" ph="1"/>
      <c r="AB31" s="235" t="s">
        <v>43</v>
      </c>
      <c r="AC31" s="236"/>
      <c r="AD31" s="236"/>
      <c r="AE31" s="237"/>
      <c r="AH31" s="64" ph="1">
        <v>17</v>
      </c>
      <c r="AI31" s="64" t="s" ph="1">
        <v>396</v>
      </c>
      <c r="AZ31" s="64" t="s" ph="1">
        <v>257</v>
      </c>
      <c r="BA31" s="64" ph="1">
        <v>0</v>
      </c>
      <c r="BD31" s="64" t="s" ph="1">
        <v>397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76" t="s" ph="1">
        <v>5</v>
      </c>
      <c r="F32" s="175" t="s" ph="1">
        <v>44</v>
      </c>
      <c r="G32" s="97" t="s" ph="1">
        <v>4</v>
      </c>
      <c r="H32" s="176" t="s" ph="1">
        <v>5</v>
      </c>
      <c r="I32" s="175" t="s" ph="1">
        <v>44</v>
      </c>
      <c r="J32" s="97" t="s" ph="1">
        <v>4</v>
      </c>
      <c r="K32" s="176" t="s" ph="1">
        <v>5</v>
      </c>
      <c r="L32" s="175" t="s" ph="1">
        <v>44</v>
      </c>
      <c r="M32" s="97" t="s" ph="1">
        <v>4</v>
      </c>
      <c r="N32" s="176" t="s" ph="1">
        <v>5</v>
      </c>
      <c r="O32" s="175" t="s" ph="1">
        <v>44</v>
      </c>
      <c r="P32" s="97" t="s" ph="1">
        <v>4</v>
      </c>
      <c r="Q32" s="98" t="s" ph="1">
        <v>5</v>
      </c>
      <c r="R32" s="99" t="s" ph="1">
        <v>44</v>
      </c>
      <c r="S32" s="97" t="s" ph="1">
        <v>4</v>
      </c>
      <c r="T32" s="176" t="s" ph="1">
        <v>5</v>
      </c>
      <c r="U32" s="99" t="s" ph="1">
        <v>44</v>
      </c>
      <c r="V32" s="97" t="s" ph="1">
        <v>4</v>
      </c>
      <c r="W32" s="176" t="s" ph="1">
        <v>5</v>
      </c>
      <c r="X32" s="99" t="s" ph="1">
        <v>44</v>
      </c>
      <c r="Y32" s="100" t="s" ph="1">
        <v>4</v>
      </c>
      <c r="Z32" s="176" t="s" ph="1">
        <v>5</v>
      </c>
      <c r="AA32" s="175" t="s" ph="1">
        <v>44</v>
      </c>
      <c r="AB32" s="97" t="s" ph="1">
        <v>102</v>
      </c>
      <c r="AC32" s="176" t="s" ph="1">
        <v>101</v>
      </c>
      <c r="AD32" s="238" t="s" ph="1">
        <v>100</v>
      </c>
      <c r="AE32" s="239"/>
      <c r="AH32" s="64" ph="1">
        <v>18</v>
      </c>
      <c r="AI32" s="64" t="s" ph="1">
        <v>398</v>
      </c>
      <c r="AZ32" s="64" t="s" ph="1">
        <v>257</v>
      </c>
      <c r="BA32" s="64" ph="1">
        <v>0</v>
      </c>
    </row>
    <row r="33" spans="1:57" ph="1">
      <c r="A33" s="64"/>
      <c r="B33" s="225" t="s" ph="1">
        <v>212</v>
      </c>
      <c r="C33" s="226" ph="1"/>
      <c r="D33" s="229" ph="1">
        <f>AA10+AB10+Z19</f>
        <v>109970.8396524</v>
      </c>
      <c r="E33" s="229" ph="1">
        <f>M10+I10</f>
        <v>163337.34404210001</v>
      </c>
      <c r="F33" s="23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1522252632456786910111213141516171819202123456789101112131415161718192022232424356789101112131415161718192021222345678910111213141516171819202345678910111213149101516171819222123234567891012131415161711181920212224252345678910111213125[[#This Row],[F25]]</f>
        <v>3880</v>
      </c>
      <c r="G33" s="233" ph="1">
        <v>0</v>
      </c>
      <c r="H33" s="229" ph="1">
        <f>N19</f>
        <v>12805.35771914</v>
      </c>
      <c r="I33" s="242" ph="1">
        <v>0</v>
      </c>
      <c r="J33" s="240" ph="1">
        <f>F10+O28</f>
        <v>233870.2704525</v>
      </c>
      <c r="K33" s="229" ph="1">
        <f>O10+K10+E28+R28</f>
        <v>446463.09390252002</v>
      </c>
      <c r="L33" s="244" ph="1">
        <f>BE27</f>
        <v>7100</v>
      </c>
      <c r="M33" s="240" ph="1">
        <f>G10+H10+W28+S28</f>
        <v>998844.46816040005</v>
      </c>
      <c r="N33" s="229" ph="1">
        <f>L10+P10++G28+H28+V28</f>
        <v>242677.3843912</v>
      </c>
      <c r="O33" s="242" ph="1">
        <f>BE17</f>
        <v>2270</v>
      </c>
      <c r="P33" s="240" ph="1">
        <f>L19</f>
        <v>28094.569577279999</v>
      </c>
      <c r="Q33" s="229" ph="1">
        <f>J10+N10</f>
        <v>125639.38956079999</v>
      </c>
      <c r="R33" s="242" ph="1">
        <f>BE23</f>
        <v>890</v>
      </c>
      <c r="S33" s="240" ph="1">
        <f>E10+X28</f>
        <v>464278.31336664001</v>
      </c>
      <c r="T33" s="229" ph="1">
        <f>X19</f>
        <v>10384.212621623999</v>
      </c>
      <c r="U33" s="250" ph="1">
        <f>BE21</f>
        <v>730</v>
      </c>
      <c r="V33" s="261" ph="1">
        <f ca="1">P19+Q19+S19+M28+N28+J28</f>
        <v>280152.86743861798</v>
      </c>
      <c r="W33" s="261" ph="1">
        <f>D28+F28+V19+T28</f>
        <v>71422.688746952001</v>
      </c>
      <c r="X33" s="242" ph="1">
        <f>BE29+BE31</f>
        <v>10200</v>
      </c>
      <c r="Y33" s="263" ph="1">
        <f>+Q10+R10+S10+T10+U10+V10+W10+X10+Y10</f>
        <v>111257.99684999998</v>
      </c>
      <c r="Z33" s="248" ph="1">
        <f>D10+T19+U19+Y28+Z10</f>
        <v>313637.82990944001</v>
      </c>
      <c r="AA33" s="250" ph="1">
        <f>BE19</f>
        <v>1440</v>
      </c>
      <c r="AB33" s="252" ph="1">
        <f>I19</f>
        <v>17780.480852800003</v>
      </c>
      <c r="AC33" s="254" ph="1">
        <f>AD10</f>
        <v>5297.3072480000001</v>
      </c>
      <c r="AD33" s="256" ph="1">
        <v>0</v>
      </c>
      <c r="AE33" s="257"/>
      <c r="AH33" s="64" ph="1">
        <v>19</v>
      </c>
      <c r="AI33" s="64" t="s" ph="1">
        <v>399</v>
      </c>
      <c r="AJ33" s="64" t="s" ph="1">
        <v>633</v>
      </c>
      <c r="AK33" s="64" t="s" ph="1">
        <v>630</v>
      </c>
      <c r="AL33" s="64" ph="1">
        <v>730</v>
      </c>
      <c r="AM33" s="64" t="s" ph="1">
        <v>380</v>
      </c>
      <c r="AZ33" s="64" t="s" ph="1">
        <v>257</v>
      </c>
      <c r="BA33" s="64" ph="1">
        <v>730</v>
      </c>
      <c r="BD33" s="64" t="s" ph="1">
        <v>331</v>
      </c>
      <c r="BE33" s="64" ph="1">
        <v>3880</v>
      </c>
    </row>
    <row r="34" spans="1:57" ph="1">
      <c r="A34" s="64"/>
      <c r="B34" s="227" ph="1"/>
      <c r="C34" s="228" ph="1"/>
      <c r="D34" s="230" ph="1"/>
      <c r="E34" s="230" ph="1"/>
      <c r="F34" s="232" ph="1"/>
      <c r="G34" s="234" ph="1"/>
      <c r="H34" s="230" ph="1"/>
      <c r="I34" s="243" ph="1"/>
      <c r="J34" s="241" ph="1"/>
      <c r="K34" s="230" ph="1"/>
      <c r="L34" s="245" ph="1"/>
      <c r="M34" s="241" ph="1"/>
      <c r="N34" s="230" ph="1"/>
      <c r="O34" s="243" ph="1"/>
      <c r="P34" s="241" ph="1"/>
      <c r="Q34" s="230" ph="1"/>
      <c r="R34" s="243" ph="1"/>
      <c r="S34" s="241" ph="1"/>
      <c r="T34" s="230"/>
      <c r="U34" s="251"/>
      <c r="V34" s="262" ph="1"/>
      <c r="W34" s="262" ph="1"/>
      <c r="X34" s="243" ph="1"/>
      <c r="Y34" s="264" ph="1"/>
      <c r="Z34" s="249" ph="1"/>
      <c r="AA34" s="251" ph="1"/>
      <c r="AB34" s="253"/>
      <c r="AC34" s="255"/>
      <c r="AD34" s="258"/>
      <c r="AE34" s="259"/>
      <c r="AH34" s="64" ph="1">
        <v>20</v>
      </c>
      <c r="AI34" s="64" t="s" ph="1">
        <v>400</v>
      </c>
      <c r="AJ34" s="64" t="s" ph="1">
        <v>634</v>
      </c>
      <c r="AK34" s="64" t="s" ph="1">
        <v>630</v>
      </c>
      <c r="AL34" s="64" ph="1">
        <v>720</v>
      </c>
      <c r="AM34" s="64" t="s" ph="1">
        <v>380</v>
      </c>
      <c r="AZ34" s="64" t="s" ph="1">
        <v>257</v>
      </c>
      <c r="BA34" s="64" ph="1">
        <v>720</v>
      </c>
    </row>
    <row r="35" spans="1:57" ph="1">
      <c r="A35" s="64"/>
      <c r="AC35" s="260" t="s" ph="1">
        <v>84</v>
      </c>
      <c r="AD35" s="260"/>
      <c r="AE35" s="260"/>
      <c r="AH35" s="64" ph="1">
        <v>21</v>
      </c>
      <c r="AI35" s="64" t="s" ph="1">
        <v>401</v>
      </c>
      <c r="AZ35" s="64" t="s" ph="1">
        <v>257</v>
      </c>
      <c r="BA35" s="64" ph="1">
        <v>0</v>
      </c>
      <c r="BD35" s="64" t="s" ph="1">
        <v>402</v>
      </c>
      <c r="BE35" s="64" ph="1">
        <v>2030</v>
      </c>
    </row>
    <row r="36" spans="1:57" ht="28.5" ph="1">
      <c r="A36" s="64"/>
      <c r="B36" s="103" t="s" ph="1">
        <v>213</v>
      </c>
      <c r="I36" s="246" t="s" ph="1">
        <v>214</v>
      </c>
      <c r="J36" s="246" ph="1"/>
      <c r="K36" s="101" ph="1"/>
      <c r="P36" s="101" ph="1"/>
      <c r="R36" s="246" t="s" ph="1">
        <v>215</v>
      </c>
      <c r="S36" s="246" ph="1"/>
      <c r="Y36" s="102" ph="1"/>
      <c r="Z36" s="174" t="s" ph="1">
        <v>216</v>
      </c>
      <c r="AA36" s="174" ph="1"/>
      <c r="AB36" s="247" t="s" ph="1">
        <v>655</v>
      </c>
      <c r="AC36" s="247" ph="1"/>
      <c r="AD36" s="247" ph="1"/>
      <c r="AE36" s="247" ph="1"/>
      <c r="BA36" s="64" ph="1">
        <v>2270</v>
      </c>
    </row>
    <row r="37" spans="1:57" s="17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74" t="s" ph="1">
        <v>383</v>
      </c>
      <c r="AI37" s="174" t="s" ph="1">
        <v>250</v>
      </c>
      <c r="AJ37" s="174" t="s" ph="1">
        <v>251</v>
      </c>
      <c r="AK37" s="174" t="s" ph="1">
        <v>252</v>
      </c>
      <c r="AM37" s="174" t="s" ph="1">
        <v>251</v>
      </c>
      <c r="AN37" s="174" t="s" ph="1">
        <v>252</v>
      </c>
      <c r="AO37" s="174" t="s" ph="1">
        <v>253</v>
      </c>
      <c r="AP37" s="174" t="s" ph="1">
        <v>251</v>
      </c>
      <c r="AQ37" s="174" t="s" ph="1">
        <v>252</v>
      </c>
      <c r="AR37" s="174" t="s" ph="1">
        <v>253</v>
      </c>
      <c r="AS37" s="174" t="s" ph="1">
        <v>251</v>
      </c>
      <c r="AT37" s="174" t="s" ph="1">
        <v>252</v>
      </c>
      <c r="AU37" s="174" t="s" ph="1">
        <v>253</v>
      </c>
      <c r="AV37" s="174" t="s" ph="1">
        <v>251</v>
      </c>
      <c r="AW37" s="174" t="s" ph="1">
        <v>252</v>
      </c>
      <c r="AX37" s="174" t="s" ph="1">
        <v>253</v>
      </c>
      <c r="AY37" s="174" t="s" ph="1">
        <v>252</v>
      </c>
      <c r="AZ37" s="174" t="s" ph="1">
        <v>254</v>
      </c>
      <c r="BD37" s="174" t="s" ph="1">
        <v>346</v>
      </c>
      <c r="BE37" s="174" ph="1">
        <v>0</v>
      </c>
    </row>
    <row r="38" spans="1:57" ph="1">
      <c r="AE38" s="64" ph="1"/>
      <c r="AH38" s="64" ph="1">
        <v>1</v>
      </c>
      <c r="AI38" s="64" t="s" ph="1">
        <v>403</v>
      </c>
      <c r="AY38" s="64" t="s" ph="1">
        <v>257</v>
      </c>
      <c r="AZ38" s="64" t="s" ph="1">
        <v>408</v>
      </c>
    </row>
    <row r="39" spans="1:57" ph="1">
      <c r="AH39" s="64" ph="1">
        <v>2</v>
      </c>
      <c r="AI39" s="64" t="s" ph="1">
        <v>405</v>
      </c>
      <c r="AJ39" s="64" t="s" ph="1">
        <v>377</v>
      </c>
      <c r="AK39" s="64" t="s" ph="1">
        <v>406</v>
      </c>
      <c r="AM39" s="64" t="s" ph="1">
        <v>611</v>
      </c>
      <c r="AN39" s="64" t="s" ph="1">
        <v>269</v>
      </c>
      <c r="AO39" s="64" t="s" ph="1">
        <v>404</v>
      </c>
      <c r="AY39" s="64" t="s" ph="1">
        <v>257</v>
      </c>
      <c r="AZ39" s="64" t="s" ph="1">
        <v>540</v>
      </c>
    </row>
    <row r="40" spans="1:57" ph="1">
      <c r="AH40" s="64" ph="1">
        <v>3</v>
      </c>
      <c r="AI40" s="64" t="s" ph="1">
        <v>407</v>
      </c>
      <c r="AJ40" s="64" t="s" ph="1">
        <v>611</v>
      </c>
      <c r="AK40" s="64" t="s" ph="1">
        <v>612</v>
      </c>
      <c r="AY40" s="64" t="s" ph="1">
        <v>257</v>
      </c>
      <c r="AZ40" s="64" t="s" ph="1">
        <v>612</v>
      </c>
    </row>
    <row r="41" spans="1:57" ph="1">
      <c r="AH41" s="64" ph="1">
        <v>4</v>
      </c>
      <c r="AI41" s="64" t="s" ph="1">
        <v>409</v>
      </c>
      <c r="AJ41" s="64" t="s" ph="1">
        <v>613</v>
      </c>
      <c r="AK41" s="64" t="s" ph="1">
        <v>614</v>
      </c>
      <c r="AM41" s="64" t="s" ph="1">
        <v>615</v>
      </c>
      <c r="AY41" s="64" t="s" ph="1">
        <v>257</v>
      </c>
      <c r="AZ41" s="64" t="s" ph="1">
        <v>614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410</v>
      </c>
      <c r="AY42" s="64" t="s" ph="1">
        <v>257</v>
      </c>
      <c r="AZ42" s="64" t="s" ph="1">
        <v>408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411</v>
      </c>
      <c r="AY43" s="64" t="s" ph="1">
        <v>257</v>
      </c>
      <c r="AZ43" s="64" t="s" ph="1">
        <v>408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412</v>
      </c>
      <c r="AV44" s="64" t="s" ph="1">
        <v>258</v>
      </c>
      <c r="AY44" s="64" t="s" ph="1">
        <v>257</v>
      </c>
      <c r="AZ44" s="64" t="s" ph="1">
        <v>408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413</v>
      </c>
      <c r="AV45" s="64" t="s" ph="1">
        <v>258</v>
      </c>
      <c r="AY45" s="64" t="s" ph="1">
        <v>257</v>
      </c>
      <c r="AZ45" s="64" t="s" ph="1">
        <v>408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414</v>
      </c>
      <c r="AV46" s="64" t="s" ph="1">
        <v>258</v>
      </c>
      <c r="AY46" s="64" t="s" ph="1">
        <v>257</v>
      </c>
      <c r="AZ46" s="64" t="s" ph="1">
        <v>408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415</v>
      </c>
      <c r="AV47" s="64" t="s" ph="1">
        <v>258</v>
      </c>
      <c r="AY47" s="64" t="s" ph="1">
        <v>257</v>
      </c>
      <c r="AZ47" s="64" t="s" ph="1">
        <v>408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616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273</v>
      </c>
      <c r="AI49" s="64" t="s" ph="1">
        <v>250</v>
      </c>
      <c r="AJ49" s="64" t="s" ph="1">
        <v>251</v>
      </c>
      <c r="AK49" s="64" t="s" ph="1">
        <v>252</v>
      </c>
      <c r="AM49" s="64" t="s" ph="1">
        <v>251</v>
      </c>
      <c r="AN49" s="64" t="s" ph="1">
        <v>252</v>
      </c>
      <c r="AO49" s="64" t="s" ph="1">
        <v>253</v>
      </c>
      <c r="AP49" s="64" t="s" ph="1">
        <v>251</v>
      </c>
      <c r="AQ49" s="64" t="s" ph="1">
        <v>252</v>
      </c>
      <c r="AR49" s="64" t="s" ph="1">
        <v>253</v>
      </c>
      <c r="AS49" s="64" t="s" ph="1">
        <v>251</v>
      </c>
      <c r="AT49" s="64" t="s" ph="1">
        <v>252</v>
      </c>
      <c r="AU49" s="64" t="s" ph="1">
        <v>253</v>
      </c>
      <c r="AV49" s="64" t="s" ph="1">
        <v>251</v>
      </c>
      <c r="AW49" s="64" t="s" ph="1">
        <v>252</v>
      </c>
      <c r="AX49" s="64" t="s" ph="1">
        <v>253</v>
      </c>
      <c r="AY49" s="64" t="s" ph="1">
        <v>252</v>
      </c>
      <c r="AZ49" s="64" t="s" ph="1">
        <v>254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416</v>
      </c>
      <c r="AY50" s="64" t="s" ph="1">
        <v>257</v>
      </c>
      <c r="AZ50" s="64" t="s" ph="1">
        <v>408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417</v>
      </c>
      <c r="AY51" s="64" t="s" ph="1">
        <v>257</v>
      </c>
      <c r="AZ51" s="64" t="s" ph="1">
        <v>408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418</v>
      </c>
      <c r="AJ52" s="64" t="s" ph="1">
        <v>375</v>
      </c>
      <c r="AK52" s="64" t="s" ph="1">
        <v>269</v>
      </c>
      <c r="AM52" s="64" t="s" ph="1">
        <v>377</v>
      </c>
      <c r="AN52" s="64" t="s" ph="1">
        <v>341</v>
      </c>
      <c r="AO52" s="64" t="s" ph="1">
        <v>274</v>
      </c>
      <c r="AP52" s="64" t="s" ph="1">
        <v>611</v>
      </c>
      <c r="AQ52" s="64" t="s" ph="1">
        <v>323</v>
      </c>
      <c r="AR52" s="64" t="s" ph="1">
        <v>274</v>
      </c>
      <c r="AY52" s="64" t="s" ph="1">
        <v>257</v>
      </c>
      <c r="AZ52" s="64" t="s" ph="1">
        <v>617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419</v>
      </c>
      <c r="AY53" s="64" t="s" ph="1">
        <v>257</v>
      </c>
      <c r="AZ53" s="64" t="s" ph="1">
        <v>408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420</v>
      </c>
      <c r="AJ54" s="64" t="s" ph="1">
        <v>375</v>
      </c>
      <c r="AK54" s="64" t="s" ph="1">
        <v>260</v>
      </c>
      <c r="AM54" s="64" t="s" ph="1">
        <v>377</v>
      </c>
      <c r="AN54" s="64" t="s" ph="1">
        <v>265</v>
      </c>
      <c r="AO54" s="64" t="s" ph="1">
        <v>274</v>
      </c>
      <c r="AP54" s="64" t="s" ph="1">
        <v>611</v>
      </c>
      <c r="AQ54" s="64" t="s" ph="1">
        <v>281</v>
      </c>
      <c r="AR54" s="64" t="s" ph="1">
        <v>274</v>
      </c>
      <c r="AY54" s="64" t="s" ph="1">
        <v>257</v>
      </c>
      <c r="AZ54" s="64" t="s" ph="1">
        <v>275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421</v>
      </c>
      <c r="AY55" s="64" t="s" ph="1">
        <v>257</v>
      </c>
      <c r="AZ55" s="64" t="s" ph="1">
        <v>408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422</v>
      </c>
      <c r="AY56" s="64" t="s" ph="1">
        <v>257</v>
      </c>
      <c r="AZ56" s="64" t="s" ph="1">
        <v>408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423</v>
      </c>
      <c r="AY57" s="64" t="s" ph="1">
        <v>257</v>
      </c>
      <c r="AZ57" s="64" t="s" ph="1">
        <v>408</v>
      </c>
    </row>
    <row r="58" spans="16:52" ph="1">
      <c r="P58" s="64"/>
      <c r="AN58" s="64" t="s" ph="1">
        <v>258</v>
      </c>
      <c r="AZ58" s="64" t="s" ph="1">
        <v>618</v>
      </c>
    </row>
    <row r="59" spans="16:52" ph="1">
      <c r="V59" s="64"/>
      <c r="AG59" s="64" t="s" ph="1">
        <v>276</v>
      </c>
      <c r="AI59" s="64" t="s" ph="1">
        <v>250</v>
      </c>
      <c r="AJ59" s="64" t="s" ph="1">
        <v>251</v>
      </c>
      <c r="AK59" s="64" t="s" ph="1">
        <v>252</v>
      </c>
      <c r="AM59" s="64" t="s" ph="1">
        <v>251</v>
      </c>
      <c r="AN59" s="64" t="s" ph="1">
        <v>252</v>
      </c>
      <c r="AO59" s="64" t="s" ph="1">
        <v>253</v>
      </c>
      <c r="AP59" s="64" t="s" ph="1">
        <v>251</v>
      </c>
      <c r="AQ59" s="64" t="s" ph="1">
        <v>252</v>
      </c>
      <c r="AR59" s="64" t="s" ph="1">
        <v>253</v>
      </c>
      <c r="AS59" s="64" t="s" ph="1">
        <v>251</v>
      </c>
      <c r="AT59" s="64" t="s" ph="1">
        <v>252</v>
      </c>
      <c r="AU59" s="64" t="s" ph="1">
        <v>253</v>
      </c>
      <c r="AV59" s="64" t="s" ph="1">
        <v>251</v>
      </c>
      <c r="AW59" s="64" t="s" ph="1">
        <v>252</v>
      </c>
      <c r="AX59" s="64" t="s" ph="1">
        <v>253</v>
      </c>
      <c r="AY59" s="64" t="s" ph="1">
        <v>252</v>
      </c>
      <c r="AZ59" s="64" t="s" ph="1">
        <v>254</v>
      </c>
    </row>
    <row r="60" spans="16:52" ph="1">
      <c r="R60" s="64"/>
      <c r="S60" s="64"/>
      <c r="T60" s="64"/>
      <c r="AH60" s="64" ph="1">
        <v>1</v>
      </c>
      <c r="AI60" s="64" t="s" ph="1">
        <v>424</v>
      </c>
      <c r="AY60" s="64" t="s" ph="1">
        <v>257</v>
      </c>
      <c r="AZ60" s="64" t="s" ph="1">
        <v>408</v>
      </c>
    </row>
    <row r="61" spans="16:52" ph="1">
      <c r="AH61" s="64" ph="1">
        <v>2</v>
      </c>
      <c r="AI61" s="64" t="s" ph="1">
        <v>425</v>
      </c>
      <c r="AS61" s="64" t="s" ph="1">
        <v>258</v>
      </c>
      <c r="AY61" s="64" t="s" ph="1">
        <v>257</v>
      </c>
      <c r="AZ61" s="64" t="s" ph="1">
        <v>408</v>
      </c>
    </row>
    <row r="62" spans="16:52" ph="1">
      <c r="AZ62" s="64" t="s" ph="1">
        <v>426</v>
      </c>
    </row>
    <row r="63" spans="16:52" ph="1">
      <c r="AG63" s="64" t="s" ph="1">
        <v>279</v>
      </c>
      <c r="AI63" s="64" t="s" ph="1">
        <v>250</v>
      </c>
      <c r="AJ63" s="64" t="s" ph="1">
        <v>251</v>
      </c>
      <c r="AK63" s="64" t="s" ph="1">
        <v>252</v>
      </c>
      <c r="AM63" s="64" t="s" ph="1">
        <v>251</v>
      </c>
      <c r="AN63" s="64" t="s" ph="1">
        <v>252</v>
      </c>
      <c r="AO63" s="64" t="s" ph="1">
        <v>253</v>
      </c>
      <c r="AP63" s="64" t="s" ph="1">
        <v>251</v>
      </c>
      <c r="AQ63" s="64" t="s" ph="1">
        <v>252</v>
      </c>
      <c r="AR63" s="64" t="s" ph="1">
        <v>253</v>
      </c>
      <c r="AS63" s="64" t="s" ph="1">
        <v>251</v>
      </c>
      <c r="AT63" s="64" t="s" ph="1">
        <v>252</v>
      </c>
      <c r="AU63" s="64" t="s" ph="1">
        <v>253</v>
      </c>
      <c r="AV63" s="64" t="s" ph="1">
        <v>251</v>
      </c>
      <c r="AW63" s="64" t="s" ph="1">
        <v>252</v>
      </c>
      <c r="AX63" s="64" t="s" ph="1">
        <v>253</v>
      </c>
      <c r="AY63" s="64" t="s" ph="1">
        <v>252</v>
      </c>
      <c r="AZ63" s="64" t="s" ph="1">
        <v>254</v>
      </c>
    </row>
    <row r="64" spans="16:52" ph="1">
      <c r="AH64" s="64" ph="1">
        <v>1</v>
      </c>
      <c r="AI64" s="64" t="s" ph="1">
        <v>427</v>
      </c>
      <c r="AJ64" s="64" t="s" ph="1">
        <v>428</v>
      </c>
      <c r="AK64" s="64" t="s" ph="1">
        <v>429</v>
      </c>
      <c r="AY64" s="64" t="s" ph="1">
        <v>257</v>
      </c>
      <c r="AZ64" s="64" t="s" ph="1">
        <v>429</v>
      </c>
    </row>
    <row r="65" spans="33:52" ph="1">
      <c r="AH65" s="64" ph="1">
        <v>2</v>
      </c>
      <c r="AI65" s="64" t="s" ph="1">
        <v>430</v>
      </c>
      <c r="AY65" s="64" t="s" ph="1">
        <v>257</v>
      </c>
      <c r="AZ65" s="64" t="s" ph="1">
        <v>408</v>
      </c>
    </row>
    <row r="66" spans="33:52" ph="1">
      <c r="AH66" s="64" ph="1">
        <v>3</v>
      </c>
      <c r="AI66" s="64" t="s" ph="1">
        <v>431</v>
      </c>
      <c r="AY66" s="64" t="s" ph="1">
        <v>257</v>
      </c>
      <c r="AZ66" s="64" t="s" ph="1">
        <v>408</v>
      </c>
    </row>
    <row r="67" spans="33:52" ph="1">
      <c r="AH67" s="64" ph="1">
        <v>4</v>
      </c>
      <c r="AI67" s="64" t="s" ph="1">
        <v>432</v>
      </c>
      <c r="AY67" s="64" t="s" ph="1">
        <v>257</v>
      </c>
      <c r="AZ67" s="64" t="s" ph="1">
        <v>408</v>
      </c>
    </row>
    <row r="68" spans="33:52" ph="1">
      <c r="AH68" s="64" ph="1">
        <v>5</v>
      </c>
      <c r="AI68" s="64" t="s" ph="1">
        <v>433</v>
      </c>
      <c r="AY68" s="64" t="s" ph="1">
        <v>257</v>
      </c>
      <c r="AZ68" s="64" t="s" ph="1">
        <v>408</v>
      </c>
    </row>
    <row r="69" spans="33:52" ph="1">
      <c r="AH69" s="64" ph="1">
        <v>6</v>
      </c>
      <c r="AI69" s="64" t="s" ph="1">
        <v>434</v>
      </c>
      <c r="AY69" s="64" t="s" ph="1">
        <v>257</v>
      </c>
      <c r="AZ69" s="64" t="s" ph="1">
        <v>408</v>
      </c>
    </row>
    <row r="70" spans="33:52" ph="1">
      <c r="AI70" s="64" t="s" ph="1">
        <v>435</v>
      </c>
      <c r="AY70" s="64" t="s" ph="1">
        <v>257</v>
      </c>
      <c r="AZ70" s="64" t="s" ph="1">
        <v>408</v>
      </c>
    </row>
    <row r="71" spans="33:52" ph="1">
      <c r="AH71" s="64" ph="1">
        <v>7</v>
      </c>
      <c r="AI71" s="64" t="s" ph="1">
        <v>436</v>
      </c>
      <c r="AJ71" s="64" t="s" ph="1">
        <v>375</v>
      </c>
      <c r="AK71" s="64" t="s" ph="1">
        <v>269</v>
      </c>
      <c r="AM71" s="64" t="s" ph="1">
        <v>377</v>
      </c>
      <c r="AN71" s="64" t="s" ph="1">
        <v>269</v>
      </c>
      <c r="AO71" s="64" t="s" ph="1">
        <v>437</v>
      </c>
      <c r="AP71" s="64" t="s" ph="1">
        <v>611</v>
      </c>
      <c r="AQ71" s="64" t="s" ph="1">
        <v>260</v>
      </c>
      <c r="AR71" s="64" t="s" ph="1">
        <v>437</v>
      </c>
      <c r="AY71" s="64" t="s" ph="1">
        <v>257</v>
      </c>
      <c r="AZ71" s="64" t="s" ph="1">
        <v>619</v>
      </c>
    </row>
    <row r="72" spans="33:52" ph="1">
      <c r="AZ72" s="64" t="s" ph="1">
        <v>620</v>
      </c>
    </row>
    <row r="73" spans="33:52" ph="1">
      <c r="AG73" s="64" t="s" ph="1">
        <v>282</v>
      </c>
      <c r="AI73" s="64" t="s" ph="1">
        <v>250</v>
      </c>
      <c r="AJ73" s="64" t="s" ph="1">
        <v>251</v>
      </c>
      <c r="AK73" s="64" t="s" ph="1">
        <v>252</v>
      </c>
      <c r="AM73" s="64" t="s" ph="1">
        <v>251</v>
      </c>
      <c r="AN73" s="64" t="s" ph="1">
        <v>252</v>
      </c>
      <c r="AO73" s="64" t="s" ph="1">
        <v>253</v>
      </c>
      <c r="AP73" s="64" t="s" ph="1">
        <v>251</v>
      </c>
      <c r="AQ73" s="64" t="s" ph="1">
        <v>252</v>
      </c>
      <c r="AR73" s="64" t="s" ph="1">
        <v>253</v>
      </c>
      <c r="AS73" s="64" t="s" ph="1">
        <v>251</v>
      </c>
      <c r="AT73" s="64" t="s" ph="1">
        <v>252</v>
      </c>
      <c r="AU73" s="64" t="s" ph="1">
        <v>253</v>
      </c>
      <c r="AV73" s="64" t="s" ph="1">
        <v>251</v>
      </c>
      <c r="AW73" s="64" t="s" ph="1">
        <v>252</v>
      </c>
      <c r="AX73" s="64" t="s" ph="1">
        <v>253</v>
      </c>
      <c r="AY73" s="64" t="s" ph="1">
        <v>252</v>
      </c>
      <c r="AZ73" s="64" t="s" ph="1">
        <v>254</v>
      </c>
    </row>
    <row r="74" spans="33:52" ph="1">
      <c r="AH74" s="64" ph="1">
        <v>1</v>
      </c>
      <c r="AI74" s="64" t="s" ph="1">
        <v>438</v>
      </c>
      <c r="AJ74" s="64" t="s" ph="1">
        <v>283</v>
      </c>
      <c r="AK74" s="64" t="s" ph="1">
        <v>265</v>
      </c>
      <c r="AM74" s="64" t="s" ph="1">
        <v>285</v>
      </c>
      <c r="AN74" s="64" t="s" ph="1">
        <v>295</v>
      </c>
      <c r="AO74" s="64" t="s" ph="1">
        <v>284</v>
      </c>
      <c r="AP74" s="64" t="s" ph="1">
        <v>286</v>
      </c>
      <c r="AQ74" s="64" t="s" ph="1">
        <v>263</v>
      </c>
      <c r="AR74" s="64" t="s" ph="1">
        <v>284</v>
      </c>
      <c r="AS74" s="64" t="s" ph="1">
        <v>256</v>
      </c>
      <c r="AT74" s="64" t="s" ph="1">
        <v>258</v>
      </c>
      <c r="AV74" s="64" t="s" ph="1">
        <v>439</v>
      </c>
      <c r="AW74" s="64" t="s" ph="1">
        <v>440</v>
      </c>
      <c r="AX74" s="64" t="s" ph="1">
        <v>441</v>
      </c>
      <c r="AY74" s="64" t="s" ph="1">
        <v>257</v>
      </c>
      <c r="AZ74" s="64" t="s" ph="1">
        <v>442</v>
      </c>
    </row>
    <row r="75" spans="33:52" ph="1">
      <c r="AJ75" s="64" t="s" ph="1">
        <v>288</v>
      </c>
      <c r="AK75" s="64" t="s" ph="1">
        <v>341</v>
      </c>
      <c r="AM75" s="64" t="s" ph="1">
        <v>286</v>
      </c>
      <c r="AN75" s="64" t="s" ph="1">
        <v>266</v>
      </c>
      <c r="AO75" s="64" t="s" ph="1">
        <v>284</v>
      </c>
      <c r="AS75" s="64" t="s" ph="1">
        <v>256</v>
      </c>
      <c r="AT75" s="64" t="s" ph="1">
        <v>287</v>
      </c>
    </row>
    <row r="76" spans="33:52" ph="1">
      <c r="AJ76" s="64" t="s" ph="1">
        <v>288</v>
      </c>
      <c r="AK76" s="64" t="s" ph="1">
        <v>281</v>
      </c>
      <c r="AM76" s="64" t="s" ph="1">
        <v>286</v>
      </c>
      <c r="AN76" s="64" t="s" ph="1">
        <v>269</v>
      </c>
      <c r="AO76" s="64" t="s" ph="1">
        <v>284</v>
      </c>
      <c r="AS76" s="64" t="s" ph="1">
        <v>256</v>
      </c>
      <c r="AT76" s="64" t="s" ph="1">
        <v>287</v>
      </c>
    </row>
    <row r="77" spans="33:52" ph="1">
      <c r="AJ77" s="64" t="s" ph="1">
        <v>324</v>
      </c>
      <c r="AK77" s="64" t="s" ph="1">
        <v>281</v>
      </c>
      <c r="AM77" s="64" t="s" ph="1">
        <v>325</v>
      </c>
      <c r="AN77" s="64" t="s" ph="1">
        <v>264</v>
      </c>
      <c r="AO77" s="64" t="s" ph="1">
        <v>284</v>
      </c>
      <c r="AS77" s="64" t="s" ph="1">
        <v>256</v>
      </c>
      <c r="AT77" s="64" t="s" ph="1">
        <v>326</v>
      </c>
    </row>
    <row r="78" spans="33:52" ph="1">
      <c r="AH78" s="64" ph="1">
        <v>2</v>
      </c>
      <c r="AI78" s="64" t="s" ph="1">
        <v>290</v>
      </c>
      <c r="AJ78" s="64" t="s" ph="1">
        <v>291</v>
      </c>
      <c r="AK78" s="64" t="s" ph="1">
        <v>260</v>
      </c>
      <c r="AM78" s="64" t="s" ph="1">
        <v>292</v>
      </c>
      <c r="AN78" s="64" t="s" ph="1">
        <v>295</v>
      </c>
      <c r="AO78" s="64" t="s" ph="1">
        <v>284</v>
      </c>
      <c r="AP78" s="64" t="s" ph="1">
        <v>293</v>
      </c>
      <c r="AQ78" s="64" t="s" ph="1">
        <v>339</v>
      </c>
      <c r="AR78" s="64" t="s" ph="1">
        <v>284</v>
      </c>
      <c r="AS78" s="64" t="s" ph="1">
        <v>294</v>
      </c>
      <c r="AT78" s="64" t="s" ph="1">
        <v>295</v>
      </c>
      <c r="AU78" s="64" t="s" ph="1">
        <v>284</v>
      </c>
      <c r="AV78" s="64" t="s" ph="1">
        <v>296</v>
      </c>
      <c r="AW78" s="64" t="s" ph="1">
        <v>284</v>
      </c>
      <c r="AY78" s="64" t="s" ph="1">
        <v>257</v>
      </c>
      <c r="AZ78" s="64" t="s" ph="1">
        <v>443</v>
      </c>
    </row>
    <row r="79" spans="33:52" ph="1">
      <c r="AJ79" s="64" t="s" ph="1">
        <v>286</v>
      </c>
      <c r="AK79" s="64" t="s" ph="1">
        <v>297</v>
      </c>
      <c r="AM79" s="64" t="s" ph="1">
        <v>298</v>
      </c>
      <c r="AN79" s="64" t="s" ph="1">
        <v>266</v>
      </c>
      <c r="AO79" s="64" t="s" ph="1">
        <v>284</v>
      </c>
      <c r="AP79" s="64" t="s" ph="1">
        <v>299</v>
      </c>
      <c r="AQ79" s="64" t="s" ph="1">
        <v>264</v>
      </c>
      <c r="AR79" s="64" t="s" ph="1">
        <v>300</v>
      </c>
      <c r="AS79" s="64" t="s" ph="1">
        <v>256</v>
      </c>
      <c r="AT79" s="64" t="s" ph="1">
        <v>301</v>
      </c>
      <c r="AV79" s="64" t="s" ph="1">
        <v>444</v>
      </c>
      <c r="AW79" s="64" t="s" ph="1">
        <v>343</v>
      </c>
      <c r="AX79" s="64" t="s" ph="1">
        <v>441</v>
      </c>
    </row>
    <row r="80" spans="33:52" ph="1">
      <c r="AH80" s="64" ph="1">
        <v>3</v>
      </c>
      <c r="AI80" s="64" t="s" ph="1">
        <v>302</v>
      </c>
      <c r="AJ80" s="64" t="s" ph="1">
        <v>303</v>
      </c>
      <c r="AK80" s="64" t="s" ph="1">
        <v>304</v>
      </c>
      <c r="AM80" s="64" t="s" ph="1">
        <v>305</v>
      </c>
      <c r="AN80" s="64" t="s" ph="1">
        <v>295</v>
      </c>
      <c r="AO80" s="64" t="s" ph="1">
        <v>284</v>
      </c>
      <c r="AP80" s="64" t="s" ph="1">
        <v>306</v>
      </c>
      <c r="AQ80" s="64" t="s" ph="1">
        <v>269</v>
      </c>
      <c r="AR80" s="64" t="s" ph="1">
        <v>284</v>
      </c>
      <c r="AS80" s="64" t="s" ph="1">
        <v>307</v>
      </c>
      <c r="AT80" s="64" t="s" ph="1">
        <v>268</v>
      </c>
      <c r="AU80" s="64" t="s" ph="1">
        <v>284</v>
      </c>
      <c r="AV80" s="64" t="s" ph="1">
        <v>308</v>
      </c>
      <c r="AW80" s="64" t="s" ph="1">
        <v>284</v>
      </c>
      <c r="AY80" s="64" t="s" ph="1">
        <v>257</v>
      </c>
      <c r="AZ80" s="64" t="s" ph="1">
        <v>445</v>
      </c>
    </row>
    <row r="81" spans="34:52" ph="1">
      <c r="AJ81" s="64" t="s" ph="1">
        <v>309</v>
      </c>
      <c r="AK81" s="64" t="s" ph="1">
        <v>263</v>
      </c>
      <c r="AM81" s="64" t="s" ph="1">
        <v>310</v>
      </c>
      <c r="AN81" s="64" t="s" ph="1">
        <v>266</v>
      </c>
      <c r="AO81" s="64" t="s" ph="1">
        <v>284</v>
      </c>
      <c r="AP81" s="64" t="s" ph="1">
        <v>311</v>
      </c>
      <c r="AQ81" s="64" t="s" ph="1">
        <v>295</v>
      </c>
      <c r="AR81" s="64" t="s" ph="1">
        <v>284</v>
      </c>
      <c r="AS81" s="64" t="s" ph="1">
        <v>312</v>
      </c>
      <c r="AT81" s="64" t="s" ph="1">
        <v>313</v>
      </c>
      <c r="AU81" s="64" t="s" ph="1">
        <v>284</v>
      </c>
      <c r="AV81" s="64" t="s" ph="1">
        <v>314</v>
      </c>
    </row>
    <row r="82" spans="34:52" ph="1">
      <c r="AJ82" s="64" t="s" ph="1">
        <v>315</v>
      </c>
      <c r="AK82" s="64" t="s" ph="1">
        <v>263</v>
      </c>
      <c r="AM82" s="64" t="s" ph="1">
        <v>316</v>
      </c>
      <c r="AN82" s="64" t="s" ph="1">
        <v>313</v>
      </c>
      <c r="AO82" s="64" t="s" ph="1">
        <v>317</v>
      </c>
      <c r="AP82" s="64" t="s" ph="1">
        <v>318</v>
      </c>
      <c r="AQ82" s="64" t="s" ph="1">
        <v>295</v>
      </c>
      <c r="AR82" s="64" t="s" ph="1">
        <v>284</v>
      </c>
      <c r="AS82" s="64" t="s" ph="1">
        <v>319</v>
      </c>
      <c r="AT82" s="64" t="s" ph="1">
        <v>270</v>
      </c>
      <c r="AU82" s="64" t="s" ph="1">
        <v>284</v>
      </c>
      <c r="AV82" s="64" t="s" ph="1">
        <v>444</v>
      </c>
      <c r="AW82" s="64" t="s" ph="1">
        <v>344</v>
      </c>
      <c r="AX82" s="64" t="s" ph="1">
        <v>441</v>
      </c>
    </row>
    <row r="83" spans="34:52" ph="1">
      <c r="AJ83" s="64" t="s" ph="1">
        <v>320</v>
      </c>
      <c r="AK83" s="64" t="s" ph="1">
        <v>337</v>
      </c>
      <c r="AM83" s="64" t="s" ph="1">
        <v>321</v>
      </c>
      <c r="AN83" s="64" t="s" ph="1">
        <v>269</v>
      </c>
      <c r="AO83" s="64" t="s" ph="1">
        <v>300</v>
      </c>
      <c r="AP83" s="64" t="s" ph="1">
        <v>322</v>
      </c>
      <c r="AQ83" s="64" t="s" ph="1">
        <v>323</v>
      </c>
      <c r="AR83" s="64" t="s" ph="1">
        <v>300</v>
      </c>
      <c r="AS83" s="64" t="s" ph="1">
        <v>446</v>
      </c>
      <c r="AT83" s="64" t="s" ph="1">
        <v>295</v>
      </c>
      <c r="AU83" s="64" t="s" ph="1">
        <v>300</v>
      </c>
      <c r="AV83" s="64" t="s" ph="1">
        <v>447</v>
      </c>
      <c r="AW83" s="64" t="s" ph="1">
        <v>344</v>
      </c>
      <c r="AX83" s="64" t="s" ph="1">
        <v>448</v>
      </c>
    </row>
    <row r="84" spans="34:52" ph="1">
      <c r="AH84" s="64" ph="1">
        <v>4</v>
      </c>
      <c r="AI84" s="64" t="s" ph="1">
        <v>327</v>
      </c>
      <c r="AJ84" s="64" t="s" ph="1">
        <v>267</v>
      </c>
      <c r="AK84" s="64" t="s" ph="1">
        <v>270</v>
      </c>
      <c r="AM84" s="64" t="s" ph="1">
        <v>271</v>
      </c>
      <c r="AN84" s="64" t="s" ph="1">
        <v>264</v>
      </c>
      <c r="AO84" s="64" t="s" ph="1">
        <v>300</v>
      </c>
      <c r="AP84" s="64" t="s" ph="1">
        <v>329</v>
      </c>
      <c r="AQ84" s="64" t="s" ph="1">
        <v>263</v>
      </c>
      <c r="AR84" s="64" t="s" ph="1">
        <v>300</v>
      </c>
      <c r="AS84" s="64" t="s" ph="1">
        <v>329</v>
      </c>
      <c r="AT84" s="64" t="s" ph="1">
        <v>265</v>
      </c>
      <c r="AU84" s="64" t="s" ph="1">
        <v>300</v>
      </c>
      <c r="AY84" s="64" t="s" ph="1">
        <v>257</v>
      </c>
      <c r="AZ84" s="64" t="s" ph="1">
        <v>449</v>
      </c>
    </row>
    <row r="85" spans="34:52" ph="1">
      <c r="AJ85" s="64" t="s" ph="1">
        <v>259</v>
      </c>
      <c r="AK85" s="64" t="s" ph="1">
        <v>263</v>
      </c>
      <c r="AM85" s="64" t="s" ph="1">
        <v>450</v>
      </c>
      <c r="AN85" s="64" t="s" ph="1">
        <v>270</v>
      </c>
      <c r="AO85" s="64" t="s" ph="1">
        <v>300</v>
      </c>
      <c r="AP85" s="64" t="s" ph="1">
        <v>451</v>
      </c>
      <c r="AQ85" s="64" t="s" ph="1">
        <v>266</v>
      </c>
      <c r="AR85" s="64" t="s" ph="1">
        <v>300</v>
      </c>
      <c r="AS85" s="64" t="s" ph="1">
        <v>452</v>
      </c>
      <c r="AT85" s="64" t="s" ph="1">
        <v>266</v>
      </c>
      <c r="AU85" s="64" t="s" ph="1">
        <v>300</v>
      </c>
    </row>
    <row r="86" spans="34:52" ph="1">
      <c r="AJ86" s="64" t="s" ph="1">
        <v>453</v>
      </c>
      <c r="AK86" s="64" t="s" ph="1">
        <v>272</v>
      </c>
      <c r="AM86" s="64" t="s" ph="1">
        <v>454</v>
      </c>
      <c r="AN86" s="64" t="s" ph="1">
        <v>313</v>
      </c>
      <c r="AO86" s="64" t="s" ph="1">
        <v>300</v>
      </c>
      <c r="AP86" s="64" t="s" ph="1">
        <v>455</v>
      </c>
      <c r="AQ86" s="64" t="s" ph="1">
        <v>260</v>
      </c>
      <c r="AR86" s="64" t="s" ph="1">
        <v>300</v>
      </c>
      <c r="AS86" s="64" t="s" ph="1">
        <v>456</v>
      </c>
      <c r="AT86" s="64" t="s" ph="1">
        <v>278</v>
      </c>
      <c r="AU86" s="64" t="s" ph="1">
        <v>300</v>
      </c>
    </row>
    <row r="87" spans="34:52" ph="1">
      <c r="AJ87" s="64" t="s" ph="1">
        <v>457</v>
      </c>
      <c r="AK87" s="64" t="s" ph="1">
        <v>313</v>
      </c>
      <c r="AM87" s="64" t="s" ph="1">
        <v>444</v>
      </c>
      <c r="AN87" s="64" t="s" ph="1">
        <v>458</v>
      </c>
      <c r="AO87" s="64" t="s" ph="1">
        <v>441</v>
      </c>
    </row>
    <row r="88" spans="34:52" ph="1">
      <c r="AH88" s="64" ph="1">
        <v>5</v>
      </c>
      <c r="AI88" s="64" t="s" ph="1">
        <v>330</v>
      </c>
      <c r="AJ88" s="64" t="s" ph="1">
        <v>459</v>
      </c>
      <c r="AK88" s="64" t="s" ph="1">
        <v>313</v>
      </c>
      <c r="AM88" s="64" t="s" ph="1">
        <v>460</v>
      </c>
      <c r="AN88" s="64" t="s" ph="1">
        <v>313</v>
      </c>
      <c r="AO88" s="64" t="s" ph="1">
        <v>300</v>
      </c>
      <c r="AP88" s="64" t="s" ph="1">
        <v>461</v>
      </c>
      <c r="AQ88" s="64" t="s" ph="1">
        <v>263</v>
      </c>
      <c r="AR88" s="64" t="s" ph="1">
        <v>300</v>
      </c>
      <c r="AS88" s="64" t="s" ph="1">
        <v>462</v>
      </c>
      <c r="AT88" s="64" t="s" ph="1">
        <v>313</v>
      </c>
      <c r="AU88" s="64" t="s" ph="1">
        <v>300</v>
      </c>
      <c r="AV88" s="64" t="s" ph="1">
        <v>463</v>
      </c>
      <c r="AW88" s="64" t="s" ph="1">
        <v>268</v>
      </c>
      <c r="AX88" s="64" t="s" ph="1">
        <v>300</v>
      </c>
      <c r="AY88" s="64" t="s" ph="1">
        <v>257</v>
      </c>
      <c r="AZ88" s="64" t="s" ph="1">
        <v>464</v>
      </c>
    </row>
    <row r="89" spans="34:52" ph="1">
      <c r="AJ89" s="64" t="s" ph="1">
        <v>465</v>
      </c>
      <c r="AK89" s="64" t="s" ph="1">
        <v>266</v>
      </c>
      <c r="AM89" s="64" t="s" ph="1">
        <v>466</v>
      </c>
      <c r="AN89" s="64" t="s" ph="1">
        <v>269</v>
      </c>
      <c r="AO89" s="64" t="s" ph="1">
        <v>300</v>
      </c>
      <c r="AP89" s="64" t="s" ph="1">
        <v>467</v>
      </c>
      <c r="AQ89" s="64" t="s" ph="1">
        <v>278</v>
      </c>
      <c r="AR89" s="64" t="s" ph="1">
        <v>300</v>
      </c>
      <c r="AS89" s="64" t="s" ph="1">
        <v>468</v>
      </c>
      <c r="AT89" s="64" t="s" ph="1">
        <v>313</v>
      </c>
      <c r="AU89" s="64" t="s" ph="1">
        <v>300</v>
      </c>
      <c r="AV89" s="64" t="s" ph="1">
        <v>469</v>
      </c>
      <c r="AW89" s="64" t="s" ph="1">
        <v>295</v>
      </c>
      <c r="AX89" s="64" t="s" ph="1">
        <v>328</v>
      </c>
    </row>
    <row r="90" spans="34:52" ph="1">
      <c r="AJ90" s="64" t="s" ph="1">
        <v>470</v>
      </c>
      <c r="AK90" s="64" t="s" ph="1">
        <v>269</v>
      </c>
      <c r="AM90" s="64" t="s" ph="1">
        <v>471</v>
      </c>
      <c r="AN90" s="64" t="s" ph="1">
        <v>266</v>
      </c>
      <c r="AO90" s="64" t="s" ph="1">
        <v>300</v>
      </c>
      <c r="AP90" s="64" t="s" ph="1">
        <v>472</v>
      </c>
      <c r="AQ90" s="64" t="s" ph="1">
        <v>335</v>
      </c>
      <c r="AR90" s="64" t="s" ph="1">
        <v>300</v>
      </c>
      <c r="AS90" s="64" t="s" ph="1">
        <v>473</v>
      </c>
      <c r="AT90" s="64" t="s" ph="1">
        <v>323</v>
      </c>
      <c r="AU90" s="64" t="s" ph="1">
        <v>300</v>
      </c>
      <c r="AV90" s="64" t="s" ph="1">
        <v>474</v>
      </c>
      <c r="AW90" s="64" t="s" ph="1">
        <v>260</v>
      </c>
      <c r="AX90" s="64" t="s" ph="1">
        <v>300</v>
      </c>
    </row>
    <row r="91" spans="34:52" ph="1">
      <c r="AJ91" s="64" t="s" ph="1">
        <v>475</v>
      </c>
      <c r="AK91" s="64" t="s" ph="1">
        <v>313</v>
      </c>
      <c r="AM91" s="64" t="s" ph="1">
        <v>476</v>
      </c>
      <c r="AN91" s="64" t="s" ph="1">
        <v>280</v>
      </c>
      <c r="AO91" s="64" t="s" ph="1">
        <v>300</v>
      </c>
      <c r="AP91" s="64" t="s" ph="1">
        <v>477</v>
      </c>
      <c r="AQ91" s="64" t="s" ph="1">
        <v>260</v>
      </c>
      <c r="AS91" s="64" t="s" ph="1">
        <v>444</v>
      </c>
      <c r="AT91" s="64" t="s" ph="1">
        <v>440</v>
      </c>
      <c r="AU91" s="64" t="s" ph="1">
        <v>441</v>
      </c>
    </row>
    <row r="92" spans="34:52" ph="1">
      <c r="AH92" s="64" ph="1">
        <v>6</v>
      </c>
      <c r="AI92" s="64" t="s" ph="1">
        <v>478</v>
      </c>
      <c r="AJ92" s="64" t="s" ph="1">
        <v>479</v>
      </c>
      <c r="AK92" s="64" t="s" ph="1">
        <v>408</v>
      </c>
      <c r="AM92" s="64" t="s" ph="1">
        <v>480</v>
      </c>
      <c r="AN92" s="64" t="s" ph="1">
        <v>268</v>
      </c>
      <c r="AO92" s="64" t="s" ph="1">
        <v>300</v>
      </c>
      <c r="AP92" s="64" t="s" ph="1">
        <v>481</v>
      </c>
      <c r="AQ92" s="64" t="s" ph="1">
        <v>340</v>
      </c>
      <c r="AR92" s="64" t="s" ph="1">
        <v>300</v>
      </c>
      <c r="AS92" s="64" t="s" ph="1">
        <v>482</v>
      </c>
      <c r="AT92" s="64" t="s" ph="1">
        <v>313</v>
      </c>
      <c r="AU92" s="64" t="s" ph="1">
        <v>300</v>
      </c>
      <c r="AV92" s="64" t="s" ph="1">
        <v>483</v>
      </c>
      <c r="AW92" s="64" t="s" ph="1">
        <v>269</v>
      </c>
      <c r="AX92" s="64" t="s" ph="1">
        <v>300</v>
      </c>
      <c r="AY92" s="64" t="s" ph="1">
        <v>257</v>
      </c>
      <c r="AZ92" s="64" t="s" ph="1">
        <v>464</v>
      </c>
    </row>
    <row r="93" spans="34:52" ph="1">
      <c r="AJ93" s="64" t="s" ph="1">
        <v>484</v>
      </c>
      <c r="AK93" s="64" t="s" ph="1">
        <v>263</v>
      </c>
      <c r="AM93" s="64" t="s" ph="1">
        <v>485</v>
      </c>
      <c r="AN93" s="64" t="s" ph="1">
        <v>268</v>
      </c>
      <c r="AO93" s="64" t="s" ph="1">
        <v>300</v>
      </c>
      <c r="AP93" s="64" t="s" ph="1">
        <v>486</v>
      </c>
      <c r="AQ93" s="64" t="s" ph="1">
        <v>272</v>
      </c>
      <c r="AR93" s="64" t="s" ph="1">
        <v>300</v>
      </c>
      <c r="AS93" s="64" t="s" ph="1">
        <v>487</v>
      </c>
      <c r="AT93" s="64" t="s" ph="1">
        <v>278</v>
      </c>
      <c r="AU93" s="64" t="s" ph="1">
        <v>300</v>
      </c>
      <c r="AV93" s="64" t="s" ph="1">
        <v>488</v>
      </c>
      <c r="AW93" s="64" t="s" ph="1">
        <v>272</v>
      </c>
      <c r="AX93" s="64" t="s" ph="1">
        <v>300</v>
      </c>
    </row>
    <row r="94" spans="34:52" ph="1">
      <c r="AJ94" s="64" t="s" ph="1">
        <v>489</v>
      </c>
      <c r="AK94" s="64" t="s" ph="1">
        <v>335</v>
      </c>
      <c r="AM94" s="64" t="s" ph="1">
        <v>490</v>
      </c>
      <c r="AN94" s="64" t="s" ph="1">
        <v>272</v>
      </c>
      <c r="AO94" s="64" t="s" ph="1">
        <v>300</v>
      </c>
      <c r="AP94" s="64" t="s" ph="1">
        <v>491</v>
      </c>
      <c r="AQ94" s="64" t="s" ph="1">
        <v>280</v>
      </c>
      <c r="AR94" s="64" t="s" ph="1">
        <v>300</v>
      </c>
      <c r="AS94" s="64" t="s" ph="1">
        <v>492</v>
      </c>
      <c r="AT94" s="64" t="s" ph="1">
        <v>266</v>
      </c>
      <c r="AU94" s="64" t="s" ph="1">
        <v>300</v>
      </c>
      <c r="AV94" s="64" t="s" ph="1">
        <v>493</v>
      </c>
      <c r="AW94" s="64" t="s" ph="1">
        <v>266</v>
      </c>
      <c r="AX94" s="64" t="s" ph="1">
        <v>300</v>
      </c>
    </row>
    <row r="95" spans="34:52" ph="1">
      <c r="AJ95" s="64" t="s" ph="1">
        <v>494</v>
      </c>
      <c r="AK95" s="64" t="s" ph="1">
        <v>340</v>
      </c>
    </row>
    <row r="96" spans="34:52" ph="1">
      <c r="AH96" s="64" ph="1">
        <v>7</v>
      </c>
      <c r="AI96" s="64" t="s" ph="1">
        <v>495</v>
      </c>
      <c r="AJ96" s="64" t="s" ph="1">
        <v>494</v>
      </c>
      <c r="AK96" s="64" t="s" ph="1">
        <v>295</v>
      </c>
      <c r="AM96" s="64" t="s" ph="1">
        <v>496</v>
      </c>
      <c r="AN96" s="64" t="s" ph="1">
        <v>269</v>
      </c>
      <c r="AO96" s="64" t="s" ph="1">
        <v>300</v>
      </c>
      <c r="AP96" s="64" t="s" ph="1">
        <v>497</v>
      </c>
      <c r="AQ96" s="64" t="s" ph="1">
        <v>313</v>
      </c>
      <c r="AR96" s="64" t="s" ph="1">
        <v>328</v>
      </c>
      <c r="AS96" s="64" t="s" ph="1">
        <v>498</v>
      </c>
      <c r="AT96" s="64" t="s" ph="1">
        <v>272</v>
      </c>
      <c r="AU96" s="64" t="s" ph="1">
        <v>328</v>
      </c>
      <c r="AV96" s="64" t="s" ph="1">
        <v>499</v>
      </c>
      <c r="AW96" s="64" t="s" ph="1">
        <v>268</v>
      </c>
      <c r="AX96" s="64" t="s" ph="1">
        <v>328</v>
      </c>
      <c r="AY96" s="64" t="s" ph="1">
        <v>257</v>
      </c>
      <c r="AZ96" s="64" t="s" ph="1">
        <v>500</v>
      </c>
    </row>
    <row r="97" spans="33:52" ph="1">
      <c r="AJ97" s="64" t="s" ph="1">
        <v>501</v>
      </c>
      <c r="AK97" s="64" t="s" ph="1">
        <v>323</v>
      </c>
      <c r="AM97" s="64" t="s" ph="1">
        <v>502</v>
      </c>
      <c r="AN97" s="64" t="s" ph="1">
        <v>266</v>
      </c>
      <c r="AO97" s="64" t="s" ph="1">
        <v>300</v>
      </c>
      <c r="AP97" s="64" t="s" ph="1">
        <v>503</v>
      </c>
      <c r="AQ97" s="64" t="s" ph="1">
        <v>260</v>
      </c>
      <c r="AR97" s="64" t="s" ph="1">
        <v>328</v>
      </c>
      <c r="AS97" s="64" t="s" ph="1">
        <v>504</v>
      </c>
      <c r="AT97" s="64" t="s" ph="1">
        <v>263</v>
      </c>
      <c r="AU97" s="64" t="s" ph="1">
        <v>328</v>
      </c>
      <c r="AV97" s="64" t="s" ph="1">
        <v>505</v>
      </c>
      <c r="AW97" s="64" t="s" ph="1">
        <v>269</v>
      </c>
      <c r="AX97" s="64" t="s" ph="1">
        <v>328</v>
      </c>
    </row>
    <row r="98" spans="33:52" ph="1">
      <c r="AJ98" s="64" t="s" ph="1">
        <v>506</v>
      </c>
      <c r="AK98" s="64" t="s" ph="1">
        <v>272</v>
      </c>
      <c r="AM98" s="64" t="s" ph="1">
        <v>507</v>
      </c>
      <c r="AN98" s="64" t="s" ph="1">
        <v>280</v>
      </c>
      <c r="AO98" s="64" t="s" ph="1">
        <v>300</v>
      </c>
      <c r="AP98" s="64" t="s" ph="1">
        <v>508</v>
      </c>
      <c r="AQ98" s="64" t="s" ph="1">
        <v>260</v>
      </c>
      <c r="AR98" s="64" t="s" ph="1">
        <v>328</v>
      </c>
      <c r="AS98" s="64" t="s" ph="1">
        <v>509</v>
      </c>
      <c r="AT98" s="64" t="s" ph="1">
        <v>340</v>
      </c>
      <c r="AU98" s="64" t="s" ph="1">
        <v>328</v>
      </c>
      <c r="AV98" s="64" t="s" ph="1">
        <v>510</v>
      </c>
      <c r="AW98" s="64" t="s" ph="1">
        <v>263</v>
      </c>
      <c r="AX98" s="64" t="s" ph="1">
        <v>328</v>
      </c>
    </row>
    <row r="99" spans="33:52" ph="1">
      <c r="AH99" s="64" ph="1">
        <v>8</v>
      </c>
      <c r="AI99" s="64" t="s" ph="1">
        <v>511</v>
      </c>
      <c r="AJ99" s="64" t="s" ph="1">
        <v>512</v>
      </c>
      <c r="AK99" s="64" t="s" ph="1">
        <v>408</v>
      </c>
      <c r="AM99" s="64" t="s" ph="1">
        <v>513</v>
      </c>
      <c r="AN99" s="64" t="s" ph="1">
        <v>295</v>
      </c>
      <c r="AO99" s="64" t="s" ph="1">
        <v>300</v>
      </c>
      <c r="AP99" s="64" t="s" ph="1">
        <v>514</v>
      </c>
      <c r="AQ99" s="64" t="s" ph="1">
        <v>265</v>
      </c>
      <c r="AR99" s="64" t="s" ph="1">
        <v>328</v>
      </c>
      <c r="AS99" s="64" t="s" ph="1">
        <v>515</v>
      </c>
      <c r="AT99" s="64" t="s" ph="1">
        <v>280</v>
      </c>
      <c r="AU99" s="64" t="s" ph="1">
        <v>328</v>
      </c>
      <c r="AV99" s="64" t="s" ph="1">
        <v>516</v>
      </c>
      <c r="AW99" s="64" t="s" ph="1">
        <v>265</v>
      </c>
      <c r="AX99" s="64" t="s" ph="1">
        <v>328</v>
      </c>
      <c r="AY99" s="64" t="s" ph="1">
        <v>257</v>
      </c>
      <c r="AZ99" s="64" t="s" ph="1">
        <v>517</v>
      </c>
    </row>
    <row r="100" spans="33:52" ph="1">
      <c r="AJ100" s="64" t="s" ph="1">
        <v>518</v>
      </c>
      <c r="AK100" s="64" t="s" ph="1">
        <v>263</v>
      </c>
      <c r="AM100" s="64" t="s" ph="1">
        <v>519</v>
      </c>
      <c r="AN100" s="64" t="s" ph="1">
        <v>335</v>
      </c>
      <c r="AO100" s="64" t="s" ph="1">
        <v>300</v>
      </c>
      <c r="AP100" s="64" t="s" ph="1">
        <v>520</v>
      </c>
      <c r="AQ100" s="64" t="s" ph="1">
        <v>341</v>
      </c>
      <c r="AR100" s="64" t="s" ph="1">
        <v>328</v>
      </c>
      <c r="AS100" s="64" t="s" ph="1">
        <v>521</v>
      </c>
      <c r="AT100" s="64" t="s" ph="1">
        <v>408</v>
      </c>
      <c r="AU100" s="64" t="s" ph="1">
        <v>300</v>
      </c>
      <c r="AV100" s="64" t="s" ph="1">
        <v>522</v>
      </c>
      <c r="AW100" s="64" t="s" ph="1">
        <v>408</v>
      </c>
      <c r="AX100" s="64" t="s" ph="1">
        <v>300</v>
      </c>
    </row>
    <row r="101" spans="33:52" ph="1">
      <c r="AJ101" s="64" t="s" ph="1">
        <v>523</v>
      </c>
      <c r="AK101" s="64" t="s" ph="1">
        <v>408</v>
      </c>
      <c r="AM101" s="64" t="s" ph="1">
        <v>524</v>
      </c>
      <c r="AN101" s="64" t="s" ph="1">
        <v>266</v>
      </c>
      <c r="AO101" s="64" t="s" ph="1">
        <v>300</v>
      </c>
      <c r="AP101" s="64" t="s" ph="1">
        <v>525</v>
      </c>
      <c r="AQ101" s="64" t="s" ph="1">
        <v>278</v>
      </c>
      <c r="AR101" s="64" t="s" ph="1">
        <v>328</v>
      </c>
      <c r="AS101" s="64" t="s" ph="1">
        <v>526</v>
      </c>
      <c r="AT101" s="64" t="s" ph="1">
        <v>335</v>
      </c>
      <c r="AU101" s="64" t="s" ph="1">
        <v>328</v>
      </c>
      <c r="AV101" s="64" t="s" ph="1">
        <v>527</v>
      </c>
      <c r="AW101" s="64" t="s" ph="1">
        <v>266</v>
      </c>
      <c r="AX101" s="64" t="s" ph="1">
        <v>300</v>
      </c>
    </row>
    <row r="102" spans="33:52" ph="1">
      <c r="AJ102" s="64" t="s" ph="1">
        <v>528</v>
      </c>
      <c r="AK102" s="64" t="s" ph="1">
        <v>263</v>
      </c>
      <c r="AM102" s="64" t="s" ph="1">
        <v>529</v>
      </c>
      <c r="AN102" s="64" t="s" ph="1">
        <v>272</v>
      </c>
      <c r="AO102" s="64" t="s" ph="1">
        <v>300</v>
      </c>
      <c r="AP102" s="64" t="s" ph="1">
        <v>530</v>
      </c>
      <c r="AQ102" s="64" t="s" ph="1">
        <v>278</v>
      </c>
      <c r="AR102" s="64" t="s" ph="1">
        <v>300</v>
      </c>
      <c r="AS102" s="64" t="s" ph="1">
        <v>531</v>
      </c>
      <c r="AT102" s="64" t="s" ph="1">
        <v>295</v>
      </c>
      <c r="AU102" s="64" t="s" ph="1">
        <v>300</v>
      </c>
      <c r="AV102" s="64" t="s" ph="1">
        <v>532</v>
      </c>
      <c r="AW102" s="64" t="s" ph="1">
        <v>313</v>
      </c>
      <c r="AX102" s="64" t="s" ph="1">
        <v>300</v>
      </c>
    </row>
    <row r="103" spans="33:52" ph="1">
      <c r="AH103" s="64" ph="1">
        <v>9</v>
      </c>
      <c r="AI103" s="64" t="s" ph="1">
        <v>533</v>
      </c>
      <c r="AJ103" s="64" t="s" ph="1">
        <v>534</v>
      </c>
      <c r="AK103" s="64" t="s" ph="1">
        <v>408</v>
      </c>
      <c r="AM103" s="64" t="s" ph="1">
        <v>535</v>
      </c>
      <c r="AN103" s="64" t="s" ph="1">
        <v>323</v>
      </c>
      <c r="AO103" s="64" t="s" ph="1">
        <v>300</v>
      </c>
      <c r="AP103" s="64" t="s" ph="1">
        <v>377</v>
      </c>
      <c r="AQ103" s="64" t="s" ph="1">
        <v>266</v>
      </c>
      <c r="AR103" s="64" t="s" ph="1">
        <v>300</v>
      </c>
      <c r="AS103" s="64" t="s" ph="1">
        <v>611</v>
      </c>
      <c r="AT103" s="64" t="s" ph="1">
        <v>408</v>
      </c>
      <c r="AU103" s="64" t="s" ph="1">
        <v>300</v>
      </c>
      <c r="AY103" s="64" t="s" ph="1">
        <v>257</v>
      </c>
      <c r="AZ103" s="64" t="s" ph="1">
        <v>265</v>
      </c>
    </row>
    <row r="104" spans="33:52" ph="1">
      <c r="AZ104" s="64" t="s" ph="1">
        <v>536</v>
      </c>
    </row>
    <row r="105" spans="33:52" ph="1">
      <c r="AG105" s="64" t="s" ph="1">
        <v>336</v>
      </c>
      <c r="AI105" s="64" t="s" ph="1">
        <v>250</v>
      </c>
      <c r="AJ105" s="64" t="s" ph="1">
        <v>251</v>
      </c>
      <c r="AK105" s="64" t="s" ph="1">
        <v>252</v>
      </c>
      <c r="AM105" s="64" t="s" ph="1">
        <v>251</v>
      </c>
      <c r="AN105" s="64" t="s" ph="1">
        <v>252</v>
      </c>
      <c r="AO105" s="64" t="s" ph="1">
        <v>253</v>
      </c>
      <c r="AP105" s="64" t="s" ph="1">
        <v>251</v>
      </c>
      <c r="AQ105" s="64" t="s" ph="1">
        <v>252</v>
      </c>
      <c r="AR105" s="64" t="s" ph="1">
        <v>253</v>
      </c>
      <c r="AS105" s="64" t="s" ph="1">
        <v>251</v>
      </c>
      <c r="AT105" s="64" t="s" ph="1">
        <v>252</v>
      </c>
      <c r="AU105" s="64" t="s" ph="1">
        <v>253</v>
      </c>
      <c r="AV105" s="64" t="s" ph="1">
        <v>251</v>
      </c>
      <c r="AW105" s="64" t="s" ph="1">
        <v>252</v>
      </c>
      <c r="AX105" s="64" t="s" ph="1">
        <v>253</v>
      </c>
      <c r="AZ105" s="64" t="s" ph="1">
        <v>254</v>
      </c>
    </row>
    <row r="106" spans="33:52" ph="1">
      <c r="AH106" s="64" ph="1">
        <v>1</v>
      </c>
      <c r="AI106" s="64" t="s" ph="1">
        <v>537</v>
      </c>
      <c r="AJ106" s="64" t="s" ph="1">
        <v>611</v>
      </c>
      <c r="AK106" s="64" t="s" ph="1">
        <v>272</v>
      </c>
      <c r="AZ106" s="64" t="s" ph="1">
        <v>272</v>
      </c>
    </row>
    <row r="107" spans="33:52" ph="1">
      <c r="AH107" s="64" ph="1">
        <v>2</v>
      </c>
      <c r="AI107" s="64" t="s" ph="1">
        <v>538</v>
      </c>
      <c r="AJ107" s="64" t="s" ph="1">
        <v>539</v>
      </c>
      <c r="AK107" s="64" t="s" ph="1">
        <v>269</v>
      </c>
      <c r="AM107" s="64" t="s" ph="1">
        <v>375</v>
      </c>
      <c r="AN107" s="64" t="s" ph="1">
        <v>540</v>
      </c>
      <c r="AO107" s="64" t="s" ph="1">
        <v>541</v>
      </c>
      <c r="AP107" s="64" t="s" ph="1">
        <v>377</v>
      </c>
      <c r="AQ107" s="64" t="s" ph="1">
        <v>345</v>
      </c>
      <c r="AR107" s="64" t="s" ph="1">
        <v>541</v>
      </c>
      <c r="AS107" s="64" t="s" ph="1">
        <v>611</v>
      </c>
      <c r="AT107" s="64" t="s" ph="1">
        <v>540</v>
      </c>
      <c r="AU107" s="64" t="s" ph="1">
        <v>541</v>
      </c>
      <c r="AY107" s="64" t="s" ph="1">
        <v>257</v>
      </c>
      <c r="AZ107" s="64" t="s" ph="1">
        <v>621</v>
      </c>
    </row>
    <row r="108" spans="33:52" ph="1">
      <c r="AH108" s="64" ph="1">
        <v>3</v>
      </c>
      <c r="AI108" s="64" t="s" ph="1">
        <v>542</v>
      </c>
      <c r="AY108" s="64" t="s" ph="1">
        <v>257</v>
      </c>
      <c r="AZ108" s="64" t="s" ph="1">
        <v>408</v>
      </c>
    </row>
    <row r="109" spans="33:52" ph="1">
      <c r="AH109" s="64" ph="1">
        <v>4</v>
      </c>
      <c r="AI109" s="64" t="s" ph="1">
        <v>543</v>
      </c>
      <c r="AY109" s="64" t="s" ph="1">
        <v>257</v>
      </c>
      <c r="AZ109" s="64" t="s" ph="1">
        <v>408</v>
      </c>
    </row>
    <row r="110" spans="33:52" ph="1">
      <c r="AH110" s="64" ph="1">
        <v>5</v>
      </c>
      <c r="AI110" s="64" t="s" ph="1">
        <v>544</v>
      </c>
      <c r="AY110" s="64" t="s" ph="1">
        <v>257</v>
      </c>
      <c r="AZ110" s="64" t="s" ph="1">
        <v>408</v>
      </c>
    </row>
    <row r="111" spans="33:52" ph="1">
      <c r="AH111" s="64" ph="1">
        <v>6</v>
      </c>
      <c r="AI111" s="64" t="s" ph="1">
        <v>622</v>
      </c>
      <c r="AJ111" s="64" t="s" ph="1">
        <v>527</v>
      </c>
      <c r="AK111" s="64" t="s" ph="1">
        <v>266</v>
      </c>
      <c r="AM111" s="64" t="s" ph="1">
        <v>528</v>
      </c>
      <c r="AN111" s="64" t="s" ph="1">
        <v>260</v>
      </c>
      <c r="AO111" s="64" t="s" ph="1">
        <v>541</v>
      </c>
      <c r="AP111" s="64" t="s" ph="1">
        <v>529</v>
      </c>
      <c r="AQ111" s="64" t="s" ph="1">
        <v>269</v>
      </c>
      <c r="AR111" s="64" t="s" ph="1">
        <v>541</v>
      </c>
      <c r="AS111" s="64" t="s" ph="1">
        <v>530</v>
      </c>
      <c r="AT111" s="64" t="s" ph="1">
        <v>278</v>
      </c>
      <c r="AU111" s="64" t="s" ph="1">
        <v>541</v>
      </c>
      <c r="AV111" s="64" t="s" ph="1">
        <v>531</v>
      </c>
      <c r="AW111" s="64" t="s" ph="1">
        <v>268</v>
      </c>
      <c r="AX111" s="64" t="s" ph="1">
        <v>541</v>
      </c>
      <c r="AY111" s="64" t="s" ph="1">
        <v>257</v>
      </c>
      <c r="AZ111" s="64" t="s" ph="1">
        <v>545</v>
      </c>
    </row>
    <row r="112" spans="33:52" ph="1">
      <c r="AJ112" s="64" t="s" ph="1">
        <v>532</v>
      </c>
      <c r="AK112" s="64" t="s" ph="1">
        <v>313</v>
      </c>
      <c r="AM112" s="64" t="s" ph="1">
        <v>534</v>
      </c>
      <c r="AN112" s="64" t="s" ph="1">
        <v>337</v>
      </c>
      <c r="AO112" s="64" t="s" ph="1">
        <v>541</v>
      </c>
      <c r="AP112" s="64" t="s" ph="1">
        <v>535</v>
      </c>
      <c r="AQ112" s="64" t="s" ph="1">
        <v>546</v>
      </c>
      <c r="AR112" s="64" t="s" ph="1">
        <v>541</v>
      </c>
      <c r="AS112" s="64" t="s" ph="1">
        <v>547</v>
      </c>
      <c r="AT112" s="64" t="s" ph="1">
        <v>289</v>
      </c>
      <c r="AU112" s="64" t="s" ph="1">
        <v>541</v>
      </c>
      <c r="AV112" s="64" t="s" ph="1">
        <v>548</v>
      </c>
      <c r="AW112" s="64" t="s" ph="1">
        <v>335</v>
      </c>
      <c r="AX112" s="64" t="s" ph="1">
        <v>541</v>
      </c>
    </row>
    <row r="113" spans="33:52" ph="1">
      <c r="AH113" s="64" ph="1">
        <v>7</v>
      </c>
      <c r="AI113" s="64" t="s" ph="1">
        <v>549</v>
      </c>
      <c r="AJ113" s="64" t="s" ph="1">
        <v>630</v>
      </c>
      <c r="AK113" s="64" t="s" ph="1">
        <v>635</v>
      </c>
      <c r="AY113" s="64" t="s" ph="1">
        <v>257</v>
      </c>
      <c r="AZ113" s="64" t="s" ph="1">
        <v>635</v>
      </c>
    </row>
    <row r="114" spans="33:52" ph="1">
      <c r="AH114" s="64" ph="1">
        <v>8</v>
      </c>
      <c r="AI114" s="64" t="s" ph="1">
        <v>550</v>
      </c>
      <c r="AJ114" s="64" t="s" ph="1">
        <v>630</v>
      </c>
      <c r="AK114" s="64" t="s" ph="1">
        <v>636</v>
      </c>
      <c r="AY114" s="64" t="s" ph="1">
        <v>257</v>
      </c>
      <c r="AZ114" s="64" t="s" ph="1">
        <v>636</v>
      </c>
    </row>
    <row r="115" spans="33:52" ph="1">
      <c r="AH115" s="64" ph="1">
        <v>9</v>
      </c>
      <c r="AI115" s="64" t="s" ph="1">
        <v>551</v>
      </c>
      <c r="AJ115" s="64" t="s" ph="1">
        <v>630</v>
      </c>
      <c r="AK115" s="64" t="s" ph="1">
        <v>636</v>
      </c>
      <c r="AY115" s="64" t="s" ph="1">
        <v>257</v>
      </c>
      <c r="AZ115" s="64" t="s" ph="1">
        <v>636</v>
      </c>
    </row>
    <row r="116" spans="33:52" ph="1">
      <c r="AH116" s="64" ph="1">
        <v>10</v>
      </c>
      <c r="AI116" s="64" t="s" ph="1">
        <v>552</v>
      </c>
      <c r="AJ116" s="64" t="s" ph="1">
        <v>630</v>
      </c>
      <c r="AK116" s="64" t="s" ph="1">
        <v>636</v>
      </c>
      <c r="AY116" s="64" t="s" ph="1">
        <v>257</v>
      </c>
      <c r="AZ116" s="64" t="s" ph="1">
        <v>636</v>
      </c>
    </row>
    <row r="117" spans="33:52" ph="1">
      <c r="AH117" s="64" ph="1">
        <v>11</v>
      </c>
      <c r="AI117" s="64" t="s" ph="1">
        <v>553</v>
      </c>
      <c r="AJ117" s="64" t="s" ph="1">
        <v>630</v>
      </c>
      <c r="AK117" s="64" t="s" ph="1">
        <v>636</v>
      </c>
      <c r="AY117" s="64" t="s" ph="1">
        <v>257</v>
      </c>
      <c r="AZ117" s="64" t="s" ph="1">
        <v>636</v>
      </c>
    </row>
    <row r="118" spans="33:52" ph="1">
      <c r="AZ118" s="64" t="s" ph="1">
        <v>637</v>
      </c>
    </row>
    <row r="119" spans="33:52" ph="1">
      <c r="AI119" s="64" t="s" ph="1">
        <v>250</v>
      </c>
      <c r="AJ119" s="64" t="s" ph="1">
        <v>251</v>
      </c>
      <c r="AK119" s="64" t="s" ph="1">
        <v>252</v>
      </c>
      <c r="AM119" s="64" t="s" ph="1">
        <v>251</v>
      </c>
      <c r="AN119" s="64" t="s" ph="1">
        <v>252</v>
      </c>
      <c r="AO119" s="64" t="s" ph="1">
        <v>253</v>
      </c>
      <c r="AP119" s="64" t="s" ph="1">
        <v>251</v>
      </c>
      <c r="AQ119" s="64" t="s" ph="1">
        <v>252</v>
      </c>
      <c r="AR119" s="64" t="s" ph="1">
        <v>253</v>
      </c>
      <c r="AS119" s="64" t="s" ph="1">
        <v>251</v>
      </c>
      <c r="AT119" s="64" t="s" ph="1">
        <v>252</v>
      </c>
      <c r="AU119" s="64" t="s" ph="1">
        <v>253</v>
      </c>
      <c r="AV119" s="64" t="s" ph="1">
        <v>251</v>
      </c>
      <c r="AW119" s="64" t="s" ph="1">
        <v>252</v>
      </c>
      <c r="AX119" s="64" t="s" ph="1">
        <v>253</v>
      </c>
      <c r="AY119" s="64" t="s" ph="1">
        <v>252</v>
      </c>
      <c r="AZ119" s="64" t="s" ph="1">
        <v>254</v>
      </c>
    </row>
    <row r="120" spans="33:52" ph="1">
      <c r="AG120" s="64" t="s" ph="1">
        <v>394</v>
      </c>
      <c r="AH120" s="64" ph="1">
        <v>1</v>
      </c>
      <c r="AI120" s="64" t="s" ph="1">
        <v>554</v>
      </c>
      <c r="AJ120" s="64" t="s" ph="1">
        <v>628</v>
      </c>
      <c r="AK120" s="64" t="s" ph="1">
        <v>408</v>
      </c>
      <c r="AY120" s="64" t="s" ph="1">
        <v>257</v>
      </c>
      <c r="AZ120" s="64" t="s" ph="1">
        <v>408</v>
      </c>
    </row>
    <row r="121" spans="33:52" ph="1">
      <c r="AH121" s="64" ph="1">
        <v>2</v>
      </c>
      <c r="AI121" s="64" t="s" ph="1">
        <v>555</v>
      </c>
      <c r="AY121" s="64" t="s" ph="1">
        <v>257</v>
      </c>
      <c r="AZ121" s="64" t="s" ph="1">
        <v>408</v>
      </c>
    </row>
    <row r="122" spans="33:52" ph="1">
      <c r="AH122" s="64" ph="1">
        <v>3</v>
      </c>
      <c r="AI122" s="64" t="s" ph="1">
        <v>556</v>
      </c>
      <c r="AJ122" s="64" t="s" ph="1">
        <v>611</v>
      </c>
      <c r="AK122" s="64" t="s" ph="1">
        <v>623</v>
      </c>
      <c r="AM122" s="64" t="s" ph="1">
        <v>638</v>
      </c>
      <c r="AN122" s="64" t="s" ph="1">
        <v>631</v>
      </c>
      <c r="AO122" s="64" t="s" ph="1">
        <v>108</v>
      </c>
      <c r="AY122" s="64" t="s" ph="1">
        <v>257</v>
      </c>
      <c r="AZ122" s="64" t="s" ph="1">
        <v>620</v>
      </c>
    </row>
    <row r="123" spans="33:52" ph="1">
      <c r="AY123" s="64" t="s" ph="1">
        <v>257</v>
      </c>
      <c r="AZ123" s="64" t="s" ph="1">
        <v>620</v>
      </c>
    </row>
    <row r="124" spans="33:52" ph="1">
      <c r="AG124" s="64" t="s" ph="1">
        <v>397</v>
      </c>
      <c r="AH124" s="64" ph="1">
        <v>4</v>
      </c>
      <c r="AI124" s="64" t="s" ph="1">
        <v>557</v>
      </c>
      <c r="AJ124" s="64" t="s" ph="1">
        <v>558</v>
      </c>
      <c r="AK124" s="64" t="s" ph="1">
        <v>559</v>
      </c>
      <c r="AY124" s="64" t="s" ph="1">
        <v>257</v>
      </c>
      <c r="AZ124" s="64" t="s" ph="1">
        <v>559</v>
      </c>
    </row>
    <row r="125" spans="33:52" ph="1">
      <c r="AH125" s="64" ph="1">
        <v>5</v>
      </c>
      <c r="AI125" s="64" t="s" ph="1">
        <v>560</v>
      </c>
      <c r="AJ125" s="64" t="s" ph="1">
        <v>558</v>
      </c>
      <c r="AK125" s="64" t="s" ph="1">
        <v>559</v>
      </c>
      <c r="AY125" s="64" t="s" ph="1">
        <v>257</v>
      </c>
      <c r="AZ125" s="64" t="s" ph="1">
        <v>559</v>
      </c>
    </row>
    <row r="126" spans="33:52" ph="1">
      <c r="AH126" s="64" ph="1">
        <v>6</v>
      </c>
      <c r="AI126" s="64" t="s" ph="1">
        <v>561</v>
      </c>
      <c r="AJ126" s="64" t="s" ph="1">
        <v>630</v>
      </c>
      <c r="AK126" s="64" t="s" ph="1">
        <v>639</v>
      </c>
      <c r="AY126" s="64" t="s" ph="1">
        <v>257</v>
      </c>
      <c r="AZ126" s="64" t="s" ph="1">
        <v>639</v>
      </c>
    </row>
    <row r="127" spans="33:52" ph="1">
      <c r="AH127" s="64" ph="1">
        <v>7</v>
      </c>
      <c r="AI127" s="64" t="s" ph="1">
        <v>562</v>
      </c>
      <c r="AJ127" s="64" t="s" ph="1">
        <v>630</v>
      </c>
      <c r="AK127" s="64" t="s" ph="1">
        <v>640</v>
      </c>
      <c r="AY127" s="64" t="s" ph="1">
        <v>257</v>
      </c>
      <c r="AZ127" s="64" t="s" ph="1">
        <v>640</v>
      </c>
    </row>
    <row r="128" spans="33:52" ph="1">
      <c r="AH128" s="64" ph="1">
        <v>8</v>
      </c>
      <c r="AI128" s="64" t="s" ph="1">
        <v>563</v>
      </c>
      <c r="AY128" s="64" t="s" ph="1">
        <v>257</v>
      </c>
      <c r="AZ128" s="64" t="s" ph="1">
        <v>408</v>
      </c>
    </row>
    <row r="129" spans="33:52" ph="1">
      <c r="AH129" s="64" ph="1">
        <v>9</v>
      </c>
      <c r="AI129" s="64" t="s" ph="1">
        <v>564</v>
      </c>
      <c r="AY129" s="64" t="s" ph="1">
        <v>257</v>
      </c>
      <c r="AZ129" s="64" t="s" ph="1">
        <v>408</v>
      </c>
    </row>
    <row r="130" spans="33:52" ph="1">
      <c r="AH130" s="64" ph="1">
        <v>10</v>
      </c>
      <c r="AI130" s="64" t="s" ph="1">
        <v>565</v>
      </c>
      <c r="AY130" s="64" t="s" ph="1">
        <v>257</v>
      </c>
      <c r="AZ130" s="64" t="s" ph="1">
        <v>408</v>
      </c>
    </row>
    <row r="131" spans="33:52" ph="1">
      <c r="AH131" s="64" ph="1">
        <v>11</v>
      </c>
      <c r="AI131" s="64" t="s" ph="1">
        <v>566</v>
      </c>
      <c r="AJ131" s="64" t="s" ph="1">
        <v>624</v>
      </c>
      <c r="AK131" s="64" t="s" ph="1">
        <v>620</v>
      </c>
      <c r="AY131" s="64" t="s" ph="1">
        <v>257</v>
      </c>
      <c r="AZ131" s="64" t="s" ph="1">
        <v>620</v>
      </c>
    </row>
    <row r="132" spans="33:52" ph="1">
      <c r="AH132" s="64" ph="1">
        <v>12</v>
      </c>
      <c r="AI132" s="64" t="s" ph="1">
        <v>567</v>
      </c>
      <c r="AJ132" s="64" t="s" ph="1">
        <v>624</v>
      </c>
      <c r="AK132" s="64" t="s" ph="1">
        <v>559</v>
      </c>
      <c r="AY132" s="64" t="s" ph="1">
        <v>257</v>
      </c>
      <c r="AZ132" s="64" t="s" ph="1">
        <v>559</v>
      </c>
    </row>
    <row r="133" spans="33:52" ph="1">
      <c r="AH133" s="64" ph="1">
        <v>13</v>
      </c>
      <c r="AI133" s="64" t="s" ph="1">
        <v>568</v>
      </c>
      <c r="AJ133" s="64" t="s" ph="1">
        <v>624</v>
      </c>
      <c r="AK133" s="64" t="s" ph="1">
        <v>625</v>
      </c>
      <c r="AY133" s="64" t="s" ph="1">
        <v>257</v>
      </c>
      <c r="AZ133" s="64" t="s" ph="1">
        <v>625</v>
      </c>
    </row>
    <row r="134" spans="33:52" ph="1">
      <c r="AH134" s="64" ph="1">
        <v>14</v>
      </c>
      <c r="AI134" s="64" t="s" ph="1">
        <v>569</v>
      </c>
      <c r="AJ134" s="64" t="s" ph="1">
        <v>624</v>
      </c>
      <c r="AK134" s="64" t="s" ph="1">
        <v>626</v>
      </c>
      <c r="AY134" s="64" t="s" ph="1">
        <v>257</v>
      </c>
      <c r="AZ134" s="64" t="s" ph="1">
        <v>626</v>
      </c>
    </row>
    <row r="135" spans="33:52" ph="1">
      <c r="AH135" s="64" ph="1">
        <v>15</v>
      </c>
      <c r="AI135" s="64" t="s" ph="1">
        <v>570</v>
      </c>
      <c r="AJ135" s="64" t="s" ph="1">
        <v>624</v>
      </c>
      <c r="AK135" s="64" t="s" ph="1">
        <v>627</v>
      </c>
      <c r="AY135" s="64" t="s" ph="1">
        <v>257</v>
      </c>
      <c r="AZ135" s="64" t="s" ph="1">
        <v>627</v>
      </c>
    </row>
    <row r="136" spans="33:52" ph="1">
      <c r="AZ136" s="64" t="s" ph="1">
        <v>641</v>
      </c>
    </row>
    <row r="137" spans="33:52" ph="1">
      <c r="AG137" s="64" t="s" ph="1">
        <v>331</v>
      </c>
      <c r="AI137" s="64" t="s" ph="1">
        <v>250</v>
      </c>
      <c r="AJ137" s="64" t="s" ph="1">
        <v>251</v>
      </c>
      <c r="AK137" s="64" t="s" ph="1">
        <v>252</v>
      </c>
      <c r="AM137" s="64" t="s" ph="1">
        <v>251</v>
      </c>
      <c r="AN137" s="64" t="s" ph="1">
        <v>252</v>
      </c>
      <c r="AO137" s="64" t="s" ph="1">
        <v>253</v>
      </c>
      <c r="AP137" s="64" t="s" ph="1">
        <v>251</v>
      </c>
      <c r="AQ137" s="64" t="s" ph="1">
        <v>252</v>
      </c>
      <c r="AR137" s="64" t="s" ph="1">
        <v>253</v>
      </c>
      <c r="AS137" s="64" t="s" ph="1">
        <v>251</v>
      </c>
      <c r="AT137" s="64" t="s" ph="1">
        <v>252</v>
      </c>
      <c r="AU137" s="64" t="s" ph="1">
        <v>253</v>
      </c>
      <c r="AV137" s="64" t="s" ph="1">
        <v>251</v>
      </c>
      <c r="AW137" s="64" t="s" ph="1">
        <v>252</v>
      </c>
      <c r="AX137" s="64" t="s" ph="1">
        <v>253</v>
      </c>
      <c r="AY137" s="64" t="s" ph="1">
        <v>252</v>
      </c>
      <c r="AZ137" s="64" t="s" ph="1">
        <v>254</v>
      </c>
    </row>
    <row r="138" spans="33:52" ph="1">
      <c r="AH138" s="64" ph="1">
        <v>1</v>
      </c>
      <c r="AI138" s="64" t="s" ph="1">
        <v>571</v>
      </c>
      <c r="AJ138" s="64" t="s" ph="1">
        <v>572</v>
      </c>
      <c r="AK138" s="64" t="s" ph="1">
        <v>573</v>
      </c>
      <c r="AY138" s="64" t="s" ph="1">
        <v>257</v>
      </c>
      <c r="AZ138" s="64" t="s" ph="1">
        <v>573</v>
      </c>
    </row>
    <row r="139" spans="33:52" ph="1">
      <c r="AH139" s="64" ph="1">
        <v>2</v>
      </c>
      <c r="AI139" s="64" t="s" ph="1">
        <v>574</v>
      </c>
      <c r="AJ139" s="64" t="s" ph="1">
        <v>630</v>
      </c>
      <c r="AK139" s="64" t="s" ph="1">
        <v>642</v>
      </c>
      <c r="AY139" s="64" t="s" ph="1">
        <v>257</v>
      </c>
      <c r="AZ139" s="64" t="s" ph="1">
        <v>642</v>
      </c>
    </row>
    <row r="140" spans="33:52" ph="1">
      <c r="AH140" s="64" ph="1">
        <v>3</v>
      </c>
      <c r="AI140" s="64" t="s" ph="1">
        <v>575</v>
      </c>
      <c r="AJ140" s="64" t="s" ph="1">
        <v>528</v>
      </c>
      <c r="AK140" s="64" t="s" ph="1">
        <v>340</v>
      </c>
      <c r="AM140" s="64" t="s" ph="1">
        <v>529</v>
      </c>
      <c r="AN140" s="64" t="s" ph="1">
        <v>260</v>
      </c>
      <c r="AO140" s="64" t="s" ph="1">
        <v>576</v>
      </c>
      <c r="AP140" s="64" t="s" ph="1">
        <v>530</v>
      </c>
      <c r="AQ140" s="64" t="s" ph="1">
        <v>277</v>
      </c>
      <c r="AR140" s="64" t="s" ph="1">
        <v>576</v>
      </c>
      <c r="AS140" s="64" t="s" ph="1">
        <v>531</v>
      </c>
      <c r="AT140" s="64" t="s" ph="1">
        <v>270</v>
      </c>
      <c r="AU140" s="64" t="s" ph="1">
        <v>576</v>
      </c>
      <c r="AV140" s="64" t="s" ph="1">
        <v>532</v>
      </c>
      <c r="AW140" s="64" t="s" ph="1">
        <v>263</v>
      </c>
      <c r="AX140" s="64" t="s" ph="1">
        <v>576</v>
      </c>
      <c r="AY140" s="64" t="s" ph="1">
        <v>257</v>
      </c>
      <c r="AZ140" s="64" t="s" ph="1">
        <v>332</v>
      </c>
    </row>
    <row r="141" spans="33:52" ph="1">
      <c r="AJ141" s="64" t="s" ph="1">
        <v>534</v>
      </c>
      <c r="AK141" s="64" t="s" ph="1">
        <v>263</v>
      </c>
      <c r="AM141" s="64" t="s" ph="1">
        <v>535</v>
      </c>
      <c r="AN141" s="64" t="s" ph="1">
        <v>266</v>
      </c>
      <c r="AO141" s="64" t="s" ph="1">
        <v>576</v>
      </c>
      <c r="AP141" s="64" t="s" ph="1">
        <v>547</v>
      </c>
      <c r="AQ141" s="64" t="s" ph="1">
        <v>335</v>
      </c>
      <c r="AR141" s="64" t="s" ph="1">
        <v>576</v>
      </c>
      <c r="AS141" s="64" t="s" ph="1">
        <v>539</v>
      </c>
      <c r="AT141" s="64" t="s" ph="1">
        <v>263</v>
      </c>
      <c r="AU141" s="64" t="s" ph="1">
        <v>576</v>
      </c>
      <c r="AV141" s="64" t="s" ph="1">
        <v>375</v>
      </c>
      <c r="AW141" s="64" t="s" ph="1">
        <v>269</v>
      </c>
      <c r="AX141" s="64" t="s" ph="1">
        <v>576</v>
      </c>
    </row>
    <row r="142" spans="33:52" ph="1">
      <c r="AJ142" s="64" t="s" ph="1">
        <v>577</v>
      </c>
      <c r="AK142" s="64" t="s" ph="1">
        <v>280</v>
      </c>
    </row>
    <row r="143" spans="33:52" ph="1">
      <c r="AH143" s="64" ph="1">
        <v>4</v>
      </c>
      <c r="AI143" s="64" t="s" ph="1">
        <v>578</v>
      </c>
      <c r="AJ143" s="64" t="s" ph="1">
        <v>558</v>
      </c>
      <c r="AK143" s="64" t="s" ph="1">
        <v>579</v>
      </c>
      <c r="AY143" s="64" t="s" ph="1">
        <v>257</v>
      </c>
      <c r="AZ143" s="64" t="s" ph="1">
        <v>579</v>
      </c>
    </row>
    <row r="144" spans="33:52" ph="1">
      <c r="AH144" s="64" ph="1">
        <v>5</v>
      </c>
      <c r="AI144" s="64" t="s" ph="1">
        <v>580</v>
      </c>
      <c r="AY144" s="64" t="s" ph="1">
        <v>257</v>
      </c>
      <c r="AZ144" s="64" t="s" ph="1">
        <v>408</v>
      </c>
    </row>
    <row r="145" spans="33:52" ph="1">
      <c r="AH145" s="64" ph="1">
        <v>6</v>
      </c>
      <c r="AI145" s="64" t="s" ph="1">
        <v>581</v>
      </c>
      <c r="AY145" s="64" t="s" ph="1">
        <v>257</v>
      </c>
      <c r="AZ145" s="64" t="s" ph="1">
        <v>408</v>
      </c>
    </row>
    <row r="146" spans="33:52" ph="1">
      <c r="AH146" s="64" ph="1">
        <v>7</v>
      </c>
      <c r="AI146" s="64" t="s" ph="1">
        <v>582</v>
      </c>
      <c r="AY146" s="64" t="s" ph="1">
        <v>257</v>
      </c>
      <c r="AZ146" s="64" t="s" ph="1">
        <v>408</v>
      </c>
    </row>
    <row r="147" spans="33:52" ph="1">
      <c r="AH147" s="64" ph="1">
        <v>8</v>
      </c>
      <c r="AI147" s="64" t="s" ph="1">
        <v>583</v>
      </c>
      <c r="AY147" s="64" t="s" ph="1">
        <v>257</v>
      </c>
      <c r="AZ147" s="64" t="s" ph="1">
        <v>408</v>
      </c>
    </row>
    <row r="148" spans="33:52" ph="1">
      <c r="AH148" s="64" ph="1">
        <v>9</v>
      </c>
      <c r="AI148" s="64" t="s" ph="1">
        <v>584</v>
      </c>
      <c r="AY148" s="64" t="s" ph="1">
        <v>257</v>
      </c>
      <c r="AZ148" s="64" t="s" ph="1">
        <v>408</v>
      </c>
    </row>
    <row r="149" spans="33:52" ph="1">
      <c r="AH149" s="64" ph="1">
        <v>10</v>
      </c>
      <c r="AI149" s="64" t="s" ph="1">
        <v>585</v>
      </c>
      <c r="AY149" s="64" t="s" ph="1">
        <v>257</v>
      </c>
      <c r="AZ149" s="64" t="s" ph="1">
        <v>408</v>
      </c>
    </row>
    <row r="150" spans="33:52" ph="1">
      <c r="AH150" s="64" ph="1">
        <v>11</v>
      </c>
      <c r="AI150" s="64" t="s" ph="1">
        <v>586</v>
      </c>
      <c r="AY150" s="64" t="s" ph="1">
        <v>257</v>
      </c>
      <c r="AZ150" s="64" t="s" ph="1">
        <v>408</v>
      </c>
    </row>
    <row r="151" spans="33:52" ph="1">
      <c r="AH151" s="64" ph="1">
        <v>12</v>
      </c>
      <c r="AI151" s="64" t="s" ph="1">
        <v>587</v>
      </c>
      <c r="AY151" s="64" t="s" ph="1">
        <v>257</v>
      </c>
      <c r="AZ151" s="64" t="s" ph="1">
        <v>408</v>
      </c>
    </row>
    <row r="152" spans="33:52" ph="1">
      <c r="AH152" s="64" ph="1">
        <v>13</v>
      </c>
      <c r="AI152" s="64" t="s" ph="1">
        <v>588</v>
      </c>
      <c r="AY152" s="64" t="s" ph="1">
        <v>257</v>
      </c>
      <c r="AZ152" s="64" t="s" ph="1">
        <v>408</v>
      </c>
    </row>
    <row r="153" spans="33:52" ph="1">
      <c r="AH153" s="64" ph="1">
        <v>14</v>
      </c>
      <c r="AI153" s="64" t="s" ph="1">
        <v>589</v>
      </c>
      <c r="AY153" s="64" t="s" ph="1">
        <v>257</v>
      </c>
      <c r="AZ153" s="64" t="s" ph="1">
        <v>408</v>
      </c>
    </row>
    <row r="154" spans="33:52" ph="1">
      <c r="AH154" s="64" ph="1">
        <v>15</v>
      </c>
      <c r="AI154" s="64" t="s" ph="1">
        <v>590</v>
      </c>
      <c r="AY154" s="64" t="s" ph="1">
        <v>257</v>
      </c>
      <c r="AZ154" s="64" t="s" ph="1">
        <v>408</v>
      </c>
    </row>
    <row r="155" spans="33:52" ph="1">
      <c r="AH155" s="64" ph="1">
        <v>16</v>
      </c>
      <c r="AI155" s="64" t="s" ph="1">
        <v>591</v>
      </c>
      <c r="AJ155" s="64" t="s" ph="1">
        <v>377</v>
      </c>
      <c r="AK155" s="64" t="s" ph="1">
        <v>272</v>
      </c>
      <c r="AM155" s="64" t="s" ph="1">
        <v>611</v>
      </c>
      <c r="AN155" s="64" t="s" ph="1">
        <v>323</v>
      </c>
      <c r="AO155" s="64" t="s" ph="1">
        <v>576</v>
      </c>
      <c r="AY155" s="64" t="s" ph="1">
        <v>257</v>
      </c>
      <c r="AZ155" s="64" t="s" ph="1">
        <v>264</v>
      </c>
    </row>
    <row r="156" spans="33:52" ph="1">
      <c r="AZ156" s="64" t="s" ph="1">
        <v>643</v>
      </c>
    </row>
    <row r="157" spans="33:52" ph="1">
      <c r="AG157" s="64" t="s" ph="1">
        <v>592</v>
      </c>
      <c r="AI157" s="64" t="s" ph="1">
        <v>250</v>
      </c>
      <c r="AJ157" s="64" t="s" ph="1">
        <v>251</v>
      </c>
      <c r="AK157" s="64" t="s" ph="1">
        <v>252</v>
      </c>
      <c r="AM157" s="64" t="s" ph="1">
        <v>251</v>
      </c>
      <c r="AN157" s="64" t="s" ph="1">
        <v>252</v>
      </c>
      <c r="AO157" s="64" t="s" ph="1">
        <v>253</v>
      </c>
      <c r="AP157" s="64" t="s" ph="1">
        <v>251</v>
      </c>
      <c r="AQ157" s="64" t="s" ph="1">
        <v>252</v>
      </c>
      <c r="AR157" s="64" t="s" ph="1">
        <v>253</v>
      </c>
      <c r="AS157" s="64" t="s" ph="1">
        <v>251</v>
      </c>
      <c r="AT157" s="64" t="s" ph="1">
        <v>252</v>
      </c>
      <c r="AU157" s="64" t="s" ph="1">
        <v>253</v>
      </c>
      <c r="AV157" s="64" t="s" ph="1">
        <v>251</v>
      </c>
      <c r="AW157" s="64" t="s" ph="1">
        <v>252</v>
      </c>
      <c r="AX157" s="64" t="s" ph="1">
        <v>253</v>
      </c>
      <c r="AY157" s="64" t="s" ph="1">
        <v>252</v>
      </c>
      <c r="AZ157" s="64" t="s" ph="1">
        <v>254</v>
      </c>
    </row>
    <row r="158" spans="33:52" ph="1">
      <c r="AH158" s="64" ph="1">
        <v>1</v>
      </c>
      <c r="AI158" s="64" t="s" ph="1">
        <v>593</v>
      </c>
      <c r="AY158" s="64" t="s" ph="1">
        <v>257</v>
      </c>
      <c r="AZ158" s="64" t="s" ph="1">
        <v>408</v>
      </c>
    </row>
    <row r="159" spans="33:52" ph="1">
      <c r="AH159" s="64" ph="1">
        <v>2</v>
      </c>
      <c r="AI159" s="64" t="s" ph="1">
        <v>594</v>
      </c>
      <c r="AY159" s="64" t="s" ph="1">
        <v>257</v>
      </c>
      <c r="AZ159" s="64" t="s" ph="1">
        <v>408</v>
      </c>
    </row>
    <row r="160" spans="33:52" ph="1">
      <c r="AZ160" s="64" t="s" ph="1">
        <v>426</v>
      </c>
    </row>
    <row r="161" spans="33:52" ph="1">
      <c r="AG161" s="64" t="s" ph="1">
        <v>402</v>
      </c>
      <c r="AI161" s="64" t="s" ph="1">
        <v>250</v>
      </c>
      <c r="AJ161" s="64" t="s" ph="1">
        <v>251</v>
      </c>
      <c r="AK161" s="64" t="s" ph="1">
        <v>252</v>
      </c>
      <c r="AM161" s="64" t="s" ph="1">
        <v>251</v>
      </c>
      <c r="AN161" s="64" t="s" ph="1">
        <v>252</v>
      </c>
      <c r="AO161" s="64" t="s" ph="1">
        <v>253</v>
      </c>
      <c r="AP161" s="64" t="s" ph="1">
        <v>251</v>
      </c>
      <c r="AQ161" s="64" t="s" ph="1">
        <v>252</v>
      </c>
      <c r="AR161" s="64" t="s" ph="1">
        <v>253</v>
      </c>
      <c r="AS161" s="64" t="s" ph="1">
        <v>251</v>
      </c>
      <c r="AT161" s="64" t="s" ph="1">
        <v>252</v>
      </c>
      <c r="AU161" s="64" t="s" ph="1">
        <v>253</v>
      </c>
      <c r="AV161" s="64" t="s" ph="1">
        <v>251</v>
      </c>
      <c r="AW161" s="64" t="s" ph="1">
        <v>252</v>
      </c>
      <c r="AX161" s="64" t="s" ph="1">
        <v>253</v>
      </c>
      <c r="AY161" s="64" t="s" ph="1">
        <v>252</v>
      </c>
      <c r="AZ161" s="64" t="s" ph="1">
        <v>254</v>
      </c>
    </row>
    <row r="162" spans="33:52" ph="1">
      <c r="AH162" s="64" ph="1">
        <v>1</v>
      </c>
      <c r="AI162" s="64" t="s" ph="1">
        <v>595</v>
      </c>
      <c r="AJ162" s="64" t="s" ph="1">
        <v>596</v>
      </c>
      <c r="AK162" s="64" t="s" ph="1">
        <v>540</v>
      </c>
      <c r="AM162" s="64" t="s" ph="1">
        <v>597</v>
      </c>
      <c r="AN162" s="64" t="s" ph="1">
        <v>261</v>
      </c>
      <c r="AO162" s="64" t="s" ph="1">
        <v>598</v>
      </c>
      <c r="AY162" s="64" t="s" ph="1">
        <v>257</v>
      </c>
      <c r="AZ162" s="64" t="s" ph="1">
        <v>333</v>
      </c>
    </row>
    <row r="163" spans="33:52" ph="1">
      <c r="AH163" s="64" ph="1">
        <v>2</v>
      </c>
      <c r="AI163" s="64" t="s" ph="1">
        <v>599</v>
      </c>
      <c r="AJ163" s="64" t="s" ph="1">
        <v>596</v>
      </c>
      <c r="AK163" s="64" t="s" ph="1">
        <v>429</v>
      </c>
      <c r="AY163" s="64" t="s" ph="1">
        <v>257</v>
      </c>
      <c r="AZ163" s="64" t="s" ph="1">
        <v>429</v>
      </c>
    </row>
    <row r="164" spans="33:52" ph="1">
      <c r="AH164" s="64" ph="1">
        <v>3</v>
      </c>
      <c r="AI164" s="64" t="s" ph="1">
        <v>600</v>
      </c>
      <c r="AJ164" s="64" t="s" ph="1">
        <v>596</v>
      </c>
      <c r="AK164" s="64" t="s" ph="1">
        <v>333</v>
      </c>
      <c r="AY164" s="64" t="s" ph="1">
        <v>257</v>
      </c>
      <c r="AZ164" s="64" t="s" ph="1">
        <v>333</v>
      </c>
    </row>
    <row r="165" spans="33:52" ph="1">
      <c r="AH165" s="64" ph="1">
        <v>4</v>
      </c>
      <c r="AI165" s="64" t="s" ph="1">
        <v>601</v>
      </c>
      <c r="AY165" s="64" t="s" ph="1">
        <v>257</v>
      </c>
      <c r="AZ165" s="64" t="s" ph="1">
        <v>408</v>
      </c>
    </row>
    <row r="166" spans="33:52" ph="1">
      <c r="AH166" s="64" ph="1">
        <v>5</v>
      </c>
      <c r="AI166" s="64" t="s" ph="1">
        <v>602</v>
      </c>
      <c r="AY166" s="64" t="s" ph="1">
        <v>257</v>
      </c>
      <c r="AZ166" s="64" t="s" ph="1">
        <v>408</v>
      </c>
    </row>
    <row r="167" spans="33:52" ph="1">
      <c r="AZ167" s="64" t="s" ph="1">
        <v>603</v>
      </c>
    </row>
    <row r="168" spans="33:52" ph="1">
      <c r="AG168" s="64" t="s" ph="1">
        <v>346</v>
      </c>
      <c r="AI168" s="64" t="s" ph="1">
        <v>250</v>
      </c>
      <c r="AJ168" s="64" t="s" ph="1">
        <v>251</v>
      </c>
      <c r="AK168" s="64" t="s" ph="1">
        <v>252</v>
      </c>
      <c r="AM168" s="64" t="s" ph="1">
        <v>251</v>
      </c>
      <c r="AN168" s="64" t="s" ph="1">
        <v>252</v>
      </c>
      <c r="AO168" s="64" t="s" ph="1">
        <v>253</v>
      </c>
      <c r="AP168" s="64" t="s" ph="1">
        <v>251</v>
      </c>
      <c r="AQ168" s="64" t="s" ph="1">
        <v>252</v>
      </c>
      <c r="AR168" s="64" t="s" ph="1">
        <v>253</v>
      </c>
      <c r="AS168" s="64" t="s" ph="1">
        <v>251</v>
      </c>
      <c r="AT168" s="64" t="s" ph="1">
        <v>252</v>
      </c>
      <c r="AU168" s="64" t="s" ph="1">
        <v>253</v>
      </c>
      <c r="AV168" s="64" t="s" ph="1">
        <v>251</v>
      </c>
      <c r="AW168" s="64" t="s" ph="1">
        <v>252</v>
      </c>
      <c r="AX168" s="64" t="s" ph="1">
        <v>253</v>
      </c>
      <c r="AY168" s="64" t="s" ph="1">
        <v>252</v>
      </c>
      <c r="AZ168" s="64" t="s" ph="1">
        <v>254</v>
      </c>
    </row>
    <row r="169" spans="33:52" ph="1">
      <c r="AH169" s="64" ph="1">
        <v>1</v>
      </c>
      <c r="AI169" s="64" t="s" ph="1">
        <v>604</v>
      </c>
      <c r="AY169" s="64" t="s" ph="1">
        <v>257</v>
      </c>
      <c r="AZ169" s="64" t="s" ph="1">
        <v>408</v>
      </c>
    </row>
    <row r="170" spans="33:52" ph="1">
      <c r="AH170" s="64" ph="1">
        <v>2</v>
      </c>
      <c r="AI170" s="64" t="s" ph="1">
        <v>605</v>
      </c>
      <c r="AY170" s="64" t="s" ph="1">
        <v>257</v>
      </c>
      <c r="AZ170" s="64" t="s" ph="1">
        <v>408</v>
      </c>
    </row>
    <row r="171" spans="33:52" ph="1">
      <c r="AH171" s="64" ph="1">
        <v>3</v>
      </c>
      <c r="AI171" s="64" t="s" ph="1">
        <v>606</v>
      </c>
      <c r="AY171" s="64" t="s" ph="1">
        <v>257</v>
      </c>
      <c r="AZ171" s="64" t="s" ph="1">
        <v>408</v>
      </c>
    </row>
    <row r="172" spans="33:52" ph="1">
      <c r="AH172" s="64" ph="1">
        <v>4</v>
      </c>
      <c r="AI172" s="64" t="s" ph="1">
        <v>607</v>
      </c>
      <c r="AY172" s="64" t="s" ph="1">
        <v>257</v>
      </c>
      <c r="AZ172" s="64" t="s" ph="1">
        <v>408</v>
      </c>
    </row>
    <row r="173" spans="33:52" ph="1">
      <c r="AH173" s="64" ph="1">
        <v>5</v>
      </c>
      <c r="AI173" s="64" t="s" ph="1">
        <v>608</v>
      </c>
      <c r="AY173" s="64" t="s" ph="1">
        <v>257</v>
      </c>
      <c r="AZ173" s="64" t="s" ph="1">
        <v>408</v>
      </c>
    </row>
    <row r="174" spans="33:52" ph="1">
      <c r="AZ174" s="64" t="s" ph="1">
        <v>426</v>
      </c>
    </row>
    <row r="175" spans="33:52" ph="1">
      <c r="AJ175" s="64" t="s" ph="1">
        <v>347</v>
      </c>
    </row>
    <row r="176" spans="33:52" ph="1">
      <c r="AJ176" s="64" t="s" ph="1">
        <v>348</v>
      </c>
      <c r="AK176" s="64" t="s" ph="1">
        <v>349</v>
      </c>
      <c r="AM176" s="64" t="s" ph="1">
        <v>350</v>
      </c>
      <c r="AO176" s="64" t="s" ph="1">
        <v>351</v>
      </c>
      <c r="AP176" s="64" t="s" ph="1">
        <v>352</v>
      </c>
      <c r="AQ176" s="64" t="s" ph="1">
        <v>342</v>
      </c>
      <c r="AR176" s="64" t="s" ph="1">
        <v>262</v>
      </c>
    </row>
    <row r="177" spans="36:56" ph="1">
      <c r="AJ177" s="64" t="s" ph="1">
        <v>644</v>
      </c>
      <c r="AK177" s="64" t="s" ph="1">
        <v>353</v>
      </c>
      <c r="AO177" s="64" t="s" ph="1">
        <v>353</v>
      </c>
      <c r="AP177" s="64" t="s" ph="1">
        <v>353</v>
      </c>
      <c r="AQ177" s="64" t="s" ph="1">
        <v>354</v>
      </c>
      <c r="AR177" s="64" t="s" ph="1">
        <v>355</v>
      </c>
    </row>
    <row r="179" spans="36:56" ph="1">
      <c r="AJ179" s="64" t="s" ph="1">
        <v>356</v>
      </c>
      <c r="AK179" s="64" t="s" ph="1">
        <v>357</v>
      </c>
      <c r="AM179" s="64" t="s" ph="1">
        <v>358</v>
      </c>
      <c r="AN179" s="64" t="s" ph="1">
        <v>334</v>
      </c>
      <c r="AO179" s="64" t="s" ph="1">
        <v>359</v>
      </c>
      <c r="AP179" s="64" t="s" ph="1">
        <v>338</v>
      </c>
      <c r="AQ179" s="64" t="s" ph="1">
        <v>360</v>
      </c>
      <c r="AR179" s="64" t="s" ph="1">
        <v>361</v>
      </c>
    </row>
    <row r="180" spans="36:56" ph="1">
      <c r="AJ180" s="64" t="s" ph="1">
        <v>353</v>
      </c>
      <c r="AK180" s="64" t="s" ph="1">
        <v>353</v>
      </c>
      <c r="AL180" s="64" ph="1">
        <v>116</v>
      </c>
      <c r="AM180" s="64" t="s" ph="1">
        <v>353</v>
      </c>
      <c r="AN180" s="64" t="s" ph="1">
        <v>362</v>
      </c>
      <c r="AO180" s="64" t="s" ph="1">
        <v>353</v>
      </c>
      <c r="AP180" s="64" t="s" ph="1">
        <v>363</v>
      </c>
      <c r="AQ180" s="64" t="s" ph="1">
        <v>364</v>
      </c>
      <c r="AR180" s="64" t="s" ph="1">
        <v>365</v>
      </c>
    </row>
    <row r="189" spans="36:56" ph="1">
      <c r="BD189" s="64" t="s" ph="1">
        <v>609</v>
      </c>
    </row>
    <row r="223" spans="18:18" ph="1">
      <c r="R223" s="138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755" priority="96">
      <formula>ABS(D$7-D$10)&gt;=1000</formula>
    </cfRule>
  </conditionalFormatting>
  <conditionalFormatting sqref="E4 E6:E11">
    <cfRule type="expression" dxfId="754" priority="95">
      <formula>ABS(E$7-E$10)&gt;=1000</formula>
    </cfRule>
  </conditionalFormatting>
  <conditionalFormatting sqref="F4:F11">
    <cfRule type="expression" dxfId="753" priority="94">
      <formula>ABS(F$7-F$10)&gt;=1000</formula>
    </cfRule>
  </conditionalFormatting>
  <conditionalFormatting sqref="G4:G11">
    <cfRule type="expression" dxfId="752" priority="93">
      <formula>ABS(G$7-G$10)&gt;=1000</formula>
    </cfRule>
  </conditionalFormatting>
  <conditionalFormatting sqref="H4:H11">
    <cfRule type="expression" dxfId="751" priority="92">
      <formula>ABS(H$7-H$10)&gt;=1000</formula>
    </cfRule>
  </conditionalFormatting>
  <conditionalFormatting sqref="I4:I11">
    <cfRule type="expression" dxfId="750" priority="91">
      <formula>ABS(I$7-I$10)&gt;=1000</formula>
    </cfRule>
  </conditionalFormatting>
  <conditionalFormatting sqref="J4:J11">
    <cfRule type="expression" dxfId="749" priority="90">
      <formula>ABS(J$7-J$10)&gt;=1000</formula>
    </cfRule>
  </conditionalFormatting>
  <conditionalFormatting sqref="K4:K11">
    <cfRule type="expression" dxfId="748" priority="89">
      <formula>ABS(K$7-K$10)&gt;=1000</formula>
    </cfRule>
  </conditionalFormatting>
  <conditionalFormatting sqref="L4:L11">
    <cfRule type="expression" dxfId="747" priority="88">
      <formula>ABS(L$7-L$10)&gt;=1000</formula>
    </cfRule>
  </conditionalFormatting>
  <conditionalFormatting sqref="M4 M6:M11">
    <cfRule type="expression" dxfId="746" priority="87">
      <formula>ABS(M$7-M$10)&gt;=1000</formula>
    </cfRule>
  </conditionalFormatting>
  <conditionalFormatting sqref="N4 N6:N11">
    <cfRule type="expression" dxfId="745" priority="86">
      <formula>ABS(N$7-N$10)&gt;=1000</formula>
    </cfRule>
  </conditionalFormatting>
  <conditionalFormatting sqref="O4 O6:O11">
    <cfRule type="expression" dxfId="744" priority="85">
      <formula>ABS(O$7-O$10)&gt;=1000</formula>
    </cfRule>
  </conditionalFormatting>
  <conditionalFormatting sqref="P4 P6:P11">
    <cfRule type="expression" dxfId="743" priority="84">
      <formula>ABS(P$7-P$10)&gt;=1000</formula>
    </cfRule>
  </conditionalFormatting>
  <conditionalFormatting sqref="Q4:Q11">
    <cfRule type="expression" dxfId="742" priority="83">
      <formula>ABS(Q$7-Q$10)&gt;=1000</formula>
    </cfRule>
  </conditionalFormatting>
  <conditionalFormatting sqref="R4:R11">
    <cfRule type="expression" dxfId="741" priority="82">
      <formula>ABS(R$7-R$10)&gt;=1000</formula>
    </cfRule>
  </conditionalFormatting>
  <conditionalFormatting sqref="S4:S11">
    <cfRule type="expression" dxfId="740" priority="81">
      <formula>ABS(S$7-S$10)&gt;=1000</formula>
    </cfRule>
  </conditionalFormatting>
  <conditionalFormatting sqref="T4:T9 T11">
    <cfRule type="expression" dxfId="739" priority="80">
      <formula>ABS(T$7-T$10)&gt;=1000</formula>
    </cfRule>
  </conditionalFormatting>
  <conditionalFormatting sqref="U4:U9 U11">
    <cfRule type="expression" dxfId="738" priority="79">
      <formula>ABS(U$7-U$10)&gt;=1000</formula>
    </cfRule>
  </conditionalFormatting>
  <conditionalFormatting sqref="V4:V9 V11">
    <cfRule type="expression" dxfId="737" priority="78">
      <formula>ABS(V$7-V$10)&gt;=1000</formula>
    </cfRule>
  </conditionalFormatting>
  <conditionalFormatting sqref="W4:W9 W11">
    <cfRule type="expression" dxfId="736" priority="77">
      <formula>ABS(W$7-W$10)&gt;=1000</formula>
    </cfRule>
  </conditionalFormatting>
  <conditionalFormatting sqref="X4:X9 X11">
    <cfRule type="expression" dxfId="735" priority="76">
      <formula>ABS(X$7-X$10)&gt;=1000</formula>
    </cfRule>
  </conditionalFormatting>
  <conditionalFormatting sqref="Y4:Y9 Y11">
    <cfRule type="expression" dxfId="734" priority="75">
      <formula>ABS(Y$7-Y$10)&gt;=1000</formula>
    </cfRule>
  </conditionalFormatting>
  <conditionalFormatting sqref="Z4:Z11">
    <cfRule type="expression" dxfId="733" priority="74">
      <formula>ABS(Z$7-Z$10)&gt;=1000</formula>
    </cfRule>
  </conditionalFormatting>
  <conditionalFormatting sqref="AA4:AA11">
    <cfRule type="expression" dxfId="732" priority="73">
      <formula>ABS(AA$7-AA$10)&gt;=1000</formula>
    </cfRule>
  </conditionalFormatting>
  <conditionalFormatting sqref="AB4:AB11">
    <cfRule type="expression" dxfId="731" priority="72">
      <formula>ABS(AB$7-AB$10)&gt;=1000</formula>
    </cfRule>
  </conditionalFormatting>
  <conditionalFormatting sqref="AC4 AC6:AC11">
    <cfRule type="expression" dxfId="730" priority="71">
      <formula>ABS(AC$7-AC$10)&gt;=1000</formula>
    </cfRule>
  </conditionalFormatting>
  <conditionalFormatting sqref="AD4:AD11">
    <cfRule type="expression" dxfId="729" priority="70">
      <formula>ABS(AD$7-AD$10)&gt;=1000</formula>
    </cfRule>
  </conditionalFormatting>
  <conditionalFormatting sqref="AE4:AE11">
    <cfRule type="expression" dxfId="728" priority="69">
      <formula>ABS(AE$7-AE$10)&gt;=1000</formula>
    </cfRule>
  </conditionalFormatting>
  <conditionalFormatting sqref="D13:D20">
    <cfRule type="expression" dxfId="727" priority="68">
      <formula>ABS(D$16-D$19)&gt;=1000</formula>
    </cfRule>
  </conditionalFormatting>
  <conditionalFormatting sqref="E13:E20">
    <cfRule type="expression" dxfId="726" priority="67">
      <formula>ABS(E$16-E$19)&gt;=1000</formula>
    </cfRule>
  </conditionalFormatting>
  <conditionalFormatting sqref="F13 F15:F20">
    <cfRule type="expression" dxfId="725" priority="66">
      <formula>ABS(F$16-F$19)&gt;=1000</formula>
    </cfRule>
  </conditionalFormatting>
  <conditionalFormatting sqref="G13:G20">
    <cfRule type="expression" dxfId="724" priority="65">
      <formula>ABS(G$16-G$19)&gt;=1000</formula>
    </cfRule>
  </conditionalFormatting>
  <conditionalFormatting sqref="H13:H20">
    <cfRule type="expression" dxfId="723" priority="64">
      <formula>ABS(H$16-H$19)&gt;=1000</formula>
    </cfRule>
  </conditionalFormatting>
  <conditionalFormatting sqref="I13:I20">
    <cfRule type="expression" dxfId="722" priority="63">
      <formula>ABS(I$16-I$19)&gt;=1000</formula>
    </cfRule>
  </conditionalFormatting>
  <conditionalFormatting sqref="J13:J20">
    <cfRule type="expression" dxfId="721" priority="62">
      <formula>ABS(J$16-J$19)&gt;=1000</formula>
    </cfRule>
  </conditionalFormatting>
  <conditionalFormatting sqref="L13:L20">
    <cfRule type="expression" dxfId="720" priority="61">
      <formula>ABS(L$16-L$19)&gt;=1000</formula>
    </cfRule>
  </conditionalFormatting>
  <conditionalFormatting sqref="M13 M15 M17:M18 M20">
    <cfRule type="expression" dxfId="719" priority="60">
      <formula>ABS(M$16-M$19)&gt;=1000</formula>
    </cfRule>
  </conditionalFormatting>
  <conditionalFormatting sqref="N13:N20">
    <cfRule type="expression" dxfId="718" priority="59">
      <formula>ABS(N$16-N$19)&gt;=1000</formula>
    </cfRule>
  </conditionalFormatting>
  <conditionalFormatting sqref="O13:O20">
    <cfRule type="expression" dxfId="717" priority="58">
      <formula>ABS(O$16-O$19)&gt;=1000</formula>
    </cfRule>
  </conditionalFormatting>
  <conditionalFormatting sqref="P13:P20">
    <cfRule type="expression" dxfId="716" priority="57">
      <formula>ABS(P$16-P$19)&gt;=1000</formula>
    </cfRule>
  </conditionalFormatting>
  <conditionalFormatting sqref="Q13 Q15:Q20">
    <cfRule type="expression" dxfId="715" priority="56">
      <formula>ABS(Q$16-Q$19)&gt;=1000</formula>
    </cfRule>
  </conditionalFormatting>
  <conditionalFormatting sqref="R13:R20">
    <cfRule type="expression" dxfId="714" priority="55">
      <formula>ABS(R$16-R$19)&gt;=1000</formula>
    </cfRule>
  </conditionalFormatting>
  <conditionalFormatting sqref="S13:S20">
    <cfRule type="expression" dxfId="713" priority="54">
      <formula>ABS(S$16-S$19)&gt;=1000</formula>
    </cfRule>
  </conditionalFormatting>
  <conditionalFormatting sqref="T13:T20">
    <cfRule type="expression" dxfId="712" priority="53">
      <formula>ABS(T$16-T$19)&gt;=1000</formula>
    </cfRule>
  </conditionalFormatting>
  <conditionalFormatting sqref="U13:U20">
    <cfRule type="expression" dxfId="711" priority="52">
      <formula>ABS(U$16-U$19)&gt;=1000</formula>
    </cfRule>
  </conditionalFormatting>
  <conditionalFormatting sqref="V13:V20">
    <cfRule type="expression" dxfId="710" priority="51">
      <formula>ABS(V$16-V$19)&gt;=1000</formula>
    </cfRule>
  </conditionalFormatting>
  <conditionalFormatting sqref="W13 W15:W18 W20">
    <cfRule type="expression" dxfId="709" priority="50">
      <formula>ABS(W$16-W$19)&gt;=1000</formula>
    </cfRule>
  </conditionalFormatting>
  <conditionalFormatting sqref="X13 X15:X20 Y19">
    <cfRule type="expression" dxfId="708" priority="49">
      <formula>ABS(X$16-X$19)&gt;=1000</formula>
    </cfRule>
  </conditionalFormatting>
  <conditionalFormatting sqref="Y13 Y15:Y18 Y20">
    <cfRule type="expression" dxfId="707" priority="48">
      <formula>ABS(Y$16-Y$19)&gt;=1000</formula>
    </cfRule>
  </conditionalFormatting>
  <conditionalFormatting sqref="Z13:Z20">
    <cfRule type="expression" dxfId="706" priority="47">
      <formula>ABS(Z$16-Z$19)&gt;=1000</formula>
    </cfRule>
  </conditionalFormatting>
  <conditionalFormatting sqref="AA13:AA20">
    <cfRule type="expression" dxfId="705" priority="46">
      <formula>ABS(AA$16-AA$19)&gt;=1000</formula>
    </cfRule>
  </conditionalFormatting>
  <conditionalFormatting sqref="AB13 AB15:AB20">
    <cfRule type="expression" dxfId="704" priority="45">
      <formula>ABS(AB$16-AB$19)&gt;=1000</formula>
    </cfRule>
  </conditionalFormatting>
  <conditionalFormatting sqref="AC13 AC15:AC20">
    <cfRule type="expression" dxfId="703" priority="44">
      <formula>ABS(AC$16-AC$19)&gt;=1000</formula>
    </cfRule>
  </conditionalFormatting>
  <conditionalFormatting sqref="AD13:AD20">
    <cfRule type="expression" dxfId="702" priority="43">
      <formula>ABS(AD$16-AD$19)&gt;=1000</formula>
    </cfRule>
  </conditionalFormatting>
  <conditionalFormatting sqref="AE13:AE20">
    <cfRule type="expression" dxfId="701" priority="42">
      <formula>ABS(AE$16-AE$19)&gt;=1000</formula>
    </cfRule>
  </conditionalFormatting>
  <conditionalFormatting sqref="D22:D29">
    <cfRule type="expression" dxfId="700" priority="41">
      <formula>ABS(D$25-D$28)&gt;=1000</formula>
    </cfRule>
  </conditionalFormatting>
  <conditionalFormatting sqref="E22:E29">
    <cfRule type="expression" dxfId="699" priority="40">
      <formula>ABS(E$25-E$28)&gt;=1000</formula>
    </cfRule>
  </conditionalFormatting>
  <conditionalFormatting sqref="F22:F29">
    <cfRule type="expression" dxfId="698" priority="39">
      <formula>ABS(F$25-F$28)&gt;=1000</formula>
    </cfRule>
  </conditionalFormatting>
  <conditionalFormatting sqref="G22:G29">
    <cfRule type="expression" dxfId="697" priority="38">
      <formula>ABS(G$25-G$28)&gt;=1000</formula>
    </cfRule>
  </conditionalFormatting>
  <conditionalFormatting sqref="H22:H29">
    <cfRule type="expression" dxfId="696" priority="37">
      <formula>ABS(H$25-H$28)&gt;=1000</formula>
    </cfRule>
  </conditionalFormatting>
  <conditionalFormatting sqref="I22 I24:I29">
    <cfRule type="expression" dxfId="695" priority="36">
      <formula>ABS(I$25-I$28)&gt;=1000</formula>
    </cfRule>
  </conditionalFormatting>
  <conditionalFormatting sqref="J22:J29 K22">
    <cfRule type="expression" dxfId="694" priority="35">
      <formula>ABS(J$25-J$28)&gt;=1000</formula>
    </cfRule>
  </conditionalFormatting>
  <conditionalFormatting sqref="K23:K29 L25 L28">
    <cfRule type="expression" dxfId="693" priority="34">
      <formula>ABS(K$25-K$28)&gt;=1000</formula>
    </cfRule>
  </conditionalFormatting>
  <conditionalFormatting sqref="L22:L24 L26:L27 L29">
    <cfRule type="expression" dxfId="692" priority="33">
      <formula>ABS(L$25-L$28)&gt;=1000</formula>
    </cfRule>
  </conditionalFormatting>
  <conditionalFormatting sqref="M22:M29">
    <cfRule type="expression" dxfId="691" priority="32">
      <formula>ABS(M$25-M$28)&gt;=1000</formula>
    </cfRule>
  </conditionalFormatting>
  <conditionalFormatting sqref="N22:N29">
    <cfRule type="expression" dxfId="690" priority="31">
      <formula>ABS(N$25-N$28)&gt;=1000</formula>
    </cfRule>
  </conditionalFormatting>
  <conditionalFormatting sqref="O22:O29">
    <cfRule type="expression" dxfId="689" priority="30">
      <formula>ABS(O$25-O$28)&gt;=1000</formula>
    </cfRule>
  </conditionalFormatting>
  <conditionalFormatting sqref="P22:P29">
    <cfRule type="expression" dxfId="688" priority="29">
      <formula>ABS(P$25-P$28)&gt;=1000</formula>
    </cfRule>
  </conditionalFormatting>
  <conditionalFormatting sqref="Q22:Q29">
    <cfRule type="expression" dxfId="687" priority="28">
      <formula>ABS(Q$25-Q$28)&gt;=1000</formula>
    </cfRule>
  </conditionalFormatting>
  <conditionalFormatting sqref="R22:R29">
    <cfRule type="expression" dxfId="686" priority="27">
      <formula>ABS(R$25-R$28)&gt;=1000</formula>
    </cfRule>
  </conditionalFormatting>
  <conditionalFormatting sqref="S22:S29">
    <cfRule type="expression" dxfId="685" priority="26">
      <formula>ABS(S$25-S$28)&gt;=1000</formula>
    </cfRule>
  </conditionalFormatting>
  <conditionalFormatting sqref="T22:T29">
    <cfRule type="expression" dxfId="684" priority="25">
      <formula>ABS(T$25-T$28)&gt;=1000</formula>
    </cfRule>
  </conditionalFormatting>
  <conditionalFormatting sqref="U22:U29">
    <cfRule type="expression" dxfId="683" priority="24">
      <formula>ABS(U$25-U$28)&gt;=1000</formula>
    </cfRule>
  </conditionalFormatting>
  <conditionalFormatting sqref="V22:V29">
    <cfRule type="expression" dxfId="682" priority="23">
      <formula>ABS(V$25-V$28)&gt;=1000</formula>
    </cfRule>
  </conditionalFormatting>
  <conditionalFormatting sqref="W22:W29">
    <cfRule type="expression" dxfId="681" priority="22">
      <formula>ABS(W$25-W$28)&gt;=1000</formula>
    </cfRule>
  </conditionalFormatting>
  <conditionalFormatting sqref="X22:X29">
    <cfRule type="expression" dxfId="680" priority="21">
      <formula>ABS(X$25-X$28)&gt;=1000</formula>
    </cfRule>
  </conditionalFormatting>
  <conditionalFormatting sqref="Y22:Y29">
    <cfRule type="expression" dxfId="679" priority="20">
      <formula>ABS(Y$25-Y$28)&gt;=1000</formula>
    </cfRule>
  </conditionalFormatting>
  <conditionalFormatting sqref="I23">
    <cfRule type="expression" dxfId="678" priority="19">
      <formula>ABS(I$25-I$28)&gt;=1000</formula>
    </cfRule>
  </conditionalFormatting>
  <conditionalFormatting sqref="F14">
    <cfRule type="expression" dxfId="677" priority="18">
      <formula>ABS(F$16-F$19)&gt;=1000</formula>
    </cfRule>
  </conditionalFormatting>
  <conditionalFormatting sqref="Q14">
    <cfRule type="expression" dxfId="676" priority="17">
      <formula>ABS(Q$16-Q$19)&gt;=1000</formula>
    </cfRule>
  </conditionalFormatting>
  <conditionalFormatting sqref="W14">
    <cfRule type="expression" dxfId="675" priority="16">
      <formula>ABS(W$16-W$19)&gt;=1000</formula>
    </cfRule>
  </conditionalFormatting>
  <conditionalFormatting sqref="Y14">
    <cfRule type="expression" dxfId="674" priority="15">
      <formula>ABS(Y$16-Y$19)&gt;=1000</formula>
    </cfRule>
  </conditionalFormatting>
  <conditionalFormatting sqref="X14">
    <cfRule type="expression" dxfId="673" priority="14">
      <formula>ABS(X$16-X$19)&gt;=1000</formula>
    </cfRule>
  </conditionalFormatting>
  <conditionalFormatting sqref="T10:Y10">
    <cfRule type="expression" dxfId="672" priority="13">
      <formula>ABS(T$7-T$10)&gt;=1000</formula>
    </cfRule>
  </conditionalFormatting>
  <conditionalFormatting sqref="W19">
    <cfRule type="expression" dxfId="671" priority="12">
      <formula>ABS(W$16-W$19)&gt;=1000</formula>
    </cfRule>
  </conditionalFormatting>
  <conditionalFormatting sqref="AC5">
    <cfRule type="expression" dxfId="670" priority="11">
      <formula>ABS(AC$7-AC$10)&gt;=1000</formula>
    </cfRule>
  </conditionalFormatting>
  <conditionalFormatting sqref="M14">
    <cfRule type="expression" dxfId="669" priority="10">
      <formula>ABS(M$16-M$19)&gt;=1000</formula>
    </cfRule>
  </conditionalFormatting>
  <conditionalFormatting sqref="M16">
    <cfRule type="expression" dxfId="668" priority="9">
      <formula>ABS(M$16-M$19)&gt;=1000</formula>
    </cfRule>
  </conditionalFormatting>
  <conditionalFormatting sqref="M19">
    <cfRule type="expression" dxfId="667" priority="8">
      <formula>ABS(M$16-M$19)&gt;=1000</formula>
    </cfRule>
  </conditionalFormatting>
  <conditionalFormatting sqref="K13:K20">
    <cfRule type="expression" dxfId="666" priority="7">
      <formula>ABS(K$16-K$19)&gt;=1000</formula>
    </cfRule>
  </conditionalFormatting>
  <conditionalFormatting sqref="E5">
    <cfRule type="expression" dxfId="665" priority="6">
      <formula>ABS(E$7-E$10)&gt;=1000</formula>
    </cfRule>
  </conditionalFormatting>
  <conditionalFormatting sqref="AB14:AC14">
    <cfRule type="expression" dxfId="664" priority="5">
      <formula>ABS(AB$16-AB$19)&gt;=1000</formula>
    </cfRule>
  </conditionalFormatting>
  <conditionalFormatting sqref="M5">
    <cfRule type="expression" dxfId="663" priority="4">
      <formula>ABS(M$7-M$10)&gt;=1000</formula>
    </cfRule>
  </conditionalFormatting>
  <conditionalFormatting sqref="N5">
    <cfRule type="expression" dxfId="662" priority="3">
      <formula>ABS(N$7-N$10)&gt;=1000</formula>
    </cfRule>
  </conditionalFormatting>
  <conditionalFormatting sqref="O5">
    <cfRule type="expression" dxfId="661" priority="2">
      <formula>ABS(O$7-O$10)&gt;=1000</formula>
    </cfRule>
  </conditionalFormatting>
  <conditionalFormatting sqref="P5">
    <cfRule type="expression" dxfId="660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0435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79">
    <pageSetUpPr fitToPage="1"/>
  </sheetPr>
  <dimension ref="A1:CU223"/>
  <sheetViews>
    <sheetView view="pageBreakPreview" topLeftCell="A7" zoomScale="70" zoomScaleNormal="100" zoomScaleSheetLayoutView="70" workbookViewId="0">
      <selection activeCell="Z23" sqref="Z23:AE29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08" t="s" ph="1">
        <v>192</v>
      </c>
      <c r="C1" s="208" ph="1"/>
      <c r="D1" s="208" ph="1"/>
      <c r="E1" s="208" ph="1"/>
      <c r="F1" s="208" ph="1"/>
      <c r="G1" s="208" ph="1"/>
      <c r="H1" s="208" ph="1"/>
      <c r="I1" s="208" ph="1"/>
      <c r="J1" s="208" ph="1"/>
      <c r="K1" s="208" ph="1"/>
      <c r="L1" s="208" ph="1"/>
      <c r="M1" s="208" ph="1"/>
      <c r="N1" s="208" ph="1"/>
      <c r="O1" s="208" ph="1"/>
      <c r="P1" s="208" ph="1"/>
      <c r="Q1" s="208" ph="1"/>
      <c r="R1" s="208" ph="1"/>
      <c r="S1" s="208" ph="1"/>
      <c r="T1" s="208" ph="1"/>
      <c r="U1" s="208" ph="1"/>
      <c r="V1" s="208" ph="1"/>
      <c r="W1" s="208" ph="1"/>
      <c r="X1" s="208" ph="1"/>
      <c r="Y1" s="208" ph="1"/>
      <c r="Z1" s="208" ph="1"/>
      <c r="AA1" s="208" ph="1"/>
      <c r="AB1" s="208" ph="1"/>
      <c r="AC1" s="208" ph="1"/>
      <c r="AD1" s="208" ph="1"/>
      <c r="AE1" s="208" ph="1"/>
    </row>
    <row r="2" spans="1:99" s="66" customFormat="1" ht="24" customHeight="1" ph="1">
      <c r="B2" s="209" t="s" ph="1">
        <v>99</v>
      </c>
      <c r="C2" s="209" ph="1"/>
      <c r="D2" s="209" ph="1"/>
      <c r="E2" s="209" ph="1"/>
      <c r="F2" s="209" ph="1"/>
      <c r="G2" s="209" ph="1"/>
      <c r="H2" s="209" ph="1"/>
      <c r="I2" s="209" ph="1"/>
      <c r="J2" s="209" ph="1"/>
      <c r="K2" s="209" ph="1"/>
      <c r="L2" s="209" ph="1"/>
      <c r="M2" s="209" ph="1"/>
      <c r="N2" s="209" ph="1"/>
      <c r="O2" s="209" ph="1"/>
      <c r="P2" s="209" ph="1"/>
      <c r="Q2" s="209" ph="1"/>
      <c r="R2" s="209" ph="1"/>
      <c r="S2" s="209" ph="1"/>
      <c r="T2" s="209" ph="1"/>
      <c r="U2" s="209" ph="1"/>
      <c r="V2" s="209" ph="1"/>
      <c r="W2" s="209" ph="1"/>
      <c r="X2" s="209" ph="1"/>
      <c r="Y2" s="209" ph="1"/>
      <c r="Z2" s="209" ph="1"/>
      <c r="AA2" s="209" ph="1"/>
      <c r="AB2" s="209" ph="1"/>
      <c r="AC2" s="209" ph="1"/>
      <c r="AD2" s="209" ph="1"/>
      <c r="AE2" s="209" ph="1"/>
    </row>
    <row r="3" spans="1:99" ht="21" customHeight="1" ph="1">
      <c r="B3" s="210" ph="1">
        <v>45709</v>
      </c>
      <c r="C3" s="210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210"/>
      <c r="R3" s="210"/>
      <c r="S3" s="210"/>
      <c r="T3" s="210"/>
      <c r="U3" s="210"/>
      <c r="V3" s="210"/>
      <c r="W3" s="210"/>
      <c r="X3" s="210"/>
      <c r="Y3" s="210"/>
      <c r="Z3" s="210"/>
      <c r="AA3" s="210"/>
      <c r="AB3" s="210"/>
      <c r="AC3" s="210"/>
      <c r="AD3" s="210"/>
      <c r="AE3" s="210"/>
    </row>
    <row r="4" spans="1:99" s="69" customFormat="1" ph="1">
      <c r="A4" s="65" ph="1"/>
      <c r="B4" s="211" t="s" ph="1">
        <v>37</v>
      </c>
      <c r="C4" s="67" t="s" ph="1">
        <v>207</v>
      </c>
      <c r="D4" s="68" t="s" ph="1">
        <v>45</v>
      </c>
      <c r="E4" s="68" t="s" ph="1">
        <v>46</v>
      </c>
      <c r="F4" s="68" t="s" ph="1">
        <v>39</v>
      </c>
      <c r="G4" s="68" t="s" ph="1">
        <v>47</v>
      </c>
      <c r="H4" s="68" t="s" ph="1">
        <v>48</v>
      </c>
      <c r="I4" s="68" t="s" ph="1">
        <v>132</v>
      </c>
      <c r="J4" s="68" t="s" ph="1">
        <v>49</v>
      </c>
      <c r="K4" s="68" t="s" ph="1">
        <v>133</v>
      </c>
      <c r="L4" s="68" t="s" ph="1">
        <v>134</v>
      </c>
      <c r="M4" s="68" t="s" ph="1">
        <v>50</v>
      </c>
      <c r="N4" s="68" t="s" ph="1">
        <v>51</v>
      </c>
      <c r="O4" s="68" t="s" ph="1">
        <v>136</v>
      </c>
      <c r="P4" s="68" t="s" ph="1">
        <v>138</v>
      </c>
      <c r="Q4" s="68" t="s" ph="1">
        <v>139</v>
      </c>
      <c r="R4" s="68" t="s" ph="1">
        <v>140</v>
      </c>
      <c r="S4" s="68" t="s" ph="1">
        <v>141</v>
      </c>
      <c r="T4" s="68" t="s" ph="1">
        <v>142</v>
      </c>
      <c r="U4" s="68" t="s" ph="1">
        <v>143</v>
      </c>
      <c r="V4" s="68" t="s" ph="1">
        <v>144</v>
      </c>
      <c r="W4" s="68" t="s" ph="1">
        <v>145</v>
      </c>
      <c r="X4" s="68" t="s" ph="1">
        <v>146</v>
      </c>
      <c r="Y4" s="68" t="s" ph="1">
        <v>147</v>
      </c>
      <c r="Z4" s="68" t="s" ph="1">
        <v>52</v>
      </c>
      <c r="AA4" s="68" t="s" ph="1">
        <v>148</v>
      </c>
      <c r="AB4" s="68" t="s" ph="1">
        <v>149</v>
      </c>
      <c r="AC4" s="68" t="s" ph="1">
        <v>150</v>
      </c>
      <c r="AD4" s="68" t="s" ph="1">
        <v>40</v>
      </c>
      <c r="AE4" s="68" t="s" ph="1">
        <v>151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1" ph="1"/>
      <c r="C5" s="67" t="s" ph="1">
        <v>36</v>
      </c>
      <c r="D5" s="70" t="s" ph="1">
        <v>191</v>
      </c>
      <c r="E5" s="70" t="s" ph="1">
        <v>7</v>
      </c>
      <c r="F5" s="70" t="s" ph="1">
        <v>1</v>
      </c>
      <c r="G5" s="70" t="s" ph="1">
        <v>7</v>
      </c>
      <c r="H5" s="70" t="s" ph="1">
        <v>7</v>
      </c>
      <c r="I5" s="70" t="s" ph="1">
        <v>657</v>
      </c>
      <c r="J5" s="70" t="s" ph="1">
        <v>658</v>
      </c>
      <c r="K5" s="70" t="s" ph="1">
        <v>660</v>
      </c>
      <c r="L5" s="70" t="s" ph="1">
        <v>662</v>
      </c>
      <c r="M5" s="70" t="s" ph="1">
        <v>657</v>
      </c>
      <c r="N5" s="70" t="s" ph="1">
        <v>658</v>
      </c>
      <c r="O5" s="70" t="s" ph="1">
        <v>660</v>
      </c>
      <c r="P5" s="70" t="s" ph="1">
        <v>662</v>
      </c>
      <c r="Q5" s="70" t="s" ph="1">
        <v>656</v>
      </c>
      <c r="R5" s="70" t="s" ph="1">
        <v>656</v>
      </c>
      <c r="S5" s="70" t="s" ph="1">
        <v>656</v>
      </c>
      <c r="T5" s="70" t="s" ph="1">
        <v>656</v>
      </c>
      <c r="U5" s="70" t="s" ph="1">
        <v>656</v>
      </c>
      <c r="V5" s="70" t="s" ph="1">
        <v>656</v>
      </c>
      <c r="W5" s="70" t="s" ph="1">
        <v>656</v>
      </c>
      <c r="X5" s="70" t="s" ph="1">
        <v>656</v>
      </c>
      <c r="Y5" s="70" t="s" ph="1">
        <v>656</v>
      </c>
      <c r="Z5" s="70" t="s" ph="1">
        <v>663</v>
      </c>
      <c r="AA5" s="70" t="s" ph="1">
        <v>62</v>
      </c>
      <c r="AB5" s="70" t="s" ph="1">
        <v>62</v>
      </c>
      <c r="AC5" s="70" t="s" ph="1">
        <v>664</v>
      </c>
      <c r="AD5" s="70" t="s" ph="1">
        <v>83</v>
      </c>
      <c r="AE5" s="70" t="s" ph="1">
        <v>654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07" ph="1">
        <v>0.33333333333333331</v>
      </c>
      <c r="C6" s="179" t="s" ph="1">
        <v>208</v>
      </c>
      <c r="D6" s="71">
        <v>3478</v>
      </c>
      <c r="E6" s="71">
        <v>0</v>
      </c>
      <c r="F6" s="71">
        <v>5186</v>
      </c>
      <c r="G6" s="71">
        <v>8830</v>
      </c>
      <c r="H6" s="71">
        <v>3512</v>
      </c>
      <c r="I6" s="71">
        <v>27.11</v>
      </c>
      <c r="J6" s="71">
        <v>7.81</v>
      </c>
      <c r="K6" s="71">
        <v>87.11</v>
      </c>
      <c r="L6" s="71">
        <v>43.11</v>
      </c>
      <c r="M6" s="71">
        <v>4525</v>
      </c>
      <c r="N6" s="71">
        <v>4712</v>
      </c>
      <c r="O6" s="71">
        <v>5215</v>
      </c>
      <c r="P6" s="71">
        <v>3419</v>
      </c>
      <c r="Q6" s="71">
        <v>0</v>
      </c>
      <c r="R6" s="71">
        <v>0</v>
      </c>
      <c r="S6" s="71">
        <v>0</v>
      </c>
      <c r="T6" s="71">
        <v>0</v>
      </c>
      <c r="U6" s="71">
        <v>4561</v>
      </c>
      <c r="V6" s="71">
        <v>6508</v>
      </c>
      <c r="W6" s="71">
        <v>0</v>
      </c>
      <c r="X6" s="71">
        <v>0</v>
      </c>
      <c r="Y6" s="71">
        <v>0</v>
      </c>
      <c r="Z6" s="71">
        <v>2415</v>
      </c>
      <c r="AA6" s="71">
        <v>1628</v>
      </c>
      <c r="AB6" s="71">
        <v>2533</v>
      </c>
      <c r="AC6" s="71">
        <v>7578</v>
      </c>
      <c r="AD6" s="71">
        <v>269</v>
      </c>
      <c r="AE6" s="71">
        <v>3473</v>
      </c>
    </row>
    <row r="7" spans="1:99" s="72" customFormat="1" ht="22.5" ph="1">
      <c r="B7" s="207" ph="1"/>
      <c r="C7" s="68" t="s" ph="1">
        <v>209</v>
      </c>
      <c r="D7" s="73" ph="1">
        <f>D6*33.183*LOOKUP(D8,密度!$A$2:$A$50,密度!$Q$2:$Q$50)</f>
        <v>109604.17305306</v>
      </c>
      <c r="E7" s="73" ph="1">
        <f>E6*51.53*LOOKUP(E8,密度!$A$2:$A$50,密度!$I$2:$I$50)</f>
        <v>0</v>
      </c>
      <c r="F7" s="73" ph="1">
        <f>F6*33.183*LOOKUP(F8,密度!$A$2:$A$50,密度!$C$2:$C$50)</f>
        <v>192014.71700039998</v>
      </c>
      <c r="G7" s="73" ph="1">
        <f xml:space="preserve"> (G6+2)*51.53*LOOKUP(G8,密度!$A$2:$A$50,密度!$B$2:$B$50)</f>
        <v>358629.01248000003</v>
      </c>
      <c r="H7" s="73" ph="1">
        <f>(H6)*51.53*LOOKUP(H8,密度!$A$2:$A$50,密度!$B$2:$B$50)</f>
        <v>143529.971816</v>
      </c>
      <c r="I7" s="73" ph="1">
        <f>I6*290.8*1.0267</f>
        <v>8094.0797995999992</v>
      </c>
      <c r="J7" s="73" ph="1">
        <f>J6*290.8*0.7892</f>
        <v>1792.3900016000002</v>
      </c>
      <c r="K7" s="73" ph="1">
        <f>K6*290.8*1.1126</f>
        <v>28183.924808800002</v>
      </c>
      <c r="L7" s="73" ph="1">
        <f>L6*290.8*0.777</f>
        <v>9740.7734760000003</v>
      </c>
      <c r="M7" s="73" ph="1">
        <f>M6*33.183*LOOKUP(M8,密度!$A$2:$A$50,密度!$D$2:$D$50)</f>
        <v>155498.52447000003</v>
      </c>
      <c r="N7" s="73" ph="1">
        <f>N6*33.183*LOOKUP(N8,密度!$A$2:$A$50,密度!$E$2:$E$50)</f>
        <v>123913.94958</v>
      </c>
      <c r="O7" s="73" ph="1">
        <f>O6*20.428*LOOKUP(O8,密度!$A$2:$A$50,密度!$C$2:$C$50)</f>
        <v>118527.525452</v>
      </c>
      <c r="P7" s="73" ph="1">
        <f>P6*51.53*LOOKUP(P8,密度!$A$2:$A$50,密度!$B$2:$B$50)</f>
        <v>139130.19097900001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30498.930831599999</v>
      </c>
      <c r="V7" s="73" ph="1">
        <f>V6*1.5*1.5*3.1416*LOOKUP(V8,密度!$A$2:$A$50,密度!$L$2:$L$50)</f>
        <v>43242.301871999996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76210.234694999992</v>
      </c>
      <c r="AA7" s="73" ph="1">
        <f>AA6*33.183*LOOKUP(AA8,密度!$A$2:$A$50,密度!$D$2:$D$50)</f>
        <v>55945.104494400002</v>
      </c>
      <c r="AB7" s="73" ph="1">
        <f>AB6*20.428*LOOKUP(AB8,密度!$A$2:$A$50,密度!$D$2:$D$50)</f>
        <v>54000.167806400008</v>
      </c>
      <c r="AC7" s="73" ph="1">
        <f>AC6*51.53*LOOKUP(AC8,密度!$A$2:$A$50,密度!$Q$2:$Q$50)</f>
        <v>372742.46730360005</v>
      </c>
      <c r="AD7" s="73" ph="1">
        <f>AD6*20.428*LOOKUP(AD8,密度!$A$2:$A$50,密度!$V$2:$V$50)</f>
        <v>5297.3072480000001</v>
      </c>
      <c r="AE7" s="73" ph="1">
        <f>AE6*20.428</f>
        <v>70946.444000000003</v>
      </c>
    </row>
    <row r="8" spans="1:99" ph="1">
      <c r="B8" s="207" ph="1"/>
      <c r="C8" s="68" t="s" ph="1">
        <v>210</v>
      </c>
      <c r="D8" s="74">
        <v>21</v>
      </c>
      <c r="E8" s="74">
        <v>13</v>
      </c>
      <c r="F8" s="74">
        <v>15</v>
      </c>
      <c r="G8" s="74">
        <v>15</v>
      </c>
      <c r="H8" s="74">
        <v>9</v>
      </c>
      <c r="I8" s="74">
        <v>25</v>
      </c>
      <c r="J8" s="74">
        <v>25</v>
      </c>
      <c r="K8" s="74">
        <v>25</v>
      </c>
      <c r="L8" s="74">
        <v>25</v>
      </c>
      <c r="M8" s="74">
        <v>15</v>
      </c>
      <c r="N8" s="74">
        <v>17</v>
      </c>
      <c r="O8" s="74">
        <v>20</v>
      </c>
      <c r="P8" s="74">
        <v>13</v>
      </c>
      <c r="Q8" s="74">
        <v>13</v>
      </c>
      <c r="R8" s="74">
        <v>20</v>
      </c>
      <c r="S8" s="74">
        <v>8</v>
      </c>
      <c r="T8" s="74">
        <v>10</v>
      </c>
      <c r="U8" s="74">
        <v>16</v>
      </c>
      <c r="V8" s="74">
        <v>22</v>
      </c>
      <c r="W8" s="74">
        <v>16</v>
      </c>
      <c r="X8" s="74">
        <v>5</v>
      </c>
      <c r="Y8" s="74">
        <v>14</v>
      </c>
      <c r="Z8" s="74">
        <v>11</v>
      </c>
      <c r="AA8" s="74">
        <v>15</v>
      </c>
      <c r="AB8" s="74">
        <v>6</v>
      </c>
      <c r="AC8" s="74">
        <v>13</v>
      </c>
      <c r="AD8" s="74">
        <v>12</v>
      </c>
      <c r="AE8" s="74">
        <v>18</v>
      </c>
    </row>
    <row r="9" spans="1:99" ph="1">
      <c r="B9" s="207" ph="1">
        <v>0.66666666666666663</v>
      </c>
      <c r="C9" s="179" t="s" ph="1">
        <v>211</v>
      </c>
      <c r="D9" s="71">
        <v>3754</v>
      </c>
      <c r="E9" s="71">
        <v>0</v>
      </c>
      <c r="F9" s="71">
        <v>6006</v>
      </c>
      <c r="G9" s="71">
        <v>8663</v>
      </c>
      <c r="H9" s="71">
        <v>4487</v>
      </c>
      <c r="I9" s="71">
        <v>27.11</v>
      </c>
      <c r="J9" s="71">
        <v>7.81</v>
      </c>
      <c r="K9" s="71">
        <v>87.51</v>
      </c>
      <c r="L9" s="71">
        <v>17.91</v>
      </c>
      <c r="M9" s="71">
        <v>3962</v>
      </c>
      <c r="N9" s="71">
        <v>4711</v>
      </c>
      <c r="O9" s="71">
        <v>5215</v>
      </c>
      <c r="P9" s="71">
        <v>3098</v>
      </c>
      <c r="Q9" s="71">
        <v>0</v>
      </c>
      <c r="R9" s="71">
        <v>0</v>
      </c>
      <c r="S9" s="71">
        <v>0</v>
      </c>
      <c r="T9" s="71">
        <v>0</v>
      </c>
      <c r="U9" s="71">
        <v>0</v>
      </c>
      <c r="V9" s="71">
        <v>6062</v>
      </c>
      <c r="W9" s="71">
        <v>5238</v>
      </c>
      <c r="X9" s="71">
        <v>745</v>
      </c>
      <c r="Y9" s="71">
        <v>0</v>
      </c>
      <c r="Z9" s="71">
        <v>887</v>
      </c>
      <c r="AA9" s="71">
        <v>1627</v>
      </c>
      <c r="AB9" s="71">
        <v>2456</v>
      </c>
      <c r="AC9" s="71">
        <v>7318</v>
      </c>
      <c r="AD9" s="71">
        <v>941</v>
      </c>
      <c r="AE9" s="71">
        <v>3214</v>
      </c>
    </row>
    <row r="10" spans="1:99" s="72" customFormat="1" ht="22.5" ph="1">
      <c r="B10" s="207" ph="1"/>
      <c r="C10" s="179" t="s" ph="1">
        <v>209</v>
      </c>
      <c r="D10" s="73" ph="1">
        <f>D9*33.183*LOOKUP(D11,密度!$A$2:$A$50,密度!$Q$2:$Q$50)</f>
        <v>118301.91651558001</v>
      </c>
      <c r="E10" s="73" ph="1">
        <f>E9*51.53*LOOKUP(E11,密度!$A$2:$A$50,密度!$I$2:$I$50)</f>
        <v>0</v>
      </c>
      <c r="F10" s="73" ph="1">
        <f>F9*33.183*LOOKUP(F11,密度!$A$2:$A$50,密度!$C$2:$C$50)</f>
        <v>222256.1236896</v>
      </c>
      <c r="G10" s="73" ph="1">
        <f xml:space="preserve"> (G9+2)*51.53*LOOKUP(G11,密度!$A$2:$A$50,密度!$B$2:$B$50)</f>
        <v>351490.66464000003</v>
      </c>
      <c r="H10" s="73" ph="1">
        <f>(H9)*51.53*LOOKUP(H11,密度!$A$2:$A$50,密度!$B$2:$B$50)</f>
        <v>183191.73165300002</v>
      </c>
      <c r="I10" s="73" ph="1">
        <f>I9*290.8*1.0267</f>
        <v>8094.0797995999992</v>
      </c>
      <c r="J10" s="73" ph="1">
        <f>J9*290.8*0.7892</f>
        <v>1792.3900016000002</v>
      </c>
      <c r="K10" s="73" ph="1">
        <f>K9*290.8*1.1126</f>
        <v>28313.342440800003</v>
      </c>
      <c r="L10" s="73" ph="1">
        <f>L9*290.8*0.777</f>
        <v>4046.7931560000002</v>
      </c>
      <c r="M10" s="73" ph="1">
        <f>M9*33.183*LOOKUP(M11,密度!$A$2:$A$50,密度!$D$2:$D$50)</f>
        <v>136046.23840080001</v>
      </c>
      <c r="N10" s="73" ph="1">
        <f>N9*33.183*LOOKUP(N11,密度!$A$2:$A$50,密度!$E$2:$E$50)</f>
        <v>124059.6096768</v>
      </c>
      <c r="O10" s="73" ph="1">
        <f>O9*20.428*LOOKUP(O11,密度!$A$2:$A$50,密度!$C$2:$C$50)</f>
        <v>118452.95303800002</v>
      </c>
      <c r="P10" s="73" ph="1">
        <f>P9*51.53*LOOKUP(P11,密度!$A$2:$A$50,密度!$B$2:$B$50)</f>
        <v>125796.27272000001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40236.012154799995</v>
      </c>
      <c r="W10" s="73" ph="1">
        <f>W9*1.5*1.5*3.1416*LOOKUP(W11,密度!$A$2:$A$50,密度!$L$2:$L$50)</f>
        <v>34951.908499199999</v>
      </c>
      <c r="X10" s="73" ph="1">
        <f>X9*1.5*1.5*3.1416*LOOKUP(X11,密度!$A$2:$A$50,密度!$L$2:$L$50)</f>
        <v>5039.6643989999993</v>
      </c>
      <c r="Y10" s="73" ph="1">
        <f>Y9*1.5*1.5*3.1416*LOOKUP(Y11,密度!$A$2:$A$50,密度!$L$2:$L$50)</f>
        <v>0</v>
      </c>
      <c r="Z10" s="73" ph="1">
        <f>Z9*33.183*LOOKUP(Z11,密度!$A$2:$A$50,密度!$L$2:$L$50)</f>
        <v>27961.65495</v>
      </c>
      <c r="AA10" s="73" ph="1">
        <f>AA9*33.183*LOOKUP(AA11,密度!$A$2:$A$50,密度!$D$2:$D$50)</f>
        <v>55818.959319900001</v>
      </c>
      <c r="AB10" s="73" ph="1">
        <f>AB9*20.428*LOOKUP(AB11,密度!$A$2:$A$50,密度!$D$2:$D$50)</f>
        <v>52358.630924800011</v>
      </c>
      <c r="AC10" s="73" ph="1">
        <f>AC9*51.53*LOOKUP(AC11,密度!$A$2:$A$50,密度!$Q$2:$Q$50)</f>
        <v>359953.73129160004</v>
      </c>
      <c r="AD10" s="73" ph="1">
        <f>AD9*20.428*LOOKUP(AD11,密度!$A$2:$A$50,密度!$V$2:$V$50)</f>
        <v>18469.216278399999</v>
      </c>
      <c r="AE10" s="73" ph="1">
        <f>AE9*20.428</f>
        <v>65655.592000000004</v>
      </c>
    </row>
    <row r="11" spans="1:99" ph="1">
      <c r="A11" s="64" t="s" ph="1">
        <v>193</v>
      </c>
      <c r="B11" s="207" ph="1"/>
      <c r="C11" s="179" t="s" ph="1">
        <v>210</v>
      </c>
      <c r="D11" s="74">
        <v>21</v>
      </c>
      <c r="E11" s="74">
        <v>15</v>
      </c>
      <c r="F11" s="74">
        <v>16</v>
      </c>
      <c r="G11" s="74">
        <v>16</v>
      </c>
      <c r="H11" s="74">
        <v>10</v>
      </c>
      <c r="I11" s="74">
        <v>25</v>
      </c>
      <c r="J11" s="74">
        <v>25</v>
      </c>
      <c r="K11" s="74">
        <v>25</v>
      </c>
      <c r="L11" s="74">
        <v>25</v>
      </c>
      <c r="M11" s="74">
        <v>16</v>
      </c>
      <c r="N11" s="74">
        <v>16</v>
      </c>
      <c r="O11" s="74">
        <v>21</v>
      </c>
      <c r="P11" s="74">
        <v>15</v>
      </c>
      <c r="Q11" s="74">
        <v>16</v>
      </c>
      <c r="R11" s="74">
        <v>23</v>
      </c>
      <c r="S11" s="74">
        <v>11</v>
      </c>
      <c r="T11" s="74">
        <v>13</v>
      </c>
      <c r="U11" s="74">
        <v>16</v>
      </c>
      <c r="V11" s="74">
        <v>23</v>
      </c>
      <c r="W11" s="74">
        <v>18</v>
      </c>
      <c r="X11" s="74">
        <v>5</v>
      </c>
      <c r="Y11" s="74">
        <v>16</v>
      </c>
      <c r="Z11" s="74">
        <v>12</v>
      </c>
      <c r="AA11" s="74">
        <v>17</v>
      </c>
      <c r="AB11" s="74">
        <v>6</v>
      </c>
      <c r="AC11" s="74">
        <v>15</v>
      </c>
      <c r="AD11" s="74">
        <v>22</v>
      </c>
      <c r="AE11" s="74">
        <v>19</v>
      </c>
    </row>
    <row r="12" spans="1:99" ht="9.9499999999999993" customHeight="1" ph="1"/>
    <row r="13" spans="1:99" s="72" customFormat="1" ht="29.25" customHeight="1" ph="1">
      <c r="B13" s="215" t="s" ph="1">
        <v>37</v>
      </c>
      <c r="C13" s="179" t="s" ph="1">
        <v>207</v>
      </c>
      <c r="D13" s="76" t="s" ph="1">
        <v>53</v>
      </c>
      <c r="E13" s="76" t="s" ph="1">
        <v>54</v>
      </c>
      <c r="F13" s="76" t="s" ph="1">
        <v>66</v>
      </c>
      <c r="G13" s="76" t="s" ph="1">
        <v>67</v>
      </c>
      <c r="H13" s="76" t="s" ph="1">
        <v>152</v>
      </c>
      <c r="I13" s="76" t="s" ph="1">
        <v>68</v>
      </c>
      <c r="J13" s="76" t="s" ph="1">
        <v>153</v>
      </c>
      <c r="K13" s="76" t="s" ph="1">
        <v>63</v>
      </c>
      <c r="L13" s="76" t="s" ph="1">
        <v>69</v>
      </c>
      <c r="M13" s="76" t="s" ph="1">
        <v>70</v>
      </c>
      <c r="N13" s="76" t="s" ph="1">
        <v>154</v>
      </c>
      <c r="O13" s="76" t="s" ph="1">
        <v>64</v>
      </c>
      <c r="P13" s="76" t="s" ph="1">
        <v>71</v>
      </c>
      <c r="Q13" s="76" t="s" ph="1">
        <v>72</v>
      </c>
      <c r="R13" s="76" t="s" ph="1">
        <v>73</v>
      </c>
      <c r="S13" s="76" t="s" ph="1">
        <v>74</v>
      </c>
      <c r="T13" s="76" t="s" ph="1">
        <v>75</v>
      </c>
      <c r="U13" s="76" t="s" ph="1">
        <v>76</v>
      </c>
      <c r="V13" s="76" t="s" ph="1">
        <v>155</v>
      </c>
      <c r="W13" s="76" t="s" ph="1">
        <v>156</v>
      </c>
      <c r="X13" s="76" t="s" ph="1">
        <v>157</v>
      </c>
      <c r="Y13" s="105" t="s" ph="1">
        <v>77</v>
      </c>
      <c r="Z13" s="76" t="s" ph="1">
        <v>86</v>
      </c>
      <c r="AA13" s="76" t="s" ph="1">
        <v>158</v>
      </c>
      <c r="AB13" s="76" t="s" ph="1">
        <v>159</v>
      </c>
      <c r="AC13" s="76" t="s" ph="1">
        <v>160</v>
      </c>
      <c r="AD13" s="76" t="s" ph="1">
        <v>161</v>
      </c>
      <c r="AE13" s="76" t="s" ph="1">
        <v>162</v>
      </c>
      <c r="AG13" s="72" t="s" ph="1">
        <v>366</v>
      </c>
      <c r="AH13" s="72" t="s" ph="1">
        <v>229</v>
      </c>
      <c r="AI13" s="72" t="s" ph="1">
        <v>230</v>
      </c>
      <c r="AJ13" s="72" t="s" ph="1">
        <v>231</v>
      </c>
      <c r="AK13" s="72" t="s" ph="1">
        <v>232</v>
      </c>
      <c r="AL13" s="72" t="s" ph="1">
        <v>233</v>
      </c>
      <c r="AM13" s="72" t="s" ph="1">
        <v>234</v>
      </c>
      <c r="AN13" s="72" t="s" ph="1">
        <v>235</v>
      </c>
      <c r="AO13" s="72" t="s" ph="1">
        <v>236</v>
      </c>
      <c r="AP13" s="72" t="s" ph="1">
        <v>237</v>
      </c>
      <c r="AQ13" s="72" t="s" ph="1">
        <v>238</v>
      </c>
      <c r="AR13" s="72" t="s" ph="1">
        <v>239</v>
      </c>
      <c r="AS13" s="72" t="s" ph="1">
        <v>240</v>
      </c>
      <c r="AT13" s="72" t="s" ph="1">
        <v>241</v>
      </c>
      <c r="AU13" s="72" t="s" ph="1">
        <v>242</v>
      </c>
      <c r="AV13" s="72" t="s" ph="1">
        <v>243</v>
      </c>
      <c r="AW13" s="72" t="s" ph="1">
        <v>244</v>
      </c>
      <c r="AX13" s="72" t="s" ph="1">
        <v>245</v>
      </c>
      <c r="AY13" s="72" t="s" ph="1">
        <v>367</v>
      </c>
      <c r="AZ13" s="72" t="s" ph="1">
        <v>246</v>
      </c>
      <c r="BA13" s="72" t="s" ph="1">
        <v>247</v>
      </c>
      <c r="BB13" s="72" t="s" ph="1">
        <v>632</v>
      </c>
      <c r="BC13" s="72" t="s" ph="1">
        <v>248</v>
      </c>
      <c r="BD13" s="72" t="s" ph="1">
        <v>368</v>
      </c>
      <c r="BE13" s="72" t="s" ph="1">
        <v>369</v>
      </c>
      <c r="BF13" s="72" t="s" ph="1">
        <v>370</v>
      </c>
      <c r="BG13" s="72" t="s" ph="1">
        <v>371</v>
      </c>
      <c r="BH13" s="72" t="s" ph="1">
        <v>372</v>
      </c>
    </row>
    <row r="14" spans="1:99" s="72" customFormat="1" ht="24" ph="1">
      <c r="B14" s="216" ph="1"/>
      <c r="C14" s="67" t="s" ph="1">
        <v>36</v>
      </c>
      <c r="D14" s="77" t="s" ph="1">
        <v>665</v>
      </c>
      <c r="E14" s="77" t="s" ph="1">
        <v>665</v>
      </c>
      <c r="F14" s="142" t="s" ph="1">
        <v>651</v>
      </c>
      <c r="G14" s="77" t="s" ph="1">
        <v>667</v>
      </c>
      <c r="H14" s="77" t="s" ph="1">
        <v>668</v>
      </c>
      <c r="I14" s="167" t="s" ph="1">
        <v>669</v>
      </c>
      <c r="J14" s="77" t="s" ph="1">
        <v>670</v>
      </c>
      <c r="K14" s="77" t="s" ph="1">
        <v>223</v>
      </c>
      <c r="L14" s="77" t="s" ph="1">
        <v>42</v>
      </c>
      <c r="M14" s="104" t="s" ph="1">
        <v>671</v>
      </c>
      <c r="N14" s="104" t="s" ph="1">
        <v>672</v>
      </c>
      <c r="O14" s="104" t="s" ph="1">
        <v>670</v>
      </c>
      <c r="P14" s="77" t="s" ph="1">
        <v>673</v>
      </c>
      <c r="Q14" s="77" t="s" ph="1">
        <v>673</v>
      </c>
      <c r="R14" s="88" t="s" ph="1">
        <v>674</v>
      </c>
      <c r="S14" s="77" t="s" ph="1">
        <v>81</v>
      </c>
      <c r="T14" s="77" t="s" ph="1">
        <v>676</v>
      </c>
      <c r="U14" s="77" t="s" ph="1">
        <v>652</v>
      </c>
      <c r="V14" s="77" t="s" ph="1">
        <v>127</v>
      </c>
      <c r="W14" s="77" t="s" ph="1">
        <v>673</v>
      </c>
      <c r="X14" s="77" t="s" ph="1">
        <v>678</v>
      </c>
      <c r="Y14" s="141" t="s" ph="1">
        <v>0</v>
      </c>
      <c r="Z14" s="77" t="s" ph="1">
        <v>62</v>
      </c>
      <c r="AA14" s="77" t="s" ph="1">
        <v>662</v>
      </c>
      <c r="AB14" s="77" t="s" ph="1">
        <v>648</v>
      </c>
      <c r="AC14" s="77" t="s" ph="1">
        <v>648</v>
      </c>
      <c r="AD14" s="77" t="s" ph="1">
        <v>661</v>
      </c>
      <c r="AE14" s="77" t="s" ph="1">
        <v>661</v>
      </c>
      <c r="AG14" s="72" t="s" ph="1">
        <v>249</v>
      </c>
      <c r="AI14" s="72" t="s" ph="1">
        <v>250</v>
      </c>
      <c r="AJ14" s="72" t="s" ph="1">
        <v>373</v>
      </c>
      <c r="AK14" s="72" t="s" ph="1">
        <v>251</v>
      </c>
      <c r="AM14" s="72" t="s" ph="1">
        <v>253</v>
      </c>
      <c r="AN14" s="72" t="s" ph="1">
        <v>251</v>
      </c>
      <c r="AO14" s="72" t="s" ph="1">
        <v>252</v>
      </c>
      <c r="AP14" s="72" t="s" ph="1">
        <v>253</v>
      </c>
      <c r="AQ14" s="72" t="s" ph="1">
        <v>251</v>
      </c>
      <c r="AR14" s="72" t="s" ph="1">
        <v>252</v>
      </c>
      <c r="AS14" s="72" t="s" ph="1">
        <v>253</v>
      </c>
      <c r="AT14" s="72" t="s" ph="1">
        <v>251</v>
      </c>
      <c r="AU14" s="72" t="s" ph="1">
        <v>252</v>
      </c>
      <c r="AV14" s="72" t="s" ph="1">
        <v>253</v>
      </c>
      <c r="AW14" s="72" t="s" ph="1">
        <v>251</v>
      </c>
      <c r="AX14" s="72" t="s" ph="1">
        <v>252</v>
      </c>
      <c r="AY14" s="72" t="s" ph="1">
        <v>253</v>
      </c>
      <c r="AZ14" s="72" t="s" ph="1">
        <v>252</v>
      </c>
    </row>
    <row r="15" spans="1:99" ph="1">
      <c r="B15" s="217" ph="1">
        <v>0.33333333333333331</v>
      </c>
      <c r="C15" s="179" t="s" ph="1">
        <v>208</v>
      </c>
      <c r="D15" s="78">
        <v>0</v>
      </c>
      <c r="E15" s="78">
        <v>1215</v>
      </c>
      <c r="F15" s="78">
        <v>4124</v>
      </c>
      <c r="G15" s="78">
        <v>1622</v>
      </c>
      <c r="H15" s="78">
        <v>2867</v>
      </c>
      <c r="I15" s="78">
        <v>1269</v>
      </c>
      <c r="J15" s="78">
        <v>27</v>
      </c>
      <c r="K15" s="78">
        <v>742</v>
      </c>
      <c r="L15" s="78">
        <v>3907</v>
      </c>
      <c r="M15" s="78">
        <v>6029</v>
      </c>
      <c r="N15" s="78">
        <v>0</v>
      </c>
      <c r="O15" s="78">
        <v>2400</v>
      </c>
      <c r="P15" s="78">
        <v>382</v>
      </c>
      <c r="Q15" s="78">
        <v>1472</v>
      </c>
      <c r="R15" s="78">
        <v>3488</v>
      </c>
      <c r="S15" s="78">
        <v>5612</v>
      </c>
      <c r="T15" s="78">
        <v>2915</v>
      </c>
      <c r="U15" s="78">
        <v>5395</v>
      </c>
      <c r="V15" s="78">
        <v>-1632</v>
      </c>
      <c r="W15" s="78">
        <v>-596</v>
      </c>
      <c r="X15" s="78">
        <v>494</v>
      </c>
      <c r="Y15" s="106">
        <v>-9900</v>
      </c>
      <c r="Z15" s="78">
        <v>0</v>
      </c>
      <c r="AA15" s="78">
        <v>2502</v>
      </c>
      <c r="AB15" s="78" ph="1">
        <v>6851</v>
      </c>
      <c r="AC15" s="78" ph="1">
        <v>6499</v>
      </c>
      <c r="AD15" s="78">
        <v>82.61</v>
      </c>
      <c r="AE15" s="78">
        <v>5.51</v>
      </c>
      <c r="AG15" s="64" t="s" ph="1">
        <v>255</v>
      </c>
      <c r="AH15" s="64" ph="1">
        <v>1</v>
      </c>
      <c r="AI15" s="64" t="s" ph="1">
        <v>374</v>
      </c>
      <c r="AK15" s="64" t="s" ph="1">
        <v>628</v>
      </c>
      <c r="AM15" s="64" t="s" ph="1">
        <v>376</v>
      </c>
      <c r="AZ15" s="64" t="s" ph="1">
        <v>257</v>
      </c>
      <c r="BA15" s="64" ph="1">
        <v>0</v>
      </c>
    </row>
    <row r="16" spans="1:99" s="72" customFormat="1" ht="22.5" ph="1">
      <c r="B16" s="218" ph="1"/>
      <c r="C16" s="179" t="s" ph="1">
        <v>209</v>
      </c>
      <c r="D16" s="73" ph="1">
        <f>D15*7.0686*LOOKUP(D17,密度!$A$2:$A$50,密度!$L$2:$L$50)</f>
        <v>0</v>
      </c>
      <c r="E16" s="73" ph="1">
        <f>E15*7.0686*LOOKUP(E17,密度!$A$2:$A$50,密度!$L$2:$L$50)</f>
        <v>8133.1665029999995</v>
      </c>
      <c r="F16" s="73" ph="1">
        <f>F15*9.0746*LOOKUP(F17,密度!$A$2:$A$50,密度!$L$2:$L$50)</f>
        <v>35365.349627999996</v>
      </c>
      <c r="G16" s="73" ph="1">
        <f>G15*9.0746*LOOKUP(G17,密度!$A$2:$A$50,密度!$B$2:$B$50)</f>
        <v>11598.572945600001</v>
      </c>
      <c r="H16" s="73" ph="1">
        <f>H15*9.0746*LOOKUP(H17,密度!$A$2:$A$50,密度!$L$2:$L$50)</f>
        <v>24742.0511682</v>
      </c>
      <c r="I16" s="73" ph="1">
        <f>I15*9.0746*LOOKUP(I17,密度!$A$2:$A$50,密度!$U$2:$U$50)</f>
        <v>11838.1060872</v>
      </c>
      <c r="J16" s="73" ph="1">
        <f>J15*9.0746*LOOKUP(J17,密度!$A$2:$A$50,密度!$L$2:$L$50)</f>
        <v>232.5184758</v>
      </c>
      <c r="K16" s="73" ph="1">
        <f>K15*9.0746*LOOKUP(K17,密度!$A$2:$A$50,密度!$C$2:$C$50)</f>
        <v>7523.84886568</v>
      </c>
      <c r="L16" s="73" ph="1">
        <f>L15*9.0746*LOOKUP(L17,密度!$A$2:$A$50,密度!$E$2:$E$50)</f>
        <v>28175.661110339999</v>
      </c>
      <c r="M16" s="73" ph="1">
        <f>M15*9.0746*LOOKUP(M17,密度!$A$2:$A$50,密度!$M$2:$M$50)</f>
        <v>48161.885021020003</v>
      </c>
      <c r="N16" s="73" ph="1">
        <f>N15*9.0746*LOOKUP(N17,密度!$A$2:$A$50,密度!$M$2:$M$50)</f>
        <v>0</v>
      </c>
      <c r="O16" s="73" ph="1">
        <f>O15*9.0746*LOOKUP(O17,密度!$A$2:$A$50,密度!$G$2:$G$50)</f>
        <v>21060.331679999999</v>
      </c>
      <c r="P16" s="73" ph="1">
        <f ca="1">P15*9.0746*LOOKUP(P17,密度!$A$2:$A$51,密度!$Q$2:$Q$50)</f>
        <v>3308.9102372880006</v>
      </c>
      <c r="Q16" s="73" ph="1">
        <f>Q15*9.0746*LOOKUP(Q17,密度!$A$2:$A$50,密度!$Q$2:$Q$50)</f>
        <v>12750.565102848001</v>
      </c>
      <c r="R16" s="73" ph="1">
        <f>MAX(R15*9.0746*LOOKUP(R17,密度!$A$2:$A$50,密度!$B$2:$B$50),0)</f>
        <v>24869.137311359998</v>
      </c>
      <c r="S16" s="73" ph="1">
        <f>S15*9.0746*LOOKUP(S17,密度!$A$2:$A$50,密度!$Q$2:$Q$50)</f>
        <v>48611.529454608004</v>
      </c>
      <c r="T16" s="73" ph="1">
        <f>T15*9.0746*LOOKUP(T17,密度!$A$2:$A$50,密度!$O$2:$O$50)</f>
        <v>24706.596706</v>
      </c>
      <c r="U16" s="73" ph="1">
        <f>U15*9.0746*LOOKUP(U17,密度!$A$2:$A$50,密度!$H$2:$H$50)</f>
        <v>45368.884668900006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198.19152201600082</v>
      </c>
      <c r="X16" s="73" ph="1">
        <f>MAX(5600*LOOKUP(X17,密度!$A$2:$A$50,密度!$I$2:$I$50)+X15*9.0476*LOOKUP(X17,密度!$A$2:$A$50,密度!$I$2:$I$50),0)</f>
        <v>10427.082856343999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17929.861473239998</v>
      </c>
      <c r="AB16" s="73" ph="1">
        <f>AB15*9.0746*LOOKUP(AB17,密度!$A$2:$A$50,密度!$L$2:$L$50)</f>
        <v>58812.900031600002</v>
      </c>
      <c r="AC16" s="73" ph="1">
        <f>AC15*9.0746*LOOKUP(AC17,密度!$A$2:$A$50,密度!$L$2:$L$50)</f>
        <v>55968.058304599996</v>
      </c>
      <c r="AD16" s="73" ph="1">
        <f>AD15*268.68*LOOKUP(AD17,密度!$A$2:$A$50,密度!B2:B50)+IF(AD15&lt;=0,0,1566*LOOKUP(AD17,密度!$A$2:$A$50,密度!B2:B50))</f>
        <v>18524.586082079997</v>
      </c>
      <c r="AE16" s="73" ph="1">
        <f>AE15*268.68*LOOKUP(AE17,密度!$A$2:$A$50,密度!B2:B50)+IF(AE15&lt;=0,0,1566*LOOKUP(AE17,密度!$A$2:$A$50,密度!B2:B50))</f>
        <v>2374.9943332799999</v>
      </c>
      <c r="AH16" s="72" ph="1">
        <v>2</v>
      </c>
      <c r="AI16" s="72" t="s" ph="1">
        <v>378</v>
      </c>
      <c r="AZ16" s="72" t="s" ph="1">
        <v>257</v>
      </c>
      <c r="BA16" s="72" ph="1">
        <v>0</v>
      </c>
    </row>
    <row r="17" spans="1:57" ph="1">
      <c r="A17" s="64" t="s" ph="1">
        <v>85</v>
      </c>
      <c r="B17" s="219" ph="1"/>
      <c r="C17" s="79" t="s" ph="1">
        <v>210</v>
      </c>
      <c r="D17" s="74">
        <v>15</v>
      </c>
      <c r="E17" s="74">
        <v>15</v>
      </c>
      <c r="F17" s="74">
        <v>17</v>
      </c>
      <c r="G17" s="74">
        <v>15</v>
      </c>
      <c r="H17" s="74">
        <v>11</v>
      </c>
      <c r="I17" s="74">
        <v>12</v>
      </c>
      <c r="J17" s="74">
        <v>13</v>
      </c>
      <c r="K17" s="74">
        <v>13</v>
      </c>
      <c r="L17" s="74">
        <v>15</v>
      </c>
      <c r="M17" s="74">
        <v>16</v>
      </c>
      <c r="N17" s="74">
        <v>12</v>
      </c>
      <c r="O17" s="74">
        <v>19</v>
      </c>
      <c r="P17" s="74">
        <v>15</v>
      </c>
      <c r="Q17" s="74">
        <v>15</v>
      </c>
      <c r="R17" s="74">
        <v>18</v>
      </c>
      <c r="S17" s="74">
        <v>15</v>
      </c>
      <c r="T17" s="74">
        <v>15</v>
      </c>
      <c r="U17" s="74">
        <v>13</v>
      </c>
      <c r="V17" s="74">
        <v>15</v>
      </c>
      <c r="W17" s="74">
        <v>15</v>
      </c>
      <c r="X17" s="74">
        <v>31</v>
      </c>
      <c r="Y17" s="108">
        <v>31</v>
      </c>
      <c r="Z17" s="74">
        <v>15</v>
      </c>
      <c r="AA17" s="74">
        <v>13</v>
      </c>
      <c r="AB17" s="74">
        <v>16</v>
      </c>
      <c r="AC17" s="74">
        <v>13</v>
      </c>
      <c r="AD17" s="74">
        <v>25</v>
      </c>
      <c r="AE17" s="74">
        <v>25</v>
      </c>
      <c r="AH17" s="64" ph="1">
        <v>3</v>
      </c>
      <c r="AI17" s="64" t="s" ph="1">
        <v>379</v>
      </c>
      <c r="AK17" s="64" t="s" ph="1">
        <v>611</v>
      </c>
      <c r="AL17" s="64" ph="1">
        <v>80</v>
      </c>
      <c r="AM17" s="64" t="s" ph="1">
        <v>376</v>
      </c>
      <c r="AZ17" s="64" t="s" ph="1">
        <v>257</v>
      </c>
      <c r="BA17" s="64" ph="1">
        <v>80</v>
      </c>
      <c r="BD17" s="64" t="s" ph="1">
        <v>255</v>
      </c>
      <c r="BE17" s="64" ph="1">
        <v>2270</v>
      </c>
    </row>
    <row r="18" spans="1:57" ph="1">
      <c r="B18" s="217" ph="1">
        <v>0.66666666666666663</v>
      </c>
      <c r="C18" s="79" t="s" ph="1">
        <v>211</v>
      </c>
      <c r="D18" s="71">
        <v>0</v>
      </c>
      <c r="E18" s="71">
        <v>2265</v>
      </c>
      <c r="F18" s="71">
        <v>4400</v>
      </c>
      <c r="G18" s="71">
        <v>1760</v>
      </c>
      <c r="H18" s="71">
        <v>2867</v>
      </c>
      <c r="I18" s="71">
        <v>3025</v>
      </c>
      <c r="J18" s="71">
        <v>0</v>
      </c>
      <c r="K18" s="71">
        <v>742</v>
      </c>
      <c r="L18" s="71">
        <v>3905</v>
      </c>
      <c r="M18" s="71">
        <v>3059</v>
      </c>
      <c r="N18" s="71">
        <v>85</v>
      </c>
      <c r="O18" s="71">
        <v>2784</v>
      </c>
      <c r="P18" s="71">
        <v>381</v>
      </c>
      <c r="Q18" s="71">
        <v>1372</v>
      </c>
      <c r="R18" s="71">
        <v>3491</v>
      </c>
      <c r="S18" s="71">
        <v>5613</v>
      </c>
      <c r="T18" s="71">
        <v>2912</v>
      </c>
      <c r="U18" s="71">
        <v>5394</v>
      </c>
      <c r="V18" s="71">
        <v>-1632</v>
      </c>
      <c r="W18" s="71">
        <v>-596</v>
      </c>
      <c r="X18" s="71">
        <v>491</v>
      </c>
      <c r="Y18" s="109">
        <v>-9901</v>
      </c>
      <c r="Z18" s="71">
        <v>0</v>
      </c>
      <c r="AA18" s="71">
        <v>2503</v>
      </c>
      <c r="AB18" s="71">
        <v>6851</v>
      </c>
      <c r="AC18" s="71">
        <v>6499</v>
      </c>
      <c r="AD18" s="71">
        <v>84.11</v>
      </c>
      <c r="AE18" s="71">
        <v>30.51</v>
      </c>
      <c r="AH18" s="64" ph="1">
        <v>4</v>
      </c>
      <c r="AI18" s="64" t="s" ph="1">
        <v>381</v>
      </c>
      <c r="AJ18" s="64" t="s" ph="1">
        <v>629</v>
      </c>
      <c r="AK18" s="64" t="s" ph="1">
        <v>628</v>
      </c>
      <c r="AL18" s="64" ph="1">
        <v>740</v>
      </c>
      <c r="AM18" s="64" t="s" ph="1">
        <v>380</v>
      </c>
      <c r="AZ18" s="64" t="s" ph="1">
        <v>257</v>
      </c>
      <c r="BA18" s="64" ph="1">
        <v>740</v>
      </c>
    </row>
    <row r="19" spans="1:57" s="72" customFormat="1" ht="22.5" ph="1">
      <c r="B19" s="218" ph="1"/>
      <c r="C19" s="179" t="s" ph="1">
        <v>209</v>
      </c>
      <c r="D19" s="73" ph="1">
        <f>D18*7.0686*LOOKUP(D20,密度!$A$2:$A$50,密度!$L$2:$L$50)</f>
        <v>0</v>
      </c>
      <c r="E19" s="73" ph="1">
        <f>E18*7.0686*LOOKUP(E20,密度!$A$2:$A$50,密度!$L$2:$L$50)</f>
        <v>15145.818534</v>
      </c>
      <c r="F19" s="73" ph="1">
        <f>F18*9.0746*LOOKUP(F20,密度!$A$2:$A$50,密度!$L$2:$L$50)</f>
        <v>37652.330319999994</v>
      </c>
      <c r="G19" s="73" ph="1">
        <f>G18*9.0746*LOOKUP(G20,密度!$A$2:$A$50,密度!$B$2:$B$50)</f>
        <v>12559.827174399999</v>
      </c>
      <c r="H19" s="73" ph="1">
        <f>H18*9.0746*LOOKUP(H20,密度!$A$2:$A$50,密度!$L$2:$L$50)</f>
        <v>24690.0174118</v>
      </c>
      <c r="I19" s="73" ph="1">
        <f>I18*9.0746*LOOKUP(I20,密度!$A$2:$A$50,密度!$U$2:$U$50)</f>
        <v>28219.283620000002</v>
      </c>
      <c r="J19" s="73" ph="1">
        <f>J18*9.0746*LOOKUP(J20,密度!$A$2:$A$50,密度!$L$2:$L$50)</f>
        <v>0</v>
      </c>
      <c r="K19" s="73" ph="1">
        <f>K18*9.0746*LOOKUP(K20,密度!$A$2:$A$50,密度!$C$2:$C$50)</f>
        <v>7504.3221414000009</v>
      </c>
      <c r="L19" s="73" ph="1">
        <f>L18*9.0746*LOOKUP(L20,密度!$A$2:$A$50,密度!$E$2:$E$50)</f>
        <v>28083.278052500002</v>
      </c>
      <c r="M19" s="73" ph="1">
        <f>M18*9.0746*LOOKUP(M20,密度!$A$2:$A$50,密度!$M$2:$M$50)</f>
        <v>24436.424992420001</v>
      </c>
      <c r="N19" s="73" ph="1">
        <f>N18*9.0746*LOOKUP(N20,密度!$A$2:$A$50,密度!$M$2:$M$50)</f>
        <v>679.01148230000001</v>
      </c>
      <c r="O19" s="73" ph="1">
        <f>O18*9.0746*LOOKUP(O20,密度!$A$2:$A$50,密度!$G$2:$G$50)</f>
        <v>24429.984748800001</v>
      </c>
      <c r="P19" s="73" ph="1">
        <f ca="1">P18*9.0746*LOOKUP(P20,密度!$A$2:$A$51,密度!$Q$2:$Q$50)</f>
        <v>3294.2322532799999</v>
      </c>
      <c r="Q19" s="73" ph="1">
        <f>Q18*9.0746*LOOKUP(Q20,密度!$A$2:$A$50,密度!$Q$2:$Q$50)</f>
        <v>11872.654904320001</v>
      </c>
      <c r="R19" s="73" ph="1">
        <f>MAX(R18*9.0746*LOOKUP(R20,密度!$A$2:$A$50,密度!$B$2:$B$50),0)</f>
        <v>24865.183508140002</v>
      </c>
      <c r="S19" s="73" ph="1">
        <f>S18*9.0746*LOOKUP(S20,密度!$A$2:$A$50,密度!$Q$2:$Q$50)</f>
        <v>48572.311937279999</v>
      </c>
      <c r="T19" s="73" ph="1">
        <f>T18*9.0746*LOOKUP(T20,密度!$A$2:$A$50,密度!$O$2:$O$50)</f>
        <v>24681.1696768</v>
      </c>
      <c r="U19" s="73" ph="1">
        <f>U18*9.0746*LOOKUP(U20,密度!$A$2:$A$50,密度!$H$2:$H$50)</f>
        <v>45311.526844680004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198.19152201600082</v>
      </c>
      <c r="X19" s="73" ph="1">
        <f>MAX(5600*LOOKUP(X20,密度!$A$2:$A$50,密度!$I$2:$I$50)+X18*9.0476*LOOKUP(X20,密度!$A$2:$A$50,密度!$I$2:$I$50),0)</f>
        <v>10398.976215515999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17918.856705820002</v>
      </c>
      <c r="AB19" s="73" ph="1">
        <f>AB18*9.0746*LOOKUP(AB20,密度!$A$2:$A$50,密度!$L$2:$L$50)</f>
        <v>58812.900031600002</v>
      </c>
      <c r="AC19" s="73" ph="1">
        <f>AC18*9.0746*LOOKUP(AC20,密度!$A$2:$A$50,密度!$L$2:$L$50)</f>
        <v>55909.082479199998</v>
      </c>
      <c r="AD19" s="73" ph="1">
        <f>AD18*268.68*LOOKUP(AD20,密度!$A$2:$A$50,密度!B5:B53)+IF(AD18&lt;=0,0,1566*LOOKUP(AD20,密度!$A$2:$A$50,密度!B5:B53))</f>
        <v>18775.952319600001</v>
      </c>
      <c r="AE19" s="73" ph="1">
        <f>AE18*268.68*LOOKUP(AE20,密度!$A$2:$A$50,密度!B5:B53)+IF(AE18&lt;=0,0,1566*LOOKUP(AE20,密度!$A$2:$A$50,密度!B5:B53))</f>
        <v>7586.1826236000015</v>
      </c>
      <c r="AH19" s="72" ph="1">
        <v>5</v>
      </c>
      <c r="AI19" s="72" t="s" ph="1">
        <v>382</v>
      </c>
      <c r="AZ19" s="72" t="s" ph="1">
        <v>257</v>
      </c>
      <c r="BA19" s="72" ph="1">
        <v>0</v>
      </c>
      <c r="BD19" s="72" t="s" ph="1">
        <v>383</v>
      </c>
      <c r="BE19" s="72" ph="1">
        <v>1440</v>
      </c>
    </row>
    <row r="20" spans="1:57" ph="1">
      <c r="A20" s="72" ph="1"/>
      <c r="B20" s="218" ph="1"/>
      <c r="C20" s="80" t="s" ph="1">
        <v>210</v>
      </c>
      <c r="D20" s="81">
        <v>16</v>
      </c>
      <c r="E20" s="81">
        <v>16</v>
      </c>
      <c r="F20" s="81">
        <v>19</v>
      </c>
      <c r="G20" s="81">
        <v>17</v>
      </c>
      <c r="H20" s="81">
        <v>13</v>
      </c>
      <c r="I20" s="81">
        <v>19</v>
      </c>
      <c r="J20" s="81">
        <v>18</v>
      </c>
      <c r="K20" s="81">
        <v>17</v>
      </c>
      <c r="L20" s="81">
        <v>17</v>
      </c>
      <c r="M20" s="81">
        <v>18</v>
      </c>
      <c r="N20" s="81">
        <v>17</v>
      </c>
      <c r="O20" s="81">
        <v>19</v>
      </c>
      <c r="P20" s="81">
        <v>17</v>
      </c>
      <c r="Q20" s="81">
        <v>16</v>
      </c>
      <c r="R20" s="81">
        <v>19</v>
      </c>
      <c r="S20" s="81">
        <v>16</v>
      </c>
      <c r="T20" s="81">
        <v>16</v>
      </c>
      <c r="U20" s="81">
        <v>14</v>
      </c>
      <c r="V20" s="81">
        <v>15</v>
      </c>
      <c r="W20" s="81">
        <v>15</v>
      </c>
      <c r="X20" s="81">
        <v>31</v>
      </c>
      <c r="Y20" s="110">
        <v>31</v>
      </c>
      <c r="Z20" s="81">
        <v>17</v>
      </c>
      <c r="AA20" s="81">
        <v>14</v>
      </c>
      <c r="AB20" s="81">
        <v>16</v>
      </c>
      <c r="AC20" s="81">
        <v>14</v>
      </c>
      <c r="AD20" s="81">
        <v>25</v>
      </c>
      <c r="AE20" s="81">
        <v>25</v>
      </c>
      <c r="AH20" s="64" ph="1">
        <v>6</v>
      </c>
      <c r="AI20" s="64" t="s" ph="1">
        <v>384</v>
      </c>
      <c r="AZ20" s="64" t="s" ph="1">
        <v>257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385</v>
      </c>
      <c r="AZ21" s="64" t="s" ph="1">
        <v>257</v>
      </c>
      <c r="BA21" s="64" ph="1">
        <v>0</v>
      </c>
      <c r="BD21" s="64" t="s" ph="1">
        <v>273</v>
      </c>
      <c r="BE21" s="64" ph="1">
        <v>730</v>
      </c>
    </row>
    <row r="22" spans="1:57" ph="1">
      <c r="A22" s="72" ph="1"/>
      <c r="B22" s="216" t="s" ph="1">
        <v>37</v>
      </c>
      <c r="C22" s="85" t="s" ph="1">
        <v>207</v>
      </c>
      <c r="D22" s="86" t="s" ph="1">
        <v>103</v>
      </c>
      <c r="E22" s="86" t="s" ph="1">
        <v>104</v>
      </c>
      <c r="F22" s="86" t="s" ph="1">
        <v>105</v>
      </c>
      <c r="G22" s="86" t="s" ph="1">
        <v>106</v>
      </c>
      <c r="H22" s="86" t="s" ph="1">
        <v>107</v>
      </c>
      <c r="I22" s="86" t="s" ph="1">
        <v>108</v>
      </c>
      <c r="J22" s="86" t="s" ph="1">
        <v>109</v>
      </c>
      <c r="K22" s="86" t="s" ph="1">
        <v>110</v>
      </c>
      <c r="L22" s="86" t="s" ph="1">
        <v>111</v>
      </c>
      <c r="M22" s="86" t="s" ph="1">
        <v>112</v>
      </c>
      <c r="N22" s="86" t="s" ph="1">
        <v>113</v>
      </c>
      <c r="O22" s="86" t="s" ph="1">
        <v>114</v>
      </c>
      <c r="P22" s="86" t="s" ph="1">
        <v>115</v>
      </c>
      <c r="Q22" s="87" t="s" ph="1">
        <v>116</v>
      </c>
      <c r="R22" s="86" t="s" ph="1">
        <v>117</v>
      </c>
      <c r="S22" s="86" t="s" ph="1">
        <v>118</v>
      </c>
      <c r="T22" s="86" t="s" ph="1">
        <v>119</v>
      </c>
      <c r="U22" s="86" t="s" ph="1">
        <v>120</v>
      </c>
      <c r="V22" s="86" t="s" ph="1">
        <v>121</v>
      </c>
      <c r="W22" s="86" t="s" ph="1">
        <v>122</v>
      </c>
      <c r="X22" s="86" t="s" ph="1">
        <v>123</v>
      </c>
      <c r="Y22" s="86" t="s" ph="1">
        <v>125</v>
      </c>
      <c r="Z22" s="195" t="s" ph="1">
        <v>79</v>
      </c>
      <c r="AA22" s="196"/>
      <c r="AB22" s="196"/>
      <c r="AC22" s="196"/>
      <c r="AD22" s="196"/>
      <c r="AE22" s="197"/>
      <c r="AH22" s="64" ph="1">
        <v>8</v>
      </c>
      <c r="AI22" s="64" t="s" ph="1">
        <v>386</v>
      </c>
      <c r="AZ22" s="64" t="s" ph="1">
        <v>257</v>
      </c>
      <c r="BA22" s="64" ph="1">
        <v>0</v>
      </c>
    </row>
    <row r="23" spans="1:57" ph="1">
      <c r="A23" s="72" ph="1"/>
      <c r="B23" s="211" ph="1"/>
      <c r="C23" s="67" t="s" ph="1">
        <v>36</v>
      </c>
      <c r="D23" s="88" t="s" ph="1">
        <v>127</v>
      </c>
      <c r="E23" s="88" t="s" ph="1">
        <v>124</v>
      </c>
      <c r="F23" s="88" t="s" ph="1">
        <v>127</v>
      </c>
      <c r="G23" s="88" t="s" ph="1">
        <v>679</v>
      </c>
      <c r="H23" s="88" t="s" ph="1">
        <v>679</v>
      </c>
      <c r="I23" s="88" t="s" ph="1">
        <v>680</v>
      </c>
      <c r="J23" s="88" t="s" ph="1">
        <v>681</v>
      </c>
      <c r="K23" s="88" t="s" ph="1">
        <v>682</v>
      </c>
      <c r="L23" s="88" t="s" ph="1">
        <v>682</v>
      </c>
      <c r="M23" s="88" t="s" ph="1">
        <v>675</v>
      </c>
      <c r="N23" s="88" t="s" ph="1">
        <v>675</v>
      </c>
      <c r="O23" s="88" t="s" ph="1">
        <v>359</v>
      </c>
      <c r="P23" s="88" t="s" ph="1">
        <v>666</v>
      </c>
      <c r="Q23" s="89" t="s" ph="1">
        <v>666</v>
      </c>
      <c r="R23" s="88" t="s" ph="1">
        <v>659</v>
      </c>
      <c r="S23" s="88" t="s" ph="1">
        <v>683</v>
      </c>
      <c r="T23" s="88" t="s" ph="1">
        <v>647</v>
      </c>
      <c r="U23" s="88" t="s" ph="1">
        <v>653</v>
      </c>
      <c r="V23" s="88" t="s" ph="1">
        <v>684</v>
      </c>
      <c r="W23" s="88" t="s" ph="1">
        <v>684</v>
      </c>
      <c r="X23" s="88" t="s" ph="1">
        <v>228</v>
      </c>
      <c r="Y23" s="88" t="s" ph="1">
        <v>686</v>
      </c>
      <c r="Z23" s="198" t="s" ph="1">
        <v>690</v>
      </c>
      <c r="AA23" s="199"/>
      <c r="AB23" s="199"/>
      <c r="AC23" s="199"/>
      <c r="AD23" s="199"/>
      <c r="AE23" s="200"/>
      <c r="AH23" s="64" ph="1">
        <v>9</v>
      </c>
      <c r="AI23" s="64" t="s" ph="1">
        <v>387</v>
      </c>
      <c r="AZ23" s="64" t="s" ph="1">
        <v>257</v>
      </c>
      <c r="BA23" s="64" ph="1">
        <v>0</v>
      </c>
      <c r="BD23" s="64" t="s" ph="1">
        <v>279</v>
      </c>
      <c r="BE23" s="64" ph="1">
        <v>890</v>
      </c>
    </row>
    <row r="24" spans="1:57" ph="1">
      <c r="A24" s="72" ph="1"/>
      <c r="B24" s="207" ph="1">
        <v>0.33333333333333331</v>
      </c>
      <c r="C24" s="179" t="s" ph="1">
        <v>208</v>
      </c>
      <c r="D24" s="71">
        <v>98.51</v>
      </c>
      <c r="E24" s="71">
        <v>95.21</v>
      </c>
      <c r="F24" s="71">
        <v>4012</v>
      </c>
      <c r="G24" s="71">
        <v>2096</v>
      </c>
      <c r="H24" s="71">
        <v>3772</v>
      </c>
      <c r="I24" s="71">
        <v>4176</v>
      </c>
      <c r="J24" s="71">
        <v>3780</v>
      </c>
      <c r="K24" s="71">
        <v>5609</v>
      </c>
      <c r="L24" s="71">
        <v>5582</v>
      </c>
      <c r="M24" s="71">
        <v>4865</v>
      </c>
      <c r="N24" s="71">
        <v>3705</v>
      </c>
      <c r="O24" s="71">
        <v>2601</v>
      </c>
      <c r="P24" s="71">
        <v>434</v>
      </c>
      <c r="Q24" s="90">
        <v>1245</v>
      </c>
      <c r="R24" s="71">
        <v>6741</v>
      </c>
      <c r="S24" s="71">
        <v>2504</v>
      </c>
      <c r="T24" s="71">
        <v>5</v>
      </c>
      <c r="U24" s="71">
        <v>6240</v>
      </c>
      <c r="V24" s="71">
        <v>422</v>
      </c>
      <c r="W24" s="71">
        <v>11478</v>
      </c>
      <c r="X24" s="71">
        <v>9562</v>
      </c>
      <c r="Y24" s="71">
        <v>2519</v>
      </c>
      <c r="Z24" s="201"/>
      <c r="AA24" s="202"/>
      <c r="AB24" s="202"/>
      <c r="AC24" s="202"/>
      <c r="AD24" s="202"/>
      <c r="AE24" s="203"/>
      <c r="AH24" s="64" ph="1">
        <v>10</v>
      </c>
      <c r="AI24" s="64" t="s" ph="1">
        <v>388</v>
      </c>
      <c r="AZ24" s="64" t="s" ph="1">
        <v>257</v>
      </c>
      <c r="BA24" s="64" ph="1">
        <v>0</v>
      </c>
    </row>
    <row r="25" spans="1:57" ph="1">
      <c r="A25" s="72" ph="1"/>
      <c r="B25" s="207" ph="1"/>
      <c r="C25" s="68" t="s" ph="1">
        <v>209</v>
      </c>
      <c r="D25" s="91" ph="1">
        <f>D24*268.68*LOOKUP(D26,密度!$A$2:$A$50,密度!$Q$2:$Q$50)+IF(D24&lt;=0,0,1566*LOOKUP(D26,密度!$A$2:$A$50,密度!$Q$2:$Q$50))</f>
        <v>26540.593706232004</v>
      </c>
      <c r="E25" s="91" ph="1">
        <f>E24*268.68*LOOKUP(E26,密度!$A$2:$A$50,密度!$C$2:$C$50)+IF(E24&lt;=0,0,1566*LOOKUP(E26,密度!$A$2:$A$50,密度!$C$2:$C$50))</f>
        <v>30103.33358292</v>
      </c>
      <c r="F25" s="91" ph="1">
        <f>F24*11.702*LOOKUP(F26,密度!$A$2:$A$50,密度!$Q$2:$Q$50)</f>
        <v>44814.148644960005</v>
      </c>
      <c r="G25" s="91" ph="1">
        <f>G24*18.322*LOOKUP(G26,密度!$A$2:$A$50,密度!$B$2:$B$50)</f>
        <v>30261.494655999999</v>
      </c>
      <c r="H25" s="91" ph="1">
        <f>H24*18.322*LOOKUP(H26,密度!$A$2:$A$50,密度!$B$2:$B$50)</f>
        <v>54459.140192000006</v>
      </c>
      <c r="I25" s="91" ph="1">
        <f>I24*18.322*LOOKUP(I26,密度!$A$2:$A$50,密度!$Q$2:$Q$50)</f>
        <v>72962.484019199997</v>
      </c>
      <c r="J25" s="91" ph="1">
        <f>J24*18.322*LOOKUP(J26,密度!$A$2:$A$50,密度!$Q$2:$Q$50)</f>
        <v>66043.627776000008</v>
      </c>
      <c r="K25" s="91" ph="1">
        <f>K24*18.322*LOOKUP(K26,密度!$A$2:$A$50,密度!$Q$2:$Q$50)</f>
        <v>98096.260264919998</v>
      </c>
      <c r="L25" s="91" ph="1">
        <f>L24*18.322*LOOKUP(L26,密度!$A$2:$A$50,密度!$Q$2:$Q$50)</f>
        <v>97624.055054159995</v>
      </c>
      <c r="M25" s="91" ph="1">
        <f>M24*18.322*LOOKUP(M26,密度!$A$2:$A$50,密度!$Q$2:$Q$50)</f>
        <v>85000.595008000004</v>
      </c>
      <c r="N25" s="91" ph="1">
        <f>N24*18.322*LOOKUP(N26,密度!$A$2:$A$50,密度!$Q$2:$Q$50)</f>
        <v>64797.048365399998</v>
      </c>
      <c r="O25" s="91" ph="1">
        <f>O24*18.322*LOOKUP(O26,密度!$A$2:$A$50,密度!$C$2:$C$50)</f>
        <v>53174.031447599991</v>
      </c>
      <c r="P25" s="91" ph="1">
        <f>P24*11.702*LOOKUP(P26,密度!$A$2:$A$50,密度!$B$2:$B$50)</f>
        <v>4001.9903839999997</v>
      </c>
      <c r="Q25" s="92" ph="1">
        <f>Q24*18.322*LOOKUP(Q26,密度!$A$2:$A$50,密度!$B$2:$B$50)</f>
        <v>17974.981319999999</v>
      </c>
      <c r="R25" s="91" ph="1">
        <f>R24*35.891*LOOKUP(R26,密度!$A$2:$A$50,密度!$C$2:$C$50)</f>
        <v>269812.86081119999</v>
      </c>
      <c r="S25" s="91" ph="1">
        <f>S24*35.891*LOOKUP(S26,密度!$A$2:$A$50,密度!$B$2:$B$50)</f>
        <v>70746.501580800003</v>
      </c>
      <c r="T25" s="91" ph="1">
        <f>T24*35.891*LOOKUP(T26,密度!$A$2:$A$50,密度!$Q$2:$Q$50)</f>
        <v>171.29697569999999</v>
      </c>
      <c r="U25" s="91" ph="1">
        <f>U24*35.891</f>
        <v>223959.84</v>
      </c>
      <c r="V25" s="91" ph="1">
        <f>V24*47.051*LOOKUP(V26,密度!$A$2:$A$50,密度!$B$2:$B$50)</f>
        <v>15646.151336000001</v>
      </c>
      <c r="W25" s="91" ph="1">
        <f>W24*47.051*LOOKUP(W26,密度!$A$2:$A$50,密度!$B$2:$B$50)</f>
        <v>424696.4036592</v>
      </c>
      <c r="X25" s="91" ph="1">
        <f>X24*47.051*LOOKUP(X26,密度!$A$2:$A$50,密度!$I$2:$I$50)</f>
        <v>465936.15723367996</v>
      </c>
      <c r="Y25" s="91" ph="1">
        <f>Y24*47.051*LOOKUP(Y26,密度!$A$2:$A$50,密度!$L$2:$L$50)</f>
        <v>111054.61645300002</v>
      </c>
      <c r="Z25" s="201"/>
      <c r="AA25" s="202"/>
      <c r="AB25" s="202"/>
      <c r="AC25" s="202"/>
      <c r="AD25" s="202"/>
      <c r="AE25" s="203"/>
      <c r="AH25" s="64" ph="1">
        <v>11</v>
      </c>
      <c r="AI25" s="64" t="s" ph="1">
        <v>389</v>
      </c>
      <c r="AZ25" s="64" t="s" ph="1">
        <v>257</v>
      </c>
      <c r="BA25" s="64" ph="1">
        <v>0</v>
      </c>
      <c r="BD25" s="64" t="s" ph="1">
        <v>282</v>
      </c>
      <c r="BE25" s="64" ph="1">
        <v>8920</v>
      </c>
    </row>
    <row r="26" spans="1:57" ph="1">
      <c r="A26" s="72" ph="1"/>
      <c r="B26" s="207" ph="1"/>
      <c r="C26" s="68" t="s" ph="1">
        <v>210</v>
      </c>
      <c r="D26" s="74">
        <v>25</v>
      </c>
      <c r="E26" s="74">
        <v>25</v>
      </c>
      <c r="F26" s="74">
        <v>14</v>
      </c>
      <c r="G26" s="74">
        <v>15</v>
      </c>
      <c r="H26" s="74">
        <v>15</v>
      </c>
      <c r="I26" s="74">
        <v>16</v>
      </c>
      <c r="J26" s="74">
        <v>16</v>
      </c>
      <c r="K26" s="74">
        <v>15</v>
      </c>
      <c r="L26" s="74">
        <v>15</v>
      </c>
      <c r="M26" s="74">
        <v>16</v>
      </c>
      <c r="N26" s="74">
        <v>15</v>
      </c>
      <c r="O26" s="74">
        <v>15</v>
      </c>
      <c r="P26" s="74">
        <v>15</v>
      </c>
      <c r="Q26" s="93">
        <v>15</v>
      </c>
      <c r="R26" s="74">
        <v>16</v>
      </c>
      <c r="S26" s="74">
        <v>16</v>
      </c>
      <c r="T26" s="74">
        <v>15</v>
      </c>
      <c r="U26" s="74">
        <v>15</v>
      </c>
      <c r="V26" s="74">
        <v>15</v>
      </c>
      <c r="W26" s="74">
        <v>17</v>
      </c>
      <c r="X26" s="74">
        <v>54</v>
      </c>
      <c r="Y26" s="74">
        <v>25</v>
      </c>
      <c r="Z26" s="201"/>
      <c r="AA26" s="202"/>
      <c r="AB26" s="202"/>
      <c r="AC26" s="202"/>
      <c r="AD26" s="202"/>
      <c r="AE26" s="203"/>
      <c r="AH26" s="64" ph="1">
        <v>12</v>
      </c>
      <c r="AI26" s="64" t="s" ph="1">
        <v>390</v>
      </c>
      <c r="AZ26" s="64" t="s" ph="1">
        <v>257</v>
      </c>
      <c r="BA26" s="64" ph="1">
        <v>0</v>
      </c>
    </row>
    <row r="27" spans="1:57" ph="1">
      <c r="A27" s="72" ph="1"/>
      <c r="B27" s="207" ph="1">
        <v>0.66666666666666663</v>
      </c>
      <c r="C27" s="179" t="s" ph="1">
        <v>211</v>
      </c>
      <c r="D27" s="71">
        <v>98.51</v>
      </c>
      <c r="E27" s="71">
        <v>95.21</v>
      </c>
      <c r="F27" s="71">
        <v>4013</v>
      </c>
      <c r="G27" s="71">
        <v>1660</v>
      </c>
      <c r="H27" s="71">
        <v>3653</v>
      </c>
      <c r="I27" s="71">
        <v>4175</v>
      </c>
      <c r="J27" s="71">
        <v>3779</v>
      </c>
      <c r="K27" s="71">
        <v>5608</v>
      </c>
      <c r="L27" s="71">
        <v>5580</v>
      </c>
      <c r="M27" s="71">
        <v>4864</v>
      </c>
      <c r="N27" s="71">
        <v>3703</v>
      </c>
      <c r="O27" s="71">
        <v>2060</v>
      </c>
      <c r="P27" s="71">
        <v>432</v>
      </c>
      <c r="Q27" s="90">
        <v>1681</v>
      </c>
      <c r="R27" s="71">
        <v>6739</v>
      </c>
      <c r="S27" s="71">
        <v>2502</v>
      </c>
      <c r="T27" s="71">
        <v>2</v>
      </c>
      <c r="U27" s="71">
        <v>5094</v>
      </c>
      <c r="V27" s="71">
        <v>419</v>
      </c>
      <c r="W27" s="71">
        <v>11477</v>
      </c>
      <c r="X27" s="71">
        <v>9568</v>
      </c>
      <c r="Y27" s="71">
        <v>3306</v>
      </c>
      <c r="Z27" s="201"/>
      <c r="AA27" s="202"/>
      <c r="AB27" s="202"/>
      <c r="AC27" s="202"/>
      <c r="AD27" s="202"/>
      <c r="AE27" s="203"/>
      <c r="AH27" s="64" ph="1">
        <v>13</v>
      </c>
      <c r="AI27" s="64" t="s" ph="1">
        <v>391</v>
      </c>
      <c r="AZ27" s="64" t="s" ph="1">
        <v>257</v>
      </c>
      <c r="BA27" s="64" ph="1">
        <v>0</v>
      </c>
      <c r="BD27" s="64" t="s" ph="1">
        <v>336</v>
      </c>
      <c r="BE27" s="64" ph="1">
        <v>7100</v>
      </c>
    </row>
    <row r="28" spans="1:57" ph="1">
      <c r="A28" s="72" ph="1"/>
      <c r="B28" s="207" ph="1"/>
      <c r="C28" s="179" t="s" ph="1">
        <v>209</v>
      </c>
      <c r="D28" s="91" ph="1">
        <f>D27*268.68*LOOKUP(D29,密度!$A$2:$A$50,密度!$Q$2:$Q$50)+IF(D27&lt;=0,0,1566*LOOKUP(D29,密度!$A$2:$A$50,密度!$Q$2:$Q$50))</f>
        <v>26540.593706232004</v>
      </c>
      <c r="E28" s="91" ph="1">
        <f>E27*268.68*LOOKUP(E29,密度!$A$2:$A$50,密度!$C$2:$C$50)+IF(E27&lt;=0,0,1566*LOOKUP(E29,密度!$A$2:$A$50,密度!$C$2:$C$50))</f>
        <v>30103.33358292</v>
      </c>
      <c r="F28" s="91" ph="1">
        <f>F27*11.702*LOOKUP(F29,密度!$A$2:$A$50,密度!$Q$2:$Q$50)</f>
        <v>44781.176153599998</v>
      </c>
      <c r="G28" s="91" ph="1">
        <f>G27*18.322*LOOKUP(G29,密度!$A$2:$A$50,密度!$B$2:$B$50)</f>
        <v>23942.310143999999</v>
      </c>
      <c r="H28" s="91" ph="1">
        <f>H27*18.322*LOOKUP(H29,密度!$A$2:$A$50,密度!$B$2:$B$50)</f>
        <v>52687.505395200002</v>
      </c>
      <c r="I28" s="91" ph="1">
        <f>I27*18.322*LOOKUP(I29,密度!$A$2:$A$50,密度!$Q$2:$Q$50)</f>
        <v>73016.916849000001</v>
      </c>
      <c r="J28" s="91" ph="1">
        <f>J27*18.322*LOOKUP(J29,密度!$A$2:$A$50,密度!$Q$2:$Q$50)</f>
        <v>66091.240424520001</v>
      </c>
      <c r="K28" s="91" ph="1">
        <f>K27*18.322*LOOKUP(K29,密度!$A$2:$A$50,密度!$Q$2:$Q$50)</f>
        <v>98078.771183040008</v>
      </c>
      <c r="L28" s="91" ph="1">
        <f>L27*18.322*LOOKUP(L29,密度!$A$2:$A$50,密度!$Q$2:$Q$50)</f>
        <v>97589.0768904</v>
      </c>
      <c r="M28" s="91" ph="1">
        <f>M27*18.322*LOOKUP(M29,密度!$A$2:$A$50,密度!$Q$2:$Q$50)</f>
        <v>85066.894264319999</v>
      </c>
      <c r="N28" s="91" ph="1">
        <f>N27*18.322*LOOKUP(N29,密度!$A$2:$A$50,密度!$Q$2:$Q$50)</f>
        <v>64762.070201639996</v>
      </c>
      <c r="O28" s="91" ph="1">
        <f>O27*18.322*LOOKUP(O29,密度!$A$2:$A$50,密度!$C$2:$C$50)</f>
        <v>42113.996455999993</v>
      </c>
      <c r="P28" s="91" ph="1">
        <f>P27*11.702*LOOKUP(P29,密度!$A$2:$A$50,密度!$B$2:$B$50)</f>
        <v>3979.5038208000001</v>
      </c>
      <c r="Q28" s="92" ph="1">
        <f>Q27*18.322*LOOKUP(Q29,密度!$A$2:$A$50,密度!$B$2:$B$50)</f>
        <v>24269.834215999999</v>
      </c>
      <c r="R28" s="91" ph="1">
        <f>R27*35.891*LOOKUP(R29,密度!$A$2:$A$50,密度!$C$2:$C$50)</f>
        <v>269877.93119419995</v>
      </c>
      <c r="S28" s="91" ph="1">
        <f>S27*35.891*LOOKUP(S29,密度!$A$2:$A$50,密度!$B$2:$B$50)</f>
        <v>70761.834216000003</v>
      </c>
      <c r="T28" s="91" ph="1">
        <f>T27*35.891*LOOKUP(T29,密度!$A$2:$A$50,密度!$Q$2:$Q$50)</f>
        <v>68.518790280000005</v>
      </c>
      <c r="U28" s="91" ph="1">
        <f>U27*35.891</f>
        <v>182828.75399999999</v>
      </c>
      <c r="V28" s="91" ph="1">
        <f>V27*47.051*LOOKUP(V29,密度!$A$2:$A$50,密度!$B$2:$B$50)</f>
        <v>15534.922772000002</v>
      </c>
      <c r="W28" s="91" ph="1">
        <f>W27*47.051*LOOKUP(W29,密度!$A$2:$A$50,密度!$B$2:$B$50)</f>
        <v>425091.40621440002</v>
      </c>
      <c r="X28" s="91" ph="1">
        <f>X27*47.051*LOOKUP(X29,密度!$A$2:$A$50,密度!$I$2:$I$50)</f>
        <v>466228.52461951994</v>
      </c>
      <c r="Y28" s="91" ph="1">
        <f>Y27*47.051*LOOKUP(Y29,密度!$A$2:$A$50,密度!$L$2:$L$50)</f>
        <v>146995.32266999999</v>
      </c>
      <c r="Z28" s="201"/>
      <c r="AA28" s="202"/>
      <c r="AB28" s="202"/>
      <c r="AC28" s="202"/>
      <c r="AD28" s="202"/>
      <c r="AE28" s="203"/>
      <c r="AH28" s="64" ph="1">
        <v>14</v>
      </c>
      <c r="AI28" s="64" t="s" ph="1">
        <v>392</v>
      </c>
      <c r="AZ28" s="64" t="s" ph="1">
        <v>257</v>
      </c>
      <c r="BA28" s="64" ph="1">
        <v>0</v>
      </c>
    </row>
    <row r="29" spans="1:57" ph="1">
      <c r="A29" s="72" ph="1"/>
      <c r="B29" s="207" ph="1"/>
      <c r="C29" s="179" t="s" ph="1">
        <v>210</v>
      </c>
      <c r="D29" s="74">
        <v>25</v>
      </c>
      <c r="E29" s="74">
        <v>25</v>
      </c>
      <c r="F29" s="74">
        <v>16</v>
      </c>
      <c r="G29" s="74">
        <v>16</v>
      </c>
      <c r="H29" s="74">
        <v>16</v>
      </c>
      <c r="I29" s="74">
        <v>15</v>
      </c>
      <c r="J29" s="74">
        <v>15</v>
      </c>
      <c r="K29" s="74">
        <v>15</v>
      </c>
      <c r="L29" s="74">
        <v>15</v>
      </c>
      <c r="M29" s="74">
        <v>15</v>
      </c>
      <c r="N29" s="74">
        <v>15</v>
      </c>
      <c r="O29" s="74">
        <v>15</v>
      </c>
      <c r="P29" s="74">
        <v>16</v>
      </c>
      <c r="Q29" s="93">
        <v>15</v>
      </c>
      <c r="R29" s="74">
        <v>15</v>
      </c>
      <c r="S29" s="74">
        <v>15</v>
      </c>
      <c r="T29" s="74">
        <v>15</v>
      </c>
      <c r="U29" s="74">
        <v>15</v>
      </c>
      <c r="V29" s="74">
        <v>15</v>
      </c>
      <c r="W29" s="74">
        <v>16</v>
      </c>
      <c r="X29" s="74">
        <v>54</v>
      </c>
      <c r="Y29" s="74">
        <v>17</v>
      </c>
      <c r="Z29" s="204"/>
      <c r="AA29" s="205"/>
      <c r="AB29" s="205"/>
      <c r="AC29" s="205"/>
      <c r="AD29" s="205"/>
      <c r="AE29" s="206"/>
      <c r="AH29" s="64" ph="1">
        <v>15</v>
      </c>
      <c r="AI29" s="64" t="s" ph="1">
        <v>393</v>
      </c>
      <c r="AZ29" s="64" t="s" ph="1">
        <v>257</v>
      </c>
      <c r="BA29" s="64" ph="1">
        <v>0</v>
      </c>
      <c r="BD29" s="64" t="s" ph="1">
        <v>394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395</v>
      </c>
      <c r="AZ30" s="64" t="s" ph="1">
        <v>257</v>
      </c>
      <c r="BA30" s="64" ph="1">
        <v>0</v>
      </c>
    </row>
    <row r="31" spans="1:57" ht="28.5" ph="1">
      <c r="A31" s="64"/>
      <c r="B31" s="220" t="s" ph="1">
        <v>35</v>
      </c>
      <c r="C31" s="221" ph="1"/>
      <c r="D31" s="224" t="s" ph="1">
        <v>9</v>
      </c>
      <c r="E31" s="213" ph="1"/>
      <c r="F31" s="214" ph="1"/>
      <c r="G31" s="224" t="s" ph="1">
        <v>18</v>
      </c>
      <c r="H31" s="213" ph="1"/>
      <c r="I31" s="214" ph="1"/>
      <c r="J31" s="212" t="s" ph="1">
        <v>1</v>
      </c>
      <c r="K31" s="213" ph="1"/>
      <c r="L31" s="214" ph="1"/>
      <c r="M31" s="212" t="s" ph="1">
        <v>7</v>
      </c>
      <c r="N31" s="213" ph="1"/>
      <c r="O31" s="214" ph="1"/>
      <c r="P31" s="212" t="s" ph="1">
        <v>42</v>
      </c>
      <c r="Q31" s="213"/>
      <c r="R31" s="214"/>
      <c r="S31" s="212" t="s" ph="1">
        <v>2</v>
      </c>
      <c r="T31" s="213"/>
      <c r="U31" s="214"/>
      <c r="V31" s="212" t="s" ph="1">
        <v>81</v>
      </c>
      <c r="W31" s="213" ph="1"/>
      <c r="X31" s="214" ph="1"/>
      <c r="Y31" s="212" t="s" ph="1">
        <v>3</v>
      </c>
      <c r="Z31" s="213" ph="1"/>
      <c r="AA31" s="214" ph="1"/>
      <c r="AB31" s="235" t="s">
        <v>43</v>
      </c>
      <c r="AC31" s="236"/>
      <c r="AD31" s="236"/>
      <c r="AE31" s="237"/>
      <c r="AH31" s="64" ph="1">
        <v>17</v>
      </c>
      <c r="AI31" s="64" t="s" ph="1">
        <v>396</v>
      </c>
      <c r="AZ31" s="64" t="s" ph="1">
        <v>257</v>
      </c>
      <c r="BA31" s="64" ph="1">
        <v>0</v>
      </c>
      <c r="BD31" s="64" t="s" ph="1">
        <v>397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79" t="s" ph="1">
        <v>5</v>
      </c>
      <c r="F32" s="178" t="s" ph="1">
        <v>44</v>
      </c>
      <c r="G32" s="97" t="s" ph="1">
        <v>4</v>
      </c>
      <c r="H32" s="179" t="s" ph="1">
        <v>5</v>
      </c>
      <c r="I32" s="178" t="s" ph="1">
        <v>44</v>
      </c>
      <c r="J32" s="97" t="s" ph="1">
        <v>4</v>
      </c>
      <c r="K32" s="179" t="s" ph="1">
        <v>5</v>
      </c>
      <c r="L32" s="178" t="s" ph="1">
        <v>44</v>
      </c>
      <c r="M32" s="97" t="s" ph="1">
        <v>4</v>
      </c>
      <c r="N32" s="179" t="s" ph="1">
        <v>5</v>
      </c>
      <c r="O32" s="178" t="s" ph="1">
        <v>44</v>
      </c>
      <c r="P32" s="97" t="s" ph="1">
        <v>4</v>
      </c>
      <c r="Q32" s="98" t="s" ph="1">
        <v>5</v>
      </c>
      <c r="R32" s="99" t="s" ph="1">
        <v>44</v>
      </c>
      <c r="S32" s="97" t="s" ph="1">
        <v>4</v>
      </c>
      <c r="T32" s="179" t="s" ph="1">
        <v>5</v>
      </c>
      <c r="U32" s="99" t="s" ph="1">
        <v>44</v>
      </c>
      <c r="V32" s="97" t="s" ph="1">
        <v>4</v>
      </c>
      <c r="W32" s="179" t="s" ph="1">
        <v>5</v>
      </c>
      <c r="X32" s="99" t="s" ph="1">
        <v>44</v>
      </c>
      <c r="Y32" s="100" t="s" ph="1">
        <v>4</v>
      </c>
      <c r="Z32" s="179" t="s" ph="1">
        <v>5</v>
      </c>
      <c r="AA32" s="178" t="s" ph="1">
        <v>44</v>
      </c>
      <c r="AB32" s="97" t="s" ph="1">
        <v>102</v>
      </c>
      <c r="AC32" s="179" t="s" ph="1">
        <v>101</v>
      </c>
      <c r="AD32" s="238" t="s" ph="1">
        <v>100</v>
      </c>
      <c r="AE32" s="239"/>
      <c r="AH32" s="64" ph="1">
        <v>18</v>
      </c>
      <c r="AI32" s="64" t="s" ph="1">
        <v>398</v>
      </c>
      <c r="AZ32" s="64" t="s" ph="1">
        <v>257</v>
      </c>
      <c r="BA32" s="64" ph="1">
        <v>0</v>
      </c>
    </row>
    <row r="33" spans="1:57" ph="1">
      <c r="A33" s="64"/>
      <c r="B33" s="225" t="s" ph="1">
        <v>212</v>
      </c>
      <c r="C33" s="226" ph="1"/>
      <c r="D33" s="229" ph="1">
        <f>AA10+AB10+Z19</f>
        <v>108177.59024470001</v>
      </c>
      <c r="E33" s="229" ph="1">
        <f>M10+I10</f>
        <v>144140.31820040001</v>
      </c>
      <c r="F33" s="23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1522252632456786910111213141516171819202123456789101112131415161718192022232424356789101112131415161718192021222345678910111213141516171819202345678910111213149101516171819222123234567891012131415161711181920212224252345678910111213126[[#This Row],[F25]]</f>
        <v>3880</v>
      </c>
      <c r="G33" s="233" ph="1">
        <v>0</v>
      </c>
      <c r="H33" s="229" ph="1">
        <f>N19</f>
        <v>679.01148230000001</v>
      </c>
      <c r="I33" s="242" ph="1">
        <v>0</v>
      </c>
      <c r="J33" s="240" ph="1">
        <f>F10+O28</f>
        <v>264370.1201456</v>
      </c>
      <c r="K33" s="229" ph="1">
        <f>O10+K10+E28+R28</f>
        <v>446747.56025591993</v>
      </c>
      <c r="L33" s="244" ph="1">
        <f>BE27</f>
        <v>7100</v>
      </c>
      <c r="M33" s="240" ph="1">
        <f>G10+H10+W28+S28</f>
        <v>1030535.6367234001</v>
      </c>
      <c r="N33" s="229" ph="1">
        <f>L10+P10++G28+H28+V28</f>
        <v>222007.8041872</v>
      </c>
      <c r="O33" s="242" ph="1">
        <f>BE17</f>
        <v>2270</v>
      </c>
      <c r="P33" s="240" ph="1">
        <f>L19</f>
        <v>28083.278052500002</v>
      </c>
      <c r="Q33" s="229" ph="1">
        <f>J10+N10</f>
        <v>125851.9996784</v>
      </c>
      <c r="R33" s="242" ph="1">
        <f>BE23</f>
        <v>890</v>
      </c>
      <c r="S33" s="240" ph="1">
        <f>E10+X28</f>
        <v>466228.52461951994</v>
      </c>
      <c r="T33" s="229" ph="1">
        <f>X19</f>
        <v>10398.976215515999</v>
      </c>
      <c r="U33" s="250" ph="1">
        <f>BE21</f>
        <v>730</v>
      </c>
      <c r="V33" s="261" ph="1">
        <f ca="1">P19+Q19+S19+M28+N28+J28</f>
        <v>279659.40398536</v>
      </c>
      <c r="W33" s="261" ph="1">
        <f>D28+F28+V19+T28</f>
        <v>71390.288650111994</v>
      </c>
      <c r="X33" s="242" ph="1">
        <f>BE29+BE31</f>
        <v>10200</v>
      </c>
      <c r="Y33" s="263" ph="1">
        <f>+Q10+R10+S10+T10+U10+V10+W10+X10+Y10</f>
        <v>80227.585052999988</v>
      </c>
      <c r="Z33" s="248" ph="1">
        <f>D10+T19+U19+Y28+Z10</f>
        <v>363251.59065706003</v>
      </c>
      <c r="AA33" s="250" ph="1">
        <f>BE19</f>
        <v>1440</v>
      </c>
      <c r="AB33" s="252" ph="1">
        <f>I19</f>
        <v>28219.283620000002</v>
      </c>
      <c r="AC33" s="254" ph="1">
        <f>AD10</f>
        <v>18469.216278399999</v>
      </c>
      <c r="AD33" s="256" ph="1">
        <v>0</v>
      </c>
      <c r="AE33" s="257"/>
      <c r="AH33" s="64" ph="1">
        <v>19</v>
      </c>
      <c r="AI33" s="64" t="s" ph="1">
        <v>399</v>
      </c>
      <c r="AJ33" s="64" t="s" ph="1">
        <v>633</v>
      </c>
      <c r="AK33" s="64" t="s" ph="1">
        <v>630</v>
      </c>
      <c r="AL33" s="64" ph="1">
        <v>730</v>
      </c>
      <c r="AM33" s="64" t="s" ph="1">
        <v>380</v>
      </c>
      <c r="AZ33" s="64" t="s" ph="1">
        <v>257</v>
      </c>
      <c r="BA33" s="64" ph="1">
        <v>730</v>
      </c>
      <c r="BD33" s="64" t="s" ph="1">
        <v>331</v>
      </c>
      <c r="BE33" s="64" ph="1">
        <v>3880</v>
      </c>
    </row>
    <row r="34" spans="1:57" ph="1">
      <c r="A34" s="64"/>
      <c r="B34" s="227" ph="1"/>
      <c r="C34" s="228" ph="1"/>
      <c r="D34" s="230" ph="1"/>
      <c r="E34" s="230" ph="1"/>
      <c r="F34" s="232" ph="1"/>
      <c r="G34" s="234" ph="1"/>
      <c r="H34" s="230" ph="1"/>
      <c r="I34" s="243" ph="1"/>
      <c r="J34" s="241" ph="1"/>
      <c r="K34" s="230" ph="1"/>
      <c r="L34" s="245" ph="1"/>
      <c r="M34" s="241" ph="1"/>
      <c r="N34" s="230" ph="1"/>
      <c r="O34" s="243" ph="1"/>
      <c r="P34" s="241" ph="1"/>
      <c r="Q34" s="230" ph="1"/>
      <c r="R34" s="243" ph="1"/>
      <c r="S34" s="241" ph="1"/>
      <c r="T34" s="230"/>
      <c r="U34" s="251"/>
      <c r="V34" s="262" ph="1"/>
      <c r="W34" s="262" ph="1"/>
      <c r="X34" s="243" ph="1"/>
      <c r="Y34" s="264" ph="1"/>
      <c r="Z34" s="249" ph="1"/>
      <c r="AA34" s="251" ph="1"/>
      <c r="AB34" s="253"/>
      <c r="AC34" s="255"/>
      <c r="AD34" s="258"/>
      <c r="AE34" s="259"/>
      <c r="AH34" s="64" ph="1">
        <v>20</v>
      </c>
      <c r="AI34" s="64" t="s" ph="1">
        <v>400</v>
      </c>
      <c r="AJ34" s="64" t="s" ph="1">
        <v>634</v>
      </c>
      <c r="AK34" s="64" t="s" ph="1">
        <v>630</v>
      </c>
      <c r="AL34" s="64" ph="1">
        <v>720</v>
      </c>
      <c r="AM34" s="64" t="s" ph="1">
        <v>380</v>
      </c>
      <c r="AZ34" s="64" t="s" ph="1">
        <v>257</v>
      </c>
      <c r="BA34" s="64" ph="1">
        <v>720</v>
      </c>
    </row>
    <row r="35" spans="1:57" ph="1">
      <c r="A35" s="64"/>
      <c r="AC35" s="260" t="s" ph="1">
        <v>84</v>
      </c>
      <c r="AD35" s="260"/>
      <c r="AE35" s="260"/>
      <c r="AH35" s="64" ph="1">
        <v>21</v>
      </c>
      <c r="AI35" s="64" t="s" ph="1">
        <v>401</v>
      </c>
      <c r="AZ35" s="64" t="s" ph="1">
        <v>257</v>
      </c>
      <c r="BA35" s="64" ph="1">
        <v>0</v>
      </c>
      <c r="BD35" s="64" t="s" ph="1">
        <v>402</v>
      </c>
      <c r="BE35" s="64" ph="1">
        <v>2030</v>
      </c>
    </row>
    <row r="36" spans="1:57" ht="28.5" ph="1">
      <c r="A36" s="64"/>
      <c r="B36" s="103" t="s" ph="1">
        <v>213</v>
      </c>
      <c r="I36" s="246" t="s" ph="1">
        <v>214</v>
      </c>
      <c r="J36" s="246" ph="1"/>
      <c r="K36" s="101" ph="1"/>
      <c r="P36" s="101" ph="1"/>
      <c r="R36" s="246" t="s" ph="1">
        <v>215</v>
      </c>
      <c r="S36" s="246" ph="1"/>
      <c r="Y36" s="102" ph="1"/>
      <c r="Z36" s="177" t="s" ph="1">
        <v>216</v>
      </c>
      <c r="AA36" s="177" ph="1"/>
      <c r="AB36" s="247" t="s" ph="1">
        <v>655</v>
      </c>
      <c r="AC36" s="247" ph="1"/>
      <c r="AD36" s="247" ph="1"/>
      <c r="AE36" s="247" ph="1"/>
      <c r="BA36" s="64" ph="1">
        <v>2270</v>
      </c>
    </row>
    <row r="37" spans="1:57" s="17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77" t="s" ph="1">
        <v>383</v>
      </c>
      <c r="AI37" s="177" t="s" ph="1">
        <v>250</v>
      </c>
      <c r="AJ37" s="177" t="s" ph="1">
        <v>251</v>
      </c>
      <c r="AK37" s="177" t="s" ph="1">
        <v>252</v>
      </c>
      <c r="AM37" s="177" t="s" ph="1">
        <v>251</v>
      </c>
      <c r="AN37" s="177" t="s" ph="1">
        <v>252</v>
      </c>
      <c r="AO37" s="177" t="s" ph="1">
        <v>253</v>
      </c>
      <c r="AP37" s="177" t="s" ph="1">
        <v>251</v>
      </c>
      <c r="AQ37" s="177" t="s" ph="1">
        <v>252</v>
      </c>
      <c r="AR37" s="177" t="s" ph="1">
        <v>253</v>
      </c>
      <c r="AS37" s="177" t="s" ph="1">
        <v>251</v>
      </c>
      <c r="AT37" s="177" t="s" ph="1">
        <v>252</v>
      </c>
      <c r="AU37" s="177" t="s" ph="1">
        <v>253</v>
      </c>
      <c r="AV37" s="177" t="s" ph="1">
        <v>251</v>
      </c>
      <c r="AW37" s="177" t="s" ph="1">
        <v>252</v>
      </c>
      <c r="AX37" s="177" t="s" ph="1">
        <v>253</v>
      </c>
      <c r="AY37" s="177" t="s" ph="1">
        <v>252</v>
      </c>
      <c r="AZ37" s="177" t="s" ph="1">
        <v>254</v>
      </c>
      <c r="BD37" s="177" t="s" ph="1">
        <v>346</v>
      </c>
      <c r="BE37" s="177" ph="1">
        <v>0</v>
      </c>
    </row>
    <row r="38" spans="1:57" ph="1">
      <c r="AE38" s="64" ph="1"/>
      <c r="AH38" s="64" ph="1">
        <v>1</v>
      </c>
      <c r="AI38" s="64" t="s" ph="1">
        <v>403</v>
      </c>
      <c r="AY38" s="64" t="s" ph="1">
        <v>257</v>
      </c>
      <c r="AZ38" s="64" t="s" ph="1">
        <v>408</v>
      </c>
    </row>
    <row r="39" spans="1:57" ph="1">
      <c r="AH39" s="64" ph="1">
        <v>2</v>
      </c>
      <c r="AI39" s="64" t="s" ph="1">
        <v>405</v>
      </c>
      <c r="AJ39" s="64" t="s" ph="1">
        <v>377</v>
      </c>
      <c r="AK39" s="64" t="s" ph="1">
        <v>406</v>
      </c>
      <c r="AM39" s="64" t="s" ph="1">
        <v>611</v>
      </c>
      <c r="AN39" s="64" t="s" ph="1">
        <v>269</v>
      </c>
      <c r="AO39" s="64" t="s" ph="1">
        <v>404</v>
      </c>
      <c r="AY39" s="64" t="s" ph="1">
        <v>257</v>
      </c>
      <c r="AZ39" s="64" t="s" ph="1">
        <v>540</v>
      </c>
    </row>
    <row r="40" spans="1:57" ph="1">
      <c r="AH40" s="64" ph="1">
        <v>3</v>
      </c>
      <c r="AI40" s="64" t="s" ph="1">
        <v>407</v>
      </c>
      <c r="AJ40" s="64" t="s" ph="1">
        <v>611</v>
      </c>
      <c r="AK40" s="64" t="s" ph="1">
        <v>612</v>
      </c>
      <c r="AY40" s="64" t="s" ph="1">
        <v>257</v>
      </c>
      <c r="AZ40" s="64" t="s" ph="1">
        <v>612</v>
      </c>
    </row>
    <row r="41" spans="1:57" ph="1">
      <c r="AH41" s="64" ph="1">
        <v>4</v>
      </c>
      <c r="AI41" s="64" t="s" ph="1">
        <v>409</v>
      </c>
      <c r="AJ41" s="64" t="s" ph="1">
        <v>613</v>
      </c>
      <c r="AK41" s="64" t="s" ph="1">
        <v>614</v>
      </c>
      <c r="AM41" s="64" t="s" ph="1">
        <v>615</v>
      </c>
      <c r="AY41" s="64" t="s" ph="1">
        <v>257</v>
      </c>
      <c r="AZ41" s="64" t="s" ph="1">
        <v>614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410</v>
      </c>
      <c r="AY42" s="64" t="s" ph="1">
        <v>257</v>
      </c>
      <c r="AZ42" s="64" t="s" ph="1">
        <v>408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411</v>
      </c>
      <c r="AY43" s="64" t="s" ph="1">
        <v>257</v>
      </c>
      <c r="AZ43" s="64" t="s" ph="1">
        <v>408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412</v>
      </c>
      <c r="AV44" s="64" t="s" ph="1">
        <v>258</v>
      </c>
      <c r="AY44" s="64" t="s" ph="1">
        <v>257</v>
      </c>
      <c r="AZ44" s="64" t="s" ph="1">
        <v>408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413</v>
      </c>
      <c r="AV45" s="64" t="s" ph="1">
        <v>258</v>
      </c>
      <c r="AY45" s="64" t="s" ph="1">
        <v>257</v>
      </c>
      <c r="AZ45" s="64" t="s" ph="1">
        <v>408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414</v>
      </c>
      <c r="AV46" s="64" t="s" ph="1">
        <v>258</v>
      </c>
      <c r="AY46" s="64" t="s" ph="1">
        <v>257</v>
      </c>
      <c r="AZ46" s="64" t="s" ph="1">
        <v>408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415</v>
      </c>
      <c r="AV47" s="64" t="s" ph="1">
        <v>258</v>
      </c>
      <c r="AY47" s="64" t="s" ph="1">
        <v>257</v>
      </c>
      <c r="AZ47" s="64" t="s" ph="1">
        <v>408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616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273</v>
      </c>
      <c r="AI49" s="64" t="s" ph="1">
        <v>250</v>
      </c>
      <c r="AJ49" s="64" t="s" ph="1">
        <v>251</v>
      </c>
      <c r="AK49" s="64" t="s" ph="1">
        <v>252</v>
      </c>
      <c r="AM49" s="64" t="s" ph="1">
        <v>251</v>
      </c>
      <c r="AN49" s="64" t="s" ph="1">
        <v>252</v>
      </c>
      <c r="AO49" s="64" t="s" ph="1">
        <v>253</v>
      </c>
      <c r="AP49" s="64" t="s" ph="1">
        <v>251</v>
      </c>
      <c r="AQ49" s="64" t="s" ph="1">
        <v>252</v>
      </c>
      <c r="AR49" s="64" t="s" ph="1">
        <v>253</v>
      </c>
      <c r="AS49" s="64" t="s" ph="1">
        <v>251</v>
      </c>
      <c r="AT49" s="64" t="s" ph="1">
        <v>252</v>
      </c>
      <c r="AU49" s="64" t="s" ph="1">
        <v>253</v>
      </c>
      <c r="AV49" s="64" t="s" ph="1">
        <v>251</v>
      </c>
      <c r="AW49" s="64" t="s" ph="1">
        <v>252</v>
      </c>
      <c r="AX49" s="64" t="s" ph="1">
        <v>253</v>
      </c>
      <c r="AY49" s="64" t="s" ph="1">
        <v>252</v>
      </c>
      <c r="AZ49" s="64" t="s" ph="1">
        <v>254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416</v>
      </c>
      <c r="AY50" s="64" t="s" ph="1">
        <v>257</v>
      </c>
      <c r="AZ50" s="64" t="s" ph="1">
        <v>408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417</v>
      </c>
      <c r="AY51" s="64" t="s" ph="1">
        <v>257</v>
      </c>
      <c r="AZ51" s="64" t="s" ph="1">
        <v>408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418</v>
      </c>
      <c r="AJ52" s="64" t="s" ph="1">
        <v>375</v>
      </c>
      <c r="AK52" s="64" t="s" ph="1">
        <v>269</v>
      </c>
      <c r="AM52" s="64" t="s" ph="1">
        <v>377</v>
      </c>
      <c r="AN52" s="64" t="s" ph="1">
        <v>341</v>
      </c>
      <c r="AO52" s="64" t="s" ph="1">
        <v>274</v>
      </c>
      <c r="AP52" s="64" t="s" ph="1">
        <v>611</v>
      </c>
      <c r="AQ52" s="64" t="s" ph="1">
        <v>323</v>
      </c>
      <c r="AR52" s="64" t="s" ph="1">
        <v>274</v>
      </c>
      <c r="AY52" s="64" t="s" ph="1">
        <v>257</v>
      </c>
      <c r="AZ52" s="64" t="s" ph="1">
        <v>617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419</v>
      </c>
      <c r="AY53" s="64" t="s" ph="1">
        <v>257</v>
      </c>
      <c r="AZ53" s="64" t="s" ph="1">
        <v>408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420</v>
      </c>
      <c r="AJ54" s="64" t="s" ph="1">
        <v>375</v>
      </c>
      <c r="AK54" s="64" t="s" ph="1">
        <v>260</v>
      </c>
      <c r="AM54" s="64" t="s" ph="1">
        <v>377</v>
      </c>
      <c r="AN54" s="64" t="s" ph="1">
        <v>265</v>
      </c>
      <c r="AO54" s="64" t="s" ph="1">
        <v>274</v>
      </c>
      <c r="AP54" s="64" t="s" ph="1">
        <v>611</v>
      </c>
      <c r="AQ54" s="64" t="s" ph="1">
        <v>281</v>
      </c>
      <c r="AR54" s="64" t="s" ph="1">
        <v>274</v>
      </c>
      <c r="AY54" s="64" t="s" ph="1">
        <v>257</v>
      </c>
      <c r="AZ54" s="64" t="s" ph="1">
        <v>275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421</v>
      </c>
      <c r="AY55" s="64" t="s" ph="1">
        <v>257</v>
      </c>
      <c r="AZ55" s="64" t="s" ph="1">
        <v>408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422</v>
      </c>
      <c r="AY56" s="64" t="s" ph="1">
        <v>257</v>
      </c>
      <c r="AZ56" s="64" t="s" ph="1">
        <v>408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423</v>
      </c>
      <c r="AY57" s="64" t="s" ph="1">
        <v>257</v>
      </c>
      <c r="AZ57" s="64" t="s" ph="1">
        <v>408</v>
      </c>
    </row>
    <row r="58" spans="16:52" ph="1">
      <c r="P58" s="64"/>
      <c r="AN58" s="64" t="s" ph="1">
        <v>258</v>
      </c>
      <c r="AZ58" s="64" t="s" ph="1">
        <v>618</v>
      </c>
    </row>
    <row r="59" spans="16:52" ph="1">
      <c r="V59" s="64"/>
      <c r="AG59" s="64" t="s" ph="1">
        <v>276</v>
      </c>
      <c r="AI59" s="64" t="s" ph="1">
        <v>250</v>
      </c>
      <c r="AJ59" s="64" t="s" ph="1">
        <v>251</v>
      </c>
      <c r="AK59" s="64" t="s" ph="1">
        <v>252</v>
      </c>
      <c r="AM59" s="64" t="s" ph="1">
        <v>251</v>
      </c>
      <c r="AN59" s="64" t="s" ph="1">
        <v>252</v>
      </c>
      <c r="AO59" s="64" t="s" ph="1">
        <v>253</v>
      </c>
      <c r="AP59" s="64" t="s" ph="1">
        <v>251</v>
      </c>
      <c r="AQ59" s="64" t="s" ph="1">
        <v>252</v>
      </c>
      <c r="AR59" s="64" t="s" ph="1">
        <v>253</v>
      </c>
      <c r="AS59" s="64" t="s" ph="1">
        <v>251</v>
      </c>
      <c r="AT59" s="64" t="s" ph="1">
        <v>252</v>
      </c>
      <c r="AU59" s="64" t="s" ph="1">
        <v>253</v>
      </c>
      <c r="AV59" s="64" t="s" ph="1">
        <v>251</v>
      </c>
      <c r="AW59" s="64" t="s" ph="1">
        <v>252</v>
      </c>
      <c r="AX59" s="64" t="s" ph="1">
        <v>253</v>
      </c>
      <c r="AY59" s="64" t="s" ph="1">
        <v>252</v>
      </c>
      <c r="AZ59" s="64" t="s" ph="1">
        <v>254</v>
      </c>
    </row>
    <row r="60" spans="16:52" ph="1">
      <c r="R60" s="64"/>
      <c r="S60" s="64"/>
      <c r="T60" s="64"/>
      <c r="AH60" s="64" ph="1">
        <v>1</v>
      </c>
      <c r="AI60" s="64" t="s" ph="1">
        <v>424</v>
      </c>
      <c r="AY60" s="64" t="s" ph="1">
        <v>257</v>
      </c>
      <c r="AZ60" s="64" t="s" ph="1">
        <v>408</v>
      </c>
    </row>
    <row r="61" spans="16:52" ph="1">
      <c r="AH61" s="64" ph="1">
        <v>2</v>
      </c>
      <c r="AI61" s="64" t="s" ph="1">
        <v>425</v>
      </c>
      <c r="AS61" s="64" t="s" ph="1">
        <v>258</v>
      </c>
      <c r="AY61" s="64" t="s" ph="1">
        <v>257</v>
      </c>
      <c r="AZ61" s="64" t="s" ph="1">
        <v>408</v>
      </c>
    </row>
    <row r="62" spans="16:52" ph="1">
      <c r="AZ62" s="64" t="s" ph="1">
        <v>426</v>
      </c>
    </row>
    <row r="63" spans="16:52" ph="1">
      <c r="AG63" s="64" t="s" ph="1">
        <v>279</v>
      </c>
      <c r="AI63" s="64" t="s" ph="1">
        <v>250</v>
      </c>
      <c r="AJ63" s="64" t="s" ph="1">
        <v>251</v>
      </c>
      <c r="AK63" s="64" t="s" ph="1">
        <v>252</v>
      </c>
      <c r="AM63" s="64" t="s" ph="1">
        <v>251</v>
      </c>
      <c r="AN63" s="64" t="s" ph="1">
        <v>252</v>
      </c>
      <c r="AO63" s="64" t="s" ph="1">
        <v>253</v>
      </c>
      <c r="AP63" s="64" t="s" ph="1">
        <v>251</v>
      </c>
      <c r="AQ63" s="64" t="s" ph="1">
        <v>252</v>
      </c>
      <c r="AR63" s="64" t="s" ph="1">
        <v>253</v>
      </c>
      <c r="AS63" s="64" t="s" ph="1">
        <v>251</v>
      </c>
      <c r="AT63" s="64" t="s" ph="1">
        <v>252</v>
      </c>
      <c r="AU63" s="64" t="s" ph="1">
        <v>253</v>
      </c>
      <c r="AV63" s="64" t="s" ph="1">
        <v>251</v>
      </c>
      <c r="AW63" s="64" t="s" ph="1">
        <v>252</v>
      </c>
      <c r="AX63" s="64" t="s" ph="1">
        <v>253</v>
      </c>
      <c r="AY63" s="64" t="s" ph="1">
        <v>252</v>
      </c>
      <c r="AZ63" s="64" t="s" ph="1">
        <v>254</v>
      </c>
    </row>
    <row r="64" spans="16:52" ph="1">
      <c r="AH64" s="64" ph="1">
        <v>1</v>
      </c>
      <c r="AI64" s="64" t="s" ph="1">
        <v>427</v>
      </c>
      <c r="AJ64" s="64" t="s" ph="1">
        <v>428</v>
      </c>
      <c r="AK64" s="64" t="s" ph="1">
        <v>429</v>
      </c>
      <c r="AY64" s="64" t="s" ph="1">
        <v>257</v>
      </c>
      <c r="AZ64" s="64" t="s" ph="1">
        <v>429</v>
      </c>
    </row>
    <row r="65" spans="33:52" ph="1">
      <c r="AH65" s="64" ph="1">
        <v>2</v>
      </c>
      <c r="AI65" s="64" t="s" ph="1">
        <v>430</v>
      </c>
      <c r="AY65" s="64" t="s" ph="1">
        <v>257</v>
      </c>
      <c r="AZ65" s="64" t="s" ph="1">
        <v>408</v>
      </c>
    </row>
    <row r="66" spans="33:52" ph="1">
      <c r="AH66" s="64" ph="1">
        <v>3</v>
      </c>
      <c r="AI66" s="64" t="s" ph="1">
        <v>431</v>
      </c>
      <c r="AY66" s="64" t="s" ph="1">
        <v>257</v>
      </c>
      <c r="AZ66" s="64" t="s" ph="1">
        <v>408</v>
      </c>
    </row>
    <row r="67" spans="33:52" ph="1">
      <c r="AH67" s="64" ph="1">
        <v>4</v>
      </c>
      <c r="AI67" s="64" t="s" ph="1">
        <v>432</v>
      </c>
      <c r="AY67" s="64" t="s" ph="1">
        <v>257</v>
      </c>
      <c r="AZ67" s="64" t="s" ph="1">
        <v>408</v>
      </c>
    </row>
    <row r="68" spans="33:52" ph="1">
      <c r="AH68" s="64" ph="1">
        <v>5</v>
      </c>
      <c r="AI68" s="64" t="s" ph="1">
        <v>433</v>
      </c>
      <c r="AY68" s="64" t="s" ph="1">
        <v>257</v>
      </c>
      <c r="AZ68" s="64" t="s" ph="1">
        <v>408</v>
      </c>
    </row>
    <row r="69" spans="33:52" ph="1">
      <c r="AH69" s="64" ph="1">
        <v>6</v>
      </c>
      <c r="AI69" s="64" t="s" ph="1">
        <v>434</v>
      </c>
      <c r="AY69" s="64" t="s" ph="1">
        <v>257</v>
      </c>
      <c r="AZ69" s="64" t="s" ph="1">
        <v>408</v>
      </c>
    </row>
    <row r="70" spans="33:52" ph="1">
      <c r="AI70" s="64" t="s" ph="1">
        <v>435</v>
      </c>
      <c r="AY70" s="64" t="s" ph="1">
        <v>257</v>
      </c>
      <c r="AZ70" s="64" t="s" ph="1">
        <v>408</v>
      </c>
    </row>
    <row r="71" spans="33:52" ph="1">
      <c r="AH71" s="64" ph="1">
        <v>7</v>
      </c>
      <c r="AI71" s="64" t="s" ph="1">
        <v>436</v>
      </c>
      <c r="AJ71" s="64" t="s" ph="1">
        <v>375</v>
      </c>
      <c r="AK71" s="64" t="s" ph="1">
        <v>269</v>
      </c>
      <c r="AM71" s="64" t="s" ph="1">
        <v>377</v>
      </c>
      <c r="AN71" s="64" t="s" ph="1">
        <v>269</v>
      </c>
      <c r="AO71" s="64" t="s" ph="1">
        <v>437</v>
      </c>
      <c r="AP71" s="64" t="s" ph="1">
        <v>611</v>
      </c>
      <c r="AQ71" s="64" t="s" ph="1">
        <v>260</v>
      </c>
      <c r="AR71" s="64" t="s" ph="1">
        <v>437</v>
      </c>
      <c r="AY71" s="64" t="s" ph="1">
        <v>257</v>
      </c>
      <c r="AZ71" s="64" t="s" ph="1">
        <v>619</v>
      </c>
    </row>
    <row r="72" spans="33:52" ph="1">
      <c r="AZ72" s="64" t="s" ph="1">
        <v>620</v>
      </c>
    </row>
    <row r="73" spans="33:52" ph="1">
      <c r="AG73" s="64" t="s" ph="1">
        <v>282</v>
      </c>
      <c r="AI73" s="64" t="s" ph="1">
        <v>250</v>
      </c>
      <c r="AJ73" s="64" t="s" ph="1">
        <v>251</v>
      </c>
      <c r="AK73" s="64" t="s" ph="1">
        <v>252</v>
      </c>
      <c r="AM73" s="64" t="s" ph="1">
        <v>251</v>
      </c>
      <c r="AN73" s="64" t="s" ph="1">
        <v>252</v>
      </c>
      <c r="AO73" s="64" t="s" ph="1">
        <v>253</v>
      </c>
      <c r="AP73" s="64" t="s" ph="1">
        <v>251</v>
      </c>
      <c r="AQ73" s="64" t="s" ph="1">
        <v>252</v>
      </c>
      <c r="AR73" s="64" t="s" ph="1">
        <v>253</v>
      </c>
      <c r="AS73" s="64" t="s" ph="1">
        <v>251</v>
      </c>
      <c r="AT73" s="64" t="s" ph="1">
        <v>252</v>
      </c>
      <c r="AU73" s="64" t="s" ph="1">
        <v>253</v>
      </c>
      <c r="AV73" s="64" t="s" ph="1">
        <v>251</v>
      </c>
      <c r="AW73" s="64" t="s" ph="1">
        <v>252</v>
      </c>
      <c r="AX73" s="64" t="s" ph="1">
        <v>253</v>
      </c>
      <c r="AY73" s="64" t="s" ph="1">
        <v>252</v>
      </c>
      <c r="AZ73" s="64" t="s" ph="1">
        <v>254</v>
      </c>
    </row>
    <row r="74" spans="33:52" ph="1">
      <c r="AH74" s="64" ph="1">
        <v>1</v>
      </c>
      <c r="AI74" s="64" t="s" ph="1">
        <v>438</v>
      </c>
      <c r="AJ74" s="64" t="s" ph="1">
        <v>283</v>
      </c>
      <c r="AK74" s="64" t="s" ph="1">
        <v>265</v>
      </c>
      <c r="AM74" s="64" t="s" ph="1">
        <v>285</v>
      </c>
      <c r="AN74" s="64" t="s" ph="1">
        <v>295</v>
      </c>
      <c r="AO74" s="64" t="s" ph="1">
        <v>284</v>
      </c>
      <c r="AP74" s="64" t="s" ph="1">
        <v>286</v>
      </c>
      <c r="AQ74" s="64" t="s" ph="1">
        <v>263</v>
      </c>
      <c r="AR74" s="64" t="s" ph="1">
        <v>284</v>
      </c>
      <c r="AS74" s="64" t="s" ph="1">
        <v>256</v>
      </c>
      <c r="AT74" s="64" t="s" ph="1">
        <v>258</v>
      </c>
      <c r="AV74" s="64" t="s" ph="1">
        <v>439</v>
      </c>
      <c r="AW74" s="64" t="s" ph="1">
        <v>440</v>
      </c>
      <c r="AX74" s="64" t="s" ph="1">
        <v>441</v>
      </c>
      <c r="AY74" s="64" t="s" ph="1">
        <v>257</v>
      </c>
      <c r="AZ74" s="64" t="s" ph="1">
        <v>442</v>
      </c>
    </row>
    <row r="75" spans="33:52" ph="1">
      <c r="AJ75" s="64" t="s" ph="1">
        <v>288</v>
      </c>
      <c r="AK75" s="64" t="s" ph="1">
        <v>341</v>
      </c>
      <c r="AM75" s="64" t="s" ph="1">
        <v>286</v>
      </c>
      <c r="AN75" s="64" t="s" ph="1">
        <v>266</v>
      </c>
      <c r="AO75" s="64" t="s" ph="1">
        <v>284</v>
      </c>
      <c r="AS75" s="64" t="s" ph="1">
        <v>256</v>
      </c>
      <c r="AT75" s="64" t="s" ph="1">
        <v>287</v>
      </c>
    </row>
    <row r="76" spans="33:52" ph="1">
      <c r="AJ76" s="64" t="s" ph="1">
        <v>288</v>
      </c>
      <c r="AK76" s="64" t="s" ph="1">
        <v>281</v>
      </c>
      <c r="AM76" s="64" t="s" ph="1">
        <v>286</v>
      </c>
      <c r="AN76" s="64" t="s" ph="1">
        <v>269</v>
      </c>
      <c r="AO76" s="64" t="s" ph="1">
        <v>284</v>
      </c>
      <c r="AS76" s="64" t="s" ph="1">
        <v>256</v>
      </c>
      <c r="AT76" s="64" t="s" ph="1">
        <v>287</v>
      </c>
    </row>
    <row r="77" spans="33:52" ph="1">
      <c r="AJ77" s="64" t="s" ph="1">
        <v>324</v>
      </c>
      <c r="AK77" s="64" t="s" ph="1">
        <v>281</v>
      </c>
      <c r="AM77" s="64" t="s" ph="1">
        <v>325</v>
      </c>
      <c r="AN77" s="64" t="s" ph="1">
        <v>264</v>
      </c>
      <c r="AO77" s="64" t="s" ph="1">
        <v>284</v>
      </c>
      <c r="AS77" s="64" t="s" ph="1">
        <v>256</v>
      </c>
      <c r="AT77" s="64" t="s" ph="1">
        <v>326</v>
      </c>
    </row>
    <row r="78" spans="33:52" ph="1">
      <c r="AH78" s="64" ph="1">
        <v>2</v>
      </c>
      <c r="AI78" s="64" t="s" ph="1">
        <v>290</v>
      </c>
      <c r="AJ78" s="64" t="s" ph="1">
        <v>291</v>
      </c>
      <c r="AK78" s="64" t="s" ph="1">
        <v>260</v>
      </c>
      <c r="AM78" s="64" t="s" ph="1">
        <v>292</v>
      </c>
      <c r="AN78" s="64" t="s" ph="1">
        <v>295</v>
      </c>
      <c r="AO78" s="64" t="s" ph="1">
        <v>284</v>
      </c>
      <c r="AP78" s="64" t="s" ph="1">
        <v>293</v>
      </c>
      <c r="AQ78" s="64" t="s" ph="1">
        <v>339</v>
      </c>
      <c r="AR78" s="64" t="s" ph="1">
        <v>284</v>
      </c>
      <c r="AS78" s="64" t="s" ph="1">
        <v>294</v>
      </c>
      <c r="AT78" s="64" t="s" ph="1">
        <v>295</v>
      </c>
      <c r="AU78" s="64" t="s" ph="1">
        <v>284</v>
      </c>
      <c r="AV78" s="64" t="s" ph="1">
        <v>296</v>
      </c>
      <c r="AW78" s="64" t="s" ph="1">
        <v>284</v>
      </c>
      <c r="AY78" s="64" t="s" ph="1">
        <v>257</v>
      </c>
      <c r="AZ78" s="64" t="s" ph="1">
        <v>443</v>
      </c>
    </row>
    <row r="79" spans="33:52" ph="1">
      <c r="AJ79" s="64" t="s" ph="1">
        <v>286</v>
      </c>
      <c r="AK79" s="64" t="s" ph="1">
        <v>297</v>
      </c>
      <c r="AM79" s="64" t="s" ph="1">
        <v>298</v>
      </c>
      <c r="AN79" s="64" t="s" ph="1">
        <v>266</v>
      </c>
      <c r="AO79" s="64" t="s" ph="1">
        <v>284</v>
      </c>
      <c r="AP79" s="64" t="s" ph="1">
        <v>299</v>
      </c>
      <c r="AQ79" s="64" t="s" ph="1">
        <v>264</v>
      </c>
      <c r="AR79" s="64" t="s" ph="1">
        <v>300</v>
      </c>
      <c r="AS79" s="64" t="s" ph="1">
        <v>256</v>
      </c>
      <c r="AT79" s="64" t="s" ph="1">
        <v>301</v>
      </c>
      <c r="AV79" s="64" t="s" ph="1">
        <v>444</v>
      </c>
      <c r="AW79" s="64" t="s" ph="1">
        <v>343</v>
      </c>
      <c r="AX79" s="64" t="s" ph="1">
        <v>441</v>
      </c>
    </row>
    <row r="80" spans="33:52" ph="1">
      <c r="AH80" s="64" ph="1">
        <v>3</v>
      </c>
      <c r="AI80" s="64" t="s" ph="1">
        <v>302</v>
      </c>
      <c r="AJ80" s="64" t="s" ph="1">
        <v>303</v>
      </c>
      <c r="AK80" s="64" t="s" ph="1">
        <v>304</v>
      </c>
      <c r="AM80" s="64" t="s" ph="1">
        <v>305</v>
      </c>
      <c r="AN80" s="64" t="s" ph="1">
        <v>295</v>
      </c>
      <c r="AO80" s="64" t="s" ph="1">
        <v>284</v>
      </c>
      <c r="AP80" s="64" t="s" ph="1">
        <v>306</v>
      </c>
      <c r="AQ80" s="64" t="s" ph="1">
        <v>269</v>
      </c>
      <c r="AR80" s="64" t="s" ph="1">
        <v>284</v>
      </c>
      <c r="AS80" s="64" t="s" ph="1">
        <v>307</v>
      </c>
      <c r="AT80" s="64" t="s" ph="1">
        <v>268</v>
      </c>
      <c r="AU80" s="64" t="s" ph="1">
        <v>284</v>
      </c>
      <c r="AV80" s="64" t="s" ph="1">
        <v>308</v>
      </c>
      <c r="AW80" s="64" t="s" ph="1">
        <v>284</v>
      </c>
      <c r="AY80" s="64" t="s" ph="1">
        <v>257</v>
      </c>
      <c r="AZ80" s="64" t="s" ph="1">
        <v>445</v>
      </c>
    </row>
    <row r="81" spans="34:52" ph="1">
      <c r="AJ81" s="64" t="s" ph="1">
        <v>309</v>
      </c>
      <c r="AK81" s="64" t="s" ph="1">
        <v>263</v>
      </c>
      <c r="AM81" s="64" t="s" ph="1">
        <v>310</v>
      </c>
      <c r="AN81" s="64" t="s" ph="1">
        <v>266</v>
      </c>
      <c r="AO81" s="64" t="s" ph="1">
        <v>284</v>
      </c>
      <c r="AP81" s="64" t="s" ph="1">
        <v>311</v>
      </c>
      <c r="AQ81" s="64" t="s" ph="1">
        <v>295</v>
      </c>
      <c r="AR81" s="64" t="s" ph="1">
        <v>284</v>
      </c>
      <c r="AS81" s="64" t="s" ph="1">
        <v>312</v>
      </c>
      <c r="AT81" s="64" t="s" ph="1">
        <v>313</v>
      </c>
      <c r="AU81" s="64" t="s" ph="1">
        <v>284</v>
      </c>
      <c r="AV81" s="64" t="s" ph="1">
        <v>314</v>
      </c>
    </row>
    <row r="82" spans="34:52" ph="1">
      <c r="AJ82" s="64" t="s" ph="1">
        <v>315</v>
      </c>
      <c r="AK82" s="64" t="s" ph="1">
        <v>263</v>
      </c>
      <c r="AM82" s="64" t="s" ph="1">
        <v>316</v>
      </c>
      <c r="AN82" s="64" t="s" ph="1">
        <v>313</v>
      </c>
      <c r="AO82" s="64" t="s" ph="1">
        <v>317</v>
      </c>
      <c r="AP82" s="64" t="s" ph="1">
        <v>318</v>
      </c>
      <c r="AQ82" s="64" t="s" ph="1">
        <v>295</v>
      </c>
      <c r="AR82" s="64" t="s" ph="1">
        <v>284</v>
      </c>
      <c r="AS82" s="64" t="s" ph="1">
        <v>319</v>
      </c>
      <c r="AT82" s="64" t="s" ph="1">
        <v>270</v>
      </c>
      <c r="AU82" s="64" t="s" ph="1">
        <v>284</v>
      </c>
      <c r="AV82" s="64" t="s" ph="1">
        <v>444</v>
      </c>
      <c r="AW82" s="64" t="s" ph="1">
        <v>344</v>
      </c>
      <c r="AX82" s="64" t="s" ph="1">
        <v>441</v>
      </c>
    </row>
    <row r="83" spans="34:52" ph="1">
      <c r="AJ83" s="64" t="s" ph="1">
        <v>320</v>
      </c>
      <c r="AK83" s="64" t="s" ph="1">
        <v>337</v>
      </c>
      <c r="AM83" s="64" t="s" ph="1">
        <v>321</v>
      </c>
      <c r="AN83" s="64" t="s" ph="1">
        <v>269</v>
      </c>
      <c r="AO83" s="64" t="s" ph="1">
        <v>300</v>
      </c>
      <c r="AP83" s="64" t="s" ph="1">
        <v>322</v>
      </c>
      <c r="AQ83" s="64" t="s" ph="1">
        <v>323</v>
      </c>
      <c r="AR83" s="64" t="s" ph="1">
        <v>300</v>
      </c>
      <c r="AS83" s="64" t="s" ph="1">
        <v>446</v>
      </c>
      <c r="AT83" s="64" t="s" ph="1">
        <v>295</v>
      </c>
      <c r="AU83" s="64" t="s" ph="1">
        <v>300</v>
      </c>
      <c r="AV83" s="64" t="s" ph="1">
        <v>447</v>
      </c>
      <c r="AW83" s="64" t="s" ph="1">
        <v>344</v>
      </c>
      <c r="AX83" s="64" t="s" ph="1">
        <v>448</v>
      </c>
    </row>
    <row r="84" spans="34:52" ph="1">
      <c r="AH84" s="64" ph="1">
        <v>4</v>
      </c>
      <c r="AI84" s="64" t="s" ph="1">
        <v>327</v>
      </c>
      <c r="AJ84" s="64" t="s" ph="1">
        <v>267</v>
      </c>
      <c r="AK84" s="64" t="s" ph="1">
        <v>270</v>
      </c>
      <c r="AM84" s="64" t="s" ph="1">
        <v>271</v>
      </c>
      <c r="AN84" s="64" t="s" ph="1">
        <v>264</v>
      </c>
      <c r="AO84" s="64" t="s" ph="1">
        <v>300</v>
      </c>
      <c r="AP84" s="64" t="s" ph="1">
        <v>329</v>
      </c>
      <c r="AQ84" s="64" t="s" ph="1">
        <v>263</v>
      </c>
      <c r="AR84" s="64" t="s" ph="1">
        <v>300</v>
      </c>
      <c r="AS84" s="64" t="s" ph="1">
        <v>329</v>
      </c>
      <c r="AT84" s="64" t="s" ph="1">
        <v>265</v>
      </c>
      <c r="AU84" s="64" t="s" ph="1">
        <v>300</v>
      </c>
      <c r="AY84" s="64" t="s" ph="1">
        <v>257</v>
      </c>
      <c r="AZ84" s="64" t="s" ph="1">
        <v>449</v>
      </c>
    </row>
    <row r="85" spans="34:52" ph="1">
      <c r="AJ85" s="64" t="s" ph="1">
        <v>259</v>
      </c>
      <c r="AK85" s="64" t="s" ph="1">
        <v>263</v>
      </c>
      <c r="AM85" s="64" t="s" ph="1">
        <v>450</v>
      </c>
      <c r="AN85" s="64" t="s" ph="1">
        <v>270</v>
      </c>
      <c r="AO85" s="64" t="s" ph="1">
        <v>300</v>
      </c>
      <c r="AP85" s="64" t="s" ph="1">
        <v>451</v>
      </c>
      <c r="AQ85" s="64" t="s" ph="1">
        <v>266</v>
      </c>
      <c r="AR85" s="64" t="s" ph="1">
        <v>300</v>
      </c>
      <c r="AS85" s="64" t="s" ph="1">
        <v>452</v>
      </c>
      <c r="AT85" s="64" t="s" ph="1">
        <v>266</v>
      </c>
      <c r="AU85" s="64" t="s" ph="1">
        <v>300</v>
      </c>
    </row>
    <row r="86" spans="34:52" ph="1">
      <c r="AJ86" s="64" t="s" ph="1">
        <v>453</v>
      </c>
      <c r="AK86" s="64" t="s" ph="1">
        <v>272</v>
      </c>
      <c r="AM86" s="64" t="s" ph="1">
        <v>454</v>
      </c>
      <c r="AN86" s="64" t="s" ph="1">
        <v>313</v>
      </c>
      <c r="AO86" s="64" t="s" ph="1">
        <v>300</v>
      </c>
      <c r="AP86" s="64" t="s" ph="1">
        <v>455</v>
      </c>
      <c r="AQ86" s="64" t="s" ph="1">
        <v>260</v>
      </c>
      <c r="AR86" s="64" t="s" ph="1">
        <v>300</v>
      </c>
      <c r="AS86" s="64" t="s" ph="1">
        <v>456</v>
      </c>
      <c r="AT86" s="64" t="s" ph="1">
        <v>278</v>
      </c>
      <c r="AU86" s="64" t="s" ph="1">
        <v>300</v>
      </c>
    </row>
    <row r="87" spans="34:52" ph="1">
      <c r="AJ87" s="64" t="s" ph="1">
        <v>457</v>
      </c>
      <c r="AK87" s="64" t="s" ph="1">
        <v>313</v>
      </c>
      <c r="AM87" s="64" t="s" ph="1">
        <v>444</v>
      </c>
      <c r="AN87" s="64" t="s" ph="1">
        <v>458</v>
      </c>
      <c r="AO87" s="64" t="s" ph="1">
        <v>441</v>
      </c>
    </row>
    <row r="88" spans="34:52" ph="1">
      <c r="AH88" s="64" ph="1">
        <v>5</v>
      </c>
      <c r="AI88" s="64" t="s" ph="1">
        <v>330</v>
      </c>
      <c r="AJ88" s="64" t="s" ph="1">
        <v>459</v>
      </c>
      <c r="AK88" s="64" t="s" ph="1">
        <v>313</v>
      </c>
      <c r="AM88" s="64" t="s" ph="1">
        <v>460</v>
      </c>
      <c r="AN88" s="64" t="s" ph="1">
        <v>313</v>
      </c>
      <c r="AO88" s="64" t="s" ph="1">
        <v>300</v>
      </c>
      <c r="AP88" s="64" t="s" ph="1">
        <v>461</v>
      </c>
      <c r="AQ88" s="64" t="s" ph="1">
        <v>263</v>
      </c>
      <c r="AR88" s="64" t="s" ph="1">
        <v>300</v>
      </c>
      <c r="AS88" s="64" t="s" ph="1">
        <v>462</v>
      </c>
      <c r="AT88" s="64" t="s" ph="1">
        <v>313</v>
      </c>
      <c r="AU88" s="64" t="s" ph="1">
        <v>300</v>
      </c>
      <c r="AV88" s="64" t="s" ph="1">
        <v>463</v>
      </c>
      <c r="AW88" s="64" t="s" ph="1">
        <v>268</v>
      </c>
      <c r="AX88" s="64" t="s" ph="1">
        <v>300</v>
      </c>
      <c r="AY88" s="64" t="s" ph="1">
        <v>257</v>
      </c>
      <c r="AZ88" s="64" t="s" ph="1">
        <v>464</v>
      </c>
    </row>
    <row r="89" spans="34:52" ph="1">
      <c r="AJ89" s="64" t="s" ph="1">
        <v>465</v>
      </c>
      <c r="AK89" s="64" t="s" ph="1">
        <v>266</v>
      </c>
      <c r="AM89" s="64" t="s" ph="1">
        <v>466</v>
      </c>
      <c r="AN89" s="64" t="s" ph="1">
        <v>269</v>
      </c>
      <c r="AO89" s="64" t="s" ph="1">
        <v>300</v>
      </c>
      <c r="AP89" s="64" t="s" ph="1">
        <v>467</v>
      </c>
      <c r="AQ89" s="64" t="s" ph="1">
        <v>278</v>
      </c>
      <c r="AR89" s="64" t="s" ph="1">
        <v>300</v>
      </c>
      <c r="AS89" s="64" t="s" ph="1">
        <v>468</v>
      </c>
      <c r="AT89" s="64" t="s" ph="1">
        <v>313</v>
      </c>
      <c r="AU89" s="64" t="s" ph="1">
        <v>300</v>
      </c>
      <c r="AV89" s="64" t="s" ph="1">
        <v>469</v>
      </c>
      <c r="AW89" s="64" t="s" ph="1">
        <v>295</v>
      </c>
      <c r="AX89" s="64" t="s" ph="1">
        <v>328</v>
      </c>
    </row>
    <row r="90" spans="34:52" ph="1">
      <c r="AJ90" s="64" t="s" ph="1">
        <v>470</v>
      </c>
      <c r="AK90" s="64" t="s" ph="1">
        <v>269</v>
      </c>
      <c r="AM90" s="64" t="s" ph="1">
        <v>471</v>
      </c>
      <c r="AN90" s="64" t="s" ph="1">
        <v>266</v>
      </c>
      <c r="AO90" s="64" t="s" ph="1">
        <v>300</v>
      </c>
      <c r="AP90" s="64" t="s" ph="1">
        <v>472</v>
      </c>
      <c r="AQ90" s="64" t="s" ph="1">
        <v>335</v>
      </c>
      <c r="AR90" s="64" t="s" ph="1">
        <v>300</v>
      </c>
      <c r="AS90" s="64" t="s" ph="1">
        <v>473</v>
      </c>
      <c r="AT90" s="64" t="s" ph="1">
        <v>323</v>
      </c>
      <c r="AU90" s="64" t="s" ph="1">
        <v>300</v>
      </c>
      <c r="AV90" s="64" t="s" ph="1">
        <v>474</v>
      </c>
      <c r="AW90" s="64" t="s" ph="1">
        <v>260</v>
      </c>
      <c r="AX90" s="64" t="s" ph="1">
        <v>300</v>
      </c>
    </row>
    <row r="91" spans="34:52" ph="1">
      <c r="AJ91" s="64" t="s" ph="1">
        <v>475</v>
      </c>
      <c r="AK91" s="64" t="s" ph="1">
        <v>313</v>
      </c>
      <c r="AM91" s="64" t="s" ph="1">
        <v>476</v>
      </c>
      <c r="AN91" s="64" t="s" ph="1">
        <v>280</v>
      </c>
      <c r="AO91" s="64" t="s" ph="1">
        <v>300</v>
      </c>
      <c r="AP91" s="64" t="s" ph="1">
        <v>477</v>
      </c>
      <c r="AQ91" s="64" t="s" ph="1">
        <v>260</v>
      </c>
      <c r="AS91" s="64" t="s" ph="1">
        <v>444</v>
      </c>
      <c r="AT91" s="64" t="s" ph="1">
        <v>440</v>
      </c>
      <c r="AU91" s="64" t="s" ph="1">
        <v>441</v>
      </c>
    </row>
    <row r="92" spans="34:52" ph="1">
      <c r="AH92" s="64" ph="1">
        <v>6</v>
      </c>
      <c r="AI92" s="64" t="s" ph="1">
        <v>478</v>
      </c>
      <c r="AJ92" s="64" t="s" ph="1">
        <v>479</v>
      </c>
      <c r="AK92" s="64" t="s" ph="1">
        <v>408</v>
      </c>
      <c r="AM92" s="64" t="s" ph="1">
        <v>480</v>
      </c>
      <c r="AN92" s="64" t="s" ph="1">
        <v>268</v>
      </c>
      <c r="AO92" s="64" t="s" ph="1">
        <v>300</v>
      </c>
      <c r="AP92" s="64" t="s" ph="1">
        <v>481</v>
      </c>
      <c r="AQ92" s="64" t="s" ph="1">
        <v>340</v>
      </c>
      <c r="AR92" s="64" t="s" ph="1">
        <v>300</v>
      </c>
      <c r="AS92" s="64" t="s" ph="1">
        <v>482</v>
      </c>
      <c r="AT92" s="64" t="s" ph="1">
        <v>313</v>
      </c>
      <c r="AU92" s="64" t="s" ph="1">
        <v>300</v>
      </c>
      <c r="AV92" s="64" t="s" ph="1">
        <v>483</v>
      </c>
      <c r="AW92" s="64" t="s" ph="1">
        <v>269</v>
      </c>
      <c r="AX92" s="64" t="s" ph="1">
        <v>300</v>
      </c>
      <c r="AY92" s="64" t="s" ph="1">
        <v>257</v>
      </c>
      <c r="AZ92" s="64" t="s" ph="1">
        <v>464</v>
      </c>
    </row>
    <row r="93" spans="34:52" ph="1">
      <c r="AJ93" s="64" t="s" ph="1">
        <v>484</v>
      </c>
      <c r="AK93" s="64" t="s" ph="1">
        <v>263</v>
      </c>
      <c r="AM93" s="64" t="s" ph="1">
        <v>485</v>
      </c>
      <c r="AN93" s="64" t="s" ph="1">
        <v>268</v>
      </c>
      <c r="AO93" s="64" t="s" ph="1">
        <v>300</v>
      </c>
      <c r="AP93" s="64" t="s" ph="1">
        <v>486</v>
      </c>
      <c r="AQ93" s="64" t="s" ph="1">
        <v>272</v>
      </c>
      <c r="AR93" s="64" t="s" ph="1">
        <v>300</v>
      </c>
      <c r="AS93" s="64" t="s" ph="1">
        <v>487</v>
      </c>
      <c r="AT93" s="64" t="s" ph="1">
        <v>278</v>
      </c>
      <c r="AU93" s="64" t="s" ph="1">
        <v>300</v>
      </c>
      <c r="AV93" s="64" t="s" ph="1">
        <v>488</v>
      </c>
      <c r="AW93" s="64" t="s" ph="1">
        <v>272</v>
      </c>
      <c r="AX93" s="64" t="s" ph="1">
        <v>300</v>
      </c>
    </row>
    <row r="94" spans="34:52" ph="1">
      <c r="AJ94" s="64" t="s" ph="1">
        <v>489</v>
      </c>
      <c r="AK94" s="64" t="s" ph="1">
        <v>335</v>
      </c>
      <c r="AM94" s="64" t="s" ph="1">
        <v>490</v>
      </c>
      <c r="AN94" s="64" t="s" ph="1">
        <v>272</v>
      </c>
      <c r="AO94" s="64" t="s" ph="1">
        <v>300</v>
      </c>
      <c r="AP94" s="64" t="s" ph="1">
        <v>491</v>
      </c>
      <c r="AQ94" s="64" t="s" ph="1">
        <v>280</v>
      </c>
      <c r="AR94" s="64" t="s" ph="1">
        <v>300</v>
      </c>
      <c r="AS94" s="64" t="s" ph="1">
        <v>492</v>
      </c>
      <c r="AT94" s="64" t="s" ph="1">
        <v>266</v>
      </c>
      <c r="AU94" s="64" t="s" ph="1">
        <v>300</v>
      </c>
      <c r="AV94" s="64" t="s" ph="1">
        <v>493</v>
      </c>
      <c r="AW94" s="64" t="s" ph="1">
        <v>266</v>
      </c>
      <c r="AX94" s="64" t="s" ph="1">
        <v>300</v>
      </c>
    </row>
    <row r="95" spans="34:52" ph="1">
      <c r="AJ95" s="64" t="s" ph="1">
        <v>494</v>
      </c>
      <c r="AK95" s="64" t="s" ph="1">
        <v>340</v>
      </c>
    </row>
    <row r="96" spans="34:52" ph="1">
      <c r="AH96" s="64" ph="1">
        <v>7</v>
      </c>
      <c r="AI96" s="64" t="s" ph="1">
        <v>495</v>
      </c>
      <c r="AJ96" s="64" t="s" ph="1">
        <v>494</v>
      </c>
      <c r="AK96" s="64" t="s" ph="1">
        <v>295</v>
      </c>
      <c r="AM96" s="64" t="s" ph="1">
        <v>496</v>
      </c>
      <c r="AN96" s="64" t="s" ph="1">
        <v>269</v>
      </c>
      <c r="AO96" s="64" t="s" ph="1">
        <v>300</v>
      </c>
      <c r="AP96" s="64" t="s" ph="1">
        <v>497</v>
      </c>
      <c r="AQ96" s="64" t="s" ph="1">
        <v>313</v>
      </c>
      <c r="AR96" s="64" t="s" ph="1">
        <v>328</v>
      </c>
      <c r="AS96" s="64" t="s" ph="1">
        <v>498</v>
      </c>
      <c r="AT96" s="64" t="s" ph="1">
        <v>272</v>
      </c>
      <c r="AU96" s="64" t="s" ph="1">
        <v>328</v>
      </c>
      <c r="AV96" s="64" t="s" ph="1">
        <v>499</v>
      </c>
      <c r="AW96" s="64" t="s" ph="1">
        <v>268</v>
      </c>
      <c r="AX96" s="64" t="s" ph="1">
        <v>328</v>
      </c>
      <c r="AY96" s="64" t="s" ph="1">
        <v>257</v>
      </c>
      <c r="AZ96" s="64" t="s" ph="1">
        <v>500</v>
      </c>
    </row>
    <row r="97" spans="33:52" ph="1">
      <c r="AJ97" s="64" t="s" ph="1">
        <v>501</v>
      </c>
      <c r="AK97" s="64" t="s" ph="1">
        <v>323</v>
      </c>
      <c r="AM97" s="64" t="s" ph="1">
        <v>502</v>
      </c>
      <c r="AN97" s="64" t="s" ph="1">
        <v>266</v>
      </c>
      <c r="AO97" s="64" t="s" ph="1">
        <v>300</v>
      </c>
      <c r="AP97" s="64" t="s" ph="1">
        <v>503</v>
      </c>
      <c r="AQ97" s="64" t="s" ph="1">
        <v>260</v>
      </c>
      <c r="AR97" s="64" t="s" ph="1">
        <v>328</v>
      </c>
      <c r="AS97" s="64" t="s" ph="1">
        <v>504</v>
      </c>
      <c r="AT97" s="64" t="s" ph="1">
        <v>263</v>
      </c>
      <c r="AU97" s="64" t="s" ph="1">
        <v>328</v>
      </c>
      <c r="AV97" s="64" t="s" ph="1">
        <v>505</v>
      </c>
      <c r="AW97" s="64" t="s" ph="1">
        <v>269</v>
      </c>
      <c r="AX97" s="64" t="s" ph="1">
        <v>328</v>
      </c>
    </row>
    <row r="98" spans="33:52" ph="1">
      <c r="AJ98" s="64" t="s" ph="1">
        <v>506</v>
      </c>
      <c r="AK98" s="64" t="s" ph="1">
        <v>272</v>
      </c>
      <c r="AM98" s="64" t="s" ph="1">
        <v>507</v>
      </c>
      <c r="AN98" s="64" t="s" ph="1">
        <v>280</v>
      </c>
      <c r="AO98" s="64" t="s" ph="1">
        <v>300</v>
      </c>
      <c r="AP98" s="64" t="s" ph="1">
        <v>508</v>
      </c>
      <c r="AQ98" s="64" t="s" ph="1">
        <v>260</v>
      </c>
      <c r="AR98" s="64" t="s" ph="1">
        <v>328</v>
      </c>
      <c r="AS98" s="64" t="s" ph="1">
        <v>509</v>
      </c>
      <c r="AT98" s="64" t="s" ph="1">
        <v>340</v>
      </c>
      <c r="AU98" s="64" t="s" ph="1">
        <v>328</v>
      </c>
      <c r="AV98" s="64" t="s" ph="1">
        <v>510</v>
      </c>
      <c r="AW98" s="64" t="s" ph="1">
        <v>263</v>
      </c>
      <c r="AX98" s="64" t="s" ph="1">
        <v>328</v>
      </c>
    </row>
    <row r="99" spans="33:52" ph="1">
      <c r="AH99" s="64" ph="1">
        <v>8</v>
      </c>
      <c r="AI99" s="64" t="s" ph="1">
        <v>511</v>
      </c>
      <c r="AJ99" s="64" t="s" ph="1">
        <v>512</v>
      </c>
      <c r="AK99" s="64" t="s" ph="1">
        <v>408</v>
      </c>
      <c r="AM99" s="64" t="s" ph="1">
        <v>513</v>
      </c>
      <c r="AN99" s="64" t="s" ph="1">
        <v>295</v>
      </c>
      <c r="AO99" s="64" t="s" ph="1">
        <v>300</v>
      </c>
      <c r="AP99" s="64" t="s" ph="1">
        <v>514</v>
      </c>
      <c r="AQ99" s="64" t="s" ph="1">
        <v>265</v>
      </c>
      <c r="AR99" s="64" t="s" ph="1">
        <v>328</v>
      </c>
      <c r="AS99" s="64" t="s" ph="1">
        <v>515</v>
      </c>
      <c r="AT99" s="64" t="s" ph="1">
        <v>280</v>
      </c>
      <c r="AU99" s="64" t="s" ph="1">
        <v>328</v>
      </c>
      <c r="AV99" s="64" t="s" ph="1">
        <v>516</v>
      </c>
      <c r="AW99" s="64" t="s" ph="1">
        <v>265</v>
      </c>
      <c r="AX99" s="64" t="s" ph="1">
        <v>328</v>
      </c>
      <c r="AY99" s="64" t="s" ph="1">
        <v>257</v>
      </c>
      <c r="AZ99" s="64" t="s" ph="1">
        <v>517</v>
      </c>
    </row>
    <row r="100" spans="33:52" ph="1">
      <c r="AJ100" s="64" t="s" ph="1">
        <v>518</v>
      </c>
      <c r="AK100" s="64" t="s" ph="1">
        <v>263</v>
      </c>
      <c r="AM100" s="64" t="s" ph="1">
        <v>519</v>
      </c>
      <c r="AN100" s="64" t="s" ph="1">
        <v>335</v>
      </c>
      <c r="AO100" s="64" t="s" ph="1">
        <v>300</v>
      </c>
      <c r="AP100" s="64" t="s" ph="1">
        <v>520</v>
      </c>
      <c r="AQ100" s="64" t="s" ph="1">
        <v>341</v>
      </c>
      <c r="AR100" s="64" t="s" ph="1">
        <v>328</v>
      </c>
      <c r="AS100" s="64" t="s" ph="1">
        <v>521</v>
      </c>
      <c r="AT100" s="64" t="s" ph="1">
        <v>408</v>
      </c>
      <c r="AU100" s="64" t="s" ph="1">
        <v>300</v>
      </c>
      <c r="AV100" s="64" t="s" ph="1">
        <v>522</v>
      </c>
      <c r="AW100" s="64" t="s" ph="1">
        <v>408</v>
      </c>
      <c r="AX100" s="64" t="s" ph="1">
        <v>300</v>
      </c>
    </row>
    <row r="101" spans="33:52" ph="1">
      <c r="AJ101" s="64" t="s" ph="1">
        <v>523</v>
      </c>
      <c r="AK101" s="64" t="s" ph="1">
        <v>408</v>
      </c>
      <c r="AM101" s="64" t="s" ph="1">
        <v>524</v>
      </c>
      <c r="AN101" s="64" t="s" ph="1">
        <v>266</v>
      </c>
      <c r="AO101" s="64" t="s" ph="1">
        <v>300</v>
      </c>
      <c r="AP101" s="64" t="s" ph="1">
        <v>525</v>
      </c>
      <c r="AQ101" s="64" t="s" ph="1">
        <v>278</v>
      </c>
      <c r="AR101" s="64" t="s" ph="1">
        <v>328</v>
      </c>
      <c r="AS101" s="64" t="s" ph="1">
        <v>526</v>
      </c>
      <c r="AT101" s="64" t="s" ph="1">
        <v>335</v>
      </c>
      <c r="AU101" s="64" t="s" ph="1">
        <v>328</v>
      </c>
      <c r="AV101" s="64" t="s" ph="1">
        <v>527</v>
      </c>
      <c r="AW101" s="64" t="s" ph="1">
        <v>266</v>
      </c>
      <c r="AX101" s="64" t="s" ph="1">
        <v>300</v>
      </c>
    </row>
    <row r="102" spans="33:52" ph="1">
      <c r="AJ102" s="64" t="s" ph="1">
        <v>528</v>
      </c>
      <c r="AK102" s="64" t="s" ph="1">
        <v>263</v>
      </c>
      <c r="AM102" s="64" t="s" ph="1">
        <v>529</v>
      </c>
      <c r="AN102" s="64" t="s" ph="1">
        <v>272</v>
      </c>
      <c r="AO102" s="64" t="s" ph="1">
        <v>300</v>
      </c>
      <c r="AP102" s="64" t="s" ph="1">
        <v>530</v>
      </c>
      <c r="AQ102" s="64" t="s" ph="1">
        <v>278</v>
      </c>
      <c r="AR102" s="64" t="s" ph="1">
        <v>300</v>
      </c>
      <c r="AS102" s="64" t="s" ph="1">
        <v>531</v>
      </c>
      <c r="AT102" s="64" t="s" ph="1">
        <v>295</v>
      </c>
      <c r="AU102" s="64" t="s" ph="1">
        <v>300</v>
      </c>
      <c r="AV102" s="64" t="s" ph="1">
        <v>532</v>
      </c>
      <c r="AW102" s="64" t="s" ph="1">
        <v>313</v>
      </c>
      <c r="AX102" s="64" t="s" ph="1">
        <v>300</v>
      </c>
    </row>
    <row r="103" spans="33:52" ph="1">
      <c r="AH103" s="64" ph="1">
        <v>9</v>
      </c>
      <c r="AI103" s="64" t="s" ph="1">
        <v>533</v>
      </c>
      <c r="AJ103" s="64" t="s" ph="1">
        <v>534</v>
      </c>
      <c r="AK103" s="64" t="s" ph="1">
        <v>408</v>
      </c>
      <c r="AM103" s="64" t="s" ph="1">
        <v>535</v>
      </c>
      <c r="AN103" s="64" t="s" ph="1">
        <v>323</v>
      </c>
      <c r="AO103" s="64" t="s" ph="1">
        <v>300</v>
      </c>
      <c r="AP103" s="64" t="s" ph="1">
        <v>377</v>
      </c>
      <c r="AQ103" s="64" t="s" ph="1">
        <v>266</v>
      </c>
      <c r="AR103" s="64" t="s" ph="1">
        <v>300</v>
      </c>
      <c r="AS103" s="64" t="s" ph="1">
        <v>611</v>
      </c>
      <c r="AT103" s="64" t="s" ph="1">
        <v>408</v>
      </c>
      <c r="AU103" s="64" t="s" ph="1">
        <v>300</v>
      </c>
      <c r="AY103" s="64" t="s" ph="1">
        <v>257</v>
      </c>
      <c r="AZ103" s="64" t="s" ph="1">
        <v>265</v>
      </c>
    </row>
    <row r="104" spans="33:52" ph="1">
      <c r="AZ104" s="64" t="s" ph="1">
        <v>536</v>
      </c>
    </row>
    <row r="105" spans="33:52" ph="1">
      <c r="AG105" s="64" t="s" ph="1">
        <v>336</v>
      </c>
      <c r="AI105" s="64" t="s" ph="1">
        <v>250</v>
      </c>
      <c r="AJ105" s="64" t="s" ph="1">
        <v>251</v>
      </c>
      <c r="AK105" s="64" t="s" ph="1">
        <v>252</v>
      </c>
      <c r="AM105" s="64" t="s" ph="1">
        <v>251</v>
      </c>
      <c r="AN105" s="64" t="s" ph="1">
        <v>252</v>
      </c>
      <c r="AO105" s="64" t="s" ph="1">
        <v>253</v>
      </c>
      <c r="AP105" s="64" t="s" ph="1">
        <v>251</v>
      </c>
      <c r="AQ105" s="64" t="s" ph="1">
        <v>252</v>
      </c>
      <c r="AR105" s="64" t="s" ph="1">
        <v>253</v>
      </c>
      <c r="AS105" s="64" t="s" ph="1">
        <v>251</v>
      </c>
      <c r="AT105" s="64" t="s" ph="1">
        <v>252</v>
      </c>
      <c r="AU105" s="64" t="s" ph="1">
        <v>253</v>
      </c>
      <c r="AV105" s="64" t="s" ph="1">
        <v>251</v>
      </c>
      <c r="AW105" s="64" t="s" ph="1">
        <v>252</v>
      </c>
      <c r="AX105" s="64" t="s" ph="1">
        <v>253</v>
      </c>
      <c r="AZ105" s="64" t="s" ph="1">
        <v>254</v>
      </c>
    </row>
    <row r="106" spans="33:52" ph="1">
      <c r="AH106" s="64" ph="1">
        <v>1</v>
      </c>
      <c r="AI106" s="64" t="s" ph="1">
        <v>537</v>
      </c>
      <c r="AJ106" s="64" t="s" ph="1">
        <v>611</v>
      </c>
      <c r="AK106" s="64" t="s" ph="1">
        <v>272</v>
      </c>
      <c r="AZ106" s="64" t="s" ph="1">
        <v>272</v>
      </c>
    </row>
    <row r="107" spans="33:52" ph="1">
      <c r="AH107" s="64" ph="1">
        <v>2</v>
      </c>
      <c r="AI107" s="64" t="s" ph="1">
        <v>538</v>
      </c>
      <c r="AJ107" s="64" t="s" ph="1">
        <v>539</v>
      </c>
      <c r="AK107" s="64" t="s" ph="1">
        <v>269</v>
      </c>
      <c r="AM107" s="64" t="s" ph="1">
        <v>375</v>
      </c>
      <c r="AN107" s="64" t="s" ph="1">
        <v>540</v>
      </c>
      <c r="AO107" s="64" t="s" ph="1">
        <v>541</v>
      </c>
      <c r="AP107" s="64" t="s" ph="1">
        <v>377</v>
      </c>
      <c r="AQ107" s="64" t="s" ph="1">
        <v>345</v>
      </c>
      <c r="AR107" s="64" t="s" ph="1">
        <v>541</v>
      </c>
      <c r="AS107" s="64" t="s" ph="1">
        <v>611</v>
      </c>
      <c r="AT107" s="64" t="s" ph="1">
        <v>540</v>
      </c>
      <c r="AU107" s="64" t="s" ph="1">
        <v>541</v>
      </c>
      <c r="AY107" s="64" t="s" ph="1">
        <v>257</v>
      </c>
      <c r="AZ107" s="64" t="s" ph="1">
        <v>621</v>
      </c>
    </row>
    <row r="108" spans="33:52" ph="1">
      <c r="AH108" s="64" ph="1">
        <v>3</v>
      </c>
      <c r="AI108" s="64" t="s" ph="1">
        <v>542</v>
      </c>
      <c r="AY108" s="64" t="s" ph="1">
        <v>257</v>
      </c>
      <c r="AZ108" s="64" t="s" ph="1">
        <v>408</v>
      </c>
    </row>
    <row r="109" spans="33:52" ph="1">
      <c r="AH109" s="64" ph="1">
        <v>4</v>
      </c>
      <c r="AI109" s="64" t="s" ph="1">
        <v>543</v>
      </c>
      <c r="AY109" s="64" t="s" ph="1">
        <v>257</v>
      </c>
      <c r="AZ109" s="64" t="s" ph="1">
        <v>408</v>
      </c>
    </row>
    <row r="110" spans="33:52" ph="1">
      <c r="AH110" s="64" ph="1">
        <v>5</v>
      </c>
      <c r="AI110" s="64" t="s" ph="1">
        <v>544</v>
      </c>
      <c r="AY110" s="64" t="s" ph="1">
        <v>257</v>
      </c>
      <c r="AZ110" s="64" t="s" ph="1">
        <v>408</v>
      </c>
    </row>
    <row r="111" spans="33:52" ph="1">
      <c r="AH111" s="64" ph="1">
        <v>6</v>
      </c>
      <c r="AI111" s="64" t="s" ph="1">
        <v>622</v>
      </c>
      <c r="AJ111" s="64" t="s" ph="1">
        <v>527</v>
      </c>
      <c r="AK111" s="64" t="s" ph="1">
        <v>266</v>
      </c>
      <c r="AM111" s="64" t="s" ph="1">
        <v>528</v>
      </c>
      <c r="AN111" s="64" t="s" ph="1">
        <v>260</v>
      </c>
      <c r="AO111" s="64" t="s" ph="1">
        <v>541</v>
      </c>
      <c r="AP111" s="64" t="s" ph="1">
        <v>529</v>
      </c>
      <c r="AQ111" s="64" t="s" ph="1">
        <v>269</v>
      </c>
      <c r="AR111" s="64" t="s" ph="1">
        <v>541</v>
      </c>
      <c r="AS111" s="64" t="s" ph="1">
        <v>530</v>
      </c>
      <c r="AT111" s="64" t="s" ph="1">
        <v>278</v>
      </c>
      <c r="AU111" s="64" t="s" ph="1">
        <v>541</v>
      </c>
      <c r="AV111" s="64" t="s" ph="1">
        <v>531</v>
      </c>
      <c r="AW111" s="64" t="s" ph="1">
        <v>268</v>
      </c>
      <c r="AX111" s="64" t="s" ph="1">
        <v>541</v>
      </c>
      <c r="AY111" s="64" t="s" ph="1">
        <v>257</v>
      </c>
      <c r="AZ111" s="64" t="s" ph="1">
        <v>545</v>
      </c>
    </row>
    <row r="112" spans="33:52" ph="1">
      <c r="AJ112" s="64" t="s" ph="1">
        <v>532</v>
      </c>
      <c r="AK112" s="64" t="s" ph="1">
        <v>313</v>
      </c>
      <c r="AM112" s="64" t="s" ph="1">
        <v>534</v>
      </c>
      <c r="AN112" s="64" t="s" ph="1">
        <v>337</v>
      </c>
      <c r="AO112" s="64" t="s" ph="1">
        <v>541</v>
      </c>
      <c r="AP112" s="64" t="s" ph="1">
        <v>535</v>
      </c>
      <c r="AQ112" s="64" t="s" ph="1">
        <v>546</v>
      </c>
      <c r="AR112" s="64" t="s" ph="1">
        <v>541</v>
      </c>
      <c r="AS112" s="64" t="s" ph="1">
        <v>547</v>
      </c>
      <c r="AT112" s="64" t="s" ph="1">
        <v>289</v>
      </c>
      <c r="AU112" s="64" t="s" ph="1">
        <v>541</v>
      </c>
      <c r="AV112" s="64" t="s" ph="1">
        <v>548</v>
      </c>
      <c r="AW112" s="64" t="s" ph="1">
        <v>335</v>
      </c>
      <c r="AX112" s="64" t="s" ph="1">
        <v>541</v>
      </c>
    </row>
    <row r="113" spans="33:52" ph="1">
      <c r="AH113" s="64" ph="1">
        <v>7</v>
      </c>
      <c r="AI113" s="64" t="s" ph="1">
        <v>549</v>
      </c>
      <c r="AJ113" s="64" t="s" ph="1">
        <v>630</v>
      </c>
      <c r="AK113" s="64" t="s" ph="1">
        <v>635</v>
      </c>
      <c r="AY113" s="64" t="s" ph="1">
        <v>257</v>
      </c>
      <c r="AZ113" s="64" t="s" ph="1">
        <v>635</v>
      </c>
    </row>
    <row r="114" spans="33:52" ph="1">
      <c r="AH114" s="64" ph="1">
        <v>8</v>
      </c>
      <c r="AI114" s="64" t="s" ph="1">
        <v>550</v>
      </c>
      <c r="AJ114" s="64" t="s" ph="1">
        <v>630</v>
      </c>
      <c r="AK114" s="64" t="s" ph="1">
        <v>636</v>
      </c>
      <c r="AY114" s="64" t="s" ph="1">
        <v>257</v>
      </c>
      <c r="AZ114" s="64" t="s" ph="1">
        <v>636</v>
      </c>
    </row>
    <row r="115" spans="33:52" ph="1">
      <c r="AH115" s="64" ph="1">
        <v>9</v>
      </c>
      <c r="AI115" s="64" t="s" ph="1">
        <v>551</v>
      </c>
      <c r="AJ115" s="64" t="s" ph="1">
        <v>630</v>
      </c>
      <c r="AK115" s="64" t="s" ph="1">
        <v>636</v>
      </c>
      <c r="AY115" s="64" t="s" ph="1">
        <v>257</v>
      </c>
      <c r="AZ115" s="64" t="s" ph="1">
        <v>636</v>
      </c>
    </row>
    <row r="116" spans="33:52" ph="1">
      <c r="AH116" s="64" ph="1">
        <v>10</v>
      </c>
      <c r="AI116" s="64" t="s" ph="1">
        <v>552</v>
      </c>
      <c r="AJ116" s="64" t="s" ph="1">
        <v>630</v>
      </c>
      <c r="AK116" s="64" t="s" ph="1">
        <v>636</v>
      </c>
      <c r="AY116" s="64" t="s" ph="1">
        <v>257</v>
      </c>
      <c r="AZ116" s="64" t="s" ph="1">
        <v>636</v>
      </c>
    </row>
    <row r="117" spans="33:52" ph="1">
      <c r="AH117" s="64" ph="1">
        <v>11</v>
      </c>
      <c r="AI117" s="64" t="s" ph="1">
        <v>553</v>
      </c>
      <c r="AJ117" s="64" t="s" ph="1">
        <v>630</v>
      </c>
      <c r="AK117" s="64" t="s" ph="1">
        <v>636</v>
      </c>
      <c r="AY117" s="64" t="s" ph="1">
        <v>257</v>
      </c>
      <c r="AZ117" s="64" t="s" ph="1">
        <v>636</v>
      </c>
    </row>
    <row r="118" spans="33:52" ph="1">
      <c r="AZ118" s="64" t="s" ph="1">
        <v>637</v>
      </c>
    </row>
    <row r="119" spans="33:52" ph="1">
      <c r="AI119" s="64" t="s" ph="1">
        <v>250</v>
      </c>
      <c r="AJ119" s="64" t="s" ph="1">
        <v>251</v>
      </c>
      <c r="AK119" s="64" t="s" ph="1">
        <v>252</v>
      </c>
      <c r="AM119" s="64" t="s" ph="1">
        <v>251</v>
      </c>
      <c r="AN119" s="64" t="s" ph="1">
        <v>252</v>
      </c>
      <c r="AO119" s="64" t="s" ph="1">
        <v>253</v>
      </c>
      <c r="AP119" s="64" t="s" ph="1">
        <v>251</v>
      </c>
      <c r="AQ119" s="64" t="s" ph="1">
        <v>252</v>
      </c>
      <c r="AR119" s="64" t="s" ph="1">
        <v>253</v>
      </c>
      <c r="AS119" s="64" t="s" ph="1">
        <v>251</v>
      </c>
      <c r="AT119" s="64" t="s" ph="1">
        <v>252</v>
      </c>
      <c r="AU119" s="64" t="s" ph="1">
        <v>253</v>
      </c>
      <c r="AV119" s="64" t="s" ph="1">
        <v>251</v>
      </c>
      <c r="AW119" s="64" t="s" ph="1">
        <v>252</v>
      </c>
      <c r="AX119" s="64" t="s" ph="1">
        <v>253</v>
      </c>
      <c r="AY119" s="64" t="s" ph="1">
        <v>252</v>
      </c>
      <c r="AZ119" s="64" t="s" ph="1">
        <v>254</v>
      </c>
    </row>
    <row r="120" spans="33:52" ph="1">
      <c r="AG120" s="64" t="s" ph="1">
        <v>394</v>
      </c>
      <c r="AH120" s="64" ph="1">
        <v>1</v>
      </c>
      <c r="AI120" s="64" t="s" ph="1">
        <v>554</v>
      </c>
      <c r="AJ120" s="64" t="s" ph="1">
        <v>628</v>
      </c>
      <c r="AK120" s="64" t="s" ph="1">
        <v>408</v>
      </c>
      <c r="AY120" s="64" t="s" ph="1">
        <v>257</v>
      </c>
      <c r="AZ120" s="64" t="s" ph="1">
        <v>408</v>
      </c>
    </row>
    <row r="121" spans="33:52" ph="1">
      <c r="AH121" s="64" ph="1">
        <v>2</v>
      </c>
      <c r="AI121" s="64" t="s" ph="1">
        <v>555</v>
      </c>
      <c r="AY121" s="64" t="s" ph="1">
        <v>257</v>
      </c>
      <c r="AZ121" s="64" t="s" ph="1">
        <v>408</v>
      </c>
    </row>
    <row r="122" spans="33:52" ph="1">
      <c r="AH122" s="64" ph="1">
        <v>3</v>
      </c>
      <c r="AI122" s="64" t="s" ph="1">
        <v>556</v>
      </c>
      <c r="AJ122" s="64" t="s" ph="1">
        <v>611</v>
      </c>
      <c r="AK122" s="64" t="s" ph="1">
        <v>623</v>
      </c>
      <c r="AM122" s="64" t="s" ph="1">
        <v>638</v>
      </c>
      <c r="AN122" s="64" t="s" ph="1">
        <v>631</v>
      </c>
      <c r="AO122" s="64" t="s" ph="1">
        <v>108</v>
      </c>
      <c r="AY122" s="64" t="s" ph="1">
        <v>257</v>
      </c>
      <c r="AZ122" s="64" t="s" ph="1">
        <v>620</v>
      </c>
    </row>
    <row r="123" spans="33:52" ph="1">
      <c r="AY123" s="64" t="s" ph="1">
        <v>257</v>
      </c>
      <c r="AZ123" s="64" t="s" ph="1">
        <v>620</v>
      </c>
    </row>
    <row r="124" spans="33:52" ph="1">
      <c r="AG124" s="64" t="s" ph="1">
        <v>397</v>
      </c>
      <c r="AH124" s="64" ph="1">
        <v>4</v>
      </c>
      <c r="AI124" s="64" t="s" ph="1">
        <v>557</v>
      </c>
      <c r="AJ124" s="64" t="s" ph="1">
        <v>558</v>
      </c>
      <c r="AK124" s="64" t="s" ph="1">
        <v>559</v>
      </c>
      <c r="AY124" s="64" t="s" ph="1">
        <v>257</v>
      </c>
      <c r="AZ124" s="64" t="s" ph="1">
        <v>559</v>
      </c>
    </row>
    <row r="125" spans="33:52" ph="1">
      <c r="AH125" s="64" ph="1">
        <v>5</v>
      </c>
      <c r="AI125" s="64" t="s" ph="1">
        <v>560</v>
      </c>
      <c r="AJ125" s="64" t="s" ph="1">
        <v>558</v>
      </c>
      <c r="AK125" s="64" t="s" ph="1">
        <v>559</v>
      </c>
      <c r="AY125" s="64" t="s" ph="1">
        <v>257</v>
      </c>
      <c r="AZ125" s="64" t="s" ph="1">
        <v>559</v>
      </c>
    </row>
    <row r="126" spans="33:52" ph="1">
      <c r="AH126" s="64" ph="1">
        <v>6</v>
      </c>
      <c r="AI126" s="64" t="s" ph="1">
        <v>561</v>
      </c>
      <c r="AJ126" s="64" t="s" ph="1">
        <v>630</v>
      </c>
      <c r="AK126" s="64" t="s" ph="1">
        <v>639</v>
      </c>
      <c r="AY126" s="64" t="s" ph="1">
        <v>257</v>
      </c>
      <c r="AZ126" s="64" t="s" ph="1">
        <v>639</v>
      </c>
    </row>
    <row r="127" spans="33:52" ph="1">
      <c r="AH127" s="64" ph="1">
        <v>7</v>
      </c>
      <c r="AI127" s="64" t="s" ph="1">
        <v>562</v>
      </c>
      <c r="AJ127" s="64" t="s" ph="1">
        <v>630</v>
      </c>
      <c r="AK127" s="64" t="s" ph="1">
        <v>640</v>
      </c>
      <c r="AY127" s="64" t="s" ph="1">
        <v>257</v>
      </c>
      <c r="AZ127" s="64" t="s" ph="1">
        <v>640</v>
      </c>
    </row>
    <row r="128" spans="33:52" ph="1">
      <c r="AH128" s="64" ph="1">
        <v>8</v>
      </c>
      <c r="AI128" s="64" t="s" ph="1">
        <v>563</v>
      </c>
      <c r="AY128" s="64" t="s" ph="1">
        <v>257</v>
      </c>
      <c r="AZ128" s="64" t="s" ph="1">
        <v>408</v>
      </c>
    </row>
    <row r="129" spans="33:52" ph="1">
      <c r="AH129" s="64" ph="1">
        <v>9</v>
      </c>
      <c r="AI129" s="64" t="s" ph="1">
        <v>564</v>
      </c>
      <c r="AY129" s="64" t="s" ph="1">
        <v>257</v>
      </c>
      <c r="AZ129" s="64" t="s" ph="1">
        <v>408</v>
      </c>
    </row>
    <row r="130" spans="33:52" ph="1">
      <c r="AH130" s="64" ph="1">
        <v>10</v>
      </c>
      <c r="AI130" s="64" t="s" ph="1">
        <v>565</v>
      </c>
      <c r="AY130" s="64" t="s" ph="1">
        <v>257</v>
      </c>
      <c r="AZ130" s="64" t="s" ph="1">
        <v>408</v>
      </c>
    </row>
    <row r="131" spans="33:52" ph="1">
      <c r="AH131" s="64" ph="1">
        <v>11</v>
      </c>
      <c r="AI131" s="64" t="s" ph="1">
        <v>566</v>
      </c>
      <c r="AJ131" s="64" t="s" ph="1">
        <v>624</v>
      </c>
      <c r="AK131" s="64" t="s" ph="1">
        <v>620</v>
      </c>
      <c r="AY131" s="64" t="s" ph="1">
        <v>257</v>
      </c>
      <c r="AZ131" s="64" t="s" ph="1">
        <v>620</v>
      </c>
    </row>
    <row r="132" spans="33:52" ph="1">
      <c r="AH132" s="64" ph="1">
        <v>12</v>
      </c>
      <c r="AI132" s="64" t="s" ph="1">
        <v>567</v>
      </c>
      <c r="AJ132" s="64" t="s" ph="1">
        <v>624</v>
      </c>
      <c r="AK132" s="64" t="s" ph="1">
        <v>559</v>
      </c>
      <c r="AY132" s="64" t="s" ph="1">
        <v>257</v>
      </c>
      <c r="AZ132" s="64" t="s" ph="1">
        <v>559</v>
      </c>
    </row>
    <row r="133" spans="33:52" ph="1">
      <c r="AH133" s="64" ph="1">
        <v>13</v>
      </c>
      <c r="AI133" s="64" t="s" ph="1">
        <v>568</v>
      </c>
      <c r="AJ133" s="64" t="s" ph="1">
        <v>624</v>
      </c>
      <c r="AK133" s="64" t="s" ph="1">
        <v>625</v>
      </c>
      <c r="AY133" s="64" t="s" ph="1">
        <v>257</v>
      </c>
      <c r="AZ133" s="64" t="s" ph="1">
        <v>625</v>
      </c>
    </row>
    <row r="134" spans="33:52" ph="1">
      <c r="AH134" s="64" ph="1">
        <v>14</v>
      </c>
      <c r="AI134" s="64" t="s" ph="1">
        <v>569</v>
      </c>
      <c r="AJ134" s="64" t="s" ph="1">
        <v>624</v>
      </c>
      <c r="AK134" s="64" t="s" ph="1">
        <v>626</v>
      </c>
      <c r="AY134" s="64" t="s" ph="1">
        <v>257</v>
      </c>
      <c r="AZ134" s="64" t="s" ph="1">
        <v>626</v>
      </c>
    </row>
    <row r="135" spans="33:52" ph="1">
      <c r="AH135" s="64" ph="1">
        <v>15</v>
      </c>
      <c r="AI135" s="64" t="s" ph="1">
        <v>570</v>
      </c>
      <c r="AJ135" s="64" t="s" ph="1">
        <v>624</v>
      </c>
      <c r="AK135" s="64" t="s" ph="1">
        <v>627</v>
      </c>
      <c r="AY135" s="64" t="s" ph="1">
        <v>257</v>
      </c>
      <c r="AZ135" s="64" t="s" ph="1">
        <v>627</v>
      </c>
    </row>
    <row r="136" spans="33:52" ph="1">
      <c r="AZ136" s="64" t="s" ph="1">
        <v>641</v>
      </c>
    </row>
    <row r="137" spans="33:52" ph="1">
      <c r="AG137" s="64" t="s" ph="1">
        <v>331</v>
      </c>
      <c r="AI137" s="64" t="s" ph="1">
        <v>250</v>
      </c>
      <c r="AJ137" s="64" t="s" ph="1">
        <v>251</v>
      </c>
      <c r="AK137" s="64" t="s" ph="1">
        <v>252</v>
      </c>
      <c r="AM137" s="64" t="s" ph="1">
        <v>251</v>
      </c>
      <c r="AN137" s="64" t="s" ph="1">
        <v>252</v>
      </c>
      <c r="AO137" s="64" t="s" ph="1">
        <v>253</v>
      </c>
      <c r="AP137" s="64" t="s" ph="1">
        <v>251</v>
      </c>
      <c r="AQ137" s="64" t="s" ph="1">
        <v>252</v>
      </c>
      <c r="AR137" s="64" t="s" ph="1">
        <v>253</v>
      </c>
      <c r="AS137" s="64" t="s" ph="1">
        <v>251</v>
      </c>
      <c r="AT137" s="64" t="s" ph="1">
        <v>252</v>
      </c>
      <c r="AU137" s="64" t="s" ph="1">
        <v>253</v>
      </c>
      <c r="AV137" s="64" t="s" ph="1">
        <v>251</v>
      </c>
      <c r="AW137" s="64" t="s" ph="1">
        <v>252</v>
      </c>
      <c r="AX137" s="64" t="s" ph="1">
        <v>253</v>
      </c>
      <c r="AY137" s="64" t="s" ph="1">
        <v>252</v>
      </c>
      <c r="AZ137" s="64" t="s" ph="1">
        <v>254</v>
      </c>
    </row>
    <row r="138" spans="33:52" ph="1">
      <c r="AH138" s="64" ph="1">
        <v>1</v>
      </c>
      <c r="AI138" s="64" t="s" ph="1">
        <v>571</v>
      </c>
      <c r="AJ138" s="64" t="s" ph="1">
        <v>572</v>
      </c>
      <c r="AK138" s="64" t="s" ph="1">
        <v>573</v>
      </c>
      <c r="AY138" s="64" t="s" ph="1">
        <v>257</v>
      </c>
      <c r="AZ138" s="64" t="s" ph="1">
        <v>573</v>
      </c>
    </row>
    <row r="139" spans="33:52" ph="1">
      <c r="AH139" s="64" ph="1">
        <v>2</v>
      </c>
      <c r="AI139" s="64" t="s" ph="1">
        <v>574</v>
      </c>
      <c r="AJ139" s="64" t="s" ph="1">
        <v>630</v>
      </c>
      <c r="AK139" s="64" t="s" ph="1">
        <v>642</v>
      </c>
      <c r="AY139" s="64" t="s" ph="1">
        <v>257</v>
      </c>
      <c r="AZ139" s="64" t="s" ph="1">
        <v>642</v>
      </c>
    </row>
    <row r="140" spans="33:52" ph="1">
      <c r="AH140" s="64" ph="1">
        <v>3</v>
      </c>
      <c r="AI140" s="64" t="s" ph="1">
        <v>575</v>
      </c>
      <c r="AJ140" s="64" t="s" ph="1">
        <v>528</v>
      </c>
      <c r="AK140" s="64" t="s" ph="1">
        <v>340</v>
      </c>
      <c r="AM140" s="64" t="s" ph="1">
        <v>529</v>
      </c>
      <c r="AN140" s="64" t="s" ph="1">
        <v>260</v>
      </c>
      <c r="AO140" s="64" t="s" ph="1">
        <v>576</v>
      </c>
      <c r="AP140" s="64" t="s" ph="1">
        <v>530</v>
      </c>
      <c r="AQ140" s="64" t="s" ph="1">
        <v>277</v>
      </c>
      <c r="AR140" s="64" t="s" ph="1">
        <v>576</v>
      </c>
      <c r="AS140" s="64" t="s" ph="1">
        <v>531</v>
      </c>
      <c r="AT140" s="64" t="s" ph="1">
        <v>270</v>
      </c>
      <c r="AU140" s="64" t="s" ph="1">
        <v>576</v>
      </c>
      <c r="AV140" s="64" t="s" ph="1">
        <v>532</v>
      </c>
      <c r="AW140" s="64" t="s" ph="1">
        <v>263</v>
      </c>
      <c r="AX140" s="64" t="s" ph="1">
        <v>576</v>
      </c>
      <c r="AY140" s="64" t="s" ph="1">
        <v>257</v>
      </c>
      <c r="AZ140" s="64" t="s" ph="1">
        <v>332</v>
      </c>
    </row>
    <row r="141" spans="33:52" ph="1">
      <c r="AJ141" s="64" t="s" ph="1">
        <v>534</v>
      </c>
      <c r="AK141" s="64" t="s" ph="1">
        <v>263</v>
      </c>
      <c r="AM141" s="64" t="s" ph="1">
        <v>535</v>
      </c>
      <c r="AN141" s="64" t="s" ph="1">
        <v>266</v>
      </c>
      <c r="AO141" s="64" t="s" ph="1">
        <v>576</v>
      </c>
      <c r="AP141" s="64" t="s" ph="1">
        <v>547</v>
      </c>
      <c r="AQ141" s="64" t="s" ph="1">
        <v>335</v>
      </c>
      <c r="AR141" s="64" t="s" ph="1">
        <v>576</v>
      </c>
      <c r="AS141" s="64" t="s" ph="1">
        <v>539</v>
      </c>
      <c r="AT141" s="64" t="s" ph="1">
        <v>263</v>
      </c>
      <c r="AU141" s="64" t="s" ph="1">
        <v>576</v>
      </c>
      <c r="AV141" s="64" t="s" ph="1">
        <v>375</v>
      </c>
      <c r="AW141" s="64" t="s" ph="1">
        <v>269</v>
      </c>
      <c r="AX141" s="64" t="s" ph="1">
        <v>576</v>
      </c>
    </row>
    <row r="142" spans="33:52" ph="1">
      <c r="AJ142" s="64" t="s" ph="1">
        <v>577</v>
      </c>
      <c r="AK142" s="64" t="s" ph="1">
        <v>280</v>
      </c>
    </row>
    <row r="143" spans="33:52" ph="1">
      <c r="AH143" s="64" ph="1">
        <v>4</v>
      </c>
      <c r="AI143" s="64" t="s" ph="1">
        <v>578</v>
      </c>
      <c r="AJ143" s="64" t="s" ph="1">
        <v>558</v>
      </c>
      <c r="AK143" s="64" t="s" ph="1">
        <v>579</v>
      </c>
      <c r="AY143" s="64" t="s" ph="1">
        <v>257</v>
      </c>
      <c r="AZ143" s="64" t="s" ph="1">
        <v>579</v>
      </c>
    </row>
    <row r="144" spans="33:52" ph="1">
      <c r="AH144" s="64" ph="1">
        <v>5</v>
      </c>
      <c r="AI144" s="64" t="s" ph="1">
        <v>580</v>
      </c>
      <c r="AY144" s="64" t="s" ph="1">
        <v>257</v>
      </c>
      <c r="AZ144" s="64" t="s" ph="1">
        <v>408</v>
      </c>
    </row>
    <row r="145" spans="33:52" ph="1">
      <c r="AH145" s="64" ph="1">
        <v>6</v>
      </c>
      <c r="AI145" s="64" t="s" ph="1">
        <v>581</v>
      </c>
      <c r="AY145" s="64" t="s" ph="1">
        <v>257</v>
      </c>
      <c r="AZ145" s="64" t="s" ph="1">
        <v>408</v>
      </c>
    </row>
    <row r="146" spans="33:52" ph="1">
      <c r="AH146" s="64" ph="1">
        <v>7</v>
      </c>
      <c r="AI146" s="64" t="s" ph="1">
        <v>582</v>
      </c>
      <c r="AY146" s="64" t="s" ph="1">
        <v>257</v>
      </c>
      <c r="AZ146" s="64" t="s" ph="1">
        <v>408</v>
      </c>
    </row>
    <row r="147" spans="33:52" ph="1">
      <c r="AH147" s="64" ph="1">
        <v>8</v>
      </c>
      <c r="AI147" s="64" t="s" ph="1">
        <v>583</v>
      </c>
      <c r="AY147" s="64" t="s" ph="1">
        <v>257</v>
      </c>
      <c r="AZ147" s="64" t="s" ph="1">
        <v>408</v>
      </c>
    </row>
    <row r="148" spans="33:52" ph="1">
      <c r="AH148" s="64" ph="1">
        <v>9</v>
      </c>
      <c r="AI148" s="64" t="s" ph="1">
        <v>584</v>
      </c>
      <c r="AY148" s="64" t="s" ph="1">
        <v>257</v>
      </c>
      <c r="AZ148" s="64" t="s" ph="1">
        <v>408</v>
      </c>
    </row>
    <row r="149" spans="33:52" ph="1">
      <c r="AH149" s="64" ph="1">
        <v>10</v>
      </c>
      <c r="AI149" s="64" t="s" ph="1">
        <v>585</v>
      </c>
      <c r="AY149" s="64" t="s" ph="1">
        <v>257</v>
      </c>
      <c r="AZ149" s="64" t="s" ph="1">
        <v>408</v>
      </c>
    </row>
    <row r="150" spans="33:52" ph="1">
      <c r="AH150" s="64" ph="1">
        <v>11</v>
      </c>
      <c r="AI150" s="64" t="s" ph="1">
        <v>586</v>
      </c>
      <c r="AY150" s="64" t="s" ph="1">
        <v>257</v>
      </c>
      <c r="AZ150" s="64" t="s" ph="1">
        <v>408</v>
      </c>
    </row>
    <row r="151" spans="33:52" ph="1">
      <c r="AH151" s="64" ph="1">
        <v>12</v>
      </c>
      <c r="AI151" s="64" t="s" ph="1">
        <v>587</v>
      </c>
      <c r="AY151" s="64" t="s" ph="1">
        <v>257</v>
      </c>
      <c r="AZ151" s="64" t="s" ph="1">
        <v>408</v>
      </c>
    </row>
    <row r="152" spans="33:52" ph="1">
      <c r="AH152" s="64" ph="1">
        <v>13</v>
      </c>
      <c r="AI152" s="64" t="s" ph="1">
        <v>588</v>
      </c>
      <c r="AY152" s="64" t="s" ph="1">
        <v>257</v>
      </c>
      <c r="AZ152" s="64" t="s" ph="1">
        <v>408</v>
      </c>
    </row>
    <row r="153" spans="33:52" ph="1">
      <c r="AH153" s="64" ph="1">
        <v>14</v>
      </c>
      <c r="AI153" s="64" t="s" ph="1">
        <v>589</v>
      </c>
      <c r="AY153" s="64" t="s" ph="1">
        <v>257</v>
      </c>
      <c r="AZ153" s="64" t="s" ph="1">
        <v>408</v>
      </c>
    </row>
    <row r="154" spans="33:52" ph="1">
      <c r="AH154" s="64" ph="1">
        <v>15</v>
      </c>
      <c r="AI154" s="64" t="s" ph="1">
        <v>590</v>
      </c>
      <c r="AY154" s="64" t="s" ph="1">
        <v>257</v>
      </c>
      <c r="AZ154" s="64" t="s" ph="1">
        <v>408</v>
      </c>
    </row>
    <row r="155" spans="33:52" ph="1">
      <c r="AH155" s="64" ph="1">
        <v>16</v>
      </c>
      <c r="AI155" s="64" t="s" ph="1">
        <v>591</v>
      </c>
      <c r="AJ155" s="64" t="s" ph="1">
        <v>377</v>
      </c>
      <c r="AK155" s="64" t="s" ph="1">
        <v>272</v>
      </c>
      <c r="AM155" s="64" t="s" ph="1">
        <v>611</v>
      </c>
      <c r="AN155" s="64" t="s" ph="1">
        <v>323</v>
      </c>
      <c r="AO155" s="64" t="s" ph="1">
        <v>576</v>
      </c>
      <c r="AY155" s="64" t="s" ph="1">
        <v>257</v>
      </c>
      <c r="AZ155" s="64" t="s" ph="1">
        <v>264</v>
      </c>
    </row>
    <row r="156" spans="33:52" ph="1">
      <c r="AZ156" s="64" t="s" ph="1">
        <v>643</v>
      </c>
    </row>
    <row r="157" spans="33:52" ph="1">
      <c r="AG157" s="64" t="s" ph="1">
        <v>592</v>
      </c>
      <c r="AI157" s="64" t="s" ph="1">
        <v>250</v>
      </c>
      <c r="AJ157" s="64" t="s" ph="1">
        <v>251</v>
      </c>
      <c r="AK157" s="64" t="s" ph="1">
        <v>252</v>
      </c>
      <c r="AM157" s="64" t="s" ph="1">
        <v>251</v>
      </c>
      <c r="AN157" s="64" t="s" ph="1">
        <v>252</v>
      </c>
      <c r="AO157" s="64" t="s" ph="1">
        <v>253</v>
      </c>
      <c r="AP157" s="64" t="s" ph="1">
        <v>251</v>
      </c>
      <c r="AQ157" s="64" t="s" ph="1">
        <v>252</v>
      </c>
      <c r="AR157" s="64" t="s" ph="1">
        <v>253</v>
      </c>
      <c r="AS157" s="64" t="s" ph="1">
        <v>251</v>
      </c>
      <c r="AT157" s="64" t="s" ph="1">
        <v>252</v>
      </c>
      <c r="AU157" s="64" t="s" ph="1">
        <v>253</v>
      </c>
      <c r="AV157" s="64" t="s" ph="1">
        <v>251</v>
      </c>
      <c r="AW157" s="64" t="s" ph="1">
        <v>252</v>
      </c>
      <c r="AX157" s="64" t="s" ph="1">
        <v>253</v>
      </c>
      <c r="AY157" s="64" t="s" ph="1">
        <v>252</v>
      </c>
      <c r="AZ157" s="64" t="s" ph="1">
        <v>254</v>
      </c>
    </row>
    <row r="158" spans="33:52" ph="1">
      <c r="AH158" s="64" ph="1">
        <v>1</v>
      </c>
      <c r="AI158" s="64" t="s" ph="1">
        <v>593</v>
      </c>
      <c r="AY158" s="64" t="s" ph="1">
        <v>257</v>
      </c>
      <c r="AZ158" s="64" t="s" ph="1">
        <v>408</v>
      </c>
    </row>
    <row r="159" spans="33:52" ph="1">
      <c r="AH159" s="64" ph="1">
        <v>2</v>
      </c>
      <c r="AI159" s="64" t="s" ph="1">
        <v>594</v>
      </c>
      <c r="AY159" s="64" t="s" ph="1">
        <v>257</v>
      </c>
      <c r="AZ159" s="64" t="s" ph="1">
        <v>408</v>
      </c>
    </row>
    <row r="160" spans="33:52" ph="1">
      <c r="AZ160" s="64" t="s" ph="1">
        <v>426</v>
      </c>
    </row>
    <row r="161" spans="33:52" ph="1">
      <c r="AG161" s="64" t="s" ph="1">
        <v>402</v>
      </c>
      <c r="AI161" s="64" t="s" ph="1">
        <v>250</v>
      </c>
      <c r="AJ161" s="64" t="s" ph="1">
        <v>251</v>
      </c>
      <c r="AK161" s="64" t="s" ph="1">
        <v>252</v>
      </c>
      <c r="AM161" s="64" t="s" ph="1">
        <v>251</v>
      </c>
      <c r="AN161" s="64" t="s" ph="1">
        <v>252</v>
      </c>
      <c r="AO161" s="64" t="s" ph="1">
        <v>253</v>
      </c>
      <c r="AP161" s="64" t="s" ph="1">
        <v>251</v>
      </c>
      <c r="AQ161" s="64" t="s" ph="1">
        <v>252</v>
      </c>
      <c r="AR161" s="64" t="s" ph="1">
        <v>253</v>
      </c>
      <c r="AS161" s="64" t="s" ph="1">
        <v>251</v>
      </c>
      <c r="AT161" s="64" t="s" ph="1">
        <v>252</v>
      </c>
      <c r="AU161" s="64" t="s" ph="1">
        <v>253</v>
      </c>
      <c r="AV161" s="64" t="s" ph="1">
        <v>251</v>
      </c>
      <c r="AW161" s="64" t="s" ph="1">
        <v>252</v>
      </c>
      <c r="AX161" s="64" t="s" ph="1">
        <v>253</v>
      </c>
      <c r="AY161" s="64" t="s" ph="1">
        <v>252</v>
      </c>
      <c r="AZ161" s="64" t="s" ph="1">
        <v>254</v>
      </c>
    </row>
    <row r="162" spans="33:52" ph="1">
      <c r="AH162" s="64" ph="1">
        <v>1</v>
      </c>
      <c r="AI162" s="64" t="s" ph="1">
        <v>595</v>
      </c>
      <c r="AJ162" s="64" t="s" ph="1">
        <v>596</v>
      </c>
      <c r="AK162" s="64" t="s" ph="1">
        <v>540</v>
      </c>
      <c r="AM162" s="64" t="s" ph="1">
        <v>597</v>
      </c>
      <c r="AN162" s="64" t="s" ph="1">
        <v>261</v>
      </c>
      <c r="AO162" s="64" t="s" ph="1">
        <v>598</v>
      </c>
      <c r="AY162" s="64" t="s" ph="1">
        <v>257</v>
      </c>
      <c r="AZ162" s="64" t="s" ph="1">
        <v>333</v>
      </c>
    </row>
    <row r="163" spans="33:52" ph="1">
      <c r="AH163" s="64" ph="1">
        <v>2</v>
      </c>
      <c r="AI163" s="64" t="s" ph="1">
        <v>599</v>
      </c>
      <c r="AJ163" s="64" t="s" ph="1">
        <v>596</v>
      </c>
      <c r="AK163" s="64" t="s" ph="1">
        <v>429</v>
      </c>
      <c r="AY163" s="64" t="s" ph="1">
        <v>257</v>
      </c>
      <c r="AZ163" s="64" t="s" ph="1">
        <v>429</v>
      </c>
    </row>
    <row r="164" spans="33:52" ph="1">
      <c r="AH164" s="64" ph="1">
        <v>3</v>
      </c>
      <c r="AI164" s="64" t="s" ph="1">
        <v>600</v>
      </c>
      <c r="AJ164" s="64" t="s" ph="1">
        <v>596</v>
      </c>
      <c r="AK164" s="64" t="s" ph="1">
        <v>333</v>
      </c>
      <c r="AY164" s="64" t="s" ph="1">
        <v>257</v>
      </c>
      <c r="AZ164" s="64" t="s" ph="1">
        <v>333</v>
      </c>
    </row>
    <row r="165" spans="33:52" ph="1">
      <c r="AH165" s="64" ph="1">
        <v>4</v>
      </c>
      <c r="AI165" s="64" t="s" ph="1">
        <v>601</v>
      </c>
      <c r="AY165" s="64" t="s" ph="1">
        <v>257</v>
      </c>
      <c r="AZ165" s="64" t="s" ph="1">
        <v>408</v>
      </c>
    </row>
    <row r="166" spans="33:52" ph="1">
      <c r="AH166" s="64" ph="1">
        <v>5</v>
      </c>
      <c r="AI166" s="64" t="s" ph="1">
        <v>602</v>
      </c>
      <c r="AY166" s="64" t="s" ph="1">
        <v>257</v>
      </c>
      <c r="AZ166" s="64" t="s" ph="1">
        <v>408</v>
      </c>
    </row>
    <row r="167" spans="33:52" ph="1">
      <c r="AZ167" s="64" t="s" ph="1">
        <v>603</v>
      </c>
    </row>
    <row r="168" spans="33:52" ph="1">
      <c r="AG168" s="64" t="s" ph="1">
        <v>346</v>
      </c>
      <c r="AI168" s="64" t="s" ph="1">
        <v>250</v>
      </c>
      <c r="AJ168" s="64" t="s" ph="1">
        <v>251</v>
      </c>
      <c r="AK168" s="64" t="s" ph="1">
        <v>252</v>
      </c>
      <c r="AM168" s="64" t="s" ph="1">
        <v>251</v>
      </c>
      <c r="AN168" s="64" t="s" ph="1">
        <v>252</v>
      </c>
      <c r="AO168" s="64" t="s" ph="1">
        <v>253</v>
      </c>
      <c r="AP168" s="64" t="s" ph="1">
        <v>251</v>
      </c>
      <c r="AQ168" s="64" t="s" ph="1">
        <v>252</v>
      </c>
      <c r="AR168" s="64" t="s" ph="1">
        <v>253</v>
      </c>
      <c r="AS168" s="64" t="s" ph="1">
        <v>251</v>
      </c>
      <c r="AT168" s="64" t="s" ph="1">
        <v>252</v>
      </c>
      <c r="AU168" s="64" t="s" ph="1">
        <v>253</v>
      </c>
      <c r="AV168" s="64" t="s" ph="1">
        <v>251</v>
      </c>
      <c r="AW168" s="64" t="s" ph="1">
        <v>252</v>
      </c>
      <c r="AX168" s="64" t="s" ph="1">
        <v>253</v>
      </c>
      <c r="AY168" s="64" t="s" ph="1">
        <v>252</v>
      </c>
      <c r="AZ168" s="64" t="s" ph="1">
        <v>254</v>
      </c>
    </row>
    <row r="169" spans="33:52" ph="1">
      <c r="AH169" s="64" ph="1">
        <v>1</v>
      </c>
      <c r="AI169" s="64" t="s" ph="1">
        <v>604</v>
      </c>
      <c r="AY169" s="64" t="s" ph="1">
        <v>257</v>
      </c>
      <c r="AZ169" s="64" t="s" ph="1">
        <v>408</v>
      </c>
    </row>
    <row r="170" spans="33:52" ph="1">
      <c r="AH170" s="64" ph="1">
        <v>2</v>
      </c>
      <c r="AI170" s="64" t="s" ph="1">
        <v>605</v>
      </c>
      <c r="AY170" s="64" t="s" ph="1">
        <v>257</v>
      </c>
      <c r="AZ170" s="64" t="s" ph="1">
        <v>408</v>
      </c>
    </row>
    <row r="171" spans="33:52" ph="1">
      <c r="AH171" s="64" ph="1">
        <v>3</v>
      </c>
      <c r="AI171" s="64" t="s" ph="1">
        <v>606</v>
      </c>
      <c r="AY171" s="64" t="s" ph="1">
        <v>257</v>
      </c>
      <c r="AZ171" s="64" t="s" ph="1">
        <v>408</v>
      </c>
    </row>
    <row r="172" spans="33:52" ph="1">
      <c r="AH172" s="64" ph="1">
        <v>4</v>
      </c>
      <c r="AI172" s="64" t="s" ph="1">
        <v>607</v>
      </c>
      <c r="AY172" s="64" t="s" ph="1">
        <v>257</v>
      </c>
      <c r="AZ172" s="64" t="s" ph="1">
        <v>408</v>
      </c>
    </row>
    <row r="173" spans="33:52" ph="1">
      <c r="AH173" s="64" ph="1">
        <v>5</v>
      </c>
      <c r="AI173" s="64" t="s" ph="1">
        <v>608</v>
      </c>
      <c r="AY173" s="64" t="s" ph="1">
        <v>257</v>
      </c>
      <c r="AZ173" s="64" t="s" ph="1">
        <v>408</v>
      </c>
    </row>
    <row r="174" spans="33:52" ph="1">
      <c r="AZ174" s="64" t="s" ph="1">
        <v>426</v>
      </c>
    </row>
    <row r="175" spans="33:52" ph="1">
      <c r="AJ175" s="64" t="s" ph="1">
        <v>347</v>
      </c>
    </row>
    <row r="176" spans="33:52" ph="1">
      <c r="AJ176" s="64" t="s" ph="1">
        <v>348</v>
      </c>
      <c r="AK176" s="64" t="s" ph="1">
        <v>349</v>
      </c>
      <c r="AM176" s="64" t="s" ph="1">
        <v>350</v>
      </c>
      <c r="AO176" s="64" t="s" ph="1">
        <v>351</v>
      </c>
      <c r="AP176" s="64" t="s" ph="1">
        <v>352</v>
      </c>
      <c r="AQ176" s="64" t="s" ph="1">
        <v>342</v>
      </c>
      <c r="AR176" s="64" t="s" ph="1">
        <v>262</v>
      </c>
    </row>
    <row r="177" spans="36:56" ph="1">
      <c r="AJ177" s="64" t="s" ph="1">
        <v>644</v>
      </c>
      <c r="AK177" s="64" t="s" ph="1">
        <v>353</v>
      </c>
      <c r="AO177" s="64" t="s" ph="1">
        <v>353</v>
      </c>
      <c r="AP177" s="64" t="s" ph="1">
        <v>353</v>
      </c>
      <c r="AQ177" s="64" t="s" ph="1">
        <v>354</v>
      </c>
      <c r="AR177" s="64" t="s" ph="1">
        <v>355</v>
      </c>
    </row>
    <row r="179" spans="36:56" ph="1">
      <c r="AJ179" s="64" t="s" ph="1">
        <v>356</v>
      </c>
      <c r="AK179" s="64" t="s" ph="1">
        <v>357</v>
      </c>
      <c r="AM179" s="64" t="s" ph="1">
        <v>358</v>
      </c>
      <c r="AN179" s="64" t="s" ph="1">
        <v>334</v>
      </c>
      <c r="AO179" s="64" t="s" ph="1">
        <v>359</v>
      </c>
      <c r="AP179" s="64" t="s" ph="1">
        <v>338</v>
      </c>
      <c r="AQ179" s="64" t="s" ph="1">
        <v>360</v>
      </c>
      <c r="AR179" s="64" t="s" ph="1">
        <v>361</v>
      </c>
    </row>
    <row r="180" spans="36:56" ph="1">
      <c r="AJ180" s="64" t="s" ph="1">
        <v>353</v>
      </c>
      <c r="AK180" s="64" t="s" ph="1">
        <v>353</v>
      </c>
      <c r="AL180" s="64" ph="1">
        <v>116</v>
      </c>
      <c r="AM180" s="64" t="s" ph="1">
        <v>353</v>
      </c>
      <c r="AN180" s="64" t="s" ph="1">
        <v>362</v>
      </c>
      <c r="AO180" s="64" t="s" ph="1">
        <v>353</v>
      </c>
      <c r="AP180" s="64" t="s" ph="1">
        <v>363</v>
      </c>
      <c r="AQ180" s="64" t="s" ph="1">
        <v>364</v>
      </c>
      <c r="AR180" s="64" t="s" ph="1">
        <v>365</v>
      </c>
    </row>
    <row r="189" spans="36:56" ph="1">
      <c r="BD189" s="64" t="s" ph="1">
        <v>609</v>
      </c>
    </row>
    <row r="223" spans="18:18" ph="1">
      <c r="R223" s="138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629" priority="96">
      <formula>ABS(D$7-D$10)&gt;=1000</formula>
    </cfRule>
  </conditionalFormatting>
  <conditionalFormatting sqref="E4 E6:E11">
    <cfRule type="expression" dxfId="628" priority="95">
      <formula>ABS(E$7-E$10)&gt;=1000</formula>
    </cfRule>
  </conditionalFormatting>
  <conditionalFormatting sqref="F4:F11">
    <cfRule type="expression" dxfId="627" priority="94">
      <formula>ABS(F$7-F$10)&gt;=1000</formula>
    </cfRule>
  </conditionalFormatting>
  <conditionalFormatting sqref="G4:G11">
    <cfRule type="expression" dxfId="626" priority="93">
      <formula>ABS(G$7-G$10)&gt;=1000</formula>
    </cfRule>
  </conditionalFormatting>
  <conditionalFormatting sqref="H4:H11">
    <cfRule type="expression" dxfId="625" priority="92">
      <formula>ABS(H$7-H$10)&gt;=1000</formula>
    </cfRule>
  </conditionalFormatting>
  <conditionalFormatting sqref="I4:I11">
    <cfRule type="expression" dxfId="624" priority="91">
      <formula>ABS(I$7-I$10)&gt;=1000</formula>
    </cfRule>
  </conditionalFormatting>
  <conditionalFormatting sqref="J4:J11">
    <cfRule type="expression" dxfId="623" priority="90">
      <formula>ABS(J$7-J$10)&gt;=1000</formula>
    </cfRule>
  </conditionalFormatting>
  <conditionalFormatting sqref="K4:K11">
    <cfRule type="expression" dxfId="622" priority="89">
      <formula>ABS(K$7-K$10)&gt;=1000</formula>
    </cfRule>
  </conditionalFormatting>
  <conditionalFormatting sqref="L4:L11">
    <cfRule type="expression" dxfId="621" priority="88">
      <formula>ABS(L$7-L$10)&gt;=1000</formula>
    </cfRule>
  </conditionalFormatting>
  <conditionalFormatting sqref="M4 M6:M11">
    <cfRule type="expression" dxfId="620" priority="87">
      <formula>ABS(M$7-M$10)&gt;=1000</formula>
    </cfRule>
  </conditionalFormatting>
  <conditionalFormatting sqref="N4 N6:N11">
    <cfRule type="expression" dxfId="619" priority="86">
      <formula>ABS(N$7-N$10)&gt;=1000</formula>
    </cfRule>
  </conditionalFormatting>
  <conditionalFormatting sqref="O4 O6:O11">
    <cfRule type="expression" dxfId="618" priority="85">
      <formula>ABS(O$7-O$10)&gt;=1000</formula>
    </cfRule>
  </conditionalFormatting>
  <conditionalFormatting sqref="P4 P6:P11">
    <cfRule type="expression" dxfId="617" priority="84">
      <formula>ABS(P$7-P$10)&gt;=1000</formula>
    </cfRule>
  </conditionalFormatting>
  <conditionalFormatting sqref="Q4:Q11">
    <cfRule type="expression" dxfId="616" priority="83">
      <formula>ABS(Q$7-Q$10)&gt;=1000</formula>
    </cfRule>
  </conditionalFormatting>
  <conditionalFormatting sqref="R4:R11">
    <cfRule type="expression" dxfId="615" priority="82">
      <formula>ABS(R$7-R$10)&gt;=1000</formula>
    </cfRule>
  </conditionalFormatting>
  <conditionalFormatting sqref="S4:S11">
    <cfRule type="expression" dxfId="614" priority="81">
      <formula>ABS(S$7-S$10)&gt;=1000</formula>
    </cfRule>
  </conditionalFormatting>
  <conditionalFormatting sqref="T4:T9 T11">
    <cfRule type="expression" dxfId="613" priority="80">
      <formula>ABS(T$7-T$10)&gt;=1000</formula>
    </cfRule>
  </conditionalFormatting>
  <conditionalFormatting sqref="U4:U9 U11">
    <cfRule type="expression" dxfId="612" priority="79">
      <formula>ABS(U$7-U$10)&gt;=1000</formula>
    </cfRule>
  </conditionalFormatting>
  <conditionalFormatting sqref="V4:V9 V11">
    <cfRule type="expression" dxfId="611" priority="78">
      <formula>ABS(V$7-V$10)&gt;=1000</formula>
    </cfRule>
  </conditionalFormatting>
  <conditionalFormatting sqref="W4:W9 W11">
    <cfRule type="expression" dxfId="610" priority="77">
      <formula>ABS(W$7-W$10)&gt;=1000</formula>
    </cfRule>
  </conditionalFormatting>
  <conditionalFormatting sqref="X4:X9 X11">
    <cfRule type="expression" dxfId="609" priority="76">
      <formula>ABS(X$7-X$10)&gt;=1000</formula>
    </cfRule>
  </conditionalFormatting>
  <conditionalFormatting sqref="Y4:Y9 Y11">
    <cfRule type="expression" dxfId="608" priority="75">
      <formula>ABS(Y$7-Y$10)&gt;=1000</formula>
    </cfRule>
  </conditionalFormatting>
  <conditionalFormatting sqref="Z4:Z11">
    <cfRule type="expression" dxfId="607" priority="74">
      <formula>ABS(Z$7-Z$10)&gt;=1000</formula>
    </cfRule>
  </conditionalFormatting>
  <conditionalFormatting sqref="AA4:AA11">
    <cfRule type="expression" dxfId="606" priority="73">
      <formula>ABS(AA$7-AA$10)&gt;=1000</formula>
    </cfRule>
  </conditionalFormatting>
  <conditionalFormatting sqref="AB4:AB11">
    <cfRule type="expression" dxfId="605" priority="72">
      <formula>ABS(AB$7-AB$10)&gt;=1000</formula>
    </cfRule>
  </conditionalFormatting>
  <conditionalFormatting sqref="AC4 AC6:AC11">
    <cfRule type="expression" dxfId="604" priority="71">
      <formula>ABS(AC$7-AC$10)&gt;=1000</formula>
    </cfRule>
  </conditionalFormatting>
  <conditionalFormatting sqref="AD4:AD11">
    <cfRule type="expression" dxfId="603" priority="70">
      <formula>ABS(AD$7-AD$10)&gt;=1000</formula>
    </cfRule>
  </conditionalFormatting>
  <conditionalFormatting sqref="AE4:AE11">
    <cfRule type="expression" dxfId="602" priority="69">
      <formula>ABS(AE$7-AE$10)&gt;=1000</formula>
    </cfRule>
  </conditionalFormatting>
  <conditionalFormatting sqref="D13:D20">
    <cfRule type="expression" dxfId="601" priority="68">
      <formula>ABS(D$16-D$19)&gt;=1000</formula>
    </cfRule>
  </conditionalFormatting>
  <conditionalFormatting sqref="E13:E20">
    <cfRule type="expression" dxfId="600" priority="67">
      <formula>ABS(E$16-E$19)&gt;=1000</formula>
    </cfRule>
  </conditionalFormatting>
  <conditionalFormatting sqref="F13 F15:F20">
    <cfRule type="expression" dxfId="599" priority="66">
      <formula>ABS(F$16-F$19)&gt;=1000</formula>
    </cfRule>
  </conditionalFormatting>
  <conditionalFormatting sqref="G13:G20">
    <cfRule type="expression" dxfId="598" priority="65">
      <formula>ABS(G$16-G$19)&gt;=1000</formula>
    </cfRule>
  </conditionalFormatting>
  <conditionalFormatting sqref="H13:H20">
    <cfRule type="expression" dxfId="597" priority="64">
      <formula>ABS(H$16-H$19)&gt;=1000</formula>
    </cfRule>
  </conditionalFormatting>
  <conditionalFormatting sqref="I13:I20">
    <cfRule type="expression" dxfId="596" priority="63">
      <formula>ABS(I$16-I$19)&gt;=1000</formula>
    </cfRule>
  </conditionalFormatting>
  <conditionalFormatting sqref="J13:J20">
    <cfRule type="expression" dxfId="595" priority="62">
      <formula>ABS(J$16-J$19)&gt;=1000</formula>
    </cfRule>
  </conditionalFormatting>
  <conditionalFormatting sqref="L13:L20">
    <cfRule type="expression" dxfId="594" priority="61">
      <formula>ABS(L$16-L$19)&gt;=1000</formula>
    </cfRule>
  </conditionalFormatting>
  <conditionalFormatting sqref="M13 M15 M17:M18 M20">
    <cfRule type="expression" dxfId="593" priority="60">
      <formula>ABS(M$16-M$19)&gt;=1000</formula>
    </cfRule>
  </conditionalFormatting>
  <conditionalFormatting sqref="N13:N20">
    <cfRule type="expression" dxfId="592" priority="59">
      <formula>ABS(N$16-N$19)&gt;=1000</formula>
    </cfRule>
  </conditionalFormatting>
  <conditionalFormatting sqref="O13:O20">
    <cfRule type="expression" dxfId="591" priority="58">
      <formula>ABS(O$16-O$19)&gt;=1000</formula>
    </cfRule>
  </conditionalFormatting>
  <conditionalFormatting sqref="P13:P20">
    <cfRule type="expression" dxfId="590" priority="57">
      <formula>ABS(P$16-P$19)&gt;=1000</formula>
    </cfRule>
  </conditionalFormatting>
  <conditionalFormatting sqref="Q13 Q15:Q20">
    <cfRule type="expression" dxfId="589" priority="56">
      <formula>ABS(Q$16-Q$19)&gt;=1000</formula>
    </cfRule>
  </conditionalFormatting>
  <conditionalFormatting sqref="R13:R20">
    <cfRule type="expression" dxfId="588" priority="55">
      <formula>ABS(R$16-R$19)&gt;=1000</formula>
    </cfRule>
  </conditionalFormatting>
  <conditionalFormatting sqref="S13:S20">
    <cfRule type="expression" dxfId="587" priority="54">
      <formula>ABS(S$16-S$19)&gt;=1000</formula>
    </cfRule>
  </conditionalFormatting>
  <conditionalFormatting sqref="T13:T20">
    <cfRule type="expression" dxfId="586" priority="53">
      <formula>ABS(T$16-T$19)&gt;=1000</formula>
    </cfRule>
  </conditionalFormatting>
  <conditionalFormatting sqref="U13:U20">
    <cfRule type="expression" dxfId="585" priority="52">
      <formula>ABS(U$16-U$19)&gt;=1000</formula>
    </cfRule>
  </conditionalFormatting>
  <conditionalFormatting sqref="V13:V20">
    <cfRule type="expression" dxfId="584" priority="51">
      <formula>ABS(V$16-V$19)&gt;=1000</formula>
    </cfRule>
  </conditionalFormatting>
  <conditionalFormatting sqref="W13 W15:W18 W20">
    <cfRule type="expression" dxfId="583" priority="50">
      <formula>ABS(W$16-W$19)&gt;=1000</formula>
    </cfRule>
  </conditionalFormatting>
  <conditionalFormatting sqref="X13 X15:X20 Y19">
    <cfRule type="expression" dxfId="582" priority="49">
      <formula>ABS(X$16-X$19)&gt;=1000</formula>
    </cfRule>
  </conditionalFormatting>
  <conditionalFormatting sqref="Y13 Y15:Y18 Y20">
    <cfRule type="expression" dxfId="581" priority="48">
      <formula>ABS(Y$16-Y$19)&gt;=1000</formula>
    </cfRule>
  </conditionalFormatting>
  <conditionalFormatting sqref="Z13:Z20">
    <cfRule type="expression" dxfId="580" priority="47">
      <formula>ABS(Z$16-Z$19)&gt;=1000</formula>
    </cfRule>
  </conditionalFormatting>
  <conditionalFormatting sqref="AA13:AA20">
    <cfRule type="expression" dxfId="579" priority="46">
      <formula>ABS(AA$16-AA$19)&gt;=1000</formula>
    </cfRule>
  </conditionalFormatting>
  <conditionalFormatting sqref="AB13 AB15:AB20">
    <cfRule type="expression" dxfId="578" priority="45">
      <formula>ABS(AB$16-AB$19)&gt;=1000</formula>
    </cfRule>
  </conditionalFormatting>
  <conditionalFormatting sqref="AC13 AC15:AC20">
    <cfRule type="expression" dxfId="577" priority="44">
      <formula>ABS(AC$16-AC$19)&gt;=1000</formula>
    </cfRule>
  </conditionalFormatting>
  <conditionalFormatting sqref="AD13:AD20">
    <cfRule type="expression" dxfId="576" priority="43">
      <formula>ABS(AD$16-AD$19)&gt;=1000</formula>
    </cfRule>
  </conditionalFormatting>
  <conditionalFormatting sqref="AE13:AE20">
    <cfRule type="expression" dxfId="575" priority="42">
      <formula>ABS(AE$16-AE$19)&gt;=1000</formula>
    </cfRule>
  </conditionalFormatting>
  <conditionalFormatting sqref="D22:D29">
    <cfRule type="expression" dxfId="574" priority="41">
      <formula>ABS(D$25-D$28)&gt;=1000</formula>
    </cfRule>
  </conditionalFormatting>
  <conditionalFormatting sqref="E22:E29">
    <cfRule type="expression" dxfId="573" priority="40">
      <formula>ABS(E$25-E$28)&gt;=1000</formula>
    </cfRule>
  </conditionalFormatting>
  <conditionalFormatting sqref="F22:F29">
    <cfRule type="expression" dxfId="572" priority="39">
      <formula>ABS(F$25-F$28)&gt;=1000</formula>
    </cfRule>
  </conditionalFormatting>
  <conditionalFormatting sqref="G22:G29">
    <cfRule type="expression" dxfId="571" priority="38">
      <formula>ABS(G$25-G$28)&gt;=1000</formula>
    </cfRule>
  </conditionalFormatting>
  <conditionalFormatting sqref="H22:H29">
    <cfRule type="expression" dxfId="570" priority="37">
      <formula>ABS(H$25-H$28)&gt;=1000</formula>
    </cfRule>
  </conditionalFormatting>
  <conditionalFormatting sqref="I22 I24:I29">
    <cfRule type="expression" dxfId="569" priority="36">
      <formula>ABS(I$25-I$28)&gt;=1000</formula>
    </cfRule>
  </conditionalFormatting>
  <conditionalFormatting sqref="J22:J29 K22">
    <cfRule type="expression" dxfId="568" priority="35">
      <formula>ABS(J$25-J$28)&gt;=1000</formula>
    </cfRule>
  </conditionalFormatting>
  <conditionalFormatting sqref="K23:K29 L25 L28">
    <cfRule type="expression" dxfId="567" priority="34">
      <formula>ABS(K$25-K$28)&gt;=1000</formula>
    </cfRule>
  </conditionalFormatting>
  <conditionalFormatting sqref="L22:L24 L26:L27 L29">
    <cfRule type="expression" dxfId="566" priority="33">
      <formula>ABS(L$25-L$28)&gt;=1000</formula>
    </cfRule>
  </conditionalFormatting>
  <conditionalFormatting sqref="M22:M29">
    <cfRule type="expression" dxfId="565" priority="32">
      <formula>ABS(M$25-M$28)&gt;=1000</formula>
    </cfRule>
  </conditionalFormatting>
  <conditionalFormatting sqref="N22:N29">
    <cfRule type="expression" dxfId="564" priority="31">
      <formula>ABS(N$25-N$28)&gt;=1000</formula>
    </cfRule>
  </conditionalFormatting>
  <conditionalFormatting sqref="O22:O29">
    <cfRule type="expression" dxfId="563" priority="30">
      <formula>ABS(O$25-O$28)&gt;=1000</formula>
    </cfRule>
  </conditionalFormatting>
  <conditionalFormatting sqref="P22:P29">
    <cfRule type="expression" dxfId="562" priority="29">
      <formula>ABS(P$25-P$28)&gt;=1000</formula>
    </cfRule>
  </conditionalFormatting>
  <conditionalFormatting sqref="Q22:Q29">
    <cfRule type="expression" dxfId="561" priority="28">
      <formula>ABS(Q$25-Q$28)&gt;=1000</formula>
    </cfRule>
  </conditionalFormatting>
  <conditionalFormatting sqref="R22:R29">
    <cfRule type="expression" dxfId="560" priority="27">
      <formula>ABS(R$25-R$28)&gt;=1000</formula>
    </cfRule>
  </conditionalFormatting>
  <conditionalFormatting sqref="S22:S29">
    <cfRule type="expression" dxfId="559" priority="26">
      <formula>ABS(S$25-S$28)&gt;=1000</formula>
    </cfRule>
  </conditionalFormatting>
  <conditionalFormatting sqref="T22:T29">
    <cfRule type="expression" dxfId="558" priority="25">
      <formula>ABS(T$25-T$28)&gt;=1000</formula>
    </cfRule>
  </conditionalFormatting>
  <conditionalFormatting sqref="U22:U29">
    <cfRule type="expression" dxfId="557" priority="24">
      <formula>ABS(U$25-U$28)&gt;=1000</formula>
    </cfRule>
  </conditionalFormatting>
  <conditionalFormatting sqref="V22:V29">
    <cfRule type="expression" dxfId="556" priority="23">
      <formula>ABS(V$25-V$28)&gt;=1000</formula>
    </cfRule>
  </conditionalFormatting>
  <conditionalFormatting sqref="W22:W29">
    <cfRule type="expression" dxfId="555" priority="22">
      <formula>ABS(W$25-W$28)&gt;=1000</formula>
    </cfRule>
  </conditionalFormatting>
  <conditionalFormatting sqref="X22:X29">
    <cfRule type="expression" dxfId="554" priority="21">
      <formula>ABS(X$25-X$28)&gt;=1000</formula>
    </cfRule>
  </conditionalFormatting>
  <conditionalFormatting sqref="Y22:Y29">
    <cfRule type="expression" dxfId="553" priority="20">
      <formula>ABS(Y$25-Y$28)&gt;=1000</formula>
    </cfRule>
  </conditionalFormatting>
  <conditionalFormatting sqref="I23">
    <cfRule type="expression" dxfId="552" priority="19">
      <formula>ABS(I$25-I$28)&gt;=1000</formula>
    </cfRule>
  </conditionalFormatting>
  <conditionalFormatting sqref="F14">
    <cfRule type="expression" dxfId="551" priority="18">
      <formula>ABS(F$16-F$19)&gt;=1000</formula>
    </cfRule>
  </conditionalFormatting>
  <conditionalFormatting sqref="Q14">
    <cfRule type="expression" dxfId="550" priority="17">
      <formula>ABS(Q$16-Q$19)&gt;=1000</formula>
    </cfRule>
  </conditionalFormatting>
  <conditionalFormatting sqref="W14">
    <cfRule type="expression" dxfId="549" priority="16">
      <formula>ABS(W$16-W$19)&gt;=1000</formula>
    </cfRule>
  </conditionalFormatting>
  <conditionalFormatting sqref="Y14">
    <cfRule type="expression" dxfId="548" priority="15">
      <formula>ABS(Y$16-Y$19)&gt;=1000</formula>
    </cfRule>
  </conditionalFormatting>
  <conditionalFormatting sqref="X14">
    <cfRule type="expression" dxfId="547" priority="14">
      <formula>ABS(X$16-X$19)&gt;=1000</formula>
    </cfRule>
  </conditionalFormatting>
  <conditionalFormatting sqref="T10:Y10">
    <cfRule type="expression" dxfId="546" priority="13">
      <formula>ABS(T$7-T$10)&gt;=1000</formula>
    </cfRule>
  </conditionalFormatting>
  <conditionalFormatting sqref="W19">
    <cfRule type="expression" dxfId="545" priority="12">
      <formula>ABS(W$16-W$19)&gt;=1000</formula>
    </cfRule>
  </conditionalFormatting>
  <conditionalFormatting sqref="AC5">
    <cfRule type="expression" dxfId="544" priority="11">
      <formula>ABS(AC$7-AC$10)&gt;=1000</formula>
    </cfRule>
  </conditionalFormatting>
  <conditionalFormatting sqref="M14">
    <cfRule type="expression" dxfId="543" priority="10">
      <formula>ABS(M$16-M$19)&gt;=1000</formula>
    </cfRule>
  </conditionalFormatting>
  <conditionalFormatting sqref="M16">
    <cfRule type="expression" dxfId="542" priority="9">
      <formula>ABS(M$16-M$19)&gt;=1000</formula>
    </cfRule>
  </conditionalFormatting>
  <conditionalFormatting sqref="M19">
    <cfRule type="expression" dxfId="541" priority="8">
      <formula>ABS(M$16-M$19)&gt;=1000</formula>
    </cfRule>
  </conditionalFormatting>
  <conditionalFormatting sqref="K13:K20">
    <cfRule type="expression" dxfId="540" priority="7">
      <formula>ABS(K$16-K$19)&gt;=1000</formula>
    </cfRule>
  </conditionalFormatting>
  <conditionalFormatting sqref="E5">
    <cfRule type="expression" dxfId="539" priority="6">
      <formula>ABS(E$7-E$10)&gt;=1000</formula>
    </cfRule>
  </conditionalFormatting>
  <conditionalFormatting sqref="AB14:AC14">
    <cfRule type="expression" dxfId="538" priority="5">
      <formula>ABS(AB$16-AB$19)&gt;=1000</formula>
    </cfRule>
  </conditionalFormatting>
  <conditionalFormatting sqref="M5">
    <cfRule type="expression" dxfId="537" priority="4">
      <formula>ABS(M$7-M$10)&gt;=1000</formula>
    </cfRule>
  </conditionalFormatting>
  <conditionalFormatting sqref="N5">
    <cfRule type="expression" dxfId="536" priority="3">
      <formula>ABS(N$7-N$10)&gt;=1000</formula>
    </cfRule>
  </conditionalFormatting>
  <conditionalFormatting sqref="O5">
    <cfRule type="expression" dxfId="535" priority="2">
      <formula>ABS(O$7-O$10)&gt;=1000</formula>
    </cfRule>
  </conditionalFormatting>
  <conditionalFormatting sqref="P5">
    <cfRule type="expression" dxfId="534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0640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80">
    <pageSetUpPr fitToPage="1"/>
  </sheetPr>
  <dimension ref="A1:CU223"/>
  <sheetViews>
    <sheetView view="pageBreakPreview" topLeftCell="A12" zoomScale="70" zoomScaleNormal="100" zoomScaleSheetLayoutView="70" workbookViewId="0">
      <selection activeCell="Z23" sqref="Z23:AE29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08" t="s" ph="1">
        <v>192</v>
      </c>
      <c r="C1" s="208" ph="1"/>
      <c r="D1" s="208" ph="1"/>
      <c r="E1" s="208" ph="1"/>
      <c r="F1" s="208" ph="1"/>
      <c r="G1" s="208" ph="1"/>
      <c r="H1" s="208" ph="1"/>
      <c r="I1" s="208" ph="1"/>
      <c r="J1" s="208" ph="1"/>
      <c r="K1" s="208" ph="1"/>
      <c r="L1" s="208" ph="1"/>
      <c r="M1" s="208" ph="1"/>
      <c r="N1" s="208" ph="1"/>
      <c r="O1" s="208" ph="1"/>
      <c r="P1" s="208" ph="1"/>
      <c r="Q1" s="208" ph="1"/>
      <c r="R1" s="208" ph="1"/>
      <c r="S1" s="208" ph="1"/>
      <c r="T1" s="208" ph="1"/>
      <c r="U1" s="208" ph="1"/>
      <c r="V1" s="208" ph="1"/>
      <c r="W1" s="208" ph="1"/>
      <c r="X1" s="208" ph="1"/>
      <c r="Y1" s="208" ph="1"/>
      <c r="Z1" s="208" ph="1"/>
      <c r="AA1" s="208" ph="1"/>
      <c r="AB1" s="208" ph="1"/>
      <c r="AC1" s="208" ph="1"/>
      <c r="AD1" s="208" ph="1"/>
      <c r="AE1" s="208" ph="1"/>
    </row>
    <row r="2" spans="1:99" s="66" customFormat="1" ht="24" customHeight="1" ph="1">
      <c r="B2" s="209" t="s" ph="1">
        <v>99</v>
      </c>
      <c r="C2" s="209" ph="1"/>
      <c r="D2" s="209" ph="1"/>
      <c r="E2" s="209" ph="1"/>
      <c r="F2" s="209" ph="1"/>
      <c r="G2" s="209" ph="1"/>
      <c r="H2" s="209" ph="1"/>
      <c r="I2" s="209" ph="1"/>
      <c r="J2" s="209" ph="1"/>
      <c r="K2" s="209" ph="1"/>
      <c r="L2" s="209" ph="1"/>
      <c r="M2" s="209" ph="1"/>
      <c r="N2" s="209" ph="1"/>
      <c r="O2" s="209" ph="1"/>
      <c r="P2" s="209" ph="1"/>
      <c r="Q2" s="209" ph="1"/>
      <c r="R2" s="209" ph="1"/>
      <c r="S2" s="209" ph="1"/>
      <c r="T2" s="209" ph="1"/>
      <c r="U2" s="209" ph="1"/>
      <c r="V2" s="209" ph="1"/>
      <c r="W2" s="209" ph="1"/>
      <c r="X2" s="209" ph="1"/>
      <c r="Y2" s="209" ph="1"/>
      <c r="Z2" s="209" ph="1"/>
      <c r="AA2" s="209" ph="1"/>
      <c r="AB2" s="209" ph="1"/>
      <c r="AC2" s="209" ph="1"/>
      <c r="AD2" s="209" ph="1"/>
      <c r="AE2" s="209" ph="1"/>
    </row>
    <row r="3" spans="1:99" ht="21" customHeight="1" ph="1">
      <c r="B3" s="210" ph="1">
        <v>45712</v>
      </c>
      <c r="C3" s="210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210"/>
      <c r="R3" s="210"/>
      <c r="S3" s="210"/>
      <c r="T3" s="210"/>
      <c r="U3" s="210"/>
      <c r="V3" s="210"/>
      <c r="W3" s="210"/>
      <c r="X3" s="210"/>
      <c r="Y3" s="210"/>
      <c r="Z3" s="210"/>
      <c r="AA3" s="210"/>
      <c r="AB3" s="210"/>
      <c r="AC3" s="210"/>
      <c r="AD3" s="210"/>
      <c r="AE3" s="210"/>
    </row>
    <row r="4" spans="1:99" s="69" customFormat="1" ph="1">
      <c r="A4" s="65" ph="1"/>
      <c r="B4" s="211" t="s" ph="1">
        <v>37</v>
      </c>
      <c r="C4" s="67" t="s" ph="1">
        <v>207</v>
      </c>
      <c r="D4" s="68" t="s" ph="1">
        <v>45</v>
      </c>
      <c r="E4" s="68" t="s" ph="1">
        <v>46</v>
      </c>
      <c r="F4" s="68" t="s" ph="1">
        <v>39</v>
      </c>
      <c r="G4" s="68" t="s" ph="1">
        <v>47</v>
      </c>
      <c r="H4" s="68" t="s" ph="1">
        <v>48</v>
      </c>
      <c r="I4" s="68" t="s" ph="1">
        <v>132</v>
      </c>
      <c r="J4" s="68" t="s" ph="1">
        <v>49</v>
      </c>
      <c r="K4" s="68" t="s" ph="1">
        <v>133</v>
      </c>
      <c r="L4" s="68" t="s" ph="1">
        <v>134</v>
      </c>
      <c r="M4" s="68" t="s" ph="1">
        <v>50</v>
      </c>
      <c r="N4" s="68" t="s" ph="1">
        <v>51</v>
      </c>
      <c r="O4" s="68" t="s" ph="1">
        <v>136</v>
      </c>
      <c r="P4" s="68" t="s" ph="1">
        <v>138</v>
      </c>
      <c r="Q4" s="68" t="s" ph="1">
        <v>139</v>
      </c>
      <c r="R4" s="68" t="s" ph="1">
        <v>140</v>
      </c>
      <c r="S4" s="68" t="s" ph="1">
        <v>141</v>
      </c>
      <c r="T4" s="68" t="s" ph="1">
        <v>142</v>
      </c>
      <c r="U4" s="68" t="s" ph="1">
        <v>143</v>
      </c>
      <c r="V4" s="68" t="s" ph="1">
        <v>144</v>
      </c>
      <c r="W4" s="68" t="s" ph="1">
        <v>145</v>
      </c>
      <c r="X4" s="68" t="s" ph="1">
        <v>146</v>
      </c>
      <c r="Y4" s="68" t="s" ph="1">
        <v>147</v>
      </c>
      <c r="Z4" s="68" t="s" ph="1">
        <v>52</v>
      </c>
      <c r="AA4" s="68" t="s" ph="1">
        <v>148</v>
      </c>
      <c r="AB4" s="68" t="s" ph="1">
        <v>149</v>
      </c>
      <c r="AC4" s="68" t="s" ph="1">
        <v>150</v>
      </c>
      <c r="AD4" s="68" t="s" ph="1">
        <v>40</v>
      </c>
      <c r="AE4" s="68" t="s" ph="1">
        <v>151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1" ph="1"/>
      <c r="C5" s="67" t="s" ph="1">
        <v>36</v>
      </c>
      <c r="D5" s="70" t="s" ph="1">
        <v>191</v>
      </c>
      <c r="E5" s="70" t="s" ph="1">
        <v>7</v>
      </c>
      <c r="F5" s="70" t="s" ph="1">
        <v>1</v>
      </c>
      <c r="G5" s="70" t="s" ph="1">
        <v>7</v>
      </c>
      <c r="H5" s="70" t="s" ph="1">
        <v>7</v>
      </c>
      <c r="I5" s="70" t="s" ph="1">
        <v>657</v>
      </c>
      <c r="J5" s="70" t="s" ph="1">
        <v>658</v>
      </c>
      <c r="K5" s="70" t="s" ph="1">
        <v>660</v>
      </c>
      <c r="L5" s="70" t="s" ph="1">
        <v>662</v>
      </c>
      <c r="M5" s="70" t="s" ph="1">
        <v>657</v>
      </c>
      <c r="N5" s="70" t="s" ph="1">
        <v>658</v>
      </c>
      <c r="O5" s="70" t="s" ph="1">
        <v>660</v>
      </c>
      <c r="P5" s="70" t="s" ph="1">
        <v>662</v>
      </c>
      <c r="Q5" s="70" t="s" ph="1">
        <v>656</v>
      </c>
      <c r="R5" s="70" t="s" ph="1">
        <v>656</v>
      </c>
      <c r="S5" s="70" t="s" ph="1">
        <v>656</v>
      </c>
      <c r="T5" s="70" t="s" ph="1">
        <v>656</v>
      </c>
      <c r="U5" s="70" t="s" ph="1">
        <v>656</v>
      </c>
      <c r="V5" s="70" t="s" ph="1">
        <v>656</v>
      </c>
      <c r="W5" s="70" t="s" ph="1">
        <v>656</v>
      </c>
      <c r="X5" s="70" t="s" ph="1">
        <v>656</v>
      </c>
      <c r="Y5" s="70" t="s" ph="1">
        <v>656</v>
      </c>
      <c r="Z5" s="70" t="s" ph="1">
        <v>663</v>
      </c>
      <c r="AA5" s="70" t="s" ph="1">
        <v>62</v>
      </c>
      <c r="AB5" s="70" t="s" ph="1">
        <v>62</v>
      </c>
      <c r="AC5" s="70" t="s" ph="1">
        <v>664</v>
      </c>
      <c r="AD5" s="70" t="s" ph="1">
        <v>83</v>
      </c>
      <c r="AE5" s="70" t="s" ph="1">
        <v>654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07" ph="1">
        <v>0.33333333333333331</v>
      </c>
      <c r="C6" s="180" t="s" ph="1">
        <v>208</v>
      </c>
      <c r="D6" s="71">
        <v>6071</v>
      </c>
      <c r="E6" s="71">
        <v>0</v>
      </c>
      <c r="F6" s="71">
        <v>6000</v>
      </c>
      <c r="G6" s="71">
        <v>7678</v>
      </c>
      <c r="H6" s="71">
        <v>2719</v>
      </c>
      <c r="I6" s="71">
        <v>27.11</v>
      </c>
      <c r="J6" s="71">
        <v>7.81</v>
      </c>
      <c r="K6" s="71">
        <v>86.91</v>
      </c>
      <c r="L6" s="71">
        <v>36.31</v>
      </c>
      <c r="M6" s="71">
        <v>3961</v>
      </c>
      <c r="N6" s="71">
        <v>4535</v>
      </c>
      <c r="O6" s="71">
        <v>5211</v>
      </c>
      <c r="P6" s="71">
        <v>3384</v>
      </c>
      <c r="Q6" s="71">
        <v>0</v>
      </c>
      <c r="R6" s="71">
        <v>0</v>
      </c>
      <c r="S6" s="71">
        <v>0</v>
      </c>
      <c r="T6" s="71">
        <v>0</v>
      </c>
      <c r="U6" s="71">
        <v>0</v>
      </c>
      <c r="V6" s="71">
        <v>0</v>
      </c>
      <c r="W6" s="71">
        <v>3210</v>
      </c>
      <c r="X6" s="71">
        <v>7065</v>
      </c>
      <c r="Y6" s="71">
        <v>0</v>
      </c>
      <c r="Z6" s="71">
        <v>1150</v>
      </c>
      <c r="AA6" s="71">
        <v>1627</v>
      </c>
      <c r="AB6" s="71">
        <v>2455</v>
      </c>
      <c r="AC6" s="71">
        <v>5209</v>
      </c>
      <c r="AD6" s="71">
        <v>1092</v>
      </c>
      <c r="AE6" s="71">
        <v>2770</v>
      </c>
    </row>
    <row r="7" spans="1:99" s="72" customFormat="1" ht="22.5" ph="1">
      <c r="B7" s="207" ph="1"/>
      <c r="C7" s="68" t="s" ph="1">
        <v>209</v>
      </c>
      <c r="D7" s="73" ph="1">
        <f>D6*33.183*LOOKUP(D8,密度!$A$2:$A$50,密度!$Q$2:$Q$50)</f>
        <v>191629.08176139</v>
      </c>
      <c r="E7" s="73" ph="1">
        <f>E6*51.53*LOOKUP(E8,密度!$A$2:$A$50,密度!$I$2:$I$50)</f>
        <v>0</v>
      </c>
      <c r="F7" s="73" ph="1">
        <f>F6*33.183*LOOKUP(F8,密度!$A$2:$A$50,密度!$C$2:$C$50)</f>
        <v>222312.82680000001</v>
      </c>
      <c r="G7" s="73" ph="1">
        <f xml:space="preserve"> (G6+2)*51.53*LOOKUP(G8,密度!$A$2:$A$50,密度!$B$2:$B$50)</f>
        <v>312207.49056000006</v>
      </c>
      <c r="H7" s="73" ph="1">
        <f>(H6)*51.53*LOOKUP(H8,密度!$A$2:$A$50,密度!$B$2:$B$50)</f>
        <v>110532.83422300001</v>
      </c>
      <c r="I7" s="73" ph="1">
        <f>I6*290.8*1.0267</f>
        <v>8094.0797995999992</v>
      </c>
      <c r="J7" s="73" ph="1">
        <f>J6*290.8*0.7892</f>
        <v>1792.3900016000002</v>
      </c>
      <c r="K7" s="73" ph="1">
        <f>K6*290.8*1.1126</f>
        <v>28119.2159928</v>
      </c>
      <c r="L7" s="73" ph="1">
        <f>L6*290.8*0.777</f>
        <v>8204.3025960000014</v>
      </c>
      <c r="M7" s="73" ph="1">
        <f>M6*33.183*LOOKUP(M8,密度!$A$2:$A$50,密度!$D$2:$D$50)</f>
        <v>136235.3449995</v>
      </c>
      <c r="N7" s="73" ph="1">
        <f>N6*33.183*LOOKUP(N8,密度!$A$2:$A$50,密度!$E$2:$E$50)</f>
        <v>119424.82060799999</v>
      </c>
      <c r="O7" s="73" ph="1">
        <f>O6*20.428*LOOKUP(O8,密度!$A$2:$A$50,密度!$C$2:$C$50)</f>
        <v>118500.4828656</v>
      </c>
      <c r="P7" s="73" ph="1">
        <f>P6*51.53*LOOKUP(P8,密度!$A$2:$A$50,密度!$B$2:$B$50)</f>
        <v>137705.92754399998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21464.934875999996</v>
      </c>
      <c r="X7" s="73" ph="1">
        <f>X6*1.5*1.5*3.1416*LOOKUP(X8,密度!$A$2:$A$50,密度!$L$2:$L$50)</f>
        <v>47792.253662999996</v>
      </c>
      <c r="Y7" s="73" ph="1">
        <f>Y6*1.5*1.5*3.1416*LOOKUP(Y8,密度!$A$2:$A$50,密度!$L$2:$L$50)</f>
        <v>0</v>
      </c>
      <c r="Z7" s="73" ph="1">
        <f>Z6*33.183*LOOKUP(Z8,密度!$A$2:$A$50,密度!$L$2:$L$50)</f>
        <v>36099.785699999993</v>
      </c>
      <c r="AA7" s="73" ph="1">
        <f>AA6*33.183*LOOKUP(AA8,密度!$A$2:$A$50,密度!$D$2:$D$50)</f>
        <v>56007.919913400008</v>
      </c>
      <c r="AB7" s="73" ph="1">
        <f>AB6*20.428*LOOKUP(AB8,密度!$A$2:$A$50,密度!$D$2:$D$50)</f>
        <v>52382.447930000002</v>
      </c>
      <c r="AC7" s="73" ph="1">
        <f>AC6*51.53*LOOKUP(AC8,密度!$A$2:$A$50,密度!$Q$2:$Q$50)</f>
        <v>256217.40725580003</v>
      </c>
      <c r="AD7" s="73" ph="1">
        <f>AD6*20.428*LOOKUP(AD8,密度!$A$2:$A$50,密度!$V$2:$V$50)</f>
        <v>21504.310463999998</v>
      </c>
      <c r="AE7" s="73" ph="1">
        <f>AE6*20.428</f>
        <v>56585.560000000005</v>
      </c>
    </row>
    <row r="8" spans="1:99" ph="1">
      <c r="B8" s="207" ph="1"/>
      <c r="C8" s="68" t="s" ph="1">
        <v>210</v>
      </c>
      <c r="D8" s="74">
        <v>19</v>
      </c>
      <c r="E8" s="74">
        <v>13</v>
      </c>
      <c r="F8" s="74">
        <v>14</v>
      </c>
      <c r="G8" s="74">
        <v>14</v>
      </c>
      <c r="H8" s="74">
        <v>14</v>
      </c>
      <c r="I8" s="74">
        <v>25</v>
      </c>
      <c r="J8" s="74">
        <v>25</v>
      </c>
      <c r="K8" s="74">
        <v>25</v>
      </c>
      <c r="L8" s="74">
        <v>25</v>
      </c>
      <c r="M8" s="74">
        <v>14</v>
      </c>
      <c r="N8" s="74">
        <v>16</v>
      </c>
      <c r="O8" s="74">
        <v>19</v>
      </c>
      <c r="P8" s="74">
        <v>13</v>
      </c>
      <c r="Q8" s="74">
        <v>12</v>
      </c>
      <c r="R8" s="74">
        <v>20</v>
      </c>
      <c r="S8" s="74">
        <v>17</v>
      </c>
      <c r="T8" s="74">
        <v>10</v>
      </c>
      <c r="U8" s="74">
        <v>13</v>
      </c>
      <c r="V8" s="74">
        <v>20</v>
      </c>
      <c r="W8" s="74">
        <v>16</v>
      </c>
      <c r="X8" s="74">
        <v>5</v>
      </c>
      <c r="Y8" s="74">
        <v>14</v>
      </c>
      <c r="Z8" s="74">
        <v>16</v>
      </c>
      <c r="AA8" s="74">
        <v>13</v>
      </c>
      <c r="AB8" s="74">
        <v>5</v>
      </c>
      <c r="AC8" s="74">
        <v>12</v>
      </c>
      <c r="AD8" s="74">
        <v>16</v>
      </c>
      <c r="AE8" s="74">
        <v>16</v>
      </c>
    </row>
    <row r="9" spans="1:99" ph="1">
      <c r="B9" s="207" ph="1">
        <v>0.66666666666666663</v>
      </c>
      <c r="C9" s="180" t="s" ph="1">
        <v>211</v>
      </c>
      <c r="D9" s="71">
        <v>6353</v>
      </c>
      <c r="E9" s="71">
        <v>0</v>
      </c>
      <c r="F9" s="71">
        <v>6811</v>
      </c>
      <c r="G9" s="71">
        <v>7443</v>
      </c>
      <c r="H9" s="71">
        <v>3695</v>
      </c>
      <c r="I9" s="71">
        <v>27.11</v>
      </c>
      <c r="J9" s="71">
        <v>7.81</v>
      </c>
      <c r="K9" s="71">
        <v>87.01</v>
      </c>
      <c r="L9" s="71">
        <v>38.11</v>
      </c>
      <c r="M9" s="71">
        <v>3960</v>
      </c>
      <c r="N9" s="71">
        <v>4536</v>
      </c>
      <c r="O9" s="71">
        <v>4185</v>
      </c>
      <c r="P9" s="71">
        <v>3244</v>
      </c>
      <c r="Q9" s="71">
        <v>2305</v>
      </c>
      <c r="R9" s="71">
        <v>0</v>
      </c>
      <c r="S9" s="71">
        <v>0</v>
      </c>
      <c r="T9" s="71">
        <v>0</v>
      </c>
      <c r="U9" s="71">
        <v>0</v>
      </c>
      <c r="V9" s="71">
        <v>0</v>
      </c>
      <c r="W9" s="71">
        <v>0</v>
      </c>
      <c r="X9" s="71">
        <v>6520</v>
      </c>
      <c r="Y9" s="71">
        <v>2979</v>
      </c>
      <c r="Z9" s="71">
        <v>1941</v>
      </c>
      <c r="AA9" s="71">
        <v>1624</v>
      </c>
      <c r="AB9" s="71">
        <v>2454</v>
      </c>
      <c r="AC9" s="71">
        <v>4955</v>
      </c>
      <c r="AD9" s="71">
        <v>1086</v>
      </c>
      <c r="AE9" s="71">
        <v>2533</v>
      </c>
    </row>
    <row r="10" spans="1:99" s="72" customFormat="1" ht="22.5" ph="1">
      <c r="B10" s="207" ph="1"/>
      <c r="C10" s="180" t="s" ph="1">
        <v>209</v>
      </c>
      <c r="D10" s="73" ph="1">
        <f>D9*33.183*LOOKUP(D11,密度!$A$2:$A$50,密度!$Q$2:$Q$50)</f>
        <v>200530.31731677</v>
      </c>
      <c r="E10" s="73" ph="1">
        <f>E9*51.53*LOOKUP(E11,密度!$A$2:$A$50,密度!$I$2:$I$50)</f>
        <v>0</v>
      </c>
      <c r="F10" s="73" ph="1">
        <f>F9*33.183*LOOKUP(F11,密度!$A$2:$A$50,密度!$C$2:$C$50)</f>
        <v>252045.69737759998</v>
      </c>
      <c r="G10" s="73" ph="1">
        <f xml:space="preserve"> (G9+2)*51.53*LOOKUP(G11,密度!$A$2:$A$50,密度!$B$2:$B$50)</f>
        <v>302002.07712000003</v>
      </c>
      <c r="H10" s="73" ph="1">
        <f>(H9)*51.53*LOOKUP(H11,密度!$A$2:$A$50,密度!$B$2:$B$50)</f>
        <v>150685.21119</v>
      </c>
      <c r="I10" s="73" ph="1">
        <f>I9*290.8*1.0267</f>
        <v>8094.0797995999992</v>
      </c>
      <c r="J10" s="73" ph="1">
        <f>J9*290.8*0.7892</f>
        <v>1792.3900016000002</v>
      </c>
      <c r="K10" s="73" ph="1">
        <f>K9*290.8*1.1126</f>
        <v>28151.570400800003</v>
      </c>
      <c r="L10" s="73" ph="1">
        <f>L9*290.8*0.777</f>
        <v>8611.0154760000005</v>
      </c>
      <c r="M10" s="73" ph="1">
        <f>M9*33.183*LOOKUP(M11,密度!$A$2:$A$50,密度!$D$2:$D$50)</f>
        <v>135977.56286399998</v>
      </c>
      <c r="N10" s="73" ph="1">
        <f>N9*33.183*LOOKUP(N11,密度!$A$2:$A$50,密度!$E$2:$E$50)</f>
        <v>119451.15463679998</v>
      </c>
      <c r="O10" s="73" ph="1">
        <f>O9*20.428*LOOKUP(O11,密度!$A$2:$A$50,密度!$C$2:$C$50)</f>
        <v>95057.643042000011</v>
      </c>
      <c r="P10" s="73" ph="1">
        <f>P9*51.53*LOOKUP(P11,密度!$A$2:$A$50,密度!$B$2:$B$50)</f>
        <v>131590.96550400002</v>
      </c>
      <c r="Q10" s="73" ph="1">
        <f>Q9*1.5*1.5*3.1416*LOOKUP(W11,密度!$A$2:$A$50,密度!$L$2:$L$50)</f>
        <v>15348.121865999999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43921.170215999999</v>
      </c>
      <c r="Y10" s="73" ph="1">
        <f>Y9*1.5*1.5*3.1416*LOOKUP(Y11,密度!$A$2:$A$50,密度!$L$2:$L$50)</f>
        <v>19920.261992399999</v>
      </c>
      <c r="Z10" s="73" ph="1">
        <f>Z9*33.183*LOOKUP(Z11,密度!$A$2:$A$50,密度!$L$2:$L$50)</f>
        <v>60994.568241000001</v>
      </c>
      <c r="AA10" s="73" ph="1">
        <f>AA9*33.183*LOOKUP(AA11,密度!$A$2:$A$50,密度!$D$2:$D$50)</f>
        <v>55807.647235200006</v>
      </c>
      <c r="AB10" s="73" ph="1">
        <f>AB9*20.428*LOOKUP(AB11,密度!$A$2:$A$50,密度!$D$2:$D$50)</f>
        <v>52315.993603200011</v>
      </c>
      <c r="AC10" s="73" ph="1">
        <f>AC9*51.53*LOOKUP(AC11,密度!$A$2:$A$50,密度!$Q$2:$Q$50)</f>
        <v>243723.79592100001</v>
      </c>
      <c r="AD10" s="73" ph="1">
        <f>AD9*20.428*LOOKUP(AD11,密度!$A$2:$A$50,密度!$V$2:$V$50)</f>
        <v>21386.154912000002</v>
      </c>
      <c r="AE10" s="73" ph="1">
        <f>AE9*20.428</f>
        <v>51744.124000000003</v>
      </c>
    </row>
    <row r="11" spans="1:99" ph="1">
      <c r="A11" s="64" t="s" ph="1">
        <v>193</v>
      </c>
      <c r="B11" s="207" ph="1"/>
      <c r="C11" s="180" t="s" ph="1">
        <v>210</v>
      </c>
      <c r="D11" s="74">
        <v>19</v>
      </c>
      <c r="E11" s="74">
        <v>16</v>
      </c>
      <c r="F11" s="74">
        <v>16</v>
      </c>
      <c r="G11" s="74">
        <v>16</v>
      </c>
      <c r="H11" s="74">
        <v>11</v>
      </c>
      <c r="I11" s="74">
        <v>25</v>
      </c>
      <c r="J11" s="74">
        <v>25</v>
      </c>
      <c r="K11" s="74">
        <v>25</v>
      </c>
      <c r="L11" s="74">
        <v>25</v>
      </c>
      <c r="M11" s="74">
        <v>16</v>
      </c>
      <c r="N11" s="74">
        <v>16</v>
      </c>
      <c r="O11" s="74">
        <v>21</v>
      </c>
      <c r="P11" s="74">
        <v>16</v>
      </c>
      <c r="Q11" s="74">
        <v>17</v>
      </c>
      <c r="R11" s="74">
        <v>23</v>
      </c>
      <c r="S11" s="74">
        <v>11</v>
      </c>
      <c r="T11" s="74">
        <v>15</v>
      </c>
      <c r="U11" s="74">
        <v>16</v>
      </c>
      <c r="V11" s="74">
        <v>24</v>
      </c>
      <c r="W11" s="74">
        <v>20</v>
      </c>
      <c r="X11" s="74">
        <v>9</v>
      </c>
      <c r="Y11" s="74">
        <v>16</v>
      </c>
      <c r="Z11" s="74">
        <v>15</v>
      </c>
      <c r="AA11" s="74">
        <v>15</v>
      </c>
      <c r="AB11" s="74">
        <v>6</v>
      </c>
      <c r="AC11" s="74">
        <v>15</v>
      </c>
      <c r="AD11" s="74">
        <v>18</v>
      </c>
      <c r="AE11" s="74">
        <v>18</v>
      </c>
    </row>
    <row r="12" spans="1:99" ht="9.9499999999999993" customHeight="1" ph="1"/>
    <row r="13" spans="1:99" s="72" customFormat="1" ht="29.25" customHeight="1" ph="1">
      <c r="B13" s="215" t="s" ph="1">
        <v>37</v>
      </c>
      <c r="C13" s="180" t="s" ph="1">
        <v>207</v>
      </c>
      <c r="D13" s="76" t="s" ph="1">
        <v>53</v>
      </c>
      <c r="E13" s="76" t="s" ph="1">
        <v>54</v>
      </c>
      <c r="F13" s="76" t="s" ph="1">
        <v>66</v>
      </c>
      <c r="G13" s="76" t="s" ph="1">
        <v>67</v>
      </c>
      <c r="H13" s="76" t="s" ph="1">
        <v>152</v>
      </c>
      <c r="I13" s="76" t="s" ph="1">
        <v>68</v>
      </c>
      <c r="J13" s="76" t="s" ph="1">
        <v>153</v>
      </c>
      <c r="K13" s="76" t="s" ph="1">
        <v>63</v>
      </c>
      <c r="L13" s="76" t="s" ph="1">
        <v>69</v>
      </c>
      <c r="M13" s="76" t="s" ph="1">
        <v>70</v>
      </c>
      <c r="N13" s="76" t="s" ph="1">
        <v>154</v>
      </c>
      <c r="O13" s="76" t="s" ph="1">
        <v>64</v>
      </c>
      <c r="P13" s="76" t="s" ph="1">
        <v>71</v>
      </c>
      <c r="Q13" s="76" t="s" ph="1">
        <v>72</v>
      </c>
      <c r="R13" s="76" t="s" ph="1">
        <v>73</v>
      </c>
      <c r="S13" s="76" t="s" ph="1">
        <v>74</v>
      </c>
      <c r="T13" s="76" t="s" ph="1">
        <v>75</v>
      </c>
      <c r="U13" s="76" t="s" ph="1">
        <v>76</v>
      </c>
      <c r="V13" s="76" t="s" ph="1">
        <v>155</v>
      </c>
      <c r="W13" s="76" t="s" ph="1">
        <v>156</v>
      </c>
      <c r="X13" s="76" t="s" ph="1">
        <v>157</v>
      </c>
      <c r="Y13" s="105" t="s" ph="1">
        <v>77</v>
      </c>
      <c r="Z13" s="76" t="s" ph="1">
        <v>86</v>
      </c>
      <c r="AA13" s="76" t="s" ph="1">
        <v>158</v>
      </c>
      <c r="AB13" s="76" t="s" ph="1">
        <v>159</v>
      </c>
      <c r="AC13" s="76" t="s" ph="1">
        <v>160</v>
      </c>
      <c r="AD13" s="76" t="s" ph="1">
        <v>161</v>
      </c>
      <c r="AE13" s="76" t="s" ph="1">
        <v>162</v>
      </c>
      <c r="AG13" s="72" t="s" ph="1">
        <v>366</v>
      </c>
      <c r="AH13" s="72" t="s" ph="1">
        <v>229</v>
      </c>
      <c r="AI13" s="72" t="s" ph="1">
        <v>230</v>
      </c>
      <c r="AJ13" s="72" t="s" ph="1">
        <v>231</v>
      </c>
      <c r="AK13" s="72" t="s" ph="1">
        <v>232</v>
      </c>
      <c r="AL13" s="72" t="s" ph="1">
        <v>233</v>
      </c>
      <c r="AM13" s="72" t="s" ph="1">
        <v>234</v>
      </c>
      <c r="AN13" s="72" t="s" ph="1">
        <v>235</v>
      </c>
      <c r="AO13" s="72" t="s" ph="1">
        <v>236</v>
      </c>
      <c r="AP13" s="72" t="s" ph="1">
        <v>237</v>
      </c>
      <c r="AQ13" s="72" t="s" ph="1">
        <v>238</v>
      </c>
      <c r="AR13" s="72" t="s" ph="1">
        <v>239</v>
      </c>
      <c r="AS13" s="72" t="s" ph="1">
        <v>240</v>
      </c>
      <c r="AT13" s="72" t="s" ph="1">
        <v>241</v>
      </c>
      <c r="AU13" s="72" t="s" ph="1">
        <v>242</v>
      </c>
      <c r="AV13" s="72" t="s" ph="1">
        <v>243</v>
      </c>
      <c r="AW13" s="72" t="s" ph="1">
        <v>244</v>
      </c>
      <c r="AX13" s="72" t="s" ph="1">
        <v>245</v>
      </c>
      <c r="AY13" s="72" t="s" ph="1">
        <v>367</v>
      </c>
      <c r="AZ13" s="72" t="s" ph="1">
        <v>246</v>
      </c>
      <c r="BA13" s="72" t="s" ph="1">
        <v>247</v>
      </c>
      <c r="BB13" s="72" t="s" ph="1">
        <v>632</v>
      </c>
      <c r="BC13" s="72" t="s" ph="1">
        <v>248</v>
      </c>
      <c r="BD13" s="72" t="s" ph="1">
        <v>368</v>
      </c>
      <c r="BE13" s="72" t="s" ph="1">
        <v>369</v>
      </c>
      <c r="BF13" s="72" t="s" ph="1">
        <v>370</v>
      </c>
      <c r="BG13" s="72" t="s" ph="1">
        <v>371</v>
      </c>
      <c r="BH13" s="72" t="s" ph="1">
        <v>372</v>
      </c>
    </row>
    <row r="14" spans="1:99" s="72" customFormat="1" ht="24" ph="1">
      <c r="B14" s="216" ph="1"/>
      <c r="C14" s="67" t="s" ph="1">
        <v>36</v>
      </c>
      <c r="D14" s="77" t="s" ph="1">
        <v>665</v>
      </c>
      <c r="E14" s="77" t="s" ph="1">
        <v>665</v>
      </c>
      <c r="F14" s="142" t="s" ph="1">
        <v>651</v>
      </c>
      <c r="G14" s="77" t="s" ph="1">
        <v>667</v>
      </c>
      <c r="H14" s="77" t="s" ph="1">
        <v>668</v>
      </c>
      <c r="I14" s="167" t="s" ph="1">
        <v>669</v>
      </c>
      <c r="J14" s="77" t="s" ph="1">
        <v>670</v>
      </c>
      <c r="K14" s="77" t="s" ph="1">
        <v>223</v>
      </c>
      <c r="L14" s="77" t="s" ph="1">
        <v>42</v>
      </c>
      <c r="M14" s="104" t="s" ph="1">
        <v>671</v>
      </c>
      <c r="N14" s="104" t="s" ph="1">
        <v>672</v>
      </c>
      <c r="O14" s="104" t="s" ph="1">
        <v>670</v>
      </c>
      <c r="P14" s="77" t="s" ph="1">
        <v>673</v>
      </c>
      <c r="Q14" s="77" t="s" ph="1">
        <v>673</v>
      </c>
      <c r="R14" s="88" t="s" ph="1">
        <v>674</v>
      </c>
      <c r="S14" s="77" t="s" ph="1">
        <v>81</v>
      </c>
      <c r="T14" s="77" t="s" ph="1">
        <v>676</v>
      </c>
      <c r="U14" s="77" t="s" ph="1">
        <v>652</v>
      </c>
      <c r="V14" s="77" t="s" ph="1">
        <v>127</v>
      </c>
      <c r="W14" s="77" t="s" ph="1">
        <v>673</v>
      </c>
      <c r="X14" s="77" t="s" ph="1">
        <v>678</v>
      </c>
      <c r="Y14" s="141" t="s" ph="1">
        <v>0</v>
      </c>
      <c r="Z14" s="77" t="s" ph="1">
        <v>62</v>
      </c>
      <c r="AA14" s="77" t="s" ph="1">
        <v>662</v>
      </c>
      <c r="AB14" s="77" t="s" ph="1">
        <v>648</v>
      </c>
      <c r="AC14" s="77" t="s" ph="1">
        <v>648</v>
      </c>
      <c r="AD14" s="77" t="s" ph="1">
        <v>661</v>
      </c>
      <c r="AE14" s="77" t="s" ph="1">
        <v>661</v>
      </c>
      <c r="AG14" s="72" t="s" ph="1">
        <v>249</v>
      </c>
      <c r="AI14" s="72" t="s" ph="1">
        <v>250</v>
      </c>
      <c r="AJ14" s="72" t="s" ph="1">
        <v>373</v>
      </c>
      <c r="AK14" s="72" t="s" ph="1">
        <v>251</v>
      </c>
      <c r="AM14" s="72" t="s" ph="1">
        <v>253</v>
      </c>
      <c r="AN14" s="72" t="s" ph="1">
        <v>251</v>
      </c>
      <c r="AO14" s="72" t="s" ph="1">
        <v>252</v>
      </c>
      <c r="AP14" s="72" t="s" ph="1">
        <v>253</v>
      </c>
      <c r="AQ14" s="72" t="s" ph="1">
        <v>251</v>
      </c>
      <c r="AR14" s="72" t="s" ph="1">
        <v>252</v>
      </c>
      <c r="AS14" s="72" t="s" ph="1">
        <v>253</v>
      </c>
      <c r="AT14" s="72" t="s" ph="1">
        <v>251</v>
      </c>
      <c r="AU14" s="72" t="s" ph="1">
        <v>252</v>
      </c>
      <c r="AV14" s="72" t="s" ph="1">
        <v>253</v>
      </c>
      <c r="AW14" s="72" t="s" ph="1">
        <v>251</v>
      </c>
      <c r="AX14" s="72" t="s" ph="1">
        <v>252</v>
      </c>
      <c r="AY14" s="72" t="s" ph="1">
        <v>253</v>
      </c>
      <c r="AZ14" s="72" t="s" ph="1">
        <v>252</v>
      </c>
    </row>
    <row r="15" spans="1:99" ph="1">
      <c r="B15" s="217" ph="1">
        <v>0.33333333333333331</v>
      </c>
      <c r="C15" s="180" t="s" ph="1">
        <v>208</v>
      </c>
      <c r="D15" s="78">
        <v>0</v>
      </c>
      <c r="E15" s="78">
        <v>3373</v>
      </c>
      <c r="F15" s="78">
        <v>4942</v>
      </c>
      <c r="G15" s="78">
        <v>2121</v>
      </c>
      <c r="H15" s="78">
        <v>2864</v>
      </c>
      <c r="I15" s="78">
        <v>1785</v>
      </c>
      <c r="J15" s="78">
        <v>0</v>
      </c>
      <c r="K15" s="78">
        <v>742</v>
      </c>
      <c r="L15" s="78">
        <v>3899</v>
      </c>
      <c r="M15" s="78">
        <v>3054</v>
      </c>
      <c r="N15" s="78">
        <v>972</v>
      </c>
      <c r="O15" s="78">
        <v>5673</v>
      </c>
      <c r="P15" s="78">
        <v>382</v>
      </c>
      <c r="Q15" s="78">
        <v>1367</v>
      </c>
      <c r="R15" s="78">
        <v>3486</v>
      </c>
      <c r="S15" s="78">
        <v>5605</v>
      </c>
      <c r="T15" s="78">
        <v>2907</v>
      </c>
      <c r="U15" s="78">
        <v>5385</v>
      </c>
      <c r="V15" s="78">
        <v>-1639</v>
      </c>
      <c r="W15" s="78">
        <v>-596</v>
      </c>
      <c r="X15" s="78">
        <v>491</v>
      </c>
      <c r="Y15" s="106">
        <v>-9900</v>
      </c>
      <c r="Z15" s="78">
        <v>0</v>
      </c>
      <c r="AA15" s="78">
        <v>2500</v>
      </c>
      <c r="AB15" s="78" ph="1">
        <v>6840</v>
      </c>
      <c r="AC15" s="78" ph="1">
        <v>6491</v>
      </c>
      <c r="AD15" s="78">
        <v>14.81</v>
      </c>
      <c r="AE15" s="78">
        <v>84.61</v>
      </c>
      <c r="AG15" s="64" t="s" ph="1">
        <v>255</v>
      </c>
      <c r="AH15" s="64" ph="1">
        <v>1</v>
      </c>
      <c r="AI15" s="64" t="s" ph="1">
        <v>374</v>
      </c>
      <c r="AK15" s="64" t="s" ph="1">
        <v>628</v>
      </c>
      <c r="AM15" s="64" t="s" ph="1">
        <v>376</v>
      </c>
      <c r="AZ15" s="64" t="s" ph="1">
        <v>257</v>
      </c>
      <c r="BA15" s="64" ph="1">
        <v>0</v>
      </c>
    </row>
    <row r="16" spans="1:99" s="72" customFormat="1" ht="22.5" ph="1">
      <c r="B16" s="218" ph="1"/>
      <c r="C16" s="180" t="s" ph="1">
        <v>209</v>
      </c>
      <c r="D16" s="73" ph="1">
        <f>D15*7.0686*LOOKUP(D17,密度!$A$2:$A$50,密度!$L$2:$L$50)</f>
        <v>0</v>
      </c>
      <c r="E16" s="73" ph="1">
        <f>E15*7.0686*LOOKUP(E17,密度!$A$2:$A$50,密度!$L$2:$L$50)</f>
        <v>22626.426022199998</v>
      </c>
      <c r="F16" s="73" ph="1">
        <f>F15*9.0746*LOOKUP(F17,密度!$A$2:$A$50,密度!$L$2:$L$50)</f>
        <v>42469.799520400004</v>
      </c>
      <c r="G16" s="73" ph="1">
        <f>G15*9.0746*LOOKUP(G17,密度!$A$2:$A$50,密度!$B$2:$B$50)</f>
        <v>15184.137064740002</v>
      </c>
      <c r="H16" s="73" ph="1">
        <f>H15*9.0746*LOOKUP(H17,密度!$A$2:$A$50,密度!$L$2:$L$50)</f>
        <v>24716.1613344</v>
      </c>
      <c r="I16" s="73" ph="1">
        <f>I15*9.0746*LOOKUP(I17,密度!$A$2:$A$50,密度!$U$2:$U$50)</f>
        <v>16651.709508</v>
      </c>
      <c r="J16" s="73" ph="1">
        <f>J15*9.0746*LOOKUP(J17,密度!$A$2:$A$50,密度!$L$2:$L$50)</f>
        <v>0</v>
      </c>
      <c r="K16" s="73" ph="1">
        <f>K15*9.0746*LOOKUP(K17,密度!$A$2:$A$50,密度!$C$2:$C$50)</f>
        <v>7529.2355482400008</v>
      </c>
      <c r="L16" s="73" ph="1">
        <f>L15*9.0746*LOOKUP(L17,密度!$A$2:$A$50,密度!$E$2:$E$50)</f>
        <v>28280.725014220003</v>
      </c>
      <c r="M16" s="73" ph="1">
        <f>M15*9.0746*LOOKUP(M17,密度!$A$2:$A$50,密度!$M$2:$M$50)</f>
        <v>24396.483140520002</v>
      </c>
      <c r="N16" s="73" ph="1">
        <f>N15*9.0746*LOOKUP(N17,密度!$A$2:$A$50,密度!$M$2:$M$50)</f>
        <v>7764.6960093600001</v>
      </c>
      <c r="O16" s="73" ph="1">
        <f>O15*9.0746*LOOKUP(O17,密度!$A$2:$A$50,密度!$G$2:$G$50)</f>
        <v>49884.319420200001</v>
      </c>
      <c r="P16" s="73" ph="1">
        <f ca="1">P15*9.0746*LOOKUP(P17,密度!$A$2:$A$51,密度!$Q$2:$Q$50)</f>
        <v>3308.9102372880006</v>
      </c>
      <c r="Q16" s="73" ph="1">
        <f>Q15*9.0746*LOOKUP(Q17,密度!$A$2:$A$50,密度!$Q$2:$Q$50)</f>
        <v>11841.047891028</v>
      </c>
      <c r="R16" s="73" ph="1">
        <f>MAX(R15*9.0746*LOOKUP(R17,密度!$A$2:$A$50,密度!$B$2:$B$50),0)</f>
        <v>24981.41370732</v>
      </c>
      <c r="S16" s="73" ph="1">
        <f>S15*9.0746*LOOKUP(S17,密度!$A$2:$A$50,密度!$Q$2:$Q$50)</f>
        <v>48550.894973820003</v>
      </c>
      <c r="T16" s="73" ph="1">
        <f>T15*9.0746*LOOKUP(T17,密度!$A$2:$A$50,密度!$O$2:$O$50)</f>
        <v>24638.791294800001</v>
      </c>
      <c r="U16" s="73" ph="1">
        <f>U15*9.0746*LOOKUP(U17,密度!$A$2:$A$50,密度!$H$2:$H$50)</f>
        <v>45382.523792699998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198.19152201600082</v>
      </c>
      <c r="X16" s="73" ph="1">
        <f>MAX(5600*LOOKUP(X17,密度!$A$2:$A$50,密度!$I$2:$I$50)+X15*9.0476*LOOKUP(X17,密度!$A$2:$A$50,密度!$I$2:$I$50),0)</f>
        <v>10420.969009320001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17915.529049999997</v>
      </c>
      <c r="AB16" s="73" ph="1">
        <f>AB15*9.0746*LOOKUP(AB17,密度!$A$2:$A$50,密度!$L$2:$L$50)</f>
        <v>58780.540007999996</v>
      </c>
      <c r="AC16" s="73" ph="1">
        <f>AC15*9.0746*LOOKUP(AC17,密度!$A$2:$A$50,密度!$L$2:$L$50)</f>
        <v>55958.067170000002</v>
      </c>
      <c r="AD16" s="73" ph="1">
        <f>AD15*268.68*LOOKUP(AD17,密度!$A$2:$A$50,密度!B2:B50)+IF(AD15&lt;=0,0,1566*LOOKUP(AD17,密度!$A$2:$A$50,密度!B2:B50))</f>
        <v>4322.9995636799995</v>
      </c>
      <c r="AE16" s="73" ph="1">
        <f>AE15*268.68*LOOKUP(AE17,密度!$A$2:$A$50,密度!B2:B50)+IF(AE15&lt;=0,0,1566*LOOKUP(AE17,密度!$A$2:$A$50,密度!B2:B50))</f>
        <v>18943.511938079999</v>
      </c>
      <c r="AH16" s="72" ph="1">
        <v>2</v>
      </c>
      <c r="AI16" s="72" t="s" ph="1">
        <v>378</v>
      </c>
      <c r="AZ16" s="72" t="s" ph="1">
        <v>257</v>
      </c>
      <c r="BA16" s="72" ph="1">
        <v>0</v>
      </c>
    </row>
    <row r="17" spans="1:57" ph="1">
      <c r="A17" s="64" t="s" ph="1">
        <v>85</v>
      </c>
      <c r="B17" s="219" ph="1"/>
      <c r="C17" s="79" t="s" ph="1">
        <v>210</v>
      </c>
      <c r="D17" s="74">
        <v>13</v>
      </c>
      <c r="E17" s="74">
        <v>13</v>
      </c>
      <c r="F17" s="74">
        <v>15</v>
      </c>
      <c r="G17" s="74">
        <v>14</v>
      </c>
      <c r="H17" s="74">
        <v>11</v>
      </c>
      <c r="I17" s="74">
        <v>14</v>
      </c>
      <c r="J17" s="74">
        <v>14</v>
      </c>
      <c r="K17" s="74">
        <v>12</v>
      </c>
      <c r="L17" s="74">
        <v>12</v>
      </c>
      <c r="M17" s="74">
        <v>15</v>
      </c>
      <c r="N17" s="74">
        <v>13</v>
      </c>
      <c r="O17" s="74">
        <v>17</v>
      </c>
      <c r="P17" s="74">
        <v>13</v>
      </c>
      <c r="Q17" s="74">
        <v>13</v>
      </c>
      <c r="R17" s="74">
        <v>13</v>
      </c>
      <c r="S17" s="74">
        <v>12</v>
      </c>
      <c r="T17" s="74">
        <v>14</v>
      </c>
      <c r="U17" s="74">
        <v>11</v>
      </c>
      <c r="V17" s="74">
        <v>13</v>
      </c>
      <c r="W17" s="74">
        <v>15</v>
      </c>
      <c r="X17" s="74">
        <v>29</v>
      </c>
      <c r="Y17" s="108">
        <v>29</v>
      </c>
      <c r="Z17" s="74">
        <v>14</v>
      </c>
      <c r="AA17" s="74">
        <v>13</v>
      </c>
      <c r="AB17" s="74">
        <v>15</v>
      </c>
      <c r="AC17" s="74">
        <v>12</v>
      </c>
      <c r="AD17" s="74">
        <v>25</v>
      </c>
      <c r="AE17" s="74">
        <v>25</v>
      </c>
      <c r="AH17" s="64" ph="1">
        <v>3</v>
      </c>
      <c r="AI17" s="64" t="s" ph="1">
        <v>379</v>
      </c>
      <c r="AK17" s="64" t="s" ph="1">
        <v>611</v>
      </c>
      <c r="AL17" s="64" ph="1">
        <v>80</v>
      </c>
      <c r="AM17" s="64" t="s" ph="1">
        <v>376</v>
      </c>
      <c r="AZ17" s="64" t="s" ph="1">
        <v>257</v>
      </c>
      <c r="BA17" s="64" ph="1">
        <v>80</v>
      </c>
      <c r="BD17" s="64" t="s" ph="1">
        <v>255</v>
      </c>
      <c r="BE17" s="64" ph="1">
        <v>2270</v>
      </c>
    </row>
    <row r="18" spans="1:57" ph="1">
      <c r="B18" s="217" ph="1">
        <v>0.66666666666666663</v>
      </c>
      <c r="C18" s="79" t="s" ph="1">
        <v>211</v>
      </c>
      <c r="D18" s="71">
        <v>0</v>
      </c>
      <c r="E18" s="71">
        <v>3376</v>
      </c>
      <c r="F18" s="71">
        <v>5001</v>
      </c>
      <c r="G18" s="71">
        <v>2155</v>
      </c>
      <c r="H18" s="71">
        <v>2864</v>
      </c>
      <c r="I18" s="71">
        <v>4307</v>
      </c>
      <c r="J18" s="71">
        <v>0</v>
      </c>
      <c r="K18" s="71">
        <v>741</v>
      </c>
      <c r="L18" s="71">
        <v>3901</v>
      </c>
      <c r="M18" s="71">
        <v>3056</v>
      </c>
      <c r="N18" s="71">
        <v>971</v>
      </c>
      <c r="O18" s="71">
        <v>6022</v>
      </c>
      <c r="P18" s="71">
        <v>379</v>
      </c>
      <c r="Q18" s="71">
        <v>0</v>
      </c>
      <c r="R18" s="71">
        <v>3488</v>
      </c>
      <c r="S18" s="71">
        <v>5607</v>
      </c>
      <c r="T18" s="71">
        <v>2226</v>
      </c>
      <c r="U18" s="71">
        <v>5385</v>
      </c>
      <c r="V18" s="71">
        <v>-1641</v>
      </c>
      <c r="W18" s="71">
        <v>-596</v>
      </c>
      <c r="X18" s="71">
        <v>490</v>
      </c>
      <c r="Y18" s="109">
        <v>-9900</v>
      </c>
      <c r="Z18" s="71">
        <v>0</v>
      </c>
      <c r="AA18" s="71">
        <v>2500</v>
      </c>
      <c r="AB18" s="71">
        <v>6845</v>
      </c>
      <c r="AC18" s="71">
        <v>6495</v>
      </c>
      <c r="AD18" s="71">
        <v>82.71</v>
      </c>
      <c r="AE18" s="71">
        <v>84.11</v>
      </c>
      <c r="AH18" s="64" ph="1">
        <v>4</v>
      </c>
      <c r="AI18" s="64" t="s" ph="1">
        <v>381</v>
      </c>
      <c r="AJ18" s="64" t="s" ph="1">
        <v>629</v>
      </c>
      <c r="AK18" s="64" t="s" ph="1">
        <v>628</v>
      </c>
      <c r="AL18" s="64" ph="1">
        <v>740</v>
      </c>
      <c r="AM18" s="64" t="s" ph="1">
        <v>380</v>
      </c>
      <c r="AZ18" s="64" t="s" ph="1">
        <v>257</v>
      </c>
      <c r="BA18" s="64" ph="1">
        <v>740</v>
      </c>
    </row>
    <row r="19" spans="1:57" s="72" customFormat="1" ht="22.5" ph="1">
      <c r="B19" s="218" ph="1"/>
      <c r="C19" s="180" t="s" ph="1">
        <v>209</v>
      </c>
      <c r="D19" s="73" ph="1">
        <f>D18*7.0686*LOOKUP(D20,密度!$A$2:$A$50,密度!$L$2:$L$50)</f>
        <v>0</v>
      </c>
      <c r="E19" s="73" ph="1">
        <f>E18*7.0686*LOOKUP(E20,密度!$A$2:$A$50,密度!$L$2:$L$50)</f>
        <v>22574.959545599999</v>
      </c>
      <c r="F19" s="73" ph="1">
        <f>F18*9.0746*LOOKUP(F20,密度!$A$2:$A$50,密度!$L$2:$L$50)</f>
        <v>42795.296347799995</v>
      </c>
      <c r="G19" s="73" ph="1">
        <f>G18*9.0746*LOOKUP(G20,密度!$A$2:$A$50,密度!$B$2:$B$50)</f>
        <v>15378.652023199998</v>
      </c>
      <c r="H19" s="73" ph="1">
        <f>H18*9.0746*LOOKUP(H20,密度!$A$2:$A$50,密度!$L$2:$L$50)</f>
        <v>24664.182025599999</v>
      </c>
      <c r="I19" s="73" ph="1">
        <f>I18*9.0746*LOOKUP(I20,密度!$A$2:$A$50,密度!$U$2:$U$50)</f>
        <v>40178.662661599999</v>
      </c>
      <c r="J19" s="73" ph="1">
        <f>J18*9.0746*LOOKUP(J20,密度!$A$2:$A$50,密度!$L$2:$L$50)</f>
        <v>0</v>
      </c>
      <c r="K19" s="73" ph="1">
        <f>K18*9.0746*LOOKUP(K20,密度!$A$2:$A$50,密度!$C$2:$C$50)</f>
        <v>7494.2084997000011</v>
      </c>
      <c r="L19" s="73" ph="1">
        <f>L18*9.0746*LOOKUP(L20,密度!$A$2:$A$50,密度!$E$2:$E$50)</f>
        <v>28093.451586560001</v>
      </c>
      <c r="M19" s="73" ph="1">
        <f>M18*9.0746*LOOKUP(M20,密度!$A$2:$A$50,密度!$M$2:$M$50)</f>
        <v>24412.45988128</v>
      </c>
      <c r="N19" s="73" ph="1">
        <f>N18*9.0746*LOOKUP(N20,密度!$A$2:$A$50,密度!$M$2:$M$50)</f>
        <v>7756.7076389800004</v>
      </c>
      <c r="O19" s="73" ph="1">
        <f>O18*9.0746*LOOKUP(O20,密度!$A$2:$A$50,密度!$G$2:$G$50)</f>
        <v>52843.882240400002</v>
      </c>
      <c r="P19" s="73" ph="1">
        <f ca="1">P18*9.0746*LOOKUP(P20,密度!$A$2:$A$51,密度!$Q$2:$Q$50)</f>
        <v>3271.5400362820001</v>
      </c>
      <c r="Q19" s="73" ph="1">
        <f>Q18*9.0746*LOOKUP(Q20,密度!$A$2:$A$50,密度!$Q$2:$Q$50)</f>
        <v>0</v>
      </c>
      <c r="R19" s="73" ph="1">
        <f>MAX(R18*9.0746*LOOKUP(R20,密度!$A$2:$A$50,密度!$B$2:$B$50),0)</f>
        <v>24843.81554752</v>
      </c>
      <c r="S19" s="73" ph="1">
        <f>S18*9.0746*LOOKUP(S20,密度!$A$2:$A$50,密度!$Q$2:$Q$50)</f>
        <v>48568.219111188002</v>
      </c>
      <c r="T19" s="73" ph="1">
        <f>T18*9.0746*LOOKUP(T20,密度!$A$2:$A$50,密度!$O$2:$O$50)</f>
        <v>18866.855666400003</v>
      </c>
      <c r="U19" s="73" ph="1">
        <f>U18*9.0746*LOOKUP(U20,密度!$A$2:$A$50,密度!$H$2:$H$50)</f>
        <v>45235.923629699995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198.19152201600082</v>
      </c>
      <c r="X19" s="73" ph="1">
        <f>MAX(5600*LOOKUP(X20,密度!$A$2:$A$50,密度!$I$2:$I$50)+X18*9.0476*LOOKUP(X20,密度!$A$2:$A$50,密度!$I$2:$I$50),0)</f>
        <v>10400.5436584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17897.379850000001</v>
      </c>
      <c r="AB19" s="73" ph="1">
        <f>AB18*9.0746*LOOKUP(AB20,密度!$A$2:$A$50,密度!$L$2:$L$50)</f>
        <v>58761.392602</v>
      </c>
      <c r="AC19" s="73" ph="1">
        <f>AC18*9.0746*LOOKUP(AC20,密度!$A$2:$A$50,密度!$L$2:$L$50)</f>
        <v>55874.671596</v>
      </c>
      <c r="AD19" s="73" ph="1">
        <f>AD18*268.68*LOOKUP(AD20,密度!$A$2:$A$50,密度!B5:B53)+IF(AD18&lt;=0,0,1566*LOOKUP(AD20,密度!$A$2:$A$50,密度!B5:B53))</f>
        <v>18483.682215599998</v>
      </c>
      <c r="AE19" s="73" ph="1">
        <f>AE18*268.68*LOOKUP(AE20,密度!$A$2:$A$50,密度!B5:B53)+IF(AE18&lt;=0,0,1566*LOOKUP(AE20,密度!$A$2:$A$50,密度!B5:B53))</f>
        <v>18775.952319600001</v>
      </c>
      <c r="AH19" s="72" ph="1">
        <v>5</v>
      </c>
      <c r="AI19" s="72" t="s" ph="1">
        <v>382</v>
      </c>
      <c r="AZ19" s="72" t="s" ph="1">
        <v>257</v>
      </c>
      <c r="BA19" s="72" ph="1">
        <v>0</v>
      </c>
      <c r="BD19" s="72" t="s" ph="1">
        <v>383</v>
      </c>
      <c r="BE19" s="72" ph="1">
        <v>1440</v>
      </c>
    </row>
    <row r="20" spans="1:57" ph="1">
      <c r="A20" s="72" ph="1"/>
      <c r="B20" s="218" ph="1"/>
      <c r="C20" s="80" t="s" ph="1">
        <v>210</v>
      </c>
      <c r="D20" s="81">
        <v>16</v>
      </c>
      <c r="E20" s="81">
        <v>16</v>
      </c>
      <c r="F20" s="81">
        <v>19</v>
      </c>
      <c r="G20" s="81">
        <v>17</v>
      </c>
      <c r="H20" s="81">
        <v>13</v>
      </c>
      <c r="I20" s="81">
        <v>19</v>
      </c>
      <c r="J20" s="81">
        <v>18</v>
      </c>
      <c r="K20" s="81">
        <v>17</v>
      </c>
      <c r="L20" s="81">
        <v>16</v>
      </c>
      <c r="M20" s="81">
        <v>18</v>
      </c>
      <c r="N20" s="81">
        <v>17</v>
      </c>
      <c r="O20" s="81">
        <v>19</v>
      </c>
      <c r="P20" s="81">
        <v>19</v>
      </c>
      <c r="Q20" s="81">
        <v>16</v>
      </c>
      <c r="R20" s="81">
        <v>19</v>
      </c>
      <c r="S20" s="81">
        <v>15</v>
      </c>
      <c r="T20" s="81">
        <v>16</v>
      </c>
      <c r="U20" s="81">
        <v>14</v>
      </c>
      <c r="V20" s="81">
        <v>15</v>
      </c>
      <c r="W20" s="81">
        <v>15</v>
      </c>
      <c r="X20" s="81">
        <v>30</v>
      </c>
      <c r="Y20" s="110">
        <v>30</v>
      </c>
      <c r="Z20" s="81">
        <v>18</v>
      </c>
      <c r="AA20" s="81">
        <v>14</v>
      </c>
      <c r="AB20" s="81">
        <v>16</v>
      </c>
      <c r="AC20" s="81">
        <v>14</v>
      </c>
      <c r="AD20" s="81">
        <v>25</v>
      </c>
      <c r="AE20" s="81">
        <v>25</v>
      </c>
      <c r="AH20" s="64" ph="1">
        <v>6</v>
      </c>
      <c r="AI20" s="64" t="s" ph="1">
        <v>384</v>
      </c>
      <c r="AZ20" s="64" t="s" ph="1">
        <v>257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385</v>
      </c>
      <c r="AZ21" s="64" t="s" ph="1">
        <v>257</v>
      </c>
      <c r="BA21" s="64" ph="1">
        <v>0</v>
      </c>
      <c r="BD21" s="64" t="s" ph="1">
        <v>273</v>
      </c>
      <c r="BE21" s="64" ph="1">
        <v>730</v>
      </c>
    </row>
    <row r="22" spans="1:57" ph="1">
      <c r="A22" s="72" ph="1"/>
      <c r="B22" s="216" t="s" ph="1">
        <v>37</v>
      </c>
      <c r="C22" s="85" t="s" ph="1">
        <v>207</v>
      </c>
      <c r="D22" s="86" t="s" ph="1">
        <v>103</v>
      </c>
      <c r="E22" s="86" t="s" ph="1">
        <v>104</v>
      </c>
      <c r="F22" s="86" t="s" ph="1">
        <v>105</v>
      </c>
      <c r="G22" s="86" t="s" ph="1">
        <v>106</v>
      </c>
      <c r="H22" s="86" t="s" ph="1">
        <v>107</v>
      </c>
      <c r="I22" s="86" t="s" ph="1">
        <v>108</v>
      </c>
      <c r="J22" s="86" t="s" ph="1">
        <v>109</v>
      </c>
      <c r="K22" s="86" t="s" ph="1">
        <v>110</v>
      </c>
      <c r="L22" s="86" t="s" ph="1">
        <v>111</v>
      </c>
      <c r="M22" s="86" t="s" ph="1">
        <v>112</v>
      </c>
      <c r="N22" s="86" t="s" ph="1">
        <v>113</v>
      </c>
      <c r="O22" s="86" t="s" ph="1">
        <v>114</v>
      </c>
      <c r="P22" s="86" t="s" ph="1">
        <v>115</v>
      </c>
      <c r="Q22" s="87" t="s" ph="1">
        <v>116</v>
      </c>
      <c r="R22" s="86" t="s" ph="1">
        <v>117</v>
      </c>
      <c r="S22" s="86" t="s" ph="1">
        <v>118</v>
      </c>
      <c r="T22" s="86" t="s" ph="1">
        <v>119</v>
      </c>
      <c r="U22" s="86" t="s" ph="1">
        <v>120</v>
      </c>
      <c r="V22" s="86" t="s" ph="1">
        <v>121</v>
      </c>
      <c r="W22" s="86" t="s" ph="1">
        <v>122</v>
      </c>
      <c r="X22" s="86" t="s" ph="1">
        <v>123</v>
      </c>
      <c r="Y22" s="86" t="s" ph="1">
        <v>125</v>
      </c>
      <c r="Z22" s="195" t="s" ph="1">
        <v>79</v>
      </c>
      <c r="AA22" s="196"/>
      <c r="AB22" s="196"/>
      <c r="AC22" s="196"/>
      <c r="AD22" s="196"/>
      <c r="AE22" s="197"/>
      <c r="AH22" s="64" ph="1">
        <v>8</v>
      </c>
      <c r="AI22" s="64" t="s" ph="1">
        <v>386</v>
      </c>
      <c r="AZ22" s="64" t="s" ph="1">
        <v>257</v>
      </c>
      <c r="BA22" s="64" ph="1">
        <v>0</v>
      </c>
    </row>
    <row r="23" spans="1:57" ph="1">
      <c r="A23" s="72" ph="1"/>
      <c r="B23" s="211" ph="1"/>
      <c r="C23" s="67" t="s" ph="1">
        <v>36</v>
      </c>
      <c r="D23" s="88" t="s" ph="1">
        <v>127</v>
      </c>
      <c r="E23" s="88" t="s" ph="1">
        <v>124</v>
      </c>
      <c r="F23" s="88" t="s" ph="1">
        <v>127</v>
      </c>
      <c r="G23" s="88" t="s" ph="1">
        <v>679</v>
      </c>
      <c r="H23" s="88" t="s" ph="1">
        <v>679</v>
      </c>
      <c r="I23" s="88" t="s" ph="1">
        <v>680</v>
      </c>
      <c r="J23" s="88" t="s" ph="1">
        <v>681</v>
      </c>
      <c r="K23" s="88" t="s" ph="1">
        <v>682</v>
      </c>
      <c r="L23" s="88" t="s" ph="1">
        <v>682</v>
      </c>
      <c r="M23" s="88" t="s" ph="1">
        <v>675</v>
      </c>
      <c r="N23" s="88" t="s" ph="1">
        <v>675</v>
      </c>
      <c r="O23" s="88" t="s" ph="1">
        <v>359</v>
      </c>
      <c r="P23" s="88" t="s" ph="1">
        <v>666</v>
      </c>
      <c r="Q23" s="89" t="s" ph="1">
        <v>666</v>
      </c>
      <c r="R23" s="88" t="s" ph="1">
        <v>659</v>
      </c>
      <c r="S23" s="88" t="s" ph="1">
        <v>683</v>
      </c>
      <c r="T23" s="88" t="s" ph="1">
        <v>647</v>
      </c>
      <c r="U23" s="88" t="s" ph="1">
        <v>653</v>
      </c>
      <c r="V23" s="88" t="s" ph="1">
        <v>684</v>
      </c>
      <c r="W23" s="88" t="s" ph="1">
        <v>684</v>
      </c>
      <c r="X23" s="88" t="s" ph="1">
        <v>228</v>
      </c>
      <c r="Y23" s="88" t="s" ph="1">
        <v>686</v>
      </c>
      <c r="Z23" s="198" t="s" ph="1">
        <v>690</v>
      </c>
      <c r="AA23" s="199"/>
      <c r="AB23" s="199"/>
      <c r="AC23" s="199"/>
      <c r="AD23" s="199"/>
      <c r="AE23" s="200"/>
      <c r="AH23" s="64" ph="1">
        <v>9</v>
      </c>
      <c r="AI23" s="64" t="s" ph="1">
        <v>387</v>
      </c>
      <c r="AZ23" s="64" t="s" ph="1">
        <v>257</v>
      </c>
      <c r="BA23" s="64" ph="1">
        <v>0</v>
      </c>
      <c r="BD23" s="64" t="s" ph="1">
        <v>279</v>
      </c>
      <c r="BE23" s="64" ph="1">
        <v>890</v>
      </c>
    </row>
    <row r="24" spans="1:57" ph="1">
      <c r="A24" s="72" ph="1"/>
      <c r="B24" s="207" ph="1">
        <v>0.33333333333333331</v>
      </c>
      <c r="C24" s="180" t="s" ph="1">
        <v>208</v>
      </c>
      <c r="D24" s="71">
        <v>98.31</v>
      </c>
      <c r="E24" s="71">
        <v>95.21</v>
      </c>
      <c r="F24" s="71">
        <v>4010</v>
      </c>
      <c r="G24" s="71">
        <v>3382</v>
      </c>
      <c r="H24" s="71">
        <v>1877</v>
      </c>
      <c r="I24" s="71">
        <v>4172</v>
      </c>
      <c r="J24" s="71">
        <v>3775</v>
      </c>
      <c r="K24" s="71">
        <v>5604</v>
      </c>
      <c r="L24" s="71">
        <v>5577</v>
      </c>
      <c r="M24" s="71">
        <v>4859</v>
      </c>
      <c r="N24" s="71">
        <v>3701</v>
      </c>
      <c r="O24" s="71">
        <v>2060</v>
      </c>
      <c r="P24" s="71">
        <v>430</v>
      </c>
      <c r="Q24" s="90">
        <v>3055</v>
      </c>
      <c r="R24" s="71">
        <v>6739</v>
      </c>
      <c r="S24" s="71">
        <v>2502</v>
      </c>
      <c r="T24" s="71">
        <v>5</v>
      </c>
      <c r="U24" s="71">
        <v>5603</v>
      </c>
      <c r="V24" s="71">
        <v>425</v>
      </c>
      <c r="W24" s="71">
        <v>11470</v>
      </c>
      <c r="X24" s="71">
        <v>9547</v>
      </c>
      <c r="Y24" s="71">
        <v>4800</v>
      </c>
      <c r="Z24" s="201"/>
      <c r="AA24" s="202"/>
      <c r="AB24" s="202"/>
      <c r="AC24" s="202"/>
      <c r="AD24" s="202"/>
      <c r="AE24" s="203"/>
      <c r="AH24" s="64" ph="1">
        <v>10</v>
      </c>
      <c r="AI24" s="64" t="s" ph="1">
        <v>388</v>
      </c>
      <c r="AZ24" s="64" t="s" ph="1">
        <v>257</v>
      </c>
      <c r="BA24" s="64" ph="1">
        <v>0</v>
      </c>
    </row>
    <row r="25" spans="1:57" ph="1">
      <c r="A25" s="72" ph="1"/>
      <c r="B25" s="207" ph="1"/>
      <c r="C25" s="68" t="s" ph="1">
        <v>209</v>
      </c>
      <c r="D25" s="91" ph="1">
        <f>D24*268.68*LOOKUP(D26,密度!$A$2:$A$50,密度!$Q$2:$Q$50)+IF(D24&lt;=0,0,1566*LOOKUP(D26,密度!$A$2:$A$50,密度!$Q$2:$Q$50))</f>
        <v>26489.719685592005</v>
      </c>
      <c r="E25" s="91" ph="1">
        <f>E24*268.68*LOOKUP(E26,密度!$A$2:$A$50,密度!$C$2:$C$50)+IF(E24&lt;=0,0,1566*LOOKUP(E26,密度!$A$2:$A$50,密度!$C$2:$C$50))</f>
        <v>30103.33358292</v>
      </c>
      <c r="F25" s="91" ph="1">
        <f>F24*11.702*LOOKUP(F26,密度!$A$2:$A$50,密度!$Q$2:$Q$50)</f>
        <v>44791.808590799999</v>
      </c>
      <c r="G25" s="91" ph="1">
        <f>G24*18.322*LOOKUP(G26,密度!$A$2:$A$50,密度!$B$2:$B$50)</f>
        <v>48884.191655600007</v>
      </c>
      <c r="H25" s="91" ph="1">
        <f>H24*18.322*LOOKUP(H26,密度!$A$2:$A$50,密度!$B$2:$B$50)</f>
        <v>27130.581826600002</v>
      </c>
      <c r="I25" s="91" ph="1">
        <f>I24*18.322*LOOKUP(I26,密度!$A$2:$A$50,密度!$Q$2:$Q$50)</f>
        <v>72964.449603360001</v>
      </c>
      <c r="J25" s="91" ph="1">
        <f>J24*18.322*LOOKUP(J26,密度!$A$2:$A$50,密度!$Q$2:$Q$50)</f>
        <v>66021.284097000011</v>
      </c>
      <c r="K25" s="91" ph="1">
        <f>K24*18.322*LOOKUP(K26,密度!$A$2:$A$50,密度!$Q$2:$Q$50)</f>
        <v>98008.814855520002</v>
      </c>
      <c r="L25" s="91" ph="1">
        <f>L24*18.322*LOOKUP(L26,密度!$A$2:$A$50,密度!$Q$2:$Q$50)</f>
        <v>97536.609644759999</v>
      </c>
      <c r="M25" s="91" ph="1">
        <f>M24*18.322*LOOKUP(M26,密度!$A$2:$A$50,密度!$Q$2:$Q$50)</f>
        <v>84979.448854920003</v>
      </c>
      <c r="N25" s="91" ph="1">
        <f>N24*18.322*LOOKUP(N26,密度!$A$2:$A$50,密度!$Q$2:$Q$50)</f>
        <v>64727.09203788</v>
      </c>
      <c r="O25" s="91" ph="1">
        <f>O24*18.322*LOOKUP(O26,密度!$A$2:$A$50,密度!$C$2:$C$50)</f>
        <v>42144.191112</v>
      </c>
      <c r="P25" s="91" ph="1">
        <f>P24*11.702*LOOKUP(P26,密度!$A$2:$A$50,密度!$B$2:$B$50)</f>
        <v>3973.6598419999996</v>
      </c>
      <c r="Q25" s="92" ph="1">
        <f>Q24*18.322*LOOKUP(Q26,密度!$A$2:$A$50,密度!$B$2:$B$50)</f>
        <v>44202.438786999999</v>
      </c>
      <c r="R25" s="91" ph="1">
        <f>R24*35.891*LOOKUP(R26,密度!$A$2:$A$50,密度!$C$2:$C$50)</f>
        <v>270264.92231259996</v>
      </c>
      <c r="S25" s="91" ph="1">
        <f>S24*35.891*LOOKUP(S26,密度!$A$2:$A$50,密度!$B$2:$B$50)</f>
        <v>70842.653569799993</v>
      </c>
      <c r="T25" s="91" ph="1">
        <f>T24*35.891*LOOKUP(T26,密度!$A$2:$A$50,密度!$Q$2:$Q$50)</f>
        <v>171.29697569999999</v>
      </c>
      <c r="U25" s="91" ph="1">
        <f>U24*35.891</f>
        <v>201097.27299999999</v>
      </c>
      <c r="V25" s="91" ph="1">
        <f>V24*47.051*LOOKUP(V26,密度!$A$2:$A$50,密度!$B$2:$B$50)</f>
        <v>15791.374247499998</v>
      </c>
      <c r="W25" s="91" ph="1">
        <f>W24*47.051*LOOKUP(W26,密度!$A$2:$A$50,密度!$B$2:$B$50)</f>
        <v>426181.32380899996</v>
      </c>
      <c r="X25" s="91" ph="1">
        <f>X24*47.051*LOOKUP(X26,密度!$A$2:$A$50,密度!$I$2:$I$50)</f>
        <v>463165.88939669996</v>
      </c>
      <c r="Y25" s="91" ph="1">
        <f>Y24*47.051*LOOKUP(Y26,密度!$A$2:$A$50,密度!$L$2:$L$50)</f>
        <v>213875.02559999999</v>
      </c>
      <c r="Z25" s="201"/>
      <c r="AA25" s="202"/>
      <c r="AB25" s="202"/>
      <c r="AC25" s="202"/>
      <c r="AD25" s="202"/>
      <c r="AE25" s="203"/>
      <c r="AH25" s="64" ph="1">
        <v>11</v>
      </c>
      <c r="AI25" s="64" t="s" ph="1">
        <v>389</v>
      </c>
      <c r="AZ25" s="64" t="s" ph="1">
        <v>257</v>
      </c>
      <c r="BA25" s="64" ph="1">
        <v>0</v>
      </c>
      <c r="BD25" s="64" t="s" ph="1">
        <v>282</v>
      </c>
      <c r="BE25" s="64" ph="1">
        <v>8920</v>
      </c>
    </row>
    <row r="26" spans="1:57" ph="1">
      <c r="A26" s="72" ph="1"/>
      <c r="B26" s="207" ph="1"/>
      <c r="C26" s="68" t="s" ph="1">
        <v>210</v>
      </c>
      <c r="D26" s="74">
        <v>25</v>
      </c>
      <c r="E26" s="74">
        <v>25</v>
      </c>
      <c r="F26" s="74">
        <v>15</v>
      </c>
      <c r="G26" s="74">
        <v>14</v>
      </c>
      <c r="H26" s="74">
        <v>14</v>
      </c>
      <c r="I26" s="74">
        <v>14</v>
      </c>
      <c r="J26" s="74">
        <v>13</v>
      </c>
      <c r="K26" s="74">
        <v>13</v>
      </c>
      <c r="L26" s="74">
        <v>15</v>
      </c>
      <c r="M26" s="74">
        <v>15</v>
      </c>
      <c r="N26" s="74">
        <v>13</v>
      </c>
      <c r="O26" s="74">
        <v>14</v>
      </c>
      <c r="P26" s="74">
        <v>13</v>
      </c>
      <c r="Q26" s="93">
        <v>13</v>
      </c>
      <c r="R26" s="74">
        <v>13</v>
      </c>
      <c r="S26" s="74">
        <v>14</v>
      </c>
      <c r="T26" s="74">
        <v>14</v>
      </c>
      <c r="U26" s="74">
        <v>14</v>
      </c>
      <c r="V26" s="74">
        <v>13</v>
      </c>
      <c r="W26" s="74">
        <v>13</v>
      </c>
      <c r="X26" s="74">
        <v>45</v>
      </c>
      <c r="Y26" s="74">
        <v>15</v>
      </c>
      <c r="Z26" s="201"/>
      <c r="AA26" s="202"/>
      <c r="AB26" s="202"/>
      <c r="AC26" s="202"/>
      <c r="AD26" s="202"/>
      <c r="AE26" s="203"/>
      <c r="AH26" s="64" ph="1">
        <v>12</v>
      </c>
      <c r="AI26" s="64" t="s" ph="1">
        <v>390</v>
      </c>
      <c r="AZ26" s="64" t="s" ph="1">
        <v>257</v>
      </c>
      <c r="BA26" s="64" ph="1">
        <v>0</v>
      </c>
    </row>
    <row r="27" spans="1:57" ph="1">
      <c r="A27" s="72" ph="1"/>
      <c r="B27" s="207" ph="1">
        <v>0.66666666666666663</v>
      </c>
      <c r="C27" s="180" t="s" ph="1">
        <v>211</v>
      </c>
      <c r="D27" s="71">
        <v>98.41</v>
      </c>
      <c r="E27" s="71">
        <v>95.21</v>
      </c>
      <c r="F27" s="71">
        <v>4009</v>
      </c>
      <c r="G27" s="71">
        <v>2758</v>
      </c>
      <c r="H27" s="71">
        <v>1841</v>
      </c>
      <c r="I27" s="71">
        <v>4172</v>
      </c>
      <c r="J27" s="71">
        <v>3773</v>
      </c>
      <c r="K27" s="71">
        <v>5604</v>
      </c>
      <c r="L27" s="71">
        <v>5576</v>
      </c>
      <c r="M27" s="71">
        <v>4858</v>
      </c>
      <c r="N27" s="71">
        <v>3699</v>
      </c>
      <c r="O27" s="71">
        <v>2058</v>
      </c>
      <c r="P27" s="71">
        <v>427</v>
      </c>
      <c r="Q27" s="90">
        <v>3635</v>
      </c>
      <c r="R27" s="71">
        <v>6737</v>
      </c>
      <c r="S27" s="71">
        <v>2500</v>
      </c>
      <c r="T27" s="71">
        <v>0</v>
      </c>
      <c r="U27" s="71">
        <v>5205</v>
      </c>
      <c r="V27" s="71">
        <v>422</v>
      </c>
      <c r="W27" s="71">
        <v>11466</v>
      </c>
      <c r="X27" s="71">
        <v>9068</v>
      </c>
      <c r="Y27" s="71">
        <v>3203</v>
      </c>
      <c r="Z27" s="201"/>
      <c r="AA27" s="202"/>
      <c r="AB27" s="202"/>
      <c r="AC27" s="202"/>
      <c r="AD27" s="202"/>
      <c r="AE27" s="203"/>
      <c r="AH27" s="64" ph="1">
        <v>13</v>
      </c>
      <c r="AI27" s="64" t="s" ph="1">
        <v>391</v>
      </c>
      <c r="AZ27" s="64" t="s" ph="1">
        <v>257</v>
      </c>
      <c r="BA27" s="64" ph="1">
        <v>0</v>
      </c>
      <c r="BD27" s="64" t="s" ph="1">
        <v>336</v>
      </c>
      <c r="BE27" s="64" ph="1">
        <v>7100</v>
      </c>
    </row>
    <row r="28" spans="1:57" ph="1">
      <c r="A28" s="72" ph="1"/>
      <c r="B28" s="207" ph="1"/>
      <c r="C28" s="180" t="s" ph="1">
        <v>209</v>
      </c>
      <c r="D28" s="91" ph="1">
        <f>D27*268.68*LOOKUP(D29,密度!$A$2:$A$50,密度!$Q$2:$Q$50)+IF(D27&lt;=0,0,1566*LOOKUP(D29,密度!$A$2:$A$50,密度!$Q$2:$Q$50))</f>
        <v>26515.156695912003</v>
      </c>
      <c r="E28" s="91" ph="1">
        <f>E27*268.68*LOOKUP(E29,密度!$A$2:$A$50,密度!$C$2:$C$50)+IF(E27&lt;=0,0,1566*LOOKUP(E29,密度!$A$2:$A$50,密度!$C$2:$C$50))</f>
        <v>30103.33358292</v>
      </c>
      <c r="F28" s="91" ph="1">
        <f>F27*11.702*LOOKUP(F29,密度!$A$2:$A$50,密度!$Q$2:$Q$50)</f>
        <v>44780.63856372</v>
      </c>
      <c r="G28" s="91" ph="1">
        <f>G27*18.322*LOOKUP(G29,密度!$A$2:$A$50,密度!$B$2:$B$50)</f>
        <v>39819.275888000004</v>
      </c>
      <c r="H28" s="91" ph="1">
        <f>H27*18.322*LOOKUP(H29,密度!$A$2:$A$50,密度!$B$2:$B$50)</f>
        <v>26579.871975999999</v>
      </c>
      <c r="I28" s="91" ph="1">
        <f>I27*18.322*LOOKUP(I29,密度!$A$2:$A$50,密度!$Q$2:$Q$50)</f>
        <v>72964.449603360001</v>
      </c>
      <c r="J28" s="91" ph="1">
        <f>J27*18.322*LOOKUP(J29,密度!$A$2:$A$50,密度!$Q$2:$Q$50)</f>
        <v>65921.324761600001</v>
      </c>
      <c r="K28" s="91" ph="1">
        <f>K27*18.322*LOOKUP(K29,密度!$A$2:$A$50,密度!$Q$2:$Q$50)</f>
        <v>97912.298956800005</v>
      </c>
      <c r="L28" s="91" ph="1">
        <f>L27*18.322*LOOKUP(L29,密度!$A$2:$A$50,密度!$Q$2:$Q$50)</f>
        <v>97519.120562879994</v>
      </c>
      <c r="M28" s="91" ph="1">
        <f>M27*18.322*LOOKUP(M29,密度!$A$2:$A$50,密度!$Q$2:$Q$50)</f>
        <v>84961.959773039998</v>
      </c>
      <c r="N28" s="91" ph="1">
        <f>N27*18.322*LOOKUP(N29,密度!$A$2:$A$50,密度!$Q$2:$Q$50)</f>
        <v>64692.113874119997</v>
      </c>
      <c r="O28" s="91" ph="1">
        <f>O27*18.322*LOOKUP(O29,密度!$A$2:$A$50,密度!$C$2:$C$50)</f>
        <v>42073.109080799994</v>
      </c>
      <c r="P28" s="91" ph="1">
        <f>P27*11.702*LOOKUP(P29,密度!$A$2:$A$50,密度!$B$2:$B$50)</f>
        <v>3925.9496177999995</v>
      </c>
      <c r="Q28" s="92" ph="1">
        <f>Q27*18.322*LOOKUP(Q29,密度!$A$2:$A$50,密度!$B$2:$B$50)</f>
        <v>52427.889984000001</v>
      </c>
      <c r="R28" s="91" ph="1">
        <f>R27*35.891*LOOKUP(R29,密度!$A$2:$A$50,密度!$C$2:$C$50)</f>
        <v>269652.75823839998</v>
      </c>
      <c r="S28" s="91" ph="1">
        <f>S27*35.891*LOOKUP(S29,密度!$A$2:$A$50,密度!$B$2:$B$50)</f>
        <v>70705.27</v>
      </c>
      <c r="T28" s="91" ph="1">
        <f>T27*35.891*LOOKUP(T29,密度!$A$2:$A$50,密度!$Q$2:$Q$50)</f>
        <v>0</v>
      </c>
      <c r="U28" s="91" ph="1">
        <f>U27*35.891</f>
        <v>186812.655</v>
      </c>
      <c r="V28" s="91" ph="1">
        <f>V27*47.051*LOOKUP(V29,密度!$A$2:$A$50,密度!$B$2:$B$50)</f>
        <v>15646.151336000001</v>
      </c>
      <c r="W28" s="91" ph="1">
        <f>W27*47.051*LOOKUP(W29,密度!$A$2:$A$50,密度!$B$2:$B$50)</f>
        <v>424252.39278240001</v>
      </c>
      <c r="X28" s="91" ph="1">
        <f>X27*47.051*LOOKUP(X29,密度!$A$2:$A$50,密度!$I$2:$I$50)</f>
        <v>441864.57579951995</v>
      </c>
      <c r="Y28" s="91" ph="1">
        <f>Y27*47.051*LOOKUP(Y29,密度!$A$2:$A$50,密度!$L$2:$L$50)</f>
        <v>142415.61358499998</v>
      </c>
      <c r="Z28" s="201"/>
      <c r="AA28" s="202"/>
      <c r="AB28" s="202"/>
      <c r="AC28" s="202"/>
      <c r="AD28" s="202"/>
      <c r="AE28" s="203"/>
      <c r="AH28" s="64" ph="1">
        <v>14</v>
      </c>
      <c r="AI28" s="64" t="s" ph="1">
        <v>392</v>
      </c>
      <c r="AZ28" s="64" t="s" ph="1">
        <v>257</v>
      </c>
      <c r="BA28" s="64" ph="1">
        <v>0</v>
      </c>
    </row>
    <row r="29" spans="1:57" ph="1">
      <c r="A29" s="72" ph="1"/>
      <c r="B29" s="207" ph="1"/>
      <c r="C29" s="180" t="s" ph="1">
        <v>210</v>
      </c>
      <c r="D29" s="74">
        <v>25</v>
      </c>
      <c r="E29" s="74">
        <v>25</v>
      </c>
      <c r="F29" s="74">
        <v>15</v>
      </c>
      <c r="G29" s="74">
        <v>15</v>
      </c>
      <c r="H29" s="74">
        <v>15</v>
      </c>
      <c r="I29" s="74">
        <v>15</v>
      </c>
      <c r="J29" s="74">
        <v>16</v>
      </c>
      <c r="K29" s="74">
        <v>16</v>
      </c>
      <c r="L29" s="74">
        <v>15</v>
      </c>
      <c r="M29" s="74">
        <v>15</v>
      </c>
      <c r="N29" s="74">
        <v>15</v>
      </c>
      <c r="O29" s="74">
        <v>15</v>
      </c>
      <c r="P29" s="74">
        <v>18</v>
      </c>
      <c r="Q29" s="93">
        <v>16</v>
      </c>
      <c r="R29" s="74">
        <v>16</v>
      </c>
      <c r="S29" s="74">
        <v>15</v>
      </c>
      <c r="T29" s="74">
        <v>15</v>
      </c>
      <c r="U29" s="74">
        <v>15</v>
      </c>
      <c r="V29" s="74">
        <v>15</v>
      </c>
      <c r="W29" s="74">
        <v>17</v>
      </c>
      <c r="X29" s="74">
        <v>52</v>
      </c>
      <c r="Y29" s="74">
        <v>17</v>
      </c>
      <c r="Z29" s="204"/>
      <c r="AA29" s="205"/>
      <c r="AB29" s="205"/>
      <c r="AC29" s="205"/>
      <c r="AD29" s="205"/>
      <c r="AE29" s="206"/>
      <c r="AH29" s="64" ph="1">
        <v>15</v>
      </c>
      <c r="AI29" s="64" t="s" ph="1">
        <v>393</v>
      </c>
      <c r="AZ29" s="64" t="s" ph="1">
        <v>257</v>
      </c>
      <c r="BA29" s="64" ph="1">
        <v>0</v>
      </c>
      <c r="BD29" s="64" t="s" ph="1">
        <v>394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395</v>
      </c>
      <c r="AZ30" s="64" t="s" ph="1">
        <v>257</v>
      </c>
      <c r="BA30" s="64" ph="1">
        <v>0</v>
      </c>
    </row>
    <row r="31" spans="1:57" ht="28.5" ph="1">
      <c r="A31" s="64"/>
      <c r="B31" s="220" t="s" ph="1">
        <v>35</v>
      </c>
      <c r="C31" s="221" ph="1"/>
      <c r="D31" s="224" t="s" ph="1">
        <v>9</v>
      </c>
      <c r="E31" s="213" ph="1"/>
      <c r="F31" s="214" ph="1"/>
      <c r="G31" s="224" t="s" ph="1">
        <v>18</v>
      </c>
      <c r="H31" s="213" ph="1"/>
      <c r="I31" s="214" ph="1"/>
      <c r="J31" s="212" t="s" ph="1">
        <v>1</v>
      </c>
      <c r="K31" s="213" ph="1"/>
      <c r="L31" s="214" ph="1"/>
      <c r="M31" s="212" t="s" ph="1">
        <v>7</v>
      </c>
      <c r="N31" s="213" ph="1"/>
      <c r="O31" s="214" ph="1"/>
      <c r="P31" s="212" t="s" ph="1">
        <v>42</v>
      </c>
      <c r="Q31" s="213"/>
      <c r="R31" s="214"/>
      <c r="S31" s="212" t="s" ph="1">
        <v>2</v>
      </c>
      <c r="T31" s="213"/>
      <c r="U31" s="214"/>
      <c r="V31" s="212" t="s" ph="1">
        <v>81</v>
      </c>
      <c r="W31" s="213" ph="1"/>
      <c r="X31" s="214" ph="1"/>
      <c r="Y31" s="212" t="s" ph="1">
        <v>3</v>
      </c>
      <c r="Z31" s="213" ph="1"/>
      <c r="AA31" s="214" ph="1"/>
      <c r="AB31" s="235" t="s">
        <v>43</v>
      </c>
      <c r="AC31" s="236"/>
      <c r="AD31" s="236"/>
      <c r="AE31" s="237"/>
      <c r="AH31" s="64" ph="1">
        <v>17</v>
      </c>
      <c r="AI31" s="64" t="s" ph="1">
        <v>396</v>
      </c>
      <c r="AZ31" s="64" t="s" ph="1">
        <v>257</v>
      </c>
      <c r="BA31" s="64" ph="1">
        <v>0</v>
      </c>
      <c r="BD31" s="64" t="s" ph="1">
        <v>397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80" t="s" ph="1">
        <v>5</v>
      </c>
      <c r="F32" s="181" t="s" ph="1">
        <v>44</v>
      </c>
      <c r="G32" s="97" t="s" ph="1">
        <v>4</v>
      </c>
      <c r="H32" s="180" t="s" ph="1">
        <v>5</v>
      </c>
      <c r="I32" s="181" t="s" ph="1">
        <v>44</v>
      </c>
      <c r="J32" s="97" t="s" ph="1">
        <v>4</v>
      </c>
      <c r="K32" s="180" t="s" ph="1">
        <v>5</v>
      </c>
      <c r="L32" s="181" t="s" ph="1">
        <v>44</v>
      </c>
      <c r="M32" s="97" t="s" ph="1">
        <v>4</v>
      </c>
      <c r="N32" s="180" t="s" ph="1">
        <v>5</v>
      </c>
      <c r="O32" s="181" t="s" ph="1">
        <v>44</v>
      </c>
      <c r="P32" s="97" t="s" ph="1">
        <v>4</v>
      </c>
      <c r="Q32" s="98" t="s" ph="1">
        <v>5</v>
      </c>
      <c r="R32" s="99" t="s" ph="1">
        <v>44</v>
      </c>
      <c r="S32" s="97" t="s" ph="1">
        <v>4</v>
      </c>
      <c r="T32" s="180" t="s" ph="1">
        <v>5</v>
      </c>
      <c r="U32" s="99" t="s" ph="1">
        <v>44</v>
      </c>
      <c r="V32" s="97" t="s" ph="1">
        <v>4</v>
      </c>
      <c r="W32" s="180" t="s" ph="1">
        <v>5</v>
      </c>
      <c r="X32" s="99" t="s" ph="1">
        <v>44</v>
      </c>
      <c r="Y32" s="100" t="s" ph="1">
        <v>4</v>
      </c>
      <c r="Z32" s="180" t="s" ph="1">
        <v>5</v>
      </c>
      <c r="AA32" s="181" t="s" ph="1">
        <v>44</v>
      </c>
      <c r="AB32" s="97" t="s" ph="1">
        <v>102</v>
      </c>
      <c r="AC32" s="180" t="s" ph="1">
        <v>101</v>
      </c>
      <c r="AD32" s="238" t="s" ph="1">
        <v>100</v>
      </c>
      <c r="AE32" s="239"/>
      <c r="AH32" s="64" ph="1">
        <v>18</v>
      </c>
      <c r="AI32" s="64" t="s" ph="1">
        <v>398</v>
      </c>
      <c r="AZ32" s="64" t="s" ph="1">
        <v>257</v>
      </c>
      <c r="BA32" s="64" ph="1">
        <v>0</v>
      </c>
    </row>
    <row r="33" spans="1:57" ph="1">
      <c r="A33" s="64"/>
      <c r="B33" s="225" t="s" ph="1">
        <v>212</v>
      </c>
      <c r="C33" s="226" ph="1"/>
      <c r="D33" s="229" ph="1">
        <f>AA10+AB10+Z19</f>
        <v>108123.64083840002</v>
      </c>
      <c r="E33" s="229" ph="1">
        <f>M10+I10</f>
        <v>144071.64266359998</v>
      </c>
      <c r="F33" s="23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1522252632456786910111213141516171819202123456789101112131415161718192022232424356789101112131415161718192021222345678910111213141516171819202345678910111213149101516171819222123234567891012131415161711181920212224252345678910111213127[[#This Row],[F25]]</f>
        <v>3880</v>
      </c>
      <c r="G33" s="233" ph="1">
        <v>0</v>
      </c>
      <c r="H33" s="229" ph="1">
        <f>N19</f>
        <v>7756.7076389800004</v>
      </c>
      <c r="I33" s="242" ph="1">
        <v>0</v>
      </c>
      <c r="J33" s="240" ph="1">
        <f>F10+O28</f>
        <v>294118.80645839998</v>
      </c>
      <c r="K33" s="229" ph="1">
        <f>O10+K10+E28+R28</f>
        <v>422965.30526411999</v>
      </c>
      <c r="L33" s="244" ph="1">
        <f>BE27</f>
        <v>7100</v>
      </c>
      <c r="M33" s="240" ph="1">
        <f>G10+H10+W28+S28</f>
        <v>947644.95109240012</v>
      </c>
      <c r="N33" s="229" ph="1">
        <f>L10+P10++G28+H28+V28</f>
        <v>222247.28018000003</v>
      </c>
      <c r="O33" s="242" ph="1">
        <f>BE17</f>
        <v>2270</v>
      </c>
      <c r="P33" s="240" ph="1">
        <f>L19</f>
        <v>28093.451586560001</v>
      </c>
      <c r="Q33" s="229" ph="1">
        <f>J10+N10</f>
        <v>121243.54463839998</v>
      </c>
      <c r="R33" s="242" ph="1">
        <f>BE23</f>
        <v>890</v>
      </c>
      <c r="S33" s="240" ph="1">
        <f>E10+X28</f>
        <v>441864.57579951995</v>
      </c>
      <c r="T33" s="229" ph="1">
        <f>X19</f>
        <v>10400.5436584</v>
      </c>
      <c r="U33" s="250" ph="1">
        <f>BE21</f>
        <v>730</v>
      </c>
      <c r="V33" s="261" ph="1">
        <f ca="1">P19+Q19+S19+M28+N28+J28</f>
        <v>267415.15755622997</v>
      </c>
      <c r="W33" s="261" ph="1">
        <f>D28+F28+V19+T28</f>
        <v>71295.795259631996</v>
      </c>
      <c r="X33" s="242" ph="1">
        <f>BE29+BE31</f>
        <v>10200</v>
      </c>
      <c r="Y33" s="263" ph="1">
        <f>+Q10+R10+S10+T10+U10+V10+W10+X10+Y10</f>
        <v>79189.554074400003</v>
      </c>
      <c r="Z33" s="248" ph="1">
        <f>D10+T19+U19+Y28+Z10</f>
        <v>468043.27843886998</v>
      </c>
      <c r="AA33" s="250" ph="1">
        <f>BE19</f>
        <v>1440</v>
      </c>
      <c r="AB33" s="252" ph="1">
        <f>I19</f>
        <v>40178.662661599999</v>
      </c>
      <c r="AC33" s="254" ph="1">
        <f>AD10</f>
        <v>21386.154912000002</v>
      </c>
      <c r="AD33" s="256" ph="1">
        <v>0</v>
      </c>
      <c r="AE33" s="257"/>
      <c r="AH33" s="64" ph="1">
        <v>19</v>
      </c>
      <c r="AI33" s="64" t="s" ph="1">
        <v>399</v>
      </c>
      <c r="AJ33" s="64" t="s" ph="1">
        <v>633</v>
      </c>
      <c r="AK33" s="64" t="s" ph="1">
        <v>630</v>
      </c>
      <c r="AL33" s="64" ph="1">
        <v>730</v>
      </c>
      <c r="AM33" s="64" t="s" ph="1">
        <v>380</v>
      </c>
      <c r="AZ33" s="64" t="s" ph="1">
        <v>257</v>
      </c>
      <c r="BA33" s="64" ph="1">
        <v>730</v>
      </c>
      <c r="BD33" s="64" t="s" ph="1">
        <v>331</v>
      </c>
      <c r="BE33" s="64" ph="1">
        <v>3880</v>
      </c>
    </row>
    <row r="34" spans="1:57" ph="1">
      <c r="A34" s="64"/>
      <c r="B34" s="227" ph="1"/>
      <c r="C34" s="228" ph="1"/>
      <c r="D34" s="230" ph="1"/>
      <c r="E34" s="230" ph="1"/>
      <c r="F34" s="232" ph="1"/>
      <c r="G34" s="234" ph="1"/>
      <c r="H34" s="230" ph="1"/>
      <c r="I34" s="243" ph="1"/>
      <c r="J34" s="241" ph="1"/>
      <c r="K34" s="230" ph="1"/>
      <c r="L34" s="245" ph="1"/>
      <c r="M34" s="241" ph="1"/>
      <c r="N34" s="230" ph="1"/>
      <c r="O34" s="243" ph="1"/>
      <c r="P34" s="241" ph="1"/>
      <c r="Q34" s="230" ph="1"/>
      <c r="R34" s="243" ph="1"/>
      <c r="S34" s="241" ph="1"/>
      <c r="T34" s="230"/>
      <c r="U34" s="251"/>
      <c r="V34" s="262" ph="1"/>
      <c r="W34" s="262" ph="1"/>
      <c r="X34" s="243" ph="1"/>
      <c r="Y34" s="264" ph="1"/>
      <c r="Z34" s="249" ph="1"/>
      <c r="AA34" s="251" ph="1"/>
      <c r="AB34" s="253"/>
      <c r="AC34" s="255"/>
      <c r="AD34" s="258"/>
      <c r="AE34" s="259"/>
      <c r="AH34" s="64" ph="1">
        <v>20</v>
      </c>
      <c r="AI34" s="64" t="s" ph="1">
        <v>400</v>
      </c>
      <c r="AJ34" s="64" t="s" ph="1">
        <v>634</v>
      </c>
      <c r="AK34" s="64" t="s" ph="1">
        <v>630</v>
      </c>
      <c r="AL34" s="64" ph="1">
        <v>720</v>
      </c>
      <c r="AM34" s="64" t="s" ph="1">
        <v>380</v>
      </c>
      <c r="AZ34" s="64" t="s" ph="1">
        <v>257</v>
      </c>
      <c r="BA34" s="64" ph="1">
        <v>720</v>
      </c>
    </row>
    <row r="35" spans="1:57" ph="1">
      <c r="A35" s="64"/>
      <c r="AC35" s="260" t="s" ph="1">
        <v>84</v>
      </c>
      <c r="AD35" s="260"/>
      <c r="AE35" s="260"/>
      <c r="AH35" s="64" ph="1">
        <v>21</v>
      </c>
      <c r="AI35" s="64" t="s" ph="1">
        <v>401</v>
      </c>
      <c r="AZ35" s="64" t="s" ph="1">
        <v>257</v>
      </c>
      <c r="BA35" s="64" ph="1">
        <v>0</v>
      </c>
      <c r="BD35" s="64" t="s" ph="1">
        <v>402</v>
      </c>
      <c r="BE35" s="64" ph="1">
        <v>2030</v>
      </c>
    </row>
    <row r="36" spans="1:57" ht="28.5" ph="1">
      <c r="A36" s="64"/>
      <c r="B36" s="103" t="s" ph="1">
        <v>213</v>
      </c>
      <c r="I36" s="246" t="s" ph="1">
        <v>214</v>
      </c>
      <c r="J36" s="246" ph="1"/>
      <c r="K36" s="101" ph="1"/>
      <c r="P36" s="101" ph="1"/>
      <c r="R36" s="246" t="s" ph="1">
        <v>215</v>
      </c>
      <c r="S36" s="246" ph="1"/>
      <c r="Y36" s="102" ph="1"/>
      <c r="Z36" s="182" t="s" ph="1">
        <v>216</v>
      </c>
      <c r="AA36" s="182" ph="1"/>
      <c r="AB36" s="247" t="s" ph="1">
        <v>655</v>
      </c>
      <c r="AC36" s="247" ph="1"/>
      <c r="AD36" s="247" ph="1"/>
      <c r="AE36" s="247" ph="1"/>
      <c r="BA36" s="64" ph="1">
        <v>2270</v>
      </c>
    </row>
    <row r="37" spans="1:57" s="18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82" t="s" ph="1">
        <v>383</v>
      </c>
      <c r="AI37" s="182" t="s" ph="1">
        <v>250</v>
      </c>
      <c r="AJ37" s="182" t="s" ph="1">
        <v>251</v>
      </c>
      <c r="AK37" s="182" t="s" ph="1">
        <v>252</v>
      </c>
      <c r="AM37" s="182" t="s" ph="1">
        <v>251</v>
      </c>
      <c r="AN37" s="182" t="s" ph="1">
        <v>252</v>
      </c>
      <c r="AO37" s="182" t="s" ph="1">
        <v>253</v>
      </c>
      <c r="AP37" s="182" t="s" ph="1">
        <v>251</v>
      </c>
      <c r="AQ37" s="182" t="s" ph="1">
        <v>252</v>
      </c>
      <c r="AR37" s="182" t="s" ph="1">
        <v>253</v>
      </c>
      <c r="AS37" s="182" t="s" ph="1">
        <v>251</v>
      </c>
      <c r="AT37" s="182" t="s" ph="1">
        <v>252</v>
      </c>
      <c r="AU37" s="182" t="s" ph="1">
        <v>253</v>
      </c>
      <c r="AV37" s="182" t="s" ph="1">
        <v>251</v>
      </c>
      <c r="AW37" s="182" t="s" ph="1">
        <v>252</v>
      </c>
      <c r="AX37" s="182" t="s" ph="1">
        <v>253</v>
      </c>
      <c r="AY37" s="182" t="s" ph="1">
        <v>252</v>
      </c>
      <c r="AZ37" s="182" t="s" ph="1">
        <v>254</v>
      </c>
      <c r="BD37" s="182" t="s" ph="1">
        <v>346</v>
      </c>
      <c r="BE37" s="182" ph="1">
        <v>0</v>
      </c>
    </row>
    <row r="38" spans="1:57" ph="1">
      <c r="AE38" s="64" ph="1"/>
      <c r="AH38" s="64" ph="1">
        <v>1</v>
      </c>
      <c r="AI38" s="64" t="s" ph="1">
        <v>403</v>
      </c>
      <c r="AY38" s="64" t="s" ph="1">
        <v>257</v>
      </c>
      <c r="AZ38" s="64" t="s" ph="1">
        <v>408</v>
      </c>
    </row>
    <row r="39" spans="1:57" ph="1">
      <c r="AH39" s="64" ph="1">
        <v>2</v>
      </c>
      <c r="AI39" s="64" t="s" ph="1">
        <v>405</v>
      </c>
      <c r="AJ39" s="64" t="s" ph="1">
        <v>377</v>
      </c>
      <c r="AK39" s="64" t="s" ph="1">
        <v>406</v>
      </c>
      <c r="AM39" s="64" t="s" ph="1">
        <v>611</v>
      </c>
      <c r="AN39" s="64" t="s" ph="1">
        <v>269</v>
      </c>
      <c r="AO39" s="64" t="s" ph="1">
        <v>404</v>
      </c>
      <c r="AY39" s="64" t="s" ph="1">
        <v>257</v>
      </c>
      <c r="AZ39" s="64" t="s" ph="1">
        <v>540</v>
      </c>
    </row>
    <row r="40" spans="1:57" ph="1">
      <c r="AH40" s="64" ph="1">
        <v>3</v>
      </c>
      <c r="AI40" s="64" t="s" ph="1">
        <v>407</v>
      </c>
      <c r="AJ40" s="64" t="s" ph="1">
        <v>611</v>
      </c>
      <c r="AK40" s="64" t="s" ph="1">
        <v>612</v>
      </c>
      <c r="AY40" s="64" t="s" ph="1">
        <v>257</v>
      </c>
      <c r="AZ40" s="64" t="s" ph="1">
        <v>612</v>
      </c>
    </row>
    <row r="41" spans="1:57" ph="1">
      <c r="AH41" s="64" ph="1">
        <v>4</v>
      </c>
      <c r="AI41" s="64" t="s" ph="1">
        <v>409</v>
      </c>
      <c r="AJ41" s="64" t="s" ph="1">
        <v>613</v>
      </c>
      <c r="AK41" s="64" t="s" ph="1">
        <v>614</v>
      </c>
      <c r="AM41" s="64" t="s" ph="1">
        <v>615</v>
      </c>
      <c r="AY41" s="64" t="s" ph="1">
        <v>257</v>
      </c>
      <c r="AZ41" s="64" t="s" ph="1">
        <v>614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410</v>
      </c>
      <c r="AY42" s="64" t="s" ph="1">
        <v>257</v>
      </c>
      <c r="AZ42" s="64" t="s" ph="1">
        <v>408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411</v>
      </c>
      <c r="AY43" s="64" t="s" ph="1">
        <v>257</v>
      </c>
      <c r="AZ43" s="64" t="s" ph="1">
        <v>408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412</v>
      </c>
      <c r="AV44" s="64" t="s" ph="1">
        <v>258</v>
      </c>
      <c r="AY44" s="64" t="s" ph="1">
        <v>257</v>
      </c>
      <c r="AZ44" s="64" t="s" ph="1">
        <v>408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413</v>
      </c>
      <c r="AV45" s="64" t="s" ph="1">
        <v>258</v>
      </c>
      <c r="AY45" s="64" t="s" ph="1">
        <v>257</v>
      </c>
      <c r="AZ45" s="64" t="s" ph="1">
        <v>408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414</v>
      </c>
      <c r="AV46" s="64" t="s" ph="1">
        <v>258</v>
      </c>
      <c r="AY46" s="64" t="s" ph="1">
        <v>257</v>
      </c>
      <c r="AZ46" s="64" t="s" ph="1">
        <v>408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415</v>
      </c>
      <c r="AV47" s="64" t="s" ph="1">
        <v>258</v>
      </c>
      <c r="AY47" s="64" t="s" ph="1">
        <v>257</v>
      </c>
      <c r="AZ47" s="64" t="s" ph="1">
        <v>408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616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273</v>
      </c>
      <c r="AI49" s="64" t="s" ph="1">
        <v>250</v>
      </c>
      <c r="AJ49" s="64" t="s" ph="1">
        <v>251</v>
      </c>
      <c r="AK49" s="64" t="s" ph="1">
        <v>252</v>
      </c>
      <c r="AM49" s="64" t="s" ph="1">
        <v>251</v>
      </c>
      <c r="AN49" s="64" t="s" ph="1">
        <v>252</v>
      </c>
      <c r="AO49" s="64" t="s" ph="1">
        <v>253</v>
      </c>
      <c r="AP49" s="64" t="s" ph="1">
        <v>251</v>
      </c>
      <c r="AQ49" s="64" t="s" ph="1">
        <v>252</v>
      </c>
      <c r="AR49" s="64" t="s" ph="1">
        <v>253</v>
      </c>
      <c r="AS49" s="64" t="s" ph="1">
        <v>251</v>
      </c>
      <c r="AT49" s="64" t="s" ph="1">
        <v>252</v>
      </c>
      <c r="AU49" s="64" t="s" ph="1">
        <v>253</v>
      </c>
      <c r="AV49" s="64" t="s" ph="1">
        <v>251</v>
      </c>
      <c r="AW49" s="64" t="s" ph="1">
        <v>252</v>
      </c>
      <c r="AX49" s="64" t="s" ph="1">
        <v>253</v>
      </c>
      <c r="AY49" s="64" t="s" ph="1">
        <v>252</v>
      </c>
      <c r="AZ49" s="64" t="s" ph="1">
        <v>254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416</v>
      </c>
      <c r="AY50" s="64" t="s" ph="1">
        <v>257</v>
      </c>
      <c r="AZ50" s="64" t="s" ph="1">
        <v>408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417</v>
      </c>
      <c r="AY51" s="64" t="s" ph="1">
        <v>257</v>
      </c>
      <c r="AZ51" s="64" t="s" ph="1">
        <v>408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418</v>
      </c>
      <c r="AJ52" s="64" t="s" ph="1">
        <v>375</v>
      </c>
      <c r="AK52" s="64" t="s" ph="1">
        <v>269</v>
      </c>
      <c r="AM52" s="64" t="s" ph="1">
        <v>377</v>
      </c>
      <c r="AN52" s="64" t="s" ph="1">
        <v>341</v>
      </c>
      <c r="AO52" s="64" t="s" ph="1">
        <v>274</v>
      </c>
      <c r="AP52" s="64" t="s" ph="1">
        <v>611</v>
      </c>
      <c r="AQ52" s="64" t="s" ph="1">
        <v>323</v>
      </c>
      <c r="AR52" s="64" t="s" ph="1">
        <v>274</v>
      </c>
      <c r="AY52" s="64" t="s" ph="1">
        <v>257</v>
      </c>
      <c r="AZ52" s="64" t="s" ph="1">
        <v>617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419</v>
      </c>
      <c r="AY53" s="64" t="s" ph="1">
        <v>257</v>
      </c>
      <c r="AZ53" s="64" t="s" ph="1">
        <v>408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420</v>
      </c>
      <c r="AJ54" s="64" t="s" ph="1">
        <v>375</v>
      </c>
      <c r="AK54" s="64" t="s" ph="1">
        <v>260</v>
      </c>
      <c r="AM54" s="64" t="s" ph="1">
        <v>377</v>
      </c>
      <c r="AN54" s="64" t="s" ph="1">
        <v>265</v>
      </c>
      <c r="AO54" s="64" t="s" ph="1">
        <v>274</v>
      </c>
      <c r="AP54" s="64" t="s" ph="1">
        <v>611</v>
      </c>
      <c r="AQ54" s="64" t="s" ph="1">
        <v>281</v>
      </c>
      <c r="AR54" s="64" t="s" ph="1">
        <v>274</v>
      </c>
      <c r="AY54" s="64" t="s" ph="1">
        <v>257</v>
      </c>
      <c r="AZ54" s="64" t="s" ph="1">
        <v>275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421</v>
      </c>
      <c r="AY55" s="64" t="s" ph="1">
        <v>257</v>
      </c>
      <c r="AZ55" s="64" t="s" ph="1">
        <v>408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422</v>
      </c>
      <c r="AY56" s="64" t="s" ph="1">
        <v>257</v>
      </c>
      <c r="AZ56" s="64" t="s" ph="1">
        <v>408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423</v>
      </c>
      <c r="AY57" s="64" t="s" ph="1">
        <v>257</v>
      </c>
      <c r="AZ57" s="64" t="s" ph="1">
        <v>408</v>
      </c>
    </row>
    <row r="58" spans="16:52" ph="1">
      <c r="P58" s="64"/>
      <c r="AN58" s="64" t="s" ph="1">
        <v>258</v>
      </c>
      <c r="AZ58" s="64" t="s" ph="1">
        <v>618</v>
      </c>
    </row>
    <row r="59" spans="16:52" ph="1">
      <c r="V59" s="64"/>
      <c r="AG59" s="64" t="s" ph="1">
        <v>276</v>
      </c>
      <c r="AI59" s="64" t="s" ph="1">
        <v>250</v>
      </c>
      <c r="AJ59" s="64" t="s" ph="1">
        <v>251</v>
      </c>
      <c r="AK59" s="64" t="s" ph="1">
        <v>252</v>
      </c>
      <c r="AM59" s="64" t="s" ph="1">
        <v>251</v>
      </c>
      <c r="AN59" s="64" t="s" ph="1">
        <v>252</v>
      </c>
      <c r="AO59" s="64" t="s" ph="1">
        <v>253</v>
      </c>
      <c r="AP59" s="64" t="s" ph="1">
        <v>251</v>
      </c>
      <c r="AQ59" s="64" t="s" ph="1">
        <v>252</v>
      </c>
      <c r="AR59" s="64" t="s" ph="1">
        <v>253</v>
      </c>
      <c r="AS59" s="64" t="s" ph="1">
        <v>251</v>
      </c>
      <c r="AT59" s="64" t="s" ph="1">
        <v>252</v>
      </c>
      <c r="AU59" s="64" t="s" ph="1">
        <v>253</v>
      </c>
      <c r="AV59" s="64" t="s" ph="1">
        <v>251</v>
      </c>
      <c r="AW59" s="64" t="s" ph="1">
        <v>252</v>
      </c>
      <c r="AX59" s="64" t="s" ph="1">
        <v>253</v>
      </c>
      <c r="AY59" s="64" t="s" ph="1">
        <v>252</v>
      </c>
      <c r="AZ59" s="64" t="s" ph="1">
        <v>254</v>
      </c>
    </row>
    <row r="60" spans="16:52" ph="1">
      <c r="R60" s="64"/>
      <c r="S60" s="64"/>
      <c r="T60" s="64"/>
      <c r="AH60" s="64" ph="1">
        <v>1</v>
      </c>
      <c r="AI60" s="64" t="s" ph="1">
        <v>424</v>
      </c>
      <c r="AY60" s="64" t="s" ph="1">
        <v>257</v>
      </c>
      <c r="AZ60" s="64" t="s" ph="1">
        <v>408</v>
      </c>
    </row>
    <row r="61" spans="16:52" ph="1">
      <c r="AH61" s="64" ph="1">
        <v>2</v>
      </c>
      <c r="AI61" s="64" t="s" ph="1">
        <v>425</v>
      </c>
      <c r="AS61" s="64" t="s" ph="1">
        <v>258</v>
      </c>
      <c r="AY61" s="64" t="s" ph="1">
        <v>257</v>
      </c>
      <c r="AZ61" s="64" t="s" ph="1">
        <v>408</v>
      </c>
    </row>
    <row r="62" spans="16:52" ph="1">
      <c r="AZ62" s="64" t="s" ph="1">
        <v>426</v>
      </c>
    </row>
    <row r="63" spans="16:52" ph="1">
      <c r="AG63" s="64" t="s" ph="1">
        <v>279</v>
      </c>
      <c r="AI63" s="64" t="s" ph="1">
        <v>250</v>
      </c>
      <c r="AJ63" s="64" t="s" ph="1">
        <v>251</v>
      </c>
      <c r="AK63" s="64" t="s" ph="1">
        <v>252</v>
      </c>
      <c r="AM63" s="64" t="s" ph="1">
        <v>251</v>
      </c>
      <c r="AN63" s="64" t="s" ph="1">
        <v>252</v>
      </c>
      <c r="AO63" s="64" t="s" ph="1">
        <v>253</v>
      </c>
      <c r="AP63" s="64" t="s" ph="1">
        <v>251</v>
      </c>
      <c r="AQ63" s="64" t="s" ph="1">
        <v>252</v>
      </c>
      <c r="AR63" s="64" t="s" ph="1">
        <v>253</v>
      </c>
      <c r="AS63" s="64" t="s" ph="1">
        <v>251</v>
      </c>
      <c r="AT63" s="64" t="s" ph="1">
        <v>252</v>
      </c>
      <c r="AU63" s="64" t="s" ph="1">
        <v>253</v>
      </c>
      <c r="AV63" s="64" t="s" ph="1">
        <v>251</v>
      </c>
      <c r="AW63" s="64" t="s" ph="1">
        <v>252</v>
      </c>
      <c r="AX63" s="64" t="s" ph="1">
        <v>253</v>
      </c>
      <c r="AY63" s="64" t="s" ph="1">
        <v>252</v>
      </c>
      <c r="AZ63" s="64" t="s" ph="1">
        <v>254</v>
      </c>
    </row>
    <row r="64" spans="16:52" ph="1">
      <c r="AH64" s="64" ph="1">
        <v>1</v>
      </c>
      <c r="AI64" s="64" t="s" ph="1">
        <v>427</v>
      </c>
      <c r="AJ64" s="64" t="s" ph="1">
        <v>428</v>
      </c>
      <c r="AK64" s="64" t="s" ph="1">
        <v>429</v>
      </c>
      <c r="AY64" s="64" t="s" ph="1">
        <v>257</v>
      </c>
      <c r="AZ64" s="64" t="s" ph="1">
        <v>429</v>
      </c>
    </row>
    <row r="65" spans="33:52" ph="1">
      <c r="AH65" s="64" ph="1">
        <v>2</v>
      </c>
      <c r="AI65" s="64" t="s" ph="1">
        <v>430</v>
      </c>
      <c r="AY65" s="64" t="s" ph="1">
        <v>257</v>
      </c>
      <c r="AZ65" s="64" t="s" ph="1">
        <v>408</v>
      </c>
    </row>
    <row r="66" spans="33:52" ph="1">
      <c r="AH66" s="64" ph="1">
        <v>3</v>
      </c>
      <c r="AI66" s="64" t="s" ph="1">
        <v>431</v>
      </c>
      <c r="AY66" s="64" t="s" ph="1">
        <v>257</v>
      </c>
      <c r="AZ66" s="64" t="s" ph="1">
        <v>408</v>
      </c>
    </row>
    <row r="67" spans="33:52" ph="1">
      <c r="AH67" s="64" ph="1">
        <v>4</v>
      </c>
      <c r="AI67" s="64" t="s" ph="1">
        <v>432</v>
      </c>
      <c r="AY67" s="64" t="s" ph="1">
        <v>257</v>
      </c>
      <c r="AZ67" s="64" t="s" ph="1">
        <v>408</v>
      </c>
    </row>
    <row r="68" spans="33:52" ph="1">
      <c r="AH68" s="64" ph="1">
        <v>5</v>
      </c>
      <c r="AI68" s="64" t="s" ph="1">
        <v>433</v>
      </c>
      <c r="AY68" s="64" t="s" ph="1">
        <v>257</v>
      </c>
      <c r="AZ68" s="64" t="s" ph="1">
        <v>408</v>
      </c>
    </row>
    <row r="69" spans="33:52" ph="1">
      <c r="AH69" s="64" ph="1">
        <v>6</v>
      </c>
      <c r="AI69" s="64" t="s" ph="1">
        <v>434</v>
      </c>
      <c r="AY69" s="64" t="s" ph="1">
        <v>257</v>
      </c>
      <c r="AZ69" s="64" t="s" ph="1">
        <v>408</v>
      </c>
    </row>
    <row r="70" spans="33:52" ph="1">
      <c r="AI70" s="64" t="s" ph="1">
        <v>435</v>
      </c>
      <c r="AY70" s="64" t="s" ph="1">
        <v>257</v>
      </c>
      <c r="AZ70" s="64" t="s" ph="1">
        <v>408</v>
      </c>
    </row>
    <row r="71" spans="33:52" ph="1">
      <c r="AH71" s="64" ph="1">
        <v>7</v>
      </c>
      <c r="AI71" s="64" t="s" ph="1">
        <v>436</v>
      </c>
      <c r="AJ71" s="64" t="s" ph="1">
        <v>375</v>
      </c>
      <c r="AK71" s="64" t="s" ph="1">
        <v>269</v>
      </c>
      <c r="AM71" s="64" t="s" ph="1">
        <v>377</v>
      </c>
      <c r="AN71" s="64" t="s" ph="1">
        <v>269</v>
      </c>
      <c r="AO71" s="64" t="s" ph="1">
        <v>437</v>
      </c>
      <c r="AP71" s="64" t="s" ph="1">
        <v>611</v>
      </c>
      <c r="AQ71" s="64" t="s" ph="1">
        <v>260</v>
      </c>
      <c r="AR71" s="64" t="s" ph="1">
        <v>437</v>
      </c>
      <c r="AY71" s="64" t="s" ph="1">
        <v>257</v>
      </c>
      <c r="AZ71" s="64" t="s" ph="1">
        <v>619</v>
      </c>
    </row>
    <row r="72" spans="33:52" ph="1">
      <c r="AZ72" s="64" t="s" ph="1">
        <v>620</v>
      </c>
    </row>
    <row r="73" spans="33:52" ph="1">
      <c r="AG73" s="64" t="s" ph="1">
        <v>282</v>
      </c>
      <c r="AI73" s="64" t="s" ph="1">
        <v>250</v>
      </c>
      <c r="AJ73" s="64" t="s" ph="1">
        <v>251</v>
      </c>
      <c r="AK73" s="64" t="s" ph="1">
        <v>252</v>
      </c>
      <c r="AM73" s="64" t="s" ph="1">
        <v>251</v>
      </c>
      <c r="AN73" s="64" t="s" ph="1">
        <v>252</v>
      </c>
      <c r="AO73" s="64" t="s" ph="1">
        <v>253</v>
      </c>
      <c r="AP73" s="64" t="s" ph="1">
        <v>251</v>
      </c>
      <c r="AQ73" s="64" t="s" ph="1">
        <v>252</v>
      </c>
      <c r="AR73" s="64" t="s" ph="1">
        <v>253</v>
      </c>
      <c r="AS73" s="64" t="s" ph="1">
        <v>251</v>
      </c>
      <c r="AT73" s="64" t="s" ph="1">
        <v>252</v>
      </c>
      <c r="AU73" s="64" t="s" ph="1">
        <v>253</v>
      </c>
      <c r="AV73" s="64" t="s" ph="1">
        <v>251</v>
      </c>
      <c r="AW73" s="64" t="s" ph="1">
        <v>252</v>
      </c>
      <c r="AX73" s="64" t="s" ph="1">
        <v>253</v>
      </c>
      <c r="AY73" s="64" t="s" ph="1">
        <v>252</v>
      </c>
      <c r="AZ73" s="64" t="s" ph="1">
        <v>254</v>
      </c>
    </row>
    <row r="74" spans="33:52" ph="1">
      <c r="AH74" s="64" ph="1">
        <v>1</v>
      </c>
      <c r="AI74" s="64" t="s" ph="1">
        <v>438</v>
      </c>
      <c r="AJ74" s="64" t="s" ph="1">
        <v>283</v>
      </c>
      <c r="AK74" s="64" t="s" ph="1">
        <v>265</v>
      </c>
      <c r="AM74" s="64" t="s" ph="1">
        <v>285</v>
      </c>
      <c r="AN74" s="64" t="s" ph="1">
        <v>295</v>
      </c>
      <c r="AO74" s="64" t="s" ph="1">
        <v>284</v>
      </c>
      <c r="AP74" s="64" t="s" ph="1">
        <v>286</v>
      </c>
      <c r="AQ74" s="64" t="s" ph="1">
        <v>263</v>
      </c>
      <c r="AR74" s="64" t="s" ph="1">
        <v>284</v>
      </c>
      <c r="AS74" s="64" t="s" ph="1">
        <v>256</v>
      </c>
      <c r="AT74" s="64" t="s" ph="1">
        <v>258</v>
      </c>
      <c r="AV74" s="64" t="s" ph="1">
        <v>439</v>
      </c>
      <c r="AW74" s="64" t="s" ph="1">
        <v>440</v>
      </c>
      <c r="AX74" s="64" t="s" ph="1">
        <v>441</v>
      </c>
      <c r="AY74" s="64" t="s" ph="1">
        <v>257</v>
      </c>
      <c r="AZ74" s="64" t="s" ph="1">
        <v>442</v>
      </c>
    </row>
    <row r="75" spans="33:52" ph="1">
      <c r="AJ75" s="64" t="s" ph="1">
        <v>288</v>
      </c>
      <c r="AK75" s="64" t="s" ph="1">
        <v>341</v>
      </c>
      <c r="AM75" s="64" t="s" ph="1">
        <v>286</v>
      </c>
      <c r="AN75" s="64" t="s" ph="1">
        <v>266</v>
      </c>
      <c r="AO75" s="64" t="s" ph="1">
        <v>284</v>
      </c>
      <c r="AS75" s="64" t="s" ph="1">
        <v>256</v>
      </c>
      <c r="AT75" s="64" t="s" ph="1">
        <v>287</v>
      </c>
    </row>
    <row r="76" spans="33:52" ph="1">
      <c r="AJ76" s="64" t="s" ph="1">
        <v>288</v>
      </c>
      <c r="AK76" s="64" t="s" ph="1">
        <v>281</v>
      </c>
      <c r="AM76" s="64" t="s" ph="1">
        <v>286</v>
      </c>
      <c r="AN76" s="64" t="s" ph="1">
        <v>269</v>
      </c>
      <c r="AO76" s="64" t="s" ph="1">
        <v>284</v>
      </c>
      <c r="AS76" s="64" t="s" ph="1">
        <v>256</v>
      </c>
      <c r="AT76" s="64" t="s" ph="1">
        <v>287</v>
      </c>
    </row>
    <row r="77" spans="33:52" ph="1">
      <c r="AJ77" s="64" t="s" ph="1">
        <v>324</v>
      </c>
      <c r="AK77" s="64" t="s" ph="1">
        <v>281</v>
      </c>
      <c r="AM77" s="64" t="s" ph="1">
        <v>325</v>
      </c>
      <c r="AN77" s="64" t="s" ph="1">
        <v>264</v>
      </c>
      <c r="AO77" s="64" t="s" ph="1">
        <v>284</v>
      </c>
      <c r="AS77" s="64" t="s" ph="1">
        <v>256</v>
      </c>
      <c r="AT77" s="64" t="s" ph="1">
        <v>326</v>
      </c>
    </row>
    <row r="78" spans="33:52" ph="1">
      <c r="AH78" s="64" ph="1">
        <v>2</v>
      </c>
      <c r="AI78" s="64" t="s" ph="1">
        <v>290</v>
      </c>
      <c r="AJ78" s="64" t="s" ph="1">
        <v>291</v>
      </c>
      <c r="AK78" s="64" t="s" ph="1">
        <v>260</v>
      </c>
      <c r="AM78" s="64" t="s" ph="1">
        <v>292</v>
      </c>
      <c r="AN78" s="64" t="s" ph="1">
        <v>295</v>
      </c>
      <c r="AO78" s="64" t="s" ph="1">
        <v>284</v>
      </c>
      <c r="AP78" s="64" t="s" ph="1">
        <v>293</v>
      </c>
      <c r="AQ78" s="64" t="s" ph="1">
        <v>339</v>
      </c>
      <c r="AR78" s="64" t="s" ph="1">
        <v>284</v>
      </c>
      <c r="AS78" s="64" t="s" ph="1">
        <v>294</v>
      </c>
      <c r="AT78" s="64" t="s" ph="1">
        <v>295</v>
      </c>
      <c r="AU78" s="64" t="s" ph="1">
        <v>284</v>
      </c>
      <c r="AV78" s="64" t="s" ph="1">
        <v>296</v>
      </c>
      <c r="AW78" s="64" t="s" ph="1">
        <v>284</v>
      </c>
      <c r="AY78" s="64" t="s" ph="1">
        <v>257</v>
      </c>
      <c r="AZ78" s="64" t="s" ph="1">
        <v>443</v>
      </c>
    </row>
    <row r="79" spans="33:52" ph="1">
      <c r="AJ79" s="64" t="s" ph="1">
        <v>286</v>
      </c>
      <c r="AK79" s="64" t="s" ph="1">
        <v>297</v>
      </c>
      <c r="AM79" s="64" t="s" ph="1">
        <v>298</v>
      </c>
      <c r="AN79" s="64" t="s" ph="1">
        <v>266</v>
      </c>
      <c r="AO79" s="64" t="s" ph="1">
        <v>284</v>
      </c>
      <c r="AP79" s="64" t="s" ph="1">
        <v>299</v>
      </c>
      <c r="AQ79" s="64" t="s" ph="1">
        <v>264</v>
      </c>
      <c r="AR79" s="64" t="s" ph="1">
        <v>300</v>
      </c>
      <c r="AS79" s="64" t="s" ph="1">
        <v>256</v>
      </c>
      <c r="AT79" s="64" t="s" ph="1">
        <v>301</v>
      </c>
      <c r="AV79" s="64" t="s" ph="1">
        <v>444</v>
      </c>
      <c r="AW79" s="64" t="s" ph="1">
        <v>343</v>
      </c>
      <c r="AX79" s="64" t="s" ph="1">
        <v>441</v>
      </c>
    </row>
    <row r="80" spans="33:52" ph="1">
      <c r="AH80" s="64" ph="1">
        <v>3</v>
      </c>
      <c r="AI80" s="64" t="s" ph="1">
        <v>302</v>
      </c>
      <c r="AJ80" s="64" t="s" ph="1">
        <v>303</v>
      </c>
      <c r="AK80" s="64" t="s" ph="1">
        <v>304</v>
      </c>
      <c r="AM80" s="64" t="s" ph="1">
        <v>305</v>
      </c>
      <c r="AN80" s="64" t="s" ph="1">
        <v>295</v>
      </c>
      <c r="AO80" s="64" t="s" ph="1">
        <v>284</v>
      </c>
      <c r="AP80" s="64" t="s" ph="1">
        <v>306</v>
      </c>
      <c r="AQ80" s="64" t="s" ph="1">
        <v>269</v>
      </c>
      <c r="AR80" s="64" t="s" ph="1">
        <v>284</v>
      </c>
      <c r="AS80" s="64" t="s" ph="1">
        <v>307</v>
      </c>
      <c r="AT80" s="64" t="s" ph="1">
        <v>268</v>
      </c>
      <c r="AU80" s="64" t="s" ph="1">
        <v>284</v>
      </c>
      <c r="AV80" s="64" t="s" ph="1">
        <v>308</v>
      </c>
      <c r="AW80" s="64" t="s" ph="1">
        <v>284</v>
      </c>
      <c r="AY80" s="64" t="s" ph="1">
        <v>257</v>
      </c>
      <c r="AZ80" s="64" t="s" ph="1">
        <v>445</v>
      </c>
    </row>
    <row r="81" spans="34:52" ph="1">
      <c r="AJ81" s="64" t="s" ph="1">
        <v>309</v>
      </c>
      <c r="AK81" s="64" t="s" ph="1">
        <v>263</v>
      </c>
      <c r="AM81" s="64" t="s" ph="1">
        <v>310</v>
      </c>
      <c r="AN81" s="64" t="s" ph="1">
        <v>266</v>
      </c>
      <c r="AO81" s="64" t="s" ph="1">
        <v>284</v>
      </c>
      <c r="AP81" s="64" t="s" ph="1">
        <v>311</v>
      </c>
      <c r="AQ81" s="64" t="s" ph="1">
        <v>295</v>
      </c>
      <c r="AR81" s="64" t="s" ph="1">
        <v>284</v>
      </c>
      <c r="AS81" s="64" t="s" ph="1">
        <v>312</v>
      </c>
      <c r="AT81" s="64" t="s" ph="1">
        <v>313</v>
      </c>
      <c r="AU81" s="64" t="s" ph="1">
        <v>284</v>
      </c>
      <c r="AV81" s="64" t="s" ph="1">
        <v>314</v>
      </c>
    </row>
    <row r="82" spans="34:52" ph="1">
      <c r="AJ82" s="64" t="s" ph="1">
        <v>315</v>
      </c>
      <c r="AK82" s="64" t="s" ph="1">
        <v>263</v>
      </c>
      <c r="AM82" s="64" t="s" ph="1">
        <v>316</v>
      </c>
      <c r="AN82" s="64" t="s" ph="1">
        <v>313</v>
      </c>
      <c r="AO82" s="64" t="s" ph="1">
        <v>317</v>
      </c>
      <c r="AP82" s="64" t="s" ph="1">
        <v>318</v>
      </c>
      <c r="AQ82" s="64" t="s" ph="1">
        <v>295</v>
      </c>
      <c r="AR82" s="64" t="s" ph="1">
        <v>284</v>
      </c>
      <c r="AS82" s="64" t="s" ph="1">
        <v>319</v>
      </c>
      <c r="AT82" s="64" t="s" ph="1">
        <v>270</v>
      </c>
      <c r="AU82" s="64" t="s" ph="1">
        <v>284</v>
      </c>
      <c r="AV82" s="64" t="s" ph="1">
        <v>444</v>
      </c>
      <c r="AW82" s="64" t="s" ph="1">
        <v>344</v>
      </c>
      <c r="AX82" s="64" t="s" ph="1">
        <v>441</v>
      </c>
    </row>
    <row r="83" spans="34:52" ph="1">
      <c r="AJ83" s="64" t="s" ph="1">
        <v>320</v>
      </c>
      <c r="AK83" s="64" t="s" ph="1">
        <v>337</v>
      </c>
      <c r="AM83" s="64" t="s" ph="1">
        <v>321</v>
      </c>
      <c r="AN83" s="64" t="s" ph="1">
        <v>269</v>
      </c>
      <c r="AO83" s="64" t="s" ph="1">
        <v>300</v>
      </c>
      <c r="AP83" s="64" t="s" ph="1">
        <v>322</v>
      </c>
      <c r="AQ83" s="64" t="s" ph="1">
        <v>323</v>
      </c>
      <c r="AR83" s="64" t="s" ph="1">
        <v>300</v>
      </c>
      <c r="AS83" s="64" t="s" ph="1">
        <v>446</v>
      </c>
      <c r="AT83" s="64" t="s" ph="1">
        <v>295</v>
      </c>
      <c r="AU83" s="64" t="s" ph="1">
        <v>300</v>
      </c>
      <c r="AV83" s="64" t="s" ph="1">
        <v>447</v>
      </c>
      <c r="AW83" s="64" t="s" ph="1">
        <v>344</v>
      </c>
      <c r="AX83" s="64" t="s" ph="1">
        <v>448</v>
      </c>
    </row>
    <row r="84" spans="34:52" ph="1">
      <c r="AH84" s="64" ph="1">
        <v>4</v>
      </c>
      <c r="AI84" s="64" t="s" ph="1">
        <v>327</v>
      </c>
      <c r="AJ84" s="64" t="s" ph="1">
        <v>267</v>
      </c>
      <c r="AK84" s="64" t="s" ph="1">
        <v>270</v>
      </c>
      <c r="AM84" s="64" t="s" ph="1">
        <v>271</v>
      </c>
      <c r="AN84" s="64" t="s" ph="1">
        <v>264</v>
      </c>
      <c r="AO84" s="64" t="s" ph="1">
        <v>300</v>
      </c>
      <c r="AP84" s="64" t="s" ph="1">
        <v>329</v>
      </c>
      <c r="AQ84" s="64" t="s" ph="1">
        <v>263</v>
      </c>
      <c r="AR84" s="64" t="s" ph="1">
        <v>300</v>
      </c>
      <c r="AS84" s="64" t="s" ph="1">
        <v>329</v>
      </c>
      <c r="AT84" s="64" t="s" ph="1">
        <v>265</v>
      </c>
      <c r="AU84" s="64" t="s" ph="1">
        <v>300</v>
      </c>
      <c r="AY84" s="64" t="s" ph="1">
        <v>257</v>
      </c>
      <c r="AZ84" s="64" t="s" ph="1">
        <v>449</v>
      </c>
    </row>
    <row r="85" spans="34:52" ph="1">
      <c r="AJ85" s="64" t="s" ph="1">
        <v>259</v>
      </c>
      <c r="AK85" s="64" t="s" ph="1">
        <v>263</v>
      </c>
      <c r="AM85" s="64" t="s" ph="1">
        <v>450</v>
      </c>
      <c r="AN85" s="64" t="s" ph="1">
        <v>270</v>
      </c>
      <c r="AO85" s="64" t="s" ph="1">
        <v>300</v>
      </c>
      <c r="AP85" s="64" t="s" ph="1">
        <v>451</v>
      </c>
      <c r="AQ85" s="64" t="s" ph="1">
        <v>266</v>
      </c>
      <c r="AR85" s="64" t="s" ph="1">
        <v>300</v>
      </c>
      <c r="AS85" s="64" t="s" ph="1">
        <v>452</v>
      </c>
      <c r="AT85" s="64" t="s" ph="1">
        <v>266</v>
      </c>
      <c r="AU85" s="64" t="s" ph="1">
        <v>300</v>
      </c>
    </row>
    <row r="86" spans="34:52" ph="1">
      <c r="AJ86" s="64" t="s" ph="1">
        <v>453</v>
      </c>
      <c r="AK86" s="64" t="s" ph="1">
        <v>272</v>
      </c>
      <c r="AM86" s="64" t="s" ph="1">
        <v>454</v>
      </c>
      <c r="AN86" s="64" t="s" ph="1">
        <v>313</v>
      </c>
      <c r="AO86" s="64" t="s" ph="1">
        <v>300</v>
      </c>
      <c r="AP86" s="64" t="s" ph="1">
        <v>455</v>
      </c>
      <c r="AQ86" s="64" t="s" ph="1">
        <v>260</v>
      </c>
      <c r="AR86" s="64" t="s" ph="1">
        <v>300</v>
      </c>
      <c r="AS86" s="64" t="s" ph="1">
        <v>456</v>
      </c>
      <c r="AT86" s="64" t="s" ph="1">
        <v>278</v>
      </c>
      <c r="AU86" s="64" t="s" ph="1">
        <v>300</v>
      </c>
    </row>
    <row r="87" spans="34:52" ph="1">
      <c r="AJ87" s="64" t="s" ph="1">
        <v>457</v>
      </c>
      <c r="AK87" s="64" t="s" ph="1">
        <v>313</v>
      </c>
      <c r="AM87" s="64" t="s" ph="1">
        <v>444</v>
      </c>
      <c r="AN87" s="64" t="s" ph="1">
        <v>458</v>
      </c>
      <c r="AO87" s="64" t="s" ph="1">
        <v>441</v>
      </c>
    </row>
    <row r="88" spans="34:52" ph="1">
      <c r="AH88" s="64" ph="1">
        <v>5</v>
      </c>
      <c r="AI88" s="64" t="s" ph="1">
        <v>330</v>
      </c>
      <c r="AJ88" s="64" t="s" ph="1">
        <v>459</v>
      </c>
      <c r="AK88" s="64" t="s" ph="1">
        <v>313</v>
      </c>
      <c r="AM88" s="64" t="s" ph="1">
        <v>460</v>
      </c>
      <c r="AN88" s="64" t="s" ph="1">
        <v>313</v>
      </c>
      <c r="AO88" s="64" t="s" ph="1">
        <v>300</v>
      </c>
      <c r="AP88" s="64" t="s" ph="1">
        <v>461</v>
      </c>
      <c r="AQ88" s="64" t="s" ph="1">
        <v>263</v>
      </c>
      <c r="AR88" s="64" t="s" ph="1">
        <v>300</v>
      </c>
      <c r="AS88" s="64" t="s" ph="1">
        <v>462</v>
      </c>
      <c r="AT88" s="64" t="s" ph="1">
        <v>313</v>
      </c>
      <c r="AU88" s="64" t="s" ph="1">
        <v>300</v>
      </c>
      <c r="AV88" s="64" t="s" ph="1">
        <v>463</v>
      </c>
      <c r="AW88" s="64" t="s" ph="1">
        <v>268</v>
      </c>
      <c r="AX88" s="64" t="s" ph="1">
        <v>300</v>
      </c>
      <c r="AY88" s="64" t="s" ph="1">
        <v>257</v>
      </c>
      <c r="AZ88" s="64" t="s" ph="1">
        <v>464</v>
      </c>
    </row>
    <row r="89" spans="34:52" ph="1">
      <c r="AJ89" s="64" t="s" ph="1">
        <v>465</v>
      </c>
      <c r="AK89" s="64" t="s" ph="1">
        <v>266</v>
      </c>
      <c r="AM89" s="64" t="s" ph="1">
        <v>466</v>
      </c>
      <c r="AN89" s="64" t="s" ph="1">
        <v>269</v>
      </c>
      <c r="AO89" s="64" t="s" ph="1">
        <v>300</v>
      </c>
      <c r="AP89" s="64" t="s" ph="1">
        <v>467</v>
      </c>
      <c r="AQ89" s="64" t="s" ph="1">
        <v>278</v>
      </c>
      <c r="AR89" s="64" t="s" ph="1">
        <v>300</v>
      </c>
      <c r="AS89" s="64" t="s" ph="1">
        <v>468</v>
      </c>
      <c r="AT89" s="64" t="s" ph="1">
        <v>313</v>
      </c>
      <c r="AU89" s="64" t="s" ph="1">
        <v>300</v>
      </c>
      <c r="AV89" s="64" t="s" ph="1">
        <v>469</v>
      </c>
      <c r="AW89" s="64" t="s" ph="1">
        <v>295</v>
      </c>
      <c r="AX89" s="64" t="s" ph="1">
        <v>328</v>
      </c>
    </row>
    <row r="90" spans="34:52" ph="1">
      <c r="AJ90" s="64" t="s" ph="1">
        <v>470</v>
      </c>
      <c r="AK90" s="64" t="s" ph="1">
        <v>269</v>
      </c>
      <c r="AM90" s="64" t="s" ph="1">
        <v>471</v>
      </c>
      <c r="AN90" s="64" t="s" ph="1">
        <v>266</v>
      </c>
      <c r="AO90" s="64" t="s" ph="1">
        <v>300</v>
      </c>
      <c r="AP90" s="64" t="s" ph="1">
        <v>472</v>
      </c>
      <c r="AQ90" s="64" t="s" ph="1">
        <v>335</v>
      </c>
      <c r="AR90" s="64" t="s" ph="1">
        <v>300</v>
      </c>
      <c r="AS90" s="64" t="s" ph="1">
        <v>473</v>
      </c>
      <c r="AT90" s="64" t="s" ph="1">
        <v>323</v>
      </c>
      <c r="AU90" s="64" t="s" ph="1">
        <v>300</v>
      </c>
      <c r="AV90" s="64" t="s" ph="1">
        <v>474</v>
      </c>
      <c r="AW90" s="64" t="s" ph="1">
        <v>260</v>
      </c>
      <c r="AX90" s="64" t="s" ph="1">
        <v>300</v>
      </c>
    </row>
    <row r="91" spans="34:52" ph="1">
      <c r="AJ91" s="64" t="s" ph="1">
        <v>475</v>
      </c>
      <c r="AK91" s="64" t="s" ph="1">
        <v>313</v>
      </c>
      <c r="AM91" s="64" t="s" ph="1">
        <v>476</v>
      </c>
      <c r="AN91" s="64" t="s" ph="1">
        <v>280</v>
      </c>
      <c r="AO91" s="64" t="s" ph="1">
        <v>300</v>
      </c>
      <c r="AP91" s="64" t="s" ph="1">
        <v>477</v>
      </c>
      <c r="AQ91" s="64" t="s" ph="1">
        <v>260</v>
      </c>
      <c r="AS91" s="64" t="s" ph="1">
        <v>444</v>
      </c>
      <c r="AT91" s="64" t="s" ph="1">
        <v>440</v>
      </c>
      <c r="AU91" s="64" t="s" ph="1">
        <v>441</v>
      </c>
    </row>
    <row r="92" spans="34:52" ph="1">
      <c r="AH92" s="64" ph="1">
        <v>6</v>
      </c>
      <c r="AI92" s="64" t="s" ph="1">
        <v>478</v>
      </c>
      <c r="AJ92" s="64" t="s" ph="1">
        <v>479</v>
      </c>
      <c r="AK92" s="64" t="s" ph="1">
        <v>408</v>
      </c>
      <c r="AM92" s="64" t="s" ph="1">
        <v>480</v>
      </c>
      <c r="AN92" s="64" t="s" ph="1">
        <v>268</v>
      </c>
      <c r="AO92" s="64" t="s" ph="1">
        <v>300</v>
      </c>
      <c r="AP92" s="64" t="s" ph="1">
        <v>481</v>
      </c>
      <c r="AQ92" s="64" t="s" ph="1">
        <v>340</v>
      </c>
      <c r="AR92" s="64" t="s" ph="1">
        <v>300</v>
      </c>
      <c r="AS92" s="64" t="s" ph="1">
        <v>482</v>
      </c>
      <c r="AT92" s="64" t="s" ph="1">
        <v>313</v>
      </c>
      <c r="AU92" s="64" t="s" ph="1">
        <v>300</v>
      </c>
      <c r="AV92" s="64" t="s" ph="1">
        <v>483</v>
      </c>
      <c r="AW92" s="64" t="s" ph="1">
        <v>269</v>
      </c>
      <c r="AX92" s="64" t="s" ph="1">
        <v>300</v>
      </c>
      <c r="AY92" s="64" t="s" ph="1">
        <v>257</v>
      </c>
      <c r="AZ92" s="64" t="s" ph="1">
        <v>464</v>
      </c>
    </row>
    <row r="93" spans="34:52" ph="1">
      <c r="AJ93" s="64" t="s" ph="1">
        <v>484</v>
      </c>
      <c r="AK93" s="64" t="s" ph="1">
        <v>263</v>
      </c>
      <c r="AM93" s="64" t="s" ph="1">
        <v>485</v>
      </c>
      <c r="AN93" s="64" t="s" ph="1">
        <v>268</v>
      </c>
      <c r="AO93" s="64" t="s" ph="1">
        <v>300</v>
      </c>
      <c r="AP93" s="64" t="s" ph="1">
        <v>486</v>
      </c>
      <c r="AQ93" s="64" t="s" ph="1">
        <v>272</v>
      </c>
      <c r="AR93" s="64" t="s" ph="1">
        <v>300</v>
      </c>
      <c r="AS93" s="64" t="s" ph="1">
        <v>487</v>
      </c>
      <c r="AT93" s="64" t="s" ph="1">
        <v>278</v>
      </c>
      <c r="AU93" s="64" t="s" ph="1">
        <v>300</v>
      </c>
      <c r="AV93" s="64" t="s" ph="1">
        <v>488</v>
      </c>
      <c r="AW93" s="64" t="s" ph="1">
        <v>272</v>
      </c>
      <c r="AX93" s="64" t="s" ph="1">
        <v>300</v>
      </c>
    </row>
    <row r="94" spans="34:52" ph="1">
      <c r="AJ94" s="64" t="s" ph="1">
        <v>489</v>
      </c>
      <c r="AK94" s="64" t="s" ph="1">
        <v>335</v>
      </c>
      <c r="AM94" s="64" t="s" ph="1">
        <v>490</v>
      </c>
      <c r="AN94" s="64" t="s" ph="1">
        <v>272</v>
      </c>
      <c r="AO94" s="64" t="s" ph="1">
        <v>300</v>
      </c>
      <c r="AP94" s="64" t="s" ph="1">
        <v>491</v>
      </c>
      <c r="AQ94" s="64" t="s" ph="1">
        <v>280</v>
      </c>
      <c r="AR94" s="64" t="s" ph="1">
        <v>300</v>
      </c>
      <c r="AS94" s="64" t="s" ph="1">
        <v>492</v>
      </c>
      <c r="AT94" s="64" t="s" ph="1">
        <v>266</v>
      </c>
      <c r="AU94" s="64" t="s" ph="1">
        <v>300</v>
      </c>
      <c r="AV94" s="64" t="s" ph="1">
        <v>493</v>
      </c>
      <c r="AW94" s="64" t="s" ph="1">
        <v>266</v>
      </c>
      <c r="AX94" s="64" t="s" ph="1">
        <v>300</v>
      </c>
    </row>
    <row r="95" spans="34:52" ph="1">
      <c r="AJ95" s="64" t="s" ph="1">
        <v>494</v>
      </c>
      <c r="AK95" s="64" t="s" ph="1">
        <v>340</v>
      </c>
    </row>
    <row r="96" spans="34:52" ph="1">
      <c r="AH96" s="64" ph="1">
        <v>7</v>
      </c>
      <c r="AI96" s="64" t="s" ph="1">
        <v>495</v>
      </c>
      <c r="AJ96" s="64" t="s" ph="1">
        <v>494</v>
      </c>
      <c r="AK96" s="64" t="s" ph="1">
        <v>295</v>
      </c>
      <c r="AM96" s="64" t="s" ph="1">
        <v>496</v>
      </c>
      <c r="AN96" s="64" t="s" ph="1">
        <v>269</v>
      </c>
      <c r="AO96" s="64" t="s" ph="1">
        <v>300</v>
      </c>
      <c r="AP96" s="64" t="s" ph="1">
        <v>497</v>
      </c>
      <c r="AQ96" s="64" t="s" ph="1">
        <v>313</v>
      </c>
      <c r="AR96" s="64" t="s" ph="1">
        <v>328</v>
      </c>
      <c r="AS96" s="64" t="s" ph="1">
        <v>498</v>
      </c>
      <c r="AT96" s="64" t="s" ph="1">
        <v>272</v>
      </c>
      <c r="AU96" s="64" t="s" ph="1">
        <v>328</v>
      </c>
      <c r="AV96" s="64" t="s" ph="1">
        <v>499</v>
      </c>
      <c r="AW96" s="64" t="s" ph="1">
        <v>268</v>
      </c>
      <c r="AX96" s="64" t="s" ph="1">
        <v>328</v>
      </c>
      <c r="AY96" s="64" t="s" ph="1">
        <v>257</v>
      </c>
      <c r="AZ96" s="64" t="s" ph="1">
        <v>500</v>
      </c>
    </row>
    <row r="97" spans="33:52" ph="1">
      <c r="AJ97" s="64" t="s" ph="1">
        <v>501</v>
      </c>
      <c r="AK97" s="64" t="s" ph="1">
        <v>323</v>
      </c>
      <c r="AM97" s="64" t="s" ph="1">
        <v>502</v>
      </c>
      <c r="AN97" s="64" t="s" ph="1">
        <v>266</v>
      </c>
      <c r="AO97" s="64" t="s" ph="1">
        <v>300</v>
      </c>
      <c r="AP97" s="64" t="s" ph="1">
        <v>503</v>
      </c>
      <c r="AQ97" s="64" t="s" ph="1">
        <v>260</v>
      </c>
      <c r="AR97" s="64" t="s" ph="1">
        <v>328</v>
      </c>
      <c r="AS97" s="64" t="s" ph="1">
        <v>504</v>
      </c>
      <c r="AT97" s="64" t="s" ph="1">
        <v>263</v>
      </c>
      <c r="AU97" s="64" t="s" ph="1">
        <v>328</v>
      </c>
      <c r="AV97" s="64" t="s" ph="1">
        <v>505</v>
      </c>
      <c r="AW97" s="64" t="s" ph="1">
        <v>269</v>
      </c>
      <c r="AX97" s="64" t="s" ph="1">
        <v>328</v>
      </c>
    </row>
    <row r="98" spans="33:52" ph="1">
      <c r="AJ98" s="64" t="s" ph="1">
        <v>506</v>
      </c>
      <c r="AK98" s="64" t="s" ph="1">
        <v>272</v>
      </c>
      <c r="AM98" s="64" t="s" ph="1">
        <v>507</v>
      </c>
      <c r="AN98" s="64" t="s" ph="1">
        <v>280</v>
      </c>
      <c r="AO98" s="64" t="s" ph="1">
        <v>300</v>
      </c>
      <c r="AP98" s="64" t="s" ph="1">
        <v>508</v>
      </c>
      <c r="AQ98" s="64" t="s" ph="1">
        <v>260</v>
      </c>
      <c r="AR98" s="64" t="s" ph="1">
        <v>328</v>
      </c>
      <c r="AS98" s="64" t="s" ph="1">
        <v>509</v>
      </c>
      <c r="AT98" s="64" t="s" ph="1">
        <v>340</v>
      </c>
      <c r="AU98" s="64" t="s" ph="1">
        <v>328</v>
      </c>
      <c r="AV98" s="64" t="s" ph="1">
        <v>510</v>
      </c>
      <c r="AW98" s="64" t="s" ph="1">
        <v>263</v>
      </c>
      <c r="AX98" s="64" t="s" ph="1">
        <v>328</v>
      </c>
    </row>
    <row r="99" spans="33:52" ph="1">
      <c r="AH99" s="64" ph="1">
        <v>8</v>
      </c>
      <c r="AI99" s="64" t="s" ph="1">
        <v>511</v>
      </c>
      <c r="AJ99" s="64" t="s" ph="1">
        <v>512</v>
      </c>
      <c r="AK99" s="64" t="s" ph="1">
        <v>408</v>
      </c>
      <c r="AM99" s="64" t="s" ph="1">
        <v>513</v>
      </c>
      <c r="AN99" s="64" t="s" ph="1">
        <v>295</v>
      </c>
      <c r="AO99" s="64" t="s" ph="1">
        <v>300</v>
      </c>
      <c r="AP99" s="64" t="s" ph="1">
        <v>514</v>
      </c>
      <c r="AQ99" s="64" t="s" ph="1">
        <v>265</v>
      </c>
      <c r="AR99" s="64" t="s" ph="1">
        <v>328</v>
      </c>
      <c r="AS99" s="64" t="s" ph="1">
        <v>515</v>
      </c>
      <c r="AT99" s="64" t="s" ph="1">
        <v>280</v>
      </c>
      <c r="AU99" s="64" t="s" ph="1">
        <v>328</v>
      </c>
      <c r="AV99" s="64" t="s" ph="1">
        <v>516</v>
      </c>
      <c r="AW99" s="64" t="s" ph="1">
        <v>265</v>
      </c>
      <c r="AX99" s="64" t="s" ph="1">
        <v>328</v>
      </c>
      <c r="AY99" s="64" t="s" ph="1">
        <v>257</v>
      </c>
      <c r="AZ99" s="64" t="s" ph="1">
        <v>517</v>
      </c>
    </row>
    <row r="100" spans="33:52" ph="1">
      <c r="AJ100" s="64" t="s" ph="1">
        <v>518</v>
      </c>
      <c r="AK100" s="64" t="s" ph="1">
        <v>263</v>
      </c>
      <c r="AM100" s="64" t="s" ph="1">
        <v>519</v>
      </c>
      <c r="AN100" s="64" t="s" ph="1">
        <v>335</v>
      </c>
      <c r="AO100" s="64" t="s" ph="1">
        <v>300</v>
      </c>
      <c r="AP100" s="64" t="s" ph="1">
        <v>520</v>
      </c>
      <c r="AQ100" s="64" t="s" ph="1">
        <v>341</v>
      </c>
      <c r="AR100" s="64" t="s" ph="1">
        <v>328</v>
      </c>
      <c r="AS100" s="64" t="s" ph="1">
        <v>521</v>
      </c>
      <c r="AT100" s="64" t="s" ph="1">
        <v>408</v>
      </c>
      <c r="AU100" s="64" t="s" ph="1">
        <v>300</v>
      </c>
      <c r="AV100" s="64" t="s" ph="1">
        <v>522</v>
      </c>
      <c r="AW100" s="64" t="s" ph="1">
        <v>408</v>
      </c>
      <c r="AX100" s="64" t="s" ph="1">
        <v>300</v>
      </c>
    </row>
    <row r="101" spans="33:52" ph="1">
      <c r="AJ101" s="64" t="s" ph="1">
        <v>523</v>
      </c>
      <c r="AK101" s="64" t="s" ph="1">
        <v>408</v>
      </c>
      <c r="AM101" s="64" t="s" ph="1">
        <v>524</v>
      </c>
      <c r="AN101" s="64" t="s" ph="1">
        <v>266</v>
      </c>
      <c r="AO101" s="64" t="s" ph="1">
        <v>300</v>
      </c>
      <c r="AP101" s="64" t="s" ph="1">
        <v>525</v>
      </c>
      <c r="AQ101" s="64" t="s" ph="1">
        <v>278</v>
      </c>
      <c r="AR101" s="64" t="s" ph="1">
        <v>328</v>
      </c>
      <c r="AS101" s="64" t="s" ph="1">
        <v>526</v>
      </c>
      <c r="AT101" s="64" t="s" ph="1">
        <v>335</v>
      </c>
      <c r="AU101" s="64" t="s" ph="1">
        <v>328</v>
      </c>
      <c r="AV101" s="64" t="s" ph="1">
        <v>527</v>
      </c>
      <c r="AW101" s="64" t="s" ph="1">
        <v>266</v>
      </c>
      <c r="AX101" s="64" t="s" ph="1">
        <v>300</v>
      </c>
    </row>
    <row r="102" spans="33:52" ph="1">
      <c r="AJ102" s="64" t="s" ph="1">
        <v>528</v>
      </c>
      <c r="AK102" s="64" t="s" ph="1">
        <v>263</v>
      </c>
      <c r="AM102" s="64" t="s" ph="1">
        <v>529</v>
      </c>
      <c r="AN102" s="64" t="s" ph="1">
        <v>272</v>
      </c>
      <c r="AO102" s="64" t="s" ph="1">
        <v>300</v>
      </c>
      <c r="AP102" s="64" t="s" ph="1">
        <v>530</v>
      </c>
      <c r="AQ102" s="64" t="s" ph="1">
        <v>278</v>
      </c>
      <c r="AR102" s="64" t="s" ph="1">
        <v>300</v>
      </c>
      <c r="AS102" s="64" t="s" ph="1">
        <v>531</v>
      </c>
      <c r="AT102" s="64" t="s" ph="1">
        <v>295</v>
      </c>
      <c r="AU102" s="64" t="s" ph="1">
        <v>300</v>
      </c>
      <c r="AV102" s="64" t="s" ph="1">
        <v>532</v>
      </c>
      <c r="AW102" s="64" t="s" ph="1">
        <v>313</v>
      </c>
      <c r="AX102" s="64" t="s" ph="1">
        <v>300</v>
      </c>
    </row>
    <row r="103" spans="33:52" ph="1">
      <c r="AH103" s="64" ph="1">
        <v>9</v>
      </c>
      <c r="AI103" s="64" t="s" ph="1">
        <v>533</v>
      </c>
      <c r="AJ103" s="64" t="s" ph="1">
        <v>534</v>
      </c>
      <c r="AK103" s="64" t="s" ph="1">
        <v>408</v>
      </c>
      <c r="AM103" s="64" t="s" ph="1">
        <v>535</v>
      </c>
      <c r="AN103" s="64" t="s" ph="1">
        <v>323</v>
      </c>
      <c r="AO103" s="64" t="s" ph="1">
        <v>300</v>
      </c>
      <c r="AP103" s="64" t="s" ph="1">
        <v>377</v>
      </c>
      <c r="AQ103" s="64" t="s" ph="1">
        <v>266</v>
      </c>
      <c r="AR103" s="64" t="s" ph="1">
        <v>300</v>
      </c>
      <c r="AS103" s="64" t="s" ph="1">
        <v>611</v>
      </c>
      <c r="AT103" s="64" t="s" ph="1">
        <v>408</v>
      </c>
      <c r="AU103" s="64" t="s" ph="1">
        <v>300</v>
      </c>
      <c r="AY103" s="64" t="s" ph="1">
        <v>257</v>
      </c>
      <c r="AZ103" s="64" t="s" ph="1">
        <v>265</v>
      </c>
    </row>
    <row r="104" spans="33:52" ph="1">
      <c r="AZ104" s="64" t="s" ph="1">
        <v>536</v>
      </c>
    </row>
    <row r="105" spans="33:52" ph="1">
      <c r="AG105" s="64" t="s" ph="1">
        <v>336</v>
      </c>
      <c r="AI105" s="64" t="s" ph="1">
        <v>250</v>
      </c>
      <c r="AJ105" s="64" t="s" ph="1">
        <v>251</v>
      </c>
      <c r="AK105" s="64" t="s" ph="1">
        <v>252</v>
      </c>
      <c r="AM105" s="64" t="s" ph="1">
        <v>251</v>
      </c>
      <c r="AN105" s="64" t="s" ph="1">
        <v>252</v>
      </c>
      <c r="AO105" s="64" t="s" ph="1">
        <v>253</v>
      </c>
      <c r="AP105" s="64" t="s" ph="1">
        <v>251</v>
      </c>
      <c r="AQ105" s="64" t="s" ph="1">
        <v>252</v>
      </c>
      <c r="AR105" s="64" t="s" ph="1">
        <v>253</v>
      </c>
      <c r="AS105" s="64" t="s" ph="1">
        <v>251</v>
      </c>
      <c r="AT105" s="64" t="s" ph="1">
        <v>252</v>
      </c>
      <c r="AU105" s="64" t="s" ph="1">
        <v>253</v>
      </c>
      <c r="AV105" s="64" t="s" ph="1">
        <v>251</v>
      </c>
      <c r="AW105" s="64" t="s" ph="1">
        <v>252</v>
      </c>
      <c r="AX105" s="64" t="s" ph="1">
        <v>253</v>
      </c>
      <c r="AZ105" s="64" t="s" ph="1">
        <v>254</v>
      </c>
    </row>
    <row r="106" spans="33:52" ph="1">
      <c r="AH106" s="64" ph="1">
        <v>1</v>
      </c>
      <c r="AI106" s="64" t="s" ph="1">
        <v>537</v>
      </c>
      <c r="AJ106" s="64" t="s" ph="1">
        <v>611</v>
      </c>
      <c r="AK106" s="64" t="s" ph="1">
        <v>272</v>
      </c>
      <c r="AZ106" s="64" t="s" ph="1">
        <v>272</v>
      </c>
    </row>
    <row r="107" spans="33:52" ph="1">
      <c r="AH107" s="64" ph="1">
        <v>2</v>
      </c>
      <c r="AI107" s="64" t="s" ph="1">
        <v>538</v>
      </c>
      <c r="AJ107" s="64" t="s" ph="1">
        <v>539</v>
      </c>
      <c r="AK107" s="64" t="s" ph="1">
        <v>269</v>
      </c>
      <c r="AM107" s="64" t="s" ph="1">
        <v>375</v>
      </c>
      <c r="AN107" s="64" t="s" ph="1">
        <v>540</v>
      </c>
      <c r="AO107" s="64" t="s" ph="1">
        <v>541</v>
      </c>
      <c r="AP107" s="64" t="s" ph="1">
        <v>377</v>
      </c>
      <c r="AQ107" s="64" t="s" ph="1">
        <v>345</v>
      </c>
      <c r="AR107" s="64" t="s" ph="1">
        <v>541</v>
      </c>
      <c r="AS107" s="64" t="s" ph="1">
        <v>611</v>
      </c>
      <c r="AT107" s="64" t="s" ph="1">
        <v>540</v>
      </c>
      <c r="AU107" s="64" t="s" ph="1">
        <v>541</v>
      </c>
      <c r="AY107" s="64" t="s" ph="1">
        <v>257</v>
      </c>
      <c r="AZ107" s="64" t="s" ph="1">
        <v>621</v>
      </c>
    </row>
    <row r="108" spans="33:52" ph="1">
      <c r="AH108" s="64" ph="1">
        <v>3</v>
      </c>
      <c r="AI108" s="64" t="s" ph="1">
        <v>542</v>
      </c>
      <c r="AY108" s="64" t="s" ph="1">
        <v>257</v>
      </c>
      <c r="AZ108" s="64" t="s" ph="1">
        <v>408</v>
      </c>
    </row>
    <row r="109" spans="33:52" ph="1">
      <c r="AH109" s="64" ph="1">
        <v>4</v>
      </c>
      <c r="AI109" s="64" t="s" ph="1">
        <v>543</v>
      </c>
      <c r="AY109" s="64" t="s" ph="1">
        <v>257</v>
      </c>
      <c r="AZ109" s="64" t="s" ph="1">
        <v>408</v>
      </c>
    </row>
    <row r="110" spans="33:52" ph="1">
      <c r="AH110" s="64" ph="1">
        <v>5</v>
      </c>
      <c r="AI110" s="64" t="s" ph="1">
        <v>544</v>
      </c>
      <c r="AY110" s="64" t="s" ph="1">
        <v>257</v>
      </c>
      <c r="AZ110" s="64" t="s" ph="1">
        <v>408</v>
      </c>
    </row>
    <row r="111" spans="33:52" ph="1">
      <c r="AH111" s="64" ph="1">
        <v>6</v>
      </c>
      <c r="AI111" s="64" t="s" ph="1">
        <v>622</v>
      </c>
      <c r="AJ111" s="64" t="s" ph="1">
        <v>527</v>
      </c>
      <c r="AK111" s="64" t="s" ph="1">
        <v>266</v>
      </c>
      <c r="AM111" s="64" t="s" ph="1">
        <v>528</v>
      </c>
      <c r="AN111" s="64" t="s" ph="1">
        <v>260</v>
      </c>
      <c r="AO111" s="64" t="s" ph="1">
        <v>541</v>
      </c>
      <c r="AP111" s="64" t="s" ph="1">
        <v>529</v>
      </c>
      <c r="AQ111" s="64" t="s" ph="1">
        <v>269</v>
      </c>
      <c r="AR111" s="64" t="s" ph="1">
        <v>541</v>
      </c>
      <c r="AS111" s="64" t="s" ph="1">
        <v>530</v>
      </c>
      <c r="AT111" s="64" t="s" ph="1">
        <v>278</v>
      </c>
      <c r="AU111" s="64" t="s" ph="1">
        <v>541</v>
      </c>
      <c r="AV111" s="64" t="s" ph="1">
        <v>531</v>
      </c>
      <c r="AW111" s="64" t="s" ph="1">
        <v>268</v>
      </c>
      <c r="AX111" s="64" t="s" ph="1">
        <v>541</v>
      </c>
      <c r="AY111" s="64" t="s" ph="1">
        <v>257</v>
      </c>
      <c r="AZ111" s="64" t="s" ph="1">
        <v>545</v>
      </c>
    </row>
    <row r="112" spans="33:52" ph="1">
      <c r="AJ112" s="64" t="s" ph="1">
        <v>532</v>
      </c>
      <c r="AK112" s="64" t="s" ph="1">
        <v>313</v>
      </c>
      <c r="AM112" s="64" t="s" ph="1">
        <v>534</v>
      </c>
      <c r="AN112" s="64" t="s" ph="1">
        <v>337</v>
      </c>
      <c r="AO112" s="64" t="s" ph="1">
        <v>541</v>
      </c>
      <c r="AP112" s="64" t="s" ph="1">
        <v>535</v>
      </c>
      <c r="AQ112" s="64" t="s" ph="1">
        <v>546</v>
      </c>
      <c r="AR112" s="64" t="s" ph="1">
        <v>541</v>
      </c>
      <c r="AS112" s="64" t="s" ph="1">
        <v>547</v>
      </c>
      <c r="AT112" s="64" t="s" ph="1">
        <v>289</v>
      </c>
      <c r="AU112" s="64" t="s" ph="1">
        <v>541</v>
      </c>
      <c r="AV112" s="64" t="s" ph="1">
        <v>548</v>
      </c>
      <c r="AW112" s="64" t="s" ph="1">
        <v>335</v>
      </c>
      <c r="AX112" s="64" t="s" ph="1">
        <v>541</v>
      </c>
    </row>
    <row r="113" spans="33:52" ph="1">
      <c r="AH113" s="64" ph="1">
        <v>7</v>
      </c>
      <c r="AI113" s="64" t="s" ph="1">
        <v>549</v>
      </c>
      <c r="AJ113" s="64" t="s" ph="1">
        <v>630</v>
      </c>
      <c r="AK113" s="64" t="s" ph="1">
        <v>635</v>
      </c>
      <c r="AY113" s="64" t="s" ph="1">
        <v>257</v>
      </c>
      <c r="AZ113" s="64" t="s" ph="1">
        <v>635</v>
      </c>
    </row>
    <row r="114" spans="33:52" ph="1">
      <c r="AH114" s="64" ph="1">
        <v>8</v>
      </c>
      <c r="AI114" s="64" t="s" ph="1">
        <v>550</v>
      </c>
      <c r="AJ114" s="64" t="s" ph="1">
        <v>630</v>
      </c>
      <c r="AK114" s="64" t="s" ph="1">
        <v>636</v>
      </c>
      <c r="AY114" s="64" t="s" ph="1">
        <v>257</v>
      </c>
      <c r="AZ114" s="64" t="s" ph="1">
        <v>636</v>
      </c>
    </row>
    <row r="115" spans="33:52" ph="1">
      <c r="AH115" s="64" ph="1">
        <v>9</v>
      </c>
      <c r="AI115" s="64" t="s" ph="1">
        <v>551</v>
      </c>
      <c r="AJ115" s="64" t="s" ph="1">
        <v>630</v>
      </c>
      <c r="AK115" s="64" t="s" ph="1">
        <v>636</v>
      </c>
      <c r="AY115" s="64" t="s" ph="1">
        <v>257</v>
      </c>
      <c r="AZ115" s="64" t="s" ph="1">
        <v>636</v>
      </c>
    </row>
    <row r="116" spans="33:52" ph="1">
      <c r="AH116" s="64" ph="1">
        <v>10</v>
      </c>
      <c r="AI116" s="64" t="s" ph="1">
        <v>552</v>
      </c>
      <c r="AJ116" s="64" t="s" ph="1">
        <v>630</v>
      </c>
      <c r="AK116" s="64" t="s" ph="1">
        <v>636</v>
      </c>
      <c r="AY116" s="64" t="s" ph="1">
        <v>257</v>
      </c>
      <c r="AZ116" s="64" t="s" ph="1">
        <v>636</v>
      </c>
    </row>
    <row r="117" spans="33:52" ph="1">
      <c r="AH117" s="64" ph="1">
        <v>11</v>
      </c>
      <c r="AI117" s="64" t="s" ph="1">
        <v>553</v>
      </c>
      <c r="AJ117" s="64" t="s" ph="1">
        <v>630</v>
      </c>
      <c r="AK117" s="64" t="s" ph="1">
        <v>636</v>
      </c>
      <c r="AY117" s="64" t="s" ph="1">
        <v>257</v>
      </c>
      <c r="AZ117" s="64" t="s" ph="1">
        <v>636</v>
      </c>
    </row>
    <row r="118" spans="33:52" ph="1">
      <c r="AZ118" s="64" t="s" ph="1">
        <v>637</v>
      </c>
    </row>
    <row r="119" spans="33:52" ph="1">
      <c r="AI119" s="64" t="s" ph="1">
        <v>250</v>
      </c>
      <c r="AJ119" s="64" t="s" ph="1">
        <v>251</v>
      </c>
      <c r="AK119" s="64" t="s" ph="1">
        <v>252</v>
      </c>
      <c r="AM119" s="64" t="s" ph="1">
        <v>251</v>
      </c>
      <c r="AN119" s="64" t="s" ph="1">
        <v>252</v>
      </c>
      <c r="AO119" s="64" t="s" ph="1">
        <v>253</v>
      </c>
      <c r="AP119" s="64" t="s" ph="1">
        <v>251</v>
      </c>
      <c r="AQ119" s="64" t="s" ph="1">
        <v>252</v>
      </c>
      <c r="AR119" s="64" t="s" ph="1">
        <v>253</v>
      </c>
      <c r="AS119" s="64" t="s" ph="1">
        <v>251</v>
      </c>
      <c r="AT119" s="64" t="s" ph="1">
        <v>252</v>
      </c>
      <c r="AU119" s="64" t="s" ph="1">
        <v>253</v>
      </c>
      <c r="AV119" s="64" t="s" ph="1">
        <v>251</v>
      </c>
      <c r="AW119" s="64" t="s" ph="1">
        <v>252</v>
      </c>
      <c r="AX119" s="64" t="s" ph="1">
        <v>253</v>
      </c>
      <c r="AY119" s="64" t="s" ph="1">
        <v>252</v>
      </c>
      <c r="AZ119" s="64" t="s" ph="1">
        <v>254</v>
      </c>
    </row>
    <row r="120" spans="33:52" ph="1">
      <c r="AG120" s="64" t="s" ph="1">
        <v>394</v>
      </c>
      <c r="AH120" s="64" ph="1">
        <v>1</v>
      </c>
      <c r="AI120" s="64" t="s" ph="1">
        <v>554</v>
      </c>
      <c r="AJ120" s="64" t="s" ph="1">
        <v>628</v>
      </c>
      <c r="AK120" s="64" t="s" ph="1">
        <v>408</v>
      </c>
      <c r="AY120" s="64" t="s" ph="1">
        <v>257</v>
      </c>
      <c r="AZ120" s="64" t="s" ph="1">
        <v>408</v>
      </c>
    </row>
    <row r="121" spans="33:52" ph="1">
      <c r="AH121" s="64" ph="1">
        <v>2</v>
      </c>
      <c r="AI121" s="64" t="s" ph="1">
        <v>555</v>
      </c>
      <c r="AY121" s="64" t="s" ph="1">
        <v>257</v>
      </c>
      <c r="AZ121" s="64" t="s" ph="1">
        <v>408</v>
      </c>
    </row>
    <row r="122" spans="33:52" ph="1">
      <c r="AH122" s="64" ph="1">
        <v>3</v>
      </c>
      <c r="AI122" s="64" t="s" ph="1">
        <v>556</v>
      </c>
      <c r="AJ122" s="64" t="s" ph="1">
        <v>611</v>
      </c>
      <c r="AK122" s="64" t="s" ph="1">
        <v>623</v>
      </c>
      <c r="AM122" s="64" t="s" ph="1">
        <v>638</v>
      </c>
      <c r="AN122" s="64" t="s" ph="1">
        <v>631</v>
      </c>
      <c r="AO122" s="64" t="s" ph="1">
        <v>108</v>
      </c>
      <c r="AY122" s="64" t="s" ph="1">
        <v>257</v>
      </c>
      <c r="AZ122" s="64" t="s" ph="1">
        <v>620</v>
      </c>
    </row>
    <row r="123" spans="33:52" ph="1">
      <c r="AY123" s="64" t="s" ph="1">
        <v>257</v>
      </c>
      <c r="AZ123" s="64" t="s" ph="1">
        <v>620</v>
      </c>
    </row>
    <row r="124" spans="33:52" ph="1">
      <c r="AG124" s="64" t="s" ph="1">
        <v>397</v>
      </c>
      <c r="AH124" s="64" ph="1">
        <v>4</v>
      </c>
      <c r="AI124" s="64" t="s" ph="1">
        <v>557</v>
      </c>
      <c r="AJ124" s="64" t="s" ph="1">
        <v>558</v>
      </c>
      <c r="AK124" s="64" t="s" ph="1">
        <v>559</v>
      </c>
      <c r="AY124" s="64" t="s" ph="1">
        <v>257</v>
      </c>
      <c r="AZ124" s="64" t="s" ph="1">
        <v>559</v>
      </c>
    </row>
    <row r="125" spans="33:52" ph="1">
      <c r="AH125" s="64" ph="1">
        <v>5</v>
      </c>
      <c r="AI125" s="64" t="s" ph="1">
        <v>560</v>
      </c>
      <c r="AJ125" s="64" t="s" ph="1">
        <v>558</v>
      </c>
      <c r="AK125" s="64" t="s" ph="1">
        <v>559</v>
      </c>
      <c r="AY125" s="64" t="s" ph="1">
        <v>257</v>
      </c>
      <c r="AZ125" s="64" t="s" ph="1">
        <v>559</v>
      </c>
    </row>
    <row r="126" spans="33:52" ph="1">
      <c r="AH126" s="64" ph="1">
        <v>6</v>
      </c>
      <c r="AI126" s="64" t="s" ph="1">
        <v>561</v>
      </c>
      <c r="AJ126" s="64" t="s" ph="1">
        <v>630</v>
      </c>
      <c r="AK126" s="64" t="s" ph="1">
        <v>639</v>
      </c>
      <c r="AY126" s="64" t="s" ph="1">
        <v>257</v>
      </c>
      <c r="AZ126" s="64" t="s" ph="1">
        <v>639</v>
      </c>
    </row>
    <row r="127" spans="33:52" ph="1">
      <c r="AH127" s="64" ph="1">
        <v>7</v>
      </c>
      <c r="AI127" s="64" t="s" ph="1">
        <v>562</v>
      </c>
      <c r="AJ127" s="64" t="s" ph="1">
        <v>630</v>
      </c>
      <c r="AK127" s="64" t="s" ph="1">
        <v>640</v>
      </c>
      <c r="AY127" s="64" t="s" ph="1">
        <v>257</v>
      </c>
      <c r="AZ127" s="64" t="s" ph="1">
        <v>640</v>
      </c>
    </row>
    <row r="128" spans="33:52" ph="1">
      <c r="AH128" s="64" ph="1">
        <v>8</v>
      </c>
      <c r="AI128" s="64" t="s" ph="1">
        <v>563</v>
      </c>
      <c r="AY128" s="64" t="s" ph="1">
        <v>257</v>
      </c>
      <c r="AZ128" s="64" t="s" ph="1">
        <v>408</v>
      </c>
    </row>
    <row r="129" spans="33:52" ph="1">
      <c r="AH129" s="64" ph="1">
        <v>9</v>
      </c>
      <c r="AI129" s="64" t="s" ph="1">
        <v>564</v>
      </c>
      <c r="AY129" s="64" t="s" ph="1">
        <v>257</v>
      </c>
      <c r="AZ129" s="64" t="s" ph="1">
        <v>408</v>
      </c>
    </row>
    <row r="130" spans="33:52" ph="1">
      <c r="AH130" s="64" ph="1">
        <v>10</v>
      </c>
      <c r="AI130" s="64" t="s" ph="1">
        <v>565</v>
      </c>
      <c r="AY130" s="64" t="s" ph="1">
        <v>257</v>
      </c>
      <c r="AZ130" s="64" t="s" ph="1">
        <v>408</v>
      </c>
    </row>
    <row r="131" spans="33:52" ph="1">
      <c r="AH131" s="64" ph="1">
        <v>11</v>
      </c>
      <c r="AI131" s="64" t="s" ph="1">
        <v>566</v>
      </c>
      <c r="AJ131" s="64" t="s" ph="1">
        <v>624</v>
      </c>
      <c r="AK131" s="64" t="s" ph="1">
        <v>620</v>
      </c>
      <c r="AY131" s="64" t="s" ph="1">
        <v>257</v>
      </c>
      <c r="AZ131" s="64" t="s" ph="1">
        <v>620</v>
      </c>
    </row>
    <row r="132" spans="33:52" ph="1">
      <c r="AH132" s="64" ph="1">
        <v>12</v>
      </c>
      <c r="AI132" s="64" t="s" ph="1">
        <v>567</v>
      </c>
      <c r="AJ132" s="64" t="s" ph="1">
        <v>624</v>
      </c>
      <c r="AK132" s="64" t="s" ph="1">
        <v>559</v>
      </c>
      <c r="AY132" s="64" t="s" ph="1">
        <v>257</v>
      </c>
      <c r="AZ132" s="64" t="s" ph="1">
        <v>559</v>
      </c>
    </row>
    <row r="133" spans="33:52" ph="1">
      <c r="AH133" s="64" ph="1">
        <v>13</v>
      </c>
      <c r="AI133" s="64" t="s" ph="1">
        <v>568</v>
      </c>
      <c r="AJ133" s="64" t="s" ph="1">
        <v>624</v>
      </c>
      <c r="AK133" s="64" t="s" ph="1">
        <v>625</v>
      </c>
      <c r="AY133" s="64" t="s" ph="1">
        <v>257</v>
      </c>
      <c r="AZ133" s="64" t="s" ph="1">
        <v>625</v>
      </c>
    </row>
    <row r="134" spans="33:52" ph="1">
      <c r="AH134" s="64" ph="1">
        <v>14</v>
      </c>
      <c r="AI134" s="64" t="s" ph="1">
        <v>569</v>
      </c>
      <c r="AJ134" s="64" t="s" ph="1">
        <v>624</v>
      </c>
      <c r="AK134" s="64" t="s" ph="1">
        <v>626</v>
      </c>
      <c r="AY134" s="64" t="s" ph="1">
        <v>257</v>
      </c>
      <c r="AZ134" s="64" t="s" ph="1">
        <v>626</v>
      </c>
    </row>
    <row r="135" spans="33:52" ph="1">
      <c r="AH135" s="64" ph="1">
        <v>15</v>
      </c>
      <c r="AI135" s="64" t="s" ph="1">
        <v>570</v>
      </c>
      <c r="AJ135" s="64" t="s" ph="1">
        <v>624</v>
      </c>
      <c r="AK135" s="64" t="s" ph="1">
        <v>627</v>
      </c>
      <c r="AY135" s="64" t="s" ph="1">
        <v>257</v>
      </c>
      <c r="AZ135" s="64" t="s" ph="1">
        <v>627</v>
      </c>
    </row>
    <row r="136" spans="33:52" ph="1">
      <c r="AZ136" s="64" t="s" ph="1">
        <v>641</v>
      </c>
    </row>
    <row r="137" spans="33:52" ph="1">
      <c r="AG137" s="64" t="s" ph="1">
        <v>331</v>
      </c>
      <c r="AI137" s="64" t="s" ph="1">
        <v>250</v>
      </c>
      <c r="AJ137" s="64" t="s" ph="1">
        <v>251</v>
      </c>
      <c r="AK137" s="64" t="s" ph="1">
        <v>252</v>
      </c>
      <c r="AM137" s="64" t="s" ph="1">
        <v>251</v>
      </c>
      <c r="AN137" s="64" t="s" ph="1">
        <v>252</v>
      </c>
      <c r="AO137" s="64" t="s" ph="1">
        <v>253</v>
      </c>
      <c r="AP137" s="64" t="s" ph="1">
        <v>251</v>
      </c>
      <c r="AQ137" s="64" t="s" ph="1">
        <v>252</v>
      </c>
      <c r="AR137" s="64" t="s" ph="1">
        <v>253</v>
      </c>
      <c r="AS137" s="64" t="s" ph="1">
        <v>251</v>
      </c>
      <c r="AT137" s="64" t="s" ph="1">
        <v>252</v>
      </c>
      <c r="AU137" s="64" t="s" ph="1">
        <v>253</v>
      </c>
      <c r="AV137" s="64" t="s" ph="1">
        <v>251</v>
      </c>
      <c r="AW137" s="64" t="s" ph="1">
        <v>252</v>
      </c>
      <c r="AX137" s="64" t="s" ph="1">
        <v>253</v>
      </c>
      <c r="AY137" s="64" t="s" ph="1">
        <v>252</v>
      </c>
      <c r="AZ137" s="64" t="s" ph="1">
        <v>254</v>
      </c>
    </row>
    <row r="138" spans="33:52" ph="1">
      <c r="AH138" s="64" ph="1">
        <v>1</v>
      </c>
      <c r="AI138" s="64" t="s" ph="1">
        <v>571</v>
      </c>
      <c r="AJ138" s="64" t="s" ph="1">
        <v>572</v>
      </c>
      <c r="AK138" s="64" t="s" ph="1">
        <v>573</v>
      </c>
      <c r="AY138" s="64" t="s" ph="1">
        <v>257</v>
      </c>
      <c r="AZ138" s="64" t="s" ph="1">
        <v>573</v>
      </c>
    </row>
    <row r="139" spans="33:52" ph="1">
      <c r="AH139" s="64" ph="1">
        <v>2</v>
      </c>
      <c r="AI139" s="64" t="s" ph="1">
        <v>574</v>
      </c>
      <c r="AJ139" s="64" t="s" ph="1">
        <v>630</v>
      </c>
      <c r="AK139" s="64" t="s" ph="1">
        <v>642</v>
      </c>
      <c r="AY139" s="64" t="s" ph="1">
        <v>257</v>
      </c>
      <c r="AZ139" s="64" t="s" ph="1">
        <v>642</v>
      </c>
    </row>
    <row r="140" spans="33:52" ph="1">
      <c r="AH140" s="64" ph="1">
        <v>3</v>
      </c>
      <c r="AI140" s="64" t="s" ph="1">
        <v>575</v>
      </c>
      <c r="AJ140" s="64" t="s" ph="1">
        <v>528</v>
      </c>
      <c r="AK140" s="64" t="s" ph="1">
        <v>340</v>
      </c>
      <c r="AM140" s="64" t="s" ph="1">
        <v>529</v>
      </c>
      <c r="AN140" s="64" t="s" ph="1">
        <v>260</v>
      </c>
      <c r="AO140" s="64" t="s" ph="1">
        <v>576</v>
      </c>
      <c r="AP140" s="64" t="s" ph="1">
        <v>530</v>
      </c>
      <c r="AQ140" s="64" t="s" ph="1">
        <v>277</v>
      </c>
      <c r="AR140" s="64" t="s" ph="1">
        <v>576</v>
      </c>
      <c r="AS140" s="64" t="s" ph="1">
        <v>531</v>
      </c>
      <c r="AT140" s="64" t="s" ph="1">
        <v>270</v>
      </c>
      <c r="AU140" s="64" t="s" ph="1">
        <v>576</v>
      </c>
      <c r="AV140" s="64" t="s" ph="1">
        <v>532</v>
      </c>
      <c r="AW140" s="64" t="s" ph="1">
        <v>263</v>
      </c>
      <c r="AX140" s="64" t="s" ph="1">
        <v>576</v>
      </c>
      <c r="AY140" s="64" t="s" ph="1">
        <v>257</v>
      </c>
      <c r="AZ140" s="64" t="s" ph="1">
        <v>332</v>
      </c>
    </row>
    <row r="141" spans="33:52" ph="1">
      <c r="AJ141" s="64" t="s" ph="1">
        <v>534</v>
      </c>
      <c r="AK141" s="64" t="s" ph="1">
        <v>263</v>
      </c>
      <c r="AM141" s="64" t="s" ph="1">
        <v>535</v>
      </c>
      <c r="AN141" s="64" t="s" ph="1">
        <v>266</v>
      </c>
      <c r="AO141" s="64" t="s" ph="1">
        <v>576</v>
      </c>
      <c r="AP141" s="64" t="s" ph="1">
        <v>547</v>
      </c>
      <c r="AQ141" s="64" t="s" ph="1">
        <v>335</v>
      </c>
      <c r="AR141" s="64" t="s" ph="1">
        <v>576</v>
      </c>
      <c r="AS141" s="64" t="s" ph="1">
        <v>539</v>
      </c>
      <c r="AT141" s="64" t="s" ph="1">
        <v>263</v>
      </c>
      <c r="AU141" s="64" t="s" ph="1">
        <v>576</v>
      </c>
      <c r="AV141" s="64" t="s" ph="1">
        <v>375</v>
      </c>
      <c r="AW141" s="64" t="s" ph="1">
        <v>269</v>
      </c>
      <c r="AX141" s="64" t="s" ph="1">
        <v>576</v>
      </c>
    </row>
    <row r="142" spans="33:52" ph="1">
      <c r="AJ142" s="64" t="s" ph="1">
        <v>577</v>
      </c>
      <c r="AK142" s="64" t="s" ph="1">
        <v>280</v>
      </c>
    </row>
    <row r="143" spans="33:52" ph="1">
      <c r="AH143" s="64" ph="1">
        <v>4</v>
      </c>
      <c r="AI143" s="64" t="s" ph="1">
        <v>578</v>
      </c>
      <c r="AJ143" s="64" t="s" ph="1">
        <v>558</v>
      </c>
      <c r="AK143" s="64" t="s" ph="1">
        <v>579</v>
      </c>
      <c r="AY143" s="64" t="s" ph="1">
        <v>257</v>
      </c>
      <c r="AZ143" s="64" t="s" ph="1">
        <v>579</v>
      </c>
    </row>
    <row r="144" spans="33:52" ph="1">
      <c r="AH144" s="64" ph="1">
        <v>5</v>
      </c>
      <c r="AI144" s="64" t="s" ph="1">
        <v>580</v>
      </c>
      <c r="AY144" s="64" t="s" ph="1">
        <v>257</v>
      </c>
      <c r="AZ144" s="64" t="s" ph="1">
        <v>408</v>
      </c>
    </row>
    <row r="145" spans="33:52" ph="1">
      <c r="AH145" s="64" ph="1">
        <v>6</v>
      </c>
      <c r="AI145" s="64" t="s" ph="1">
        <v>581</v>
      </c>
      <c r="AY145" s="64" t="s" ph="1">
        <v>257</v>
      </c>
      <c r="AZ145" s="64" t="s" ph="1">
        <v>408</v>
      </c>
    </row>
    <row r="146" spans="33:52" ph="1">
      <c r="AH146" s="64" ph="1">
        <v>7</v>
      </c>
      <c r="AI146" s="64" t="s" ph="1">
        <v>582</v>
      </c>
      <c r="AY146" s="64" t="s" ph="1">
        <v>257</v>
      </c>
      <c r="AZ146" s="64" t="s" ph="1">
        <v>408</v>
      </c>
    </row>
    <row r="147" spans="33:52" ph="1">
      <c r="AH147" s="64" ph="1">
        <v>8</v>
      </c>
      <c r="AI147" s="64" t="s" ph="1">
        <v>583</v>
      </c>
      <c r="AY147" s="64" t="s" ph="1">
        <v>257</v>
      </c>
      <c r="AZ147" s="64" t="s" ph="1">
        <v>408</v>
      </c>
    </row>
    <row r="148" spans="33:52" ph="1">
      <c r="AH148" s="64" ph="1">
        <v>9</v>
      </c>
      <c r="AI148" s="64" t="s" ph="1">
        <v>584</v>
      </c>
      <c r="AY148" s="64" t="s" ph="1">
        <v>257</v>
      </c>
      <c r="AZ148" s="64" t="s" ph="1">
        <v>408</v>
      </c>
    </row>
    <row r="149" spans="33:52" ph="1">
      <c r="AH149" s="64" ph="1">
        <v>10</v>
      </c>
      <c r="AI149" s="64" t="s" ph="1">
        <v>585</v>
      </c>
      <c r="AY149" s="64" t="s" ph="1">
        <v>257</v>
      </c>
      <c r="AZ149" s="64" t="s" ph="1">
        <v>408</v>
      </c>
    </row>
    <row r="150" spans="33:52" ph="1">
      <c r="AH150" s="64" ph="1">
        <v>11</v>
      </c>
      <c r="AI150" s="64" t="s" ph="1">
        <v>586</v>
      </c>
      <c r="AY150" s="64" t="s" ph="1">
        <v>257</v>
      </c>
      <c r="AZ150" s="64" t="s" ph="1">
        <v>408</v>
      </c>
    </row>
    <row r="151" spans="33:52" ph="1">
      <c r="AH151" s="64" ph="1">
        <v>12</v>
      </c>
      <c r="AI151" s="64" t="s" ph="1">
        <v>587</v>
      </c>
      <c r="AY151" s="64" t="s" ph="1">
        <v>257</v>
      </c>
      <c r="AZ151" s="64" t="s" ph="1">
        <v>408</v>
      </c>
    </row>
    <row r="152" spans="33:52" ph="1">
      <c r="AH152" s="64" ph="1">
        <v>13</v>
      </c>
      <c r="AI152" s="64" t="s" ph="1">
        <v>588</v>
      </c>
      <c r="AY152" s="64" t="s" ph="1">
        <v>257</v>
      </c>
      <c r="AZ152" s="64" t="s" ph="1">
        <v>408</v>
      </c>
    </row>
    <row r="153" spans="33:52" ph="1">
      <c r="AH153" s="64" ph="1">
        <v>14</v>
      </c>
      <c r="AI153" s="64" t="s" ph="1">
        <v>589</v>
      </c>
      <c r="AY153" s="64" t="s" ph="1">
        <v>257</v>
      </c>
      <c r="AZ153" s="64" t="s" ph="1">
        <v>408</v>
      </c>
    </row>
    <row r="154" spans="33:52" ph="1">
      <c r="AH154" s="64" ph="1">
        <v>15</v>
      </c>
      <c r="AI154" s="64" t="s" ph="1">
        <v>590</v>
      </c>
      <c r="AY154" s="64" t="s" ph="1">
        <v>257</v>
      </c>
      <c r="AZ154" s="64" t="s" ph="1">
        <v>408</v>
      </c>
    </row>
    <row r="155" spans="33:52" ph="1">
      <c r="AH155" s="64" ph="1">
        <v>16</v>
      </c>
      <c r="AI155" s="64" t="s" ph="1">
        <v>591</v>
      </c>
      <c r="AJ155" s="64" t="s" ph="1">
        <v>377</v>
      </c>
      <c r="AK155" s="64" t="s" ph="1">
        <v>272</v>
      </c>
      <c r="AM155" s="64" t="s" ph="1">
        <v>611</v>
      </c>
      <c r="AN155" s="64" t="s" ph="1">
        <v>323</v>
      </c>
      <c r="AO155" s="64" t="s" ph="1">
        <v>576</v>
      </c>
      <c r="AY155" s="64" t="s" ph="1">
        <v>257</v>
      </c>
      <c r="AZ155" s="64" t="s" ph="1">
        <v>264</v>
      </c>
    </row>
    <row r="156" spans="33:52" ph="1">
      <c r="AZ156" s="64" t="s" ph="1">
        <v>643</v>
      </c>
    </row>
    <row r="157" spans="33:52" ph="1">
      <c r="AG157" s="64" t="s" ph="1">
        <v>592</v>
      </c>
      <c r="AI157" s="64" t="s" ph="1">
        <v>250</v>
      </c>
      <c r="AJ157" s="64" t="s" ph="1">
        <v>251</v>
      </c>
      <c r="AK157" s="64" t="s" ph="1">
        <v>252</v>
      </c>
      <c r="AM157" s="64" t="s" ph="1">
        <v>251</v>
      </c>
      <c r="AN157" s="64" t="s" ph="1">
        <v>252</v>
      </c>
      <c r="AO157" s="64" t="s" ph="1">
        <v>253</v>
      </c>
      <c r="AP157" s="64" t="s" ph="1">
        <v>251</v>
      </c>
      <c r="AQ157" s="64" t="s" ph="1">
        <v>252</v>
      </c>
      <c r="AR157" s="64" t="s" ph="1">
        <v>253</v>
      </c>
      <c r="AS157" s="64" t="s" ph="1">
        <v>251</v>
      </c>
      <c r="AT157" s="64" t="s" ph="1">
        <v>252</v>
      </c>
      <c r="AU157" s="64" t="s" ph="1">
        <v>253</v>
      </c>
      <c r="AV157" s="64" t="s" ph="1">
        <v>251</v>
      </c>
      <c r="AW157" s="64" t="s" ph="1">
        <v>252</v>
      </c>
      <c r="AX157" s="64" t="s" ph="1">
        <v>253</v>
      </c>
      <c r="AY157" s="64" t="s" ph="1">
        <v>252</v>
      </c>
      <c r="AZ157" s="64" t="s" ph="1">
        <v>254</v>
      </c>
    </row>
    <row r="158" spans="33:52" ph="1">
      <c r="AH158" s="64" ph="1">
        <v>1</v>
      </c>
      <c r="AI158" s="64" t="s" ph="1">
        <v>593</v>
      </c>
      <c r="AY158" s="64" t="s" ph="1">
        <v>257</v>
      </c>
      <c r="AZ158" s="64" t="s" ph="1">
        <v>408</v>
      </c>
    </row>
    <row r="159" spans="33:52" ph="1">
      <c r="AH159" s="64" ph="1">
        <v>2</v>
      </c>
      <c r="AI159" s="64" t="s" ph="1">
        <v>594</v>
      </c>
      <c r="AY159" s="64" t="s" ph="1">
        <v>257</v>
      </c>
      <c r="AZ159" s="64" t="s" ph="1">
        <v>408</v>
      </c>
    </row>
    <row r="160" spans="33:52" ph="1">
      <c r="AZ160" s="64" t="s" ph="1">
        <v>426</v>
      </c>
    </row>
    <row r="161" spans="33:52" ph="1">
      <c r="AG161" s="64" t="s" ph="1">
        <v>402</v>
      </c>
      <c r="AI161" s="64" t="s" ph="1">
        <v>250</v>
      </c>
      <c r="AJ161" s="64" t="s" ph="1">
        <v>251</v>
      </c>
      <c r="AK161" s="64" t="s" ph="1">
        <v>252</v>
      </c>
      <c r="AM161" s="64" t="s" ph="1">
        <v>251</v>
      </c>
      <c r="AN161" s="64" t="s" ph="1">
        <v>252</v>
      </c>
      <c r="AO161" s="64" t="s" ph="1">
        <v>253</v>
      </c>
      <c r="AP161" s="64" t="s" ph="1">
        <v>251</v>
      </c>
      <c r="AQ161" s="64" t="s" ph="1">
        <v>252</v>
      </c>
      <c r="AR161" s="64" t="s" ph="1">
        <v>253</v>
      </c>
      <c r="AS161" s="64" t="s" ph="1">
        <v>251</v>
      </c>
      <c r="AT161" s="64" t="s" ph="1">
        <v>252</v>
      </c>
      <c r="AU161" s="64" t="s" ph="1">
        <v>253</v>
      </c>
      <c r="AV161" s="64" t="s" ph="1">
        <v>251</v>
      </c>
      <c r="AW161" s="64" t="s" ph="1">
        <v>252</v>
      </c>
      <c r="AX161" s="64" t="s" ph="1">
        <v>253</v>
      </c>
      <c r="AY161" s="64" t="s" ph="1">
        <v>252</v>
      </c>
      <c r="AZ161" s="64" t="s" ph="1">
        <v>254</v>
      </c>
    </row>
    <row r="162" spans="33:52" ph="1">
      <c r="AH162" s="64" ph="1">
        <v>1</v>
      </c>
      <c r="AI162" s="64" t="s" ph="1">
        <v>595</v>
      </c>
      <c r="AJ162" s="64" t="s" ph="1">
        <v>596</v>
      </c>
      <c r="AK162" s="64" t="s" ph="1">
        <v>540</v>
      </c>
      <c r="AM162" s="64" t="s" ph="1">
        <v>597</v>
      </c>
      <c r="AN162" s="64" t="s" ph="1">
        <v>261</v>
      </c>
      <c r="AO162" s="64" t="s" ph="1">
        <v>598</v>
      </c>
      <c r="AY162" s="64" t="s" ph="1">
        <v>257</v>
      </c>
      <c r="AZ162" s="64" t="s" ph="1">
        <v>333</v>
      </c>
    </row>
    <row r="163" spans="33:52" ph="1">
      <c r="AH163" s="64" ph="1">
        <v>2</v>
      </c>
      <c r="AI163" s="64" t="s" ph="1">
        <v>599</v>
      </c>
      <c r="AJ163" s="64" t="s" ph="1">
        <v>596</v>
      </c>
      <c r="AK163" s="64" t="s" ph="1">
        <v>429</v>
      </c>
      <c r="AY163" s="64" t="s" ph="1">
        <v>257</v>
      </c>
      <c r="AZ163" s="64" t="s" ph="1">
        <v>429</v>
      </c>
    </row>
    <row r="164" spans="33:52" ph="1">
      <c r="AH164" s="64" ph="1">
        <v>3</v>
      </c>
      <c r="AI164" s="64" t="s" ph="1">
        <v>600</v>
      </c>
      <c r="AJ164" s="64" t="s" ph="1">
        <v>596</v>
      </c>
      <c r="AK164" s="64" t="s" ph="1">
        <v>333</v>
      </c>
      <c r="AY164" s="64" t="s" ph="1">
        <v>257</v>
      </c>
      <c r="AZ164" s="64" t="s" ph="1">
        <v>333</v>
      </c>
    </row>
    <row r="165" spans="33:52" ph="1">
      <c r="AH165" s="64" ph="1">
        <v>4</v>
      </c>
      <c r="AI165" s="64" t="s" ph="1">
        <v>601</v>
      </c>
      <c r="AY165" s="64" t="s" ph="1">
        <v>257</v>
      </c>
      <c r="AZ165" s="64" t="s" ph="1">
        <v>408</v>
      </c>
    </row>
    <row r="166" spans="33:52" ph="1">
      <c r="AH166" s="64" ph="1">
        <v>5</v>
      </c>
      <c r="AI166" s="64" t="s" ph="1">
        <v>602</v>
      </c>
      <c r="AY166" s="64" t="s" ph="1">
        <v>257</v>
      </c>
      <c r="AZ166" s="64" t="s" ph="1">
        <v>408</v>
      </c>
    </row>
    <row r="167" spans="33:52" ph="1">
      <c r="AZ167" s="64" t="s" ph="1">
        <v>603</v>
      </c>
    </row>
    <row r="168" spans="33:52" ph="1">
      <c r="AG168" s="64" t="s" ph="1">
        <v>346</v>
      </c>
      <c r="AI168" s="64" t="s" ph="1">
        <v>250</v>
      </c>
      <c r="AJ168" s="64" t="s" ph="1">
        <v>251</v>
      </c>
      <c r="AK168" s="64" t="s" ph="1">
        <v>252</v>
      </c>
      <c r="AM168" s="64" t="s" ph="1">
        <v>251</v>
      </c>
      <c r="AN168" s="64" t="s" ph="1">
        <v>252</v>
      </c>
      <c r="AO168" s="64" t="s" ph="1">
        <v>253</v>
      </c>
      <c r="AP168" s="64" t="s" ph="1">
        <v>251</v>
      </c>
      <c r="AQ168" s="64" t="s" ph="1">
        <v>252</v>
      </c>
      <c r="AR168" s="64" t="s" ph="1">
        <v>253</v>
      </c>
      <c r="AS168" s="64" t="s" ph="1">
        <v>251</v>
      </c>
      <c r="AT168" s="64" t="s" ph="1">
        <v>252</v>
      </c>
      <c r="AU168" s="64" t="s" ph="1">
        <v>253</v>
      </c>
      <c r="AV168" s="64" t="s" ph="1">
        <v>251</v>
      </c>
      <c r="AW168" s="64" t="s" ph="1">
        <v>252</v>
      </c>
      <c r="AX168" s="64" t="s" ph="1">
        <v>253</v>
      </c>
      <c r="AY168" s="64" t="s" ph="1">
        <v>252</v>
      </c>
      <c r="AZ168" s="64" t="s" ph="1">
        <v>254</v>
      </c>
    </row>
    <row r="169" spans="33:52" ph="1">
      <c r="AH169" s="64" ph="1">
        <v>1</v>
      </c>
      <c r="AI169" s="64" t="s" ph="1">
        <v>604</v>
      </c>
      <c r="AY169" s="64" t="s" ph="1">
        <v>257</v>
      </c>
      <c r="AZ169" s="64" t="s" ph="1">
        <v>408</v>
      </c>
    </row>
    <row r="170" spans="33:52" ph="1">
      <c r="AH170" s="64" ph="1">
        <v>2</v>
      </c>
      <c r="AI170" s="64" t="s" ph="1">
        <v>605</v>
      </c>
      <c r="AY170" s="64" t="s" ph="1">
        <v>257</v>
      </c>
      <c r="AZ170" s="64" t="s" ph="1">
        <v>408</v>
      </c>
    </row>
    <row r="171" spans="33:52" ph="1">
      <c r="AH171" s="64" ph="1">
        <v>3</v>
      </c>
      <c r="AI171" s="64" t="s" ph="1">
        <v>606</v>
      </c>
      <c r="AY171" s="64" t="s" ph="1">
        <v>257</v>
      </c>
      <c r="AZ171" s="64" t="s" ph="1">
        <v>408</v>
      </c>
    </row>
    <row r="172" spans="33:52" ph="1">
      <c r="AH172" s="64" ph="1">
        <v>4</v>
      </c>
      <c r="AI172" s="64" t="s" ph="1">
        <v>607</v>
      </c>
      <c r="AY172" s="64" t="s" ph="1">
        <v>257</v>
      </c>
      <c r="AZ172" s="64" t="s" ph="1">
        <v>408</v>
      </c>
    </row>
    <row r="173" spans="33:52" ph="1">
      <c r="AH173" s="64" ph="1">
        <v>5</v>
      </c>
      <c r="AI173" s="64" t="s" ph="1">
        <v>608</v>
      </c>
      <c r="AY173" s="64" t="s" ph="1">
        <v>257</v>
      </c>
      <c r="AZ173" s="64" t="s" ph="1">
        <v>408</v>
      </c>
    </row>
    <row r="174" spans="33:52" ph="1">
      <c r="AZ174" s="64" t="s" ph="1">
        <v>426</v>
      </c>
    </row>
    <row r="175" spans="33:52" ph="1">
      <c r="AJ175" s="64" t="s" ph="1">
        <v>347</v>
      </c>
    </row>
    <row r="176" spans="33:52" ph="1">
      <c r="AJ176" s="64" t="s" ph="1">
        <v>348</v>
      </c>
      <c r="AK176" s="64" t="s" ph="1">
        <v>349</v>
      </c>
      <c r="AM176" s="64" t="s" ph="1">
        <v>350</v>
      </c>
      <c r="AO176" s="64" t="s" ph="1">
        <v>351</v>
      </c>
      <c r="AP176" s="64" t="s" ph="1">
        <v>352</v>
      </c>
      <c r="AQ176" s="64" t="s" ph="1">
        <v>342</v>
      </c>
      <c r="AR176" s="64" t="s" ph="1">
        <v>262</v>
      </c>
    </row>
    <row r="177" spans="36:56" ph="1">
      <c r="AJ177" s="64" t="s" ph="1">
        <v>644</v>
      </c>
      <c r="AK177" s="64" t="s" ph="1">
        <v>353</v>
      </c>
      <c r="AO177" s="64" t="s" ph="1">
        <v>353</v>
      </c>
      <c r="AP177" s="64" t="s" ph="1">
        <v>353</v>
      </c>
      <c r="AQ177" s="64" t="s" ph="1">
        <v>354</v>
      </c>
      <c r="AR177" s="64" t="s" ph="1">
        <v>355</v>
      </c>
    </row>
    <row r="179" spans="36:56" ph="1">
      <c r="AJ179" s="64" t="s" ph="1">
        <v>356</v>
      </c>
      <c r="AK179" s="64" t="s" ph="1">
        <v>357</v>
      </c>
      <c r="AM179" s="64" t="s" ph="1">
        <v>358</v>
      </c>
      <c r="AN179" s="64" t="s" ph="1">
        <v>334</v>
      </c>
      <c r="AO179" s="64" t="s" ph="1">
        <v>359</v>
      </c>
      <c r="AP179" s="64" t="s" ph="1">
        <v>338</v>
      </c>
      <c r="AQ179" s="64" t="s" ph="1">
        <v>360</v>
      </c>
      <c r="AR179" s="64" t="s" ph="1">
        <v>361</v>
      </c>
    </row>
    <row r="180" spans="36:56" ph="1">
      <c r="AJ180" s="64" t="s" ph="1">
        <v>353</v>
      </c>
      <c r="AK180" s="64" t="s" ph="1">
        <v>353</v>
      </c>
      <c r="AL180" s="64" ph="1">
        <v>116</v>
      </c>
      <c r="AM180" s="64" t="s" ph="1">
        <v>353</v>
      </c>
      <c r="AN180" s="64" t="s" ph="1">
        <v>362</v>
      </c>
      <c r="AO180" s="64" t="s" ph="1">
        <v>353</v>
      </c>
      <c r="AP180" s="64" t="s" ph="1">
        <v>363</v>
      </c>
      <c r="AQ180" s="64" t="s" ph="1">
        <v>364</v>
      </c>
      <c r="AR180" s="64" t="s" ph="1">
        <v>365</v>
      </c>
    </row>
    <row r="189" spans="36:56" ph="1">
      <c r="BD189" s="64" t="s" ph="1">
        <v>609</v>
      </c>
    </row>
    <row r="223" spans="18:18" ph="1">
      <c r="R223" s="138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503" priority="96">
      <formula>ABS(D$7-D$10)&gt;=1000</formula>
    </cfRule>
  </conditionalFormatting>
  <conditionalFormatting sqref="E4 E6:E11">
    <cfRule type="expression" dxfId="502" priority="95">
      <formula>ABS(E$7-E$10)&gt;=1000</formula>
    </cfRule>
  </conditionalFormatting>
  <conditionalFormatting sqref="F4:F11">
    <cfRule type="expression" dxfId="501" priority="94">
      <formula>ABS(F$7-F$10)&gt;=1000</formula>
    </cfRule>
  </conditionalFormatting>
  <conditionalFormatting sqref="G4:G11">
    <cfRule type="expression" dxfId="500" priority="93">
      <formula>ABS(G$7-G$10)&gt;=1000</formula>
    </cfRule>
  </conditionalFormatting>
  <conditionalFormatting sqref="H4:H11">
    <cfRule type="expression" dxfId="499" priority="92">
      <formula>ABS(H$7-H$10)&gt;=1000</formula>
    </cfRule>
  </conditionalFormatting>
  <conditionalFormatting sqref="I4:I11">
    <cfRule type="expression" dxfId="498" priority="91">
      <formula>ABS(I$7-I$10)&gt;=1000</formula>
    </cfRule>
  </conditionalFormatting>
  <conditionalFormatting sqref="J4:J11">
    <cfRule type="expression" dxfId="497" priority="90">
      <formula>ABS(J$7-J$10)&gt;=1000</formula>
    </cfRule>
  </conditionalFormatting>
  <conditionalFormatting sqref="K4:K11">
    <cfRule type="expression" dxfId="496" priority="89">
      <formula>ABS(K$7-K$10)&gt;=1000</formula>
    </cfRule>
  </conditionalFormatting>
  <conditionalFormatting sqref="L4:L11">
    <cfRule type="expression" dxfId="495" priority="88">
      <formula>ABS(L$7-L$10)&gt;=1000</formula>
    </cfRule>
  </conditionalFormatting>
  <conditionalFormatting sqref="M4 M6:M11">
    <cfRule type="expression" dxfId="494" priority="87">
      <formula>ABS(M$7-M$10)&gt;=1000</formula>
    </cfRule>
  </conditionalFormatting>
  <conditionalFormatting sqref="N4 N6:N11">
    <cfRule type="expression" dxfId="493" priority="86">
      <formula>ABS(N$7-N$10)&gt;=1000</formula>
    </cfRule>
  </conditionalFormatting>
  <conditionalFormatting sqref="O4 O6:O11">
    <cfRule type="expression" dxfId="492" priority="85">
      <formula>ABS(O$7-O$10)&gt;=1000</formula>
    </cfRule>
  </conditionalFormatting>
  <conditionalFormatting sqref="P4 P6:P11">
    <cfRule type="expression" dxfId="491" priority="84">
      <formula>ABS(P$7-P$10)&gt;=1000</formula>
    </cfRule>
  </conditionalFormatting>
  <conditionalFormatting sqref="Q4:Q11">
    <cfRule type="expression" dxfId="490" priority="83">
      <formula>ABS(Q$7-Q$10)&gt;=1000</formula>
    </cfRule>
  </conditionalFormatting>
  <conditionalFormatting sqref="R4:R11">
    <cfRule type="expression" dxfId="489" priority="82">
      <formula>ABS(R$7-R$10)&gt;=1000</formula>
    </cfRule>
  </conditionalFormatting>
  <conditionalFormatting sqref="S4:S11">
    <cfRule type="expression" dxfId="488" priority="81">
      <formula>ABS(S$7-S$10)&gt;=1000</formula>
    </cfRule>
  </conditionalFormatting>
  <conditionalFormatting sqref="T4:T9 T11">
    <cfRule type="expression" dxfId="487" priority="80">
      <formula>ABS(T$7-T$10)&gt;=1000</formula>
    </cfRule>
  </conditionalFormatting>
  <conditionalFormatting sqref="U4:U9 U11">
    <cfRule type="expression" dxfId="486" priority="79">
      <formula>ABS(U$7-U$10)&gt;=1000</formula>
    </cfRule>
  </conditionalFormatting>
  <conditionalFormatting sqref="V4:V9 V11">
    <cfRule type="expression" dxfId="485" priority="78">
      <formula>ABS(V$7-V$10)&gt;=1000</formula>
    </cfRule>
  </conditionalFormatting>
  <conditionalFormatting sqref="W4:W9 W11">
    <cfRule type="expression" dxfId="484" priority="77">
      <formula>ABS(W$7-W$10)&gt;=1000</formula>
    </cfRule>
  </conditionalFormatting>
  <conditionalFormatting sqref="X4:X9 X11">
    <cfRule type="expression" dxfId="483" priority="76">
      <formula>ABS(X$7-X$10)&gt;=1000</formula>
    </cfRule>
  </conditionalFormatting>
  <conditionalFormatting sqref="Y4:Y9 Y11">
    <cfRule type="expression" dxfId="482" priority="75">
      <formula>ABS(Y$7-Y$10)&gt;=1000</formula>
    </cfRule>
  </conditionalFormatting>
  <conditionalFormatting sqref="Z4:Z11">
    <cfRule type="expression" dxfId="481" priority="74">
      <formula>ABS(Z$7-Z$10)&gt;=1000</formula>
    </cfRule>
  </conditionalFormatting>
  <conditionalFormatting sqref="AA4:AA11">
    <cfRule type="expression" dxfId="480" priority="73">
      <formula>ABS(AA$7-AA$10)&gt;=1000</formula>
    </cfRule>
  </conditionalFormatting>
  <conditionalFormatting sqref="AB4:AB11">
    <cfRule type="expression" dxfId="479" priority="72">
      <formula>ABS(AB$7-AB$10)&gt;=1000</formula>
    </cfRule>
  </conditionalFormatting>
  <conditionalFormatting sqref="AC4 AC6:AC11">
    <cfRule type="expression" dxfId="478" priority="71">
      <formula>ABS(AC$7-AC$10)&gt;=1000</formula>
    </cfRule>
  </conditionalFormatting>
  <conditionalFormatting sqref="AD4:AD11">
    <cfRule type="expression" dxfId="477" priority="70">
      <formula>ABS(AD$7-AD$10)&gt;=1000</formula>
    </cfRule>
  </conditionalFormatting>
  <conditionalFormatting sqref="AE4:AE11">
    <cfRule type="expression" dxfId="476" priority="69">
      <formula>ABS(AE$7-AE$10)&gt;=1000</formula>
    </cfRule>
  </conditionalFormatting>
  <conditionalFormatting sqref="D13:D20">
    <cfRule type="expression" dxfId="475" priority="68">
      <formula>ABS(D$16-D$19)&gt;=1000</formula>
    </cfRule>
  </conditionalFormatting>
  <conditionalFormatting sqref="E13:E20">
    <cfRule type="expression" dxfId="474" priority="67">
      <formula>ABS(E$16-E$19)&gt;=1000</formula>
    </cfRule>
  </conditionalFormatting>
  <conditionalFormatting sqref="F13 F15:F20">
    <cfRule type="expression" dxfId="473" priority="66">
      <formula>ABS(F$16-F$19)&gt;=1000</formula>
    </cfRule>
  </conditionalFormatting>
  <conditionalFormatting sqref="G13:G20">
    <cfRule type="expression" dxfId="472" priority="65">
      <formula>ABS(G$16-G$19)&gt;=1000</formula>
    </cfRule>
  </conditionalFormatting>
  <conditionalFormatting sqref="H13:H20">
    <cfRule type="expression" dxfId="471" priority="64">
      <formula>ABS(H$16-H$19)&gt;=1000</formula>
    </cfRule>
  </conditionalFormatting>
  <conditionalFormatting sqref="I13:I20">
    <cfRule type="expression" dxfId="470" priority="63">
      <formula>ABS(I$16-I$19)&gt;=1000</formula>
    </cfRule>
  </conditionalFormatting>
  <conditionalFormatting sqref="J13:J20">
    <cfRule type="expression" dxfId="469" priority="62">
      <formula>ABS(J$16-J$19)&gt;=1000</formula>
    </cfRule>
  </conditionalFormatting>
  <conditionalFormatting sqref="L13:L20">
    <cfRule type="expression" dxfId="468" priority="61">
      <formula>ABS(L$16-L$19)&gt;=1000</formula>
    </cfRule>
  </conditionalFormatting>
  <conditionalFormatting sqref="M13 M15 M17:M18 M20">
    <cfRule type="expression" dxfId="467" priority="60">
      <formula>ABS(M$16-M$19)&gt;=1000</formula>
    </cfRule>
  </conditionalFormatting>
  <conditionalFormatting sqref="N13:N20">
    <cfRule type="expression" dxfId="466" priority="59">
      <formula>ABS(N$16-N$19)&gt;=1000</formula>
    </cfRule>
  </conditionalFormatting>
  <conditionalFormatting sqref="O13:O20">
    <cfRule type="expression" dxfId="465" priority="58">
      <formula>ABS(O$16-O$19)&gt;=1000</formula>
    </cfRule>
  </conditionalFormatting>
  <conditionalFormatting sqref="P13:P20">
    <cfRule type="expression" dxfId="464" priority="57">
      <formula>ABS(P$16-P$19)&gt;=1000</formula>
    </cfRule>
  </conditionalFormatting>
  <conditionalFormatting sqref="Q13 Q15:Q20">
    <cfRule type="expression" dxfId="463" priority="56">
      <formula>ABS(Q$16-Q$19)&gt;=1000</formula>
    </cfRule>
  </conditionalFormatting>
  <conditionalFormatting sqref="R13:R20">
    <cfRule type="expression" dxfId="462" priority="55">
      <formula>ABS(R$16-R$19)&gt;=1000</formula>
    </cfRule>
  </conditionalFormatting>
  <conditionalFormatting sqref="S13:S20">
    <cfRule type="expression" dxfId="461" priority="54">
      <formula>ABS(S$16-S$19)&gt;=1000</formula>
    </cfRule>
  </conditionalFormatting>
  <conditionalFormatting sqref="T13:T20">
    <cfRule type="expression" dxfId="460" priority="53">
      <formula>ABS(T$16-T$19)&gt;=1000</formula>
    </cfRule>
  </conditionalFormatting>
  <conditionalFormatting sqref="U13:U20">
    <cfRule type="expression" dxfId="459" priority="52">
      <formula>ABS(U$16-U$19)&gt;=1000</formula>
    </cfRule>
  </conditionalFormatting>
  <conditionalFormatting sqref="V13:V20">
    <cfRule type="expression" dxfId="458" priority="51">
      <formula>ABS(V$16-V$19)&gt;=1000</formula>
    </cfRule>
  </conditionalFormatting>
  <conditionalFormatting sqref="W13 W15:W18 W20">
    <cfRule type="expression" dxfId="457" priority="50">
      <formula>ABS(W$16-W$19)&gt;=1000</formula>
    </cfRule>
  </conditionalFormatting>
  <conditionalFormatting sqref="X13 X15:X20 Y19">
    <cfRule type="expression" dxfId="456" priority="49">
      <formula>ABS(X$16-X$19)&gt;=1000</formula>
    </cfRule>
  </conditionalFormatting>
  <conditionalFormatting sqref="Y13 Y15:Y18 Y20">
    <cfRule type="expression" dxfId="455" priority="48">
      <formula>ABS(Y$16-Y$19)&gt;=1000</formula>
    </cfRule>
  </conditionalFormatting>
  <conditionalFormatting sqref="Z13:Z20">
    <cfRule type="expression" dxfId="454" priority="47">
      <formula>ABS(Z$16-Z$19)&gt;=1000</formula>
    </cfRule>
  </conditionalFormatting>
  <conditionalFormatting sqref="AA13:AA20">
    <cfRule type="expression" dxfId="453" priority="46">
      <formula>ABS(AA$16-AA$19)&gt;=1000</formula>
    </cfRule>
  </conditionalFormatting>
  <conditionalFormatting sqref="AB13 AB15:AB20">
    <cfRule type="expression" dxfId="452" priority="45">
      <formula>ABS(AB$16-AB$19)&gt;=1000</formula>
    </cfRule>
  </conditionalFormatting>
  <conditionalFormatting sqref="AC13 AC15:AC20">
    <cfRule type="expression" dxfId="451" priority="44">
      <formula>ABS(AC$16-AC$19)&gt;=1000</formula>
    </cfRule>
  </conditionalFormatting>
  <conditionalFormatting sqref="AD13:AD20">
    <cfRule type="expression" dxfId="450" priority="43">
      <formula>ABS(AD$16-AD$19)&gt;=1000</formula>
    </cfRule>
  </conditionalFormatting>
  <conditionalFormatting sqref="AE13:AE20">
    <cfRule type="expression" dxfId="449" priority="42">
      <formula>ABS(AE$16-AE$19)&gt;=1000</formula>
    </cfRule>
  </conditionalFormatting>
  <conditionalFormatting sqref="D22:D29">
    <cfRule type="expression" dxfId="448" priority="41">
      <formula>ABS(D$25-D$28)&gt;=1000</formula>
    </cfRule>
  </conditionalFormatting>
  <conditionalFormatting sqref="E22:E29">
    <cfRule type="expression" dxfId="447" priority="40">
      <formula>ABS(E$25-E$28)&gt;=1000</formula>
    </cfRule>
  </conditionalFormatting>
  <conditionalFormatting sqref="F22:F29">
    <cfRule type="expression" dxfId="446" priority="39">
      <formula>ABS(F$25-F$28)&gt;=1000</formula>
    </cfRule>
  </conditionalFormatting>
  <conditionalFormatting sqref="G22:G29">
    <cfRule type="expression" dxfId="445" priority="38">
      <formula>ABS(G$25-G$28)&gt;=1000</formula>
    </cfRule>
  </conditionalFormatting>
  <conditionalFormatting sqref="H22:H29">
    <cfRule type="expression" dxfId="444" priority="37">
      <formula>ABS(H$25-H$28)&gt;=1000</formula>
    </cfRule>
  </conditionalFormatting>
  <conditionalFormatting sqref="I22 I24:I29">
    <cfRule type="expression" dxfId="443" priority="36">
      <formula>ABS(I$25-I$28)&gt;=1000</formula>
    </cfRule>
  </conditionalFormatting>
  <conditionalFormatting sqref="J22:J29 K22">
    <cfRule type="expression" dxfId="442" priority="35">
      <formula>ABS(J$25-J$28)&gt;=1000</formula>
    </cfRule>
  </conditionalFormatting>
  <conditionalFormatting sqref="K23:K29 L25 L28">
    <cfRule type="expression" dxfId="441" priority="34">
      <formula>ABS(K$25-K$28)&gt;=1000</formula>
    </cfRule>
  </conditionalFormatting>
  <conditionalFormatting sqref="L22:L24 L26:L27 L29">
    <cfRule type="expression" dxfId="440" priority="33">
      <formula>ABS(L$25-L$28)&gt;=1000</formula>
    </cfRule>
  </conditionalFormatting>
  <conditionalFormatting sqref="M22:M29">
    <cfRule type="expression" dxfId="439" priority="32">
      <formula>ABS(M$25-M$28)&gt;=1000</formula>
    </cfRule>
  </conditionalFormatting>
  <conditionalFormatting sqref="N22:N29">
    <cfRule type="expression" dxfId="438" priority="31">
      <formula>ABS(N$25-N$28)&gt;=1000</formula>
    </cfRule>
  </conditionalFormatting>
  <conditionalFormatting sqref="O22:O29">
    <cfRule type="expression" dxfId="437" priority="30">
      <formula>ABS(O$25-O$28)&gt;=1000</formula>
    </cfRule>
  </conditionalFormatting>
  <conditionalFormatting sqref="P22:P29">
    <cfRule type="expression" dxfId="436" priority="29">
      <formula>ABS(P$25-P$28)&gt;=1000</formula>
    </cfRule>
  </conditionalFormatting>
  <conditionalFormatting sqref="Q22:Q29">
    <cfRule type="expression" dxfId="435" priority="28">
      <formula>ABS(Q$25-Q$28)&gt;=1000</formula>
    </cfRule>
  </conditionalFormatting>
  <conditionalFormatting sqref="R22:R29">
    <cfRule type="expression" dxfId="434" priority="27">
      <formula>ABS(R$25-R$28)&gt;=1000</formula>
    </cfRule>
  </conditionalFormatting>
  <conditionalFormatting sqref="S22:S29">
    <cfRule type="expression" dxfId="433" priority="26">
      <formula>ABS(S$25-S$28)&gt;=1000</formula>
    </cfRule>
  </conditionalFormatting>
  <conditionalFormatting sqref="T22:T29">
    <cfRule type="expression" dxfId="432" priority="25">
      <formula>ABS(T$25-T$28)&gt;=1000</formula>
    </cfRule>
  </conditionalFormatting>
  <conditionalFormatting sqref="U22:U29">
    <cfRule type="expression" dxfId="431" priority="24">
      <formula>ABS(U$25-U$28)&gt;=1000</formula>
    </cfRule>
  </conditionalFormatting>
  <conditionalFormatting sqref="V22:V29">
    <cfRule type="expression" dxfId="430" priority="23">
      <formula>ABS(V$25-V$28)&gt;=1000</formula>
    </cfRule>
  </conditionalFormatting>
  <conditionalFormatting sqref="W22:W29">
    <cfRule type="expression" dxfId="429" priority="22">
      <formula>ABS(W$25-W$28)&gt;=1000</formula>
    </cfRule>
  </conditionalFormatting>
  <conditionalFormatting sqref="X22:X29">
    <cfRule type="expression" dxfId="428" priority="21">
      <formula>ABS(X$25-X$28)&gt;=1000</formula>
    </cfRule>
  </conditionalFormatting>
  <conditionalFormatting sqref="Y22:Y29">
    <cfRule type="expression" dxfId="427" priority="20">
      <formula>ABS(Y$25-Y$28)&gt;=1000</formula>
    </cfRule>
  </conditionalFormatting>
  <conditionalFormatting sqref="I23">
    <cfRule type="expression" dxfId="426" priority="19">
      <formula>ABS(I$25-I$28)&gt;=1000</formula>
    </cfRule>
  </conditionalFormatting>
  <conditionalFormatting sqref="F14">
    <cfRule type="expression" dxfId="425" priority="18">
      <formula>ABS(F$16-F$19)&gt;=1000</formula>
    </cfRule>
  </conditionalFormatting>
  <conditionalFormatting sqref="Q14">
    <cfRule type="expression" dxfId="424" priority="17">
      <formula>ABS(Q$16-Q$19)&gt;=1000</formula>
    </cfRule>
  </conditionalFormatting>
  <conditionalFormatting sqref="W14">
    <cfRule type="expression" dxfId="423" priority="16">
      <formula>ABS(W$16-W$19)&gt;=1000</formula>
    </cfRule>
  </conditionalFormatting>
  <conditionalFormatting sqref="Y14">
    <cfRule type="expression" dxfId="422" priority="15">
      <formula>ABS(Y$16-Y$19)&gt;=1000</formula>
    </cfRule>
  </conditionalFormatting>
  <conditionalFormatting sqref="X14">
    <cfRule type="expression" dxfId="421" priority="14">
      <formula>ABS(X$16-X$19)&gt;=1000</formula>
    </cfRule>
  </conditionalFormatting>
  <conditionalFormatting sqref="T10:Y10">
    <cfRule type="expression" dxfId="420" priority="13">
      <formula>ABS(T$7-T$10)&gt;=1000</formula>
    </cfRule>
  </conditionalFormatting>
  <conditionalFormatting sqref="W19">
    <cfRule type="expression" dxfId="419" priority="12">
      <formula>ABS(W$16-W$19)&gt;=1000</formula>
    </cfRule>
  </conditionalFormatting>
  <conditionalFormatting sqref="AC5">
    <cfRule type="expression" dxfId="418" priority="11">
      <formula>ABS(AC$7-AC$10)&gt;=1000</formula>
    </cfRule>
  </conditionalFormatting>
  <conditionalFormatting sqref="M14">
    <cfRule type="expression" dxfId="417" priority="10">
      <formula>ABS(M$16-M$19)&gt;=1000</formula>
    </cfRule>
  </conditionalFormatting>
  <conditionalFormatting sqref="M16">
    <cfRule type="expression" dxfId="416" priority="9">
      <formula>ABS(M$16-M$19)&gt;=1000</formula>
    </cfRule>
  </conditionalFormatting>
  <conditionalFormatting sqref="M19">
    <cfRule type="expression" dxfId="415" priority="8">
      <formula>ABS(M$16-M$19)&gt;=1000</formula>
    </cfRule>
  </conditionalFormatting>
  <conditionalFormatting sqref="K13:K20">
    <cfRule type="expression" dxfId="414" priority="7">
      <formula>ABS(K$16-K$19)&gt;=1000</formula>
    </cfRule>
  </conditionalFormatting>
  <conditionalFormatting sqref="E5">
    <cfRule type="expression" dxfId="413" priority="6">
      <formula>ABS(E$7-E$10)&gt;=1000</formula>
    </cfRule>
  </conditionalFormatting>
  <conditionalFormatting sqref="AB14:AC14">
    <cfRule type="expression" dxfId="412" priority="5">
      <formula>ABS(AB$16-AB$19)&gt;=1000</formula>
    </cfRule>
  </conditionalFormatting>
  <conditionalFormatting sqref="M5">
    <cfRule type="expression" dxfId="411" priority="4">
      <formula>ABS(M$7-M$10)&gt;=1000</formula>
    </cfRule>
  </conditionalFormatting>
  <conditionalFormatting sqref="N5">
    <cfRule type="expression" dxfId="410" priority="3">
      <formula>ABS(N$7-N$10)&gt;=1000</formula>
    </cfRule>
  </conditionalFormatting>
  <conditionalFormatting sqref="O5">
    <cfRule type="expression" dxfId="409" priority="2">
      <formula>ABS(O$7-O$10)&gt;=1000</formula>
    </cfRule>
  </conditionalFormatting>
  <conditionalFormatting sqref="P5">
    <cfRule type="expression" dxfId="408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0844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81">
    <pageSetUpPr fitToPage="1"/>
  </sheetPr>
  <dimension ref="A1:CU223"/>
  <sheetViews>
    <sheetView view="pageBreakPreview" topLeftCell="A9" zoomScale="70" zoomScaleNormal="100" zoomScaleSheetLayoutView="70" workbookViewId="0">
      <selection activeCell="W15" sqref="W15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08" t="s" ph="1">
        <v>192</v>
      </c>
      <c r="C1" s="208" ph="1"/>
      <c r="D1" s="208" ph="1"/>
      <c r="E1" s="208" ph="1"/>
      <c r="F1" s="208" ph="1"/>
      <c r="G1" s="208" ph="1"/>
      <c r="H1" s="208" ph="1"/>
      <c r="I1" s="208" ph="1"/>
      <c r="J1" s="208" ph="1"/>
      <c r="K1" s="208" ph="1"/>
      <c r="L1" s="208" ph="1"/>
      <c r="M1" s="208" ph="1"/>
      <c r="N1" s="208" ph="1"/>
      <c r="O1" s="208" ph="1"/>
      <c r="P1" s="208" ph="1"/>
      <c r="Q1" s="208" ph="1"/>
      <c r="R1" s="208" ph="1"/>
      <c r="S1" s="208" ph="1"/>
      <c r="T1" s="208" ph="1"/>
      <c r="U1" s="208" ph="1"/>
      <c r="V1" s="208" ph="1"/>
      <c r="W1" s="208" ph="1"/>
      <c r="X1" s="208" ph="1"/>
      <c r="Y1" s="208" ph="1"/>
      <c r="Z1" s="208" ph="1"/>
      <c r="AA1" s="208" ph="1"/>
      <c r="AB1" s="208" ph="1"/>
      <c r="AC1" s="208" ph="1"/>
      <c r="AD1" s="208" ph="1"/>
      <c r="AE1" s="208" ph="1"/>
    </row>
    <row r="2" spans="1:99" s="66" customFormat="1" ht="24" customHeight="1" ph="1">
      <c r="B2" s="209" t="s" ph="1">
        <v>99</v>
      </c>
      <c r="C2" s="209" ph="1"/>
      <c r="D2" s="209" ph="1"/>
      <c r="E2" s="209" ph="1"/>
      <c r="F2" s="209" ph="1"/>
      <c r="G2" s="209" ph="1"/>
      <c r="H2" s="209" ph="1"/>
      <c r="I2" s="209" ph="1"/>
      <c r="J2" s="209" ph="1"/>
      <c r="K2" s="209" ph="1"/>
      <c r="L2" s="209" ph="1"/>
      <c r="M2" s="209" ph="1"/>
      <c r="N2" s="209" ph="1"/>
      <c r="O2" s="209" ph="1"/>
      <c r="P2" s="209" ph="1"/>
      <c r="Q2" s="209" ph="1"/>
      <c r="R2" s="209" ph="1"/>
      <c r="S2" s="209" ph="1"/>
      <c r="T2" s="209" ph="1"/>
      <c r="U2" s="209" ph="1"/>
      <c r="V2" s="209" ph="1"/>
      <c r="W2" s="209" ph="1"/>
      <c r="X2" s="209" ph="1"/>
      <c r="Y2" s="209" ph="1"/>
      <c r="Z2" s="209" ph="1"/>
      <c r="AA2" s="209" ph="1"/>
      <c r="AB2" s="209" ph="1"/>
      <c r="AC2" s="209" ph="1"/>
      <c r="AD2" s="209" ph="1"/>
      <c r="AE2" s="209" ph="1"/>
    </row>
    <row r="3" spans="1:99" ht="21" customHeight="1" ph="1">
      <c r="B3" s="210" ph="1">
        <v>45713</v>
      </c>
      <c r="C3" s="210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210"/>
      <c r="R3" s="210"/>
      <c r="S3" s="210"/>
      <c r="T3" s="210"/>
      <c r="U3" s="210"/>
      <c r="V3" s="210"/>
      <c r="W3" s="210"/>
      <c r="X3" s="210"/>
      <c r="Y3" s="210"/>
      <c r="Z3" s="210"/>
      <c r="AA3" s="210"/>
      <c r="AB3" s="210"/>
      <c r="AC3" s="210"/>
      <c r="AD3" s="210"/>
      <c r="AE3" s="210"/>
    </row>
    <row r="4" spans="1:99" s="69" customFormat="1" ph="1">
      <c r="A4" s="65" ph="1"/>
      <c r="B4" s="211" t="s" ph="1">
        <v>37</v>
      </c>
      <c r="C4" s="67" t="s" ph="1">
        <v>207</v>
      </c>
      <c r="D4" s="68" t="s" ph="1">
        <v>45</v>
      </c>
      <c r="E4" s="68" t="s" ph="1">
        <v>46</v>
      </c>
      <c r="F4" s="68" t="s" ph="1">
        <v>39</v>
      </c>
      <c r="G4" s="68" t="s" ph="1">
        <v>47</v>
      </c>
      <c r="H4" s="68" t="s" ph="1">
        <v>48</v>
      </c>
      <c r="I4" s="68" t="s" ph="1">
        <v>132</v>
      </c>
      <c r="J4" s="68" t="s" ph="1">
        <v>49</v>
      </c>
      <c r="K4" s="68" t="s" ph="1">
        <v>133</v>
      </c>
      <c r="L4" s="68" t="s" ph="1">
        <v>134</v>
      </c>
      <c r="M4" s="68" t="s" ph="1">
        <v>50</v>
      </c>
      <c r="N4" s="68" t="s" ph="1">
        <v>51</v>
      </c>
      <c r="O4" s="68" t="s" ph="1">
        <v>136</v>
      </c>
      <c r="P4" s="68" t="s" ph="1">
        <v>138</v>
      </c>
      <c r="Q4" s="68" t="s" ph="1">
        <v>139</v>
      </c>
      <c r="R4" s="68" t="s" ph="1">
        <v>140</v>
      </c>
      <c r="S4" s="68" t="s" ph="1">
        <v>141</v>
      </c>
      <c r="T4" s="68" t="s" ph="1">
        <v>142</v>
      </c>
      <c r="U4" s="68" t="s" ph="1">
        <v>143</v>
      </c>
      <c r="V4" s="68" t="s" ph="1">
        <v>144</v>
      </c>
      <c r="W4" s="68" t="s" ph="1">
        <v>145</v>
      </c>
      <c r="X4" s="68" t="s" ph="1">
        <v>146</v>
      </c>
      <c r="Y4" s="68" t="s" ph="1">
        <v>147</v>
      </c>
      <c r="Z4" s="68" t="s" ph="1">
        <v>52</v>
      </c>
      <c r="AA4" s="68" t="s" ph="1">
        <v>148</v>
      </c>
      <c r="AB4" s="68" t="s" ph="1">
        <v>149</v>
      </c>
      <c r="AC4" s="68" t="s" ph="1">
        <v>150</v>
      </c>
      <c r="AD4" s="68" t="s" ph="1">
        <v>40</v>
      </c>
      <c r="AE4" s="68" t="s" ph="1">
        <v>151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1" ph="1"/>
      <c r="C5" s="67" t="s" ph="1">
        <v>36</v>
      </c>
      <c r="D5" s="70" t="s" ph="1">
        <v>191</v>
      </c>
      <c r="E5" s="70" t="s" ph="1">
        <v>7</v>
      </c>
      <c r="F5" s="70" t="s" ph="1">
        <v>1</v>
      </c>
      <c r="G5" s="70" t="s" ph="1">
        <v>7</v>
      </c>
      <c r="H5" s="70" t="s" ph="1">
        <v>7</v>
      </c>
      <c r="I5" s="70" t="s" ph="1">
        <v>657</v>
      </c>
      <c r="J5" s="70" t="s" ph="1">
        <v>658</v>
      </c>
      <c r="K5" s="70" t="s" ph="1">
        <v>660</v>
      </c>
      <c r="L5" s="70" t="s" ph="1">
        <v>662</v>
      </c>
      <c r="M5" s="70" t="s" ph="1">
        <v>657</v>
      </c>
      <c r="N5" s="70" t="s" ph="1">
        <v>658</v>
      </c>
      <c r="O5" s="70" t="s" ph="1">
        <v>660</v>
      </c>
      <c r="P5" s="70" t="s" ph="1">
        <v>662</v>
      </c>
      <c r="Q5" s="70" t="s" ph="1">
        <v>656</v>
      </c>
      <c r="R5" s="70" t="s" ph="1">
        <v>656</v>
      </c>
      <c r="S5" s="70" t="s" ph="1">
        <v>656</v>
      </c>
      <c r="T5" s="70" t="s" ph="1">
        <v>656</v>
      </c>
      <c r="U5" s="70" t="s" ph="1">
        <v>656</v>
      </c>
      <c r="V5" s="70" t="s" ph="1">
        <v>656</v>
      </c>
      <c r="W5" s="70" t="s" ph="1">
        <v>656</v>
      </c>
      <c r="X5" s="70" t="s" ph="1">
        <v>656</v>
      </c>
      <c r="Y5" s="70" t="s" ph="1">
        <v>656</v>
      </c>
      <c r="Z5" s="70" t="s" ph="1">
        <v>663</v>
      </c>
      <c r="AA5" s="70" t="s" ph="1">
        <v>62</v>
      </c>
      <c r="AB5" s="70" t="s" ph="1">
        <v>62</v>
      </c>
      <c r="AC5" s="70" t="s" ph="1">
        <v>664</v>
      </c>
      <c r="AD5" s="70" t="s" ph="1">
        <v>83</v>
      </c>
      <c r="AE5" s="70" t="s" ph="1">
        <v>654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07" ph="1">
        <v>0.33333333333333331</v>
      </c>
      <c r="C6" s="180" t="s" ph="1">
        <v>208</v>
      </c>
      <c r="D6" s="71">
        <v>5465</v>
      </c>
      <c r="E6" s="71">
        <v>0</v>
      </c>
      <c r="F6" s="71">
        <v>6810</v>
      </c>
      <c r="G6" s="71">
        <v>6944</v>
      </c>
      <c r="H6" s="71">
        <v>3593</v>
      </c>
      <c r="I6" s="71">
        <v>27.11</v>
      </c>
      <c r="J6" s="71">
        <v>7.81</v>
      </c>
      <c r="K6" s="71">
        <v>86.81</v>
      </c>
      <c r="L6" s="71">
        <v>38.11</v>
      </c>
      <c r="M6" s="71">
        <v>3960</v>
      </c>
      <c r="N6" s="71">
        <v>4534</v>
      </c>
      <c r="O6" s="71">
        <v>4177</v>
      </c>
      <c r="P6" s="71">
        <v>3990</v>
      </c>
      <c r="Q6" s="71">
        <v>2303</v>
      </c>
      <c r="R6" s="71">
        <v>0</v>
      </c>
      <c r="S6" s="71">
        <v>0</v>
      </c>
      <c r="T6" s="71">
        <v>0</v>
      </c>
      <c r="U6" s="71">
        <v>0</v>
      </c>
      <c r="V6" s="71">
        <v>0</v>
      </c>
      <c r="W6" s="71">
        <v>0</v>
      </c>
      <c r="X6" s="71">
        <v>1768</v>
      </c>
      <c r="Y6" s="71">
        <v>2968</v>
      </c>
      <c r="Z6" s="71">
        <v>2978</v>
      </c>
      <c r="AA6" s="71">
        <v>1628</v>
      </c>
      <c r="AB6" s="71">
        <v>2454</v>
      </c>
      <c r="AC6" s="71">
        <v>4890</v>
      </c>
      <c r="AD6" s="71">
        <v>1076</v>
      </c>
      <c r="AE6" s="71">
        <v>2551</v>
      </c>
    </row>
    <row r="7" spans="1:99" s="72" customFormat="1" ht="22.5" ph="1">
      <c r="B7" s="207" ph="1"/>
      <c r="C7" s="68" t="s" ph="1">
        <v>209</v>
      </c>
      <c r="D7" s="73" ph="1">
        <f>D6*33.183*LOOKUP(D8,密度!$A$2:$A$50,密度!$Q$2:$Q$50)</f>
        <v>172642.34389095</v>
      </c>
      <c r="E7" s="73" ph="1">
        <f>E6*51.53*LOOKUP(E8,密度!$A$2:$A$50,密度!$I$2:$I$50)</f>
        <v>0</v>
      </c>
      <c r="F7" s="73" ph="1">
        <f>F6*33.183*LOOKUP(F8,密度!$A$2:$A$50,密度!$C$2:$C$50)</f>
        <v>252144.27743399999</v>
      </c>
      <c r="G7" s="73" ph="1">
        <f xml:space="preserve"> (G6+2)*51.53*LOOKUP(G8,密度!$A$2:$A$50,密度!$B$2:$B$50)</f>
        <v>282046.77544</v>
      </c>
      <c r="H7" s="73" ph="1">
        <f>(H6)*51.53*LOOKUP(H8,密度!$A$2:$A$50,密度!$B$2:$B$50)</f>
        <v>147006.94826</v>
      </c>
      <c r="I7" s="73" ph="1">
        <f>I6*290.8*1.0267</f>
        <v>8094.0797995999992</v>
      </c>
      <c r="J7" s="73" ph="1">
        <f>J6*290.8*0.7892</f>
        <v>1792.3900016000002</v>
      </c>
      <c r="K7" s="73" ph="1">
        <f>K6*290.8*1.1126</f>
        <v>28086.861584800004</v>
      </c>
      <c r="L7" s="73" ph="1">
        <f>L6*290.8*0.777</f>
        <v>8611.0154760000005</v>
      </c>
      <c r="M7" s="73" ph="1">
        <f>M6*33.183*LOOKUP(M8,密度!$A$2:$A$50,密度!$D$2:$D$50)</f>
        <v>136200.95082</v>
      </c>
      <c r="N7" s="73" ph="1">
        <f>N6*33.183*LOOKUP(N8,密度!$A$2:$A$50,密度!$E$2:$E$50)</f>
        <v>119398.48657920001</v>
      </c>
      <c r="O7" s="73" ph="1">
        <f>O6*20.428*LOOKUP(O8,密度!$A$2:$A$50,密度!$C$2:$C$50)</f>
        <v>95208.710144800003</v>
      </c>
      <c r="P7" s="73" ph="1">
        <f>P6*51.53*LOOKUP(P8,密度!$A$2:$A$50,密度!$B$2:$B$50)</f>
        <v>162016.50360000003</v>
      </c>
      <c r="Q7" s="73" ph="1">
        <f>Q6*1.5*1.5*3.1416*LOOKUP(W8,密度!$A$2:$A$50,密度!$L$2:$L$50)</f>
        <v>15416.199552599999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11959.901553599999</v>
      </c>
      <c r="Y7" s="73" ph="1">
        <f>Y6*1.5*1.5*3.1416*LOOKUP(Y8,密度!$A$2:$A$50,密度!$L$2:$L$50)</f>
        <v>19867.6857456</v>
      </c>
      <c r="Z7" s="73" ph="1">
        <f>Z6*33.183*LOOKUP(Z8,密度!$A$2:$A$50,密度!$L$2:$L$50)</f>
        <v>93482.749404000002</v>
      </c>
      <c r="AA7" s="73" ph="1">
        <f>AA6*33.183*LOOKUP(AA8,密度!$A$2:$A$50,密度!$D$2:$D$50)</f>
        <v>55945.104494400002</v>
      </c>
      <c r="AB7" s="73" ph="1">
        <f>AB6*20.428*LOOKUP(AB8,密度!$A$2:$A$50,密度!$D$2:$D$50)</f>
        <v>52361.110884000002</v>
      </c>
      <c r="AC7" s="73" ph="1">
        <f>AC6*51.53*LOOKUP(AC8,密度!$A$2:$A$50,密度!$Q$2:$Q$50)</f>
        <v>240526.61191800004</v>
      </c>
      <c r="AD7" s="73" ph="1">
        <f>AD6*20.428*LOOKUP(AD8,密度!$A$2:$A$50,密度!$V$2:$V$50)</f>
        <v>21189.228992</v>
      </c>
      <c r="AE7" s="73" ph="1">
        <f>AE6*20.428</f>
        <v>52111.828000000001</v>
      </c>
    </row>
    <row r="8" spans="1:99" ph="1">
      <c r="B8" s="207" ph="1"/>
      <c r="C8" s="68" t="s" ph="1">
        <v>210</v>
      </c>
      <c r="D8" s="74">
        <v>18</v>
      </c>
      <c r="E8" s="74">
        <v>12</v>
      </c>
      <c r="F8" s="74">
        <v>15</v>
      </c>
      <c r="G8" s="74">
        <v>15</v>
      </c>
      <c r="H8" s="74">
        <v>8</v>
      </c>
      <c r="I8" s="74">
        <v>25</v>
      </c>
      <c r="J8" s="74">
        <v>25</v>
      </c>
      <c r="K8" s="74">
        <v>25</v>
      </c>
      <c r="L8" s="74">
        <v>25</v>
      </c>
      <c r="M8" s="74">
        <v>14</v>
      </c>
      <c r="N8" s="74">
        <v>16</v>
      </c>
      <c r="O8" s="74">
        <v>15</v>
      </c>
      <c r="P8" s="74">
        <v>15</v>
      </c>
      <c r="Q8" s="74">
        <v>14</v>
      </c>
      <c r="R8" s="74">
        <v>20</v>
      </c>
      <c r="S8" s="74">
        <v>8</v>
      </c>
      <c r="T8" s="74">
        <v>9</v>
      </c>
      <c r="U8" s="74">
        <v>14</v>
      </c>
      <c r="V8" s="74">
        <v>19</v>
      </c>
      <c r="W8" s="74">
        <v>15</v>
      </c>
      <c r="X8" s="74">
        <v>5</v>
      </c>
      <c r="Y8" s="74">
        <v>15</v>
      </c>
      <c r="Z8" s="74">
        <v>16</v>
      </c>
      <c r="AA8" s="74">
        <v>15</v>
      </c>
      <c r="AB8" s="74">
        <v>5</v>
      </c>
      <c r="AC8" s="74">
        <v>12</v>
      </c>
      <c r="AD8" s="74">
        <v>15</v>
      </c>
      <c r="AE8" s="74">
        <v>15</v>
      </c>
    </row>
    <row r="9" spans="1:99" ph="1">
      <c r="B9" s="207" ph="1">
        <v>0.66666666666666663</v>
      </c>
      <c r="C9" s="180" t="s" ph="1">
        <v>211</v>
      </c>
      <c r="D9" s="71">
        <v>4662</v>
      </c>
      <c r="E9" s="71">
        <v>0</v>
      </c>
      <c r="F9" s="71">
        <v>6810</v>
      </c>
      <c r="G9" s="71">
        <v>6699</v>
      </c>
      <c r="H9" s="71">
        <v>3737</v>
      </c>
      <c r="I9" s="71">
        <v>27.11</v>
      </c>
      <c r="J9" s="71">
        <v>7.81</v>
      </c>
      <c r="K9" s="71">
        <v>87.11</v>
      </c>
      <c r="L9" s="71">
        <v>33.409999999999997</v>
      </c>
      <c r="M9" s="71">
        <v>3960</v>
      </c>
      <c r="N9" s="71">
        <v>4538</v>
      </c>
      <c r="O9" s="71">
        <v>3194</v>
      </c>
      <c r="P9" s="71">
        <v>3714</v>
      </c>
      <c r="Q9" s="71">
        <v>2301</v>
      </c>
      <c r="R9" s="71">
        <v>0</v>
      </c>
      <c r="S9" s="71">
        <v>0</v>
      </c>
      <c r="T9" s="71">
        <v>0</v>
      </c>
      <c r="U9" s="71">
        <v>0</v>
      </c>
      <c r="V9" s="71">
        <v>0</v>
      </c>
      <c r="W9" s="71">
        <v>0</v>
      </c>
      <c r="X9" s="71">
        <v>0</v>
      </c>
      <c r="Y9" s="71">
        <v>4111</v>
      </c>
      <c r="Z9" s="71">
        <v>3667</v>
      </c>
      <c r="AA9" s="71">
        <v>1624</v>
      </c>
      <c r="AB9" s="71">
        <v>2454</v>
      </c>
      <c r="AC9" s="71">
        <v>4888</v>
      </c>
      <c r="AD9" s="71">
        <v>102</v>
      </c>
      <c r="AE9" s="71">
        <v>2278</v>
      </c>
    </row>
    <row r="10" spans="1:99" s="72" customFormat="1" ht="22.5" ph="1">
      <c r="B10" s="207" ph="1"/>
      <c r="C10" s="180" t="s" ph="1">
        <v>209</v>
      </c>
      <c r="D10" s="73" ph="1">
        <f>D9*33.183*LOOKUP(D11,密度!$A$2:$A$50,密度!$Q$2:$Q$50)</f>
        <v>147275.13398346002</v>
      </c>
      <c r="E10" s="73" ph="1">
        <f>E9*51.53*LOOKUP(E11,密度!$A$2:$A$50,密度!$I$2:$I$50)</f>
        <v>0</v>
      </c>
      <c r="F10" s="73" ph="1">
        <f>F9*33.183*LOOKUP(F11,密度!$A$2:$A$50,密度!$C$2:$C$50)</f>
        <v>252008.69169599999</v>
      </c>
      <c r="G10" s="73" ph="1">
        <f xml:space="preserve"> (G9+2)*51.53*LOOKUP(G11,密度!$A$2:$A$50,密度!$B$2:$B$50)</f>
        <v>271822.15161600005</v>
      </c>
      <c r="H10" s="73" ph="1">
        <f>(H9)*51.53*LOOKUP(H11,密度!$A$2:$A$50,密度!$B$2:$B$50)</f>
        <v>152398.00655400002</v>
      </c>
      <c r="I10" s="73" ph="1">
        <f>I9*290.8*1.0267</f>
        <v>8094.0797995999992</v>
      </c>
      <c r="J10" s="73" ph="1">
        <f>J9*290.8*0.7892</f>
        <v>1792.3900016000002</v>
      </c>
      <c r="K10" s="73" ph="1">
        <f>K9*290.8*1.1126</f>
        <v>28183.924808800002</v>
      </c>
      <c r="L10" s="73" ph="1">
        <f>L9*290.8*0.777</f>
        <v>7549.0429559999993</v>
      </c>
      <c r="M10" s="73" ph="1">
        <f>M9*33.183*LOOKUP(M11,密度!$A$2:$A$50,密度!$D$2:$D$50)</f>
        <v>135977.56286399998</v>
      </c>
      <c r="N10" s="73" ph="1">
        <f>N9*33.183*LOOKUP(N11,密度!$A$2:$A$50,密度!$E$2:$E$50)</f>
        <v>119503.82269439999</v>
      </c>
      <c r="O10" s="73" ph="1">
        <f>O9*20.428*LOOKUP(O11,密度!$A$2:$A$50,密度!$C$2:$C$50)</f>
        <v>72450.304332800006</v>
      </c>
      <c r="P10" s="73" ph="1">
        <f>P9*51.53*LOOKUP(P11,密度!$A$2:$A$50,密度!$B$2:$B$50)</f>
        <v>150503.13508800001</v>
      </c>
      <c r="Q10" s="73" ph="1">
        <f>Q9*1.5*1.5*3.1416*LOOKUP(W11,密度!$A$2:$A$50,密度!$L$2:$L$50)</f>
        <v>15207.633441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27460.768796999997</v>
      </c>
      <c r="Z10" s="73" ph="1">
        <f>Z9*33.183*LOOKUP(Z11,密度!$A$2:$A$50,密度!$L$2:$L$50)</f>
        <v>114989.547645</v>
      </c>
      <c r="AA10" s="73" ph="1">
        <f>AA9*33.183*LOOKUP(AA11,密度!$A$2:$A$50,密度!$D$2:$D$50)</f>
        <v>55716.035608800004</v>
      </c>
      <c r="AB10" s="73" ph="1">
        <f>AB9*20.428*LOOKUP(AB11,密度!$A$2:$A$50,密度!$D$2:$D$50)</f>
        <v>52270.876322400007</v>
      </c>
      <c r="AC10" s="73" ph="1">
        <f>AC9*51.53*LOOKUP(AC11,密度!$A$2:$A$50,密度!$Q$2:$Q$50)</f>
        <v>239989.968192</v>
      </c>
      <c r="AD10" s="73" ph="1">
        <f>AD9*20.428*LOOKUP(AD11,密度!$A$2:$A$50,密度!$V$2:$V$50)</f>
        <v>2008.6443839999999</v>
      </c>
      <c r="AE10" s="73" ph="1">
        <f>AE9*20.428</f>
        <v>46534.984000000004</v>
      </c>
    </row>
    <row r="11" spans="1:99" ph="1">
      <c r="A11" s="64" t="s" ph="1">
        <v>193</v>
      </c>
      <c r="B11" s="207" ph="1"/>
      <c r="C11" s="180" t="s" ph="1">
        <v>210</v>
      </c>
      <c r="D11" s="74">
        <v>18</v>
      </c>
      <c r="E11" s="74">
        <v>18</v>
      </c>
      <c r="F11" s="74">
        <v>16</v>
      </c>
      <c r="G11" s="74">
        <v>16</v>
      </c>
      <c r="H11" s="74">
        <v>11</v>
      </c>
      <c r="I11" s="74">
        <v>25</v>
      </c>
      <c r="J11" s="74">
        <v>25</v>
      </c>
      <c r="K11" s="74">
        <v>25</v>
      </c>
      <c r="L11" s="74">
        <v>25</v>
      </c>
      <c r="M11" s="74">
        <v>16</v>
      </c>
      <c r="N11" s="74">
        <v>16</v>
      </c>
      <c r="O11" s="74">
        <v>23</v>
      </c>
      <c r="P11" s="74">
        <v>17</v>
      </c>
      <c r="Q11" s="74">
        <v>16</v>
      </c>
      <c r="R11" s="74">
        <v>24</v>
      </c>
      <c r="S11" s="74">
        <v>13</v>
      </c>
      <c r="T11" s="74">
        <v>19</v>
      </c>
      <c r="U11" s="74">
        <v>17</v>
      </c>
      <c r="V11" s="74">
        <v>25</v>
      </c>
      <c r="W11" s="74">
        <v>27</v>
      </c>
      <c r="X11" s="74">
        <v>18</v>
      </c>
      <c r="Y11" s="74">
        <v>17</v>
      </c>
      <c r="Z11" s="74">
        <v>17</v>
      </c>
      <c r="AA11" s="74">
        <v>17</v>
      </c>
      <c r="AB11" s="74">
        <v>7</v>
      </c>
      <c r="AC11" s="74">
        <v>17</v>
      </c>
      <c r="AD11" s="74">
        <v>20</v>
      </c>
      <c r="AE11" s="74">
        <v>18</v>
      </c>
    </row>
    <row r="12" spans="1:99" ht="9.9499999999999993" customHeight="1" ph="1"/>
    <row r="13" spans="1:99" s="72" customFormat="1" ht="29.25" customHeight="1" ph="1">
      <c r="B13" s="215" t="s" ph="1">
        <v>37</v>
      </c>
      <c r="C13" s="180" t="s" ph="1">
        <v>207</v>
      </c>
      <c r="D13" s="76" t="s" ph="1">
        <v>53</v>
      </c>
      <c r="E13" s="76" t="s" ph="1">
        <v>54</v>
      </c>
      <c r="F13" s="76" t="s" ph="1">
        <v>66</v>
      </c>
      <c r="G13" s="76" t="s" ph="1">
        <v>67</v>
      </c>
      <c r="H13" s="76" t="s" ph="1">
        <v>152</v>
      </c>
      <c r="I13" s="76" t="s" ph="1">
        <v>68</v>
      </c>
      <c r="J13" s="76" t="s" ph="1">
        <v>153</v>
      </c>
      <c r="K13" s="76" t="s" ph="1">
        <v>63</v>
      </c>
      <c r="L13" s="76" t="s" ph="1">
        <v>69</v>
      </c>
      <c r="M13" s="76" t="s" ph="1">
        <v>70</v>
      </c>
      <c r="N13" s="76" t="s" ph="1">
        <v>154</v>
      </c>
      <c r="O13" s="76" t="s" ph="1">
        <v>64</v>
      </c>
      <c r="P13" s="76" t="s" ph="1">
        <v>71</v>
      </c>
      <c r="Q13" s="76" t="s" ph="1">
        <v>72</v>
      </c>
      <c r="R13" s="76" t="s" ph="1">
        <v>73</v>
      </c>
      <c r="S13" s="76" t="s" ph="1">
        <v>74</v>
      </c>
      <c r="T13" s="76" t="s" ph="1">
        <v>75</v>
      </c>
      <c r="U13" s="76" t="s" ph="1">
        <v>76</v>
      </c>
      <c r="V13" s="76" t="s" ph="1">
        <v>155</v>
      </c>
      <c r="W13" s="76" t="s" ph="1">
        <v>156</v>
      </c>
      <c r="X13" s="76" t="s" ph="1">
        <v>157</v>
      </c>
      <c r="Y13" s="105" t="s" ph="1">
        <v>77</v>
      </c>
      <c r="Z13" s="76" t="s" ph="1">
        <v>86</v>
      </c>
      <c r="AA13" s="76" t="s" ph="1">
        <v>158</v>
      </c>
      <c r="AB13" s="76" t="s" ph="1">
        <v>159</v>
      </c>
      <c r="AC13" s="76" t="s" ph="1">
        <v>160</v>
      </c>
      <c r="AD13" s="76" t="s" ph="1">
        <v>161</v>
      </c>
      <c r="AE13" s="76" t="s" ph="1">
        <v>162</v>
      </c>
      <c r="AG13" s="72" t="s" ph="1">
        <v>366</v>
      </c>
      <c r="AH13" s="72" t="s" ph="1">
        <v>229</v>
      </c>
      <c r="AI13" s="72" t="s" ph="1">
        <v>230</v>
      </c>
      <c r="AJ13" s="72" t="s" ph="1">
        <v>231</v>
      </c>
      <c r="AK13" s="72" t="s" ph="1">
        <v>232</v>
      </c>
      <c r="AL13" s="72" t="s" ph="1">
        <v>233</v>
      </c>
      <c r="AM13" s="72" t="s" ph="1">
        <v>234</v>
      </c>
      <c r="AN13" s="72" t="s" ph="1">
        <v>235</v>
      </c>
      <c r="AO13" s="72" t="s" ph="1">
        <v>236</v>
      </c>
      <c r="AP13" s="72" t="s" ph="1">
        <v>237</v>
      </c>
      <c r="AQ13" s="72" t="s" ph="1">
        <v>238</v>
      </c>
      <c r="AR13" s="72" t="s" ph="1">
        <v>239</v>
      </c>
      <c r="AS13" s="72" t="s" ph="1">
        <v>240</v>
      </c>
      <c r="AT13" s="72" t="s" ph="1">
        <v>241</v>
      </c>
      <c r="AU13" s="72" t="s" ph="1">
        <v>242</v>
      </c>
      <c r="AV13" s="72" t="s" ph="1">
        <v>243</v>
      </c>
      <c r="AW13" s="72" t="s" ph="1">
        <v>244</v>
      </c>
      <c r="AX13" s="72" t="s" ph="1">
        <v>245</v>
      </c>
      <c r="AY13" s="72" t="s" ph="1">
        <v>367</v>
      </c>
      <c r="AZ13" s="72" t="s" ph="1">
        <v>246</v>
      </c>
      <c r="BA13" s="72" t="s" ph="1">
        <v>247</v>
      </c>
      <c r="BB13" s="72" t="s" ph="1">
        <v>632</v>
      </c>
      <c r="BC13" s="72" t="s" ph="1">
        <v>248</v>
      </c>
      <c r="BD13" s="72" t="s" ph="1">
        <v>368</v>
      </c>
      <c r="BE13" s="72" t="s" ph="1">
        <v>369</v>
      </c>
      <c r="BF13" s="72" t="s" ph="1">
        <v>370</v>
      </c>
      <c r="BG13" s="72" t="s" ph="1">
        <v>371</v>
      </c>
      <c r="BH13" s="72" t="s" ph="1">
        <v>372</v>
      </c>
    </row>
    <row r="14" spans="1:99" s="72" customFormat="1" ht="24" ph="1">
      <c r="B14" s="216" ph="1"/>
      <c r="C14" s="67" t="s" ph="1">
        <v>36</v>
      </c>
      <c r="D14" s="77" t="s" ph="1">
        <v>665</v>
      </c>
      <c r="E14" s="77" t="s" ph="1">
        <v>665</v>
      </c>
      <c r="F14" s="142" t="s" ph="1">
        <v>651</v>
      </c>
      <c r="G14" s="77" t="s" ph="1">
        <v>667</v>
      </c>
      <c r="H14" s="77" t="s" ph="1">
        <v>668</v>
      </c>
      <c r="I14" s="167" t="s" ph="1">
        <v>669</v>
      </c>
      <c r="J14" s="77" t="s" ph="1">
        <v>670</v>
      </c>
      <c r="K14" s="77" t="s" ph="1">
        <v>223</v>
      </c>
      <c r="L14" s="77" t="s" ph="1">
        <v>42</v>
      </c>
      <c r="M14" s="104" t="s" ph="1">
        <v>671</v>
      </c>
      <c r="N14" s="104" t="s" ph="1">
        <v>672</v>
      </c>
      <c r="O14" s="104" t="s" ph="1">
        <v>670</v>
      </c>
      <c r="P14" s="77" t="s" ph="1">
        <v>673</v>
      </c>
      <c r="Q14" s="77" t="s" ph="1">
        <v>673</v>
      </c>
      <c r="R14" s="88" t="s" ph="1">
        <v>674</v>
      </c>
      <c r="S14" s="77" t="s" ph="1">
        <v>81</v>
      </c>
      <c r="T14" s="77" t="s" ph="1">
        <v>676</v>
      </c>
      <c r="U14" s="77" t="s" ph="1">
        <v>652</v>
      </c>
      <c r="V14" s="77" t="s" ph="1">
        <v>127</v>
      </c>
      <c r="W14" s="77" t="s" ph="1">
        <v>673</v>
      </c>
      <c r="X14" s="77" t="s" ph="1">
        <v>678</v>
      </c>
      <c r="Y14" s="141" t="s" ph="1">
        <v>0</v>
      </c>
      <c r="Z14" s="77" t="s" ph="1">
        <v>62</v>
      </c>
      <c r="AA14" s="77" t="s" ph="1">
        <v>662</v>
      </c>
      <c r="AB14" s="77" t="s" ph="1">
        <v>648</v>
      </c>
      <c r="AC14" s="77" t="s" ph="1">
        <v>648</v>
      </c>
      <c r="AD14" s="77" t="s" ph="1">
        <v>661</v>
      </c>
      <c r="AE14" s="77" t="s" ph="1">
        <v>661</v>
      </c>
      <c r="AG14" s="72" t="s" ph="1">
        <v>249</v>
      </c>
      <c r="AI14" s="72" t="s" ph="1">
        <v>250</v>
      </c>
      <c r="AJ14" s="72" t="s" ph="1">
        <v>373</v>
      </c>
      <c r="AK14" s="72" t="s" ph="1">
        <v>251</v>
      </c>
      <c r="AM14" s="72" t="s" ph="1">
        <v>253</v>
      </c>
      <c r="AN14" s="72" t="s" ph="1">
        <v>251</v>
      </c>
      <c r="AO14" s="72" t="s" ph="1">
        <v>252</v>
      </c>
      <c r="AP14" s="72" t="s" ph="1">
        <v>253</v>
      </c>
      <c r="AQ14" s="72" t="s" ph="1">
        <v>251</v>
      </c>
      <c r="AR14" s="72" t="s" ph="1">
        <v>252</v>
      </c>
      <c r="AS14" s="72" t="s" ph="1">
        <v>253</v>
      </c>
      <c r="AT14" s="72" t="s" ph="1">
        <v>251</v>
      </c>
      <c r="AU14" s="72" t="s" ph="1">
        <v>252</v>
      </c>
      <c r="AV14" s="72" t="s" ph="1">
        <v>253</v>
      </c>
      <c r="AW14" s="72" t="s" ph="1">
        <v>251</v>
      </c>
      <c r="AX14" s="72" t="s" ph="1">
        <v>252</v>
      </c>
      <c r="AY14" s="72" t="s" ph="1">
        <v>253</v>
      </c>
      <c r="AZ14" s="72" t="s" ph="1">
        <v>252</v>
      </c>
    </row>
    <row r="15" spans="1:99" ph="1">
      <c r="B15" s="217" ph="1">
        <v>0.33333333333333331</v>
      </c>
      <c r="C15" s="180" t="s" ph="1">
        <v>208</v>
      </c>
      <c r="D15" s="78">
        <v>0</v>
      </c>
      <c r="E15" s="78">
        <v>3373</v>
      </c>
      <c r="F15" s="78">
        <v>5032</v>
      </c>
      <c r="G15" s="78">
        <v>2202</v>
      </c>
      <c r="H15" s="78">
        <v>2863</v>
      </c>
      <c r="I15" s="78">
        <v>4303</v>
      </c>
      <c r="J15" s="78">
        <v>1447</v>
      </c>
      <c r="K15" s="78">
        <v>742</v>
      </c>
      <c r="L15" s="78">
        <v>3896</v>
      </c>
      <c r="M15" s="78">
        <v>3053</v>
      </c>
      <c r="N15" s="78">
        <v>971</v>
      </c>
      <c r="O15" s="78">
        <v>6276</v>
      </c>
      <c r="P15" s="78">
        <v>2404</v>
      </c>
      <c r="Q15" s="78">
        <v>0</v>
      </c>
      <c r="R15" s="78">
        <v>3485</v>
      </c>
      <c r="S15" s="78">
        <v>5604</v>
      </c>
      <c r="T15" s="78">
        <v>1539</v>
      </c>
      <c r="U15" s="78">
        <v>5383</v>
      </c>
      <c r="V15" s="78">
        <v>-1639</v>
      </c>
      <c r="W15" s="78">
        <v>-596</v>
      </c>
      <c r="X15" s="78">
        <v>490</v>
      </c>
      <c r="Y15" s="106">
        <v>-9900</v>
      </c>
      <c r="Z15" s="78">
        <v>0</v>
      </c>
      <c r="AA15" s="78">
        <v>2499</v>
      </c>
      <c r="AB15" s="78" ph="1">
        <v>6839</v>
      </c>
      <c r="AC15" s="78" ph="1">
        <v>6489</v>
      </c>
      <c r="AD15" s="78">
        <v>5.31</v>
      </c>
      <c r="AE15" s="78">
        <v>23.01</v>
      </c>
      <c r="AG15" s="64" t="s" ph="1">
        <v>255</v>
      </c>
      <c r="AH15" s="64" ph="1">
        <v>1</v>
      </c>
      <c r="AI15" s="64" t="s" ph="1">
        <v>374</v>
      </c>
      <c r="AK15" s="64" t="s" ph="1">
        <v>628</v>
      </c>
      <c r="AM15" s="64" t="s" ph="1">
        <v>376</v>
      </c>
      <c r="AZ15" s="64" t="s" ph="1">
        <v>257</v>
      </c>
      <c r="BA15" s="64" ph="1">
        <v>0</v>
      </c>
    </row>
    <row r="16" spans="1:99" s="72" customFormat="1" ht="22.5" ph="1">
      <c r="B16" s="218" ph="1"/>
      <c r="C16" s="180" t="s" ph="1">
        <v>209</v>
      </c>
      <c r="D16" s="73" ph="1">
        <f>D15*7.0686*LOOKUP(D17,密度!$A$2:$A$50,密度!$L$2:$L$50)</f>
        <v>0</v>
      </c>
      <c r="E16" s="73" ph="1">
        <f>E15*7.0686*LOOKUP(E17,密度!$A$2:$A$50,密度!$L$2:$L$50)</f>
        <v>22674.1107978</v>
      </c>
      <c r="F16" s="73" ph="1">
        <f>F15*9.0746*LOOKUP(F17,密度!$A$2:$A$50,密度!$L$2:$L$50)</f>
        <v>43243.227678399999</v>
      </c>
      <c r="G16" s="73" ph="1">
        <f>G15*9.0746*LOOKUP(G17,密度!$A$2:$A$50,密度!$B$2:$B$50)</f>
        <v>15746.028129599999</v>
      </c>
      <c r="H16" s="73" ph="1">
        <f>H15*9.0746*LOOKUP(H17,密度!$A$2:$A$50,密度!$L$2:$L$50)</f>
        <v>24733.5119696</v>
      </c>
      <c r="I16" s="73" ph="1">
        <f>I15*9.0746*LOOKUP(I17,密度!$A$2:$A$50,密度!$U$2:$U$50)</f>
        <v>40141.347906399998</v>
      </c>
      <c r="J16" s="73" ph="1">
        <f>J15*9.0746*LOOKUP(J17,密度!$A$2:$A$50,密度!$L$2:$L$50)</f>
        <v>12369.351320399999</v>
      </c>
      <c r="K16" s="73" ph="1">
        <f>K15*9.0746*LOOKUP(K17,密度!$A$2:$A$50,密度!$C$2:$C$50)</f>
        <v>7523.84886568</v>
      </c>
      <c r="L16" s="73" ph="1">
        <f>L15*9.0746*LOOKUP(L17,密度!$A$2:$A$50,密度!$E$2:$E$50)</f>
        <v>28216.539460960004</v>
      </c>
      <c r="M16" s="73" ph="1">
        <f>M15*9.0746*LOOKUP(M17,密度!$A$2:$A$50,密度!$M$2:$M$50)</f>
        <v>24388.494770140001</v>
      </c>
      <c r="N16" s="73" ph="1">
        <f>N15*9.0746*LOOKUP(N17,密度!$A$2:$A$50,密度!$M$2:$M$50)</f>
        <v>7756.7076389800004</v>
      </c>
      <c r="O16" s="73" ph="1">
        <f>O15*9.0746*LOOKUP(O17,密度!$A$2:$A$50,密度!$G$2:$G$50)</f>
        <v>55129.719532799994</v>
      </c>
      <c r="P16" s="73" ph="1">
        <f ca="1">P15*9.0746*LOOKUP(P17,密度!$A$2:$A$51,密度!$Q$2:$Q$50)</f>
        <v>20823.613116336001</v>
      </c>
      <c r="Q16" s="73" ph="1">
        <f>Q15*9.0746*LOOKUP(Q17,密度!$A$2:$A$50,密度!$Q$2:$Q$50)</f>
        <v>0</v>
      </c>
      <c r="R16" s="73" ph="1">
        <f>MAX(R15*9.0746*LOOKUP(R17,密度!$A$2:$A$50,密度!$B$2:$B$50),0)</f>
        <v>24895.185043199999</v>
      </c>
      <c r="S16" s="73" ph="1">
        <f>S15*9.0746*LOOKUP(S17,密度!$A$2:$A$50,密度!$Q$2:$Q$50)</f>
        <v>48542.232905136007</v>
      </c>
      <c r="T16" s="73" ph="1">
        <f>T15*9.0746*LOOKUP(T17,密度!$A$2:$A$50,密度!$O$2:$O$50)</f>
        <v>13044.0659796</v>
      </c>
      <c r="U16" s="73" ph="1">
        <f>U15*9.0746*LOOKUP(U17,密度!$A$2:$A$50,密度!$H$2:$H$50)</f>
        <v>45365.668630659995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198.19152201600082</v>
      </c>
      <c r="X16" s="73" ph="1">
        <f>MAX(5600*LOOKUP(X17,密度!$A$2:$A$50,密度!$I$2:$I$50)+X15*9.0476*LOOKUP(X17,密度!$A$2:$A$50,密度!$I$2:$I$50),0)</f>
        <v>10389.607335239998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17928.77252124</v>
      </c>
      <c r="AB16" s="73" ph="1">
        <f>AB15*9.0746*LOOKUP(AB17,密度!$A$2:$A$50,密度!$L$2:$L$50)</f>
        <v>58771.946361800001</v>
      </c>
      <c r="AC16" s="73" ph="1">
        <f>AC15*9.0746*LOOKUP(AC17,密度!$A$2:$A$50,密度!$L$2:$L$50)</f>
        <v>55940.825429999997</v>
      </c>
      <c r="AD16" s="73" ph="1">
        <f>AD15*268.68*LOOKUP(AD17,密度!$A$2:$A$50,密度!B2:B50)+IF(AD15&lt;=0,0,1566*LOOKUP(AD17,密度!$A$2:$A$50,密度!B2:B50))</f>
        <v>2333.1017476799998</v>
      </c>
      <c r="AE16" s="73" ph="1">
        <f>AE15*268.68*LOOKUP(AE17,密度!$A$2:$A$50,密度!B2:B50)+IF(AE15&lt;=0,0,1566*LOOKUP(AE17,密度!$A$2:$A$50,密度!B2:B50))</f>
        <v>6040.5955732799994</v>
      </c>
      <c r="AH16" s="72" ph="1">
        <v>2</v>
      </c>
      <c r="AI16" s="72" t="s" ph="1">
        <v>378</v>
      </c>
      <c r="AZ16" s="72" t="s" ph="1">
        <v>257</v>
      </c>
      <c r="BA16" s="72" ph="1">
        <v>0</v>
      </c>
    </row>
    <row r="17" spans="1:57" ph="1">
      <c r="A17" s="64" t="s" ph="1">
        <v>85</v>
      </c>
      <c r="B17" s="219" ph="1"/>
      <c r="C17" s="79" t="s" ph="1">
        <v>210</v>
      </c>
      <c r="D17" s="74">
        <v>11</v>
      </c>
      <c r="E17" s="74">
        <v>11</v>
      </c>
      <c r="F17" s="74">
        <v>15</v>
      </c>
      <c r="G17" s="74">
        <v>15</v>
      </c>
      <c r="H17" s="74">
        <v>10</v>
      </c>
      <c r="I17" s="74">
        <v>13</v>
      </c>
      <c r="J17" s="74">
        <v>20</v>
      </c>
      <c r="K17" s="74">
        <v>13</v>
      </c>
      <c r="L17" s="74">
        <v>13</v>
      </c>
      <c r="M17" s="74">
        <v>16</v>
      </c>
      <c r="N17" s="74">
        <v>12</v>
      </c>
      <c r="O17" s="74">
        <v>18</v>
      </c>
      <c r="P17" s="74">
        <v>15</v>
      </c>
      <c r="Q17" s="74">
        <v>11</v>
      </c>
      <c r="R17" s="74">
        <v>16</v>
      </c>
      <c r="S17" s="74">
        <v>14</v>
      </c>
      <c r="T17" s="74">
        <v>15</v>
      </c>
      <c r="U17" s="74">
        <v>11</v>
      </c>
      <c r="V17" s="74">
        <v>14</v>
      </c>
      <c r="W17" s="74">
        <v>14</v>
      </c>
      <c r="X17" s="74">
        <v>31</v>
      </c>
      <c r="Y17" s="108">
        <v>31</v>
      </c>
      <c r="Z17" s="74">
        <v>13</v>
      </c>
      <c r="AA17" s="74">
        <v>12</v>
      </c>
      <c r="AB17" s="74">
        <v>15</v>
      </c>
      <c r="AC17" s="74">
        <v>12</v>
      </c>
      <c r="AD17" s="74">
        <v>25</v>
      </c>
      <c r="AE17" s="74">
        <v>25</v>
      </c>
      <c r="AH17" s="64" ph="1">
        <v>3</v>
      </c>
      <c r="AI17" s="64" t="s" ph="1">
        <v>379</v>
      </c>
      <c r="AK17" s="64" t="s" ph="1">
        <v>611</v>
      </c>
      <c r="AL17" s="64" ph="1">
        <v>80</v>
      </c>
      <c r="AM17" s="64" t="s" ph="1">
        <v>376</v>
      </c>
      <c r="AZ17" s="64" t="s" ph="1">
        <v>257</v>
      </c>
      <c r="BA17" s="64" ph="1">
        <v>80</v>
      </c>
      <c r="BD17" s="64" t="s" ph="1">
        <v>255</v>
      </c>
      <c r="BE17" s="64" ph="1">
        <v>2270</v>
      </c>
    </row>
    <row r="18" spans="1:57" ph="1">
      <c r="B18" s="217" ph="1">
        <v>0.66666666666666663</v>
      </c>
      <c r="C18" s="79" t="s" ph="1">
        <v>211</v>
      </c>
      <c r="D18" s="71">
        <v>0</v>
      </c>
      <c r="E18" s="71">
        <v>4379</v>
      </c>
      <c r="F18" s="71">
        <v>5034</v>
      </c>
      <c r="G18" s="71">
        <v>2226</v>
      </c>
      <c r="H18" s="71">
        <v>112</v>
      </c>
      <c r="I18" s="71">
        <v>4305</v>
      </c>
      <c r="J18" s="71">
        <v>2048</v>
      </c>
      <c r="K18" s="71">
        <v>741</v>
      </c>
      <c r="L18" s="71">
        <v>3904</v>
      </c>
      <c r="M18" s="71">
        <v>114</v>
      </c>
      <c r="N18" s="71">
        <v>2292</v>
      </c>
      <c r="O18" s="71">
        <v>6280</v>
      </c>
      <c r="P18" s="71">
        <v>4173</v>
      </c>
      <c r="Q18" s="71">
        <v>633</v>
      </c>
      <c r="R18" s="71">
        <v>3489</v>
      </c>
      <c r="S18" s="71">
        <v>5610</v>
      </c>
      <c r="T18" s="71">
        <v>6629</v>
      </c>
      <c r="U18" s="71">
        <v>1770</v>
      </c>
      <c r="V18" s="71">
        <v>-1639</v>
      </c>
      <c r="W18" s="71">
        <v>-597</v>
      </c>
      <c r="X18" s="71">
        <v>370</v>
      </c>
      <c r="Y18" s="109">
        <v>-9900</v>
      </c>
      <c r="Z18" s="71">
        <v>0</v>
      </c>
      <c r="AA18" s="71">
        <v>2500</v>
      </c>
      <c r="AB18" s="71">
        <v>6851</v>
      </c>
      <c r="AC18" s="71">
        <v>6498</v>
      </c>
      <c r="AD18" s="71">
        <v>5.21</v>
      </c>
      <c r="AE18" s="71">
        <v>54.31</v>
      </c>
      <c r="AH18" s="64" ph="1">
        <v>4</v>
      </c>
      <c r="AI18" s="64" t="s" ph="1">
        <v>381</v>
      </c>
      <c r="AJ18" s="64" t="s" ph="1">
        <v>629</v>
      </c>
      <c r="AK18" s="64" t="s" ph="1">
        <v>628</v>
      </c>
      <c r="AL18" s="64" ph="1">
        <v>740</v>
      </c>
      <c r="AM18" s="64" t="s" ph="1">
        <v>380</v>
      </c>
      <c r="AZ18" s="64" t="s" ph="1">
        <v>257</v>
      </c>
      <c r="BA18" s="64" ph="1">
        <v>740</v>
      </c>
    </row>
    <row r="19" spans="1:57" s="72" customFormat="1" ht="22.5" ph="1">
      <c r="B19" s="218" ph="1"/>
      <c r="C19" s="180" t="s" ph="1">
        <v>209</v>
      </c>
      <c r="D19" s="73" ph="1">
        <f>D18*7.0686*LOOKUP(D20,密度!$A$2:$A$50,密度!$L$2:$L$50)</f>
        <v>0</v>
      </c>
      <c r="E19" s="73" ph="1">
        <f>E18*7.0686*LOOKUP(E20,密度!$A$2:$A$50,密度!$L$2:$L$50)</f>
        <v>29158.102234799997</v>
      </c>
      <c r="F19" s="73" ph="1">
        <f>F18*9.0746*LOOKUP(F20,密度!$A$2:$A$50,密度!$L$2:$L$50)</f>
        <v>43123.370361599998</v>
      </c>
      <c r="G19" s="73" ph="1">
        <f>G18*9.0746*LOOKUP(G20,密度!$A$2:$A$50,密度!$B$2:$B$50)</f>
        <v>15901.486917120001</v>
      </c>
      <c r="H19" s="73" ph="1">
        <f>H18*9.0746*LOOKUP(H20,密度!$A$2:$A$50,密度!$L$2:$L$50)</f>
        <v>962.48837439999988</v>
      </c>
      <c r="I19" s="73" ph="1">
        <f>I18*9.0746*LOOKUP(I20,密度!$A$2:$A$50,密度!$U$2:$U$50)</f>
        <v>40160.005283999999</v>
      </c>
      <c r="J19" s="73" ph="1">
        <f>J18*9.0746*LOOKUP(J20,密度!$A$2:$A$50,密度!$L$2:$L$50)</f>
        <v>17506.863513600001</v>
      </c>
      <c r="K19" s="73" ph="1">
        <f>K18*9.0746*LOOKUP(K20,密度!$A$2:$A$50,密度!$C$2:$C$50)</f>
        <v>7490.1739325399994</v>
      </c>
      <c r="L19" s="73" ph="1">
        <f>L18*9.0746*LOOKUP(L20,密度!$A$2:$A$50,密度!$E$2:$E$50)</f>
        <v>28154.026356480001</v>
      </c>
      <c r="M19" s="73" ph="1">
        <f>M18*9.0746*LOOKUP(M20,密度!$A$2:$A$50,密度!$M$2:$M$50)</f>
        <v>910.67422332000001</v>
      </c>
      <c r="N19" s="73" ph="1">
        <f>N18*9.0746*LOOKUP(N20,密度!$A$2:$A$50,密度!$M$2:$M$50)</f>
        <v>18309.344910959997</v>
      </c>
      <c r="O19" s="73" ph="1">
        <f>O18*9.0746*LOOKUP(O20,密度!$A$2:$A$50,密度!$G$2:$G$50)</f>
        <v>55164.856384000006</v>
      </c>
      <c r="P19" s="73" ph="1">
        <f ca="1">P18*9.0746*LOOKUP(P20,密度!$A$2:$A$51,密度!$Q$2:$Q$50)</f>
        <v>36051.005804658002</v>
      </c>
      <c r="Q19" s="73" ph="1">
        <f>Q18*9.0746*LOOKUP(Q20,密度!$A$2:$A$50,密度!$Q$2:$Q$50)</f>
        <v>5459.1935142840002</v>
      </c>
      <c r="R19" s="73" ph="1">
        <f>MAX(R18*9.0746*LOOKUP(R20,密度!$A$2:$A$50,密度!$B$2:$B$50),0)</f>
        <v>24825.609177540002</v>
      </c>
      <c r="S19" s="73" ph="1">
        <f>S18*9.0746*LOOKUP(S20,密度!$A$2:$A$50,密度!$Q$2:$Q$50)</f>
        <v>48546.351321599999</v>
      </c>
      <c r="T19" s="73" ph="1">
        <f>T18*9.0746*LOOKUP(T20,密度!$A$2:$A$50,密度!$O$2:$O$50)</f>
        <v>56185.258855600005</v>
      </c>
      <c r="U19" s="73" ph="1">
        <f>U18*9.0746*LOOKUP(U20,密度!$A$2:$A$50,密度!$H$2:$H$50)</f>
        <v>14852.570237400001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189.0528114280005</v>
      </c>
      <c r="X19" s="73" ph="1">
        <f>MAX(5600*LOOKUP(X20,密度!$A$2:$A$50,密度!$I$2:$I$50)+X18*9.0476*LOOKUP(X20,密度!$A$2:$A$50,密度!$I$2:$I$50),0)</f>
        <v>9284.9369724000007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17897.379850000001</v>
      </c>
      <c r="AB19" s="73" ph="1">
        <f>AB18*9.0746*LOOKUP(AB20,密度!$A$2:$A$50,密度!$L$2:$L$50)</f>
        <v>58750.729947</v>
      </c>
      <c r="AC19" s="73" ph="1">
        <f>AC18*9.0746*LOOKUP(AC20,密度!$A$2:$A$50,密度!$L$2:$L$50)</f>
        <v>55900.479758399997</v>
      </c>
      <c r="AD19" s="73" ph="1">
        <f>AD18*268.68*LOOKUP(AD20,密度!$A$2:$A$50,密度!B5:B53)+IF(AD18&lt;=0,0,1566*LOOKUP(AD20,密度!$A$2:$A$50,密度!B5:B53))</f>
        <v>2304.4443155999998</v>
      </c>
      <c r="AE19" s="73" ph="1">
        <f>AE18*268.68*LOOKUP(AE20,密度!$A$2:$A$50,密度!B5:B53)+IF(AE18&lt;=0,0,1566*LOOKUP(AE20,密度!$A$2:$A$50,密度!B5:B53))</f>
        <v>12554.774391600002</v>
      </c>
      <c r="AH19" s="72" ph="1">
        <v>5</v>
      </c>
      <c r="AI19" s="72" t="s" ph="1">
        <v>382</v>
      </c>
      <c r="AZ19" s="72" t="s" ph="1">
        <v>257</v>
      </c>
      <c r="BA19" s="72" ph="1">
        <v>0</v>
      </c>
      <c r="BD19" s="72" t="s" ph="1">
        <v>383</v>
      </c>
      <c r="BE19" s="72" ph="1">
        <v>1440</v>
      </c>
    </row>
    <row r="20" spans="1:57" ph="1">
      <c r="A20" s="72" ph="1"/>
      <c r="B20" s="218" ph="1"/>
      <c r="C20" s="80" t="s" ph="1">
        <v>210</v>
      </c>
      <c r="D20" s="81">
        <v>20</v>
      </c>
      <c r="E20" s="81">
        <v>20</v>
      </c>
      <c r="F20" s="81">
        <v>18</v>
      </c>
      <c r="G20" s="81">
        <v>16</v>
      </c>
      <c r="H20" s="81">
        <v>15</v>
      </c>
      <c r="I20" s="81">
        <v>18</v>
      </c>
      <c r="J20" s="81">
        <v>20</v>
      </c>
      <c r="K20" s="81">
        <v>18</v>
      </c>
      <c r="L20" s="81">
        <v>15</v>
      </c>
      <c r="M20" s="81">
        <v>20</v>
      </c>
      <c r="N20" s="81">
        <v>18</v>
      </c>
      <c r="O20" s="81">
        <v>18</v>
      </c>
      <c r="P20" s="81">
        <v>18</v>
      </c>
      <c r="Q20" s="81">
        <v>20</v>
      </c>
      <c r="R20" s="81">
        <v>20</v>
      </c>
      <c r="S20" s="81">
        <v>16</v>
      </c>
      <c r="T20" s="81">
        <v>17</v>
      </c>
      <c r="U20" s="81">
        <v>15</v>
      </c>
      <c r="V20" s="81">
        <v>18</v>
      </c>
      <c r="W20" s="81">
        <v>18</v>
      </c>
      <c r="X20" s="81">
        <v>29</v>
      </c>
      <c r="Y20" s="110">
        <v>29</v>
      </c>
      <c r="Z20" s="81">
        <v>23</v>
      </c>
      <c r="AA20" s="81">
        <v>14</v>
      </c>
      <c r="AB20" s="81">
        <v>17</v>
      </c>
      <c r="AC20" s="81">
        <v>14</v>
      </c>
      <c r="AD20" s="81">
        <v>25</v>
      </c>
      <c r="AE20" s="81">
        <v>25</v>
      </c>
      <c r="AH20" s="64" ph="1">
        <v>6</v>
      </c>
      <c r="AI20" s="64" t="s" ph="1">
        <v>384</v>
      </c>
      <c r="AZ20" s="64" t="s" ph="1">
        <v>257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385</v>
      </c>
      <c r="AZ21" s="64" t="s" ph="1">
        <v>257</v>
      </c>
      <c r="BA21" s="64" ph="1">
        <v>0</v>
      </c>
      <c r="BD21" s="64" t="s" ph="1">
        <v>273</v>
      </c>
      <c r="BE21" s="64" ph="1">
        <v>730</v>
      </c>
    </row>
    <row r="22" spans="1:57" ph="1">
      <c r="A22" s="72" ph="1"/>
      <c r="B22" s="216" t="s" ph="1">
        <v>37</v>
      </c>
      <c r="C22" s="85" t="s" ph="1">
        <v>207</v>
      </c>
      <c r="D22" s="86" t="s" ph="1">
        <v>103</v>
      </c>
      <c r="E22" s="86" t="s" ph="1">
        <v>104</v>
      </c>
      <c r="F22" s="86" t="s" ph="1">
        <v>105</v>
      </c>
      <c r="G22" s="86" t="s" ph="1">
        <v>106</v>
      </c>
      <c r="H22" s="86" t="s" ph="1">
        <v>107</v>
      </c>
      <c r="I22" s="86" t="s" ph="1">
        <v>108</v>
      </c>
      <c r="J22" s="86" t="s" ph="1">
        <v>109</v>
      </c>
      <c r="K22" s="86" t="s" ph="1">
        <v>110</v>
      </c>
      <c r="L22" s="86" t="s" ph="1">
        <v>111</v>
      </c>
      <c r="M22" s="86" t="s" ph="1">
        <v>112</v>
      </c>
      <c r="N22" s="86" t="s" ph="1">
        <v>113</v>
      </c>
      <c r="O22" s="86" t="s" ph="1">
        <v>114</v>
      </c>
      <c r="P22" s="86" t="s" ph="1">
        <v>115</v>
      </c>
      <c r="Q22" s="87" t="s" ph="1">
        <v>116</v>
      </c>
      <c r="R22" s="86" t="s" ph="1">
        <v>117</v>
      </c>
      <c r="S22" s="86" t="s" ph="1">
        <v>118</v>
      </c>
      <c r="T22" s="86" t="s" ph="1">
        <v>119</v>
      </c>
      <c r="U22" s="86" t="s" ph="1">
        <v>120</v>
      </c>
      <c r="V22" s="86" t="s" ph="1">
        <v>121</v>
      </c>
      <c r="W22" s="86" t="s" ph="1">
        <v>122</v>
      </c>
      <c r="X22" s="86" t="s" ph="1">
        <v>123</v>
      </c>
      <c r="Y22" s="86" t="s" ph="1">
        <v>125</v>
      </c>
      <c r="Z22" s="195" t="s" ph="1">
        <v>79</v>
      </c>
      <c r="AA22" s="196"/>
      <c r="AB22" s="196"/>
      <c r="AC22" s="196"/>
      <c r="AD22" s="196"/>
      <c r="AE22" s="197"/>
      <c r="AH22" s="64" ph="1">
        <v>8</v>
      </c>
      <c r="AI22" s="64" t="s" ph="1">
        <v>386</v>
      </c>
      <c r="AZ22" s="64" t="s" ph="1">
        <v>257</v>
      </c>
      <c r="BA22" s="64" ph="1">
        <v>0</v>
      </c>
    </row>
    <row r="23" spans="1:57" ph="1">
      <c r="A23" s="72" ph="1"/>
      <c r="B23" s="211" ph="1"/>
      <c r="C23" s="67" t="s" ph="1">
        <v>36</v>
      </c>
      <c r="D23" s="88" t="s" ph="1">
        <v>127</v>
      </c>
      <c r="E23" s="88" t="s" ph="1">
        <v>124</v>
      </c>
      <c r="F23" s="88" t="s" ph="1">
        <v>127</v>
      </c>
      <c r="G23" s="88" t="s" ph="1">
        <v>679</v>
      </c>
      <c r="H23" s="88" t="s" ph="1">
        <v>679</v>
      </c>
      <c r="I23" s="88" t="s" ph="1">
        <v>680</v>
      </c>
      <c r="J23" s="88" t="s" ph="1">
        <v>681</v>
      </c>
      <c r="K23" s="88" t="s" ph="1">
        <v>682</v>
      </c>
      <c r="L23" s="88" t="s" ph="1">
        <v>682</v>
      </c>
      <c r="M23" s="88" t="s" ph="1">
        <v>675</v>
      </c>
      <c r="N23" s="88" t="s" ph="1">
        <v>675</v>
      </c>
      <c r="O23" s="88" t="s" ph="1">
        <v>359</v>
      </c>
      <c r="P23" s="88" t="s" ph="1">
        <v>666</v>
      </c>
      <c r="Q23" s="89" t="s" ph="1">
        <v>666</v>
      </c>
      <c r="R23" s="88" t="s" ph="1">
        <v>659</v>
      </c>
      <c r="S23" s="88" t="s" ph="1">
        <v>683</v>
      </c>
      <c r="T23" s="88" t="s" ph="1">
        <v>647</v>
      </c>
      <c r="U23" s="88" t="s" ph="1">
        <v>653</v>
      </c>
      <c r="V23" s="88" t="s" ph="1">
        <v>684</v>
      </c>
      <c r="W23" s="88" t="s" ph="1">
        <v>684</v>
      </c>
      <c r="X23" s="88" t="s" ph="1">
        <v>228</v>
      </c>
      <c r="Y23" s="88" t="s" ph="1">
        <v>686</v>
      </c>
      <c r="Z23" s="198" t="s" ph="1">
        <v>690</v>
      </c>
      <c r="AA23" s="199"/>
      <c r="AB23" s="199"/>
      <c r="AC23" s="199"/>
      <c r="AD23" s="199"/>
      <c r="AE23" s="200"/>
      <c r="AH23" s="64" ph="1">
        <v>9</v>
      </c>
      <c r="AI23" s="64" t="s" ph="1">
        <v>387</v>
      </c>
      <c r="AZ23" s="64" t="s" ph="1">
        <v>257</v>
      </c>
      <c r="BA23" s="64" ph="1">
        <v>0</v>
      </c>
      <c r="BD23" s="64" t="s" ph="1">
        <v>279</v>
      </c>
      <c r="BE23" s="64" ph="1">
        <v>890</v>
      </c>
    </row>
    <row r="24" spans="1:57" ph="1">
      <c r="A24" s="72" ph="1"/>
      <c r="B24" s="207" ph="1">
        <v>0.33333333333333331</v>
      </c>
      <c r="C24" s="180" t="s" ph="1">
        <v>208</v>
      </c>
      <c r="D24" s="71">
        <v>98.31</v>
      </c>
      <c r="E24" s="71">
        <v>95.11</v>
      </c>
      <c r="F24" s="71">
        <v>4008</v>
      </c>
      <c r="G24" s="71">
        <v>3274</v>
      </c>
      <c r="H24" s="71">
        <v>2983</v>
      </c>
      <c r="I24" s="71">
        <v>4171</v>
      </c>
      <c r="J24" s="71">
        <v>3774</v>
      </c>
      <c r="K24" s="71">
        <v>5602</v>
      </c>
      <c r="L24" s="71">
        <v>5576</v>
      </c>
      <c r="M24" s="71">
        <v>4858</v>
      </c>
      <c r="N24" s="71">
        <v>3700</v>
      </c>
      <c r="O24" s="71">
        <v>2051</v>
      </c>
      <c r="P24" s="71">
        <v>430</v>
      </c>
      <c r="Q24" s="90">
        <v>3695</v>
      </c>
      <c r="R24" s="71">
        <v>6738</v>
      </c>
      <c r="S24" s="71">
        <v>2501</v>
      </c>
      <c r="T24" s="71">
        <v>5</v>
      </c>
      <c r="U24" s="71">
        <v>5295</v>
      </c>
      <c r="V24" s="71">
        <v>426</v>
      </c>
      <c r="W24" s="71">
        <v>11465</v>
      </c>
      <c r="X24" s="71">
        <v>9061</v>
      </c>
      <c r="Y24" s="71">
        <v>3200</v>
      </c>
      <c r="Z24" s="201"/>
      <c r="AA24" s="202"/>
      <c r="AB24" s="202"/>
      <c r="AC24" s="202"/>
      <c r="AD24" s="202"/>
      <c r="AE24" s="203"/>
      <c r="AH24" s="64" ph="1">
        <v>10</v>
      </c>
      <c r="AI24" s="64" t="s" ph="1">
        <v>388</v>
      </c>
      <c r="AZ24" s="64" t="s" ph="1">
        <v>257</v>
      </c>
      <c r="BA24" s="64" ph="1">
        <v>0</v>
      </c>
    </row>
    <row r="25" spans="1:57" ph="1">
      <c r="A25" s="72" ph="1"/>
      <c r="B25" s="207" ph="1"/>
      <c r="C25" s="68" t="s" ph="1">
        <v>209</v>
      </c>
      <c r="D25" s="91" ph="1">
        <f>D24*268.68*LOOKUP(D26,密度!$A$2:$A$50,密度!$Q$2:$Q$50)+IF(D24&lt;=0,0,1566*LOOKUP(D26,密度!$A$2:$A$50,密度!$Q$2:$Q$50))</f>
        <v>26489.719685592005</v>
      </c>
      <c r="E25" s="91" ph="1">
        <f>E24*268.68*LOOKUP(E26,密度!$A$2:$A$50,密度!$C$2:$C$50)+IF(E24&lt;=0,0,1566*LOOKUP(E26,密度!$A$2:$A$50,密度!$C$2:$C$50))</f>
        <v>30073.539657720001</v>
      </c>
      <c r="F25" s="91" ph="1">
        <f>F24*11.702*LOOKUP(F26,密度!$A$2:$A$50,密度!$Q$2:$Q$50)</f>
        <v>44769.468536640001</v>
      </c>
      <c r="G25" s="91" ph="1">
        <f>G24*18.322*LOOKUP(G26,密度!$A$2:$A$50,密度!$B$2:$B$50)</f>
        <v>47323.1352692</v>
      </c>
      <c r="H25" s="91" ph="1">
        <f>H24*18.322*LOOKUP(H26,密度!$A$2:$A$50,密度!$B$2:$B$50)</f>
        <v>43160.679182199994</v>
      </c>
      <c r="I25" s="91" ph="1">
        <f>I24*18.322*LOOKUP(I26,密度!$A$2:$A$50,密度!$Q$2:$Q$50)</f>
        <v>72946.960521479996</v>
      </c>
      <c r="J25" s="91" ph="1">
        <f>J24*18.322*LOOKUP(J26,密度!$A$2:$A$50,密度!$Q$2:$Q$50)</f>
        <v>66003.795015120006</v>
      </c>
      <c r="K25" s="91" ph="1">
        <f>K24*18.322*LOOKUP(K26,密度!$A$2:$A$50,密度!$Q$2:$Q$50)</f>
        <v>97973.836691760007</v>
      </c>
      <c r="L25" s="91" ph="1">
        <f>L24*18.322*LOOKUP(L26,密度!$A$2:$A$50,密度!$Q$2:$Q$50)</f>
        <v>97519.120562879994</v>
      </c>
      <c r="M25" s="91" ph="1">
        <f>M24*18.322*LOOKUP(M26,密度!$A$2:$A$50,密度!$Q$2:$Q$50)</f>
        <v>84961.959773039998</v>
      </c>
      <c r="N25" s="91" ph="1">
        <f>N24*18.322*LOOKUP(N26,密度!$A$2:$A$50,密度!$Q$2:$Q$50)</f>
        <v>64709.602955999995</v>
      </c>
      <c r="O25" s="91" ph="1">
        <f>O24*18.322*LOOKUP(O26,密度!$A$2:$A$50,密度!$C$2:$C$50)</f>
        <v>41960.066005200002</v>
      </c>
      <c r="P25" s="91" ph="1">
        <f>P24*11.702*LOOKUP(P26,密度!$A$2:$A$50,密度!$B$2:$B$50)</f>
        <v>3973.6598419999996</v>
      </c>
      <c r="Q25" s="92" ph="1">
        <f>Q24*18.322*LOOKUP(Q26,密度!$A$2:$A$50,密度!$B$2:$B$50)</f>
        <v>53347.434519999995</v>
      </c>
      <c r="R25" s="91" ph="1">
        <f>R24*35.891*LOOKUP(R26,密度!$A$2:$A$50,密度!$C$2:$C$50)</f>
        <v>269837.88401639997</v>
      </c>
      <c r="S25" s="91" ph="1">
        <f>S24*35.891*LOOKUP(S26,密度!$A$2:$A$50,密度!$B$2:$B$50)</f>
        <v>70814.339159900002</v>
      </c>
      <c r="T25" s="91" ph="1">
        <f>T24*35.891*LOOKUP(T26,密度!$A$2:$A$50,密度!$Q$2:$Q$50)</f>
        <v>171.29697569999999</v>
      </c>
      <c r="U25" s="91" ph="1">
        <f>U24*35.891</f>
        <v>190042.845</v>
      </c>
      <c r="V25" s="91" ph="1">
        <f>V24*47.051*LOOKUP(V26,密度!$A$2:$A$50,密度!$B$2:$B$50)</f>
        <v>15794.456088000003</v>
      </c>
      <c r="W25" s="91" ph="1">
        <f>W24*47.051*LOOKUP(W26,密度!$A$2:$A$50,密度!$B$2:$B$50)</f>
        <v>425078.49541999999</v>
      </c>
      <c r="X25" s="91" ph="1">
        <f>X24*47.051*LOOKUP(X26,密度!$A$2:$A$50,密度!$I$2:$I$50)</f>
        <v>441523.48051604</v>
      </c>
      <c r="Y25" s="91" ph="1">
        <f>Y24*47.051*LOOKUP(Y26,密度!$A$2:$A$50,密度!$L$2:$L$50)</f>
        <v>142583.3504</v>
      </c>
      <c r="Z25" s="201"/>
      <c r="AA25" s="202"/>
      <c r="AB25" s="202"/>
      <c r="AC25" s="202"/>
      <c r="AD25" s="202"/>
      <c r="AE25" s="203"/>
      <c r="AH25" s="64" ph="1">
        <v>11</v>
      </c>
      <c r="AI25" s="64" t="s" ph="1">
        <v>389</v>
      </c>
      <c r="AZ25" s="64" t="s" ph="1">
        <v>257</v>
      </c>
      <c r="BA25" s="64" ph="1">
        <v>0</v>
      </c>
      <c r="BD25" s="64" t="s" ph="1">
        <v>282</v>
      </c>
      <c r="BE25" s="64" ph="1">
        <v>8920</v>
      </c>
    </row>
    <row r="26" spans="1:57" ph="1">
      <c r="A26" s="72" ph="1"/>
      <c r="B26" s="207" ph="1"/>
      <c r="C26" s="68" t="s" ph="1">
        <v>210</v>
      </c>
      <c r="D26" s="74">
        <v>25</v>
      </c>
      <c r="E26" s="74">
        <v>25</v>
      </c>
      <c r="F26" s="74">
        <v>14</v>
      </c>
      <c r="G26" s="74">
        <v>14</v>
      </c>
      <c r="H26" s="74">
        <v>13</v>
      </c>
      <c r="I26" s="74">
        <v>13</v>
      </c>
      <c r="J26" s="74">
        <v>5</v>
      </c>
      <c r="K26" s="74">
        <v>15</v>
      </c>
      <c r="L26" s="74">
        <v>13</v>
      </c>
      <c r="M26" s="74">
        <v>13</v>
      </c>
      <c r="N26" s="74">
        <v>14</v>
      </c>
      <c r="O26" s="74">
        <v>14</v>
      </c>
      <c r="P26" s="74">
        <v>13</v>
      </c>
      <c r="Q26" s="93">
        <v>15</v>
      </c>
      <c r="R26" s="74">
        <v>15</v>
      </c>
      <c r="S26" s="74">
        <v>14</v>
      </c>
      <c r="T26" s="74">
        <v>13</v>
      </c>
      <c r="U26" s="74">
        <v>15</v>
      </c>
      <c r="V26" s="74">
        <v>15</v>
      </c>
      <c r="W26" s="74">
        <v>15</v>
      </c>
      <c r="X26" s="74">
        <v>51</v>
      </c>
      <c r="Y26" s="74">
        <v>15</v>
      </c>
      <c r="Z26" s="201"/>
      <c r="AA26" s="202"/>
      <c r="AB26" s="202"/>
      <c r="AC26" s="202"/>
      <c r="AD26" s="202"/>
      <c r="AE26" s="203"/>
      <c r="AH26" s="64" ph="1">
        <v>12</v>
      </c>
      <c r="AI26" s="64" t="s" ph="1">
        <v>390</v>
      </c>
      <c r="AZ26" s="64" t="s" ph="1">
        <v>257</v>
      </c>
      <c r="BA26" s="64" ph="1">
        <v>0</v>
      </c>
    </row>
    <row r="27" spans="1:57" ph="1">
      <c r="A27" s="72" ph="1"/>
      <c r="B27" s="207" ph="1">
        <v>0.66666666666666663</v>
      </c>
      <c r="C27" s="180" t="s" ph="1">
        <v>211</v>
      </c>
      <c r="D27" s="71">
        <v>98.51</v>
      </c>
      <c r="E27" s="71">
        <v>95.21</v>
      </c>
      <c r="F27" s="71">
        <v>4011</v>
      </c>
      <c r="G27" s="71">
        <v>2840</v>
      </c>
      <c r="H27" s="71">
        <v>2545</v>
      </c>
      <c r="I27" s="71">
        <v>2382</v>
      </c>
      <c r="J27" s="71">
        <v>4898</v>
      </c>
      <c r="K27" s="71">
        <v>5604</v>
      </c>
      <c r="L27" s="71">
        <v>5573</v>
      </c>
      <c r="M27" s="71">
        <v>5442</v>
      </c>
      <c r="N27" s="71">
        <v>3905</v>
      </c>
      <c r="O27" s="71">
        <v>2057</v>
      </c>
      <c r="P27" s="71">
        <v>425</v>
      </c>
      <c r="Q27" s="90">
        <v>4255</v>
      </c>
      <c r="R27" s="71">
        <v>6735</v>
      </c>
      <c r="S27" s="71">
        <v>3094</v>
      </c>
      <c r="T27" s="71">
        <v>902</v>
      </c>
      <c r="U27" s="71">
        <v>5466</v>
      </c>
      <c r="V27" s="71">
        <v>1621</v>
      </c>
      <c r="W27" s="71">
        <v>10259</v>
      </c>
      <c r="X27" s="71">
        <v>8688</v>
      </c>
      <c r="Y27" s="71">
        <v>1605</v>
      </c>
      <c r="Z27" s="201"/>
      <c r="AA27" s="202"/>
      <c r="AB27" s="202"/>
      <c r="AC27" s="202"/>
      <c r="AD27" s="202"/>
      <c r="AE27" s="203"/>
      <c r="AH27" s="64" ph="1">
        <v>13</v>
      </c>
      <c r="AI27" s="64" t="s" ph="1">
        <v>391</v>
      </c>
      <c r="AZ27" s="64" t="s" ph="1">
        <v>257</v>
      </c>
      <c r="BA27" s="64" ph="1">
        <v>0</v>
      </c>
      <c r="BD27" s="64" t="s" ph="1">
        <v>336</v>
      </c>
      <c r="BE27" s="64" ph="1">
        <v>7100</v>
      </c>
    </row>
    <row r="28" spans="1:57" ph="1">
      <c r="A28" s="72" ph="1"/>
      <c r="B28" s="207" ph="1"/>
      <c r="C28" s="180" t="s" ph="1">
        <v>209</v>
      </c>
      <c r="D28" s="91" ph="1">
        <f>D27*268.68*LOOKUP(D29,密度!$A$2:$A$50,密度!$Q$2:$Q$50)+IF(D27&lt;=0,0,1566*LOOKUP(D29,密度!$A$2:$A$50,密度!$Q$2:$Q$50))</f>
        <v>26540.593706232004</v>
      </c>
      <c r="E28" s="91" ph="1">
        <f>E27*268.68*LOOKUP(E29,密度!$A$2:$A$50,密度!$C$2:$C$50)+IF(E27&lt;=0,0,1566*LOOKUP(E29,密度!$A$2:$A$50,密度!$C$2:$C$50))</f>
        <v>30103.33358292</v>
      </c>
      <c r="F28" s="91" ph="1">
        <f>F27*11.702*LOOKUP(F29,密度!$A$2:$A$50,密度!$Q$2:$Q$50)</f>
        <v>44802.978617880006</v>
      </c>
      <c r="G28" s="91" ph="1">
        <f>G27*18.322*LOOKUP(G29,密度!$A$2:$A$50,密度!$B$2:$B$50)</f>
        <v>41003.170239999999</v>
      </c>
      <c r="H28" s="91" ph="1">
        <f>H27*18.322*LOOKUP(H29,密度!$A$2:$A$50,密度!$B$2:$B$50)</f>
        <v>36706.734528000001</v>
      </c>
      <c r="I28" s="91" ph="1">
        <f>I27*18.322*LOOKUP(I29,密度!$A$2:$A$50,密度!$Q$2:$Q$50)</f>
        <v>41658.993038160006</v>
      </c>
      <c r="J28" s="91" ph="1">
        <f>J27*18.322*LOOKUP(J29,密度!$A$2:$A$50,密度!$Q$2:$Q$50)</f>
        <v>85661.523048240007</v>
      </c>
      <c r="K28" s="91" ph="1">
        <f>K27*18.322*LOOKUP(K29,密度!$A$2:$A$50,密度!$Q$2:$Q$50)</f>
        <v>98008.814855520002</v>
      </c>
      <c r="L28" s="91" ph="1">
        <f>L27*18.322*LOOKUP(L29,密度!$A$2:$A$50,密度!$Q$2:$Q$50)</f>
        <v>97370.671321599992</v>
      </c>
      <c r="M28" s="91" ph="1">
        <f>M27*18.322*LOOKUP(M29,密度!$A$2:$A$50,密度!$Q$2:$Q$50)</f>
        <v>95081.857766399989</v>
      </c>
      <c r="N28" s="91" ph="1">
        <f>N27*18.322*LOOKUP(N29,密度!$A$2:$A$50,密度!$Q$2:$Q$50)</f>
        <v>68294.864741400001</v>
      </c>
      <c r="O28" s="91" ph="1">
        <f>O27*18.322*LOOKUP(O29,密度!$A$2:$A$50,密度!$C$2:$C$50)</f>
        <v>42052.665393199997</v>
      </c>
      <c r="P28" s="91" ph="1">
        <f>P27*11.702*LOOKUP(P29,密度!$A$2:$A$50,密度!$B$2:$B$50)</f>
        <v>3915.0211200000003</v>
      </c>
      <c r="Q28" s="92" ph="1">
        <f>Q27*18.322*LOOKUP(Q29,密度!$A$2:$A$50,密度!$B$2:$B$50)</f>
        <v>61370.198592000001</v>
      </c>
      <c r="R28" s="91" ph="1">
        <f>R27*35.891*LOOKUP(R29,密度!$A$2:$A$50,密度!$C$2:$C$50)</f>
        <v>269717.74248299998</v>
      </c>
      <c r="S28" s="91" ph="1">
        <f>S27*35.891*LOOKUP(S29,密度!$A$2:$A$50,密度!$B$2:$B$50)</f>
        <v>87504.842151999997</v>
      </c>
      <c r="T28" s="91" ph="1">
        <f>T27*35.891*LOOKUP(T29,密度!$A$2:$A$50,密度!$Q$2:$Q$50)</f>
        <v>30901.974416279998</v>
      </c>
      <c r="U28" s="91" ph="1">
        <f>U27*35.891</f>
        <v>196180.20599999998</v>
      </c>
      <c r="V28" s="91" ph="1">
        <f>V27*47.051*LOOKUP(V29,密度!$A$2:$A$50,密度!$B$2:$B$50)</f>
        <v>59978.469274399999</v>
      </c>
      <c r="W28" s="91" ph="1">
        <f>W27*47.051*LOOKUP(W29,密度!$A$2:$A$50,密度!$B$2:$B$50)</f>
        <v>379592.29875760002</v>
      </c>
      <c r="X28" s="91" ph="1">
        <f>X27*47.051*LOOKUP(X29,密度!$A$2:$A$50,密度!$I$2:$I$50)</f>
        <v>423347.97469631996</v>
      </c>
      <c r="Y28" s="91" ph="1">
        <f>Y27*47.051*LOOKUP(Y29,密度!$A$2:$A$50,密度!$L$2:$L$50)</f>
        <v>71363.427974999999</v>
      </c>
      <c r="Z28" s="201"/>
      <c r="AA28" s="202"/>
      <c r="AB28" s="202"/>
      <c r="AC28" s="202"/>
      <c r="AD28" s="202"/>
      <c r="AE28" s="203"/>
      <c r="AH28" s="64" ph="1">
        <v>14</v>
      </c>
      <c r="AI28" s="64" t="s" ph="1">
        <v>392</v>
      </c>
      <c r="AZ28" s="64" t="s" ph="1">
        <v>257</v>
      </c>
      <c r="BA28" s="64" ph="1">
        <v>0</v>
      </c>
    </row>
    <row r="29" spans="1:57" ph="1">
      <c r="A29" s="72" ph="1"/>
      <c r="B29" s="207" ph="1"/>
      <c r="C29" s="180" t="s" ph="1">
        <v>210</v>
      </c>
      <c r="D29" s="74">
        <v>25</v>
      </c>
      <c r="E29" s="74">
        <v>25</v>
      </c>
      <c r="F29" s="74">
        <v>15</v>
      </c>
      <c r="G29" s="74">
        <v>15</v>
      </c>
      <c r="H29" s="74">
        <v>16</v>
      </c>
      <c r="I29" s="74">
        <v>15</v>
      </c>
      <c r="J29" s="74">
        <v>15</v>
      </c>
      <c r="K29" s="74">
        <v>15</v>
      </c>
      <c r="L29" s="74">
        <v>16</v>
      </c>
      <c r="M29" s="74">
        <v>16</v>
      </c>
      <c r="N29" s="74">
        <v>15</v>
      </c>
      <c r="O29" s="74">
        <v>15</v>
      </c>
      <c r="P29" s="74">
        <v>16</v>
      </c>
      <c r="Q29" s="93">
        <v>16</v>
      </c>
      <c r="R29" s="74">
        <v>15</v>
      </c>
      <c r="S29" s="74">
        <v>15</v>
      </c>
      <c r="T29" s="74">
        <v>15</v>
      </c>
      <c r="U29" s="74">
        <v>16</v>
      </c>
      <c r="V29" s="74">
        <v>17</v>
      </c>
      <c r="W29" s="74">
        <v>17</v>
      </c>
      <c r="X29" s="74">
        <v>55</v>
      </c>
      <c r="Y29" s="74">
        <v>17</v>
      </c>
      <c r="Z29" s="204"/>
      <c r="AA29" s="205"/>
      <c r="AB29" s="205"/>
      <c r="AC29" s="205"/>
      <c r="AD29" s="205"/>
      <c r="AE29" s="206"/>
      <c r="AH29" s="64" ph="1">
        <v>15</v>
      </c>
      <c r="AI29" s="64" t="s" ph="1">
        <v>393</v>
      </c>
      <c r="AZ29" s="64" t="s" ph="1">
        <v>257</v>
      </c>
      <c r="BA29" s="64" ph="1">
        <v>0</v>
      </c>
      <c r="BD29" s="64" t="s" ph="1">
        <v>394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395</v>
      </c>
      <c r="AZ30" s="64" t="s" ph="1">
        <v>257</v>
      </c>
      <c r="BA30" s="64" ph="1">
        <v>0</v>
      </c>
    </row>
    <row r="31" spans="1:57" ht="28.5" ph="1">
      <c r="A31" s="64"/>
      <c r="B31" s="220" t="s" ph="1">
        <v>35</v>
      </c>
      <c r="C31" s="221" ph="1"/>
      <c r="D31" s="224" t="s" ph="1">
        <v>9</v>
      </c>
      <c r="E31" s="213" ph="1"/>
      <c r="F31" s="214" ph="1"/>
      <c r="G31" s="224" t="s" ph="1">
        <v>18</v>
      </c>
      <c r="H31" s="213" ph="1"/>
      <c r="I31" s="214" ph="1"/>
      <c r="J31" s="212" t="s" ph="1">
        <v>1</v>
      </c>
      <c r="K31" s="213" ph="1"/>
      <c r="L31" s="214" ph="1"/>
      <c r="M31" s="212" t="s" ph="1">
        <v>7</v>
      </c>
      <c r="N31" s="213" ph="1"/>
      <c r="O31" s="214" ph="1"/>
      <c r="P31" s="212" t="s" ph="1">
        <v>42</v>
      </c>
      <c r="Q31" s="213"/>
      <c r="R31" s="214"/>
      <c r="S31" s="212" t="s" ph="1">
        <v>2</v>
      </c>
      <c r="T31" s="213"/>
      <c r="U31" s="214"/>
      <c r="V31" s="212" t="s" ph="1">
        <v>81</v>
      </c>
      <c r="W31" s="213" ph="1"/>
      <c r="X31" s="214" ph="1"/>
      <c r="Y31" s="212" t="s" ph="1">
        <v>3</v>
      </c>
      <c r="Z31" s="213" ph="1"/>
      <c r="AA31" s="214" ph="1"/>
      <c r="AB31" s="235" t="s">
        <v>43</v>
      </c>
      <c r="AC31" s="236"/>
      <c r="AD31" s="236"/>
      <c r="AE31" s="237"/>
      <c r="AH31" s="64" ph="1">
        <v>17</v>
      </c>
      <c r="AI31" s="64" t="s" ph="1">
        <v>396</v>
      </c>
      <c r="AZ31" s="64" t="s" ph="1">
        <v>257</v>
      </c>
      <c r="BA31" s="64" ph="1">
        <v>0</v>
      </c>
      <c r="BD31" s="64" t="s" ph="1">
        <v>397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80" t="s" ph="1">
        <v>5</v>
      </c>
      <c r="F32" s="181" t="s" ph="1">
        <v>44</v>
      </c>
      <c r="G32" s="97" t="s" ph="1">
        <v>4</v>
      </c>
      <c r="H32" s="180" t="s" ph="1">
        <v>5</v>
      </c>
      <c r="I32" s="181" t="s" ph="1">
        <v>44</v>
      </c>
      <c r="J32" s="97" t="s" ph="1">
        <v>4</v>
      </c>
      <c r="K32" s="180" t="s" ph="1">
        <v>5</v>
      </c>
      <c r="L32" s="181" t="s" ph="1">
        <v>44</v>
      </c>
      <c r="M32" s="97" t="s" ph="1">
        <v>4</v>
      </c>
      <c r="N32" s="180" t="s" ph="1">
        <v>5</v>
      </c>
      <c r="O32" s="181" t="s" ph="1">
        <v>44</v>
      </c>
      <c r="P32" s="97" t="s" ph="1">
        <v>4</v>
      </c>
      <c r="Q32" s="98" t="s" ph="1">
        <v>5</v>
      </c>
      <c r="R32" s="99" t="s" ph="1">
        <v>44</v>
      </c>
      <c r="S32" s="97" t="s" ph="1">
        <v>4</v>
      </c>
      <c r="T32" s="180" t="s" ph="1">
        <v>5</v>
      </c>
      <c r="U32" s="99" t="s" ph="1">
        <v>44</v>
      </c>
      <c r="V32" s="97" t="s" ph="1">
        <v>4</v>
      </c>
      <c r="W32" s="180" t="s" ph="1">
        <v>5</v>
      </c>
      <c r="X32" s="99" t="s" ph="1">
        <v>44</v>
      </c>
      <c r="Y32" s="100" t="s" ph="1">
        <v>4</v>
      </c>
      <c r="Z32" s="180" t="s" ph="1">
        <v>5</v>
      </c>
      <c r="AA32" s="181" t="s" ph="1">
        <v>44</v>
      </c>
      <c r="AB32" s="97" t="s" ph="1">
        <v>102</v>
      </c>
      <c r="AC32" s="180" t="s" ph="1">
        <v>101</v>
      </c>
      <c r="AD32" s="238" t="s" ph="1">
        <v>100</v>
      </c>
      <c r="AE32" s="239"/>
      <c r="AH32" s="64" ph="1">
        <v>18</v>
      </c>
      <c r="AI32" s="64" t="s" ph="1">
        <v>398</v>
      </c>
      <c r="AZ32" s="64" t="s" ph="1">
        <v>257</v>
      </c>
      <c r="BA32" s="64" ph="1">
        <v>0</v>
      </c>
    </row>
    <row r="33" spans="1:57" ph="1">
      <c r="A33" s="64"/>
      <c r="B33" s="225" t="s" ph="1">
        <v>212</v>
      </c>
      <c r="C33" s="226" ph="1"/>
      <c r="D33" s="229" ph="1">
        <f>AA10+AB10+Z19</f>
        <v>107986.91193120001</v>
      </c>
      <c r="E33" s="229" ph="1">
        <f>M10+I10</f>
        <v>144071.64266359998</v>
      </c>
      <c r="F33" s="23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1522252632456786910111213141516171819202123456789101112131415161718192022232424356789101112131415161718192021222345678910111213141516171819202345678910111213149101516171819222123234567891012131415161711181920212224252345678910111213128[[#This Row],[F25]]</f>
        <v>3880</v>
      </c>
      <c r="G33" s="233" ph="1">
        <v>0</v>
      </c>
      <c r="H33" s="229" ph="1">
        <f>N19</f>
        <v>18309.344910959997</v>
      </c>
      <c r="I33" s="242" ph="1">
        <v>0</v>
      </c>
      <c r="J33" s="240" ph="1">
        <f>F10+O28</f>
        <v>294061.3570892</v>
      </c>
      <c r="K33" s="229" ph="1">
        <f>O10+K10+E28+R28</f>
        <v>400455.30520752002</v>
      </c>
      <c r="L33" s="244" ph="1">
        <f>BE27</f>
        <v>7100</v>
      </c>
      <c r="M33" s="240" ph="1">
        <f>G10+H10+W28+S28</f>
        <v>891317.29907960002</v>
      </c>
      <c r="N33" s="229" ph="1">
        <f>L10+P10++G28+H28+V28</f>
        <v>295740.55208639998</v>
      </c>
      <c r="O33" s="242" ph="1">
        <f>BE17</f>
        <v>2270</v>
      </c>
      <c r="P33" s="240" ph="1">
        <f>L19</f>
        <v>28154.026356480001</v>
      </c>
      <c r="Q33" s="229" ph="1">
        <f>J10+N10</f>
        <v>121296.21269599999</v>
      </c>
      <c r="R33" s="242" ph="1">
        <f>BE23</f>
        <v>890</v>
      </c>
      <c r="S33" s="240" ph="1">
        <f>E10+X28</f>
        <v>423347.97469631996</v>
      </c>
      <c r="T33" s="229" ph="1">
        <f>X19</f>
        <v>9284.9369724000007</v>
      </c>
      <c r="U33" s="250" ph="1">
        <f>BE21</f>
        <v>730</v>
      </c>
      <c r="V33" s="261" ph="1">
        <f ca="1">P19+Q19+S19+M28+N28+J28</f>
        <v>339094.79619658197</v>
      </c>
      <c r="W33" s="261" ph="1">
        <f>D28+F28+V19+T28</f>
        <v>102245.54674039202</v>
      </c>
      <c r="X33" s="242" ph="1">
        <f>BE29+BE31</f>
        <v>10200</v>
      </c>
      <c r="Y33" s="263" ph="1">
        <f>+Q10+R10+S10+T10+U10+V10+W10+X10+Y10</f>
        <v>42668.402237999995</v>
      </c>
      <c r="Z33" s="248" ph="1">
        <f>D10+T19+U19+Y28+Z10</f>
        <v>404665.93869646004</v>
      </c>
      <c r="AA33" s="250" ph="1">
        <f>BE19</f>
        <v>1440</v>
      </c>
      <c r="AB33" s="252" ph="1">
        <f>I19</f>
        <v>40160.005283999999</v>
      </c>
      <c r="AC33" s="254" ph="1">
        <f>AD10</f>
        <v>2008.6443839999999</v>
      </c>
      <c r="AD33" s="256" ph="1">
        <v>0</v>
      </c>
      <c r="AE33" s="257"/>
      <c r="AH33" s="64" ph="1">
        <v>19</v>
      </c>
      <c r="AI33" s="64" t="s" ph="1">
        <v>399</v>
      </c>
      <c r="AJ33" s="64" t="s" ph="1">
        <v>633</v>
      </c>
      <c r="AK33" s="64" t="s" ph="1">
        <v>630</v>
      </c>
      <c r="AL33" s="64" ph="1">
        <v>730</v>
      </c>
      <c r="AM33" s="64" t="s" ph="1">
        <v>380</v>
      </c>
      <c r="AZ33" s="64" t="s" ph="1">
        <v>257</v>
      </c>
      <c r="BA33" s="64" ph="1">
        <v>730</v>
      </c>
      <c r="BD33" s="64" t="s" ph="1">
        <v>331</v>
      </c>
      <c r="BE33" s="64" ph="1">
        <v>3880</v>
      </c>
    </row>
    <row r="34" spans="1:57" ph="1">
      <c r="A34" s="64"/>
      <c r="B34" s="227" ph="1"/>
      <c r="C34" s="228" ph="1"/>
      <c r="D34" s="230" ph="1"/>
      <c r="E34" s="230" ph="1"/>
      <c r="F34" s="232" ph="1"/>
      <c r="G34" s="234" ph="1"/>
      <c r="H34" s="230" ph="1"/>
      <c r="I34" s="243" ph="1"/>
      <c r="J34" s="241" ph="1"/>
      <c r="K34" s="230" ph="1"/>
      <c r="L34" s="245" ph="1"/>
      <c r="M34" s="241" ph="1"/>
      <c r="N34" s="230" ph="1"/>
      <c r="O34" s="243" ph="1"/>
      <c r="P34" s="241" ph="1"/>
      <c r="Q34" s="230" ph="1"/>
      <c r="R34" s="243" ph="1"/>
      <c r="S34" s="241" ph="1"/>
      <c r="T34" s="230"/>
      <c r="U34" s="251"/>
      <c r="V34" s="262" ph="1"/>
      <c r="W34" s="262" ph="1"/>
      <c r="X34" s="243" ph="1"/>
      <c r="Y34" s="264" ph="1"/>
      <c r="Z34" s="249" ph="1"/>
      <c r="AA34" s="251" ph="1"/>
      <c r="AB34" s="253"/>
      <c r="AC34" s="255"/>
      <c r="AD34" s="258"/>
      <c r="AE34" s="259"/>
      <c r="AH34" s="64" ph="1">
        <v>20</v>
      </c>
      <c r="AI34" s="64" t="s" ph="1">
        <v>400</v>
      </c>
      <c r="AJ34" s="64" t="s" ph="1">
        <v>634</v>
      </c>
      <c r="AK34" s="64" t="s" ph="1">
        <v>630</v>
      </c>
      <c r="AL34" s="64" ph="1">
        <v>720</v>
      </c>
      <c r="AM34" s="64" t="s" ph="1">
        <v>380</v>
      </c>
      <c r="AZ34" s="64" t="s" ph="1">
        <v>257</v>
      </c>
      <c r="BA34" s="64" ph="1">
        <v>720</v>
      </c>
    </row>
    <row r="35" spans="1:57" ph="1">
      <c r="A35" s="64"/>
      <c r="AC35" s="260" t="s" ph="1">
        <v>84</v>
      </c>
      <c r="AD35" s="260"/>
      <c r="AE35" s="260"/>
      <c r="AH35" s="64" ph="1">
        <v>21</v>
      </c>
      <c r="AI35" s="64" t="s" ph="1">
        <v>401</v>
      </c>
      <c r="AZ35" s="64" t="s" ph="1">
        <v>257</v>
      </c>
      <c r="BA35" s="64" ph="1">
        <v>0</v>
      </c>
      <c r="BD35" s="64" t="s" ph="1">
        <v>402</v>
      </c>
      <c r="BE35" s="64" ph="1">
        <v>2030</v>
      </c>
    </row>
    <row r="36" spans="1:57" ht="28.5" ph="1">
      <c r="A36" s="64"/>
      <c r="B36" s="103" t="s" ph="1">
        <v>213</v>
      </c>
      <c r="I36" s="246" t="s" ph="1">
        <v>214</v>
      </c>
      <c r="J36" s="246" ph="1"/>
      <c r="K36" s="101" ph="1"/>
      <c r="P36" s="101" ph="1"/>
      <c r="R36" s="246" t="s" ph="1">
        <v>215</v>
      </c>
      <c r="S36" s="246" ph="1"/>
      <c r="Y36" s="102" ph="1"/>
      <c r="Z36" s="182" t="s" ph="1">
        <v>216</v>
      </c>
      <c r="AA36" s="182" ph="1"/>
      <c r="AB36" s="247" t="s" ph="1">
        <v>655</v>
      </c>
      <c r="AC36" s="247" ph="1"/>
      <c r="AD36" s="247" ph="1"/>
      <c r="AE36" s="247" ph="1"/>
      <c r="BA36" s="64" ph="1">
        <v>2270</v>
      </c>
    </row>
    <row r="37" spans="1:57" s="18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82" t="s" ph="1">
        <v>383</v>
      </c>
      <c r="AI37" s="182" t="s" ph="1">
        <v>250</v>
      </c>
      <c r="AJ37" s="182" t="s" ph="1">
        <v>251</v>
      </c>
      <c r="AK37" s="182" t="s" ph="1">
        <v>252</v>
      </c>
      <c r="AM37" s="182" t="s" ph="1">
        <v>251</v>
      </c>
      <c r="AN37" s="182" t="s" ph="1">
        <v>252</v>
      </c>
      <c r="AO37" s="182" t="s" ph="1">
        <v>253</v>
      </c>
      <c r="AP37" s="182" t="s" ph="1">
        <v>251</v>
      </c>
      <c r="AQ37" s="182" t="s" ph="1">
        <v>252</v>
      </c>
      <c r="AR37" s="182" t="s" ph="1">
        <v>253</v>
      </c>
      <c r="AS37" s="182" t="s" ph="1">
        <v>251</v>
      </c>
      <c r="AT37" s="182" t="s" ph="1">
        <v>252</v>
      </c>
      <c r="AU37" s="182" t="s" ph="1">
        <v>253</v>
      </c>
      <c r="AV37" s="182" t="s" ph="1">
        <v>251</v>
      </c>
      <c r="AW37" s="182" t="s" ph="1">
        <v>252</v>
      </c>
      <c r="AX37" s="182" t="s" ph="1">
        <v>253</v>
      </c>
      <c r="AY37" s="182" t="s" ph="1">
        <v>252</v>
      </c>
      <c r="AZ37" s="182" t="s" ph="1">
        <v>254</v>
      </c>
      <c r="BD37" s="182" t="s" ph="1">
        <v>346</v>
      </c>
      <c r="BE37" s="182" ph="1">
        <v>0</v>
      </c>
    </row>
    <row r="38" spans="1:57" ph="1">
      <c r="AE38" s="64" ph="1"/>
      <c r="AH38" s="64" ph="1">
        <v>1</v>
      </c>
      <c r="AI38" s="64" t="s" ph="1">
        <v>403</v>
      </c>
      <c r="AY38" s="64" t="s" ph="1">
        <v>257</v>
      </c>
      <c r="AZ38" s="64" t="s" ph="1">
        <v>408</v>
      </c>
    </row>
    <row r="39" spans="1:57" ph="1">
      <c r="AH39" s="64" ph="1">
        <v>2</v>
      </c>
      <c r="AI39" s="64" t="s" ph="1">
        <v>405</v>
      </c>
      <c r="AJ39" s="64" t="s" ph="1">
        <v>377</v>
      </c>
      <c r="AK39" s="64" t="s" ph="1">
        <v>406</v>
      </c>
      <c r="AM39" s="64" t="s" ph="1">
        <v>611</v>
      </c>
      <c r="AN39" s="64" t="s" ph="1">
        <v>269</v>
      </c>
      <c r="AO39" s="64" t="s" ph="1">
        <v>404</v>
      </c>
      <c r="AY39" s="64" t="s" ph="1">
        <v>257</v>
      </c>
      <c r="AZ39" s="64" t="s" ph="1">
        <v>540</v>
      </c>
    </row>
    <row r="40" spans="1:57" ph="1">
      <c r="AH40" s="64" ph="1">
        <v>3</v>
      </c>
      <c r="AI40" s="64" t="s" ph="1">
        <v>407</v>
      </c>
      <c r="AJ40" s="64" t="s" ph="1">
        <v>611</v>
      </c>
      <c r="AK40" s="64" t="s" ph="1">
        <v>612</v>
      </c>
      <c r="AY40" s="64" t="s" ph="1">
        <v>257</v>
      </c>
      <c r="AZ40" s="64" t="s" ph="1">
        <v>612</v>
      </c>
    </row>
    <row r="41" spans="1:57" ph="1">
      <c r="AH41" s="64" ph="1">
        <v>4</v>
      </c>
      <c r="AI41" s="64" t="s" ph="1">
        <v>409</v>
      </c>
      <c r="AJ41" s="64" t="s" ph="1">
        <v>613</v>
      </c>
      <c r="AK41" s="64" t="s" ph="1">
        <v>614</v>
      </c>
      <c r="AM41" s="64" t="s" ph="1">
        <v>615</v>
      </c>
      <c r="AY41" s="64" t="s" ph="1">
        <v>257</v>
      </c>
      <c r="AZ41" s="64" t="s" ph="1">
        <v>614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410</v>
      </c>
      <c r="AY42" s="64" t="s" ph="1">
        <v>257</v>
      </c>
      <c r="AZ42" s="64" t="s" ph="1">
        <v>408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411</v>
      </c>
      <c r="AY43" s="64" t="s" ph="1">
        <v>257</v>
      </c>
      <c r="AZ43" s="64" t="s" ph="1">
        <v>408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412</v>
      </c>
      <c r="AV44" s="64" t="s" ph="1">
        <v>258</v>
      </c>
      <c r="AY44" s="64" t="s" ph="1">
        <v>257</v>
      </c>
      <c r="AZ44" s="64" t="s" ph="1">
        <v>408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413</v>
      </c>
      <c r="AV45" s="64" t="s" ph="1">
        <v>258</v>
      </c>
      <c r="AY45" s="64" t="s" ph="1">
        <v>257</v>
      </c>
      <c r="AZ45" s="64" t="s" ph="1">
        <v>408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414</v>
      </c>
      <c r="AV46" s="64" t="s" ph="1">
        <v>258</v>
      </c>
      <c r="AY46" s="64" t="s" ph="1">
        <v>257</v>
      </c>
      <c r="AZ46" s="64" t="s" ph="1">
        <v>408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415</v>
      </c>
      <c r="AV47" s="64" t="s" ph="1">
        <v>258</v>
      </c>
      <c r="AY47" s="64" t="s" ph="1">
        <v>257</v>
      </c>
      <c r="AZ47" s="64" t="s" ph="1">
        <v>408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616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273</v>
      </c>
      <c r="AI49" s="64" t="s" ph="1">
        <v>250</v>
      </c>
      <c r="AJ49" s="64" t="s" ph="1">
        <v>251</v>
      </c>
      <c r="AK49" s="64" t="s" ph="1">
        <v>252</v>
      </c>
      <c r="AM49" s="64" t="s" ph="1">
        <v>251</v>
      </c>
      <c r="AN49" s="64" t="s" ph="1">
        <v>252</v>
      </c>
      <c r="AO49" s="64" t="s" ph="1">
        <v>253</v>
      </c>
      <c r="AP49" s="64" t="s" ph="1">
        <v>251</v>
      </c>
      <c r="AQ49" s="64" t="s" ph="1">
        <v>252</v>
      </c>
      <c r="AR49" s="64" t="s" ph="1">
        <v>253</v>
      </c>
      <c r="AS49" s="64" t="s" ph="1">
        <v>251</v>
      </c>
      <c r="AT49" s="64" t="s" ph="1">
        <v>252</v>
      </c>
      <c r="AU49" s="64" t="s" ph="1">
        <v>253</v>
      </c>
      <c r="AV49" s="64" t="s" ph="1">
        <v>251</v>
      </c>
      <c r="AW49" s="64" t="s" ph="1">
        <v>252</v>
      </c>
      <c r="AX49" s="64" t="s" ph="1">
        <v>253</v>
      </c>
      <c r="AY49" s="64" t="s" ph="1">
        <v>252</v>
      </c>
      <c r="AZ49" s="64" t="s" ph="1">
        <v>254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416</v>
      </c>
      <c r="AY50" s="64" t="s" ph="1">
        <v>257</v>
      </c>
      <c r="AZ50" s="64" t="s" ph="1">
        <v>408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417</v>
      </c>
      <c r="AY51" s="64" t="s" ph="1">
        <v>257</v>
      </c>
      <c r="AZ51" s="64" t="s" ph="1">
        <v>408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418</v>
      </c>
      <c r="AJ52" s="64" t="s" ph="1">
        <v>375</v>
      </c>
      <c r="AK52" s="64" t="s" ph="1">
        <v>269</v>
      </c>
      <c r="AM52" s="64" t="s" ph="1">
        <v>377</v>
      </c>
      <c r="AN52" s="64" t="s" ph="1">
        <v>341</v>
      </c>
      <c r="AO52" s="64" t="s" ph="1">
        <v>274</v>
      </c>
      <c r="AP52" s="64" t="s" ph="1">
        <v>611</v>
      </c>
      <c r="AQ52" s="64" t="s" ph="1">
        <v>323</v>
      </c>
      <c r="AR52" s="64" t="s" ph="1">
        <v>274</v>
      </c>
      <c r="AY52" s="64" t="s" ph="1">
        <v>257</v>
      </c>
      <c r="AZ52" s="64" t="s" ph="1">
        <v>617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419</v>
      </c>
      <c r="AY53" s="64" t="s" ph="1">
        <v>257</v>
      </c>
      <c r="AZ53" s="64" t="s" ph="1">
        <v>408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420</v>
      </c>
      <c r="AJ54" s="64" t="s" ph="1">
        <v>375</v>
      </c>
      <c r="AK54" s="64" t="s" ph="1">
        <v>260</v>
      </c>
      <c r="AM54" s="64" t="s" ph="1">
        <v>377</v>
      </c>
      <c r="AN54" s="64" t="s" ph="1">
        <v>265</v>
      </c>
      <c r="AO54" s="64" t="s" ph="1">
        <v>274</v>
      </c>
      <c r="AP54" s="64" t="s" ph="1">
        <v>611</v>
      </c>
      <c r="AQ54" s="64" t="s" ph="1">
        <v>281</v>
      </c>
      <c r="AR54" s="64" t="s" ph="1">
        <v>274</v>
      </c>
      <c r="AY54" s="64" t="s" ph="1">
        <v>257</v>
      </c>
      <c r="AZ54" s="64" t="s" ph="1">
        <v>275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421</v>
      </c>
      <c r="AY55" s="64" t="s" ph="1">
        <v>257</v>
      </c>
      <c r="AZ55" s="64" t="s" ph="1">
        <v>408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422</v>
      </c>
      <c r="AY56" s="64" t="s" ph="1">
        <v>257</v>
      </c>
      <c r="AZ56" s="64" t="s" ph="1">
        <v>408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423</v>
      </c>
      <c r="AY57" s="64" t="s" ph="1">
        <v>257</v>
      </c>
      <c r="AZ57" s="64" t="s" ph="1">
        <v>408</v>
      </c>
    </row>
    <row r="58" spans="16:52" ph="1">
      <c r="P58" s="64"/>
      <c r="AN58" s="64" t="s" ph="1">
        <v>258</v>
      </c>
      <c r="AZ58" s="64" t="s" ph="1">
        <v>618</v>
      </c>
    </row>
    <row r="59" spans="16:52" ph="1">
      <c r="V59" s="64"/>
      <c r="AG59" s="64" t="s" ph="1">
        <v>276</v>
      </c>
      <c r="AI59" s="64" t="s" ph="1">
        <v>250</v>
      </c>
      <c r="AJ59" s="64" t="s" ph="1">
        <v>251</v>
      </c>
      <c r="AK59" s="64" t="s" ph="1">
        <v>252</v>
      </c>
      <c r="AM59" s="64" t="s" ph="1">
        <v>251</v>
      </c>
      <c r="AN59" s="64" t="s" ph="1">
        <v>252</v>
      </c>
      <c r="AO59" s="64" t="s" ph="1">
        <v>253</v>
      </c>
      <c r="AP59" s="64" t="s" ph="1">
        <v>251</v>
      </c>
      <c r="AQ59" s="64" t="s" ph="1">
        <v>252</v>
      </c>
      <c r="AR59" s="64" t="s" ph="1">
        <v>253</v>
      </c>
      <c r="AS59" s="64" t="s" ph="1">
        <v>251</v>
      </c>
      <c r="AT59" s="64" t="s" ph="1">
        <v>252</v>
      </c>
      <c r="AU59" s="64" t="s" ph="1">
        <v>253</v>
      </c>
      <c r="AV59" s="64" t="s" ph="1">
        <v>251</v>
      </c>
      <c r="AW59" s="64" t="s" ph="1">
        <v>252</v>
      </c>
      <c r="AX59" s="64" t="s" ph="1">
        <v>253</v>
      </c>
      <c r="AY59" s="64" t="s" ph="1">
        <v>252</v>
      </c>
      <c r="AZ59" s="64" t="s" ph="1">
        <v>254</v>
      </c>
    </row>
    <row r="60" spans="16:52" ph="1">
      <c r="R60" s="64"/>
      <c r="S60" s="64"/>
      <c r="T60" s="64"/>
      <c r="AH60" s="64" ph="1">
        <v>1</v>
      </c>
      <c r="AI60" s="64" t="s" ph="1">
        <v>424</v>
      </c>
      <c r="AY60" s="64" t="s" ph="1">
        <v>257</v>
      </c>
      <c r="AZ60" s="64" t="s" ph="1">
        <v>408</v>
      </c>
    </row>
    <row r="61" spans="16:52" ph="1">
      <c r="AH61" s="64" ph="1">
        <v>2</v>
      </c>
      <c r="AI61" s="64" t="s" ph="1">
        <v>425</v>
      </c>
      <c r="AS61" s="64" t="s" ph="1">
        <v>258</v>
      </c>
      <c r="AY61" s="64" t="s" ph="1">
        <v>257</v>
      </c>
      <c r="AZ61" s="64" t="s" ph="1">
        <v>408</v>
      </c>
    </row>
    <row r="62" spans="16:52" ph="1">
      <c r="AZ62" s="64" t="s" ph="1">
        <v>426</v>
      </c>
    </row>
    <row r="63" spans="16:52" ph="1">
      <c r="AG63" s="64" t="s" ph="1">
        <v>279</v>
      </c>
      <c r="AI63" s="64" t="s" ph="1">
        <v>250</v>
      </c>
      <c r="AJ63" s="64" t="s" ph="1">
        <v>251</v>
      </c>
      <c r="AK63" s="64" t="s" ph="1">
        <v>252</v>
      </c>
      <c r="AM63" s="64" t="s" ph="1">
        <v>251</v>
      </c>
      <c r="AN63" s="64" t="s" ph="1">
        <v>252</v>
      </c>
      <c r="AO63" s="64" t="s" ph="1">
        <v>253</v>
      </c>
      <c r="AP63" s="64" t="s" ph="1">
        <v>251</v>
      </c>
      <c r="AQ63" s="64" t="s" ph="1">
        <v>252</v>
      </c>
      <c r="AR63" s="64" t="s" ph="1">
        <v>253</v>
      </c>
      <c r="AS63" s="64" t="s" ph="1">
        <v>251</v>
      </c>
      <c r="AT63" s="64" t="s" ph="1">
        <v>252</v>
      </c>
      <c r="AU63" s="64" t="s" ph="1">
        <v>253</v>
      </c>
      <c r="AV63" s="64" t="s" ph="1">
        <v>251</v>
      </c>
      <c r="AW63" s="64" t="s" ph="1">
        <v>252</v>
      </c>
      <c r="AX63" s="64" t="s" ph="1">
        <v>253</v>
      </c>
      <c r="AY63" s="64" t="s" ph="1">
        <v>252</v>
      </c>
      <c r="AZ63" s="64" t="s" ph="1">
        <v>254</v>
      </c>
    </row>
    <row r="64" spans="16:52" ph="1">
      <c r="AH64" s="64" ph="1">
        <v>1</v>
      </c>
      <c r="AI64" s="64" t="s" ph="1">
        <v>427</v>
      </c>
      <c r="AJ64" s="64" t="s" ph="1">
        <v>428</v>
      </c>
      <c r="AK64" s="64" t="s" ph="1">
        <v>429</v>
      </c>
      <c r="AY64" s="64" t="s" ph="1">
        <v>257</v>
      </c>
      <c r="AZ64" s="64" t="s" ph="1">
        <v>429</v>
      </c>
    </row>
    <row r="65" spans="33:52" ph="1">
      <c r="AH65" s="64" ph="1">
        <v>2</v>
      </c>
      <c r="AI65" s="64" t="s" ph="1">
        <v>430</v>
      </c>
      <c r="AY65" s="64" t="s" ph="1">
        <v>257</v>
      </c>
      <c r="AZ65" s="64" t="s" ph="1">
        <v>408</v>
      </c>
    </row>
    <row r="66" spans="33:52" ph="1">
      <c r="AH66" s="64" ph="1">
        <v>3</v>
      </c>
      <c r="AI66" s="64" t="s" ph="1">
        <v>431</v>
      </c>
      <c r="AY66" s="64" t="s" ph="1">
        <v>257</v>
      </c>
      <c r="AZ66" s="64" t="s" ph="1">
        <v>408</v>
      </c>
    </row>
    <row r="67" spans="33:52" ph="1">
      <c r="AH67" s="64" ph="1">
        <v>4</v>
      </c>
      <c r="AI67" s="64" t="s" ph="1">
        <v>432</v>
      </c>
      <c r="AY67" s="64" t="s" ph="1">
        <v>257</v>
      </c>
      <c r="AZ67" s="64" t="s" ph="1">
        <v>408</v>
      </c>
    </row>
    <row r="68" spans="33:52" ph="1">
      <c r="AH68" s="64" ph="1">
        <v>5</v>
      </c>
      <c r="AI68" s="64" t="s" ph="1">
        <v>433</v>
      </c>
      <c r="AY68" s="64" t="s" ph="1">
        <v>257</v>
      </c>
      <c r="AZ68" s="64" t="s" ph="1">
        <v>408</v>
      </c>
    </row>
    <row r="69" spans="33:52" ph="1">
      <c r="AH69" s="64" ph="1">
        <v>6</v>
      </c>
      <c r="AI69" s="64" t="s" ph="1">
        <v>434</v>
      </c>
      <c r="AY69" s="64" t="s" ph="1">
        <v>257</v>
      </c>
      <c r="AZ69" s="64" t="s" ph="1">
        <v>408</v>
      </c>
    </row>
    <row r="70" spans="33:52" ph="1">
      <c r="AI70" s="64" t="s" ph="1">
        <v>435</v>
      </c>
      <c r="AY70" s="64" t="s" ph="1">
        <v>257</v>
      </c>
      <c r="AZ70" s="64" t="s" ph="1">
        <v>408</v>
      </c>
    </row>
    <row r="71" spans="33:52" ph="1">
      <c r="AH71" s="64" ph="1">
        <v>7</v>
      </c>
      <c r="AI71" s="64" t="s" ph="1">
        <v>436</v>
      </c>
      <c r="AJ71" s="64" t="s" ph="1">
        <v>375</v>
      </c>
      <c r="AK71" s="64" t="s" ph="1">
        <v>269</v>
      </c>
      <c r="AM71" s="64" t="s" ph="1">
        <v>377</v>
      </c>
      <c r="AN71" s="64" t="s" ph="1">
        <v>269</v>
      </c>
      <c r="AO71" s="64" t="s" ph="1">
        <v>437</v>
      </c>
      <c r="AP71" s="64" t="s" ph="1">
        <v>611</v>
      </c>
      <c r="AQ71" s="64" t="s" ph="1">
        <v>260</v>
      </c>
      <c r="AR71" s="64" t="s" ph="1">
        <v>437</v>
      </c>
      <c r="AY71" s="64" t="s" ph="1">
        <v>257</v>
      </c>
      <c r="AZ71" s="64" t="s" ph="1">
        <v>619</v>
      </c>
    </row>
    <row r="72" spans="33:52" ph="1">
      <c r="AZ72" s="64" t="s" ph="1">
        <v>620</v>
      </c>
    </row>
    <row r="73" spans="33:52" ph="1">
      <c r="AG73" s="64" t="s" ph="1">
        <v>282</v>
      </c>
      <c r="AI73" s="64" t="s" ph="1">
        <v>250</v>
      </c>
      <c r="AJ73" s="64" t="s" ph="1">
        <v>251</v>
      </c>
      <c r="AK73" s="64" t="s" ph="1">
        <v>252</v>
      </c>
      <c r="AM73" s="64" t="s" ph="1">
        <v>251</v>
      </c>
      <c r="AN73" s="64" t="s" ph="1">
        <v>252</v>
      </c>
      <c r="AO73" s="64" t="s" ph="1">
        <v>253</v>
      </c>
      <c r="AP73" s="64" t="s" ph="1">
        <v>251</v>
      </c>
      <c r="AQ73" s="64" t="s" ph="1">
        <v>252</v>
      </c>
      <c r="AR73" s="64" t="s" ph="1">
        <v>253</v>
      </c>
      <c r="AS73" s="64" t="s" ph="1">
        <v>251</v>
      </c>
      <c r="AT73" s="64" t="s" ph="1">
        <v>252</v>
      </c>
      <c r="AU73" s="64" t="s" ph="1">
        <v>253</v>
      </c>
      <c r="AV73" s="64" t="s" ph="1">
        <v>251</v>
      </c>
      <c r="AW73" s="64" t="s" ph="1">
        <v>252</v>
      </c>
      <c r="AX73" s="64" t="s" ph="1">
        <v>253</v>
      </c>
      <c r="AY73" s="64" t="s" ph="1">
        <v>252</v>
      </c>
      <c r="AZ73" s="64" t="s" ph="1">
        <v>254</v>
      </c>
    </row>
    <row r="74" spans="33:52" ph="1">
      <c r="AH74" s="64" ph="1">
        <v>1</v>
      </c>
      <c r="AI74" s="64" t="s" ph="1">
        <v>438</v>
      </c>
      <c r="AJ74" s="64" t="s" ph="1">
        <v>283</v>
      </c>
      <c r="AK74" s="64" t="s" ph="1">
        <v>265</v>
      </c>
      <c r="AM74" s="64" t="s" ph="1">
        <v>285</v>
      </c>
      <c r="AN74" s="64" t="s" ph="1">
        <v>295</v>
      </c>
      <c r="AO74" s="64" t="s" ph="1">
        <v>284</v>
      </c>
      <c r="AP74" s="64" t="s" ph="1">
        <v>286</v>
      </c>
      <c r="AQ74" s="64" t="s" ph="1">
        <v>263</v>
      </c>
      <c r="AR74" s="64" t="s" ph="1">
        <v>284</v>
      </c>
      <c r="AS74" s="64" t="s" ph="1">
        <v>256</v>
      </c>
      <c r="AT74" s="64" t="s" ph="1">
        <v>258</v>
      </c>
      <c r="AV74" s="64" t="s" ph="1">
        <v>439</v>
      </c>
      <c r="AW74" s="64" t="s" ph="1">
        <v>440</v>
      </c>
      <c r="AX74" s="64" t="s" ph="1">
        <v>441</v>
      </c>
      <c r="AY74" s="64" t="s" ph="1">
        <v>257</v>
      </c>
      <c r="AZ74" s="64" t="s" ph="1">
        <v>442</v>
      </c>
    </row>
    <row r="75" spans="33:52" ph="1">
      <c r="AJ75" s="64" t="s" ph="1">
        <v>288</v>
      </c>
      <c r="AK75" s="64" t="s" ph="1">
        <v>341</v>
      </c>
      <c r="AM75" s="64" t="s" ph="1">
        <v>286</v>
      </c>
      <c r="AN75" s="64" t="s" ph="1">
        <v>266</v>
      </c>
      <c r="AO75" s="64" t="s" ph="1">
        <v>284</v>
      </c>
      <c r="AS75" s="64" t="s" ph="1">
        <v>256</v>
      </c>
      <c r="AT75" s="64" t="s" ph="1">
        <v>287</v>
      </c>
    </row>
    <row r="76" spans="33:52" ph="1">
      <c r="AJ76" s="64" t="s" ph="1">
        <v>288</v>
      </c>
      <c r="AK76" s="64" t="s" ph="1">
        <v>281</v>
      </c>
      <c r="AM76" s="64" t="s" ph="1">
        <v>286</v>
      </c>
      <c r="AN76" s="64" t="s" ph="1">
        <v>269</v>
      </c>
      <c r="AO76" s="64" t="s" ph="1">
        <v>284</v>
      </c>
      <c r="AS76" s="64" t="s" ph="1">
        <v>256</v>
      </c>
      <c r="AT76" s="64" t="s" ph="1">
        <v>287</v>
      </c>
    </row>
    <row r="77" spans="33:52" ph="1">
      <c r="AJ77" s="64" t="s" ph="1">
        <v>324</v>
      </c>
      <c r="AK77" s="64" t="s" ph="1">
        <v>281</v>
      </c>
      <c r="AM77" s="64" t="s" ph="1">
        <v>325</v>
      </c>
      <c r="AN77" s="64" t="s" ph="1">
        <v>264</v>
      </c>
      <c r="AO77" s="64" t="s" ph="1">
        <v>284</v>
      </c>
      <c r="AS77" s="64" t="s" ph="1">
        <v>256</v>
      </c>
      <c r="AT77" s="64" t="s" ph="1">
        <v>326</v>
      </c>
    </row>
    <row r="78" spans="33:52" ph="1">
      <c r="AH78" s="64" ph="1">
        <v>2</v>
      </c>
      <c r="AI78" s="64" t="s" ph="1">
        <v>290</v>
      </c>
      <c r="AJ78" s="64" t="s" ph="1">
        <v>291</v>
      </c>
      <c r="AK78" s="64" t="s" ph="1">
        <v>260</v>
      </c>
      <c r="AM78" s="64" t="s" ph="1">
        <v>292</v>
      </c>
      <c r="AN78" s="64" t="s" ph="1">
        <v>295</v>
      </c>
      <c r="AO78" s="64" t="s" ph="1">
        <v>284</v>
      </c>
      <c r="AP78" s="64" t="s" ph="1">
        <v>293</v>
      </c>
      <c r="AQ78" s="64" t="s" ph="1">
        <v>339</v>
      </c>
      <c r="AR78" s="64" t="s" ph="1">
        <v>284</v>
      </c>
      <c r="AS78" s="64" t="s" ph="1">
        <v>294</v>
      </c>
      <c r="AT78" s="64" t="s" ph="1">
        <v>295</v>
      </c>
      <c r="AU78" s="64" t="s" ph="1">
        <v>284</v>
      </c>
      <c r="AV78" s="64" t="s" ph="1">
        <v>296</v>
      </c>
      <c r="AW78" s="64" t="s" ph="1">
        <v>284</v>
      </c>
      <c r="AY78" s="64" t="s" ph="1">
        <v>257</v>
      </c>
      <c r="AZ78" s="64" t="s" ph="1">
        <v>443</v>
      </c>
    </row>
    <row r="79" spans="33:52" ph="1">
      <c r="AJ79" s="64" t="s" ph="1">
        <v>286</v>
      </c>
      <c r="AK79" s="64" t="s" ph="1">
        <v>297</v>
      </c>
      <c r="AM79" s="64" t="s" ph="1">
        <v>298</v>
      </c>
      <c r="AN79" s="64" t="s" ph="1">
        <v>266</v>
      </c>
      <c r="AO79" s="64" t="s" ph="1">
        <v>284</v>
      </c>
      <c r="AP79" s="64" t="s" ph="1">
        <v>299</v>
      </c>
      <c r="AQ79" s="64" t="s" ph="1">
        <v>264</v>
      </c>
      <c r="AR79" s="64" t="s" ph="1">
        <v>300</v>
      </c>
      <c r="AS79" s="64" t="s" ph="1">
        <v>256</v>
      </c>
      <c r="AT79" s="64" t="s" ph="1">
        <v>301</v>
      </c>
      <c r="AV79" s="64" t="s" ph="1">
        <v>444</v>
      </c>
      <c r="AW79" s="64" t="s" ph="1">
        <v>343</v>
      </c>
      <c r="AX79" s="64" t="s" ph="1">
        <v>441</v>
      </c>
    </row>
    <row r="80" spans="33:52" ph="1">
      <c r="AH80" s="64" ph="1">
        <v>3</v>
      </c>
      <c r="AI80" s="64" t="s" ph="1">
        <v>302</v>
      </c>
      <c r="AJ80" s="64" t="s" ph="1">
        <v>303</v>
      </c>
      <c r="AK80" s="64" t="s" ph="1">
        <v>304</v>
      </c>
      <c r="AM80" s="64" t="s" ph="1">
        <v>305</v>
      </c>
      <c r="AN80" s="64" t="s" ph="1">
        <v>295</v>
      </c>
      <c r="AO80" s="64" t="s" ph="1">
        <v>284</v>
      </c>
      <c r="AP80" s="64" t="s" ph="1">
        <v>306</v>
      </c>
      <c r="AQ80" s="64" t="s" ph="1">
        <v>269</v>
      </c>
      <c r="AR80" s="64" t="s" ph="1">
        <v>284</v>
      </c>
      <c r="AS80" s="64" t="s" ph="1">
        <v>307</v>
      </c>
      <c r="AT80" s="64" t="s" ph="1">
        <v>268</v>
      </c>
      <c r="AU80" s="64" t="s" ph="1">
        <v>284</v>
      </c>
      <c r="AV80" s="64" t="s" ph="1">
        <v>308</v>
      </c>
      <c r="AW80" s="64" t="s" ph="1">
        <v>284</v>
      </c>
      <c r="AY80" s="64" t="s" ph="1">
        <v>257</v>
      </c>
      <c r="AZ80" s="64" t="s" ph="1">
        <v>445</v>
      </c>
    </row>
    <row r="81" spans="34:52" ph="1">
      <c r="AJ81" s="64" t="s" ph="1">
        <v>309</v>
      </c>
      <c r="AK81" s="64" t="s" ph="1">
        <v>263</v>
      </c>
      <c r="AM81" s="64" t="s" ph="1">
        <v>310</v>
      </c>
      <c r="AN81" s="64" t="s" ph="1">
        <v>266</v>
      </c>
      <c r="AO81" s="64" t="s" ph="1">
        <v>284</v>
      </c>
      <c r="AP81" s="64" t="s" ph="1">
        <v>311</v>
      </c>
      <c r="AQ81" s="64" t="s" ph="1">
        <v>295</v>
      </c>
      <c r="AR81" s="64" t="s" ph="1">
        <v>284</v>
      </c>
      <c r="AS81" s="64" t="s" ph="1">
        <v>312</v>
      </c>
      <c r="AT81" s="64" t="s" ph="1">
        <v>313</v>
      </c>
      <c r="AU81" s="64" t="s" ph="1">
        <v>284</v>
      </c>
      <c r="AV81" s="64" t="s" ph="1">
        <v>314</v>
      </c>
    </row>
    <row r="82" spans="34:52" ph="1">
      <c r="AJ82" s="64" t="s" ph="1">
        <v>315</v>
      </c>
      <c r="AK82" s="64" t="s" ph="1">
        <v>263</v>
      </c>
      <c r="AM82" s="64" t="s" ph="1">
        <v>316</v>
      </c>
      <c r="AN82" s="64" t="s" ph="1">
        <v>313</v>
      </c>
      <c r="AO82" s="64" t="s" ph="1">
        <v>317</v>
      </c>
      <c r="AP82" s="64" t="s" ph="1">
        <v>318</v>
      </c>
      <c r="AQ82" s="64" t="s" ph="1">
        <v>295</v>
      </c>
      <c r="AR82" s="64" t="s" ph="1">
        <v>284</v>
      </c>
      <c r="AS82" s="64" t="s" ph="1">
        <v>319</v>
      </c>
      <c r="AT82" s="64" t="s" ph="1">
        <v>270</v>
      </c>
      <c r="AU82" s="64" t="s" ph="1">
        <v>284</v>
      </c>
      <c r="AV82" s="64" t="s" ph="1">
        <v>444</v>
      </c>
      <c r="AW82" s="64" t="s" ph="1">
        <v>344</v>
      </c>
      <c r="AX82" s="64" t="s" ph="1">
        <v>441</v>
      </c>
    </row>
    <row r="83" spans="34:52" ph="1">
      <c r="AJ83" s="64" t="s" ph="1">
        <v>320</v>
      </c>
      <c r="AK83" s="64" t="s" ph="1">
        <v>337</v>
      </c>
      <c r="AM83" s="64" t="s" ph="1">
        <v>321</v>
      </c>
      <c r="AN83" s="64" t="s" ph="1">
        <v>269</v>
      </c>
      <c r="AO83" s="64" t="s" ph="1">
        <v>300</v>
      </c>
      <c r="AP83" s="64" t="s" ph="1">
        <v>322</v>
      </c>
      <c r="AQ83" s="64" t="s" ph="1">
        <v>323</v>
      </c>
      <c r="AR83" s="64" t="s" ph="1">
        <v>300</v>
      </c>
      <c r="AS83" s="64" t="s" ph="1">
        <v>446</v>
      </c>
      <c r="AT83" s="64" t="s" ph="1">
        <v>295</v>
      </c>
      <c r="AU83" s="64" t="s" ph="1">
        <v>300</v>
      </c>
      <c r="AV83" s="64" t="s" ph="1">
        <v>447</v>
      </c>
      <c r="AW83" s="64" t="s" ph="1">
        <v>344</v>
      </c>
      <c r="AX83" s="64" t="s" ph="1">
        <v>448</v>
      </c>
    </row>
    <row r="84" spans="34:52" ph="1">
      <c r="AH84" s="64" ph="1">
        <v>4</v>
      </c>
      <c r="AI84" s="64" t="s" ph="1">
        <v>327</v>
      </c>
      <c r="AJ84" s="64" t="s" ph="1">
        <v>267</v>
      </c>
      <c r="AK84" s="64" t="s" ph="1">
        <v>270</v>
      </c>
      <c r="AM84" s="64" t="s" ph="1">
        <v>271</v>
      </c>
      <c r="AN84" s="64" t="s" ph="1">
        <v>264</v>
      </c>
      <c r="AO84" s="64" t="s" ph="1">
        <v>300</v>
      </c>
      <c r="AP84" s="64" t="s" ph="1">
        <v>329</v>
      </c>
      <c r="AQ84" s="64" t="s" ph="1">
        <v>263</v>
      </c>
      <c r="AR84" s="64" t="s" ph="1">
        <v>300</v>
      </c>
      <c r="AS84" s="64" t="s" ph="1">
        <v>329</v>
      </c>
      <c r="AT84" s="64" t="s" ph="1">
        <v>265</v>
      </c>
      <c r="AU84" s="64" t="s" ph="1">
        <v>300</v>
      </c>
      <c r="AY84" s="64" t="s" ph="1">
        <v>257</v>
      </c>
      <c r="AZ84" s="64" t="s" ph="1">
        <v>449</v>
      </c>
    </row>
    <row r="85" spans="34:52" ph="1">
      <c r="AJ85" s="64" t="s" ph="1">
        <v>259</v>
      </c>
      <c r="AK85" s="64" t="s" ph="1">
        <v>263</v>
      </c>
      <c r="AM85" s="64" t="s" ph="1">
        <v>450</v>
      </c>
      <c r="AN85" s="64" t="s" ph="1">
        <v>270</v>
      </c>
      <c r="AO85" s="64" t="s" ph="1">
        <v>300</v>
      </c>
      <c r="AP85" s="64" t="s" ph="1">
        <v>451</v>
      </c>
      <c r="AQ85" s="64" t="s" ph="1">
        <v>266</v>
      </c>
      <c r="AR85" s="64" t="s" ph="1">
        <v>300</v>
      </c>
      <c r="AS85" s="64" t="s" ph="1">
        <v>452</v>
      </c>
      <c r="AT85" s="64" t="s" ph="1">
        <v>266</v>
      </c>
      <c r="AU85" s="64" t="s" ph="1">
        <v>300</v>
      </c>
    </row>
    <row r="86" spans="34:52" ph="1">
      <c r="AJ86" s="64" t="s" ph="1">
        <v>453</v>
      </c>
      <c r="AK86" s="64" t="s" ph="1">
        <v>272</v>
      </c>
      <c r="AM86" s="64" t="s" ph="1">
        <v>454</v>
      </c>
      <c r="AN86" s="64" t="s" ph="1">
        <v>313</v>
      </c>
      <c r="AO86" s="64" t="s" ph="1">
        <v>300</v>
      </c>
      <c r="AP86" s="64" t="s" ph="1">
        <v>455</v>
      </c>
      <c r="AQ86" s="64" t="s" ph="1">
        <v>260</v>
      </c>
      <c r="AR86" s="64" t="s" ph="1">
        <v>300</v>
      </c>
      <c r="AS86" s="64" t="s" ph="1">
        <v>456</v>
      </c>
      <c r="AT86" s="64" t="s" ph="1">
        <v>278</v>
      </c>
      <c r="AU86" s="64" t="s" ph="1">
        <v>300</v>
      </c>
    </row>
    <row r="87" spans="34:52" ph="1">
      <c r="AJ87" s="64" t="s" ph="1">
        <v>457</v>
      </c>
      <c r="AK87" s="64" t="s" ph="1">
        <v>313</v>
      </c>
      <c r="AM87" s="64" t="s" ph="1">
        <v>444</v>
      </c>
      <c r="AN87" s="64" t="s" ph="1">
        <v>458</v>
      </c>
      <c r="AO87" s="64" t="s" ph="1">
        <v>441</v>
      </c>
    </row>
    <row r="88" spans="34:52" ph="1">
      <c r="AH88" s="64" ph="1">
        <v>5</v>
      </c>
      <c r="AI88" s="64" t="s" ph="1">
        <v>330</v>
      </c>
      <c r="AJ88" s="64" t="s" ph="1">
        <v>459</v>
      </c>
      <c r="AK88" s="64" t="s" ph="1">
        <v>313</v>
      </c>
      <c r="AM88" s="64" t="s" ph="1">
        <v>460</v>
      </c>
      <c r="AN88" s="64" t="s" ph="1">
        <v>313</v>
      </c>
      <c r="AO88" s="64" t="s" ph="1">
        <v>300</v>
      </c>
      <c r="AP88" s="64" t="s" ph="1">
        <v>461</v>
      </c>
      <c r="AQ88" s="64" t="s" ph="1">
        <v>263</v>
      </c>
      <c r="AR88" s="64" t="s" ph="1">
        <v>300</v>
      </c>
      <c r="AS88" s="64" t="s" ph="1">
        <v>462</v>
      </c>
      <c r="AT88" s="64" t="s" ph="1">
        <v>313</v>
      </c>
      <c r="AU88" s="64" t="s" ph="1">
        <v>300</v>
      </c>
      <c r="AV88" s="64" t="s" ph="1">
        <v>463</v>
      </c>
      <c r="AW88" s="64" t="s" ph="1">
        <v>268</v>
      </c>
      <c r="AX88" s="64" t="s" ph="1">
        <v>300</v>
      </c>
      <c r="AY88" s="64" t="s" ph="1">
        <v>257</v>
      </c>
      <c r="AZ88" s="64" t="s" ph="1">
        <v>464</v>
      </c>
    </row>
    <row r="89" spans="34:52" ph="1">
      <c r="AJ89" s="64" t="s" ph="1">
        <v>465</v>
      </c>
      <c r="AK89" s="64" t="s" ph="1">
        <v>266</v>
      </c>
      <c r="AM89" s="64" t="s" ph="1">
        <v>466</v>
      </c>
      <c r="AN89" s="64" t="s" ph="1">
        <v>269</v>
      </c>
      <c r="AO89" s="64" t="s" ph="1">
        <v>300</v>
      </c>
      <c r="AP89" s="64" t="s" ph="1">
        <v>467</v>
      </c>
      <c r="AQ89" s="64" t="s" ph="1">
        <v>278</v>
      </c>
      <c r="AR89" s="64" t="s" ph="1">
        <v>300</v>
      </c>
      <c r="AS89" s="64" t="s" ph="1">
        <v>468</v>
      </c>
      <c r="AT89" s="64" t="s" ph="1">
        <v>313</v>
      </c>
      <c r="AU89" s="64" t="s" ph="1">
        <v>300</v>
      </c>
      <c r="AV89" s="64" t="s" ph="1">
        <v>469</v>
      </c>
      <c r="AW89" s="64" t="s" ph="1">
        <v>295</v>
      </c>
      <c r="AX89" s="64" t="s" ph="1">
        <v>328</v>
      </c>
    </row>
    <row r="90" spans="34:52" ph="1">
      <c r="AJ90" s="64" t="s" ph="1">
        <v>470</v>
      </c>
      <c r="AK90" s="64" t="s" ph="1">
        <v>269</v>
      </c>
      <c r="AM90" s="64" t="s" ph="1">
        <v>471</v>
      </c>
      <c r="AN90" s="64" t="s" ph="1">
        <v>266</v>
      </c>
      <c r="AO90" s="64" t="s" ph="1">
        <v>300</v>
      </c>
      <c r="AP90" s="64" t="s" ph="1">
        <v>472</v>
      </c>
      <c r="AQ90" s="64" t="s" ph="1">
        <v>335</v>
      </c>
      <c r="AR90" s="64" t="s" ph="1">
        <v>300</v>
      </c>
      <c r="AS90" s="64" t="s" ph="1">
        <v>473</v>
      </c>
      <c r="AT90" s="64" t="s" ph="1">
        <v>323</v>
      </c>
      <c r="AU90" s="64" t="s" ph="1">
        <v>300</v>
      </c>
      <c r="AV90" s="64" t="s" ph="1">
        <v>474</v>
      </c>
      <c r="AW90" s="64" t="s" ph="1">
        <v>260</v>
      </c>
      <c r="AX90" s="64" t="s" ph="1">
        <v>300</v>
      </c>
    </row>
    <row r="91" spans="34:52" ph="1">
      <c r="AJ91" s="64" t="s" ph="1">
        <v>475</v>
      </c>
      <c r="AK91" s="64" t="s" ph="1">
        <v>313</v>
      </c>
      <c r="AM91" s="64" t="s" ph="1">
        <v>476</v>
      </c>
      <c r="AN91" s="64" t="s" ph="1">
        <v>280</v>
      </c>
      <c r="AO91" s="64" t="s" ph="1">
        <v>300</v>
      </c>
      <c r="AP91" s="64" t="s" ph="1">
        <v>477</v>
      </c>
      <c r="AQ91" s="64" t="s" ph="1">
        <v>260</v>
      </c>
      <c r="AS91" s="64" t="s" ph="1">
        <v>444</v>
      </c>
      <c r="AT91" s="64" t="s" ph="1">
        <v>440</v>
      </c>
      <c r="AU91" s="64" t="s" ph="1">
        <v>441</v>
      </c>
    </row>
    <row r="92" spans="34:52" ph="1">
      <c r="AH92" s="64" ph="1">
        <v>6</v>
      </c>
      <c r="AI92" s="64" t="s" ph="1">
        <v>478</v>
      </c>
      <c r="AJ92" s="64" t="s" ph="1">
        <v>479</v>
      </c>
      <c r="AK92" s="64" t="s" ph="1">
        <v>408</v>
      </c>
      <c r="AM92" s="64" t="s" ph="1">
        <v>480</v>
      </c>
      <c r="AN92" s="64" t="s" ph="1">
        <v>268</v>
      </c>
      <c r="AO92" s="64" t="s" ph="1">
        <v>300</v>
      </c>
      <c r="AP92" s="64" t="s" ph="1">
        <v>481</v>
      </c>
      <c r="AQ92" s="64" t="s" ph="1">
        <v>340</v>
      </c>
      <c r="AR92" s="64" t="s" ph="1">
        <v>300</v>
      </c>
      <c r="AS92" s="64" t="s" ph="1">
        <v>482</v>
      </c>
      <c r="AT92" s="64" t="s" ph="1">
        <v>313</v>
      </c>
      <c r="AU92" s="64" t="s" ph="1">
        <v>300</v>
      </c>
      <c r="AV92" s="64" t="s" ph="1">
        <v>483</v>
      </c>
      <c r="AW92" s="64" t="s" ph="1">
        <v>269</v>
      </c>
      <c r="AX92" s="64" t="s" ph="1">
        <v>300</v>
      </c>
      <c r="AY92" s="64" t="s" ph="1">
        <v>257</v>
      </c>
      <c r="AZ92" s="64" t="s" ph="1">
        <v>464</v>
      </c>
    </row>
    <row r="93" spans="34:52" ph="1">
      <c r="AJ93" s="64" t="s" ph="1">
        <v>484</v>
      </c>
      <c r="AK93" s="64" t="s" ph="1">
        <v>263</v>
      </c>
      <c r="AM93" s="64" t="s" ph="1">
        <v>485</v>
      </c>
      <c r="AN93" s="64" t="s" ph="1">
        <v>268</v>
      </c>
      <c r="AO93" s="64" t="s" ph="1">
        <v>300</v>
      </c>
      <c r="AP93" s="64" t="s" ph="1">
        <v>486</v>
      </c>
      <c r="AQ93" s="64" t="s" ph="1">
        <v>272</v>
      </c>
      <c r="AR93" s="64" t="s" ph="1">
        <v>300</v>
      </c>
      <c r="AS93" s="64" t="s" ph="1">
        <v>487</v>
      </c>
      <c r="AT93" s="64" t="s" ph="1">
        <v>278</v>
      </c>
      <c r="AU93" s="64" t="s" ph="1">
        <v>300</v>
      </c>
      <c r="AV93" s="64" t="s" ph="1">
        <v>488</v>
      </c>
      <c r="AW93" s="64" t="s" ph="1">
        <v>272</v>
      </c>
      <c r="AX93" s="64" t="s" ph="1">
        <v>300</v>
      </c>
    </row>
    <row r="94" spans="34:52" ph="1">
      <c r="AJ94" s="64" t="s" ph="1">
        <v>489</v>
      </c>
      <c r="AK94" s="64" t="s" ph="1">
        <v>335</v>
      </c>
      <c r="AM94" s="64" t="s" ph="1">
        <v>490</v>
      </c>
      <c r="AN94" s="64" t="s" ph="1">
        <v>272</v>
      </c>
      <c r="AO94" s="64" t="s" ph="1">
        <v>300</v>
      </c>
      <c r="AP94" s="64" t="s" ph="1">
        <v>491</v>
      </c>
      <c r="AQ94" s="64" t="s" ph="1">
        <v>280</v>
      </c>
      <c r="AR94" s="64" t="s" ph="1">
        <v>300</v>
      </c>
      <c r="AS94" s="64" t="s" ph="1">
        <v>492</v>
      </c>
      <c r="AT94" s="64" t="s" ph="1">
        <v>266</v>
      </c>
      <c r="AU94" s="64" t="s" ph="1">
        <v>300</v>
      </c>
      <c r="AV94" s="64" t="s" ph="1">
        <v>493</v>
      </c>
      <c r="AW94" s="64" t="s" ph="1">
        <v>266</v>
      </c>
      <c r="AX94" s="64" t="s" ph="1">
        <v>300</v>
      </c>
    </row>
    <row r="95" spans="34:52" ph="1">
      <c r="AJ95" s="64" t="s" ph="1">
        <v>494</v>
      </c>
      <c r="AK95" s="64" t="s" ph="1">
        <v>340</v>
      </c>
    </row>
    <row r="96" spans="34:52" ph="1">
      <c r="AH96" s="64" ph="1">
        <v>7</v>
      </c>
      <c r="AI96" s="64" t="s" ph="1">
        <v>495</v>
      </c>
      <c r="AJ96" s="64" t="s" ph="1">
        <v>494</v>
      </c>
      <c r="AK96" s="64" t="s" ph="1">
        <v>295</v>
      </c>
      <c r="AM96" s="64" t="s" ph="1">
        <v>496</v>
      </c>
      <c r="AN96" s="64" t="s" ph="1">
        <v>269</v>
      </c>
      <c r="AO96" s="64" t="s" ph="1">
        <v>300</v>
      </c>
      <c r="AP96" s="64" t="s" ph="1">
        <v>497</v>
      </c>
      <c r="AQ96" s="64" t="s" ph="1">
        <v>313</v>
      </c>
      <c r="AR96" s="64" t="s" ph="1">
        <v>328</v>
      </c>
      <c r="AS96" s="64" t="s" ph="1">
        <v>498</v>
      </c>
      <c r="AT96" s="64" t="s" ph="1">
        <v>272</v>
      </c>
      <c r="AU96" s="64" t="s" ph="1">
        <v>328</v>
      </c>
      <c r="AV96" s="64" t="s" ph="1">
        <v>499</v>
      </c>
      <c r="AW96" s="64" t="s" ph="1">
        <v>268</v>
      </c>
      <c r="AX96" s="64" t="s" ph="1">
        <v>328</v>
      </c>
      <c r="AY96" s="64" t="s" ph="1">
        <v>257</v>
      </c>
      <c r="AZ96" s="64" t="s" ph="1">
        <v>500</v>
      </c>
    </row>
    <row r="97" spans="33:52" ph="1">
      <c r="AJ97" s="64" t="s" ph="1">
        <v>501</v>
      </c>
      <c r="AK97" s="64" t="s" ph="1">
        <v>323</v>
      </c>
      <c r="AM97" s="64" t="s" ph="1">
        <v>502</v>
      </c>
      <c r="AN97" s="64" t="s" ph="1">
        <v>266</v>
      </c>
      <c r="AO97" s="64" t="s" ph="1">
        <v>300</v>
      </c>
      <c r="AP97" s="64" t="s" ph="1">
        <v>503</v>
      </c>
      <c r="AQ97" s="64" t="s" ph="1">
        <v>260</v>
      </c>
      <c r="AR97" s="64" t="s" ph="1">
        <v>328</v>
      </c>
      <c r="AS97" s="64" t="s" ph="1">
        <v>504</v>
      </c>
      <c r="AT97" s="64" t="s" ph="1">
        <v>263</v>
      </c>
      <c r="AU97" s="64" t="s" ph="1">
        <v>328</v>
      </c>
      <c r="AV97" s="64" t="s" ph="1">
        <v>505</v>
      </c>
      <c r="AW97" s="64" t="s" ph="1">
        <v>269</v>
      </c>
      <c r="AX97" s="64" t="s" ph="1">
        <v>328</v>
      </c>
    </row>
    <row r="98" spans="33:52" ph="1">
      <c r="AJ98" s="64" t="s" ph="1">
        <v>506</v>
      </c>
      <c r="AK98" s="64" t="s" ph="1">
        <v>272</v>
      </c>
      <c r="AM98" s="64" t="s" ph="1">
        <v>507</v>
      </c>
      <c r="AN98" s="64" t="s" ph="1">
        <v>280</v>
      </c>
      <c r="AO98" s="64" t="s" ph="1">
        <v>300</v>
      </c>
      <c r="AP98" s="64" t="s" ph="1">
        <v>508</v>
      </c>
      <c r="AQ98" s="64" t="s" ph="1">
        <v>260</v>
      </c>
      <c r="AR98" s="64" t="s" ph="1">
        <v>328</v>
      </c>
      <c r="AS98" s="64" t="s" ph="1">
        <v>509</v>
      </c>
      <c r="AT98" s="64" t="s" ph="1">
        <v>340</v>
      </c>
      <c r="AU98" s="64" t="s" ph="1">
        <v>328</v>
      </c>
      <c r="AV98" s="64" t="s" ph="1">
        <v>510</v>
      </c>
      <c r="AW98" s="64" t="s" ph="1">
        <v>263</v>
      </c>
      <c r="AX98" s="64" t="s" ph="1">
        <v>328</v>
      </c>
    </row>
    <row r="99" spans="33:52" ph="1">
      <c r="AH99" s="64" ph="1">
        <v>8</v>
      </c>
      <c r="AI99" s="64" t="s" ph="1">
        <v>511</v>
      </c>
      <c r="AJ99" s="64" t="s" ph="1">
        <v>512</v>
      </c>
      <c r="AK99" s="64" t="s" ph="1">
        <v>408</v>
      </c>
      <c r="AM99" s="64" t="s" ph="1">
        <v>513</v>
      </c>
      <c r="AN99" s="64" t="s" ph="1">
        <v>295</v>
      </c>
      <c r="AO99" s="64" t="s" ph="1">
        <v>300</v>
      </c>
      <c r="AP99" s="64" t="s" ph="1">
        <v>514</v>
      </c>
      <c r="AQ99" s="64" t="s" ph="1">
        <v>265</v>
      </c>
      <c r="AR99" s="64" t="s" ph="1">
        <v>328</v>
      </c>
      <c r="AS99" s="64" t="s" ph="1">
        <v>515</v>
      </c>
      <c r="AT99" s="64" t="s" ph="1">
        <v>280</v>
      </c>
      <c r="AU99" s="64" t="s" ph="1">
        <v>328</v>
      </c>
      <c r="AV99" s="64" t="s" ph="1">
        <v>516</v>
      </c>
      <c r="AW99" s="64" t="s" ph="1">
        <v>265</v>
      </c>
      <c r="AX99" s="64" t="s" ph="1">
        <v>328</v>
      </c>
      <c r="AY99" s="64" t="s" ph="1">
        <v>257</v>
      </c>
      <c r="AZ99" s="64" t="s" ph="1">
        <v>517</v>
      </c>
    </row>
    <row r="100" spans="33:52" ph="1">
      <c r="AJ100" s="64" t="s" ph="1">
        <v>518</v>
      </c>
      <c r="AK100" s="64" t="s" ph="1">
        <v>263</v>
      </c>
      <c r="AM100" s="64" t="s" ph="1">
        <v>519</v>
      </c>
      <c r="AN100" s="64" t="s" ph="1">
        <v>335</v>
      </c>
      <c r="AO100" s="64" t="s" ph="1">
        <v>300</v>
      </c>
      <c r="AP100" s="64" t="s" ph="1">
        <v>520</v>
      </c>
      <c r="AQ100" s="64" t="s" ph="1">
        <v>341</v>
      </c>
      <c r="AR100" s="64" t="s" ph="1">
        <v>328</v>
      </c>
      <c r="AS100" s="64" t="s" ph="1">
        <v>521</v>
      </c>
      <c r="AT100" s="64" t="s" ph="1">
        <v>408</v>
      </c>
      <c r="AU100" s="64" t="s" ph="1">
        <v>300</v>
      </c>
      <c r="AV100" s="64" t="s" ph="1">
        <v>522</v>
      </c>
      <c r="AW100" s="64" t="s" ph="1">
        <v>408</v>
      </c>
      <c r="AX100" s="64" t="s" ph="1">
        <v>300</v>
      </c>
    </row>
    <row r="101" spans="33:52" ph="1">
      <c r="AJ101" s="64" t="s" ph="1">
        <v>523</v>
      </c>
      <c r="AK101" s="64" t="s" ph="1">
        <v>408</v>
      </c>
      <c r="AM101" s="64" t="s" ph="1">
        <v>524</v>
      </c>
      <c r="AN101" s="64" t="s" ph="1">
        <v>266</v>
      </c>
      <c r="AO101" s="64" t="s" ph="1">
        <v>300</v>
      </c>
      <c r="AP101" s="64" t="s" ph="1">
        <v>525</v>
      </c>
      <c r="AQ101" s="64" t="s" ph="1">
        <v>278</v>
      </c>
      <c r="AR101" s="64" t="s" ph="1">
        <v>328</v>
      </c>
      <c r="AS101" s="64" t="s" ph="1">
        <v>526</v>
      </c>
      <c r="AT101" s="64" t="s" ph="1">
        <v>335</v>
      </c>
      <c r="AU101" s="64" t="s" ph="1">
        <v>328</v>
      </c>
      <c r="AV101" s="64" t="s" ph="1">
        <v>527</v>
      </c>
      <c r="AW101" s="64" t="s" ph="1">
        <v>266</v>
      </c>
      <c r="AX101" s="64" t="s" ph="1">
        <v>300</v>
      </c>
    </row>
    <row r="102" spans="33:52" ph="1">
      <c r="AJ102" s="64" t="s" ph="1">
        <v>528</v>
      </c>
      <c r="AK102" s="64" t="s" ph="1">
        <v>263</v>
      </c>
      <c r="AM102" s="64" t="s" ph="1">
        <v>529</v>
      </c>
      <c r="AN102" s="64" t="s" ph="1">
        <v>272</v>
      </c>
      <c r="AO102" s="64" t="s" ph="1">
        <v>300</v>
      </c>
      <c r="AP102" s="64" t="s" ph="1">
        <v>530</v>
      </c>
      <c r="AQ102" s="64" t="s" ph="1">
        <v>278</v>
      </c>
      <c r="AR102" s="64" t="s" ph="1">
        <v>300</v>
      </c>
      <c r="AS102" s="64" t="s" ph="1">
        <v>531</v>
      </c>
      <c r="AT102" s="64" t="s" ph="1">
        <v>295</v>
      </c>
      <c r="AU102" s="64" t="s" ph="1">
        <v>300</v>
      </c>
      <c r="AV102" s="64" t="s" ph="1">
        <v>532</v>
      </c>
      <c r="AW102" s="64" t="s" ph="1">
        <v>313</v>
      </c>
      <c r="AX102" s="64" t="s" ph="1">
        <v>300</v>
      </c>
    </row>
    <row r="103" spans="33:52" ph="1">
      <c r="AH103" s="64" ph="1">
        <v>9</v>
      </c>
      <c r="AI103" s="64" t="s" ph="1">
        <v>533</v>
      </c>
      <c r="AJ103" s="64" t="s" ph="1">
        <v>534</v>
      </c>
      <c r="AK103" s="64" t="s" ph="1">
        <v>408</v>
      </c>
      <c r="AM103" s="64" t="s" ph="1">
        <v>535</v>
      </c>
      <c r="AN103" s="64" t="s" ph="1">
        <v>323</v>
      </c>
      <c r="AO103" s="64" t="s" ph="1">
        <v>300</v>
      </c>
      <c r="AP103" s="64" t="s" ph="1">
        <v>377</v>
      </c>
      <c r="AQ103" s="64" t="s" ph="1">
        <v>266</v>
      </c>
      <c r="AR103" s="64" t="s" ph="1">
        <v>300</v>
      </c>
      <c r="AS103" s="64" t="s" ph="1">
        <v>611</v>
      </c>
      <c r="AT103" s="64" t="s" ph="1">
        <v>408</v>
      </c>
      <c r="AU103" s="64" t="s" ph="1">
        <v>300</v>
      </c>
      <c r="AY103" s="64" t="s" ph="1">
        <v>257</v>
      </c>
      <c r="AZ103" s="64" t="s" ph="1">
        <v>265</v>
      </c>
    </row>
    <row r="104" spans="33:52" ph="1">
      <c r="AZ104" s="64" t="s" ph="1">
        <v>536</v>
      </c>
    </row>
    <row r="105" spans="33:52" ph="1">
      <c r="AG105" s="64" t="s" ph="1">
        <v>336</v>
      </c>
      <c r="AI105" s="64" t="s" ph="1">
        <v>250</v>
      </c>
      <c r="AJ105" s="64" t="s" ph="1">
        <v>251</v>
      </c>
      <c r="AK105" s="64" t="s" ph="1">
        <v>252</v>
      </c>
      <c r="AM105" s="64" t="s" ph="1">
        <v>251</v>
      </c>
      <c r="AN105" s="64" t="s" ph="1">
        <v>252</v>
      </c>
      <c r="AO105" s="64" t="s" ph="1">
        <v>253</v>
      </c>
      <c r="AP105" s="64" t="s" ph="1">
        <v>251</v>
      </c>
      <c r="AQ105" s="64" t="s" ph="1">
        <v>252</v>
      </c>
      <c r="AR105" s="64" t="s" ph="1">
        <v>253</v>
      </c>
      <c r="AS105" s="64" t="s" ph="1">
        <v>251</v>
      </c>
      <c r="AT105" s="64" t="s" ph="1">
        <v>252</v>
      </c>
      <c r="AU105" s="64" t="s" ph="1">
        <v>253</v>
      </c>
      <c r="AV105" s="64" t="s" ph="1">
        <v>251</v>
      </c>
      <c r="AW105" s="64" t="s" ph="1">
        <v>252</v>
      </c>
      <c r="AX105" s="64" t="s" ph="1">
        <v>253</v>
      </c>
      <c r="AZ105" s="64" t="s" ph="1">
        <v>254</v>
      </c>
    </row>
    <row r="106" spans="33:52" ph="1">
      <c r="AH106" s="64" ph="1">
        <v>1</v>
      </c>
      <c r="AI106" s="64" t="s" ph="1">
        <v>537</v>
      </c>
      <c r="AJ106" s="64" t="s" ph="1">
        <v>611</v>
      </c>
      <c r="AK106" s="64" t="s" ph="1">
        <v>272</v>
      </c>
      <c r="AZ106" s="64" t="s" ph="1">
        <v>272</v>
      </c>
    </row>
    <row r="107" spans="33:52" ph="1">
      <c r="AH107" s="64" ph="1">
        <v>2</v>
      </c>
      <c r="AI107" s="64" t="s" ph="1">
        <v>538</v>
      </c>
      <c r="AJ107" s="64" t="s" ph="1">
        <v>539</v>
      </c>
      <c r="AK107" s="64" t="s" ph="1">
        <v>269</v>
      </c>
      <c r="AM107" s="64" t="s" ph="1">
        <v>375</v>
      </c>
      <c r="AN107" s="64" t="s" ph="1">
        <v>540</v>
      </c>
      <c r="AO107" s="64" t="s" ph="1">
        <v>541</v>
      </c>
      <c r="AP107" s="64" t="s" ph="1">
        <v>377</v>
      </c>
      <c r="AQ107" s="64" t="s" ph="1">
        <v>345</v>
      </c>
      <c r="AR107" s="64" t="s" ph="1">
        <v>541</v>
      </c>
      <c r="AS107" s="64" t="s" ph="1">
        <v>611</v>
      </c>
      <c r="AT107" s="64" t="s" ph="1">
        <v>540</v>
      </c>
      <c r="AU107" s="64" t="s" ph="1">
        <v>541</v>
      </c>
      <c r="AY107" s="64" t="s" ph="1">
        <v>257</v>
      </c>
      <c r="AZ107" s="64" t="s" ph="1">
        <v>621</v>
      </c>
    </row>
    <row r="108" spans="33:52" ph="1">
      <c r="AH108" s="64" ph="1">
        <v>3</v>
      </c>
      <c r="AI108" s="64" t="s" ph="1">
        <v>542</v>
      </c>
      <c r="AY108" s="64" t="s" ph="1">
        <v>257</v>
      </c>
      <c r="AZ108" s="64" t="s" ph="1">
        <v>408</v>
      </c>
    </row>
    <row r="109" spans="33:52" ph="1">
      <c r="AH109" s="64" ph="1">
        <v>4</v>
      </c>
      <c r="AI109" s="64" t="s" ph="1">
        <v>543</v>
      </c>
      <c r="AY109" s="64" t="s" ph="1">
        <v>257</v>
      </c>
      <c r="AZ109" s="64" t="s" ph="1">
        <v>408</v>
      </c>
    </row>
    <row r="110" spans="33:52" ph="1">
      <c r="AH110" s="64" ph="1">
        <v>5</v>
      </c>
      <c r="AI110" s="64" t="s" ph="1">
        <v>544</v>
      </c>
      <c r="AY110" s="64" t="s" ph="1">
        <v>257</v>
      </c>
      <c r="AZ110" s="64" t="s" ph="1">
        <v>408</v>
      </c>
    </row>
    <row r="111" spans="33:52" ph="1">
      <c r="AH111" s="64" ph="1">
        <v>6</v>
      </c>
      <c r="AI111" s="64" t="s" ph="1">
        <v>622</v>
      </c>
      <c r="AJ111" s="64" t="s" ph="1">
        <v>527</v>
      </c>
      <c r="AK111" s="64" t="s" ph="1">
        <v>266</v>
      </c>
      <c r="AM111" s="64" t="s" ph="1">
        <v>528</v>
      </c>
      <c r="AN111" s="64" t="s" ph="1">
        <v>260</v>
      </c>
      <c r="AO111" s="64" t="s" ph="1">
        <v>541</v>
      </c>
      <c r="AP111" s="64" t="s" ph="1">
        <v>529</v>
      </c>
      <c r="AQ111" s="64" t="s" ph="1">
        <v>269</v>
      </c>
      <c r="AR111" s="64" t="s" ph="1">
        <v>541</v>
      </c>
      <c r="AS111" s="64" t="s" ph="1">
        <v>530</v>
      </c>
      <c r="AT111" s="64" t="s" ph="1">
        <v>278</v>
      </c>
      <c r="AU111" s="64" t="s" ph="1">
        <v>541</v>
      </c>
      <c r="AV111" s="64" t="s" ph="1">
        <v>531</v>
      </c>
      <c r="AW111" s="64" t="s" ph="1">
        <v>268</v>
      </c>
      <c r="AX111" s="64" t="s" ph="1">
        <v>541</v>
      </c>
      <c r="AY111" s="64" t="s" ph="1">
        <v>257</v>
      </c>
      <c r="AZ111" s="64" t="s" ph="1">
        <v>545</v>
      </c>
    </row>
    <row r="112" spans="33:52" ph="1">
      <c r="AJ112" s="64" t="s" ph="1">
        <v>532</v>
      </c>
      <c r="AK112" s="64" t="s" ph="1">
        <v>313</v>
      </c>
      <c r="AM112" s="64" t="s" ph="1">
        <v>534</v>
      </c>
      <c r="AN112" s="64" t="s" ph="1">
        <v>337</v>
      </c>
      <c r="AO112" s="64" t="s" ph="1">
        <v>541</v>
      </c>
      <c r="AP112" s="64" t="s" ph="1">
        <v>535</v>
      </c>
      <c r="AQ112" s="64" t="s" ph="1">
        <v>546</v>
      </c>
      <c r="AR112" s="64" t="s" ph="1">
        <v>541</v>
      </c>
      <c r="AS112" s="64" t="s" ph="1">
        <v>547</v>
      </c>
      <c r="AT112" s="64" t="s" ph="1">
        <v>289</v>
      </c>
      <c r="AU112" s="64" t="s" ph="1">
        <v>541</v>
      </c>
      <c r="AV112" s="64" t="s" ph="1">
        <v>548</v>
      </c>
      <c r="AW112" s="64" t="s" ph="1">
        <v>335</v>
      </c>
      <c r="AX112" s="64" t="s" ph="1">
        <v>541</v>
      </c>
    </row>
    <row r="113" spans="33:52" ph="1">
      <c r="AH113" s="64" ph="1">
        <v>7</v>
      </c>
      <c r="AI113" s="64" t="s" ph="1">
        <v>549</v>
      </c>
      <c r="AJ113" s="64" t="s" ph="1">
        <v>630</v>
      </c>
      <c r="AK113" s="64" t="s" ph="1">
        <v>635</v>
      </c>
      <c r="AY113" s="64" t="s" ph="1">
        <v>257</v>
      </c>
      <c r="AZ113" s="64" t="s" ph="1">
        <v>635</v>
      </c>
    </row>
    <row r="114" spans="33:52" ph="1">
      <c r="AH114" s="64" ph="1">
        <v>8</v>
      </c>
      <c r="AI114" s="64" t="s" ph="1">
        <v>550</v>
      </c>
      <c r="AJ114" s="64" t="s" ph="1">
        <v>630</v>
      </c>
      <c r="AK114" s="64" t="s" ph="1">
        <v>636</v>
      </c>
      <c r="AY114" s="64" t="s" ph="1">
        <v>257</v>
      </c>
      <c r="AZ114" s="64" t="s" ph="1">
        <v>636</v>
      </c>
    </row>
    <row r="115" spans="33:52" ph="1">
      <c r="AH115" s="64" ph="1">
        <v>9</v>
      </c>
      <c r="AI115" s="64" t="s" ph="1">
        <v>551</v>
      </c>
      <c r="AJ115" s="64" t="s" ph="1">
        <v>630</v>
      </c>
      <c r="AK115" s="64" t="s" ph="1">
        <v>636</v>
      </c>
      <c r="AY115" s="64" t="s" ph="1">
        <v>257</v>
      </c>
      <c r="AZ115" s="64" t="s" ph="1">
        <v>636</v>
      </c>
    </row>
    <row r="116" spans="33:52" ph="1">
      <c r="AH116" s="64" ph="1">
        <v>10</v>
      </c>
      <c r="AI116" s="64" t="s" ph="1">
        <v>552</v>
      </c>
      <c r="AJ116" s="64" t="s" ph="1">
        <v>630</v>
      </c>
      <c r="AK116" s="64" t="s" ph="1">
        <v>636</v>
      </c>
      <c r="AY116" s="64" t="s" ph="1">
        <v>257</v>
      </c>
      <c r="AZ116" s="64" t="s" ph="1">
        <v>636</v>
      </c>
    </row>
    <row r="117" spans="33:52" ph="1">
      <c r="AH117" s="64" ph="1">
        <v>11</v>
      </c>
      <c r="AI117" s="64" t="s" ph="1">
        <v>553</v>
      </c>
      <c r="AJ117" s="64" t="s" ph="1">
        <v>630</v>
      </c>
      <c r="AK117" s="64" t="s" ph="1">
        <v>636</v>
      </c>
      <c r="AY117" s="64" t="s" ph="1">
        <v>257</v>
      </c>
      <c r="AZ117" s="64" t="s" ph="1">
        <v>636</v>
      </c>
    </row>
    <row r="118" spans="33:52" ph="1">
      <c r="AZ118" s="64" t="s" ph="1">
        <v>637</v>
      </c>
    </row>
    <row r="119" spans="33:52" ph="1">
      <c r="AI119" s="64" t="s" ph="1">
        <v>250</v>
      </c>
      <c r="AJ119" s="64" t="s" ph="1">
        <v>251</v>
      </c>
      <c r="AK119" s="64" t="s" ph="1">
        <v>252</v>
      </c>
      <c r="AM119" s="64" t="s" ph="1">
        <v>251</v>
      </c>
      <c r="AN119" s="64" t="s" ph="1">
        <v>252</v>
      </c>
      <c r="AO119" s="64" t="s" ph="1">
        <v>253</v>
      </c>
      <c r="AP119" s="64" t="s" ph="1">
        <v>251</v>
      </c>
      <c r="AQ119" s="64" t="s" ph="1">
        <v>252</v>
      </c>
      <c r="AR119" s="64" t="s" ph="1">
        <v>253</v>
      </c>
      <c r="AS119" s="64" t="s" ph="1">
        <v>251</v>
      </c>
      <c r="AT119" s="64" t="s" ph="1">
        <v>252</v>
      </c>
      <c r="AU119" s="64" t="s" ph="1">
        <v>253</v>
      </c>
      <c r="AV119" s="64" t="s" ph="1">
        <v>251</v>
      </c>
      <c r="AW119" s="64" t="s" ph="1">
        <v>252</v>
      </c>
      <c r="AX119" s="64" t="s" ph="1">
        <v>253</v>
      </c>
      <c r="AY119" s="64" t="s" ph="1">
        <v>252</v>
      </c>
      <c r="AZ119" s="64" t="s" ph="1">
        <v>254</v>
      </c>
    </row>
    <row r="120" spans="33:52" ph="1">
      <c r="AG120" s="64" t="s" ph="1">
        <v>394</v>
      </c>
      <c r="AH120" s="64" ph="1">
        <v>1</v>
      </c>
      <c r="AI120" s="64" t="s" ph="1">
        <v>554</v>
      </c>
      <c r="AJ120" s="64" t="s" ph="1">
        <v>628</v>
      </c>
      <c r="AK120" s="64" t="s" ph="1">
        <v>408</v>
      </c>
      <c r="AY120" s="64" t="s" ph="1">
        <v>257</v>
      </c>
      <c r="AZ120" s="64" t="s" ph="1">
        <v>408</v>
      </c>
    </row>
    <row r="121" spans="33:52" ph="1">
      <c r="AH121" s="64" ph="1">
        <v>2</v>
      </c>
      <c r="AI121" s="64" t="s" ph="1">
        <v>555</v>
      </c>
      <c r="AY121" s="64" t="s" ph="1">
        <v>257</v>
      </c>
      <c r="AZ121" s="64" t="s" ph="1">
        <v>408</v>
      </c>
    </row>
    <row r="122" spans="33:52" ph="1">
      <c r="AH122" s="64" ph="1">
        <v>3</v>
      </c>
      <c r="AI122" s="64" t="s" ph="1">
        <v>556</v>
      </c>
      <c r="AJ122" s="64" t="s" ph="1">
        <v>611</v>
      </c>
      <c r="AK122" s="64" t="s" ph="1">
        <v>623</v>
      </c>
      <c r="AM122" s="64" t="s" ph="1">
        <v>638</v>
      </c>
      <c r="AN122" s="64" t="s" ph="1">
        <v>631</v>
      </c>
      <c r="AO122" s="64" t="s" ph="1">
        <v>108</v>
      </c>
      <c r="AY122" s="64" t="s" ph="1">
        <v>257</v>
      </c>
      <c r="AZ122" s="64" t="s" ph="1">
        <v>620</v>
      </c>
    </row>
    <row r="123" spans="33:52" ph="1">
      <c r="AY123" s="64" t="s" ph="1">
        <v>257</v>
      </c>
      <c r="AZ123" s="64" t="s" ph="1">
        <v>620</v>
      </c>
    </row>
    <row r="124" spans="33:52" ph="1">
      <c r="AG124" s="64" t="s" ph="1">
        <v>397</v>
      </c>
      <c r="AH124" s="64" ph="1">
        <v>4</v>
      </c>
      <c r="AI124" s="64" t="s" ph="1">
        <v>557</v>
      </c>
      <c r="AJ124" s="64" t="s" ph="1">
        <v>558</v>
      </c>
      <c r="AK124" s="64" t="s" ph="1">
        <v>559</v>
      </c>
      <c r="AY124" s="64" t="s" ph="1">
        <v>257</v>
      </c>
      <c r="AZ124" s="64" t="s" ph="1">
        <v>559</v>
      </c>
    </row>
    <row r="125" spans="33:52" ph="1">
      <c r="AH125" s="64" ph="1">
        <v>5</v>
      </c>
      <c r="AI125" s="64" t="s" ph="1">
        <v>560</v>
      </c>
      <c r="AJ125" s="64" t="s" ph="1">
        <v>558</v>
      </c>
      <c r="AK125" s="64" t="s" ph="1">
        <v>559</v>
      </c>
      <c r="AY125" s="64" t="s" ph="1">
        <v>257</v>
      </c>
      <c r="AZ125" s="64" t="s" ph="1">
        <v>559</v>
      </c>
    </row>
    <row r="126" spans="33:52" ph="1">
      <c r="AH126" s="64" ph="1">
        <v>6</v>
      </c>
      <c r="AI126" s="64" t="s" ph="1">
        <v>561</v>
      </c>
      <c r="AJ126" s="64" t="s" ph="1">
        <v>630</v>
      </c>
      <c r="AK126" s="64" t="s" ph="1">
        <v>639</v>
      </c>
      <c r="AY126" s="64" t="s" ph="1">
        <v>257</v>
      </c>
      <c r="AZ126" s="64" t="s" ph="1">
        <v>639</v>
      </c>
    </row>
    <row r="127" spans="33:52" ph="1">
      <c r="AH127" s="64" ph="1">
        <v>7</v>
      </c>
      <c r="AI127" s="64" t="s" ph="1">
        <v>562</v>
      </c>
      <c r="AJ127" s="64" t="s" ph="1">
        <v>630</v>
      </c>
      <c r="AK127" s="64" t="s" ph="1">
        <v>640</v>
      </c>
      <c r="AY127" s="64" t="s" ph="1">
        <v>257</v>
      </c>
      <c r="AZ127" s="64" t="s" ph="1">
        <v>640</v>
      </c>
    </row>
    <row r="128" spans="33:52" ph="1">
      <c r="AH128" s="64" ph="1">
        <v>8</v>
      </c>
      <c r="AI128" s="64" t="s" ph="1">
        <v>563</v>
      </c>
      <c r="AY128" s="64" t="s" ph="1">
        <v>257</v>
      </c>
      <c r="AZ128" s="64" t="s" ph="1">
        <v>408</v>
      </c>
    </row>
    <row r="129" spans="33:52" ph="1">
      <c r="AH129" s="64" ph="1">
        <v>9</v>
      </c>
      <c r="AI129" s="64" t="s" ph="1">
        <v>564</v>
      </c>
      <c r="AY129" s="64" t="s" ph="1">
        <v>257</v>
      </c>
      <c r="AZ129" s="64" t="s" ph="1">
        <v>408</v>
      </c>
    </row>
    <row r="130" spans="33:52" ph="1">
      <c r="AH130" s="64" ph="1">
        <v>10</v>
      </c>
      <c r="AI130" s="64" t="s" ph="1">
        <v>565</v>
      </c>
      <c r="AY130" s="64" t="s" ph="1">
        <v>257</v>
      </c>
      <c r="AZ130" s="64" t="s" ph="1">
        <v>408</v>
      </c>
    </row>
    <row r="131" spans="33:52" ph="1">
      <c r="AH131" s="64" ph="1">
        <v>11</v>
      </c>
      <c r="AI131" s="64" t="s" ph="1">
        <v>566</v>
      </c>
      <c r="AJ131" s="64" t="s" ph="1">
        <v>624</v>
      </c>
      <c r="AK131" s="64" t="s" ph="1">
        <v>620</v>
      </c>
      <c r="AY131" s="64" t="s" ph="1">
        <v>257</v>
      </c>
      <c r="AZ131" s="64" t="s" ph="1">
        <v>620</v>
      </c>
    </row>
    <row r="132" spans="33:52" ph="1">
      <c r="AH132" s="64" ph="1">
        <v>12</v>
      </c>
      <c r="AI132" s="64" t="s" ph="1">
        <v>567</v>
      </c>
      <c r="AJ132" s="64" t="s" ph="1">
        <v>624</v>
      </c>
      <c r="AK132" s="64" t="s" ph="1">
        <v>559</v>
      </c>
      <c r="AY132" s="64" t="s" ph="1">
        <v>257</v>
      </c>
      <c r="AZ132" s="64" t="s" ph="1">
        <v>559</v>
      </c>
    </row>
    <row r="133" spans="33:52" ph="1">
      <c r="AH133" s="64" ph="1">
        <v>13</v>
      </c>
      <c r="AI133" s="64" t="s" ph="1">
        <v>568</v>
      </c>
      <c r="AJ133" s="64" t="s" ph="1">
        <v>624</v>
      </c>
      <c r="AK133" s="64" t="s" ph="1">
        <v>625</v>
      </c>
      <c r="AY133" s="64" t="s" ph="1">
        <v>257</v>
      </c>
      <c r="AZ133" s="64" t="s" ph="1">
        <v>625</v>
      </c>
    </row>
    <row r="134" spans="33:52" ph="1">
      <c r="AH134" s="64" ph="1">
        <v>14</v>
      </c>
      <c r="AI134" s="64" t="s" ph="1">
        <v>569</v>
      </c>
      <c r="AJ134" s="64" t="s" ph="1">
        <v>624</v>
      </c>
      <c r="AK134" s="64" t="s" ph="1">
        <v>626</v>
      </c>
      <c r="AY134" s="64" t="s" ph="1">
        <v>257</v>
      </c>
      <c r="AZ134" s="64" t="s" ph="1">
        <v>626</v>
      </c>
    </row>
    <row r="135" spans="33:52" ph="1">
      <c r="AH135" s="64" ph="1">
        <v>15</v>
      </c>
      <c r="AI135" s="64" t="s" ph="1">
        <v>570</v>
      </c>
      <c r="AJ135" s="64" t="s" ph="1">
        <v>624</v>
      </c>
      <c r="AK135" s="64" t="s" ph="1">
        <v>627</v>
      </c>
      <c r="AY135" s="64" t="s" ph="1">
        <v>257</v>
      </c>
      <c r="AZ135" s="64" t="s" ph="1">
        <v>627</v>
      </c>
    </row>
    <row r="136" spans="33:52" ph="1">
      <c r="AZ136" s="64" t="s" ph="1">
        <v>641</v>
      </c>
    </row>
    <row r="137" spans="33:52" ph="1">
      <c r="AG137" s="64" t="s" ph="1">
        <v>331</v>
      </c>
      <c r="AI137" s="64" t="s" ph="1">
        <v>250</v>
      </c>
      <c r="AJ137" s="64" t="s" ph="1">
        <v>251</v>
      </c>
      <c r="AK137" s="64" t="s" ph="1">
        <v>252</v>
      </c>
      <c r="AM137" s="64" t="s" ph="1">
        <v>251</v>
      </c>
      <c r="AN137" s="64" t="s" ph="1">
        <v>252</v>
      </c>
      <c r="AO137" s="64" t="s" ph="1">
        <v>253</v>
      </c>
      <c r="AP137" s="64" t="s" ph="1">
        <v>251</v>
      </c>
      <c r="AQ137" s="64" t="s" ph="1">
        <v>252</v>
      </c>
      <c r="AR137" s="64" t="s" ph="1">
        <v>253</v>
      </c>
      <c r="AS137" s="64" t="s" ph="1">
        <v>251</v>
      </c>
      <c r="AT137" s="64" t="s" ph="1">
        <v>252</v>
      </c>
      <c r="AU137" s="64" t="s" ph="1">
        <v>253</v>
      </c>
      <c r="AV137" s="64" t="s" ph="1">
        <v>251</v>
      </c>
      <c r="AW137" s="64" t="s" ph="1">
        <v>252</v>
      </c>
      <c r="AX137" s="64" t="s" ph="1">
        <v>253</v>
      </c>
      <c r="AY137" s="64" t="s" ph="1">
        <v>252</v>
      </c>
      <c r="AZ137" s="64" t="s" ph="1">
        <v>254</v>
      </c>
    </row>
    <row r="138" spans="33:52" ph="1">
      <c r="AH138" s="64" ph="1">
        <v>1</v>
      </c>
      <c r="AI138" s="64" t="s" ph="1">
        <v>571</v>
      </c>
      <c r="AJ138" s="64" t="s" ph="1">
        <v>572</v>
      </c>
      <c r="AK138" s="64" t="s" ph="1">
        <v>573</v>
      </c>
      <c r="AY138" s="64" t="s" ph="1">
        <v>257</v>
      </c>
      <c r="AZ138" s="64" t="s" ph="1">
        <v>573</v>
      </c>
    </row>
    <row r="139" spans="33:52" ph="1">
      <c r="AH139" s="64" ph="1">
        <v>2</v>
      </c>
      <c r="AI139" s="64" t="s" ph="1">
        <v>574</v>
      </c>
      <c r="AJ139" s="64" t="s" ph="1">
        <v>630</v>
      </c>
      <c r="AK139" s="64" t="s" ph="1">
        <v>642</v>
      </c>
      <c r="AY139" s="64" t="s" ph="1">
        <v>257</v>
      </c>
      <c r="AZ139" s="64" t="s" ph="1">
        <v>642</v>
      </c>
    </row>
    <row r="140" spans="33:52" ph="1">
      <c r="AH140" s="64" ph="1">
        <v>3</v>
      </c>
      <c r="AI140" s="64" t="s" ph="1">
        <v>575</v>
      </c>
      <c r="AJ140" s="64" t="s" ph="1">
        <v>528</v>
      </c>
      <c r="AK140" s="64" t="s" ph="1">
        <v>340</v>
      </c>
      <c r="AM140" s="64" t="s" ph="1">
        <v>529</v>
      </c>
      <c r="AN140" s="64" t="s" ph="1">
        <v>260</v>
      </c>
      <c r="AO140" s="64" t="s" ph="1">
        <v>576</v>
      </c>
      <c r="AP140" s="64" t="s" ph="1">
        <v>530</v>
      </c>
      <c r="AQ140" s="64" t="s" ph="1">
        <v>277</v>
      </c>
      <c r="AR140" s="64" t="s" ph="1">
        <v>576</v>
      </c>
      <c r="AS140" s="64" t="s" ph="1">
        <v>531</v>
      </c>
      <c r="AT140" s="64" t="s" ph="1">
        <v>270</v>
      </c>
      <c r="AU140" s="64" t="s" ph="1">
        <v>576</v>
      </c>
      <c r="AV140" s="64" t="s" ph="1">
        <v>532</v>
      </c>
      <c r="AW140" s="64" t="s" ph="1">
        <v>263</v>
      </c>
      <c r="AX140" s="64" t="s" ph="1">
        <v>576</v>
      </c>
      <c r="AY140" s="64" t="s" ph="1">
        <v>257</v>
      </c>
      <c r="AZ140" s="64" t="s" ph="1">
        <v>332</v>
      </c>
    </row>
    <row r="141" spans="33:52" ph="1">
      <c r="AJ141" s="64" t="s" ph="1">
        <v>534</v>
      </c>
      <c r="AK141" s="64" t="s" ph="1">
        <v>263</v>
      </c>
      <c r="AM141" s="64" t="s" ph="1">
        <v>535</v>
      </c>
      <c r="AN141" s="64" t="s" ph="1">
        <v>266</v>
      </c>
      <c r="AO141" s="64" t="s" ph="1">
        <v>576</v>
      </c>
      <c r="AP141" s="64" t="s" ph="1">
        <v>547</v>
      </c>
      <c r="AQ141" s="64" t="s" ph="1">
        <v>335</v>
      </c>
      <c r="AR141" s="64" t="s" ph="1">
        <v>576</v>
      </c>
      <c r="AS141" s="64" t="s" ph="1">
        <v>539</v>
      </c>
      <c r="AT141" s="64" t="s" ph="1">
        <v>263</v>
      </c>
      <c r="AU141" s="64" t="s" ph="1">
        <v>576</v>
      </c>
      <c r="AV141" s="64" t="s" ph="1">
        <v>375</v>
      </c>
      <c r="AW141" s="64" t="s" ph="1">
        <v>269</v>
      </c>
      <c r="AX141" s="64" t="s" ph="1">
        <v>576</v>
      </c>
    </row>
    <row r="142" spans="33:52" ph="1">
      <c r="AJ142" s="64" t="s" ph="1">
        <v>577</v>
      </c>
      <c r="AK142" s="64" t="s" ph="1">
        <v>280</v>
      </c>
    </row>
    <row r="143" spans="33:52" ph="1">
      <c r="AH143" s="64" ph="1">
        <v>4</v>
      </c>
      <c r="AI143" s="64" t="s" ph="1">
        <v>578</v>
      </c>
      <c r="AJ143" s="64" t="s" ph="1">
        <v>558</v>
      </c>
      <c r="AK143" s="64" t="s" ph="1">
        <v>579</v>
      </c>
      <c r="AY143" s="64" t="s" ph="1">
        <v>257</v>
      </c>
      <c r="AZ143" s="64" t="s" ph="1">
        <v>579</v>
      </c>
    </row>
    <row r="144" spans="33:52" ph="1">
      <c r="AH144" s="64" ph="1">
        <v>5</v>
      </c>
      <c r="AI144" s="64" t="s" ph="1">
        <v>580</v>
      </c>
      <c r="AY144" s="64" t="s" ph="1">
        <v>257</v>
      </c>
      <c r="AZ144" s="64" t="s" ph="1">
        <v>408</v>
      </c>
    </row>
    <row r="145" spans="33:52" ph="1">
      <c r="AH145" s="64" ph="1">
        <v>6</v>
      </c>
      <c r="AI145" s="64" t="s" ph="1">
        <v>581</v>
      </c>
      <c r="AY145" s="64" t="s" ph="1">
        <v>257</v>
      </c>
      <c r="AZ145" s="64" t="s" ph="1">
        <v>408</v>
      </c>
    </row>
    <row r="146" spans="33:52" ph="1">
      <c r="AH146" s="64" ph="1">
        <v>7</v>
      </c>
      <c r="AI146" s="64" t="s" ph="1">
        <v>582</v>
      </c>
      <c r="AY146" s="64" t="s" ph="1">
        <v>257</v>
      </c>
      <c r="AZ146" s="64" t="s" ph="1">
        <v>408</v>
      </c>
    </row>
    <row r="147" spans="33:52" ph="1">
      <c r="AH147" s="64" ph="1">
        <v>8</v>
      </c>
      <c r="AI147" s="64" t="s" ph="1">
        <v>583</v>
      </c>
      <c r="AY147" s="64" t="s" ph="1">
        <v>257</v>
      </c>
      <c r="AZ147" s="64" t="s" ph="1">
        <v>408</v>
      </c>
    </row>
    <row r="148" spans="33:52" ph="1">
      <c r="AH148" s="64" ph="1">
        <v>9</v>
      </c>
      <c r="AI148" s="64" t="s" ph="1">
        <v>584</v>
      </c>
      <c r="AY148" s="64" t="s" ph="1">
        <v>257</v>
      </c>
      <c r="AZ148" s="64" t="s" ph="1">
        <v>408</v>
      </c>
    </row>
    <row r="149" spans="33:52" ph="1">
      <c r="AH149" s="64" ph="1">
        <v>10</v>
      </c>
      <c r="AI149" s="64" t="s" ph="1">
        <v>585</v>
      </c>
      <c r="AY149" s="64" t="s" ph="1">
        <v>257</v>
      </c>
      <c r="AZ149" s="64" t="s" ph="1">
        <v>408</v>
      </c>
    </row>
    <row r="150" spans="33:52" ph="1">
      <c r="AH150" s="64" ph="1">
        <v>11</v>
      </c>
      <c r="AI150" s="64" t="s" ph="1">
        <v>586</v>
      </c>
      <c r="AY150" s="64" t="s" ph="1">
        <v>257</v>
      </c>
      <c r="AZ150" s="64" t="s" ph="1">
        <v>408</v>
      </c>
    </row>
    <row r="151" spans="33:52" ph="1">
      <c r="AH151" s="64" ph="1">
        <v>12</v>
      </c>
      <c r="AI151" s="64" t="s" ph="1">
        <v>587</v>
      </c>
      <c r="AY151" s="64" t="s" ph="1">
        <v>257</v>
      </c>
      <c r="AZ151" s="64" t="s" ph="1">
        <v>408</v>
      </c>
    </row>
    <row r="152" spans="33:52" ph="1">
      <c r="AH152" s="64" ph="1">
        <v>13</v>
      </c>
      <c r="AI152" s="64" t="s" ph="1">
        <v>588</v>
      </c>
      <c r="AY152" s="64" t="s" ph="1">
        <v>257</v>
      </c>
      <c r="AZ152" s="64" t="s" ph="1">
        <v>408</v>
      </c>
    </row>
    <row r="153" spans="33:52" ph="1">
      <c r="AH153" s="64" ph="1">
        <v>14</v>
      </c>
      <c r="AI153" s="64" t="s" ph="1">
        <v>589</v>
      </c>
      <c r="AY153" s="64" t="s" ph="1">
        <v>257</v>
      </c>
      <c r="AZ153" s="64" t="s" ph="1">
        <v>408</v>
      </c>
    </row>
    <row r="154" spans="33:52" ph="1">
      <c r="AH154" s="64" ph="1">
        <v>15</v>
      </c>
      <c r="AI154" s="64" t="s" ph="1">
        <v>590</v>
      </c>
      <c r="AY154" s="64" t="s" ph="1">
        <v>257</v>
      </c>
      <c r="AZ154" s="64" t="s" ph="1">
        <v>408</v>
      </c>
    </row>
    <row r="155" spans="33:52" ph="1">
      <c r="AH155" s="64" ph="1">
        <v>16</v>
      </c>
      <c r="AI155" s="64" t="s" ph="1">
        <v>591</v>
      </c>
      <c r="AJ155" s="64" t="s" ph="1">
        <v>377</v>
      </c>
      <c r="AK155" s="64" t="s" ph="1">
        <v>272</v>
      </c>
      <c r="AM155" s="64" t="s" ph="1">
        <v>611</v>
      </c>
      <c r="AN155" s="64" t="s" ph="1">
        <v>323</v>
      </c>
      <c r="AO155" s="64" t="s" ph="1">
        <v>576</v>
      </c>
      <c r="AY155" s="64" t="s" ph="1">
        <v>257</v>
      </c>
      <c r="AZ155" s="64" t="s" ph="1">
        <v>264</v>
      </c>
    </row>
    <row r="156" spans="33:52" ph="1">
      <c r="AZ156" s="64" t="s" ph="1">
        <v>643</v>
      </c>
    </row>
    <row r="157" spans="33:52" ph="1">
      <c r="AG157" s="64" t="s" ph="1">
        <v>592</v>
      </c>
      <c r="AI157" s="64" t="s" ph="1">
        <v>250</v>
      </c>
      <c r="AJ157" s="64" t="s" ph="1">
        <v>251</v>
      </c>
      <c r="AK157" s="64" t="s" ph="1">
        <v>252</v>
      </c>
      <c r="AM157" s="64" t="s" ph="1">
        <v>251</v>
      </c>
      <c r="AN157" s="64" t="s" ph="1">
        <v>252</v>
      </c>
      <c r="AO157" s="64" t="s" ph="1">
        <v>253</v>
      </c>
      <c r="AP157" s="64" t="s" ph="1">
        <v>251</v>
      </c>
      <c r="AQ157" s="64" t="s" ph="1">
        <v>252</v>
      </c>
      <c r="AR157" s="64" t="s" ph="1">
        <v>253</v>
      </c>
      <c r="AS157" s="64" t="s" ph="1">
        <v>251</v>
      </c>
      <c r="AT157" s="64" t="s" ph="1">
        <v>252</v>
      </c>
      <c r="AU157" s="64" t="s" ph="1">
        <v>253</v>
      </c>
      <c r="AV157" s="64" t="s" ph="1">
        <v>251</v>
      </c>
      <c r="AW157" s="64" t="s" ph="1">
        <v>252</v>
      </c>
      <c r="AX157" s="64" t="s" ph="1">
        <v>253</v>
      </c>
      <c r="AY157" s="64" t="s" ph="1">
        <v>252</v>
      </c>
      <c r="AZ157" s="64" t="s" ph="1">
        <v>254</v>
      </c>
    </row>
    <row r="158" spans="33:52" ph="1">
      <c r="AH158" s="64" ph="1">
        <v>1</v>
      </c>
      <c r="AI158" s="64" t="s" ph="1">
        <v>593</v>
      </c>
      <c r="AY158" s="64" t="s" ph="1">
        <v>257</v>
      </c>
      <c r="AZ158" s="64" t="s" ph="1">
        <v>408</v>
      </c>
    </row>
    <row r="159" spans="33:52" ph="1">
      <c r="AH159" s="64" ph="1">
        <v>2</v>
      </c>
      <c r="AI159" s="64" t="s" ph="1">
        <v>594</v>
      </c>
      <c r="AY159" s="64" t="s" ph="1">
        <v>257</v>
      </c>
      <c r="AZ159" s="64" t="s" ph="1">
        <v>408</v>
      </c>
    </row>
    <row r="160" spans="33:52" ph="1">
      <c r="AZ160" s="64" t="s" ph="1">
        <v>426</v>
      </c>
    </row>
    <row r="161" spans="33:52" ph="1">
      <c r="AG161" s="64" t="s" ph="1">
        <v>402</v>
      </c>
      <c r="AI161" s="64" t="s" ph="1">
        <v>250</v>
      </c>
      <c r="AJ161" s="64" t="s" ph="1">
        <v>251</v>
      </c>
      <c r="AK161" s="64" t="s" ph="1">
        <v>252</v>
      </c>
      <c r="AM161" s="64" t="s" ph="1">
        <v>251</v>
      </c>
      <c r="AN161" s="64" t="s" ph="1">
        <v>252</v>
      </c>
      <c r="AO161" s="64" t="s" ph="1">
        <v>253</v>
      </c>
      <c r="AP161" s="64" t="s" ph="1">
        <v>251</v>
      </c>
      <c r="AQ161" s="64" t="s" ph="1">
        <v>252</v>
      </c>
      <c r="AR161" s="64" t="s" ph="1">
        <v>253</v>
      </c>
      <c r="AS161" s="64" t="s" ph="1">
        <v>251</v>
      </c>
      <c r="AT161" s="64" t="s" ph="1">
        <v>252</v>
      </c>
      <c r="AU161" s="64" t="s" ph="1">
        <v>253</v>
      </c>
      <c r="AV161" s="64" t="s" ph="1">
        <v>251</v>
      </c>
      <c r="AW161" s="64" t="s" ph="1">
        <v>252</v>
      </c>
      <c r="AX161" s="64" t="s" ph="1">
        <v>253</v>
      </c>
      <c r="AY161" s="64" t="s" ph="1">
        <v>252</v>
      </c>
      <c r="AZ161" s="64" t="s" ph="1">
        <v>254</v>
      </c>
    </row>
    <row r="162" spans="33:52" ph="1">
      <c r="AH162" s="64" ph="1">
        <v>1</v>
      </c>
      <c r="AI162" s="64" t="s" ph="1">
        <v>595</v>
      </c>
      <c r="AJ162" s="64" t="s" ph="1">
        <v>596</v>
      </c>
      <c r="AK162" s="64" t="s" ph="1">
        <v>540</v>
      </c>
      <c r="AM162" s="64" t="s" ph="1">
        <v>597</v>
      </c>
      <c r="AN162" s="64" t="s" ph="1">
        <v>261</v>
      </c>
      <c r="AO162" s="64" t="s" ph="1">
        <v>598</v>
      </c>
      <c r="AY162" s="64" t="s" ph="1">
        <v>257</v>
      </c>
      <c r="AZ162" s="64" t="s" ph="1">
        <v>333</v>
      </c>
    </row>
    <row r="163" spans="33:52" ph="1">
      <c r="AH163" s="64" ph="1">
        <v>2</v>
      </c>
      <c r="AI163" s="64" t="s" ph="1">
        <v>599</v>
      </c>
      <c r="AJ163" s="64" t="s" ph="1">
        <v>596</v>
      </c>
      <c r="AK163" s="64" t="s" ph="1">
        <v>429</v>
      </c>
      <c r="AY163" s="64" t="s" ph="1">
        <v>257</v>
      </c>
      <c r="AZ163" s="64" t="s" ph="1">
        <v>429</v>
      </c>
    </row>
    <row r="164" spans="33:52" ph="1">
      <c r="AH164" s="64" ph="1">
        <v>3</v>
      </c>
      <c r="AI164" s="64" t="s" ph="1">
        <v>600</v>
      </c>
      <c r="AJ164" s="64" t="s" ph="1">
        <v>596</v>
      </c>
      <c r="AK164" s="64" t="s" ph="1">
        <v>333</v>
      </c>
      <c r="AY164" s="64" t="s" ph="1">
        <v>257</v>
      </c>
      <c r="AZ164" s="64" t="s" ph="1">
        <v>333</v>
      </c>
    </row>
    <row r="165" spans="33:52" ph="1">
      <c r="AH165" s="64" ph="1">
        <v>4</v>
      </c>
      <c r="AI165" s="64" t="s" ph="1">
        <v>601</v>
      </c>
      <c r="AY165" s="64" t="s" ph="1">
        <v>257</v>
      </c>
      <c r="AZ165" s="64" t="s" ph="1">
        <v>408</v>
      </c>
    </row>
    <row r="166" spans="33:52" ph="1">
      <c r="AH166" s="64" ph="1">
        <v>5</v>
      </c>
      <c r="AI166" s="64" t="s" ph="1">
        <v>602</v>
      </c>
      <c r="AY166" s="64" t="s" ph="1">
        <v>257</v>
      </c>
      <c r="AZ166" s="64" t="s" ph="1">
        <v>408</v>
      </c>
    </row>
    <row r="167" spans="33:52" ph="1">
      <c r="AZ167" s="64" t="s" ph="1">
        <v>603</v>
      </c>
    </row>
    <row r="168" spans="33:52" ph="1">
      <c r="AG168" s="64" t="s" ph="1">
        <v>346</v>
      </c>
      <c r="AI168" s="64" t="s" ph="1">
        <v>250</v>
      </c>
      <c r="AJ168" s="64" t="s" ph="1">
        <v>251</v>
      </c>
      <c r="AK168" s="64" t="s" ph="1">
        <v>252</v>
      </c>
      <c r="AM168" s="64" t="s" ph="1">
        <v>251</v>
      </c>
      <c r="AN168" s="64" t="s" ph="1">
        <v>252</v>
      </c>
      <c r="AO168" s="64" t="s" ph="1">
        <v>253</v>
      </c>
      <c r="AP168" s="64" t="s" ph="1">
        <v>251</v>
      </c>
      <c r="AQ168" s="64" t="s" ph="1">
        <v>252</v>
      </c>
      <c r="AR168" s="64" t="s" ph="1">
        <v>253</v>
      </c>
      <c r="AS168" s="64" t="s" ph="1">
        <v>251</v>
      </c>
      <c r="AT168" s="64" t="s" ph="1">
        <v>252</v>
      </c>
      <c r="AU168" s="64" t="s" ph="1">
        <v>253</v>
      </c>
      <c r="AV168" s="64" t="s" ph="1">
        <v>251</v>
      </c>
      <c r="AW168" s="64" t="s" ph="1">
        <v>252</v>
      </c>
      <c r="AX168" s="64" t="s" ph="1">
        <v>253</v>
      </c>
      <c r="AY168" s="64" t="s" ph="1">
        <v>252</v>
      </c>
      <c r="AZ168" s="64" t="s" ph="1">
        <v>254</v>
      </c>
    </row>
    <row r="169" spans="33:52" ph="1">
      <c r="AH169" s="64" ph="1">
        <v>1</v>
      </c>
      <c r="AI169" s="64" t="s" ph="1">
        <v>604</v>
      </c>
      <c r="AY169" s="64" t="s" ph="1">
        <v>257</v>
      </c>
      <c r="AZ169" s="64" t="s" ph="1">
        <v>408</v>
      </c>
    </row>
    <row r="170" spans="33:52" ph="1">
      <c r="AH170" s="64" ph="1">
        <v>2</v>
      </c>
      <c r="AI170" s="64" t="s" ph="1">
        <v>605</v>
      </c>
      <c r="AY170" s="64" t="s" ph="1">
        <v>257</v>
      </c>
      <c r="AZ170" s="64" t="s" ph="1">
        <v>408</v>
      </c>
    </row>
    <row r="171" spans="33:52" ph="1">
      <c r="AH171" s="64" ph="1">
        <v>3</v>
      </c>
      <c r="AI171" s="64" t="s" ph="1">
        <v>606</v>
      </c>
      <c r="AY171" s="64" t="s" ph="1">
        <v>257</v>
      </c>
      <c r="AZ171" s="64" t="s" ph="1">
        <v>408</v>
      </c>
    </row>
    <row r="172" spans="33:52" ph="1">
      <c r="AH172" s="64" ph="1">
        <v>4</v>
      </c>
      <c r="AI172" s="64" t="s" ph="1">
        <v>607</v>
      </c>
      <c r="AY172" s="64" t="s" ph="1">
        <v>257</v>
      </c>
      <c r="AZ172" s="64" t="s" ph="1">
        <v>408</v>
      </c>
    </row>
    <row r="173" spans="33:52" ph="1">
      <c r="AH173" s="64" ph="1">
        <v>5</v>
      </c>
      <c r="AI173" s="64" t="s" ph="1">
        <v>608</v>
      </c>
      <c r="AY173" s="64" t="s" ph="1">
        <v>257</v>
      </c>
      <c r="AZ173" s="64" t="s" ph="1">
        <v>408</v>
      </c>
    </row>
    <row r="174" spans="33:52" ph="1">
      <c r="AZ174" s="64" t="s" ph="1">
        <v>426</v>
      </c>
    </row>
    <row r="175" spans="33:52" ph="1">
      <c r="AJ175" s="64" t="s" ph="1">
        <v>347</v>
      </c>
    </row>
    <row r="176" spans="33:52" ph="1">
      <c r="AJ176" s="64" t="s" ph="1">
        <v>348</v>
      </c>
      <c r="AK176" s="64" t="s" ph="1">
        <v>349</v>
      </c>
      <c r="AM176" s="64" t="s" ph="1">
        <v>350</v>
      </c>
      <c r="AO176" s="64" t="s" ph="1">
        <v>351</v>
      </c>
      <c r="AP176" s="64" t="s" ph="1">
        <v>352</v>
      </c>
      <c r="AQ176" s="64" t="s" ph="1">
        <v>342</v>
      </c>
      <c r="AR176" s="64" t="s" ph="1">
        <v>262</v>
      </c>
    </row>
    <row r="177" spans="36:56" ph="1">
      <c r="AJ177" s="64" t="s" ph="1">
        <v>644</v>
      </c>
      <c r="AK177" s="64" t="s" ph="1">
        <v>353</v>
      </c>
      <c r="AO177" s="64" t="s" ph="1">
        <v>353</v>
      </c>
      <c r="AP177" s="64" t="s" ph="1">
        <v>353</v>
      </c>
      <c r="AQ177" s="64" t="s" ph="1">
        <v>354</v>
      </c>
      <c r="AR177" s="64" t="s" ph="1">
        <v>355</v>
      </c>
    </row>
    <row r="179" spans="36:56" ph="1">
      <c r="AJ179" s="64" t="s" ph="1">
        <v>356</v>
      </c>
      <c r="AK179" s="64" t="s" ph="1">
        <v>357</v>
      </c>
      <c r="AM179" s="64" t="s" ph="1">
        <v>358</v>
      </c>
      <c r="AN179" s="64" t="s" ph="1">
        <v>334</v>
      </c>
      <c r="AO179" s="64" t="s" ph="1">
        <v>359</v>
      </c>
      <c r="AP179" s="64" t="s" ph="1">
        <v>338</v>
      </c>
      <c r="AQ179" s="64" t="s" ph="1">
        <v>360</v>
      </c>
      <c r="AR179" s="64" t="s" ph="1">
        <v>361</v>
      </c>
    </row>
    <row r="180" spans="36:56" ph="1">
      <c r="AJ180" s="64" t="s" ph="1">
        <v>353</v>
      </c>
      <c r="AK180" s="64" t="s" ph="1">
        <v>353</v>
      </c>
      <c r="AL180" s="64" ph="1">
        <v>116</v>
      </c>
      <c r="AM180" s="64" t="s" ph="1">
        <v>353</v>
      </c>
      <c r="AN180" s="64" t="s" ph="1">
        <v>362</v>
      </c>
      <c r="AO180" s="64" t="s" ph="1">
        <v>353</v>
      </c>
      <c r="AP180" s="64" t="s" ph="1">
        <v>363</v>
      </c>
      <c r="AQ180" s="64" t="s" ph="1">
        <v>364</v>
      </c>
      <c r="AR180" s="64" t="s" ph="1">
        <v>365</v>
      </c>
    </row>
    <row r="189" spans="36:56" ph="1">
      <c r="BD189" s="64" t="s" ph="1">
        <v>609</v>
      </c>
    </row>
    <row r="223" spans="18:18" ph="1">
      <c r="R223" s="138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377" priority="96">
      <formula>ABS(D$7-D$10)&gt;=1000</formula>
    </cfRule>
  </conditionalFormatting>
  <conditionalFormatting sqref="E4 E6:E11">
    <cfRule type="expression" dxfId="376" priority="95">
      <formula>ABS(E$7-E$10)&gt;=1000</formula>
    </cfRule>
  </conditionalFormatting>
  <conditionalFormatting sqref="F4:F11">
    <cfRule type="expression" dxfId="375" priority="94">
      <formula>ABS(F$7-F$10)&gt;=1000</formula>
    </cfRule>
  </conditionalFormatting>
  <conditionalFormatting sqref="G4:G11">
    <cfRule type="expression" dxfId="374" priority="93">
      <formula>ABS(G$7-G$10)&gt;=1000</formula>
    </cfRule>
  </conditionalFormatting>
  <conditionalFormatting sqref="H4:H11">
    <cfRule type="expression" dxfId="373" priority="92">
      <formula>ABS(H$7-H$10)&gt;=1000</formula>
    </cfRule>
  </conditionalFormatting>
  <conditionalFormatting sqref="I4:I11">
    <cfRule type="expression" dxfId="372" priority="91">
      <formula>ABS(I$7-I$10)&gt;=1000</formula>
    </cfRule>
  </conditionalFormatting>
  <conditionalFormatting sqref="J4:J11">
    <cfRule type="expression" dxfId="371" priority="90">
      <formula>ABS(J$7-J$10)&gt;=1000</formula>
    </cfRule>
  </conditionalFormatting>
  <conditionalFormatting sqref="K4:K11">
    <cfRule type="expression" dxfId="370" priority="89">
      <formula>ABS(K$7-K$10)&gt;=1000</formula>
    </cfRule>
  </conditionalFormatting>
  <conditionalFormatting sqref="L4:L11">
    <cfRule type="expression" dxfId="369" priority="88">
      <formula>ABS(L$7-L$10)&gt;=1000</formula>
    </cfRule>
  </conditionalFormatting>
  <conditionalFormatting sqref="M4 M6:M11">
    <cfRule type="expression" dxfId="368" priority="87">
      <formula>ABS(M$7-M$10)&gt;=1000</formula>
    </cfRule>
  </conditionalFormatting>
  <conditionalFormatting sqref="N4 N6:N11">
    <cfRule type="expression" dxfId="367" priority="86">
      <formula>ABS(N$7-N$10)&gt;=1000</formula>
    </cfRule>
  </conditionalFormatting>
  <conditionalFormatting sqref="O4 O6:O11">
    <cfRule type="expression" dxfId="366" priority="85">
      <formula>ABS(O$7-O$10)&gt;=1000</formula>
    </cfRule>
  </conditionalFormatting>
  <conditionalFormatting sqref="P4 P6:P11">
    <cfRule type="expression" dxfId="365" priority="84">
      <formula>ABS(P$7-P$10)&gt;=1000</formula>
    </cfRule>
  </conditionalFormatting>
  <conditionalFormatting sqref="Q4:Q11">
    <cfRule type="expression" dxfId="364" priority="83">
      <formula>ABS(Q$7-Q$10)&gt;=1000</formula>
    </cfRule>
  </conditionalFormatting>
  <conditionalFormatting sqref="R4:R11">
    <cfRule type="expression" dxfId="363" priority="82">
      <formula>ABS(R$7-R$10)&gt;=1000</formula>
    </cfRule>
  </conditionalFormatting>
  <conditionalFormatting sqref="S4:S11">
    <cfRule type="expression" dxfId="362" priority="81">
      <formula>ABS(S$7-S$10)&gt;=1000</formula>
    </cfRule>
  </conditionalFormatting>
  <conditionalFormatting sqref="T4:T9 T11">
    <cfRule type="expression" dxfId="361" priority="80">
      <formula>ABS(T$7-T$10)&gt;=1000</formula>
    </cfRule>
  </conditionalFormatting>
  <conditionalFormatting sqref="U4:U9 U11">
    <cfRule type="expression" dxfId="360" priority="79">
      <formula>ABS(U$7-U$10)&gt;=1000</formula>
    </cfRule>
  </conditionalFormatting>
  <conditionalFormatting sqref="V4:V9 V11">
    <cfRule type="expression" dxfId="359" priority="78">
      <formula>ABS(V$7-V$10)&gt;=1000</formula>
    </cfRule>
  </conditionalFormatting>
  <conditionalFormatting sqref="W4:W9 W11">
    <cfRule type="expression" dxfId="358" priority="77">
      <formula>ABS(W$7-W$10)&gt;=1000</formula>
    </cfRule>
  </conditionalFormatting>
  <conditionalFormatting sqref="X4:X9 X11">
    <cfRule type="expression" dxfId="357" priority="76">
      <formula>ABS(X$7-X$10)&gt;=1000</formula>
    </cfRule>
  </conditionalFormatting>
  <conditionalFormatting sqref="Y4:Y9 Y11">
    <cfRule type="expression" dxfId="356" priority="75">
      <formula>ABS(Y$7-Y$10)&gt;=1000</formula>
    </cfRule>
  </conditionalFormatting>
  <conditionalFormatting sqref="Z4:Z11">
    <cfRule type="expression" dxfId="355" priority="74">
      <formula>ABS(Z$7-Z$10)&gt;=1000</formula>
    </cfRule>
  </conditionalFormatting>
  <conditionalFormatting sqref="AA4:AA11">
    <cfRule type="expression" dxfId="354" priority="73">
      <formula>ABS(AA$7-AA$10)&gt;=1000</formula>
    </cfRule>
  </conditionalFormatting>
  <conditionalFormatting sqref="AB4:AB11">
    <cfRule type="expression" dxfId="353" priority="72">
      <formula>ABS(AB$7-AB$10)&gt;=1000</formula>
    </cfRule>
  </conditionalFormatting>
  <conditionalFormatting sqref="AC4 AC6:AC11">
    <cfRule type="expression" dxfId="352" priority="71">
      <formula>ABS(AC$7-AC$10)&gt;=1000</formula>
    </cfRule>
  </conditionalFormatting>
  <conditionalFormatting sqref="AD4:AD11">
    <cfRule type="expression" dxfId="351" priority="70">
      <formula>ABS(AD$7-AD$10)&gt;=1000</formula>
    </cfRule>
  </conditionalFormatting>
  <conditionalFormatting sqref="AE4:AE11">
    <cfRule type="expression" dxfId="350" priority="69">
      <formula>ABS(AE$7-AE$10)&gt;=1000</formula>
    </cfRule>
  </conditionalFormatting>
  <conditionalFormatting sqref="D13:D20">
    <cfRule type="expression" dxfId="349" priority="68">
      <formula>ABS(D$16-D$19)&gt;=1000</formula>
    </cfRule>
  </conditionalFormatting>
  <conditionalFormatting sqref="E13:E20">
    <cfRule type="expression" dxfId="348" priority="67">
      <formula>ABS(E$16-E$19)&gt;=1000</formula>
    </cfRule>
  </conditionalFormatting>
  <conditionalFormatting sqref="F13 F15:F20">
    <cfRule type="expression" dxfId="347" priority="66">
      <formula>ABS(F$16-F$19)&gt;=1000</formula>
    </cfRule>
  </conditionalFormatting>
  <conditionalFormatting sqref="G13:G20">
    <cfRule type="expression" dxfId="346" priority="65">
      <formula>ABS(G$16-G$19)&gt;=1000</formula>
    </cfRule>
  </conditionalFormatting>
  <conditionalFormatting sqref="H13:H20">
    <cfRule type="expression" dxfId="345" priority="64">
      <formula>ABS(H$16-H$19)&gt;=1000</formula>
    </cfRule>
  </conditionalFormatting>
  <conditionalFormatting sqref="I13:I20">
    <cfRule type="expression" dxfId="344" priority="63">
      <formula>ABS(I$16-I$19)&gt;=1000</formula>
    </cfRule>
  </conditionalFormatting>
  <conditionalFormatting sqref="J13:J20">
    <cfRule type="expression" dxfId="343" priority="62">
      <formula>ABS(J$16-J$19)&gt;=1000</formula>
    </cfRule>
  </conditionalFormatting>
  <conditionalFormatting sqref="L13:L20">
    <cfRule type="expression" dxfId="342" priority="61">
      <formula>ABS(L$16-L$19)&gt;=1000</formula>
    </cfRule>
  </conditionalFormatting>
  <conditionalFormatting sqref="M13 M15 M17:M18 M20">
    <cfRule type="expression" dxfId="341" priority="60">
      <formula>ABS(M$16-M$19)&gt;=1000</formula>
    </cfRule>
  </conditionalFormatting>
  <conditionalFormatting sqref="N13:N20">
    <cfRule type="expression" dxfId="340" priority="59">
      <formula>ABS(N$16-N$19)&gt;=1000</formula>
    </cfRule>
  </conditionalFormatting>
  <conditionalFormatting sqref="O13:O20">
    <cfRule type="expression" dxfId="339" priority="58">
      <formula>ABS(O$16-O$19)&gt;=1000</formula>
    </cfRule>
  </conditionalFormatting>
  <conditionalFormatting sqref="P13:P20">
    <cfRule type="expression" dxfId="338" priority="57">
      <formula>ABS(P$16-P$19)&gt;=1000</formula>
    </cfRule>
  </conditionalFormatting>
  <conditionalFormatting sqref="Q13 Q15:Q20">
    <cfRule type="expression" dxfId="337" priority="56">
      <formula>ABS(Q$16-Q$19)&gt;=1000</formula>
    </cfRule>
  </conditionalFormatting>
  <conditionalFormatting sqref="R13:R20">
    <cfRule type="expression" dxfId="336" priority="55">
      <formula>ABS(R$16-R$19)&gt;=1000</formula>
    </cfRule>
  </conditionalFormatting>
  <conditionalFormatting sqref="S13:S20">
    <cfRule type="expression" dxfId="335" priority="54">
      <formula>ABS(S$16-S$19)&gt;=1000</formula>
    </cfRule>
  </conditionalFormatting>
  <conditionalFormatting sqref="T13:T20">
    <cfRule type="expression" dxfId="334" priority="53">
      <formula>ABS(T$16-T$19)&gt;=1000</formula>
    </cfRule>
  </conditionalFormatting>
  <conditionalFormatting sqref="U13:U20">
    <cfRule type="expression" dxfId="333" priority="52">
      <formula>ABS(U$16-U$19)&gt;=1000</formula>
    </cfRule>
  </conditionalFormatting>
  <conditionalFormatting sqref="V13:V20">
    <cfRule type="expression" dxfId="332" priority="51">
      <formula>ABS(V$16-V$19)&gt;=1000</formula>
    </cfRule>
  </conditionalFormatting>
  <conditionalFormatting sqref="W13 W15:W18 W20">
    <cfRule type="expression" dxfId="331" priority="50">
      <formula>ABS(W$16-W$19)&gt;=1000</formula>
    </cfRule>
  </conditionalFormatting>
  <conditionalFormatting sqref="X13 X15:X20 Y19">
    <cfRule type="expression" dxfId="330" priority="49">
      <formula>ABS(X$16-X$19)&gt;=1000</formula>
    </cfRule>
  </conditionalFormatting>
  <conditionalFormatting sqref="Y13 Y15:Y18 Y20">
    <cfRule type="expression" dxfId="329" priority="48">
      <formula>ABS(Y$16-Y$19)&gt;=1000</formula>
    </cfRule>
  </conditionalFormatting>
  <conditionalFormatting sqref="Z13:Z20">
    <cfRule type="expression" dxfId="328" priority="47">
      <formula>ABS(Z$16-Z$19)&gt;=1000</formula>
    </cfRule>
  </conditionalFormatting>
  <conditionalFormatting sqref="AA13:AA20">
    <cfRule type="expression" dxfId="327" priority="46">
      <formula>ABS(AA$16-AA$19)&gt;=1000</formula>
    </cfRule>
  </conditionalFormatting>
  <conditionalFormatting sqref="AB13 AB15:AB20">
    <cfRule type="expression" dxfId="326" priority="45">
      <formula>ABS(AB$16-AB$19)&gt;=1000</formula>
    </cfRule>
  </conditionalFormatting>
  <conditionalFormatting sqref="AC13 AC15:AC20">
    <cfRule type="expression" dxfId="325" priority="44">
      <formula>ABS(AC$16-AC$19)&gt;=1000</formula>
    </cfRule>
  </conditionalFormatting>
  <conditionalFormatting sqref="AD13:AD20">
    <cfRule type="expression" dxfId="324" priority="43">
      <formula>ABS(AD$16-AD$19)&gt;=1000</formula>
    </cfRule>
  </conditionalFormatting>
  <conditionalFormatting sqref="AE13:AE20">
    <cfRule type="expression" dxfId="323" priority="42">
      <formula>ABS(AE$16-AE$19)&gt;=1000</formula>
    </cfRule>
  </conditionalFormatting>
  <conditionalFormatting sqref="D22:D29">
    <cfRule type="expression" dxfId="322" priority="41">
      <formula>ABS(D$25-D$28)&gt;=1000</formula>
    </cfRule>
  </conditionalFormatting>
  <conditionalFormatting sqref="E22:E29">
    <cfRule type="expression" dxfId="321" priority="40">
      <formula>ABS(E$25-E$28)&gt;=1000</formula>
    </cfRule>
  </conditionalFormatting>
  <conditionalFormatting sqref="F22:F29">
    <cfRule type="expression" dxfId="320" priority="39">
      <formula>ABS(F$25-F$28)&gt;=1000</formula>
    </cfRule>
  </conditionalFormatting>
  <conditionalFormatting sqref="G22:G29">
    <cfRule type="expression" dxfId="319" priority="38">
      <formula>ABS(G$25-G$28)&gt;=1000</formula>
    </cfRule>
  </conditionalFormatting>
  <conditionalFormatting sqref="H22:H29">
    <cfRule type="expression" dxfId="318" priority="37">
      <formula>ABS(H$25-H$28)&gt;=1000</formula>
    </cfRule>
  </conditionalFormatting>
  <conditionalFormatting sqref="I22 I24:I29">
    <cfRule type="expression" dxfId="317" priority="36">
      <formula>ABS(I$25-I$28)&gt;=1000</formula>
    </cfRule>
  </conditionalFormatting>
  <conditionalFormatting sqref="J22:J29 K22">
    <cfRule type="expression" dxfId="316" priority="35">
      <formula>ABS(J$25-J$28)&gt;=1000</formula>
    </cfRule>
  </conditionalFormatting>
  <conditionalFormatting sqref="K23:K29 L25 L28">
    <cfRule type="expression" dxfId="315" priority="34">
      <formula>ABS(K$25-K$28)&gt;=1000</formula>
    </cfRule>
  </conditionalFormatting>
  <conditionalFormatting sqref="L22:L24 L26:L27 L29">
    <cfRule type="expression" dxfId="314" priority="33">
      <formula>ABS(L$25-L$28)&gt;=1000</formula>
    </cfRule>
  </conditionalFormatting>
  <conditionalFormatting sqref="M22:M29">
    <cfRule type="expression" dxfId="313" priority="32">
      <formula>ABS(M$25-M$28)&gt;=1000</formula>
    </cfRule>
  </conditionalFormatting>
  <conditionalFormatting sqref="N22:N29">
    <cfRule type="expression" dxfId="312" priority="31">
      <formula>ABS(N$25-N$28)&gt;=1000</formula>
    </cfRule>
  </conditionalFormatting>
  <conditionalFormatting sqref="O22:O29">
    <cfRule type="expression" dxfId="311" priority="30">
      <formula>ABS(O$25-O$28)&gt;=1000</formula>
    </cfRule>
  </conditionalFormatting>
  <conditionalFormatting sqref="P22:P29">
    <cfRule type="expression" dxfId="310" priority="29">
      <formula>ABS(P$25-P$28)&gt;=1000</formula>
    </cfRule>
  </conditionalFormatting>
  <conditionalFormatting sqref="Q22:Q29">
    <cfRule type="expression" dxfId="309" priority="28">
      <formula>ABS(Q$25-Q$28)&gt;=1000</formula>
    </cfRule>
  </conditionalFormatting>
  <conditionalFormatting sqref="R22:R29">
    <cfRule type="expression" dxfId="308" priority="27">
      <formula>ABS(R$25-R$28)&gt;=1000</formula>
    </cfRule>
  </conditionalFormatting>
  <conditionalFormatting sqref="S22:S29">
    <cfRule type="expression" dxfId="307" priority="26">
      <formula>ABS(S$25-S$28)&gt;=1000</formula>
    </cfRule>
  </conditionalFormatting>
  <conditionalFormatting sqref="T22:T29">
    <cfRule type="expression" dxfId="306" priority="25">
      <formula>ABS(T$25-T$28)&gt;=1000</formula>
    </cfRule>
  </conditionalFormatting>
  <conditionalFormatting sqref="U22:U29">
    <cfRule type="expression" dxfId="305" priority="24">
      <formula>ABS(U$25-U$28)&gt;=1000</formula>
    </cfRule>
  </conditionalFormatting>
  <conditionalFormatting sqref="V22:V29">
    <cfRule type="expression" dxfId="304" priority="23">
      <formula>ABS(V$25-V$28)&gt;=1000</formula>
    </cfRule>
  </conditionalFormatting>
  <conditionalFormatting sqref="W22:W29">
    <cfRule type="expression" dxfId="303" priority="22">
      <formula>ABS(W$25-W$28)&gt;=1000</formula>
    </cfRule>
  </conditionalFormatting>
  <conditionalFormatting sqref="X22:X29">
    <cfRule type="expression" dxfId="302" priority="21">
      <formula>ABS(X$25-X$28)&gt;=1000</formula>
    </cfRule>
  </conditionalFormatting>
  <conditionalFormatting sqref="Y22:Y29">
    <cfRule type="expression" dxfId="301" priority="20">
      <formula>ABS(Y$25-Y$28)&gt;=1000</formula>
    </cfRule>
  </conditionalFormatting>
  <conditionalFormatting sqref="I23">
    <cfRule type="expression" dxfId="300" priority="19">
      <formula>ABS(I$25-I$28)&gt;=1000</formula>
    </cfRule>
  </conditionalFormatting>
  <conditionalFormatting sqref="F14">
    <cfRule type="expression" dxfId="299" priority="18">
      <formula>ABS(F$16-F$19)&gt;=1000</formula>
    </cfRule>
  </conditionalFormatting>
  <conditionalFormatting sqref="Q14">
    <cfRule type="expression" dxfId="298" priority="17">
      <formula>ABS(Q$16-Q$19)&gt;=1000</formula>
    </cfRule>
  </conditionalFormatting>
  <conditionalFormatting sqref="W14">
    <cfRule type="expression" dxfId="297" priority="16">
      <formula>ABS(W$16-W$19)&gt;=1000</formula>
    </cfRule>
  </conditionalFormatting>
  <conditionalFormatting sqref="Y14">
    <cfRule type="expression" dxfId="296" priority="15">
      <formula>ABS(Y$16-Y$19)&gt;=1000</formula>
    </cfRule>
  </conditionalFormatting>
  <conditionalFormatting sqref="X14">
    <cfRule type="expression" dxfId="295" priority="14">
      <formula>ABS(X$16-X$19)&gt;=1000</formula>
    </cfRule>
  </conditionalFormatting>
  <conditionalFormatting sqref="T10:Y10">
    <cfRule type="expression" dxfId="294" priority="13">
      <formula>ABS(T$7-T$10)&gt;=1000</formula>
    </cfRule>
  </conditionalFormatting>
  <conditionalFormatting sqref="W19">
    <cfRule type="expression" dxfId="293" priority="12">
      <formula>ABS(W$16-W$19)&gt;=1000</formula>
    </cfRule>
  </conditionalFormatting>
  <conditionalFormatting sqref="AC5">
    <cfRule type="expression" dxfId="292" priority="11">
      <formula>ABS(AC$7-AC$10)&gt;=1000</formula>
    </cfRule>
  </conditionalFormatting>
  <conditionalFormatting sqref="M14">
    <cfRule type="expression" dxfId="291" priority="10">
      <formula>ABS(M$16-M$19)&gt;=1000</formula>
    </cfRule>
  </conditionalFormatting>
  <conditionalFormatting sqref="M16">
    <cfRule type="expression" dxfId="290" priority="9">
      <formula>ABS(M$16-M$19)&gt;=1000</formula>
    </cfRule>
  </conditionalFormatting>
  <conditionalFormatting sqref="M19">
    <cfRule type="expression" dxfId="289" priority="8">
      <formula>ABS(M$16-M$19)&gt;=1000</formula>
    </cfRule>
  </conditionalFormatting>
  <conditionalFormatting sqref="K13:K20">
    <cfRule type="expression" dxfId="288" priority="7">
      <formula>ABS(K$16-K$19)&gt;=1000</formula>
    </cfRule>
  </conditionalFormatting>
  <conditionalFormatting sqref="E5">
    <cfRule type="expression" dxfId="287" priority="6">
      <formula>ABS(E$7-E$10)&gt;=1000</formula>
    </cfRule>
  </conditionalFormatting>
  <conditionalFormatting sqref="AB14:AC14">
    <cfRule type="expression" dxfId="286" priority="5">
      <formula>ABS(AB$16-AB$19)&gt;=1000</formula>
    </cfRule>
  </conditionalFormatting>
  <conditionalFormatting sqref="M5">
    <cfRule type="expression" dxfId="285" priority="4">
      <formula>ABS(M$7-M$10)&gt;=1000</formula>
    </cfRule>
  </conditionalFormatting>
  <conditionalFormatting sqref="N5">
    <cfRule type="expression" dxfId="284" priority="3">
      <formula>ABS(N$7-N$10)&gt;=1000</formula>
    </cfRule>
  </conditionalFormatting>
  <conditionalFormatting sqref="O5">
    <cfRule type="expression" dxfId="283" priority="2">
      <formula>ABS(O$7-O$10)&gt;=1000</formula>
    </cfRule>
  </conditionalFormatting>
  <conditionalFormatting sqref="P5">
    <cfRule type="expression" dxfId="282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0947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82">
    <pageSetUpPr fitToPage="1"/>
  </sheetPr>
  <dimension ref="A1:CU223"/>
  <sheetViews>
    <sheetView view="pageBreakPreview" zoomScale="70" zoomScaleNormal="100" zoomScaleSheetLayoutView="70" workbookViewId="0">
      <selection activeCell="W18" sqref="W18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08" t="s" ph="1">
        <v>192</v>
      </c>
      <c r="C1" s="208" ph="1"/>
      <c r="D1" s="208" ph="1"/>
      <c r="E1" s="208" ph="1"/>
      <c r="F1" s="208" ph="1"/>
      <c r="G1" s="208" ph="1"/>
      <c r="H1" s="208" ph="1"/>
      <c r="I1" s="208" ph="1"/>
      <c r="J1" s="208" ph="1"/>
      <c r="K1" s="208" ph="1"/>
      <c r="L1" s="208" ph="1"/>
      <c r="M1" s="208" ph="1"/>
      <c r="N1" s="208" ph="1"/>
      <c r="O1" s="208" ph="1"/>
      <c r="P1" s="208" ph="1"/>
      <c r="Q1" s="208" ph="1"/>
      <c r="R1" s="208" ph="1"/>
      <c r="S1" s="208" ph="1"/>
      <c r="T1" s="208" ph="1"/>
      <c r="U1" s="208" ph="1"/>
      <c r="V1" s="208" ph="1"/>
      <c r="W1" s="208" ph="1"/>
      <c r="X1" s="208" ph="1"/>
      <c r="Y1" s="208" ph="1"/>
      <c r="Z1" s="208" ph="1"/>
      <c r="AA1" s="208" ph="1"/>
      <c r="AB1" s="208" ph="1"/>
      <c r="AC1" s="208" ph="1"/>
      <c r="AD1" s="208" ph="1"/>
      <c r="AE1" s="208" ph="1"/>
    </row>
    <row r="2" spans="1:99" s="66" customFormat="1" ht="24" customHeight="1" ph="1">
      <c r="B2" s="209" t="s" ph="1">
        <v>99</v>
      </c>
      <c r="C2" s="209" ph="1"/>
      <c r="D2" s="209" ph="1"/>
      <c r="E2" s="209" ph="1"/>
      <c r="F2" s="209" ph="1"/>
      <c r="G2" s="209" ph="1"/>
      <c r="H2" s="209" ph="1"/>
      <c r="I2" s="209" ph="1"/>
      <c r="J2" s="209" ph="1"/>
      <c r="K2" s="209" ph="1"/>
      <c r="L2" s="209" ph="1"/>
      <c r="M2" s="209" ph="1"/>
      <c r="N2" s="209" ph="1"/>
      <c r="O2" s="209" ph="1"/>
      <c r="P2" s="209" ph="1"/>
      <c r="Q2" s="209" ph="1"/>
      <c r="R2" s="209" ph="1"/>
      <c r="S2" s="209" ph="1"/>
      <c r="T2" s="209" ph="1"/>
      <c r="U2" s="209" ph="1"/>
      <c r="V2" s="209" ph="1"/>
      <c r="W2" s="209" ph="1"/>
      <c r="X2" s="209" ph="1"/>
      <c r="Y2" s="209" ph="1"/>
      <c r="Z2" s="209" ph="1"/>
      <c r="AA2" s="209" ph="1"/>
      <c r="AB2" s="209" ph="1"/>
      <c r="AC2" s="209" ph="1"/>
      <c r="AD2" s="209" ph="1"/>
      <c r="AE2" s="209" ph="1"/>
    </row>
    <row r="3" spans="1:99" ht="21" customHeight="1" ph="1">
      <c r="B3" s="210" ph="1">
        <v>45714</v>
      </c>
      <c r="C3" s="210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210"/>
      <c r="R3" s="210"/>
      <c r="S3" s="210"/>
      <c r="T3" s="210"/>
      <c r="U3" s="210"/>
      <c r="V3" s="210"/>
      <c r="W3" s="210"/>
      <c r="X3" s="210"/>
      <c r="Y3" s="210"/>
      <c r="Z3" s="210"/>
      <c r="AA3" s="210"/>
      <c r="AB3" s="210"/>
      <c r="AC3" s="210"/>
      <c r="AD3" s="210"/>
      <c r="AE3" s="210"/>
    </row>
    <row r="4" spans="1:99" s="69" customFormat="1" ph="1">
      <c r="A4" s="65" ph="1"/>
      <c r="B4" s="211" t="s" ph="1">
        <v>37</v>
      </c>
      <c r="C4" s="67" t="s" ph="1">
        <v>207</v>
      </c>
      <c r="D4" s="68" t="s" ph="1">
        <v>45</v>
      </c>
      <c r="E4" s="68" t="s" ph="1">
        <v>46</v>
      </c>
      <c r="F4" s="68" t="s" ph="1">
        <v>39</v>
      </c>
      <c r="G4" s="68" t="s" ph="1">
        <v>47</v>
      </c>
      <c r="H4" s="68" t="s" ph="1">
        <v>48</v>
      </c>
      <c r="I4" s="68" t="s" ph="1">
        <v>132</v>
      </c>
      <c r="J4" s="68" t="s" ph="1">
        <v>49</v>
      </c>
      <c r="K4" s="68" t="s" ph="1">
        <v>133</v>
      </c>
      <c r="L4" s="68" t="s" ph="1">
        <v>134</v>
      </c>
      <c r="M4" s="68" t="s" ph="1">
        <v>50</v>
      </c>
      <c r="N4" s="68" t="s" ph="1">
        <v>51</v>
      </c>
      <c r="O4" s="68" t="s" ph="1">
        <v>136</v>
      </c>
      <c r="P4" s="68" t="s" ph="1">
        <v>138</v>
      </c>
      <c r="Q4" s="68" t="s" ph="1">
        <v>139</v>
      </c>
      <c r="R4" s="68" t="s" ph="1">
        <v>140</v>
      </c>
      <c r="S4" s="68" t="s" ph="1">
        <v>141</v>
      </c>
      <c r="T4" s="68" t="s" ph="1">
        <v>142</v>
      </c>
      <c r="U4" s="68" t="s" ph="1">
        <v>143</v>
      </c>
      <c r="V4" s="68" t="s" ph="1">
        <v>144</v>
      </c>
      <c r="W4" s="68" t="s" ph="1">
        <v>145</v>
      </c>
      <c r="X4" s="68" t="s" ph="1">
        <v>146</v>
      </c>
      <c r="Y4" s="68" t="s" ph="1">
        <v>147</v>
      </c>
      <c r="Z4" s="68" t="s" ph="1">
        <v>52</v>
      </c>
      <c r="AA4" s="68" t="s" ph="1">
        <v>148</v>
      </c>
      <c r="AB4" s="68" t="s" ph="1">
        <v>149</v>
      </c>
      <c r="AC4" s="68" t="s" ph="1">
        <v>150</v>
      </c>
      <c r="AD4" s="68" t="s" ph="1">
        <v>40</v>
      </c>
      <c r="AE4" s="68" t="s" ph="1">
        <v>151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1" ph="1"/>
      <c r="C5" s="67" t="s" ph="1">
        <v>36</v>
      </c>
      <c r="D5" s="70" t="s" ph="1">
        <v>191</v>
      </c>
      <c r="E5" s="70" t="s" ph="1">
        <v>7</v>
      </c>
      <c r="F5" s="70" t="s" ph="1">
        <v>1</v>
      </c>
      <c r="G5" s="70" t="s" ph="1">
        <v>7</v>
      </c>
      <c r="H5" s="70" t="s" ph="1">
        <v>7</v>
      </c>
      <c r="I5" s="70" t="s" ph="1">
        <v>657</v>
      </c>
      <c r="J5" s="70" t="s" ph="1">
        <v>658</v>
      </c>
      <c r="K5" s="70" t="s" ph="1">
        <v>660</v>
      </c>
      <c r="L5" s="70" t="s" ph="1">
        <v>662</v>
      </c>
      <c r="M5" s="70" t="s" ph="1">
        <v>657</v>
      </c>
      <c r="N5" s="70" t="s" ph="1">
        <v>658</v>
      </c>
      <c r="O5" s="70" t="s" ph="1">
        <v>660</v>
      </c>
      <c r="P5" s="70" t="s" ph="1">
        <v>662</v>
      </c>
      <c r="Q5" s="70" t="s" ph="1">
        <v>656</v>
      </c>
      <c r="R5" s="70" t="s" ph="1">
        <v>656</v>
      </c>
      <c r="S5" s="70" t="s" ph="1">
        <v>656</v>
      </c>
      <c r="T5" s="70" t="s" ph="1">
        <v>656</v>
      </c>
      <c r="U5" s="70" t="s" ph="1">
        <v>656</v>
      </c>
      <c r="V5" s="70" t="s" ph="1">
        <v>656</v>
      </c>
      <c r="W5" s="70" t="s" ph="1">
        <v>656</v>
      </c>
      <c r="X5" s="70" t="s" ph="1">
        <v>656</v>
      </c>
      <c r="Y5" s="70" t="s" ph="1">
        <v>656</v>
      </c>
      <c r="Z5" s="70" t="s" ph="1">
        <v>663</v>
      </c>
      <c r="AA5" s="70" t="s" ph="1">
        <v>62</v>
      </c>
      <c r="AB5" s="70" t="s" ph="1">
        <v>62</v>
      </c>
      <c r="AC5" s="70" t="s" ph="1">
        <v>664</v>
      </c>
      <c r="AD5" s="70" t="s" ph="1">
        <v>83</v>
      </c>
      <c r="AE5" s="70" t="s" ph="1">
        <v>654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07" ph="1">
        <v>0.33333333333333331</v>
      </c>
      <c r="C6" s="183" t="s" ph="1">
        <v>208</v>
      </c>
      <c r="D6" s="71">
        <v>3015</v>
      </c>
      <c r="E6" s="71">
        <v>0</v>
      </c>
      <c r="F6" s="71">
        <v>6810</v>
      </c>
      <c r="G6" s="71">
        <v>6194</v>
      </c>
      <c r="H6" s="71">
        <v>3741</v>
      </c>
      <c r="I6" s="71">
        <v>27.11</v>
      </c>
      <c r="J6" s="71">
        <v>7.81</v>
      </c>
      <c r="K6" s="71">
        <v>87.11</v>
      </c>
      <c r="L6" s="71">
        <v>40.409999999999997</v>
      </c>
      <c r="M6" s="71">
        <v>3959</v>
      </c>
      <c r="N6" s="71">
        <v>4535</v>
      </c>
      <c r="O6" s="71">
        <v>3186</v>
      </c>
      <c r="P6" s="71">
        <v>4197</v>
      </c>
      <c r="Q6" s="71">
        <v>2294</v>
      </c>
      <c r="R6" s="71">
        <v>0</v>
      </c>
      <c r="S6" s="71">
        <v>0</v>
      </c>
      <c r="T6" s="71">
        <v>0</v>
      </c>
      <c r="U6" s="71">
        <v>0</v>
      </c>
      <c r="V6" s="71">
        <v>0</v>
      </c>
      <c r="W6" s="71">
        <v>0</v>
      </c>
      <c r="X6" s="71">
        <v>0</v>
      </c>
      <c r="Y6" s="71">
        <v>0</v>
      </c>
      <c r="Z6" s="71">
        <v>4577</v>
      </c>
      <c r="AA6" s="71">
        <v>1627</v>
      </c>
      <c r="AB6" s="71">
        <v>2455</v>
      </c>
      <c r="AC6" s="71">
        <v>4890</v>
      </c>
      <c r="AD6" s="71">
        <v>102</v>
      </c>
      <c r="AE6" s="71">
        <v>2240</v>
      </c>
    </row>
    <row r="7" spans="1:99" s="72" customFormat="1" ht="22.5" ph="1">
      <c r="B7" s="207" ph="1"/>
      <c r="C7" s="68" t="s" ph="1">
        <v>209</v>
      </c>
      <c r="D7" s="73" ph="1">
        <f>D6*33.183*LOOKUP(D8,密度!$A$2:$A$50,密度!$Q$2:$Q$50)</f>
        <v>95324.538635999997</v>
      </c>
      <c r="E7" s="73" ph="1">
        <f>E6*51.53*LOOKUP(E8,密度!$A$2:$A$50,密度!$I$2:$I$50)</f>
        <v>0</v>
      </c>
      <c r="F7" s="73" ph="1">
        <f>F6*33.183*LOOKUP(F8,密度!$A$2:$A$50,密度!$C$2:$C$50)</f>
        <v>252144.27743399999</v>
      </c>
      <c r="G7" s="73" ph="1">
        <f xml:space="preserve"> (G6+2)*51.53*LOOKUP(G8,密度!$A$2:$A$50,密度!$B$2:$B$50)</f>
        <v>251592.54544000002</v>
      </c>
      <c r="H7" s="73" ph="1">
        <f>(H6)*51.53*LOOKUP(H8,密度!$A$2:$A$50,密度!$B$2:$B$50)</f>
        <v>152888.84526300002</v>
      </c>
      <c r="I7" s="73" ph="1">
        <f>I6*290.8*1.0267</f>
        <v>8094.0797995999992</v>
      </c>
      <c r="J7" s="73" ph="1">
        <f>J6*290.8*0.7892</f>
        <v>1792.3900016000002</v>
      </c>
      <c r="K7" s="73" ph="1">
        <f>K6*290.8*1.1126</f>
        <v>28183.924808800002</v>
      </c>
      <c r="L7" s="73" ph="1">
        <f>L6*290.8*0.777</f>
        <v>9130.7041559999998</v>
      </c>
      <c r="M7" s="73" ph="1">
        <f>M6*33.183*LOOKUP(M8,密度!$A$2:$A$50,密度!$D$2:$D$50)</f>
        <v>136048.32229320001</v>
      </c>
      <c r="N7" s="73" ph="1">
        <f>N6*33.183*LOOKUP(N8,密度!$A$2:$A$50,密度!$E$2:$E$50)</f>
        <v>119424.82060799999</v>
      </c>
      <c r="O7" s="73" ph="1">
        <f>O6*20.428*LOOKUP(O8,密度!$A$2:$A$50,密度!$C$2:$C$50)</f>
        <v>72412.022260800004</v>
      </c>
      <c r="P7" s="73" ph="1">
        <f>P6*51.53*LOOKUP(P8,密度!$A$2:$A$50,密度!$B$2:$B$50)</f>
        <v>170421.87108000001</v>
      </c>
      <c r="Q7" s="73" ph="1">
        <f>Q6*1.5*1.5*3.1416*LOOKUP(W8,密度!$A$2:$A$50,密度!$L$2:$L$50)</f>
        <v>15355.9538748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143677.14708599998</v>
      </c>
      <c r="AA7" s="73" ph="1">
        <f>AA6*33.183*LOOKUP(AA8,密度!$A$2:$A$50,密度!$D$2:$D$50)</f>
        <v>55910.740179600005</v>
      </c>
      <c r="AB7" s="73" ph="1">
        <f>AB6*20.428*LOOKUP(AB8,密度!$A$2:$A$50,密度!$D$2:$D$50)</f>
        <v>52337.312264000007</v>
      </c>
      <c r="AC7" s="73" ph="1">
        <f>AC6*51.53*LOOKUP(AC8,密度!$A$2:$A$50,密度!$Q$2:$Q$50)</f>
        <v>240526.61191800004</v>
      </c>
      <c r="AD7" s="73" ph="1">
        <f>AD6*20.428*LOOKUP(AD8,密度!$A$2:$A$50,密度!$V$2:$V$50)</f>
        <v>2008.6443839999999</v>
      </c>
      <c r="AE7" s="73" ph="1">
        <f>AE6*20.428</f>
        <v>45758.720000000001</v>
      </c>
    </row>
    <row r="8" spans="1:99" ph="1">
      <c r="B8" s="207" ph="1"/>
      <c r="C8" s="68" t="s" ph="1">
        <v>210</v>
      </c>
      <c r="D8" s="74">
        <v>17</v>
      </c>
      <c r="E8" s="74">
        <v>14</v>
      </c>
      <c r="F8" s="74">
        <v>15</v>
      </c>
      <c r="G8" s="74">
        <v>15</v>
      </c>
      <c r="H8" s="74">
        <v>9</v>
      </c>
      <c r="I8" s="74">
        <v>25</v>
      </c>
      <c r="J8" s="74">
        <v>25</v>
      </c>
      <c r="K8" s="74">
        <v>25</v>
      </c>
      <c r="L8" s="74">
        <v>25</v>
      </c>
      <c r="M8" s="74">
        <v>15</v>
      </c>
      <c r="N8" s="74">
        <v>16</v>
      </c>
      <c r="O8" s="74">
        <v>20</v>
      </c>
      <c r="P8" s="74">
        <v>15</v>
      </c>
      <c r="Q8" s="74">
        <v>14</v>
      </c>
      <c r="R8" s="74">
        <v>21</v>
      </c>
      <c r="S8" s="74">
        <v>10</v>
      </c>
      <c r="T8" s="74">
        <v>11</v>
      </c>
      <c r="U8" s="74">
        <v>15</v>
      </c>
      <c r="V8" s="74">
        <v>20</v>
      </c>
      <c r="W8" s="74">
        <v>15</v>
      </c>
      <c r="X8" s="74">
        <v>5</v>
      </c>
      <c r="Y8" s="74">
        <v>18</v>
      </c>
      <c r="Z8" s="74">
        <v>16</v>
      </c>
      <c r="AA8" s="74">
        <v>15</v>
      </c>
      <c r="AB8" s="74">
        <v>6</v>
      </c>
      <c r="AC8" s="74">
        <v>13</v>
      </c>
      <c r="AD8" s="74">
        <v>12</v>
      </c>
      <c r="AE8" s="74">
        <v>16</v>
      </c>
    </row>
    <row r="9" spans="1:99" ph="1">
      <c r="B9" s="207" ph="1">
        <v>0.66666666666666663</v>
      </c>
      <c r="C9" s="183" t="s" ph="1">
        <v>211</v>
      </c>
      <c r="D9" s="71">
        <v>2215</v>
      </c>
      <c r="E9" s="71">
        <v>0</v>
      </c>
      <c r="F9" s="71">
        <v>6809</v>
      </c>
      <c r="G9" s="71">
        <v>5942</v>
      </c>
      <c r="H9" s="71">
        <v>5466</v>
      </c>
      <c r="I9" s="71">
        <v>27.11</v>
      </c>
      <c r="J9" s="71">
        <v>7.81</v>
      </c>
      <c r="K9" s="71">
        <v>87.11</v>
      </c>
      <c r="L9" s="71">
        <v>38.909999999999997</v>
      </c>
      <c r="M9" s="71">
        <v>3942</v>
      </c>
      <c r="N9" s="71">
        <v>4533</v>
      </c>
      <c r="O9" s="71">
        <v>2296</v>
      </c>
      <c r="P9" s="71">
        <v>3958</v>
      </c>
      <c r="Q9" s="71">
        <v>5498</v>
      </c>
      <c r="R9" s="71">
        <v>4607</v>
      </c>
      <c r="S9" s="71">
        <v>0</v>
      </c>
      <c r="T9" s="71">
        <v>0</v>
      </c>
      <c r="U9" s="71">
        <v>0</v>
      </c>
      <c r="V9" s="71">
        <v>0</v>
      </c>
      <c r="W9" s="71">
        <v>0</v>
      </c>
      <c r="X9" s="71">
        <v>0</v>
      </c>
      <c r="Y9" s="71">
        <v>0</v>
      </c>
      <c r="Z9" s="71">
        <v>3474</v>
      </c>
      <c r="AA9" s="71">
        <v>1626</v>
      </c>
      <c r="AB9" s="71">
        <v>2455</v>
      </c>
      <c r="AC9" s="71">
        <v>4889</v>
      </c>
      <c r="AD9" s="71">
        <v>101</v>
      </c>
      <c r="AE9" s="71">
        <v>1947</v>
      </c>
    </row>
    <row r="10" spans="1:99" s="72" customFormat="1" ht="22.5" ph="1">
      <c r="B10" s="207" ph="1"/>
      <c r="C10" s="183" t="s" ph="1">
        <v>209</v>
      </c>
      <c r="D10" s="73" ph="1">
        <f>D9*33.183*LOOKUP(D11,密度!$A$2:$A$50,密度!$Q$2:$Q$50)</f>
        <v>69973.06344345001</v>
      </c>
      <c r="E10" s="73" ph="1">
        <f>E9*51.53*LOOKUP(E11,密度!$A$2:$A$50,密度!$I$2:$I$50)</f>
        <v>0</v>
      </c>
      <c r="F10" s="73" ph="1">
        <f>F9*33.183*LOOKUP(F11,密度!$A$2:$A$50,密度!$C$2:$C$50)</f>
        <v>251971.68601439998</v>
      </c>
      <c r="G10" s="73" ph="1">
        <f xml:space="preserve"> (G9+2)*51.53*LOOKUP(G11,密度!$A$2:$A$50,密度!$B$2:$B$50)</f>
        <v>241114.88870400001</v>
      </c>
      <c r="H10" s="73" ph="1">
        <f>(H9)*51.53*LOOKUP(H11,密度!$A$2:$A$50,密度!$B$2:$B$50)</f>
        <v>222908.08237199998</v>
      </c>
      <c r="I10" s="73" ph="1">
        <f>I9*290.8*1.0267</f>
        <v>8094.0797995999992</v>
      </c>
      <c r="J10" s="73" ph="1">
        <f>J9*290.8*0.7892</f>
        <v>1792.3900016000002</v>
      </c>
      <c r="K10" s="73" ph="1">
        <f>K9*290.8*1.1126</f>
        <v>28183.924808800002</v>
      </c>
      <c r="L10" s="73" ph="1">
        <f>L9*290.8*0.777</f>
        <v>8791.7767560000011</v>
      </c>
      <c r="M10" s="73" ph="1">
        <f>M9*33.183*LOOKUP(M11,密度!$A$2:$A$50,密度!$D$2:$D$50)</f>
        <v>135359.4830328</v>
      </c>
      <c r="N10" s="73" ph="1">
        <f>N9*33.183*LOOKUP(N11,密度!$A$2:$A$50,密度!$E$2:$E$50)</f>
        <v>119372.15255039999</v>
      </c>
      <c r="O10" s="73" ph="1">
        <f>O9*20.428*LOOKUP(O11,密度!$A$2:$A$50,密度!$C$2:$C$50)</f>
        <v>52151.098787200004</v>
      </c>
      <c r="P10" s="73" ph="1">
        <f>P9*51.53*LOOKUP(P11,密度!$A$2:$A$50,密度!$B$2:$B$50)</f>
        <v>160390.793936</v>
      </c>
      <c r="Q10" s="73" ph="1">
        <f>Q9*1.5*1.5*3.1416*LOOKUP(W11,密度!$A$2:$A$50,密度!$L$2:$L$50)</f>
        <v>36609.099357599996</v>
      </c>
      <c r="R10" s="73" ph="1">
        <f>R9*1.5*1.5*3.1416*LOOKUP(R11,密度!$A$2:$A$50,密度!$L$2:$L$50)</f>
        <v>30578.572747799997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109052.743932</v>
      </c>
      <c r="AA10" s="73" ph="1">
        <f>AA9*33.183*LOOKUP(AA11,密度!$A$2:$A$50,密度!$D$2:$D$50)</f>
        <v>55784.651416200002</v>
      </c>
      <c r="AB10" s="73" ph="1">
        <f>AB9*20.428*LOOKUP(AB11,密度!$A$2:$A$50,密度!$D$2:$D$50)</f>
        <v>52292.176598000005</v>
      </c>
      <c r="AC10" s="73" ph="1">
        <f>AC9*51.53*LOOKUP(AC11,密度!$A$2:$A$50,密度!$Q$2:$Q$50)</f>
        <v>240477.42447180001</v>
      </c>
      <c r="AD10" s="73" ph="1">
        <f>AD9*20.428*LOOKUP(AD11,密度!$A$2:$A$50,密度!$V$2:$V$50)</f>
        <v>1988.9517920000001</v>
      </c>
      <c r="AE10" s="73" ph="1">
        <f>AE9*20.428</f>
        <v>39773.315999999999</v>
      </c>
    </row>
    <row r="11" spans="1:99" ph="1">
      <c r="A11" s="64" t="s" ph="1">
        <v>193</v>
      </c>
      <c r="B11" s="207" ph="1"/>
      <c r="C11" s="183" t="s" ph="1">
        <v>210</v>
      </c>
      <c r="D11" s="74">
        <v>18</v>
      </c>
      <c r="E11" s="74">
        <v>18</v>
      </c>
      <c r="F11" s="74">
        <v>16</v>
      </c>
      <c r="G11" s="74">
        <v>16</v>
      </c>
      <c r="H11" s="74">
        <v>11</v>
      </c>
      <c r="I11" s="74">
        <v>25</v>
      </c>
      <c r="J11" s="74">
        <v>25</v>
      </c>
      <c r="K11" s="74">
        <v>25</v>
      </c>
      <c r="L11" s="74">
        <v>25</v>
      </c>
      <c r="M11" s="74">
        <v>16</v>
      </c>
      <c r="N11" s="74">
        <v>16</v>
      </c>
      <c r="O11" s="74">
        <v>21</v>
      </c>
      <c r="P11" s="74">
        <v>17</v>
      </c>
      <c r="Q11" s="74">
        <v>16</v>
      </c>
      <c r="R11" s="74">
        <v>23</v>
      </c>
      <c r="S11" s="74">
        <v>12</v>
      </c>
      <c r="T11" s="74">
        <v>15</v>
      </c>
      <c r="U11" s="74">
        <v>17</v>
      </c>
      <c r="V11" s="74">
        <v>24</v>
      </c>
      <c r="W11" s="74">
        <v>20</v>
      </c>
      <c r="X11" s="74">
        <v>10</v>
      </c>
      <c r="Y11" s="74">
        <v>18</v>
      </c>
      <c r="Z11" s="74">
        <v>16</v>
      </c>
      <c r="AA11" s="74">
        <v>17</v>
      </c>
      <c r="AB11" s="74">
        <v>7</v>
      </c>
      <c r="AC11" s="74">
        <v>15</v>
      </c>
      <c r="AD11" s="74">
        <v>17</v>
      </c>
      <c r="AE11" s="74">
        <v>15</v>
      </c>
    </row>
    <row r="12" spans="1:99" ht="9.9499999999999993" customHeight="1" ph="1"/>
    <row r="13" spans="1:99" s="72" customFormat="1" ht="29.25" customHeight="1" ph="1">
      <c r="B13" s="215" t="s" ph="1">
        <v>37</v>
      </c>
      <c r="C13" s="183" t="s" ph="1">
        <v>207</v>
      </c>
      <c r="D13" s="76" t="s" ph="1">
        <v>53</v>
      </c>
      <c r="E13" s="76" t="s" ph="1">
        <v>54</v>
      </c>
      <c r="F13" s="76" t="s" ph="1">
        <v>66</v>
      </c>
      <c r="G13" s="76" t="s" ph="1">
        <v>67</v>
      </c>
      <c r="H13" s="76" t="s" ph="1">
        <v>152</v>
      </c>
      <c r="I13" s="76" t="s" ph="1">
        <v>68</v>
      </c>
      <c r="J13" s="76" t="s" ph="1">
        <v>153</v>
      </c>
      <c r="K13" s="76" t="s" ph="1">
        <v>63</v>
      </c>
      <c r="L13" s="76" t="s" ph="1">
        <v>69</v>
      </c>
      <c r="M13" s="76" t="s" ph="1">
        <v>70</v>
      </c>
      <c r="N13" s="76" t="s" ph="1">
        <v>154</v>
      </c>
      <c r="O13" s="76" t="s" ph="1">
        <v>64</v>
      </c>
      <c r="P13" s="76" t="s" ph="1">
        <v>71</v>
      </c>
      <c r="Q13" s="76" t="s" ph="1">
        <v>72</v>
      </c>
      <c r="R13" s="76" t="s" ph="1">
        <v>73</v>
      </c>
      <c r="S13" s="76" t="s" ph="1">
        <v>74</v>
      </c>
      <c r="T13" s="76" t="s" ph="1">
        <v>75</v>
      </c>
      <c r="U13" s="76" t="s" ph="1">
        <v>76</v>
      </c>
      <c r="V13" s="76" t="s" ph="1">
        <v>155</v>
      </c>
      <c r="W13" s="76" t="s" ph="1">
        <v>156</v>
      </c>
      <c r="X13" s="76" t="s" ph="1">
        <v>157</v>
      </c>
      <c r="Y13" s="105" t="s" ph="1">
        <v>77</v>
      </c>
      <c r="Z13" s="76" t="s" ph="1">
        <v>86</v>
      </c>
      <c r="AA13" s="76" t="s" ph="1">
        <v>158</v>
      </c>
      <c r="AB13" s="76" t="s" ph="1">
        <v>159</v>
      </c>
      <c r="AC13" s="76" t="s" ph="1">
        <v>160</v>
      </c>
      <c r="AD13" s="76" t="s" ph="1">
        <v>161</v>
      </c>
      <c r="AE13" s="76" t="s" ph="1">
        <v>162</v>
      </c>
      <c r="AG13" s="72" t="s" ph="1">
        <v>366</v>
      </c>
      <c r="AH13" s="72" t="s" ph="1">
        <v>229</v>
      </c>
      <c r="AI13" s="72" t="s" ph="1">
        <v>230</v>
      </c>
      <c r="AJ13" s="72" t="s" ph="1">
        <v>231</v>
      </c>
      <c r="AK13" s="72" t="s" ph="1">
        <v>232</v>
      </c>
      <c r="AL13" s="72" t="s" ph="1">
        <v>233</v>
      </c>
      <c r="AM13" s="72" t="s" ph="1">
        <v>234</v>
      </c>
      <c r="AN13" s="72" t="s" ph="1">
        <v>235</v>
      </c>
      <c r="AO13" s="72" t="s" ph="1">
        <v>236</v>
      </c>
      <c r="AP13" s="72" t="s" ph="1">
        <v>237</v>
      </c>
      <c r="AQ13" s="72" t="s" ph="1">
        <v>238</v>
      </c>
      <c r="AR13" s="72" t="s" ph="1">
        <v>239</v>
      </c>
      <c r="AS13" s="72" t="s" ph="1">
        <v>240</v>
      </c>
      <c r="AT13" s="72" t="s" ph="1">
        <v>241</v>
      </c>
      <c r="AU13" s="72" t="s" ph="1">
        <v>242</v>
      </c>
      <c r="AV13" s="72" t="s" ph="1">
        <v>243</v>
      </c>
      <c r="AW13" s="72" t="s" ph="1">
        <v>244</v>
      </c>
      <c r="AX13" s="72" t="s" ph="1">
        <v>245</v>
      </c>
      <c r="AY13" s="72" t="s" ph="1">
        <v>367</v>
      </c>
      <c r="AZ13" s="72" t="s" ph="1">
        <v>246</v>
      </c>
      <c r="BA13" s="72" t="s" ph="1">
        <v>247</v>
      </c>
      <c r="BB13" s="72" t="s" ph="1">
        <v>632</v>
      </c>
      <c r="BC13" s="72" t="s" ph="1">
        <v>248</v>
      </c>
      <c r="BD13" s="72" t="s" ph="1">
        <v>368</v>
      </c>
      <c r="BE13" s="72" t="s" ph="1">
        <v>369</v>
      </c>
      <c r="BF13" s="72" t="s" ph="1">
        <v>370</v>
      </c>
      <c r="BG13" s="72" t="s" ph="1">
        <v>371</v>
      </c>
      <c r="BH13" s="72" t="s" ph="1">
        <v>372</v>
      </c>
    </row>
    <row r="14" spans="1:99" s="72" customFormat="1" ht="24" ph="1">
      <c r="B14" s="216" ph="1"/>
      <c r="C14" s="67" t="s" ph="1">
        <v>36</v>
      </c>
      <c r="D14" s="77" t="s" ph="1">
        <v>665</v>
      </c>
      <c r="E14" s="77" t="s" ph="1">
        <v>665</v>
      </c>
      <c r="F14" s="142" t="s" ph="1">
        <v>651</v>
      </c>
      <c r="G14" s="77" t="s" ph="1">
        <v>667</v>
      </c>
      <c r="H14" s="77" t="s" ph="1">
        <v>668</v>
      </c>
      <c r="I14" s="167" t="s" ph="1">
        <v>669</v>
      </c>
      <c r="J14" s="77" t="s" ph="1">
        <v>670</v>
      </c>
      <c r="K14" s="77" t="s" ph="1">
        <v>223</v>
      </c>
      <c r="L14" s="77" t="s" ph="1">
        <v>42</v>
      </c>
      <c r="M14" s="104" t="s" ph="1">
        <v>671</v>
      </c>
      <c r="N14" s="104" t="s" ph="1">
        <v>672</v>
      </c>
      <c r="O14" s="104" t="s" ph="1">
        <v>670</v>
      </c>
      <c r="P14" s="77" t="s" ph="1">
        <v>673</v>
      </c>
      <c r="Q14" s="77" t="s" ph="1">
        <v>673</v>
      </c>
      <c r="R14" s="88" t="s" ph="1">
        <v>674</v>
      </c>
      <c r="S14" s="77" t="s" ph="1">
        <v>81</v>
      </c>
      <c r="T14" s="77" t="s" ph="1">
        <v>676</v>
      </c>
      <c r="U14" s="77" t="s" ph="1">
        <v>652</v>
      </c>
      <c r="V14" s="77" t="s" ph="1">
        <v>127</v>
      </c>
      <c r="W14" s="77" t="s" ph="1">
        <v>673</v>
      </c>
      <c r="X14" s="77" t="s" ph="1">
        <v>678</v>
      </c>
      <c r="Y14" s="141" t="s" ph="1">
        <v>0</v>
      </c>
      <c r="Z14" s="77" t="s" ph="1">
        <v>62</v>
      </c>
      <c r="AA14" s="77" t="s" ph="1">
        <v>662</v>
      </c>
      <c r="AB14" s="77" t="s" ph="1">
        <v>648</v>
      </c>
      <c r="AC14" s="77" t="s" ph="1">
        <v>648</v>
      </c>
      <c r="AD14" s="77" t="s" ph="1">
        <v>661</v>
      </c>
      <c r="AE14" s="77" t="s" ph="1">
        <v>661</v>
      </c>
      <c r="AG14" s="72" t="s" ph="1">
        <v>249</v>
      </c>
      <c r="AI14" s="72" t="s" ph="1">
        <v>250</v>
      </c>
      <c r="AJ14" s="72" t="s" ph="1">
        <v>373</v>
      </c>
      <c r="AK14" s="72" t="s" ph="1">
        <v>251</v>
      </c>
      <c r="AM14" s="72" t="s" ph="1">
        <v>253</v>
      </c>
      <c r="AN14" s="72" t="s" ph="1">
        <v>251</v>
      </c>
      <c r="AO14" s="72" t="s" ph="1">
        <v>252</v>
      </c>
      <c r="AP14" s="72" t="s" ph="1">
        <v>253</v>
      </c>
      <c r="AQ14" s="72" t="s" ph="1">
        <v>251</v>
      </c>
      <c r="AR14" s="72" t="s" ph="1">
        <v>252</v>
      </c>
      <c r="AS14" s="72" t="s" ph="1">
        <v>253</v>
      </c>
      <c r="AT14" s="72" t="s" ph="1">
        <v>251</v>
      </c>
      <c r="AU14" s="72" t="s" ph="1">
        <v>252</v>
      </c>
      <c r="AV14" s="72" t="s" ph="1">
        <v>253</v>
      </c>
      <c r="AW14" s="72" t="s" ph="1">
        <v>251</v>
      </c>
      <c r="AX14" s="72" t="s" ph="1">
        <v>252</v>
      </c>
      <c r="AY14" s="72" t="s" ph="1">
        <v>253</v>
      </c>
      <c r="AZ14" s="72" t="s" ph="1">
        <v>252</v>
      </c>
    </row>
    <row r="15" spans="1:99" ph="1">
      <c r="B15" s="217" ph="1">
        <v>0.33333333333333331</v>
      </c>
      <c r="C15" s="183" t="s" ph="1">
        <v>208</v>
      </c>
      <c r="D15" s="78">
        <v>0</v>
      </c>
      <c r="E15" s="78">
        <v>4377</v>
      </c>
      <c r="F15" s="78">
        <v>5033</v>
      </c>
      <c r="G15" s="78">
        <v>2395</v>
      </c>
      <c r="H15" s="78">
        <v>111</v>
      </c>
      <c r="I15" s="78">
        <v>4301</v>
      </c>
      <c r="J15" s="78">
        <v>3034</v>
      </c>
      <c r="K15" s="78">
        <v>742</v>
      </c>
      <c r="L15" s="78">
        <v>3900</v>
      </c>
      <c r="M15" s="78">
        <v>115</v>
      </c>
      <c r="N15" s="78">
        <v>2293</v>
      </c>
      <c r="O15" s="78">
        <v>6275</v>
      </c>
      <c r="P15" s="78">
        <v>5521</v>
      </c>
      <c r="Q15" s="78">
        <v>4320</v>
      </c>
      <c r="R15" s="78">
        <v>3488</v>
      </c>
      <c r="S15" s="78">
        <v>5609</v>
      </c>
      <c r="T15" s="78">
        <v>6635</v>
      </c>
      <c r="U15" s="78">
        <v>1769</v>
      </c>
      <c r="V15" s="78">
        <v>-1639</v>
      </c>
      <c r="W15" s="78">
        <v>-595</v>
      </c>
      <c r="X15" s="78">
        <v>363</v>
      </c>
      <c r="Y15" s="106">
        <v>-9900</v>
      </c>
      <c r="Z15" s="78">
        <v>0</v>
      </c>
      <c r="AA15" s="78">
        <v>2499</v>
      </c>
      <c r="AB15" s="78" ph="1">
        <v>6847</v>
      </c>
      <c r="AC15" s="78" ph="1">
        <v>6494</v>
      </c>
      <c r="AD15" s="78">
        <v>34.81</v>
      </c>
      <c r="AE15" s="78">
        <v>84.41</v>
      </c>
      <c r="AG15" s="64" t="s" ph="1">
        <v>255</v>
      </c>
      <c r="AH15" s="64" ph="1">
        <v>1</v>
      </c>
      <c r="AI15" s="64" t="s" ph="1">
        <v>374</v>
      </c>
      <c r="AK15" s="64" t="s" ph="1">
        <v>628</v>
      </c>
      <c r="AM15" s="64" t="s" ph="1">
        <v>376</v>
      </c>
      <c r="AZ15" s="64" t="s" ph="1">
        <v>257</v>
      </c>
      <c r="BA15" s="64" ph="1">
        <v>0</v>
      </c>
    </row>
    <row r="16" spans="1:99" s="72" customFormat="1" ht="22.5" ph="1">
      <c r="B16" s="218" ph="1"/>
      <c r="C16" s="183" t="s" ph="1">
        <v>209</v>
      </c>
      <c r="D16" s="73" ph="1">
        <f>D15*7.0686*LOOKUP(D17,密度!$A$2:$A$50,密度!$L$2:$L$50)</f>
        <v>0</v>
      </c>
      <c r="E16" s="73" ph="1">
        <f>E15*7.0686*LOOKUP(E17,密度!$A$2:$A$50,密度!$L$2:$L$50)</f>
        <v>29237.602779000001</v>
      </c>
      <c r="F16" s="73" ph="1">
        <f>F15*9.0746*LOOKUP(F17,密度!$A$2:$A$50,密度!$L$2:$L$50)</f>
        <v>43206.148862800001</v>
      </c>
      <c r="G16" s="73" ph="1">
        <f>G15*9.0746*LOOKUP(G17,密度!$A$2:$A$50,密度!$B$2:$B$50)</f>
        <v>17108.7426624</v>
      </c>
      <c r="H16" s="73" ph="1">
        <f>H15*9.0746*LOOKUP(H17,密度!$A$2:$A$50,密度!$L$2:$L$50)</f>
        <v>957.92385060000004</v>
      </c>
      <c r="I16" s="73" ph="1">
        <f>I15*9.0746*LOOKUP(I17,密度!$A$2:$A$50,密度!$U$2:$U$50)</f>
        <v>40122.690528799998</v>
      </c>
      <c r="J16" s="73" ph="1">
        <f>J15*9.0746*LOOKUP(J17,密度!$A$2:$A$50,密度!$L$2:$L$50)</f>
        <v>25990.525561599999</v>
      </c>
      <c r="K16" s="73" ph="1">
        <f>K15*9.0746*LOOKUP(K17,密度!$A$2:$A$50,密度!$C$2:$C$50)</f>
        <v>7513.0755005599995</v>
      </c>
      <c r="L16" s="73" ph="1">
        <f>L15*9.0746*LOOKUP(L17,密度!$A$2:$A$50,密度!$E$2:$E$50)</f>
        <v>28125.180017999999</v>
      </c>
      <c r="M16" s="73" ph="1">
        <f>M15*9.0746*LOOKUP(M17,密度!$A$2:$A$50,密度!$M$2:$M$50)</f>
        <v>918.66259369999989</v>
      </c>
      <c r="N16" s="73" ph="1">
        <f>N15*9.0746*LOOKUP(N17,密度!$A$2:$A$50,密度!$M$2:$M$50)</f>
        <v>18317.333281340001</v>
      </c>
      <c r="O16" s="73" ph="1">
        <f>O15*9.0746*LOOKUP(O17,密度!$A$2:$A$50,密度!$G$2:$G$50)</f>
        <v>55120.935319999997</v>
      </c>
      <c r="P16" s="73" ph="1">
        <f ca="1">P15*9.0746*LOOKUP(P17,密度!$A$2:$A$51,密度!$Q$2:$Q$50)</f>
        <v>47550.231481394003</v>
      </c>
      <c r="Q16" s="73" ph="1">
        <f>Q15*9.0746*LOOKUP(Q17,密度!$A$2:$A$50,密度!$Q$2:$Q$50)</f>
        <v>37351.924761600007</v>
      </c>
      <c r="R16" s="73" ph="1">
        <f>MAX(R15*9.0746*LOOKUP(R17,密度!$A$2:$A$50,密度!$B$2:$B$50),0)</f>
        <v>24869.137311359998</v>
      </c>
      <c r="S16" s="73" ph="1">
        <f>S15*9.0746*LOOKUP(S17,密度!$A$2:$A$50,密度!$Q$2:$Q$50)</f>
        <v>48585.543248556001</v>
      </c>
      <c r="T16" s="73" ph="1">
        <f>T15*9.0746*LOOKUP(T17,密度!$A$2:$A$50,密度!$O$2:$O$50)</f>
        <v>56236.112914000005</v>
      </c>
      <c r="U16" s="73" ph="1">
        <f>U15*9.0746*LOOKUP(U17,密度!$A$2:$A$50,密度!$H$2:$H$50)</f>
        <v>14876.28488958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206.8278181200003</v>
      </c>
      <c r="X16" s="73" ph="1">
        <f>MAX(5600*LOOKUP(X17,密度!$A$2:$A$50,密度!$I$2:$I$50)+X15*9.0476*LOOKUP(X17,密度!$A$2:$A$50,密度!$I$2:$I$50),0)</f>
        <v>9199.7595401879989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17890.220898060001</v>
      </c>
      <c r="AB16" s="73" ph="1">
        <f>AB15*9.0746*LOOKUP(AB17,密度!$A$2:$A$50,密度!$L$2:$L$50)</f>
        <v>58778.561745200001</v>
      </c>
      <c r="AC16" s="73" ph="1">
        <f>AC15*9.0746*LOOKUP(AC17,密度!$A$2:$A$50,密度!$L$2:$L$50)</f>
        <v>55924.999327600002</v>
      </c>
      <c r="AD16" s="73" ph="1">
        <f>AD15*268.68*LOOKUP(AD17,密度!$A$2:$A$50,密度!B2:B50)+IF(AD15&lt;=0,0,1566*LOOKUP(AD17,密度!$A$2:$A$50,密度!B2:B50))</f>
        <v>8512.2581236800015</v>
      </c>
      <c r="AE16" s="73" ph="1">
        <f>AE15*268.68*LOOKUP(AE17,密度!$A$2:$A$50,密度!B2:B50)+IF(AE15&lt;=0,0,1566*LOOKUP(AE17,密度!$A$2:$A$50,密度!B2:B50))</f>
        <v>18901.619352479996</v>
      </c>
      <c r="AH16" s="72" ph="1">
        <v>2</v>
      </c>
      <c r="AI16" s="72" t="s" ph="1">
        <v>378</v>
      </c>
      <c r="AZ16" s="72" t="s" ph="1">
        <v>257</v>
      </c>
      <c r="BA16" s="72" ph="1">
        <v>0</v>
      </c>
    </row>
    <row r="17" spans="1:57" ph="1">
      <c r="A17" s="64" t="s" ph="1">
        <v>85</v>
      </c>
      <c r="B17" s="219" ph="1"/>
      <c r="C17" s="79" t="s" ph="1">
        <v>210</v>
      </c>
      <c r="D17" s="74">
        <v>17</v>
      </c>
      <c r="E17" s="74">
        <v>17</v>
      </c>
      <c r="F17" s="74">
        <v>16</v>
      </c>
      <c r="G17" s="74">
        <v>16</v>
      </c>
      <c r="H17" s="74">
        <v>11</v>
      </c>
      <c r="I17" s="74">
        <v>16</v>
      </c>
      <c r="J17" s="74">
        <v>18</v>
      </c>
      <c r="K17" s="74">
        <v>15</v>
      </c>
      <c r="L17" s="74">
        <v>15</v>
      </c>
      <c r="M17" s="74">
        <v>15</v>
      </c>
      <c r="N17" s="74">
        <v>16</v>
      </c>
      <c r="O17" s="74">
        <v>18</v>
      </c>
      <c r="P17" s="74">
        <v>22</v>
      </c>
      <c r="Q17" s="74">
        <v>17</v>
      </c>
      <c r="R17" s="74">
        <v>18</v>
      </c>
      <c r="S17" s="74">
        <v>15</v>
      </c>
      <c r="T17" s="74">
        <v>14</v>
      </c>
      <c r="U17" s="74">
        <v>13</v>
      </c>
      <c r="V17" s="74">
        <v>15</v>
      </c>
      <c r="W17" s="74">
        <v>15</v>
      </c>
      <c r="X17" s="74">
        <v>31</v>
      </c>
      <c r="Y17" s="108">
        <v>31</v>
      </c>
      <c r="Z17" s="74">
        <v>16</v>
      </c>
      <c r="AA17" s="74">
        <v>14</v>
      </c>
      <c r="AB17" s="74">
        <v>16</v>
      </c>
      <c r="AC17" s="74">
        <v>13</v>
      </c>
      <c r="AD17" s="74">
        <v>25</v>
      </c>
      <c r="AE17" s="74">
        <v>25</v>
      </c>
      <c r="AH17" s="64" ph="1">
        <v>3</v>
      </c>
      <c r="AI17" s="64" t="s" ph="1">
        <v>379</v>
      </c>
      <c r="AK17" s="64" t="s" ph="1">
        <v>611</v>
      </c>
      <c r="AL17" s="64" ph="1">
        <v>80</v>
      </c>
      <c r="AM17" s="64" t="s" ph="1">
        <v>376</v>
      </c>
      <c r="AZ17" s="64" t="s" ph="1">
        <v>257</v>
      </c>
      <c r="BA17" s="64" ph="1">
        <v>80</v>
      </c>
      <c r="BD17" s="64" t="s" ph="1">
        <v>255</v>
      </c>
      <c r="BE17" s="64" ph="1">
        <v>2270</v>
      </c>
    </row>
    <row r="18" spans="1:57" ph="1">
      <c r="B18" s="217" ph="1">
        <v>0.66666666666666663</v>
      </c>
      <c r="C18" s="79" t="s" ph="1">
        <v>211</v>
      </c>
      <c r="D18" s="71">
        <v>0</v>
      </c>
      <c r="E18" s="71">
        <v>4379</v>
      </c>
      <c r="F18" s="71">
        <v>2767</v>
      </c>
      <c r="G18" s="71">
        <v>2426</v>
      </c>
      <c r="H18" s="71">
        <v>110</v>
      </c>
      <c r="I18" s="71">
        <v>4302</v>
      </c>
      <c r="J18" s="71">
        <v>3353</v>
      </c>
      <c r="K18" s="71">
        <v>742</v>
      </c>
      <c r="L18" s="71">
        <v>2513</v>
      </c>
      <c r="M18" s="71">
        <v>114</v>
      </c>
      <c r="N18" s="71">
        <v>2292</v>
      </c>
      <c r="O18" s="71">
        <v>4053</v>
      </c>
      <c r="P18" s="71">
        <v>6197</v>
      </c>
      <c r="Q18" s="71">
        <v>6247</v>
      </c>
      <c r="R18" s="71">
        <v>3490</v>
      </c>
      <c r="S18" s="71">
        <v>5611</v>
      </c>
      <c r="T18" s="71">
        <v>5663</v>
      </c>
      <c r="U18" s="71">
        <v>1771</v>
      </c>
      <c r="V18" s="71">
        <v>-1641</v>
      </c>
      <c r="W18" s="71">
        <v>-596</v>
      </c>
      <c r="X18" s="71">
        <v>362</v>
      </c>
      <c r="Y18" s="109">
        <v>-9900</v>
      </c>
      <c r="Z18" s="71">
        <v>0</v>
      </c>
      <c r="AA18" s="71">
        <v>2501</v>
      </c>
      <c r="AB18" s="71">
        <v>6851</v>
      </c>
      <c r="AC18" s="71">
        <v>6498</v>
      </c>
      <c r="AD18" s="71">
        <v>60.11</v>
      </c>
      <c r="AE18" s="71">
        <v>84.01</v>
      </c>
      <c r="AH18" s="64" ph="1">
        <v>4</v>
      </c>
      <c r="AI18" s="64" t="s" ph="1">
        <v>381</v>
      </c>
      <c r="AJ18" s="64" t="s" ph="1">
        <v>629</v>
      </c>
      <c r="AK18" s="64" t="s" ph="1">
        <v>628</v>
      </c>
      <c r="AL18" s="64" ph="1">
        <v>740</v>
      </c>
      <c r="AM18" s="64" t="s" ph="1">
        <v>380</v>
      </c>
      <c r="AZ18" s="64" t="s" ph="1">
        <v>257</v>
      </c>
      <c r="BA18" s="64" ph="1">
        <v>740</v>
      </c>
    </row>
    <row r="19" spans="1:57" s="72" customFormat="1" ht="22.5" ph="1">
      <c r="B19" s="218" ph="1"/>
      <c r="C19" s="183" t="s" ph="1">
        <v>209</v>
      </c>
      <c r="D19" s="73" ph="1">
        <f>D18*7.0686*LOOKUP(D20,密度!$A$2:$A$50,密度!$L$2:$L$50)</f>
        <v>0</v>
      </c>
      <c r="E19" s="73" ph="1">
        <f>E18*7.0686*LOOKUP(E20,密度!$A$2:$A$50,密度!$L$2:$L$50)</f>
        <v>29220.009033599996</v>
      </c>
      <c r="F19" s="73" ph="1">
        <f>F18*9.0746*LOOKUP(F20,密度!$A$2:$A$50,密度!$L$2:$L$50)</f>
        <v>23703.290780799998</v>
      </c>
      <c r="G19" s="73" ph="1">
        <f>G18*9.0746*LOOKUP(G20,密度!$A$2:$A$50,密度!$B$2:$B$50)</f>
        <v>17297.169471719997</v>
      </c>
      <c r="H19" s="73" ph="1">
        <f>H18*9.0746*LOOKUP(H20,密度!$A$2:$A$50,密度!$L$2:$L$50)</f>
        <v>945.30108199999995</v>
      </c>
      <c r="I19" s="73" ph="1">
        <f>I18*9.0746*LOOKUP(I20,密度!$A$2:$A$50,密度!$U$2:$U$50)</f>
        <v>40132.019217599998</v>
      </c>
      <c r="J19" s="73" ph="1">
        <f>J18*9.0746*LOOKUP(J20,密度!$A$2:$A$50,密度!$L$2:$L$50)</f>
        <v>28753.641441</v>
      </c>
      <c r="K19" s="73" ph="1">
        <f>K18*9.0746*LOOKUP(K20,密度!$A$2:$A$50,密度!$C$2:$C$50)</f>
        <v>7509.03548864</v>
      </c>
      <c r="L19" s="73" ph="1">
        <f>L18*9.0746*LOOKUP(L20,密度!$A$2:$A$50,密度!$E$2:$E$50)</f>
        <v>18097.62723328</v>
      </c>
      <c r="M19" s="73" ph="1">
        <f>M18*9.0746*LOOKUP(M20,密度!$A$2:$A$50,密度!$M$2:$M$50)</f>
        <v>910.67422332000001</v>
      </c>
      <c r="N19" s="73" ph="1">
        <f>N18*9.0746*LOOKUP(N20,密度!$A$2:$A$50,密度!$M$2:$M$50)</f>
        <v>18309.344910959997</v>
      </c>
      <c r="O19" s="73" ph="1">
        <f>O18*9.0746*LOOKUP(O20,密度!$A$2:$A$50,密度!$G$2:$G$50)</f>
        <v>35565.635124600005</v>
      </c>
      <c r="P19" s="73" ph="1">
        <f ca="1">P18*9.0746*LOOKUP(P20,密度!$A$2:$A$51,密度!$Q$2:$Q$50)</f>
        <v>53372.357270458</v>
      </c>
      <c r="Q19" s="73" ph="1">
        <f>Q18*9.0746*LOOKUP(Q20,密度!$A$2:$A$50,密度!$Q$2:$Q$50)</f>
        <v>54111.943068948007</v>
      </c>
      <c r="R19" s="73" ph="1">
        <f>MAX(R18*9.0746*LOOKUP(R20,密度!$A$2:$A$50,密度!$B$2:$B$50),0)</f>
        <v>24905.566385599999</v>
      </c>
      <c r="S19" s="73" ph="1">
        <f>S18*9.0746*LOOKUP(S20,密度!$A$2:$A$50,密度!$Q$2:$Q$50)</f>
        <v>48602.867385924001</v>
      </c>
      <c r="T19" s="73" ph="1">
        <f>T18*9.0746*LOOKUP(T20,密度!$A$2:$A$50,密度!$O$2:$O$50)</f>
        <v>47997.755453200007</v>
      </c>
      <c r="U19" s="73" ph="1">
        <f>U18*9.0746*LOOKUP(U20,密度!$A$2:$A$50,密度!$H$2:$H$50)</f>
        <v>14860.961520020001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197.83024512000156</v>
      </c>
      <c r="X19" s="73" ph="1">
        <f>MAX(5600*LOOKUP(X20,密度!$A$2:$A$50,密度!$I$2:$I$50)+X18*9.0476*LOOKUP(X20,密度!$A$2:$A$50,密度!$I$2:$I$50),0)</f>
        <v>9170.6876466479989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17904.538801940002</v>
      </c>
      <c r="AB19" s="73" ph="1">
        <f>AB18*9.0746*LOOKUP(AB20,密度!$A$2:$A$50,密度!$L$2:$L$50)</f>
        <v>58812.900031600002</v>
      </c>
      <c r="AC19" s="73" ph="1">
        <f>AC18*9.0746*LOOKUP(AC20,密度!$A$2:$A$50,密度!$L$2:$L$50)</f>
        <v>55841.513007599999</v>
      </c>
      <c r="AD19" s="73" ph="1">
        <f>AD18*268.68*LOOKUP(AD20,密度!$A$2:$A$50,密度!B5:B53)+IF(AD18&lt;=0,0,1566*LOOKUP(AD20,密度!$A$2:$A$50,密度!B5:B53))</f>
        <v>13765.6076796</v>
      </c>
      <c r="AE19" s="73" ph="1">
        <f>AE18*268.68*LOOKUP(AE20,密度!$A$2:$A$50,密度!B5:B53)+IF(AE18&lt;=0,0,1566*LOOKUP(AE20,密度!$A$2:$A$50,密度!B5:B53))</f>
        <v>18755.075883600002</v>
      </c>
      <c r="AH19" s="72" ph="1">
        <v>5</v>
      </c>
      <c r="AI19" s="72" t="s" ph="1">
        <v>382</v>
      </c>
      <c r="AZ19" s="72" t="s" ph="1">
        <v>257</v>
      </c>
      <c r="BA19" s="72" ph="1">
        <v>0</v>
      </c>
      <c r="BD19" s="72" t="s" ph="1">
        <v>383</v>
      </c>
      <c r="BE19" s="72" ph="1">
        <v>1440</v>
      </c>
    </row>
    <row r="20" spans="1:57" ph="1">
      <c r="A20" s="72" ph="1"/>
      <c r="B20" s="218" ph="1"/>
      <c r="C20" s="80" t="s" ph="1">
        <v>210</v>
      </c>
      <c r="D20" s="81">
        <v>18</v>
      </c>
      <c r="E20" s="81">
        <v>18</v>
      </c>
      <c r="F20" s="81">
        <v>18</v>
      </c>
      <c r="G20" s="81">
        <v>18</v>
      </c>
      <c r="H20" s="81">
        <v>15</v>
      </c>
      <c r="I20" s="81">
        <v>18</v>
      </c>
      <c r="J20" s="81">
        <v>17</v>
      </c>
      <c r="K20" s="81">
        <v>16</v>
      </c>
      <c r="L20" s="81">
        <v>16</v>
      </c>
      <c r="M20" s="81">
        <v>20</v>
      </c>
      <c r="N20" s="81">
        <v>18</v>
      </c>
      <c r="O20" s="81">
        <v>19</v>
      </c>
      <c r="P20" s="81">
        <v>22</v>
      </c>
      <c r="Q20" s="81">
        <v>15</v>
      </c>
      <c r="R20" s="81">
        <v>17</v>
      </c>
      <c r="S20" s="81">
        <v>14</v>
      </c>
      <c r="T20" s="81">
        <v>16</v>
      </c>
      <c r="U20" s="81">
        <v>15</v>
      </c>
      <c r="V20" s="81">
        <v>17</v>
      </c>
      <c r="W20" s="81">
        <v>17</v>
      </c>
      <c r="X20" s="81">
        <v>33</v>
      </c>
      <c r="Y20" s="110">
        <v>33</v>
      </c>
      <c r="Z20" s="81">
        <v>18</v>
      </c>
      <c r="AA20" s="81">
        <v>14</v>
      </c>
      <c r="AB20" s="81">
        <v>16</v>
      </c>
      <c r="AC20" s="81">
        <v>15</v>
      </c>
      <c r="AD20" s="81">
        <v>25</v>
      </c>
      <c r="AE20" s="81">
        <v>25</v>
      </c>
      <c r="AH20" s="64" ph="1">
        <v>6</v>
      </c>
      <c r="AI20" s="64" t="s" ph="1">
        <v>384</v>
      </c>
      <c r="AZ20" s="64" t="s" ph="1">
        <v>257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385</v>
      </c>
      <c r="AZ21" s="64" t="s" ph="1">
        <v>257</v>
      </c>
      <c r="BA21" s="64" ph="1">
        <v>0</v>
      </c>
      <c r="BD21" s="64" t="s" ph="1">
        <v>273</v>
      </c>
      <c r="BE21" s="64" ph="1">
        <v>730</v>
      </c>
    </row>
    <row r="22" spans="1:57" ph="1">
      <c r="A22" s="72" ph="1"/>
      <c r="B22" s="216" t="s" ph="1">
        <v>37</v>
      </c>
      <c r="C22" s="85" t="s" ph="1">
        <v>207</v>
      </c>
      <c r="D22" s="86" t="s" ph="1">
        <v>103</v>
      </c>
      <c r="E22" s="86" t="s" ph="1">
        <v>104</v>
      </c>
      <c r="F22" s="86" t="s" ph="1">
        <v>105</v>
      </c>
      <c r="G22" s="86" t="s" ph="1">
        <v>106</v>
      </c>
      <c r="H22" s="86" t="s" ph="1">
        <v>107</v>
      </c>
      <c r="I22" s="86" t="s" ph="1">
        <v>108</v>
      </c>
      <c r="J22" s="86" t="s" ph="1">
        <v>109</v>
      </c>
      <c r="K22" s="86" t="s" ph="1">
        <v>110</v>
      </c>
      <c r="L22" s="86" t="s" ph="1">
        <v>111</v>
      </c>
      <c r="M22" s="86" t="s" ph="1">
        <v>112</v>
      </c>
      <c r="N22" s="86" t="s" ph="1">
        <v>113</v>
      </c>
      <c r="O22" s="86" t="s" ph="1">
        <v>114</v>
      </c>
      <c r="P22" s="86" t="s" ph="1">
        <v>115</v>
      </c>
      <c r="Q22" s="87" t="s" ph="1">
        <v>116</v>
      </c>
      <c r="R22" s="86" t="s" ph="1">
        <v>117</v>
      </c>
      <c r="S22" s="86" t="s" ph="1">
        <v>118</v>
      </c>
      <c r="T22" s="86" t="s" ph="1">
        <v>119</v>
      </c>
      <c r="U22" s="86" t="s" ph="1">
        <v>120</v>
      </c>
      <c r="V22" s="86" t="s" ph="1">
        <v>121</v>
      </c>
      <c r="W22" s="86" t="s" ph="1">
        <v>122</v>
      </c>
      <c r="X22" s="86" t="s" ph="1">
        <v>123</v>
      </c>
      <c r="Y22" s="86" t="s" ph="1">
        <v>125</v>
      </c>
      <c r="Z22" s="195" t="s" ph="1">
        <v>79</v>
      </c>
      <c r="AA22" s="196"/>
      <c r="AB22" s="196"/>
      <c r="AC22" s="196"/>
      <c r="AD22" s="196"/>
      <c r="AE22" s="197"/>
      <c r="AH22" s="64" ph="1">
        <v>8</v>
      </c>
      <c r="AI22" s="64" t="s" ph="1">
        <v>386</v>
      </c>
      <c r="AZ22" s="64" t="s" ph="1">
        <v>257</v>
      </c>
      <c r="BA22" s="64" ph="1">
        <v>0</v>
      </c>
    </row>
    <row r="23" spans="1:57" ph="1">
      <c r="A23" s="72" ph="1"/>
      <c r="B23" s="211" ph="1"/>
      <c r="C23" s="67" t="s" ph="1">
        <v>36</v>
      </c>
      <c r="D23" s="88" t="s" ph="1">
        <v>127</v>
      </c>
      <c r="E23" s="88" t="s" ph="1">
        <v>124</v>
      </c>
      <c r="F23" s="88" t="s" ph="1">
        <v>127</v>
      </c>
      <c r="G23" s="88" t="s" ph="1">
        <v>679</v>
      </c>
      <c r="H23" s="88" t="s" ph="1">
        <v>679</v>
      </c>
      <c r="I23" s="88" t="s" ph="1">
        <v>680</v>
      </c>
      <c r="J23" s="88" t="s" ph="1">
        <v>681</v>
      </c>
      <c r="K23" s="88" t="s" ph="1">
        <v>682</v>
      </c>
      <c r="L23" s="88" t="s" ph="1">
        <v>682</v>
      </c>
      <c r="M23" s="88" t="s" ph="1">
        <v>675</v>
      </c>
      <c r="N23" s="88" t="s" ph="1">
        <v>675</v>
      </c>
      <c r="O23" s="88" t="s" ph="1">
        <v>359</v>
      </c>
      <c r="P23" s="88" t="s" ph="1">
        <v>666</v>
      </c>
      <c r="Q23" s="89" t="s" ph="1">
        <v>666</v>
      </c>
      <c r="R23" s="88" t="s" ph="1">
        <v>659</v>
      </c>
      <c r="S23" s="88" t="s" ph="1">
        <v>683</v>
      </c>
      <c r="T23" s="88" t="s" ph="1">
        <v>647</v>
      </c>
      <c r="U23" s="88" t="s" ph="1">
        <v>653</v>
      </c>
      <c r="V23" s="88" t="s" ph="1">
        <v>684</v>
      </c>
      <c r="W23" s="88" t="s" ph="1">
        <v>684</v>
      </c>
      <c r="X23" s="88" t="s" ph="1">
        <v>228</v>
      </c>
      <c r="Y23" s="88" t="s" ph="1">
        <v>686</v>
      </c>
      <c r="Z23" s="198" t="s" ph="1">
        <v>690</v>
      </c>
      <c r="AA23" s="199"/>
      <c r="AB23" s="199"/>
      <c r="AC23" s="199"/>
      <c r="AD23" s="199"/>
      <c r="AE23" s="200"/>
      <c r="AH23" s="64" ph="1">
        <v>9</v>
      </c>
      <c r="AI23" s="64" t="s" ph="1">
        <v>387</v>
      </c>
      <c r="AZ23" s="64" t="s" ph="1">
        <v>257</v>
      </c>
      <c r="BA23" s="64" ph="1">
        <v>0</v>
      </c>
      <c r="BD23" s="64" t="s" ph="1">
        <v>279</v>
      </c>
      <c r="BE23" s="64" ph="1">
        <v>890</v>
      </c>
    </row>
    <row r="24" spans="1:57" ph="1">
      <c r="A24" s="72" ph="1"/>
      <c r="B24" s="207" ph="1">
        <v>0.33333333333333331</v>
      </c>
      <c r="C24" s="183" t="s" ph="1">
        <v>208</v>
      </c>
      <c r="D24" s="71">
        <v>98.41</v>
      </c>
      <c r="E24" s="71">
        <v>95.21</v>
      </c>
      <c r="F24" s="71">
        <v>4010</v>
      </c>
      <c r="G24" s="71">
        <v>2842</v>
      </c>
      <c r="H24" s="71">
        <v>2165</v>
      </c>
      <c r="I24" s="71">
        <v>2383</v>
      </c>
      <c r="J24" s="71">
        <v>4897</v>
      </c>
      <c r="K24" s="71">
        <v>5605</v>
      </c>
      <c r="L24" s="71">
        <v>5577</v>
      </c>
      <c r="M24" s="71">
        <v>5444</v>
      </c>
      <c r="N24" s="71">
        <v>5360</v>
      </c>
      <c r="O24" s="71">
        <v>2060</v>
      </c>
      <c r="P24" s="71">
        <v>430</v>
      </c>
      <c r="Q24" s="90">
        <v>2731</v>
      </c>
      <c r="R24" s="71">
        <v>6738</v>
      </c>
      <c r="S24" s="71">
        <v>3122</v>
      </c>
      <c r="T24" s="71">
        <v>903</v>
      </c>
      <c r="U24" s="71">
        <v>5559</v>
      </c>
      <c r="V24" s="71">
        <v>4721</v>
      </c>
      <c r="W24" s="71">
        <v>7165</v>
      </c>
      <c r="X24" s="71">
        <v>8682</v>
      </c>
      <c r="Y24" s="71">
        <v>1608</v>
      </c>
      <c r="Z24" s="201"/>
      <c r="AA24" s="202"/>
      <c r="AB24" s="202"/>
      <c r="AC24" s="202"/>
      <c r="AD24" s="202"/>
      <c r="AE24" s="203"/>
      <c r="AH24" s="64" ph="1">
        <v>10</v>
      </c>
      <c r="AI24" s="64" t="s" ph="1">
        <v>388</v>
      </c>
      <c r="AZ24" s="64" t="s" ph="1">
        <v>257</v>
      </c>
      <c r="BA24" s="64" ph="1">
        <v>0</v>
      </c>
    </row>
    <row r="25" spans="1:57" ph="1">
      <c r="A25" s="72" ph="1"/>
      <c r="B25" s="207" ph="1"/>
      <c r="C25" s="68" t="s" ph="1">
        <v>209</v>
      </c>
      <c r="D25" s="91" ph="1">
        <f>D24*268.68*LOOKUP(D26,密度!$A$2:$A$50,密度!$Q$2:$Q$50)+IF(D24&lt;=0,0,1566*LOOKUP(D26,密度!$A$2:$A$50,密度!$Q$2:$Q$50))</f>
        <v>26515.156695912003</v>
      </c>
      <c r="E25" s="91" ph="1">
        <f>E24*268.68*LOOKUP(E26,密度!$A$2:$A$50,密度!$C$2:$C$50)+IF(E24&lt;=0,0,1566*LOOKUP(E26,密度!$A$2:$A$50,密度!$C$2:$C$50))</f>
        <v>30103.33358292</v>
      </c>
      <c r="F25" s="91" ph="1">
        <f>F24*11.702*LOOKUP(F26,密度!$A$2:$A$50,密度!$Q$2:$Q$50)</f>
        <v>44791.808590799999</v>
      </c>
      <c r="G25" s="91" ph="1">
        <f>G24*18.322*LOOKUP(G26,密度!$A$2:$A$50,密度!$B$2:$B$50)</f>
        <v>41078.909723600002</v>
      </c>
      <c r="H25" s="91" ph="1">
        <f>H24*18.322*LOOKUP(H26,密度!$A$2:$A$50,密度!$B$2:$B$50)</f>
        <v>31257.69844</v>
      </c>
      <c r="I25" s="91" ph="1">
        <f>I24*18.322*LOOKUP(I26,密度!$A$2:$A$50,密度!$Q$2:$Q$50)</f>
        <v>41676.482120040004</v>
      </c>
      <c r="J25" s="91" ph="1">
        <f>J24*18.322*LOOKUP(J26,密度!$A$2:$A$50,密度!$Q$2:$Q$50)</f>
        <v>85644.033966360003</v>
      </c>
      <c r="K25" s="91" ph="1">
        <f>K24*18.322*LOOKUP(K26,密度!$A$2:$A$50,密度!$Q$2:$Q$50)</f>
        <v>97929.770816000004</v>
      </c>
      <c r="L25" s="91" ph="1">
        <f>L24*18.322*LOOKUP(L26,密度!$A$2:$A$50,密度!$Q$2:$Q$50)</f>
        <v>97536.609644759999</v>
      </c>
      <c r="M25" s="91" ph="1">
        <f>M24*18.322*LOOKUP(M26,密度!$A$2:$A$50,密度!$Q$2:$Q$50)</f>
        <v>95210.561754719994</v>
      </c>
      <c r="N25" s="91" ph="1">
        <f>N24*18.322*LOOKUP(N26,密度!$A$2:$A$50,密度!$Q$2:$Q$50)</f>
        <v>93741.4788768</v>
      </c>
      <c r="O25" s="91" ph="1">
        <f>O24*18.322*LOOKUP(O26,密度!$A$2:$A$50,密度!$C$2:$C$50)</f>
        <v>42091.350463999996</v>
      </c>
      <c r="P25" s="91" ph="1">
        <f>P24*11.702*LOOKUP(P26,密度!$A$2:$A$50,密度!$B$2:$B$50)</f>
        <v>3965.1056800000001</v>
      </c>
      <c r="Q25" s="92" ph="1">
        <f>Q24*18.322*LOOKUP(Q26,密度!$A$2:$A$50,密度!$B$2:$B$50)</f>
        <v>39429.457016</v>
      </c>
      <c r="R25" s="91" ph="1">
        <f>R24*35.891*LOOKUP(R26,密度!$A$2:$A$50,密度!$C$2:$C$50)</f>
        <v>269837.88401639997</v>
      </c>
      <c r="S25" s="91" ph="1">
        <f>S24*35.891*LOOKUP(S26,密度!$A$2:$A$50,密度!$B$2:$B$50)</f>
        <v>88207.09981439999</v>
      </c>
      <c r="T25" s="91" ph="1">
        <f>T24*35.891*LOOKUP(T26,密度!$A$2:$A$50,密度!$Q$2:$Q$50)</f>
        <v>30905.768812799997</v>
      </c>
      <c r="U25" s="91" ph="1">
        <f>U24*35.891</f>
        <v>199518.06899999999</v>
      </c>
      <c r="V25" s="91" ph="1">
        <f>V24*47.051*LOOKUP(V26,密度!$A$2:$A$50,密度!$B$2:$B$50)</f>
        <v>174858.98133120002</v>
      </c>
      <c r="W25" s="91" ph="1">
        <f>W24*47.051*LOOKUP(W26,密度!$A$2:$A$50,密度!$B$2:$B$50)</f>
        <v>265381.19068800006</v>
      </c>
      <c r="X25" s="91" ph="1">
        <f>X24*47.051*LOOKUP(X26,密度!$A$2:$A$50,密度!$I$2:$I$50)</f>
        <v>423055.60731047997</v>
      </c>
      <c r="Y25" s="91" ph="1">
        <f>Y24*47.051*LOOKUP(Y26,密度!$A$2:$A$50,密度!$L$2:$L$50)</f>
        <v>71421.159551999997</v>
      </c>
      <c r="Z25" s="201"/>
      <c r="AA25" s="202"/>
      <c r="AB25" s="202"/>
      <c r="AC25" s="202"/>
      <c r="AD25" s="202"/>
      <c r="AE25" s="203"/>
      <c r="AH25" s="64" ph="1">
        <v>11</v>
      </c>
      <c r="AI25" s="64" t="s" ph="1">
        <v>389</v>
      </c>
      <c r="AZ25" s="64" t="s" ph="1">
        <v>257</v>
      </c>
      <c r="BA25" s="64" ph="1">
        <v>0</v>
      </c>
      <c r="BD25" s="64" t="s" ph="1">
        <v>282</v>
      </c>
      <c r="BE25" s="64" ph="1">
        <v>8920</v>
      </c>
    </row>
    <row r="26" spans="1:57" ph="1">
      <c r="A26" s="72" ph="1"/>
      <c r="B26" s="207" ph="1"/>
      <c r="C26" s="68" t="s" ph="1">
        <v>210</v>
      </c>
      <c r="D26" s="74">
        <v>25</v>
      </c>
      <c r="E26" s="74">
        <v>25</v>
      </c>
      <c r="F26" s="74">
        <v>15</v>
      </c>
      <c r="G26" s="74">
        <v>14</v>
      </c>
      <c r="H26" s="74">
        <v>15</v>
      </c>
      <c r="I26" s="74">
        <v>15</v>
      </c>
      <c r="J26" s="74">
        <v>15</v>
      </c>
      <c r="K26" s="74">
        <v>16</v>
      </c>
      <c r="L26" s="74">
        <v>15</v>
      </c>
      <c r="M26" s="74">
        <v>15</v>
      </c>
      <c r="N26" s="74">
        <v>14</v>
      </c>
      <c r="O26" s="74">
        <v>16</v>
      </c>
      <c r="P26" s="74">
        <v>15</v>
      </c>
      <c r="Q26" s="93">
        <v>15</v>
      </c>
      <c r="R26" s="74">
        <v>15</v>
      </c>
      <c r="S26" s="74">
        <v>16</v>
      </c>
      <c r="T26" s="74">
        <v>16</v>
      </c>
      <c r="U26" s="74">
        <v>15</v>
      </c>
      <c r="V26" s="74">
        <v>16</v>
      </c>
      <c r="W26" s="74">
        <v>16</v>
      </c>
      <c r="X26" s="74">
        <v>51</v>
      </c>
      <c r="Y26" s="74">
        <v>18</v>
      </c>
      <c r="Z26" s="201"/>
      <c r="AA26" s="202"/>
      <c r="AB26" s="202"/>
      <c r="AC26" s="202"/>
      <c r="AD26" s="202"/>
      <c r="AE26" s="203"/>
      <c r="AH26" s="64" ph="1">
        <v>12</v>
      </c>
      <c r="AI26" s="64" t="s" ph="1">
        <v>390</v>
      </c>
      <c r="AZ26" s="64" t="s" ph="1">
        <v>257</v>
      </c>
      <c r="BA26" s="64" ph="1">
        <v>0</v>
      </c>
    </row>
    <row r="27" spans="1:57" ph="1">
      <c r="A27" s="72" ph="1"/>
      <c r="B27" s="207" ph="1">
        <v>0.66666666666666663</v>
      </c>
      <c r="C27" s="183" t="s" ph="1">
        <v>211</v>
      </c>
      <c r="D27" s="71">
        <v>98.51</v>
      </c>
      <c r="E27" s="71">
        <v>95.21</v>
      </c>
      <c r="F27" s="71">
        <v>4010</v>
      </c>
      <c r="G27" s="71">
        <v>2378</v>
      </c>
      <c r="H27" s="71">
        <v>1813</v>
      </c>
      <c r="I27" s="71">
        <v>2383</v>
      </c>
      <c r="J27" s="71">
        <v>4896</v>
      </c>
      <c r="K27" s="71">
        <v>5605</v>
      </c>
      <c r="L27" s="71">
        <v>5577</v>
      </c>
      <c r="M27" s="71">
        <v>5445</v>
      </c>
      <c r="N27" s="71">
        <v>5358</v>
      </c>
      <c r="O27" s="71">
        <v>3515</v>
      </c>
      <c r="P27" s="71">
        <v>427</v>
      </c>
      <c r="Q27" s="90">
        <v>2241</v>
      </c>
      <c r="R27" s="71">
        <v>6736</v>
      </c>
      <c r="S27" s="71">
        <v>3282</v>
      </c>
      <c r="T27" s="71">
        <v>902</v>
      </c>
      <c r="U27" s="71">
        <v>5572</v>
      </c>
      <c r="V27" s="71">
        <v>6153</v>
      </c>
      <c r="W27" s="71">
        <v>5732</v>
      </c>
      <c r="X27" s="71">
        <v>8195</v>
      </c>
      <c r="Y27" s="71">
        <v>1605</v>
      </c>
      <c r="Z27" s="201"/>
      <c r="AA27" s="202"/>
      <c r="AB27" s="202"/>
      <c r="AC27" s="202"/>
      <c r="AD27" s="202"/>
      <c r="AE27" s="203"/>
      <c r="AH27" s="64" ph="1">
        <v>13</v>
      </c>
      <c r="AI27" s="64" t="s" ph="1">
        <v>391</v>
      </c>
      <c r="AZ27" s="64" t="s" ph="1">
        <v>257</v>
      </c>
      <c r="BA27" s="64" ph="1">
        <v>0</v>
      </c>
      <c r="BD27" s="64" t="s" ph="1">
        <v>336</v>
      </c>
      <c r="BE27" s="64" ph="1">
        <v>7100</v>
      </c>
    </row>
    <row r="28" spans="1:57" ph="1">
      <c r="A28" s="72" ph="1"/>
      <c r="B28" s="207" ph="1"/>
      <c r="C28" s="183" t="s" ph="1">
        <v>209</v>
      </c>
      <c r="D28" s="91" ph="1">
        <f>D27*268.68*LOOKUP(D29,密度!$A$2:$A$50,密度!$Q$2:$Q$50)+IF(D27&lt;=0,0,1566*LOOKUP(D29,密度!$A$2:$A$50,密度!$Q$2:$Q$50))</f>
        <v>26540.593706232004</v>
      </c>
      <c r="E28" s="91" ph="1">
        <f>E27*268.68*LOOKUP(E29,密度!$A$2:$A$50,密度!$C$2:$C$50)+IF(E27&lt;=0,0,1566*LOOKUP(E29,密度!$A$2:$A$50,密度!$C$2:$C$50))</f>
        <v>30103.33358292</v>
      </c>
      <c r="F28" s="91" ph="1">
        <f>F27*11.702*LOOKUP(F29,密度!$A$2:$A$50,密度!$Q$2:$Q$50)</f>
        <v>44791.808590799999</v>
      </c>
      <c r="G28" s="91" ph="1">
        <f>G27*18.322*LOOKUP(G29,密度!$A$2:$A$50,密度!$B$2:$B$50)</f>
        <v>34298.080435199998</v>
      </c>
      <c r="H28" s="91" ph="1">
        <f>H27*18.322*LOOKUP(H29,密度!$A$2:$A$50,密度!$B$2:$B$50)</f>
        <v>26149.041139199999</v>
      </c>
      <c r="I28" s="91" ph="1">
        <f>I27*18.322*LOOKUP(I29,密度!$A$2:$A$50,密度!$Q$2:$Q$50)</f>
        <v>41600.511412799999</v>
      </c>
      <c r="J28" s="91" ph="1">
        <f>J27*18.322*LOOKUP(J29,密度!$A$2:$A$50,密度!$Q$2:$Q$50)</f>
        <v>85542.222643200002</v>
      </c>
      <c r="K28" s="91" ph="1">
        <f>K27*18.322*LOOKUP(K29,密度!$A$2:$A$50,密度!$Q$2:$Q$50)</f>
        <v>97929.770816000004</v>
      </c>
      <c r="L28" s="91" ph="1">
        <f>L27*18.322*LOOKUP(L29,密度!$A$2:$A$50,密度!$Q$2:$Q$50)</f>
        <v>97440.558758400002</v>
      </c>
      <c r="M28" s="91" ph="1">
        <f>M27*18.322*LOOKUP(M29,密度!$A$2:$A$50,密度!$Q$2:$Q$50)</f>
        <v>95134.273344000001</v>
      </c>
      <c r="N28" s="91" ph="1">
        <f>N27*18.322*LOOKUP(N29,密度!$A$2:$A$50,密度!$Q$2:$Q$50)</f>
        <v>93535.686172799993</v>
      </c>
      <c r="O28" s="91" ph="1">
        <f>O27*18.322*LOOKUP(O29,密度!$A$2:$A$50,密度!$C$2:$C$50)</f>
        <v>71820.920815999998</v>
      </c>
      <c r="P28" s="91" ph="1">
        <f>P27*11.702*LOOKUP(P29,密度!$A$2:$A$50,密度!$B$2:$B$50)</f>
        <v>3933.4447488000001</v>
      </c>
      <c r="Q28" s="92" ph="1">
        <f>Q27*18.322*LOOKUP(Q29,密度!$A$2:$A$50,密度!$B$2:$B$50)</f>
        <v>32322.1186944</v>
      </c>
      <c r="R28" s="91" ph="1">
        <f>R27*35.891*LOOKUP(R29,密度!$A$2:$A$50,密度!$C$2:$C$50)</f>
        <v>269443.49935200001</v>
      </c>
      <c r="S28" s="91" ph="1">
        <f>S27*35.891*LOOKUP(S29,密度!$A$2:$A$50,密度!$B$2:$B$50)</f>
        <v>92633.407636799995</v>
      </c>
      <c r="T28" s="91" ph="1">
        <f>T27*35.891*LOOKUP(T29,密度!$A$2:$A$50,密度!$Q$2:$Q$50)</f>
        <v>30871.543155199997</v>
      </c>
      <c r="U28" s="91" ph="1">
        <f>U27*35.891</f>
        <v>199984.652</v>
      </c>
      <c r="V28" s="91" ph="1">
        <f>V27*47.051*LOOKUP(V29,密度!$A$2:$A$50,密度!$B$2:$B$50)</f>
        <v>227463.9237171</v>
      </c>
      <c r="W28" s="91" ph="1">
        <f>W27*47.051*LOOKUP(W29,密度!$A$2:$A$50,密度!$B$2:$B$50)</f>
        <v>212089.1954848</v>
      </c>
      <c r="X28" s="91" ph="1">
        <f>X27*47.051*LOOKUP(X29,密度!$A$2:$A$50,密度!$I$2:$I$50)</f>
        <v>399325.12115979998</v>
      </c>
      <c r="Y28" s="91" ph="1">
        <f>Y27*47.051*LOOKUP(Y29,密度!$A$2:$A$50,密度!$L$2:$L$50)</f>
        <v>71287.91111999999</v>
      </c>
      <c r="Z28" s="201"/>
      <c r="AA28" s="202"/>
      <c r="AB28" s="202"/>
      <c r="AC28" s="202"/>
      <c r="AD28" s="202"/>
      <c r="AE28" s="203"/>
      <c r="AH28" s="64" ph="1">
        <v>14</v>
      </c>
      <c r="AI28" s="64" t="s" ph="1">
        <v>392</v>
      </c>
      <c r="AZ28" s="64" t="s" ph="1">
        <v>257</v>
      </c>
      <c r="BA28" s="64" ph="1">
        <v>0</v>
      </c>
    </row>
    <row r="29" spans="1:57" ph="1">
      <c r="A29" s="72" ph="1"/>
      <c r="B29" s="207" ph="1"/>
      <c r="C29" s="183" t="s" ph="1">
        <v>210</v>
      </c>
      <c r="D29" s="74">
        <v>25</v>
      </c>
      <c r="E29" s="74">
        <v>25</v>
      </c>
      <c r="F29" s="74">
        <v>15</v>
      </c>
      <c r="G29" s="74">
        <v>16</v>
      </c>
      <c r="H29" s="74">
        <v>16</v>
      </c>
      <c r="I29" s="74">
        <v>17</v>
      </c>
      <c r="J29" s="74">
        <v>16</v>
      </c>
      <c r="K29" s="74">
        <v>16</v>
      </c>
      <c r="L29" s="74">
        <v>16</v>
      </c>
      <c r="M29" s="74">
        <v>16</v>
      </c>
      <c r="N29" s="74">
        <v>17</v>
      </c>
      <c r="O29" s="74">
        <v>16</v>
      </c>
      <c r="P29" s="74">
        <v>16</v>
      </c>
      <c r="Q29" s="93">
        <v>16</v>
      </c>
      <c r="R29" s="74">
        <v>17</v>
      </c>
      <c r="S29" s="74">
        <v>17</v>
      </c>
      <c r="T29" s="74">
        <v>16</v>
      </c>
      <c r="U29" s="74">
        <v>16</v>
      </c>
      <c r="V29" s="74">
        <v>18</v>
      </c>
      <c r="W29" s="74">
        <v>17</v>
      </c>
      <c r="X29" s="74">
        <v>53</v>
      </c>
      <c r="Y29" s="74">
        <v>18</v>
      </c>
      <c r="Z29" s="204"/>
      <c r="AA29" s="205"/>
      <c r="AB29" s="205"/>
      <c r="AC29" s="205"/>
      <c r="AD29" s="205"/>
      <c r="AE29" s="206"/>
      <c r="AH29" s="64" ph="1">
        <v>15</v>
      </c>
      <c r="AI29" s="64" t="s" ph="1">
        <v>393</v>
      </c>
      <c r="AZ29" s="64" t="s" ph="1">
        <v>257</v>
      </c>
      <c r="BA29" s="64" ph="1">
        <v>0</v>
      </c>
      <c r="BD29" s="64" t="s" ph="1">
        <v>394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395</v>
      </c>
      <c r="AZ30" s="64" t="s" ph="1">
        <v>257</v>
      </c>
      <c r="BA30" s="64" ph="1">
        <v>0</v>
      </c>
    </row>
    <row r="31" spans="1:57" ht="28.5" ph="1">
      <c r="A31" s="64"/>
      <c r="B31" s="220" t="s" ph="1">
        <v>35</v>
      </c>
      <c r="C31" s="221" ph="1"/>
      <c r="D31" s="224" t="s" ph="1">
        <v>9</v>
      </c>
      <c r="E31" s="213" ph="1"/>
      <c r="F31" s="214" ph="1"/>
      <c r="G31" s="224" t="s" ph="1">
        <v>18</v>
      </c>
      <c r="H31" s="213" ph="1"/>
      <c r="I31" s="214" ph="1"/>
      <c r="J31" s="212" t="s" ph="1">
        <v>1</v>
      </c>
      <c r="K31" s="213" ph="1"/>
      <c r="L31" s="214" ph="1"/>
      <c r="M31" s="212" t="s" ph="1">
        <v>7</v>
      </c>
      <c r="N31" s="213" ph="1"/>
      <c r="O31" s="214" ph="1"/>
      <c r="P31" s="212" t="s" ph="1">
        <v>42</v>
      </c>
      <c r="Q31" s="213"/>
      <c r="R31" s="214"/>
      <c r="S31" s="212" t="s" ph="1">
        <v>2</v>
      </c>
      <c r="T31" s="213"/>
      <c r="U31" s="214"/>
      <c r="V31" s="212" t="s" ph="1">
        <v>81</v>
      </c>
      <c r="W31" s="213" ph="1"/>
      <c r="X31" s="214" ph="1"/>
      <c r="Y31" s="212" t="s" ph="1">
        <v>3</v>
      </c>
      <c r="Z31" s="213" ph="1"/>
      <c r="AA31" s="214" ph="1"/>
      <c r="AB31" s="235" t="s">
        <v>43</v>
      </c>
      <c r="AC31" s="236"/>
      <c r="AD31" s="236"/>
      <c r="AE31" s="237"/>
      <c r="AH31" s="64" ph="1">
        <v>17</v>
      </c>
      <c r="AI31" s="64" t="s" ph="1">
        <v>396</v>
      </c>
      <c r="AZ31" s="64" t="s" ph="1">
        <v>257</v>
      </c>
      <c r="BA31" s="64" ph="1">
        <v>0</v>
      </c>
      <c r="BD31" s="64" t="s" ph="1">
        <v>397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83" t="s" ph="1">
        <v>5</v>
      </c>
      <c r="F32" s="184" t="s" ph="1">
        <v>44</v>
      </c>
      <c r="G32" s="97" t="s" ph="1">
        <v>4</v>
      </c>
      <c r="H32" s="183" t="s" ph="1">
        <v>5</v>
      </c>
      <c r="I32" s="184" t="s" ph="1">
        <v>44</v>
      </c>
      <c r="J32" s="97" t="s" ph="1">
        <v>4</v>
      </c>
      <c r="K32" s="183" t="s" ph="1">
        <v>5</v>
      </c>
      <c r="L32" s="184" t="s" ph="1">
        <v>44</v>
      </c>
      <c r="M32" s="97" t="s" ph="1">
        <v>4</v>
      </c>
      <c r="N32" s="183" t="s" ph="1">
        <v>5</v>
      </c>
      <c r="O32" s="184" t="s" ph="1">
        <v>44</v>
      </c>
      <c r="P32" s="97" t="s" ph="1">
        <v>4</v>
      </c>
      <c r="Q32" s="98" t="s" ph="1">
        <v>5</v>
      </c>
      <c r="R32" s="99" t="s" ph="1">
        <v>44</v>
      </c>
      <c r="S32" s="97" t="s" ph="1">
        <v>4</v>
      </c>
      <c r="T32" s="183" t="s" ph="1">
        <v>5</v>
      </c>
      <c r="U32" s="99" t="s" ph="1">
        <v>44</v>
      </c>
      <c r="V32" s="97" t="s" ph="1">
        <v>4</v>
      </c>
      <c r="W32" s="183" t="s" ph="1">
        <v>5</v>
      </c>
      <c r="X32" s="99" t="s" ph="1">
        <v>44</v>
      </c>
      <c r="Y32" s="100" t="s" ph="1">
        <v>4</v>
      </c>
      <c r="Z32" s="183" t="s" ph="1">
        <v>5</v>
      </c>
      <c r="AA32" s="184" t="s" ph="1">
        <v>44</v>
      </c>
      <c r="AB32" s="97" t="s" ph="1">
        <v>102</v>
      </c>
      <c r="AC32" s="183" t="s" ph="1">
        <v>101</v>
      </c>
      <c r="AD32" s="238" t="s" ph="1">
        <v>100</v>
      </c>
      <c r="AE32" s="239"/>
      <c r="AH32" s="64" ph="1">
        <v>18</v>
      </c>
      <c r="AI32" s="64" t="s" ph="1">
        <v>398</v>
      </c>
      <c r="AZ32" s="64" t="s" ph="1">
        <v>257</v>
      </c>
      <c r="BA32" s="64" ph="1">
        <v>0</v>
      </c>
    </row>
    <row r="33" spans="1:57" ph="1">
      <c r="A33" s="64"/>
      <c r="B33" s="225" t="s" ph="1">
        <v>212</v>
      </c>
      <c r="C33" s="226" ph="1"/>
      <c r="D33" s="229" ph="1">
        <f>AA10+AB10+Z19</f>
        <v>108076.8280142</v>
      </c>
      <c r="E33" s="229" ph="1">
        <f>M10+I10</f>
        <v>143453.5628324</v>
      </c>
      <c r="F33" s="23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1522252632456786910111213141516171819202123456789101112131415161718192022232424356789101112131415161718192021222345678910111213141516171819202345678910111213149101516171819222123234567891012131415161711181920212224252345678910111213129[[#This Row],[F25]]</f>
        <v>3880</v>
      </c>
      <c r="G33" s="233" ph="1">
        <v>0</v>
      </c>
      <c r="H33" s="229" ph="1">
        <f>N19</f>
        <v>18309.344910959997</v>
      </c>
      <c r="I33" s="242" ph="1">
        <v>0</v>
      </c>
      <c r="J33" s="240" ph="1">
        <f>F10+O28</f>
        <v>323792.60683039995</v>
      </c>
      <c r="K33" s="229" ph="1">
        <f>O10+K10+E28+R28</f>
        <v>379881.85653092002</v>
      </c>
      <c r="L33" s="244" ph="1">
        <f>BE27</f>
        <v>7100</v>
      </c>
      <c r="M33" s="240" ph="1">
        <f>G10+H10+W28+S28</f>
        <v>768745.57419760001</v>
      </c>
      <c r="N33" s="229" ph="1">
        <f>L10+P10++G28+H28+V28</f>
        <v>457093.61598350003</v>
      </c>
      <c r="O33" s="242" ph="1">
        <f>BE17</f>
        <v>2270</v>
      </c>
      <c r="P33" s="240" ph="1">
        <f>L19</f>
        <v>18097.62723328</v>
      </c>
      <c r="Q33" s="229" ph="1">
        <f>J10+N10</f>
        <v>121164.54255199998</v>
      </c>
      <c r="R33" s="242" ph="1">
        <f>BE23</f>
        <v>890</v>
      </c>
      <c r="S33" s="240" ph="1">
        <f>E10+X28</f>
        <v>399325.12115979998</v>
      </c>
      <c r="T33" s="229" ph="1">
        <f>X19</f>
        <v>9170.6876466479989</v>
      </c>
      <c r="U33" s="250" ph="1">
        <f>BE21</f>
        <v>730</v>
      </c>
      <c r="V33" s="261" ph="1">
        <f ca="1">P19+Q19+S19+M28+N28+J28</f>
        <v>430299.34988533001</v>
      </c>
      <c r="W33" s="261" ph="1">
        <f>D28+F28+V19+T28</f>
        <v>102203.945452232</v>
      </c>
      <c r="X33" s="242" ph="1">
        <f>BE29+BE31</f>
        <v>10200</v>
      </c>
      <c r="Y33" s="263" ph="1">
        <f>+Q10+R10+S10+T10+U10+V10+W10+X10+Y10</f>
        <v>67187.672105399994</v>
      </c>
      <c r="Z33" s="248" ph="1">
        <f>D10+T19+U19+Y28+Z10</f>
        <v>313172.43546867004</v>
      </c>
      <c r="AA33" s="250" ph="1">
        <f>BE19</f>
        <v>1440</v>
      </c>
      <c r="AB33" s="252" ph="1">
        <f>I19</f>
        <v>40132.019217599998</v>
      </c>
      <c r="AC33" s="254" ph="1">
        <f>AD10</f>
        <v>1988.9517920000001</v>
      </c>
      <c r="AD33" s="256" ph="1">
        <v>0</v>
      </c>
      <c r="AE33" s="257"/>
      <c r="AH33" s="64" ph="1">
        <v>19</v>
      </c>
      <c r="AI33" s="64" t="s" ph="1">
        <v>399</v>
      </c>
      <c r="AJ33" s="64" t="s" ph="1">
        <v>633</v>
      </c>
      <c r="AK33" s="64" t="s" ph="1">
        <v>630</v>
      </c>
      <c r="AL33" s="64" ph="1">
        <v>730</v>
      </c>
      <c r="AM33" s="64" t="s" ph="1">
        <v>380</v>
      </c>
      <c r="AZ33" s="64" t="s" ph="1">
        <v>257</v>
      </c>
      <c r="BA33" s="64" ph="1">
        <v>730</v>
      </c>
      <c r="BD33" s="64" t="s" ph="1">
        <v>331</v>
      </c>
      <c r="BE33" s="64" ph="1">
        <v>3880</v>
      </c>
    </row>
    <row r="34" spans="1:57" ph="1">
      <c r="A34" s="64"/>
      <c r="B34" s="227" ph="1"/>
      <c r="C34" s="228" ph="1"/>
      <c r="D34" s="230" ph="1"/>
      <c r="E34" s="230" ph="1"/>
      <c r="F34" s="232" ph="1"/>
      <c r="G34" s="234" ph="1"/>
      <c r="H34" s="230" ph="1"/>
      <c r="I34" s="243" ph="1"/>
      <c r="J34" s="241" ph="1"/>
      <c r="K34" s="230" ph="1"/>
      <c r="L34" s="245" ph="1"/>
      <c r="M34" s="241" ph="1"/>
      <c r="N34" s="230" ph="1"/>
      <c r="O34" s="243" ph="1"/>
      <c r="P34" s="241" ph="1"/>
      <c r="Q34" s="230" ph="1"/>
      <c r="R34" s="243" ph="1"/>
      <c r="S34" s="241" ph="1"/>
      <c r="T34" s="230"/>
      <c r="U34" s="251"/>
      <c r="V34" s="262" ph="1"/>
      <c r="W34" s="262" ph="1"/>
      <c r="X34" s="243" ph="1"/>
      <c r="Y34" s="264" ph="1"/>
      <c r="Z34" s="249" ph="1"/>
      <c r="AA34" s="251" ph="1"/>
      <c r="AB34" s="253"/>
      <c r="AC34" s="255"/>
      <c r="AD34" s="258"/>
      <c r="AE34" s="259"/>
      <c r="AH34" s="64" ph="1">
        <v>20</v>
      </c>
      <c r="AI34" s="64" t="s" ph="1">
        <v>400</v>
      </c>
      <c r="AJ34" s="64" t="s" ph="1">
        <v>634</v>
      </c>
      <c r="AK34" s="64" t="s" ph="1">
        <v>630</v>
      </c>
      <c r="AL34" s="64" ph="1">
        <v>720</v>
      </c>
      <c r="AM34" s="64" t="s" ph="1">
        <v>380</v>
      </c>
      <c r="AZ34" s="64" t="s" ph="1">
        <v>257</v>
      </c>
      <c r="BA34" s="64" ph="1">
        <v>720</v>
      </c>
    </row>
    <row r="35" spans="1:57" ph="1">
      <c r="A35" s="64"/>
      <c r="AC35" s="260" t="s" ph="1">
        <v>84</v>
      </c>
      <c r="AD35" s="260"/>
      <c r="AE35" s="260"/>
      <c r="AH35" s="64" ph="1">
        <v>21</v>
      </c>
      <c r="AI35" s="64" t="s" ph="1">
        <v>401</v>
      </c>
      <c r="AZ35" s="64" t="s" ph="1">
        <v>257</v>
      </c>
      <c r="BA35" s="64" ph="1">
        <v>0</v>
      </c>
      <c r="BD35" s="64" t="s" ph="1">
        <v>402</v>
      </c>
      <c r="BE35" s="64" ph="1">
        <v>2030</v>
      </c>
    </row>
    <row r="36" spans="1:57" ht="28.5" ph="1">
      <c r="A36" s="64"/>
      <c r="B36" s="103" t="s" ph="1">
        <v>213</v>
      </c>
      <c r="I36" s="246" t="s" ph="1">
        <v>214</v>
      </c>
      <c r="J36" s="246" ph="1"/>
      <c r="K36" s="101" ph="1"/>
      <c r="P36" s="101" ph="1"/>
      <c r="R36" s="246" t="s" ph="1">
        <v>215</v>
      </c>
      <c r="S36" s="246" ph="1"/>
      <c r="Y36" s="102" ph="1"/>
      <c r="Z36" s="185" t="s" ph="1">
        <v>216</v>
      </c>
      <c r="AA36" s="185" ph="1"/>
      <c r="AB36" s="247" t="s" ph="1">
        <v>655</v>
      </c>
      <c r="AC36" s="247" ph="1"/>
      <c r="AD36" s="247" ph="1"/>
      <c r="AE36" s="247" ph="1"/>
      <c r="BA36" s="64" ph="1">
        <v>2270</v>
      </c>
    </row>
    <row r="37" spans="1:57" s="185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85" t="s" ph="1">
        <v>383</v>
      </c>
      <c r="AI37" s="185" t="s" ph="1">
        <v>250</v>
      </c>
      <c r="AJ37" s="185" t="s" ph="1">
        <v>251</v>
      </c>
      <c r="AK37" s="185" t="s" ph="1">
        <v>252</v>
      </c>
      <c r="AM37" s="185" t="s" ph="1">
        <v>251</v>
      </c>
      <c r="AN37" s="185" t="s" ph="1">
        <v>252</v>
      </c>
      <c r="AO37" s="185" t="s" ph="1">
        <v>253</v>
      </c>
      <c r="AP37" s="185" t="s" ph="1">
        <v>251</v>
      </c>
      <c r="AQ37" s="185" t="s" ph="1">
        <v>252</v>
      </c>
      <c r="AR37" s="185" t="s" ph="1">
        <v>253</v>
      </c>
      <c r="AS37" s="185" t="s" ph="1">
        <v>251</v>
      </c>
      <c r="AT37" s="185" t="s" ph="1">
        <v>252</v>
      </c>
      <c r="AU37" s="185" t="s" ph="1">
        <v>253</v>
      </c>
      <c r="AV37" s="185" t="s" ph="1">
        <v>251</v>
      </c>
      <c r="AW37" s="185" t="s" ph="1">
        <v>252</v>
      </c>
      <c r="AX37" s="185" t="s" ph="1">
        <v>253</v>
      </c>
      <c r="AY37" s="185" t="s" ph="1">
        <v>252</v>
      </c>
      <c r="AZ37" s="185" t="s" ph="1">
        <v>254</v>
      </c>
      <c r="BD37" s="185" t="s" ph="1">
        <v>346</v>
      </c>
      <c r="BE37" s="185" ph="1">
        <v>0</v>
      </c>
    </row>
    <row r="38" spans="1:57" ph="1">
      <c r="AE38" s="64" ph="1"/>
      <c r="AH38" s="64" ph="1">
        <v>1</v>
      </c>
      <c r="AI38" s="64" t="s" ph="1">
        <v>403</v>
      </c>
      <c r="AY38" s="64" t="s" ph="1">
        <v>257</v>
      </c>
      <c r="AZ38" s="64" t="s" ph="1">
        <v>408</v>
      </c>
    </row>
    <row r="39" spans="1:57" ph="1">
      <c r="AH39" s="64" ph="1">
        <v>2</v>
      </c>
      <c r="AI39" s="64" t="s" ph="1">
        <v>405</v>
      </c>
      <c r="AJ39" s="64" t="s" ph="1">
        <v>377</v>
      </c>
      <c r="AK39" s="64" t="s" ph="1">
        <v>406</v>
      </c>
      <c r="AM39" s="64" t="s" ph="1">
        <v>611</v>
      </c>
      <c r="AN39" s="64" t="s" ph="1">
        <v>269</v>
      </c>
      <c r="AO39" s="64" t="s" ph="1">
        <v>404</v>
      </c>
      <c r="AY39" s="64" t="s" ph="1">
        <v>257</v>
      </c>
      <c r="AZ39" s="64" t="s" ph="1">
        <v>540</v>
      </c>
    </row>
    <row r="40" spans="1:57" ph="1">
      <c r="AH40" s="64" ph="1">
        <v>3</v>
      </c>
      <c r="AI40" s="64" t="s" ph="1">
        <v>407</v>
      </c>
      <c r="AJ40" s="64" t="s" ph="1">
        <v>611</v>
      </c>
      <c r="AK40" s="64" t="s" ph="1">
        <v>612</v>
      </c>
      <c r="AY40" s="64" t="s" ph="1">
        <v>257</v>
      </c>
      <c r="AZ40" s="64" t="s" ph="1">
        <v>612</v>
      </c>
    </row>
    <row r="41" spans="1:57" ph="1">
      <c r="AH41" s="64" ph="1">
        <v>4</v>
      </c>
      <c r="AI41" s="64" t="s" ph="1">
        <v>409</v>
      </c>
      <c r="AJ41" s="64" t="s" ph="1">
        <v>613</v>
      </c>
      <c r="AK41" s="64" t="s" ph="1">
        <v>614</v>
      </c>
      <c r="AM41" s="64" t="s" ph="1">
        <v>615</v>
      </c>
      <c r="AY41" s="64" t="s" ph="1">
        <v>257</v>
      </c>
      <c r="AZ41" s="64" t="s" ph="1">
        <v>614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410</v>
      </c>
      <c r="AY42" s="64" t="s" ph="1">
        <v>257</v>
      </c>
      <c r="AZ42" s="64" t="s" ph="1">
        <v>408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411</v>
      </c>
      <c r="AY43" s="64" t="s" ph="1">
        <v>257</v>
      </c>
      <c r="AZ43" s="64" t="s" ph="1">
        <v>408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412</v>
      </c>
      <c r="AV44" s="64" t="s" ph="1">
        <v>258</v>
      </c>
      <c r="AY44" s="64" t="s" ph="1">
        <v>257</v>
      </c>
      <c r="AZ44" s="64" t="s" ph="1">
        <v>408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413</v>
      </c>
      <c r="AV45" s="64" t="s" ph="1">
        <v>258</v>
      </c>
      <c r="AY45" s="64" t="s" ph="1">
        <v>257</v>
      </c>
      <c r="AZ45" s="64" t="s" ph="1">
        <v>408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414</v>
      </c>
      <c r="AV46" s="64" t="s" ph="1">
        <v>258</v>
      </c>
      <c r="AY46" s="64" t="s" ph="1">
        <v>257</v>
      </c>
      <c r="AZ46" s="64" t="s" ph="1">
        <v>408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415</v>
      </c>
      <c r="AV47" s="64" t="s" ph="1">
        <v>258</v>
      </c>
      <c r="AY47" s="64" t="s" ph="1">
        <v>257</v>
      </c>
      <c r="AZ47" s="64" t="s" ph="1">
        <v>408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616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273</v>
      </c>
      <c r="AI49" s="64" t="s" ph="1">
        <v>250</v>
      </c>
      <c r="AJ49" s="64" t="s" ph="1">
        <v>251</v>
      </c>
      <c r="AK49" s="64" t="s" ph="1">
        <v>252</v>
      </c>
      <c r="AM49" s="64" t="s" ph="1">
        <v>251</v>
      </c>
      <c r="AN49" s="64" t="s" ph="1">
        <v>252</v>
      </c>
      <c r="AO49" s="64" t="s" ph="1">
        <v>253</v>
      </c>
      <c r="AP49" s="64" t="s" ph="1">
        <v>251</v>
      </c>
      <c r="AQ49" s="64" t="s" ph="1">
        <v>252</v>
      </c>
      <c r="AR49" s="64" t="s" ph="1">
        <v>253</v>
      </c>
      <c r="AS49" s="64" t="s" ph="1">
        <v>251</v>
      </c>
      <c r="AT49" s="64" t="s" ph="1">
        <v>252</v>
      </c>
      <c r="AU49" s="64" t="s" ph="1">
        <v>253</v>
      </c>
      <c r="AV49" s="64" t="s" ph="1">
        <v>251</v>
      </c>
      <c r="AW49" s="64" t="s" ph="1">
        <v>252</v>
      </c>
      <c r="AX49" s="64" t="s" ph="1">
        <v>253</v>
      </c>
      <c r="AY49" s="64" t="s" ph="1">
        <v>252</v>
      </c>
      <c r="AZ49" s="64" t="s" ph="1">
        <v>254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416</v>
      </c>
      <c r="AY50" s="64" t="s" ph="1">
        <v>257</v>
      </c>
      <c r="AZ50" s="64" t="s" ph="1">
        <v>408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417</v>
      </c>
      <c r="AY51" s="64" t="s" ph="1">
        <v>257</v>
      </c>
      <c r="AZ51" s="64" t="s" ph="1">
        <v>408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418</v>
      </c>
      <c r="AJ52" s="64" t="s" ph="1">
        <v>375</v>
      </c>
      <c r="AK52" s="64" t="s" ph="1">
        <v>269</v>
      </c>
      <c r="AM52" s="64" t="s" ph="1">
        <v>377</v>
      </c>
      <c r="AN52" s="64" t="s" ph="1">
        <v>341</v>
      </c>
      <c r="AO52" s="64" t="s" ph="1">
        <v>274</v>
      </c>
      <c r="AP52" s="64" t="s" ph="1">
        <v>611</v>
      </c>
      <c r="AQ52" s="64" t="s" ph="1">
        <v>323</v>
      </c>
      <c r="AR52" s="64" t="s" ph="1">
        <v>274</v>
      </c>
      <c r="AY52" s="64" t="s" ph="1">
        <v>257</v>
      </c>
      <c r="AZ52" s="64" t="s" ph="1">
        <v>617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419</v>
      </c>
      <c r="AY53" s="64" t="s" ph="1">
        <v>257</v>
      </c>
      <c r="AZ53" s="64" t="s" ph="1">
        <v>408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420</v>
      </c>
      <c r="AJ54" s="64" t="s" ph="1">
        <v>375</v>
      </c>
      <c r="AK54" s="64" t="s" ph="1">
        <v>260</v>
      </c>
      <c r="AM54" s="64" t="s" ph="1">
        <v>377</v>
      </c>
      <c r="AN54" s="64" t="s" ph="1">
        <v>265</v>
      </c>
      <c r="AO54" s="64" t="s" ph="1">
        <v>274</v>
      </c>
      <c r="AP54" s="64" t="s" ph="1">
        <v>611</v>
      </c>
      <c r="AQ54" s="64" t="s" ph="1">
        <v>281</v>
      </c>
      <c r="AR54" s="64" t="s" ph="1">
        <v>274</v>
      </c>
      <c r="AY54" s="64" t="s" ph="1">
        <v>257</v>
      </c>
      <c r="AZ54" s="64" t="s" ph="1">
        <v>275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421</v>
      </c>
      <c r="AY55" s="64" t="s" ph="1">
        <v>257</v>
      </c>
      <c r="AZ55" s="64" t="s" ph="1">
        <v>408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422</v>
      </c>
      <c r="AY56" s="64" t="s" ph="1">
        <v>257</v>
      </c>
      <c r="AZ56" s="64" t="s" ph="1">
        <v>408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423</v>
      </c>
      <c r="AY57" s="64" t="s" ph="1">
        <v>257</v>
      </c>
      <c r="AZ57" s="64" t="s" ph="1">
        <v>408</v>
      </c>
    </row>
    <row r="58" spans="16:52" ph="1">
      <c r="P58" s="64"/>
      <c r="AN58" s="64" t="s" ph="1">
        <v>258</v>
      </c>
      <c r="AZ58" s="64" t="s" ph="1">
        <v>618</v>
      </c>
    </row>
    <row r="59" spans="16:52" ph="1">
      <c r="V59" s="64"/>
      <c r="AG59" s="64" t="s" ph="1">
        <v>276</v>
      </c>
      <c r="AI59" s="64" t="s" ph="1">
        <v>250</v>
      </c>
      <c r="AJ59" s="64" t="s" ph="1">
        <v>251</v>
      </c>
      <c r="AK59" s="64" t="s" ph="1">
        <v>252</v>
      </c>
      <c r="AM59" s="64" t="s" ph="1">
        <v>251</v>
      </c>
      <c r="AN59" s="64" t="s" ph="1">
        <v>252</v>
      </c>
      <c r="AO59" s="64" t="s" ph="1">
        <v>253</v>
      </c>
      <c r="AP59" s="64" t="s" ph="1">
        <v>251</v>
      </c>
      <c r="AQ59" s="64" t="s" ph="1">
        <v>252</v>
      </c>
      <c r="AR59" s="64" t="s" ph="1">
        <v>253</v>
      </c>
      <c r="AS59" s="64" t="s" ph="1">
        <v>251</v>
      </c>
      <c r="AT59" s="64" t="s" ph="1">
        <v>252</v>
      </c>
      <c r="AU59" s="64" t="s" ph="1">
        <v>253</v>
      </c>
      <c r="AV59" s="64" t="s" ph="1">
        <v>251</v>
      </c>
      <c r="AW59" s="64" t="s" ph="1">
        <v>252</v>
      </c>
      <c r="AX59" s="64" t="s" ph="1">
        <v>253</v>
      </c>
      <c r="AY59" s="64" t="s" ph="1">
        <v>252</v>
      </c>
      <c r="AZ59" s="64" t="s" ph="1">
        <v>254</v>
      </c>
    </row>
    <row r="60" spans="16:52" ph="1">
      <c r="R60" s="64"/>
      <c r="S60" s="64"/>
      <c r="T60" s="64"/>
      <c r="AH60" s="64" ph="1">
        <v>1</v>
      </c>
      <c r="AI60" s="64" t="s" ph="1">
        <v>424</v>
      </c>
      <c r="AY60" s="64" t="s" ph="1">
        <v>257</v>
      </c>
      <c r="AZ60" s="64" t="s" ph="1">
        <v>408</v>
      </c>
    </row>
    <row r="61" spans="16:52" ph="1">
      <c r="AH61" s="64" ph="1">
        <v>2</v>
      </c>
      <c r="AI61" s="64" t="s" ph="1">
        <v>425</v>
      </c>
      <c r="AS61" s="64" t="s" ph="1">
        <v>258</v>
      </c>
      <c r="AY61" s="64" t="s" ph="1">
        <v>257</v>
      </c>
      <c r="AZ61" s="64" t="s" ph="1">
        <v>408</v>
      </c>
    </row>
    <row r="62" spans="16:52" ph="1">
      <c r="AZ62" s="64" t="s" ph="1">
        <v>426</v>
      </c>
    </row>
    <row r="63" spans="16:52" ph="1">
      <c r="AG63" s="64" t="s" ph="1">
        <v>279</v>
      </c>
      <c r="AI63" s="64" t="s" ph="1">
        <v>250</v>
      </c>
      <c r="AJ63" s="64" t="s" ph="1">
        <v>251</v>
      </c>
      <c r="AK63" s="64" t="s" ph="1">
        <v>252</v>
      </c>
      <c r="AM63" s="64" t="s" ph="1">
        <v>251</v>
      </c>
      <c r="AN63" s="64" t="s" ph="1">
        <v>252</v>
      </c>
      <c r="AO63" s="64" t="s" ph="1">
        <v>253</v>
      </c>
      <c r="AP63" s="64" t="s" ph="1">
        <v>251</v>
      </c>
      <c r="AQ63" s="64" t="s" ph="1">
        <v>252</v>
      </c>
      <c r="AR63" s="64" t="s" ph="1">
        <v>253</v>
      </c>
      <c r="AS63" s="64" t="s" ph="1">
        <v>251</v>
      </c>
      <c r="AT63" s="64" t="s" ph="1">
        <v>252</v>
      </c>
      <c r="AU63" s="64" t="s" ph="1">
        <v>253</v>
      </c>
      <c r="AV63" s="64" t="s" ph="1">
        <v>251</v>
      </c>
      <c r="AW63" s="64" t="s" ph="1">
        <v>252</v>
      </c>
      <c r="AX63" s="64" t="s" ph="1">
        <v>253</v>
      </c>
      <c r="AY63" s="64" t="s" ph="1">
        <v>252</v>
      </c>
      <c r="AZ63" s="64" t="s" ph="1">
        <v>254</v>
      </c>
    </row>
    <row r="64" spans="16:52" ph="1">
      <c r="AH64" s="64" ph="1">
        <v>1</v>
      </c>
      <c r="AI64" s="64" t="s" ph="1">
        <v>427</v>
      </c>
      <c r="AJ64" s="64" t="s" ph="1">
        <v>428</v>
      </c>
      <c r="AK64" s="64" t="s" ph="1">
        <v>429</v>
      </c>
      <c r="AY64" s="64" t="s" ph="1">
        <v>257</v>
      </c>
      <c r="AZ64" s="64" t="s" ph="1">
        <v>429</v>
      </c>
    </row>
    <row r="65" spans="33:52" ph="1">
      <c r="AH65" s="64" ph="1">
        <v>2</v>
      </c>
      <c r="AI65" s="64" t="s" ph="1">
        <v>430</v>
      </c>
      <c r="AY65" s="64" t="s" ph="1">
        <v>257</v>
      </c>
      <c r="AZ65" s="64" t="s" ph="1">
        <v>408</v>
      </c>
    </row>
    <row r="66" spans="33:52" ph="1">
      <c r="AH66" s="64" ph="1">
        <v>3</v>
      </c>
      <c r="AI66" s="64" t="s" ph="1">
        <v>431</v>
      </c>
      <c r="AY66" s="64" t="s" ph="1">
        <v>257</v>
      </c>
      <c r="AZ66" s="64" t="s" ph="1">
        <v>408</v>
      </c>
    </row>
    <row r="67" spans="33:52" ph="1">
      <c r="AH67" s="64" ph="1">
        <v>4</v>
      </c>
      <c r="AI67" s="64" t="s" ph="1">
        <v>432</v>
      </c>
      <c r="AY67" s="64" t="s" ph="1">
        <v>257</v>
      </c>
      <c r="AZ67" s="64" t="s" ph="1">
        <v>408</v>
      </c>
    </row>
    <row r="68" spans="33:52" ph="1">
      <c r="AH68" s="64" ph="1">
        <v>5</v>
      </c>
      <c r="AI68" s="64" t="s" ph="1">
        <v>433</v>
      </c>
      <c r="AY68" s="64" t="s" ph="1">
        <v>257</v>
      </c>
      <c r="AZ68" s="64" t="s" ph="1">
        <v>408</v>
      </c>
    </row>
    <row r="69" spans="33:52" ph="1">
      <c r="AH69" s="64" ph="1">
        <v>6</v>
      </c>
      <c r="AI69" s="64" t="s" ph="1">
        <v>434</v>
      </c>
      <c r="AY69" s="64" t="s" ph="1">
        <v>257</v>
      </c>
      <c r="AZ69" s="64" t="s" ph="1">
        <v>408</v>
      </c>
    </row>
    <row r="70" spans="33:52" ph="1">
      <c r="AI70" s="64" t="s" ph="1">
        <v>435</v>
      </c>
      <c r="AY70" s="64" t="s" ph="1">
        <v>257</v>
      </c>
      <c r="AZ70" s="64" t="s" ph="1">
        <v>408</v>
      </c>
    </row>
    <row r="71" spans="33:52" ph="1">
      <c r="AH71" s="64" ph="1">
        <v>7</v>
      </c>
      <c r="AI71" s="64" t="s" ph="1">
        <v>436</v>
      </c>
      <c r="AJ71" s="64" t="s" ph="1">
        <v>375</v>
      </c>
      <c r="AK71" s="64" t="s" ph="1">
        <v>269</v>
      </c>
      <c r="AM71" s="64" t="s" ph="1">
        <v>377</v>
      </c>
      <c r="AN71" s="64" t="s" ph="1">
        <v>269</v>
      </c>
      <c r="AO71" s="64" t="s" ph="1">
        <v>437</v>
      </c>
      <c r="AP71" s="64" t="s" ph="1">
        <v>611</v>
      </c>
      <c r="AQ71" s="64" t="s" ph="1">
        <v>260</v>
      </c>
      <c r="AR71" s="64" t="s" ph="1">
        <v>437</v>
      </c>
      <c r="AY71" s="64" t="s" ph="1">
        <v>257</v>
      </c>
      <c r="AZ71" s="64" t="s" ph="1">
        <v>619</v>
      </c>
    </row>
    <row r="72" spans="33:52" ph="1">
      <c r="AZ72" s="64" t="s" ph="1">
        <v>620</v>
      </c>
    </row>
    <row r="73" spans="33:52" ph="1">
      <c r="AG73" s="64" t="s" ph="1">
        <v>282</v>
      </c>
      <c r="AI73" s="64" t="s" ph="1">
        <v>250</v>
      </c>
      <c r="AJ73" s="64" t="s" ph="1">
        <v>251</v>
      </c>
      <c r="AK73" s="64" t="s" ph="1">
        <v>252</v>
      </c>
      <c r="AM73" s="64" t="s" ph="1">
        <v>251</v>
      </c>
      <c r="AN73" s="64" t="s" ph="1">
        <v>252</v>
      </c>
      <c r="AO73" s="64" t="s" ph="1">
        <v>253</v>
      </c>
      <c r="AP73" s="64" t="s" ph="1">
        <v>251</v>
      </c>
      <c r="AQ73" s="64" t="s" ph="1">
        <v>252</v>
      </c>
      <c r="AR73" s="64" t="s" ph="1">
        <v>253</v>
      </c>
      <c r="AS73" s="64" t="s" ph="1">
        <v>251</v>
      </c>
      <c r="AT73" s="64" t="s" ph="1">
        <v>252</v>
      </c>
      <c r="AU73" s="64" t="s" ph="1">
        <v>253</v>
      </c>
      <c r="AV73" s="64" t="s" ph="1">
        <v>251</v>
      </c>
      <c r="AW73" s="64" t="s" ph="1">
        <v>252</v>
      </c>
      <c r="AX73" s="64" t="s" ph="1">
        <v>253</v>
      </c>
      <c r="AY73" s="64" t="s" ph="1">
        <v>252</v>
      </c>
      <c r="AZ73" s="64" t="s" ph="1">
        <v>254</v>
      </c>
    </row>
    <row r="74" spans="33:52" ph="1">
      <c r="AH74" s="64" ph="1">
        <v>1</v>
      </c>
      <c r="AI74" s="64" t="s" ph="1">
        <v>438</v>
      </c>
      <c r="AJ74" s="64" t="s" ph="1">
        <v>283</v>
      </c>
      <c r="AK74" s="64" t="s" ph="1">
        <v>265</v>
      </c>
      <c r="AM74" s="64" t="s" ph="1">
        <v>285</v>
      </c>
      <c r="AN74" s="64" t="s" ph="1">
        <v>295</v>
      </c>
      <c r="AO74" s="64" t="s" ph="1">
        <v>284</v>
      </c>
      <c r="AP74" s="64" t="s" ph="1">
        <v>286</v>
      </c>
      <c r="AQ74" s="64" t="s" ph="1">
        <v>263</v>
      </c>
      <c r="AR74" s="64" t="s" ph="1">
        <v>284</v>
      </c>
      <c r="AS74" s="64" t="s" ph="1">
        <v>256</v>
      </c>
      <c r="AT74" s="64" t="s" ph="1">
        <v>258</v>
      </c>
      <c r="AV74" s="64" t="s" ph="1">
        <v>439</v>
      </c>
      <c r="AW74" s="64" t="s" ph="1">
        <v>440</v>
      </c>
      <c r="AX74" s="64" t="s" ph="1">
        <v>441</v>
      </c>
      <c r="AY74" s="64" t="s" ph="1">
        <v>257</v>
      </c>
      <c r="AZ74" s="64" t="s" ph="1">
        <v>442</v>
      </c>
    </row>
    <row r="75" spans="33:52" ph="1">
      <c r="AJ75" s="64" t="s" ph="1">
        <v>288</v>
      </c>
      <c r="AK75" s="64" t="s" ph="1">
        <v>341</v>
      </c>
      <c r="AM75" s="64" t="s" ph="1">
        <v>286</v>
      </c>
      <c r="AN75" s="64" t="s" ph="1">
        <v>266</v>
      </c>
      <c r="AO75" s="64" t="s" ph="1">
        <v>284</v>
      </c>
      <c r="AS75" s="64" t="s" ph="1">
        <v>256</v>
      </c>
      <c r="AT75" s="64" t="s" ph="1">
        <v>287</v>
      </c>
    </row>
    <row r="76" spans="33:52" ph="1">
      <c r="AJ76" s="64" t="s" ph="1">
        <v>288</v>
      </c>
      <c r="AK76" s="64" t="s" ph="1">
        <v>281</v>
      </c>
      <c r="AM76" s="64" t="s" ph="1">
        <v>286</v>
      </c>
      <c r="AN76" s="64" t="s" ph="1">
        <v>269</v>
      </c>
      <c r="AO76" s="64" t="s" ph="1">
        <v>284</v>
      </c>
      <c r="AS76" s="64" t="s" ph="1">
        <v>256</v>
      </c>
      <c r="AT76" s="64" t="s" ph="1">
        <v>287</v>
      </c>
    </row>
    <row r="77" spans="33:52" ph="1">
      <c r="AJ77" s="64" t="s" ph="1">
        <v>324</v>
      </c>
      <c r="AK77" s="64" t="s" ph="1">
        <v>281</v>
      </c>
      <c r="AM77" s="64" t="s" ph="1">
        <v>325</v>
      </c>
      <c r="AN77" s="64" t="s" ph="1">
        <v>264</v>
      </c>
      <c r="AO77" s="64" t="s" ph="1">
        <v>284</v>
      </c>
      <c r="AS77" s="64" t="s" ph="1">
        <v>256</v>
      </c>
      <c r="AT77" s="64" t="s" ph="1">
        <v>326</v>
      </c>
    </row>
    <row r="78" spans="33:52" ph="1">
      <c r="AH78" s="64" ph="1">
        <v>2</v>
      </c>
      <c r="AI78" s="64" t="s" ph="1">
        <v>290</v>
      </c>
      <c r="AJ78" s="64" t="s" ph="1">
        <v>291</v>
      </c>
      <c r="AK78" s="64" t="s" ph="1">
        <v>260</v>
      </c>
      <c r="AM78" s="64" t="s" ph="1">
        <v>292</v>
      </c>
      <c r="AN78" s="64" t="s" ph="1">
        <v>295</v>
      </c>
      <c r="AO78" s="64" t="s" ph="1">
        <v>284</v>
      </c>
      <c r="AP78" s="64" t="s" ph="1">
        <v>293</v>
      </c>
      <c r="AQ78" s="64" t="s" ph="1">
        <v>339</v>
      </c>
      <c r="AR78" s="64" t="s" ph="1">
        <v>284</v>
      </c>
      <c r="AS78" s="64" t="s" ph="1">
        <v>294</v>
      </c>
      <c r="AT78" s="64" t="s" ph="1">
        <v>295</v>
      </c>
      <c r="AU78" s="64" t="s" ph="1">
        <v>284</v>
      </c>
      <c r="AV78" s="64" t="s" ph="1">
        <v>296</v>
      </c>
      <c r="AW78" s="64" t="s" ph="1">
        <v>284</v>
      </c>
      <c r="AY78" s="64" t="s" ph="1">
        <v>257</v>
      </c>
      <c r="AZ78" s="64" t="s" ph="1">
        <v>443</v>
      </c>
    </row>
    <row r="79" spans="33:52" ph="1">
      <c r="AJ79" s="64" t="s" ph="1">
        <v>286</v>
      </c>
      <c r="AK79" s="64" t="s" ph="1">
        <v>297</v>
      </c>
      <c r="AM79" s="64" t="s" ph="1">
        <v>298</v>
      </c>
      <c r="AN79" s="64" t="s" ph="1">
        <v>266</v>
      </c>
      <c r="AO79" s="64" t="s" ph="1">
        <v>284</v>
      </c>
      <c r="AP79" s="64" t="s" ph="1">
        <v>299</v>
      </c>
      <c r="AQ79" s="64" t="s" ph="1">
        <v>264</v>
      </c>
      <c r="AR79" s="64" t="s" ph="1">
        <v>300</v>
      </c>
      <c r="AS79" s="64" t="s" ph="1">
        <v>256</v>
      </c>
      <c r="AT79" s="64" t="s" ph="1">
        <v>301</v>
      </c>
      <c r="AV79" s="64" t="s" ph="1">
        <v>444</v>
      </c>
      <c r="AW79" s="64" t="s" ph="1">
        <v>343</v>
      </c>
      <c r="AX79" s="64" t="s" ph="1">
        <v>441</v>
      </c>
    </row>
    <row r="80" spans="33:52" ph="1">
      <c r="AH80" s="64" ph="1">
        <v>3</v>
      </c>
      <c r="AI80" s="64" t="s" ph="1">
        <v>302</v>
      </c>
      <c r="AJ80" s="64" t="s" ph="1">
        <v>303</v>
      </c>
      <c r="AK80" s="64" t="s" ph="1">
        <v>304</v>
      </c>
      <c r="AM80" s="64" t="s" ph="1">
        <v>305</v>
      </c>
      <c r="AN80" s="64" t="s" ph="1">
        <v>295</v>
      </c>
      <c r="AO80" s="64" t="s" ph="1">
        <v>284</v>
      </c>
      <c r="AP80" s="64" t="s" ph="1">
        <v>306</v>
      </c>
      <c r="AQ80" s="64" t="s" ph="1">
        <v>269</v>
      </c>
      <c r="AR80" s="64" t="s" ph="1">
        <v>284</v>
      </c>
      <c r="AS80" s="64" t="s" ph="1">
        <v>307</v>
      </c>
      <c r="AT80" s="64" t="s" ph="1">
        <v>268</v>
      </c>
      <c r="AU80" s="64" t="s" ph="1">
        <v>284</v>
      </c>
      <c r="AV80" s="64" t="s" ph="1">
        <v>308</v>
      </c>
      <c r="AW80" s="64" t="s" ph="1">
        <v>284</v>
      </c>
      <c r="AY80" s="64" t="s" ph="1">
        <v>257</v>
      </c>
      <c r="AZ80" s="64" t="s" ph="1">
        <v>445</v>
      </c>
    </row>
    <row r="81" spans="34:52" ph="1">
      <c r="AJ81" s="64" t="s" ph="1">
        <v>309</v>
      </c>
      <c r="AK81" s="64" t="s" ph="1">
        <v>263</v>
      </c>
      <c r="AM81" s="64" t="s" ph="1">
        <v>310</v>
      </c>
      <c r="AN81" s="64" t="s" ph="1">
        <v>266</v>
      </c>
      <c r="AO81" s="64" t="s" ph="1">
        <v>284</v>
      </c>
      <c r="AP81" s="64" t="s" ph="1">
        <v>311</v>
      </c>
      <c r="AQ81" s="64" t="s" ph="1">
        <v>295</v>
      </c>
      <c r="AR81" s="64" t="s" ph="1">
        <v>284</v>
      </c>
      <c r="AS81" s="64" t="s" ph="1">
        <v>312</v>
      </c>
      <c r="AT81" s="64" t="s" ph="1">
        <v>313</v>
      </c>
      <c r="AU81" s="64" t="s" ph="1">
        <v>284</v>
      </c>
      <c r="AV81" s="64" t="s" ph="1">
        <v>314</v>
      </c>
    </row>
    <row r="82" spans="34:52" ph="1">
      <c r="AJ82" s="64" t="s" ph="1">
        <v>315</v>
      </c>
      <c r="AK82" s="64" t="s" ph="1">
        <v>263</v>
      </c>
      <c r="AM82" s="64" t="s" ph="1">
        <v>316</v>
      </c>
      <c r="AN82" s="64" t="s" ph="1">
        <v>313</v>
      </c>
      <c r="AO82" s="64" t="s" ph="1">
        <v>317</v>
      </c>
      <c r="AP82" s="64" t="s" ph="1">
        <v>318</v>
      </c>
      <c r="AQ82" s="64" t="s" ph="1">
        <v>295</v>
      </c>
      <c r="AR82" s="64" t="s" ph="1">
        <v>284</v>
      </c>
      <c r="AS82" s="64" t="s" ph="1">
        <v>319</v>
      </c>
      <c r="AT82" s="64" t="s" ph="1">
        <v>270</v>
      </c>
      <c r="AU82" s="64" t="s" ph="1">
        <v>284</v>
      </c>
      <c r="AV82" s="64" t="s" ph="1">
        <v>444</v>
      </c>
      <c r="AW82" s="64" t="s" ph="1">
        <v>344</v>
      </c>
      <c r="AX82" s="64" t="s" ph="1">
        <v>441</v>
      </c>
    </row>
    <row r="83" spans="34:52" ph="1">
      <c r="AJ83" s="64" t="s" ph="1">
        <v>320</v>
      </c>
      <c r="AK83" s="64" t="s" ph="1">
        <v>337</v>
      </c>
      <c r="AM83" s="64" t="s" ph="1">
        <v>321</v>
      </c>
      <c r="AN83" s="64" t="s" ph="1">
        <v>269</v>
      </c>
      <c r="AO83" s="64" t="s" ph="1">
        <v>300</v>
      </c>
      <c r="AP83" s="64" t="s" ph="1">
        <v>322</v>
      </c>
      <c r="AQ83" s="64" t="s" ph="1">
        <v>323</v>
      </c>
      <c r="AR83" s="64" t="s" ph="1">
        <v>300</v>
      </c>
      <c r="AS83" s="64" t="s" ph="1">
        <v>446</v>
      </c>
      <c r="AT83" s="64" t="s" ph="1">
        <v>295</v>
      </c>
      <c r="AU83" s="64" t="s" ph="1">
        <v>300</v>
      </c>
      <c r="AV83" s="64" t="s" ph="1">
        <v>447</v>
      </c>
      <c r="AW83" s="64" t="s" ph="1">
        <v>344</v>
      </c>
      <c r="AX83" s="64" t="s" ph="1">
        <v>448</v>
      </c>
    </row>
    <row r="84" spans="34:52" ph="1">
      <c r="AH84" s="64" ph="1">
        <v>4</v>
      </c>
      <c r="AI84" s="64" t="s" ph="1">
        <v>327</v>
      </c>
      <c r="AJ84" s="64" t="s" ph="1">
        <v>267</v>
      </c>
      <c r="AK84" s="64" t="s" ph="1">
        <v>270</v>
      </c>
      <c r="AM84" s="64" t="s" ph="1">
        <v>271</v>
      </c>
      <c r="AN84" s="64" t="s" ph="1">
        <v>264</v>
      </c>
      <c r="AO84" s="64" t="s" ph="1">
        <v>300</v>
      </c>
      <c r="AP84" s="64" t="s" ph="1">
        <v>329</v>
      </c>
      <c r="AQ84" s="64" t="s" ph="1">
        <v>263</v>
      </c>
      <c r="AR84" s="64" t="s" ph="1">
        <v>300</v>
      </c>
      <c r="AS84" s="64" t="s" ph="1">
        <v>329</v>
      </c>
      <c r="AT84" s="64" t="s" ph="1">
        <v>265</v>
      </c>
      <c r="AU84" s="64" t="s" ph="1">
        <v>300</v>
      </c>
      <c r="AY84" s="64" t="s" ph="1">
        <v>257</v>
      </c>
      <c r="AZ84" s="64" t="s" ph="1">
        <v>449</v>
      </c>
    </row>
    <row r="85" spans="34:52" ph="1">
      <c r="AJ85" s="64" t="s" ph="1">
        <v>259</v>
      </c>
      <c r="AK85" s="64" t="s" ph="1">
        <v>263</v>
      </c>
      <c r="AM85" s="64" t="s" ph="1">
        <v>450</v>
      </c>
      <c r="AN85" s="64" t="s" ph="1">
        <v>270</v>
      </c>
      <c r="AO85" s="64" t="s" ph="1">
        <v>300</v>
      </c>
      <c r="AP85" s="64" t="s" ph="1">
        <v>451</v>
      </c>
      <c r="AQ85" s="64" t="s" ph="1">
        <v>266</v>
      </c>
      <c r="AR85" s="64" t="s" ph="1">
        <v>300</v>
      </c>
      <c r="AS85" s="64" t="s" ph="1">
        <v>452</v>
      </c>
      <c r="AT85" s="64" t="s" ph="1">
        <v>266</v>
      </c>
      <c r="AU85" s="64" t="s" ph="1">
        <v>300</v>
      </c>
    </row>
    <row r="86" spans="34:52" ph="1">
      <c r="AJ86" s="64" t="s" ph="1">
        <v>453</v>
      </c>
      <c r="AK86" s="64" t="s" ph="1">
        <v>272</v>
      </c>
      <c r="AM86" s="64" t="s" ph="1">
        <v>454</v>
      </c>
      <c r="AN86" s="64" t="s" ph="1">
        <v>313</v>
      </c>
      <c r="AO86" s="64" t="s" ph="1">
        <v>300</v>
      </c>
      <c r="AP86" s="64" t="s" ph="1">
        <v>455</v>
      </c>
      <c r="AQ86" s="64" t="s" ph="1">
        <v>260</v>
      </c>
      <c r="AR86" s="64" t="s" ph="1">
        <v>300</v>
      </c>
      <c r="AS86" s="64" t="s" ph="1">
        <v>456</v>
      </c>
      <c r="AT86" s="64" t="s" ph="1">
        <v>278</v>
      </c>
      <c r="AU86" s="64" t="s" ph="1">
        <v>300</v>
      </c>
    </row>
    <row r="87" spans="34:52" ph="1">
      <c r="AJ87" s="64" t="s" ph="1">
        <v>457</v>
      </c>
      <c r="AK87" s="64" t="s" ph="1">
        <v>313</v>
      </c>
      <c r="AM87" s="64" t="s" ph="1">
        <v>444</v>
      </c>
      <c r="AN87" s="64" t="s" ph="1">
        <v>458</v>
      </c>
      <c r="AO87" s="64" t="s" ph="1">
        <v>441</v>
      </c>
    </row>
    <row r="88" spans="34:52" ph="1">
      <c r="AH88" s="64" ph="1">
        <v>5</v>
      </c>
      <c r="AI88" s="64" t="s" ph="1">
        <v>330</v>
      </c>
      <c r="AJ88" s="64" t="s" ph="1">
        <v>459</v>
      </c>
      <c r="AK88" s="64" t="s" ph="1">
        <v>313</v>
      </c>
      <c r="AM88" s="64" t="s" ph="1">
        <v>460</v>
      </c>
      <c r="AN88" s="64" t="s" ph="1">
        <v>313</v>
      </c>
      <c r="AO88" s="64" t="s" ph="1">
        <v>300</v>
      </c>
      <c r="AP88" s="64" t="s" ph="1">
        <v>461</v>
      </c>
      <c r="AQ88" s="64" t="s" ph="1">
        <v>263</v>
      </c>
      <c r="AR88" s="64" t="s" ph="1">
        <v>300</v>
      </c>
      <c r="AS88" s="64" t="s" ph="1">
        <v>462</v>
      </c>
      <c r="AT88" s="64" t="s" ph="1">
        <v>313</v>
      </c>
      <c r="AU88" s="64" t="s" ph="1">
        <v>300</v>
      </c>
      <c r="AV88" s="64" t="s" ph="1">
        <v>463</v>
      </c>
      <c r="AW88" s="64" t="s" ph="1">
        <v>268</v>
      </c>
      <c r="AX88" s="64" t="s" ph="1">
        <v>300</v>
      </c>
      <c r="AY88" s="64" t="s" ph="1">
        <v>257</v>
      </c>
      <c r="AZ88" s="64" t="s" ph="1">
        <v>464</v>
      </c>
    </row>
    <row r="89" spans="34:52" ph="1">
      <c r="AJ89" s="64" t="s" ph="1">
        <v>465</v>
      </c>
      <c r="AK89" s="64" t="s" ph="1">
        <v>266</v>
      </c>
      <c r="AM89" s="64" t="s" ph="1">
        <v>466</v>
      </c>
      <c r="AN89" s="64" t="s" ph="1">
        <v>269</v>
      </c>
      <c r="AO89" s="64" t="s" ph="1">
        <v>300</v>
      </c>
      <c r="AP89" s="64" t="s" ph="1">
        <v>467</v>
      </c>
      <c r="AQ89" s="64" t="s" ph="1">
        <v>278</v>
      </c>
      <c r="AR89" s="64" t="s" ph="1">
        <v>300</v>
      </c>
      <c r="AS89" s="64" t="s" ph="1">
        <v>468</v>
      </c>
      <c r="AT89" s="64" t="s" ph="1">
        <v>313</v>
      </c>
      <c r="AU89" s="64" t="s" ph="1">
        <v>300</v>
      </c>
      <c r="AV89" s="64" t="s" ph="1">
        <v>469</v>
      </c>
      <c r="AW89" s="64" t="s" ph="1">
        <v>295</v>
      </c>
      <c r="AX89" s="64" t="s" ph="1">
        <v>328</v>
      </c>
    </row>
    <row r="90" spans="34:52" ph="1">
      <c r="AJ90" s="64" t="s" ph="1">
        <v>470</v>
      </c>
      <c r="AK90" s="64" t="s" ph="1">
        <v>269</v>
      </c>
      <c r="AM90" s="64" t="s" ph="1">
        <v>471</v>
      </c>
      <c r="AN90" s="64" t="s" ph="1">
        <v>266</v>
      </c>
      <c r="AO90" s="64" t="s" ph="1">
        <v>300</v>
      </c>
      <c r="AP90" s="64" t="s" ph="1">
        <v>472</v>
      </c>
      <c r="AQ90" s="64" t="s" ph="1">
        <v>335</v>
      </c>
      <c r="AR90" s="64" t="s" ph="1">
        <v>300</v>
      </c>
      <c r="AS90" s="64" t="s" ph="1">
        <v>473</v>
      </c>
      <c r="AT90" s="64" t="s" ph="1">
        <v>323</v>
      </c>
      <c r="AU90" s="64" t="s" ph="1">
        <v>300</v>
      </c>
      <c r="AV90" s="64" t="s" ph="1">
        <v>474</v>
      </c>
      <c r="AW90" s="64" t="s" ph="1">
        <v>260</v>
      </c>
      <c r="AX90" s="64" t="s" ph="1">
        <v>300</v>
      </c>
    </row>
    <row r="91" spans="34:52" ph="1">
      <c r="AJ91" s="64" t="s" ph="1">
        <v>475</v>
      </c>
      <c r="AK91" s="64" t="s" ph="1">
        <v>313</v>
      </c>
      <c r="AM91" s="64" t="s" ph="1">
        <v>476</v>
      </c>
      <c r="AN91" s="64" t="s" ph="1">
        <v>280</v>
      </c>
      <c r="AO91" s="64" t="s" ph="1">
        <v>300</v>
      </c>
      <c r="AP91" s="64" t="s" ph="1">
        <v>477</v>
      </c>
      <c r="AQ91" s="64" t="s" ph="1">
        <v>260</v>
      </c>
      <c r="AS91" s="64" t="s" ph="1">
        <v>444</v>
      </c>
      <c r="AT91" s="64" t="s" ph="1">
        <v>440</v>
      </c>
      <c r="AU91" s="64" t="s" ph="1">
        <v>441</v>
      </c>
    </row>
    <row r="92" spans="34:52" ph="1">
      <c r="AH92" s="64" ph="1">
        <v>6</v>
      </c>
      <c r="AI92" s="64" t="s" ph="1">
        <v>478</v>
      </c>
      <c r="AJ92" s="64" t="s" ph="1">
        <v>479</v>
      </c>
      <c r="AK92" s="64" t="s" ph="1">
        <v>408</v>
      </c>
      <c r="AM92" s="64" t="s" ph="1">
        <v>480</v>
      </c>
      <c r="AN92" s="64" t="s" ph="1">
        <v>268</v>
      </c>
      <c r="AO92" s="64" t="s" ph="1">
        <v>300</v>
      </c>
      <c r="AP92" s="64" t="s" ph="1">
        <v>481</v>
      </c>
      <c r="AQ92" s="64" t="s" ph="1">
        <v>340</v>
      </c>
      <c r="AR92" s="64" t="s" ph="1">
        <v>300</v>
      </c>
      <c r="AS92" s="64" t="s" ph="1">
        <v>482</v>
      </c>
      <c r="AT92" s="64" t="s" ph="1">
        <v>313</v>
      </c>
      <c r="AU92" s="64" t="s" ph="1">
        <v>300</v>
      </c>
      <c r="AV92" s="64" t="s" ph="1">
        <v>483</v>
      </c>
      <c r="AW92" s="64" t="s" ph="1">
        <v>269</v>
      </c>
      <c r="AX92" s="64" t="s" ph="1">
        <v>300</v>
      </c>
      <c r="AY92" s="64" t="s" ph="1">
        <v>257</v>
      </c>
      <c r="AZ92" s="64" t="s" ph="1">
        <v>464</v>
      </c>
    </row>
    <row r="93" spans="34:52" ph="1">
      <c r="AJ93" s="64" t="s" ph="1">
        <v>484</v>
      </c>
      <c r="AK93" s="64" t="s" ph="1">
        <v>263</v>
      </c>
      <c r="AM93" s="64" t="s" ph="1">
        <v>485</v>
      </c>
      <c r="AN93" s="64" t="s" ph="1">
        <v>268</v>
      </c>
      <c r="AO93" s="64" t="s" ph="1">
        <v>300</v>
      </c>
      <c r="AP93" s="64" t="s" ph="1">
        <v>486</v>
      </c>
      <c r="AQ93" s="64" t="s" ph="1">
        <v>272</v>
      </c>
      <c r="AR93" s="64" t="s" ph="1">
        <v>300</v>
      </c>
      <c r="AS93" s="64" t="s" ph="1">
        <v>487</v>
      </c>
      <c r="AT93" s="64" t="s" ph="1">
        <v>278</v>
      </c>
      <c r="AU93" s="64" t="s" ph="1">
        <v>300</v>
      </c>
      <c r="AV93" s="64" t="s" ph="1">
        <v>488</v>
      </c>
      <c r="AW93" s="64" t="s" ph="1">
        <v>272</v>
      </c>
      <c r="AX93" s="64" t="s" ph="1">
        <v>300</v>
      </c>
    </row>
    <row r="94" spans="34:52" ph="1">
      <c r="AJ94" s="64" t="s" ph="1">
        <v>489</v>
      </c>
      <c r="AK94" s="64" t="s" ph="1">
        <v>335</v>
      </c>
      <c r="AM94" s="64" t="s" ph="1">
        <v>490</v>
      </c>
      <c r="AN94" s="64" t="s" ph="1">
        <v>272</v>
      </c>
      <c r="AO94" s="64" t="s" ph="1">
        <v>300</v>
      </c>
      <c r="AP94" s="64" t="s" ph="1">
        <v>491</v>
      </c>
      <c r="AQ94" s="64" t="s" ph="1">
        <v>280</v>
      </c>
      <c r="AR94" s="64" t="s" ph="1">
        <v>300</v>
      </c>
      <c r="AS94" s="64" t="s" ph="1">
        <v>492</v>
      </c>
      <c r="AT94" s="64" t="s" ph="1">
        <v>266</v>
      </c>
      <c r="AU94" s="64" t="s" ph="1">
        <v>300</v>
      </c>
      <c r="AV94" s="64" t="s" ph="1">
        <v>493</v>
      </c>
      <c r="AW94" s="64" t="s" ph="1">
        <v>266</v>
      </c>
      <c r="AX94" s="64" t="s" ph="1">
        <v>300</v>
      </c>
    </row>
    <row r="95" spans="34:52" ph="1">
      <c r="AJ95" s="64" t="s" ph="1">
        <v>494</v>
      </c>
      <c r="AK95" s="64" t="s" ph="1">
        <v>340</v>
      </c>
    </row>
    <row r="96" spans="34:52" ph="1">
      <c r="AH96" s="64" ph="1">
        <v>7</v>
      </c>
      <c r="AI96" s="64" t="s" ph="1">
        <v>495</v>
      </c>
      <c r="AJ96" s="64" t="s" ph="1">
        <v>494</v>
      </c>
      <c r="AK96" s="64" t="s" ph="1">
        <v>295</v>
      </c>
      <c r="AM96" s="64" t="s" ph="1">
        <v>496</v>
      </c>
      <c r="AN96" s="64" t="s" ph="1">
        <v>269</v>
      </c>
      <c r="AO96" s="64" t="s" ph="1">
        <v>300</v>
      </c>
      <c r="AP96" s="64" t="s" ph="1">
        <v>497</v>
      </c>
      <c r="AQ96" s="64" t="s" ph="1">
        <v>313</v>
      </c>
      <c r="AR96" s="64" t="s" ph="1">
        <v>328</v>
      </c>
      <c r="AS96" s="64" t="s" ph="1">
        <v>498</v>
      </c>
      <c r="AT96" s="64" t="s" ph="1">
        <v>272</v>
      </c>
      <c r="AU96" s="64" t="s" ph="1">
        <v>328</v>
      </c>
      <c r="AV96" s="64" t="s" ph="1">
        <v>499</v>
      </c>
      <c r="AW96" s="64" t="s" ph="1">
        <v>268</v>
      </c>
      <c r="AX96" s="64" t="s" ph="1">
        <v>328</v>
      </c>
      <c r="AY96" s="64" t="s" ph="1">
        <v>257</v>
      </c>
      <c r="AZ96" s="64" t="s" ph="1">
        <v>500</v>
      </c>
    </row>
    <row r="97" spans="33:52" ph="1">
      <c r="AJ97" s="64" t="s" ph="1">
        <v>501</v>
      </c>
      <c r="AK97" s="64" t="s" ph="1">
        <v>323</v>
      </c>
      <c r="AM97" s="64" t="s" ph="1">
        <v>502</v>
      </c>
      <c r="AN97" s="64" t="s" ph="1">
        <v>266</v>
      </c>
      <c r="AO97" s="64" t="s" ph="1">
        <v>300</v>
      </c>
      <c r="AP97" s="64" t="s" ph="1">
        <v>503</v>
      </c>
      <c r="AQ97" s="64" t="s" ph="1">
        <v>260</v>
      </c>
      <c r="AR97" s="64" t="s" ph="1">
        <v>328</v>
      </c>
      <c r="AS97" s="64" t="s" ph="1">
        <v>504</v>
      </c>
      <c r="AT97" s="64" t="s" ph="1">
        <v>263</v>
      </c>
      <c r="AU97" s="64" t="s" ph="1">
        <v>328</v>
      </c>
      <c r="AV97" s="64" t="s" ph="1">
        <v>505</v>
      </c>
      <c r="AW97" s="64" t="s" ph="1">
        <v>269</v>
      </c>
      <c r="AX97" s="64" t="s" ph="1">
        <v>328</v>
      </c>
    </row>
    <row r="98" spans="33:52" ph="1">
      <c r="AJ98" s="64" t="s" ph="1">
        <v>506</v>
      </c>
      <c r="AK98" s="64" t="s" ph="1">
        <v>272</v>
      </c>
      <c r="AM98" s="64" t="s" ph="1">
        <v>507</v>
      </c>
      <c r="AN98" s="64" t="s" ph="1">
        <v>280</v>
      </c>
      <c r="AO98" s="64" t="s" ph="1">
        <v>300</v>
      </c>
      <c r="AP98" s="64" t="s" ph="1">
        <v>508</v>
      </c>
      <c r="AQ98" s="64" t="s" ph="1">
        <v>260</v>
      </c>
      <c r="AR98" s="64" t="s" ph="1">
        <v>328</v>
      </c>
      <c r="AS98" s="64" t="s" ph="1">
        <v>509</v>
      </c>
      <c r="AT98" s="64" t="s" ph="1">
        <v>340</v>
      </c>
      <c r="AU98" s="64" t="s" ph="1">
        <v>328</v>
      </c>
      <c r="AV98" s="64" t="s" ph="1">
        <v>510</v>
      </c>
      <c r="AW98" s="64" t="s" ph="1">
        <v>263</v>
      </c>
      <c r="AX98" s="64" t="s" ph="1">
        <v>328</v>
      </c>
    </row>
    <row r="99" spans="33:52" ph="1">
      <c r="AH99" s="64" ph="1">
        <v>8</v>
      </c>
      <c r="AI99" s="64" t="s" ph="1">
        <v>511</v>
      </c>
      <c r="AJ99" s="64" t="s" ph="1">
        <v>512</v>
      </c>
      <c r="AK99" s="64" t="s" ph="1">
        <v>408</v>
      </c>
      <c r="AM99" s="64" t="s" ph="1">
        <v>513</v>
      </c>
      <c r="AN99" s="64" t="s" ph="1">
        <v>295</v>
      </c>
      <c r="AO99" s="64" t="s" ph="1">
        <v>300</v>
      </c>
      <c r="AP99" s="64" t="s" ph="1">
        <v>514</v>
      </c>
      <c r="AQ99" s="64" t="s" ph="1">
        <v>265</v>
      </c>
      <c r="AR99" s="64" t="s" ph="1">
        <v>328</v>
      </c>
      <c r="AS99" s="64" t="s" ph="1">
        <v>515</v>
      </c>
      <c r="AT99" s="64" t="s" ph="1">
        <v>280</v>
      </c>
      <c r="AU99" s="64" t="s" ph="1">
        <v>328</v>
      </c>
      <c r="AV99" s="64" t="s" ph="1">
        <v>516</v>
      </c>
      <c r="AW99" s="64" t="s" ph="1">
        <v>265</v>
      </c>
      <c r="AX99" s="64" t="s" ph="1">
        <v>328</v>
      </c>
      <c r="AY99" s="64" t="s" ph="1">
        <v>257</v>
      </c>
      <c r="AZ99" s="64" t="s" ph="1">
        <v>517</v>
      </c>
    </row>
    <row r="100" spans="33:52" ph="1">
      <c r="AJ100" s="64" t="s" ph="1">
        <v>518</v>
      </c>
      <c r="AK100" s="64" t="s" ph="1">
        <v>263</v>
      </c>
      <c r="AM100" s="64" t="s" ph="1">
        <v>519</v>
      </c>
      <c r="AN100" s="64" t="s" ph="1">
        <v>335</v>
      </c>
      <c r="AO100" s="64" t="s" ph="1">
        <v>300</v>
      </c>
      <c r="AP100" s="64" t="s" ph="1">
        <v>520</v>
      </c>
      <c r="AQ100" s="64" t="s" ph="1">
        <v>341</v>
      </c>
      <c r="AR100" s="64" t="s" ph="1">
        <v>328</v>
      </c>
      <c r="AS100" s="64" t="s" ph="1">
        <v>521</v>
      </c>
      <c r="AT100" s="64" t="s" ph="1">
        <v>408</v>
      </c>
      <c r="AU100" s="64" t="s" ph="1">
        <v>300</v>
      </c>
      <c r="AV100" s="64" t="s" ph="1">
        <v>522</v>
      </c>
      <c r="AW100" s="64" t="s" ph="1">
        <v>408</v>
      </c>
      <c r="AX100" s="64" t="s" ph="1">
        <v>300</v>
      </c>
    </row>
    <row r="101" spans="33:52" ph="1">
      <c r="AJ101" s="64" t="s" ph="1">
        <v>523</v>
      </c>
      <c r="AK101" s="64" t="s" ph="1">
        <v>408</v>
      </c>
      <c r="AM101" s="64" t="s" ph="1">
        <v>524</v>
      </c>
      <c r="AN101" s="64" t="s" ph="1">
        <v>266</v>
      </c>
      <c r="AO101" s="64" t="s" ph="1">
        <v>300</v>
      </c>
      <c r="AP101" s="64" t="s" ph="1">
        <v>525</v>
      </c>
      <c r="AQ101" s="64" t="s" ph="1">
        <v>278</v>
      </c>
      <c r="AR101" s="64" t="s" ph="1">
        <v>328</v>
      </c>
      <c r="AS101" s="64" t="s" ph="1">
        <v>526</v>
      </c>
      <c r="AT101" s="64" t="s" ph="1">
        <v>335</v>
      </c>
      <c r="AU101" s="64" t="s" ph="1">
        <v>328</v>
      </c>
      <c r="AV101" s="64" t="s" ph="1">
        <v>527</v>
      </c>
      <c r="AW101" s="64" t="s" ph="1">
        <v>266</v>
      </c>
      <c r="AX101" s="64" t="s" ph="1">
        <v>300</v>
      </c>
    </row>
    <row r="102" spans="33:52" ph="1">
      <c r="AJ102" s="64" t="s" ph="1">
        <v>528</v>
      </c>
      <c r="AK102" s="64" t="s" ph="1">
        <v>263</v>
      </c>
      <c r="AM102" s="64" t="s" ph="1">
        <v>529</v>
      </c>
      <c r="AN102" s="64" t="s" ph="1">
        <v>272</v>
      </c>
      <c r="AO102" s="64" t="s" ph="1">
        <v>300</v>
      </c>
      <c r="AP102" s="64" t="s" ph="1">
        <v>530</v>
      </c>
      <c r="AQ102" s="64" t="s" ph="1">
        <v>278</v>
      </c>
      <c r="AR102" s="64" t="s" ph="1">
        <v>300</v>
      </c>
      <c r="AS102" s="64" t="s" ph="1">
        <v>531</v>
      </c>
      <c r="AT102" s="64" t="s" ph="1">
        <v>295</v>
      </c>
      <c r="AU102" s="64" t="s" ph="1">
        <v>300</v>
      </c>
      <c r="AV102" s="64" t="s" ph="1">
        <v>532</v>
      </c>
      <c r="AW102" s="64" t="s" ph="1">
        <v>313</v>
      </c>
      <c r="AX102" s="64" t="s" ph="1">
        <v>300</v>
      </c>
    </row>
    <row r="103" spans="33:52" ph="1">
      <c r="AH103" s="64" ph="1">
        <v>9</v>
      </c>
      <c r="AI103" s="64" t="s" ph="1">
        <v>533</v>
      </c>
      <c r="AJ103" s="64" t="s" ph="1">
        <v>534</v>
      </c>
      <c r="AK103" s="64" t="s" ph="1">
        <v>408</v>
      </c>
      <c r="AM103" s="64" t="s" ph="1">
        <v>535</v>
      </c>
      <c r="AN103" s="64" t="s" ph="1">
        <v>323</v>
      </c>
      <c r="AO103" s="64" t="s" ph="1">
        <v>300</v>
      </c>
      <c r="AP103" s="64" t="s" ph="1">
        <v>377</v>
      </c>
      <c r="AQ103" s="64" t="s" ph="1">
        <v>266</v>
      </c>
      <c r="AR103" s="64" t="s" ph="1">
        <v>300</v>
      </c>
      <c r="AS103" s="64" t="s" ph="1">
        <v>611</v>
      </c>
      <c r="AT103" s="64" t="s" ph="1">
        <v>408</v>
      </c>
      <c r="AU103" s="64" t="s" ph="1">
        <v>300</v>
      </c>
      <c r="AY103" s="64" t="s" ph="1">
        <v>257</v>
      </c>
      <c r="AZ103" s="64" t="s" ph="1">
        <v>265</v>
      </c>
    </row>
    <row r="104" spans="33:52" ph="1">
      <c r="AZ104" s="64" t="s" ph="1">
        <v>536</v>
      </c>
    </row>
    <row r="105" spans="33:52" ph="1">
      <c r="AG105" s="64" t="s" ph="1">
        <v>336</v>
      </c>
      <c r="AI105" s="64" t="s" ph="1">
        <v>250</v>
      </c>
      <c r="AJ105" s="64" t="s" ph="1">
        <v>251</v>
      </c>
      <c r="AK105" s="64" t="s" ph="1">
        <v>252</v>
      </c>
      <c r="AM105" s="64" t="s" ph="1">
        <v>251</v>
      </c>
      <c r="AN105" s="64" t="s" ph="1">
        <v>252</v>
      </c>
      <c r="AO105" s="64" t="s" ph="1">
        <v>253</v>
      </c>
      <c r="AP105" s="64" t="s" ph="1">
        <v>251</v>
      </c>
      <c r="AQ105" s="64" t="s" ph="1">
        <v>252</v>
      </c>
      <c r="AR105" s="64" t="s" ph="1">
        <v>253</v>
      </c>
      <c r="AS105" s="64" t="s" ph="1">
        <v>251</v>
      </c>
      <c r="AT105" s="64" t="s" ph="1">
        <v>252</v>
      </c>
      <c r="AU105" s="64" t="s" ph="1">
        <v>253</v>
      </c>
      <c r="AV105" s="64" t="s" ph="1">
        <v>251</v>
      </c>
      <c r="AW105" s="64" t="s" ph="1">
        <v>252</v>
      </c>
      <c r="AX105" s="64" t="s" ph="1">
        <v>253</v>
      </c>
      <c r="AZ105" s="64" t="s" ph="1">
        <v>254</v>
      </c>
    </row>
    <row r="106" spans="33:52" ph="1">
      <c r="AH106" s="64" ph="1">
        <v>1</v>
      </c>
      <c r="AI106" s="64" t="s" ph="1">
        <v>537</v>
      </c>
      <c r="AJ106" s="64" t="s" ph="1">
        <v>611</v>
      </c>
      <c r="AK106" s="64" t="s" ph="1">
        <v>272</v>
      </c>
      <c r="AZ106" s="64" t="s" ph="1">
        <v>272</v>
      </c>
    </row>
    <row r="107" spans="33:52" ph="1">
      <c r="AH107" s="64" ph="1">
        <v>2</v>
      </c>
      <c r="AI107" s="64" t="s" ph="1">
        <v>538</v>
      </c>
      <c r="AJ107" s="64" t="s" ph="1">
        <v>539</v>
      </c>
      <c r="AK107" s="64" t="s" ph="1">
        <v>269</v>
      </c>
      <c r="AM107" s="64" t="s" ph="1">
        <v>375</v>
      </c>
      <c r="AN107" s="64" t="s" ph="1">
        <v>540</v>
      </c>
      <c r="AO107" s="64" t="s" ph="1">
        <v>541</v>
      </c>
      <c r="AP107" s="64" t="s" ph="1">
        <v>377</v>
      </c>
      <c r="AQ107" s="64" t="s" ph="1">
        <v>345</v>
      </c>
      <c r="AR107" s="64" t="s" ph="1">
        <v>541</v>
      </c>
      <c r="AS107" s="64" t="s" ph="1">
        <v>611</v>
      </c>
      <c r="AT107" s="64" t="s" ph="1">
        <v>540</v>
      </c>
      <c r="AU107" s="64" t="s" ph="1">
        <v>541</v>
      </c>
      <c r="AY107" s="64" t="s" ph="1">
        <v>257</v>
      </c>
      <c r="AZ107" s="64" t="s" ph="1">
        <v>621</v>
      </c>
    </row>
    <row r="108" spans="33:52" ph="1">
      <c r="AH108" s="64" ph="1">
        <v>3</v>
      </c>
      <c r="AI108" s="64" t="s" ph="1">
        <v>542</v>
      </c>
      <c r="AY108" s="64" t="s" ph="1">
        <v>257</v>
      </c>
      <c r="AZ108" s="64" t="s" ph="1">
        <v>408</v>
      </c>
    </row>
    <row r="109" spans="33:52" ph="1">
      <c r="AH109" s="64" ph="1">
        <v>4</v>
      </c>
      <c r="AI109" s="64" t="s" ph="1">
        <v>543</v>
      </c>
      <c r="AY109" s="64" t="s" ph="1">
        <v>257</v>
      </c>
      <c r="AZ109" s="64" t="s" ph="1">
        <v>408</v>
      </c>
    </row>
    <row r="110" spans="33:52" ph="1">
      <c r="AH110" s="64" ph="1">
        <v>5</v>
      </c>
      <c r="AI110" s="64" t="s" ph="1">
        <v>544</v>
      </c>
      <c r="AY110" s="64" t="s" ph="1">
        <v>257</v>
      </c>
      <c r="AZ110" s="64" t="s" ph="1">
        <v>408</v>
      </c>
    </row>
    <row r="111" spans="33:52" ph="1">
      <c r="AH111" s="64" ph="1">
        <v>6</v>
      </c>
      <c r="AI111" s="64" t="s" ph="1">
        <v>622</v>
      </c>
      <c r="AJ111" s="64" t="s" ph="1">
        <v>527</v>
      </c>
      <c r="AK111" s="64" t="s" ph="1">
        <v>266</v>
      </c>
      <c r="AM111" s="64" t="s" ph="1">
        <v>528</v>
      </c>
      <c r="AN111" s="64" t="s" ph="1">
        <v>260</v>
      </c>
      <c r="AO111" s="64" t="s" ph="1">
        <v>541</v>
      </c>
      <c r="AP111" s="64" t="s" ph="1">
        <v>529</v>
      </c>
      <c r="AQ111" s="64" t="s" ph="1">
        <v>269</v>
      </c>
      <c r="AR111" s="64" t="s" ph="1">
        <v>541</v>
      </c>
      <c r="AS111" s="64" t="s" ph="1">
        <v>530</v>
      </c>
      <c r="AT111" s="64" t="s" ph="1">
        <v>278</v>
      </c>
      <c r="AU111" s="64" t="s" ph="1">
        <v>541</v>
      </c>
      <c r="AV111" s="64" t="s" ph="1">
        <v>531</v>
      </c>
      <c r="AW111" s="64" t="s" ph="1">
        <v>268</v>
      </c>
      <c r="AX111" s="64" t="s" ph="1">
        <v>541</v>
      </c>
      <c r="AY111" s="64" t="s" ph="1">
        <v>257</v>
      </c>
      <c r="AZ111" s="64" t="s" ph="1">
        <v>545</v>
      </c>
    </row>
    <row r="112" spans="33:52" ph="1">
      <c r="AJ112" s="64" t="s" ph="1">
        <v>532</v>
      </c>
      <c r="AK112" s="64" t="s" ph="1">
        <v>313</v>
      </c>
      <c r="AM112" s="64" t="s" ph="1">
        <v>534</v>
      </c>
      <c r="AN112" s="64" t="s" ph="1">
        <v>337</v>
      </c>
      <c r="AO112" s="64" t="s" ph="1">
        <v>541</v>
      </c>
      <c r="AP112" s="64" t="s" ph="1">
        <v>535</v>
      </c>
      <c r="AQ112" s="64" t="s" ph="1">
        <v>546</v>
      </c>
      <c r="AR112" s="64" t="s" ph="1">
        <v>541</v>
      </c>
      <c r="AS112" s="64" t="s" ph="1">
        <v>547</v>
      </c>
      <c r="AT112" s="64" t="s" ph="1">
        <v>289</v>
      </c>
      <c r="AU112" s="64" t="s" ph="1">
        <v>541</v>
      </c>
      <c r="AV112" s="64" t="s" ph="1">
        <v>548</v>
      </c>
      <c r="AW112" s="64" t="s" ph="1">
        <v>335</v>
      </c>
      <c r="AX112" s="64" t="s" ph="1">
        <v>541</v>
      </c>
    </row>
    <row r="113" spans="33:52" ph="1">
      <c r="AH113" s="64" ph="1">
        <v>7</v>
      </c>
      <c r="AI113" s="64" t="s" ph="1">
        <v>549</v>
      </c>
      <c r="AJ113" s="64" t="s" ph="1">
        <v>630</v>
      </c>
      <c r="AK113" s="64" t="s" ph="1">
        <v>635</v>
      </c>
      <c r="AY113" s="64" t="s" ph="1">
        <v>257</v>
      </c>
      <c r="AZ113" s="64" t="s" ph="1">
        <v>635</v>
      </c>
    </row>
    <row r="114" spans="33:52" ph="1">
      <c r="AH114" s="64" ph="1">
        <v>8</v>
      </c>
      <c r="AI114" s="64" t="s" ph="1">
        <v>550</v>
      </c>
      <c r="AJ114" s="64" t="s" ph="1">
        <v>630</v>
      </c>
      <c r="AK114" s="64" t="s" ph="1">
        <v>636</v>
      </c>
      <c r="AY114" s="64" t="s" ph="1">
        <v>257</v>
      </c>
      <c r="AZ114" s="64" t="s" ph="1">
        <v>636</v>
      </c>
    </row>
    <row r="115" spans="33:52" ph="1">
      <c r="AH115" s="64" ph="1">
        <v>9</v>
      </c>
      <c r="AI115" s="64" t="s" ph="1">
        <v>551</v>
      </c>
      <c r="AJ115" s="64" t="s" ph="1">
        <v>630</v>
      </c>
      <c r="AK115" s="64" t="s" ph="1">
        <v>636</v>
      </c>
      <c r="AY115" s="64" t="s" ph="1">
        <v>257</v>
      </c>
      <c r="AZ115" s="64" t="s" ph="1">
        <v>636</v>
      </c>
    </row>
    <row r="116" spans="33:52" ph="1">
      <c r="AH116" s="64" ph="1">
        <v>10</v>
      </c>
      <c r="AI116" s="64" t="s" ph="1">
        <v>552</v>
      </c>
      <c r="AJ116" s="64" t="s" ph="1">
        <v>630</v>
      </c>
      <c r="AK116" s="64" t="s" ph="1">
        <v>636</v>
      </c>
      <c r="AY116" s="64" t="s" ph="1">
        <v>257</v>
      </c>
      <c r="AZ116" s="64" t="s" ph="1">
        <v>636</v>
      </c>
    </row>
    <row r="117" spans="33:52" ph="1">
      <c r="AH117" s="64" ph="1">
        <v>11</v>
      </c>
      <c r="AI117" s="64" t="s" ph="1">
        <v>553</v>
      </c>
      <c r="AJ117" s="64" t="s" ph="1">
        <v>630</v>
      </c>
      <c r="AK117" s="64" t="s" ph="1">
        <v>636</v>
      </c>
      <c r="AY117" s="64" t="s" ph="1">
        <v>257</v>
      </c>
      <c r="AZ117" s="64" t="s" ph="1">
        <v>636</v>
      </c>
    </row>
    <row r="118" spans="33:52" ph="1">
      <c r="AZ118" s="64" t="s" ph="1">
        <v>637</v>
      </c>
    </row>
    <row r="119" spans="33:52" ph="1">
      <c r="AI119" s="64" t="s" ph="1">
        <v>250</v>
      </c>
      <c r="AJ119" s="64" t="s" ph="1">
        <v>251</v>
      </c>
      <c r="AK119" s="64" t="s" ph="1">
        <v>252</v>
      </c>
      <c r="AM119" s="64" t="s" ph="1">
        <v>251</v>
      </c>
      <c r="AN119" s="64" t="s" ph="1">
        <v>252</v>
      </c>
      <c r="AO119" s="64" t="s" ph="1">
        <v>253</v>
      </c>
      <c r="AP119" s="64" t="s" ph="1">
        <v>251</v>
      </c>
      <c r="AQ119" s="64" t="s" ph="1">
        <v>252</v>
      </c>
      <c r="AR119" s="64" t="s" ph="1">
        <v>253</v>
      </c>
      <c r="AS119" s="64" t="s" ph="1">
        <v>251</v>
      </c>
      <c r="AT119" s="64" t="s" ph="1">
        <v>252</v>
      </c>
      <c r="AU119" s="64" t="s" ph="1">
        <v>253</v>
      </c>
      <c r="AV119" s="64" t="s" ph="1">
        <v>251</v>
      </c>
      <c r="AW119" s="64" t="s" ph="1">
        <v>252</v>
      </c>
      <c r="AX119" s="64" t="s" ph="1">
        <v>253</v>
      </c>
      <c r="AY119" s="64" t="s" ph="1">
        <v>252</v>
      </c>
      <c r="AZ119" s="64" t="s" ph="1">
        <v>254</v>
      </c>
    </row>
    <row r="120" spans="33:52" ph="1">
      <c r="AG120" s="64" t="s" ph="1">
        <v>394</v>
      </c>
      <c r="AH120" s="64" ph="1">
        <v>1</v>
      </c>
      <c r="AI120" s="64" t="s" ph="1">
        <v>554</v>
      </c>
      <c r="AJ120" s="64" t="s" ph="1">
        <v>628</v>
      </c>
      <c r="AK120" s="64" t="s" ph="1">
        <v>408</v>
      </c>
      <c r="AY120" s="64" t="s" ph="1">
        <v>257</v>
      </c>
      <c r="AZ120" s="64" t="s" ph="1">
        <v>408</v>
      </c>
    </row>
    <row r="121" spans="33:52" ph="1">
      <c r="AH121" s="64" ph="1">
        <v>2</v>
      </c>
      <c r="AI121" s="64" t="s" ph="1">
        <v>555</v>
      </c>
      <c r="AY121" s="64" t="s" ph="1">
        <v>257</v>
      </c>
      <c r="AZ121" s="64" t="s" ph="1">
        <v>408</v>
      </c>
    </row>
    <row r="122" spans="33:52" ph="1">
      <c r="AH122" s="64" ph="1">
        <v>3</v>
      </c>
      <c r="AI122" s="64" t="s" ph="1">
        <v>556</v>
      </c>
      <c r="AJ122" s="64" t="s" ph="1">
        <v>611</v>
      </c>
      <c r="AK122" s="64" t="s" ph="1">
        <v>623</v>
      </c>
      <c r="AM122" s="64" t="s" ph="1">
        <v>638</v>
      </c>
      <c r="AN122" s="64" t="s" ph="1">
        <v>631</v>
      </c>
      <c r="AO122" s="64" t="s" ph="1">
        <v>108</v>
      </c>
      <c r="AY122" s="64" t="s" ph="1">
        <v>257</v>
      </c>
      <c r="AZ122" s="64" t="s" ph="1">
        <v>620</v>
      </c>
    </row>
    <row r="123" spans="33:52" ph="1">
      <c r="AY123" s="64" t="s" ph="1">
        <v>257</v>
      </c>
      <c r="AZ123" s="64" t="s" ph="1">
        <v>620</v>
      </c>
    </row>
    <row r="124" spans="33:52" ph="1">
      <c r="AG124" s="64" t="s" ph="1">
        <v>397</v>
      </c>
      <c r="AH124" s="64" ph="1">
        <v>4</v>
      </c>
      <c r="AI124" s="64" t="s" ph="1">
        <v>557</v>
      </c>
      <c r="AJ124" s="64" t="s" ph="1">
        <v>558</v>
      </c>
      <c r="AK124" s="64" t="s" ph="1">
        <v>559</v>
      </c>
      <c r="AY124" s="64" t="s" ph="1">
        <v>257</v>
      </c>
      <c r="AZ124" s="64" t="s" ph="1">
        <v>559</v>
      </c>
    </row>
    <row r="125" spans="33:52" ph="1">
      <c r="AH125" s="64" ph="1">
        <v>5</v>
      </c>
      <c r="AI125" s="64" t="s" ph="1">
        <v>560</v>
      </c>
      <c r="AJ125" s="64" t="s" ph="1">
        <v>558</v>
      </c>
      <c r="AK125" s="64" t="s" ph="1">
        <v>559</v>
      </c>
      <c r="AY125" s="64" t="s" ph="1">
        <v>257</v>
      </c>
      <c r="AZ125" s="64" t="s" ph="1">
        <v>559</v>
      </c>
    </row>
    <row r="126" spans="33:52" ph="1">
      <c r="AH126" s="64" ph="1">
        <v>6</v>
      </c>
      <c r="AI126" s="64" t="s" ph="1">
        <v>561</v>
      </c>
      <c r="AJ126" s="64" t="s" ph="1">
        <v>630</v>
      </c>
      <c r="AK126" s="64" t="s" ph="1">
        <v>639</v>
      </c>
      <c r="AY126" s="64" t="s" ph="1">
        <v>257</v>
      </c>
      <c r="AZ126" s="64" t="s" ph="1">
        <v>639</v>
      </c>
    </row>
    <row r="127" spans="33:52" ph="1">
      <c r="AH127" s="64" ph="1">
        <v>7</v>
      </c>
      <c r="AI127" s="64" t="s" ph="1">
        <v>562</v>
      </c>
      <c r="AJ127" s="64" t="s" ph="1">
        <v>630</v>
      </c>
      <c r="AK127" s="64" t="s" ph="1">
        <v>640</v>
      </c>
      <c r="AY127" s="64" t="s" ph="1">
        <v>257</v>
      </c>
      <c r="AZ127" s="64" t="s" ph="1">
        <v>640</v>
      </c>
    </row>
    <row r="128" spans="33:52" ph="1">
      <c r="AH128" s="64" ph="1">
        <v>8</v>
      </c>
      <c r="AI128" s="64" t="s" ph="1">
        <v>563</v>
      </c>
      <c r="AY128" s="64" t="s" ph="1">
        <v>257</v>
      </c>
      <c r="AZ128" s="64" t="s" ph="1">
        <v>408</v>
      </c>
    </row>
    <row r="129" spans="33:52" ph="1">
      <c r="AH129" s="64" ph="1">
        <v>9</v>
      </c>
      <c r="AI129" s="64" t="s" ph="1">
        <v>564</v>
      </c>
      <c r="AY129" s="64" t="s" ph="1">
        <v>257</v>
      </c>
      <c r="AZ129" s="64" t="s" ph="1">
        <v>408</v>
      </c>
    </row>
    <row r="130" spans="33:52" ph="1">
      <c r="AH130" s="64" ph="1">
        <v>10</v>
      </c>
      <c r="AI130" s="64" t="s" ph="1">
        <v>565</v>
      </c>
      <c r="AY130" s="64" t="s" ph="1">
        <v>257</v>
      </c>
      <c r="AZ130" s="64" t="s" ph="1">
        <v>408</v>
      </c>
    </row>
    <row r="131" spans="33:52" ph="1">
      <c r="AH131" s="64" ph="1">
        <v>11</v>
      </c>
      <c r="AI131" s="64" t="s" ph="1">
        <v>566</v>
      </c>
      <c r="AJ131" s="64" t="s" ph="1">
        <v>624</v>
      </c>
      <c r="AK131" s="64" t="s" ph="1">
        <v>620</v>
      </c>
      <c r="AY131" s="64" t="s" ph="1">
        <v>257</v>
      </c>
      <c r="AZ131" s="64" t="s" ph="1">
        <v>620</v>
      </c>
    </row>
    <row r="132" spans="33:52" ph="1">
      <c r="AH132" s="64" ph="1">
        <v>12</v>
      </c>
      <c r="AI132" s="64" t="s" ph="1">
        <v>567</v>
      </c>
      <c r="AJ132" s="64" t="s" ph="1">
        <v>624</v>
      </c>
      <c r="AK132" s="64" t="s" ph="1">
        <v>559</v>
      </c>
      <c r="AY132" s="64" t="s" ph="1">
        <v>257</v>
      </c>
      <c r="AZ132" s="64" t="s" ph="1">
        <v>559</v>
      </c>
    </row>
    <row r="133" spans="33:52" ph="1">
      <c r="AH133" s="64" ph="1">
        <v>13</v>
      </c>
      <c r="AI133" s="64" t="s" ph="1">
        <v>568</v>
      </c>
      <c r="AJ133" s="64" t="s" ph="1">
        <v>624</v>
      </c>
      <c r="AK133" s="64" t="s" ph="1">
        <v>625</v>
      </c>
      <c r="AY133" s="64" t="s" ph="1">
        <v>257</v>
      </c>
      <c r="AZ133" s="64" t="s" ph="1">
        <v>625</v>
      </c>
    </row>
    <row r="134" spans="33:52" ph="1">
      <c r="AH134" s="64" ph="1">
        <v>14</v>
      </c>
      <c r="AI134" s="64" t="s" ph="1">
        <v>569</v>
      </c>
      <c r="AJ134" s="64" t="s" ph="1">
        <v>624</v>
      </c>
      <c r="AK134" s="64" t="s" ph="1">
        <v>626</v>
      </c>
      <c r="AY134" s="64" t="s" ph="1">
        <v>257</v>
      </c>
      <c r="AZ134" s="64" t="s" ph="1">
        <v>626</v>
      </c>
    </row>
    <row r="135" spans="33:52" ph="1">
      <c r="AH135" s="64" ph="1">
        <v>15</v>
      </c>
      <c r="AI135" s="64" t="s" ph="1">
        <v>570</v>
      </c>
      <c r="AJ135" s="64" t="s" ph="1">
        <v>624</v>
      </c>
      <c r="AK135" s="64" t="s" ph="1">
        <v>627</v>
      </c>
      <c r="AY135" s="64" t="s" ph="1">
        <v>257</v>
      </c>
      <c r="AZ135" s="64" t="s" ph="1">
        <v>627</v>
      </c>
    </row>
    <row r="136" spans="33:52" ph="1">
      <c r="AZ136" s="64" t="s" ph="1">
        <v>641</v>
      </c>
    </row>
    <row r="137" spans="33:52" ph="1">
      <c r="AG137" s="64" t="s" ph="1">
        <v>331</v>
      </c>
      <c r="AI137" s="64" t="s" ph="1">
        <v>250</v>
      </c>
      <c r="AJ137" s="64" t="s" ph="1">
        <v>251</v>
      </c>
      <c r="AK137" s="64" t="s" ph="1">
        <v>252</v>
      </c>
      <c r="AM137" s="64" t="s" ph="1">
        <v>251</v>
      </c>
      <c r="AN137" s="64" t="s" ph="1">
        <v>252</v>
      </c>
      <c r="AO137" s="64" t="s" ph="1">
        <v>253</v>
      </c>
      <c r="AP137" s="64" t="s" ph="1">
        <v>251</v>
      </c>
      <c r="AQ137" s="64" t="s" ph="1">
        <v>252</v>
      </c>
      <c r="AR137" s="64" t="s" ph="1">
        <v>253</v>
      </c>
      <c r="AS137" s="64" t="s" ph="1">
        <v>251</v>
      </c>
      <c r="AT137" s="64" t="s" ph="1">
        <v>252</v>
      </c>
      <c r="AU137" s="64" t="s" ph="1">
        <v>253</v>
      </c>
      <c r="AV137" s="64" t="s" ph="1">
        <v>251</v>
      </c>
      <c r="AW137" s="64" t="s" ph="1">
        <v>252</v>
      </c>
      <c r="AX137" s="64" t="s" ph="1">
        <v>253</v>
      </c>
      <c r="AY137" s="64" t="s" ph="1">
        <v>252</v>
      </c>
      <c r="AZ137" s="64" t="s" ph="1">
        <v>254</v>
      </c>
    </row>
    <row r="138" spans="33:52" ph="1">
      <c r="AH138" s="64" ph="1">
        <v>1</v>
      </c>
      <c r="AI138" s="64" t="s" ph="1">
        <v>571</v>
      </c>
      <c r="AJ138" s="64" t="s" ph="1">
        <v>572</v>
      </c>
      <c r="AK138" s="64" t="s" ph="1">
        <v>573</v>
      </c>
      <c r="AY138" s="64" t="s" ph="1">
        <v>257</v>
      </c>
      <c r="AZ138" s="64" t="s" ph="1">
        <v>573</v>
      </c>
    </row>
    <row r="139" spans="33:52" ph="1">
      <c r="AH139" s="64" ph="1">
        <v>2</v>
      </c>
      <c r="AI139" s="64" t="s" ph="1">
        <v>574</v>
      </c>
      <c r="AJ139" s="64" t="s" ph="1">
        <v>630</v>
      </c>
      <c r="AK139" s="64" t="s" ph="1">
        <v>642</v>
      </c>
      <c r="AY139" s="64" t="s" ph="1">
        <v>257</v>
      </c>
      <c r="AZ139" s="64" t="s" ph="1">
        <v>642</v>
      </c>
    </row>
    <row r="140" spans="33:52" ph="1">
      <c r="AH140" s="64" ph="1">
        <v>3</v>
      </c>
      <c r="AI140" s="64" t="s" ph="1">
        <v>575</v>
      </c>
      <c r="AJ140" s="64" t="s" ph="1">
        <v>528</v>
      </c>
      <c r="AK140" s="64" t="s" ph="1">
        <v>340</v>
      </c>
      <c r="AM140" s="64" t="s" ph="1">
        <v>529</v>
      </c>
      <c r="AN140" s="64" t="s" ph="1">
        <v>260</v>
      </c>
      <c r="AO140" s="64" t="s" ph="1">
        <v>576</v>
      </c>
      <c r="AP140" s="64" t="s" ph="1">
        <v>530</v>
      </c>
      <c r="AQ140" s="64" t="s" ph="1">
        <v>277</v>
      </c>
      <c r="AR140" s="64" t="s" ph="1">
        <v>576</v>
      </c>
      <c r="AS140" s="64" t="s" ph="1">
        <v>531</v>
      </c>
      <c r="AT140" s="64" t="s" ph="1">
        <v>270</v>
      </c>
      <c r="AU140" s="64" t="s" ph="1">
        <v>576</v>
      </c>
      <c r="AV140" s="64" t="s" ph="1">
        <v>532</v>
      </c>
      <c r="AW140" s="64" t="s" ph="1">
        <v>263</v>
      </c>
      <c r="AX140" s="64" t="s" ph="1">
        <v>576</v>
      </c>
      <c r="AY140" s="64" t="s" ph="1">
        <v>257</v>
      </c>
      <c r="AZ140" s="64" t="s" ph="1">
        <v>332</v>
      </c>
    </row>
    <row r="141" spans="33:52" ph="1">
      <c r="AJ141" s="64" t="s" ph="1">
        <v>534</v>
      </c>
      <c r="AK141" s="64" t="s" ph="1">
        <v>263</v>
      </c>
      <c r="AM141" s="64" t="s" ph="1">
        <v>535</v>
      </c>
      <c r="AN141" s="64" t="s" ph="1">
        <v>266</v>
      </c>
      <c r="AO141" s="64" t="s" ph="1">
        <v>576</v>
      </c>
      <c r="AP141" s="64" t="s" ph="1">
        <v>547</v>
      </c>
      <c r="AQ141" s="64" t="s" ph="1">
        <v>335</v>
      </c>
      <c r="AR141" s="64" t="s" ph="1">
        <v>576</v>
      </c>
      <c r="AS141" s="64" t="s" ph="1">
        <v>539</v>
      </c>
      <c r="AT141" s="64" t="s" ph="1">
        <v>263</v>
      </c>
      <c r="AU141" s="64" t="s" ph="1">
        <v>576</v>
      </c>
      <c r="AV141" s="64" t="s" ph="1">
        <v>375</v>
      </c>
      <c r="AW141" s="64" t="s" ph="1">
        <v>269</v>
      </c>
      <c r="AX141" s="64" t="s" ph="1">
        <v>576</v>
      </c>
    </row>
    <row r="142" spans="33:52" ph="1">
      <c r="AJ142" s="64" t="s" ph="1">
        <v>577</v>
      </c>
      <c r="AK142" s="64" t="s" ph="1">
        <v>280</v>
      </c>
    </row>
    <row r="143" spans="33:52" ph="1">
      <c r="AH143" s="64" ph="1">
        <v>4</v>
      </c>
      <c r="AI143" s="64" t="s" ph="1">
        <v>578</v>
      </c>
      <c r="AJ143" s="64" t="s" ph="1">
        <v>558</v>
      </c>
      <c r="AK143" s="64" t="s" ph="1">
        <v>579</v>
      </c>
      <c r="AY143" s="64" t="s" ph="1">
        <v>257</v>
      </c>
      <c r="AZ143" s="64" t="s" ph="1">
        <v>579</v>
      </c>
    </row>
    <row r="144" spans="33:52" ph="1">
      <c r="AH144" s="64" ph="1">
        <v>5</v>
      </c>
      <c r="AI144" s="64" t="s" ph="1">
        <v>580</v>
      </c>
      <c r="AY144" s="64" t="s" ph="1">
        <v>257</v>
      </c>
      <c r="AZ144" s="64" t="s" ph="1">
        <v>408</v>
      </c>
    </row>
    <row r="145" spans="33:52" ph="1">
      <c r="AH145" s="64" ph="1">
        <v>6</v>
      </c>
      <c r="AI145" s="64" t="s" ph="1">
        <v>581</v>
      </c>
      <c r="AY145" s="64" t="s" ph="1">
        <v>257</v>
      </c>
      <c r="AZ145" s="64" t="s" ph="1">
        <v>408</v>
      </c>
    </row>
    <row r="146" spans="33:52" ph="1">
      <c r="AH146" s="64" ph="1">
        <v>7</v>
      </c>
      <c r="AI146" s="64" t="s" ph="1">
        <v>582</v>
      </c>
      <c r="AY146" s="64" t="s" ph="1">
        <v>257</v>
      </c>
      <c r="AZ146" s="64" t="s" ph="1">
        <v>408</v>
      </c>
    </row>
    <row r="147" spans="33:52" ph="1">
      <c r="AH147" s="64" ph="1">
        <v>8</v>
      </c>
      <c r="AI147" s="64" t="s" ph="1">
        <v>583</v>
      </c>
      <c r="AY147" s="64" t="s" ph="1">
        <v>257</v>
      </c>
      <c r="AZ147" s="64" t="s" ph="1">
        <v>408</v>
      </c>
    </row>
    <row r="148" spans="33:52" ph="1">
      <c r="AH148" s="64" ph="1">
        <v>9</v>
      </c>
      <c r="AI148" s="64" t="s" ph="1">
        <v>584</v>
      </c>
      <c r="AY148" s="64" t="s" ph="1">
        <v>257</v>
      </c>
      <c r="AZ148" s="64" t="s" ph="1">
        <v>408</v>
      </c>
    </row>
    <row r="149" spans="33:52" ph="1">
      <c r="AH149" s="64" ph="1">
        <v>10</v>
      </c>
      <c r="AI149" s="64" t="s" ph="1">
        <v>585</v>
      </c>
      <c r="AY149" s="64" t="s" ph="1">
        <v>257</v>
      </c>
      <c r="AZ149" s="64" t="s" ph="1">
        <v>408</v>
      </c>
    </row>
    <row r="150" spans="33:52" ph="1">
      <c r="AH150" s="64" ph="1">
        <v>11</v>
      </c>
      <c r="AI150" s="64" t="s" ph="1">
        <v>586</v>
      </c>
      <c r="AY150" s="64" t="s" ph="1">
        <v>257</v>
      </c>
      <c r="AZ150" s="64" t="s" ph="1">
        <v>408</v>
      </c>
    </row>
    <row r="151" spans="33:52" ph="1">
      <c r="AH151" s="64" ph="1">
        <v>12</v>
      </c>
      <c r="AI151" s="64" t="s" ph="1">
        <v>587</v>
      </c>
      <c r="AY151" s="64" t="s" ph="1">
        <v>257</v>
      </c>
      <c r="AZ151" s="64" t="s" ph="1">
        <v>408</v>
      </c>
    </row>
    <row r="152" spans="33:52" ph="1">
      <c r="AH152" s="64" ph="1">
        <v>13</v>
      </c>
      <c r="AI152" s="64" t="s" ph="1">
        <v>588</v>
      </c>
      <c r="AY152" s="64" t="s" ph="1">
        <v>257</v>
      </c>
      <c r="AZ152" s="64" t="s" ph="1">
        <v>408</v>
      </c>
    </row>
    <row r="153" spans="33:52" ph="1">
      <c r="AH153" s="64" ph="1">
        <v>14</v>
      </c>
      <c r="AI153" s="64" t="s" ph="1">
        <v>589</v>
      </c>
      <c r="AY153" s="64" t="s" ph="1">
        <v>257</v>
      </c>
      <c r="AZ153" s="64" t="s" ph="1">
        <v>408</v>
      </c>
    </row>
    <row r="154" spans="33:52" ph="1">
      <c r="AH154" s="64" ph="1">
        <v>15</v>
      </c>
      <c r="AI154" s="64" t="s" ph="1">
        <v>590</v>
      </c>
      <c r="AY154" s="64" t="s" ph="1">
        <v>257</v>
      </c>
      <c r="AZ154" s="64" t="s" ph="1">
        <v>408</v>
      </c>
    </row>
    <row r="155" spans="33:52" ph="1">
      <c r="AH155" s="64" ph="1">
        <v>16</v>
      </c>
      <c r="AI155" s="64" t="s" ph="1">
        <v>591</v>
      </c>
      <c r="AJ155" s="64" t="s" ph="1">
        <v>377</v>
      </c>
      <c r="AK155" s="64" t="s" ph="1">
        <v>272</v>
      </c>
      <c r="AM155" s="64" t="s" ph="1">
        <v>611</v>
      </c>
      <c r="AN155" s="64" t="s" ph="1">
        <v>323</v>
      </c>
      <c r="AO155" s="64" t="s" ph="1">
        <v>576</v>
      </c>
      <c r="AY155" s="64" t="s" ph="1">
        <v>257</v>
      </c>
      <c r="AZ155" s="64" t="s" ph="1">
        <v>264</v>
      </c>
    </row>
    <row r="156" spans="33:52" ph="1">
      <c r="AZ156" s="64" t="s" ph="1">
        <v>643</v>
      </c>
    </row>
    <row r="157" spans="33:52" ph="1">
      <c r="AG157" s="64" t="s" ph="1">
        <v>592</v>
      </c>
      <c r="AI157" s="64" t="s" ph="1">
        <v>250</v>
      </c>
      <c r="AJ157" s="64" t="s" ph="1">
        <v>251</v>
      </c>
      <c r="AK157" s="64" t="s" ph="1">
        <v>252</v>
      </c>
      <c r="AM157" s="64" t="s" ph="1">
        <v>251</v>
      </c>
      <c r="AN157" s="64" t="s" ph="1">
        <v>252</v>
      </c>
      <c r="AO157" s="64" t="s" ph="1">
        <v>253</v>
      </c>
      <c r="AP157" s="64" t="s" ph="1">
        <v>251</v>
      </c>
      <c r="AQ157" s="64" t="s" ph="1">
        <v>252</v>
      </c>
      <c r="AR157" s="64" t="s" ph="1">
        <v>253</v>
      </c>
      <c r="AS157" s="64" t="s" ph="1">
        <v>251</v>
      </c>
      <c r="AT157" s="64" t="s" ph="1">
        <v>252</v>
      </c>
      <c r="AU157" s="64" t="s" ph="1">
        <v>253</v>
      </c>
      <c r="AV157" s="64" t="s" ph="1">
        <v>251</v>
      </c>
      <c r="AW157" s="64" t="s" ph="1">
        <v>252</v>
      </c>
      <c r="AX157" s="64" t="s" ph="1">
        <v>253</v>
      </c>
      <c r="AY157" s="64" t="s" ph="1">
        <v>252</v>
      </c>
      <c r="AZ157" s="64" t="s" ph="1">
        <v>254</v>
      </c>
    </row>
    <row r="158" spans="33:52" ph="1">
      <c r="AH158" s="64" ph="1">
        <v>1</v>
      </c>
      <c r="AI158" s="64" t="s" ph="1">
        <v>593</v>
      </c>
      <c r="AY158" s="64" t="s" ph="1">
        <v>257</v>
      </c>
      <c r="AZ158" s="64" t="s" ph="1">
        <v>408</v>
      </c>
    </row>
    <row r="159" spans="33:52" ph="1">
      <c r="AH159" s="64" ph="1">
        <v>2</v>
      </c>
      <c r="AI159" s="64" t="s" ph="1">
        <v>594</v>
      </c>
      <c r="AY159" s="64" t="s" ph="1">
        <v>257</v>
      </c>
      <c r="AZ159" s="64" t="s" ph="1">
        <v>408</v>
      </c>
    </row>
    <row r="160" spans="33:52" ph="1">
      <c r="AZ160" s="64" t="s" ph="1">
        <v>426</v>
      </c>
    </row>
    <row r="161" spans="33:52" ph="1">
      <c r="AG161" s="64" t="s" ph="1">
        <v>402</v>
      </c>
      <c r="AI161" s="64" t="s" ph="1">
        <v>250</v>
      </c>
      <c r="AJ161" s="64" t="s" ph="1">
        <v>251</v>
      </c>
      <c r="AK161" s="64" t="s" ph="1">
        <v>252</v>
      </c>
      <c r="AM161" s="64" t="s" ph="1">
        <v>251</v>
      </c>
      <c r="AN161" s="64" t="s" ph="1">
        <v>252</v>
      </c>
      <c r="AO161" s="64" t="s" ph="1">
        <v>253</v>
      </c>
      <c r="AP161" s="64" t="s" ph="1">
        <v>251</v>
      </c>
      <c r="AQ161" s="64" t="s" ph="1">
        <v>252</v>
      </c>
      <c r="AR161" s="64" t="s" ph="1">
        <v>253</v>
      </c>
      <c r="AS161" s="64" t="s" ph="1">
        <v>251</v>
      </c>
      <c r="AT161" s="64" t="s" ph="1">
        <v>252</v>
      </c>
      <c r="AU161" s="64" t="s" ph="1">
        <v>253</v>
      </c>
      <c r="AV161" s="64" t="s" ph="1">
        <v>251</v>
      </c>
      <c r="AW161" s="64" t="s" ph="1">
        <v>252</v>
      </c>
      <c r="AX161" s="64" t="s" ph="1">
        <v>253</v>
      </c>
      <c r="AY161" s="64" t="s" ph="1">
        <v>252</v>
      </c>
      <c r="AZ161" s="64" t="s" ph="1">
        <v>254</v>
      </c>
    </row>
    <row r="162" spans="33:52" ph="1">
      <c r="AH162" s="64" ph="1">
        <v>1</v>
      </c>
      <c r="AI162" s="64" t="s" ph="1">
        <v>595</v>
      </c>
      <c r="AJ162" s="64" t="s" ph="1">
        <v>596</v>
      </c>
      <c r="AK162" s="64" t="s" ph="1">
        <v>540</v>
      </c>
      <c r="AM162" s="64" t="s" ph="1">
        <v>597</v>
      </c>
      <c r="AN162" s="64" t="s" ph="1">
        <v>261</v>
      </c>
      <c r="AO162" s="64" t="s" ph="1">
        <v>598</v>
      </c>
      <c r="AY162" s="64" t="s" ph="1">
        <v>257</v>
      </c>
      <c r="AZ162" s="64" t="s" ph="1">
        <v>333</v>
      </c>
    </row>
    <row r="163" spans="33:52" ph="1">
      <c r="AH163" s="64" ph="1">
        <v>2</v>
      </c>
      <c r="AI163" s="64" t="s" ph="1">
        <v>599</v>
      </c>
      <c r="AJ163" s="64" t="s" ph="1">
        <v>596</v>
      </c>
      <c r="AK163" s="64" t="s" ph="1">
        <v>429</v>
      </c>
      <c r="AY163" s="64" t="s" ph="1">
        <v>257</v>
      </c>
      <c r="AZ163" s="64" t="s" ph="1">
        <v>429</v>
      </c>
    </row>
    <row r="164" spans="33:52" ph="1">
      <c r="AH164" s="64" ph="1">
        <v>3</v>
      </c>
      <c r="AI164" s="64" t="s" ph="1">
        <v>600</v>
      </c>
      <c r="AJ164" s="64" t="s" ph="1">
        <v>596</v>
      </c>
      <c r="AK164" s="64" t="s" ph="1">
        <v>333</v>
      </c>
      <c r="AY164" s="64" t="s" ph="1">
        <v>257</v>
      </c>
      <c r="AZ164" s="64" t="s" ph="1">
        <v>333</v>
      </c>
    </row>
    <row r="165" spans="33:52" ph="1">
      <c r="AH165" s="64" ph="1">
        <v>4</v>
      </c>
      <c r="AI165" s="64" t="s" ph="1">
        <v>601</v>
      </c>
      <c r="AY165" s="64" t="s" ph="1">
        <v>257</v>
      </c>
      <c r="AZ165" s="64" t="s" ph="1">
        <v>408</v>
      </c>
    </row>
    <row r="166" spans="33:52" ph="1">
      <c r="AH166" s="64" ph="1">
        <v>5</v>
      </c>
      <c r="AI166" s="64" t="s" ph="1">
        <v>602</v>
      </c>
      <c r="AY166" s="64" t="s" ph="1">
        <v>257</v>
      </c>
      <c r="AZ166" s="64" t="s" ph="1">
        <v>408</v>
      </c>
    </row>
    <row r="167" spans="33:52" ph="1">
      <c r="AZ167" s="64" t="s" ph="1">
        <v>603</v>
      </c>
    </row>
    <row r="168" spans="33:52" ph="1">
      <c r="AG168" s="64" t="s" ph="1">
        <v>346</v>
      </c>
      <c r="AI168" s="64" t="s" ph="1">
        <v>250</v>
      </c>
      <c r="AJ168" s="64" t="s" ph="1">
        <v>251</v>
      </c>
      <c r="AK168" s="64" t="s" ph="1">
        <v>252</v>
      </c>
      <c r="AM168" s="64" t="s" ph="1">
        <v>251</v>
      </c>
      <c r="AN168" s="64" t="s" ph="1">
        <v>252</v>
      </c>
      <c r="AO168" s="64" t="s" ph="1">
        <v>253</v>
      </c>
      <c r="AP168" s="64" t="s" ph="1">
        <v>251</v>
      </c>
      <c r="AQ168" s="64" t="s" ph="1">
        <v>252</v>
      </c>
      <c r="AR168" s="64" t="s" ph="1">
        <v>253</v>
      </c>
      <c r="AS168" s="64" t="s" ph="1">
        <v>251</v>
      </c>
      <c r="AT168" s="64" t="s" ph="1">
        <v>252</v>
      </c>
      <c r="AU168" s="64" t="s" ph="1">
        <v>253</v>
      </c>
      <c r="AV168" s="64" t="s" ph="1">
        <v>251</v>
      </c>
      <c r="AW168" s="64" t="s" ph="1">
        <v>252</v>
      </c>
      <c r="AX168" s="64" t="s" ph="1">
        <v>253</v>
      </c>
      <c r="AY168" s="64" t="s" ph="1">
        <v>252</v>
      </c>
      <c r="AZ168" s="64" t="s" ph="1">
        <v>254</v>
      </c>
    </row>
    <row r="169" spans="33:52" ph="1">
      <c r="AH169" s="64" ph="1">
        <v>1</v>
      </c>
      <c r="AI169" s="64" t="s" ph="1">
        <v>604</v>
      </c>
      <c r="AY169" s="64" t="s" ph="1">
        <v>257</v>
      </c>
      <c r="AZ169" s="64" t="s" ph="1">
        <v>408</v>
      </c>
    </row>
    <row r="170" spans="33:52" ph="1">
      <c r="AH170" s="64" ph="1">
        <v>2</v>
      </c>
      <c r="AI170" s="64" t="s" ph="1">
        <v>605</v>
      </c>
      <c r="AY170" s="64" t="s" ph="1">
        <v>257</v>
      </c>
      <c r="AZ170" s="64" t="s" ph="1">
        <v>408</v>
      </c>
    </row>
    <row r="171" spans="33:52" ph="1">
      <c r="AH171" s="64" ph="1">
        <v>3</v>
      </c>
      <c r="AI171" s="64" t="s" ph="1">
        <v>606</v>
      </c>
      <c r="AY171" s="64" t="s" ph="1">
        <v>257</v>
      </c>
      <c r="AZ171" s="64" t="s" ph="1">
        <v>408</v>
      </c>
    </row>
    <row r="172" spans="33:52" ph="1">
      <c r="AH172" s="64" ph="1">
        <v>4</v>
      </c>
      <c r="AI172" s="64" t="s" ph="1">
        <v>607</v>
      </c>
      <c r="AY172" s="64" t="s" ph="1">
        <v>257</v>
      </c>
      <c r="AZ172" s="64" t="s" ph="1">
        <v>408</v>
      </c>
    </row>
    <row r="173" spans="33:52" ph="1">
      <c r="AH173" s="64" ph="1">
        <v>5</v>
      </c>
      <c r="AI173" s="64" t="s" ph="1">
        <v>608</v>
      </c>
      <c r="AY173" s="64" t="s" ph="1">
        <v>257</v>
      </c>
      <c r="AZ173" s="64" t="s" ph="1">
        <v>408</v>
      </c>
    </row>
    <row r="174" spans="33:52" ph="1">
      <c r="AZ174" s="64" t="s" ph="1">
        <v>426</v>
      </c>
    </row>
    <row r="175" spans="33:52" ph="1">
      <c r="AJ175" s="64" t="s" ph="1">
        <v>347</v>
      </c>
    </row>
    <row r="176" spans="33:52" ph="1">
      <c r="AJ176" s="64" t="s" ph="1">
        <v>348</v>
      </c>
      <c r="AK176" s="64" t="s" ph="1">
        <v>349</v>
      </c>
      <c r="AM176" s="64" t="s" ph="1">
        <v>350</v>
      </c>
      <c r="AO176" s="64" t="s" ph="1">
        <v>351</v>
      </c>
      <c r="AP176" s="64" t="s" ph="1">
        <v>352</v>
      </c>
      <c r="AQ176" s="64" t="s" ph="1">
        <v>342</v>
      </c>
      <c r="AR176" s="64" t="s" ph="1">
        <v>262</v>
      </c>
    </row>
    <row r="177" spans="36:56" ph="1">
      <c r="AJ177" s="64" t="s" ph="1">
        <v>644</v>
      </c>
      <c r="AK177" s="64" t="s" ph="1">
        <v>353</v>
      </c>
      <c r="AO177" s="64" t="s" ph="1">
        <v>353</v>
      </c>
      <c r="AP177" s="64" t="s" ph="1">
        <v>353</v>
      </c>
      <c r="AQ177" s="64" t="s" ph="1">
        <v>354</v>
      </c>
      <c r="AR177" s="64" t="s" ph="1">
        <v>355</v>
      </c>
    </row>
    <row r="179" spans="36:56" ph="1">
      <c r="AJ179" s="64" t="s" ph="1">
        <v>356</v>
      </c>
      <c r="AK179" s="64" t="s" ph="1">
        <v>357</v>
      </c>
      <c r="AM179" s="64" t="s" ph="1">
        <v>358</v>
      </c>
      <c r="AN179" s="64" t="s" ph="1">
        <v>334</v>
      </c>
      <c r="AO179" s="64" t="s" ph="1">
        <v>359</v>
      </c>
      <c r="AP179" s="64" t="s" ph="1">
        <v>338</v>
      </c>
      <c r="AQ179" s="64" t="s" ph="1">
        <v>360</v>
      </c>
      <c r="AR179" s="64" t="s" ph="1">
        <v>361</v>
      </c>
    </row>
    <row r="180" spans="36:56" ph="1">
      <c r="AJ180" s="64" t="s" ph="1">
        <v>353</v>
      </c>
      <c r="AK180" s="64" t="s" ph="1">
        <v>353</v>
      </c>
      <c r="AL180" s="64" ph="1">
        <v>116</v>
      </c>
      <c r="AM180" s="64" t="s" ph="1">
        <v>353</v>
      </c>
      <c r="AN180" s="64" t="s" ph="1">
        <v>362</v>
      </c>
      <c r="AO180" s="64" t="s" ph="1">
        <v>353</v>
      </c>
      <c r="AP180" s="64" t="s" ph="1">
        <v>363</v>
      </c>
      <c r="AQ180" s="64" t="s" ph="1">
        <v>364</v>
      </c>
      <c r="AR180" s="64" t="s" ph="1">
        <v>365</v>
      </c>
    </row>
    <row r="189" spans="36:56" ph="1">
      <c r="BD189" s="64" t="s" ph="1">
        <v>609</v>
      </c>
    </row>
    <row r="223" spans="18:18" ph="1">
      <c r="R223" s="138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51" priority="96">
      <formula>ABS(D$7-D$10)&gt;=1000</formula>
    </cfRule>
  </conditionalFormatting>
  <conditionalFormatting sqref="E4 E6:E11">
    <cfRule type="expression" dxfId="250" priority="95">
      <formula>ABS(E$7-E$10)&gt;=1000</formula>
    </cfRule>
  </conditionalFormatting>
  <conditionalFormatting sqref="F4:F11">
    <cfRule type="expression" dxfId="249" priority="94">
      <formula>ABS(F$7-F$10)&gt;=1000</formula>
    </cfRule>
  </conditionalFormatting>
  <conditionalFormatting sqref="G4:G11">
    <cfRule type="expression" dxfId="248" priority="93">
      <formula>ABS(G$7-G$10)&gt;=1000</formula>
    </cfRule>
  </conditionalFormatting>
  <conditionalFormatting sqref="H4:H11">
    <cfRule type="expression" dxfId="247" priority="92">
      <formula>ABS(H$7-H$10)&gt;=1000</formula>
    </cfRule>
  </conditionalFormatting>
  <conditionalFormatting sqref="I4:I11">
    <cfRule type="expression" dxfId="246" priority="91">
      <formula>ABS(I$7-I$10)&gt;=1000</formula>
    </cfRule>
  </conditionalFormatting>
  <conditionalFormatting sqref="J4:J11">
    <cfRule type="expression" dxfId="245" priority="90">
      <formula>ABS(J$7-J$10)&gt;=1000</formula>
    </cfRule>
  </conditionalFormatting>
  <conditionalFormatting sqref="K4:K11">
    <cfRule type="expression" dxfId="244" priority="89">
      <formula>ABS(K$7-K$10)&gt;=1000</formula>
    </cfRule>
  </conditionalFormatting>
  <conditionalFormatting sqref="L4:L11">
    <cfRule type="expression" dxfId="243" priority="88">
      <formula>ABS(L$7-L$10)&gt;=1000</formula>
    </cfRule>
  </conditionalFormatting>
  <conditionalFormatting sqref="M4 M6:M11">
    <cfRule type="expression" dxfId="242" priority="87">
      <formula>ABS(M$7-M$10)&gt;=1000</formula>
    </cfRule>
  </conditionalFormatting>
  <conditionalFormatting sqref="N4 N6:N11">
    <cfRule type="expression" dxfId="241" priority="86">
      <formula>ABS(N$7-N$10)&gt;=1000</formula>
    </cfRule>
  </conditionalFormatting>
  <conditionalFormatting sqref="O4 O6:O11">
    <cfRule type="expression" dxfId="240" priority="85">
      <formula>ABS(O$7-O$10)&gt;=1000</formula>
    </cfRule>
  </conditionalFormatting>
  <conditionalFormatting sqref="P4 P6:P11">
    <cfRule type="expression" dxfId="239" priority="84">
      <formula>ABS(P$7-P$10)&gt;=1000</formula>
    </cfRule>
  </conditionalFormatting>
  <conditionalFormatting sqref="Q4:Q11">
    <cfRule type="expression" dxfId="238" priority="83">
      <formula>ABS(Q$7-Q$10)&gt;=1000</formula>
    </cfRule>
  </conditionalFormatting>
  <conditionalFormatting sqref="R4:R11">
    <cfRule type="expression" dxfId="237" priority="82">
      <formula>ABS(R$7-R$10)&gt;=1000</formula>
    </cfRule>
  </conditionalFormatting>
  <conditionalFormatting sqref="S4:S11">
    <cfRule type="expression" dxfId="236" priority="81">
      <formula>ABS(S$7-S$10)&gt;=1000</formula>
    </cfRule>
  </conditionalFormatting>
  <conditionalFormatting sqref="T4:T9 T11">
    <cfRule type="expression" dxfId="235" priority="80">
      <formula>ABS(T$7-T$10)&gt;=1000</formula>
    </cfRule>
  </conditionalFormatting>
  <conditionalFormatting sqref="U4:U9 U11">
    <cfRule type="expression" dxfId="234" priority="79">
      <formula>ABS(U$7-U$10)&gt;=1000</formula>
    </cfRule>
  </conditionalFormatting>
  <conditionalFormatting sqref="V4:V9 V11">
    <cfRule type="expression" dxfId="233" priority="78">
      <formula>ABS(V$7-V$10)&gt;=1000</formula>
    </cfRule>
  </conditionalFormatting>
  <conditionalFormatting sqref="W4:W9 W11">
    <cfRule type="expression" dxfId="232" priority="77">
      <formula>ABS(W$7-W$10)&gt;=1000</formula>
    </cfRule>
  </conditionalFormatting>
  <conditionalFormatting sqref="X4:X9 X11">
    <cfRule type="expression" dxfId="231" priority="76">
      <formula>ABS(X$7-X$10)&gt;=1000</formula>
    </cfRule>
  </conditionalFormatting>
  <conditionalFormatting sqref="Y4:Y9 Y11">
    <cfRule type="expression" dxfId="230" priority="75">
      <formula>ABS(Y$7-Y$10)&gt;=1000</formula>
    </cfRule>
  </conditionalFormatting>
  <conditionalFormatting sqref="Z4:Z11">
    <cfRule type="expression" dxfId="229" priority="74">
      <formula>ABS(Z$7-Z$10)&gt;=1000</formula>
    </cfRule>
  </conditionalFormatting>
  <conditionalFormatting sqref="AA4:AA11">
    <cfRule type="expression" dxfId="228" priority="73">
      <formula>ABS(AA$7-AA$10)&gt;=1000</formula>
    </cfRule>
  </conditionalFormatting>
  <conditionalFormatting sqref="AB4:AB11">
    <cfRule type="expression" dxfId="227" priority="72">
      <formula>ABS(AB$7-AB$10)&gt;=1000</formula>
    </cfRule>
  </conditionalFormatting>
  <conditionalFormatting sqref="AC4 AC6:AC11">
    <cfRule type="expression" dxfId="226" priority="71">
      <formula>ABS(AC$7-AC$10)&gt;=1000</formula>
    </cfRule>
  </conditionalFormatting>
  <conditionalFormatting sqref="AD4:AD11">
    <cfRule type="expression" dxfId="225" priority="70">
      <formula>ABS(AD$7-AD$10)&gt;=1000</formula>
    </cfRule>
  </conditionalFormatting>
  <conditionalFormatting sqref="AE4:AE11">
    <cfRule type="expression" dxfId="224" priority="69">
      <formula>ABS(AE$7-AE$10)&gt;=1000</formula>
    </cfRule>
  </conditionalFormatting>
  <conditionalFormatting sqref="D13:D20">
    <cfRule type="expression" dxfId="223" priority="68">
      <formula>ABS(D$16-D$19)&gt;=1000</formula>
    </cfRule>
  </conditionalFormatting>
  <conditionalFormatting sqref="E13:E20">
    <cfRule type="expression" dxfId="222" priority="67">
      <formula>ABS(E$16-E$19)&gt;=1000</formula>
    </cfRule>
  </conditionalFormatting>
  <conditionalFormatting sqref="F13 F15:F20">
    <cfRule type="expression" dxfId="221" priority="66">
      <formula>ABS(F$16-F$19)&gt;=1000</formula>
    </cfRule>
  </conditionalFormatting>
  <conditionalFormatting sqref="G13:G20">
    <cfRule type="expression" dxfId="220" priority="65">
      <formula>ABS(G$16-G$19)&gt;=1000</formula>
    </cfRule>
  </conditionalFormatting>
  <conditionalFormatting sqref="H13:H20">
    <cfRule type="expression" dxfId="219" priority="64">
      <formula>ABS(H$16-H$19)&gt;=1000</formula>
    </cfRule>
  </conditionalFormatting>
  <conditionalFormatting sqref="I13:I20">
    <cfRule type="expression" dxfId="218" priority="63">
      <formula>ABS(I$16-I$19)&gt;=1000</formula>
    </cfRule>
  </conditionalFormatting>
  <conditionalFormatting sqref="J13:J20">
    <cfRule type="expression" dxfId="217" priority="62">
      <formula>ABS(J$16-J$19)&gt;=1000</formula>
    </cfRule>
  </conditionalFormatting>
  <conditionalFormatting sqref="L13:L20">
    <cfRule type="expression" dxfId="216" priority="61">
      <formula>ABS(L$16-L$19)&gt;=1000</formula>
    </cfRule>
  </conditionalFormatting>
  <conditionalFormatting sqref="M13 M15 M17:M18 M20">
    <cfRule type="expression" dxfId="215" priority="60">
      <formula>ABS(M$16-M$19)&gt;=1000</formula>
    </cfRule>
  </conditionalFormatting>
  <conditionalFormatting sqref="N13:N20">
    <cfRule type="expression" dxfId="214" priority="59">
      <formula>ABS(N$16-N$19)&gt;=1000</formula>
    </cfRule>
  </conditionalFormatting>
  <conditionalFormatting sqref="O13:O20">
    <cfRule type="expression" dxfId="213" priority="58">
      <formula>ABS(O$16-O$19)&gt;=1000</formula>
    </cfRule>
  </conditionalFormatting>
  <conditionalFormatting sqref="P13:P20">
    <cfRule type="expression" dxfId="212" priority="57">
      <formula>ABS(P$16-P$19)&gt;=1000</formula>
    </cfRule>
  </conditionalFormatting>
  <conditionalFormatting sqref="Q13 Q15:Q20">
    <cfRule type="expression" dxfId="211" priority="56">
      <formula>ABS(Q$16-Q$19)&gt;=1000</formula>
    </cfRule>
  </conditionalFormatting>
  <conditionalFormatting sqref="R13:R20">
    <cfRule type="expression" dxfId="210" priority="55">
      <formula>ABS(R$16-R$19)&gt;=1000</formula>
    </cfRule>
  </conditionalFormatting>
  <conditionalFormatting sqref="S13:S20">
    <cfRule type="expression" dxfId="209" priority="54">
      <formula>ABS(S$16-S$19)&gt;=1000</formula>
    </cfRule>
  </conditionalFormatting>
  <conditionalFormatting sqref="T13:T20">
    <cfRule type="expression" dxfId="208" priority="53">
      <formula>ABS(T$16-T$19)&gt;=1000</formula>
    </cfRule>
  </conditionalFormatting>
  <conditionalFormatting sqref="U13:U20">
    <cfRule type="expression" dxfId="207" priority="52">
      <formula>ABS(U$16-U$19)&gt;=1000</formula>
    </cfRule>
  </conditionalFormatting>
  <conditionalFormatting sqref="V13:V20">
    <cfRule type="expression" dxfId="206" priority="51">
      <formula>ABS(V$16-V$19)&gt;=1000</formula>
    </cfRule>
  </conditionalFormatting>
  <conditionalFormatting sqref="W13 W15:W18 W20">
    <cfRule type="expression" dxfId="205" priority="50">
      <formula>ABS(W$16-W$19)&gt;=1000</formula>
    </cfRule>
  </conditionalFormatting>
  <conditionalFormatting sqref="X13 X15:X20 Y19">
    <cfRule type="expression" dxfId="204" priority="49">
      <formula>ABS(X$16-X$19)&gt;=1000</formula>
    </cfRule>
  </conditionalFormatting>
  <conditionalFormatting sqref="Y13 Y15:Y18 Y20">
    <cfRule type="expression" dxfId="203" priority="48">
      <formula>ABS(Y$16-Y$19)&gt;=1000</formula>
    </cfRule>
  </conditionalFormatting>
  <conditionalFormatting sqref="Z13:Z20">
    <cfRule type="expression" dxfId="202" priority="47">
      <formula>ABS(Z$16-Z$19)&gt;=1000</formula>
    </cfRule>
  </conditionalFormatting>
  <conditionalFormatting sqref="AA13:AA20">
    <cfRule type="expression" dxfId="201" priority="46">
      <formula>ABS(AA$16-AA$19)&gt;=1000</formula>
    </cfRule>
  </conditionalFormatting>
  <conditionalFormatting sqref="AB13 AB15:AB20">
    <cfRule type="expression" dxfId="200" priority="45">
      <formula>ABS(AB$16-AB$19)&gt;=1000</formula>
    </cfRule>
  </conditionalFormatting>
  <conditionalFormatting sqref="AC13 AC15:AC20">
    <cfRule type="expression" dxfId="199" priority="44">
      <formula>ABS(AC$16-AC$19)&gt;=1000</formula>
    </cfRule>
  </conditionalFormatting>
  <conditionalFormatting sqref="AD13:AD20">
    <cfRule type="expression" dxfId="198" priority="43">
      <formula>ABS(AD$16-AD$19)&gt;=1000</formula>
    </cfRule>
  </conditionalFormatting>
  <conditionalFormatting sqref="AE13:AE20">
    <cfRule type="expression" dxfId="197" priority="42">
      <formula>ABS(AE$16-AE$19)&gt;=1000</formula>
    </cfRule>
  </conditionalFormatting>
  <conditionalFormatting sqref="D22:D29">
    <cfRule type="expression" dxfId="196" priority="41">
      <formula>ABS(D$25-D$28)&gt;=1000</formula>
    </cfRule>
  </conditionalFormatting>
  <conditionalFormatting sqref="E22:E29">
    <cfRule type="expression" dxfId="195" priority="40">
      <formula>ABS(E$25-E$28)&gt;=1000</formula>
    </cfRule>
  </conditionalFormatting>
  <conditionalFormatting sqref="F22:F29">
    <cfRule type="expression" dxfId="194" priority="39">
      <formula>ABS(F$25-F$28)&gt;=1000</formula>
    </cfRule>
  </conditionalFormatting>
  <conditionalFormatting sqref="G22:G29">
    <cfRule type="expression" dxfId="193" priority="38">
      <formula>ABS(G$25-G$28)&gt;=1000</formula>
    </cfRule>
  </conditionalFormatting>
  <conditionalFormatting sqref="H22:H29">
    <cfRule type="expression" dxfId="192" priority="37">
      <formula>ABS(H$25-H$28)&gt;=1000</formula>
    </cfRule>
  </conditionalFormatting>
  <conditionalFormatting sqref="I22 I24:I29">
    <cfRule type="expression" dxfId="191" priority="36">
      <formula>ABS(I$25-I$28)&gt;=1000</formula>
    </cfRule>
  </conditionalFormatting>
  <conditionalFormatting sqref="J22:J29 K22">
    <cfRule type="expression" dxfId="190" priority="35">
      <formula>ABS(J$25-J$28)&gt;=1000</formula>
    </cfRule>
  </conditionalFormatting>
  <conditionalFormatting sqref="K23:K29 L25 L28">
    <cfRule type="expression" dxfId="189" priority="34">
      <formula>ABS(K$25-K$28)&gt;=1000</formula>
    </cfRule>
  </conditionalFormatting>
  <conditionalFormatting sqref="L22:L24 L26:L27 L29">
    <cfRule type="expression" dxfId="188" priority="33">
      <formula>ABS(L$25-L$28)&gt;=1000</formula>
    </cfRule>
  </conditionalFormatting>
  <conditionalFormatting sqref="M22:M29">
    <cfRule type="expression" dxfId="187" priority="32">
      <formula>ABS(M$25-M$28)&gt;=1000</formula>
    </cfRule>
  </conditionalFormatting>
  <conditionalFormatting sqref="N22:N29">
    <cfRule type="expression" dxfId="186" priority="31">
      <formula>ABS(N$25-N$28)&gt;=1000</formula>
    </cfRule>
  </conditionalFormatting>
  <conditionalFormatting sqref="O22:O29">
    <cfRule type="expression" dxfId="185" priority="30">
      <formula>ABS(O$25-O$28)&gt;=1000</formula>
    </cfRule>
  </conditionalFormatting>
  <conditionalFormatting sqref="P22:P29">
    <cfRule type="expression" dxfId="184" priority="29">
      <formula>ABS(P$25-P$28)&gt;=1000</formula>
    </cfRule>
  </conditionalFormatting>
  <conditionalFormatting sqref="Q22:Q29">
    <cfRule type="expression" dxfId="183" priority="28">
      <formula>ABS(Q$25-Q$28)&gt;=1000</formula>
    </cfRule>
  </conditionalFormatting>
  <conditionalFormatting sqref="R22:R29">
    <cfRule type="expression" dxfId="182" priority="27">
      <formula>ABS(R$25-R$28)&gt;=1000</formula>
    </cfRule>
  </conditionalFormatting>
  <conditionalFormatting sqref="S22:S29">
    <cfRule type="expression" dxfId="181" priority="26">
      <formula>ABS(S$25-S$28)&gt;=1000</formula>
    </cfRule>
  </conditionalFormatting>
  <conditionalFormatting sqref="T22:T29">
    <cfRule type="expression" dxfId="180" priority="25">
      <formula>ABS(T$25-T$28)&gt;=1000</formula>
    </cfRule>
  </conditionalFormatting>
  <conditionalFormatting sqref="U22:U29">
    <cfRule type="expression" dxfId="179" priority="24">
      <formula>ABS(U$25-U$28)&gt;=1000</formula>
    </cfRule>
  </conditionalFormatting>
  <conditionalFormatting sqref="V22:V29">
    <cfRule type="expression" dxfId="178" priority="23">
      <formula>ABS(V$25-V$28)&gt;=1000</formula>
    </cfRule>
  </conditionalFormatting>
  <conditionalFormatting sqref="W22:W29">
    <cfRule type="expression" dxfId="177" priority="22">
      <formula>ABS(W$25-W$28)&gt;=1000</formula>
    </cfRule>
  </conditionalFormatting>
  <conditionalFormatting sqref="X22:X29">
    <cfRule type="expression" dxfId="176" priority="21">
      <formula>ABS(X$25-X$28)&gt;=1000</formula>
    </cfRule>
  </conditionalFormatting>
  <conditionalFormatting sqref="Y22:Y29">
    <cfRule type="expression" dxfId="175" priority="20">
      <formula>ABS(Y$25-Y$28)&gt;=1000</formula>
    </cfRule>
  </conditionalFormatting>
  <conditionalFormatting sqref="I23">
    <cfRule type="expression" dxfId="174" priority="19">
      <formula>ABS(I$25-I$28)&gt;=1000</formula>
    </cfRule>
  </conditionalFormatting>
  <conditionalFormatting sqref="F14">
    <cfRule type="expression" dxfId="173" priority="18">
      <formula>ABS(F$16-F$19)&gt;=1000</formula>
    </cfRule>
  </conditionalFormatting>
  <conditionalFormatting sqref="Q14">
    <cfRule type="expression" dxfId="172" priority="17">
      <formula>ABS(Q$16-Q$19)&gt;=1000</formula>
    </cfRule>
  </conditionalFormatting>
  <conditionalFormatting sqref="W14">
    <cfRule type="expression" dxfId="171" priority="16">
      <formula>ABS(W$16-W$19)&gt;=1000</formula>
    </cfRule>
  </conditionalFormatting>
  <conditionalFormatting sqref="Y14">
    <cfRule type="expression" dxfId="170" priority="15">
      <formula>ABS(Y$16-Y$19)&gt;=1000</formula>
    </cfRule>
  </conditionalFormatting>
  <conditionalFormatting sqref="X14">
    <cfRule type="expression" dxfId="169" priority="14">
      <formula>ABS(X$16-X$19)&gt;=1000</formula>
    </cfRule>
  </conditionalFormatting>
  <conditionalFormatting sqref="T10:Y10">
    <cfRule type="expression" dxfId="168" priority="13">
      <formula>ABS(T$7-T$10)&gt;=1000</formula>
    </cfRule>
  </conditionalFormatting>
  <conditionalFormatting sqref="W19">
    <cfRule type="expression" dxfId="167" priority="12">
      <formula>ABS(W$16-W$19)&gt;=1000</formula>
    </cfRule>
  </conditionalFormatting>
  <conditionalFormatting sqref="AC5">
    <cfRule type="expression" dxfId="166" priority="11">
      <formula>ABS(AC$7-AC$10)&gt;=1000</formula>
    </cfRule>
  </conditionalFormatting>
  <conditionalFormatting sqref="M14">
    <cfRule type="expression" dxfId="165" priority="10">
      <formula>ABS(M$16-M$19)&gt;=1000</formula>
    </cfRule>
  </conditionalFormatting>
  <conditionalFormatting sqref="M16">
    <cfRule type="expression" dxfId="164" priority="9">
      <formula>ABS(M$16-M$19)&gt;=1000</formula>
    </cfRule>
  </conditionalFormatting>
  <conditionalFormatting sqref="M19">
    <cfRule type="expression" dxfId="163" priority="8">
      <formula>ABS(M$16-M$19)&gt;=1000</formula>
    </cfRule>
  </conditionalFormatting>
  <conditionalFormatting sqref="K13:K20">
    <cfRule type="expression" dxfId="162" priority="7">
      <formula>ABS(K$16-K$19)&gt;=1000</formula>
    </cfRule>
  </conditionalFormatting>
  <conditionalFormatting sqref="E5">
    <cfRule type="expression" dxfId="161" priority="6">
      <formula>ABS(E$7-E$10)&gt;=1000</formula>
    </cfRule>
  </conditionalFormatting>
  <conditionalFormatting sqref="AB14:AC14">
    <cfRule type="expression" dxfId="160" priority="5">
      <formula>ABS(AB$16-AB$19)&gt;=1000</formula>
    </cfRule>
  </conditionalFormatting>
  <conditionalFormatting sqref="M5">
    <cfRule type="expression" dxfId="159" priority="4">
      <formula>ABS(M$7-M$10)&gt;=1000</formula>
    </cfRule>
  </conditionalFormatting>
  <conditionalFormatting sqref="N5">
    <cfRule type="expression" dxfId="158" priority="3">
      <formula>ABS(N$7-N$10)&gt;=1000</formula>
    </cfRule>
  </conditionalFormatting>
  <conditionalFormatting sqref="O5">
    <cfRule type="expression" dxfId="157" priority="2">
      <formula>ABS(O$7-O$10)&gt;=1000</formula>
    </cfRule>
  </conditionalFormatting>
  <conditionalFormatting sqref="P5">
    <cfRule type="expression" dxfId="156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152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83">
    <pageSetUpPr fitToPage="1"/>
  </sheetPr>
  <dimension ref="A1:CU223"/>
  <sheetViews>
    <sheetView tabSelected="1" view="pageBreakPreview" topLeftCell="E10" zoomScale="85" zoomScaleNormal="100" zoomScaleSheetLayoutView="85" workbookViewId="0">
      <selection activeCell="W18" sqref="W18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208" t="s" ph="1">
        <v>192</v>
      </c>
      <c r="C1" s="208" ph="1"/>
      <c r="D1" s="208" ph="1"/>
      <c r="E1" s="208" ph="1"/>
      <c r="F1" s="208" ph="1"/>
      <c r="G1" s="208" ph="1"/>
      <c r="H1" s="208" ph="1"/>
      <c r="I1" s="208" ph="1"/>
      <c r="J1" s="208" ph="1"/>
      <c r="K1" s="208" ph="1"/>
      <c r="L1" s="208" ph="1"/>
      <c r="M1" s="208" ph="1"/>
      <c r="N1" s="208" ph="1"/>
      <c r="O1" s="208" ph="1"/>
      <c r="P1" s="208" ph="1"/>
      <c r="Q1" s="208" ph="1"/>
      <c r="R1" s="208" ph="1"/>
      <c r="S1" s="208" ph="1"/>
      <c r="T1" s="208" ph="1"/>
      <c r="U1" s="208" ph="1"/>
      <c r="V1" s="208" ph="1"/>
      <c r="W1" s="208" ph="1"/>
      <c r="X1" s="208" ph="1"/>
      <c r="Y1" s="208" ph="1"/>
      <c r="Z1" s="208" ph="1"/>
      <c r="AA1" s="208" ph="1"/>
      <c r="AB1" s="208" ph="1"/>
      <c r="AC1" s="208" ph="1"/>
      <c r="AD1" s="208" ph="1"/>
      <c r="AE1" s="208" ph="1"/>
    </row>
    <row r="2" spans="1:99" s="66" customFormat="1" ht="24" customHeight="1" ph="1">
      <c r="B2" s="209" t="s" ph="1">
        <v>99</v>
      </c>
      <c r="C2" s="209" ph="1"/>
      <c r="D2" s="209" ph="1"/>
      <c r="E2" s="209" ph="1"/>
      <c r="F2" s="209" ph="1"/>
      <c r="G2" s="209" ph="1"/>
      <c r="H2" s="209" ph="1"/>
      <c r="I2" s="209" ph="1"/>
      <c r="J2" s="209" ph="1"/>
      <c r="K2" s="209" ph="1"/>
      <c r="L2" s="209" ph="1"/>
      <c r="M2" s="209" ph="1"/>
      <c r="N2" s="209" ph="1"/>
      <c r="O2" s="209" ph="1"/>
      <c r="P2" s="209" ph="1"/>
      <c r="Q2" s="209" ph="1"/>
      <c r="R2" s="209" ph="1"/>
      <c r="S2" s="209" ph="1"/>
      <c r="T2" s="209" ph="1"/>
      <c r="U2" s="209" ph="1"/>
      <c r="V2" s="209" ph="1"/>
      <c r="W2" s="209" ph="1"/>
      <c r="X2" s="209" ph="1"/>
      <c r="Y2" s="209" ph="1"/>
      <c r="Z2" s="209" ph="1"/>
      <c r="AA2" s="209" ph="1"/>
      <c r="AB2" s="209" ph="1"/>
      <c r="AC2" s="209" ph="1"/>
      <c r="AD2" s="209" ph="1"/>
      <c r="AE2" s="209" ph="1"/>
    </row>
    <row r="3" spans="1:99" ht="21" customHeight="1" ph="1">
      <c r="B3" s="210" ph="1">
        <v>45715</v>
      </c>
      <c r="C3" s="210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210"/>
      <c r="R3" s="210"/>
      <c r="S3" s="210"/>
      <c r="T3" s="210"/>
      <c r="U3" s="210"/>
      <c r="V3" s="210"/>
      <c r="W3" s="210"/>
      <c r="X3" s="210"/>
      <c r="Y3" s="210"/>
      <c r="Z3" s="210"/>
      <c r="AA3" s="210"/>
      <c r="AB3" s="210"/>
      <c r="AC3" s="210"/>
      <c r="AD3" s="210"/>
      <c r="AE3" s="210"/>
    </row>
    <row r="4" spans="1:99" s="69" customFormat="1" ph="1">
      <c r="A4" s="65" ph="1"/>
      <c r="B4" s="211" t="s" ph="1">
        <v>37</v>
      </c>
      <c r="C4" s="67" t="s" ph="1">
        <v>207</v>
      </c>
      <c r="D4" s="68" t="s" ph="1">
        <v>45</v>
      </c>
      <c r="E4" s="68" t="s" ph="1">
        <v>46</v>
      </c>
      <c r="F4" s="68" t="s" ph="1">
        <v>39</v>
      </c>
      <c r="G4" s="68" t="s" ph="1">
        <v>47</v>
      </c>
      <c r="H4" s="68" t="s" ph="1">
        <v>48</v>
      </c>
      <c r="I4" s="68" t="s" ph="1">
        <v>132</v>
      </c>
      <c r="J4" s="68" t="s" ph="1">
        <v>49</v>
      </c>
      <c r="K4" s="68" t="s" ph="1">
        <v>133</v>
      </c>
      <c r="L4" s="68" t="s" ph="1">
        <v>134</v>
      </c>
      <c r="M4" s="68" t="s" ph="1">
        <v>50</v>
      </c>
      <c r="N4" s="68" t="s" ph="1">
        <v>51</v>
      </c>
      <c r="O4" s="68" t="s" ph="1">
        <v>136</v>
      </c>
      <c r="P4" s="68" t="s" ph="1">
        <v>138</v>
      </c>
      <c r="Q4" s="68" t="s" ph="1">
        <v>139</v>
      </c>
      <c r="R4" s="68" t="s" ph="1">
        <v>140</v>
      </c>
      <c r="S4" s="68" t="s" ph="1">
        <v>141</v>
      </c>
      <c r="T4" s="68" t="s" ph="1">
        <v>142</v>
      </c>
      <c r="U4" s="68" t="s" ph="1">
        <v>143</v>
      </c>
      <c r="V4" s="68" t="s" ph="1">
        <v>144</v>
      </c>
      <c r="W4" s="68" t="s" ph="1">
        <v>145</v>
      </c>
      <c r="X4" s="68" t="s" ph="1">
        <v>146</v>
      </c>
      <c r="Y4" s="68" t="s" ph="1">
        <v>147</v>
      </c>
      <c r="Z4" s="68" t="s" ph="1">
        <v>52</v>
      </c>
      <c r="AA4" s="68" t="s" ph="1">
        <v>148</v>
      </c>
      <c r="AB4" s="68" t="s" ph="1">
        <v>149</v>
      </c>
      <c r="AC4" s="68" t="s" ph="1">
        <v>150</v>
      </c>
      <c r="AD4" s="68" t="s" ph="1">
        <v>40</v>
      </c>
      <c r="AE4" s="68" t="s" ph="1">
        <v>151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1" ph="1"/>
      <c r="C5" s="67" t="s" ph="1">
        <v>36</v>
      </c>
      <c r="D5" s="70" t="s" ph="1">
        <v>191</v>
      </c>
      <c r="E5" s="70" t="s" ph="1">
        <v>7</v>
      </c>
      <c r="F5" s="70" t="s" ph="1">
        <v>1</v>
      </c>
      <c r="G5" s="70" t="s" ph="1">
        <v>7</v>
      </c>
      <c r="H5" s="70" t="s" ph="1">
        <v>7</v>
      </c>
      <c r="I5" s="70" t="s" ph="1">
        <v>657</v>
      </c>
      <c r="J5" s="70" t="s" ph="1">
        <v>658</v>
      </c>
      <c r="K5" s="70" t="s" ph="1">
        <v>660</v>
      </c>
      <c r="L5" s="70" t="s" ph="1">
        <v>662</v>
      </c>
      <c r="M5" s="70" t="s" ph="1">
        <v>657</v>
      </c>
      <c r="N5" s="70" t="s" ph="1">
        <v>658</v>
      </c>
      <c r="O5" s="70" t="s" ph="1">
        <v>660</v>
      </c>
      <c r="P5" s="70" t="s" ph="1">
        <v>662</v>
      </c>
      <c r="Q5" s="70" t="s" ph="1">
        <v>656</v>
      </c>
      <c r="R5" s="70" t="s" ph="1">
        <v>656</v>
      </c>
      <c r="S5" s="70" t="s" ph="1">
        <v>656</v>
      </c>
      <c r="T5" s="70" t="s" ph="1">
        <v>656</v>
      </c>
      <c r="U5" s="70" t="s" ph="1">
        <v>656</v>
      </c>
      <c r="V5" s="70" t="s" ph="1">
        <v>656</v>
      </c>
      <c r="W5" s="70" t="s" ph="1">
        <v>656</v>
      </c>
      <c r="X5" s="70" t="s" ph="1">
        <v>656</v>
      </c>
      <c r="Y5" s="70" t="s" ph="1">
        <v>656</v>
      </c>
      <c r="Z5" s="70" t="s" ph="1">
        <v>663</v>
      </c>
      <c r="AA5" s="70" t="s" ph="1">
        <v>62</v>
      </c>
      <c r="AB5" s="70" t="s" ph="1">
        <v>62</v>
      </c>
      <c r="AC5" s="70" t="s" ph="1">
        <v>664</v>
      </c>
      <c r="AD5" s="70" t="s" ph="1">
        <v>83</v>
      </c>
      <c r="AE5" s="70" t="s" ph="1">
        <v>654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07" ph="1">
        <v>0.33333333333333331</v>
      </c>
      <c r="C6" s="183" t="s" ph="1">
        <v>208</v>
      </c>
      <c r="D6" s="71">
        <v>700</v>
      </c>
      <c r="E6" s="71">
        <v>0</v>
      </c>
      <c r="F6" s="71">
        <v>6809</v>
      </c>
      <c r="G6" s="71">
        <v>5934</v>
      </c>
      <c r="H6" s="71">
        <v>5471</v>
      </c>
      <c r="I6" s="71">
        <v>27.11</v>
      </c>
      <c r="J6" s="71">
        <v>7.81</v>
      </c>
      <c r="K6" s="71">
        <v>87.01</v>
      </c>
      <c r="L6" s="71">
        <v>39.01</v>
      </c>
      <c r="M6" s="71">
        <v>3942</v>
      </c>
      <c r="N6" s="71">
        <v>4313</v>
      </c>
      <c r="O6" s="71">
        <v>2294</v>
      </c>
      <c r="P6" s="71">
        <v>4308</v>
      </c>
      <c r="Q6" s="71">
        <v>5495</v>
      </c>
      <c r="R6" s="71">
        <v>4602</v>
      </c>
      <c r="S6" s="71">
        <v>0</v>
      </c>
      <c r="T6" s="71">
        <v>0</v>
      </c>
      <c r="U6" s="71">
        <v>0</v>
      </c>
      <c r="V6" s="71">
        <v>0</v>
      </c>
      <c r="W6" s="71">
        <v>0</v>
      </c>
      <c r="X6" s="71">
        <v>0</v>
      </c>
      <c r="Y6" s="71">
        <v>0</v>
      </c>
      <c r="Z6" s="71">
        <v>4523</v>
      </c>
      <c r="AA6" s="71">
        <v>1627</v>
      </c>
      <c r="AB6" s="71">
        <v>2455</v>
      </c>
      <c r="AC6" s="71">
        <v>4889</v>
      </c>
      <c r="AD6" s="71">
        <v>102</v>
      </c>
      <c r="AE6" s="71">
        <v>1945</v>
      </c>
    </row>
    <row r="7" spans="1:99" s="72" customFormat="1" ht="22.5" ph="1">
      <c r="B7" s="207" ph="1"/>
      <c r="C7" s="68" t="s" ph="1">
        <v>209</v>
      </c>
      <c r="D7" s="73" ph="1">
        <f>D6*33.183*LOOKUP(D8,密度!$A$2:$A$50,密度!$Q$2:$Q$50)</f>
        <v>22172.150573999999</v>
      </c>
      <c r="E7" s="73" ph="1">
        <f>E6*51.53*LOOKUP(E8,密度!$A$2:$A$50,密度!$I$2:$I$50)</f>
        <v>0</v>
      </c>
      <c r="F7" s="73" ph="1">
        <f>F6*33.183*LOOKUP(F8,密度!$A$2:$A$50,密度!$C$2:$C$50)</f>
        <v>252107.25184259997</v>
      </c>
      <c r="G7" s="73" ph="1">
        <f xml:space="preserve"> (G6+2)*51.53*LOOKUP(G8,密度!$A$2:$A$50,密度!$B$2:$B$50)</f>
        <v>241035.07904000001</v>
      </c>
      <c r="H7" s="73" ph="1">
        <f>(H6)*51.53*LOOKUP(H8,密度!$A$2:$A$50,密度!$B$2:$B$50)</f>
        <v>223591.25165300001</v>
      </c>
      <c r="I7" s="73" ph="1">
        <f>I6*290.8*1.0267</f>
        <v>8094.0797995999992</v>
      </c>
      <c r="J7" s="73" ph="1">
        <f>J6*290.8*0.7892</f>
        <v>1792.3900016000002</v>
      </c>
      <c r="K7" s="73" ph="1">
        <f>K6*290.8*1.1126</f>
        <v>28151.570400800003</v>
      </c>
      <c r="L7" s="73" ph="1">
        <f>L6*290.8*0.777</f>
        <v>8814.3719160000001</v>
      </c>
      <c r="M7" s="73" ph="1">
        <f>M6*33.183*LOOKUP(M8,密度!$A$2:$A$50,密度!$D$2:$D$50)</f>
        <v>135464.12894160001</v>
      </c>
      <c r="N7" s="73" ph="1">
        <f>N6*33.183*LOOKUP(N8,密度!$A$2:$A$50,密度!$E$2:$E$50)</f>
        <v>113578.6662144</v>
      </c>
      <c r="O7" s="73" ph="1">
        <f>O6*20.428*LOOKUP(O8,密度!$A$2:$A$50,密度!$C$2:$C$50)</f>
        <v>52138.474283200005</v>
      </c>
      <c r="P7" s="73" ph="1">
        <f>P6*51.53*LOOKUP(P8,密度!$A$2:$A$50,密度!$B$2:$B$50)</f>
        <v>174418.517268</v>
      </c>
      <c r="Q7" s="73" ph="1">
        <f>Q6*1.5*1.5*3.1416*LOOKUP(W8,密度!$A$2:$A$50,密度!$L$2:$L$50)</f>
        <v>36744.491322000002</v>
      </c>
      <c r="R7" s="73" ph="1">
        <f>R6*1.5*1.5*3.1416*LOOKUP(R8,密度!$A$2:$A$50,密度!$L$2:$L$50)</f>
        <v>30577.915367999998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141982.02671400001</v>
      </c>
      <c r="AA7" s="73" ph="1">
        <f>AA6*33.183*LOOKUP(AA8,密度!$A$2:$A$50,密度!$D$2:$D$50)</f>
        <v>55910.740179600005</v>
      </c>
      <c r="AB7" s="73" ph="1">
        <f>AB6*20.428*LOOKUP(AB8,密度!$A$2:$A$50,密度!$D$2:$D$50)</f>
        <v>52337.312264000007</v>
      </c>
      <c r="AC7" s="73" ph="1">
        <f>AC6*51.53*LOOKUP(AC8,密度!$A$2:$A$50,密度!$Q$2:$Q$50)</f>
        <v>240039.06597600001</v>
      </c>
      <c r="AD7" s="73" ph="1">
        <f>AD6*20.428*LOOKUP(AD8,密度!$A$2:$A$50,密度!$V$2:$V$50)</f>
        <v>2008.6443839999999</v>
      </c>
      <c r="AE7" s="73" ph="1">
        <f>AE6*20.428</f>
        <v>39732.46</v>
      </c>
    </row>
    <row r="8" spans="1:99" ph="1">
      <c r="B8" s="207" ph="1"/>
      <c r="C8" s="68" t="s" ph="1">
        <v>210</v>
      </c>
      <c r="D8" s="74">
        <v>15</v>
      </c>
      <c r="E8" s="74">
        <v>15</v>
      </c>
      <c r="F8" s="74">
        <v>15</v>
      </c>
      <c r="G8" s="74">
        <v>15</v>
      </c>
      <c r="H8" s="74">
        <v>9</v>
      </c>
      <c r="I8" s="74">
        <v>25</v>
      </c>
      <c r="J8" s="74">
        <v>25</v>
      </c>
      <c r="K8" s="74">
        <v>25</v>
      </c>
      <c r="L8" s="74">
        <v>25</v>
      </c>
      <c r="M8" s="74">
        <v>15</v>
      </c>
      <c r="N8" s="74">
        <v>16</v>
      </c>
      <c r="O8" s="74">
        <v>20</v>
      </c>
      <c r="P8" s="74">
        <v>18</v>
      </c>
      <c r="Q8" s="74">
        <v>15</v>
      </c>
      <c r="R8" s="74">
        <v>22</v>
      </c>
      <c r="S8" s="74">
        <v>10</v>
      </c>
      <c r="T8" s="74">
        <v>11</v>
      </c>
      <c r="U8" s="74">
        <v>15</v>
      </c>
      <c r="V8" s="74">
        <v>21</v>
      </c>
      <c r="W8" s="74">
        <v>16</v>
      </c>
      <c r="X8" s="74">
        <v>5</v>
      </c>
      <c r="Y8" s="74">
        <v>15</v>
      </c>
      <c r="Z8" s="74">
        <v>16</v>
      </c>
      <c r="AA8" s="74">
        <v>15</v>
      </c>
      <c r="AB8" s="74">
        <v>6</v>
      </c>
      <c r="AC8" s="74">
        <v>17</v>
      </c>
      <c r="AD8" s="74">
        <v>13</v>
      </c>
      <c r="AE8" s="74">
        <v>16</v>
      </c>
    </row>
    <row r="9" spans="1:99" ph="1">
      <c r="B9" s="207" ph="1">
        <v>0.66666666666666663</v>
      </c>
      <c r="C9" s="183" t="s" ph="1">
        <v>211</v>
      </c>
      <c r="D9" s="71">
        <v>555</v>
      </c>
      <c r="E9" s="71">
        <v>0</v>
      </c>
      <c r="F9" s="71">
        <v>6807</v>
      </c>
      <c r="G9" s="71">
        <v>5934</v>
      </c>
      <c r="H9" s="71">
        <v>7342</v>
      </c>
      <c r="I9" s="71">
        <v>27.11</v>
      </c>
      <c r="J9" s="71">
        <v>7.81</v>
      </c>
      <c r="K9" s="71">
        <v>7.61</v>
      </c>
      <c r="L9" s="71">
        <v>27.71</v>
      </c>
      <c r="M9" s="71">
        <v>3942</v>
      </c>
      <c r="N9" s="71">
        <v>4314</v>
      </c>
      <c r="O9" s="71">
        <v>2543</v>
      </c>
      <c r="P9" s="71">
        <v>4303</v>
      </c>
      <c r="Q9" s="71">
        <v>1615</v>
      </c>
      <c r="R9" s="71">
        <v>4605</v>
      </c>
      <c r="S9" s="71">
        <v>2996</v>
      </c>
      <c r="T9" s="71">
        <v>0</v>
      </c>
      <c r="U9" s="71">
        <v>0</v>
      </c>
      <c r="V9" s="71">
        <v>0</v>
      </c>
      <c r="W9" s="71">
        <v>0</v>
      </c>
      <c r="X9" s="71">
        <v>0</v>
      </c>
      <c r="Y9" s="71">
        <v>0</v>
      </c>
      <c r="Z9" s="71">
        <v>3817</v>
      </c>
      <c r="AA9" s="71">
        <v>1624</v>
      </c>
      <c r="AB9" s="71">
        <v>2434</v>
      </c>
      <c r="AC9" s="71">
        <v>4886</v>
      </c>
      <c r="AD9" s="71">
        <v>628</v>
      </c>
      <c r="AE9" s="71">
        <v>1853</v>
      </c>
    </row>
    <row r="10" spans="1:99" s="72" customFormat="1" ht="22.5" ph="1">
      <c r="B10" s="207" ph="1"/>
      <c r="C10" s="183" t="s" ph="1">
        <v>209</v>
      </c>
      <c r="D10" s="73" ph="1">
        <f>D9*33.183*LOOKUP(D11,密度!$A$2:$A$50,密度!$Q$2:$Q$50)</f>
        <v>17532.754045649999</v>
      </c>
      <c r="E10" s="73" ph="1">
        <f>E9*51.53*LOOKUP(E11,密度!$A$2:$A$50,密度!$I$2:$I$50)</f>
        <v>0</v>
      </c>
      <c r="F10" s="73" ph="1">
        <f>F9*33.183*LOOKUP(F11,密度!$A$2:$A$50,密度!$C$2:$C$50)</f>
        <v>251739.56097450003</v>
      </c>
      <c r="G10" s="73" ph="1">
        <f xml:space="preserve"> (G9+2)*51.53*LOOKUP(G11,密度!$A$2:$A$50,密度!$B$2:$B$50)</f>
        <v>240545.66771199999</v>
      </c>
      <c r="H10" s="73" ph="1">
        <f>(H9)*51.53*LOOKUP(H11,密度!$A$2:$A$50,密度!$B$2:$B$50)</f>
        <v>297521.27566400002</v>
      </c>
      <c r="I10" s="73" ph="1">
        <f>I9*290.8*1.0267</f>
        <v>8094.0797995999992</v>
      </c>
      <c r="J10" s="73" ph="1">
        <f>J9*290.8*0.7892</f>
        <v>1792.3900016000002</v>
      </c>
      <c r="K10" s="73" ph="1">
        <f>K9*290.8*1.1126</f>
        <v>2462.1704488000005</v>
      </c>
      <c r="L10" s="73" ph="1">
        <f>L9*290.8*0.777</f>
        <v>6261.1188360000006</v>
      </c>
      <c r="M10" s="73" ph="1">
        <f>M9*33.183*LOOKUP(M11,密度!$A$2:$A$50,密度!$D$2:$D$50)</f>
        <v>135241.75638540002</v>
      </c>
      <c r="N10" s="73" ph="1">
        <f>N9*33.183*LOOKUP(N11,密度!$A$2:$A$50,密度!$E$2:$E$50)</f>
        <v>113447.533635</v>
      </c>
      <c r="O10" s="73" ph="1">
        <f>O9*20.428*LOOKUP(O11,密度!$A$2:$A$50,密度!$C$2:$C$50)</f>
        <v>57683.507801600004</v>
      </c>
      <c r="P10" s="73" ph="1">
        <f>P9*51.53*LOOKUP(P11,密度!$A$2:$A$50,密度!$B$2:$B$50)</f>
        <v>173861.30791900001</v>
      </c>
      <c r="Q10" s="73" ph="1">
        <f>Q9*1.5*1.5*3.1416*LOOKUP(W11,密度!$A$2:$A$50,密度!$L$2:$L$50)</f>
        <v>10719.425870999999</v>
      </c>
      <c r="R10" s="73" ph="1">
        <f>R9*1.5*1.5*3.1416*LOOKUP(R11,密度!$A$2:$A$50,密度!$L$2:$L$50)</f>
        <v>30532.747013999997</v>
      </c>
      <c r="S10" s="73" ph="1">
        <f>S9*1.5*1.5*3.1416*LOOKUP(S11,密度!$A$2:$A$50,密度!$L$2:$L$50)</f>
        <v>20139.826845600001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119566.57838399999</v>
      </c>
      <c r="AA10" s="73" ph="1">
        <f>AA9*33.183*LOOKUP(AA11,密度!$A$2:$A$50,密度!$D$2:$D$50)</f>
        <v>55672.9242552</v>
      </c>
      <c r="AB10" s="73" ph="1">
        <f>AB9*20.428*LOOKUP(AB11,密度!$A$2:$A$50,密度!$D$2:$D$50)</f>
        <v>51844.870810399996</v>
      </c>
      <c r="AC10" s="73" ph="1">
        <f>AC9*51.53*LOOKUP(AC11,密度!$A$2:$A$50,密度!$Q$2:$Q$50)</f>
        <v>239891.772624</v>
      </c>
      <c r="AD10" s="73" ph="1">
        <f>AD9*20.428*LOOKUP(AD11,密度!$A$2:$A$50,密度!$V$2:$V$50)</f>
        <v>12284.8435584</v>
      </c>
      <c r="AE10" s="73" ph="1">
        <f>AE9*20.428</f>
        <v>37853.084000000003</v>
      </c>
    </row>
    <row r="11" spans="1:99" ph="1">
      <c r="A11" s="64" t="s" ph="1">
        <v>193</v>
      </c>
      <c r="B11" s="207" ph="1"/>
      <c r="C11" s="183" t="s" ph="1">
        <v>210</v>
      </c>
      <c r="D11" s="74">
        <v>18</v>
      </c>
      <c r="E11" s="74">
        <v>19</v>
      </c>
      <c r="F11" s="74">
        <v>17</v>
      </c>
      <c r="G11" s="74">
        <v>17</v>
      </c>
      <c r="H11" s="74">
        <v>17</v>
      </c>
      <c r="I11" s="74">
        <v>25</v>
      </c>
      <c r="J11" s="74">
        <v>25</v>
      </c>
      <c r="K11" s="74">
        <v>25</v>
      </c>
      <c r="L11" s="74">
        <v>25</v>
      </c>
      <c r="M11" s="74">
        <v>17</v>
      </c>
      <c r="N11" s="74">
        <v>17</v>
      </c>
      <c r="O11" s="74">
        <v>23</v>
      </c>
      <c r="P11" s="74">
        <v>20</v>
      </c>
      <c r="Q11" s="74">
        <v>17</v>
      </c>
      <c r="R11" s="74">
        <v>24</v>
      </c>
      <c r="S11" s="74">
        <v>11</v>
      </c>
      <c r="T11" s="74">
        <v>19</v>
      </c>
      <c r="U11" s="74">
        <v>19</v>
      </c>
      <c r="V11" s="74">
        <v>25</v>
      </c>
      <c r="W11" s="74">
        <v>23</v>
      </c>
      <c r="X11" s="74">
        <v>10</v>
      </c>
      <c r="Y11" s="74">
        <v>20</v>
      </c>
      <c r="Z11" s="74">
        <v>18</v>
      </c>
      <c r="AA11" s="74">
        <v>18</v>
      </c>
      <c r="AB11" s="74">
        <v>7</v>
      </c>
      <c r="AC11" s="74">
        <v>17</v>
      </c>
      <c r="AD11" s="74">
        <v>29</v>
      </c>
      <c r="AE11" s="74">
        <v>18</v>
      </c>
    </row>
    <row r="12" spans="1:99" ht="9.9499999999999993" customHeight="1" ph="1"/>
    <row r="13" spans="1:99" s="72" customFormat="1" ht="29.25" customHeight="1" ph="1">
      <c r="B13" s="215" t="s" ph="1">
        <v>37</v>
      </c>
      <c r="C13" s="183" t="s" ph="1">
        <v>207</v>
      </c>
      <c r="D13" s="76" t="s" ph="1">
        <v>53</v>
      </c>
      <c r="E13" s="76" t="s" ph="1">
        <v>54</v>
      </c>
      <c r="F13" s="76" t="s" ph="1">
        <v>66</v>
      </c>
      <c r="G13" s="76" t="s" ph="1">
        <v>67</v>
      </c>
      <c r="H13" s="76" t="s" ph="1">
        <v>152</v>
      </c>
      <c r="I13" s="76" t="s" ph="1">
        <v>68</v>
      </c>
      <c r="J13" s="76" t="s" ph="1">
        <v>153</v>
      </c>
      <c r="K13" s="76" t="s" ph="1">
        <v>63</v>
      </c>
      <c r="L13" s="76" t="s" ph="1">
        <v>69</v>
      </c>
      <c r="M13" s="76" t="s" ph="1">
        <v>70</v>
      </c>
      <c r="N13" s="76" t="s" ph="1">
        <v>154</v>
      </c>
      <c r="O13" s="76" t="s" ph="1">
        <v>64</v>
      </c>
      <c r="P13" s="76" t="s" ph="1">
        <v>71</v>
      </c>
      <c r="Q13" s="76" t="s" ph="1">
        <v>72</v>
      </c>
      <c r="R13" s="76" t="s" ph="1">
        <v>73</v>
      </c>
      <c r="S13" s="76" t="s" ph="1">
        <v>74</v>
      </c>
      <c r="T13" s="76" t="s" ph="1">
        <v>75</v>
      </c>
      <c r="U13" s="76" t="s" ph="1">
        <v>76</v>
      </c>
      <c r="V13" s="76" t="s" ph="1">
        <v>155</v>
      </c>
      <c r="W13" s="76" t="s" ph="1">
        <v>156</v>
      </c>
      <c r="X13" s="76" t="s" ph="1">
        <v>157</v>
      </c>
      <c r="Y13" s="105" t="s" ph="1">
        <v>77</v>
      </c>
      <c r="Z13" s="76" t="s" ph="1">
        <v>86</v>
      </c>
      <c r="AA13" s="76" t="s" ph="1">
        <v>158</v>
      </c>
      <c r="AB13" s="76" t="s" ph="1">
        <v>159</v>
      </c>
      <c r="AC13" s="76" t="s" ph="1">
        <v>160</v>
      </c>
      <c r="AD13" s="76" t="s" ph="1">
        <v>161</v>
      </c>
      <c r="AE13" s="76" t="s" ph="1">
        <v>162</v>
      </c>
      <c r="AG13" s="72" t="s" ph="1">
        <v>366</v>
      </c>
      <c r="AH13" s="72" t="s" ph="1">
        <v>229</v>
      </c>
      <c r="AI13" s="72" t="s" ph="1">
        <v>230</v>
      </c>
      <c r="AJ13" s="72" t="s" ph="1">
        <v>231</v>
      </c>
      <c r="AK13" s="72" t="s" ph="1">
        <v>232</v>
      </c>
      <c r="AL13" s="72" t="s" ph="1">
        <v>233</v>
      </c>
      <c r="AM13" s="72" t="s" ph="1">
        <v>234</v>
      </c>
      <c r="AN13" s="72" t="s" ph="1">
        <v>235</v>
      </c>
      <c r="AO13" s="72" t="s" ph="1">
        <v>236</v>
      </c>
      <c r="AP13" s="72" t="s" ph="1">
        <v>237</v>
      </c>
      <c r="AQ13" s="72" t="s" ph="1">
        <v>238</v>
      </c>
      <c r="AR13" s="72" t="s" ph="1">
        <v>239</v>
      </c>
      <c r="AS13" s="72" t="s" ph="1">
        <v>240</v>
      </c>
      <c r="AT13" s="72" t="s" ph="1">
        <v>241</v>
      </c>
      <c r="AU13" s="72" t="s" ph="1">
        <v>242</v>
      </c>
      <c r="AV13" s="72" t="s" ph="1">
        <v>243</v>
      </c>
      <c r="AW13" s="72" t="s" ph="1">
        <v>244</v>
      </c>
      <c r="AX13" s="72" t="s" ph="1">
        <v>245</v>
      </c>
      <c r="AY13" s="72" t="s" ph="1">
        <v>367</v>
      </c>
      <c r="AZ13" s="72" t="s" ph="1">
        <v>246</v>
      </c>
      <c r="BA13" s="72" t="s" ph="1">
        <v>247</v>
      </c>
      <c r="BB13" s="72" t="s" ph="1">
        <v>632</v>
      </c>
      <c r="BC13" s="72" t="s" ph="1">
        <v>248</v>
      </c>
      <c r="BD13" s="72" t="s" ph="1">
        <v>368</v>
      </c>
      <c r="BE13" s="72" t="s" ph="1">
        <v>369</v>
      </c>
      <c r="BF13" s="72" t="s" ph="1">
        <v>370</v>
      </c>
      <c r="BG13" s="72" t="s" ph="1">
        <v>371</v>
      </c>
      <c r="BH13" s="72" t="s" ph="1">
        <v>372</v>
      </c>
    </row>
    <row r="14" spans="1:99" s="72" customFormat="1" ht="24" ph="1">
      <c r="B14" s="216" ph="1"/>
      <c r="C14" s="67" t="s" ph="1">
        <v>36</v>
      </c>
      <c r="D14" s="77" t="s" ph="1">
        <v>665</v>
      </c>
      <c r="E14" s="77" t="s" ph="1">
        <v>665</v>
      </c>
      <c r="F14" s="142" t="s" ph="1">
        <v>651</v>
      </c>
      <c r="G14" s="77" t="s" ph="1">
        <v>667</v>
      </c>
      <c r="H14" s="77" t="s" ph="1">
        <v>668</v>
      </c>
      <c r="I14" s="167" t="s" ph="1">
        <v>669</v>
      </c>
      <c r="J14" s="77" t="s" ph="1">
        <v>670</v>
      </c>
      <c r="K14" s="77" t="s" ph="1">
        <v>223</v>
      </c>
      <c r="L14" s="77" t="s" ph="1">
        <v>42</v>
      </c>
      <c r="M14" s="104" t="s" ph="1">
        <v>671</v>
      </c>
      <c r="N14" s="104" t="s" ph="1">
        <v>672</v>
      </c>
      <c r="O14" s="104" t="s" ph="1">
        <v>670</v>
      </c>
      <c r="P14" s="77" t="s" ph="1">
        <v>673</v>
      </c>
      <c r="Q14" s="77" t="s" ph="1">
        <v>673</v>
      </c>
      <c r="R14" s="88" t="s" ph="1">
        <v>674</v>
      </c>
      <c r="S14" s="77" t="s" ph="1">
        <v>81</v>
      </c>
      <c r="T14" s="77" t="s" ph="1">
        <v>676</v>
      </c>
      <c r="U14" s="77" t="s" ph="1">
        <v>652</v>
      </c>
      <c r="V14" s="77" t="s" ph="1">
        <v>127</v>
      </c>
      <c r="W14" s="77" t="s" ph="1">
        <v>673</v>
      </c>
      <c r="X14" s="77" t="s" ph="1">
        <v>678</v>
      </c>
      <c r="Y14" s="141" t="s" ph="1">
        <v>0</v>
      </c>
      <c r="Z14" s="77" t="s" ph="1">
        <v>62</v>
      </c>
      <c r="AA14" s="77" t="s" ph="1">
        <v>662</v>
      </c>
      <c r="AB14" s="77" t="s" ph="1">
        <v>648</v>
      </c>
      <c r="AC14" s="77" t="s" ph="1">
        <v>648</v>
      </c>
      <c r="AD14" s="77" t="s" ph="1">
        <v>661</v>
      </c>
      <c r="AE14" s="77" t="s" ph="1">
        <v>661</v>
      </c>
      <c r="AG14" s="72" t="s" ph="1">
        <v>249</v>
      </c>
      <c r="AI14" s="72" t="s" ph="1">
        <v>250</v>
      </c>
      <c r="AJ14" s="72" t="s" ph="1">
        <v>373</v>
      </c>
      <c r="AK14" s="72" t="s" ph="1">
        <v>251</v>
      </c>
      <c r="AM14" s="72" t="s" ph="1">
        <v>253</v>
      </c>
      <c r="AN14" s="72" t="s" ph="1">
        <v>251</v>
      </c>
      <c r="AO14" s="72" t="s" ph="1">
        <v>252</v>
      </c>
      <c r="AP14" s="72" t="s" ph="1">
        <v>253</v>
      </c>
      <c r="AQ14" s="72" t="s" ph="1">
        <v>251</v>
      </c>
      <c r="AR14" s="72" t="s" ph="1">
        <v>252</v>
      </c>
      <c r="AS14" s="72" t="s" ph="1">
        <v>253</v>
      </c>
      <c r="AT14" s="72" t="s" ph="1">
        <v>251</v>
      </c>
      <c r="AU14" s="72" t="s" ph="1">
        <v>252</v>
      </c>
      <c r="AV14" s="72" t="s" ph="1">
        <v>253</v>
      </c>
      <c r="AW14" s="72" t="s" ph="1">
        <v>251</v>
      </c>
      <c r="AX14" s="72" t="s" ph="1">
        <v>252</v>
      </c>
      <c r="AY14" s="72" t="s" ph="1">
        <v>253</v>
      </c>
      <c r="AZ14" s="72" t="s" ph="1">
        <v>252</v>
      </c>
    </row>
    <row r="15" spans="1:99" ph="1">
      <c r="B15" s="217" ph="1">
        <v>0.33333333333333331</v>
      </c>
      <c r="C15" s="183" t="s" ph="1">
        <v>208</v>
      </c>
      <c r="D15" s="78">
        <v>0</v>
      </c>
      <c r="E15" s="78">
        <v>4378</v>
      </c>
      <c r="F15" s="78">
        <v>2767</v>
      </c>
      <c r="G15" s="78">
        <v>2558</v>
      </c>
      <c r="H15" s="78">
        <v>111</v>
      </c>
      <c r="I15" s="78">
        <v>4299</v>
      </c>
      <c r="J15" s="78">
        <v>3901</v>
      </c>
      <c r="K15" s="78">
        <v>742</v>
      </c>
      <c r="L15" s="78">
        <v>5728</v>
      </c>
      <c r="M15" s="78">
        <v>115</v>
      </c>
      <c r="N15" s="78">
        <v>2293</v>
      </c>
      <c r="O15" s="78">
        <v>24</v>
      </c>
      <c r="P15" s="78">
        <v>6923</v>
      </c>
      <c r="Q15" s="78">
        <v>6987</v>
      </c>
      <c r="R15" s="78">
        <v>3487</v>
      </c>
      <c r="S15" s="78">
        <v>5610</v>
      </c>
      <c r="T15" s="78">
        <v>5662</v>
      </c>
      <c r="U15" s="78">
        <v>1770</v>
      </c>
      <c r="V15" s="78">
        <v>-1641</v>
      </c>
      <c r="W15" s="71">
        <v>-596</v>
      </c>
      <c r="X15" s="78">
        <v>362</v>
      </c>
      <c r="Y15" s="106">
        <v>-9900</v>
      </c>
      <c r="Z15" s="78">
        <v>0</v>
      </c>
      <c r="AA15" s="78">
        <v>2501</v>
      </c>
      <c r="AB15" s="78" ph="1">
        <v>6847</v>
      </c>
      <c r="AC15" s="78" ph="1">
        <v>6496</v>
      </c>
      <c r="AD15" s="78">
        <v>5.51</v>
      </c>
      <c r="AE15" s="78">
        <v>44.01</v>
      </c>
      <c r="AG15" s="64" t="s" ph="1">
        <v>255</v>
      </c>
      <c r="AH15" s="64" ph="1">
        <v>1</v>
      </c>
      <c r="AI15" s="64" t="s" ph="1">
        <v>374</v>
      </c>
      <c r="AK15" s="64" t="s" ph="1">
        <v>628</v>
      </c>
      <c r="AM15" s="64" t="s" ph="1">
        <v>376</v>
      </c>
      <c r="AZ15" s="64" t="s" ph="1">
        <v>257</v>
      </c>
      <c r="BA15" s="64" ph="1">
        <v>0</v>
      </c>
    </row>
    <row r="16" spans="1:99" s="72" customFormat="1" ht="22.5" ph="1">
      <c r="B16" s="218" ph="1"/>
      <c r="C16" s="183" t="s" ph="1">
        <v>209</v>
      </c>
      <c r="D16" s="73" ph="1">
        <f>D15*7.0686*LOOKUP(D17,密度!$A$2:$A$50,密度!$L$2:$L$50)</f>
        <v>0</v>
      </c>
      <c r="E16" s="73" ph="1">
        <f>E15*7.0686*LOOKUP(E17,密度!$A$2:$A$50,密度!$L$2:$L$50)</f>
        <v>29306.1752676</v>
      </c>
      <c r="F16" s="73" ph="1">
        <f>F15*9.0746*LOOKUP(F17,密度!$A$2:$A$50,密度!$L$2:$L$50)</f>
        <v>23778.619035399999</v>
      </c>
      <c r="G16" s="73" ph="1">
        <f>G15*9.0746*LOOKUP(G17,密度!$A$2:$A$50,密度!$B$2:$B$50)</f>
        <v>18273.137256959999</v>
      </c>
      <c r="H16" s="73" ph="1">
        <f>H15*9.0746*LOOKUP(H17,密度!$A$2:$A$50,密度!$L$2:$L$50)</f>
        <v>953.89472820000003</v>
      </c>
      <c r="I16" s="73" ph="1">
        <f>I15*9.0746*LOOKUP(I17,密度!$A$2:$A$50,密度!$U$2:$U$50)</f>
        <v>40104.033151199998</v>
      </c>
      <c r="J16" s="73" ph="1">
        <f>J15*9.0746*LOOKUP(J17,密度!$A$2:$A$50,密度!$L$2:$L$50)</f>
        <v>33453.013797</v>
      </c>
      <c r="K16" s="73" ph="1">
        <f>K15*9.0746*LOOKUP(K17,密度!$A$2:$A$50,密度!$C$2:$C$50)</f>
        <v>7513.0755005599995</v>
      </c>
      <c r="L16" s="73" ph="1">
        <f>L15*9.0746*LOOKUP(L17,密度!$A$2:$A$50,密度!$E$2:$E$50)</f>
        <v>41307.956703359996</v>
      </c>
      <c r="M16" s="73" ph="1">
        <f>M15*9.0746*LOOKUP(M17,密度!$A$2:$A$50,密度!$M$2:$M$50)</f>
        <v>918.66259369999989</v>
      </c>
      <c r="N16" s="73" ph="1">
        <f>N15*9.0746*LOOKUP(N17,密度!$A$2:$A$50,密度!$M$2:$M$50)</f>
        <v>18317.333281340001</v>
      </c>
      <c r="O16" s="73" ph="1">
        <f>O15*9.0746*LOOKUP(O17,密度!$A$2:$A$50,密度!$G$2:$G$50)</f>
        <v>211.256688</v>
      </c>
      <c r="P16" s="73" ph="1">
        <f ca="1">P15*9.0746*LOOKUP(P17,密度!$A$2:$A$51,密度!$Q$2:$Q$50)</f>
        <v>59706.155923204002</v>
      </c>
      <c r="Q16" s="73" ph="1">
        <f>Q15*9.0746*LOOKUP(Q17,密度!$A$2:$A$50,密度!$Q$2:$Q$50)</f>
        <v>60176.320840517998</v>
      </c>
      <c r="R16" s="73" ph="1">
        <f>MAX(R15*9.0746*LOOKUP(R17,密度!$A$2:$A$50,密度!$B$2:$B$50),0)</f>
        <v>24862.007398139998</v>
      </c>
      <c r="S16" s="73" ph="1">
        <f>S15*9.0746*LOOKUP(S17,密度!$A$2:$A$50,密度!$Q$2:$Q$50)</f>
        <v>48594.205317240005</v>
      </c>
      <c r="T16" s="73" ph="1">
        <f>T15*9.0746*LOOKUP(T17,密度!$A$2:$A$50,密度!$O$2:$O$50)</f>
        <v>47989.279776800009</v>
      </c>
      <c r="U16" s="73" ph="1">
        <f>U15*9.0746*LOOKUP(U17,密度!$A$2:$A$50,密度!$H$2:$H$50)</f>
        <v>14900.7563634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198.19152201600082</v>
      </c>
      <c r="X16" s="73" ph="1">
        <f>MAX(5600*LOOKUP(X17,密度!$A$2:$A$50,密度!$I$2:$I$50)+X15*9.0476*LOOKUP(X17,密度!$A$2:$A$50,密度!$I$2:$I$50),0)</f>
        <v>9170.6876466479989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17922.69526162</v>
      </c>
      <c r="AB16" s="73" ph="1">
        <f>AB15*9.0746*LOOKUP(AB17,密度!$A$2:$A$50,密度!$L$2:$L$50)</f>
        <v>58778.561745200001</v>
      </c>
      <c r="AC16" s="73" ph="1">
        <f>AC15*9.0746*LOOKUP(AC17,密度!$A$2:$A$50,密度!$L$2:$L$50)</f>
        <v>55942.222918400003</v>
      </c>
      <c r="AD16" s="73" ph="1">
        <f>AD15*268.68*LOOKUP(AD17,密度!$A$2:$A$50,密度!B2:B50)+IF(AD15&lt;=0,0,1566*LOOKUP(AD17,密度!$A$2:$A$50,密度!B2:B50))</f>
        <v>2374.9943332799999</v>
      </c>
      <c r="AE16" s="73" ph="1">
        <f>AE15*268.68*LOOKUP(AE17,密度!$A$2:$A$50,密度!B2:B50)+IF(AE15&lt;=0,0,1566*LOOKUP(AE17,密度!$A$2:$A$50,密度!B2:B50))</f>
        <v>10439.31706128</v>
      </c>
      <c r="AH16" s="72" ph="1">
        <v>2</v>
      </c>
      <c r="AI16" s="72" t="s" ph="1">
        <v>378</v>
      </c>
      <c r="AZ16" s="72" t="s" ph="1">
        <v>257</v>
      </c>
      <c r="BA16" s="72" ph="1">
        <v>0</v>
      </c>
    </row>
    <row r="17" spans="1:57" ph="1">
      <c r="A17" s="64" t="s" ph="1">
        <v>85</v>
      </c>
      <c r="B17" s="219" ph="1"/>
      <c r="C17" s="79" t="s" ph="1">
        <v>210</v>
      </c>
      <c r="D17" s="74">
        <v>15</v>
      </c>
      <c r="E17" s="74">
        <v>15</v>
      </c>
      <c r="F17" s="74">
        <v>15</v>
      </c>
      <c r="G17" s="74">
        <v>16</v>
      </c>
      <c r="H17" s="74">
        <v>15</v>
      </c>
      <c r="I17" s="74">
        <v>15</v>
      </c>
      <c r="J17" s="74">
        <v>17</v>
      </c>
      <c r="K17" s="74">
        <v>15</v>
      </c>
      <c r="L17" s="74">
        <v>15</v>
      </c>
      <c r="M17" s="74">
        <v>15</v>
      </c>
      <c r="N17" s="74">
        <v>15</v>
      </c>
      <c r="O17" s="74">
        <v>16</v>
      </c>
      <c r="P17" s="74">
        <v>20</v>
      </c>
      <c r="Q17" s="74">
        <v>22</v>
      </c>
      <c r="R17" s="74">
        <v>18</v>
      </c>
      <c r="S17" s="74">
        <v>15</v>
      </c>
      <c r="T17" s="74">
        <v>15</v>
      </c>
      <c r="U17" s="74">
        <v>12</v>
      </c>
      <c r="V17" s="74">
        <v>15</v>
      </c>
      <c r="W17" s="74">
        <v>15</v>
      </c>
      <c r="X17" s="74">
        <v>33</v>
      </c>
      <c r="Y17" s="108">
        <v>33</v>
      </c>
      <c r="Z17" s="74">
        <v>16</v>
      </c>
      <c r="AA17" s="74">
        <v>13</v>
      </c>
      <c r="AB17" s="74">
        <v>16</v>
      </c>
      <c r="AC17" s="74">
        <v>13</v>
      </c>
      <c r="AD17" s="74">
        <v>25</v>
      </c>
      <c r="AE17" s="74">
        <v>25</v>
      </c>
      <c r="AH17" s="64" ph="1">
        <v>3</v>
      </c>
      <c r="AI17" s="64" t="s" ph="1">
        <v>379</v>
      </c>
      <c r="AK17" s="64" t="s" ph="1">
        <v>611</v>
      </c>
      <c r="AL17" s="64" ph="1">
        <v>80</v>
      </c>
      <c r="AM17" s="64" t="s" ph="1">
        <v>376</v>
      </c>
      <c r="AZ17" s="64" t="s" ph="1">
        <v>257</v>
      </c>
      <c r="BA17" s="64" ph="1">
        <v>80</v>
      </c>
      <c r="BD17" s="64" t="s" ph="1">
        <v>255</v>
      </c>
      <c r="BE17" s="64" ph="1">
        <v>2270</v>
      </c>
    </row>
    <row r="18" spans="1:57" ph="1">
      <c r="B18" s="217" ph="1">
        <v>0.66666666666666663</v>
      </c>
      <c r="C18" s="79" t="s" ph="1">
        <v>211</v>
      </c>
      <c r="D18" s="71">
        <v>0</v>
      </c>
      <c r="E18" s="71">
        <v>5455</v>
      </c>
      <c r="F18" s="71">
        <v>709</v>
      </c>
      <c r="G18" s="71">
        <v>2583</v>
      </c>
      <c r="H18" s="71">
        <v>108</v>
      </c>
      <c r="I18" s="71">
        <v>3006</v>
      </c>
      <c r="J18" s="71">
        <v>4118</v>
      </c>
      <c r="K18" s="71">
        <v>741</v>
      </c>
      <c r="L18" s="71">
        <v>5622</v>
      </c>
      <c r="M18" s="71">
        <v>113</v>
      </c>
      <c r="N18" s="71">
        <v>3332</v>
      </c>
      <c r="O18" s="71">
        <v>5598</v>
      </c>
      <c r="P18" s="71">
        <v>6920</v>
      </c>
      <c r="Q18" s="71">
        <v>6977</v>
      </c>
      <c r="R18" s="71">
        <v>3490</v>
      </c>
      <c r="S18" s="71">
        <v>5612</v>
      </c>
      <c r="T18" s="71">
        <v>4338</v>
      </c>
      <c r="U18" s="71">
        <v>1769</v>
      </c>
      <c r="V18" s="71">
        <v>-1641</v>
      </c>
      <c r="W18" s="71" t="s">
        <v>691</v>
      </c>
      <c r="X18" s="71">
        <v>362</v>
      </c>
      <c r="Y18" s="109">
        <v>-9900</v>
      </c>
      <c r="Z18" s="71">
        <v>0</v>
      </c>
      <c r="AA18" s="71">
        <v>2500</v>
      </c>
      <c r="AB18" s="71">
        <v>6852</v>
      </c>
      <c r="AC18" s="71">
        <v>6499</v>
      </c>
      <c r="AD18" s="71">
        <v>5.41</v>
      </c>
      <c r="AE18" s="71">
        <v>75.91</v>
      </c>
      <c r="AH18" s="64" ph="1">
        <v>4</v>
      </c>
      <c r="AI18" s="64" t="s" ph="1">
        <v>381</v>
      </c>
      <c r="AJ18" s="64" t="s" ph="1">
        <v>629</v>
      </c>
      <c r="AK18" s="64" t="s" ph="1">
        <v>628</v>
      </c>
      <c r="AL18" s="64" ph="1">
        <v>740</v>
      </c>
      <c r="AM18" s="64" t="s" ph="1">
        <v>380</v>
      </c>
      <c r="AZ18" s="64" t="s" ph="1">
        <v>257</v>
      </c>
      <c r="BA18" s="64" ph="1">
        <v>740</v>
      </c>
    </row>
    <row r="19" spans="1:57" s="72" customFormat="1" ht="22.5" ph="1">
      <c r="B19" s="218" ph="1"/>
      <c r="C19" s="183" t="s" ph="1">
        <v>209</v>
      </c>
      <c r="D19" s="73" ph="1">
        <f>D18*7.0686*LOOKUP(D20,密度!$A$2:$A$50,密度!$L$2:$L$50)</f>
        <v>0</v>
      </c>
      <c r="E19" s="73" ph="1">
        <f>E18*7.0686*LOOKUP(E20,密度!$A$2:$A$50,密度!$L$2:$L$50)</f>
        <v>36438.456285</v>
      </c>
      <c r="F19" s="73" ph="1">
        <f>F18*9.0746*LOOKUP(F20,密度!$A$2:$A$50,密度!$L$2:$L$50)</f>
        <v>6080.0273729999999</v>
      </c>
      <c r="G19" s="73" ph="1">
        <f>G18*9.0746*LOOKUP(G20,密度!$A$2:$A$50,密度!$B$2:$B$50)</f>
        <v>18416.565847260001</v>
      </c>
      <c r="H19" s="73" ph="1">
        <f>H18*9.0746*LOOKUP(H20,密度!$A$2:$A$50,密度!$L$2:$L$50)</f>
        <v>928.11378960000002</v>
      </c>
      <c r="I19" s="73" ph="1">
        <f>I18*9.0746*LOOKUP(I20,密度!$A$2:$A$50,密度!$U$2:$U$50)</f>
        <v>28042.038532800005</v>
      </c>
      <c r="J19" s="73" ph="1">
        <f>J18*9.0746*LOOKUP(J20,密度!$A$2:$A$50,密度!$L$2:$L$50)</f>
        <v>35276.527443200001</v>
      </c>
      <c r="K19" s="73" ph="1">
        <f>K18*9.0746*LOOKUP(K20,密度!$A$2:$A$50,密度!$C$2:$C$50)</f>
        <v>7485.4669375200001</v>
      </c>
      <c r="L19" s="73" ph="1">
        <f>L18*9.0746*LOOKUP(L20,密度!$A$2:$A$50,密度!$E$2:$E$50)</f>
        <v>40375.171309680001</v>
      </c>
      <c r="M19" s="73" ph="1">
        <f>M18*9.0746*LOOKUP(M20,密度!$A$2:$A$50,密度!$M$2:$M$50)</f>
        <v>900.32736440000008</v>
      </c>
      <c r="N19" s="73" ph="1">
        <f>N18*9.0746*LOOKUP(N20,密度!$A$2:$A$50,密度!$M$2:$M$50)</f>
        <v>26617.250106160001</v>
      </c>
      <c r="O19" s="73" ph="1">
        <f>O18*9.0746*LOOKUP(O20,密度!$A$2:$A$50,密度!$G$2:$G$50)</f>
        <v>49224.822865200003</v>
      </c>
      <c r="P19" s="73" ph="1">
        <f ca="1">P18*9.0746*LOOKUP(P20,密度!$A$2:$A$51,密度!$Q$2:$Q$50)</f>
        <v>59636.953568080004</v>
      </c>
      <c r="Q19" s="73" ph="1">
        <f>Q18*9.0746*LOOKUP(Q20,密度!$A$2:$A$50,密度!$Q$2:$Q$50)</f>
        <v>60128.182809898004</v>
      </c>
      <c r="R19" s="73" ph="1">
        <f>MAX(R18*9.0746*LOOKUP(R20,密度!$A$2:$A$50,密度!$B$2:$B$50),0)</f>
        <v>24832.724571400002</v>
      </c>
      <c r="S19" s="73" ph="1">
        <f>S18*9.0746*LOOKUP(S20,密度!$A$2:$A$50,密度!$Q$2:$Q$50)</f>
        <v>48522.917074559999</v>
      </c>
      <c r="T19" s="73" ph="1">
        <f>T18*9.0746*LOOKUP(T20,密度!$A$2:$A$50,密度!$O$2:$O$50)</f>
        <v>36767.484223200008</v>
      </c>
      <c r="U19" s="73" ph="1">
        <f>U18*9.0746*LOOKUP(U20,密度!$A$2:$A$50,密度!$H$2:$H$50)</f>
        <v>14844.17895478</v>
      </c>
      <c r="V19" s="73" ph="1">
        <f>MAX(5600*LOOKUP(V20,密度!$A$2:$A$50,密度!$Q$2:$Q$50)+V18*9.0476*LOOKUP(V20,密度!$A$2:$A$50,密度!$Q$2:$Q$50),0)</f>
        <v>0</v>
      </c>
      <c r="W19" s="73" t="e" ph="1">
        <f>MAX(5600*LOOKUP(W20,密度!$A$2:$A$50,密度!$Q$2:$Q$50)+W18*9.0476*LOOKUP(W20,密度!$A$2:$A$50,密度!$Q$2:$Q$50),0)</f>
        <v>#VALUE!</v>
      </c>
      <c r="X19" s="73" ph="1">
        <f>MAX(5600*LOOKUP(X20,密度!$A$2:$A$50,密度!$I$2:$I$50)+X18*9.0476*LOOKUP(X20,密度!$A$2:$A$50,密度!$I$2:$I$50),0)</f>
        <v>9150.9846333839996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17876.962</v>
      </c>
      <c r="AB19" s="73" ph="1">
        <f>AB18*9.0746*LOOKUP(AB20,密度!$A$2:$A$50,密度!$L$2:$L$50)</f>
        <v>58759.305443999998</v>
      </c>
      <c r="AC19" s="73" ph="1">
        <f>AC18*9.0746*LOOKUP(AC20,密度!$A$2:$A$50,密度!$L$2:$L$50)</f>
        <v>55791.130828399997</v>
      </c>
      <c r="AD19" s="73" ph="1">
        <f>AD18*268.68*LOOKUP(AD20,密度!$A$2:$A$50,密度!B5:B53)+IF(AD18&lt;=0,0,1566*LOOKUP(AD20,密度!$A$2:$A$50,密度!B5:B53))</f>
        <v>2346.1971875999998</v>
      </c>
      <c r="AE19" s="73" ph="1">
        <f>AE18*268.68*LOOKUP(AE20,密度!$A$2:$A$50,密度!B5:B53)+IF(AE18&lt;=0,0,1566*LOOKUP(AE20,密度!$A$2:$A$50,密度!B5:B53))</f>
        <v>17064.084567600003</v>
      </c>
      <c r="AH19" s="72" ph="1">
        <v>5</v>
      </c>
      <c r="AI19" s="72" t="s" ph="1">
        <v>382</v>
      </c>
      <c r="AZ19" s="72" t="s" ph="1">
        <v>257</v>
      </c>
      <c r="BA19" s="72" ph="1">
        <v>0</v>
      </c>
      <c r="BD19" s="72" t="s" ph="1">
        <v>383</v>
      </c>
      <c r="BE19" s="72" ph="1">
        <v>1440</v>
      </c>
    </row>
    <row r="20" spans="1:57" ph="1">
      <c r="A20" s="72" ph="1"/>
      <c r="B20" s="218" ph="1"/>
      <c r="C20" s="80" t="s" ph="1">
        <v>210</v>
      </c>
      <c r="D20" s="81">
        <v>17</v>
      </c>
      <c r="E20" s="81">
        <v>17</v>
      </c>
      <c r="F20" s="81">
        <v>17</v>
      </c>
      <c r="G20" s="81">
        <v>18</v>
      </c>
      <c r="H20" s="81">
        <v>15</v>
      </c>
      <c r="I20" s="81">
        <v>18</v>
      </c>
      <c r="J20" s="81">
        <v>18</v>
      </c>
      <c r="K20" s="81">
        <v>19</v>
      </c>
      <c r="L20" s="81">
        <v>18</v>
      </c>
      <c r="M20" s="81">
        <v>22</v>
      </c>
      <c r="N20" s="81">
        <v>18</v>
      </c>
      <c r="O20" s="81">
        <v>17</v>
      </c>
      <c r="P20" s="81">
        <v>21</v>
      </c>
      <c r="Q20" s="81">
        <v>21</v>
      </c>
      <c r="R20" s="81">
        <v>20</v>
      </c>
      <c r="S20" s="81">
        <v>17</v>
      </c>
      <c r="T20" s="81">
        <v>18</v>
      </c>
      <c r="U20" s="81">
        <v>15</v>
      </c>
      <c r="V20" s="81">
        <v>15</v>
      </c>
      <c r="W20" s="81">
        <v>15</v>
      </c>
      <c r="X20" s="81">
        <v>35</v>
      </c>
      <c r="Y20" s="110">
        <v>35</v>
      </c>
      <c r="Z20" s="81">
        <v>21</v>
      </c>
      <c r="AA20" s="81">
        <v>15</v>
      </c>
      <c r="AB20" s="81">
        <v>17</v>
      </c>
      <c r="AC20" s="81">
        <v>16</v>
      </c>
      <c r="AD20" s="81">
        <v>25</v>
      </c>
      <c r="AE20" s="81">
        <v>25</v>
      </c>
      <c r="AH20" s="64" ph="1">
        <v>6</v>
      </c>
      <c r="AI20" s="64" t="s" ph="1">
        <v>384</v>
      </c>
      <c r="AZ20" s="64" t="s" ph="1">
        <v>257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385</v>
      </c>
      <c r="AZ21" s="64" t="s" ph="1">
        <v>257</v>
      </c>
      <c r="BA21" s="64" ph="1">
        <v>0</v>
      </c>
      <c r="BD21" s="64" t="s" ph="1">
        <v>273</v>
      </c>
      <c r="BE21" s="64" ph="1">
        <v>730</v>
      </c>
    </row>
    <row r="22" spans="1:57" ph="1">
      <c r="A22" s="72" ph="1"/>
      <c r="B22" s="216" t="s" ph="1">
        <v>37</v>
      </c>
      <c r="C22" s="85" t="s" ph="1">
        <v>207</v>
      </c>
      <c r="D22" s="86" t="s" ph="1">
        <v>103</v>
      </c>
      <c r="E22" s="86" t="s" ph="1">
        <v>104</v>
      </c>
      <c r="F22" s="86" t="s" ph="1">
        <v>105</v>
      </c>
      <c r="G22" s="86" t="s" ph="1">
        <v>106</v>
      </c>
      <c r="H22" s="86" t="s" ph="1">
        <v>107</v>
      </c>
      <c r="I22" s="86" t="s" ph="1">
        <v>108</v>
      </c>
      <c r="J22" s="86" t="s" ph="1">
        <v>109</v>
      </c>
      <c r="K22" s="86" t="s" ph="1">
        <v>110</v>
      </c>
      <c r="L22" s="86" t="s" ph="1">
        <v>111</v>
      </c>
      <c r="M22" s="86" t="s" ph="1">
        <v>112</v>
      </c>
      <c r="N22" s="86" t="s" ph="1">
        <v>113</v>
      </c>
      <c r="O22" s="86" t="s" ph="1">
        <v>114</v>
      </c>
      <c r="P22" s="86" t="s" ph="1">
        <v>115</v>
      </c>
      <c r="Q22" s="87" t="s" ph="1">
        <v>116</v>
      </c>
      <c r="R22" s="86" t="s" ph="1">
        <v>117</v>
      </c>
      <c r="S22" s="86" t="s" ph="1">
        <v>118</v>
      </c>
      <c r="T22" s="86" t="s" ph="1">
        <v>119</v>
      </c>
      <c r="U22" s="86" t="s" ph="1">
        <v>120</v>
      </c>
      <c r="V22" s="86" t="s" ph="1">
        <v>121</v>
      </c>
      <c r="W22" s="86" t="s" ph="1">
        <v>122</v>
      </c>
      <c r="X22" s="86" t="s" ph="1">
        <v>123</v>
      </c>
      <c r="Y22" s="86" t="s" ph="1">
        <v>125</v>
      </c>
      <c r="Z22" s="195" t="s" ph="1">
        <v>79</v>
      </c>
      <c r="AA22" s="196"/>
      <c r="AB22" s="196"/>
      <c r="AC22" s="196"/>
      <c r="AD22" s="196"/>
      <c r="AE22" s="197"/>
      <c r="AH22" s="64" ph="1">
        <v>8</v>
      </c>
      <c r="AI22" s="64" t="s" ph="1">
        <v>386</v>
      </c>
      <c r="AZ22" s="64" t="s" ph="1">
        <v>257</v>
      </c>
      <c r="BA22" s="64" ph="1">
        <v>0</v>
      </c>
    </row>
    <row r="23" spans="1:57" ph="1">
      <c r="A23" s="72" ph="1"/>
      <c r="B23" s="211" ph="1"/>
      <c r="C23" s="67" t="s" ph="1">
        <v>36</v>
      </c>
      <c r="D23" s="88" t="s" ph="1">
        <v>127</v>
      </c>
      <c r="E23" s="88" t="s" ph="1">
        <v>124</v>
      </c>
      <c r="F23" s="88" t="s" ph="1">
        <v>127</v>
      </c>
      <c r="G23" s="88" t="s" ph="1">
        <v>679</v>
      </c>
      <c r="H23" s="88" t="s" ph="1">
        <v>679</v>
      </c>
      <c r="I23" s="88" t="s" ph="1">
        <v>680</v>
      </c>
      <c r="J23" s="88" t="s" ph="1">
        <v>681</v>
      </c>
      <c r="K23" s="88" t="s" ph="1">
        <v>682</v>
      </c>
      <c r="L23" s="88" t="s" ph="1">
        <v>682</v>
      </c>
      <c r="M23" s="88" t="s" ph="1">
        <v>675</v>
      </c>
      <c r="N23" s="88" t="s" ph="1">
        <v>675</v>
      </c>
      <c r="O23" s="88" t="s" ph="1">
        <v>359</v>
      </c>
      <c r="P23" s="88" t="s" ph="1">
        <v>666</v>
      </c>
      <c r="Q23" s="89" t="s" ph="1">
        <v>666</v>
      </c>
      <c r="R23" s="88" t="s" ph="1">
        <v>659</v>
      </c>
      <c r="S23" s="88" t="s" ph="1">
        <v>683</v>
      </c>
      <c r="T23" s="88" t="s" ph="1">
        <v>647</v>
      </c>
      <c r="U23" s="88" t="s" ph="1">
        <v>653</v>
      </c>
      <c r="V23" s="88" t="s" ph="1">
        <v>684</v>
      </c>
      <c r="W23" s="88" t="s" ph="1">
        <v>684</v>
      </c>
      <c r="X23" s="88" t="s" ph="1">
        <v>228</v>
      </c>
      <c r="Y23" s="88" t="s" ph="1">
        <v>686</v>
      </c>
      <c r="Z23" s="198" t="s" ph="1">
        <v>690</v>
      </c>
      <c r="AA23" s="199"/>
      <c r="AB23" s="199"/>
      <c r="AC23" s="199"/>
      <c r="AD23" s="199"/>
      <c r="AE23" s="200"/>
      <c r="AH23" s="64" ph="1">
        <v>9</v>
      </c>
      <c r="AI23" s="64" t="s" ph="1">
        <v>387</v>
      </c>
      <c r="AZ23" s="64" t="s" ph="1">
        <v>257</v>
      </c>
      <c r="BA23" s="64" ph="1">
        <v>0</v>
      </c>
      <c r="BD23" s="64" t="s" ph="1">
        <v>279</v>
      </c>
      <c r="BE23" s="64" ph="1">
        <v>890</v>
      </c>
    </row>
    <row r="24" spans="1:57" ph="1">
      <c r="A24" s="72" ph="1"/>
      <c r="B24" s="207" ph="1">
        <v>0.33333333333333331</v>
      </c>
      <c r="C24" s="183" t="s" ph="1">
        <v>208</v>
      </c>
      <c r="D24" s="71">
        <v>98.41</v>
      </c>
      <c r="E24" s="71">
        <v>95.21</v>
      </c>
      <c r="F24" s="71">
        <v>4010</v>
      </c>
      <c r="G24" s="71">
        <v>3902</v>
      </c>
      <c r="H24" s="71">
        <v>2170</v>
      </c>
      <c r="I24" s="71">
        <v>2383</v>
      </c>
      <c r="J24" s="71">
        <v>4895</v>
      </c>
      <c r="K24" s="71">
        <v>5606</v>
      </c>
      <c r="L24" s="71">
        <v>5579</v>
      </c>
      <c r="M24" s="71">
        <v>5444</v>
      </c>
      <c r="N24" s="71">
        <v>5357</v>
      </c>
      <c r="O24" s="71">
        <v>3515</v>
      </c>
      <c r="P24" s="71">
        <v>430</v>
      </c>
      <c r="Q24" s="90">
        <v>1020</v>
      </c>
      <c r="R24" s="71">
        <v>6738</v>
      </c>
      <c r="S24" s="71">
        <v>2594</v>
      </c>
      <c r="T24" s="71">
        <v>904</v>
      </c>
      <c r="U24" s="71">
        <v>5746</v>
      </c>
      <c r="V24" s="71">
        <v>8900</v>
      </c>
      <c r="W24" s="71">
        <v>2983</v>
      </c>
      <c r="X24" s="71">
        <v>8191</v>
      </c>
      <c r="Y24" s="71">
        <v>1606</v>
      </c>
      <c r="Z24" s="201"/>
      <c r="AA24" s="202"/>
      <c r="AB24" s="202"/>
      <c r="AC24" s="202"/>
      <c r="AD24" s="202"/>
      <c r="AE24" s="203"/>
      <c r="AH24" s="64" ph="1">
        <v>10</v>
      </c>
      <c r="AI24" s="64" t="s" ph="1">
        <v>388</v>
      </c>
      <c r="AZ24" s="64" t="s" ph="1">
        <v>257</v>
      </c>
      <c r="BA24" s="64" ph="1">
        <v>0</v>
      </c>
    </row>
    <row r="25" spans="1:57" ph="1">
      <c r="A25" s="72" ph="1"/>
      <c r="B25" s="207" ph="1"/>
      <c r="C25" s="68" t="s" ph="1">
        <v>209</v>
      </c>
      <c r="D25" s="91" ph="1">
        <f>D24*268.68*LOOKUP(D26,密度!$A$2:$A$50,密度!$Q$2:$Q$50)+IF(D24&lt;=0,0,1566*LOOKUP(D26,密度!$A$2:$A$50,密度!$Q$2:$Q$50))</f>
        <v>26515.156695912003</v>
      </c>
      <c r="E25" s="91" ph="1">
        <f>E24*268.68*LOOKUP(E26,密度!$A$2:$A$50,密度!$C$2:$C$50)+IF(E24&lt;=0,0,1566*LOOKUP(E26,密度!$A$2:$A$50,密度!$C$2:$C$50))</f>
        <v>30103.33358292</v>
      </c>
      <c r="F25" s="91" ph="1">
        <f>F24*11.702*LOOKUP(F26,密度!$A$2:$A$50,密度!$Q$2:$Q$50)</f>
        <v>44791.808590799999</v>
      </c>
      <c r="G25" s="91" ph="1">
        <f>G24*18.322*LOOKUP(G26,密度!$A$2:$A$50,密度!$B$2:$B$50)</f>
        <v>56457.583026799999</v>
      </c>
      <c r="H25" s="91" ph="1">
        <f>H24*18.322*LOOKUP(H26,密度!$A$2:$A$50,密度!$B$2:$B$50)</f>
        <v>31365.669986000001</v>
      </c>
      <c r="I25" s="91" ph="1">
        <f>I24*18.322*LOOKUP(I26,密度!$A$2:$A$50,密度!$Q$2:$Q$50)</f>
        <v>41676.482120040004</v>
      </c>
      <c r="J25" s="91" ph="1">
        <f>J24*18.322*LOOKUP(J26,密度!$A$2:$A$50,密度!$Q$2:$Q$50)</f>
        <v>85609.055802600007</v>
      </c>
      <c r="K25" s="91" ph="1">
        <f>K24*18.322*LOOKUP(K26,密度!$A$2:$A$50,密度!$Q$2:$Q$50)</f>
        <v>98043.793019279998</v>
      </c>
      <c r="L25" s="91" ph="1">
        <f>L24*18.322*LOOKUP(L26,密度!$A$2:$A$50,密度!$Q$2:$Q$50)</f>
        <v>97571.587808519995</v>
      </c>
      <c r="M25" s="91" ph="1">
        <f>M24*18.322*LOOKUP(M26,密度!$A$2:$A$50,密度!$Q$2:$Q$50)</f>
        <v>95210.561754719994</v>
      </c>
      <c r="N25" s="91" ph="1">
        <f>N24*18.322*LOOKUP(N26,密度!$A$2:$A$50,密度!$Q$2:$Q$50)</f>
        <v>93689.01163116</v>
      </c>
      <c r="O25" s="91" ph="1">
        <f>O24*18.322*LOOKUP(O26,密度!$A$2:$A$50,密度!$C$2:$C$50)</f>
        <v>71962.604841999986</v>
      </c>
      <c r="P25" s="91" ph="1">
        <f>P24*11.702*LOOKUP(P26,密度!$A$2:$A$50,密度!$B$2:$B$50)</f>
        <v>3973.6598419999996</v>
      </c>
      <c r="Q25" s="92" ph="1">
        <f>Q24*18.322*LOOKUP(Q26,密度!$A$2:$A$50,密度!$B$2:$B$50)</f>
        <v>14743.310315999999</v>
      </c>
      <c r="R25" s="91" ph="1">
        <f>R24*35.891*LOOKUP(R26,密度!$A$2:$A$50,密度!$C$2:$C$50)</f>
        <v>269837.88401639997</v>
      </c>
      <c r="S25" s="91" ph="1">
        <f>S24*35.891*LOOKUP(S26,密度!$A$2:$A$50,密度!$B$2:$B$50)</f>
        <v>73522.06028379999</v>
      </c>
      <c r="T25" s="91" ph="1">
        <f>T24*35.891*LOOKUP(T26,密度!$A$2:$A$50,密度!$Q$2:$Q$50)</f>
        <v>30970.493206560001</v>
      </c>
      <c r="U25" s="91" ph="1">
        <f>U24*35.891</f>
        <v>206229.68599999999</v>
      </c>
      <c r="V25" s="91" ph="1">
        <f>V24*47.051*LOOKUP(V26,密度!$A$2:$A$50,密度!$B$2:$B$50)</f>
        <v>330689.95483</v>
      </c>
      <c r="W25" s="91" ph="1">
        <f>W24*47.051*LOOKUP(W26,密度!$A$2:$A$50,密度!$B$2:$B$50)</f>
        <v>110598.26880400001</v>
      </c>
      <c r="X25" s="91" ph="1">
        <f>X24*47.051*LOOKUP(X26,密度!$A$2:$A$50,密度!$I$2:$I$50)</f>
        <v>399130.20956923999</v>
      </c>
      <c r="Y25" s="91" ph="1">
        <f>Y24*47.051*LOOKUP(Y26,密度!$A$2:$A$50,密度!$L$2:$L$50)</f>
        <v>71483.455075999998</v>
      </c>
      <c r="Z25" s="201"/>
      <c r="AA25" s="202"/>
      <c r="AB25" s="202"/>
      <c r="AC25" s="202"/>
      <c r="AD25" s="202"/>
      <c r="AE25" s="203"/>
      <c r="AH25" s="64" ph="1">
        <v>11</v>
      </c>
      <c r="AI25" s="64" t="s" ph="1">
        <v>389</v>
      </c>
      <c r="AZ25" s="64" t="s" ph="1">
        <v>257</v>
      </c>
      <c r="BA25" s="64" ph="1">
        <v>0</v>
      </c>
      <c r="BD25" s="64" t="s" ph="1">
        <v>282</v>
      </c>
      <c r="BE25" s="64" ph="1">
        <v>8920</v>
      </c>
    </row>
    <row r="26" spans="1:57" ph="1">
      <c r="A26" s="72" ph="1"/>
      <c r="B26" s="207" ph="1"/>
      <c r="C26" s="68" t="s" ph="1">
        <v>210</v>
      </c>
      <c r="D26" s="74">
        <v>25</v>
      </c>
      <c r="E26" s="74">
        <v>25</v>
      </c>
      <c r="F26" s="74">
        <v>13</v>
      </c>
      <c r="G26" s="74">
        <v>13</v>
      </c>
      <c r="H26" s="74">
        <v>14</v>
      </c>
      <c r="I26" s="74">
        <v>14</v>
      </c>
      <c r="J26" s="74">
        <v>13</v>
      </c>
      <c r="K26" s="74">
        <v>14</v>
      </c>
      <c r="L26" s="74">
        <v>14</v>
      </c>
      <c r="M26" s="74">
        <v>14</v>
      </c>
      <c r="N26" s="74">
        <v>14</v>
      </c>
      <c r="O26" s="74">
        <v>13</v>
      </c>
      <c r="P26" s="74">
        <v>13</v>
      </c>
      <c r="Q26" s="93">
        <v>14</v>
      </c>
      <c r="R26" s="74">
        <v>15</v>
      </c>
      <c r="S26" s="74">
        <v>13</v>
      </c>
      <c r="T26" s="74">
        <v>15</v>
      </c>
      <c r="U26" s="74">
        <v>15</v>
      </c>
      <c r="V26" s="74">
        <v>13</v>
      </c>
      <c r="W26" s="74">
        <v>15</v>
      </c>
      <c r="X26" s="74">
        <v>52</v>
      </c>
      <c r="Y26" s="74">
        <v>16</v>
      </c>
      <c r="Z26" s="201"/>
      <c r="AA26" s="202"/>
      <c r="AB26" s="202"/>
      <c r="AC26" s="202"/>
      <c r="AD26" s="202"/>
      <c r="AE26" s="203"/>
      <c r="AH26" s="64" ph="1">
        <v>12</v>
      </c>
      <c r="AI26" s="64" t="s" ph="1">
        <v>390</v>
      </c>
      <c r="AZ26" s="64" t="s" ph="1">
        <v>257</v>
      </c>
      <c r="BA26" s="64" ph="1">
        <v>0</v>
      </c>
    </row>
    <row r="27" spans="1:57" ph="1">
      <c r="A27" s="72" ph="1"/>
      <c r="B27" s="207" ph="1">
        <v>0.66666666666666663</v>
      </c>
      <c r="C27" s="183" t="s" ph="1">
        <v>211</v>
      </c>
      <c r="D27" s="71">
        <v>98.21</v>
      </c>
      <c r="E27" s="71">
        <v>95.21</v>
      </c>
      <c r="F27" s="71">
        <v>4011</v>
      </c>
      <c r="G27" s="71">
        <v>3316</v>
      </c>
      <c r="H27" s="71">
        <v>2087</v>
      </c>
      <c r="I27" s="71">
        <v>2383</v>
      </c>
      <c r="J27" s="71">
        <v>4895</v>
      </c>
      <c r="K27" s="71">
        <v>5605</v>
      </c>
      <c r="L27" s="71">
        <v>5577</v>
      </c>
      <c r="M27" s="71">
        <v>5444</v>
      </c>
      <c r="N27" s="71">
        <v>5355</v>
      </c>
      <c r="O27" s="71">
        <v>3515</v>
      </c>
      <c r="P27" s="71">
        <v>427</v>
      </c>
      <c r="Q27" s="90">
        <v>1319</v>
      </c>
      <c r="R27" s="71">
        <v>6735</v>
      </c>
      <c r="S27" s="71">
        <v>2211</v>
      </c>
      <c r="T27" s="71">
        <v>902</v>
      </c>
      <c r="U27" s="71">
        <v>5756</v>
      </c>
      <c r="V27" s="71">
        <v>10170</v>
      </c>
      <c r="W27" s="71">
        <v>1654</v>
      </c>
      <c r="X27" s="71">
        <v>8188</v>
      </c>
      <c r="Y27" s="71">
        <v>1602</v>
      </c>
      <c r="Z27" s="201"/>
      <c r="AA27" s="202"/>
      <c r="AB27" s="202"/>
      <c r="AC27" s="202"/>
      <c r="AD27" s="202"/>
      <c r="AE27" s="203"/>
      <c r="AH27" s="64" ph="1">
        <v>13</v>
      </c>
      <c r="AI27" s="64" t="s" ph="1">
        <v>391</v>
      </c>
      <c r="AZ27" s="64" t="s" ph="1">
        <v>257</v>
      </c>
      <c r="BA27" s="64" ph="1">
        <v>0</v>
      </c>
      <c r="BD27" s="64" t="s" ph="1">
        <v>336</v>
      </c>
      <c r="BE27" s="64" ph="1">
        <v>7100</v>
      </c>
    </row>
    <row r="28" spans="1:57" ph="1">
      <c r="A28" s="72" ph="1"/>
      <c r="B28" s="207" ph="1"/>
      <c r="C28" s="183" t="s" ph="1">
        <v>209</v>
      </c>
      <c r="D28" s="91" ph="1">
        <f>D27*268.68*LOOKUP(D29,密度!$A$2:$A$50,密度!$Q$2:$Q$50)+IF(D27&lt;=0,0,1566*LOOKUP(D29,密度!$A$2:$A$50,密度!$Q$2:$Q$50))</f>
        <v>26464.282675272003</v>
      </c>
      <c r="E28" s="91" ph="1">
        <f>E27*268.68*LOOKUP(E29,密度!$A$2:$A$50,密度!$C$2:$C$50)+IF(E27&lt;=0,0,1566*LOOKUP(E29,密度!$A$2:$A$50,密度!$C$2:$C$50))</f>
        <v>30103.33358292</v>
      </c>
      <c r="F28" s="91" ph="1">
        <f>F27*11.702*LOOKUP(F29,密度!$A$2:$A$50,密度!$Q$2:$Q$50)</f>
        <v>44684.228711219999</v>
      </c>
      <c r="G28" s="91" ph="1">
        <f>G27*18.322*LOOKUP(G29,密度!$A$2:$A$50,密度!$B$2:$B$50)</f>
        <v>47735.794346399998</v>
      </c>
      <c r="H28" s="91" ph="1">
        <f>H27*18.322*LOOKUP(H29,密度!$A$2:$A$50,密度!$B$2:$B$50)</f>
        <v>30043.607599799994</v>
      </c>
      <c r="I28" s="91" ph="1">
        <f>I27*18.322*LOOKUP(I29,密度!$A$2:$A$50,密度!$Q$2:$Q$50)</f>
        <v>41600.511412799999</v>
      </c>
      <c r="J28" s="91" ph="1">
        <f>J27*18.322*LOOKUP(J29,密度!$A$2:$A$50,密度!$Q$2:$Q$50)</f>
        <v>85453.001831999994</v>
      </c>
      <c r="K28" s="91" ph="1">
        <f>K27*18.322*LOOKUP(K29,密度!$A$2:$A$50,密度!$Q$2:$Q$50)</f>
        <v>97766.486068099999</v>
      </c>
      <c r="L28" s="91" ph="1">
        <f>L27*18.322*LOOKUP(L29,密度!$A$2:$A$50,密度!$Q$2:$Q$50)</f>
        <v>97278.089705940001</v>
      </c>
      <c r="M28" s="91" ph="1">
        <f>M27*18.322*LOOKUP(M29,密度!$A$2:$A$50,密度!$Q$2:$Q$50)</f>
        <v>94880.405910639995</v>
      </c>
      <c r="N28" s="91" ph="1">
        <f>N27*18.322*LOOKUP(N29,密度!$A$2:$A$50,密度!$Q$2:$Q$50)</f>
        <v>93329.275101299994</v>
      </c>
      <c r="O28" s="91" ph="1">
        <f>O27*18.322*LOOKUP(O29,密度!$A$2:$A$50,密度!$C$2:$C$50)</f>
        <v>71737.198436999985</v>
      </c>
      <c r="P28" s="91" ph="1">
        <f>P27*11.702*LOOKUP(P29,密度!$A$2:$A$50,密度!$B$2:$B$50)</f>
        <v>3925.9496177999995</v>
      </c>
      <c r="Q28" s="92" ph="1">
        <f>Q27*18.322*LOOKUP(Q29,密度!$A$2:$A$50,密度!$B$2:$B$50)</f>
        <v>18987.790332599998</v>
      </c>
      <c r="R28" s="91" ph="1">
        <f>R27*35.891*LOOKUP(R29,密度!$A$2:$A$50,密度!$C$2:$C$50)</f>
        <v>269258.46330149996</v>
      </c>
      <c r="S28" s="91" ph="1">
        <f>S27*35.891*LOOKUP(S29,密度!$A$2:$A$50,密度!$B$2:$B$50)</f>
        <v>62349.224285699987</v>
      </c>
      <c r="T28" s="91" ph="1">
        <f>T27*35.891*LOOKUP(T29,密度!$A$2:$A$50,密度!$Q$2:$Q$50)</f>
        <v>30794.81752886</v>
      </c>
      <c r="U28" s="91" ph="1">
        <f>U27*35.891</f>
        <v>206588.59599999999</v>
      </c>
      <c r="V28" s="91" ph="1">
        <f>V27*47.051*LOOKUP(V29,密度!$A$2:$A$50,密度!$B$2:$B$50)</f>
        <v>375964.26201900002</v>
      </c>
      <c r="W28" s="91" ph="1">
        <f>W27*47.051*LOOKUP(W29,密度!$A$2:$A$50,密度!$B$2:$B$50)</f>
        <v>61145.0235378</v>
      </c>
      <c r="X28" s="91" ph="1">
        <f>X27*47.051*LOOKUP(X29,密度!$A$2:$A$50,密度!$I$2:$I$50)</f>
        <v>398984.02587631997</v>
      </c>
      <c r="Y28" s="91" ph="1">
        <f>Y27*47.051*LOOKUP(Y29,密度!$A$2:$A$50,密度!$L$2:$L$50)</f>
        <v>71079.286986000006</v>
      </c>
      <c r="Z28" s="201"/>
      <c r="AA28" s="202"/>
      <c r="AB28" s="202"/>
      <c r="AC28" s="202"/>
      <c r="AD28" s="202"/>
      <c r="AE28" s="203"/>
      <c r="AH28" s="64" ph="1">
        <v>14</v>
      </c>
      <c r="AI28" s="64" t="s" ph="1">
        <v>392</v>
      </c>
      <c r="AZ28" s="64" t="s" ph="1">
        <v>257</v>
      </c>
      <c r="BA28" s="64" ph="1">
        <v>0</v>
      </c>
    </row>
    <row r="29" spans="1:57" ph="1">
      <c r="A29" s="72" ph="1"/>
      <c r="B29" s="207" ph="1"/>
      <c r="C29" s="183" t="s" ph="1">
        <v>210</v>
      </c>
      <c r="D29" s="74">
        <v>25</v>
      </c>
      <c r="E29" s="74">
        <v>25</v>
      </c>
      <c r="F29" s="74">
        <v>18</v>
      </c>
      <c r="G29" s="74">
        <v>18</v>
      </c>
      <c r="H29" s="74">
        <v>18</v>
      </c>
      <c r="I29" s="74">
        <v>17</v>
      </c>
      <c r="J29" s="74">
        <v>17</v>
      </c>
      <c r="K29" s="74">
        <v>18</v>
      </c>
      <c r="L29" s="74">
        <v>18</v>
      </c>
      <c r="M29" s="74">
        <v>19</v>
      </c>
      <c r="N29" s="74">
        <v>19</v>
      </c>
      <c r="O29" s="74">
        <v>18</v>
      </c>
      <c r="P29" s="74">
        <v>18</v>
      </c>
      <c r="Q29" s="93">
        <v>18</v>
      </c>
      <c r="R29" s="74">
        <v>18</v>
      </c>
      <c r="S29" s="74">
        <v>18</v>
      </c>
      <c r="T29" s="74">
        <v>19</v>
      </c>
      <c r="U29" s="74">
        <v>19</v>
      </c>
      <c r="V29" s="74">
        <v>18</v>
      </c>
      <c r="W29" s="74">
        <v>18</v>
      </c>
      <c r="X29" s="74">
        <v>55</v>
      </c>
      <c r="Y29" s="74">
        <v>19</v>
      </c>
      <c r="Z29" s="204"/>
      <c r="AA29" s="205"/>
      <c r="AB29" s="205"/>
      <c r="AC29" s="205"/>
      <c r="AD29" s="205"/>
      <c r="AE29" s="206"/>
      <c r="AH29" s="64" ph="1">
        <v>15</v>
      </c>
      <c r="AI29" s="64" t="s" ph="1">
        <v>393</v>
      </c>
      <c r="AZ29" s="64" t="s" ph="1">
        <v>257</v>
      </c>
      <c r="BA29" s="64" ph="1">
        <v>0</v>
      </c>
      <c r="BD29" s="64" t="s" ph="1">
        <v>394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395</v>
      </c>
      <c r="AZ30" s="64" t="s" ph="1">
        <v>257</v>
      </c>
      <c r="BA30" s="64" ph="1">
        <v>0</v>
      </c>
    </row>
    <row r="31" spans="1:57" ht="28.5" ph="1">
      <c r="A31" s="64"/>
      <c r="B31" s="220" t="s" ph="1">
        <v>35</v>
      </c>
      <c r="C31" s="221" ph="1"/>
      <c r="D31" s="224" t="s" ph="1">
        <v>9</v>
      </c>
      <c r="E31" s="213" ph="1"/>
      <c r="F31" s="214" ph="1"/>
      <c r="G31" s="224" t="s" ph="1">
        <v>18</v>
      </c>
      <c r="H31" s="213" ph="1"/>
      <c r="I31" s="214" ph="1"/>
      <c r="J31" s="212" t="s" ph="1">
        <v>1</v>
      </c>
      <c r="K31" s="213" ph="1"/>
      <c r="L31" s="214" ph="1"/>
      <c r="M31" s="212" t="s" ph="1">
        <v>7</v>
      </c>
      <c r="N31" s="213" ph="1"/>
      <c r="O31" s="214" ph="1"/>
      <c r="P31" s="212" t="s" ph="1">
        <v>42</v>
      </c>
      <c r="Q31" s="213"/>
      <c r="R31" s="214"/>
      <c r="S31" s="212" t="s" ph="1">
        <v>2</v>
      </c>
      <c r="T31" s="213"/>
      <c r="U31" s="214"/>
      <c r="V31" s="212" t="s" ph="1">
        <v>81</v>
      </c>
      <c r="W31" s="213" ph="1"/>
      <c r="X31" s="214" ph="1"/>
      <c r="Y31" s="212" t="s" ph="1">
        <v>3</v>
      </c>
      <c r="Z31" s="213" ph="1"/>
      <c r="AA31" s="214" ph="1"/>
      <c r="AB31" s="235" t="s">
        <v>43</v>
      </c>
      <c r="AC31" s="236"/>
      <c r="AD31" s="236"/>
      <c r="AE31" s="237"/>
      <c r="AH31" s="64" ph="1">
        <v>17</v>
      </c>
      <c r="AI31" s="64" t="s" ph="1">
        <v>396</v>
      </c>
      <c r="AZ31" s="64" t="s" ph="1">
        <v>257</v>
      </c>
      <c r="BA31" s="64" ph="1">
        <v>0</v>
      </c>
      <c r="BD31" s="64" t="s" ph="1">
        <v>397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83" t="s" ph="1">
        <v>5</v>
      </c>
      <c r="F32" s="184" t="s" ph="1">
        <v>44</v>
      </c>
      <c r="G32" s="97" t="s" ph="1">
        <v>4</v>
      </c>
      <c r="H32" s="183" t="s" ph="1">
        <v>5</v>
      </c>
      <c r="I32" s="184" t="s" ph="1">
        <v>44</v>
      </c>
      <c r="J32" s="97" t="s" ph="1">
        <v>4</v>
      </c>
      <c r="K32" s="183" t="s" ph="1">
        <v>5</v>
      </c>
      <c r="L32" s="184" t="s" ph="1">
        <v>44</v>
      </c>
      <c r="M32" s="97" t="s" ph="1">
        <v>4</v>
      </c>
      <c r="N32" s="183" t="s" ph="1">
        <v>5</v>
      </c>
      <c r="O32" s="184" t="s" ph="1">
        <v>44</v>
      </c>
      <c r="P32" s="97" t="s" ph="1">
        <v>4</v>
      </c>
      <c r="Q32" s="98" t="s" ph="1">
        <v>5</v>
      </c>
      <c r="R32" s="99" t="s" ph="1">
        <v>44</v>
      </c>
      <c r="S32" s="97" t="s" ph="1">
        <v>4</v>
      </c>
      <c r="T32" s="183" t="s" ph="1">
        <v>5</v>
      </c>
      <c r="U32" s="99" t="s" ph="1">
        <v>44</v>
      </c>
      <c r="V32" s="97" t="s" ph="1">
        <v>4</v>
      </c>
      <c r="W32" s="183" t="s" ph="1">
        <v>5</v>
      </c>
      <c r="X32" s="99" t="s" ph="1">
        <v>44</v>
      </c>
      <c r="Y32" s="100" t="s" ph="1">
        <v>4</v>
      </c>
      <c r="Z32" s="183" t="s" ph="1">
        <v>5</v>
      </c>
      <c r="AA32" s="184" t="s" ph="1">
        <v>44</v>
      </c>
      <c r="AB32" s="97" t="s" ph="1">
        <v>102</v>
      </c>
      <c r="AC32" s="183" t="s" ph="1">
        <v>101</v>
      </c>
      <c r="AD32" s="238" t="s" ph="1">
        <v>100</v>
      </c>
      <c r="AE32" s="239"/>
      <c r="AH32" s="64" ph="1">
        <v>18</v>
      </c>
      <c r="AI32" s="64" t="s" ph="1">
        <v>398</v>
      </c>
      <c r="AZ32" s="64" t="s" ph="1">
        <v>257</v>
      </c>
      <c r="BA32" s="64" ph="1">
        <v>0</v>
      </c>
    </row>
    <row r="33" spans="1:57" ph="1">
      <c r="A33" s="64"/>
      <c r="B33" s="225" t="s" ph="1">
        <v>212</v>
      </c>
      <c r="C33" s="226" ph="1"/>
      <c r="D33" s="229" ph="1">
        <f>AA10+AB10+Z19</f>
        <v>107517.79506559999</v>
      </c>
      <c r="E33" s="229" ph="1">
        <f>M10+I10</f>
        <v>143335.83618500002</v>
      </c>
      <c r="F33" s="231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1522252632456786910111213141516171819202123456789101112131415161718192022232424356789101112131415161718192021222345678910111213141516171819202345678910111213149101516171819222123234567891012131415161711181920212224252345678910111213130[[#This Row],[F25]]</f>
        <v>3880</v>
      </c>
      <c r="G33" s="233" ph="1">
        <v>0</v>
      </c>
      <c r="H33" s="229" ph="1">
        <f>N19</f>
        <v>26617.250106160001</v>
      </c>
      <c r="I33" s="242" ph="1">
        <v>0</v>
      </c>
      <c r="J33" s="240" ph="1">
        <f>F10+O28</f>
        <v>323476.75941150001</v>
      </c>
      <c r="K33" s="229" ph="1">
        <f>O10+K10+E28+R28</f>
        <v>359507.47513481998</v>
      </c>
      <c r="L33" s="244" ph="1">
        <f>BE27</f>
        <v>7100</v>
      </c>
      <c r="M33" s="240" ph="1">
        <f>G10+H10+W28+S28</f>
        <v>661561.1911995</v>
      </c>
      <c r="N33" s="229" ph="1">
        <f>L10+P10++G28+H28+V28</f>
        <v>633866.09072019998</v>
      </c>
      <c r="O33" s="242" ph="1">
        <f>BE17</f>
        <v>2270</v>
      </c>
      <c r="P33" s="240" ph="1">
        <f>L19</f>
        <v>40375.171309680001</v>
      </c>
      <c r="Q33" s="229" ph="1">
        <f>J10+N10</f>
        <v>115239.9236366</v>
      </c>
      <c r="R33" s="242" ph="1">
        <f>BE23</f>
        <v>890</v>
      </c>
      <c r="S33" s="240" ph="1">
        <f>E10+X28</f>
        <v>398984.02587631997</v>
      </c>
      <c r="T33" s="229" ph="1">
        <f>X19</f>
        <v>9150.9846333839996</v>
      </c>
      <c r="U33" s="250" ph="1">
        <f>BE21</f>
        <v>730</v>
      </c>
      <c r="V33" s="261" ph="1">
        <f ca="1">P19+Q19+S19+M28+N28+J28</f>
        <v>441950.73629647796</v>
      </c>
      <c r="W33" s="261" ph="1">
        <f>D28+F28+V19+T28</f>
        <v>101943.328915352</v>
      </c>
      <c r="X33" s="242" ph="1">
        <f>BE29+BE31</f>
        <v>10200</v>
      </c>
      <c r="Y33" s="263" ph="1">
        <f>+Q10+R10+S10+T10+U10+V10+W10+X10+Y10</f>
        <v>61391.999730599993</v>
      </c>
      <c r="Z33" s="248" ph="1">
        <f>D10+T19+U19+Y28+Z10</f>
        <v>259790.28259363002</v>
      </c>
      <c r="AA33" s="250" ph="1">
        <f>BE19</f>
        <v>1440</v>
      </c>
      <c r="AB33" s="252" ph="1">
        <f>I19</f>
        <v>28042.038532800005</v>
      </c>
      <c r="AC33" s="254" ph="1">
        <f>AD10</f>
        <v>12284.8435584</v>
      </c>
      <c r="AD33" s="256" ph="1">
        <v>0</v>
      </c>
      <c r="AE33" s="257"/>
      <c r="AH33" s="64" ph="1">
        <v>19</v>
      </c>
      <c r="AI33" s="64" t="s" ph="1">
        <v>399</v>
      </c>
      <c r="AJ33" s="64" t="s" ph="1">
        <v>633</v>
      </c>
      <c r="AK33" s="64" t="s" ph="1">
        <v>630</v>
      </c>
      <c r="AL33" s="64" ph="1">
        <v>730</v>
      </c>
      <c r="AM33" s="64" t="s" ph="1">
        <v>380</v>
      </c>
      <c r="AZ33" s="64" t="s" ph="1">
        <v>257</v>
      </c>
      <c r="BA33" s="64" ph="1">
        <v>730</v>
      </c>
      <c r="BD33" s="64" t="s" ph="1">
        <v>331</v>
      </c>
      <c r="BE33" s="64" ph="1">
        <v>3880</v>
      </c>
    </row>
    <row r="34" spans="1:57" ph="1">
      <c r="A34" s="64"/>
      <c r="B34" s="227" ph="1"/>
      <c r="C34" s="228" ph="1"/>
      <c r="D34" s="230" ph="1"/>
      <c r="E34" s="230" ph="1"/>
      <c r="F34" s="232" ph="1"/>
      <c r="G34" s="234" ph="1"/>
      <c r="H34" s="230" ph="1"/>
      <c r="I34" s="243" ph="1"/>
      <c r="J34" s="241" ph="1"/>
      <c r="K34" s="230" ph="1"/>
      <c r="L34" s="245" ph="1"/>
      <c r="M34" s="241" ph="1"/>
      <c r="N34" s="230" ph="1"/>
      <c r="O34" s="243" ph="1"/>
      <c r="P34" s="241" ph="1"/>
      <c r="Q34" s="230" ph="1"/>
      <c r="R34" s="243" ph="1"/>
      <c r="S34" s="241" ph="1"/>
      <c r="T34" s="230"/>
      <c r="U34" s="251"/>
      <c r="V34" s="262" ph="1"/>
      <c r="W34" s="262" ph="1"/>
      <c r="X34" s="243" ph="1"/>
      <c r="Y34" s="264" ph="1"/>
      <c r="Z34" s="249" ph="1"/>
      <c r="AA34" s="251" ph="1"/>
      <c r="AB34" s="253"/>
      <c r="AC34" s="255"/>
      <c r="AD34" s="258"/>
      <c r="AE34" s="259"/>
      <c r="AH34" s="64" ph="1">
        <v>20</v>
      </c>
      <c r="AI34" s="64" t="s" ph="1">
        <v>400</v>
      </c>
      <c r="AJ34" s="64" t="s" ph="1">
        <v>634</v>
      </c>
      <c r="AK34" s="64" t="s" ph="1">
        <v>630</v>
      </c>
      <c r="AL34" s="64" ph="1">
        <v>720</v>
      </c>
      <c r="AM34" s="64" t="s" ph="1">
        <v>380</v>
      </c>
      <c r="AZ34" s="64" t="s" ph="1">
        <v>257</v>
      </c>
      <c r="BA34" s="64" ph="1">
        <v>720</v>
      </c>
    </row>
    <row r="35" spans="1:57" ph="1">
      <c r="A35" s="64"/>
      <c r="AC35" s="260" t="s" ph="1">
        <v>84</v>
      </c>
      <c r="AD35" s="260"/>
      <c r="AE35" s="260"/>
      <c r="AH35" s="64" ph="1">
        <v>21</v>
      </c>
      <c r="AI35" s="64" t="s" ph="1">
        <v>401</v>
      </c>
      <c r="AZ35" s="64" t="s" ph="1">
        <v>257</v>
      </c>
      <c r="BA35" s="64" ph="1">
        <v>0</v>
      </c>
      <c r="BD35" s="64" t="s" ph="1">
        <v>402</v>
      </c>
      <c r="BE35" s="64" ph="1">
        <v>2030</v>
      </c>
    </row>
    <row r="36" spans="1:57" ht="28.5" ph="1">
      <c r="A36" s="64"/>
      <c r="B36" s="103" t="s" ph="1">
        <v>213</v>
      </c>
      <c r="I36" s="246" t="s" ph="1">
        <v>214</v>
      </c>
      <c r="J36" s="246" ph="1"/>
      <c r="K36" s="101" ph="1"/>
      <c r="P36" s="101" ph="1"/>
      <c r="R36" s="246" t="s" ph="1">
        <v>215</v>
      </c>
      <c r="S36" s="246" ph="1"/>
      <c r="Y36" s="102" ph="1"/>
      <c r="Z36" s="185" t="s" ph="1">
        <v>216</v>
      </c>
      <c r="AA36" s="185" ph="1"/>
      <c r="AB36" s="247" t="s" ph="1">
        <v>655</v>
      </c>
      <c r="AC36" s="247" ph="1"/>
      <c r="AD36" s="247" ph="1"/>
      <c r="AE36" s="247" ph="1"/>
      <c r="BA36" s="64" ph="1">
        <v>2270</v>
      </c>
    </row>
    <row r="37" spans="1:57" s="185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85" t="s" ph="1">
        <v>383</v>
      </c>
      <c r="AI37" s="185" t="s" ph="1">
        <v>250</v>
      </c>
      <c r="AJ37" s="185" t="s" ph="1">
        <v>251</v>
      </c>
      <c r="AK37" s="185" t="s" ph="1">
        <v>252</v>
      </c>
      <c r="AM37" s="185" t="s" ph="1">
        <v>251</v>
      </c>
      <c r="AN37" s="185" t="s" ph="1">
        <v>252</v>
      </c>
      <c r="AO37" s="185" t="s" ph="1">
        <v>253</v>
      </c>
      <c r="AP37" s="185" t="s" ph="1">
        <v>251</v>
      </c>
      <c r="AQ37" s="185" t="s" ph="1">
        <v>252</v>
      </c>
      <c r="AR37" s="185" t="s" ph="1">
        <v>253</v>
      </c>
      <c r="AS37" s="185" t="s" ph="1">
        <v>251</v>
      </c>
      <c r="AT37" s="185" t="s" ph="1">
        <v>252</v>
      </c>
      <c r="AU37" s="185" t="s" ph="1">
        <v>253</v>
      </c>
      <c r="AV37" s="185" t="s" ph="1">
        <v>251</v>
      </c>
      <c r="AW37" s="185" t="s" ph="1">
        <v>252</v>
      </c>
      <c r="AX37" s="185" t="s" ph="1">
        <v>253</v>
      </c>
      <c r="AY37" s="185" t="s" ph="1">
        <v>252</v>
      </c>
      <c r="AZ37" s="185" t="s" ph="1">
        <v>254</v>
      </c>
      <c r="BD37" s="185" t="s" ph="1">
        <v>346</v>
      </c>
      <c r="BE37" s="185" ph="1">
        <v>0</v>
      </c>
    </row>
    <row r="38" spans="1:57" ph="1">
      <c r="AE38" s="64" ph="1"/>
      <c r="AH38" s="64" ph="1">
        <v>1</v>
      </c>
      <c r="AI38" s="64" t="s" ph="1">
        <v>403</v>
      </c>
      <c r="AY38" s="64" t="s" ph="1">
        <v>257</v>
      </c>
      <c r="AZ38" s="64" t="s" ph="1">
        <v>408</v>
      </c>
    </row>
    <row r="39" spans="1:57" ph="1">
      <c r="AH39" s="64" ph="1">
        <v>2</v>
      </c>
      <c r="AI39" s="64" t="s" ph="1">
        <v>405</v>
      </c>
      <c r="AJ39" s="64" t="s" ph="1">
        <v>377</v>
      </c>
      <c r="AK39" s="64" t="s" ph="1">
        <v>406</v>
      </c>
      <c r="AM39" s="64" t="s" ph="1">
        <v>611</v>
      </c>
      <c r="AN39" s="64" t="s" ph="1">
        <v>269</v>
      </c>
      <c r="AO39" s="64" t="s" ph="1">
        <v>404</v>
      </c>
      <c r="AY39" s="64" t="s" ph="1">
        <v>257</v>
      </c>
      <c r="AZ39" s="64" t="s" ph="1">
        <v>540</v>
      </c>
    </row>
    <row r="40" spans="1:57" ph="1">
      <c r="AH40" s="64" ph="1">
        <v>3</v>
      </c>
      <c r="AI40" s="64" t="s" ph="1">
        <v>407</v>
      </c>
      <c r="AJ40" s="64" t="s" ph="1">
        <v>611</v>
      </c>
      <c r="AK40" s="64" t="s" ph="1">
        <v>612</v>
      </c>
      <c r="AY40" s="64" t="s" ph="1">
        <v>257</v>
      </c>
      <c r="AZ40" s="64" t="s" ph="1">
        <v>612</v>
      </c>
    </row>
    <row r="41" spans="1:57" ph="1">
      <c r="AH41" s="64" ph="1">
        <v>4</v>
      </c>
      <c r="AI41" s="64" t="s" ph="1">
        <v>409</v>
      </c>
      <c r="AJ41" s="64" t="s" ph="1">
        <v>613</v>
      </c>
      <c r="AK41" s="64" t="s" ph="1">
        <v>614</v>
      </c>
      <c r="AM41" s="64" t="s" ph="1">
        <v>615</v>
      </c>
      <c r="AY41" s="64" t="s" ph="1">
        <v>257</v>
      </c>
      <c r="AZ41" s="64" t="s" ph="1">
        <v>614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410</v>
      </c>
      <c r="AY42" s="64" t="s" ph="1">
        <v>257</v>
      </c>
      <c r="AZ42" s="64" t="s" ph="1">
        <v>408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411</v>
      </c>
      <c r="AY43" s="64" t="s" ph="1">
        <v>257</v>
      </c>
      <c r="AZ43" s="64" t="s" ph="1">
        <v>408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412</v>
      </c>
      <c r="AV44" s="64" t="s" ph="1">
        <v>258</v>
      </c>
      <c r="AY44" s="64" t="s" ph="1">
        <v>257</v>
      </c>
      <c r="AZ44" s="64" t="s" ph="1">
        <v>408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413</v>
      </c>
      <c r="AV45" s="64" t="s" ph="1">
        <v>258</v>
      </c>
      <c r="AY45" s="64" t="s" ph="1">
        <v>257</v>
      </c>
      <c r="AZ45" s="64" t="s" ph="1">
        <v>408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414</v>
      </c>
      <c r="AV46" s="64" t="s" ph="1">
        <v>258</v>
      </c>
      <c r="AY46" s="64" t="s" ph="1">
        <v>257</v>
      </c>
      <c r="AZ46" s="64" t="s" ph="1">
        <v>408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415</v>
      </c>
      <c r="AV47" s="64" t="s" ph="1">
        <v>258</v>
      </c>
      <c r="AY47" s="64" t="s" ph="1">
        <v>257</v>
      </c>
      <c r="AZ47" s="64" t="s" ph="1">
        <v>408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616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273</v>
      </c>
      <c r="AI49" s="64" t="s" ph="1">
        <v>250</v>
      </c>
      <c r="AJ49" s="64" t="s" ph="1">
        <v>251</v>
      </c>
      <c r="AK49" s="64" t="s" ph="1">
        <v>252</v>
      </c>
      <c r="AM49" s="64" t="s" ph="1">
        <v>251</v>
      </c>
      <c r="AN49" s="64" t="s" ph="1">
        <v>252</v>
      </c>
      <c r="AO49" s="64" t="s" ph="1">
        <v>253</v>
      </c>
      <c r="AP49" s="64" t="s" ph="1">
        <v>251</v>
      </c>
      <c r="AQ49" s="64" t="s" ph="1">
        <v>252</v>
      </c>
      <c r="AR49" s="64" t="s" ph="1">
        <v>253</v>
      </c>
      <c r="AS49" s="64" t="s" ph="1">
        <v>251</v>
      </c>
      <c r="AT49" s="64" t="s" ph="1">
        <v>252</v>
      </c>
      <c r="AU49" s="64" t="s" ph="1">
        <v>253</v>
      </c>
      <c r="AV49" s="64" t="s" ph="1">
        <v>251</v>
      </c>
      <c r="AW49" s="64" t="s" ph="1">
        <v>252</v>
      </c>
      <c r="AX49" s="64" t="s" ph="1">
        <v>253</v>
      </c>
      <c r="AY49" s="64" t="s" ph="1">
        <v>252</v>
      </c>
      <c r="AZ49" s="64" t="s" ph="1">
        <v>254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416</v>
      </c>
      <c r="AY50" s="64" t="s" ph="1">
        <v>257</v>
      </c>
      <c r="AZ50" s="64" t="s" ph="1">
        <v>408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417</v>
      </c>
      <c r="AY51" s="64" t="s" ph="1">
        <v>257</v>
      </c>
      <c r="AZ51" s="64" t="s" ph="1">
        <v>408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418</v>
      </c>
      <c r="AJ52" s="64" t="s" ph="1">
        <v>375</v>
      </c>
      <c r="AK52" s="64" t="s" ph="1">
        <v>269</v>
      </c>
      <c r="AM52" s="64" t="s" ph="1">
        <v>377</v>
      </c>
      <c r="AN52" s="64" t="s" ph="1">
        <v>341</v>
      </c>
      <c r="AO52" s="64" t="s" ph="1">
        <v>274</v>
      </c>
      <c r="AP52" s="64" t="s" ph="1">
        <v>611</v>
      </c>
      <c r="AQ52" s="64" t="s" ph="1">
        <v>323</v>
      </c>
      <c r="AR52" s="64" t="s" ph="1">
        <v>274</v>
      </c>
      <c r="AY52" s="64" t="s" ph="1">
        <v>257</v>
      </c>
      <c r="AZ52" s="64" t="s" ph="1">
        <v>617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419</v>
      </c>
      <c r="AY53" s="64" t="s" ph="1">
        <v>257</v>
      </c>
      <c r="AZ53" s="64" t="s" ph="1">
        <v>408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420</v>
      </c>
      <c r="AJ54" s="64" t="s" ph="1">
        <v>375</v>
      </c>
      <c r="AK54" s="64" t="s" ph="1">
        <v>260</v>
      </c>
      <c r="AM54" s="64" t="s" ph="1">
        <v>377</v>
      </c>
      <c r="AN54" s="64" t="s" ph="1">
        <v>265</v>
      </c>
      <c r="AO54" s="64" t="s" ph="1">
        <v>274</v>
      </c>
      <c r="AP54" s="64" t="s" ph="1">
        <v>611</v>
      </c>
      <c r="AQ54" s="64" t="s" ph="1">
        <v>281</v>
      </c>
      <c r="AR54" s="64" t="s" ph="1">
        <v>274</v>
      </c>
      <c r="AY54" s="64" t="s" ph="1">
        <v>257</v>
      </c>
      <c r="AZ54" s="64" t="s" ph="1">
        <v>275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421</v>
      </c>
      <c r="AY55" s="64" t="s" ph="1">
        <v>257</v>
      </c>
      <c r="AZ55" s="64" t="s" ph="1">
        <v>408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422</v>
      </c>
      <c r="AY56" s="64" t="s" ph="1">
        <v>257</v>
      </c>
      <c r="AZ56" s="64" t="s" ph="1">
        <v>408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423</v>
      </c>
      <c r="AY57" s="64" t="s" ph="1">
        <v>257</v>
      </c>
      <c r="AZ57" s="64" t="s" ph="1">
        <v>408</v>
      </c>
    </row>
    <row r="58" spans="16:52" ph="1">
      <c r="P58" s="64"/>
      <c r="AN58" s="64" t="s" ph="1">
        <v>258</v>
      </c>
      <c r="AZ58" s="64" t="s" ph="1">
        <v>618</v>
      </c>
    </row>
    <row r="59" spans="16:52" ph="1">
      <c r="V59" s="64"/>
      <c r="AG59" s="64" t="s" ph="1">
        <v>276</v>
      </c>
      <c r="AI59" s="64" t="s" ph="1">
        <v>250</v>
      </c>
      <c r="AJ59" s="64" t="s" ph="1">
        <v>251</v>
      </c>
      <c r="AK59" s="64" t="s" ph="1">
        <v>252</v>
      </c>
      <c r="AM59" s="64" t="s" ph="1">
        <v>251</v>
      </c>
      <c r="AN59" s="64" t="s" ph="1">
        <v>252</v>
      </c>
      <c r="AO59" s="64" t="s" ph="1">
        <v>253</v>
      </c>
      <c r="AP59" s="64" t="s" ph="1">
        <v>251</v>
      </c>
      <c r="AQ59" s="64" t="s" ph="1">
        <v>252</v>
      </c>
      <c r="AR59" s="64" t="s" ph="1">
        <v>253</v>
      </c>
      <c r="AS59" s="64" t="s" ph="1">
        <v>251</v>
      </c>
      <c r="AT59" s="64" t="s" ph="1">
        <v>252</v>
      </c>
      <c r="AU59" s="64" t="s" ph="1">
        <v>253</v>
      </c>
      <c r="AV59" s="64" t="s" ph="1">
        <v>251</v>
      </c>
      <c r="AW59" s="64" t="s" ph="1">
        <v>252</v>
      </c>
      <c r="AX59" s="64" t="s" ph="1">
        <v>253</v>
      </c>
      <c r="AY59" s="64" t="s" ph="1">
        <v>252</v>
      </c>
      <c r="AZ59" s="64" t="s" ph="1">
        <v>254</v>
      </c>
    </row>
    <row r="60" spans="16:52" ph="1">
      <c r="R60" s="64"/>
      <c r="S60" s="64"/>
      <c r="T60" s="64"/>
      <c r="AH60" s="64" ph="1">
        <v>1</v>
      </c>
      <c r="AI60" s="64" t="s" ph="1">
        <v>424</v>
      </c>
      <c r="AY60" s="64" t="s" ph="1">
        <v>257</v>
      </c>
      <c r="AZ60" s="64" t="s" ph="1">
        <v>408</v>
      </c>
    </row>
    <row r="61" spans="16:52" ph="1">
      <c r="AH61" s="64" ph="1">
        <v>2</v>
      </c>
      <c r="AI61" s="64" t="s" ph="1">
        <v>425</v>
      </c>
      <c r="AS61" s="64" t="s" ph="1">
        <v>258</v>
      </c>
      <c r="AY61" s="64" t="s" ph="1">
        <v>257</v>
      </c>
      <c r="AZ61" s="64" t="s" ph="1">
        <v>408</v>
      </c>
    </row>
    <row r="62" spans="16:52" ph="1">
      <c r="AZ62" s="64" t="s" ph="1">
        <v>426</v>
      </c>
    </row>
    <row r="63" spans="16:52" ph="1">
      <c r="AG63" s="64" t="s" ph="1">
        <v>279</v>
      </c>
      <c r="AI63" s="64" t="s" ph="1">
        <v>250</v>
      </c>
      <c r="AJ63" s="64" t="s" ph="1">
        <v>251</v>
      </c>
      <c r="AK63" s="64" t="s" ph="1">
        <v>252</v>
      </c>
      <c r="AM63" s="64" t="s" ph="1">
        <v>251</v>
      </c>
      <c r="AN63" s="64" t="s" ph="1">
        <v>252</v>
      </c>
      <c r="AO63" s="64" t="s" ph="1">
        <v>253</v>
      </c>
      <c r="AP63" s="64" t="s" ph="1">
        <v>251</v>
      </c>
      <c r="AQ63" s="64" t="s" ph="1">
        <v>252</v>
      </c>
      <c r="AR63" s="64" t="s" ph="1">
        <v>253</v>
      </c>
      <c r="AS63" s="64" t="s" ph="1">
        <v>251</v>
      </c>
      <c r="AT63" s="64" t="s" ph="1">
        <v>252</v>
      </c>
      <c r="AU63" s="64" t="s" ph="1">
        <v>253</v>
      </c>
      <c r="AV63" s="64" t="s" ph="1">
        <v>251</v>
      </c>
      <c r="AW63" s="64" t="s" ph="1">
        <v>252</v>
      </c>
      <c r="AX63" s="64" t="s" ph="1">
        <v>253</v>
      </c>
      <c r="AY63" s="64" t="s" ph="1">
        <v>252</v>
      </c>
      <c r="AZ63" s="64" t="s" ph="1">
        <v>254</v>
      </c>
    </row>
    <row r="64" spans="16:52" ph="1">
      <c r="AH64" s="64" ph="1">
        <v>1</v>
      </c>
      <c r="AI64" s="64" t="s" ph="1">
        <v>427</v>
      </c>
      <c r="AJ64" s="64" t="s" ph="1">
        <v>428</v>
      </c>
      <c r="AK64" s="64" t="s" ph="1">
        <v>429</v>
      </c>
      <c r="AY64" s="64" t="s" ph="1">
        <v>257</v>
      </c>
      <c r="AZ64" s="64" t="s" ph="1">
        <v>429</v>
      </c>
    </row>
    <row r="65" spans="33:52" ph="1">
      <c r="AH65" s="64" ph="1">
        <v>2</v>
      </c>
      <c r="AI65" s="64" t="s" ph="1">
        <v>430</v>
      </c>
      <c r="AY65" s="64" t="s" ph="1">
        <v>257</v>
      </c>
      <c r="AZ65" s="64" t="s" ph="1">
        <v>408</v>
      </c>
    </row>
    <row r="66" spans="33:52" ph="1">
      <c r="AH66" s="64" ph="1">
        <v>3</v>
      </c>
      <c r="AI66" s="64" t="s" ph="1">
        <v>431</v>
      </c>
      <c r="AY66" s="64" t="s" ph="1">
        <v>257</v>
      </c>
      <c r="AZ66" s="64" t="s" ph="1">
        <v>408</v>
      </c>
    </row>
    <row r="67" spans="33:52" ph="1">
      <c r="AH67" s="64" ph="1">
        <v>4</v>
      </c>
      <c r="AI67" s="64" t="s" ph="1">
        <v>432</v>
      </c>
      <c r="AY67" s="64" t="s" ph="1">
        <v>257</v>
      </c>
      <c r="AZ67" s="64" t="s" ph="1">
        <v>408</v>
      </c>
    </row>
    <row r="68" spans="33:52" ph="1">
      <c r="AH68" s="64" ph="1">
        <v>5</v>
      </c>
      <c r="AI68" s="64" t="s" ph="1">
        <v>433</v>
      </c>
      <c r="AY68" s="64" t="s" ph="1">
        <v>257</v>
      </c>
      <c r="AZ68" s="64" t="s" ph="1">
        <v>408</v>
      </c>
    </row>
    <row r="69" spans="33:52" ph="1">
      <c r="AH69" s="64" ph="1">
        <v>6</v>
      </c>
      <c r="AI69" s="64" t="s" ph="1">
        <v>434</v>
      </c>
      <c r="AY69" s="64" t="s" ph="1">
        <v>257</v>
      </c>
      <c r="AZ69" s="64" t="s" ph="1">
        <v>408</v>
      </c>
    </row>
    <row r="70" spans="33:52" ph="1">
      <c r="AI70" s="64" t="s" ph="1">
        <v>435</v>
      </c>
      <c r="AY70" s="64" t="s" ph="1">
        <v>257</v>
      </c>
      <c r="AZ70" s="64" t="s" ph="1">
        <v>408</v>
      </c>
    </row>
    <row r="71" spans="33:52" ph="1">
      <c r="AH71" s="64" ph="1">
        <v>7</v>
      </c>
      <c r="AI71" s="64" t="s" ph="1">
        <v>436</v>
      </c>
      <c r="AJ71" s="64" t="s" ph="1">
        <v>375</v>
      </c>
      <c r="AK71" s="64" t="s" ph="1">
        <v>269</v>
      </c>
      <c r="AM71" s="64" t="s" ph="1">
        <v>377</v>
      </c>
      <c r="AN71" s="64" t="s" ph="1">
        <v>269</v>
      </c>
      <c r="AO71" s="64" t="s" ph="1">
        <v>437</v>
      </c>
      <c r="AP71" s="64" t="s" ph="1">
        <v>611</v>
      </c>
      <c r="AQ71" s="64" t="s" ph="1">
        <v>260</v>
      </c>
      <c r="AR71" s="64" t="s" ph="1">
        <v>437</v>
      </c>
      <c r="AY71" s="64" t="s" ph="1">
        <v>257</v>
      </c>
      <c r="AZ71" s="64" t="s" ph="1">
        <v>619</v>
      </c>
    </row>
    <row r="72" spans="33:52" ph="1">
      <c r="AZ72" s="64" t="s" ph="1">
        <v>620</v>
      </c>
    </row>
    <row r="73" spans="33:52" ph="1">
      <c r="AG73" s="64" t="s" ph="1">
        <v>282</v>
      </c>
      <c r="AI73" s="64" t="s" ph="1">
        <v>250</v>
      </c>
      <c r="AJ73" s="64" t="s" ph="1">
        <v>251</v>
      </c>
      <c r="AK73" s="64" t="s" ph="1">
        <v>252</v>
      </c>
      <c r="AM73" s="64" t="s" ph="1">
        <v>251</v>
      </c>
      <c r="AN73" s="64" t="s" ph="1">
        <v>252</v>
      </c>
      <c r="AO73" s="64" t="s" ph="1">
        <v>253</v>
      </c>
      <c r="AP73" s="64" t="s" ph="1">
        <v>251</v>
      </c>
      <c r="AQ73" s="64" t="s" ph="1">
        <v>252</v>
      </c>
      <c r="AR73" s="64" t="s" ph="1">
        <v>253</v>
      </c>
      <c r="AS73" s="64" t="s" ph="1">
        <v>251</v>
      </c>
      <c r="AT73" s="64" t="s" ph="1">
        <v>252</v>
      </c>
      <c r="AU73" s="64" t="s" ph="1">
        <v>253</v>
      </c>
      <c r="AV73" s="64" t="s" ph="1">
        <v>251</v>
      </c>
      <c r="AW73" s="64" t="s" ph="1">
        <v>252</v>
      </c>
      <c r="AX73" s="64" t="s" ph="1">
        <v>253</v>
      </c>
      <c r="AY73" s="64" t="s" ph="1">
        <v>252</v>
      </c>
      <c r="AZ73" s="64" t="s" ph="1">
        <v>254</v>
      </c>
    </row>
    <row r="74" spans="33:52" ph="1">
      <c r="AH74" s="64" ph="1">
        <v>1</v>
      </c>
      <c r="AI74" s="64" t="s" ph="1">
        <v>438</v>
      </c>
      <c r="AJ74" s="64" t="s" ph="1">
        <v>283</v>
      </c>
      <c r="AK74" s="64" t="s" ph="1">
        <v>265</v>
      </c>
      <c r="AM74" s="64" t="s" ph="1">
        <v>285</v>
      </c>
      <c r="AN74" s="64" t="s" ph="1">
        <v>295</v>
      </c>
      <c r="AO74" s="64" t="s" ph="1">
        <v>284</v>
      </c>
      <c r="AP74" s="64" t="s" ph="1">
        <v>286</v>
      </c>
      <c r="AQ74" s="64" t="s" ph="1">
        <v>263</v>
      </c>
      <c r="AR74" s="64" t="s" ph="1">
        <v>284</v>
      </c>
      <c r="AS74" s="64" t="s" ph="1">
        <v>256</v>
      </c>
      <c r="AT74" s="64" t="s" ph="1">
        <v>258</v>
      </c>
      <c r="AV74" s="64" t="s" ph="1">
        <v>439</v>
      </c>
      <c r="AW74" s="64" t="s" ph="1">
        <v>440</v>
      </c>
      <c r="AX74" s="64" t="s" ph="1">
        <v>441</v>
      </c>
      <c r="AY74" s="64" t="s" ph="1">
        <v>257</v>
      </c>
      <c r="AZ74" s="64" t="s" ph="1">
        <v>442</v>
      </c>
    </row>
    <row r="75" spans="33:52" ph="1">
      <c r="AJ75" s="64" t="s" ph="1">
        <v>288</v>
      </c>
      <c r="AK75" s="64" t="s" ph="1">
        <v>341</v>
      </c>
      <c r="AM75" s="64" t="s" ph="1">
        <v>286</v>
      </c>
      <c r="AN75" s="64" t="s" ph="1">
        <v>266</v>
      </c>
      <c r="AO75" s="64" t="s" ph="1">
        <v>284</v>
      </c>
      <c r="AS75" s="64" t="s" ph="1">
        <v>256</v>
      </c>
      <c r="AT75" s="64" t="s" ph="1">
        <v>287</v>
      </c>
    </row>
    <row r="76" spans="33:52" ph="1">
      <c r="AJ76" s="64" t="s" ph="1">
        <v>288</v>
      </c>
      <c r="AK76" s="64" t="s" ph="1">
        <v>281</v>
      </c>
      <c r="AM76" s="64" t="s" ph="1">
        <v>286</v>
      </c>
      <c r="AN76" s="64" t="s" ph="1">
        <v>269</v>
      </c>
      <c r="AO76" s="64" t="s" ph="1">
        <v>284</v>
      </c>
      <c r="AS76" s="64" t="s" ph="1">
        <v>256</v>
      </c>
      <c r="AT76" s="64" t="s" ph="1">
        <v>287</v>
      </c>
    </row>
    <row r="77" spans="33:52" ph="1">
      <c r="AJ77" s="64" t="s" ph="1">
        <v>324</v>
      </c>
      <c r="AK77" s="64" t="s" ph="1">
        <v>281</v>
      </c>
      <c r="AM77" s="64" t="s" ph="1">
        <v>325</v>
      </c>
      <c r="AN77" s="64" t="s" ph="1">
        <v>264</v>
      </c>
      <c r="AO77" s="64" t="s" ph="1">
        <v>284</v>
      </c>
      <c r="AS77" s="64" t="s" ph="1">
        <v>256</v>
      </c>
      <c r="AT77" s="64" t="s" ph="1">
        <v>326</v>
      </c>
    </row>
    <row r="78" spans="33:52" ph="1">
      <c r="AH78" s="64" ph="1">
        <v>2</v>
      </c>
      <c r="AI78" s="64" t="s" ph="1">
        <v>290</v>
      </c>
      <c r="AJ78" s="64" t="s" ph="1">
        <v>291</v>
      </c>
      <c r="AK78" s="64" t="s" ph="1">
        <v>260</v>
      </c>
      <c r="AM78" s="64" t="s" ph="1">
        <v>292</v>
      </c>
      <c r="AN78" s="64" t="s" ph="1">
        <v>295</v>
      </c>
      <c r="AO78" s="64" t="s" ph="1">
        <v>284</v>
      </c>
      <c r="AP78" s="64" t="s" ph="1">
        <v>293</v>
      </c>
      <c r="AQ78" s="64" t="s" ph="1">
        <v>339</v>
      </c>
      <c r="AR78" s="64" t="s" ph="1">
        <v>284</v>
      </c>
      <c r="AS78" s="64" t="s" ph="1">
        <v>294</v>
      </c>
      <c r="AT78" s="64" t="s" ph="1">
        <v>295</v>
      </c>
      <c r="AU78" s="64" t="s" ph="1">
        <v>284</v>
      </c>
      <c r="AV78" s="64" t="s" ph="1">
        <v>296</v>
      </c>
      <c r="AW78" s="64" t="s" ph="1">
        <v>284</v>
      </c>
      <c r="AY78" s="64" t="s" ph="1">
        <v>257</v>
      </c>
      <c r="AZ78" s="64" t="s" ph="1">
        <v>443</v>
      </c>
    </row>
    <row r="79" spans="33:52" ph="1">
      <c r="AJ79" s="64" t="s" ph="1">
        <v>286</v>
      </c>
      <c r="AK79" s="64" t="s" ph="1">
        <v>297</v>
      </c>
      <c r="AM79" s="64" t="s" ph="1">
        <v>298</v>
      </c>
      <c r="AN79" s="64" t="s" ph="1">
        <v>266</v>
      </c>
      <c r="AO79" s="64" t="s" ph="1">
        <v>284</v>
      </c>
      <c r="AP79" s="64" t="s" ph="1">
        <v>299</v>
      </c>
      <c r="AQ79" s="64" t="s" ph="1">
        <v>264</v>
      </c>
      <c r="AR79" s="64" t="s" ph="1">
        <v>300</v>
      </c>
      <c r="AS79" s="64" t="s" ph="1">
        <v>256</v>
      </c>
      <c r="AT79" s="64" t="s" ph="1">
        <v>301</v>
      </c>
      <c r="AV79" s="64" t="s" ph="1">
        <v>444</v>
      </c>
      <c r="AW79" s="64" t="s" ph="1">
        <v>343</v>
      </c>
      <c r="AX79" s="64" t="s" ph="1">
        <v>441</v>
      </c>
    </row>
    <row r="80" spans="33:52" ph="1">
      <c r="AH80" s="64" ph="1">
        <v>3</v>
      </c>
      <c r="AI80" s="64" t="s" ph="1">
        <v>302</v>
      </c>
      <c r="AJ80" s="64" t="s" ph="1">
        <v>303</v>
      </c>
      <c r="AK80" s="64" t="s" ph="1">
        <v>304</v>
      </c>
      <c r="AM80" s="64" t="s" ph="1">
        <v>305</v>
      </c>
      <c r="AN80" s="64" t="s" ph="1">
        <v>295</v>
      </c>
      <c r="AO80" s="64" t="s" ph="1">
        <v>284</v>
      </c>
      <c r="AP80" s="64" t="s" ph="1">
        <v>306</v>
      </c>
      <c r="AQ80" s="64" t="s" ph="1">
        <v>269</v>
      </c>
      <c r="AR80" s="64" t="s" ph="1">
        <v>284</v>
      </c>
      <c r="AS80" s="64" t="s" ph="1">
        <v>307</v>
      </c>
      <c r="AT80" s="64" t="s" ph="1">
        <v>268</v>
      </c>
      <c r="AU80" s="64" t="s" ph="1">
        <v>284</v>
      </c>
      <c r="AV80" s="64" t="s" ph="1">
        <v>308</v>
      </c>
      <c r="AW80" s="64" t="s" ph="1">
        <v>284</v>
      </c>
      <c r="AY80" s="64" t="s" ph="1">
        <v>257</v>
      </c>
      <c r="AZ80" s="64" t="s" ph="1">
        <v>445</v>
      </c>
    </row>
    <row r="81" spans="34:52" ph="1">
      <c r="AJ81" s="64" t="s" ph="1">
        <v>309</v>
      </c>
      <c r="AK81" s="64" t="s" ph="1">
        <v>263</v>
      </c>
      <c r="AM81" s="64" t="s" ph="1">
        <v>310</v>
      </c>
      <c r="AN81" s="64" t="s" ph="1">
        <v>266</v>
      </c>
      <c r="AO81" s="64" t="s" ph="1">
        <v>284</v>
      </c>
      <c r="AP81" s="64" t="s" ph="1">
        <v>311</v>
      </c>
      <c r="AQ81" s="64" t="s" ph="1">
        <v>295</v>
      </c>
      <c r="AR81" s="64" t="s" ph="1">
        <v>284</v>
      </c>
      <c r="AS81" s="64" t="s" ph="1">
        <v>312</v>
      </c>
      <c r="AT81" s="64" t="s" ph="1">
        <v>313</v>
      </c>
      <c r="AU81" s="64" t="s" ph="1">
        <v>284</v>
      </c>
      <c r="AV81" s="64" t="s" ph="1">
        <v>314</v>
      </c>
    </row>
    <row r="82" spans="34:52" ph="1">
      <c r="AJ82" s="64" t="s" ph="1">
        <v>315</v>
      </c>
      <c r="AK82" s="64" t="s" ph="1">
        <v>263</v>
      </c>
      <c r="AM82" s="64" t="s" ph="1">
        <v>316</v>
      </c>
      <c r="AN82" s="64" t="s" ph="1">
        <v>313</v>
      </c>
      <c r="AO82" s="64" t="s" ph="1">
        <v>317</v>
      </c>
      <c r="AP82" s="64" t="s" ph="1">
        <v>318</v>
      </c>
      <c r="AQ82" s="64" t="s" ph="1">
        <v>295</v>
      </c>
      <c r="AR82" s="64" t="s" ph="1">
        <v>284</v>
      </c>
      <c r="AS82" s="64" t="s" ph="1">
        <v>319</v>
      </c>
      <c r="AT82" s="64" t="s" ph="1">
        <v>270</v>
      </c>
      <c r="AU82" s="64" t="s" ph="1">
        <v>284</v>
      </c>
      <c r="AV82" s="64" t="s" ph="1">
        <v>444</v>
      </c>
      <c r="AW82" s="64" t="s" ph="1">
        <v>344</v>
      </c>
      <c r="AX82" s="64" t="s" ph="1">
        <v>441</v>
      </c>
    </row>
    <row r="83" spans="34:52" ph="1">
      <c r="AJ83" s="64" t="s" ph="1">
        <v>320</v>
      </c>
      <c r="AK83" s="64" t="s" ph="1">
        <v>337</v>
      </c>
      <c r="AM83" s="64" t="s" ph="1">
        <v>321</v>
      </c>
      <c r="AN83" s="64" t="s" ph="1">
        <v>269</v>
      </c>
      <c r="AO83" s="64" t="s" ph="1">
        <v>300</v>
      </c>
      <c r="AP83" s="64" t="s" ph="1">
        <v>322</v>
      </c>
      <c r="AQ83" s="64" t="s" ph="1">
        <v>323</v>
      </c>
      <c r="AR83" s="64" t="s" ph="1">
        <v>300</v>
      </c>
      <c r="AS83" s="64" t="s" ph="1">
        <v>446</v>
      </c>
      <c r="AT83" s="64" t="s" ph="1">
        <v>295</v>
      </c>
      <c r="AU83" s="64" t="s" ph="1">
        <v>300</v>
      </c>
      <c r="AV83" s="64" t="s" ph="1">
        <v>447</v>
      </c>
      <c r="AW83" s="64" t="s" ph="1">
        <v>344</v>
      </c>
      <c r="AX83" s="64" t="s" ph="1">
        <v>448</v>
      </c>
    </row>
    <row r="84" spans="34:52" ph="1">
      <c r="AH84" s="64" ph="1">
        <v>4</v>
      </c>
      <c r="AI84" s="64" t="s" ph="1">
        <v>327</v>
      </c>
      <c r="AJ84" s="64" t="s" ph="1">
        <v>267</v>
      </c>
      <c r="AK84" s="64" t="s" ph="1">
        <v>270</v>
      </c>
      <c r="AM84" s="64" t="s" ph="1">
        <v>271</v>
      </c>
      <c r="AN84" s="64" t="s" ph="1">
        <v>264</v>
      </c>
      <c r="AO84" s="64" t="s" ph="1">
        <v>300</v>
      </c>
      <c r="AP84" s="64" t="s" ph="1">
        <v>329</v>
      </c>
      <c r="AQ84" s="64" t="s" ph="1">
        <v>263</v>
      </c>
      <c r="AR84" s="64" t="s" ph="1">
        <v>300</v>
      </c>
      <c r="AS84" s="64" t="s" ph="1">
        <v>329</v>
      </c>
      <c r="AT84" s="64" t="s" ph="1">
        <v>265</v>
      </c>
      <c r="AU84" s="64" t="s" ph="1">
        <v>300</v>
      </c>
      <c r="AY84" s="64" t="s" ph="1">
        <v>257</v>
      </c>
      <c r="AZ84" s="64" t="s" ph="1">
        <v>449</v>
      </c>
    </row>
    <row r="85" spans="34:52" ph="1">
      <c r="AJ85" s="64" t="s" ph="1">
        <v>259</v>
      </c>
      <c r="AK85" s="64" t="s" ph="1">
        <v>263</v>
      </c>
      <c r="AM85" s="64" t="s" ph="1">
        <v>450</v>
      </c>
      <c r="AN85" s="64" t="s" ph="1">
        <v>270</v>
      </c>
      <c r="AO85" s="64" t="s" ph="1">
        <v>300</v>
      </c>
      <c r="AP85" s="64" t="s" ph="1">
        <v>451</v>
      </c>
      <c r="AQ85" s="64" t="s" ph="1">
        <v>266</v>
      </c>
      <c r="AR85" s="64" t="s" ph="1">
        <v>300</v>
      </c>
      <c r="AS85" s="64" t="s" ph="1">
        <v>452</v>
      </c>
      <c r="AT85" s="64" t="s" ph="1">
        <v>266</v>
      </c>
      <c r="AU85" s="64" t="s" ph="1">
        <v>300</v>
      </c>
    </row>
    <row r="86" spans="34:52" ph="1">
      <c r="AJ86" s="64" t="s" ph="1">
        <v>453</v>
      </c>
      <c r="AK86" s="64" t="s" ph="1">
        <v>272</v>
      </c>
      <c r="AM86" s="64" t="s" ph="1">
        <v>454</v>
      </c>
      <c r="AN86" s="64" t="s" ph="1">
        <v>313</v>
      </c>
      <c r="AO86" s="64" t="s" ph="1">
        <v>300</v>
      </c>
      <c r="AP86" s="64" t="s" ph="1">
        <v>455</v>
      </c>
      <c r="AQ86" s="64" t="s" ph="1">
        <v>260</v>
      </c>
      <c r="AR86" s="64" t="s" ph="1">
        <v>300</v>
      </c>
      <c r="AS86" s="64" t="s" ph="1">
        <v>456</v>
      </c>
      <c r="AT86" s="64" t="s" ph="1">
        <v>278</v>
      </c>
      <c r="AU86" s="64" t="s" ph="1">
        <v>300</v>
      </c>
    </row>
    <row r="87" spans="34:52" ph="1">
      <c r="AJ87" s="64" t="s" ph="1">
        <v>457</v>
      </c>
      <c r="AK87" s="64" t="s" ph="1">
        <v>313</v>
      </c>
      <c r="AM87" s="64" t="s" ph="1">
        <v>444</v>
      </c>
      <c r="AN87" s="64" t="s" ph="1">
        <v>458</v>
      </c>
      <c r="AO87" s="64" t="s" ph="1">
        <v>441</v>
      </c>
    </row>
    <row r="88" spans="34:52" ph="1">
      <c r="AH88" s="64" ph="1">
        <v>5</v>
      </c>
      <c r="AI88" s="64" t="s" ph="1">
        <v>330</v>
      </c>
      <c r="AJ88" s="64" t="s" ph="1">
        <v>459</v>
      </c>
      <c r="AK88" s="64" t="s" ph="1">
        <v>313</v>
      </c>
      <c r="AM88" s="64" t="s" ph="1">
        <v>460</v>
      </c>
      <c r="AN88" s="64" t="s" ph="1">
        <v>313</v>
      </c>
      <c r="AO88" s="64" t="s" ph="1">
        <v>300</v>
      </c>
      <c r="AP88" s="64" t="s" ph="1">
        <v>461</v>
      </c>
      <c r="AQ88" s="64" t="s" ph="1">
        <v>263</v>
      </c>
      <c r="AR88" s="64" t="s" ph="1">
        <v>300</v>
      </c>
      <c r="AS88" s="64" t="s" ph="1">
        <v>462</v>
      </c>
      <c r="AT88" s="64" t="s" ph="1">
        <v>313</v>
      </c>
      <c r="AU88" s="64" t="s" ph="1">
        <v>300</v>
      </c>
      <c r="AV88" s="64" t="s" ph="1">
        <v>463</v>
      </c>
      <c r="AW88" s="64" t="s" ph="1">
        <v>268</v>
      </c>
      <c r="AX88" s="64" t="s" ph="1">
        <v>300</v>
      </c>
      <c r="AY88" s="64" t="s" ph="1">
        <v>257</v>
      </c>
      <c r="AZ88" s="64" t="s" ph="1">
        <v>464</v>
      </c>
    </row>
    <row r="89" spans="34:52" ph="1">
      <c r="AJ89" s="64" t="s" ph="1">
        <v>465</v>
      </c>
      <c r="AK89" s="64" t="s" ph="1">
        <v>266</v>
      </c>
      <c r="AM89" s="64" t="s" ph="1">
        <v>466</v>
      </c>
      <c r="AN89" s="64" t="s" ph="1">
        <v>269</v>
      </c>
      <c r="AO89" s="64" t="s" ph="1">
        <v>300</v>
      </c>
      <c r="AP89" s="64" t="s" ph="1">
        <v>467</v>
      </c>
      <c r="AQ89" s="64" t="s" ph="1">
        <v>278</v>
      </c>
      <c r="AR89" s="64" t="s" ph="1">
        <v>300</v>
      </c>
      <c r="AS89" s="64" t="s" ph="1">
        <v>468</v>
      </c>
      <c r="AT89" s="64" t="s" ph="1">
        <v>313</v>
      </c>
      <c r="AU89" s="64" t="s" ph="1">
        <v>300</v>
      </c>
      <c r="AV89" s="64" t="s" ph="1">
        <v>469</v>
      </c>
      <c r="AW89" s="64" t="s" ph="1">
        <v>295</v>
      </c>
      <c r="AX89" s="64" t="s" ph="1">
        <v>328</v>
      </c>
    </row>
    <row r="90" spans="34:52" ph="1">
      <c r="AJ90" s="64" t="s" ph="1">
        <v>470</v>
      </c>
      <c r="AK90" s="64" t="s" ph="1">
        <v>269</v>
      </c>
      <c r="AM90" s="64" t="s" ph="1">
        <v>471</v>
      </c>
      <c r="AN90" s="64" t="s" ph="1">
        <v>266</v>
      </c>
      <c r="AO90" s="64" t="s" ph="1">
        <v>300</v>
      </c>
      <c r="AP90" s="64" t="s" ph="1">
        <v>472</v>
      </c>
      <c r="AQ90" s="64" t="s" ph="1">
        <v>335</v>
      </c>
      <c r="AR90" s="64" t="s" ph="1">
        <v>300</v>
      </c>
      <c r="AS90" s="64" t="s" ph="1">
        <v>473</v>
      </c>
      <c r="AT90" s="64" t="s" ph="1">
        <v>323</v>
      </c>
      <c r="AU90" s="64" t="s" ph="1">
        <v>300</v>
      </c>
      <c r="AV90" s="64" t="s" ph="1">
        <v>474</v>
      </c>
      <c r="AW90" s="64" t="s" ph="1">
        <v>260</v>
      </c>
      <c r="AX90" s="64" t="s" ph="1">
        <v>300</v>
      </c>
    </row>
    <row r="91" spans="34:52" ph="1">
      <c r="AJ91" s="64" t="s" ph="1">
        <v>475</v>
      </c>
      <c r="AK91" s="64" t="s" ph="1">
        <v>313</v>
      </c>
      <c r="AM91" s="64" t="s" ph="1">
        <v>476</v>
      </c>
      <c r="AN91" s="64" t="s" ph="1">
        <v>280</v>
      </c>
      <c r="AO91" s="64" t="s" ph="1">
        <v>300</v>
      </c>
      <c r="AP91" s="64" t="s" ph="1">
        <v>477</v>
      </c>
      <c r="AQ91" s="64" t="s" ph="1">
        <v>260</v>
      </c>
      <c r="AS91" s="64" t="s" ph="1">
        <v>444</v>
      </c>
      <c r="AT91" s="64" t="s" ph="1">
        <v>440</v>
      </c>
      <c r="AU91" s="64" t="s" ph="1">
        <v>441</v>
      </c>
    </row>
    <row r="92" spans="34:52" ph="1">
      <c r="AH92" s="64" ph="1">
        <v>6</v>
      </c>
      <c r="AI92" s="64" t="s" ph="1">
        <v>478</v>
      </c>
      <c r="AJ92" s="64" t="s" ph="1">
        <v>479</v>
      </c>
      <c r="AK92" s="64" t="s" ph="1">
        <v>408</v>
      </c>
      <c r="AM92" s="64" t="s" ph="1">
        <v>480</v>
      </c>
      <c r="AN92" s="64" t="s" ph="1">
        <v>268</v>
      </c>
      <c r="AO92" s="64" t="s" ph="1">
        <v>300</v>
      </c>
      <c r="AP92" s="64" t="s" ph="1">
        <v>481</v>
      </c>
      <c r="AQ92" s="64" t="s" ph="1">
        <v>340</v>
      </c>
      <c r="AR92" s="64" t="s" ph="1">
        <v>300</v>
      </c>
      <c r="AS92" s="64" t="s" ph="1">
        <v>482</v>
      </c>
      <c r="AT92" s="64" t="s" ph="1">
        <v>313</v>
      </c>
      <c r="AU92" s="64" t="s" ph="1">
        <v>300</v>
      </c>
      <c r="AV92" s="64" t="s" ph="1">
        <v>483</v>
      </c>
      <c r="AW92" s="64" t="s" ph="1">
        <v>269</v>
      </c>
      <c r="AX92" s="64" t="s" ph="1">
        <v>300</v>
      </c>
      <c r="AY92" s="64" t="s" ph="1">
        <v>257</v>
      </c>
      <c r="AZ92" s="64" t="s" ph="1">
        <v>464</v>
      </c>
    </row>
    <row r="93" spans="34:52" ph="1">
      <c r="AJ93" s="64" t="s" ph="1">
        <v>484</v>
      </c>
      <c r="AK93" s="64" t="s" ph="1">
        <v>263</v>
      </c>
      <c r="AM93" s="64" t="s" ph="1">
        <v>485</v>
      </c>
      <c r="AN93" s="64" t="s" ph="1">
        <v>268</v>
      </c>
      <c r="AO93" s="64" t="s" ph="1">
        <v>300</v>
      </c>
      <c r="AP93" s="64" t="s" ph="1">
        <v>486</v>
      </c>
      <c r="AQ93" s="64" t="s" ph="1">
        <v>272</v>
      </c>
      <c r="AR93" s="64" t="s" ph="1">
        <v>300</v>
      </c>
      <c r="AS93" s="64" t="s" ph="1">
        <v>487</v>
      </c>
      <c r="AT93" s="64" t="s" ph="1">
        <v>278</v>
      </c>
      <c r="AU93" s="64" t="s" ph="1">
        <v>300</v>
      </c>
      <c r="AV93" s="64" t="s" ph="1">
        <v>488</v>
      </c>
      <c r="AW93" s="64" t="s" ph="1">
        <v>272</v>
      </c>
      <c r="AX93" s="64" t="s" ph="1">
        <v>300</v>
      </c>
    </row>
    <row r="94" spans="34:52" ph="1">
      <c r="AJ94" s="64" t="s" ph="1">
        <v>489</v>
      </c>
      <c r="AK94" s="64" t="s" ph="1">
        <v>335</v>
      </c>
      <c r="AM94" s="64" t="s" ph="1">
        <v>490</v>
      </c>
      <c r="AN94" s="64" t="s" ph="1">
        <v>272</v>
      </c>
      <c r="AO94" s="64" t="s" ph="1">
        <v>300</v>
      </c>
      <c r="AP94" s="64" t="s" ph="1">
        <v>491</v>
      </c>
      <c r="AQ94" s="64" t="s" ph="1">
        <v>280</v>
      </c>
      <c r="AR94" s="64" t="s" ph="1">
        <v>300</v>
      </c>
      <c r="AS94" s="64" t="s" ph="1">
        <v>492</v>
      </c>
      <c r="AT94" s="64" t="s" ph="1">
        <v>266</v>
      </c>
      <c r="AU94" s="64" t="s" ph="1">
        <v>300</v>
      </c>
      <c r="AV94" s="64" t="s" ph="1">
        <v>493</v>
      </c>
      <c r="AW94" s="64" t="s" ph="1">
        <v>266</v>
      </c>
      <c r="AX94" s="64" t="s" ph="1">
        <v>300</v>
      </c>
    </row>
    <row r="95" spans="34:52" ph="1">
      <c r="AJ95" s="64" t="s" ph="1">
        <v>494</v>
      </c>
      <c r="AK95" s="64" t="s" ph="1">
        <v>340</v>
      </c>
    </row>
    <row r="96" spans="34:52" ph="1">
      <c r="AH96" s="64" ph="1">
        <v>7</v>
      </c>
      <c r="AI96" s="64" t="s" ph="1">
        <v>495</v>
      </c>
      <c r="AJ96" s="64" t="s" ph="1">
        <v>494</v>
      </c>
      <c r="AK96" s="64" t="s" ph="1">
        <v>295</v>
      </c>
      <c r="AM96" s="64" t="s" ph="1">
        <v>496</v>
      </c>
      <c r="AN96" s="64" t="s" ph="1">
        <v>269</v>
      </c>
      <c r="AO96" s="64" t="s" ph="1">
        <v>300</v>
      </c>
      <c r="AP96" s="64" t="s" ph="1">
        <v>497</v>
      </c>
      <c r="AQ96" s="64" t="s" ph="1">
        <v>313</v>
      </c>
      <c r="AR96" s="64" t="s" ph="1">
        <v>328</v>
      </c>
      <c r="AS96" s="64" t="s" ph="1">
        <v>498</v>
      </c>
      <c r="AT96" s="64" t="s" ph="1">
        <v>272</v>
      </c>
      <c r="AU96" s="64" t="s" ph="1">
        <v>328</v>
      </c>
      <c r="AV96" s="64" t="s" ph="1">
        <v>499</v>
      </c>
      <c r="AW96" s="64" t="s" ph="1">
        <v>268</v>
      </c>
      <c r="AX96" s="64" t="s" ph="1">
        <v>328</v>
      </c>
      <c r="AY96" s="64" t="s" ph="1">
        <v>257</v>
      </c>
      <c r="AZ96" s="64" t="s" ph="1">
        <v>500</v>
      </c>
    </row>
    <row r="97" spans="33:52" ph="1">
      <c r="AJ97" s="64" t="s" ph="1">
        <v>501</v>
      </c>
      <c r="AK97" s="64" t="s" ph="1">
        <v>323</v>
      </c>
      <c r="AM97" s="64" t="s" ph="1">
        <v>502</v>
      </c>
      <c r="AN97" s="64" t="s" ph="1">
        <v>266</v>
      </c>
      <c r="AO97" s="64" t="s" ph="1">
        <v>300</v>
      </c>
      <c r="AP97" s="64" t="s" ph="1">
        <v>503</v>
      </c>
      <c r="AQ97" s="64" t="s" ph="1">
        <v>260</v>
      </c>
      <c r="AR97" s="64" t="s" ph="1">
        <v>328</v>
      </c>
      <c r="AS97" s="64" t="s" ph="1">
        <v>504</v>
      </c>
      <c r="AT97" s="64" t="s" ph="1">
        <v>263</v>
      </c>
      <c r="AU97" s="64" t="s" ph="1">
        <v>328</v>
      </c>
      <c r="AV97" s="64" t="s" ph="1">
        <v>505</v>
      </c>
      <c r="AW97" s="64" t="s" ph="1">
        <v>269</v>
      </c>
      <c r="AX97" s="64" t="s" ph="1">
        <v>328</v>
      </c>
    </row>
    <row r="98" spans="33:52" ph="1">
      <c r="AJ98" s="64" t="s" ph="1">
        <v>506</v>
      </c>
      <c r="AK98" s="64" t="s" ph="1">
        <v>272</v>
      </c>
      <c r="AM98" s="64" t="s" ph="1">
        <v>507</v>
      </c>
      <c r="AN98" s="64" t="s" ph="1">
        <v>280</v>
      </c>
      <c r="AO98" s="64" t="s" ph="1">
        <v>300</v>
      </c>
      <c r="AP98" s="64" t="s" ph="1">
        <v>508</v>
      </c>
      <c r="AQ98" s="64" t="s" ph="1">
        <v>260</v>
      </c>
      <c r="AR98" s="64" t="s" ph="1">
        <v>328</v>
      </c>
      <c r="AS98" s="64" t="s" ph="1">
        <v>509</v>
      </c>
      <c r="AT98" s="64" t="s" ph="1">
        <v>340</v>
      </c>
      <c r="AU98" s="64" t="s" ph="1">
        <v>328</v>
      </c>
      <c r="AV98" s="64" t="s" ph="1">
        <v>510</v>
      </c>
      <c r="AW98" s="64" t="s" ph="1">
        <v>263</v>
      </c>
      <c r="AX98" s="64" t="s" ph="1">
        <v>328</v>
      </c>
    </row>
    <row r="99" spans="33:52" ph="1">
      <c r="AH99" s="64" ph="1">
        <v>8</v>
      </c>
      <c r="AI99" s="64" t="s" ph="1">
        <v>511</v>
      </c>
      <c r="AJ99" s="64" t="s" ph="1">
        <v>512</v>
      </c>
      <c r="AK99" s="64" t="s" ph="1">
        <v>408</v>
      </c>
      <c r="AM99" s="64" t="s" ph="1">
        <v>513</v>
      </c>
      <c r="AN99" s="64" t="s" ph="1">
        <v>295</v>
      </c>
      <c r="AO99" s="64" t="s" ph="1">
        <v>300</v>
      </c>
      <c r="AP99" s="64" t="s" ph="1">
        <v>514</v>
      </c>
      <c r="AQ99" s="64" t="s" ph="1">
        <v>265</v>
      </c>
      <c r="AR99" s="64" t="s" ph="1">
        <v>328</v>
      </c>
      <c r="AS99" s="64" t="s" ph="1">
        <v>515</v>
      </c>
      <c r="AT99" s="64" t="s" ph="1">
        <v>280</v>
      </c>
      <c r="AU99" s="64" t="s" ph="1">
        <v>328</v>
      </c>
      <c r="AV99" s="64" t="s" ph="1">
        <v>516</v>
      </c>
      <c r="AW99" s="64" t="s" ph="1">
        <v>265</v>
      </c>
      <c r="AX99" s="64" t="s" ph="1">
        <v>328</v>
      </c>
      <c r="AY99" s="64" t="s" ph="1">
        <v>257</v>
      </c>
      <c r="AZ99" s="64" t="s" ph="1">
        <v>517</v>
      </c>
    </row>
    <row r="100" spans="33:52" ph="1">
      <c r="AJ100" s="64" t="s" ph="1">
        <v>518</v>
      </c>
      <c r="AK100" s="64" t="s" ph="1">
        <v>263</v>
      </c>
      <c r="AM100" s="64" t="s" ph="1">
        <v>519</v>
      </c>
      <c r="AN100" s="64" t="s" ph="1">
        <v>335</v>
      </c>
      <c r="AO100" s="64" t="s" ph="1">
        <v>300</v>
      </c>
      <c r="AP100" s="64" t="s" ph="1">
        <v>520</v>
      </c>
      <c r="AQ100" s="64" t="s" ph="1">
        <v>341</v>
      </c>
      <c r="AR100" s="64" t="s" ph="1">
        <v>328</v>
      </c>
      <c r="AS100" s="64" t="s" ph="1">
        <v>521</v>
      </c>
      <c r="AT100" s="64" t="s" ph="1">
        <v>408</v>
      </c>
      <c r="AU100" s="64" t="s" ph="1">
        <v>300</v>
      </c>
      <c r="AV100" s="64" t="s" ph="1">
        <v>522</v>
      </c>
      <c r="AW100" s="64" t="s" ph="1">
        <v>408</v>
      </c>
      <c r="AX100" s="64" t="s" ph="1">
        <v>300</v>
      </c>
    </row>
    <row r="101" spans="33:52" ph="1">
      <c r="AJ101" s="64" t="s" ph="1">
        <v>523</v>
      </c>
      <c r="AK101" s="64" t="s" ph="1">
        <v>408</v>
      </c>
      <c r="AM101" s="64" t="s" ph="1">
        <v>524</v>
      </c>
      <c r="AN101" s="64" t="s" ph="1">
        <v>266</v>
      </c>
      <c r="AO101" s="64" t="s" ph="1">
        <v>300</v>
      </c>
      <c r="AP101" s="64" t="s" ph="1">
        <v>525</v>
      </c>
      <c r="AQ101" s="64" t="s" ph="1">
        <v>278</v>
      </c>
      <c r="AR101" s="64" t="s" ph="1">
        <v>328</v>
      </c>
      <c r="AS101" s="64" t="s" ph="1">
        <v>526</v>
      </c>
      <c r="AT101" s="64" t="s" ph="1">
        <v>335</v>
      </c>
      <c r="AU101" s="64" t="s" ph="1">
        <v>328</v>
      </c>
      <c r="AV101" s="64" t="s" ph="1">
        <v>527</v>
      </c>
      <c r="AW101" s="64" t="s" ph="1">
        <v>266</v>
      </c>
      <c r="AX101" s="64" t="s" ph="1">
        <v>300</v>
      </c>
    </row>
    <row r="102" spans="33:52" ph="1">
      <c r="AJ102" s="64" t="s" ph="1">
        <v>528</v>
      </c>
      <c r="AK102" s="64" t="s" ph="1">
        <v>263</v>
      </c>
      <c r="AM102" s="64" t="s" ph="1">
        <v>529</v>
      </c>
      <c r="AN102" s="64" t="s" ph="1">
        <v>272</v>
      </c>
      <c r="AO102" s="64" t="s" ph="1">
        <v>300</v>
      </c>
      <c r="AP102" s="64" t="s" ph="1">
        <v>530</v>
      </c>
      <c r="AQ102" s="64" t="s" ph="1">
        <v>278</v>
      </c>
      <c r="AR102" s="64" t="s" ph="1">
        <v>300</v>
      </c>
      <c r="AS102" s="64" t="s" ph="1">
        <v>531</v>
      </c>
      <c r="AT102" s="64" t="s" ph="1">
        <v>295</v>
      </c>
      <c r="AU102" s="64" t="s" ph="1">
        <v>300</v>
      </c>
      <c r="AV102" s="64" t="s" ph="1">
        <v>532</v>
      </c>
      <c r="AW102" s="64" t="s" ph="1">
        <v>313</v>
      </c>
      <c r="AX102" s="64" t="s" ph="1">
        <v>300</v>
      </c>
    </row>
    <row r="103" spans="33:52" ph="1">
      <c r="AH103" s="64" ph="1">
        <v>9</v>
      </c>
      <c r="AI103" s="64" t="s" ph="1">
        <v>533</v>
      </c>
      <c r="AJ103" s="64" t="s" ph="1">
        <v>534</v>
      </c>
      <c r="AK103" s="64" t="s" ph="1">
        <v>408</v>
      </c>
      <c r="AM103" s="64" t="s" ph="1">
        <v>535</v>
      </c>
      <c r="AN103" s="64" t="s" ph="1">
        <v>323</v>
      </c>
      <c r="AO103" s="64" t="s" ph="1">
        <v>300</v>
      </c>
      <c r="AP103" s="64" t="s" ph="1">
        <v>377</v>
      </c>
      <c r="AQ103" s="64" t="s" ph="1">
        <v>266</v>
      </c>
      <c r="AR103" s="64" t="s" ph="1">
        <v>300</v>
      </c>
      <c r="AS103" s="64" t="s" ph="1">
        <v>611</v>
      </c>
      <c r="AT103" s="64" t="s" ph="1">
        <v>408</v>
      </c>
      <c r="AU103" s="64" t="s" ph="1">
        <v>300</v>
      </c>
      <c r="AY103" s="64" t="s" ph="1">
        <v>257</v>
      </c>
      <c r="AZ103" s="64" t="s" ph="1">
        <v>265</v>
      </c>
    </row>
    <row r="104" spans="33:52" ph="1">
      <c r="AZ104" s="64" t="s" ph="1">
        <v>536</v>
      </c>
    </row>
    <row r="105" spans="33:52" ph="1">
      <c r="AG105" s="64" t="s" ph="1">
        <v>336</v>
      </c>
      <c r="AI105" s="64" t="s" ph="1">
        <v>250</v>
      </c>
      <c r="AJ105" s="64" t="s" ph="1">
        <v>251</v>
      </c>
      <c r="AK105" s="64" t="s" ph="1">
        <v>252</v>
      </c>
      <c r="AM105" s="64" t="s" ph="1">
        <v>251</v>
      </c>
      <c r="AN105" s="64" t="s" ph="1">
        <v>252</v>
      </c>
      <c r="AO105" s="64" t="s" ph="1">
        <v>253</v>
      </c>
      <c r="AP105" s="64" t="s" ph="1">
        <v>251</v>
      </c>
      <c r="AQ105" s="64" t="s" ph="1">
        <v>252</v>
      </c>
      <c r="AR105" s="64" t="s" ph="1">
        <v>253</v>
      </c>
      <c r="AS105" s="64" t="s" ph="1">
        <v>251</v>
      </c>
      <c r="AT105" s="64" t="s" ph="1">
        <v>252</v>
      </c>
      <c r="AU105" s="64" t="s" ph="1">
        <v>253</v>
      </c>
      <c r="AV105" s="64" t="s" ph="1">
        <v>251</v>
      </c>
      <c r="AW105" s="64" t="s" ph="1">
        <v>252</v>
      </c>
      <c r="AX105" s="64" t="s" ph="1">
        <v>253</v>
      </c>
      <c r="AZ105" s="64" t="s" ph="1">
        <v>254</v>
      </c>
    </row>
    <row r="106" spans="33:52" ph="1">
      <c r="AH106" s="64" ph="1">
        <v>1</v>
      </c>
      <c r="AI106" s="64" t="s" ph="1">
        <v>537</v>
      </c>
      <c r="AJ106" s="64" t="s" ph="1">
        <v>611</v>
      </c>
      <c r="AK106" s="64" t="s" ph="1">
        <v>272</v>
      </c>
      <c r="AZ106" s="64" t="s" ph="1">
        <v>272</v>
      </c>
    </row>
    <row r="107" spans="33:52" ph="1">
      <c r="AH107" s="64" ph="1">
        <v>2</v>
      </c>
      <c r="AI107" s="64" t="s" ph="1">
        <v>538</v>
      </c>
      <c r="AJ107" s="64" t="s" ph="1">
        <v>539</v>
      </c>
      <c r="AK107" s="64" t="s" ph="1">
        <v>269</v>
      </c>
      <c r="AM107" s="64" t="s" ph="1">
        <v>375</v>
      </c>
      <c r="AN107" s="64" t="s" ph="1">
        <v>540</v>
      </c>
      <c r="AO107" s="64" t="s" ph="1">
        <v>541</v>
      </c>
      <c r="AP107" s="64" t="s" ph="1">
        <v>377</v>
      </c>
      <c r="AQ107" s="64" t="s" ph="1">
        <v>345</v>
      </c>
      <c r="AR107" s="64" t="s" ph="1">
        <v>541</v>
      </c>
      <c r="AS107" s="64" t="s" ph="1">
        <v>611</v>
      </c>
      <c r="AT107" s="64" t="s" ph="1">
        <v>540</v>
      </c>
      <c r="AU107" s="64" t="s" ph="1">
        <v>541</v>
      </c>
      <c r="AY107" s="64" t="s" ph="1">
        <v>257</v>
      </c>
      <c r="AZ107" s="64" t="s" ph="1">
        <v>621</v>
      </c>
    </row>
    <row r="108" spans="33:52" ph="1">
      <c r="AH108" s="64" ph="1">
        <v>3</v>
      </c>
      <c r="AI108" s="64" t="s" ph="1">
        <v>542</v>
      </c>
      <c r="AY108" s="64" t="s" ph="1">
        <v>257</v>
      </c>
      <c r="AZ108" s="64" t="s" ph="1">
        <v>408</v>
      </c>
    </row>
    <row r="109" spans="33:52" ph="1">
      <c r="AH109" s="64" ph="1">
        <v>4</v>
      </c>
      <c r="AI109" s="64" t="s" ph="1">
        <v>543</v>
      </c>
      <c r="AY109" s="64" t="s" ph="1">
        <v>257</v>
      </c>
      <c r="AZ109" s="64" t="s" ph="1">
        <v>408</v>
      </c>
    </row>
    <row r="110" spans="33:52" ph="1">
      <c r="AH110" s="64" ph="1">
        <v>5</v>
      </c>
      <c r="AI110" s="64" t="s" ph="1">
        <v>544</v>
      </c>
      <c r="AY110" s="64" t="s" ph="1">
        <v>257</v>
      </c>
      <c r="AZ110" s="64" t="s" ph="1">
        <v>408</v>
      </c>
    </row>
    <row r="111" spans="33:52" ph="1">
      <c r="AH111" s="64" ph="1">
        <v>6</v>
      </c>
      <c r="AI111" s="64" t="s" ph="1">
        <v>622</v>
      </c>
      <c r="AJ111" s="64" t="s" ph="1">
        <v>527</v>
      </c>
      <c r="AK111" s="64" t="s" ph="1">
        <v>266</v>
      </c>
      <c r="AM111" s="64" t="s" ph="1">
        <v>528</v>
      </c>
      <c r="AN111" s="64" t="s" ph="1">
        <v>260</v>
      </c>
      <c r="AO111" s="64" t="s" ph="1">
        <v>541</v>
      </c>
      <c r="AP111" s="64" t="s" ph="1">
        <v>529</v>
      </c>
      <c r="AQ111" s="64" t="s" ph="1">
        <v>269</v>
      </c>
      <c r="AR111" s="64" t="s" ph="1">
        <v>541</v>
      </c>
      <c r="AS111" s="64" t="s" ph="1">
        <v>530</v>
      </c>
      <c r="AT111" s="64" t="s" ph="1">
        <v>278</v>
      </c>
      <c r="AU111" s="64" t="s" ph="1">
        <v>541</v>
      </c>
      <c r="AV111" s="64" t="s" ph="1">
        <v>531</v>
      </c>
      <c r="AW111" s="64" t="s" ph="1">
        <v>268</v>
      </c>
      <c r="AX111" s="64" t="s" ph="1">
        <v>541</v>
      </c>
      <c r="AY111" s="64" t="s" ph="1">
        <v>257</v>
      </c>
      <c r="AZ111" s="64" t="s" ph="1">
        <v>545</v>
      </c>
    </row>
    <row r="112" spans="33:52" ph="1">
      <c r="AJ112" s="64" t="s" ph="1">
        <v>532</v>
      </c>
      <c r="AK112" s="64" t="s" ph="1">
        <v>313</v>
      </c>
      <c r="AM112" s="64" t="s" ph="1">
        <v>534</v>
      </c>
      <c r="AN112" s="64" t="s" ph="1">
        <v>337</v>
      </c>
      <c r="AO112" s="64" t="s" ph="1">
        <v>541</v>
      </c>
      <c r="AP112" s="64" t="s" ph="1">
        <v>535</v>
      </c>
      <c r="AQ112" s="64" t="s" ph="1">
        <v>546</v>
      </c>
      <c r="AR112" s="64" t="s" ph="1">
        <v>541</v>
      </c>
      <c r="AS112" s="64" t="s" ph="1">
        <v>547</v>
      </c>
      <c r="AT112" s="64" t="s" ph="1">
        <v>289</v>
      </c>
      <c r="AU112" s="64" t="s" ph="1">
        <v>541</v>
      </c>
      <c r="AV112" s="64" t="s" ph="1">
        <v>548</v>
      </c>
      <c r="AW112" s="64" t="s" ph="1">
        <v>335</v>
      </c>
      <c r="AX112" s="64" t="s" ph="1">
        <v>541</v>
      </c>
    </row>
    <row r="113" spans="33:52" ph="1">
      <c r="AH113" s="64" ph="1">
        <v>7</v>
      </c>
      <c r="AI113" s="64" t="s" ph="1">
        <v>549</v>
      </c>
      <c r="AJ113" s="64" t="s" ph="1">
        <v>630</v>
      </c>
      <c r="AK113" s="64" t="s" ph="1">
        <v>635</v>
      </c>
      <c r="AY113" s="64" t="s" ph="1">
        <v>257</v>
      </c>
      <c r="AZ113" s="64" t="s" ph="1">
        <v>635</v>
      </c>
    </row>
    <row r="114" spans="33:52" ph="1">
      <c r="AH114" s="64" ph="1">
        <v>8</v>
      </c>
      <c r="AI114" s="64" t="s" ph="1">
        <v>550</v>
      </c>
      <c r="AJ114" s="64" t="s" ph="1">
        <v>630</v>
      </c>
      <c r="AK114" s="64" t="s" ph="1">
        <v>636</v>
      </c>
      <c r="AY114" s="64" t="s" ph="1">
        <v>257</v>
      </c>
      <c r="AZ114" s="64" t="s" ph="1">
        <v>636</v>
      </c>
    </row>
    <row r="115" spans="33:52" ph="1">
      <c r="AH115" s="64" ph="1">
        <v>9</v>
      </c>
      <c r="AI115" s="64" t="s" ph="1">
        <v>551</v>
      </c>
      <c r="AJ115" s="64" t="s" ph="1">
        <v>630</v>
      </c>
      <c r="AK115" s="64" t="s" ph="1">
        <v>636</v>
      </c>
      <c r="AY115" s="64" t="s" ph="1">
        <v>257</v>
      </c>
      <c r="AZ115" s="64" t="s" ph="1">
        <v>636</v>
      </c>
    </row>
    <row r="116" spans="33:52" ph="1">
      <c r="AH116" s="64" ph="1">
        <v>10</v>
      </c>
      <c r="AI116" s="64" t="s" ph="1">
        <v>552</v>
      </c>
      <c r="AJ116" s="64" t="s" ph="1">
        <v>630</v>
      </c>
      <c r="AK116" s="64" t="s" ph="1">
        <v>636</v>
      </c>
      <c r="AY116" s="64" t="s" ph="1">
        <v>257</v>
      </c>
      <c r="AZ116" s="64" t="s" ph="1">
        <v>636</v>
      </c>
    </row>
    <row r="117" spans="33:52" ph="1">
      <c r="AH117" s="64" ph="1">
        <v>11</v>
      </c>
      <c r="AI117" s="64" t="s" ph="1">
        <v>553</v>
      </c>
      <c r="AJ117" s="64" t="s" ph="1">
        <v>630</v>
      </c>
      <c r="AK117" s="64" t="s" ph="1">
        <v>636</v>
      </c>
      <c r="AY117" s="64" t="s" ph="1">
        <v>257</v>
      </c>
      <c r="AZ117" s="64" t="s" ph="1">
        <v>636</v>
      </c>
    </row>
    <row r="118" spans="33:52" ph="1">
      <c r="AZ118" s="64" t="s" ph="1">
        <v>637</v>
      </c>
    </row>
    <row r="119" spans="33:52" ph="1">
      <c r="AI119" s="64" t="s" ph="1">
        <v>250</v>
      </c>
      <c r="AJ119" s="64" t="s" ph="1">
        <v>251</v>
      </c>
      <c r="AK119" s="64" t="s" ph="1">
        <v>252</v>
      </c>
      <c r="AM119" s="64" t="s" ph="1">
        <v>251</v>
      </c>
      <c r="AN119" s="64" t="s" ph="1">
        <v>252</v>
      </c>
      <c r="AO119" s="64" t="s" ph="1">
        <v>253</v>
      </c>
      <c r="AP119" s="64" t="s" ph="1">
        <v>251</v>
      </c>
      <c r="AQ119" s="64" t="s" ph="1">
        <v>252</v>
      </c>
      <c r="AR119" s="64" t="s" ph="1">
        <v>253</v>
      </c>
      <c r="AS119" s="64" t="s" ph="1">
        <v>251</v>
      </c>
      <c r="AT119" s="64" t="s" ph="1">
        <v>252</v>
      </c>
      <c r="AU119" s="64" t="s" ph="1">
        <v>253</v>
      </c>
      <c r="AV119" s="64" t="s" ph="1">
        <v>251</v>
      </c>
      <c r="AW119" s="64" t="s" ph="1">
        <v>252</v>
      </c>
      <c r="AX119" s="64" t="s" ph="1">
        <v>253</v>
      </c>
      <c r="AY119" s="64" t="s" ph="1">
        <v>252</v>
      </c>
      <c r="AZ119" s="64" t="s" ph="1">
        <v>254</v>
      </c>
    </row>
    <row r="120" spans="33:52" ph="1">
      <c r="AG120" s="64" t="s" ph="1">
        <v>394</v>
      </c>
      <c r="AH120" s="64" ph="1">
        <v>1</v>
      </c>
      <c r="AI120" s="64" t="s" ph="1">
        <v>554</v>
      </c>
      <c r="AJ120" s="64" t="s" ph="1">
        <v>628</v>
      </c>
      <c r="AK120" s="64" t="s" ph="1">
        <v>408</v>
      </c>
      <c r="AY120" s="64" t="s" ph="1">
        <v>257</v>
      </c>
      <c r="AZ120" s="64" t="s" ph="1">
        <v>408</v>
      </c>
    </row>
    <row r="121" spans="33:52" ph="1">
      <c r="AH121" s="64" ph="1">
        <v>2</v>
      </c>
      <c r="AI121" s="64" t="s" ph="1">
        <v>555</v>
      </c>
      <c r="AY121" s="64" t="s" ph="1">
        <v>257</v>
      </c>
      <c r="AZ121" s="64" t="s" ph="1">
        <v>408</v>
      </c>
    </row>
    <row r="122" spans="33:52" ph="1">
      <c r="AH122" s="64" ph="1">
        <v>3</v>
      </c>
      <c r="AI122" s="64" t="s" ph="1">
        <v>556</v>
      </c>
      <c r="AJ122" s="64" t="s" ph="1">
        <v>611</v>
      </c>
      <c r="AK122" s="64" t="s" ph="1">
        <v>623</v>
      </c>
      <c r="AM122" s="64" t="s" ph="1">
        <v>638</v>
      </c>
      <c r="AN122" s="64" t="s" ph="1">
        <v>631</v>
      </c>
      <c r="AO122" s="64" t="s" ph="1">
        <v>108</v>
      </c>
      <c r="AY122" s="64" t="s" ph="1">
        <v>257</v>
      </c>
      <c r="AZ122" s="64" t="s" ph="1">
        <v>620</v>
      </c>
    </row>
    <row r="123" spans="33:52" ph="1">
      <c r="AY123" s="64" t="s" ph="1">
        <v>257</v>
      </c>
      <c r="AZ123" s="64" t="s" ph="1">
        <v>620</v>
      </c>
    </row>
    <row r="124" spans="33:52" ph="1">
      <c r="AG124" s="64" t="s" ph="1">
        <v>397</v>
      </c>
      <c r="AH124" s="64" ph="1">
        <v>4</v>
      </c>
      <c r="AI124" s="64" t="s" ph="1">
        <v>557</v>
      </c>
      <c r="AJ124" s="64" t="s" ph="1">
        <v>558</v>
      </c>
      <c r="AK124" s="64" t="s" ph="1">
        <v>559</v>
      </c>
      <c r="AY124" s="64" t="s" ph="1">
        <v>257</v>
      </c>
      <c r="AZ124" s="64" t="s" ph="1">
        <v>559</v>
      </c>
    </row>
    <row r="125" spans="33:52" ph="1">
      <c r="AH125" s="64" ph="1">
        <v>5</v>
      </c>
      <c r="AI125" s="64" t="s" ph="1">
        <v>560</v>
      </c>
      <c r="AJ125" s="64" t="s" ph="1">
        <v>558</v>
      </c>
      <c r="AK125" s="64" t="s" ph="1">
        <v>559</v>
      </c>
      <c r="AY125" s="64" t="s" ph="1">
        <v>257</v>
      </c>
      <c r="AZ125" s="64" t="s" ph="1">
        <v>559</v>
      </c>
    </row>
    <row r="126" spans="33:52" ph="1">
      <c r="AH126" s="64" ph="1">
        <v>6</v>
      </c>
      <c r="AI126" s="64" t="s" ph="1">
        <v>561</v>
      </c>
      <c r="AJ126" s="64" t="s" ph="1">
        <v>630</v>
      </c>
      <c r="AK126" s="64" t="s" ph="1">
        <v>639</v>
      </c>
      <c r="AY126" s="64" t="s" ph="1">
        <v>257</v>
      </c>
      <c r="AZ126" s="64" t="s" ph="1">
        <v>639</v>
      </c>
    </row>
    <row r="127" spans="33:52" ph="1">
      <c r="AH127" s="64" ph="1">
        <v>7</v>
      </c>
      <c r="AI127" s="64" t="s" ph="1">
        <v>562</v>
      </c>
      <c r="AJ127" s="64" t="s" ph="1">
        <v>630</v>
      </c>
      <c r="AK127" s="64" t="s" ph="1">
        <v>640</v>
      </c>
      <c r="AY127" s="64" t="s" ph="1">
        <v>257</v>
      </c>
      <c r="AZ127" s="64" t="s" ph="1">
        <v>640</v>
      </c>
    </row>
    <row r="128" spans="33:52" ph="1">
      <c r="AH128" s="64" ph="1">
        <v>8</v>
      </c>
      <c r="AI128" s="64" t="s" ph="1">
        <v>563</v>
      </c>
      <c r="AY128" s="64" t="s" ph="1">
        <v>257</v>
      </c>
      <c r="AZ128" s="64" t="s" ph="1">
        <v>408</v>
      </c>
    </row>
    <row r="129" spans="33:52" ph="1">
      <c r="AH129" s="64" ph="1">
        <v>9</v>
      </c>
      <c r="AI129" s="64" t="s" ph="1">
        <v>564</v>
      </c>
      <c r="AY129" s="64" t="s" ph="1">
        <v>257</v>
      </c>
      <c r="AZ129" s="64" t="s" ph="1">
        <v>408</v>
      </c>
    </row>
    <row r="130" spans="33:52" ph="1">
      <c r="AH130" s="64" ph="1">
        <v>10</v>
      </c>
      <c r="AI130" s="64" t="s" ph="1">
        <v>565</v>
      </c>
      <c r="AY130" s="64" t="s" ph="1">
        <v>257</v>
      </c>
      <c r="AZ130" s="64" t="s" ph="1">
        <v>408</v>
      </c>
    </row>
    <row r="131" spans="33:52" ph="1">
      <c r="AH131" s="64" ph="1">
        <v>11</v>
      </c>
      <c r="AI131" s="64" t="s" ph="1">
        <v>566</v>
      </c>
      <c r="AJ131" s="64" t="s" ph="1">
        <v>624</v>
      </c>
      <c r="AK131" s="64" t="s" ph="1">
        <v>620</v>
      </c>
      <c r="AY131" s="64" t="s" ph="1">
        <v>257</v>
      </c>
      <c r="AZ131" s="64" t="s" ph="1">
        <v>620</v>
      </c>
    </row>
    <row r="132" spans="33:52" ph="1">
      <c r="AH132" s="64" ph="1">
        <v>12</v>
      </c>
      <c r="AI132" s="64" t="s" ph="1">
        <v>567</v>
      </c>
      <c r="AJ132" s="64" t="s" ph="1">
        <v>624</v>
      </c>
      <c r="AK132" s="64" t="s" ph="1">
        <v>559</v>
      </c>
      <c r="AY132" s="64" t="s" ph="1">
        <v>257</v>
      </c>
      <c r="AZ132" s="64" t="s" ph="1">
        <v>559</v>
      </c>
    </row>
    <row r="133" spans="33:52" ph="1">
      <c r="AH133" s="64" ph="1">
        <v>13</v>
      </c>
      <c r="AI133" s="64" t="s" ph="1">
        <v>568</v>
      </c>
      <c r="AJ133" s="64" t="s" ph="1">
        <v>624</v>
      </c>
      <c r="AK133" s="64" t="s" ph="1">
        <v>625</v>
      </c>
      <c r="AY133" s="64" t="s" ph="1">
        <v>257</v>
      </c>
      <c r="AZ133" s="64" t="s" ph="1">
        <v>625</v>
      </c>
    </row>
    <row r="134" spans="33:52" ph="1">
      <c r="AH134" s="64" ph="1">
        <v>14</v>
      </c>
      <c r="AI134" s="64" t="s" ph="1">
        <v>569</v>
      </c>
      <c r="AJ134" s="64" t="s" ph="1">
        <v>624</v>
      </c>
      <c r="AK134" s="64" t="s" ph="1">
        <v>626</v>
      </c>
      <c r="AY134" s="64" t="s" ph="1">
        <v>257</v>
      </c>
      <c r="AZ134" s="64" t="s" ph="1">
        <v>626</v>
      </c>
    </row>
    <row r="135" spans="33:52" ph="1">
      <c r="AH135" s="64" ph="1">
        <v>15</v>
      </c>
      <c r="AI135" s="64" t="s" ph="1">
        <v>570</v>
      </c>
      <c r="AJ135" s="64" t="s" ph="1">
        <v>624</v>
      </c>
      <c r="AK135" s="64" t="s" ph="1">
        <v>627</v>
      </c>
      <c r="AY135" s="64" t="s" ph="1">
        <v>257</v>
      </c>
      <c r="AZ135" s="64" t="s" ph="1">
        <v>627</v>
      </c>
    </row>
    <row r="136" spans="33:52" ph="1">
      <c r="AZ136" s="64" t="s" ph="1">
        <v>641</v>
      </c>
    </row>
    <row r="137" spans="33:52" ph="1">
      <c r="AG137" s="64" t="s" ph="1">
        <v>331</v>
      </c>
      <c r="AI137" s="64" t="s" ph="1">
        <v>250</v>
      </c>
      <c r="AJ137" s="64" t="s" ph="1">
        <v>251</v>
      </c>
      <c r="AK137" s="64" t="s" ph="1">
        <v>252</v>
      </c>
      <c r="AM137" s="64" t="s" ph="1">
        <v>251</v>
      </c>
      <c r="AN137" s="64" t="s" ph="1">
        <v>252</v>
      </c>
      <c r="AO137" s="64" t="s" ph="1">
        <v>253</v>
      </c>
      <c r="AP137" s="64" t="s" ph="1">
        <v>251</v>
      </c>
      <c r="AQ137" s="64" t="s" ph="1">
        <v>252</v>
      </c>
      <c r="AR137" s="64" t="s" ph="1">
        <v>253</v>
      </c>
      <c r="AS137" s="64" t="s" ph="1">
        <v>251</v>
      </c>
      <c r="AT137" s="64" t="s" ph="1">
        <v>252</v>
      </c>
      <c r="AU137" s="64" t="s" ph="1">
        <v>253</v>
      </c>
      <c r="AV137" s="64" t="s" ph="1">
        <v>251</v>
      </c>
      <c r="AW137" s="64" t="s" ph="1">
        <v>252</v>
      </c>
      <c r="AX137" s="64" t="s" ph="1">
        <v>253</v>
      </c>
      <c r="AY137" s="64" t="s" ph="1">
        <v>252</v>
      </c>
      <c r="AZ137" s="64" t="s" ph="1">
        <v>254</v>
      </c>
    </row>
    <row r="138" spans="33:52" ph="1">
      <c r="AH138" s="64" ph="1">
        <v>1</v>
      </c>
      <c r="AI138" s="64" t="s" ph="1">
        <v>571</v>
      </c>
      <c r="AJ138" s="64" t="s" ph="1">
        <v>572</v>
      </c>
      <c r="AK138" s="64" t="s" ph="1">
        <v>573</v>
      </c>
      <c r="AY138" s="64" t="s" ph="1">
        <v>257</v>
      </c>
      <c r="AZ138" s="64" t="s" ph="1">
        <v>573</v>
      </c>
    </row>
    <row r="139" spans="33:52" ph="1">
      <c r="AH139" s="64" ph="1">
        <v>2</v>
      </c>
      <c r="AI139" s="64" t="s" ph="1">
        <v>574</v>
      </c>
      <c r="AJ139" s="64" t="s" ph="1">
        <v>630</v>
      </c>
      <c r="AK139" s="64" t="s" ph="1">
        <v>642</v>
      </c>
      <c r="AY139" s="64" t="s" ph="1">
        <v>257</v>
      </c>
      <c r="AZ139" s="64" t="s" ph="1">
        <v>642</v>
      </c>
    </row>
    <row r="140" spans="33:52" ph="1">
      <c r="AH140" s="64" ph="1">
        <v>3</v>
      </c>
      <c r="AI140" s="64" t="s" ph="1">
        <v>575</v>
      </c>
      <c r="AJ140" s="64" t="s" ph="1">
        <v>528</v>
      </c>
      <c r="AK140" s="64" t="s" ph="1">
        <v>340</v>
      </c>
      <c r="AM140" s="64" t="s" ph="1">
        <v>529</v>
      </c>
      <c r="AN140" s="64" t="s" ph="1">
        <v>260</v>
      </c>
      <c r="AO140" s="64" t="s" ph="1">
        <v>576</v>
      </c>
      <c r="AP140" s="64" t="s" ph="1">
        <v>530</v>
      </c>
      <c r="AQ140" s="64" t="s" ph="1">
        <v>277</v>
      </c>
      <c r="AR140" s="64" t="s" ph="1">
        <v>576</v>
      </c>
      <c r="AS140" s="64" t="s" ph="1">
        <v>531</v>
      </c>
      <c r="AT140" s="64" t="s" ph="1">
        <v>270</v>
      </c>
      <c r="AU140" s="64" t="s" ph="1">
        <v>576</v>
      </c>
      <c r="AV140" s="64" t="s" ph="1">
        <v>532</v>
      </c>
      <c r="AW140" s="64" t="s" ph="1">
        <v>263</v>
      </c>
      <c r="AX140" s="64" t="s" ph="1">
        <v>576</v>
      </c>
      <c r="AY140" s="64" t="s" ph="1">
        <v>257</v>
      </c>
      <c r="AZ140" s="64" t="s" ph="1">
        <v>332</v>
      </c>
    </row>
    <row r="141" spans="33:52" ph="1">
      <c r="AJ141" s="64" t="s" ph="1">
        <v>534</v>
      </c>
      <c r="AK141" s="64" t="s" ph="1">
        <v>263</v>
      </c>
      <c r="AM141" s="64" t="s" ph="1">
        <v>535</v>
      </c>
      <c r="AN141" s="64" t="s" ph="1">
        <v>266</v>
      </c>
      <c r="AO141" s="64" t="s" ph="1">
        <v>576</v>
      </c>
      <c r="AP141" s="64" t="s" ph="1">
        <v>547</v>
      </c>
      <c r="AQ141" s="64" t="s" ph="1">
        <v>335</v>
      </c>
      <c r="AR141" s="64" t="s" ph="1">
        <v>576</v>
      </c>
      <c r="AS141" s="64" t="s" ph="1">
        <v>539</v>
      </c>
      <c r="AT141" s="64" t="s" ph="1">
        <v>263</v>
      </c>
      <c r="AU141" s="64" t="s" ph="1">
        <v>576</v>
      </c>
      <c r="AV141" s="64" t="s" ph="1">
        <v>375</v>
      </c>
      <c r="AW141" s="64" t="s" ph="1">
        <v>269</v>
      </c>
      <c r="AX141" s="64" t="s" ph="1">
        <v>576</v>
      </c>
    </row>
    <row r="142" spans="33:52" ph="1">
      <c r="AJ142" s="64" t="s" ph="1">
        <v>577</v>
      </c>
      <c r="AK142" s="64" t="s" ph="1">
        <v>280</v>
      </c>
    </row>
    <row r="143" spans="33:52" ph="1">
      <c r="AH143" s="64" ph="1">
        <v>4</v>
      </c>
      <c r="AI143" s="64" t="s" ph="1">
        <v>578</v>
      </c>
      <c r="AJ143" s="64" t="s" ph="1">
        <v>558</v>
      </c>
      <c r="AK143" s="64" t="s" ph="1">
        <v>579</v>
      </c>
      <c r="AY143" s="64" t="s" ph="1">
        <v>257</v>
      </c>
      <c r="AZ143" s="64" t="s" ph="1">
        <v>579</v>
      </c>
    </row>
    <row r="144" spans="33:52" ph="1">
      <c r="AH144" s="64" ph="1">
        <v>5</v>
      </c>
      <c r="AI144" s="64" t="s" ph="1">
        <v>580</v>
      </c>
      <c r="AY144" s="64" t="s" ph="1">
        <v>257</v>
      </c>
      <c r="AZ144" s="64" t="s" ph="1">
        <v>408</v>
      </c>
    </row>
    <row r="145" spans="33:52" ph="1">
      <c r="AH145" s="64" ph="1">
        <v>6</v>
      </c>
      <c r="AI145" s="64" t="s" ph="1">
        <v>581</v>
      </c>
      <c r="AY145" s="64" t="s" ph="1">
        <v>257</v>
      </c>
      <c r="AZ145" s="64" t="s" ph="1">
        <v>408</v>
      </c>
    </row>
    <row r="146" spans="33:52" ph="1">
      <c r="AH146" s="64" ph="1">
        <v>7</v>
      </c>
      <c r="AI146" s="64" t="s" ph="1">
        <v>582</v>
      </c>
      <c r="AY146" s="64" t="s" ph="1">
        <v>257</v>
      </c>
      <c r="AZ146" s="64" t="s" ph="1">
        <v>408</v>
      </c>
    </row>
    <row r="147" spans="33:52" ph="1">
      <c r="AH147" s="64" ph="1">
        <v>8</v>
      </c>
      <c r="AI147" s="64" t="s" ph="1">
        <v>583</v>
      </c>
      <c r="AY147" s="64" t="s" ph="1">
        <v>257</v>
      </c>
      <c r="AZ147" s="64" t="s" ph="1">
        <v>408</v>
      </c>
    </row>
    <row r="148" spans="33:52" ph="1">
      <c r="AH148" s="64" ph="1">
        <v>9</v>
      </c>
      <c r="AI148" s="64" t="s" ph="1">
        <v>584</v>
      </c>
      <c r="AY148" s="64" t="s" ph="1">
        <v>257</v>
      </c>
      <c r="AZ148" s="64" t="s" ph="1">
        <v>408</v>
      </c>
    </row>
    <row r="149" spans="33:52" ph="1">
      <c r="AH149" s="64" ph="1">
        <v>10</v>
      </c>
      <c r="AI149" s="64" t="s" ph="1">
        <v>585</v>
      </c>
      <c r="AY149" s="64" t="s" ph="1">
        <v>257</v>
      </c>
      <c r="AZ149" s="64" t="s" ph="1">
        <v>408</v>
      </c>
    </row>
    <row r="150" spans="33:52" ph="1">
      <c r="AH150" s="64" ph="1">
        <v>11</v>
      </c>
      <c r="AI150" s="64" t="s" ph="1">
        <v>586</v>
      </c>
      <c r="AY150" s="64" t="s" ph="1">
        <v>257</v>
      </c>
      <c r="AZ150" s="64" t="s" ph="1">
        <v>408</v>
      </c>
    </row>
    <row r="151" spans="33:52" ph="1">
      <c r="AH151" s="64" ph="1">
        <v>12</v>
      </c>
      <c r="AI151" s="64" t="s" ph="1">
        <v>587</v>
      </c>
      <c r="AY151" s="64" t="s" ph="1">
        <v>257</v>
      </c>
      <c r="AZ151" s="64" t="s" ph="1">
        <v>408</v>
      </c>
    </row>
    <row r="152" spans="33:52" ph="1">
      <c r="AH152" s="64" ph="1">
        <v>13</v>
      </c>
      <c r="AI152" s="64" t="s" ph="1">
        <v>588</v>
      </c>
      <c r="AY152" s="64" t="s" ph="1">
        <v>257</v>
      </c>
      <c r="AZ152" s="64" t="s" ph="1">
        <v>408</v>
      </c>
    </row>
    <row r="153" spans="33:52" ph="1">
      <c r="AH153" s="64" ph="1">
        <v>14</v>
      </c>
      <c r="AI153" s="64" t="s" ph="1">
        <v>589</v>
      </c>
      <c r="AY153" s="64" t="s" ph="1">
        <v>257</v>
      </c>
      <c r="AZ153" s="64" t="s" ph="1">
        <v>408</v>
      </c>
    </row>
    <row r="154" spans="33:52" ph="1">
      <c r="AH154" s="64" ph="1">
        <v>15</v>
      </c>
      <c r="AI154" s="64" t="s" ph="1">
        <v>590</v>
      </c>
      <c r="AY154" s="64" t="s" ph="1">
        <v>257</v>
      </c>
      <c r="AZ154" s="64" t="s" ph="1">
        <v>408</v>
      </c>
    </row>
    <row r="155" spans="33:52" ph="1">
      <c r="AH155" s="64" ph="1">
        <v>16</v>
      </c>
      <c r="AI155" s="64" t="s" ph="1">
        <v>591</v>
      </c>
      <c r="AJ155" s="64" t="s" ph="1">
        <v>377</v>
      </c>
      <c r="AK155" s="64" t="s" ph="1">
        <v>272</v>
      </c>
      <c r="AM155" s="64" t="s" ph="1">
        <v>611</v>
      </c>
      <c r="AN155" s="64" t="s" ph="1">
        <v>323</v>
      </c>
      <c r="AO155" s="64" t="s" ph="1">
        <v>576</v>
      </c>
      <c r="AY155" s="64" t="s" ph="1">
        <v>257</v>
      </c>
      <c r="AZ155" s="64" t="s" ph="1">
        <v>264</v>
      </c>
    </row>
    <row r="156" spans="33:52" ph="1">
      <c r="AZ156" s="64" t="s" ph="1">
        <v>643</v>
      </c>
    </row>
    <row r="157" spans="33:52" ph="1">
      <c r="AG157" s="64" t="s" ph="1">
        <v>592</v>
      </c>
      <c r="AI157" s="64" t="s" ph="1">
        <v>250</v>
      </c>
      <c r="AJ157" s="64" t="s" ph="1">
        <v>251</v>
      </c>
      <c r="AK157" s="64" t="s" ph="1">
        <v>252</v>
      </c>
      <c r="AM157" s="64" t="s" ph="1">
        <v>251</v>
      </c>
      <c r="AN157" s="64" t="s" ph="1">
        <v>252</v>
      </c>
      <c r="AO157" s="64" t="s" ph="1">
        <v>253</v>
      </c>
      <c r="AP157" s="64" t="s" ph="1">
        <v>251</v>
      </c>
      <c r="AQ157" s="64" t="s" ph="1">
        <v>252</v>
      </c>
      <c r="AR157" s="64" t="s" ph="1">
        <v>253</v>
      </c>
      <c r="AS157" s="64" t="s" ph="1">
        <v>251</v>
      </c>
      <c r="AT157" s="64" t="s" ph="1">
        <v>252</v>
      </c>
      <c r="AU157" s="64" t="s" ph="1">
        <v>253</v>
      </c>
      <c r="AV157" s="64" t="s" ph="1">
        <v>251</v>
      </c>
      <c r="AW157" s="64" t="s" ph="1">
        <v>252</v>
      </c>
      <c r="AX157" s="64" t="s" ph="1">
        <v>253</v>
      </c>
      <c r="AY157" s="64" t="s" ph="1">
        <v>252</v>
      </c>
      <c r="AZ157" s="64" t="s" ph="1">
        <v>254</v>
      </c>
    </row>
    <row r="158" spans="33:52" ph="1">
      <c r="AH158" s="64" ph="1">
        <v>1</v>
      </c>
      <c r="AI158" s="64" t="s" ph="1">
        <v>593</v>
      </c>
      <c r="AY158" s="64" t="s" ph="1">
        <v>257</v>
      </c>
      <c r="AZ158" s="64" t="s" ph="1">
        <v>408</v>
      </c>
    </row>
    <row r="159" spans="33:52" ph="1">
      <c r="AH159" s="64" ph="1">
        <v>2</v>
      </c>
      <c r="AI159" s="64" t="s" ph="1">
        <v>594</v>
      </c>
      <c r="AY159" s="64" t="s" ph="1">
        <v>257</v>
      </c>
      <c r="AZ159" s="64" t="s" ph="1">
        <v>408</v>
      </c>
    </row>
    <row r="160" spans="33:52" ph="1">
      <c r="AZ160" s="64" t="s" ph="1">
        <v>426</v>
      </c>
    </row>
    <row r="161" spans="33:52" ph="1">
      <c r="AG161" s="64" t="s" ph="1">
        <v>402</v>
      </c>
      <c r="AI161" s="64" t="s" ph="1">
        <v>250</v>
      </c>
      <c r="AJ161" s="64" t="s" ph="1">
        <v>251</v>
      </c>
      <c r="AK161" s="64" t="s" ph="1">
        <v>252</v>
      </c>
      <c r="AM161" s="64" t="s" ph="1">
        <v>251</v>
      </c>
      <c r="AN161" s="64" t="s" ph="1">
        <v>252</v>
      </c>
      <c r="AO161" s="64" t="s" ph="1">
        <v>253</v>
      </c>
      <c r="AP161" s="64" t="s" ph="1">
        <v>251</v>
      </c>
      <c r="AQ161" s="64" t="s" ph="1">
        <v>252</v>
      </c>
      <c r="AR161" s="64" t="s" ph="1">
        <v>253</v>
      </c>
      <c r="AS161" s="64" t="s" ph="1">
        <v>251</v>
      </c>
      <c r="AT161" s="64" t="s" ph="1">
        <v>252</v>
      </c>
      <c r="AU161" s="64" t="s" ph="1">
        <v>253</v>
      </c>
      <c r="AV161" s="64" t="s" ph="1">
        <v>251</v>
      </c>
      <c r="AW161" s="64" t="s" ph="1">
        <v>252</v>
      </c>
      <c r="AX161" s="64" t="s" ph="1">
        <v>253</v>
      </c>
      <c r="AY161" s="64" t="s" ph="1">
        <v>252</v>
      </c>
      <c r="AZ161" s="64" t="s" ph="1">
        <v>254</v>
      </c>
    </row>
    <row r="162" spans="33:52" ph="1">
      <c r="AH162" s="64" ph="1">
        <v>1</v>
      </c>
      <c r="AI162" s="64" t="s" ph="1">
        <v>595</v>
      </c>
      <c r="AJ162" s="64" t="s" ph="1">
        <v>596</v>
      </c>
      <c r="AK162" s="64" t="s" ph="1">
        <v>540</v>
      </c>
      <c r="AM162" s="64" t="s" ph="1">
        <v>597</v>
      </c>
      <c r="AN162" s="64" t="s" ph="1">
        <v>261</v>
      </c>
      <c r="AO162" s="64" t="s" ph="1">
        <v>598</v>
      </c>
      <c r="AY162" s="64" t="s" ph="1">
        <v>257</v>
      </c>
      <c r="AZ162" s="64" t="s" ph="1">
        <v>333</v>
      </c>
    </row>
    <row r="163" spans="33:52" ph="1">
      <c r="AH163" s="64" ph="1">
        <v>2</v>
      </c>
      <c r="AI163" s="64" t="s" ph="1">
        <v>599</v>
      </c>
      <c r="AJ163" s="64" t="s" ph="1">
        <v>596</v>
      </c>
      <c r="AK163" s="64" t="s" ph="1">
        <v>429</v>
      </c>
      <c r="AY163" s="64" t="s" ph="1">
        <v>257</v>
      </c>
      <c r="AZ163" s="64" t="s" ph="1">
        <v>429</v>
      </c>
    </row>
    <row r="164" spans="33:52" ph="1">
      <c r="AH164" s="64" ph="1">
        <v>3</v>
      </c>
      <c r="AI164" s="64" t="s" ph="1">
        <v>600</v>
      </c>
      <c r="AJ164" s="64" t="s" ph="1">
        <v>596</v>
      </c>
      <c r="AK164" s="64" t="s" ph="1">
        <v>333</v>
      </c>
      <c r="AY164" s="64" t="s" ph="1">
        <v>257</v>
      </c>
      <c r="AZ164" s="64" t="s" ph="1">
        <v>333</v>
      </c>
    </row>
    <row r="165" spans="33:52" ph="1">
      <c r="AH165" s="64" ph="1">
        <v>4</v>
      </c>
      <c r="AI165" s="64" t="s" ph="1">
        <v>601</v>
      </c>
      <c r="AY165" s="64" t="s" ph="1">
        <v>257</v>
      </c>
      <c r="AZ165" s="64" t="s" ph="1">
        <v>408</v>
      </c>
    </row>
    <row r="166" spans="33:52" ph="1">
      <c r="AH166" s="64" ph="1">
        <v>5</v>
      </c>
      <c r="AI166" s="64" t="s" ph="1">
        <v>602</v>
      </c>
      <c r="AY166" s="64" t="s" ph="1">
        <v>257</v>
      </c>
      <c r="AZ166" s="64" t="s" ph="1">
        <v>408</v>
      </c>
    </row>
    <row r="167" spans="33:52" ph="1">
      <c r="AZ167" s="64" t="s" ph="1">
        <v>603</v>
      </c>
    </row>
    <row r="168" spans="33:52" ph="1">
      <c r="AG168" s="64" t="s" ph="1">
        <v>346</v>
      </c>
      <c r="AI168" s="64" t="s" ph="1">
        <v>250</v>
      </c>
      <c r="AJ168" s="64" t="s" ph="1">
        <v>251</v>
      </c>
      <c r="AK168" s="64" t="s" ph="1">
        <v>252</v>
      </c>
      <c r="AM168" s="64" t="s" ph="1">
        <v>251</v>
      </c>
      <c r="AN168" s="64" t="s" ph="1">
        <v>252</v>
      </c>
      <c r="AO168" s="64" t="s" ph="1">
        <v>253</v>
      </c>
      <c r="AP168" s="64" t="s" ph="1">
        <v>251</v>
      </c>
      <c r="AQ168" s="64" t="s" ph="1">
        <v>252</v>
      </c>
      <c r="AR168" s="64" t="s" ph="1">
        <v>253</v>
      </c>
      <c r="AS168" s="64" t="s" ph="1">
        <v>251</v>
      </c>
      <c r="AT168" s="64" t="s" ph="1">
        <v>252</v>
      </c>
      <c r="AU168" s="64" t="s" ph="1">
        <v>253</v>
      </c>
      <c r="AV168" s="64" t="s" ph="1">
        <v>251</v>
      </c>
      <c r="AW168" s="64" t="s" ph="1">
        <v>252</v>
      </c>
      <c r="AX168" s="64" t="s" ph="1">
        <v>253</v>
      </c>
      <c r="AY168" s="64" t="s" ph="1">
        <v>252</v>
      </c>
      <c r="AZ168" s="64" t="s" ph="1">
        <v>254</v>
      </c>
    </row>
    <row r="169" spans="33:52" ph="1">
      <c r="AH169" s="64" ph="1">
        <v>1</v>
      </c>
      <c r="AI169" s="64" t="s" ph="1">
        <v>604</v>
      </c>
      <c r="AY169" s="64" t="s" ph="1">
        <v>257</v>
      </c>
      <c r="AZ169" s="64" t="s" ph="1">
        <v>408</v>
      </c>
    </row>
    <row r="170" spans="33:52" ph="1">
      <c r="AH170" s="64" ph="1">
        <v>2</v>
      </c>
      <c r="AI170" s="64" t="s" ph="1">
        <v>605</v>
      </c>
      <c r="AY170" s="64" t="s" ph="1">
        <v>257</v>
      </c>
      <c r="AZ170" s="64" t="s" ph="1">
        <v>408</v>
      </c>
    </row>
    <row r="171" spans="33:52" ph="1">
      <c r="AH171" s="64" ph="1">
        <v>3</v>
      </c>
      <c r="AI171" s="64" t="s" ph="1">
        <v>606</v>
      </c>
      <c r="AY171" s="64" t="s" ph="1">
        <v>257</v>
      </c>
      <c r="AZ171" s="64" t="s" ph="1">
        <v>408</v>
      </c>
    </row>
    <row r="172" spans="33:52" ph="1">
      <c r="AH172" s="64" ph="1">
        <v>4</v>
      </c>
      <c r="AI172" s="64" t="s" ph="1">
        <v>607</v>
      </c>
      <c r="AY172" s="64" t="s" ph="1">
        <v>257</v>
      </c>
      <c r="AZ172" s="64" t="s" ph="1">
        <v>408</v>
      </c>
    </row>
    <row r="173" spans="33:52" ph="1">
      <c r="AH173" s="64" ph="1">
        <v>5</v>
      </c>
      <c r="AI173" s="64" t="s" ph="1">
        <v>608</v>
      </c>
      <c r="AY173" s="64" t="s" ph="1">
        <v>257</v>
      </c>
      <c r="AZ173" s="64" t="s" ph="1">
        <v>408</v>
      </c>
    </row>
    <row r="174" spans="33:52" ph="1">
      <c r="AZ174" s="64" t="s" ph="1">
        <v>426</v>
      </c>
    </row>
    <row r="175" spans="33:52" ph="1">
      <c r="AJ175" s="64" t="s" ph="1">
        <v>347</v>
      </c>
    </row>
    <row r="176" spans="33:52" ph="1">
      <c r="AJ176" s="64" t="s" ph="1">
        <v>348</v>
      </c>
      <c r="AK176" s="64" t="s" ph="1">
        <v>349</v>
      </c>
      <c r="AM176" s="64" t="s" ph="1">
        <v>350</v>
      </c>
      <c r="AO176" s="64" t="s" ph="1">
        <v>351</v>
      </c>
      <c r="AP176" s="64" t="s" ph="1">
        <v>352</v>
      </c>
      <c r="AQ176" s="64" t="s" ph="1">
        <v>342</v>
      </c>
      <c r="AR176" s="64" t="s" ph="1">
        <v>262</v>
      </c>
    </row>
    <row r="177" spans="36:56" ph="1">
      <c r="AJ177" s="64" t="s" ph="1">
        <v>644</v>
      </c>
      <c r="AK177" s="64" t="s" ph="1">
        <v>353</v>
      </c>
      <c r="AO177" s="64" t="s" ph="1">
        <v>353</v>
      </c>
      <c r="AP177" s="64" t="s" ph="1">
        <v>353</v>
      </c>
      <c r="AQ177" s="64" t="s" ph="1">
        <v>354</v>
      </c>
      <c r="AR177" s="64" t="s" ph="1">
        <v>355</v>
      </c>
    </row>
    <row r="179" spans="36:56" ph="1">
      <c r="AJ179" s="64" t="s" ph="1">
        <v>356</v>
      </c>
      <c r="AK179" s="64" t="s" ph="1">
        <v>357</v>
      </c>
      <c r="AM179" s="64" t="s" ph="1">
        <v>358</v>
      </c>
      <c r="AN179" s="64" t="s" ph="1">
        <v>334</v>
      </c>
      <c r="AO179" s="64" t="s" ph="1">
        <v>359</v>
      </c>
      <c r="AP179" s="64" t="s" ph="1">
        <v>338</v>
      </c>
      <c r="AQ179" s="64" t="s" ph="1">
        <v>360</v>
      </c>
      <c r="AR179" s="64" t="s" ph="1">
        <v>361</v>
      </c>
    </row>
    <row r="180" spans="36:56" ph="1">
      <c r="AJ180" s="64" t="s" ph="1">
        <v>353</v>
      </c>
      <c r="AK180" s="64" t="s" ph="1">
        <v>353</v>
      </c>
      <c r="AL180" s="64" ph="1">
        <v>116</v>
      </c>
      <c r="AM180" s="64" t="s" ph="1">
        <v>353</v>
      </c>
      <c r="AN180" s="64" t="s" ph="1">
        <v>362</v>
      </c>
      <c r="AO180" s="64" t="s" ph="1">
        <v>353</v>
      </c>
      <c r="AP180" s="64" t="s" ph="1">
        <v>363</v>
      </c>
      <c r="AQ180" s="64" t="s" ph="1">
        <v>364</v>
      </c>
      <c r="AR180" s="64" t="s" ph="1">
        <v>365</v>
      </c>
    </row>
    <row r="189" spans="36:56" ph="1">
      <c r="BD189" s="64" t="s" ph="1">
        <v>609</v>
      </c>
    </row>
    <row r="223" spans="18:18" ph="1">
      <c r="R223" s="138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25" priority="96">
      <formula>ABS(D$7-D$10)&gt;=1000</formula>
    </cfRule>
  </conditionalFormatting>
  <conditionalFormatting sqref="E4 E6:E11">
    <cfRule type="expression" dxfId="124" priority="95">
      <formula>ABS(E$7-E$10)&gt;=1000</formula>
    </cfRule>
  </conditionalFormatting>
  <conditionalFormatting sqref="F4:F11">
    <cfRule type="expression" dxfId="123" priority="94">
      <formula>ABS(F$7-F$10)&gt;=1000</formula>
    </cfRule>
  </conditionalFormatting>
  <conditionalFormatting sqref="G4:G11">
    <cfRule type="expression" dxfId="122" priority="93">
      <formula>ABS(G$7-G$10)&gt;=1000</formula>
    </cfRule>
  </conditionalFormatting>
  <conditionalFormatting sqref="H4:H11">
    <cfRule type="expression" dxfId="121" priority="92">
      <formula>ABS(H$7-H$10)&gt;=1000</formula>
    </cfRule>
  </conditionalFormatting>
  <conditionalFormatting sqref="I4:I11">
    <cfRule type="expression" dxfId="120" priority="91">
      <formula>ABS(I$7-I$10)&gt;=1000</formula>
    </cfRule>
  </conditionalFormatting>
  <conditionalFormatting sqref="J4:J11">
    <cfRule type="expression" dxfId="119" priority="90">
      <formula>ABS(J$7-J$10)&gt;=1000</formula>
    </cfRule>
  </conditionalFormatting>
  <conditionalFormatting sqref="K4:K11">
    <cfRule type="expression" dxfId="118" priority="89">
      <formula>ABS(K$7-K$10)&gt;=1000</formula>
    </cfRule>
  </conditionalFormatting>
  <conditionalFormatting sqref="L4:L11">
    <cfRule type="expression" dxfId="117" priority="88">
      <formula>ABS(L$7-L$10)&gt;=1000</formula>
    </cfRule>
  </conditionalFormatting>
  <conditionalFormatting sqref="M4 M6:M11">
    <cfRule type="expression" dxfId="116" priority="87">
      <formula>ABS(M$7-M$10)&gt;=1000</formula>
    </cfRule>
  </conditionalFormatting>
  <conditionalFormatting sqref="N4 N6:N11">
    <cfRule type="expression" dxfId="115" priority="86">
      <formula>ABS(N$7-N$10)&gt;=1000</formula>
    </cfRule>
  </conditionalFormatting>
  <conditionalFormatting sqref="O4 O6:O11">
    <cfRule type="expression" dxfId="114" priority="85">
      <formula>ABS(O$7-O$10)&gt;=1000</formula>
    </cfRule>
  </conditionalFormatting>
  <conditionalFormatting sqref="P4 P6:P11">
    <cfRule type="expression" dxfId="113" priority="84">
      <formula>ABS(P$7-P$10)&gt;=1000</formula>
    </cfRule>
  </conditionalFormatting>
  <conditionalFormatting sqref="Q4:Q11">
    <cfRule type="expression" dxfId="112" priority="83">
      <formula>ABS(Q$7-Q$10)&gt;=1000</formula>
    </cfRule>
  </conditionalFormatting>
  <conditionalFormatting sqref="R4:R11">
    <cfRule type="expression" dxfId="111" priority="82">
      <formula>ABS(R$7-R$10)&gt;=1000</formula>
    </cfRule>
  </conditionalFormatting>
  <conditionalFormatting sqref="S4:S11">
    <cfRule type="expression" dxfId="110" priority="81">
      <formula>ABS(S$7-S$10)&gt;=1000</formula>
    </cfRule>
  </conditionalFormatting>
  <conditionalFormatting sqref="T4:T9 T11">
    <cfRule type="expression" dxfId="109" priority="80">
      <formula>ABS(T$7-T$10)&gt;=1000</formula>
    </cfRule>
  </conditionalFormatting>
  <conditionalFormatting sqref="U4:U9 U11">
    <cfRule type="expression" dxfId="108" priority="79">
      <formula>ABS(U$7-U$10)&gt;=1000</formula>
    </cfRule>
  </conditionalFormatting>
  <conditionalFormatting sqref="V4:V9 V11">
    <cfRule type="expression" dxfId="107" priority="78">
      <formula>ABS(V$7-V$10)&gt;=1000</formula>
    </cfRule>
  </conditionalFormatting>
  <conditionalFormatting sqref="W4:W9 W11">
    <cfRule type="expression" dxfId="106" priority="77">
      <formula>ABS(W$7-W$10)&gt;=1000</formula>
    </cfRule>
  </conditionalFormatting>
  <conditionalFormatting sqref="X4:X9 X11">
    <cfRule type="expression" dxfId="105" priority="76">
      <formula>ABS(X$7-X$10)&gt;=1000</formula>
    </cfRule>
  </conditionalFormatting>
  <conditionalFormatting sqref="Y4:Y9 Y11">
    <cfRule type="expression" dxfId="104" priority="75">
      <formula>ABS(Y$7-Y$10)&gt;=1000</formula>
    </cfRule>
  </conditionalFormatting>
  <conditionalFormatting sqref="Z4:Z11">
    <cfRule type="expression" dxfId="103" priority="74">
      <formula>ABS(Z$7-Z$10)&gt;=1000</formula>
    </cfRule>
  </conditionalFormatting>
  <conditionalFormatting sqref="AA4:AA11">
    <cfRule type="expression" dxfId="102" priority="73">
      <formula>ABS(AA$7-AA$10)&gt;=1000</formula>
    </cfRule>
  </conditionalFormatting>
  <conditionalFormatting sqref="AB4:AB11">
    <cfRule type="expression" dxfId="101" priority="72">
      <formula>ABS(AB$7-AB$10)&gt;=1000</formula>
    </cfRule>
  </conditionalFormatting>
  <conditionalFormatting sqref="AC4 AC6:AC11">
    <cfRule type="expression" dxfId="100" priority="71">
      <formula>ABS(AC$7-AC$10)&gt;=1000</formula>
    </cfRule>
  </conditionalFormatting>
  <conditionalFormatting sqref="AD4:AD11">
    <cfRule type="expression" dxfId="99" priority="70">
      <formula>ABS(AD$7-AD$10)&gt;=1000</formula>
    </cfRule>
  </conditionalFormatting>
  <conditionalFormatting sqref="AE4:AE11">
    <cfRule type="expression" dxfId="98" priority="69">
      <formula>ABS(AE$7-AE$10)&gt;=1000</formula>
    </cfRule>
  </conditionalFormatting>
  <conditionalFormatting sqref="D13:D20">
    <cfRule type="expression" dxfId="97" priority="68">
      <formula>ABS(D$16-D$19)&gt;=1000</formula>
    </cfRule>
  </conditionalFormatting>
  <conditionalFormatting sqref="E13:E20">
    <cfRule type="expression" dxfId="96" priority="67">
      <formula>ABS(E$16-E$19)&gt;=1000</formula>
    </cfRule>
  </conditionalFormatting>
  <conditionalFormatting sqref="F13 F15:F20">
    <cfRule type="expression" dxfId="95" priority="66">
      <formula>ABS(F$16-F$19)&gt;=1000</formula>
    </cfRule>
  </conditionalFormatting>
  <conditionalFormatting sqref="G13:G20">
    <cfRule type="expression" dxfId="94" priority="65">
      <formula>ABS(G$16-G$19)&gt;=1000</formula>
    </cfRule>
  </conditionalFormatting>
  <conditionalFormatting sqref="H13:H20">
    <cfRule type="expression" dxfId="93" priority="64">
      <formula>ABS(H$16-H$19)&gt;=1000</formula>
    </cfRule>
  </conditionalFormatting>
  <conditionalFormatting sqref="I13:I20">
    <cfRule type="expression" dxfId="92" priority="63">
      <formula>ABS(I$16-I$19)&gt;=1000</formula>
    </cfRule>
  </conditionalFormatting>
  <conditionalFormatting sqref="J13:J20">
    <cfRule type="expression" dxfId="91" priority="62">
      <formula>ABS(J$16-J$19)&gt;=1000</formula>
    </cfRule>
  </conditionalFormatting>
  <conditionalFormatting sqref="L13:L20">
    <cfRule type="expression" dxfId="90" priority="61">
      <formula>ABS(L$16-L$19)&gt;=1000</formula>
    </cfRule>
  </conditionalFormatting>
  <conditionalFormatting sqref="M13 M15 M17:M18 M20">
    <cfRule type="expression" dxfId="89" priority="60">
      <formula>ABS(M$16-M$19)&gt;=1000</formula>
    </cfRule>
  </conditionalFormatting>
  <conditionalFormatting sqref="N13:N20">
    <cfRule type="expression" dxfId="88" priority="59">
      <formula>ABS(N$16-N$19)&gt;=1000</formula>
    </cfRule>
  </conditionalFormatting>
  <conditionalFormatting sqref="O13:O20">
    <cfRule type="expression" dxfId="87" priority="58">
      <formula>ABS(O$16-O$19)&gt;=1000</formula>
    </cfRule>
  </conditionalFormatting>
  <conditionalFormatting sqref="P13:P20">
    <cfRule type="expression" dxfId="86" priority="57">
      <formula>ABS(P$16-P$19)&gt;=1000</formula>
    </cfRule>
  </conditionalFormatting>
  <conditionalFormatting sqref="Q13 Q15:Q20">
    <cfRule type="expression" dxfId="85" priority="56">
      <formula>ABS(Q$16-Q$19)&gt;=1000</formula>
    </cfRule>
  </conditionalFormatting>
  <conditionalFormatting sqref="R13:R20">
    <cfRule type="expression" dxfId="84" priority="55">
      <formula>ABS(R$16-R$19)&gt;=1000</formula>
    </cfRule>
  </conditionalFormatting>
  <conditionalFormatting sqref="S13:S20">
    <cfRule type="expression" dxfId="83" priority="54">
      <formula>ABS(S$16-S$19)&gt;=1000</formula>
    </cfRule>
  </conditionalFormatting>
  <conditionalFormatting sqref="T13:T20">
    <cfRule type="expression" dxfId="82" priority="53">
      <formula>ABS(T$16-T$19)&gt;=1000</formula>
    </cfRule>
  </conditionalFormatting>
  <conditionalFormatting sqref="U13:U20">
    <cfRule type="expression" dxfId="81" priority="52">
      <formula>ABS(U$16-U$19)&gt;=1000</formula>
    </cfRule>
  </conditionalFormatting>
  <conditionalFormatting sqref="V13:V20">
    <cfRule type="expression" dxfId="80" priority="51">
      <formula>ABS(V$16-V$19)&gt;=1000</formula>
    </cfRule>
  </conditionalFormatting>
  <conditionalFormatting sqref="W13 W20 W15:W18">
    <cfRule type="expression" dxfId="79" priority="50">
      <formula>ABS(W$16-W$19)&gt;=1000</formula>
    </cfRule>
  </conditionalFormatting>
  <conditionalFormatting sqref="X13 X15:X20 Y19">
    <cfRule type="expression" dxfId="78" priority="49">
      <formula>ABS(X$16-X$19)&gt;=1000</formula>
    </cfRule>
  </conditionalFormatting>
  <conditionalFormatting sqref="Y13 Y15:Y18 Y20">
    <cfRule type="expression" dxfId="77" priority="48">
      <formula>ABS(Y$16-Y$19)&gt;=1000</formula>
    </cfRule>
  </conditionalFormatting>
  <conditionalFormatting sqref="Z13:Z20">
    <cfRule type="expression" dxfId="76" priority="47">
      <formula>ABS(Z$16-Z$19)&gt;=1000</formula>
    </cfRule>
  </conditionalFormatting>
  <conditionalFormatting sqref="AA13:AA20">
    <cfRule type="expression" dxfId="75" priority="46">
      <formula>ABS(AA$16-AA$19)&gt;=1000</formula>
    </cfRule>
  </conditionalFormatting>
  <conditionalFormatting sqref="AB13 AB15:AB20">
    <cfRule type="expression" dxfId="74" priority="45">
      <formula>ABS(AB$16-AB$19)&gt;=1000</formula>
    </cfRule>
  </conditionalFormatting>
  <conditionalFormatting sqref="AC13 AC15:AC20">
    <cfRule type="expression" dxfId="73" priority="44">
      <formula>ABS(AC$16-AC$19)&gt;=1000</formula>
    </cfRule>
  </conditionalFormatting>
  <conditionalFormatting sqref="AD13:AD20">
    <cfRule type="expression" dxfId="72" priority="43">
      <formula>ABS(AD$16-AD$19)&gt;=1000</formula>
    </cfRule>
  </conditionalFormatting>
  <conditionalFormatting sqref="AE13:AE20">
    <cfRule type="expression" dxfId="71" priority="42">
      <formula>ABS(AE$16-AE$19)&gt;=1000</formula>
    </cfRule>
  </conditionalFormatting>
  <conditionalFormatting sqref="D22:D29">
    <cfRule type="expression" dxfId="70" priority="41">
      <formula>ABS(D$25-D$28)&gt;=1000</formula>
    </cfRule>
  </conditionalFormatting>
  <conditionalFormatting sqref="E22:E29">
    <cfRule type="expression" dxfId="69" priority="40">
      <formula>ABS(E$25-E$28)&gt;=1000</formula>
    </cfRule>
  </conditionalFormatting>
  <conditionalFormatting sqref="F22:F29">
    <cfRule type="expression" dxfId="68" priority="39">
      <formula>ABS(F$25-F$28)&gt;=1000</formula>
    </cfRule>
  </conditionalFormatting>
  <conditionalFormatting sqref="G22:G29">
    <cfRule type="expression" dxfId="67" priority="38">
      <formula>ABS(G$25-G$28)&gt;=1000</formula>
    </cfRule>
  </conditionalFormatting>
  <conditionalFormatting sqref="H22:H29">
    <cfRule type="expression" dxfId="66" priority="37">
      <formula>ABS(H$25-H$28)&gt;=1000</formula>
    </cfRule>
  </conditionalFormatting>
  <conditionalFormatting sqref="I22 I24:I29">
    <cfRule type="expression" dxfId="65" priority="36">
      <formula>ABS(I$25-I$28)&gt;=1000</formula>
    </cfRule>
  </conditionalFormatting>
  <conditionalFormatting sqref="J22:J29 K22">
    <cfRule type="expression" dxfId="64" priority="35">
      <formula>ABS(J$25-J$28)&gt;=1000</formula>
    </cfRule>
  </conditionalFormatting>
  <conditionalFormatting sqref="K23:K29 L25 L28">
    <cfRule type="expression" dxfId="63" priority="34">
      <formula>ABS(K$25-K$28)&gt;=1000</formula>
    </cfRule>
  </conditionalFormatting>
  <conditionalFormatting sqref="L22:L24 L26:L27 L29">
    <cfRule type="expression" dxfId="62" priority="33">
      <formula>ABS(L$25-L$28)&gt;=1000</formula>
    </cfRule>
  </conditionalFormatting>
  <conditionalFormatting sqref="M22:M29">
    <cfRule type="expression" dxfId="61" priority="32">
      <formula>ABS(M$25-M$28)&gt;=1000</formula>
    </cfRule>
  </conditionalFormatting>
  <conditionalFormatting sqref="N22:N29">
    <cfRule type="expression" dxfId="60" priority="31">
      <formula>ABS(N$25-N$28)&gt;=1000</formula>
    </cfRule>
  </conditionalFormatting>
  <conditionalFormatting sqref="O22:O29">
    <cfRule type="expression" dxfId="59" priority="30">
      <formula>ABS(O$25-O$28)&gt;=1000</formula>
    </cfRule>
  </conditionalFormatting>
  <conditionalFormatting sqref="P22:P29">
    <cfRule type="expression" dxfId="58" priority="29">
      <formula>ABS(P$25-P$28)&gt;=1000</formula>
    </cfRule>
  </conditionalFormatting>
  <conditionalFormatting sqref="Q22:Q29">
    <cfRule type="expression" dxfId="57" priority="28">
      <formula>ABS(Q$25-Q$28)&gt;=1000</formula>
    </cfRule>
  </conditionalFormatting>
  <conditionalFormatting sqref="R22:R29">
    <cfRule type="expression" dxfId="56" priority="27">
      <formula>ABS(R$25-R$28)&gt;=1000</formula>
    </cfRule>
  </conditionalFormatting>
  <conditionalFormatting sqref="S22:S29">
    <cfRule type="expression" dxfId="55" priority="26">
      <formula>ABS(S$25-S$28)&gt;=1000</formula>
    </cfRule>
  </conditionalFormatting>
  <conditionalFormatting sqref="T22:T29">
    <cfRule type="expression" dxfId="54" priority="25">
      <formula>ABS(T$25-T$28)&gt;=1000</formula>
    </cfRule>
  </conditionalFormatting>
  <conditionalFormatting sqref="U22:U29">
    <cfRule type="expression" dxfId="53" priority="24">
      <formula>ABS(U$25-U$28)&gt;=1000</formula>
    </cfRule>
  </conditionalFormatting>
  <conditionalFormatting sqref="V22:V29">
    <cfRule type="expression" dxfId="52" priority="23">
      <formula>ABS(V$25-V$28)&gt;=1000</formula>
    </cfRule>
  </conditionalFormatting>
  <conditionalFormatting sqref="W22:W29">
    <cfRule type="expression" dxfId="51" priority="22">
      <formula>ABS(W$25-W$28)&gt;=1000</formula>
    </cfRule>
  </conditionalFormatting>
  <conditionalFormatting sqref="X22:X29">
    <cfRule type="expression" dxfId="50" priority="21">
      <formula>ABS(X$25-X$28)&gt;=1000</formula>
    </cfRule>
  </conditionalFormatting>
  <conditionalFormatting sqref="Y22:Y29">
    <cfRule type="expression" dxfId="49" priority="20">
      <formula>ABS(Y$25-Y$28)&gt;=1000</formula>
    </cfRule>
  </conditionalFormatting>
  <conditionalFormatting sqref="I23">
    <cfRule type="expression" dxfId="48" priority="19">
      <formula>ABS(I$25-I$28)&gt;=1000</formula>
    </cfRule>
  </conditionalFormatting>
  <conditionalFormatting sqref="F14">
    <cfRule type="expression" dxfId="47" priority="18">
      <formula>ABS(F$16-F$19)&gt;=1000</formula>
    </cfRule>
  </conditionalFormatting>
  <conditionalFormatting sqref="Q14">
    <cfRule type="expression" dxfId="46" priority="17">
      <formula>ABS(Q$16-Q$19)&gt;=1000</formula>
    </cfRule>
  </conditionalFormatting>
  <conditionalFormatting sqref="W14">
    <cfRule type="expression" dxfId="45" priority="16">
      <formula>ABS(W$16-W$19)&gt;=1000</formula>
    </cfRule>
  </conditionalFormatting>
  <conditionalFormatting sqref="Y14">
    <cfRule type="expression" dxfId="44" priority="15">
      <formula>ABS(Y$16-Y$19)&gt;=1000</formula>
    </cfRule>
  </conditionalFormatting>
  <conditionalFormatting sqref="X14">
    <cfRule type="expression" dxfId="43" priority="14">
      <formula>ABS(X$16-X$19)&gt;=1000</formula>
    </cfRule>
  </conditionalFormatting>
  <conditionalFormatting sqref="T10:Y10">
    <cfRule type="expression" dxfId="42" priority="13">
      <formula>ABS(T$7-T$10)&gt;=1000</formula>
    </cfRule>
  </conditionalFormatting>
  <conditionalFormatting sqref="W19">
    <cfRule type="expression" dxfId="41" priority="12">
      <formula>ABS(W$16-W$19)&gt;=1000</formula>
    </cfRule>
  </conditionalFormatting>
  <conditionalFormatting sqref="AC5">
    <cfRule type="expression" dxfId="40" priority="11">
      <formula>ABS(AC$7-AC$10)&gt;=1000</formula>
    </cfRule>
  </conditionalFormatting>
  <conditionalFormatting sqref="M14">
    <cfRule type="expression" dxfId="39" priority="10">
      <formula>ABS(M$16-M$19)&gt;=1000</formula>
    </cfRule>
  </conditionalFormatting>
  <conditionalFormatting sqref="M16">
    <cfRule type="expression" dxfId="38" priority="9">
      <formula>ABS(M$16-M$19)&gt;=1000</formula>
    </cfRule>
  </conditionalFormatting>
  <conditionalFormatting sqref="M19">
    <cfRule type="expression" dxfId="37" priority="8">
      <formula>ABS(M$16-M$19)&gt;=1000</formula>
    </cfRule>
  </conditionalFormatting>
  <conditionalFormatting sqref="K13:K20">
    <cfRule type="expression" dxfId="36" priority="7">
      <formula>ABS(K$16-K$19)&gt;=1000</formula>
    </cfRule>
  </conditionalFormatting>
  <conditionalFormatting sqref="E5">
    <cfRule type="expression" dxfId="35" priority="6">
      <formula>ABS(E$7-E$10)&gt;=1000</formula>
    </cfRule>
  </conditionalFormatting>
  <conditionalFormatting sqref="AB14:AC14">
    <cfRule type="expression" dxfId="34" priority="5">
      <formula>ABS(AB$16-AB$19)&gt;=1000</formula>
    </cfRule>
  </conditionalFormatting>
  <conditionalFormatting sqref="M5">
    <cfRule type="expression" dxfId="33" priority="4">
      <formula>ABS(M$7-M$10)&gt;=1000</formula>
    </cfRule>
  </conditionalFormatting>
  <conditionalFormatting sqref="N5">
    <cfRule type="expression" dxfId="32" priority="3">
      <formula>ABS(N$7-N$10)&gt;=1000</formula>
    </cfRule>
  </conditionalFormatting>
  <conditionalFormatting sqref="O5">
    <cfRule type="expression" dxfId="31" priority="2">
      <formula>ABS(O$7-O$10)&gt;=1000</formula>
    </cfRule>
  </conditionalFormatting>
  <conditionalFormatting sqref="P5">
    <cfRule type="expression" dxfId="30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254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23</vt:i4>
      </vt:variant>
      <vt:variant>
        <vt:lpstr>已命名的範圍</vt:lpstr>
      </vt:variant>
      <vt:variant>
        <vt:i4>23</vt:i4>
      </vt:variant>
    </vt:vector>
  </HeadingPairs>
  <TitlesOfParts>
    <vt:vector size="46" baseType="lpstr">
      <vt:lpstr>新增</vt:lpstr>
      <vt:lpstr>密度</vt:lpstr>
      <vt:lpstr>1.24</vt:lpstr>
      <vt:lpstr>2.1</vt:lpstr>
      <vt:lpstr>2.3</vt:lpstr>
      <vt:lpstr>2.4</vt:lpstr>
      <vt:lpstr>2.5</vt:lpstr>
      <vt:lpstr>2.6</vt:lpstr>
      <vt:lpstr>2.7</vt:lpstr>
      <vt:lpstr>2.10</vt:lpstr>
      <vt:lpstr>2.11</vt:lpstr>
      <vt:lpstr>2.12</vt:lpstr>
      <vt:lpstr>2.13</vt:lpstr>
      <vt:lpstr>2.14</vt:lpstr>
      <vt:lpstr>2.17</vt:lpstr>
      <vt:lpstr>2.18</vt:lpstr>
      <vt:lpstr>2.19</vt:lpstr>
      <vt:lpstr>2.20</vt:lpstr>
      <vt:lpstr>2.21</vt:lpstr>
      <vt:lpstr>2.24</vt:lpstr>
      <vt:lpstr>2.25</vt:lpstr>
      <vt:lpstr>2.26</vt:lpstr>
      <vt:lpstr>2.27</vt:lpstr>
      <vt:lpstr>'1.24'!Print_Area</vt:lpstr>
      <vt:lpstr>'2.1'!Print_Area</vt:lpstr>
      <vt:lpstr>'2.10'!Print_Area</vt:lpstr>
      <vt:lpstr>'2.11'!Print_Area</vt:lpstr>
      <vt:lpstr>'2.12'!Print_Area</vt:lpstr>
      <vt:lpstr>'2.13'!Print_Area</vt:lpstr>
      <vt:lpstr>'2.14'!Print_Area</vt:lpstr>
      <vt:lpstr>'2.17'!Print_Area</vt:lpstr>
      <vt:lpstr>'2.18'!Print_Area</vt:lpstr>
      <vt:lpstr>'2.19'!Print_Area</vt:lpstr>
      <vt:lpstr>'2.20'!Print_Area</vt:lpstr>
      <vt:lpstr>'2.21'!Print_Area</vt:lpstr>
      <vt:lpstr>'2.24'!Print_Area</vt:lpstr>
      <vt:lpstr>'2.25'!Print_Area</vt:lpstr>
      <vt:lpstr>'2.26'!Print_Area</vt:lpstr>
      <vt:lpstr>'2.27'!Print_Area</vt:lpstr>
      <vt:lpstr>'2.3'!Print_Area</vt:lpstr>
      <vt:lpstr>'2.4'!Print_Area</vt:lpstr>
      <vt:lpstr>'2.5'!Print_Area</vt:lpstr>
      <vt:lpstr>'2.6'!Print_Area</vt:lpstr>
      <vt:lpstr>'2.7'!Print_Area</vt:lpstr>
      <vt:lpstr>密度!Print_Area</vt:lpstr>
      <vt:lpstr>新增!Print_Area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C663</dc:creator>
  <cp:lastModifiedBy>C769</cp:lastModifiedBy>
  <cp:lastPrinted>2025-02-27T07:37:49Z</cp:lastPrinted>
  <dcterms:created xsi:type="dcterms:W3CDTF">2006-09-16T00:00:00Z</dcterms:created>
  <dcterms:modified xsi:type="dcterms:W3CDTF">2025-03-01T01:58:15Z</dcterms:modified>
</cp:coreProperties>
</file>