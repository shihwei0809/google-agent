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5\"/>
    </mc:Choice>
  </mc:AlternateContent>
  <bookViews>
    <workbookView xWindow="0" yWindow="0" windowWidth="2160" windowHeight="1212" firstSheet="10" activeTab="22"/>
  </bookViews>
  <sheets>
    <sheet name="新增" sheetId="1727" r:id="rId1"/>
    <sheet name="密度" sheetId="13" r:id="rId2"/>
    <sheet name="9.30" sheetId="1990" r:id="rId3"/>
    <sheet name="10.1" sheetId="1991" r:id="rId4"/>
    <sheet name="10.2" sheetId="1992" r:id="rId5"/>
    <sheet name="10.3" sheetId="1993" r:id="rId6"/>
    <sheet name="10.7" sheetId="1995" r:id="rId7"/>
    <sheet name="10.8" sheetId="1996" r:id="rId8"/>
    <sheet name="10.9" sheetId="1997" r:id="rId9"/>
    <sheet name="10.13" sheetId="2000" r:id="rId10"/>
    <sheet name="10.14" sheetId="2001" r:id="rId11"/>
    <sheet name="10.15" sheetId="2002" r:id="rId12"/>
    <sheet name="10.16" sheetId="2003" r:id="rId13"/>
    <sheet name="10.17" sheetId="2004" r:id="rId14"/>
    <sheet name="10.20" sheetId="2005" r:id="rId15"/>
    <sheet name="10.21" sheetId="2006" r:id="rId16"/>
    <sheet name="10.22" sheetId="2007" r:id="rId17"/>
    <sheet name="10.23" sheetId="2008" r:id="rId18"/>
    <sheet name="10.27" sheetId="2009" r:id="rId19"/>
    <sheet name="10.28" sheetId="2010" r:id="rId20"/>
    <sheet name="10.29" sheetId="2012" r:id="rId21"/>
    <sheet name="10.30" sheetId="2013" r:id="rId22"/>
    <sheet name="10.31" sheetId="2014" r:id="rId23"/>
  </sheets>
  <definedNames>
    <definedName name="_xlnm.Print_Area" localSheetId="3">'10.1'!$B$1:$AE$36</definedName>
    <definedName name="_xlnm.Print_Area" localSheetId="9">'10.13'!$B$1:$AE$36</definedName>
    <definedName name="_xlnm.Print_Area" localSheetId="10">'10.14'!$B$1:$AE$36</definedName>
    <definedName name="_xlnm.Print_Area" localSheetId="11">'10.15'!$B$1:$AE$36</definedName>
    <definedName name="_xlnm.Print_Area" localSheetId="12">'10.16'!$B$1:$AE$36</definedName>
    <definedName name="_xlnm.Print_Area" localSheetId="13">'10.17'!$B$1:$AE$36</definedName>
    <definedName name="_xlnm.Print_Area" localSheetId="4">'10.2'!$B$1:$AE$36</definedName>
    <definedName name="_xlnm.Print_Area" localSheetId="14">'10.20'!$B$1:$AE$36</definedName>
    <definedName name="_xlnm.Print_Area" localSheetId="15">'10.21'!$B$1:$AE$36</definedName>
    <definedName name="_xlnm.Print_Area" localSheetId="16">'10.22'!$B$1:$AE$36</definedName>
    <definedName name="_xlnm.Print_Area" localSheetId="17">'10.23'!$B$1:$AE$36</definedName>
    <definedName name="_xlnm.Print_Area" localSheetId="18">'10.27'!$B$1:$AE$36</definedName>
    <definedName name="_xlnm.Print_Area" localSheetId="19">'10.28'!$B$1:$AE$36</definedName>
    <definedName name="_xlnm.Print_Area" localSheetId="20">'10.29'!$B$1:$AE$36</definedName>
    <definedName name="_xlnm.Print_Area" localSheetId="5">'10.3'!$B$1:$AE$36</definedName>
    <definedName name="_xlnm.Print_Area" localSheetId="21">'10.30'!$B$1:$AE$36</definedName>
    <definedName name="_xlnm.Print_Area" localSheetId="22">'10.31'!$B$1:$AE$36</definedName>
    <definedName name="_xlnm.Print_Area" localSheetId="6">'10.7'!$B$1:$AE$36</definedName>
    <definedName name="_xlnm.Print_Area" localSheetId="7">'10.8'!$B$1:$AE$36</definedName>
    <definedName name="_xlnm.Print_Area" localSheetId="8">'10.9'!$B$1:$AE$36</definedName>
    <definedName name="_xlnm.Print_Area" localSheetId="2">'9.30'!$B$1:$AE$36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3" hidden="1">'10.1'!$B$3:$AE$36</definedName>
    <definedName name="Z_512059F6_F0DC_4056_8FD0_37088AB81F9E_.wvu.PrintArea" localSheetId="9" hidden="1">'10.13'!$B$3:$AE$36</definedName>
    <definedName name="Z_512059F6_F0DC_4056_8FD0_37088AB81F9E_.wvu.PrintArea" localSheetId="10" hidden="1">'10.14'!$B$3:$AE$36</definedName>
    <definedName name="Z_512059F6_F0DC_4056_8FD0_37088AB81F9E_.wvu.PrintArea" localSheetId="11" hidden="1">'10.15'!$B$3:$AE$36</definedName>
    <definedName name="Z_512059F6_F0DC_4056_8FD0_37088AB81F9E_.wvu.PrintArea" localSheetId="12" hidden="1">'10.16'!$B$3:$AE$36</definedName>
    <definedName name="Z_512059F6_F0DC_4056_8FD0_37088AB81F9E_.wvu.PrintArea" localSheetId="13" hidden="1">'10.17'!$B$3:$AE$36</definedName>
    <definedName name="Z_512059F6_F0DC_4056_8FD0_37088AB81F9E_.wvu.PrintArea" localSheetId="4" hidden="1">'10.2'!$B$3:$AE$36</definedName>
    <definedName name="Z_512059F6_F0DC_4056_8FD0_37088AB81F9E_.wvu.PrintArea" localSheetId="14" hidden="1">'10.20'!$B$3:$AE$36</definedName>
    <definedName name="Z_512059F6_F0DC_4056_8FD0_37088AB81F9E_.wvu.PrintArea" localSheetId="15" hidden="1">'10.21'!$B$3:$AE$36</definedName>
    <definedName name="Z_512059F6_F0DC_4056_8FD0_37088AB81F9E_.wvu.PrintArea" localSheetId="16" hidden="1">'10.22'!$B$3:$AE$36</definedName>
    <definedName name="Z_512059F6_F0DC_4056_8FD0_37088AB81F9E_.wvu.PrintArea" localSheetId="17" hidden="1">'10.23'!$B$3:$AE$36</definedName>
    <definedName name="Z_512059F6_F0DC_4056_8FD0_37088AB81F9E_.wvu.PrintArea" localSheetId="18" hidden="1">'10.27'!$B$3:$AE$36</definedName>
    <definedName name="Z_512059F6_F0DC_4056_8FD0_37088AB81F9E_.wvu.PrintArea" localSheetId="19" hidden="1">'10.28'!$B$3:$AE$36</definedName>
    <definedName name="Z_512059F6_F0DC_4056_8FD0_37088AB81F9E_.wvu.PrintArea" localSheetId="20" hidden="1">'10.29'!$B$3:$AE$36</definedName>
    <definedName name="Z_512059F6_F0DC_4056_8FD0_37088AB81F9E_.wvu.PrintArea" localSheetId="5" hidden="1">'10.3'!$B$3:$AE$36</definedName>
    <definedName name="Z_512059F6_F0DC_4056_8FD0_37088AB81F9E_.wvu.PrintArea" localSheetId="21" hidden="1">'10.30'!$B$3:$AE$36</definedName>
    <definedName name="Z_512059F6_F0DC_4056_8FD0_37088AB81F9E_.wvu.PrintArea" localSheetId="22" hidden="1">'10.31'!$B$3:$AE$36</definedName>
    <definedName name="Z_512059F6_F0DC_4056_8FD0_37088AB81F9E_.wvu.PrintArea" localSheetId="6" hidden="1">'10.7'!$B$3:$AE$36</definedName>
    <definedName name="Z_512059F6_F0DC_4056_8FD0_37088AB81F9E_.wvu.PrintArea" localSheetId="7" hidden="1">'10.8'!$B$3:$AE$36</definedName>
    <definedName name="Z_512059F6_F0DC_4056_8FD0_37088AB81F9E_.wvu.PrintArea" localSheetId="8" hidden="1">'10.9'!$B$3:$AE$36</definedName>
    <definedName name="Z_512059F6_F0DC_4056_8FD0_37088AB81F9E_.wvu.PrintArea" localSheetId="2" hidden="1">'9.30'!$B$3:$AE$36</definedName>
    <definedName name="Z_68643476_8805_447E_8170_A582EA1D0343_.wvu.PrintArea" localSheetId="3" hidden="1">'10.1'!$B$3:$AE$36</definedName>
    <definedName name="Z_68643476_8805_447E_8170_A582EA1D0343_.wvu.PrintArea" localSheetId="9" hidden="1">'10.13'!$B$3:$AE$36</definedName>
    <definedName name="Z_68643476_8805_447E_8170_A582EA1D0343_.wvu.PrintArea" localSheetId="10" hidden="1">'10.14'!$B$3:$AE$36</definedName>
    <definedName name="Z_68643476_8805_447E_8170_A582EA1D0343_.wvu.PrintArea" localSheetId="11" hidden="1">'10.15'!$B$3:$AE$36</definedName>
    <definedName name="Z_68643476_8805_447E_8170_A582EA1D0343_.wvu.PrintArea" localSheetId="12" hidden="1">'10.16'!$B$3:$AE$36</definedName>
    <definedName name="Z_68643476_8805_447E_8170_A582EA1D0343_.wvu.PrintArea" localSheetId="13" hidden="1">'10.17'!$B$3:$AE$36</definedName>
    <definedName name="Z_68643476_8805_447E_8170_A582EA1D0343_.wvu.PrintArea" localSheetId="4" hidden="1">'10.2'!$B$3:$AE$36</definedName>
    <definedName name="Z_68643476_8805_447E_8170_A582EA1D0343_.wvu.PrintArea" localSheetId="14" hidden="1">'10.20'!$B$3:$AE$36</definedName>
    <definedName name="Z_68643476_8805_447E_8170_A582EA1D0343_.wvu.PrintArea" localSheetId="15" hidden="1">'10.21'!$B$3:$AE$36</definedName>
    <definedName name="Z_68643476_8805_447E_8170_A582EA1D0343_.wvu.PrintArea" localSheetId="16" hidden="1">'10.22'!$B$3:$AE$36</definedName>
    <definedName name="Z_68643476_8805_447E_8170_A582EA1D0343_.wvu.PrintArea" localSheetId="17" hidden="1">'10.23'!$B$3:$AE$36</definedName>
    <definedName name="Z_68643476_8805_447E_8170_A582EA1D0343_.wvu.PrintArea" localSheetId="18" hidden="1">'10.27'!$B$3:$AE$36</definedName>
    <definedName name="Z_68643476_8805_447E_8170_A582EA1D0343_.wvu.PrintArea" localSheetId="19" hidden="1">'10.28'!$B$3:$AE$36</definedName>
    <definedName name="Z_68643476_8805_447E_8170_A582EA1D0343_.wvu.PrintArea" localSheetId="20" hidden="1">'10.29'!$B$3:$AE$36</definedName>
    <definedName name="Z_68643476_8805_447E_8170_A582EA1D0343_.wvu.PrintArea" localSheetId="5" hidden="1">'10.3'!$B$3:$AE$36</definedName>
    <definedName name="Z_68643476_8805_447E_8170_A582EA1D0343_.wvu.PrintArea" localSheetId="21" hidden="1">'10.30'!$B$3:$AE$36</definedName>
    <definedName name="Z_68643476_8805_447E_8170_A582EA1D0343_.wvu.PrintArea" localSheetId="22" hidden="1">'10.31'!$B$3:$AE$36</definedName>
    <definedName name="Z_68643476_8805_447E_8170_A582EA1D0343_.wvu.PrintArea" localSheetId="6" hidden="1">'10.7'!$B$3:$AE$36</definedName>
    <definedName name="Z_68643476_8805_447E_8170_A582EA1D0343_.wvu.PrintArea" localSheetId="7" hidden="1">'10.8'!$B$3:$AE$36</definedName>
    <definedName name="Z_68643476_8805_447E_8170_A582EA1D0343_.wvu.PrintArea" localSheetId="8" hidden="1">'10.9'!$B$3:$AE$36</definedName>
    <definedName name="Z_68643476_8805_447E_8170_A582EA1D0343_.wvu.PrintArea" localSheetId="2" hidden="1">'9.30'!$B$3:$AE$36</definedName>
    <definedName name="Z_8E5926ED_4EBD_4129_B8FF_799CC47580D7_.wvu.PrintArea" localSheetId="3" hidden="1">'10.1'!$B$3:$AE$36</definedName>
    <definedName name="Z_8E5926ED_4EBD_4129_B8FF_799CC47580D7_.wvu.PrintArea" localSheetId="9" hidden="1">'10.13'!$B$3:$AE$36</definedName>
    <definedName name="Z_8E5926ED_4EBD_4129_B8FF_799CC47580D7_.wvu.PrintArea" localSheetId="10" hidden="1">'10.14'!$B$3:$AE$36</definedName>
    <definedName name="Z_8E5926ED_4EBD_4129_B8FF_799CC47580D7_.wvu.PrintArea" localSheetId="11" hidden="1">'10.15'!$B$3:$AE$36</definedName>
    <definedName name="Z_8E5926ED_4EBD_4129_B8FF_799CC47580D7_.wvu.PrintArea" localSheetId="12" hidden="1">'10.16'!$B$3:$AE$36</definedName>
    <definedName name="Z_8E5926ED_4EBD_4129_B8FF_799CC47580D7_.wvu.PrintArea" localSheetId="13" hidden="1">'10.17'!$B$3:$AE$36</definedName>
    <definedName name="Z_8E5926ED_4EBD_4129_B8FF_799CC47580D7_.wvu.PrintArea" localSheetId="4" hidden="1">'10.2'!$B$3:$AE$36</definedName>
    <definedName name="Z_8E5926ED_4EBD_4129_B8FF_799CC47580D7_.wvu.PrintArea" localSheetId="14" hidden="1">'10.20'!$B$3:$AE$36</definedName>
    <definedName name="Z_8E5926ED_4EBD_4129_B8FF_799CC47580D7_.wvu.PrintArea" localSheetId="15" hidden="1">'10.21'!$B$3:$AE$36</definedName>
    <definedName name="Z_8E5926ED_4EBD_4129_B8FF_799CC47580D7_.wvu.PrintArea" localSheetId="16" hidden="1">'10.22'!$B$3:$AE$36</definedName>
    <definedName name="Z_8E5926ED_4EBD_4129_B8FF_799CC47580D7_.wvu.PrintArea" localSheetId="17" hidden="1">'10.23'!$B$3:$AE$36</definedName>
    <definedName name="Z_8E5926ED_4EBD_4129_B8FF_799CC47580D7_.wvu.PrintArea" localSheetId="18" hidden="1">'10.27'!$B$3:$AE$36</definedName>
    <definedName name="Z_8E5926ED_4EBD_4129_B8FF_799CC47580D7_.wvu.PrintArea" localSheetId="19" hidden="1">'10.28'!$B$3:$AE$36</definedName>
    <definedName name="Z_8E5926ED_4EBD_4129_B8FF_799CC47580D7_.wvu.PrintArea" localSheetId="20" hidden="1">'10.29'!$B$3:$AE$36</definedName>
    <definedName name="Z_8E5926ED_4EBD_4129_B8FF_799CC47580D7_.wvu.PrintArea" localSheetId="5" hidden="1">'10.3'!$B$3:$AE$36</definedName>
    <definedName name="Z_8E5926ED_4EBD_4129_B8FF_799CC47580D7_.wvu.PrintArea" localSheetId="21" hidden="1">'10.30'!$B$3:$AE$36</definedName>
    <definedName name="Z_8E5926ED_4EBD_4129_B8FF_799CC47580D7_.wvu.PrintArea" localSheetId="22" hidden="1">'10.31'!$B$3:$AE$36</definedName>
    <definedName name="Z_8E5926ED_4EBD_4129_B8FF_799CC47580D7_.wvu.PrintArea" localSheetId="6" hidden="1">'10.7'!$B$3:$AE$36</definedName>
    <definedName name="Z_8E5926ED_4EBD_4129_B8FF_799CC47580D7_.wvu.PrintArea" localSheetId="7" hidden="1">'10.8'!$B$3:$AE$36</definedName>
    <definedName name="Z_8E5926ED_4EBD_4129_B8FF_799CC47580D7_.wvu.PrintArea" localSheetId="8" hidden="1">'10.9'!$B$3:$AE$36</definedName>
    <definedName name="Z_8E5926ED_4EBD_4129_B8FF_799CC47580D7_.wvu.PrintArea" localSheetId="2" hidden="1">'9.30'!$B$3:$AE$36</definedName>
    <definedName name="Z_8FA8B620_C56C_11DB_A857_00055D5FD5FF_.wvu.PrintArea" localSheetId="3" hidden="1">'10.1'!$B$3:$AE$36</definedName>
    <definedName name="Z_8FA8B620_C56C_11DB_A857_00055D5FD5FF_.wvu.PrintArea" localSheetId="9" hidden="1">'10.13'!$B$3:$AE$36</definedName>
    <definedName name="Z_8FA8B620_C56C_11DB_A857_00055D5FD5FF_.wvu.PrintArea" localSheetId="10" hidden="1">'10.14'!$B$3:$AE$36</definedName>
    <definedName name="Z_8FA8B620_C56C_11DB_A857_00055D5FD5FF_.wvu.PrintArea" localSheetId="11" hidden="1">'10.15'!$B$3:$AE$36</definedName>
    <definedName name="Z_8FA8B620_C56C_11DB_A857_00055D5FD5FF_.wvu.PrintArea" localSheetId="12" hidden="1">'10.16'!$B$3:$AE$36</definedName>
    <definedName name="Z_8FA8B620_C56C_11DB_A857_00055D5FD5FF_.wvu.PrintArea" localSheetId="13" hidden="1">'10.17'!$B$3:$AE$36</definedName>
    <definedName name="Z_8FA8B620_C56C_11DB_A857_00055D5FD5FF_.wvu.PrintArea" localSheetId="4" hidden="1">'10.2'!$B$3:$AE$36</definedName>
    <definedName name="Z_8FA8B620_C56C_11DB_A857_00055D5FD5FF_.wvu.PrintArea" localSheetId="14" hidden="1">'10.20'!$B$3:$AE$36</definedName>
    <definedName name="Z_8FA8B620_C56C_11DB_A857_00055D5FD5FF_.wvu.PrintArea" localSheetId="15" hidden="1">'10.21'!$B$3:$AE$36</definedName>
    <definedName name="Z_8FA8B620_C56C_11DB_A857_00055D5FD5FF_.wvu.PrintArea" localSheetId="16" hidden="1">'10.22'!$B$3:$AE$36</definedName>
    <definedName name="Z_8FA8B620_C56C_11DB_A857_00055D5FD5FF_.wvu.PrintArea" localSheetId="17" hidden="1">'10.23'!$B$3:$AE$36</definedName>
    <definedName name="Z_8FA8B620_C56C_11DB_A857_00055D5FD5FF_.wvu.PrintArea" localSheetId="18" hidden="1">'10.27'!$B$3:$AE$36</definedName>
    <definedName name="Z_8FA8B620_C56C_11DB_A857_00055D5FD5FF_.wvu.PrintArea" localSheetId="19" hidden="1">'10.28'!$B$3:$AE$36</definedName>
    <definedName name="Z_8FA8B620_C56C_11DB_A857_00055D5FD5FF_.wvu.PrintArea" localSheetId="20" hidden="1">'10.29'!$B$3:$AE$36</definedName>
    <definedName name="Z_8FA8B620_C56C_11DB_A857_00055D5FD5FF_.wvu.PrintArea" localSheetId="5" hidden="1">'10.3'!$B$3:$AE$36</definedName>
    <definedName name="Z_8FA8B620_C56C_11DB_A857_00055D5FD5FF_.wvu.PrintArea" localSheetId="21" hidden="1">'10.30'!$B$3:$AE$36</definedName>
    <definedName name="Z_8FA8B620_C56C_11DB_A857_00055D5FD5FF_.wvu.PrintArea" localSheetId="22" hidden="1">'10.31'!$B$3:$AE$36</definedName>
    <definedName name="Z_8FA8B620_C56C_11DB_A857_00055D5FD5FF_.wvu.PrintArea" localSheetId="6" hidden="1">'10.7'!$B$3:$AE$36</definedName>
    <definedName name="Z_8FA8B620_C56C_11DB_A857_00055D5FD5FF_.wvu.PrintArea" localSheetId="7" hidden="1">'10.8'!$B$3:$AE$36</definedName>
    <definedName name="Z_8FA8B620_C56C_11DB_A857_00055D5FD5FF_.wvu.PrintArea" localSheetId="8" hidden="1">'10.9'!$B$3:$AE$36</definedName>
    <definedName name="Z_8FA8B620_C56C_11DB_A857_00055D5FD5FF_.wvu.PrintArea" localSheetId="2" hidden="1">'9.30'!$B$3:$AE$36</definedName>
    <definedName name="Z_A3DB5619_047E_4CE2_8C39_700CFD25F2CB_.wvu.PrintArea" localSheetId="3" hidden="1">'10.1'!$B$3:$AE$36</definedName>
    <definedName name="Z_A3DB5619_047E_4CE2_8C39_700CFD25F2CB_.wvu.PrintArea" localSheetId="9" hidden="1">'10.13'!$B$3:$AE$36</definedName>
    <definedName name="Z_A3DB5619_047E_4CE2_8C39_700CFD25F2CB_.wvu.PrintArea" localSheetId="10" hidden="1">'10.14'!$B$3:$AE$36</definedName>
    <definedName name="Z_A3DB5619_047E_4CE2_8C39_700CFD25F2CB_.wvu.PrintArea" localSheetId="11" hidden="1">'10.15'!$B$3:$AE$36</definedName>
    <definedName name="Z_A3DB5619_047E_4CE2_8C39_700CFD25F2CB_.wvu.PrintArea" localSheetId="12" hidden="1">'10.16'!$B$3:$AE$36</definedName>
    <definedName name="Z_A3DB5619_047E_4CE2_8C39_700CFD25F2CB_.wvu.PrintArea" localSheetId="13" hidden="1">'10.17'!$B$3:$AE$36</definedName>
    <definedName name="Z_A3DB5619_047E_4CE2_8C39_700CFD25F2CB_.wvu.PrintArea" localSheetId="4" hidden="1">'10.2'!$B$3:$AE$36</definedName>
    <definedName name="Z_A3DB5619_047E_4CE2_8C39_700CFD25F2CB_.wvu.PrintArea" localSheetId="14" hidden="1">'10.20'!$B$3:$AE$36</definedName>
    <definedName name="Z_A3DB5619_047E_4CE2_8C39_700CFD25F2CB_.wvu.PrintArea" localSheetId="15" hidden="1">'10.21'!$B$3:$AE$36</definedName>
    <definedName name="Z_A3DB5619_047E_4CE2_8C39_700CFD25F2CB_.wvu.PrintArea" localSheetId="16" hidden="1">'10.22'!$B$3:$AE$36</definedName>
    <definedName name="Z_A3DB5619_047E_4CE2_8C39_700CFD25F2CB_.wvu.PrintArea" localSheetId="17" hidden="1">'10.23'!$B$3:$AE$36</definedName>
    <definedName name="Z_A3DB5619_047E_4CE2_8C39_700CFD25F2CB_.wvu.PrintArea" localSheetId="18" hidden="1">'10.27'!$B$3:$AE$36</definedName>
    <definedName name="Z_A3DB5619_047E_4CE2_8C39_700CFD25F2CB_.wvu.PrintArea" localSheetId="19" hidden="1">'10.28'!$B$3:$AE$36</definedName>
    <definedName name="Z_A3DB5619_047E_4CE2_8C39_700CFD25F2CB_.wvu.PrintArea" localSheetId="20" hidden="1">'10.29'!$B$3:$AE$36</definedName>
    <definedName name="Z_A3DB5619_047E_4CE2_8C39_700CFD25F2CB_.wvu.PrintArea" localSheetId="5" hidden="1">'10.3'!$B$3:$AE$36</definedName>
    <definedName name="Z_A3DB5619_047E_4CE2_8C39_700CFD25F2CB_.wvu.PrintArea" localSheetId="21" hidden="1">'10.30'!$B$3:$AE$36</definedName>
    <definedName name="Z_A3DB5619_047E_4CE2_8C39_700CFD25F2CB_.wvu.PrintArea" localSheetId="22" hidden="1">'10.31'!$B$3:$AE$36</definedName>
    <definedName name="Z_A3DB5619_047E_4CE2_8C39_700CFD25F2CB_.wvu.PrintArea" localSheetId="6" hidden="1">'10.7'!$B$3:$AE$36</definedName>
    <definedName name="Z_A3DB5619_047E_4CE2_8C39_700CFD25F2CB_.wvu.PrintArea" localSheetId="7" hidden="1">'10.8'!$B$3:$AE$36</definedName>
    <definedName name="Z_A3DB5619_047E_4CE2_8C39_700CFD25F2CB_.wvu.PrintArea" localSheetId="8" hidden="1">'10.9'!$B$3:$AE$36</definedName>
    <definedName name="Z_A3DB5619_047E_4CE2_8C39_700CFD25F2CB_.wvu.PrintArea" localSheetId="2" hidden="1">'9.30'!$B$3:$AE$36</definedName>
    <definedName name="Z_D903F940_B812_11DB_B168_0010B575B8B2_.wvu.PrintArea" localSheetId="3" hidden="1">'10.1'!$B$3:$AE$36</definedName>
    <definedName name="Z_D903F940_B812_11DB_B168_0010B575B8B2_.wvu.PrintArea" localSheetId="9" hidden="1">'10.13'!$B$3:$AE$36</definedName>
    <definedName name="Z_D903F940_B812_11DB_B168_0010B575B8B2_.wvu.PrintArea" localSheetId="10" hidden="1">'10.14'!$B$3:$AE$36</definedName>
    <definedName name="Z_D903F940_B812_11DB_B168_0010B575B8B2_.wvu.PrintArea" localSheetId="11" hidden="1">'10.15'!$B$3:$AE$36</definedName>
    <definedName name="Z_D903F940_B812_11DB_B168_0010B575B8B2_.wvu.PrintArea" localSheetId="12" hidden="1">'10.16'!$B$3:$AE$36</definedName>
    <definedName name="Z_D903F940_B812_11DB_B168_0010B575B8B2_.wvu.PrintArea" localSheetId="13" hidden="1">'10.17'!$B$3:$AE$36</definedName>
    <definedName name="Z_D903F940_B812_11DB_B168_0010B575B8B2_.wvu.PrintArea" localSheetId="4" hidden="1">'10.2'!$B$3:$AE$36</definedName>
    <definedName name="Z_D903F940_B812_11DB_B168_0010B575B8B2_.wvu.PrintArea" localSheetId="14" hidden="1">'10.20'!$B$3:$AE$36</definedName>
    <definedName name="Z_D903F940_B812_11DB_B168_0010B575B8B2_.wvu.PrintArea" localSheetId="15" hidden="1">'10.21'!$B$3:$AE$36</definedName>
    <definedName name="Z_D903F940_B812_11DB_B168_0010B575B8B2_.wvu.PrintArea" localSheetId="16" hidden="1">'10.22'!$B$3:$AE$36</definedName>
    <definedName name="Z_D903F940_B812_11DB_B168_0010B575B8B2_.wvu.PrintArea" localSheetId="17" hidden="1">'10.23'!$B$3:$AE$36</definedName>
    <definedName name="Z_D903F940_B812_11DB_B168_0010B575B8B2_.wvu.PrintArea" localSheetId="18" hidden="1">'10.27'!$B$3:$AE$36</definedName>
    <definedName name="Z_D903F940_B812_11DB_B168_0010B575B8B2_.wvu.PrintArea" localSheetId="19" hidden="1">'10.28'!$B$3:$AE$36</definedName>
    <definedName name="Z_D903F940_B812_11DB_B168_0010B575B8B2_.wvu.PrintArea" localSheetId="20" hidden="1">'10.29'!$B$3:$AE$36</definedName>
    <definedName name="Z_D903F940_B812_11DB_B168_0010B575B8B2_.wvu.PrintArea" localSheetId="5" hidden="1">'10.3'!$B$3:$AE$36</definedName>
    <definedName name="Z_D903F940_B812_11DB_B168_0010B575B8B2_.wvu.PrintArea" localSheetId="21" hidden="1">'10.30'!$B$3:$AE$36</definedName>
    <definedName name="Z_D903F940_B812_11DB_B168_0010B575B8B2_.wvu.PrintArea" localSheetId="22" hidden="1">'10.31'!$B$3:$AE$36</definedName>
    <definedName name="Z_D903F940_B812_11DB_B168_0010B575B8B2_.wvu.PrintArea" localSheetId="6" hidden="1">'10.7'!$B$3:$AE$36</definedName>
    <definedName name="Z_D903F940_B812_11DB_B168_0010B575B8B2_.wvu.PrintArea" localSheetId="7" hidden="1">'10.8'!$B$3:$AE$36</definedName>
    <definedName name="Z_D903F940_B812_11DB_B168_0010B575B8B2_.wvu.PrintArea" localSheetId="8" hidden="1">'10.9'!$B$3:$AE$36</definedName>
    <definedName name="Z_D903F940_B812_11DB_B168_0010B575B8B2_.wvu.PrintArea" localSheetId="2" hidden="1">'9.30'!$B$3:$AE$36</definedName>
    <definedName name="取樣回收每月庫存表" localSheetId="3" hidden="1">'10.1'!#REF!</definedName>
    <definedName name="取樣回收每月庫存表" localSheetId="9" hidden="1">'10.13'!#REF!</definedName>
    <definedName name="取樣回收每月庫存表" localSheetId="10" hidden="1">'10.14'!#REF!</definedName>
    <definedName name="取樣回收每月庫存表" localSheetId="11" hidden="1">'10.15'!#REF!</definedName>
    <definedName name="取樣回收每月庫存表" localSheetId="12" hidden="1">'10.16'!#REF!</definedName>
    <definedName name="取樣回收每月庫存表" localSheetId="13" hidden="1">'10.17'!#REF!</definedName>
    <definedName name="取樣回收每月庫存表" localSheetId="4" hidden="1">'10.2'!#REF!</definedName>
    <definedName name="取樣回收每月庫存表" localSheetId="14" hidden="1">'10.20'!#REF!</definedName>
    <definedName name="取樣回收每月庫存表" localSheetId="15" hidden="1">'10.21'!#REF!</definedName>
    <definedName name="取樣回收每月庫存表" localSheetId="16" hidden="1">'10.22'!#REF!</definedName>
    <definedName name="取樣回收每月庫存表" localSheetId="17" hidden="1">'10.23'!#REF!</definedName>
    <definedName name="取樣回收每月庫存表" localSheetId="18" hidden="1">'10.27'!#REF!</definedName>
    <definedName name="取樣回收每月庫存表" localSheetId="19" hidden="1">'10.28'!#REF!</definedName>
    <definedName name="取樣回收每月庫存表" localSheetId="20" hidden="1">'10.29'!#REF!</definedName>
    <definedName name="取樣回收每月庫存表" localSheetId="5" hidden="1">'10.3'!#REF!</definedName>
    <definedName name="取樣回收每月庫存表" localSheetId="21" hidden="1">'10.30'!#REF!</definedName>
    <definedName name="取樣回收每月庫存表" localSheetId="22" hidden="1">'10.31'!#REF!</definedName>
    <definedName name="取樣回收每月庫存表" localSheetId="6" hidden="1">'10.7'!#REF!</definedName>
    <definedName name="取樣回收每月庫存表" localSheetId="7" hidden="1">'10.8'!#REF!</definedName>
    <definedName name="取樣回收每月庫存表" localSheetId="8" hidden="1">'10.9'!#REF!</definedName>
    <definedName name="取樣回收每月庫存表" localSheetId="2" hidden="1">'9.30'!#REF!</definedName>
    <definedName name="取樣回收每月庫存表_0620更新" localSheetId="3" hidden="1">'10.1'!$AG$13:$BH$189</definedName>
    <definedName name="取樣回收每月庫存表_0620更新" localSheetId="9" hidden="1">'10.13'!$AG$13:$BH$189</definedName>
    <definedName name="取樣回收每月庫存表_0620更新" localSheetId="10" hidden="1">'10.14'!$AG$13:$BH$189</definedName>
    <definedName name="取樣回收每月庫存表_0620更新" localSheetId="11" hidden="1">'10.15'!$AG$13:$BH$189</definedName>
    <definedName name="取樣回收每月庫存表_0620更新" localSheetId="12" hidden="1">'10.16'!$AG$13:$BH$189</definedName>
    <definedName name="取樣回收每月庫存表_0620更新" localSheetId="13" hidden="1">'10.17'!$AG$13:$BH$189</definedName>
    <definedName name="取樣回收每月庫存表_0620更新" localSheetId="4" hidden="1">'10.2'!$AG$13:$BH$189</definedName>
    <definedName name="取樣回收每月庫存表_0620更新" localSheetId="14" hidden="1">'10.20'!$AG$13:$BH$189</definedName>
    <definedName name="取樣回收每月庫存表_0620更新" localSheetId="15" hidden="1">'10.21'!$AG$13:$BH$189</definedName>
    <definedName name="取樣回收每月庫存表_0620更新" localSheetId="16" hidden="1">'10.22'!$AG$13:$BH$189</definedName>
    <definedName name="取樣回收每月庫存表_0620更新" localSheetId="17" hidden="1">'10.23'!$AG$13:$BH$189</definedName>
    <definedName name="取樣回收每月庫存表_0620更新" localSheetId="18" hidden="1">'10.27'!$AG$13:$BH$189</definedName>
    <definedName name="取樣回收每月庫存表_0620更新" localSheetId="19" hidden="1">'10.28'!$AG$13:$BH$189</definedName>
    <definedName name="取樣回收每月庫存表_0620更新" localSheetId="20" hidden="1">'10.29'!$AG$13:$BH$189</definedName>
    <definedName name="取樣回收每月庫存表_0620更新" localSheetId="5" hidden="1">'10.3'!$AG$13:$BH$189</definedName>
    <definedName name="取樣回收每月庫存表_0620更新" localSheetId="21" hidden="1">'10.30'!$AG$13:$BH$189</definedName>
    <definedName name="取樣回收每月庫存表_0620更新" localSheetId="22" hidden="1">'10.31'!$AG$13:$BH$189</definedName>
    <definedName name="取樣回收每月庫存表_0620更新" localSheetId="6" hidden="1">'10.7'!$AG$13:$BH$189</definedName>
    <definedName name="取樣回收每月庫存表_0620更新" localSheetId="7" hidden="1">'10.8'!$AG$13:$BH$189</definedName>
    <definedName name="取樣回收每月庫存表_0620更新" localSheetId="8" hidden="1">'10.9'!$AG$13:$BH$189</definedName>
    <definedName name="取樣回收每月庫存表_0620更新" localSheetId="2" hidden="1">'9.30'!$AG$13:$BH$189</definedName>
    <definedName name="複本_14_取樣回收每月庫存表" localSheetId="3" hidden="1">'10.1'!#REF!</definedName>
    <definedName name="複本_14_取樣回收每月庫存表" localSheetId="9" hidden="1">'10.13'!#REF!</definedName>
    <definedName name="複本_14_取樣回收每月庫存表" localSheetId="10" hidden="1">'10.14'!#REF!</definedName>
    <definedName name="複本_14_取樣回收每月庫存表" localSheetId="11" hidden="1">'10.15'!#REF!</definedName>
    <definedName name="複本_14_取樣回收每月庫存表" localSheetId="12" hidden="1">'10.16'!#REF!</definedName>
    <definedName name="複本_14_取樣回收每月庫存表" localSheetId="13" hidden="1">'10.17'!#REF!</definedName>
    <definedName name="複本_14_取樣回收每月庫存表" localSheetId="4" hidden="1">'10.2'!#REF!</definedName>
    <definedName name="複本_14_取樣回收每月庫存表" localSheetId="14" hidden="1">'10.20'!#REF!</definedName>
    <definedName name="複本_14_取樣回收每月庫存表" localSheetId="15" hidden="1">'10.21'!#REF!</definedName>
    <definedName name="複本_14_取樣回收每月庫存表" localSheetId="16" hidden="1">'10.22'!#REF!</definedName>
    <definedName name="複本_14_取樣回收每月庫存表" localSheetId="17" hidden="1">'10.23'!#REF!</definedName>
    <definedName name="複本_14_取樣回收每月庫存表" localSheetId="18" hidden="1">'10.27'!#REF!</definedName>
    <definedName name="複本_14_取樣回收每月庫存表" localSheetId="19" hidden="1">'10.28'!#REF!</definedName>
    <definedName name="複本_14_取樣回收每月庫存表" localSheetId="20" hidden="1">'10.29'!#REF!</definedName>
    <definedName name="複本_14_取樣回收每月庫存表" localSheetId="5" hidden="1">'10.3'!#REF!</definedName>
    <definedName name="複本_14_取樣回收每月庫存表" localSheetId="21" hidden="1">'10.30'!#REF!</definedName>
    <definedName name="複本_14_取樣回收每月庫存表" localSheetId="22" hidden="1">'10.31'!#REF!</definedName>
    <definedName name="複本_14_取樣回收每月庫存表" localSheetId="6" hidden="1">'10.7'!#REF!</definedName>
    <definedName name="複本_14_取樣回收每月庫存表" localSheetId="7" hidden="1">'10.8'!#REF!</definedName>
    <definedName name="複本_14_取樣回收每月庫存表" localSheetId="8" hidden="1">'10.9'!#REF!</definedName>
    <definedName name="複本_14_取樣回收每月庫存表" localSheetId="2" hidden="1">'9.30'!#REF!</definedName>
  </definedNames>
  <calcPr calcId="162913"/>
</workbook>
</file>

<file path=xl/calcChain.xml><?xml version="1.0" encoding="utf-8"?>
<calcChain xmlns="http://schemas.openxmlformats.org/spreadsheetml/2006/main">
  <c r="AA33" i="2014" l="1"/>
  <c r="X33" i="2014"/>
  <c r="U33" i="2014"/>
  <c r="R33" i="2014"/>
  <c r="O33" i="2014"/>
  <c r="L33" i="2014"/>
  <c r="F33" i="2014"/>
  <c r="Y28" i="2014"/>
  <c r="X28" i="2014"/>
  <c r="W28" i="2014"/>
  <c r="V28" i="2014"/>
  <c r="U28" i="2014"/>
  <c r="T28" i="2014"/>
  <c r="S28" i="2014"/>
  <c r="R28" i="2014"/>
  <c r="Q28" i="2014"/>
  <c r="P28" i="2014"/>
  <c r="O28" i="2014"/>
  <c r="N28" i="2014"/>
  <c r="M28" i="2014"/>
  <c r="L28" i="2014"/>
  <c r="K28" i="2014"/>
  <c r="J28" i="2014"/>
  <c r="I28" i="2014"/>
  <c r="H28" i="2014"/>
  <c r="G28" i="2014"/>
  <c r="F28" i="2014"/>
  <c r="E28" i="2014"/>
  <c r="D28" i="2014"/>
  <c r="Y25" i="2014"/>
  <c r="X25" i="2014"/>
  <c r="W25" i="2014"/>
  <c r="V25" i="2014"/>
  <c r="U25" i="2014"/>
  <c r="T25" i="2014"/>
  <c r="S25" i="2014"/>
  <c r="R25" i="2014"/>
  <c r="Q25" i="2014"/>
  <c r="P25" i="2014"/>
  <c r="O25" i="2014"/>
  <c r="N25" i="2014"/>
  <c r="M25" i="2014"/>
  <c r="L25" i="2014"/>
  <c r="K25" i="2014"/>
  <c r="J25" i="2014"/>
  <c r="I25" i="2014"/>
  <c r="H25" i="2014"/>
  <c r="G25" i="2014"/>
  <c r="F25" i="2014"/>
  <c r="E25" i="2014"/>
  <c r="D25" i="2014"/>
  <c r="AE19" i="2014"/>
  <c r="AD19" i="2014"/>
  <c r="AC19" i="2014"/>
  <c r="AB19" i="2014"/>
  <c r="AA19" i="2014"/>
  <c r="Z19" i="2014"/>
  <c r="Y19" i="2014"/>
  <c r="X19" i="2014"/>
  <c r="T33" i="2014" s="1"/>
  <c r="W19" i="2014"/>
  <c r="V19" i="2014"/>
  <c r="U19" i="2014"/>
  <c r="T19" i="2014"/>
  <c r="S19" i="2014"/>
  <c r="R19" i="2014"/>
  <c r="Q19" i="2014"/>
  <c r="P19" i="2014"/>
  <c r="O19" i="2014"/>
  <c r="N19" i="2014"/>
  <c r="H33" i="2014" s="1"/>
  <c r="M19" i="2014"/>
  <c r="L19" i="2014"/>
  <c r="P33" i="2014" s="1"/>
  <c r="K19" i="2014"/>
  <c r="J19" i="2014"/>
  <c r="I19" i="2014"/>
  <c r="AB33" i="2014" s="1"/>
  <c r="H19" i="2014"/>
  <c r="G19" i="2014"/>
  <c r="F19" i="2014"/>
  <c r="E19" i="2014"/>
  <c r="D19" i="2014"/>
  <c r="AE16" i="2014"/>
  <c r="AD16" i="2014"/>
  <c r="AC16" i="2014"/>
  <c r="AB16" i="2014"/>
  <c r="AA16" i="2014"/>
  <c r="Z16" i="2014"/>
  <c r="X16" i="2014"/>
  <c r="W16" i="2014"/>
  <c r="V16" i="2014"/>
  <c r="U16" i="2014"/>
  <c r="T16" i="2014"/>
  <c r="S16" i="2014"/>
  <c r="R16" i="2014"/>
  <c r="Q16" i="2014"/>
  <c r="P16" i="2014"/>
  <c r="O16" i="2014"/>
  <c r="N16" i="2014"/>
  <c r="M16" i="2014"/>
  <c r="L16" i="2014"/>
  <c r="K16" i="2014"/>
  <c r="J16" i="2014"/>
  <c r="I16" i="2014"/>
  <c r="H16" i="2014"/>
  <c r="G16" i="2014"/>
  <c r="F16" i="2014"/>
  <c r="E16" i="2014"/>
  <c r="D16" i="2014"/>
  <c r="AE10" i="2014"/>
  <c r="AD10" i="2014"/>
  <c r="AC33" i="2014" s="1"/>
  <c r="AC10" i="2014"/>
  <c r="AB10" i="2014"/>
  <c r="AA10" i="2014"/>
  <c r="Z10" i="2014"/>
  <c r="Y10" i="2014"/>
  <c r="X10" i="2014"/>
  <c r="W10" i="2014"/>
  <c r="V10" i="2014"/>
  <c r="U10" i="2014"/>
  <c r="T10" i="2014"/>
  <c r="S10" i="2014"/>
  <c r="R10" i="2014"/>
  <c r="Q10" i="2014"/>
  <c r="P10" i="2014"/>
  <c r="O10" i="2014"/>
  <c r="N10" i="2014"/>
  <c r="M10" i="2014"/>
  <c r="E33" i="2014" s="1"/>
  <c r="L10" i="2014"/>
  <c r="K10" i="2014"/>
  <c r="J10" i="2014"/>
  <c r="Q33" i="2014" s="1"/>
  <c r="I10" i="2014"/>
  <c r="H10" i="2014"/>
  <c r="G10" i="2014"/>
  <c r="F10" i="2014"/>
  <c r="E10" i="2014"/>
  <c r="S33" i="2014" s="1"/>
  <c r="D10" i="2014"/>
  <c r="AE7" i="2014"/>
  <c r="AD7" i="2014"/>
  <c r="AC7" i="2014"/>
  <c r="AB7" i="2014"/>
  <c r="AA7" i="2014"/>
  <c r="Z7" i="2014"/>
  <c r="Y7" i="2014"/>
  <c r="X7" i="2014"/>
  <c r="W7" i="2014"/>
  <c r="V7" i="2014"/>
  <c r="U7" i="2014"/>
  <c r="T7" i="2014"/>
  <c r="S7" i="2014"/>
  <c r="R7" i="2014"/>
  <c r="Q7" i="2014"/>
  <c r="P7" i="2014"/>
  <c r="O7" i="2014"/>
  <c r="N7" i="2014"/>
  <c r="M7" i="2014"/>
  <c r="L7" i="2014"/>
  <c r="K7" i="2014"/>
  <c r="J7" i="2014"/>
  <c r="I7" i="2014"/>
  <c r="H7" i="2014"/>
  <c r="G7" i="2014"/>
  <c r="F7" i="2014"/>
  <c r="E7" i="2014"/>
  <c r="D7" i="2014"/>
  <c r="J33" i="2014" l="1"/>
  <c r="W33" i="2014"/>
  <c r="D33" i="2014"/>
  <c r="Z33" i="2014"/>
  <c r="Y33" i="2014"/>
  <c r="N33" i="2014"/>
  <c r="K33" i="2014"/>
  <c r="M33" i="2014"/>
  <c r="V33" i="2014"/>
  <c r="AA33" i="2013"/>
  <c r="X33" i="2013"/>
  <c r="U33" i="2013"/>
  <c r="R33" i="2013"/>
  <c r="O33" i="2013"/>
  <c r="L33" i="2013"/>
  <c r="F33" i="2013"/>
  <c r="Y28" i="2013"/>
  <c r="X28" i="2013"/>
  <c r="W28" i="2013"/>
  <c r="V28" i="2013"/>
  <c r="U28" i="2013"/>
  <c r="T28" i="2013"/>
  <c r="S28" i="2013"/>
  <c r="R28" i="2013"/>
  <c r="Q28" i="2013"/>
  <c r="P28" i="2013"/>
  <c r="O28" i="2013"/>
  <c r="N28" i="2013"/>
  <c r="M28" i="2013"/>
  <c r="L28" i="2013"/>
  <c r="K28" i="2013"/>
  <c r="J28" i="2013"/>
  <c r="I28" i="2013"/>
  <c r="H28" i="2013"/>
  <c r="G28" i="2013"/>
  <c r="F28" i="2013"/>
  <c r="E28" i="2013"/>
  <c r="D28" i="2013"/>
  <c r="Y25" i="2013"/>
  <c r="X25" i="2013"/>
  <c r="W25" i="2013"/>
  <c r="V25" i="2013"/>
  <c r="U25" i="2013"/>
  <c r="T25" i="2013"/>
  <c r="S25" i="2013"/>
  <c r="R25" i="2013"/>
  <c r="Q25" i="2013"/>
  <c r="P25" i="2013"/>
  <c r="O25" i="2013"/>
  <c r="N25" i="2013"/>
  <c r="M25" i="2013"/>
  <c r="L25" i="2013"/>
  <c r="K25" i="2013"/>
  <c r="J25" i="2013"/>
  <c r="I25" i="2013"/>
  <c r="H25" i="2013"/>
  <c r="G25" i="2013"/>
  <c r="F25" i="2013"/>
  <c r="E25" i="2013"/>
  <c r="D25" i="2013"/>
  <c r="AE19" i="2013"/>
  <c r="AD19" i="2013"/>
  <c r="AC19" i="2013"/>
  <c r="AB19" i="2013"/>
  <c r="AA19" i="2013"/>
  <c r="Z19" i="2013"/>
  <c r="Y19" i="2013"/>
  <c r="X19" i="2013"/>
  <c r="T33" i="2013" s="1"/>
  <c r="W19" i="2013"/>
  <c r="V19" i="2013"/>
  <c r="U19" i="2013"/>
  <c r="T19" i="2013"/>
  <c r="S19" i="2013"/>
  <c r="R19" i="2013"/>
  <c r="Q19" i="2013"/>
  <c r="P19" i="2013"/>
  <c r="O19" i="2013"/>
  <c r="N19" i="2013"/>
  <c r="H33" i="2013" s="1"/>
  <c r="M19" i="2013"/>
  <c r="L19" i="2013"/>
  <c r="P33" i="2013" s="1"/>
  <c r="K19" i="2013"/>
  <c r="J19" i="2013"/>
  <c r="I19" i="2013"/>
  <c r="AB33" i="2013" s="1"/>
  <c r="H19" i="2013"/>
  <c r="G19" i="2013"/>
  <c r="F19" i="2013"/>
  <c r="E19" i="2013"/>
  <c r="D19" i="2013"/>
  <c r="AE16" i="2013"/>
  <c r="AD16" i="2013"/>
  <c r="AC16" i="2013"/>
  <c r="AB16" i="2013"/>
  <c r="AA16" i="2013"/>
  <c r="Z16" i="2013"/>
  <c r="X16" i="2013"/>
  <c r="W16" i="2013"/>
  <c r="V16" i="2013"/>
  <c r="U16" i="2013"/>
  <c r="T16" i="2013"/>
  <c r="S16" i="2013"/>
  <c r="R16" i="2013"/>
  <c r="Q16" i="2013"/>
  <c r="P16" i="2013"/>
  <c r="O16" i="2013"/>
  <c r="N16" i="2013"/>
  <c r="M16" i="2013"/>
  <c r="L16" i="2013"/>
  <c r="K16" i="2013"/>
  <c r="J16" i="2013"/>
  <c r="I16" i="2013"/>
  <c r="H16" i="2013"/>
  <c r="G16" i="2013"/>
  <c r="F16" i="2013"/>
  <c r="E16" i="2013"/>
  <c r="D16" i="2013"/>
  <c r="AE10" i="2013"/>
  <c r="AD10" i="2013"/>
  <c r="AC33" i="2013" s="1"/>
  <c r="AC10" i="2013"/>
  <c r="AB10" i="2013"/>
  <c r="AA10" i="2013"/>
  <c r="Z10" i="2013"/>
  <c r="Y10" i="2013"/>
  <c r="X10" i="2013"/>
  <c r="W10" i="2013"/>
  <c r="V10" i="2013"/>
  <c r="U10" i="2013"/>
  <c r="T10" i="2013"/>
  <c r="S10" i="2013"/>
  <c r="R10" i="2013"/>
  <c r="Q10" i="2013"/>
  <c r="P10" i="2013"/>
  <c r="O10" i="2013"/>
  <c r="N10" i="2013"/>
  <c r="M10" i="2013"/>
  <c r="E33" i="2013" s="1"/>
  <c r="L10" i="2013"/>
  <c r="K10" i="2013"/>
  <c r="J10" i="2013"/>
  <c r="Q33" i="2013" s="1"/>
  <c r="I10" i="2013"/>
  <c r="H10" i="2013"/>
  <c r="G10" i="2013"/>
  <c r="F10" i="2013"/>
  <c r="J33" i="2013" s="1"/>
  <c r="E10" i="2013"/>
  <c r="S33" i="2013" s="1"/>
  <c r="D10" i="2013"/>
  <c r="AE7" i="2013"/>
  <c r="AD7" i="2013"/>
  <c r="AC7" i="2013"/>
  <c r="AB7" i="2013"/>
  <c r="AA7" i="2013"/>
  <c r="Z7" i="2013"/>
  <c r="Y7" i="2013"/>
  <c r="X7" i="2013"/>
  <c r="W7" i="2013"/>
  <c r="V7" i="2013"/>
  <c r="U7" i="2013"/>
  <c r="T7" i="2013"/>
  <c r="S7" i="2013"/>
  <c r="R7" i="2013"/>
  <c r="Q7" i="2013"/>
  <c r="P7" i="2013"/>
  <c r="O7" i="2013"/>
  <c r="N7" i="2013"/>
  <c r="M7" i="2013"/>
  <c r="L7" i="2013"/>
  <c r="K7" i="2013"/>
  <c r="J7" i="2013"/>
  <c r="I7" i="2013"/>
  <c r="H7" i="2013"/>
  <c r="G7" i="2013"/>
  <c r="F7" i="2013"/>
  <c r="E7" i="2013"/>
  <c r="D7" i="2013"/>
  <c r="W33" i="2013" l="1"/>
  <c r="D33" i="2013"/>
  <c r="Z33" i="2013"/>
  <c r="Y33" i="2013"/>
  <c r="N33" i="2013"/>
  <c r="K33" i="2013"/>
  <c r="M33" i="2013"/>
  <c r="V33" i="2013"/>
  <c r="AA33" i="2012"/>
  <c r="X33" i="2012"/>
  <c r="U33" i="2012"/>
  <c r="R33" i="2012"/>
  <c r="O33" i="2012"/>
  <c r="L33" i="2012"/>
  <c r="F33" i="2012"/>
  <c r="Y28" i="2012"/>
  <c r="X28" i="2012"/>
  <c r="W28" i="2012"/>
  <c r="V28" i="2012"/>
  <c r="U28" i="2012"/>
  <c r="T28" i="2012"/>
  <c r="S28" i="2012"/>
  <c r="R28" i="2012"/>
  <c r="Q28" i="2012"/>
  <c r="P28" i="2012"/>
  <c r="O28" i="2012"/>
  <c r="N28" i="2012"/>
  <c r="M28" i="2012"/>
  <c r="L28" i="2012"/>
  <c r="K28" i="2012"/>
  <c r="J28" i="2012"/>
  <c r="I28" i="2012"/>
  <c r="H28" i="2012"/>
  <c r="G28" i="2012"/>
  <c r="F28" i="2012"/>
  <c r="E28" i="2012"/>
  <c r="D28" i="2012"/>
  <c r="Y25" i="2012"/>
  <c r="X25" i="2012"/>
  <c r="W25" i="2012"/>
  <c r="V25" i="2012"/>
  <c r="U25" i="2012"/>
  <c r="T25" i="2012"/>
  <c r="S25" i="2012"/>
  <c r="R25" i="2012"/>
  <c r="Q25" i="2012"/>
  <c r="P25" i="2012"/>
  <c r="O25" i="2012"/>
  <c r="N25" i="2012"/>
  <c r="M25" i="2012"/>
  <c r="L25" i="2012"/>
  <c r="K25" i="2012"/>
  <c r="J25" i="2012"/>
  <c r="I25" i="2012"/>
  <c r="H25" i="2012"/>
  <c r="G25" i="2012"/>
  <c r="F25" i="2012"/>
  <c r="E25" i="2012"/>
  <c r="D25" i="2012"/>
  <c r="AE19" i="2012"/>
  <c r="AD19" i="2012"/>
  <c r="AC19" i="2012"/>
  <c r="AB19" i="2012"/>
  <c r="AA19" i="2012"/>
  <c r="Z19" i="2012"/>
  <c r="Y19" i="2012"/>
  <c r="X19" i="2012"/>
  <c r="T33" i="2012" s="1"/>
  <c r="W19" i="2012"/>
  <c r="V19" i="2012"/>
  <c r="U19" i="2012"/>
  <c r="T19" i="2012"/>
  <c r="S19" i="2012"/>
  <c r="R19" i="2012"/>
  <c r="Q19" i="2012"/>
  <c r="P19" i="2012"/>
  <c r="O19" i="2012"/>
  <c r="N19" i="2012"/>
  <c r="H33" i="2012" s="1"/>
  <c r="M19" i="2012"/>
  <c r="L19" i="2012"/>
  <c r="P33" i="2012" s="1"/>
  <c r="K19" i="2012"/>
  <c r="J19" i="2012"/>
  <c r="I19" i="2012"/>
  <c r="AB33" i="2012" s="1"/>
  <c r="H19" i="2012"/>
  <c r="G19" i="2012"/>
  <c r="F19" i="2012"/>
  <c r="E19" i="2012"/>
  <c r="D19" i="2012"/>
  <c r="AE16" i="2012"/>
  <c r="AD16" i="2012"/>
  <c r="AC16" i="2012"/>
  <c r="AB16" i="2012"/>
  <c r="AA16" i="2012"/>
  <c r="Z16" i="2012"/>
  <c r="X16" i="2012"/>
  <c r="W16" i="2012"/>
  <c r="V16" i="2012"/>
  <c r="U16" i="2012"/>
  <c r="T16" i="2012"/>
  <c r="S16" i="2012"/>
  <c r="R16" i="2012"/>
  <c r="Q16" i="2012"/>
  <c r="P16" i="2012"/>
  <c r="O16" i="2012"/>
  <c r="N16" i="2012"/>
  <c r="M16" i="2012"/>
  <c r="L16" i="2012"/>
  <c r="K16" i="2012"/>
  <c r="J16" i="2012"/>
  <c r="I16" i="2012"/>
  <c r="H16" i="2012"/>
  <c r="G16" i="2012"/>
  <c r="F16" i="2012"/>
  <c r="E16" i="2012"/>
  <c r="D16" i="2012"/>
  <c r="AE10" i="2012"/>
  <c r="AD10" i="2012"/>
  <c r="AC33" i="2012" s="1"/>
  <c r="AC10" i="2012"/>
  <c r="AB10" i="2012"/>
  <c r="AA10" i="2012"/>
  <c r="Z10" i="2012"/>
  <c r="Y10" i="2012"/>
  <c r="X10" i="2012"/>
  <c r="W10" i="2012"/>
  <c r="V10" i="2012"/>
  <c r="U10" i="2012"/>
  <c r="T10" i="2012"/>
  <c r="S10" i="2012"/>
  <c r="R10" i="2012"/>
  <c r="Q10" i="2012"/>
  <c r="P10" i="2012"/>
  <c r="O10" i="2012"/>
  <c r="N10" i="2012"/>
  <c r="Q33" i="2012" s="1"/>
  <c r="M10" i="2012"/>
  <c r="L10" i="2012"/>
  <c r="N33" i="2012" s="1"/>
  <c r="K10" i="2012"/>
  <c r="J10" i="2012"/>
  <c r="I10" i="2012"/>
  <c r="H10" i="2012"/>
  <c r="G10" i="2012"/>
  <c r="F10" i="2012"/>
  <c r="J33" i="2012" s="1"/>
  <c r="E10" i="2012"/>
  <c r="S33" i="2012" s="1"/>
  <c r="D10" i="2012"/>
  <c r="AE7" i="2012"/>
  <c r="AD7" i="2012"/>
  <c r="AC7" i="2012"/>
  <c r="AB7" i="2012"/>
  <c r="AA7" i="2012"/>
  <c r="Z7" i="2012"/>
  <c r="Y7" i="2012"/>
  <c r="X7" i="2012"/>
  <c r="W7" i="2012"/>
  <c r="V7" i="2012"/>
  <c r="U7" i="2012"/>
  <c r="T7" i="2012"/>
  <c r="S7" i="2012"/>
  <c r="R7" i="2012"/>
  <c r="Q7" i="2012"/>
  <c r="P7" i="2012"/>
  <c r="O7" i="2012"/>
  <c r="N7" i="2012"/>
  <c r="M7" i="2012"/>
  <c r="L7" i="2012"/>
  <c r="K7" i="2012"/>
  <c r="J7" i="2012"/>
  <c r="I7" i="2012"/>
  <c r="H7" i="2012"/>
  <c r="G7" i="2012"/>
  <c r="F7" i="2012"/>
  <c r="E7" i="2012"/>
  <c r="D7" i="2012"/>
  <c r="K33" i="2012" l="1"/>
  <c r="W33" i="2012"/>
  <c r="Z33" i="2012"/>
  <c r="D33" i="2012"/>
  <c r="Y33" i="2012"/>
  <c r="E33" i="2012"/>
  <c r="M33" i="2012"/>
  <c r="V33" i="2012"/>
  <c r="AA33" i="2010"/>
  <c r="X33" i="2010"/>
  <c r="U33" i="2010"/>
  <c r="R33" i="2010"/>
  <c r="O33" i="2010"/>
  <c r="L33" i="2010"/>
  <c r="F33" i="2010"/>
  <c r="Y28" i="2010"/>
  <c r="X28" i="2010"/>
  <c r="W28" i="2010"/>
  <c r="V28" i="2010"/>
  <c r="U28" i="2010"/>
  <c r="T28" i="2010"/>
  <c r="S28" i="2010"/>
  <c r="R28" i="2010"/>
  <c r="Q28" i="2010"/>
  <c r="P28" i="2010"/>
  <c r="O28" i="2010"/>
  <c r="N28" i="2010"/>
  <c r="M28" i="2010"/>
  <c r="L28" i="2010"/>
  <c r="K28" i="2010"/>
  <c r="J28" i="2010"/>
  <c r="I28" i="2010"/>
  <c r="H28" i="2010"/>
  <c r="G28" i="2010"/>
  <c r="F28" i="2010"/>
  <c r="E28" i="2010"/>
  <c r="D28" i="2010"/>
  <c r="Y25" i="2010"/>
  <c r="X25" i="2010"/>
  <c r="W25" i="2010"/>
  <c r="V25" i="2010"/>
  <c r="U25" i="2010"/>
  <c r="T25" i="2010"/>
  <c r="S25" i="2010"/>
  <c r="R25" i="2010"/>
  <c r="Q25" i="2010"/>
  <c r="P25" i="2010"/>
  <c r="O25" i="2010"/>
  <c r="N25" i="2010"/>
  <c r="M25" i="2010"/>
  <c r="L25" i="2010"/>
  <c r="K25" i="2010"/>
  <c r="J25" i="2010"/>
  <c r="I25" i="2010"/>
  <c r="H25" i="2010"/>
  <c r="G25" i="2010"/>
  <c r="F25" i="2010"/>
  <c r="E25" i="2010"/>
  <c r="D25" i="2010"/>
  <c r="AE19" i="2010"/>
  <c r="AD19" i="2010"/>
  <c r="AC19" i="2010"/>
  <c r="AB19" i="2010"/>
  <c r="AA19" i="2010"/>
  <c r="Z19" i="2010"/>
  <c r="Y19" i="2010"/>
  <c r="X19" i="2010"/>
  <c r="T33" i="2010" s="1"/>
  <c r="W19" i="2010"/>
  <c r="V19" i="2010"/>
  <c r="U19" i="2010"/>
  <c r="T19" i="2010"/>
  <c r="S19" i="2010"/>
  <c r="R19" i="2010"/>
  <c r="Q19" i="2010"/>
  <c r="P19" i="2010"/>
  <c r="O19" i="2010"/>
  <c r="N19" i="2010"/>
  <c r="H33" i="2010" s="1"/>
  <c r="M19" i="2010"/>
  <c r="L19" i="2010"/>
  <c r="P33" i="2010" s="1"/>
  <c r="K19" i="2010"/>
  <c r="J19" i="2010"/>
  <c r="I19" i="2010"/>
  <c r="AB33" i="2010" s="1"/>
  <c r="H19" i="2010"/>
  <c r="G19" i="2010"/>
  <c r="F19" i="2010"/>
  <c r="E19" i="2010"/>
  <c r="D19" i="2010"/>
  <c r="AE16" i="2010"/>
  <c r="AD16" i="2010"/>
  <c r="AC16" i="2010"/>
  <c r="AB16" i="2010"/>
  <c r="AA16" i="2010"/>
  <c r="Z16" i="2010"/>
  <c r="X16" i="2010"/>
  <c r="W16" i="2010"/>
  <c r="V16" i="2010"/>
  <c r="U16" i="2010"/>
  <c r="T16" i="2010"/>
  <c r="S16" i="2010"/>
  <c r="R16" i="2010"/>
  <c r="Q16" i="2010"/>
  <c r="P16" i="2010"/>
  <c r="O16" i="2010"/>
  <c r="N16" i="2010"/>
  <c r="M16" i="2010"/>
  <c r="L16" i="2010"/>
  <c r="K16" i="2010"/>
  <c r="J16" i="2010"/>
  <c r="I16" i="2010"/>
  <c r="H16" i="2010"/>
  <c r="G16" i="2010"/>
  <c r="F16" i="2010"/>
  <c r="E16" i="2010"/>
  <c r="D16" i="2010"/>
  <c r="AE10" i="2010"/>
  <c r="AD10" i="2010"/>
  <c r="AC33" i="2010" s="1"/>
  <c r="AC10" i="2010"/>
  <c r="AB10" i="2010"/>
  <c r="AA10" i="2010"/>
  <c r="Z10" i="2010"/>
  <c r="Y10" i="2010"/>
  <c r="X10" i="2010"/>
  <c r="W10" i="2010"/>
  <c r="V10" i="2010"/>
  <c r="U10" i="2010"/>
  <c r="T10" i="2010"/>
  <c r="S10" i="2010"/>
  <c r="R10" i="2010"/>
  <c r="Q10" i="2010"/>
  <c r="P10" i="2010"/>
  <c r="O10" i="2010"/>
  <c r="N10" i="2010"/>
  <c r="M10" i="2010"/>
  <c r="E33" i="2010" s="1"/>
  <c r="L10" i="2010"/>
  <c r="N33" i="2010" s="1"/>
  <c r="K10" i="2010"/>
  <c r="J10" i="2010"/>
  <c r="Q33" i="2010" s="1"/>
  <c r="I10" i="2010"/>
  <c r="H10" i="2010"/>
  <c r="G10" i="2010"/>
  <c r="F10" i="2010"/>
  <c r="J33" i="2010" s="1"/>
  <c r="E10" i="2010"/>
  <c r="S33" i="2010" s="1"/>
  <c r="D10" i="2010"/>
  <c r="AE7" i="2010"/>
  <c r="AD7" i="2010"/>
  <c r="AC7" i="2010"/>
  <c r="AB7" i="2010"/>
  <c r="AA7" i="2010"/>
  <c r="Z7" i="2010"/>
  <c r="Y7" i="2010"/>
  <c r="X7" i="2010"/>
  <c r="W7" i="2010"/>
  <c r="V7" i="2010"/>
  <c r="U7" i="2010"/>
  <c r="T7" i="2010"/>
  <c r="S7" i="2010"/>
  <c r="R7" i="2010"/>
  <c r="Q7" i="2010"/>
  <c r="P7" i="2010"/>
  <c r="O7" i="2010"/>
  <c r="N7" i="2010"/>
  <c r="M7" i="2010"/>
  <c r="L7" i="2010"/>
  <c r="K7" i="2010"/>
  <c r="J7" i="2010"/>
  <c r="I7" i="2010"/>
  <c r="H7" i="2010"/>
  <c r="G7" i="2010"/>
  <c r="F7" i="2010"/>
  <c r="E7" i="2010"/>
  <c r="D7" i="2010"/>
  <c r="W33" i="2010" l="1"/>
  <c r="D33" i="2010"/>
  <c r="Z33" i="2010"/>
  <c r="Y33" i="2010"/>
  <c r="K33" i="2010"/>
  <c r="M33" i="2010"/>
  <c r="V33" i="2010"/>
  <c r="AA33" i="2009"/>
  <c r="X33" i="2009"/>
  <c r="U33" i="2009"/>
  <c r="R33" i="2009"/>
  <c r="O33" i="2009"/>
  <c r="L33" i="2009"/>
  <c r="F33" i="2009"/>
  <c r="Y28" i="2009"/>
  <c r="X28" i="2009"/>
  <c r="W28" i="2009"/>
  <c r="V28" i="2009"/>
  <c r="U28" i="2009"/>
  <c r="T28" i="2009"/>
  <c r="S28" i="2009"/>
  <c r="R28" i="2009"/>
  <c r="Q28" i="2009"/>
  <c r="P28" i="2009"/>
  <c r="O28" i="2009"/>
  <c r="N28" i="2009"/>
  <c r="M28" i="2009"/>
  <c r="L28" i="2009"/>
  <c r="K28" i="2009"/>
  <c r="J28" i="2009"/>
  <c r="I28" i="2009"/>
  <c r="H28" i="2009"/>
  <c r="G28" i="2009"/>
  <c r="F28" i="2009"/>
  <c r="E28" i="2009"/>
  <c r="D28" i="2009"/>
  <c r="Y25" i="2009"/>
  <c r="X25" i="2009"/>
  <c r="W25" i="2009"/>
  <c r="V25" i="2009"/>
  <c r="U25" i="2009"/>
  <c r="T25" i="2009"/>
  <c r="S25" i="2009"/>
  <c r="R25" i="2009"/>
  <c r="Q25" i="2009"/>
  <c r="P25" i="2009"/>
  <c r="O25" i="2009"/>
  <c r="N25" i="2009"/>
  <c r="M25" i="2009"/>
  <c r="L25" i="2009"/>
  <c r="K25" i="2009"/>
  <c r="J25" i="2009"/>
  <c r="I25" i="2009"/>
  <c r="H25" i="2009"/>
  <c r="G25" i="2009"/>
  <c r="F25" i="2009"/>
  <c r="E25" i="2009"/>
  <c r="D25" i="2009"/>
  <c r="AE19" i="2009"/>
  <c r="AD19" i="2009"/>
  <c r="AC19" i="2009"/>
  <c r="AB19" i="2009"/>
  <c r="AA19" i="2009"/>
  <c r="Z19" i="2009"/>
  <c r="Y19" i="2009"/>
  <c r="X19" i="2009"/>
  <c r="T33" i="2009" s="1"/>
  <c r="W19" i="2009"/>
  <c r="V19" i="2009"/>
  <c r="U19" i="2009"/>
  <c r="T19" i="2009"/>
  <c r="S19" i="2009"/>
  <c r="R19" i="2009"/>
  <c r="Q19" i="2009"/>
  <c r="P19" i="2009"/>
  <c r="O19" i="2009"/>
  <c r="N19" i="2009"/>
  <c r="H33" i="2009" s="1"/>
  <c r="M19" i="2009"/>
  <c r="L19" i="2009"/>
  <c r="P33" i="2009" s="1"/>
  <c r="K19" i="2009"/>
  <c r="J19" i="2009"/>
  <c r="I19" i="2009"/>
  <c r="AB33" i="2009" s="1"/>
  <c r="H19" i="2009"/>
  <c r="G19" i="2009"/>
  <c r="F19" i="2009"/>
  <c r="E19" i="2009"/>
  <c r="D19" i="2009"/>
  <c r="AE16" i="2009"/>
  <c r="AD16" i="2009"/>
  <c r="AC16" i="2009"/>
  <c r="AB16" i="2009"/>
  <c r="AA16" i="2009"/>
  <c r="Z16" i="2009"/>
  <c r="X16" i="2009"/>
  <c r="W16" i="2009"/>
  <c r="V16" i="2009"/>
  <c r="U16" i="2009"/>
  <c r="T16" i="2009"/>
  <c r="S16" i="2009"/>
  <c r="R16" i="2009"/>
  <c r="Q16" i="2009"/>
  <c r="P16" i="2009"/>
  <c r="O16" i="2009"/>
  <c r="N16" i="2009"/>
  <c r="M16" i="2009"/>
  <c r="L16" i="2009"/>
  <c r="K16" i="2009"/>
  <c r="J16" i="2009"/>
  <c r="I16" i="2009"/>
  <c r="H16" i="2009"/>
  <c r="G16" i="2009"/>
  <c r="F16" i="2009"/>
  <c r="E16" i="2009"/>
  <c r="D16" i="2009"/>
  <c r="AE10" i="2009"/>
  <c r="AD10" i="2009"/>
  <c r="AC33" i="2009" s="1"/>
  <c r="AC10" i="2009"/>
  <c r="AB10" i="2009"/>
  <c r="AA10" i="2009"/>
  <c r="Z10" i="2009"/>
  <c r="Y10" i="2009"/>
  <c r="X10" i="2009"/>
  <c r="W10" i="2009"/>
  <c r="V10" i="2009"/>
  <c r="U10" i="2009"/>
  <c r="T10" i="2009"/>
  <c r="S10" i="2009"/>
  <c r="R10" i="2009"/>
  <c r="Q10" i="2009"/>
  <c r="P10" i="2009"/>
  <c r="O10" i="2009"/>
  <c r="N10" i="2009"/>
  <c r="M10" i="2009"/>
  <c r="E33" i="2009" s="1"/>
  <c r="L10" i="2009"/>
  <c r="N33" i="2009" s="1"/>
  <c r="K10" i="2009"/>
  <c r="J10" i="2009"/>
  <c r="Q33" i="2009" s="1"/>
  <c r="I10" i="2009"/>
  <c r="H10" i="2009"/>
  <c r="G10" i="2009"/>
  <c r="F10" i="2009"/>
  <c r="E10" i="2009"/>
  <c r="S33" i="2009" s="1"/>
  <c r="D10" i="2009"/>
  <c r="AE7" i="2009"/>
  <c r="AD7" i="2009"/>
  <c r="AC7" i="2009"/>
  <c r="AB7" i="2009"/>
  <c r="AA7" i="2009"/>
  <c r="Z7" i="2009"/>
  <c r="Y7" i="2009"/>
  <c r="X7" i="2009"/>
  <c r="W7" i="2009"/>
  <c r="V7" i="2009"/>
  <c r="U7" i="2009"/>
  <c r="T7" i="2009"/>
  <c r="S7" i="2009"/>
  <c r="R7" i="2009"/>
  <c r="Q7" i="2009"/>
  <c r="P7" i="2009"/>
  <c r="O7" i="2009"/>
  <c r="N7" i="2009"/>
  <c r="M7" i="2009"/>
  <c r="L7" i="2009"/>
  <c r="K7" i="2009"/>
  <c r="J7" i="2009"/>
  <c r="I7" i="2009"/>
  <c r="H7" i="2009"/>
  <c r="G7" i="2009"/>
  <c r="F7" i="2009"/>
  <c r="E7" i="2009"/>
  <c r="D7" i="2009"/>
  <c r="J33" i="2009" l="1"/>
  <c r="W33" i="2009"/>
  <c r="D33" i="2009"/>
  <c r="Z33" i="2009"/>
  <c r="Y33" i="2009"/>
  <c r="K33" i="2009"/>
  <c r="M33" i="2009"/>
  <c r="V33" i="2009"/>
  <c r="AA33" i="2008"/>
  <c r="X33" i="2008"/>
  <c r="U33" i="2008"/>
  <c r="R33" i="2008"/>
  <c r="O33" i="2008"/>
  <c r="L33" i="2008"/>
  <c r="F33" i="2008"/>
  <c r="Y28" i="2008"/>
  <c r="X28" i="2008"/>
  <c r="W28" i="2008"/>
  <c r="V28" i="2008"/>
  <c r="U28" i="2008"/>
  <c r="T28" i="2008"/>
  <c r="S28" i="2008"/>
  <c r="R28" i="2008"/>
  <c r="Q28" i="2008"/>
  <c r="P28" i="2008"/>
  <c r="O28" i="2008"/>
  <c r="N28" i="2008"/>
  <c r="M28" i="2008"/>
  <c r="L28" i="2008"/>
  <c r="K28" i="2008"/>
  <c r="J28" i="2008"/>
  <c r="I28" i="2008"/>
  <c r="H28" i="2008"/>
  <c r="G28" i="2008"/>
  <c r="F28" i="2008"/>
  <c r="E28" i="2008"/>
  <c r="D28" i="2008"/>
  <c r="Y25" i="2008"/>
  <c r="X25" i="2008"/>
  <c r="W25" i="2008"/>
  <c r="V25" i="2008"/>
  <c r="U25" i="2008"/>
  <c r="T25" i="2008"/>
  <c r="S25" i="2008"/>
  <c r="R25" i="2008"/>
  <c r="Q25" i="2008"/>
  <c r="P25" i="2008"/>
  <c r="O25" i="2008"/>
  <c r="N25" i="2008"/>
  <c r="M25" i="2008"/>
  <c r="L25" i="2008"/>
  <c r="K25" i="2008"/>
  <c r="J25" i="2008"/>
  <c r="I25" i="2008"/>
  <c r="H25" i="2008"/>
  <c r="G25" i="2008"/>
  <c r="F25" i="2008"/>
  <c r="E25" i="2008"/>
  <c r="D25" i="2008"/>
  <c r="AE19" i="2008"/>
  <c r="AD19" i="2008"/>
  <c r="AC19" i="2008"/>
  <c r="AB19" i="2008"/>
  <c r="AA19" i="2008"/>
  <c r="Z19" i="2008"/>
  <c r="Y19" i="2008"/>
  <c r="X19" i="2008"/>
  <c r="T33" i="2008" s="1"/>
  <c r="W19" i="2008"/>
  <c r="V19" i="2008"/>
  <c r="U19" i="2008"/>
  <c r="T19" i="2008"/>
  <c r="S19" i="2008"/>
  <c r="R19" i="2008"/>
  <c r="Q19" i="2008"/>
  <c r="P19" i="2008"/>
  <c r="O19" i="2008"/>
  <c r="N19" i="2008"/>
  <c r="H33" i="2008" s="1"/>
  <c r="M19" i="2008"/>
  <c r="L19" i="2008"/>
  <c r="P33" i="2008" s="1"/>
  <c r="K19" i="2008"/>
  <c r="J19" i="2008"/>
  <c r="I19" i="2008"/>
  <c r="AB33" i="2008" s="1"/>
  <c r="H19" i="2008"/>
  <c r="G19" i="2008"/>
  <c r="F19" i="2008"/>
  <c r="E19" i="2008"/>
  <c r="D19" i="2008"/>
  <c r="AE16" i="2008"/>
  <c r="AD16" i="2008"/>
  <c r="AC16" i="2008"/>
  <c r="AB16" i="2008"/>
  <c r="AA16" i="2008"/>
  <c r="Z16" i="2008"/>
  <c r="X16" i="2008"/>
  <c r="W16" i="2008"/>
  <c r="V16" i="2008"/>
  <c r="U16" i="2008"/>
  <c r="T16" i="2008"/>
  <c r="S16" i="2008"/>
  <c r="R16" i="2008"/>
  <c r="Q16" i="2008"/>
  <c r="P16" i="2008"/>
  <c r="O16" i="2008"/>
  <c r="N16" i="2008"/>
  <c r="M16" i="2008"/>
  <c r="L16" i="2008"/>
  <c r="K16" i="2008"/>
  <c r="J16" i="2008"/>
  <c r="I16" i="2008"/>
  <c r="H16" i="2008"/>
  <c r="G16" i="2008"/>
  <c r="F16" i="2008"/>
  <c r="E16" i="2008"/>
  <c r="D16" i="2008"/>
  <c r="AE10" i="2008"/>
  <c r="AD10" i="2008"/>
  <c r="AC33" i="2008" s="1"/>
  <c r="AC10" i="2008"/>
  <c r="AB10" i="2008"/>
  <c r="AA10" i="2008"/>
  <c r="Z10" i="2008"/>
  <c r="Y10" i="2008"/>
  <c r="X10" i="2008"/>
  <c r="W10" i="2008"/>
  <c r="V10" i="2008"/>
  <c r="U10" i="2008"/>
  <c r="T10" i="2008"/>
  <c r="S10" i="2008"/>
  <c r="R10" i="2008"/>
  <c r="Q10" i="2008"/>
  <c r="P10" i="2008"/>
  <c r="O10" i="2008"/>
  <c r="N10" i="2008"/>
  <c r="M10" i="2008"/>
  <c r="E33" i="2008" s="1"/>
  <c r="L10" i="2008"/>
  <c r="K10" i="2008"/>
  <c r="J10" i="2008"/>
  <c r="Q33" i="2008" s="1"/>
  <c r="I10" i="2008"/>
  <c r="H10" i="2008"/>
  <c r="G10" i="2008"/>
  <c r="F10" i="2008"/>
  <c r="E10" i="2008"/>
  <c r="D10" i="2008"/>
  <c r="AE7" i="2008"/>
  <c r="AD7" i="2008"/>
  <c r="AC7" i="2008"/>
  <c r="AB7" i="2008"/>
  <c r="AA7" i="2008"/>
  <c r="Z7" i="2008"/>
  <c r="Y7" i="2008"/>
  <c r="X7" i="2008"/>
  <c r="W7" i="2008"/>
  <c r="V7" i="2008"/>
  <c r="U7" i="2008"/>
  <c r="T7" i="2008"/>
  <c r="S7" i="2008"/>
  <c r="R7" i="2008"/>
  <c r="Q7" i="2008"/>
  <c r="P7" i="2008"/>
  <c r="O7" i="2008"/>
  <c r="N7" i="2008"/>
  <c r="M7" i="2008"/>
  <c r="L7" i="2008"/>
  <c r="K7" i="2008"/>
  <c r="J7" i="2008"/>
  <c r="I7" i="2008"/>
  <c r="H7" i="2008"/>
  <c r="G7" i="2008"/>
  <c r="F7" i="2008"/>
  <c r="E7" i="2008"/>
  <c r="D7" i="2008"/>
  <c r="S33" i="2008" l="1"/>
  <c r="J33" i="2008"/>
  <c r="W33" i="2008"/>
  <c r="D33" i="2008"/>
  <c r="Z33" i="2008"/>
  <c r="Y33" i="2008"/>
  <c r="N33" i="2008"/>
  <c r="K33" i="2008"/>
  <c r="M33" i="2008"/>
  <c r="V33" i="2008"/>
  <c r="AA33" i="2007"/>
  <c r="X33" i="2007"/>
  <c r="U33" i="2007"/>
  <c r="R33" i="2007"/>
  <c r="O33" i="2007"/>
  <c r="L33" i="2007"/>
  <c r="F33" i="2007"/>
  <c r="Y28" i="2007"/>
  <c r="X28" i="2007"/>
  <c r="W28" i="2007"/>
  <c r="V28" i="2007"/>
  <c r="U28" i="2007"/>
  <c r="T28" i="2007"/>
  <c r="S28" i="2007"/>
  <c r="R28" i="2007"/>
  <c r="Q28" i="2007"/>
  <c r="P28" i="2007"/>
  <c r="O28" i="2007"/>
  <c r="N28" i="2007"/>
  <c r="M28" i="2007"/>
  <c r="L28" i="2007"/>
  <c r="K28" i="2007"/>
  <c r="J28" i="2007"/>
  <c r="I28" i="2007"/>
  <c r="H28" i="2007"/>
  <c r="G28" i="2007"/>
  <c r="F28" i="2007"/>
  <c r="E28" i="2007"/>
  <c r="D28" i="2007"/>
  <c r="Y25" i="2007"/>
  <c r="X25" i="2007"/>
  <c r="W25" i="2007"/>
  <c r="V25" i="2007"/>
  <c r="U25" i="2007"/>
  <c r="T25" i="2007"/>
  <c r="S25" i="2007"/>
  <c r="R25" i="2007"/>
  <c r="Q25" i="2007"/>
  <c r="P25" i="2007"/>
  <c r="O25" i="2007"/>
  <c r="N25" i="2007"/>
  <c r="M25" i="2007"/>
  <c r="L25" i="2007"/>
  <c r="K25" i="2007"/>
  <c r="J25" i="2007"/>
  <c r="I25" i="2007"/>
  <c r="H25" i="2007"/>
  <c r="G25" i="2007"/>
  <c r="F25" i="2007"/>
  <c r="E25" i="2007"/>
  <c r="D25" i="2007"/>
  <c r="AE19" i="2007"/>
  <c r="AD19" i="2007"/>
  <c r="AC19" i="2007"/>
  <c r="AB19" i="2007"/>
  <c r="AA19" i="2007"/>
  <c r="Z19" i="2007"/>
  <c r="Y19" i="2007"/>
  <c r="X19" i="2007"/>
  <c r="T33" i="2007" s="1"/>
  <c r="W19" i="2007"/>
  <c r="V19" i="2007"/>
  <c r="U19" i="2007"/>
  <c r="T19" i="2007"/>
  <c r="S19" i="2007"/>
  <c r="R19" i="2007"/>
  <c r="Q19" i="2007"/>
  <c r="P19" i="2007"/>
  <c r="O19" i="2007"/>
  <c r="N19" i="2007"/>
  <c r="H33" i="2007" s="1"/>
  <c r="M19" i="2007"/>
  <c r="L19" i="2007"/>
  <c r="P33" i="2007" s="1"/>
  <c r="K19" i="2007"/>
  <c r="J19" i="2007"/>
  <c r="I19" i="2007"/>
  <c r="AB33" i="2007" s="1"/>
  <c r="H19" i="2007"/>
  <c r="G19" i="2007"/>
  <c r="F19" i="2007"/>
  <c r="E19" i="2007"/>
  <c r="D19" i="2007"/>
  <c r="AE16" i="2007"/>
  <c r="AD16" i="2007"/>
  <c r="AC16" i="2007"/>
  <c r="AB16" i="2007"/>
  <c r="AA16" i="2007"/>
  <c r="Z16" i="2007"/>
  <c r="X16" i="2007"/>
  <c r="W16" i="2007"/>
  <c r="V16" i="2007"/>
  <c r="U16" i="2007"/>
  <c r="T16" i="2007"/>
  <c r="S16" i="2007"/>
  <c r="R16" i="2007"/>
  <c r="Q16" i="2007"/>
  <c r="P16" i="2007"/>
  <c r="O16" i="2007"/>
  <c r="N16" i="2007"/>
  <c r="M16" i="2007"/>
  <c r="L16" i="2007"/>
  <c r="K16" i="2007"/>
  <c r="J16" i="2007"/>
  <c r="I16" i="2007"/>
  <c r="H16" i="2007"/>
  <c r="G16" i="2007"/>
  <c r="F16" i="2007"/>
  <c r="E16" i="2007"/>
  <c r="D16" i="2007"/>
  <c r="AE10" i="2007"/>
  <c r="AD10" i="2007"/>
  <c r="AC33" i="2007" s="1"/>
  <c r="AC10" i="2007"/>
  <c r="AB10" i="2007"/>
  <c r="AA10" i="2007"/>
  <c r="Z10" i="2007"/>
  <c r="Y10" i="2007"/>
  <c r="X10" i="2007"/>
  <c r="W10" i="2007"/>
  <c r="V10" i="2007"/>
  <c r="U10" i="2007"/>
  <c r="T10" i="2007"/>
  <c r="S10" i="2007"/>
  <c r="R10" i="2007"/>
  <c r="Q10" i="2007"/>
  <c r="P10" i="2007"/>
  <c r="O10" i="2007"/>
  <c r="N10" i="2007"/>
  <c r="M10" i="2007"/>
  <c r="L10" i="2007"/>
  <c r="N33" i="2007" s="1"/>
  <c r="K10" i="2007"/>
  <c r="J10" i="2007"/>
  <c r="I10" i="2007"/>
  <c r="H10" i="2007"/>
  <c r="G10" i="2007"/>
  <c r="F10" i="2007"/>
  <c r="J33" i="2007" s="1"/>
  <c r="E10" i="2007"/>
  <c r="S33" i="2007" s="1"/>
  <c r="D10" i="2007"/>
  <c r="AE7" i="2007"/>
  <c r="AD7" i="2007"/>
  <c r="AC7" i="2007"/>
  <c r="AB7" i="2007"/>
  <c r="AA7" i="2007"/>
  <c r="Z7" i="2007"/>
  <c r="Y7" i="2007"/>
  <c r="X7" i="2007"/>
  <c r="W7" i="2007"/>
  <c r="V7" i="2007"/>
  <c r="U7" i="2007"/>
  <c r="T7" i="2007"/>
  <c r="S7" i="2007"/>
  <c r="R7" i="2007"/>
  <c r="Q7" i="2007"/>
  <c r="P7" i="2007"/>
  <c r="O7" i="2007"/>
  <c r="N7" i="2007"/>
  <c r="M7" i="2007"/>
  <c r="L7" i="2007"/>
  <c r="K7" i="2007"/>
  <c r="J7" i="2007"/>
  <c r="I7" i="2007"/>
  <c r="H7" i="2007"/>
  <c r="G7" i="2007"/>
  <c r="F7" i="2007"/>
  <c r="E7" i="2007"/>
  <c r="D7" i="2007"/>
  <c r="K33" i="2007" l="1"/>
  <c r="W33" i="2007"/>
  <c r="D33" i="2007"/>
  <c r="Z33" i="2007"/>
  <c r="Y33" i="2007"/>
  <c r="Q33" i="2007"/>
  <c r="E33" i="2007"/>
  <c r="M33" i="2007"/>
  <c r="V33" i="2007"/>
  <c r="AA33" i="2006"/>
  <c r="X33" i="2006"/>
  <c r="U33" i="2006"/>
  <c r="R33" i="2006"/>
  <c r="O33" i="2006"/>
  <c r="L33" i="2006"/>
  <c r="F33" i="2006"/>
  <c r="Y28" i="2006"/>
  <c r="X28" i="2006"/>
  <c r="W28" i="2006"/>
  <c r="V28" i="2006"/>
  <c r="U28" i="2006"/>
  <c r="T28" i="2006"/>
  <c r="S28" i="2006"/>
  <c r="R28" i="2006"/>
  <c r="Q28" i="2006"/>
  <c r="P28" i="2006"/>
  <c r="O28" i="2006"/>
  <c r="N28" i="2006"/>
  <c r="M28" i="2006"/>
  <c r="L28" i="2006"/>
  <c r="K28" i="2006"/>
  <c r="J28" i="2006"/>
  <c r="I28" i="2006"/>
  <c r="H28" i="2006"/>
  <c r="G28" i="2006"/>
  <c r="F28" i="2006"/>
  <c r="E28" i="2006"/>
  <c r="D28" i="2006"/>
  <c r="Y25" i="2006"/>
  <c r="X25" i="2006"/>
  <c r="W25" i="2006"/>
  <c r="V25" i="2006"/>
  <c r="U25" i="2006"/>
  <c r="T25" i="2006"/>
  <c r="S25" i="2006"/>
  <c r="R25" i="2006"/>
  <c r="Q25" i="2006"/>
  <c r="P25" i="2006"/>
  <c r="O25" i="2006"/>
  <c r="N25" i="2006"/>
  <c r="M25" i="2006"/>
  <c r="L25" i="2006"/>
  <c r="K25" i="2006"/>
  <c r="J25" i="2006"/>
  <c r="I25" i="2006"/>
  <c r="H25" i="2006"/>
  <c r="G25" i="2006"/>
  <c r="F25" i="2006"/>
  <c r="E25" i="2006"/>
  <c r="D25" i="2006"/>
  <c r="AE19" i="2006"/>
  <c r="AD19" i="2006"/>
  <c r="AC19" i="2006"/>
  <c r="AB19" i="2006"/>
  <c r="AA19" i="2006"/>
  <c r="Z19" i="2006"/>
  <c r="Y19" i="2006"/>
  <c r="X19" i="2006"/>
  <c r="T33" i="2006" s="1"/>
  <c r="W19" i="2006"/>
  <c r="V19" i="2006"/>
  <c r="U19" i="2006"/>
  <c r="T19" i="2006"/>
  <c r="S19" i="2006"/>
  <c r="R19" i="2006"/>
  <c r="Q19" i="2006"/>
  <c r="P19" i="2006"/>
  <c r="O19" i="2006"/>
  <c r="N19" i="2006"/>
  <c r="H33" i="2006" s="1"/>
  <c r="M19" i="2006"/>
  <c r="L19" i="2006"/>
  <c r="P33" i="2006" s="1"/>
  <c r="K19" i="2006"/>
  <c r="J19" i="2006"/>
  <c r="I19" i="2006"/>
  <c r="AB33" i="2006" s="1"/>
  <c r="H19" i="2006"/>
  <c r="G19" i="2006"/>
  <c r="F19" i="2006"/>
  <c r="E19" i="2006"/>
  <c r="D19" i="2006"/>
  <c r="AE16" i="2006"/>
  <c r="AD16" i="2006"/>
  <c r="AC16" i="2006"/>
  <c r="AB16" i="2006"/>
  <c r="AA16" i="2006"/>
  <c r="Z16" i="2006"/>
  <c r="X16" i="2006"/>
  <c r="W16" i="2006"/>
  <c r="V16" i="2006"/>
  <c r="U16" i="2006"/>
  <c r="T16" i="2006"/>
  <c r="S16" i="2006"/>
  <c r="R16" i="2006"/>
  <c r="Q16" i="2006"/>
  <c r="P16" i="2006"/>
  <c r="O16" i="2006"/>
  <c r="N16" i="2006"/>
  <c r="M16" i="2006"/>
  <c r="L16" i="2006"/>
  <c r="K16" i="2006"/>
  <c r="J16" i="2006"/>
  <c r="I16" i="2006"/>
  <c r="H16" i="2006"/>
  <c r="G16" i="2006"/>
  <c r="F16" i="2006"/>
  <c r="E16" i="2006"/>
  <c r="D16" i="2006"/>
  <c r="AE10" i="2006"/>
  <c r="AD10" i="2006"/>
  <c r="AC33" i="2006" s="1"/>
  <c r="AC10" i="2006"/>
  <c r="AB10" i="2006"/>
  <c r="AA10" i="2006"/>
  <c r="Z10" i="2006"/>
  <c r="Y10" i="2006"/>
  <c r="X10" i="2006"/>
  <c r="W10" i="2006"/>
  <c r="V10" i="2006"/>
  <c r="U10" i="2006"/>
  <c r="T10" i="2006"/>
  <c r="S10" i="2006"/>
  <c r="R10" i="2006"/>
  <c r="Q10" i="2006"/>
  <c r="P10" i="2006"/>
  <c r="O10" i="2006"/>
  <c r="N10" i="2006"/>
  <c r="Q33" i="2006" s="1"/>
  <c r="M10" i="2006"/>
  <c r="L10" i="2006"/>
  <c r="N33" i="2006" s="1"/>
  <c r="K10" i="2006"/>
  <c r="J10" i="2006"/>
  <c r="I10" i="2006"/>
  <c r="H10" i="2006"/>
  <c r="G10" i="2006"/>
  <c r="F10" i="2006"/>
  <c r="J33" i="2006" s="1"/>
  <c r="E10" i="2006"/>
  <c r="S33" i="2006" s="1"/>
  <c r="D10" i="2006"/>
  <c r="AE7" i="2006"/>
  <c r="AD7" i="2006"/>
  <c r="AC7" i="2006"/>
  <c r="AB7" i="2006"/>
  <c r="AA7" i="2006"/>
  <c r="Z7" i="2006"/>
  <c r="Y7" i="2006"/>
  <c r="X7" i="2006"/>
  <c r="W7" i="2006"/>
  <c r="V7" i="2006"/>
  <c r="U7" i="2006"/>
  <c r="T7" i="2006"/>
  <c r="S7" i="2006"/>
  <c r="R7" i="2006"/>
  <c r="Q7" i="2006"/>
  <c r="P7" i="2006"/>
  <c r="O7" i="2006"/>
  <c r="N7" i="2006"/>
  <c r="M7" i="2006"/>
  <c r="L7" i="2006"/>
  <c r="K7" i="2006"/>
  <c r="J7" i="2006"/>
  <c r="I7" i="2006"/>
  <c r="H7" i="2006"/>
  <c r="G7" i="2006"/>
  <c r="F7" i="2006"/>
  <c r="E7" i="2006"/>
  <c r="D7" i="2006"/>
  <c r="K33" i="2006" l="1"/>
  <c r="W33" i="2006"/>
  <c r="Z33" i="2006"/>
  <c r="D33" i="2006"/>
  <c r="Y33" i="2006"/>
  <c r="E33" i="2006"/>
  <c r="M33" i="2006"/>
  <c r="V33" i="2006"/>
  <c r="AA33" i="2005"/>
  <c r="X33" i="2005"/>
  <c r="U33" i="2005"/>
  <c r="R33" i="2005"/>
  <c r="O33" i="2005"/>
  <c r="L33" i="2005"/>
  <c r="F33" i="2005"/>
  <c r="Y28" i="2005"/>
  <c r="X28" i="2005"/>
  <c r="W28" i="2005"/>
  <c r="V28" i="2005"/>
  <c r="U28" i="2005"/>
  <c r="T28" i="2005"/>
  <c r="S28" i="2005"/>
  <c r="R28" i="2005"/>
  <c r="Q28" i="2005"/>
  <c r="P28" i="2005"/>
  <c r="O28" i="2005"/>
  <c r="N28" i="2005"/>
  <c r="M28" i="2005"/>
  <c r="L28" i="2005"/>
  <c r="K28" i="2005"/>
  <c r="J28" i="2005"/>
  <c r="I28" i="2005"/>
  <c r="H28" i="2005"/>
  <c r="G28" i="2005"/>
  <c r="F28" i="2005"/>
  <c r="E28" i="2005"/>
  <c r="D28" i="2005"/>
  <c r="Y25" i="2005"/>
  <c r="X25" i="2005"/>
  <c r="W25" i="2005"/>
  <c r="V25" i="2005"/>
  <c r="U25" i="2005"/>
  <c r="T25" i="2005"/>
  <c r="S25" i="2005"/>
  <c r="R25" i="2005"/>
  <c r="Q25" i="2005"/>
  <c r="P25" i="2005"/>
  <c r="O25" i="2005"/>
  <c r="N25" i="2005"/>
  <c r="M25" i="2005"/>
  <c r="L25" i="2005"/>
  <c r="K25" i="2005"/>
  <c r="J25" i="2005"/>
  <c r="I25" i="2005"/>
  <c r="H25" i="2005"/>
  <c r="G25" i="2005"/>
  <c r="F25" i="2005"/>
  <c r="E25" i="2005"/>
  <c r="D25" i="2005"/>
  <c r="AE19" i="2005"/>
  <c r="AD19" i="2005"/>
  <c r="AC19" i="2005"/>
  <c r="AB19" i="2005"/>
  <c r="AA19" i="2005"/>
  <c r="Z19" i="2005"/>
  <c r="Y19" i="2005"/>
  <c r="X19" i="2005"/>
  <c r="T33" i="2005" s="1"/>
  <c r="W19" i="2005"/>
  <c r="V19" i="2005"/>
  <c r="U19" i="2005"/>
  <c r="T19" i="2005"/>
  <c r="S19" i="2005"/>
  <c r="R19" i="2005"/>
  <c r="Q19" i="2005"/>
  <c r="P19" i="2005"/>
  <c r="O19" i="2005"/>
  <c r="N19" i="2005"/>
  <c r="H33" i="2005" s="1"/>
  <c r="M19" i="2005"/>
  <c r="L19" i="2005"/>
  <c r="P33" i="2005" s="1"/>
  <c r="K19" i="2005"/>
  <c r="J19" i="2005"/>
  <c r="I19" i="2005"/>
  <c r="AB33" i="2005" s="1"/>
  <c r="H19" i="2005"/>
  <c r="G19" i="2005"/>
  <c r="F19" i="2005"/>
  <c r="E19" i="2005"/>
  <c r="D19" i="2005"/>
  <c r="AE16" i="2005"/>
  <c r="AD16" i="2005"/>
  <c r="AC16" i="2005"/>
  <c r="AB16" i="2005"/>
  <c r="AA16" i="2005"/>
  <c r="Z16" i="2005"/>
  <c r="X16" i="2005"/>
  <c r="W16" i="2005"/>
  <c r="V16" i="2005"/>
  <c r="U16" i="2005"/>
  <c r="T16" i="2005"/>
  <c r="S16" i="2005"/>
  <c r="R16" i="2005"/>
  <c r="Q16" i="2005"/>
  <c r="P16" i="2005"/>
  <c r="O16" i="2005"/>
  <c r="N16" i="2005"/>
  <c r="M16" i="2005"/>
  <c r="L16" i="2005"/>
  <c r="K16" i="2005"/>
  <c r="J16" i="2005"/>
  <c r="I16" i="2005"/>
  <c r="H16" i="2005"/>
  <c r="G16" i="2005"/>
  <c r="F16" i="2005"/>
  <c r="E16" i="2005"/>
  <c r="D16" i="2005"/>
  <c r="AE10" i="2005"/>
  <c r="AD10" i="2005"/>
  <c r="AC33" i="2005" s="1"/>
  <c r="AC10" i="2005"/>
  <c r="AB10" i="2005"/>
  <c r="AA10" i="2005"/>
  <c r="Z10" i="2005"/>
  <c r="Y10" i="2005"/>
  <c r="X10" i="2005"/>
  <c r="W10" i="2005"/>
  <c r="V10" i="2005"/>
  <c r="U10" i="2005"/>
  <c r="T10" i="2005"/>
  <c r="S10" i="2005"/>
  <c r="R10" i="2005"/>
  <c r="Q10" i="2005"/>
  <c r="P10" i="2005"/>
  <c r="O10" i="2005"/>
  <c r="N10" i="2005"/>
  <c r="Q33" i="2005" s="1"/>
  <c r="M10" i="2005"/>
  <c r="L10" i="2005"/>
  <c r="N33" i="2005" s="1"/>
  <c r="K10" i="2005"/>
  <c r="J10" i="2005"/>
  <c r="I10" i="2005"/>
  <c r="H10" i="2005"/>
  <c r="G10" i="2005"/>
  <c r="F10" i="2005"/>
  <c r="J33" i="2005" s="1"/>
  <c r="E10" i="2005"/>
  <c r="S33" i="2005" s="1"/>
  <c r="D10" i="2005"/>
  <c r="AE7" i="2005"/>
  <c r="AD7" i="2005"/>
  <c r="AC7" i="2005"/>
  <c r="AB7" i="2005"/>
  <c r="AA7" i="2005"/>
  <c r="Z7" i="2005"/>
  <c r="Y7" i="2005"/>
  <c r="X7" i="2005"/>
  <c r="W7" i="2005"/>
  <c r="V7" i="2005"/>
  <c r="U7" i="2005"/>
  <c r="T7" i="2005"/>
  <c r="S7" i="2005"/>
  <c r="R7" i="2005"/>
  <c r="Q7" i="2005"/>
  <c r="P7" i="2005"/>
  <c r="O7" i="2005"/>
  <c r="N7" i="2005"/>
  <c r="M7" i="2005"/>
  <c r="L7" i="2005"/>
  <c r="K7" i="2005"/>
  <c r="J7" i="2005"/>
  <c r="I7" i="2005"/>
  <c r="H7" i="2005"/>
  <c r="G7" i="2005"/>
  <c r="F7" i="2005"/>
  <c r="E7" i="2005"/>
  <c r="D7" i="2005"/>
  <c r="K33" i="2005" l="1"/>
  <c r="W33" i="2005"/>
  <c r="Z33" i="2005"/>
  <c r="D33" i="2005"/>
  <c r="Y33" i="2005"/>
  <c r="E33" i="2005"/>
  <c r="M33" i="2005"/>
  <c r="V33" i="2005"/>
  <c r="AA33" i="2004"/>
  <c r="X33" i="2004"/>
  <c r="U33" i="2004"/>
  <c r="R33" i="2004"/>
  <c r="O33" i="2004"/>
  <c r="L33" i="2004"/>
  <c r="F33" i="2004"/>
  <c r="Y28" i="2004"/>
  <c r="X28" i="2004"/>
  <c r="W28" i="2004"/>
  <c r="V28" i="2004"/>
  <c r="U28" i="2004"/>
  <c r="T28" i="2004"/>
  <c r="S28" i="2004"/>
  <c r="R28" i="2004"/>
  <c r="Q28" i="2004"/>
  <c r="P28" i="2004"/>
  <c r="O28" i="2004"/>
  <c r="N28" i="2004"/>
  <c r="M28" i="2004"/>
  <c r="L28" i="2004"/>
  <c r="K28" i="2004"/>
  <c r="J28" i="2004"/>
  <c r="I28" i="2004"/>
  <c r="H28" i="2004"/>
  <c r="G28" i="2004"/>
  <c r="F28" i="2004"/>
  <c r="E28" i="2004"/>
  <c r="D28" i="2004"/>
  <c r="Y25" i="2004"/>
  <c r="X25" i="2004"/>
  <c r="W25" i="2004"/>
  <c r="V25" i="2004"/>
  <c r="U25" i="2004"/>
  <c r="T25" i="2004"/>
  <c r="S25" i="2004"/>
  <c r="R25" i="2004"/>
  <c r="Q25" i="2004"/>
  <c r="P25" i="2004"/>
  <c r="O25" i="2004"/>
  <c r="N25" i="2004"/>
  <c r="M25" i="2004"/>
  <c r="L25" i="2004"/>
  <c r="K25" i="2004"/>
  <c r="J25" i="2004"/>
  <c r="I25" i="2004"/>
  <c r="H25" i="2004"/>
  <c r="G25" i="2004"/>
  <c r="F25" i="2004"/>
  <c r="E25" i="2004"/>
  <c r="D25" i="2004"/>
  <c r="AE19" i="2004"/>
  <c r="AD19" i="2004"/>
  <c r="AC19" i="2004"/>
  <c r="AB19" i="2004"/>
  <c r="AA19" i="2004"/>
  <c r="Z19" i="2004"/>
  <c r="Y19" i="2004"/>
  <c r="X19" i="2004"/>
  <c r="T33" i="2004" s="1"/>
  <c r="W19" i="2004"/>
  <c r="V19" i="2004"/>
  <c r="U19" i="2004"/>
  <c r="T19" i="2004"/>
  <c r="S19" i="2004"/>
  <c r="R19" i="2004"/>
  <c r="Q19" i="2004"/>
  <c r="P19" i="2004"/>
  <c r="O19" i="2004"/>
  <c r="N19" i="2004"/>
  <c r="H33" i="2004" s="1"/>
  <c r="M19" i="2004"/>
  <c r="L19" i="2004"/>
  <c r="P33" i="2004" s="1"/>
  <c r="K19" i="2004"/>
  <c r="J19" i="2004"/>
  <c r="I19" i="2004"/>
  <c r="AB33" i="2004" s="1"/>
  <c r="H19" i="2004"/>
  <c r="G19" i="2004"/>
  <c r="F19" i="2004"/>
  <c r="E19" i="2004"/>
  <c r="D19" i="2004"/>
  <c r="AE16" i="2004"/>
  <c r="AD16" i="2004"/>
  <c r="AC16" i="2004"/>
  <c r="AB16" i="2004"/>
  <c r="AA16" i="2004"/>
  <c r="Z16" i="2004"/>
  <c r="X16" i="2004"/>
  <c r="W16" i="2004"/>
  <c r="V16" i="2004"/>
  <c r="U16" i="2004"/>
  <c r="T16" i="2004"/>
  <c r="S16" i="2004"/>
  <c r="R16" i="2004"/>
  <c r="Q16" i="2004"/>
  <c r="P16" i="2004"/>
  <c r="O16" i="2004"/>
  <c r="N16" i="2004"/>
  <c r="M16" i="2004"/>
  <c r="L16" i="2004"/>
  <c r="K16" i="2004"/>
  <c r="J16" i="2004"/>
  <c r="I16" i="2004"/>
  <c r="H16" i="2004"/>
  <c r="G16" i="2004"/>
  <c r="F16" i="2004"/>
  <c r="E16" i="2004"/>
  <c r="D16" i="2004"/>
  <c r="AE10" i="2004"/>
  <c r="AD10" i="2004"/>
  <c r="AC33" i="2004" s="1"/>
  <c r="AC10" i="2004"/>
  <c r="AB10" i="2004"/>
  <c r="AA10" i="2004"/>
  <c r="Z10" i="2004"/>
  <c r="Y10" i="2004"/>
  <c r="X10" i="2004"/>
  <c r="W10" i="2004"/>
  <c r="V10" i="2004"/>
  <c r="U10" i="2004"/>
  <c r="T10" i="2004"/>
  <c r="S10" i="2004"/>
  <c r="R10" i="2004"/>
  <c r="Q10" i="2004"/>
  <c r="P10" i="2004"/>
  <c r="O10" i="2004"/>
  <c r="N10" i="2004"/>
  <c r="M10" i="2004"/>
  <c r="E33" i="2004" s="1"/>
  <c r="L10" i="2004"/>
  <c r="N33" i="2004" s="1"/>
  <c r="K10" i="2004"/>
  <c r="J10" i="2004"/>
  <c r="Q33" i="2004" s="1"/>
  <c r="I10" i="2004"/>
  <c r="H10" i="2004"/>
  <c r="G10" i="2004"/>
  <c r="F10" i="2004"/>
  <c r="J33" i="2004" s="1"/>
  <c r="E10" i="2004"/>
  <c r="S33" i="2004" s="1"/>
  <c r="D10" i="2004"/>
  <c r="AE7" i="2004"/>
  <c r="AD7" i="2004"/>
  <c r="AC7" i="2004"/>
  <c r="AB7" i="2004"/>
  <c r="AA7" i="2004"/>
  <c r="Z7" i="2004"/>
  <c r="Y7" i="2004"/>
  <c r="X7" i="2004"/>
  <c r="W7" i="2004"/>
  <c r="V7" i="2004"/>
  <c r="U7" i="2004"/>
  <c r="T7" i="2004"/>
  <c r="S7" i="2004"/>
  <c r="R7" i="2004"/>
  <c r="Q7" i="2004"/>
  <c r="P7" i="2004"/>
  <c r="O7" i="2004"/>
  <c r="N7" i="2004"/>
  <c r="M7" i="2004"/>
  <c r="L7" i="2004"/>
  <c r="K7" i="2004"/>
  <c r="J7" i="2004"/>
  <c r="I7" i="2004"/>
  <c r="H7" i="2004"/>
  <c r="G7" i="2004"/>
  <c r="F7" i="2004"/>
  <c r="E7" i="2004"/>
  <c r="D7" i="2004"/>
  <c r="W33" i="2004" l="1"/>
  <c r="V33" i="2004"/>
  <c r="D33" i="2004"/>
  <c r="Z33" i="2004"/>
  <c r="Y33" i="2004"/>
  <c r="K33" i="2004"/>
  <c r="M33" i="2004"/>
  <c r="AA33" i="2003"/>
  <c r="X33" i="2003"/>
  <c r="U33" i="2003"/>
  <c r="R33" i="2003"/>
  <c r="O33" i="2003"/>
  <c r="L33" i="2003"/>
  <c r="F33" i="2003"/>
  <c r="E33" i="2003"/>
  <c r="Y28" i="2003"/>
  <c r="X28" i="2003"/>
  <c r="W28" i="2003"/>
  <c r="V28" i="2003"/>
  <c r="U28" i="2003"/>
  <c r="T28" i="2003"/>
  <c r="S28" i="2003"/>
  <c r="R28" i="2003"/>
  <c r="Q28" i="2003"/>
  <c r="P28" i="2003"/>
  <c r="O28" i="2003"/>
  <c r="N28" i="2003"/>
  <c r="M28" i="2003"/>
  <c r="L28" i="2003"/>
  <c r="K28" i="2003"/>
  <c r="J28" i="2003"/>
  <c r="I28" i="2003"/>
  <c r="H28" i="2003"/>
  <c r="G28" i="2003"/>
  <c r="F28" i="2003"/>
  <c r="E28" i="2003"/>
  <c r="D28" i="2003"/>
  <c r="Y25" i="2003"/>
  <c r="X25" i="2003"/>
  <c r="W25" i="2003"/>
  <c r="V25" i="2003"/>
  <c r="U25" i="2003"/>
  <c r="T25" i="2003"/>
  <c r="S25" i="2003"/>
  <c r="R25" i="2003"/>
  <c r="Q25" i="2003"/>
  <c r="P25" i="2003"/>
  <c r="O25" i="2003"/>
  <c r="N25" i="2003"/>
  <c r="M25" i="2003"/>
  <c r="L25" i="2003"/>
  <c r="K25" i="2003"/>
  <c r="J25" i="2003"/>
  <c r="I25" i="2003"/>
  <c r="H25" i="2003"/>
  <c r="G25" i="2003"/>
  <c r="F25" i="2003"/>
  <c r="E25" i="2003"/>
  <c r="D25" i="2003"/>
  <c r="AE19" i="2003"/>
  <c r="AD19" i="2003"/>
  <c r="AC19" i="2003"/>
  <c r="AB19" i="2003"/>
  <c r="AA19" i="2003"/>
  <c r="Z19" i="2003"/>
  <c r="Y19" i="2003"/>
  <c r="X19" i="2003"/>
  <c r="T33" i="2003" s="1"/>
  <c r="W19" i="2003"/>
  <c r="V19" i="2003"/>
  <c r="U19" i="2003"/>
  <c r="T19" i="2003"/>
  <c r="S19" i="2003"/>
  <c r="R19" i="2003"/>
  <c r="Q19" i="2003"/>
  <c r="P19" i="2003"/>
  <c r="O19" i="2003"/>
  <c r="N19" i="2003"/>
  <c r="H33" i="2003" s="1"/>
  <c r="M19" i="2003"/>
  <c r="L19" i="2003"/>
  <c r="P33" i="2003" s="1"/>
  <c r="K19" i="2003"/>
  <c r="J19" i="2003"/>
  <c r="I19" i="2003"/>
  <c r="AB33" i="2003" s="1"/>
  <c r="H19" i="2003"/>
  <c r="G19" i="2003"/>
  <c r="F19" i="2003"/>
  <c r="E19" i="2003"/>
  <c r="D19" i="2003"/>
  <c r="AE16" i="2003"/>
  <c r="AD16" i="2003"/>
  <c r="AC16" i="2003"/>
  <c r="AB16" i="2003"/>
  <c r="AA16" i="2003"/>
  <c r="Z16" i="2003"/>
  <c r="X16" i="2003"/>
  <c r="W16" i="2003"/>
  <c r="V16" i="2003"/>
  <c r="U16" i="2003"/>
  <c r="T16" i="2003"/>
  <c r="S16" i="2003"/>
  <c r="R16" i="2003"/>
  <c r="Q16" i="2003"/>
  <c r="P16" i="2003"/>
  <c r="O16" i="2003"/>
  <c r="N16" i="2003"/>
  <c r="M16" i="2003"/>
  <c r="L16" i="2003"/>
  <c r="K16" i="2003"/>
  <c r="J16" i="2003"/>
  <c r="I16" i="2003"/>
  <c r="H16" i="2003"/>
  <c r="G16" i="2003"/>
  <c r="F16" i="2003"/>
  <c r="E16" i="2003"/>
  <c r="D16" i="2003"/>
  <c r="AE10" i="2003"/>
  <c r="AD10" i="2003"/>
  <c r="AC33" i="2003" s="1"/>
  <c r="AC10" i="2003"/>
  <c r="AB10" i="2003"/>
  <c r="AA10" i="2003"/>
  <c r="Z10" i="2003"/>
  <c r="Y10" i="2003"/>
  <c r="X10" i="2003"/>
  <c r="W10" i="2003"/>
  <c r="V10" i="2003"/>
  <c r="U10" i="2003"/>
  <c r="T10" i="2003"/>
  <c r="S10" i="2003"/>
  <c r="R10" i="2003"/>
  <c r="Q10" i="2003"/>
  <c r="P10" i="2003"/>
  <c r="O10" i="2003"/>
  <c r="N10" i="2003"/>
  <c r="M10" i="2003"/>
  <c r="L10" i="2003"/>
  <c r="N33" i="2003" s="1"/>
  <c r="K10" i="2003"/>
  <c r="J10" i="2003"/>
  <c r="I10" i="2003"/>
  <c r="H10" i="2003"/>
  <c r="G10" i="2003"/>
  <c r="F10" i="2003"/>
  <c r="J33" i="2003" s="1"/>
  <c r="E10" i="2003"/>
  <c r="S33" i="2003" s="1"/>
  <c r="D10" i="2003"/>
  <c r="AE7" i="2003"/>
  <c r="AD7" i="2003"/>
  <c r="AC7" i="2003"/>
  <c r="AB7" i="2003"/>
  <c r="AA7" i="2003"/>
  <c r="Z7" i="2003"/>
  <c r="Y7" i="2003"/>
  <c r="X7" i="2003"/>
  <c r="W7" i="2003"/>
  <c r="V7" i="2003"/>
  <c r="U7" i="2003"/>
  <c r="T7" i="2003"/>
  <c r="S7" i="2003"/>
  <c r="R7" i="2003"/>
  <c r="Q7" i="2003"/>
  <c r="P7" i="2003"/>
  <c r="O7" i="2003"/>
  <c r="N7" i="2003"/>
  <c r="M7" i="2003"/>
  <c r="L7" i="2003"/>
  <c r="K7" i="2003"/>
  <c r="J7" i="2003"/>
  <c r="I7" i="2003"/>
  <c r="H7" i="2003"/>
  <c r="G7" i="2003"/>
  <c r="F7" i="2003"/>
  <c r="E7" i="2003"/>
  <c r="D7" i="2003"/>
  <c r="W33" i="2003" l="1"/>
  <c r="Z33" i="2003"/>
  <c r="D33" i="2003"/>
  <c r="Y33" i="2003"/>
  <c r="Q33" i="2003"/>
  <c r="K33" i="2003"/>
  <c r="M33" i="2003"/>
  <c r="V33" i="2003"/>
  <c r="AA33" i="2002"/>
  <c r="X33" i="2002"/>
  <c r="U33" i="2002"/>
  <c r="R33" i="2002"/>
  <c r="O33" i="2002"/>
  <c r="L33" i="2002"/>
  <c r="F33" i="2002"/>
  <c r="Y28" i="2002"/>
  <c r="X28" i="2002"/>
  <c r="W28" i="2002"/>
  <c r="V28" i="2002"/>
  <c r="U28" i="2002"/>
  <c r="T28" i="2002"/>
  <c r="S28" i="2002"/>
  <c r="R28" i="2002"/>
  <c r="Q28" i="2002"/>
  <c r="P28" i="2002"/>
  <c r="O28" i="2002"/>
  <c r="N28" i="2002"/>
  <c r="M28" i="2002"/>
  <c r="L28" i="2002"/>
  <c r="K28" i="2002"/>
  <c r="J28" i="2002"/>
  <c r="I28" i="2002"/>
  <c r="H28" i="2002"/>
  <c r="G28" i="2002"/>
  <c r="F28" i="2002"/>
  <c r="E28" i="2002"/>
  <c r="D28" i="2002"/>
  <c r="Y25" i="2002"/>
  <c r="X25" i="2002"/>
  <c r="W25" i="2002"/>
  <c r="V25" i="2002"/>
  <c r="U25" i="2002"/>
  <c r="T25" i="2002"/>
  <c r="S25" i="2002"/>
  <c r="R25" i="2002"/>
  <c r="Q25" i="2002"/>
  <c r="P25" i="2002"/>
  <c r="O25" i="2002"/>
  <c r="N25" i="2002"/>
  <c r="M25" i="2002"/>
  <c r="L25" i="2002"/>
  <c r="K25" i="2002"/>
  <c r="J25" i="2002"/>
  <c r="I25" i="2002"/>
  <c r="H25" i="2002"/>
  <c r="G25" i="2002"/>
  <c r="F25" i="2002"/>
  <c r="E25" i="2002"/>
  <c r="D25" i="2002"/>
  <c r="AE19" i="2002"/>
  <c r="AD19" i="2002"/>
  <c r="AC19" i="2002"/>
  <c r="AB19" i="2002"/>
  <c r="AA19" i="2002"/>
  <c r="Z19" i="2002"/>
  <c r="Y19" i="2002"/>
  <c r="X19" i="2002"/>
  <c r="T33" i="2002" s="1"/>
  <c r="W19" i="2002"/>
  <c r="V19" i="2002"/>
  <c r="U19" i="2002"/>
  <c r="T19" i="2002"/>
  <c r="S19" i="2002"/>
  <c r="R19" i="2002"/>
  <c r="Q19" i="2002"/>
  <c r="P19" i="2002"/>
  <c r="O19" i="2002"/>
  <c r="N19" i="2002"/>
  <c r="H33" i="2002" s="1"/>
  <c r="M19" i="2002"/>
  <c r="L19" i="2002"/>
  <c r="P33" i="2002" s="1"/>
  <c r="K19" i="2002"/>
  <c r="J19" i="2002"/>
  <c r="I19" i="2002"/>
  <c r="AB33" i="2002" s="1"/>
  <c r="H19" i="2002"/>
  <c r="G19" i="2002"/>
  <c r="F19" i="2002"/>
  <c r="E19" i="2002"/>
  <c r="D19" i="2002"/>
  <c r="AE16" i="2002"/>
  <c r="AD16" i="2002"/>
  <c r="AC16" i="2002"/>
  <c r="AB16" i="2002"/>
  <c r="AA16" i="2002"/>
  <c r="Z16" i="2002"/>
  <c r="X16" i="2002"/>
  <c r="W16" i="2002"/>
  <c r="V16" i="2002"/>
  <c r="U16" i="2002"/>
  <c r="T16" i="2002"/>
  <c r="S16" i="2002"/>
  <c r="R16" i="2002"/>
  <c r="Q16" i="2002"/>
  <c r="P16" i="2002"/>
  <c r="O16" i="2002"/>
  <c r="N16" i="2002"/>
  <c r="M16" i="2002"/>
  <c r="L16" i="2002"/>
  <c r="K16" i="2002"/>
  <c r="J16" i="2002"/>
  <c r="I16" i="2002"/>
  <c r="H16" i="2002"/>
  <c r="G16" i="2002"/>
  <c r="F16" i="2002"/>
  <c r="E16" i="2002"/>
  <c r="D16" i="2002"/>
  <c r="AE10" i="2002"/>
  <c r="AD10" i="2002"/>
  <c r="AC33" i="2002" s="1"/>
  <c r="AC10" i="2002"/>
  <c r="AB10" i="2002"/>
  <c r="AA10" i="2002"/>
  <c r="Z10" i="2002"/>
  <c r="Y10" i="2002"/>
  <c r="X10" i="2002"/>
  <c r="W10" i="2002"/>
  <c r="V10" i="2002"/>
  <c r="U10" i="2002"/>
  <c r="T10" i="2002"/>
  <c r="S10" i="2002"/>
  <c r="R10" i="2002"/>
  <c r="Q10" i="2002"/>
  <c r="P10" i="2002"/>
  <c r="O10" i="2002"/>
  <c r="N10" i="2002"/>
  <c r="M10" i="2002"/>
  <c r="E33" i="2002" s="1"/>
  <c r="L10" i="2002"/>
  <c r="N33" i="2002" s="1"/>
  <c r="K10" i="2002"/>
  <c r="J10" i="2002"/>
  <c r="Q33" i="2002" s="1"/>
  <c r="I10" i="2002"/>
  <c r="H10" i="2002"/>
  <c r="G10" i="2002"/>
  <c r="F10" i="2002"/>
  <c r="J33" i="2002" s="1"/>
  <c r="E10" i="2002"/>
  <c r="S33" i="2002" s="1"/>
  <c r="D10" i="2002"/>
  <c r="AE7" i="2002"/>
  <c r="AD7" i="2002"/>
  <c r="AC7" i="2002"/>
  <c r="AB7" i="2002"/>
  <c r="AA7" i="2002"/>
  <c r="Z7" i="2002"/>
  <c r="Y7" i="2002"/>
  <c r="X7" i="2002"/>
  <c r="W7" i="2002"/>
  <c r="V7" i="2002"/>
  <c r="U7" i="2002"/>
  <c r="T7" i="2002"/>
  <c r="S7" i="2002"/>
  <c r="R7" i="2002"/>
  <c r="Q7" i="2002"/>
  <c r="P7" i="2002"/>
  <c r="O7" i="2002"/>
  <c r="N7" i="2002"/>
  <c r="M7" i="2002"/>
  <c r="L7" i="2002"/>
  <c r="K7" i="2002"/>
  <c r="J7" i="2002"/>
  <c r="I7" i="2002"/>
  <c r="H7" i="2002"/>
  <c r="G7" i="2002"/>
  <c r="F7" i="2002"/>
  <c r="E7" i="2002"/>
  <c r="D7" i="2002"/>
  <c r="W33" i="2002" l="1"/>
  <c r="D33" i="2002"/>
  <c r="Z33" i="2002"/>
  <c r="Y33" i="2002"/>
  <c r="K33" i="2002"/>
  <c r="M33" i="2002"/>
  <c r="V33" i="2002"/>
  <c r="AA33" i="2001"/>
  <c r="X33" i="2001"/>
  <c r="U33" i="2001"/>
  <c r="R33" i="2001"/>
  <c r="O33" i="2001"/>
  <c r="L33" i="2001"/>
  <c r="F33" i="2001"/>
  <c r="Y28" i="2001"/>
  <c r="X28" i="2001"/>
  <c r="W28" i="2001"/>
  <c r="V28" i="2001"/>
  <c r="U28" i="2001"/>
  <c r="T28" i="2001"/>
  <c r="S28" i="2001"/>
  <c r="R28" i="2001"/>
  <c r="Q28" i="2001"/>
  <c r="P28" i="2001"/>
  <c r="O28" i="2001"/>
  <c r="N28" i="2001"/>
  <c r="M28" i="2001"/>
  <c r="L28" i="2001"/>
  <c r="K28" i="2001"/>
  <c r="J28" i="2001"/>
  <c r="I28" i="2001"/>
  <c r="H28" i="2001"/>
  <c r="G28" i="2001"/>
  <c r="F28" i="2001"/>
  <c r="E28" i="2001"/>
  <c r="D28" i="2001"/>
  <c r="Y25" i="2001"/>
  <c r="X25" i="2001"/>
  <c r="W25" i="2001"/>
  <c r="V25" i="2001"/>
  <c r="U25" i="2001"/>
  <c r="T25" i="2001"/>
  <c r="S25" i="2001"/>
  <c r="R25" i="2001"/>
  <c r="Q25" i="2001"/>
  <c r="P25" i="2001"/>
  <c r="O25" i="2001"/>
  <c r="N25" i="2001"/>
  <c r="M25" i="2001"/>
  <c r="L25" i="2001"/>
  <c r="K25" i="2001"/>
  <c r="J25" i="2001"/>
  <c r="I25" i="2001"/>
  <c r="H25" i="2001"/>
  <c r="G25" i="2001"/>
  <c r="F25" i="2001"/>
  <c r="E25" i="2001"/>
  <c r="D25" i="2001"/>
  <c r="AE19" i="2001"/>
  <c r="AD19" i="2001"/>
  <c r="AC19" i="2001"/>
  <c r="AB19" i="2001"/>
  <c r="AA19" i="2001"/>
  <c r="Z19" i="2001"/>
  <c r="Y19" i="2001"/>
  <c r="X19" i="2001"/>
  <c r="T33" i="2001" s="1"/>
  <c r="W19" i="2001"/>
  <c r="V19" i="2001"/>
  <c r="U19" i="2001"/>
  <c r="T19" i="2001"/>
  <c r="S19" i="2001"/>
  <c r="R19" i="2001"/>
  <c r="Q19" i="2001"/>
  <c r="P19" i="2001"/>
  <c r="O19" i="2001"/>
  <c r="N19" i="2001"/>
  <c r="H33" i="2001" s="1"/>
  <c r="M19" i="2001"/>
  <c r="L19" i="2001"/>
  <c r="P33" i="2001" s="1"/>
  <c r="K19" i="2001"/>
  <c r="J19" i="2001"/>
  <c r="I19" i="2001"/>
  <c r="AB33" i="2001" s="1"/>
  <c r="H19" i="2001"/>
  <c r="G19" i="2001"/>
  <c r="F19" i="2001"/>
  <c r="E19" i="2001"/>
  <c r="D19" i="2001"/>
  <c r="AE16" i="2001"/>
  <c r="AD16" i="2001"/>
  <c r="AC16" i="2001"/>
  <c r="AB16" i="2001"/>
  <c r="AA16" i="2001"/>
  <c r="Z16" i="2001"/>
  <c r="X16" i="2001"/>
  <c r="W16" i="2001"/>
  <c r="V16" i="2001"/>
  <c r="U16" i="2001"/>
  <c r="T16" i="2001"/>
  <c r="S16" i="2001"/>
  <c r="R16" i="2001"/>
  <c r="Q16" i="2001"/>
  <c r="P16" i="2001"/>
  <c r="O16" i="2001"/>
  <c r="N16" i="2001"/>
  <c r="M16" i="2001"/>
  <c r="L16" i="2001"/>
  <c r="K16" i="2001"/>
  <c r="J16" i="2001"/>
  <c r="I16" i="2001"/>
  <c r="H16" i="2001"/>
  <c r="G16" i="2001"/>
  <c r="F16" i="2001"/>
  <c r="E16" i="2001"/>
  <c r="D16" i="2001"/>
  <c r="AE10" i="2001"/>
  <c r="AD10" i="2001"/>
  <c r="AC33" i="2001" s="1"/>
  <c r="AC10" i="2001"/>
  <c r="AB10" i="2001"/>
  <c r="AA10" i="2001"/>
  <c r="D33" i="2001" s="1"/>
  <c r="Z10" i="2001"/>
  <c r="Y10" i="2001"/>
  <c r="X10" i="2001"/>
  <c r="W10" i="2001"/>
  <c r="V10" i="2001"/>
  <c r="U10" i="2001"/>
  <c r="T10" i="2001"/>
  <c r="S10" i="2001"/>
  <c r="R10" i="2001"/>
  <c r="Q10" i="2001"/>
  <c r="P10" i="2001"/>
  <c r="O10" i="2001"/>
  <c r="N10" i="2001"/>
  <c r="M10" i="2001"/>
  <c r="E33" i="2001" s="1"/>
  <c r="L10" i="2001"/>
  <c r="N33" i="2001" s="1"/>
  <c r="K10" i="2001"/>
  <c r="J10" i="2001"/>
  <c r="Q33" i="2001" s="1"/>
  <c r="I10" i="2001"/>
  <c r="H10" i="2001"/>
  <c r="G10" i="2001"/>
  <c r="F10" i="2001"/>
  <c r="E10" i="2001"/>
  <c r="S33" i="2001" s="1"/>
  <c r="D10" i="2001"/>
  <c r="AE7" i="2001"/>
  <c r="AD7" i="2001"/>
  <c r="AC7" i="2001"/>
  <c r="AB7" i="2001"/>
  <c r="AA7" i="2001"/>
  <c r="Z7" i="2001"/>
  <c r="Y7" i="2001"/>
  <c r="X7" i="2001"/>
  <c r="W7" i="2001"/>
  <c r="V7" i="2001"/>
  <c r="U7" i="2001"/>
  <c r="T7" i="2001"/>
  <c r="S7" i="2001"/>
  <c r="R7" i="2001"/>
  <c r="Q7" i="2001"/>
  <c r="P7" i="2001"/>
  <c r="O7" i="2001"/>
  <c r="N7" i="2001"/>
  <c r="M7" i="2001"/>
  <c r="L7" i="2001"/>
  <c r="K7" i="2001"/>
  <c r="J7" i="2001"/>
  <c r="I7" i="2001"/>
  <c r="H7" i="2001"/>
  <c r="G7" i="2001"/>
  <c r="F7" i="2001"/>
  <c r="E7" i="2001"/>
  <c r="D7" i="2001"/>
  <c r="J33" i="2001" l="1"/>
  <c r="W33" i="2001"/>
  <c r="Z33" i="2001"/>
  <c r="Y33" i="2001"/>
  <c r="K33" i="2001"/>
  <c r="M33" i="2001"/>
  <c r="V33" i="2001"/>
  <c r="AA33" i="2000"/>
  <c r="X33" i="2000"/>
  <c r="U33" i="2000"/>
  <c r="R33" i="2000"/>
  <c r="O33" i="2000"/>
  <c r="L33" i="2000"/>
  <c r="F33" i="2000"/>
  <c r="Y28" i="2000"/>
  <c r="X28" i="2000"/>
  <c r="W28" i="2000"/>
  <c r="V28" i="2000"/>
  <c r="U28" i="2000"/>
  <c r="T28" i="2000"/>
  <c r="S28" i="2000"/>
  <c r="R28" i="2000"/>
  <c r="Q28" i="2000"/>
  <c r="P28" i="2000"/>
  <c r="O28" i="2000"/>
  <c r="N28" i="2000"/>
  <c r="M28" i="2000"/>
  <c r="L28" i="2000"/>
  <c r="K28" i="2000"/>
  <c r="J28" i="2000"/>
  <c r="I28" i="2000"/>
  <c r="H28" i="2000"/>
  <c r="G28" i="2000"/>
  <c r="F28" i="2000"/>
  <c r="E28" i="2000"/>
  <c r="D28" i="2000"/>
  <c r="Y25" i="2000"/>
  <c r="X25" i="2000"/>
  <c r="W25" i="2000"/>
  <c r="V25" i="2000"/>
  <c r="U25" i="2000"/>
  <c r="T25" i="2000"/>
  <c r="S25" i="2000"/>
  <c r="R25" i="2000"/>
  <c r="Q25" i="2000"/>
  <c r="P25" i="2000"/>
  <c r="O25" i="2000"/>
  <c r="N25" i="2000"/>
  <c r="M25" i="2000"/>
  <c r="L25" i="2000"/>
  <c r="K25" i="2000"/>
  <c r="J25" i="2000"/>
  <c r="I25" i="2000"/>
  <c r="H25" i="2000"/>
  <c r="G25" i="2000"/>
  <c r="F25" i="2000"/>
  <c r="E25" i="2000"/>
  <c r="D25" i="2000"/>
  <c r="AE19" i="2000"/>
  <c r="AD19" i="2000"/>
  <c r="AC19" i="2000"/>
  <c r="AB19" i="2000"/>
  <c r="AA19" i="2000"/>
  <c r="Z19" i="2000"/>
  <c r="Y19" i="2000"/>
  <c r="X19" i="2000"/>
  <c r="T33" i="2000" s="1"/>
  <c r="W19" i="2000"/>
  <c r="V19" i="2000"/>
  <c r="U19" i="2000"/>
  <c r="T19" i="2000"/>
  <c r="S19" i="2000"/>
  <c r="R19" i="2000"/>
  <c r="Q19" i="2000"/>
  <c r="P19" i="2000"/>
  <c r="O19" i="2000"/>
  <c r="N19" i="2000"/>
  <c r="H33" i="2000" s="1"/>
  <c r="M19" i="2000"/>
  <c r="L19" i="2000"/>
  <c r="P33" i="2000" s="1"/>
  <c r="K19" i="2000"/>
  <c r="J19" i="2000"/>
  <c r="I19" i="2000"/>
  <c r="AB33" i="2000" s="1"/>
  <c r="H19" i="2000"/>
  <c r="G19" i="2000"/>
  <c r="F19" i="2000"/>
  <c r="E19" i="2000"/>
  <c r="D19" i="2000"/>
  <c r="AE16" i="2000"/>
  <c r="AD16" i="2000"/>
  <c r="AC16" i="2000"/>
  <c r="AB16" i="2000"/>
  <c r="AA16" i="2000"/>
  <c r="Z16" i="2000"/>
  <c r="X16" i="2000"/>
  <c r="W16" i="2000"/>
  <c r="V16" i="2000"/>
  <c r="U16" i="2000"/>
  <c r="T16" i="2000"/>
  <c r="S16" i="2000"/>
  <c r="R16" i="2000"/>
  <c r="Q16" i="2000"/>
  <c r="P16" i="2000"/>
  <c r="O16" i="2000"/>
  <c r="N16" i="2000"/>
  <c r="M16" i="2000"/>
  <c r="L16" i="2000"/>
  <c r="K16" i="2000"/>
  <c r="J16" i="2000"/>
  <c r="I16" i="2000"/>
  <c r="H16" i="2000"/>
  <c r="G16" i="2000"/>
  <c r="F16" i="2000"/>
  <c r="E16" i="2000"/>
  <c r="D16" i="2000"/>
  <c r="AE10" i="2000"/>
  <c r="AD10" i="2000"/>
  <c r="AC33" i="2000" s="1"/>
  <c r="AC10" i="2000"/>
  <c r="AB10" i="2000"/>
  <c r="AA10" i="2000"/>
  <c r="Z10" i="2000"/>
  <c r="Y10" i="2000"/>
  <c r="X10" i="2000"/>
  <c r="W10" i="2000"/>
  <c r="V10" i="2000"/>
  <c r="U10" i="2000"/>
  <c r="T10" i="2000"/>
  <c r="S10" i="2000"/>
  <c r="R10" i="2000"/>
  <c r="Q10" i="2000"/>
  <c r="P10" i="2000"/>
  <c r="O10" i="2000"/>
  <c r="N10" i="2000"/>
  <c r="M10" i="2000"/>
  <c r="E33" i="2000" s="1"/>
  <c r="L10" i="2000"/>
  <c r="K10" i="2000"/>
  <c r="J10" i="2000"/>
  <c r="Q33" i="2000" s="1"/>
  <c r="I10" i="2000"/>
  <c r="H10" i="2000"/>
  <c r="G10" i="2000"/>
  <c r="F10" i="2000"/>
  <c r="E10" i="2000"/>
  <c r="D10" i="2000"/>
  <c r="AE7" i="2000"/>
  <c r="AD7" i="2000"/>
  <c r="AC7" i="2000"/>
  <c r="AB7" i="2000"/>
  <c r="AA7" i="2000"/>
  <c r="Z7" i="2000"/>
  <c r="Y7" i="2000"/>
  <c r="X7" i="2000"/>
  <c r="W7" i="2000"/>
  <c r="V7" i="2000"/>
  <c r="U7" i="2000"/>
  <c r="T7" i="2000"/>
  <c r="S7" i="2000"/>
  <c r="R7" i="2000"/>
  <c r="Q7" i="2000"/>
  <c r="P7" i="2000"/>
  <c r="O7" i="2000"/>
  <c r="N7" i="2000"/>
  <c r="M7" i="2000"/>
  <c r="L7" i="2000"/>
  <c r="K7" i="2000"/>
  <c r="J7" i="2000"/>
  <c r="I7" i="2000"/>
  <c r="H7" i="2000"/>
  <c r="G7" i="2000"/>
  <c r="F7" i="2000"/>
  <c r="E7" i="2000"/>
  <c r="D7" i="2000"/>
  <c r="S33" i="2000" l="1"/>
  <c r="J33" i="2000"/>
  <c r="W33" i="2000"/>
  <c r="D33" i="2000"/>
  <c r="Z33" i="2000"/>
  <c r="N33" i="2000"/>
  <c r="K33" i="2000"/>
  <c r="M33" i="2000"/>
  <c r="Y33" i="2000"/>
  <c r="V33" i="2000"/>
  <c r="AA33" i="1997"/>
  <c r="X33" i="1997"/>
  <c r="U33" i="1997"/>
  <c r="R33" i="1997"/>
  <c r="O33" i="1997"/>
  <c r="L33" i="1997"/>
  <c r="F33" i="1997"/>
  <c r="Y28" i="1997"/>
  <c r="X28" i="1997"/>
  <c r="W28" i="1997"/>
  <c r="V28" i="1997"/>
  <c r="U28" i="1997"/>
  <c r="T28" i="1997"/>
  <c r="S28" i="1997"/>
  <c r="R28" i="1997"/>
  <c r="Q28" i="1997"/>
  <c r="P28" i="1997"/>
  <c r="O28" i="1997"/>
  <c r="N28" i="1997"/>
  <c r="M28" i="1997"/>
  <c r="L28" i="1997"/>
  <c r="K28" i="1997"/>
  <c r="J28" i="1997"/>
  <c r="I28" i="1997"/>
  <c r="H28" i="1997"/>
  <c r="G28" i="1997"/>
  <c r="F28" i="1997"/>
  <c r="E28" i="1997"/>
  <c r="D28" i="1997"/>
  <c r="Y25" i="1997"/>
  <c r="X25" i="1997"/>
  <c r="W25" i="1997"/>
  <c r="V25" i="1997"/>
  <c r="U25" i="1997"/>
  <c r="T25" i="1997"/>
  <c r="S25" i="1997"/>
  <c r="R25" i="1997"/>
  <c r="Q25" i="1997"/>
  <c r="P25" i="1997"/>
  <c r="O25" i="1997"/>
  <c r="N25" i="1997"/>
  <c r="M25" i="1997"/>
  <c r="L25" i="1997"/>
  <c r="K25" i="1997"/>
  <c r="J25" i="1997"/>
  <c r="I25" i="1997"/>
  <c r="H25" i="1997"/>
  <c r="G25" i="1997"/>
  <c r="F25" i="1997"/>
  <c r="E25" i="1997"/>
  <c r="D25" i="1997"/>
  <c r="AE19" i="1997"/>
  <c r="AD19" i="1997"/>
  <c r="AC19" i="1997"/>
  <c r="AB19" i="1997"/>
  <c r="AA19" i="1997"/>
  <c r="Z19" i="1997"/>
  <c r="Y19" i="1997"/>
  <c r="X19" i="1997"/>
  <c r="T33" i="1997" s="1"/>
  <c r="W19" i="1997"/>
  <c r="V19" i="1997"/>
  <c r="U19" i="1997"/>
  <c r="T19" i="1997"/>
  <c r="S19" i="1997"/>
  <c r="R19" i="1997"/>
  <c r="Q19" i="1997"/>
  <c r="P19" i="1997"/>
  <c r="O19" i="1997"/>
  <c r="N19" i="1997"/>
  <c r="H33" i="1997" s="1"/>
  <c r="M19" i="1997"/>
  <c r="L19" i="1997"/>
  <c r="P33" i="1997" s="1"/>
  <c r="K19" i="1997"/>
  <c r="J19" i="1997"/>
  <c r="I19" i="1997"/>
  <c r="AB33" i="1997" s="1"/>
  <c r="H19" i="1997"/>
  <c r="G19" i="1997"/>
  <c r="F19" i="1997"/>
  <c r="E19" i="1997"/>
  <c r="D19" i="1997"/>
  <c r="AE16" i="1997"/>
  <c r="AD16" i="1997"/>
  <c r="AC16" i="1997"/>
  <c r="AB16" i="1997"/>
  <c r="AA16" i="1997"/>
  <c r="Z16" i="1997"/>
  <c r="X16" i="1997"/>
  <c r="W16" i="1997"/>
  <c r="V16" i="1997"/>
  <c r="U16" i="1997"/>
  <c r="T16" i="1997"/>
  <c r="S16" i="1997"/>
  <c r="R16" i="1997"/>
  <c r="Q16" i="1997"/>
  <c r="P16" i="1997"/>
  <c r="O16" i="1997"/>
  <c r="N16" i="1997"/>
  <c r="M16" i="1997"/>
  <c r="L16" i="1997"/>
  <c r="K16" i="1997"/>
  <c r="J16" i="1997"/>
  <c r="I16" i="1997"/>
  <c r="H16" i="1997"/>
  <c r="G16" i="1997"/>
  <c r="F16" i="1997"/>
  <c r="E16" i="1997"/>
  <c r="D16" i="1997"/>
  <c r="AE10" i="1997"/>
  <c r="AD10" i="1997"/>
  <c r="AC33" i="1997" s="1"/>
  <c r="AC10" i="1997"/>
  <c r="AB10" i="1997"/>
  <c r="AA10" i="1997"/>
  <c r="D33" i="1997" s="1"/>
  <c r="Z10" i="1997"/>
  <c r="Y10" i="1997"/>
  <c r="X10" i="1997"/>
  <c r="W10" i="1997"/>
  <c r="V10" i="1997"/>
  <c r="U10" i="1997"/>
  <c r="T10" i="1997"/>
  <c r="S10" i="1997"/>
  <c r="R10" i="1997"/>
  <c r="Q10" i="1997"/>
  <c r="P10" i="1997"/>
  <c r="O10" i="1997"/>
  <c r="N10" i="1997"/>
  <c r="Q33" i="1997" s="1"/>
  <c r="M10" i="1997"/>
  <c r="L10" i="1997"/>
  <c r="N33" i="1997" s="1"/>
  <c r="K10" i="1997"/>
  <c r="J10" i="1997"/>
  <c r="I10" i="1997"/>
  <c r="H10" i="1997"/>
  <c r="G10" i="1997"/>
  <c r="F10" i="1997"/>
  <c r="E10" i="1997"/>
  <c r="S33" i="1997" s="1"/>
  <c r="D10" i="1997"/>
  <c r="AE7" i="1997"/>
  <c r="AD7" i="1997"/>
  <c r="AC7" i="1997"/>
  <c r="AB7" i="1997"/>
  <c r="AA7" i="1997"/>
  <c r="Z7" i="1997"/>
  <c r="Y7" i="1997"/>
  <c r="X7" i="1997"/>
  <c r="W7" i="1997"/>
  <c r="V7" i="1997"/>
  <c r="U7" i="1997"/>
  <c r="T7" i="1997"/>
  <c r="S7" i="1997"/>
  <c r="R7" i="1997"/>
  <c r="Q7" i="1997"/>
  <c r="P7" i="1997"/>
  <c r="O7" i="1997"/>
  <c r="N7" i="1997"/>
  <c r="M7" i="1997"/>
  <c r="L7" i="1997"/>
  <c r="K7" i="1997"/>
  <c r="J7" i="1997"/>
  <c r="I7" i="1997"/>
  <c r="H7" i="1997"/>
  <c r="G7" i="1997"/>
  <c r="F7" i="1997"/>
  <c r="E7" i="1997"/>
  <c r="D7" i="1997"/>
  <c r="J33" i="1997" l="1"/>
  <c r="K33" i="1997"/>
  <c r="W33" i="1997"/>
  <c r="Z33" i="1997"/>
  <c r="Y33" i="1997"/>
  <c r="E33" i="1997"/>
  <c r="M33" i="1997"/>
  <c r="V33" i="1997"/>
  <c r="AA33" i="1996"/>
  <c r="X33" i="1996"/>
  <c r="U33" i="1996"/>
  <c r="R33" i="1996"/>
  <c r="O33" i="1996"/>
  <c r="L33" i="1996"/>
  <c r="F33" i="1996"/>
  <c r="Y28" i="1996"/>
  <c r="X28" i="1996"/>
  <c r="W28" i="1996"/>
  <c r="V28" i="1996"/>
  <c r="U28" i="1996"/>
  <c r="T28" i="1996"/>
  <c r="S28" i="1996"/>
  <c r="R28" i="1996"/>
  <c r="Q28" i="1996"/>
  <c r="P28" i="1996"/>
  <c r="O28" i="1996"/>
  <c r="N28" i="1996"/>
  <c r="M28" i="1996"/>
  <c r="L28" i="1996"/>
  <c r="K28" i="1996"/>
  <c r="J28" i="1996"/>
  <c r="I28" i="1996"/>
  <c r="H28" i="1996"/>
  <c r="G28" i="1996"/>
  <c r="F28" i="1996"/>
  <c r="E28" i="1996"/>
  <c r="D28" i="1996"/>
  <c r="Y25" i="1996"/>
  <c r="X25" i="1996"/>
  <c r="W25" i="1996"/>
  <c r="V25" i="1996"/>
  <c r="U25" i="1996"/>
  <c r="T25" i="1996"/>
  <c r="S25" i="1996"/>
  <c r="R25" i="1996"/>
  <c r="Q25" i="1996"/>
  <c r="P25" i="1996"/>
  <c r="O25" i="1996"/>
  <c r="N25" i="1996"/>
  <c r="M25" i="1996"/>
  <c r="L25" i="1996"/>
  <c r="K25" i="1996"/>
  <c r="J25" i="1996"/>
  <c r="I25" i="1996"/>
  <c r="H25" i="1996"/>
  <c r="G25" i="1996"/>
  <c r="F25" i="1996"/>
  <c r="E25" i="1996"/>
  <c r="D25" i="1996"/>
  <c r="AE19" i="1996"/>
  <c r="AD19" i="1996"/>
  <c r="AC19" i="1996"/>
  <c r="AB19" i="1996"/>
  <c r="AA19" i="1996"/>
  <c r="Z19" i="1996"/>
  <c r="Y19" i="1996"/>
  <c r="X19" i="1996"/>
  <c r="T33" i="1996" s="1"/>
  <c r="W19" i="1996"/>
  <c r="V19" i="1996"/>
  <c r="U19" i="1996"/>
  <c r="T19" i="1996"/>
  <c r="S19" i="1996"/>
  <c r="R19" i="1996"/>
  <c r="Q19" i="1996"/>
  <c r="P19" i="1996"/>
  <c r="O19" i="1996"/>
  <c r="N19" i="1996"/>
  <c r="H33" i="1996" s="1"/>
  <c r="M19" i="1996"/>
  <c r="L19" i="1996"/>
  <c r="P33" i="1996" s="1"/>
  <c r="K19" i="1996"/>
  <c r="J19" i="1996"/>
  <c r="I19" i="1996"/>
  <c r="AB33" i="1996" s="1"/>
  <c r="H19" i="1996"/>
  <c r="G19" i="1996"/>
  <c r="F19" i="1996"/>
  <c r="E19" i="1996"/>
  <c r="D19" i="1996"/>
  <c r="AE16" i="1996"/>
  <c r="AD16" i="1996"/>
  <c r="AC16" i="1996"/>
  <c r="AB16" i="1996"/>
  <c r="AA16" i="1996"/>
  <c r="Z16" i="1996"/>
  <c r="X16" i="1996"/>
  <c r="W16" i="1996"/>
  <c r="V16" i="1996"/>
  <c r="U16" i="1996"/>
  <c r="T16" i="1996"/>
  <c r="S16" i="1996"/>
  <c r="R16" i="1996"/>
  <c r="Q16" i="1996"/>
  <c r="P16" i="1996"/>
  <c r="O16" i="1996"/>
  <c r="N16" i="1996"/>
  <c r="M16" i="1996"/>
  <c r="L16" i="1996"/>
  <c r="K16" i="1996"/>
  <c r="J16" i="1996"/>
  <c r="I16" i="1996"/>
  <c r="H16" i="1996"/>
  <c r="G16" i="1996"/>
  <c r="F16" i="1996"/>
  <c r="E16" i="1996"/>
  <c r="D16" i="1996"/>
  <c r="AE10" i="1996"/>
  <c r="AD10" i="1996"/>
  <c r="AC33" i="1996" s="1"/>
  <c r="AC10" i="1996"/>
  <c r="AB10" i="1996"/>
  <c r="AA10" i="1996"/>
  <c r="Z10" i="1996"/>
  <c r="Y10" i="1996"/>
  <c r="X10" i="1996"/>
  <c r="W10" i="1996"/>
  <c r="V10" i="1996"/>
  <c r="U10" i="1996"/>
  <c r="T10" i="1996"/>
  <c r="S10" i="1996"/>
  <c r="R10" i="1996"/>
  <c r="Q10" i="1996"/>
  <c r="P10" i="1996"/>
  <c r="O10" i="1996"/>
  <c r="N10" i="1996"/>
  <c r="M10" i="1996"/>
  <c r="L10" i="1996"/>
  <c r="K10" i="1996"/>
  <c r="J10" i="1996"/>
  <c r="I10" i="1996"/>
  <c r="H10" i="1996"/>
  <c r="G10" i="1996"/>
  <c r="F10" i="1996"/>
  <c r="E10" i="1996"/>
  <c r="S33" i="1996" s="1"/>
  <c r="D10" i="1996"/>
  <c r="AE7" i="1996"/>
  <c r="AD7" i="1996"/>
  <c r="AC7" i="1996"/>
  <c r="AB7" i="1996"/>
  <c r="AA7" i="1996"/>
  <c r="Z7" i="1996"/>
  <c r="Y7" i="1996"/>
  <c r="X7" i="1996"/>
  <c r="W7" i="1996"/>
  <c r="V7" i="1996"/>
  <c r="U7" i="1996"/>
  <c r="T7" i="1996"/>
  <c r="S7" i="1996"/>
  <c r="R7" i="1996"/>
  <c r="Q7" i="1996"/>
  <c r="P7" i="1996"/>
  <c r="O7" i="1996"/>
  <c r="N7" i="1996"/>
  <c r="M7" i="1996"/>
  <c r="L7" i="1996"/>
  <c r="K7" i="1996"/>
  <c r="J7" i="1996"/>
  <c r="I7" i="1996"/>
  <c r="H7" i="1996"/>
  <c r="G7" i="1996"/>
  <c r="F7" i="1996"/>
  <c r="E7" i="1996"/>
  <c r="D7" i="1996"/>
  <c r="J33" i="1996" l="1"/>
  <c r="K33" i="1996"/>
  <c r="W33" i="1996"/>
  <c r="D33" i="1996"/>
  <c r="Z33" i="1996"/>
  <c r="Y33" i="1996"/>
  <c r="N33" i="1996"/>
  <c r="Q33" i="1996"/>
  <c r="E33" i="1996"/>
  <c r="M33" i="1996"/>
  <c r="V33" i="1996"/>
  <c r="AA33" i="1995"/>
  <c r="X33" i="1995"/>
  <c r="U33" i="1995"/>
  <c r="R33" i="1995"/>
  <c r="O33" i="1995"/>
  <c r="L33" i="1995"/>
  <c r="F33" i="1995"/>
  <c r="Y28" i="1995"/>
  <c r="X28" i="1995"/>
  <c r="W28" i="1995"/>
  <c r="V28" i="1995"/>
  <c r="U28" i="1995"/>
  <c r="T28" i="1995"/>
  <c r="S28" i="1995"/>
  <c r="R28" i="1995"/>
  <c r="Q28" i="1995"/>
  <c r="P28" i="1995"/>
  <c r="O28" i="1995"/>
  <c r="N28" i="1995"/>
  <c r="M28" i="1995"/>
  <c r="L28" i="1995"/>
  <c r="K28" i="1995"/>
  <c r="J28" i="1995"/>
  <c r="I28" i="1995"/>
  <c r="H28" i="1995"/>
  <c r="G28" i="1995"/>
  <c r="F28" i="1995"/>
  <c r="E28" i="1995"/>
  <c r="D28" i="1995"/>
  <c r="Y25" i="1995"/>
  <c r="X25" i="1995"/>
  <c r="W25" i="1995"/>
  <c r="V25" i="1995"/>
  <c r="U25" i="1995"/>
  <c r="T25" i="1995"/>
  <c r="S25" i="1995"/>
  <c r="R25" i="1995"/>
  <c r="Q25" i="1995"/>
  <c r="P25" i="1995"/>
  <c r="O25" i="1995"/>
  <c r="N25" i="1995"/>
  <c r="M25" i="1995"/>
  <c r="L25" i="1995"/>
  <c r="K25" i="1995"/>
  <c r="J25" i="1995"/>
  <c r="I25" i="1995"/>
  <c r="H25" i="1995"/>
  <c r="G25" i="1995"/>
  <c r="F25" i="1995"/>
  <c r="E25" i="1995"/>
  <c r="D25" i="1995"/>
  <c r="AE19" i="1995"/>
  <c r="AD19" i="1995"/>
  <c r="AC19" i="1995"/>
  <c r="AB19" i="1995"/>
  <c r="AA19" i="1995"/>
  <c r="Z19" i="1995"/>
  <c r="Y19" i="1995"/>
  <c r="X19" i="1995"/>
  <c r="T33" i="1995" s="1"/>
  <c r="W19" i="1995"/>
  <c r="V19" i="1995"/>
  <c r="U19" i="1995"/>
  <c r="T19" i="1995"/>
  <c r="S19" i="1995"/>
  <c r="R19" i="1995"/>
  <c r="Q19" i="1995"/>
  <c r="P19" i="1995"/>
  <c r="O19" i="1995"/>
  <c r="N19" i="1995"/>
  <c r="H33" i="1995" s="1"/>
  <c r="M19" i="1995"/>
  <c r="L19" i="1995"/>
  <c r="P33" i="1995" s="1"/>
  <c r="K19" i="1995"/>
  <c r="J19" i="1995"/>
  <c r="I19" i="1995"/>
  <c r="AB33" i="1995" s="1"/>
  <c r="H19" i="1995"/>
  <c r="G19" i="1995"/>
  <c r="F19" i="1995"/>
  <c r="E19" i="1995"/>
  <c r="D19" i="1995"/>
  <c r="AE16" i="1995"/>
  <c r="AD16" i="1995"/>
  <c r="AC16" i="1995"/>
  <c r="AB16" i="1995"/>
  <c r="AA16" i="1995"/>
  <c r="Z16" i="1995"/>
  <c r="X16" i="1995"/>
  <c r="W16" i="1995"/>
  <c r="V16" i="1995"/>
  <c r="U16" i="1995"/>
  <c r="T16" i="1995"/>
  <c r="S16" i="1995"/>
  <c r="R16" i="1995"/>
  <c r="Q16" i="1995"/>
  <c r="P16" i="1995"/>
  <c r="O16" i="1995"/>
  <c r="N16" i="1995"/>
  <c r="M16" i="1995"/>
  <c r="L16" i="1995"/>
  <c r="K16" i="1995"/>
  <c r="J16" i="1995"/>
  <c r="I16" i="1995"/>
  <c r="H16" i="1995"/>
  <c r="G16" i="1995"/>
  <c r="F16" i="1995"/>
  <c r="E16" i="1995"/>
  <c r="D16" i="1995"/>
  <c r="AE10" i="1995"/>
  <c r="AD10" i="1995"/>
  <c r="AC33" i="1995" s="1"/>
  <c r="AC10" i="1995"/>
  <c r="AB10" i="1995"/>
  <c r="AA10" i="1995"/>
  <c r="Z10" i="1995"/>
  <c r="Y10" i="1995"/>
  <c r="X10" i="1995"/>
  <c r="W10" i="1995"/>
  <c r="V10" i="1995"/>
  <c r="U10" i="1995"/>
  <c r="T10" i="1995"/>
  <c r="S10" i="1995"/>
  <c r="R10" i="1995"/>
  <c r="Q10" i="1995"/>
  <c r="P10" i="1995"/>
  <c r="O10" i="1995"/>
  <c r="N10" i="1995"/>
  <c r="Q33" i="1995" s="1"/>
  <c r="M10" i="1995"/>
  <c r="L10" i="1995"/>
  <c r="K10" i="1995"/>
  <c r="J10" i="1995"/>
  <c r="I10" i="1995"/>
  <c r="H10" i="1995"/>
  <c r="G10" i="1995"/>
  <c r="F10" i="1995"/>
  <c r="J33" i="1995" s="1"/>
  <c r="E10" i="1995"/>
  <c r="S33" i="1995" s="1"/>
  <c r="D10" i="1995"/>
  <c r="AE7" i="1995"/>
  <c r="AD7" i="1995"/>
  <c r="AC7" i="1995"/>
  <c r="AB7" i="1995"/>
  <c r="AA7" i="1995"/>
  <c r="Z7" i="1995"/>
  <c r="Y7" i="1995"/>
  <c r="X7" i="1995"/>
  <c r="W7" i="1995"/>
  <c r="V7" i="1995"/>
  <c r="U7" i="1995"/>
  <c r="T7" i="1995"/>
  <c r="S7" i="1995"/>
  <c r="R7" i="1995"/>
  <c r="Q7" i="1995"/>
  <c r="P7" i="1995"/>
  <c r="O7" i="1995"/>
  <c r="N7" i="1995"/>
  <c r="M7" i="1995"/>
  <c r="L7" i="1995"/>
  <c r="K7" i="1995"/>
  <c r="J7" i="1995"/>
  <c r="I7" i="1995"/>
  <c r="H7" i="1995"/>
  <c r="G7" i="1995"/>
  <c r="F7" i="1995"/>
  <c r="E7" i="1995"/>
  <c r="D7" i="1995"/>
  <c r="N33" i="1995" l="1"/>
  <c r="W33" i="1995"/>
  <c r="Z33" i="1995"/>
  <c r="D33" i="1995"/>
  <c r="Y33" i="1995"/>
  <c r="K33" i="1995"/>
  <c r="E33" i="1995"/>
  <c r="M33" i="1995"/>
  <c r="V33" i="1995"/>
  <c r="AA33" i="1993" l="1"/>
  <c r="X33" i="1993"/>
  <c r="U33" i="1993"/>
  <c r="R33" i="1993"/>
  <c r="O33" i="1993"/>
  <c r="L33" i="1993"/>
  <c r="F33" i="1993"/>
  <c r="Y28" i="1993"/>
  <c r="X28" i="1993"/>
  <c r="W28" i="1993"/>
  <c r="V28" i="1993"/>
  <c r="U28" i="1993"/>
  <c r="T28" i="1993"/>
  <c r="S28" i="1993"/>
  <c r="R28" i="1993"/>
  <c r="Q28" i="1993"/>
  <c r="P28" i="1993"/>
  <c r="O28" i="1993"/>
  <c r="N28" i="1993"/>
  <c r="M28" i="1993"/>
  <c r="L28" i="1993"/>
  <c r="K28" i="1993"/>
  <c r="J28" i="1993"/>
  <c r="I28" i="1993"/>
  <c r="H28" i="1993"/>
  <c r="G28" i="1993"/>
  <c r="F28" i="1993"/>
  <c r="E28" i="1993"/>
  <c r="D28" i="1993"/>
  <c r="Y25" i="1993"/>
  <c r="X25" i="1993"/>
  <c r="W25" i="1993"/>
  <c r="V25" i="1993"/>
  <c r="U25" i="1993"/>
  <c r="T25" i="1993"/>
  <c r="S25" i="1993"/>
  <c r="R25" i="1993"/>
  <c r="Q25" i="1993"/>
  <c r="P25" i="1993"/>
  <c r="O25" i="1993"/>
  <c r="N25" i="1993"/>
  <c r="M25" i="1993"/>
  <c r="L25" i="1993"/>
  <c r="K25" i="1993"/>
  <c r="J25" i="1993"/>
  <c r="I25" i="1993"/>
  <c r="H25" i="1993"/>
  <c r="G25" i="1993"/>
  <c r="F25" i="1993"/>
  <c r="E25" i="1993"/>
  <c r="D25" i="1993"/>
  <c r="AE19" i="1993"/>
  <c r="AD19" i="1993"/>
  <c r="AC19" i="1993"/>
  <c r="AB19" i="1993"/>
  <c r="AA19" i="1993"/>
  <c r="Z19" i="1993"/>
  <c r="Y19" i="1993"/>
  <c r="X19" i="1993"/>
  <c r="T33" i="1993" s="1"/>
  <c r="W19" i="1993"/>
  <c r="V19" i="1993"/>
  <c r="U19" i="1993"/>
  <c r="T19" i="1993"/>
  <c r="S19" i="1993"/>
  <c r="R19" i="1993"/>
  <c r="Q19" i="1993"/>
  <c r="P19" i="1993"/>
  <c r="O19" i="1993"/>
  <c r="N19" i="1993"/>
  <c r="H33" i="1993" s="1"/>
  <c r="M19" i="1993"/>
  <c r="L19" i="1993"/>
  <c r="P33" i="1993" s="1"/>
  <c r="K19" i="1993"/>
  <c r="J19" i="1993"/>
  <c r="I19" i="1993"/>
  <c r="AB33" i="1993" s="1"/>
  <c r="H19" i="1993"/>
  <c r="G19" i="1993"/>
  <c r="F19" i="1993"/>
  <c r="E19" i="1993"/>
  <c r="D19" i="1993"/>
  <c r="AE16" i="1993"/>
  <c r="AD16" i="1993"/>
  <c r="AC16" i="1993"/>
  <c r="AB16" i="1993"/>
  <c r="AA16" i="1993"/>
  <c r="Z16" i="1993"/>
  <c r="X16" i="1993"/>
  <c r="W16" i="1993"/>
  <c r="V16" i="1993"/>
  <c r="U16" i="1993"/>
  <c r="T16" i="1993"/>
  <c r="S16" i="1993"/>
  <c r="R16" i="1993"/>
  <c r="Q16" i="1993"/>
  <c r="P16" i="1993"/>
  <c r="O16" i="1993"/>
  <c r="N16" i="1993"/>
  <c r="M16" i="1993"/>
  <c r="L16" i="1993"/>
  <c r="K16" i="1993"/>
  <c r="J16" i="1993"/>
  <c r="I16" i="1993"/>
  <c r="H16" i="1993"/>
  <c r="G16" i="1993"/>
  <c r="F16" i="1993"/>
  <c r="E16" i="1993"/>
  <c r="D16" i="1993"/>
  <c r="AE10" i="1993"/>
  <c r="AD10" i="1993"/>
  <c r="AC33" i="1993" s="1"/>
  <c r="AC10" i="1993"/>
  <c r="AB10" i="1993"/>
  <c r="AA10" i="1993"/>
  <c r="Z10" i="1993"/>
  <c r="Y10" i="1993"/>
  <c r="X10" i="1993"/>
  <c r="W10" i="1993"/>
  <c r="V10" i="1993"/>
  <c r="U10" i="1993"/>
  <c r="T10" i="1993"/>
  <c r="S10" i="1993"/>
  <c r="R10" i="1993"/>
  <c r="Q10" i="1993"/>
  <c r="P10" i="1993"/>
  <c r="O10" i="1993"/>
  <c r="N10" i="1993"/>
  <c r="Q33" i="1993" s="1"/>
  <c r="M10" i="1993"/>
  <c r="L10" i="1993"/>
  <c r="N33" i="1993" s="1"/>
  <c r="K10" i="1993"/>
  <c r="J10" i="1993"/>
  <c r="I10" i="1993"/>
  <c r="H10" i="1993"/>
  <c r="G10" i="1993"/>
  <c r="F10" i="1993"/>
  <c r="E10" i="1993"/>
  <c r="S33" i="1993" s="1"/>
  <c r="D10" i="1993"/>
  <c r="AE7" i="1993"/>
  <c r="AD7" i="1993"/>
  <c r="AC7" i="1993"/>
  <c r="AB7" i="1993"/>
  <c r="AA7" i="1993"/>
  <c r="Z7" i="1993"/>
  <c r="Y7" i="1993"/>
  <c r="X7" i="1993"/>
  <c r="W7" i="1993"/>
  <c r="V7" i="1993"/>
  <c r="U7" i="1993"/>
  <c r="T7" i="1993"/>
  <c r="S7" i="1993"/>
  <c r="R7" i="1993"/>
  <c r="Q7" i="1993"/>
  <c r="P7" i="1993"/>
  <c r="O7" i="1993"/>
  <c r="N7" i="1993"/>
  <c r="M7" i="1993"/>
  <c r="L7" i="1993"/>
  <c r="K7" i="1993"/>
  <c r="J7" i="1993"/>
  <c r="I7" i="1993"/>
  <c r="H7" i="1993"/>
  <c r="G7" i="1993"/>
  <c r="F7" i="1993"/>
  <c r="E7" i="1993"/>
  <c r="D7" i="1993"/>
  <c r="J33" i="1993" l="1"/>
  <c r="K33" i="1993"/>
  <c r="W33" i="1993"/>
  <c r="Z33" i="1993"/>
  <c r="D33" i="1993"/>
  <c r="Y33" i="1993"/>
  <c r="E33" i="1993"/>
  <c r="M33" i="1993"/>
  <c r="V33" i="1993"/>
  <c r="AA33" i="1992" l="1"/>
  <c r="X33" i="1992"/>
  <c r="U33" i="1992"/>
  <c r="R33" i="1992"/>
  <c r="O33" i="1992"/>
  <c r="L33" i="1992"/>
  <c r="F33" i="1992"/>
  <c r="Y28" i="1992"/>
  <c r="X28" i="1992"/>
  <c r="W28" i="1992"/>
  <c r="V28" i="1992"/>
  <c r="U28" i="1992"/>
  <c r="T28" i="1992"/>
  <c r="S28" i="1992"/>
  <c r="R28" i="1992"/>
  <c r="Q28" i="1992"/>
  <c r="P28" i="1992"/>
  <c r="O28" i="1992"/>
  <c r="N28" i="1992"/>
  <c r="M28" i="1992"/>
  <c r="L28" i="1992"/>
  <c r="K28" i="1992"/>
  <c r="J28" i="1992"/>
  <c r="I28" i="1992"/>
  <c r="H28" i="1992"/>
  <c r="G28" i="1992"/>
  <c r="F28" i="1992"/>
  <c r="E28" i="1992"/>
  <c r="D28" i="1992"/>
  <c r="Y25" i="1992"/>
  <c r="X25" i="1992"/>
  <c r="W25" i="1992"/>
  <c r="V25" i="1992"/>
  <c r="U25" i="1992"/>
  <c r="T25" i="1992"/>
  <c r="S25" i="1992"/>
  <c r="R25" i="1992"/>
  <c r="Q25" i="1992"/>
  <c r="P25" i="1992"/>
  <c r="O25" i="1992"/>
  <c r="N25" i="1992"/>
  <c r="M25" i="1992"/>
  <c r="L25" i="1992"/>
  <c r="K25" i="1992"/>
  <c r="J25" i="1992"/>
  <c r="I25" i="1992"/>
  <c r="H25" i="1992"/>
  <c r="G25" i="1992"/>
  <c r="F25" i="1992"/>
  <c r="E25" i="1992"/>
  <c r="D25" i="1992"/>
  <c r="AE19" i="1992"/>
  <c r="AD19" i="1992"/>
  <c r="AC19" i="1992"/>
  <c r="AB19" i="1992"/>
  <c r="AA19" i="1992"/>
  <c r="Z19" i="1992"/>
  <c r="Y19" i="1992"/>
  <c r="X19" i="1992"/>
  <c r="T33" i="1992" s="1"/>
  <c r="W19" i="1992"/>
  <c r="V19" i="1992"/>
  <c r="U19" i="1992"/>
  <c r="T19" i="1992"/>
  <c r="S19" i="1992"/>
  <c r="R19" i="1992"/>
  <c r="Q19" i="1992"/>
  <c r="P19" i="1992"/>
  <c r="O19" i="1992"/>
  <c r="N19" i="1992"/>
  <c r="H33" i="1992" s="1"/>
  <c r="M19" i="1992"/>
  <c r="L19" i="1992"/>
  <c r="P33" i="1992" s="1"/>
  <c r="K19" i="1992"/>
  <c r="J19" i="1992"/>
  <c r="I19" i="1992"/>
  <c r="AB33" i="1992" s="1"/>
  <c r="H19" i="1992"/>
  <c r="G19" i="1992"/>
  <c r="F19" i="1992"/>
  <c r="E19" i="1992"/>
  <c r="D19" i="1992"/>
  <c r="AE16" i="1992"/>
  <c r="AD16" i="1992"/>
  <c r="AC16" i="1992"/>
  <c r="AB16" i="1992"/>
  <c r="AA16" i="1992"/>
  <c r="Z16" i="1992"/>
  <c r="X16" i="1992"/>
  <c r="W16" i="1992"/>
  <c r="V16" i="1992"/>
  <c r="U16" i="1992"/>
  <c r="T16" i="1992"/>
  <c r="S16" i="1992"/>
  <c r="R16" i="1992"/>
  <c r="Q16" i="1992"/>
  <c r="P16" i="1992"/>
  <c r="O16" i="1992"/>
  <c r="N16" i="1992"/>
  <c r="M16" i="1992"/>
  <c r="L16" i="1992"/>
  <c r="K16" i="1992"/>
  <c r="J16" i="1992"/>
  <c r="I16" i="1992"/>
  <c r="H16" i="1992"/>
  <c r="G16" i="1992"/>
  <c r="F16" i="1992"/>
  <c r="E16" i="1992"/>
  <c r="D16" i="1992"/>
  <c r="AE10" i="1992"/>
  <c r="AD10" i="1992"/>
  <c r="AC33" i="1992" s="1"/>
  <c r="AC10" i="1992"/>
  <c r="AB10" i="1992"/>
  <c r="AA10" i="1992"/>
  <c r="Z10" i="1992"/>
  <c r="Y10" i="1992"/>
  <c r="X10" i="1992"/>
  <c r="W10" i="1992"/>
  <c r="V10" i="1992"/>
  <c r="U10" i="1992"/>
  <c r="T10" i="1992"/>
  <c r="S10" i="1992"/>
  <c r="R10" i="1992"/>
  <c r="Q10" i="1992"/>
  <c r="P10" i="1992"/>
  <c r="O10" i="1992"/>
  <c r="N10" i="1992"/>
  <c r="M10" i="1992"/>
  <c r="L10" i="1992"/>
  <c r="K10" i="1992"/>
  <c r="J10" i="1992"/>
  <c r="I10" i="1992"/>
  <c r="H10" i="1992"/>
  <c r="G10" i="1992"/>
  <c r="F10" i="1992"/>
  <c r="J33" i="1992" s="1"/>
  <c r="E10" i="1992"/>
  <c r="S33" i="1992" s="1"/>
  <c r="D10" i="1992"/>
  <c r="AE7" i="1992"/>
  <c r="AD7" i="1992"/>
  <c r="AC7" i="1992"/>
  <c r="AB7" i="1992"/>
  <c r="AA7" i="1992"/>
  <c r="Z7" i="1992"/>
  <c r="Y7" i="1992"/>
  <c r="X7" i="1992"/>
  <c r="W7" i="1992"/>
  <c r="V7" i="1992"/>
  <c r="U7" i="1992"/>
  <c r="T7" i="1992"/>
  <c r="S7" i="1992"/>
  <c r="R7" i="1992"/>
  <c r="Q7" i="1992"/>
  <c r="P7" i="1992"/>
  <c r="O7" i="1992"/>
  <c r="N7" i="1992"/>
  <c r="M7" i="1992"/>
  <c r="L7" i="1992"/>
  <c r="K7" i="1992"/>
  <c r="J7" i="1992"/>
  <c r="I7" i="1992"/>
  <c r="H7" i="1992"/>
  <c r="G7" i="1992"/>
  <c r="F7" i="1992"/>
  <c r="E7" i="1992"/>
  <c r="D7" i="1992"/>
  <c r="AA33" i="1991"/>
  <c r="X33" i="1991"/>
  <c r="U33" i="1991"/>
  <c r="R33" i="1991"/>
  <c r="O33" i="1991"/>
  <c r="L33" i="1991"/>
  <c r="F33" i="1991"/>
  <c r="Y28" i="1991"/>
  <c r="X28" i="1991"/>
  <c r="W28" i="1991"/>
  <c r="V28" i="1991"/>
  <c r="U28" i="1991"/>
  <c r="T28" i="1991"/>
  <c r="S28" i="1991"/>
  <c r="R28" i="1991"/>
  <c r="Q28" i="1991"/>
  <c r="P28" i="1991"/>
  <c r="O28" i="1991"/>
  <c r="N28" i="1991"/>
  <c r="M28" i="1991"/>
  <c r="L28" i="1991"/>
  <c r="K28" i="1991"/>
  <c r="J28" i="1991"/>
  <c r="I28" i="1991"/>
  <c r="H28" i="1991"/>
  <c r="G28" i="1991"/>
  <c r="F28" i="1991"/>
  <c r="E28" i="1991"/>
  <c r="D28" i="1991"/>
  <c r="Y25" i="1991"/>
  <c r="X25" i="1991"/>
  <c r="W25" i="1991"/>
  <c r="V25" i="1991"/>
  <c r="U25" i="1991"/>
  <c r="T25" i="1991"/>
  <c r="S25" i="1991"/>
  <c r="R25" i="1991"/>
  <c r="Q25" i="1991"/>
  <c r="P25" i="1991"/>
  <c r="O25" i="1991"/>
  <c r="N25" i="1991"/>
  <c r="M25" i="1991"/>
  <c r="L25" i="1991"/>
  <c r="K25" i="1991"/>
  <c r="J25" i="1991"/>
  <c r="I25" i="1991"/>
  <c r="H25" i="1991"/>
  <c r="G25" i="1991"/>
  <c r="F25" i="1991"/>
  <c r="E25" i="1991"/>
  <c r="D25" i="1991"/>
  <c r="AE19" i="1991"/>
  <c r="AD19" i="1991"/>
  <c r="AC19" i="1991"/>
  <c r="AB19" i="1991"/>
  <c r="AA19" i="1991"/>
  <c r="Z19" i="1991"/>
  <c r="Y19" i="1991"/>
  <c r="X19" i="1991"/>
  <c r="T33" i="1991" s="1"/>
  <c r="W19" i="1991"/>
  <c r="V19" i="1991"/>
  <c r="U19" i="1991"/>
  <c r="T19" i="1991"/>
  <c r="S19" i="1991"/>
  <c r="R19" i="1991"/>
  <c r="Q19" i="1991"/>
  <c r="P19" i="1991"/>
  <c r="O19" i="1991"/>
  <c r="N19" i="1991"/>
  <c r="H33" i="1991" s="1"/>
  <c r="M19" i="1991"/>
  <c r="L19" i="1991"/>
  <c r="P33" i="1991" s="1"/>
  <c r="K19" i="1991"/>
  <c r="J19" i="1991"/>
  <c r="I19" i="1991"/>
  <c r="AB33" i="1991" s="1"/>
  <c r="H19" i="1991"/>
  <c r="G19" i="1991"/>
  <c r="F19" i="1991"/>
  <c r="E19" i="1991"/>
  <c r="D19" i="1991"/>
  <c r="AE16" i="1991"/>
  <c r="AD16" i="1991"/>
  <c r="AC16" i="1991"/>
  <c r="AB16" i="1991"/>
  <c r="AA16" i="1991"/>
  <c r="Z16" i="1991"/>
  <c r="X16" i="1991"/>
  <c r="W16" i="1991"/>
  <c r="V16" i="1991"/>
  <c r="U16" i="1991"/>
  <c r="T16" i="1991"/>
  <c r="S16" i="1991"/>
  <c r="R16" i="1991"/>
  <c r="Q16" i="1991"/>
  <c r="P16" i="1991"/>
  <c r="O16" i="1991"/>
  <c r="N16" i="1991"/>
  <c r="M16" i="1991"/>
  <c r="L16" i="1991"/>
  <c r="K16" i="1991"/>
  <c r="J16" i="1991"/>
  <c r="I16" i="1991"/>
  <c r="H16" i="1991"/>
  <c r="G16" i="1991"/>
  <c r="F16" i="1991"/>
  <c r="E16" i="1991"/>
  <c r="D16" i="1991"/>
  <c r="AE10" i="1991"/>
  <c r="AD10" i="1991"/>
  <c r="AC33" i="1991" s="1"/>
  <c r="AC10" i="1991"/>
  <c r="AB10" i="1991"/>
  <c r="AA10" i="1991"/>
  <c r="Z10" i="1991"/>
  <c r="Y10" i="1991"/>
  <c r="X10" i="1991"/>
  <c r="W10" i="1991"/>
  <c r="V10" i="1991"/>
  <c r="U10" i="1991"/>
  <c r="T10" i="1991"/>
  <c r="S10" i="1991"/>
  <c r="R10" i="1991"/>
  <c r="Q10" i="1991"/>
  <c r="P10" i="1991"/>
  <c r="O10" i="1991"/>
  <c r="N10" i="1991"/>
  <c r="M10" i="1991"/>
  <c r="E33" i="1991" s="1"/>
  <c r="L10" i="1991"/>
  <c r="N33" i="1991" s="1"/>
  <c r="K10" i="1991"/>
  <c r="J10" i="1991"/>
  <c r="Q33" i="1991" s="1"/>
  <c r="I10" i="1991"/>
  <c r="H10" i="1991"/>
  <c r="G10" i="1991"/>
  <c r="F10" i="1991"/>
  <c r="J33" i="1991" s="1"/>
  <c r="E10" i="1991"/>
  <c r="S33" i="1991" s="1"/>
  <c r="D10" i="1991"/>
  <c r="AE7" i="1991"/>
  <c r="AD7" i="1991"/>
  <c r="AC7" i="1991"/>
  <c r="AB7" i="1991"/>
  <c r="AA7" i="1991"/>
  <c r="Z7" i="1991"/>
  <c r="Y7" i="1991"/>
  <c r="X7" i="1991"/>
  <c r="W7" i="1991"/>
  <c r="V7" i="1991"/>
  <c r="U7" i="1991"/>
  <c r="T7" i="1991"/>
  <c r="S7" i="1991"/>
  <c r="R7" i="1991"/>
  <c r="Q7" i="1991"/>
  <c r="P7" i="1991"/>
  <c r="O7" i="1991"/>
  <c r="N7" i="1991"/>
  <c r="M7" i="1991"/>
  <c r="L7" i="1991"/>
  <c r="K7" i="1991"/>
  <c r="J7" i="1991"/>
  <c r="I7" i="1991"/>
  <c r="H7" i="1991"/>
  <c r="G7" i="1991"/>
  <c r="F7" i="1991"/>
  <c r="E7" i="1991"/>
  <c r="D7" i="1991"/>
  <c r="N33" i="1992" l="1"/>
  <c r="K33" i="1992"/>
  <c r="W33" i="1992"/>
  <c r="D33" i="1992"/>
  <c r="Z33" i="1992"/>
  <c r="Y33" i="1992"/>
  <c r="Q33" i="1992"/>
  <c r="E33" i="1992"/>
  <c r="M33" i="1992"/>
  <c r="V33" i="1992"/>
  <c r="W33" i="1991"/>
  <c r="V33" i="1991"/>
  <c r="D33" i="1991"/>
  <c r="Z33" i="1991"/>
  <c r="Y33" i="1991"/>
  <c r="K33" i="1991"/>
  <c r="M33" i="1991"/>
  <c r="AA33" i="1990"/>
  <c r="X33" i="1990"/>
  <c r="U33" i="1990"/>
  <c r="R33" i="1990"/>
  <c r="O33" i="1990"/>
  <c r="L33" i="1990"/>
  <c r="F33" i="1990"/>
  <c r="Y28" i="1990"/>
  <c r="X28" i="1990"/>
  <c r="W28" i="1990"/>
  <c r="V28" i="1990"/>
  <c r="U28" i="1990"/>
  <c r="T28" i="1990"/>
  <c r="S28" i="1990"/>
  <c r="R28" i="1990"/>
  <c r="Q28" i="1990"/>
  <c r="P28" i="1990"/>
  <c r="O28" i="1990"/>
  <c r="N28" i="1990"/>
  <c r="M28" i="1990"/>
  <c r="L28" i="1990"/>
  <c r="K28" i="1990"/>
  <c r="J28" i="1990"/>
  <c r="I28" i="1990"/>
  <c r="H28" i="1990"/>
  <c r="G28" i="1990"/>
  <c r="F28" i="1990"/>
  <c r="E28" i="1990"/>
  <c r="D28" i="1990"/>
  <c r="Y25" i="1990"/>
  <c r="X25" i="1990"/>
  <c r="W25" i="1990"/>
  <c r="V25" i="1990"/>
  <c r="U25" i="1990"/>
  <c r="T25" i="1990"/>
  <c r="S25" i="1990"/>
  <c r="R25" i="1990"/>
  <c r="Q25" i="1990"/>
  <c r="P25" i="1990"/>
  <c r="O25" i="1990"/>
  <c r="N25" i="1990"/>
  <c r="M25" i="1990"/>
  <c r="L25" i="1990"/>
  <c r="K25" i="1990"/>
  <c r="J25" i="1990"/>
  <c r="I25" i="1990"/>
  <c r="H25" i="1990"/>
  <c r="G25" i="1990"/>
  <c r="F25" i="1990"/>
  <c r="E25" i="1990"/>
  <c r="D25" i="1990"/>
  <c r="AE19" i="1990"/>
  <c r="AD19" i="1990"/>
  <c r="AC19" i="1990"/>
  <c r="AB19" i="1990"/>
  <c r="AA19" i="1990"/>
  <c r="Z19" i="1990"/>
  <c r="Y19" i="1990"/>
  <c r="X19" i="1990"/>
  <c r="T33" i="1990" s="1"/>
  <c r="W19" i="1990"/>
  <c r="V19" i="1990"/>
  <c r="U19" i="1990"/>
  <c r="T19" i="1990"/>
  <c r="S19" i="1990"/>
  <c r="R19" i="1990"/>
  <c r="Q19" i="1990"/>
  <c r="P19" i="1990"/>
  <c r="O19" i="1990"/>
  <c r="N19" i="1990"/>
  <c r="H33" i="1990" s="1"/>
  <c r="M19" i="1990"/>
  <c r="L19" i="1990"/>
  <c r="P33" i="1990" s="1"/>
  <c r="K19" i="1990"/>
  <c r="J19" i="1990"/>
  <c r="I19" i="1990"/>
  <c r="AB33" i="1990" s="1"/>
  <c r="H19" i="1990"/>
  <c r="G19" i="1990"/>
  <c r="F19" i="1990"/>
  <c r="E19" i="1990"/>
  <c r="D19" i="1990"/>
  <c r="AE16" i="1990"/>
  <c r="AD16" i="1990"/>
  <c r="AC16" i="1990"/>
  <c r="AB16" i="1990"/>
  <c r="AA16" i="1990"/>
  <c r="Z16" i="1990"/>
  <c r="X16" i="1990"/>
  <c r="W16" i="1990"/>
  <c r="V16" i="1990"/>
  <c r="U16" i="1990"/>
  <c r="T16" i="1990"/>
  <c r="S16" i="1990"/>
  <c r="R16" i="1990"/>
  <c r="Q16" i="1990"/>
  <c r="P16" i="1990"/>
  <c r="O16" i="1990"/>
  <c r="N16" i="1990"/>
  <c r="M16" i="1990"/>
  <c r="L16" i="1990"/>
  <c r="K16" i="1990"/>
  <c r="J16" i="1990"/>
  <c r="I16" i="1990"/>
  <c r="H16" i="1990"/>
  <c r="G16" i="1990"/>
  <c r="F16" i="1990"/>
  <c r="E16" i="1990"/>
  <c r="D16" i="1990"/>
  <c r="AE10" i="1990"/>
  <c r="AD10" i="1990"/>
  <c r="AC33" i="1990" s="1"/>
  <c r="AC10" i="1990"/>
  <c r="AB10" i="1990"/>
  <c r="AA10" i="1990"/>
  <c r="Z10" i="1990"/>
  <c r="Y10" i="1990"/>
  <c r="X10" i="1990"/>
  <c r="W10" i="1990"/>
  <c r="V10" i="1990"/>
  <c r="U10" i="1990"/>
  <c r="T10" i="1990"/>
  <c r="S10" i="1990"/>
  <c r="R10" i="1990"/>
  <c r="Q10" i="1990"/>
  <c r="P10" i="1990"/>
  <c r="O10" i="1990"/>
  <c r="N10" i="1990"/>
  <c r="M10" i="1990"/>
  <c r="L10" i="1990"/>
  <c r="K10" i="1990"/>
  <c r="J10" i="1990"/>
  <c r="I10" i="1990"/>
  <c r="H10" i="1990"/>
  <c r="G10" i="1990"/>
  <c r="F10" i="1990"/>
  <c r="E10" i="1990"/>
  <c r="D10" i="1990"/>
  <c r="AE7" i="1990"/>
  <c r="AD7" i="1990"/>
  <c r="AC7" i="1990"/>
  <c r="AB7" i="1990"/>
  <c r="AA7" i="1990"/>
  <c r="Z7" i="1990"/>
  <c r="Y7" i="1990"/>
  <c r="X7" i="1990"/>
  <c r="W7" i="1990"/>
  <c r="V7" i="1990"/>
  <c r="U7" i="1990"/>
  <c r="T7" i="1990"/>
  <c r="S7" i="1990"/>
  <c r="R7" i="1990"/>
  <c r="Q7" i="1990"/>
  <c r="P7" i="1990"/>
  <c r="O7" i="1990"/>
  <c r="N7" i="1990"/>
  <c r="M7" i="1990"/>
  <c r="L7" i="1990"/>
  <c r="K7" i="1990"/>
  <c r="J7" i="1990"/>
  <c r="I7" i="1990"/>
  <c r="H7" i="1990"/>
  <c r="G7" i="1990"/>
  <c r="F7" i="1990"/>
  <c r="E7" i="1990"/>
  <c r="D7" i="1990"/>
  <c r="S33" i="1990" l="1"/>
  <c r="J33" i="1990"/>
  <c r="K33" i="1990"/>
  <c r="W33" i="1990"/>
  <c r="D33" i="1990"/>
  <c r="Z33" i="1990"/>
  <c r="Y33" i="1990"/>
  <c r="N33" i="1990"/>
  <c r="Q33" i="1990"/>
  <c r="E33" i="1990"/>
  <c r="M33" i="1990"/>
  <c r="V33" i="1990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<sst xmlns="http://schemas.openxmlformats.org/spreadsheetml/2006/main" count="29239" uniqueCount="647">
  <si>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</si>
  <si>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</si>
  <si>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</si>
  <si>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</si>
  <si>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</si>
  <si>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</si>
  <si>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</si>
  <si>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</si>
  <si>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</si>
  <si>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</si>
  <si>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</si>
  <si>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</si>
  <si>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</si>
  <si>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</si>
  <si>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</si>
  <si>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</si>
  <si>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</si>
  <si>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</si>
  <si>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</si>
  <si>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</si>
  <si>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</si>
  <si>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</si>
  <si>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</si>
  <si>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</si>
  <si>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</si>
  <si>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</si>
  <si>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</si>
  <si>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</si>
  <si>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</si>
  <si>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</si>
  <si>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</si>
  <si>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</si>
  <si>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</si>
  <si>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</si>
  <si>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</si>
  <si>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</si>
  <si>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</si>
  <si>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</si>
  <si>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</si>
  <si>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</si>
  <si>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</si>
  <si>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</si>
  <si>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</si>
  <si>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</si>
  <si>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</si>
  <si>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</si>
  <si>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</si>
  <si>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</si>
  <si>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</si>
  <si>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</si>
  <si>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</si>
  <si>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</si>
  <si>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</si>
  <si>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</si>
  <si>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</si>
  <si>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</si>
  <si>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</si>
  <si>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</si>
  <si>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</si>
  <si>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</si>
  <si>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</si>
  <si>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</si>
  <si>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</si>
  <si>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</si>
  <si>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</si>
  <si>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</si>
  <si>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</si>
  <si>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</si>
  <si>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</si>
  <si>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</si>
  <si>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</si>
  <si>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</si>
  <si>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</si>
  <si>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</si>
  <si>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</si>
  <si>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</si>
  <si>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</si>
  <si>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</si>
  <si>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</si>
  <si>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</si>
  <si>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</si>
  <si>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</si>
  <si>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</si>
  <si>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</si>
  <si>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</si>
  <si>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</si>
  <si>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</si>
  <si>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</si>
  <si>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</si>
  <si>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</si>
  <si>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</si>
  <si>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</si>
  <si>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</si>
  <si>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</si>
  <si>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</si>
  <si>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</si>
  <si>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</si>
  <si>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</si>
  <si>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</si>
  <si>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</si>
  <si>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</si>
  <si>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</si>
  <si>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</si>
  <si>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</si>
  <si>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</si>
  <si>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</si>
  <si>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</si>
  <si>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</si>
  <si>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</si>
  <si>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</si>
  <si>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</si>
  <si>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</si>
  <si>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</si>
  <si>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</si>
  <si>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</si>
  <si>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</si>
  <si>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</si>
  <si>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</si>
  <si>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</si>
  <si>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</si>
  <si>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</si>
  <si>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</si>
  <si>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</si>
  <si>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</si>
  <si>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</si>
  <si>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</si>
  <si>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</si>
  <si>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</si>
  <si>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</si>
  <si>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</si>
  <si>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</si>
  <si>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</si>
  <si>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</si>
  <si>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</si>
  <si>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</si>
  <si>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</si>
  <si>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</si>
  <si>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</si>
  <si>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</si>
  <si>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</si>
  <si>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</si>
  <si>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</si>
  <si>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</si>
  <si>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</si>
  <si>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</si>
  <si>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</si>
  <si>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</si>
  <si>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</si>
  <si>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</si>
  <si>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</si>
  <si>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</si>
  <si>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</si>
  <si>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</si>
  <si>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</si>
  <si>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</si>
  <si>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</si>
  <si>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</si>
  <si>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</si>
  <si>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</si>
  <si>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</si>
  <si>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</si>
  <si>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</si>
  <si>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</si>
  <si>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</si>
  <si>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</si>
  <si>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</si>
  <si>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</si>
  <si>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</si>
  <si>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</si>
  <si>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</si>
  <si>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</si>
  <si>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</si>
  <si>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</si>
  <si>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</si>
  <si>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</si>
  <si>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</si>
  <si>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</si>
  <si>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</si>
  <si>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</si>
  <si>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</si>
  <si>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</si>
  <si>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</si>
  <si>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</si>
  <si>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</si>
  <si>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</si>
  <si>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</si>
  <si>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</si>
  <si>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</si>
  <si>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</si>
  <si>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</si>
  <si>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</si>
  <si>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</si>
  <si>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</si>
  <si>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</si>
  <si>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</si>
  <si>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</si>
  <si>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</si>
  <si>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</si>
  <si>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</si>
  <si>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</si>
  <si>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</si>
  <si>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</si>
  <si>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</si>
  <si>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</si>
  <si>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</si>
  <si>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</si>
  <si>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</si>
  <si>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</si>
  <si>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</si>
  <si>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</si>
  <si>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</si>
  <si>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</si>
  <si>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</si>
  <si>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</si>
  <si>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</si>
  <si>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</si>
  <si>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</si>
  <si>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</si>
  <si>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</si>
  <si>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</si>
  <si>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</si>
  <si>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</si>
  <si>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</si>
  <si>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</si>
  <si>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</si>
  <si>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</si>
  <si>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</si>
  <si>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</si>
  <si>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</si>
  <si>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</si>
  <si>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</si>
  <si>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</si>
  <si>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</si>
  <si>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</si>
  <si>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</si>
  <si>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</si>
  <si>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</si>
  <si>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</si>
  <si>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</si>
  <si>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</si>
  <si>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</si>
  <si>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</si>
  <si>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</si>
  <si>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</si>
  <si>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</si>
  <si>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</si>
  <si>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</si>
  <si>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</si>
  <si>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</si>
  <si>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</si>
  <si>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</si>
  <si>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</si>
  <si>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</si>
  <si>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</si>
  <si>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</si>
  <si>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</si>
  <si>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</si>
  <si>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</si>
  <si>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</si>
  <si>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</si>
  <si>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</si>
  <si>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</si>
  <si>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</si>
  <si>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</si>
  <si>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</si>
  <si>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</si>
  <si>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</si>
  <si>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</si>
  <si>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</si>
  <si>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</si>
  <si>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</si>
  <si>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</si>
  <si>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</si>
  <si>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</si>
  <si>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</si>
  <si>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</si>
  <si>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</si>
  <si>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</si>
  <si>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</si>
  <si>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</si>
  <si>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</si>
  <si>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</si>
  <si>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</si>
  <si>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</si>
  <si>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</si>
  <si>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</si>
  <si>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</si>
  <si>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</si>
  <si>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</si>
  <si>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</si>
  <si>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</si>
  <si>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</si>
  <si>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</si>
  <si>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</si>
  <si>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</si>
  <si>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</si>
  <si>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</si>
  <si>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</si>
  <si>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</si>
  <si>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</si>
  <si>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</si>
  <si>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</si>
  <si>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</si>
  <si>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</si>
  <si>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</si>
  <si>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</si>
  <si>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</si>
  <si>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</si>
  <si>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</si>
  <si>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</si>
  <si>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</si>
  <si>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</si>
  <si>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</si>
  <si>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</si>
  <si>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</si>
  <si>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</si>
  <si>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</si>
  <si>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</si>
  <si>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</si>
  <si>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</si>
  <si>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</si>
  <si>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</si>
  <si>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</si>
  <si>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</si>
  <si>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</si>
  <si>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</si>
  <si>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</si>
  <si>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</si>
  <si>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</si>
  <si>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</si>
  <si>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</si>
  <si>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</si>
  <si>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</si>
  <si>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</si>
  <si>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</si>
  <si>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</si>
  <si>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</si>
  <si>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</si>
  <si>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</si>
  <si>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</si>
  <si>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</si>
  <si>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</si>
  <si>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</si>
  <si>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</si>
  <si>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</si>
  <si>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</si>
  <si>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</si>
  <si>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</si>
  <si>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</si>
  <si>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</si>
  <si>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</si>
  <si>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</si>
  <si>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</si>
  <si>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</si>
  <si>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</si>
  <si>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</si>
  <si>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</si>
  <si>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</si>
  <si>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</si>
  <si>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</si>
  <si>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</si>
  <si>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</si>
  <si>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</si>
  <si>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</si>
  <si>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</si>
  <si>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</si>
  <si>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</si>
  <si>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</si>
  <si>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</si>
  <si>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</si>
  <si>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</si>
  <si>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</si>
  <si>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</si>
  <si>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</si>
  <si>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</si>
  <si>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</si>
  <si>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</si>
  <si>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</si>
  <si>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</si>
  <si>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</si>
  <si>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</si>
  <si>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</si>
  <si>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</si>
  <si>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</si>
  <si>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</si>
  <si>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</si>
  <si>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</si>
  <si>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</si>
  <si>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</si>
  <si>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</si>
  <si>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</si>
  <si>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</si>
  <si>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</si>
  <si>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</si>
  <si>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</si>
  <si>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</si>
  <si>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</si>
  <si>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</si>
  <si>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</si>
  <si>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</si>
  <si>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</si>
  <si>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</si>
  <si>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</si>
  <si>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</si>
  <si>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</si>
  <si>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</si>
  <si>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</si>
  <si>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</si>
  <si>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</si>
  <si>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</si>
  <si>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</si>
  <si>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</si>
  <si>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</si>
  <si>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</si>
  <si>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</si>
  <si>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</si>
  <si>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</si>
  <si>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</si>
  <si>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</si>
  <si>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</si>
  <si>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</si>
  <si>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</si>
  <si>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</si>
  <si>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</si>
  <si>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</si>
  <si>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</si>
  <si>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</si>
  <si>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</si>
  <si>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</si>
  <si>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</si>
  <si>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</si>
  <si>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</si>
  <si>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</si>
  <si>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</si>
  <si>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</si>
  <si>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</si>
  <si>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</si>
  <si>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</si>
  <si>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</si>
  <si>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</si>
  <si>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</si>
  <si>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</si>
  <si>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</si>
  <si>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</si>
  <si>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</si>
  <si>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</si>
  <si>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</si>
  <si>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</si>
  <si>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</si>
  <si>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</si>
  <si>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</si>
  <si>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</si>
  <si>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</si>
  <si>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</si>
  <si>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</si>
  <si>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</si>
  <si>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</si>
  <si>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</si>
  <si>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</si>
  <si>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</si>
  <si>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</si>
  <si>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</si>
  <si>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</si>
  <si>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</si>
  <si>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</si>
  <si>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</si>
  <si>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</si>
  <si>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</si>
  <si>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</si>
  <si>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</si>
  <si>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</si>
  <si>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</si>
  <si>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</si>
  <si>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</si>
  <si>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</si>
  <si>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</si>
  <si>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</si>
  <si>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</si>
  <si>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</si>
  <si>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</si>
  <si>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</si>
  <si>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</si>
  <si>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</si>
  <si>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</si>
  <si>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</si>
  <si>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</si>
  <si>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</si>
  <si>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</si>
  <si>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</si>
  <si>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</si>
  <si>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</si>
  <si>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</si>
  <si>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</si>
  <si>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</si>
  <si>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</si>
  <si>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</si>
  <si>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</si>
  <si>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</si>
  <si>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</si>
  <si>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</si>
  <si>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</si>
  <si>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</si>
  <si>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</si>
  <si>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</si>
  <si>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</si>
  <si>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</si>
  <si>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</si>
  <si>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</si>
  <si>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</si>
  <si>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</si>
  <si>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</si>
  <si>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</si>
  <si>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</si>
  <si>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</si>
  <si>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</si>
  <si>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</si>
  <si>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</si>
  <si>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</si>
  <si>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</si>
  <si>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</si>
  <si>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</si>
  <si>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</si>
  <si>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</si>
  <si>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</si>
  <si>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</si>
  <si>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</si>
  <si>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</si>
  <si>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</si>
  <si>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</si>
  <si>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</si>
  <si>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</si>
  <si>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</si>
  <si>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</si>
  <si>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</si>
  <si>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</si>
  <si>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</si>
  <si>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</si>
  <si>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</si>
  <si>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</si>
  <si>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</si>
  <si>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</si>
  <si>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</si>
  <si>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</si>
  <si>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</si>
  <si>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</si>
  <si>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</si>
  <si>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</si>
  <si>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</si>
  <si>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</si>
  <si>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</si>
  <si>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</si>
  <si>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</si>
  <si>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</si>
  <si>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</si>
  <si>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</si>
  <si>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</si>
  <si>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</si>
  <si>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</si>
  <si>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</si>
  <si>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</si>
  <si>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</si>
  <si>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</si>
  <si>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</si>
  <si>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</si>
  <si>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</si>
  <si>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</si>
  <si>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</si>
  <si>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</si>
  <si>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</si>
  <si>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</si>
  <si>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</si>
  <si>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</si>
  <si>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</si>
  <si>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</si>
  <si>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</si>
  <si>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</si>
  <si>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</si>
  <si>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</si>
  <si>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</si>
  <si>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</si>
  <si>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</si>
  <si>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</si>
  <si>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</si>
  <si>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</si>
  <si>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</si>
  <si>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</si>
  <si>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</si>
  <si>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</si>
  <si>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</si>
  <si>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</si>
  <si>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</si>
  <si>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</si>
  <si>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</si>
  <si>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</si>
  <si>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</si>
  <si>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</si>
  <si>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</si>
  <si>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</si>
  <si>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</si>
  <si>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</si>
  <si>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</si>
  <si>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</si>
  <si>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</si>
  <si>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</si>
  <si>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</si>
  <si>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</si>
  <si>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</si>
  <si>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</si>
  <si>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</si>
  <si>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</si>
  <si>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</si>
  <si>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</si>
  <si>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</si>
  <si>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</si>
  <si>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</si>
  <si>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</si>
  <si>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</si>
  <si>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</si>
  <si>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</si>
  <si>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</si>
  <si>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</si>
  <si>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</si>
  <si>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</si>
  <si>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</si>
  <si>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</si>
  <si>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</si>
  <si>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</si>
  <si>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</si>
  <si>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</si>
  <si>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</si>
  <si>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</si>
  <si>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</si>
  <si>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</si>
  <si>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</si>
  <si>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</si>
  <si>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27
蒸氣壓力 ______ (最低氣溫低於16度開啟)</t>
    <phoneticPr fontId="3" type="noConversion"/>
  </si>
  <si>
    <t>DPM-1</t>
    <phoneticPr fontId="3" type="noConversion"/>
  </si>
  <si>
    <t>CPNE3</t>
    <phoneticPr fontId="2" type="noConversion"/>
  </si>
  <si>
    <t>EBR-P4</t>
    <phoneticPr fontId="3" type="noConversion"/>
  </si>
  <si>
    <t>張立杰</t>
    <phoneticPr fontId="2" type="noConversion"/>
  </si>
  <si>
    <r>
      <t>EBR</t>
    </r>
    <r>
      <rPr>
        <sz val="7"/>
        <color rgb="FFFF0000"/>
        <rFont val="微軟正黑體"/>
        <family val="2"/>
        <charset val="136"/>
      </rPr>
      <t>廢溶劑</t>
    </r>
    <phoneticPr fontId="3" type="noConversion"/>
  </si>
  <si>
    <t>江承河</t>
    <phoneticPr fontId="2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</si>
  <si>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</si>
  <si>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25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</si>
  <si>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24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</si>
  <si>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23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</si>
  <si>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22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</si>
</sst>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7"/>
      <color rgb="FFFF0000"/>
      <name val="微軟正黑體"/>
      <family val="2"/>
      <charset val="136"/>
    </font>
    <font>
      <sz val="8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5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5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6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7585" name="Button 1" hidden="1">
              <a:extLst>
                <a:ext uri="{63B3BB69-23CF-44E3-9099-C40C66FF867C}">
                  <a14:compatExt spid="_x0000_s262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28609" name="Button 1" hidden="1">
              <a:extLst>
                <a:ext uri="{63B3BB69-23CF-44E3-9099-C40C66FF867C}">
                  <a14:compatExt spid="_x0000_s262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30657" name="Button 1" hidden="1">
              <a:extLst>
                <a:ext uri="{63B3BB69-23CF-44E3-9099-C40C66FF867C}">
                  <a14:compatExt spid="_x0000_s263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32705" name="Button 1" hidden="1">
              <a:extLst>
                <a:ext uri="{63B3BB69-23CF-44E3-9099-C40C66FF867C}">
                  <a14:compatExt spid="_x0000_s263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35777" name="Button 1" hidden="1">
              <a:extLst>
                <a:ext uri="{63B3BB69-23CF-44E3-9099-C40C66FF867C}">
                  <a14:compatExt spid="_x0000_s263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36801" name="Button 1" hidden="1">
              <a:extLst>
                <a:ext uri="{63B3BB69-23CF-44E3-9099-C40C66FF867C}">
                  <a14:compatExt spid="_x0000_s263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38849" name="Button 1" hidden="1">
              <a:extLst>
                <a:ext uri="{63B3BB69-23CF-44E3-9099-C40C66FF867C}">
                  <a14:compatExt spid="_x0000_s263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1921" name="Button 1" hidden="1">
              <a:extLst>
                <a:ext uri="{63B3BB69-23CF-44E3-9099-C40C66FF867C}">
                  <a14:compatExt spid="_x0000_s264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2945" name="Button 1" hidden="1">
              <a:extLst>
                <a:ext uri="{63B3BB69-23CF-44E3-9099-C40C66FF867C}">
                  <a14:compatExt spid="_x0000_s264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3969" name="Button 1" hidden="1">
              <a:extLst>
                <a:ext uri="{63B3BB69-23CF-44E3-9099-C40C66FF867C}">
                  <a14:compatExt spid="_x0000_s264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4993" name="Button 1" hidden="1">
              <a:extLst>
                <a:ext uri="{63B3BB69-23CF-44E3-9099-C40C66FF867C}">
                  <a14:compatExt spid="_x0000_s264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6017" name="Button 1" hidden="1">
              <a:extLst>
                <a:ext uri="{63B3BB69-23CF-44E3-9099-C40C66FF867C}">
                  <a14:compatExt spid="_x0000_s264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8065" name="Button 1" hidden="1">
              <a:extLst>
                <a:ext uri="{63B3BB69-23CF-44E3-9099-C40C66FF867C}">
                  <a14:compatExt spid="_x0000_s264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49089" name="Button 1" hidden="1">
              <a:extLst>
                <a:ext uri="{63B3BB69-23CF-44E3-9099-C40C66FF867C}">
                  <a14:compatExt spid="_x0000_s264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0113" name="Button 1" hidden="1">
              <a:extLst>
                <a:ext uri="{63B3BB69-23CF-44E3-9099-C40C66FF867C}">
                  <a14:compatExt spid="_x0000_s265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2161" name="Button 1" hidden="1">
              <a:extLst>
                <a:ext uri="{63B3BB69-23CF-44E3-9099-C40C66FF867C}">
                  <a14:compatExt spid="_x0000_s265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3185" name="Button 1" hidden="1">
              <a:extLst>
                <a:ext uri="{63B3BB69-23CF-44E3-9099-C40C66FF867C}">
                  <a14:compatExt spid="_x0000_s265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5233" name="Button 1" hidden="1">
              <a:extLst>
                <a:ext uri="{63B3BB69-23CF-44E3-9099-C40C66FF867C}">
                  <a14:compatExt spid="_x0000_s265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7281" name="Button 1" hidden="1">
              <a:extLst>
                <a:ext uri="{63B3BB69-23CF-44E3-9099-C40C66FF867C}">
                  <a14:compatExt spid="_x0000_s265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8305" name="Button 1" hidden="1">
              <a:extLst>
                <a:ext uri="{63B3BB69-23CF-44E3-9099-C40C66FF867C}">
                  <a14:compatExt spid="_x0000_s265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9329" name="Button 1" hidden="1">
              <a:extLst>
                <a:ext uri="{63B3BB69-23CF-44E3-9099-C40C66FF867C}">
                  <a14:compatExt spid="_x0000_s265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589" dataDxfId="2588" headerRowCellStyle="一般 2" dataCellStyle="一般 2">
  <autoFilter ref="AG13:BH189"/>
  <tableColumns count="28">
    <tableColumn id="1" uniqueName="1" name="請直接以10進位，謝謝" queryTableFieldId="1" dataDxfId="2587" dataCellStyle="一般 2"/>
    <tableColumn id="2" uniqueName="2" name="F2" queryTableFieldId="2" dataDxfId="2586" dataCellStyle="一般 2"/>
    <tableColumn id="3" uniqueName="3" name="F3" queryTableFieldId="3" dataDxfId="2585" dataCellStyle="一般 2"/>
    <tableColumn id="4" uniqueName="4" name="F4" queryTableFieldId="4" dataDxfId="2584" dataCellStyle="一般 2"/>
    <tableColumn id="5" uniqueName="5" name="F5" queryTableFieldId="5" dataDxfId="2583" dataCellStyle="一般 2"/>
    <tableColumn id="6" uniqueName="6" name="F6" queryTableFieldId="6" dataDxfId="2582" dataCellStyle="一般 2"/>
    <tableColumn id="7" uniqueName="7" name="F7" queryTableFieldId="7" dataDxfId="2581" dataCellStyle="一般 2"/>
    <tableColumn id="8" uniqueName="8" name="F8" queryTableFieldId="8" dataDxfId="2580" dataCellStyle="一般 2"/>
    <tableColumn id="9" uniqueName="9" name="F9" queryTableFieldId="9" dataDxfId="2579" dataCellStyle="一般 2"/>
    <tableColumn id="10" uniqueName="10" name="F10" queryTableFieldId="10" dataDxfId="2578" dataCellStyle="一般 2"/>
    <tableColumn id="11" uniqueName="11" name="F11" queryTableFieldId="11" dataDxfId="2577" dataCellStyle="一般 2"/>
    <tableColumn id="12" uniqueName="12" name="F12" queryTableFieldId="12" dataDxfId="2576" dataCellStyle="一般 2"/>
    <tableColumn id="13" uniqueName="13" name="F13" queryTableFieldId="13" dataDxfId="2575" dataCellStyle="一般 2"/>
    <tableColumn id="14" uniqueName="14" name="F14" queryTableFieldId="14" dataDxfId="2574" dataCellStyle="一般 2"/>
    <tableColumn id="15" uniqueName="15" name="F15" queryTableFieldId="15" dataDxfId="2573" dataCellStyle="一般 2"/>
    <tableColumn id="16" uniqueName="16" name="F16" queryTableFieldId="16" dataDxfId="2572" dataCellStyle="一般 2"/>
    <tableColumn id="17" uniqueName="17" name="F17" queryTableFieldId="17" dataDxfId="2571" dataCellStyle="一般 2"/>
    <tableColumn id="18" uniqueName="18" name="F18" queryTableFieldId="18" dataDxfId="2570" dataCellStyle="一般 2"/>
    <tableColumn id="19" uniqueName="19" name="F19" queryTableFieldId="19" dataDxfId="2569" dataCellStyle="一般 2"/>
    <tableColumn id="20" uniqueName="20" name="F20" queryTableFieldId="20" dataDxfId="2568" dataCellStyle="一般 2"/>
    <tableColumn id="21" uniqueName="21" name="F21" queryTableFieldId="21" dataDxfId="2567" dataCellStyle="一般 2"/>
    <tableColumn id="22" uniqueName="22" name="2024/6/24 14:52" queryTableFieldId="22" dataDxfId="2566" dataCellStyle="一般 2"/>
    <tableColumn id="23" uniqueName="23" name="F23" queryTableFieldId="23" dataDxfId="2565" dataCellStyle="一般 2"/>
    <tableColumn id="24" uniqueName="24" name="F24" queryTableFieldId="24" dataDxfId="2564" dataCellStyle="一般 2"/>
    <tableColumn id="25" uniqueName="25" name="F25" queryTableFieldId="25" dataDxfId="2563" dataCellStyle="一般 2"/>
    <tableColumn id="26" uniqueName="26" name="F26" queryTableFieldId="26" dataDxfId="2562" dataCellStyle="一般 2"/>
    <tableColumn id="27" uniqueName="27" name="F27" queryTableFieldId="27" dataDxfId="2561" dataCellStyle="一般 2"/>
    <tableColumn id="28" uniqueName="28" name="F28" queryTableFieldId="28" dataDxfId="256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461" dataDxfId="2460" headerRowCellStyle="一般 2" dataCellStyle="一般 2">
  <autoFilter ref="AG13:BH189"/>
  <tableColumns count="28">
    <tableColumn id="1" uniqueName="1" name="請直接以10進位，謝謝" queryTableFieldId="1" dataDxfId="2459" dataCellStyle="一般 2"/>
    <tableColumn id="2" uniqueName="2" name="F2" queryTableFieldId="2" dataDxfId="2458" dataCellStyle="一般 2"/>
    <tableColumn id="3" uniqueName="3" name="F3" queryTableFieldId="3" dataDxfId="2457" dataCellStyle="一般 2"/>
    <tableColumn id="4" uniqueName="4" name="F4" queryTableFieldId="4" dataDxfId="2456" dataCellStyle="一般 2"/>
    <tableColumn id="5" uniqueName="5" name="F5" queryTableFieldId="5" dataDxfId="2455" dataCellStyle="一般 2"/>
    <tableColumn id="6" uniqueName="6" name="F6" queryTableFieldId="6" dataDxfId="2454" dataCellStyle="一般 2"/>
    <tableColumn id="7" uniqueName="7" name="F7" queryTableFieldId="7" dataDxfId="2453" dataCellStyle="一般 2"/>
    <tableColumn id="8" uniqueName="8" name="F8" queryTableFieldId="8" dataDxfId="2452" dataCellStyle="一般 2"/>
    <tableColumn id="9" uniqueName="9" name="F9" queryTableFieldId="9" dataDxfId="2451" dataCellStyle="一般 2"/>
    <tableColumn id="10" uniqueName="10" name="F10" queryTableFieldId="10" dataDxfId="2450" dataCellStyle="一般 2"/>
    <tableColumn id="11" uniqueName="11" name="F11" queryTableFieldId="11" dataDxfId="2449" dataCellStyle="一般 2"/>
    <tableColumn id="12" uniqueName="12" name="F12" queryTableFieldId="12" dataDxfId="2448" dataCellStyle="一般 2"/>
    <tableColumn id="13" uniqueName="13" name="F13" queryTableFieldId="13" dataDxfId="2447" dataCellStyle="一般 2"/>
    <tableColumn id="14" uniqueName="14" name="F14" queryTableFieldId="14" dataDxfId="2446" dataCellStyle="一般 2"/>
    <tableColumn id="15" uniqueName="15" name="F15" queryTableFieldId="15" dataDxfId="2445" dataCellStyle="一般 2"/>
    <tableColumn id="16" uniqueName="16" name="F16" queryTableFieldId="16" dataDxfId="2444" dataCellStyle="一般 2"/>
    <tableColumn id="17" uniqueName="17" name="F17" queryTableFieldId="17" dataDxfId="2443" dataCellStyle="一般 2"/>
    <tableColumn id="18" uniqueName="18" name="F18" queryTableFieldId="18" dataDxfId="2442" dataCellStyle="一般 2"/>
    <tableColumn id="19" uniqueName="19" name="F19" queryTableFieldId="19" dataDxfId="2441" dataCellStyle="一般 2"/>
    <tableColumn id="20" uniqueName="20" name="F20" queryTableFieldId="20" dataDxfId="2440" dataCellStyle="一般 2"/>
    <tableColumn id="21" uniqueName="21" name="F21" queryTableFieldId="21" dataDxfId="2439" dataCellStyle="一般 2"/>
    <tableColumn id="22" uniqueName="22" name="2024/6/24 14:52" queryTableFieldId="22" dataDxfId="2438" dataCellStyle="一般 2"/>
    <tableColumn id="23" uniqueName="23" name="F23" queryTableFieldId="23" dataDxfId="2437" dataCellStyle="一般 2"/>
    <tableColumn id="24" uniqueName="24" name="F24" queryTableFieldId="24" dataDxfId="2436" dataCellStyle="一般 2"/>
    <tableColumn id="25" uniqueName="25" name="F25" queryTableFieldId="25" dataDxfId="2435" dataCellStyle="一般 2"/>
    <tableColumn id="26" uniqueName="26" name="F26" queryTableFieldId="26" dataDxfId="2434" dataCellStyle="一般 2"/>
    <tableColumn id="27" uniqueName="27" name="F27" queryTableFieldId="27" dataDxfId="2433" dataCellStyle="一般 2"/>
    <tableColumn id="28" uniqueName="28" name="F28" queryTableFieldId="28" dataDxfId="2432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333" dataDxfId="2332" headerRowCellStyle="一般 2" dataCellStyle="一般 2">
  <autoFilter ref="AG13:BH189"/>
  <tableColumns count="28">
    <tableColumn id="1" uniqueName="1" name="請直接以10進位，謝謝" queryTableFieldId="1" dataDxfId="2331" dataCellStyle="一般 2"/>
    <tableColumn id="2" uniqueName="2" name="F2" queryTableFieldId="2" dataDxfId="2330" dataCellStyle="一般 2"/>
    <tableColumn id="3" uniqueName="3" name="F3" queryTableFieldId="3" dataDxfId="2329" dataCellStyle="一般 2"/>
    <tableColumn id="4" uniqueName="4" name="F4" queryTableFieldId="4" dataDxfId="2328" dataCellStyle="一般 2"/>
    <tableColumn id="5" uniqueName="5" name="F5" queryTableFieldId="5" dataDxfId="2327" dataCellStyle="一般 2"/>
    <tableColumn id="6" uniqueName="6" name="F6" queryTableFieldId="6" dataDxfId="2326" dataCellStyle="一般 2"/>
    <tableColumn id="7" uniqueName="7" name="F7" queryTableFieldId="7" dataDxfId="2325" dataCellStyle="一般 2"/>
    <tableColumn id="8" uniqueName="8" name="F8" queryTableFieldId="8" dataDxfId="2324" dataCellStyle="一般 2"/>
    <tableColumn id="9" uniqueName="9" name="F9" queryTableFieldId="9" dataDxfId="2323" dataCellStyle="一般 2"/>
    <tableColumn id="10" uniqueName="10" name="F10" queryTableFieldId="10" dataDxfId="2322" dataCellStyle="一般 2"/>
    <tableColumn id="11" uniqueName="11" name="F11" queryTableFieldId="11" dataDxfId="2321" dataCellStyle="一般 2"/>
    <tableColumn id="12" uniqueName="12" name="F12" queryTableFieldId="12" dataDxfId="2320" dataCellStyle="一般 2"/>
    <tableColumn id="13" uniqueName="13" name="F13" queryTableFieldId="13" dataDxfId="2319" dataCellStyle="一般 2"/>
    <tableColumn id="14" uniqueName="14" name="F14" queryTableFieldId="14" dataDxfId="2318" dataCellStyle="一般 2"/>
    <tableColumn id="15" uniqueName="15" name="F15" queryTableFieldId="15" dataDxfId="2317" dataCellStyle="一般 2"/>
    <tableColumn id="16" uniqueName="16" name="F16" queryTableFieldId="16" dataDxfId="2316" dataCellStyle="一般 2"/>
    <tableColumn id="17" uniqueName="17" name="F17" queryTableFieldId="17" dataDxfId="2315" dataCellStyle="一般 2"/>
    <tableColumn id="18" uniqueName="18" name="F18" queryTableFieldId="18" dataDxfId="2314" dataCellStyle="一般 2"/>
    <tableColumn id="19" uniqueName="19" name="F19" queryTableFieldId="19" dataDxfId="2313" dataCellStyle="一般 2"/>
    <tableColumn id="20" uniqueName="20" name="F20" queryTableFieldId="20" dataDxfId="2312" dataCellStyle="一般 2"/>
    <tableColumn id="21" uniqueName="21" name="F21" queryTableFieldId="21" dataDxfId="2311" dataCellStyle="一般 2"/>
    <tableColumn id="22" uniqueName="22" name="2024/6/24 14:52" queryTableFieldId="22" dataDxfId="2310" dataCellStyle="一般 2"/>
    <tableColumn id="23" uniqueName="23" name="F23" queryTableFieldId="23" dataDxfId="2309" dataCellStyle="一般 2"/>
    <tableColumn id="24" uniqueName="24" name="F24" queryTableFieldId="24" dataDxfId="2308" dataCellStyle="一般 2"/>
    <tableColumn id="25" uniqueName="25" name="F25" queryTableFieldId="25" dataDxfId="2307" dataCellStyle="一般 2"/>
    <tableColumn id="26" uniqueName="26" name="F26" queryTableFieldId="26" dataDxfId="2306" dataCellStyle="一般 2"/>
    <tableColumn id="27" uniqueName="27" name="F27" queryTableFieldId="27" dataDxfId="2305" dataCellStyle="一般 2"/>
    <tableColumn id="28" uniqueName="28" name="F28" queryTableFieldId="28" dataDxfId="2304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205" dataDxfId="2204" headerRowCellStyle="一般 2" dataCellStyle="一般 2">
  <autoFilter ref="AG13:BH189"/>
  <tableColumns count="28">
    <tableColumn id="1" uniqueName="1" name="請直接以10進位，謝謝" queryTableFieldId="1" dataDxfId="2203" dataCellStyle="一般 2"/>
    <tableColumn id="2" uniqueName="2" name="F2" queryTableFieldId="2" dataDxfId="2202" dataCellStyle="一般 2"/>
    <tableColumn id="3" uniqueName="3" name="F3" queryTableFieldId="3" dataDxfId="2201" dataCellStyle="一般 2"/>
    <tableColumn id="4" uniqueName="4" name="F4" queryTableFieldId="4" dataDxfId="2200" dataCellStyle="一般 2"/>
    <tableColumn id="5" uniqueName="5" name="F5" queryTableFieldId="5" dataDxfId="2199" dataCellStyle="一般 2"/>
    <tableColumn id="6" uniqueName="6" name="F6" queryTableFieldId="6" dataDxfId="2198" dataCellStyle="一般 2"/>
    <tableColumn id="7" uniqueName="7" name="F7" queryTableFieldId="7" dataDxfId="2197" dataCellStyle="一般 2"/>
    <tableColumn id="8" uniqueName="8" name="F8" queryTableFieldId="8" dataDxfId="2196" dataCellStyle="一般 2"/>
    <tableColumn id="9" uniqueName="9" name="F9" queryTableFieldId="9" dataDxfId="2195" dataCellStyle="一般 2"/>
    <tableColumn id="10" uniqueName="10" name="F10" queryTableFieldId="10" dataDxfId="2194" dataCellStyle="一般 2"/>
    <tableColumn id="11" uniqueName="11" name="F11" queryTableFieldId="11" dataDxfId="2193" dataCellStyle="一般 2"/>
    <tableColumn id="12" uniqueName="12" name="F12" queryTableFieldId="12" dataDxfId="2192" dataCellStyle="一般 2"/>
    <tableColumn id="13" uniqueName="13" name="F13" queryTableFieldId="13" dataDxfId="2191" dataCellStyle="一般 2"/>
    <tableColumn id="14" uniqueName="14" name="F14" queryTableFieldId="14" dataDxfId="2190" dataCellStyle="一般 2"/>
    <tableColumn id="15" uniqueName="15" name="F15" queryTableFieldId="15" dataDxfId="2189" dataCellStyle="一般 2"/>
    <tableColumn id="16" uniqueName="16" name="F16" queryTableFieldId="16" dataDxfId="2188" dataCellStyle="一般 2"/>
    <tableColumn id="17" uniqueName="17" name="F17" queryTableFieldId="17" dataDxfId="2187" dataCellStyle="一般 2"/>
    <tableColumn id="18" uniqueName="18" name="F18" queryTableFieldId="18" dataDxfId="2186" dataCellStyle="一般 2"/>
    <tableColumn id="19" uniqueName="19" name="F19" queryTableFieldId="19" dataDxfId="2185" dataCellStyle="一般 2"/>
    <tableColumn id="20" uniqueName="20" name="F20" queryTableFieldId="20" dataDxfId="2184" dataCellStyle="一般 2"/>
    <tableColumn id="21" uniqueName="21" name="F21" queryTableFieldId="21" dataDxfId="2183" dataCellStyle="一般 2"/>
    <tableColumn id="22" uniqueName="22" name="2024/6/24 14:52" queryTableFieldId="22" dataDxfId="2182" dataCellStyle="一般 2"/>
    <tableColumn id="23" uniqueName="23" name="F23" queryTableFieldId="23" dataDxfId="2181" dataCellStyle="一般 2"/>
    <tableColumn id="24" uniqueName="24" name="F24" queryTableFieldId="24" dataDxfId="2180" dataCellStyle="一般 2"/>
    <tableColumn id="25" uniqueName="25" name="F25" queryTableFieldId="25" dataDxfId="2179" dataCellStyle="一般 2"/>
    <tableColumn id="26" uniqueName="26" name="F26" queryTableFieldId="26" dataDxfId="2178" dataCellStyle="一般 2"/>
    <tableColumn id="27" uniqueName="27" name="F27" queryTableFieldId="27" dataDxfId="2177" dataCellStyle="一般 2"/>
    <tableColumn id="28" uniqueName="28" name="F28" queryTableFieldId="28" dataDxfId="2176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2077" dataDxfId="2076" headerRowCellStyle="一般 2" dataCellStyle="一般 2">
  <autoFilter ref="AG13:BH189"/>
  <tableColumns count="28">
    <tableColumn id="1" uniqueName="1" name="請直接以10進位，謝謝" queryTableFieldId="1" dataDxfId="2075" dataCellStyle="一般 2"/>
    <tableColumn id="2" uniqueName="2" name="F2" queryTableFieldId="2" dataDxfId="2074" dataCellStyle="一般 2"/>
    <tableColumn id="3" uniqueName="3" name="F3" queryTableFieldId="3" dataDxfId="2073" dataCellStyle="一般 2"/>
    <tableColumn id="4" uniqueName="4" name="F4" queryTableFieldId="4" dataDxfId="2072" dataCellStyle="一般 2"/>
    <tableColumn id="5" uniqueName="5" name="F5" queryTableFieldId="5" dataDxfId="2071" dataCellStyle="一般 2"/>
    <tableColumn id="6" uniqueName="6" name="F6" queryTableFieldId="6" dataDxfId="2070" dataCellStyle="一般 2"/>
    <tableColumn id="7" uniqueName="7" name="F7" queryTableFieldId="7" dataDxfId="2069" dataCellStyle="一般 2"/>
    <tableColumn id="8" uniqueName="8" name="F8" queryTableFieldId="8" dataDxfId="2068" dataCellStyle="一般 2"/>
    <tableColumn id="9" uniqueName="9" name="F9" queryTableFieldId="9" dataDxfId="2067" dataCellStyle="一般 2"/>
    <tableColumn id="10" uniqueName="10" name="F10" queryTableFieldId="10" dataDxfId="2066" dataCellStyle="一般 2"/>
    <tableColumn id="11" uniqueName="11" name="F11" queryTableFieldId="11" dataDxfId="2065" dataCellStyle="一般 2"/>
    <tableColumn id="12" uniqueName="12" name="F12" queryTableFieldId="12" dataDxfId="2064" dataCellStyle="一般 2"/>
    <tableColumn id="13" uniqueName="13" name="F13" queryTableFieldId="13" dataDxfId="2063" dataCellStyle="一般 2"/>
    <tableColumn id="14" uniqueName="14" name="F14" queryTableFieldId="14" dataDxfId="2062" dataCellStyle="一般 2"/>
    <tableColumn id="15" uniqueName="15" name="F15" queryTableFieldId="15" dataDxfId="2061" dataCellStyle="一般 2"/>
    <tableColumn id="16" uniqueName="16" name="F16" queryTableFieldId="16" dataDxfId="2060" dataCellStyle="一般 2"/>
    <tableColumn id="17" uniqueName="17" name="F17" queryTableFieldId="17" dataDxfId="2059" dataCellStyle="一般 2"/>
    <tableColumn id="18" uniqueName="18" name="F18" queryTableFieldId="18" dataDxfId="2058" dataCellStyle="一般 2"/>
    <tableColumn id="19" uniqueName="19" name="F19" queryTableFieldId="19" dataDxfId="2057" dataCellStyle="一般 2"/>
    <tableColumn id="20" uniqueName="20" name="F20" queryTableFieldId="20" dataDxfId="2056" dataCellStyle="一般 2"/>
    <tableColumn id="21" uniqueName="21" name="F21" queryTableFieldId="21" dataDxfId="2055" dataCellStyle="一般 2"/>
    <tableColumn id="22" uniqueName="22" name="2024/6/24 14:52" queryTableFieldId="22" dataDxfId="2054" dataCellStyle="一般 2"/>
    <tableColumn id="23" uniqueName="23" name="F23" queryTableFieldId="23" dataDxfId="2053" dataCellStyle="一般 2"/>
    <tableColumn id="24" uniqueName="24" name="F24" queryTableFieldId="24" dataDxfId="2052" dataCellStyle="一般 2"/>
    <tableColumn id="25" uniqueName="25" name="F25" queryTableFieldId="25" dataDxfId="2051" dataCellStyle="一般 2"/>
    <tableColumn id="26" uniqueName="26" name="F26" queryTableFieldId="26" dataDxfId="2050" dataCellStyle="一般 2"/>
    <tableColumn id="27" uniqueName="27" name="F27" queryTableFieldId="27" dataDxfId="2049" dataCellStyle="一般 2"/>
    <tableColumn id="28" uniqueName="28" name="F28" queryTableFieldId="28" dataDxfId="204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949" dataDxfId="1948" headerRowCellStyle="一般 2" dataCellStyle="一般 2">
  <autoFilter ref="AG13:BH189"/>
  <tableColumns count="28">
    <tableColumn id="1" uniqueName="1" name="請直接以10進位，謝謝" queryTableFieldId="1" dataDxfId="1947" dataCellStyle="一般 2"/>
    <tableColumn id="2" uniqueName="2" name="F2" queryTableFieldId="2" dataDxfId="1946" dataCellStyle="一般 2"/>
    <tableColumn id="3" uniqueName="3" name="F3" queryTableFieldId="3" dataDxfId="1945" dataCellStyle="一般 2"/>
    <tableColumn id="4" uniqueName="4" name="F4" queryTableFieldId="4" dataDxfId="1944" dataCellStyle="一般 2"/>
    <tableColumn id="5" uniqueName="5" name="F5" queryTableFieldId="5" dataDxfId="1943" dataCellStyle="一般 2"/>
    <tableColumn id="6" uniqueName="6" name="F6" queryTableFieldId="6" dataDxfId="1942" dataCellStyle="一般 2"/>
    <tableColumn id="7" uniqueName="7" name="F7" queryTableFieldId="7" dataDxfId="1941" dataCellStyle="一般 2"/>
    <tableColumn id="8" uniqueName="8" name="F8" queryTableFieldId="8" dataDxfId="1940" dataCellStyle="一般 2"/>
    <tableColumn id="9" uniqueName="9" name="F9" queryTableFieldId="9" dataDxfId="1939" dataCellStyle="一般 2"/>
    <tableColumn id="10" uniqueName="10" name="F10" queryTableFieldId="10" dataDxfId="1938" dataCellStyle="一般 2"/>
    <tableColumn id="11" uniqueName="11" name="F11" queryTableFieldId="11" dataDxfId="1937" dataCellStyle="一般 2"/>
    <tableColumn id="12" uniqueName="12" name="F12" queryTableFieldId="12" dataDxfId="1936" dataCellStyle="一般 2"/>
    <tableColumn id="13" uniqueName="13" name="F13" queryTableFieldId="13" dataDxfId="1935" dataCellStyle="一般 2"/>
    <tableColumn id="14" uniqueName="14" name="F14" queryTableFieldId="14" dataDxfId="1934" dataCellStyle="一般 2"/>
    <tableColumn id="15" uniqueName="15" name="F15" queryTableFieldId="15" dataDxfId="1933" dataCellStyle="一般 2"/>
    <tableColumn id="16" uniqueName="16" name="F16" queryTableFieldId="16" dataDxfId="1932" dataCellStyle="一般 2"/>
    <tableColumn id="17" uniqueName="17" name="F17" queryTableFieldId="17" dataDxfId="1931" dataCellStyle="一般 2"/>
    <tableColumn id="18" uniqueName="18" name="F18" queryTableFieldId="18" dataDxfId="1930" dataCellStyle="一般 2"/>
    <tableColumn id="19" uniqueName="19" name="F19" queryTableFieldId="19" dataDxfId="1929" dataCellStyle="一般 2"/>
    <tableColumn id="20" uniqueName="20" name="F20" queryTableFieldId="20" dataDxfId="1928" dataCellStyle="一般 2"/>
    <tableColumn id="21" uniqueName="21" name="F21" queryTableFieldId="21" dataDxfId="1927" dataCellStyle="一般 2"/>
    <tableColumn id="22" uniqueName="22" name="2024/6/24 14:52" queryTableFieldId="22" dataDxfId="1926" dataCellStyle="一般 2"/>
    <tableColumn id="23" uniqueName="23" name="F23" queryTableFieldId="23" dataDxfId="1925" dataCellStyle="一般 2"/>
    <tableColumn id="24" uniqueName="24" name="F24" queryTableFieldId="24" dataDxfId="1924" dataCellStyle="一般 2"/>
    <tableColumn id="25" uniqueName="25" name="F25" queryTableFieldId="25" dataDxfId="1923" dataCellStyle="一般 2"/>
    <tableColumn id="26" uniqueName="26" name="F26" queryTableFieldId="26" dataDxfId="1922" dataCellStyle="一般 2"/>
    <tableColumn id="27" uniqueName="27" name="F27" queryTableFieldId="27" dataDxfId="1921" dataCellStyle="一般 2"/>
    <tableColumn id="28" uniqueName="28" name="F28" queryTableFieldId="28" dataDxfId="192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1821" dataDxfId="1820" headerRowCellStyle="一般 2" dataCellStyle="一般 2">
  <autoFilter ref="AG13:BH189"/>
  <tableColumns count="28">
    <tableColumn id="1" uniqueName="1" name="請直接以10進位，謝謝" queryTableFieldId="1" dataDxfId="1819" dataCellStyle="一般 2"/>
    <tableColumn id="2" uniqueName="2" name="F2" queryTableFieldId="2" dataDxfId="1818" dataCellStyle="一般 2"/>
    <tableColumn id="3" uniqueName="3" name="F3" queryTableFieldId="3" dataDxfId="1817" dataCellStyle="一般 2"/>
    <tableColumn id="4" uniqueName="4" name="F4" queryTableFieldId="4" dataDxfId="1816" dataCellStyle="一般 2"/>
    <tableColumn id="5" uniqueName="5" name="F5" queryTableFieldId="5" dataDxfId="1815" dataCellStyle="一般 2"/>
    <tableColumn id="6" uniqueName="6" name="F6" queryTableFieldId="6" dataDxfId="1814" dataCellStyle="一般 2"/>
    <tableColumn id="7" uniqueName="7" name="F7" queryTableFieldId="7" dataDxfId="1813" dataCellStyle="一般 2"/>
    <tableColumn id="8" uniqueName="8" name="F8" queryTableFieldId="8" dataDxfId="1812" dataCellStyle="一般 2"/>
    <tableColumn id="9" uniqueName="9" name="F9" queryTableFieldId="9" dataDxfId="1811" dataCellStyle="一般 2"/>
    <tableColumn id="10" uniqueName="10" name="F10" queryTableFieldId="10" dataDxfId="1810" dataCellStyle="一般 2"/>
    <tableColumn id="11" uniqueName="11" name="F11" queryTableFieldId="11" dataDxfId="1809" dataCellStyle="一般 2"/>
    <tableColumn id="12" uniqueName="12" name="F12" queryTableFieldId="12" dataDxfId="1808" dataCellStyle="一般 2"/>
    <tableColumn id="13" uniqueName="13" name="F13" queryTableFieldId="13" dataDxfId="1807" dataCellStyle="一般 2"/>
    <tableColumn id="14" uniqueName="14" name="F14" queryTableFieldId="14" dataDxfId="1806" dataCellStyle="一般 2"/>
    <tableColumn id="15" uniqueName="15" name="F15" queryTableFieldId="15" dataDxfId="1805" dataCellStyle="一般 2"/>
    <tableColumn id="16" uniqueName="16" name="F16" queryTableFieldId="16" dataDxfId="1804" dataCellStyle="一般 2"/>
    <tableColumn id="17" uniqueName="17" name="F17" queryTableFieldId="17" dataDxfId="1803" dataCellStyle="一般 2"/>
    <tableColumn id="18" uniqueName="18" name="F18" queryTableFieldId="18" dataDxfId="1802" dataCellStyle="一般 2"/>
    <tableColumn id="19" uniqueName="19" name="F19" queryTableFieldId="19" dataDxfId="1801" dataCellStyle="一般 2"/>
    <tableColumn id="20" uniqueName="20" name="F20" queryTableFieldId="20" dataDxfId="1800" dataCellStyle="一般 2"/>
    <tableColumn id="21" uniqueName="21" name="F21" queryTableFieldId="21" dataDxfId="1799" dataCellStyle="一般 2"/>
    <tableColumn id="22" uniqueName="22" name="2024/6/24 14:52" queryTableFieldId="22" dataDxfId="1798" dataCellStyle="一般 2"/>
    <tableColumn id="23" uniqueName="23" name="F23" queryTableFieldId="23" dataDxfId="1797" dataCellStyle="一般 2"/>
    <tableColumn id="24" uniqueName="24" name="F24" queryTableFieldId="24" dataDxfId="1796" dataCellStyle="一般 2"/>
    <tableColumn id="25" uniqueName="25" name="F25" queryTableFieldId="25" dataDxfId="1795" dataCellStyle="一般 2"/>
    <tableColumn id="26" uniqueName="26" name="F26" queryTableFieldId="26" dataDxfId="1794" dataCellStyle="一般 2"/>
    <tableColumn id="27" uniqueName="27" name="F27" queryTableFieldId="27" dataDxfId="1793" dataCellStyle="一般 2"/>
    <tableColumn id="28" uniqueName="28" name="F28" queryTableFieldId="28" dataDxfId="179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693" dataDxfId="1692" headerRowCellStyle="一般 2" dataCellStyle="一般 2">
  <autoFilter ref="AG13:BH189"/>
  <tableColumns count="28">
    <tableColumn id="1" uniqueName="1" name="請直接以10進位，謝謝" queryTableFieldId="1" dataDxfId="1691" dataCellStyle="一般 2"/>
    <tableColumn id="2" uniqueName="2" name="F2" queryTableFieldId="2" dataDxfId="1690" dataCellStyle="一般 2"/>
    <tableColumn id="3" uniqueName="3" name="F3" queryTableFieldId="3" dataDxfId="1689" dataCellStyle="一般 2"/>
    <tableColumn id="4" uniqueName="4" name="F4" queryTableFieldId="4" dataDxfId="1688" dataCellStyle="一般 2"/>
    <tableColumn id="5" uniqueName="5" name="F5" queryTableFieldId="5" dataDxfId="1687" dataCellStyle="一般 2"/>
    <tableColumn id="6" uniqueName="6" name="F6" queryTableFieldId="6" dataDxfId="1686" dataCellStyle="一般 2"/>
    <tableColumn id="7" uniqueName="7" name="F7" queryTableFieldId="7" dataDxfId="1685" dataCellStyle="一般 2"/>
    <tableColumn id="8" uniqueName="8" name="F8" queryTableFieldId="8" dataDxfId="1684" dataCellStyle="一般 2"/>
    <tableColumn id="9" uniqueName="9" name="F9" queryTableFieldId="9" dataDxfId="1683" dataCellStyle="一般 2"/>
    <tableColumn id="10" uniqueName="10" name="F10" queryTableFieldId="10" dataDxfId="1682" dataCellStyle="一般 2"/>
    <tableColumn id="11" uniqueName="11" name="F11" queryTableFieldId="11" dataDxfId="1681" dataCellStyle="一般 2"/>
    <tableColumn id="12" uniqueName="12" name="F12" queryTableFieldId="12" dataDxfId="1680" dataCellStyle="一般 2"/>
    <tableColumn id="13" uniqueName="13" name="F13" queryTableFieldId="13" dataDxfId="1679" dataCellStyle="一般 2"/>
    <tableColumn id="14" uniqueName="14" name="F14" queryTableFieldId="14" dataDxfId="1678" dataCellStyle="一般 2"/>
    <tableColumn id="15" uniqueName="15" name="F15" queryTableFieldId="15" dataDxfId="1677" dataCellStyle="一般 2"/>
    <tableColumn id="16" uniqueName="16" name="F16" queryTableFieldId="16" dataDxfId="1676" dataCellStyle="一般 2"/>
    <tableColumn id="17" uniqueName="17" name="F17" queryTableFieldId="17" dataDxfId="1675" dataCellStyle="一般 2"/>
    <tableColumn id="18" uniqueName="18" name="F18" queryTableFieldId="18" dataDxfId="1674" dataCellStyle="一般 2"/>
    <tableColumn id="19" uniqueName="19" name="F19" queryTableFieldId="19" dataDxfId="1673" dataCellStyle="一般 2"/>
    <tableColumn id="20" uniqueName="20" name="F20" queryTableFieldId="20" dataDxfId="1672" dataCellStyle="一般 2"/>
    <tableColumn id="21" uniqueName="21" name="F21" queryTableFieldId="21" dataDxfId="1671" dataCellStyle="一般 2"/>
    <tableColumn id="22" uniqueName="22" name="2024/6/24 14:52" queryTableFieldId="22" dataDxfId="1670" dataCellStyle="一般 2"/>
    <tableColumn id="23" uniqueName="23" name="F23" queryTableFieldId="23" dataDxfId="1669" dataCellStyle="一般 2"/>
    <tableColumn id="24" uniqueName="24" name="F24" queryTableFieldId="24" dataDxfId="1668" dataCellStyle="一般 2"/>
    <tableColumn id="25" uniqueName="25" name="F25" queryTableFieldId="25" dataDxfId="1667" dataCellStyle="一般 2"/>
    <tableColumn id="26" uniqueName="26" name="F26" queryTableFieldId="26" dataDxfId="1666" dataCellStyle="一般 2"/>
    <tableColumn id="27" uniqueName="27" name="F27" queryTableFieldId="27" dataDxfId="1665" dataCellStyle="一般 2"/>
    <tableColumn id="28" uniqueName="28" name="F28" queryTableFieldId="28" dataDxfId="1664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565" dataDxfId="1564" headerRowCellStyle="一般 2" dataCellStyle="一般 2">
  <autoFilter ref="AG13:BH189"/>
  <tableColumns count="28">
    <tableColumn id="1" uniqueName="1" name="請直接以10進位，謝謝" queryTableFieldId="1" dataDxfId="1563" dataCellStyle="一般 2"/>
    <tableColumn id="2" uniqueName="2" name="F2" queryTableFieldId="2" dataDxfId="1562" dataCellStyle="一般 2"/>
    <tableColumn id="3" uniqueName="3" name="F3" queryTableFieldId="3" dataDxfId="1561" dataCellStyle="一般 2"/>
    <tableColumn id="4" uniqueName="4" name="F4" queryTableFieldId="4" dataDxfId="1560" dataCellStyle="一般 2"/>
    <tableColumn id="5" uniqueName="5" name="F5" queryTableFieldId="5" dataDxfId="1559" dataCellStyle="一般 2"/>
    <tableColumn id="6" uniqueName="6" name="F6" queryTableFieldId="6" dataDxfId="1558" dataCellStyle="一般 2"/>
    <tableColumn id="7" uniqueName="7" name="F7" queryTableFieldId="7" dataDxfId="1557" dataCellStyle="一般 2"/>
    <tableColumn id="8" uniqueName="8" name="F8" queryTableFieldId="8" dataDxfId="1556" dataCellStyle="一般 2"/>
    <tableColumn id="9" uniqueName="9" name="F9" queryTableFieldId="9" dataDxfId="1555" dataCellStyle="一般 2"/>
    <tableColumn id="10" uniqueName="10" name="F10" queryTableFieldId="10" dataDxfId="1554" dataCellStyle="一般 2"/>
    <tableColumn id="11" uniqueName="11" name="F11" queryTableFieldId="11" dataDxfId="1553" dataCellStyle="一般 2"/>
    <tableColumn id="12" uniqueName="12" name="F12" queryTableFieldId="12" dataDxfId="1552" dataCellStyle="一般 2"/>
    <tableColumn id="13" uniqueName="13" name="F13" queryTableFieldId="13" dataDxfId="1551" dataCellStyle="一般 2"/>
    <tableColumn id="14" uniqueName="14" name="F14" queryTableFieldId="14" dataDxfId="1550" dataCellStyle="一般 2"/>
    <tableColumn id="15" uniqueName="15" name="F15" queryTableFieldId="15" dataDxfId="1549" dataCellStyle="一般 2"/>
    <tableColumn id="16" uniqueName="16" name="F16" queryTableFieldId="16" dataDxfId="1548" dataCellStyle="一般 2"/>
    <tableColumn id="17" uniqueName="17" name="F17" queryTableFieldId="17" dataDxfId="1547" dataCellStyle="一般 2"/>
    <tableColumn id="18" uniqueName="18" name="F18" queryTableFieldId="18" dataDxfId="1546" dataCellStyle="一般 2"/>
    <tableColumn id="19" uniqueName="19" name="F19" queryTableFieldId="19" dataDxfId="1545" dataCellStyle="一般 2"/>
    <tableColumn id="20" uniqueName="20" name="F20" queryTableFieldId="20" dataDxfId="1544" dataCellStyle="一般 2"/>
    <tableColumn id="21" uniqueName="21" name="F21" queryTableFieldId="21" dataDxfId="1543" dataCellStyle="一般 2"/>
    <tableColumn id="22" uniqueName="22" name="2024/6/24 14:52" queryTableFieldId="22" dataDxfId="1542" dataCellStyle="一般 2"/>
    <tableColumn id="23" uniqueName="23" name="F23" queryTableFieldId="23" dataDxfId="1541" dataCellStyle="一般 2"/>
    <tableColumn id="24" uniqueName="24" name="F24" queryTableFieldId="24" dataDxfId="1540" dataCellStyle="一般 2"/>
    <tableColumn id="25" uniqueName="25" name="F25" queryTableFieldId="25" dataDxfId="1539" dataCellStyle="一般 2"/>
    <tableColumn id="26" uniqueName="26" name="F26" queryTableFieldId="26" dataDxfId="1538" dataCellStyle="一般 2"/>
    <tableColumn id="27" uniqueName="27" name="F27" queryTableFieldId="27" dataDxfId="1537" dataCellStyle="一般 2"/>
    <tableColumn id="28" uniqueName="28" name="F28" queryTableFieldId="28" dataDxfId="1536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437" dataDxfId="1436" headerRowCellStyle="一般 2" dataCellStyle="一般 2">
  <autoFilter ref="AG13:BH189"/>
  <tableColumns count="28">
    <tableColumn id="1" uniqueName="1" name="請直接以10進位，謝謝" queryTableFieldId="1" dataDxfId="1435" dataCellStyle="一般 2"/>
    <tableColumn id="2" uniqueName="2" name="F2" queryTableFieldId="2" dataDxfId="1434" dataCellStyle="一般 2"/>
    <tableColumn id="3" uniqueName="3" name="F3" queryTableFieldId="3" dataDxfId="1433" dataCellStyle="一般 2"/>
    <tableColumn id="4" uniqueName="4" name="F4" queryTableFieldId="4" dataDxfId="1432" dataCellStyle="一般 2"/>
    <tableColumn id="5" uniqueName="5" name="F5" queryTableFieldId="5" dataDxfId="1431" dataCellStyle="一般 2"/>
    <tableColumn id="6" uniqueName="6" name="F6" queryTableFieldId="6" dataDxfId="1430" dataCellStyle="一般 2"/>
    <tableColumn id="7" uniqueName="7" name="F7" queryTableFieldId="7" dataDxfId="1429" dataCellStyle="一般 2"/>
    <tableColumn id="8" uniqueName="8" name="F8" queryTableFieldId="8" dataDxfId="1428" dataCellStyle="一般 2"/>
    <tableColumn id="9" uniqueName="9" name="F9" queryTableFieldId="9" dataDxfId="1427" dataCellStyle="一般 2"/>
    <tableColumn id="10" uniqueName="10" name="F10" queryTableFieldId="10" dataDxfId="1426" dataCellStyle="一般 2"/>
    <tableColumn id="11" uniqueName="11" name="F11" queryTableFieldId="11" dataDxfId="1425" dataCellStyle="一般 2"/>
    <tableColumn id="12" uniqueName="12" name="F12" queryTableFieldId="12" dataDxfId="1424" dataCellStyle="一般 2"/>
    <tableColumn id="13" uniqueName="13" name="F13" queryTableFieldId="13" dataDxfId="1423" dataCellStyle="一般 2"/>
    <tableColumn id="14" uniqueName="14" name="F14" queryTableFieldId="14" dataDxfId="1422" dataCellStyle="一般 2"/>
    <tableColumn id="15" uniqueName="15" name="F15" queryTableFieldId="15" dataDxfId="1421" dataCellStyle="一般 2"/>
    <tableColumn id="16" uniqueName="16" name="F16" queryTableFieldId="16" dataDxfId="1420" dataCellStyle="一般 2"/>
    <tableColumn id="17" uniqueName="17" name="F17" queryTableFieldId="17" dataDxfId="1419" dataCellStyle="一般 2"/>
    <tableColumn id="18" uniqueName="18" name="F18" queryTableFieldId="18" dataDxfId="1418" dataCellStyle="一般 2"/>
    <tableColumn id="19" uniqueName="19" name="F19" queryTableFieldId="19" dataDxfId="1417" dataCellStyle="一般 2"/>
    <tableColumn id="20" uniqueName="20" name="F20" queryTableFieldId="20" dataDxfId="1416" dataCellStyle="一般 2"/>
    <tableColumn id="21" uniqueName="21" name="F21" queryTableFieldId="21" dataDxfId="1415" dataCellStyle="一般 2"/>
    <tableColumn id="22" uniqueName="22" name="2024/6/24 14:52" queryTableFieldId="22" dataDxfId="1414" dataCellStyle="一般 2"/>
    <tableColumn id="23" uniqueName="23" name="F23" queryTableFieldId="23" dataDxfId="1413" dataCellStyle="一般 2"/>
    <tableColumn id="24" uniqueName="24" name="F24" queryTableFieldId="24" dataDxfId="1412" dataCellStyle="一般 2"/>
    <tableColumn id="25" uniqueName="25" name="F25" queryTableFieldId="25" dataDxfId="1411" dataCellStyle="一般 2"/>
    <tableColumn id="26" uniqueName="26" name="F26" queryTableFieldId="26" dataDxfId="1410" dataCellStyle="一般 2"/>
    <tableColumn id="27" uniqueName="27" name="F27" queryTableFieldId="27" dataDxfId="1409" dataCellStyle="一般 2"/>
    <tableColumn id="28" uniqueName="28" name="F28" queryTableFieldId="28" dataDxfId="1408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309" dataDxfId="1308" headerRowCellStyle="一般 2" dataCellStyle="一般 2">
  <autoFilter ref="AG13:BH189"/>
  <tableColumns count="28">
    <tableColumn id="1" uniqueName="1" name="請直接以10進位，謝謝" queryTableFieldId="1" dataDxfId="1307" dataCellStyle="一般 2"/>
    <tableColumn id="2" uniqueName="2" name="F2" queryTableFieldId="2" dataDxfId="1306" dataCellStyle="一般 2"/>
    <tableColumn id="3" uniqueName="3" name="F3" queryTableFieldId="3" dataDxfId="1305" dataCellStyle="一般 2"/>
    <tableColumn id="4" uniqueName="4" name="F4" queryTableFieldId="4" dataDxfId="1304" dataCellStyle="一般 2"/>
    <tableColumn id="5" uniqueName="5" name="F5" queryTableFieldId="5" dataDxfId="1303" dataCellStyle="一般 2"/>
    <tableColumn id="6" uniqueName="6" name="F6" queryTableFieldId="6" dataDxfId="1302" dataCellStyle="一般 2"/>
    <tableColumn id="7" uniqueName="7" name="F7" queryTableFieldId="7" dataDxfId="1301" dataCellStyle="一般 2"/>
    <tableColumn id="8" uniqueName="8" name="F8" queryTableFieldId="8" dataDxfId="1300" dataCellStyle="一般 2"/>
    <tableColumn id="9" uniqueName="9" name="F9" queryTableFieldId="9" dataDxfId="1299" dataCellStyle="一般 2"/>
    <tableColumn id="10" uniqueName="10" name="F10" queryTableFieldId="10" dataDxfId="1298" dataCellStyle="一般 2"/>
    <tableColumn id="11" uniqueName="11" name="F11" queryTableFieldId="11" dataDxfId="1297" dataCellStyle="一般 2"/>
    <tableColumn id="12" uniqueName="12" name="F12" queryTableFieldId="12" dataDxfId="1296" dataCellStyle="一般 2"/>
    <tableColumn id="13" uniqueName="13" name="F13" queryTableFieldId="13" dataDxfId="1295" dataCellStyle="一般 2"/>
    <tableColumn id="14" uniqueName="14" name="F14" queryTableFieldId="14" dataDxfId="1294" dataCellStyle="一般 2"/>
    <tableColumn id="15" uniqueName="15" name="F15" queryTableFieldId="15" dataDxfId="1293" dataCellStyle="一般 2"/>
    <tableColumn id="16" uniqueName="16" name="F16" queryTableFieldId="16" dataDxfId="1292" dataCellStyle="一般 2"/>
    <tableColumn id="17" uniqueName="17" name="F17" queryTableFieldId="17" dataDxfId="1291" dataCellStyle="一般 2"/>
    <tableColumn id="18" uniqueName="18" name="F18" queryTableFieldId="18" dataDxfId="1290" dataCellStyle="一般 2"/>
    <tableColumn id="19" uniqueName="19" name="F19" queryTableFieldId="19" dataDxfId="1289" dataCellStyle="一般 2"/>
    <tableColumn id="20" uniqueName="20" name="F20" queryTableFieldId="20" dataDxfId="1288" dataCellStyle="一般 2"/>
    <tableColumn id="21" uniqueName="21" name="F21" queryTableFieldId="21" dataDxfId="1287" dataCellStyle="一般 2"/>
    <tableColumn id="22" uniqueName="22" name="2024/6/24 14:52" queryTableFieldId="22" dataDxfId="1286" dataCellStyle="一般 2"/>
    <tableColumn id="23" uniqueName="23" name="F23" queryTableFieldId="23" dataDxfId="1285" dataCellStyle="一般 2"/>
    <tableColumn id="24" uniqueName="24" name="F24" queryTableFieldId="24" dataDxfId="1284" dataCellStyle="一般 2"/>
    <tableColumn id="25" uniqueName="25" name="F25" queryTableFieldId="25" dataDxfId="1283" dataCellStyle="一般 2"/>
    <tableColumn id="26" uniqueName="26" name="F26" queryTableFieldId="26" dataDxfId="1282" dataCellStyle="一般 2"/>
    <tableColumn id="27" uniqueName="27" name="F27" queryTableFieldId="27" dataDxfId="1281" dataCellStyle="一般 2"/>
    <tableColumn id="28" uniqueName="28" name="F28" queryTableFieldId="28" dataDxfId="128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181" dataDxfId="1180" headerRowCellStyle="一般 2" dataCellStyle="一般 2">
  <autoFilter ref="AG13:BH189"/>
  <tableColumns count="28">
    <tableColumn id="1" uniqueName="1" name="請直接以10進位，謝謝" queryTableFieldId="1" dataDxfId="1179" dataCellStyle="一般 2"/>
    <tableColumn id="2" uniqueName="2" name="F2" queryTableFieldId="2" dataDxfId="1178" dataCellStyle="一般 2"/>
    <tableColumn id="3" uniqueName="3" name="F3" queryTableFieldId="3" dataDxfId="1177" dataCellStyle="一般 2"/>
    <tableColumn id="4" uniqueName="4" name="F4" queryTableFieldId="4" dataDxfId="1176" dataCellStyle="一般 2"/>
    <tableColumn id="5" uniqueName="5" name="F5" queryTableFieldId="5" dataDxfId="1175" dataCellStyle="一般 2"/>
    <tableColumn id="6" uniqueName="6" name="F6" queryTableFieldId="6" dataDxfId="1174" dataCellStyle="一般 2"/>
    <tableColumn id="7" uniqueName="7" name="F7" queryTableFieldId="7" dataDxfId="1173" dataCellStyle="一般 2"/>
    <tableColumn id="8" uniqueName="8" name="F8" queryTableFieldId="8" dataDxfId="1172" dataCellStyle="一般 2"/>
    <tableColumn id="9" uniqueName="9" name="F9" queryTableFieldId="9" dataDxfId="1171" dataCellStyle="一般 2"/>
    <tableColumn id="10" uniqueName="10" name="F10" queryTableFieldId="10" dataDxfId="1170" dataCellStyle="一般 2"/>
    <tableColumn id="11" uniqueName="11" name="F11" queryTableFieldId="11" dataDxfId="1169" dataCellStyle="一般 2"/>
    <tableColumn id="12" uniqueName="12" name="F12" queryTableFieldId="12" dataDxfId="1168" dataCellStyle="一般 2"/>
    <tableColumn id="13" uniqueName="13" name="F13" queryTableFieldId="13" dataDxfId="1167" dataCellStyle="一般 2"/>
    <tableColumn id="14" uniqueName="14" name="F14" queryTableFieldId="14" dataDxfId="1166" dataCellStyle="一般 2"/>
    <tableColumn id="15" uniqueName="15" name="F15" queryTableFieldId="15" dataDxfId="1165" dataCellStyle="一般 2"/>
    <tableColumn id="16" uniqueName="16" name="F16" queryTableFieldId="16" dataDxfId="1164" dataCellStyle="一般 2"/>
    <tableColumn id="17" uniqueName="17" name="F17" queryTableFieldId="17" dataDxfId="1163" dataCellStyle="一般 2"/>
    <tableColumn id="18" uniqueName="18" name="F18" queryTableFieldId="18" dataDxfId="1162" dataCellStyle="一般 2"/>
    <tableColumn id="19" uniqueName="19" name="F19" queryTableFieldId="19" dataDxfId="1161" dataCellStyle="一般 2"/>
    <tableColumn id="20" uniqueName="20" name="F20" queryTableFieldId="20" dataDxfId="1160" dataCellStyle="一般 2"/>
    <tableColumn id="21" uniqueName="21" name="F21" queryTableFieldId="21" dataDxfId="1159" dataCellStyle="一般 2"/>
    <tableColumn id="22" uniqueName="22" name="2024/6/24 14:52" queryTableFieldId="22" dataDxfId="1158" dataCellStyle="一般 2"/>
    <tableColumn id="23" uniqueName="23" name="F23" queryTableFieldId="23" dataDxfId="1157" dataCellStyle="一般 2"/>
    <tableColumn id="24" uniqueName="24" name="F24" queryTableFieldId="24" dataDxfId="1156" dataCellStyle="一般 2"/>
    <tableColumn id="25" uniqueName="25" name="F25" queryTableFieldId="25" dataDxfId="1155" dataCellStyle="一般 2"/>
    <tableColumn id="26" uniqueName="26" name="F26" queryTableFieldId="26" dataDxfId="1154" dataCellStyle="一般 2"/>
    <tableColumn id="27" uniqueName="27" name="F27" queryTableFieldId="27" dataDxfId="1153" dataCellStyle="一般 2"/>
    <tableColumn id="28" uniqueName="28" name="F28" queryTableFieldId="28" dataDxfId="1152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1053" dataDxfId="1052" headerRowCellStyle="一般 2" dataCellStyle="一般 2">
  <autoFilter ref="AG13:BH189"/>
  <tableColumns count="28">
    <tableColumn id="1" uniqueName="1" name="請直接以10進位，謝謝" queryTableFieldId="1" dataDxfId="1051" dataCellStyle="一般 2"/>
    <tableColumn id="2" uniqueName="2" name="F2" queryTableFieldId="2" dataDxfId="1050" dataCellStyle="一般 2"/>
    <tableColumn id="3" uniqueName="3" name="F3" queryTableFieldId="3" dataDxfId="1049" dataCellStyle="一般 2"/>
    <tableColumn id="4" uniqueName="4" name="F4" queryTableFieldId="4" dataDxfId="1048" dataCellStyle="一般 2"/>
    <tableColumn id="5" uniqueName="5" name="F5" queryTableFieldId="5" dataDxfId="1047" dataCellStyle="一般 2"/>
    <tableColumn id="6" uniqueName="6" name="F6" queryTableFieldId="6" dataDxfId="1046" dataCellStyle="一般 2"/>
    <tableColumn id="7" uniqueName="7" name="F7" queryTableFieldId="7" dataDxfId="1045" dataCellStyle="一般 2"/>
    <tableColumn id="8" uniqueName="8" name="F8" queryTableFieldId="8" dataDxfId="1044" dataCellStyle="一般 2"/>
    <tableColumn id="9" uniqueName="9" name="F9" queryTableFieldId="9" dataDxfId="1043" dataCellStyle="一般 2"/>
    <tableColumn id="10" uniqueName="10" name="F10" queryTableFieldId="10" dataDxfId="1042" dataCellStyle="一般 2"/>
    <tableColumn id="11" uniqueName="11" name="F11" queryTableFieldId="11" dataDxfId="1041" dataCellStyle="一般 2"/>
    <tableColumn id="12" uniqueName="12" name="F12" queryTableFieldId="12" dataDxfId="1040" dataCellStyle="一般 2"/>
    <tableColumn id="13" uniqueName="13" name="F13" queryTableFieldId="13" dataDxfId="1039" dataCellStyle="一般 2"/>
    <tableColumn id="14" uniqueName="14" name="F14" queryTableFieldId="14" dataDxfId="1038" dataCellStyle="一般 2"/>
    <tableColumn id="15" uniqueName="15" name="F15" queryTableFieldId="15" dataDxfId="1037" dataCellStyle="一般 2"/>
    <tableColumn id="16" uniqueName="16" name="F16" queryTableFieldId="16" dataDxfId="1036" dataCellStyle="一般 2"/>
    <tableColumn id="17" uniqueName="17" name="F17" queryTableFieldId="17" dataDxfId="1035" dataCellStyle="一般 2"/>
    <tableColumn id="18" uniqueName="18" name="F18" queryTableFieldId="18" dataDxfId="1034" dataCellStyle="一般 2"/>
    <tableColumn id="19" uniqueName="19" name="F19" queryTableFieldId="19" dataDxfId="1033" dataCellStyle="一般 2"/>
    <tableColumn id="20" uniqueName="20" name="F20" queryTableFieldId="20" dataDxfId="1032" dataCellStyle="一般 2"/>
    <tableColumn id="21" uniqueName="21" name="F21" queryTableFieldId="21" dataDxfId="1031" dataCellStyle="一般 2"/>
    <tableColumn id="22" uniqueName="22" name="2024/6/24 14:52" queryTableFieldId="22" dataDxfId="1030" dataCellStyle="一般 2"/>
    <tableColumn id="23" uniqueName="23" name="F23" queryTableFieldId="23" dataDxfId="1029" dataCellStyle="一般 2"/>
    <tableColumn id="24" uniqueName="24" name="F24" queryTableFieldId="24" dataDxfId="1028" dataCellStyle="一般 2"/>
    <tableColumn id="25" uniqueName="25" name="F25" queryTableFieldId="25" dataDxfId="1027" dataCellStyle="一般 2"/>
    <tableColumn id="26" uniqueName="26" name="F26" queryTableFieldId="26" dataDxfId="1026" dataCellStyle="一般 2"/>
    <tableColumn id="27" uniqueName="27" name="F27" queryTableFieldId="27" dataDxfId="1025" dataCellStyle="一般 2"/>
    <tableColumn id="28" uniqueName="28" name="F28" queryTableFieldId="28" dataDxfId="1024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925" dataDxfId="924" headerRowCellStyle="一般 2" dataCellStyle="一般 2">
  <autoFilter ref="AG13:BH189"/>
  <tableColumns count="28">
    <tableColumn id="1" uniqueName="1" name="請直接以10進位，謝謝" queryTableFieldId="1" dataDxfId="923" dataCellStyle="一般 2"/>
    <tableColumn id="2" uniqueName="2" name="F2" queryTableFieldId="2" dataDxfId="922" dataCellStyle="一般 2"/>
    <tableColumn id="3" uniqueName="3" name="F3" queryTableFieldId="3" dataDxfId="921" dataCellStyle="一般 2"/>
    <tableColumn id="4" uniqueName="4" name="F4" queryTableFieldId="4" dataDxfId="920" dataCellStyle="一般 2"/>
    <tableColumn id="5" uniqueName="5" name="F5" queryTableFieldId="5" dataDxfId="919" dataCellStyle="一般 2"/>
    <tableColumn id="6" uniqueName="6" name="F6" queryTableFieldId="6" dataDxfId="918" dataCellStyle="一般 2"/>
    <tableColumn id="7" uniqueName="7" name="F7" queryTableFieldId="7" dataDxfId="917" dataCellStyle="一般 2"/>
    <tableColumn id="8" uniqueName="8" name="F8" queryTableFieldId="8" dataDxfId="916" dataCellStyle="一般 2"/>
    <tableColumn id="9" uniqueName="9" name="F9" queryTableFieldId="9" dataDxfId="915" dataCellStyle="一般 2"/>
    <tableColumn id="10" uniqueName="10" name="F10" queryTableFieldId="10" dataDxfId="914" dataCellStyle="一般 2"/>
    <tableColumn id="11" uniqueName="11" name="F11" queryTableFieldId="11" dataDxfId="913" dataCellStyle="一般 2"/>
    <tableColumn id="12" uniqueName="12" name="F12" queryTableFieldId="12" dataDxfId="912" dataCellStyle="一般 2"/>
    <tableColumn id="13" uniqueName="13" name="F13" queryTableFieldId="13" dataDxfId="911" dataCellStyle="一般 2"/>
    <tableColumn id="14" uniqueName="14" name="F14" queryTableFieldId="14" dataDxfId="910" dataCellStyle="一般 2"/>
    <tableColumn id="15" uniqueName="15" name="F15" queryTableFieldId="15" dataDxfId="909" dataCellStyle="一般 2"/>
    <tableColumn id="16" uniqueName="16" name="F16" queryTableFieldId="16" dataDxfId="908" dataCellStyle="一般 2"/>
    <tableColumn id="17" uniqueName="17" name="F17" queryTableFieldId="17" dataDxfId="907" dataCellStyle="一般 2"/>
    <tableColumn id="18" uniqueName="18" name="F18" queryTableFieldId="18" dataDxfId="906" dataCellStyle="一般 2"/>
    <tableColumn id="19" uniqueName="19" name="F19" queryTableFieldId="19" dataDxfId="905" dataCellStyle="一般 2"/>
    <tableColumn id="20" uniqueName="20" name="F20" queryTableFieldId="20" dataDxfId="904" dataCellStyle="一般 2"/>
    <tableColumn id="21" uniqueName="21" name="F21" queryTableFieldId="21" dataDxfId="903" dataCellStyle="一般 2"/>
    <tableColumn id="22" uniqueName="22" name="2024/6/24 14:52" queryTableFieldId="22" dataDxfId="902" dataCellStyle="一般 2"/>
    <tableColumn id="23" uniqueName="23" name="F23" queryTableFieldId="23" dataDxfId="901" dataCellStyle="一般 2"/>
    <tableColumn id="24" uniqueName="24" name="F24" queryTableFieldId="24" dataDxfId="900" dataCellStyle="一般 2"/>
    <tableColumn id="25" uniqueName="25" name="F25" queryTableFieldId="25" dataDxfId="899" dataCellStyle="一般 2"/>
    <tableColumn id="26" uniqueName="26" name="F26" queryTableFieldId="26" dataDxfId="898" dataCellStyle="一般 2"/>
    <tableColumn id="27" uniqueName="27" name="F27" queryTableFieldId="27" dataDxfId="897" dataCellStyle="一般 2"/>
    <tableColumn id="28" uniqueName="28" name="F28" queryTableFieldId="28" dataDxfId="896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797" dataDxfId="796" headerRowCellStyle="一般 2" dataCellStyle="一般 2">
  <autoFilter ref="AG13:BH189"/>
  <tableColumns count="28">
    <tableColumn id="1" uniqueName="1" name="請直接以10進位，謝謝" queryTableFieldId="1" dataDxfId="795" dataCellStyle="一般 2"/>
    <tableColumn id="2" uniqueName="2" name="F2" queryTableFieldId="2" dataDxfId="794" dataCellStyle="一般 2"/>
    <tableColumn id="3" uniqueName="3" name="F3" queryTableFieldId="3" dataDxfId="793" dataCellStyle="一般 2"/>
    <tableColumn id="4" uniqueName="4" name="F4" queryTableFieldId="4" dataDxfId="792" dataCellStyle="一般 2"/>
    <tableColumn id="5" uniqueName="5" name="F5" queryTableFieldId="5" dataDxfId="791" dataCellStyle="一般 2"/>
    <tableColumn id="6" uniqueName="6" name="F6" queryTableFieldId="6" dataDxfId="790" dataCellStyle="一般 2"/>
    <tableColumn id="7" uniqueName="7" name="F7" queryTableFieldId="7" dataDxfId="789" dataCellStyle="一般 2"/>
    <tableColumn id="8" uniqueName="8" name="F8" queryTableFieldId="8" dataDxfId="788" dataCellStyle="一般 2"/>
    <tableColumn id="9" uniqueName="9" name="F9" queryTableFieldId="9" dataDxfId="787" dataCellStyle="一般 2"/>
    <tableColumn id="10" uniqueName="10" name="F10" queryTableFieldId="10" dataDxfId="786" dataCellStyle="一般 2"/>
    <tableColumn id="11" uniqueName="11" name="F11" queryTableFieldId="11" dataDxfId="785" dataCellStyle="一般 2"/>
    <tableColumn id="12" uniqueName="12" name="F12" queryTableFieldId="12" dataDxfId="784" dataCellStyle="一般 2"/>
    <tableColumn id="13" uniqueName="13" name="F13" queryTableFieldId="13" dataDxfId="783" dataCellStyle="一般 2"/>
    <tableColumn id="14" uniqueName="14" name="F14" queryTableFieldId="14" dataDxfId="782" dataCellStyle="一般 2"/>
    <tableColumn id="15" uniqueName="15" name="F15" queryTableFieldId="15" dataDxfId="781" dataCellStyle="一般 2"/>
    <tableColumn id="16" uniqueName="16" name="F16" queryTableFieldId="16" dataDxfId="780" dataCellStyle="一般 2"/>
    <tableColumn id="17" uniqueName="17" name="F17" queryTableFieldId="17" dataDxfId="779" dataCellStyle="一般 2"/>
    <tableColumn id="18" uniqueName="18" name="F18" queryTableFieldId="18" dataDxfId="778" dataCellStyle="一般 2"/>
    <tableColumn id="19" uniqueName="19" name="F19" queryTableFieldId="19" dataDxfId="777" dataCellStyle="一般 2"/>
    <tableColumn id="20" uniqueName="20" name="F20" queryTableFieldId="20" dataDxfId="776" dataCellStyle="一般 2"/>
    <tableColumn id="21" uniqueName="21" name="F21" queryTableFieldId="21" dataDxfId="775" dataCellStyle="一般 2"/>
    <tableColumn id="22" uniqueName="22" name="2024/6/24 14:52" queryTableFieldId="22" dataDxfId="774" dataCellStyle="一般 2"/>
    <tableColumn id="23" uniqueName="23" name="F23" queryTableFieldId="23" dataDxfId="773" dataCellStyle="一般 2"/>
    <tableColumn id="24" uniqueName="24" name="F24" queryTableFieldId="24" dataDxfId="772" dataCellStyle="一般 2"/>
    <tableColumn id="25" uniqueName="25" name="F25" queryTableFieldId="25" dataDxfId="771" dataCellStyle="一般 2"/>
    <tableColumn id="26" uniqueName="26" name="F26" queryTableFieldId="26" dataDxfId="770" dataCellStyle="一般 2"/>
    <tableColumn id="27" uniqueName="27" name="F27" queryTableFieldId="27" dataDxfId="769" dataCellStyle="一般 2"/>
    <tableColumn id="28" uniqueName="28" name="F28" queryTableFieldId="28" dataDxfId="768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669" dataDxfId="668" headerRowCellStyle="一般 2" dataCellStyle="一般 2">
  <autoFilter ref="AG13:BH189"/>
  <tableColumns count="28">
    <tableColumn id="1" uniqueName="1" name="請直接以10進位，謝謝" queryTableFieldId="1" dataDxfId="667" dataCellStyle="一般 2"/>
    <tableColumn id="2" uniqueName="2" name="F2" queryTableFieldId="2" dataDxfId="666" dataCellStyle="一般 2"/>
    <tableColumn id="3" uniqueName="3" name="F3" queryTableFieldId="3" dataDxfId="665" dataCellStyle="一般 2"/>
    <tableColumn id="4" uniqueName="4" name="F4" queryTableFieldId="4" dataDxfId="664" dataCellStyle="一般 2"/>
    <tableColumn id="5" uniqueName="5" name="F5" queryTableFieldId="5" dataDxfId="663" dataCellStyle="一般 2"/>
    <tableColumn id="6" uniqueName="6" name="F6" queryTableFieldId="6" dataDxfId="662" dataCellStyle="一般 2"/>
    <tableColumn id="7" uniqueName="7" name="F7" queryTableFieldId="7" dataDxfId="661" dataCellStyle="一般 2"/>
    <tableColumn id="8" uniqueName="8" name="F8" queryTableFieldId="8" dataDxfId="660" dataCellStyle="一般 2"/>
    <tableColumn id="9" uniqueName="9" name="F9" queryTableFieldId="9" dataDxfId="659" dataCellStyle="一般 2"/>
    <tableColumn id="10" uniqueName="10" name="F10" queryTableFieldId="10" dataDxfId="658" dataCellStyle="一般 2"/>
    <tableColumn id="11" uniqueName="11" name="F11" queryTableFieldId="11" dataDxfId="657" dataCellStyle="一般 2"/>
    <tableColumn id="12" uniqueName="12" name="F12" queryTableFieldId="12" dataDxfId="656" dataCellStyle="一般 2"/>
    <tableColumn id="13" uniqueName="13" name="F13" queryTableFieldId="13" dataDxfId="655" dataCellStyle="一般 2"/>
    <tableColumn id="14" uniqueName="14" name="F14" queryTableFieldId="14" dataDxfId="654" dataCellStyle="一般 2"/>
    <tableColumn id="15" uniqueName="15" name="F15" queryTableFieldId="15" dataDxfId="653" dataCellStyle="一般 2"/>
    <tableColumn id="16" uniqueName="16" name="F16" queryTableFieldId="16" dataDxfId="652" dataCellStyle="一般 2"/>
    <tableColumn id="17" uniqueName="17" name="F17" queryTableFieldId="17" dataDxfId="651" dataCellStyle="一般 2"/>
    <tableColumn id="18" uniqueName="18" name="F18" queryTableFieldId="18" dataDxfId="650" dataCellStyle="一般 2"/>
    <tableColumn id="19" uniqueName="19" name="F19" queryTableFieldId="19" dataDxfId="649" dataCellStyle="一般 2"/>
    <tableColumn id="20" uniqueName="20" name="F20" queryTableFieldId="20" dataDxfId="648" dataCellStyle="一般 2"/>
    <tableColumn id="21" uniqueName="21" name="F21" queryTableFieldId="21" dataDxfId="647" dataCellStyle="一般 2"/>
    <tableColumn id="22" uniqueName="22" name="2024/6/24 14:52" queryTableFieldId="22" dataDxfId="646" dataCellStyle="一般 2"/>
    <tableColumn id="23" uniqueName="23" name="F23" queryTableFieldId="23" dataDxfId="645" dataCellStyle="一般 2"/>
    <tableColumn id="24" uniqueName="24" name="F24" queryTableFieldId="24" dataDxfId="644" dataCellStyle="一般 2"/>
    <tableColumn id="25" uniqueName="25" name="F25" queryTableFieldId="25" dataDxfId="643" dataCellStyle="一般 2"/>
    <tableColumn id="26" uniqueName="26" name="F26" queryTableFieldId="26" dataDxfId="642" dataCellStyle="一般 2"/>
    <tableColumn id="27" uniqueName="27" name="F27" queryTableFieldId="27" dataDxfId="641" dataCellStyle="一般 2"/>
    <tableColumn id="28" uniqueName="28" name="F28" queryTableFieldId="28" dataDxfId="64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541" dataDxfId="540" headerRowCellStyle="一般 2" dataCellStyle="一般 2">
  <autoFilter ref="AG13:BH189"/>
  <tableColumns count="28">
    <tableColumn id="1" uniqueName="1" name="請直接以10進位，謝謝" queryTableFieldId="1" dataDxfId="539" dataCellStyle="一般 2"/>
    <tableColumn id="2" uniqueName="2" name="F2" queryTableFieldId="2" dataDxfId="538" dataCellStyle="一般 2"/>
    <tableColumn id="3" uniqueName="3" name="F3" queryTableFieldId="3" dataDxfId="537" dataCellStyle="一般 2"/>
    <tableColumn id="4" uniqueName="4" name="F4" queryTableFieldId="4" dataDxfId="536" dataCellStyle="一般 2"/>
    <tableColumn id="5" uniqueName="5" name="F5" queryTableFieldId="5" dataDxfId="535" dataCellStyle="一般 2"/>
    <tableColumn id="6" uniqueName="6" name="F6" queryTableFieldId="6" dataDxfId="534" dataCellStyle="一般 2"/>
    <tableColumn id="7" uniqueName="7" name="F7" queryTableFieldId="7" dataDxfId="533" dataCellStyle="一般 2"/>
    <tableColumn id="8" uniqueName="8" name="F8" queryTableFieldId="8" dataDxfId="532" dataCellStyle="一般 2"/>
    <tableColumn id="9" uniqueName="9" name="F9" queryTableFieldId="9" dataDxfId="531" dataCellStyle="一般 2"/>
    <tableColumn id="10" uniqueName="10" name="F10" queryTableFieldId="10" dataDxfId="530" dataCellStyle="一般 2"/>
    <tableColumn id="11" uniqueName="11" name="F11" queryTableFieldId="11" dataDxfId="529" dataCellStyle="一般 2"/>
    <tableColumn id="12" uniqueName="12" name="F12" queryTableFieldId="12" dataDxfId="528" dataCellStyle="一般 2"/>
    <tableColumn id="13" uniqueName="13" name="F13" queryTableFieldId="13" dataDxfId="527" dataCellStyle="一般 2"/>
    <tableColumn id="14" uniqueName="14" name="F14" queryTableFieldId="14" dataDxfId="526" dataCellStyle="一般 2"/>
    <tableColumn id="15" uniqueName="15" name="F15" queryTableFieldId="15" dataDxfId="525" dataCellStyle="一般 2"/>
    <tableColumn id="16" uniqueName="16" name="F16" queryTableFieldId="16" dataDxfId="524" dataCellStyle="一般 2"/>
    <tableColumn id="17" uniqueName="17" name="F17" queryTableFieldId="17" dataDxfId="523" dataCellStyle="一般 2"/>
    <tableColumn id="18" uniqueName="18" name="F18" queryTableFieldId="18" dataDxfId="522" dataCellStyle="一般 2"/>
    <tableColumn id="19" uniqueName="19" name="F19" queryTableFieldId="19" dataDxfId="521" dataCellStyle="一般 2"/>
    <tableColumn id="20" uniqueName="20" name="F20" queryTableFieldId="20" dataDxfId="520" dataCellStyle="一般 2"/>
    <tableColumn id="21" uniqueName="21" name="F21" queryTableFieldId="21" dataDxfId="519" dataCellStyle="一般 2"/>
    <tableColumn id="22" uniqueName="22" name="2024/6/24 14:52" queryTableFieldId="22" dataDxfId="518" dataCellStyle="一般 2"/>
    <tableColumn id="23" uniqueName="23" name="F23" queryTableFieldId="23" dataDxfId="517" dataCellStyle="一般 2"/>
    <tableColumn id="24" uniqueName="24" name="F24" queryTableFieldId="24" dataDxfId="516" dataCellStyle="一般 2"/>
    <tableColumn id="25" uniqueName="25" name="F25" queryTableFieldId="25" dataDxfId="515" dataCellStyle="一般 2"/>
    <tableColumn id="26" uniqueName="26" name="F26" queryTableFieldId="26" dataDxfId="514" dataCellStyle="一般 2"/>
    <tableColumn id="27" uniqueName="27" name="F27" queryTableFieldId="27" dataDxfId="513" dataCellStyle="一般 2"/>
    <tableColumn id="28" uniqueName="28" name="F28" queryTableFieldId="28" dataDxfId="512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413" dataDxfId="412" headerRowCellStyle="一般 2" dataCellStyle="一般 2">
  <autoFilter ref="AG13:BH189"/>
  <tableColumns count="28">
    <tableColumn id="1" uniqueName="1" name="請直接以10進位，謝謝" queryTableFieldId="1" dataDxfId="411" dataCellStyle="一般 2"/>
    <tableColumn id="2" uniqueName="2" name="F2" queryTableFieldId="2" dataDxfId="410" dataCellStyle="一般 2"/>
    <tableColumn id="3" uniqueName="3" name="F3" queryTableFieldId="3" dataDxfId="409" dataCellStyle="一般 2"/>
    <tableColumn id="4" uniqueName="4" name="F4" queryTableFieldId="4" dataDxfId="408" dataCellStyle="一般 2"/>
    <tableColumn id="5" uniqueName="5" name="F5" queryTableFieldId="5" dataDxfId="407" dataCellStyle="一般 2"/>
    <tableColumn id="6" uniqueName="6" name="F6" queryTableFieldId="6" dataDxfId="406" dataCellStyle="一般 2"/>
    <tableColumn id="7" uniqueName="7" name="F7" queryTableFieldId="7" dataDxfId="405" dataCellStyle="一般 2"/>
    <tableColumn id="8" uniqueName="8" name="F8" queryTableFieldId="8" dataDxfId="404" dataCellStyle="一般 2"/>
    <tableColumn id="9" uniqueName="9" name="F9" queryTableFieldId="9" dataDxfId="403" dataCellStyle="一般 2"/>
    <tableColumn id="10" uniqueName="10" name="F10" queryTableFieldId="10" dataDxfId="402" dataCellStyle="一般 2"/>
    <tableColumn id="11" uniqueName="11" name="F11" queryTableFieldId="11" dataDxfId="401" dataCellStyle="一般 2"/>
    <tableColumn id="12" uniqueName="12" name="F12" queryTableFieldId="12" dataDxfId="400" dataCellStyle="一般 2"/>
    <tableColumn id="13" uniqueName="13" name="F13" queryTableFieldId="13" dataDxfId="399" dataCellStyle="一般 2"/>
    <tableColumn id="14" uniqueName="14" name="F14" queryTableFieldId="14" dataDxfId="398" dataCellStyle="一般 2"/>
    <tableColumn id="15" uniqueName="15" name="F15" queryTableFieldId="15" dataDxfId="397" dataCellStyle="一般 2"/>
    <tableColumn id="16" uniqueName="16" name="F16" queryTableFieldId="16" dataDxfId="396" dataCellStyle="一般 2"/>
    <tableColumn id="17" uniqueName="17" name="F17" queryTableFieldId="17" dataDxfId="395" dataCellStyle="一般 2"/>
    <tableColumn id="18" uniqueName="18" name="F18" queryTableFieldId="18" dataDxfId="394" dataCellStyle="一般 2"/>
    <tableColumn id="19" uniqueName="19" name="F19" queryTableFieldId="19" dataDxfId="393" dataCellStyle="一般 2"/>
    <tableColumn id="20" uniqueName="20" name="F20" queryTableFieldId="20" dataDxfId="392" dataCellStyle="一般 2"/>
    <tableColumn id="21" uniqueName="21" name="F21" queryTableFieldId="21" dataDxfId="391" dataCellStyle="一般 2"/>
    <tableColumn id="22" uniqueName="22" name="2024/6/24 14:52" queryTableFieldId="22" dataDxfId="390" dataCellStyle="一般 2"/>
    <tableColumn id="23" uniqueName="23" name="F23" queryTableFieldId="23" dataDxfId="389" dataCellStyle="一般 2"/>
    <tableColumn id="24" uniqueName="24" name="F24" queryTableFieldId="24" dataDxfId="388" dataCellStyle="一般 2"/>
    <tableColumn id="25" uniqueName="25" name="F25" queryTableFieldId="25" dataDxfId="387" dataCellStyle="一般 2"/>
    <tableColumn id="26" uniqueName="26" name="F26" queryTableFieldId="26" dataDxfId="386" dataCellStyle="一般 2"/>
    <tableColumn id="27" uniqueName="27" name="F27" queryTableFieldId="27" dataDxfId="385" dataCellStyle="一般 2"/>
    <tableColumn id="28" uniqueName="28" name="F28" queryTableFieldId="28" dataDxfId="384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285" dataDxfId="284" headerRowCellStyle="一般 2" dataCellStyle="一般 2">
  <autoFilter ref="AG13:BH189"/>
  <tableColumns count="28">
    <tableColumn id="1" uniqueName="1" name="請直接以10進位，謝謝" queryTableFieldId="1" dataDxfId="283" dataCellStyle="一般 2"/>
    <tableColumn id="2" uniqueName="2" name="F2" queryTableFieldId="2" dataDxfId="282" dataCellStyle="一般 2"/>
    <tableColumn id="3" uniqueName="3" name="F3" queryTableFieldId="3" dataDxfId="281" dataCellStyle="一般 2"/>
    <tableColumn id="4" uniqueName="4" name="F4" queryTableFieldId="4" dataDxfId="280" dataCellStyle="一般 2"/>
    <tableColumn id="5" uniqueName="5" name="F5" queryTableFieldId="5" dataDxfId="279" dataCellStyle="一般 2"/>
    <tableColumn id="6" uniqueName="6" name="F6" queryTableFieldId="6" dataDxfId="278" dataCellStyle="一般 2"/>
    <tableColumn id="7" uniqueName="7" name="F7" queryTableFieldId="7" dataDxfId="277" dataCellStyle="一般 2"/>
    <tableColumn id="8" uniqueName="8" name="F8" queryTableFieldId="8" dataDxfId="276" dataCellStyle="一般 2"/>
    <tableColumn id="9" uniqueName="9" name="F9" queryTableFieldId="9" dataDxfId="275" dataCellStyle="一般 2"/>
    <tableColumn id="10" uniqueName="10" name="F10" queryTableFieldId="10" dataDxfId="274" dataCellStyle="一般 2"/>
    <tableColumn id="11" uniqueName="11" name="F11" queryTableFieldId="11" dataDxfId="273" dataCellStyle="一般 2"/>
    <tableColumn id="12" uniqueName="12" name="F12" queryTableFieldId="12" dataDxfId="272" dataCellStyle="一般 2"/>
    <tableColumn id="13" uniqueName="13" name="F13" queryTableFieldId="13" dataDxfId="271" dataCellStyle="一般 2"/>
    <tableColumn id="14" uniqueName="14" name="F14" queryTableFieldId="14" dataDxfId="270" dataCellStyle="一般 2"/>
    <tableColumn id="15" uniqueName="15" name="F15" queryTableFieldId="15" dataDxfId="269" dataCellStyle="一般 2"/>
    <tableColumn id="16" uniqueName="16" name="F16" queryTableFieldId="16" dataDxfId="268" dataCellStyle="一般 2"/>
    <tableColumn id="17" uniqueName="17" name="F17" queryTableFieldId="17" dataDxfId="267" dataCellStyle="一般 2"/>
    <tableColumn id="18" uniqueName="18" name="F18" queryTableFieldId="18" dataDxfId="266" dataCellStyle="一般 2"/>
    <tableColumn id="19" uniqueName="19" name="F19" queryTableFieldId="19" dataDxfId="265" dataCellStyle="一般 2"/>
    <tableColumn id="20" uniqueName="20" name="F20" queryTableFieldId="20" dataDxfId="264" dataCellStyle="一般 2"/>
    <tableColumn id="21" uniqueName="21" name="F21" queryTableFieldId="21" dataDxfId="263" dataCellStyle="一般 2"/>
    <tableColumn id="22" uniqueName="22" name="2024/6/24 14:52" queryTableFieldId="22" dataDxfId="262" dataCellStyle="一般 2"/>
    <tableColumn id="23" uniqueName="23" name="F23" queryTableFieldId="23" dataDxfId="261" dataCellStyle="一般 2"/>
    <tableColumn id="24" uniqueName="24" name="F24" queryTableFieldId="24" dataDxfId="260" dataCellStyle="一般 2"/>
    <tableColumn id="25" uniqueName="25" name="F25" queryTableFieldId="25" dataDxfId="259" dataCellStyle="一般 2"/>
    <tableColumn id="26" uniqueName="26" name="F26" queryTableFieldId="26" dataDxfId="258" dataCellStyle="一般 2"/>
    <tableColumn id="27" uniqueName="27" name="F27" queryTableFieldId="27" dataDxfId="257" dataCellStyle="一般 2"/>
    <tableColumn id="28" uniqueName="28" name="F28" queryTableFieldId="28" dataDxfId="256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57" dataDxfId="156" headerRowCellStyle="一般 2" dataCellStyle="一般 2">
  <autoFilter ref="AG13:BH189"/>
  <tableColumns count="28">
    <tableColumn id="1" uniqueName="1" name="請直接以10進位，謝謝" queryTableFieldId="1" dataDxfId="155" dataCellStyle="一般 2"/>
    <tableColumn id="2" uniqueName="2" name="F2" queryTableFieldId="2" dataDxfId="154" dataCellStyle="一般 2"/>
    <tableColumn id="3" uniqueName="3" name="F3" queryTableFieldId="3" dataDxfId="153" dataCellStyle="一般 2"/>
    <tableColumn id="4" uniqueName="4" name="F4" queryTableFieldId="4" dataDxfId="152" dataCellStyle="一般 2"/>
    <tableColumn id="5" uniqueName="5" name="F5" queryTableFieldId="5" dataDxfId="151" dataCellStyle="一般 2"/>
    <tableColumn id="6" uniqueName="6" name="F6" queryTableFieldId="6" dataDxfId="150" dataCellStyle="一般 2"/>
    <tableColumn id="7" uniqueName="7" name="F7" queryTableFieldId="7" dataDxfId="149" dataCellStyle="一般 2"/>
    <tableColumn id="8" uniqueName="8" name="F8" queryTableFieldId="8" dataDxfId="148" dataCellStyle="一般 2"/>
    <tableColumn id="9" uniqueName="9" name="F9" queryTableFieldId="9" dataDxfId="147" dataCellStyle="一般 2"/>
    <tableColumn id="10" uniqueName="10" name="F10" queryTableFieldId="10" dataDxfId="146" dataCellStyle="一般 2"/>
    <tableColumn id="11" uniqueName="11" name="F11" queryTableFieldId="11" dataDxfId="145" dataCellStyle="一般 2"/>
    <tableColumn id="12" uniqueName="12" name="F12" queryTableFieldId="12" dataDxfId="144" dataCellStyle="一般 2"/>
    <tableColumn id="13" uniqueName="13" name="F13" queryTableFieldId="13" dataDxfId="143" dataCellStyle="一般 2"/>
    <tableColumn id="14" uniqueName="14" name="F14" queryTableFieldId="14" dataDxfId="142" dataCellStyle="一般 2"/>
    <tableColumn id="15" uniqueName="15" name="F15" queryTableFieldId="15" dataDxfId="141" dataCellStyle="一般 2"/>
    <tableColumn id="16" uniqueName="16" name="F16" queryTableFieldId="16" dataDxfId="140" dataCellStyle="一般 2"/>
    <tableColumn id="17" uniqueName="17" name="F17" queryTableFieldId="17" dataDxfId="139" dataCellStyle="一般 2"/>
    <tableColumn id="18" uniqueName="18" name="F18" queryTableFieldId="18" dataDxfId="138" dataCellStyle="一般 2"/>
    <tableColumn id="19" uniqueName="19" name="F19" queryTableFieldId="19" dataDxfId="137" dataCellStyle="一般 2"/>
    <tableColumn id="20" uniqueName="20" name="F20" queryTableFieldId="20" dataDxfId="136" dataCellStyle="一般 2"/>
    <tableColumn id="21" uniqueName="21" name="F21" queryTableFieldId="21" dataDxfId="135" dataCellStyle="一般 2"/>
    <tableColumn id="22" uniqueName="22" name="2024/6/24 14:52" queryTableFieldId="22" dataDxfId="134" dataCellStyle="一般 2"/>
    <tableColumn id="23" uniqueName="23" name="F23" queryTableFieldId="23" dataDxfId="133" dataCellStyle="一般 2"/>
    <tableColumn id="24" uniqueName="24" name="F24" queryTableFieldId="24" dataDxfId="132" dataCellStyle="一般 2"/>
    <tableColumn id="25" uniqueName="25" name="F25" queryTableFieldId="25" dataDxfId="131" dataCellStyle="一般 2"/>
    <tableColumn id="26" uniqueName="26" name="F26" queryTableFieldId="26" dataDxfId="130" dataCellStyle="一般 2"/>
    <tableColumn id="27" uniqueName="27" name="F27" queryTableFieldId="27" dataDxfId="129" dataCellStyle="一般 2"/>
    <tableColumn id="28" uniqueName="28" name="F28" queryTableFieldId="28" dataDxfId="128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5" zoomScale="80" zoomScaleNormal="100" zoomScaleSheetLayoutView="80" workbookViewId="0">
      <selection activeCell="L44" sqref="L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8" t="s">
        <v>172</v>
      </c>
      <c r="B1" s="168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6786</v>
      </c>
      <c r="C3" s="121">
        <v>24</v>
      </c>
      <c r="D3" s="122" t="s">
        <v>76</v>
      </c>
      <c r="E3" s="120">
        <v>3542</v>
      </c>
      <c r="F3" s="121">
        <v>16</v>
      </c>
      <c r="G3" s="119">
        <v>661</v>
      </c>
      <c r="H3" s="120">
        <v>6942</v>
      </c>
      <c r="I3" s="123">
        <v>25</v>
      </c>
      <c r="J3" s="119">
        <v>681</v>
      </c>
      <c r="K3" s="120">
        <v>1969</v>
      </c>
      <c r="L3" s="124">
        <v>24</v>
      </c>
      <c r="M3" s="169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4634</v>
      </c>
      <c r="C4" s="121">
        <v>25</v>
      </c>
      <c r="D4" s="122" t="s">
        <v>77</v>
      </c>
      <c r="E4" s="120">
        <v>7118</v>
      </c>
      <c r="F4" s="121">
        <v>24</v>
      </c>
      <c r="G4" s="119">
        <v>662</v>
      </c>
      <c r="H4" s="120">
        <v>1612</v>
      </c>
      <c r="I4" s="123">
        <v>25</v>
      </c>
      <c r="J4" s="119">
        <v>682</v>
      </c>
      <c r="K4" s="120">
        <v>2192</v>
      </c>
      <c r="L4" s="133">
        <v>25</v>
      </c>
      <c r="M4" s="170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6458</v>
      </c>
      <c r="C5" s="121">
        <v>24</v>
      </c>
      <c r="D5" s="122">
        <v>631</v>
      </c>
      <c r="E5" s="120">
        <v>2017</v>
      </c>
      <c r="F5" s="121">
        <v>21</v>
      </c>
      <c r="G5" s="119">
        <v>663</v>
      </c>
      <c r="H5" s="120">
        <v>1835</v>
      </c>
      <c r="I5" s="123">
        <v>26</v>
      </c>
      <c r="J5" s="119">
        <v>683</v>
      </c>
      <c r="K5" s="120">
        <v>2896</v>
      </c>
      <c r="L5" s="133">
        <v>23</v>
      </c>
      <c r="M5" s="170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1264</v>
      </c>
      <c r="C6" s="126">
        <v>24</v>
      </c>
      <c r="D6" s="127">
        <v>632</v>
      </c>
      <c r="E6" s="125">
        <v>2721</v>
      </c>
      <c r="F6" s="126">
        <v>24</v>
      </c>
      <c r="G6" s="127">
        <v>664</v>
      </c>
      <c r="H6" s="120">
        <v>6193</v>
      </c>
      <c r="I6" s="124">
        <v>24</v>
      </c>
      <c r="J6" s="127">
        <v>684</v>
      </c>
      <c r="K6" s="125">
        <v>4834</v>
      </c>
      <c r="L6" s="133">
        <v>24</v>
      </c>
      <c r="M6" s="170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5227</v>
      </c>
      <c r="C7" s="126">
        <v>20</v>
      </c>
      <c r="D7" s="127">
        <v>633</v>
      </c>
      <c r="E7" s="125">
        <v>2273</v>
      </c>
      <c r="F7" s="126">
        <v>17</v>
      </c>
      <c r="G7" s="127">
        <v>665</v>
      </c>
      <c r="H7" s="125">
        <v>2415</v>
      </c>
      <c r="I7" s="124">
        <v>25</v>
      </c>
      <c r="J7" s="127">
        <v>685</v>
      </c>
      <c r="K7" s="125">
        <v>3834</v>
      </c>
      <c r="L7" s="133">
        <v>24</v>
      </c>
      <c r="M7" s="170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59.04</v>
      </c>
      <c r="C8" s="134">
        <v>25</v>
      </c>
      <c r="D8" s="127">
        <v>634</v>
      </c>
      <c r="E8" s="125">
        <v>553</v>
      </c>
      <c r="F8" s="126">
        <v>21</v>
      </c>
      <c r="G8" s="127">
        <v>666</v>
      </c>
      <c r="H8" s="125">
        <v>5903</v>
      </c>
      <c r="I8" s="124">
        <v>23</v>
      </c>
      <c r="J8" s="127">
        <v>686</v>
      </c>
      <c r="K8" s="125">
        <v>5582</v>
      </c>
      <c r="L8" s="133">
        <v>23</v>
      </c>
      <c r="M8" s="170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6.99</v>
      </c>
      <c r="C9" s="134">
        <v>25</v>
      </c>
      <c r="D9" s="127">
        <v>641</v>
      </c>
      <c r="E9" s="125">
        <v>5056</v>
      </c>
      <c r="F9" s="126">
        <v>26</v>
      </c>
      <c r="G9" s="127">
        <v>667</v>
      </c>
      <c r="H9" s="125">
        <v>4942</v>
      </c>
      <c r="I9" s="124">
        <v>27</v>
      </c>
      <c r="J9" s="127">
        <v>687</v>
      </c>
      <c r="K9" s="125">
        <v>5106</v>
      </c>
      <c r="L9" s="133">
        <v>23</v>
      </c>
      <c r="M9" s="170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8.59</v>
      </c>
      <c r="C10" s="134">
        <v>25</v>
      </c>
      <c r="D10" s="127">
        <v>642</v>
      </c>
      <c r="E10" s="125">
        <v>2040</v>
      </c>
      <c r="F10" s="126">
        <v>30</v>
      </c>
      <c r="G10" s="127">
        <v>668</v>
      </c>
      <c r="H10" s="125">
        <v>5045</v>
      </c>
      <c r="I10" s="124">
        <v>27</v>
      </c>
      <c r="J10" s="127">
        <v>688</v>
      </c>
      <c r="K10" s="125">
        <v>5504</v>
      </c>
      <c r="L10" s="133">
        <v>22</v>
      </c>
      <c r="M10" s="170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27.88</v>
      </c>
      <c r="C11" s="134">
        <v>25</v>
      </c>
      <c r="D11" s="127">
        <v>643</v>
      </c>
      <c r="E11" s="125">
        <v>5965</v>
      </c>
      <c r="F11" s="126">
        <v>25</v>
      </c>
      <c r="G11" s="127">
        <v>669</v>
      </c>
      <c r="H11" s="125">
        <v>851</v>
      </c>
      <c r="I11" s="124">
        <v>26</v>
      </c>
      <c r="J11" s="127">
        <v>689</v>
      </c>
      <c r="K11" s="125">
        <v>5578</v>
      </c>
      <c r="L11" s="133">
        <v>23</v>
      </c>
      <c r="M11" s="170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1246</v>
      </c>
      <c r="C12" s="126">
        <v>25</v>
      </c>
      <c r="D12" s="127">
        <v>645</v>
      </c>
      <c r="E12" s="125">
        <v>3069</v>
      </c>
      <c r="F12" s="126">
        <v>25</v>
      </c>
      <c r="G12" s="127">
        <v>670</v>
      </c>
      <c r="H12" s="125">
        <v>-2365</v>
      </c>
      <c r="I12" s="124">
        <v>26</v>
      </c>
      <c r="J12" s="127">
        <v>690</v>
      </c>
      <c r="K12" s="125">
        <v>382</v>
      </c>
      <c r="L12" s="124">
        <v>24</v>
      </c>
      <c r="M12" s="170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2504</v>
      </c>
      <c r="C13" s="126">
        <v>26</v>
      </c>
      <c r="D13" s="127">
        <v>651</v>
      </c>
      <c r="E13" s="125">
        <v>4232</v>
      </c>
      <c r="F13" s="126">
        <v>31</v>
      </c>
      <c r="G13" s="127">
        <v>671</v>
      </c>
      <c r="H13" s="125">
        <v>0</v>
      </c>
      <c r="I13" s="124">
        <v>25</v>
      </c>
      <c r="J13" s="127">
        <v>691</v>
      </c>
      <c r="K13" s="125">
        <v>1920</v>
      </c>
      <c r="L13" s="133">
        <v>24</v>
      </c>
      <c r="M13" s="170"/>
      <c r="N13" s="172" t="s">
        <v>171</v>
      </c>
      <c r="O13" s="173" t="s">
        <v>143</v>
      </c>
      <c r="P13" s="174">
        <v>7.0686</v>
      </c>
      <c r="Q13" s="166" t="s">
        <v>148</v>
      </c>
      <c r="S13" s="167">
        <v>7000</v>
      </c>
    </row>
    <row r="14" spans="1:24" s="53" customFormat="1" ht="22.2" customHeight="1">
      <c r="A14" s="119">
        <v>623</v>
      </c>
      <c r="B14" s="125">
        <v>105</v>
      </c>
      <c r="C14" s="126">
        <v>27</v>
      </c>
      <c r="D14" s="127">
        <v>652</v>
      </c>
      <c r="E14" s="125">
        <v>4176</v>
      </c>
      <c r="F14" s="126">
        <v>24</v>
      </c>
      <c r="G14" s="127">
        <v>672</v>
      </c>
      <c r="H14" s="125">
        <v>9</v>
      </c>
      <c r="I14" s="124">
        <v>23</v>
      </c>
      <c r="J14" s="127">
        <v>692</v>
      </c>
      <c r="K14" s="125">
        <v>218</v>
      </c>
      <c r="L14" s="133">
        <v>25</v>
      </c>
      <c r="M14" s="170"/>
      <c r="N14" s="172"/>
      <c r="O14" s="173"/>
      <c r="P14" s="174"/>
      <c r="Q14" s="166"/>
      <c r="S14" s="167"/>
    </row>
    <row r="15" spans="1:24" s="53" customFormat="1" ht="22.2" customHeight="1">
      <c r="A15" s="122">
        <v>624</v>
      </c>
      <c r="B15" s="125">
        <v>2559</v>
      </c>
      <c r="C15" s="126">
        <v>23</v>
      </c>
      <c r="D15" s="128">
        <v>653</v>
      </c>
      <c r="E15" s="125">
        <v>0</v>
      </c>
      <c r="F15" s="126">
        <v>20</v>
      </c>
      <c r="G15" s="127">
        <v>673</v>
      </c>
      <c r="H15" s="125">
        <v>1095</v>
      </c>
      <c r="I15" s="124">
        <v>25</v>
      </c>
      <c r="J15" s="127">
        <v>693</v>
      </c>
      <c r="K15" s="125">
        <v>2318</v>
      </c>
      <c r="L15" s="133">
        <v>23</v>
      </c>
      <c r="M15" s="170"/>
      <c r="N15" s="172"/>
      <c r="O15" s="173"/>
      <c r="P15" s="174"/>
      <c r="Q15" s="166"/>
      <c r="R15" s="55"/>
      <c r="S15" s="140">
        <v>6000</v>
      </c>
    </row>
    <row r="16" spans="1:24" s="53" customFormat="1" ht="22.2" customHeight="1">
      <c r="A16" s="122" t="s">
        <v>80</v>
      </c>
      <c r="B16" s="125">
        <v>6761</v>
      </c>
      <c r="C16" s="126">
        <v>25</v>
      </c>
      <c r="D16" s="127">
        <v>654</v>
      </c>
      <c r="E16" s="125">
        <v>1617</v>
      </c>
      <c r="F16" s="126">
        <v>24</v>
      </c>
      <c r="G16" s="127">
        <v>674</v>
      </c>
      <c r="H16" s="125">
        <v>2144</v>
      </c>
      <c r="I16" s="124">
        <v>23</v>
      </c>
      <c r="J16" s="127">
        <v>694</v>
      </c>
      <c r="K16" s="125">
        <v>279</v>
      </c>
      <c r="L16" s="133">
        <v>24</v>
      </c>
      <c r="M16" s="170"/>
      <c r="Q16" s="55"/>
      <c r="R16" s="55"/>
      <c r="S16" s="55"/>
    </row>
    <row r="17" spans="1:19" s="53" customFormat="1" ht="22.2" customHeight="1">
      <c r="A17" s="122" t="s">
        <v>26</v>
      </c>
      <c r="B17" s="125">
        <v>6645</v>
      </c>
      <c r="C17" s="126">
        <v>30</v>
      </c>
      <c r="D17" s="128">
        <v>655</v>
      </c>
      <c r="E17" s="125">
        <v>736</v>
      </c>
      <c r="F17" s="126">
        <v>25</v>
      </c>
      <c r="G17" s="127">
        <v>675</v>
      </c>
      <c r="H17" s="125">
        <v>84.1</v>
      </c>
      <c r="I17" s="133">
        <v>25</v>
      </c>
      <c r="J17" s="127">
        <v>695</v>
      </c>
      <c r="K17" s="125">
        <v>4295</v>
      </c>
      <c r="L17" s="133">
        <v>24</v>
      </c>
      <c r="M17" s="170"/>
      <c r="Q17" s="55"/>
      <c r="R17" s="55"/>
      <c r="S17" s="55"/>
    </row>
    <row r="18" spans="1:19" s="53" customFormat="1" ht="22.2" customHeight="1">
      <c r="A18" s="122" t="s">
        <v>27</v>
      </c>
      <c r="B18" s="125">
        <v>5544</v>
      </c>
      <c r="C18" s="126">
        <v>21</v>
      </c>
      <c r="D18" s="127">
        <v>656</v>
      </c>
      <c r="E18" s="125">
        <v>4682</v>
      </c>
      <c r="F18" s="126">
        <v>28</v>
      </c>
      <c r="G18" s="127">
        <v>676</v>
      </c>
      <c r="H18" s="125">
        <v>54.42</v>
      </c>
      <c r="I18" s="133">
        <v>25</v>
      </c>
      <c r="J18" s="127">
        <v>696</v>
      </c>
      <c r="K18" s="125">
        <v>11751</v>
      </c>
      <c r="L18" s="133">
        <v>23</v>
      </c>
      <c r="M18" s="170"/>
      <c r="Q18" s="55"/>
      <c r="R18" s="55"/>
      <c r="S18" s="55"/>
    </row>
    <row r="19" spans="1:19" s="53" customFormat="1" ht="22.2" customHeight="1">
      <c r="A19" s="122" t="s">
        <v>28</v>
      </c>
      <c r="B19" s="125">
        <v>7262</v>
      </c>
      <c r="C19" s="126">
        <v>20</v>
      </c>
      <c r="D19" s="127">
        <v>657</v>
      </c>
      <c r="E19" s="125">
        <v>3966</v>
      </c>
      <c r="F19" s="126">
        <v>25</v>
      </c>
      <c r="G19" s="127">
        <v>677</v>
      </c>
      <c r="H19" s="125">
        <v>78.73</v>
      </c>
      <c r="I19" s="133">
        <v>25</v>
      </c>
      <c r="J19" s="127">
        <v>697</v>
      </c>
      <c r="K19" s="125">
        <v>8286</v>
      </c>
      <c r="L19" s="133">
        <v>25</v>
      </c>
      <c r="M19" s="170"/>
      <c r="Q19" s="55"/>
      <c r="R19" s="55"/>
      <c r="S19" s="55"/>
    </row>
    <row r="20" spans="1:19" s="53" customFormat="1" ht="22.2" customHeight="1">
      <c r="A20" s="122" t="s">
        <v>29</v>
      </c>
      <c r="B20" s="125">
        <v>494</v>
      </c>
      <c r="C20" s="126">
        <v>25</v>
      </c>
      <c r="D20" s="128">
        <v>658</v>
      </c>
      <c r="E20" s="125">
        <v>6233</v>
      </c>
      <c r="F20" s="126">
        <v>26</v>
      </c>
      <c r="G20" s="127">
        <v>678</v>
      </c>
      <c r="H20" s="125">
        <v>46.06</v>
      </c>
      <c r="I20" s="133">
        <v>25</v>
      </c>
      <c r="J20" s="127">
        <v>698</v>
      </c>
      <c r="K20" s="125">
        <v>3299</v>
      </c>
      <c r="L20" s="133">
        <v>25</v>
      </c>
      <c r="M20" s="170"/>
      <c r="Q20" s="55"/>
      <c r="R20" s="55"/>
      <c r="S20" s="55"/>
    </row>
    <row r="21" spans="1:19" s="53" customFormat="1" ht="22.2" customHeight="1">
      <c r="A21" s="122" t="s">
        <v>30</v>
      </c>
      <c r="B21" s="125">
        <v>0</v>
      </c>
      <c r="C21" s="126">
        <v>27</v>
      </c>
      <c r="D21" s="127">
        <v>659</v>
      </c>
      <c r="E21" s="125">
        <v>379</v>
      </c>
      <c r="F21" s="126">
        <v>22</v>
      </c>
      <c r="G21" s="127">
        <v>680</v>
      </c>
      <c r="H21" s="125">
        <v>1554</v>
      </c>
      <c r="I21" s="133">
        <v>23</v>
      </c>
      <c r="J21" s="127">
        <v>699</v>
      </c>
      <c r="K21" s="125">
        <v>5140</v>
      </c>
      <c r="L21" s="133">
        <v>24</v>
      </c>
      <c r="M21" s="170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24</v>
      </c>
      <c r="D22" s="131">
        <v>660</v>
      </c>
      <c r="E22" s="130">
        <v>6398</v>
      </c>
      <c r="F22" s="132">
        <v>25</v>
      </c>
      <c r="G22" s="131"/>
      <c r="H22" s="130"/>
      <c r="I22" s="132"/>
      <c r="J22" s="131"/>
      <c r="K22" s="130"/>
      <c r="L22" s="132"/>
      <c r="M22" s="171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8"/>
      <c r="B24" s="168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6790</v>
      </c>
      <c r="C26" s="121">
        <v>25</v>
      </c>
      <c r="D26" s="122" t="s">
        <v>76</v>
      </c>
      <c r="E26" s="120">
        <v>0</v>
      </c>
      <c r="F26" s="121">
        <v>23</v>
      </c>
      <c r="G26" s="119">
        <v>661</v>
      </c>
      <c r="H26" s="120">
        <v>6952</v>
      </c>
      <c r="I26" s="123">
        <v>28</v>
      </c>
      <c r="J26" s="119">
        <v>681</v>
      </c>
      <c r="K26" s="120">
        <v>1470</v>
      </c>
      <c r="L26" s="124">
        <v>24</v>
      </c>
      <c r="M26" s="169"/>
    </row>
    <row r="27" spans="1:19" ht="21.75" customHeight="1">
      <c r="A27" s="119">
        <v>602</v>
      </c>
      <c r="B27" s="120">
        <v>4932</v>
      </c>
      <c r="C27" s="121">
        <v>26</v>
      </c>
      <c r="D27" s="122" t="s">
        <v>77</v>
      </c>
      <c r="E27" s="120">
        <v>5825</v>
      </c>
      <c r="F27" s="121">
        <v>25</v>
      </c>
      <c r="G27" s="119">
        <v>662</v>
      </c>
      <c r="H27" s="120">
        <v>1613</v>
      </c>
      <c r="I27" s="123">
        <v>28</v>
      </c>
      <c r="J27" s="119">
        <v>682</v>
      </c>
      <c r="K27" s="120">
        <v>2149</v>
      </c>
      <c r="L27" s="133">
        <v>25</v>
      </c>
      <c r="M27" s="170"/>
    </row>
    <row r="28" spans="1:19" ht="21.75" customHeight="1">
      <c r="A28" s="119">
        <v>603</v>
      </c>
      <c r="B28" s="120">
        <v>6459</v>
      </c>
      <c r="C28" s="121">
        <v>24</v>
      </c>
      <c r="D28" s="122">
        <v>631</v>
      </c>
      <c r="E28" s="120">
        <v>484</v>
      </c>
      <c r="F28" s="121">
        <v>21</v>
      </c>
      <c r="G28" s="119">
        <v>663</v>
      </c>
      <c r="H28" s="120">
        <v>417</v>
      </c>
      <c r="I28" s="123">
        <v>35</v>
      </c>
      <c r="J28" s="119">
        <v>683</v>
      </c>
      <c r="K28" s="120">
        <v>2895</v>
      </c>
      <c r="L28" s="133">
        <v>23</v>
      </c>
      <c r="M28" s="170"/>
    </row>
    <row r="29" spans="1:19" ht="21.75" customHeight="1">
      <c r="A29" s="119" t="s">
        <v>78</v>
      </c>
      <c r="B29" s="125">
        <v>3003</v>
      </c>
      <c r="C29" s="126">
        <v>25</v>
      </c>
      <c r="D29" s="127">
        <v>632</v>
      </c>
      <c r="E29" s="125">
        <v>2924</v>
      </c>
      <c r="F29" s="126">
        <v>25</v>
      </c>
      <c r="G29" s="127">
        <v>664</v>
      </c>
      <c r="H29" s="120">
        <v>6198</v>
      </c>
      <c r="I29" s="124">
        <v>26</v>
      </c>
      <c r="J29" s="127">
        <v>684</v>
      </c>
      <c r="K29" s="125">
        <v>4839</v>
      </c>
      <c r="L29" s="133">
        <v>25</v>
      </c>
      <c r="M29" s="170"/>
    </row>
    <row r="30" spans="1:19" ht="21.75" customHeight="1">
      <c r="A30" s="119" t="s">
        <v>79</v>
      </c>
      <c r="B30" s="125">
        <v>5231</v>
      </c>
      <c r="C30" s="126">
        <v>22</v>
      </c>
      <c r="D30" s="127">
        <v>633</v>
      </c>
      <c r="E30" s="125">
        <v>2149</v>
      </c>
      <c r="F30" s="126">
        <v>18</v>
      </c>
      <c r="G30" s="127">
        <v>665</v>
      </c>
      <c r="H30" s="125">
        <v>2415</v>
      </c>
      <c r="I30" s="124">
        <v>30</v>
      </c>
      <c r="J30" s="127">
        <v>685</v>
      </c>
      <c r="K30" s="125">
        <v>3834</v>
      </c>
      <c r="L30" s="133">
        <v>23</v>
      </c>
      <c r="M30" s="170"/>
    </row>
    <row r="31" spans="1:19" ht="21.75" customHeight="1">
      <c r="A31" s="119">
        <v>611</v>
      </c>
      <c r="B31" s="125">
        <v>10.66</v>
      </c>
      <c r="C31" s="134">
        <v>25</v>
      </c>
      <c r="D31" s="127">
        <v>634</v>
      </c>
      <c r="E31" s="125">
        <v>875</v>
      </c>
      <c r="F31" s="126">
        <v>24</v>
      </c>
      <c r="G31" s="127">
        <v>666</v>
      </c>
      <c r="H31" s="125">
        <v>5906</v>
      </c>
      <c r="I31" s="124">
        <v>24</v>
      </c>
      <c r="J31" s="127">
        <v>686</v>
      </c>
      <c r="K31" s="125">
        <v>5589</v>
      </c>
      <c r="L31" s="133">
        <v>24</v>
      </c>
      <c r="M31" s="170"/>
    </row>
    <row r="32" spans="1:19" ht="21.75" customHeight="1">
      <c r="A32" s="119">
        <v>612</v>
      </c>
      <c r="B32" s="125">
        <v>7.07</v>
      </c>
      <c r="C32" s="134">
        <v>25</v>
      </c>
      <c r="D32" s="127">
        <v>641</v>
      </c>
      <c r="E32" s="125">
        <v>5085</v>
      </c>
      <c r="F32" s="126">
        <v>26</v>
      </c>
      <c r="G32" s="127">
        <v>667</v>
      </c>
      <c r="H32" s="125">
        <v>4942</v>
      </c>
      <c r="I32" s="124">
        <v>28</v>
      </c>
      <c r="J32" s="127">
        <v>687</v>
      </c>
      <c r="K32" s="125">
        <v>5107</v>
      </c>
      <c r="L32" s="133">
        <v>24</v>
      </c>
      <c r="M32" s="170"/>
    </row>
    <row r="33" spans="1:13" ht="21.75" customHeight="1">
      <c r="A33" s="119">
        <v>613</v>
      </c>
      <c r="B33" s="125">
        <v>8.61</v>
      </c>
      <c r="C33" s="134">
        <v>25</v>
      </c>
      <c r="D33" s="127">
        <v>642</v>
      </c>
      <c r="E33" s="125">
        <v>2342</v>
      </c>
      <c r="F33" s="126">
        <v>31</v>
      </c>
      <c r="G33" s="127">
        <v>668</v>
      </c>
      <c r="H33" s="125">
        <v>5044</v>
      </c>
      <c r="I33" s="124">
        <v>29</v>
      </c>
      <c r="J33" s="127">
        <v>688</v>
      </c>
      <c r="K33" s="125">
        <v>5503</v>
      </c>
      <c r="L33" s="133">
        <v>22</v>
      </c>
      <c r="M33" s="170"/>
    </row>
    <row r="34" spans="1:13" ht="21.75" customHeight="1">
      <c r="A34" s="119">
        <v>614</v>
      </c>
      <c r="B34" s="125">
        <v>10.17</v>
      </c>
      <c r="C34" s="134">
        <v>25</v>
      </c>
      <c r="D34" s="127">
        <v>643</v>
      </c>
      <c r="E34" s="125">
        <v>5974</v>
      </c>
      <c r="F34" s="126">
        <v>28</v>
      </c>
      <c r="G34" s="127">
        <v>669</v>
      </c>
      <c r="H34" s="125">
        <v>850</v>
      </c>
      <c r="I34" s="124">
        <v>28</v>
      </c>
      <c r="J34" s="127">
        <v>689</v>
      </c>
      <c r="K34" s="125">
        <v>5576</v>
      </c>
      <c r="L34" s="133">
        <v>22</v>
      </c>
      <c r="M34" s="170"/>
    </row>
    <row r="35" spans="1:13" ht="21.75" customHeight="1">
      <c r="A35" s="119">
        <v>621</v>
      </c>
      <c r="B35" s="125">
        <v>1923</v>
      </c>
      <c r="C35" s="126">
        <v>26</v>
      </c>
      <c r="D35" s="127">
        <v>645</v>
      </c>
      <c r="E35" s="125">
        <v>2479</v>
      </c>
      <c r="F35" s="126">
        <v>28</v>
      </c>
      <c r="G35" s="127">
        <v>670</v>
      </c>
      <c r="H35" s="125">
        <v>-2304</v>
      </c>
      <c r="I35" s="124">
        <v>28</v>
      </c>
      <c r="J35" s="127">
        <v>690</v>
      </c>
      <c r="K35" s="125">
        <v>2438</v>
      </c>
      <c r="L35" s="124">
        <v>24</v>
      </c>
      <c r="M35" s="170"/>
    </row>
    <row r="36" spans="1:13" ht="21.75" customHeight="1">
      <c r="A36" s="119">
        <v>622</v>
      </c>
      <c r="B36" s="125">
        <v>2505</v>
      </c>
      <c r="C36" s="126">
        <v>26</v>
      </c>
      <c r="D36" s="127">
        <v>651</v>
      </c>
      <c r="E36" s="125">
        <v>1927</v>
      </c>
      <c r="F36" s="126">
        <v>30</v>
      </c>
      <c r="G36" s="127">
        <v>671</v>
      </c>
      <c r="H36" s="125">
        <v>0</v>
      </c>
      <c r="I36" s="124">
        <v>32</v>
      </c>
      <c r="J36" s="127">
        <v>691</v>
      </c>
      <c r="K36" s="125">
        <v>402</v>
      </c>
      <c r="L36" s="133">
        <v>25</v>
      </c>
      <c r="M36" s="170"/>
    </row>
    <row r="37" spans="1:13" ht="21.75" customHeight="1">
      <c r="A37" s="119">
        <v>623</v>
      </c>
      <c r="B37" s="125">
        <v>103</v>
      </c>
      <c r="C37" s="126">
        <v>31</v>
      </c>
      <c r="D37" s="127">
        <v>652</v>
      </c>
      <c r="E37" s="125">
        <v>4222</v>
      </c>
      <c r="F37" s="126">
        <v>25</v>
      </c>
      <c r="G37" s="127">
        <v>672</v>
      </c>
      <c r="H37" s="125">
        <v>9</v>
      </c>
      <c r="I37" s="124">
        <v>27</v>
      </c>
      <c r="J37" s="127">
        <v>692</v>
      </c>
      <c r="K37" s="125">
        <v>216</v>
      </c>
      <c r="L37" s="133">
        <v>24</v>
      </c>
      <c r="M37" s="170"/>
    </row>
    <row r="38" spans="1:13" ht="21.75" customHeight="1">
      <c r="A38" s="122">
        <v>624</v>
      </c>
      <c r="B38" s="125">
        <v>2168</v>
      </c>
      <c r="C38" s="126">
        <v>27</v>
      </c>
      <c r="D38" s="128">
        <v>653</v>
      </c>
      <c r="E38" s="125">
        <v>0</v>
      </c>
      <c r="F38" s="126">
        <v>21</v>
      </c>
      <c r="G38" s="127">
        <v>673</v>
      </c>
      <c r="H38" s="125">
        <v>1095</v>
      </c>
      <c r="I38" s="124">
        <v>30</v>
      </c>
      <c r="J38" s="127">
        <v>693</v>
      </c>
      <c r="K38" s="125">
        <v>3568</v>
      </c>
      <c r="L38" s="133">
        <v>24</v>
      </c>
      <c r="M38" s="170"/>
    </row>
    <row r="39" spans="1:13" ht="21.75" customHeight="1">
      <c r="A39" s="122" t="s">
        <v>80</v>
      </c>
      <c r="B39" s="125">
        <v>6766</v>
      </c>
      <c r="C39" s="126">
        <v>27</v>
      </c>
      <c r="D39" s="127">
        <v>654</v>
      </c>
      <c r="E39" s="125">
        <v>1618</v>
      </c>
      <c r="F39" s="126">
        <v>26</v>
      </c>
      <c r="G39" s="127">
        <v>674</v>
      </c>
      <c r="H39" s="125">
        <v>2146</v>
      </c>
      <c r="I39" s="124">
        <v>25</v>
      </c>
      <c r="J39" s="127">
        <v>694</v>
      </c>
      <c r="K39" s="125">
        <v>277</v>
      </c>
      <c r="L39" s="133">
        <v>25</v>
      </c>
      <c r="M39" s="170"/>
    </row>
    <row r="40" spans="1:13" ht="21.75" customHeight="1">
      <c r="A40" s="122" t="s">
        <v>26</v>
      </c>
      <c r="B40" s="125">
        <v>6650</v>
      </c>
      <c r="C40" s="126">
        <v>31</v>
      </c>
      <c r="D40" s="128">
        <v>655</v>
      </c>
      <c r="E40" s="125">
        <v>736</v>
      </c>
      <c r="F40" s="126">
        <v>27</v>
      </c>
      <c r="G40" s="127">
        <v>675</v>
      </c>
      <c r="H40" s="125">
        <v>0</v>
      </c>
      <c r="I40" s="133">
        <v>25</v>
      </c>
      <c r="J40" s="127">
        <v>695</v>
      </c>
      <c r="K40" s="125">
        <v>4800</v>
      </c>
      <c r="L40" s="133">
        <v>24</v>
      </c>
      <c r="M40" s="170"/>
    </row>
    <row r="41" spans="1:13" ht="21.75" customHeight="1">
      <c r="A41" s="122" t="s">
        <v>27</v>
      </c>
      <c r="B41" s="125">
        <v>5547</v>
      </c>
      <c r="C41" s="126">
        <v>22</v>
      </c>
      <c r="D41" s="127">
        <v>656</v>
      </c>
      <c r="E41" s="125">
        <v>4783</v>
      </c>
      <c r="F41" s="126">
        <v>28</v>
      </c>
      <c r="G41" s="127">
        <v>676</v>
      </c>
      <c r="H41" s="125">
        <v>84.68</v>
      </c>
      <c r="I41" s="133">
        <v>25</v>
      </c>
      <c r="J41" s="127">
        <v>696</v>
      </c>
      <c r="K41" s="125">
        <v>11755</v>
      </c>
      <c r="L41" s="133">
        <v>23</v>
      </c>
      <c r="M41" s="170"/>
    </row>
    <row r="42" spans="1:13" ht="21.75" customHeight="1">
      <c r="A42" s="122" t="s">
        <v>28</v>
      </c>
      <c r="B42" s="125">
        <v>7268</v>
      </c>
      <c r="C42" s="126">
        <v>22</v>
      </c>
      <c r="D42" s="127">
        <v>657</v>
      </c>
      <c r="E42" s="125">
        <v>3971</v>
      </c>
      <c r="F42" s="126">
        <v>26</v>
      </c>
      <c r="G42" s="127">
        <v>677</v>
      </c>
      <c r="H42" s="125">
        <v>78.83</v>
      </c>
      <c r="I42" s="133">
        <v>25</v>
      </c>
      <c r="J42" s="127">
        <v>697</v>
      </c>
      <c r="K42" s="125">
        <v>8014</v>
      </c>
      <c r="L42" s="133">
        <v>24</v>
      </c>
      <c r="M42" s="170"/>
    </row>
    <row r="43" spans="1:13" ht="21.75" customHeight="1">
      <c r="A43" s="122" t="s">
        <v>29</v>
      </c>
      <c r="B43" s="125">
        <v>2641</v>
      </c>
      <c r="C43" s="126">
        <v>25</v>
      </c>
      <c r="D43" s="128">
        <v>658</v>
      </c>
      <c r="E43" s="125">
        <v>6498</v>
      </c>
      <c r="F43" s="126">
        <v>28</v>
      </c>
      <c r="G43" s="127">
        <v>678</v>
      </c>
      <c r="H43" s="125">
        <v>46.06</v>
      </c>
      <c r="I43" s="133">
        <v>25</v>
      </c>
      <c r="J43" s="127">
        <v>698</v>
      </c>
      <c r="K43" s="125">
        <v>3298</v>
      </c>
      <c r="L43" s="133">
        <v>25</v>
      </c>
      <c r="M43" s="170"/>
    </row>
    <row r="44" spans="1:13" ht="21.75" customHeight="1">
      <c r="A44" s="122" t="s">
        <v>30</v>
      </c>
      <c r="B44" s="125">
        <v>4613</v>
      </c>
      <c r="C44" s="126">
        <v>27</v>
      </c>
      <c r="D44" s="127">
        <v>659</v>
      </c>
      <c r="E44" s="125">
        <v>1269</v>
      </c>
      <c r="F44" s="126">
        <v>26</v>
      </c>
      <c r="G44" s="127">
        <v>680</v>
      </c>
      <c r="H44" s="125">
        <v>1554</v>
      </c>
      <c r="I44" s="133">
        <v>25</v>
      </c>
      <c r="J44" s="127">
        <v>699</v>
      </c>
      <c r="K44" s="125">
        <v>5856</v>
      </c>
      <c r="L44" s="133">
        <v>25</v>
      </c>
      <c r="M44" s="170"/>
    </row>
    <row r="45" spans="1:13" ht="21.75" customHeight="1" thickBot="1">
      <c r="A45" s="129" t="s">
        <v>81</v>
      </c>
      <c r="B45" s="130">
        <v>0</v>
      </c>
      <c r="C45" s="130">
        <v>35</v>
      </c>
      <c r="D45" s="131">
        <v>660</v>
      </c>
      <c r="E45" s="130">
        <v>6405</v>
      </c>
      <c r="F45" s="132">
        <v>26</v>
      </c>
      <c r="G45" s="131"/>
      <c r="H45" s="130"/>
      <c r="I45" s="132"/>
      <c r="J45" s="131"/>
      <c r="K45" s="130"/>
      <c r="L45" s="132"/>
      <c r="M45" s="171"/>
    </row>
    <row r="46" spans="1:13" ht="16.2" thickTop="1"/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31 B29:B30 B27 B38 E8 B6:B7 B4 B15">
      <formula1>B4&lt;=9100</formula1>
    </dataValidation>
    <dataValidation type="custom" errorStyle="warning" allowBlank="1" showInputMessage="1" showErrorMessage="1" error="***你在睡喔,醒醒好嗎" sqref="B31:B34 H40:H43 B8:B11 H17:H20">
      <formula1>B8&lt;=100</formula1>
    </dataValidation>
    <dataValidation type="custom" errorStyle="warning" allowBlank="1" showInputMessage="1" showErrorMessage="1" error="***你在睡喔,醒醒好嗎" sqref="E26:E27 B39:B45 E43:E45 H26:H39 E3:E4 B16:B22 E20:E22 H3:H16">
      <formula1>B3&lt;=7400</formula1>
    </dataValidation>
    <dataValidation type="custom" errorStyle="warning" allowBlank="1" showInputMessage="1" showErrorMessage="1" error="***你在睡喔,醒醒好嗎" sqref="E37:E42 E14:E19">
      <formula1>E14&lt;=5500</formula1>
    </dataValidation>
    <dataValidation type="custom" errorStyle="warning" allowBlank="1" showInputMessage="1" showErrorMessage="1" error="***你在睡喔,醒醒好嗎" sqref="H44 K35 H21 K12">
      <formula1>H12&lt;=4100</formula1>
    </dataValidation>
    <dataValidation type="custom" errorStyle="warning" allowBlank="1" showInputMessage="1" showErrorMessage="1" error="***你在睡喔,醒醒好嗎" sqref="E28:E29 B28 K37:K40 B35:B36 B26 E5:E6 B5 K14:K17 B12:B13 B3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B37 E30 E32:E33 E36 K26:K30 K32:K33 K36 B14 E7 E9:E10 E13 K3:K7 K9:K10 K13">
      <formula1>B3&lt;=5600</formula1>
    </dataValidation>
    <dataValidation type="custom" errorStyle="warning" allowBlank="1" showInputMessage="1" showErrorMessage="1" error="***你在睡喔,醒醒好嗎" sqref="K34 K31 K11 K8">
      <formula1>K8&lt;=5700</formula1>
    </dataValidation>
    <dataValidation type="custom" errorStyle="warning" allowBlank="1" showInputMessage="1" showErrorMessage="1" error="***你在睡喔,醒醒好嗎" sqref="E35 E12">
      <formula1>E12&lt;=6000</formula1>
    </dataValidation>
    <dataValidation type="custom" errorStyle="warning" allowBlank="1" showInputMessage="1" showErrorMessage="1" error="***你在睡喔,醒醒好嗎" sqref="E34 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3">
    <pageSetUpPr fitToPage="1"/>
  </sheetPr>
  <dimension ref="A1:CU223"/>
  <sheetViews>
    <sheetView view="pageBreakPreview" zoomScale="80" zoomScaleNormal="100" zoomScaleSheetLayoutView="80" workbookViewId="0">
      <selection activeCell="Q8" sqref="Q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4" t="s" ph="1">
        <v>177</v>
      </c>
      <c r="D6" s="71">
        <v>5339</v>
      </c>
      <c r="E6" s="71">
        <v>8635</v>
      </c>
      <c r="F6" s="71">
        <v>1318</v>
      </c>
      <c r="G6" s="71">
        <v>6699</v>
      </c>
      <c r="H6" s="71">
        <v>7968</v>
      </c>
      <c r="I6" s="71">
        <v>18.04</v>
      </c>
      <c r="J6" s="71">
        <v>6.96</v>
      </c>
      <c r="K6" s="71">
        <v>85.49</v>
      </c>
      <c r="L6" s="71">
        <v>26.49</v>
      </c>
      <c r="M6" s="71">
        <v>2013</v>
      </c>
      <c r="N6" s="71">
        <v>4775</v>
      </c>
      <c r="O6" s="71">
        <v>5359</v>
      </c>
      <c r="P6" s="71">
        <v>2560</v>
      </c>
      <c r="Q6" s="71">
        <v>1811</v>
      </c>
      <c r="R6" s="71">
        <v>0</v>
      </c>
      <c r="S6" s="71">
        <v>0</v>
      </c>
      <c r="T6" s="71">
        <v>5212</v>
      </c>
      <c r="U6" s="71">
        <v>7047</v>
      </c>
      <c r="V6" s="71">
        <v>6984</v>
      </c>
      <c r="W6" s="71">
        <v>4026</v>
      </c>
      <c r="X6" s="71">
        <v>5220</v>
      </c>
      <c r="Y6" s="71">
        <v>3035</v>
      </c>
      <c r="Z6" s="71">
        <v>911</v>
      </c>
      <c r="AA6" s="71">
        <v>576</v>
      </c>
      <c r="AB6" s="71">
        <v>1927</v>
      </c>
      <c r="AC6" s="71">
        <v>830</v>
      </c>
      <c r="AD6" s="71">
        <v>4350</v>
      </c>
      <c r="AE6" s="71">
        <v>3349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167230.44944541002</v>
      </c>
      <c r="E7" s="73" ph="1">
        <f>E6*51.53*LOOKUP(E8,密度!$A$2:$A$50,密度!$B$2:$B$50)</f>
        <v>345379.15510999999</v>
      </c>
      <c r="F7" s="73" ph="1">
        <f>F6*33.183*LOOKUP(F8,密度!$A$2:$A$50,密度!$C$2:$C$50)</f>
        <v>48239.918982000003</v>
      </c>
      <c r="G7" s="73" ph="1">
        <f xml:space="preserve"> (G6+2)*51.53*LOOKUP(G8,密度!$A$2:$A$50,密度!$B$2:$B$50)</f>
        <v>268023.82378600002</v>
      </c>
      <c r="H7" s="73" ph="1">
        <f>(H6)*51.53*LOOKUP(H8,密度!$A$2:$A$50,密度!$B$2:$B$50)</f>
        <v>320096.77478400001</v>
      </c>
      <c r="I7" s="73" ph="1">
        <f>I6*290.8*1.0267</f>
        <v>5386.1010544000001</v>
      </c>
      <c r="J7" s="73" ph="1">
        <f>J6*290.8*0.7892</f>
        <v>1597.3155456000002</v>
      </c>
      <c r="K7" s="73" ph="1">
        <f>K6*290.8*1.1126</f>
        <v>27659.783399199998</v>
      </c>
      <c r="L7" s="73" ph="1">
        <f>L6*290.8*0.777</f>
        <v>5985.4578839999995</v>
      </c>
      <c r="M7" s="73" ph="1">
        <f>M6*33.183*LOOKUP(M8,密度!$A$2:$A$50,密度!$D$2:$D$50)</f>
        <v>68266.921338</v>
      </c>
      <c r="N7" s="73" ph="1">
        <f>N6*33.183*LOOKUP(N8,密度!$A$2:$A$50,密度!$E$2:$E$50)</f>
        <v>123209.80632</v>
      </c>
      <c r="O7" s="73" ph="1">
        <f>O6*20.428*LOOKUP(O8,密度!$A$2:$A$50,密度!$C$2:$C$50)</f>
        <v>120639.96450400002</v>
      </c>
      <c r="P7" s="73" ph="1">
        <f>P6*51.53*LOOKUP(P8,密度!$A$2:$A$50,密度!$B$2:$B$50)</f>
        <v>102618.07871999999</v>
      </c>
      <c r="Q7" s="73" ph="1">
        <f>Q6*1.5*1.5*3.1416*LOOKUP(W8,密度!$A$2:$A$50,密度!$L$2:$L$50)</f>
        <v>11956.3531164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34520.525978400001</v>
      </c>
      <c r="U7" s="73" ph="1">
        <f>U6*1.5*1.5*3.1416*LOOKUP(U8,密度!$A$2:$A$50,密度!$L$2:$L$50)</f>
        <v>46524.804202800005</v>
      </c>
      <c r="V7" s="73" ph="1">
        <f>V6*1.5*1.5*3.1416*LOOKUP(V8,密度!$A$2:$A$50,密度!$L$2:$L$50)</f>
        <v>46108.873641599996</v>
      </c>
      <c r="W7" s="73" ph="1">
        <f>W6*1.5*1.5*3.1416*LOOKUP(W8,密度!$A$2:$A$50,密度!$L$2:$L$50)</f>
        <v>26579.943482400002</v>
      </c>
      <c r="X7" s="73" ph="1">
        <f>X6*1.5*1.5*3.1416*LOOKUP(X8,密度!$A$2:$A$50,密度!$L$2:$L$50)</f>
        <v>34758.002663999992</v>
      </c>
      <c r="Y7" s="73" ph="1">
        <f>Y6*1.5*1.5*3.1416*LOOKUP(Y8,密度!$A$2:$A$50,密度!$L$2:$L$50)</f>
        <v>20037.289734000002</v>
      </c>
      <c r="Z7" s="73" ph="1">
        <f>Z6*33.183*LOOKUP(Z8,密度!$A$2:$A$50,密度!$L$2:$L$50)</f>
        <v>28385.700506999998</v>
      </c>
      <c r="AA7" s="73" ph="1">
        <f>AA6*33.183*LOOKUP(AA8,密度!$A$2:$A$50,密度!$D$2:$D$50)</f>
        <v>19570.218451199999</v>
      </c>
      <c r="AB7" s="73" ph="1">
        <f>AB6*20.428*LOOKUP(AB8,密度!$A$2:$A$50,密度!$D$2:$D$50)</f>
        <v>40415.794985200002</v>
      </c>
      <c r="AC7" s="73" ph="1">
        <f>AC6*51.53*LOOKUP(AC8,密度!$A$2:$A$50,密度!$Q$2:$Q$50)</f>
        <v>40491.975126000005</v>
      </c>
      <c r="AD7" s="73" ph="1">
        <f>AD6*20.428*LOOKUP(AD8,密度!$A$2:$A$50,密度!$V$2:$V$50)</f>
        <v>85094.059680000006</v>
      </c>
      <c r="AE7" s="73" ph="1">
        <f>AE6*20.428</f>
        <v>68413.372000000003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32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27</v>
      </c>
      <c r="Q8" s="74">
        <v>29</v>
      </c>
      <c r="R8" s="74">
        <v>35</v>
      </c>
      <c r="S8" s="74">
        <v>24</v>
      </c>
      <c r="T8" s="74">
        <v>25</v>
      </c>
      <c r="U8" s="74">
        <v>28</v>
      </c>
      <c r="V8" s="74">
        <v>28</v>
      </c>
      <c r="W8" s="74">
        <v>28</v>
      </c>
      <c r="X8" s="74">
        <v>20</v>
      </c>
      <c r="Y8" s="74">
        <v>28</v>
      </c>
      <c r="Z8" s="74">
        <v>23</v>
      </c>
      <c r="AA8" s="74">
        <v>28</v>
      </c>
      <c r="AB8" s="74">
        <v>25</v>
      </c>
      <c r="AC8" s="74">
        <v>25</v>
      </c>
      <c r="AD8" s="74">
        <v>27</v>
      </c>
      <c r="AE8" s="74">
        <v>32</v>
      </c>
    </row>
    <row r="9" spans="1:99" ht="26.4" ph="1">
      <c r="B9" s="241" ph="1">
        <v>0.66666666666666663</v>
      </c>
      <c r="C9" s="144" t="s" ph="1">
        <v>180</v>
      </c>
      <c r="D9" s="71">
        <v>5340</v>
      </c>
      <c r="E9" s="71">
        <v>8639</v>
      </c>
      <c r="F9" s="71">
        <v>4012</v>
      </c>
      <c r="G9" s="71">
        <v>6702</v>
      </c>
      <c r="H9" s="71">
        <v>7729</v>
      </c>
      <c r="I9" s="71">
        <v>18.04</v>
      </c>
      <c r="J9" s="71">
        <v>7.03</v>
      </c>
      <c r="K9" s="71">
        <v>85.48</v>
      </c>
      <c r="L9" s="71">
        <v>11.34</v>
      </c>
      <c r="M9" s="71">
        <v>2012</v>
      </c>
      <c r="N9" s="71">
        <v>4510</v>
      </c>
      <c r="O9" s="71">
        <v>5359</v>
      </c>
      <c r="P9" s="71">
        <v>2242</v>
      </c>
      <c r="Q9" s="71">
        <v>3992</v>
      </c>
      <c r="R9" s="71">
        <v>0</v>
      </c>
      <c r="S9" s="71">
        <v>0</v>
      </c>
      <c r="T9" s="71">
        <v>655</v>
      </c>
      <c r="U9" s="71">
        <v>7052</v>
      </c>
      <c r="V9" s="71">
        <v>6990</v>
      </c>
      <c r="W9" s="71">
        <v>7012</v>
      </c>
      <c r="X9" s="71">
        <v>7089</v>
      </c>
      <c r="Y9" s="71">
        <v>7150</v>
      </c>
      <c r="Z9" s="71">
        <v>1940</v>
      </c>
      <c r="AA9" s="71">
        <v>558</v>
      </c>
      <c r="AB9" s="71">
        <v>1876</v>
      </c>
      <c r="AC9" s="71">
        <v>841</v>
      </c>
      <c r="AD9" s="71">
        <v>4350</v>
      </c>
      <c r="AE9" s="71">
        <v>3349</v>
      </c>
    </row>
    <row r="10" spans="1:99" s="72" customFormat="1" ht="22.2" ph="1">
      <c r="B10" s="241" ph="1"/>
      <c r="C10" s="144" t="s" ph="1">
        <v>178</v>
      </c>
      <c r="D10" s="73" ph="1">
        <f>D9*33.183*LOOKUP(D11,密度!$A$2:$A$50,密度!$Q$2:$Q$50)</f>
        <v>167155.45354260001</v>
      </c>
      <c r="E10" s="73" ph="1">
        <f>E9*51.53*LOOKUP(E11,密度!$A$2:$A$50,密度!$B$2:$B$50)</f>
        <v>344337.19274499995</v>
      </c>
      <c r="F10" s="73" ph="1">
        <f>F9*33.183*LOOKUP(F11,密度!$A$2:$A$50,密度!$C$2:$C$50)</f>
        <v>147228.68375640002</v>
      </c>
      <c r="G10" s="73" ph="1">
        <f xml:space="preserve"> (G9+2)*51.53*LOOKUP(G11,密度!$A$2:$A$50,密度!$B$2:$B$50)</f>
        <v>267521.99372799997</v>
      </c>
      <c r="H10" s="73" ph="1">
        <f>(H9)*51.53*LOOKUP(H11,密度!$A$2:$A$50,密度!$B$2:$B$50)</f>
        <v>309141.34219399997</v>
      </c>
      <c r="I10" s="73" ph="1">
        <f>I9*290.8*1.0267</f>
        <v>5386.1010544000001</v>
      </c>
      <c r="J10" s="73" ph="1">
        <f>J9*290.8*0.7892</f>
        <v>1613.3805008000002</v>
      </c>
      <c r="K10" s="73" ph="1">
        <f>K9*290.8*1.1126</f>
        <v>27656.547958400002</v>
      </c>
      <c r="L10" s="73" ph="1">
        <f>L9*290.8*0.777</f>
        <v>2562.2911440000003</v>
      </c>
      <c r="M10" s="73" ph="1">
        <f>M9*33.183*LOOKUP(M11,密度!$A$2:$A$50,密度!$D$2:$D$50)</f>
        <v>68172.920535599987</v>
      </c>
      <c r="N10" s="73" ph="1">
        <f>N9*33.183*LOOKUP(N11,密度!$A$2:$A$50,密度!$E$2:$E$50)</f>
        <v>116371.98460799998</v>
      </c>
      <c r="O10" s="73" ph="1">
        <f>O9*20.428*LOOKUP(O11,密度!$A$2:$A$50,密度!$C$2:$C$50)</f>
        <v>120289.6488176</v>
      </c>
      <c r="P10" s="73" ph="1">
        <f>P9*51.53*LOOKUP(P11,密度!$A$2:$A$50,密度!$B$2:$B$50)</f>
        <v>89466.633344000002</v>
      </c>
      <c r="Q10" s="73" ph="1">
        <f>Q9*1.5*1.5*3.1416*LOOKUP(W11,密度!$A$2:$A$50,密度!$L$2:$L$50)</f>
        <v>26355.473020800004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4315.0975560000006</v>
      </c>
      <c r="U10" s="73" ph="1">
        <f>U9*1.5*1.5*3.1416*LOOKUP(U11,密度!$A$2:$A$50,密度!$L$2:$L$50)</f>
        <v>46507.966797600006</v>
      </c>
      <c r="V10" s="73" ph="1">
        <f>V9*1.5*1.5*3.1416*LOOKUP(V11,密度!$A$2:$A$50,密度!$L$2:$L$50)</f>
        <v>46148.486076000001</v>
      </c>
      <c r="W10" s="73" ph="1">
        <f>W9*1.5*1.5*3.1416*LOOKUP(W11,密度!$A$2:$A$50,密度!$L$2:$L$50)</f>
        <v>46293.731668799999</v>
      </c>
      <c r="X10" s="73" ph="1">
        <f>X9*1.5*1.5*3.1416*LOOKUP(X11,密度!$A$2:$A$50,密度!$L$2:$L$50)</f>
        <v>47202.965686799995</v>
      </c>
      <c r="Y10" s="73" ph="1">
        <f>Y9*1.5*1.5*3.1416*LOOKUP(Y11,密度!$A$2:$A$50,密度!$L$2:$L$50)</f>
        <v>47255.35815</v>
      </c>
      <c r="Z10" s="73" ph="1">
        <f>Z9*33.183*LOOKUP(Z11,密度!$A$2:$A$50,密度!$L$2:$L$50)</f>
        <v>60126.268680000001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39273.336614399996</v>
      </c>
      <c r="AC10" s="73" ph="1">
        <f>AC9*51.53*LOOKUP(AC11,密度!$A$2:$A$50,密度!$Q$2:$Q$50)</f>
        <v>40880.837510900004</v>
      </c>
      <c r="AD10" s="73" ph="1">
        <f>AD9*20.428*LOOKUP(AD11,密度!$A$2:$A$50,密度!$V$2:$V$50)</f>
        <v>85094.059680000006</v>
      </c>
      <c r="AE10" s="73" ph="1">
        <f>AE9*20.428</f>
        <v>68413.372000000003</v>
      </c>
    </row>
    <row r="11" spans="1:99" ph="1">
      <c r="A11" s="64" t="s" ph="1">
        <v>162</v>
      </c>
      <c r="B11" s="241" ph="1"/>
      <c r="C11" s="144" t="s" ph="1">
        <v>179</v>
      </c>
      <c r="D11" s="74">
        <v>30</v>
      </c>
      <c r="E11" s="74">
        <v>32</v>
      </c>
      <c r="F11" s="74">
        <v>29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36</v>
      </c>
      <c r="P11" s="74">
        <v>31</v>
      </c>
      <c r="Q11" s="74">
        <v>32</v>
      </c>
      <c r="R11" s="74">
        <v>36</v>
      </c>
      <c r="S11" s="74">
        <v>27</v>
      </c>
      <c r="T11" s="74">
        <v>30</v>
      </c>
      <c r="U11" s="74">
        <v>29</v>
      </c>
      <c r="V11" s="74">
        <v>28</v>
      </c>
      <c r="W11" s="74">
        <v>28</v>
      </c>
      <c r="X11" s="74">
        <v>20</v>
      </c>
      <c r="Y11" s="74">
        <v>27</v>
      </c>
      <c r="Z11" s="74">
        <v>28</v>
      </c>
      <c r="AA11" s="74">
        <v>32</v>
      </c>
      <c r="AB11" s="74">
        <v>27</v>
      </c>
      <c r="AC11" s="74">
        <v>30</v>
      </c>
      <c r="AD11" s="74">
        <v>29</v>
      </c>
      <c r="AE11" s="74">
        <v>34</v>
      </c>
    </row>
    <row r="12" spans="1:99" ht="9.9" customHeight="1" ph="1"/>
    <row r="13" spans="1:99" s="72" customFormat="1" ht="29.25" customHeight="1" ph="1">
      <c r="B13" s="218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1" t="s" ph="1">
        <v>640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4" t="s" ph="1">
        <v>177</v>
      </c>
      <c r="D15" s="78">
        <v>3989</v>
      </c>
      <c r="E15" s="78">
        <v>1815</v>
      </c>
      <c r="F15" s="78">
        <v>3445</v>
      </c>
      <c r="G15" s="78">
        <v>4734</v>
      </c>
      <c r="H15" s="78">
        <v>1968</v>
      </c>
      <c r="I15" s="78">
        <v>2671</v>
      </c>
      <c r="J15" s="78">
        <v>185</v>
      </c>
      <c r="K15" s="78">
        <v>4132</v>
      </c>
      <c r="L15" s="78">
        <v>5871</v>
      </c>
      <c r="M15" s="78">
        <v>6596</v>
      </c>
      <c r="N15" s="78">
        <v>4542</v>
      </c>
      <c r="O15" s="78">
        <v>6484</v>
      </c>
      <c r="P15" s="78">
        <v>6954</v>
      </c>
      <c r="Q15" s="78">
        <v>5205</v>
      </c>
      <c r="R15" s="78">
        <v>1916</v>
      </c>
      <c r="S15" s="78">
        <v>6231</v>
      </c>
      <c r="T15" s="78">
        <v>3932</v>
      </c>
      <c r="U15" s="78">
        <v>6643</v>
      </c>
      <c r="V15" s="78">
        <v>850</v>
      </c>
      <c r="W15" s="71">
        <v>5214</v>
      </c>
      <c r="X15" s="78">
        <v>1109</v>
      </c>
      <c r="Y15" s="106">
        <v>-2368</v>
      </c>
      <c r="Z15" s="78">
        <v>0</v>
      </c>
      <c r="AA15" s="78">
        <v>7</v>
      </c>
      <c r="AB15" s="78" ph="1">
        <v>1099</v>
      </c>
      <c r="AC15" s="78" ph="1">
        <v>2157</v>
      </c>
      <c r="AD15" s="78">
        <v>5.4</v>
      </c>
      <c r="AE15" s="78">
        <v>57.09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4" t="s" ph="1">
        <v>178</v>
      </c>
      <c r="D16" s="73" ph="1">
        <f>D15*7.0686*LOOKUP(D17,密度!$A$2:$A$50,密度!$L$2:$L$50)</f>
        <v>26279.273512800002</v>
      </c>
      <c r="E16" s="73" ph="1">
        <f>E15*7.0686*LOOKUP(E17,密度!$A$2:$A$50,密度!$L$2:$L$50)</f>
        <v>11957.102388000001</v>
      </c>
      <c r="F16" s="73" ph="1">
        <f>F15*9.0746*LOOKUP(F17,密度!$A$2:$A$50,密度!$L$2:$L$50)</f>
        <v>29136.181204</v>
      </c>
      <c r="G16" s="73" ph="1">
        <f>G15*9.0746*LOOKUP(G17,密度!$A$2:$A$50,密度!$B$2:$B$50)</f>
        <v>33379.264522800004</v>
      </c>
      <c r="H16" s="73" ph="1">
        <f>H15*9.0746*LOOKUP(H17,密度!$A$2:$A$50,密度!$L$2:$L$50)</f>
        <v>16697.989968000002</v>
      </c>
      <c r="I16" s="73" ph="1">
        <f>I15*9.0746*LOOKUP(I17,密度!$A$2:$A$50,密度!$U$2:$U$50)</f>
        <v>24771.4982452</v>
      </c>
      <c r="J16" s="73" ph="1">
        <f>J15*9.0746*LOOKUP(J17,密度!$A$2:$A$50,密度!$L$2:$L$50)</f>
        <v>1568.0001340000001</v>
      </c>
      <c r="K16" s="73" ph="1">
        <f>K15*9.0746*LOOKUP(K17,密度!$A$2:$A$50,密度!$C$2:$C$50)</f>
        <v>41437.102780719993</v>
      </c>
      <c r="L16" s="73" ph="1">
        <f>L15*9.0746*LOOKUP(L17,密度!$A$2:$A$50,密度!$E$2:$E$50)</f>
        <v>41428.177004159996</v>
      </c>
      <c r="M16" s="73" ph="1">
        <f>M15*9.0746*LOOKUP(M17,密度!$A$2:$A$50,密度!$M$2:$M$50)</f>
        <v>51944.287377712004</v>
      </c>
      <c r="N16" s="73" ph="1">
        <f>N15*9.0746*LOOKUP(N17,密度!$A$2:$A$50,密度!$M$2:$M$50)</f>
        <v>35854.52320068</v>
      </c>
      <c r="O16" s="73" ph="1">
        <f>O15*9.0746*LOOKUP(O17,密度!$A$2:$A$50,密度!$G$2:$G$50)</f>
        <v>56174.267700080003</v>
      </c>
      <c r="P16" s="73" ph="1">
        <f ca="1">P15*9.0746*LOOKUP(P17,密度!$A$2:$A$51,密度!$Q$2:$Q$50)</f>
        <v>59528.621174772001</v>
      </c>
      <c r="Q16" s="73" ph="1">
        <f>Q15*9.0746*LOOKUP(Q17,密度!$A$2:$A$50,密度!$Q$2:$Q$50)</f>
        <v>44556.582285689998</v>
      </c>
      <c r="R16" s="73" ph="1">
        <f>MAX(R15*9.0746*LOOKUP(R17,密度!$A$2:$A$50,密度!$B$2:$B$50),0)</f>
        <v>13448.7931396</v>
      </c>
      <c r="S16" s="73" ph="1">
        <f>S15*9.0746*LOOKUP(S17,密度!$A$2:$A$50,密度!$Q$2:$Q$50)</f>
        <v>53297.085732107997</v>
      </c>
      <c r="T16" s="73" ph="1">
        <f>T15*9.0746*LOOKUP(T17,密度!$A$2:$A$50,密度!$O$2:$O$50)</f>
        <v>32898.183678400004</v>
      </c>
      <c r="U16" s="73" ph="1">
        <f>U15*9.0746*LOOKUP(U17,密度!$A$2:$A$50,密度!$H$2:$H$50)</f>
        <v>54977.701833600004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49708.006170159999</v>
      </c>
      <c r="X16" s="73" ph="1">
        <f>MAX(5600*LOOKUP(X17,密度!$A$2:$A$50,密度!$I$2:$I$50)+X15*9.0476*LOOKUP(X17,密度!$A$2:$A$50,密度!$I$2:$I$50),0)</f>
        <v>16205.98505544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49.413919380000003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18282.0339948</v>
      </c>
      <c r="AD16" s="73" ph="1">
        <f>AD15*268.68*LOOKUP(AD17,密度!$A$2:$A$50,密度!B2:B50)+IF(AD15&lt;=0,0,1566*LOOKUP(AD17,密度!$A$2:$A$50,密度!B2:B50))</f>
        <v>2351.9534112000001</v>
      </c>
      <c r="AE16" s="73" ph="1">
        <f>AE15*268.68*LOOKUP(AE17,密度!$A$2:$A$50,密度!B2:B50)+IF(AE15&lt;=0,0,1566*LOOKUP(AE17,密度!$A$2:$A$50,密度!B2:B50))</f>
        <v>13179.09215952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30</v>
      </c>
      <c r="G17" s="74">
        <v>28</v>
      </c>
      <c r="H17" s="74">
        <v>27</v>
      </c>
      <c r="I17" s="74">
        <v>28</v>
      </c>
      <c r="J17" s="74">
        <v>28</v>
      </c>
      <c r="K17" s="74">
        <v>30</v>
      </c>
      <c r="L17" s="74">
        <v>30</v>
      </c>
      <c r="M17" s="74">
        <v>32</v>
      </c>
      <c r="N17" s="74">
        <v>30</v>
      </c>
      <c r="O17" s="74">
        <v>30</v>
      </c>
      <c r="P17" s="74">
        <v>30</v>
      </c>
      <c r="Q17" s="74">
        <v>30</v>
      </c>
      <c r="R17" s="74">
        <v>32</v>
      </c>
      <c r="S17" s="74">
        <v>31</v>
      </c>
      <c r="T17" s="74">
        <v>30</v>
      </c>
      <c r="U17" s="74">
        <v>28</v>
      </c>
      <c r="V17" s="74">
        <v>31</v>
      </c>
      <c r="W17" s="74">
        <v>32</v>
      </c>
      <c r="X17" s="74">
        <v>30</v>
      </c>
      <c r="Y17" s="108">
        <v>30</v>
      </c>
      <c r="Z17" s="74">
        <v>28</v>
      </c>
      <c r="AA17" s="74">
        <v>27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5133</v>
      </c>
      <c r="E18" s="71">
        <v>482</v>
      </c>
      <c r="F18" s="71">
        <v>3620</v>
      </c>
      <c r="G18" s="71">
        <v>4792</v>
      </c>
      <c r="H18" s="71">
        <v>1968</v>
      </c>
      <c r="I18" s="71">
        <v>2673</v>
      </c>
      <c r="J18" s="71">
        <v>219</v>
      </c>
      <c r="K18" s="71">
        <v>3147</v>
      </c>
      <c r="L18" s="71">
        <v>5878</v>
      </c>
      <c r="M18" s="71">
        <v>5469</v>
      </c>
      <c r="N18" s="71">
        <v>3969</v>
      </c>
      <c r="O18" s="71">
        <v>6489</v>
      </c>
      <c r="P18" s="71">
        <v>6963</v>
      </c>
      <c r="Q18" s="71">
        <v>3347</v>
      </c>
      <c r="R18" s="71">
        <v>1917</v>
      </c>
      <c r="S18" s="71">
        <v>6237</v>
      </c>
      <c r="T18" s="71">
        <v>3073</v>
      </c>
      <c r="U18" s="71">
        <v>6647</v>
      </c>
      <c r="V18" s="71">
        <v>850</v>
      </c>
      <c r="W18" s="71">
        <v>5213</v>
      </c>
      <c r="X18" s="71">
        <v>1108</v>
      </c>
      <c r="Y18" s="109">
        <v>-9909</v>
      </c>
      <c r="Z18" s="71">
        <v>0</v>
      </c>
      <c r="AA18" s="71">
        <v>6</v>
      </c>
      <c r="AB18" s="71">
        <v>1097</v>
      </c>
      <c r="AC18" s="71">
        <v>2157</v>
      </c>
      <c r="AD18" s="71">
        <v>12.83</v>
      </c>
      <c r="AE18" s="71">
        <v>83.92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4" t="s" ph="1">
        <v>178</v>
      </c>
      <c r="D19" s="73" ph="1">
        <f>D18*7.0686*LOOKUP(D20,密度!$A$2:$A$50,密度!$L$2:$L$50)</f>
        <v>33743.305134000002</v>
      </c>
      <c r="E19" s="73" ph="1">
        <f>E18*7.0686*LOOKUP(E20,密度!$A$2:$A$50,密度!$L$2:$L$50)</f>
        <v>3168.5706360000004</v>
      </c>
      <c r="F19" s="73" ph="1">
        <f>F18*9.0746*LOOKUP(F20,密度!$A$2:$A$50,密度!$L$2:$L$50)</f>
        <v>30484.848256000005</v>
      </c>
      <c r="G19" s="73" ph="1">
        <f>G18*9.0746*LOOKUP(G20,密度!$A$2:$A$50,密度!$B$2:$B$50)</f>
        <v>33788.220446400002</v>
      </c>
      <c r="H19" s="73" ph="1">
        <f>H18*9.0746*LOOKUP(H20,密度!$A$2:$A$50,密度!$L$2:$L$50)</f>
        <v>16680.131155200001</v>
      </c>
      <c r="I19" s="73" ph="1">
        <f>I18*9.0746*LOOKUP(I20,密度!$A$2:$A$50,密度!$U$2:$U$50)</f>
        <v>24717.277510199998</v>
      </c>
      <c r="J19" s="73" ph="1">
        <f>J18*9.0746*LOOKUP(J20,密度!$A$2:$A$50,密度!$L$2:$L$50)</f>
        <v>1852.1984568000003</v>
      </c>
      <c r="K19" s="73" ph="1">
        <f>K18*9.0746*LOOKUP(K20,密度!$A$2:$A$50,密度!$C$2:$C$50)</f>
        <v>31559.18742762</v>
      </c>
      <c r="L19" s="73" ph="1">
        <f>L18*9.0746*LOOKUP(L20,密度!$A$2:$A$50,密度!$E$2:$E$50)</f>
        <v>41477.571866879996</v>
      </c>
      <c r="M19" s="73" ph="1">
        <f>M18*9.0746*LOOKUP(M20,密度!$A$2:$A$50,密度!$M$2:$M$50)</f>
        <v>43016.917408697998</v>
      </c>
      <c r="N19" s="73" ph="1">
        <f>N18*9.0746*LOOKUP(N20,密度!$A$2:$A$50,密度!$M$2:$M$50)</f>
        <v>31370.883125400003</v>
      </c>
      <c r="O19" s="73" ph="1">
        <f>O18*9.0746*LOOKUP(O20,密度!$A$2:$A$50,密度!$G$2:$G$50)</f>
        <v>56217.58530318</v>
      </c>
      <c r="P19" s="73" ph="1">
        <f ca="1">P18*9.0746*LOOKUP(P20,密度!$A$2:$A$51,密度!$Q$2:$Q$50)</f>
        <v>59515.30764762</v>
      </c>
      <c r="Q19" s="73" ph="1">
        <f>Q18*9.0746*LOOKUP(Q20,密度!$A$2:$A$50,密度!$Q$2:$Q$50)</f>
        <v>28608.033131779997</v>
      </c>
      <c r="R19" s="73" ph="1">
        <f>MAX(R18*9.0746*LOOKUP(R20,密度!$A$2:$A$50,密度!$B$2:$B$50),0)</f>
        <v>13410.58272138</v>
      </c>
      <c r="S19" s="73" ph="1">
        <f>S18*9.0746*LOOKUP(S20,密度!$A$2:$A$50,密度!$Q$2:$Q$50)</f>
        <v>53309.920120379997</v>
      </c>
      <c r="T19" s="73" ph="1">
        <f>T18*9.0746*LOOKUP(T20,密度!$A$2:$A$50,密度!$O$2:$O$50)</f>
        <v>25644.19163768</v>
      </c>
      <c r="U19" s="73" ph="1">
        <f>U18*9.0746*LOOKUP(U20,密度!$A$2:$A$50,密度!$H$2:$H$50)</f>
        <v>54890.168242000007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49630.361903892001</v>
      </c>
      <c r="X19" s="73" ph="1">
        <f>MAX(5600*LOOKUP(X20,密度!$A$2:$A$50,密度!$I$2:$I$50)+X18*9.0476*LOOKUP(X20,密度!$A$2:$A$50,密度!$I$2:$I$50),0)</f>
        <v>16162.231883519999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42.071660520000002</v>
      </c>
      <c r="AB19" s="73" ph="1">
        <f>AB18*9.0746*LOOKUP(AB20,密度!$A$2:$A$50,密度!$L$2:$L$50)</f>
        <v>9188.3138125999994</v>
      </c>
      <c r="AC19" s="73" ph="1">
        <f>AC18*9.0746*LOOKUP(AC20,密度!$A$2:$A$50,密度!$L$2:$L$50)</f>
        <v>18242.886170400001</v>
      </c>
      <c r="AD19" s="73" ph="1">
        <f>AD18*268.68*LOOKUP(AD20,密度!$A$2:$A$50,密度!B5:B53)+IF(AD18&lt;=0,0,1566*LOOKUP(AD20,密度!$A$2:$A$50,密度!B5:B53))</f>
        <v>3895.2287388000004</v>
      </c>
      <c r="AE19" s="73" ph="1">
        <f>AE18*268.68*LOOKUP(AE20,密度!$A$2:$A$50,密度!B5:B53)+IF(AE18&lt;=0,0,1566*LOOKUP(AE20,密度!$A$2:$A$50,密度!B5:B53))</f>
        <v>18736.2870912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34</v>
      </c>
      <c r="G20" s="81">
        <v>28</v>
      </c>
      <c r="H20" s="81">
        <v>28</v>
      </c>
      <c r="I20" s="81">
        <v>31</v>
      </c>
      <c r="J20" s="81">
        <v>30</v>
      </c>
      <c r="K20" s="81">
        <v>30</v>
      </c>
      <c r="L20" s="81">
        <v>30</v>
      </c>
      <c r="M20" s="81">
        <v>33</v>
      </c>
      <c r="N20" s="81">
        <v>29</v>
      </c>
      <c r="O20" s="81">
        <v>30</v>
      </c>
      <c r="P20" s="81">
        <v>32</v>
      </c>
      <c r="Q20" s="81">
        <v>32</v>
      </c>
      <c r="R20" s="81">
        <v>35</v>
      </c>
      <c r="S20" s="81">
        <v>32</v>
      </c>
      <c r="T20" s="81">
        <v>35</v>
      </c>
      <c r="U20" s="81">
        <v>30</v>
      </c>
      <c r="V20" s="81">
        <v>32</v>
      </c>
      <c r="W20" s="81">
        <v>34</v>
      </c>
      <c r="X20" s="81">
        <v>32</v>
      </c>
      <c r="Y20" s="110">
        <v>32</v>
      </c>
      <c r="Z20" s="81">
        <v>40</v>
      </c>
      <c r="AA20" s="81">
        <v>33</v>
      </c>
      <c r="AB20" s="81">
        <v>39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4" t="s" ph="1">
        <v>177</v>
      </c>
      <c r="D24" s="71">
        <v>59.65</v>
      </c>
      <c r="E24" s="71">
        <v>46.25</v>
      </c>
      <c r="F24" s="71">
        <v>1370</v>
      </c>
      <c r="G24" s="71">
        <v>2580</v>
      </c>
      <c r="H24" s="71">
        <v>2586</v>
      </c>
      <c r="I24" s="71">
        <v>2966</v>
      </c>
      <c r="J24" s="71">
        <v>1300</v>
      </c>
      <c r="K24" s="71">
        <v>5269</v>
      </c>
      <c r="L24" s="71">
        <v>5612</v>
      </c>
      <c r="M24" s="71">
        <v>5408</v>
      </c>
      <c r="N24" s="71">
        <v>5532</v>
      </c>
      <c r="O24" s="71">
        <v>5597</v>
      </c>
      <c r="P24" s="71">
        <v>356</v>
      </c>
      <c r="Q24" s="90">
        <v>3368</v>
      </c>
      <c r="R24" s="71">
        <v>1342</v>
      </c>
      <c r="S24" s="71">
        <v>1650</v>
      </c>
      <c r="T24" s="71">
        <v>849</v>
      </c>
      <c r="U24" s="71">
        <v>5126</v>
      </c>
      <c r="V24" s="71">
        <v>279</v>
      </c>
      <c r="W24" s="71">
        <v>5095</v>
      </c>
      <c r="X24" s="71">
        <v>1398</v>
      </c>
      <c r="Y24" s="71">
        <v>6515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16655.771495880002</v>
      </c>
      <c r="E25" s="91" ph="1">
        <f>E24*268.68*LOOKUP(E26,密度!$A$2:$A$50,密度!$C$2:$C$50)+IF(E24&lt;=0,0,1566*LOOKUP(E26,密度!$A$2:$A$50,密度!$C$2:$C$50))</f>
        <v>15516.227805</v>
      </c>
      <c r="F25" s="91" ph="1">
        <f>F24*11.702*LOOKUP(F26,密度!$A$2:$A$50,密度!$Q$2:$Q$50)</f>
        <v>15123.221294200001</v>
      </c>
      <c r="G25" s="91" ph="1">
        <f>G24*18.322*LOOKUP(G26,密度!$A$2:$A$50,密度!$B$2:$B$50)</f>
        <v>36649.020227999994</v>
      </c>
      <c r="H25" s="91" ph="1">
        <f>H24*18.322*LOOKUP(H26,密度!$A$2:$A$50,密度!$B$2:$B$50)</f>
        <v>36734.250507599994</v>
      </c>
      <c r="I25" s="91" ph="1">
        <f>I24*18.322*LOOKUP(I26,密度!$A$2:$A$50,密度!$Q$2:$Q$50)</f>
        <v>51222.673954159996</v>
      </c>
      <c r="J25" s="91" ph="1">
        <f>J24*18.322*LOOKUP(J26,密度!$A$2:$A$50,密度!$Q$2:$Q$50)</f>
        <v>22434.739339999996</v>
      </c>
      <c r="K25" s="91" ph="1">
        <f>K24*18.322*LOOKUP(K26,密度!$A$2:$A$50,密度!$Q$2:$Q$50)</f>
        <v>90995.37055444</v>
      </c>
      <c r="L25" s="91" ph="1">
        <f>L24*18.322*LOOKUP(L26,密度!$A$2:$A$50,密度!$Q$2:$Q$50)</f>
        <v>96918.963665119998</v>
      </c>
      <c r="M25" s="91" ph="1">
        <f>M24*18.322*LOOKUP(M26,密度!$A$2:$A$50,密度!$Q$2:$Q$50)</f>
        <v>93395.893710079981</v>
      </c>
      <c r="N25" s="91" ph="1">
        <f>N24*18.322*LOOKUP(N26,密度!$A$2:$A$50,密度!$Q$2:$Q$50)</f>
        <v>95613.385582319985</v>
      </c>
      <c r="O25" s="91" ph="1">
        <f>O24*18.322*LOOKUP(O26,密度!$A$2:$A$50,密度!$C$2:$C$50)</f>
        <v>113326.0533934</v>
      </c>
      <c r="P25" s="91" ph="1">
        <f>P24*11.702*LOOKUP(P26,密度!$A$2:$A$50,密度!$B$2:$B$50)</f>
        <v>3222.3329320000003</v>
      </c>
      <c r="Q25" s="92" ph="1">
        <f>Q24*18.322*LOOKUP(Q26,密度!$A$2:$A$50,密度!$B$2:$B$50)</f>
        <v>47842.596948799997</v>
      </c>
      <c r="R25" s="91" ph="1">
        <f>R24*35.891*LOOKUP(R26,密度!$A$2:$A$50,密度!$C$2:$C$50)</f>
        <v>53179.7736602</v>
      </c>
      <c r="S25" s="91" ph="1">
        <f>S24*35.891*LOOKUP(S26,密度!$A$2:$A$50,密度!$B$2:$B$50)</f>
        <v>45860.084159999991</v>
      </c>
      <c r="T25" s="91" ph="1">
        <f>T24*35.891*LOOKUP(T26,密度!$A$2:$A$50,密度!$Q$2:$Q$50)</f>
        <v>28744.641418470001</v>
      </c>
      <c r="U25" s="91" ph="1">
        <f>U24*35.891</f>
        <v>183977.266</v>
      </c>
      <c r="V25" s="91" ph="1">
        <f>V24*47.051*LOOKUP(V26,密度!$A$2:$A$50,密度!$B$2:$B$50)</f>
        <v>10177.5406437</v>
      </c>
      <c r="W25" s="91" ph="1">
        <f>W24*47.051*LOOKUP(W26,密度!$A$2:$A$50,密度!$B$2:$B$50)</f>
        <v>185858.67232849999</v>
      </c>
      <c r="X25" s="91" ph="1">
        <f>X24*47.051*LOOKUP(X26,密度!$A$2:$A$50,密度!$I$2:$I$50)</f>
        <v>68040.037051200008</v>
      </c>
      <c r="Y25" s="91" ph="1">
        <f>Y24*47.051*LOOKUP(Y26,密度!$A$2:$A$50,密度!$L$2:$L$50)</f>
        <v>285079.65645000001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31</v>
      </c>
      <c r="J26" s="74">
        <v>32</v>
      </c>
      <c r="K26" s="74">
        <v>31</v>
      </c>
      <c r="L26" s="74">
        <v>31</v>
      </c>
      <c r="M26" s="74">
        <v>31</v>
      </c>
      <c r="N26" s="74">
        <v>30</v>
      </c>
      <c r="O26" s="74">
        <v>30</v>
      </c>
      <c r="P26" s="74">
        <v>32</v>
      </c>
      <c r="Q26" s="93">
        <v>30</v>
      </c>
      <c r="R26" s="74">
        <v>31</v>
      </c>
      <c r="S26" s="74">
        <v>31</v>
      </c>
      <c r="T26" s="74">
        <v>30</v>
      </c>
      <c r="U26" s="74">
        <v>31</v>
      </c>
      <c r="V26" s="74">
        <v>30</v>
      </c>
      <c r="W26" s="74">
        <v>30</v>
      </c>
      <c r="X26" s="74">
        <v>32</v>
      </c>
      <c r="Y26" s="74">
        <v>32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4" t="s" ph="1">
        <v>180</v>
      </c>
      <c r="D27" s="71">
        <v>22.83</v>
      </c>
      <c r="E27" s="71">
        <v>46.18</v>
      </c>
      <c r="F27" s="71">
        <v>1209</v>
      </c>
      <c r="G27" s="71">
        <v>1908</v>
      </c>
      <c r="H27" s="71">
        <v>2575</v>
      </c>
      <c r="I27" s="71">
        <v>2966</v>
      </c>
      <c r="J27" s="71">
        <v>664</v>
      </c>
      <c r="K27" s="71">
        <v>5266</v>
      </c>
      <c r="L27" s="71">
        <v>5608</v>
      </c>
      <c r="M27" s="71">
        <v>5409</v>
      </c>
      <c r="N27" s="71">
        <v>5530</v>
      </c>
      <c r="O27" s="71">
        <v>5593</v>
      </c>
      <c r="P27" s="71">
        <v>352</v>
      </c>
      <c r="Q27" s="90">
        <v>529</v>
      </c>
      <c r="R27" s="71">
        <v>1340</v>
      </c>
      <c r="S27" s="71">
        <v>3271</v>
      </c>
      <c r="T27" s="71">
        <v>848</v>
      </c>
      <c r="U27" s="71">
        <v>4984</v>
      </c>
      <c r="V27" s="71">
        <v>274</v>
      </c>
      <c r="W27" s="71">
        <v>8075</v>
      </c>
      <c r="X27" s="71">
        <v>2012</v>
      </c>
      <c r="Y27" s="71">
        <v>5421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4" t="s" ph="1">
        <v>178</v>
      </c>
      <c r="D28" s="91" ph="1">
        <f>D27*268.68*LOOKUP(D29,密度!$A$2:$A$50,密度!$Q$2:$Q$50)+IF(D27&lt;=0,0,1566*LOOKUP(D29,密度!$A$2:$A$50,密度!$Q$2:$Q$50))</f>
        <v>7289.8642960560001</v>
      </c>
      <c r="E28" s="91" ph="1">
        <f>E27*268.68*LOOKUP(E29,密度!$A$2:$A$50,密度!$C$2:$C$50)+IF(E27&lt;=0,0,1566*LOOKUP(E29,密度!$A$2:$A$50,密度!$C$2:$C$50))</f>
        <v>15495.37205736</v>
      </c>
      <c r="F28" s="91" ph="1">
        <f>F27*11.702*LOOKUP(F29,密度!$A$2:$A$50,密度!$Q$2:$Q$50)</f>
        <v>13335.35603244</v>
      </c>
      <c r="G28" s="91" ph="1">
        <f>G27*18.322*LOOKUP(G29,密度!$A$2:$A$50,密度!$B$2:$B$50)</f>
        <v>27071.766374399998</v>
      </c>
      <c r="H28" s="91" ph="1">
        <f>H27*18.322*LOOKUP(H29,密度!$A$2:$A$50,密度!$B$2:$B$50)</f>
        <v>36577.994995000001</v>
      </c>
      <c r="I28" s="91" ph="1">
        <f>I27*18.322*LOOKUP(I29,密度!$A$2:$A$50,密度!$Q$2:$Q$50)</f>
        <v>51079.208296879995</v>
      </c>
      <c r="J28" s="91" ph="1">
        <f>J27*18.322*LOOKUP(J29,密度!$A$2:$A$50,密度!$Q$2:$Q$50)</f>
        <v>11435.129571519999</v>
      </c>
      <c r="K28" s="91" ph="1">
        <f>K27*18.322*LOOKUP(K29,密度!$A$2:$A$50,密度!$Q$2:$Q$50)</f>
        <v>90943.560702160001</v>
      </c>
      <c r="L28" s="91" ph="1">
        <f>L27*18.322*LOOKUP(L29,密度!$A$2:$A$50,密度!$Q$2:$Q$50)</f>
        <v>96849.883862079994</v>
      </c>
      <c r="M28" s="91" ph="1">
        <f>M27*18.322*LOOKUP(M29,密度!$A$2:$A$50,密度!$Q$2:$Q$50)</f>
        <v>93487.491434339987</v>
      </c>
      <c r="N28" s="91" ph="1">
        <f>N27*18.322*LOOKUP(N29,密度!$A$2:$A$50,密度!$Q$2:$Q$50)</f>
        <v>95235.341160399985</v>
      </c>
      <c r="O28" s="91" ph="1">
        <f>O27*18.322*LOOKUP(O29,密度!$A$2:$A$50,密度!$C$2:$C$50)</f>
        <v>112712.1931054</v>
      </c>
      <c r="P28" s="91" ph="1">
        <f>P27*11.702*LOOKUP(P29,密度!$A$2:$A$50,密度!$B$2:$B$50)</f>
        <v>3189.8341376000003</v>
      </c>
      <c r="Q28" s="92" ph="1">
        <f>Q27*18.322*LOOKUP(Q29,密度!$A$2:$A$50,密度!$B$2:$B$50)</f>
        <v>7505.7465471999994</v>
      </c>
      <c r="R28" s="91" ph="1">
        <f>R27*35.891*LOOKUP(R29,密度!$A$2:$A$50,密度!$C$2:$C$50)</f>
        <v>53148.613093999993</v>
      </c>
      <c r="S28" s="91" ph="1">
        <f>S27*35.891*LOOKUP(S29,密度!$A$2:$A$50,密度!$B$2:$B$50)</f>
        <v>90914.142598399994</v>
      </c>
      <c r="T28" s="91" ph="1">
        <f>T27*35.891*LOOKUP(T29,密度!$A$2:$A$50,密度!$Q$2:$Q$50)</f>
        <v>28607.607785919998</v>
      </c>
      <c r="U28" s="91" ph="1">
        <f>U27*35.891</f>
        <v>178880.74399999998</v>
      </c>
      <c r="V28" s="91" ph="1">
        <f>V27*47.051*LOOKUP(V29,密度!$A$2:$A$50,密度!$B$2:$B$50)</f>
        <v>9995.1474421999992</v>
      </c>
      <c r="W28" s="91" ph="1">
        <f>W27*47.051*LOOKUP(W29,密度!$A$2:$A$50,密度!$B$2:$B$50)</f>
        <v>294565.02042249998</v>
      </c>
      <c r="X28" s="91" ph="1">
        <f>X27*47.051*LOOKUP(X29,密度!$A$2:$A$50,密度!$I$2:$I$50)</f>
        <v>97607.903634839997</v>
      </c>
      <c r="Y28" s="91" ph="1">
        <f>Y27*47.051*LOOKUP(Y29,密度!$A$2:$A$50,密度!$L$2:$L$50)</f>
        <v>237464.09150100002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4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30</v>
      </c>
      <c r="I29" s="74">
        <v>35</v>
      </c>
      <c r="J29" s="74">
        <v>35</v>
      </c>
      <c r="K29" s="74">
        <v>31</v>
      </c>
      <c r="L29" s="74">
        <v>31</v>
      </c>
      <c r="M29" s="74">
        <v>30</v>
      </c>
      <c r="N29" s="74">
        <v>35</v>
      </c>
      <c r="O29" s="74">
        <v>35</v>
      </c>
      <c r="P29" s="74">
        <v>31</v>
      </c>
      <c r="Q29" s="93">
        <v>31</v>
      </c>
      <c r="R29" s="74">
        <v>30</v>
      </c>
      <c r="S29" s="74">
        <v>31</v>
      </c>
      <c r="T29" s="74">
        <v>35</v>
      </c>
      <c r="U29" s="74">
        <v>30</v>
      </c>
      <c r="V29" s="74">
        <v>30</v>
      </c>
      <c r="W29" s="74">
        <v>30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4" t="s" ph="1">
        <v>5</v>
      </c>
      <c r="F32" s="143" t="s" ph="1">
        <v>43</v>
      </c>
      <c r="G32" s="97" t="s" ph="1">
        <v>4</v>
      </c>
      <c r="H32" s="144" t="s" ph="1">
        <v>5</v>
      </c>
      <c r="I32" s="143" t="s" ph="1">
        <v>43</v>
      </c>
      <c r="J32" s="97" t="s" ph="1">
        <v>4</v>
      </c>
      <c r="K32" s="144" t="s" ph="1">
        <v>5</v>
      </c>
      <c r="L32" s="143" t="s" ph="1">
        <v>43</v>
      </c>
      <c r="M32" s="97" t="s" ph="1">
        <v>4</v>
      </c>
      <c r="N32" s="144" t="s" ph="1">
        <v>5</v>
      </c>
      <c r="O32" s="14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3" t="s" ph="1">
        <v>43</v>
      </c>
      <c r="AB32" s="97" t="s" ph="1">
        <v>85</v>
      </c>
      <c r="AC32" s="144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58163.4761172</v>
      </c>
      <c r="E33" s="190" ph="1">
        <f>M10+I10</f>
        <v>73559.021589999989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6" ph="1">
        <v>0</v>
      </c>
      <c r="H33" s="190" ph="1">
        <f>N19</f>
        <v>31370.883125400003</v>
      </c>
      <c r="I33" s="194" ph="1">
        <v>0</v>
      </c>
      <c r="J33" s="198" ph="1">
        <f>F10+O28</f>
        <v>259940.87686180003</v>
      </c>
      <c r="K33" s="190" ph="1">
        <f>O10+K10+E28+R28</f>
        <v>216590.18192735998</v>
      </c>
      <c r="L33" s="200" ph="1">
        <f>BE27</f>
        <v>7100</v>
      </c>
      <c r="M33" s="198" ph="1">
        <f>G10+H10+W28+S28+V28+E10</f>
        <v>1316474.8391300999</v>
      </c>
      <c r="N33" s="190" ph="1">
        <f>L10+P10++G28+H28</f>
        <v>155678.68585740001</v>
      </c>
      <c r="O33" s="194" ph="1">
        <f>BE17</f>
        <v>2270</v>
      </c>
      <c r="P33" s="198" ph="1">
        <f>L19</f>
        <v>41477.571866879996</v>
      </c>
      <c r="Q33" s="190" ph="1">
        <f>J10+N10</f>
        <v>117985.36510879999</v>
      </c>
      <c r="R33" s="194" ph="1">
        <f>BE23</f>
        <v>890</v>
      </c>
      <c r="S33" s="198" ph="1">
        <f>E10+X28</f>
        <v>441945.09637983993</v>
      </c>
      <c r="T33" s="190" ph="1">
        <f>X19</f>
        <v>16162.231883519999</v>
      </c>
      <c r="U33" s="179" ph="1">
        <f>BE21</f>
        <v>730</v>
      </c>
      <c r="V33" s="192" ph="1">
        <f ca="1">P19+Q19+S19+M28+N28+J28</f>
        <v>341591.22306603997</v>
      </c>
      <c r="W33" s="192" ph="1">
        <f>D28+F28+V19+T28</f>
        <v>61751.112388416004</v>
      </c>
      <c r="X33" s="194" ph="1">
        <f>BE29+BE31</f>
        <v>10200</v>
      </c>
      <c r="Y33" s="196" ph="1">
        <f>+Q10+R10+S10+T10+U10+V10+W10+X10+Y10</f>
        <v>264079.07895599998</v>
      </c>
      <c r="Z33" s="177" ph="1">
        <f>D10+T19+U19+Y28+Z10</f>
        <v>545280.17360327998</v>
      </c>
      <c r="AA33" s="179" ph="1">
        <f>BE19</f>
        <v>1440</v>
      </c>
      <c r="AB33" s="181" ph="1">
        <f>I19</f>
        <v>24717.277510199998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42" t="s" ph="1">
        <v>185</v>
      </c>
      <c r="AA36" s="142" ph="1"/>
      <c r="AB36" s="176" t="s" ph="1">
        <v>639</v>
      </c>
      <c r="AC36" s="176" ph="1"/>
      <c r="AD36" s="176" ph="1"/>
      <c r="AE36" s="176" ph="1"/>
      <c r="BA36" s="64" ph="1">
        <v>2270</v>
      </c>
    </row>
    <row r="37" spans="1:57" s="14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2" t="s" ph="1">
        <v>342</v>
      </c>
      <c r="AI37" s="142" t="s" ph="1">
        <v>209</v>
      </c>
      <c r="AJ37" s="142" t="s" ph="1">
        <v>210</v>
      </c>
      <c r="AK37" s="142" t="s" ph="1">
        <v>211</v>
      </c>
      <c r="AM37" s="142" t="s" ph="1">
        <v>210</v>
      </c>
      <c r="AN37" s="142" t="s" ph="1">
        <v>211</v>
      </c>
      <c r="AO37" s="142" t="s" ph="1">
        <v>212</v>
      </c>
      <c r="AP37" s="142" t="s" ph="1">
        <v>210</v>
      </c>
      <c r="AQ37" s="142" t="s" ph="1">
        <v>211</v>
      </c>
      <c r="AR37" s="142" t="s" ph="1">
        <v>212</v>
      </c>
      <c r="AS37" s="142" t="s" ph="1">
        <v>210</v>
      </c>
      <c r="AT37" s="142" t="s" ph="1">
        <v>211</v>
      </c>
      <c r="AU37" s="142" t="s" ph="1">
        <v>212</v>
      </c>
      <c r="AV37" s="142" t="s" ph="1">
        <v>210</v>
      </c>
      <c r="AW37" s="142" t="s" ph="1">
        <v>211</v>
      </c>
      <c r="AX37" s="142" t="s" ph="1">
        <v>212</v>
      </c>
      <c r="AY37" s="142" t="s" ph="1">
        <v>211</v>
      </c>
      <c r="AZ37" s="142" t="s" ph="1">
        <v>213</v>
      </c>
      <c r="BD37" s="142" t="s" ph="1">
        <v>305</v>
      </c>
      <c r="BE37" s="14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87" priority="98">
      <formula>ABS(D$7-D$10)&gt;=1000</formula>
    </cfRule>
  </conditionalFormatting>
  <conditionalFormatting sqref="E4 E6:E11">
    <cfRule type="expression" dxfId="2686" priority="97">
      <formula>ABS(E$7-E$10)&gt;=1000</formula>
    </cfRule>
  </conditionalFormatting>
  <conditionalFormatting sqref="F4:F11">
    <cfRule type="expression" dxfId="2685" priority="96">
      <formula>ABS(F$7-F$10)&gt;=1000</formula>
    </cfRule>
  </conditionalFormatting>
  <conditionalFormatting sqref="G4:G11">
    <cfRule type="expression" dxfId="2684" priority="95">
      <formula>ABS(G$7-G$10)&gt;=1000</formula>
    </cfRule>
  </conditionalFormatting>
  <conditionalFormatting sqref="H4:H11">
    <cfRule type="expression" dxfId="2683" priority="94">
      <formula>ABS(H$7-H$10)&gt;=1000</formula>
    </cfRule>
  </conditionalFormatting>
  <conditionalFormatting sqref="I4:I11">
    <cfRule type="expression" dxfId="2682" priority="93">
      <formula>ABS(I$7-I$10)&gt;=1000</formula>
    </cfRule>
  </conditionalFormatting>
  <conditionalFormatting sqref="J4:J11">
    <cfRule type="expression" dxfId="2681" priority="92">
      <formula>ABS(J$7-J$10)&gt;=1000</formula>
    </cfRule>
  </conditionalFormatting>
  <conditionalFormatting sqref="K4:K11">
    <cfRule type="expression" dxfId="2680" priority="91">
      <formula>ABS(K$7-K$10)&gt;=1000</formula>
    </cfRule>
  </conditionalFormatting>
  <conditionalFormatting sqref="L4:L11">
    <cfRule type="expression" dxfId="2679" priority="90">
      <formula>ABS(L$7-L$10)&gt;=1000</formula>
    </cfRule>
  </conditionalFormatting>
  <conditionalFormatting sqref="M4 M6:M11">
    <cfRule type="expression" dxfId="2678" priority="89">
      <formula>ABS(M$7-M$10)&gt;=1000</formula>
    </cfRule>
  </conditionalFormatting>
  <conditionalFormatting sqref="N4 N6:N11">
    <cfRule type="expression" dxfId="2677" priority="88">
      <formula>ABS(N$7-N$10)&gt;=1000</formula>
    </cfRule>
  </conditionalFormatting>
  <conditionalFormatting sqref="O4 O6:O11">
    <cfRule type="expression" dxfId="2676" priority="87">
      <formula>ABS(O$7-O$10)&gt;=1000</formula>
    </cfRule>
  </conditionalFormatting>
  <conditionalFormatting sqref="P4 P6:P11">
    <cfRule type="expression" dxfId="2675" priority="86">
      <formula>ABS(P$7-P$10)&gt;=1000</formula>
    </cfRule>
  </conditionalFormatting>
  <conditionalFormatting sqref="Q4:Q11">
    <cfRule type="expression" dxfId="2674" priority="85">
      <formula>ABS(Q$7-Q$10)&gt;=1000</formula>
    </cfRule>
  </conditionalFormatting>
  <conditionalFormatting sqref="R4:R11">
    <cfRule type="expression" dxfId="2673" priority="84">
      <formula>ABS(R$7-R$10)&gt;=1000</formula>
    </cfRule>
  </conditionalFormatting>
  <conditionalFormatting sqref="S4:S11">
    <cfRule type="expression" dxfId="2672" priority="83">
      <formula>ABS(S$7-S$10)&gt;=1000</formula>
    </cfRule>
  </conditionalFormatting>
  <conditionalFormatting sqref="T4:T9 T11">
    <cfRule type="expression" dxfId="2671" priority="82">
      <formula>ABS(T$7-T$10)&gt;=1000</formula>
    </cfRule>
  </conditionalFormatting>
  <conditionalFormatting sqref="U4:U9 U11">
    <cfRule type="expression" dxfId="2670" priority="81">
      <formula>ABS(U$7-U$10)&gt;=1000</formula>
    </cfRule>
  </conditionalFormatting>
  <conditionalFormatting sqref="V4:V9 V11">
    <cfRule type="expression" dxfId="2669" priority="80">
      <formula>ABS(V$7-V$10)&gt;=1000</formula>
    </cfRule>
  </conditionalFormatting>
  <conditionalFormatting sqref="W4:W9 W11">
    <cfRule type="expression" dxfId="2668" priority="79">
      <formula>ABS(W$7-W$10)&gt;=1000</formula>
    </cfRule>
  </conditionalFormatting>
  <conditionalFormatting sqref="X4:X9 X11">
    <cfRule type="expression" dxfId="2667" priority="78">
      <formula>ABS(X$7-X$10)&gt;=1000</formula>
    </cfRule>
  </conditionalFormatting>
  <conditionalFormatting sqref="Y4:Y9 Y11">
    <cfRule type="expression" dxfId="2666" priority="77">
      <formula>ABS(Y$7-Y$10)&gt;=1000</formula>
    </cfRule>
  </conditionalFormatting>
  <conditionalFormatting sqref="Z4:Z11">
    <cfRule type="expression" dxfId="2665" priority="76">
      <formula>ABS(Z$7-Z$10)&gt;=1000</formula>
    </cfRule>
  </conditionalFormatting>
  <conditionalFormatting sqref="AA4:AA11">
    <cfRule type="expression" dxfId="2664" priority="75">
      <formula>ABS(AA$7-AA$10)&gt;=1000</formula>
    </cfRule>
  </conditionalFormatting>
  <conditionalFormatting sqref="AB4:AB11">
    <cfRule type="expression" dxfId="2663" priority="74">
      <formula>ABS(AB$7-AB$10)&gt;=1000</formula>
    </cfRule>
  </conditionalFormatting>
  <conditionalFormatting sqref="AC4 AC6:AC11">
    <cfRule type="expression" dxfId="2662" priority="73">
      <formula>ABS(AC$7-AC$10)&gt;=1000</formula>
    </cfRule>
  </conditionalFormatting>
  <conditionalFormatting sqref="AD4:AD11">
    <cfRule type="expression" dxfId="2661" priority="72">
      <formula>ABS(AD$7-AD$10)&gt;=1000</formula>
    </cfRule>
  </conditionalFormatting>
  <conditionalFormatting sqref="AE4 AE6:AE11">
    <cfRule type="expression" dxfId="2660" priority="71">
      <formula>ABS(AE$7-AE$10)&gt;=1000</formula>
    </cfRule>
  </conditionalFormatting>
  <conditionalFormatting sqref="D13:D20">
    <cfRule type="expression" dxfId="2659" priority="70">
      <formula>ABS(D$16-D$19)&gt;=1000</formula>
    </cfRule>
  </conditionalFormatting>
  <conditionalFormatting sqref="E13:E20">
    <cfRule type="expression" dxfId="2658" priority="69">
      <formula>ABS(E$16-E$19)&gt;=1000</formula>
    </cfRule>
  </conditionalFormatting>
  <conditionalFormatting sqref="F13 F15:F20">
    <cfRule type="expression" dxfId="2657" priority="68">
      <formula>ABS(F$16-F$19)&gt;=1000</formula>
    </cfRule>
  </conditionalFormatting>
  <conditionalFormatting sqref="G13:G20">
    <cfRule type="expression" dxfId="2656" priority="67">
      <formula>ABS(G$16-G$19)&gt;=1000</formula>
    </cfRule>
  </conditionalFormatting>
  <conditionalFormatting sqref="H13:H20">
    <cfRule type="expression" dxfId="2655" priority="66">
      <formula>ABS(H$16-H$19)&gt;=1000</formula>
    </cfRule>
  </conditionalFormatting>
  <conditionalFormatting sqref="I13:I20">
    <cfRule type="expression" dxfId="2654" priority="65">
      <formula>ABS(I$16-I$19)&gt;=1000</formula>
    </cfRule>
  </conditionalFormatting>
  <conditionalFormatting sqref="J13:J20">
    <cfRule type="expression" dxfId="2653" priority="64">
      <formula>ABS(J$16-J$19)&gt;=1000</formula>
    </cfRule>
  </conditionalFormatting>
  <conditionalFormatting sqref="L13:L20">
    <cfRule type="expression" dxfId="2652" priority="63">
      <formula>ABS(L$16-L$19)&gt;=1000</formula>
    </cfRule>
  </conditionalFormatting>
  <conditionalFormatting sqref="M13 M15 M17:M18 M20">
    <cfRule type="expression" dxfId="2651" priority="62">
      <formula>ABS(M$16-M$19)&gt;=1000</formula>
    </cfRule>
  </conditionalFormatting>
  <conditionalFormatting sqref="N13:N20">
    <cfRule type="expression" dxfId="2650" priority="61">
      <formula>ABS(N$16-N$19)&gt;=1000</formula>
    </cfRule>
  </conditionalFormatting>
  <conditionalFormatting sqref="O13:O20">
    <cfRule type="expression" dxfId="2649" priority="60">
      <formula>ABS(O$16-O$19)&gt;=1000</formula>
    </cfRule>
  </conditionalFormatting>
  <conditionalFormatting sqref="P13:P20">
    <cfRule type="expression" dxfId="2648" priority="59">
      <formula>ABS(P$16-P$19)&gt;=1000</formula>
    </cfRule>
  </conditionalFormatting>
  <conditionalFormatting sqref="Q13 Q15:Q20">
    <cfRule type="expression" dxfId="2647" priority="58">
      <formula>ABS(Q$16-Q$19)&gt;=1000</formula>
    </cfRule>
  </conditionalFormatting>
  <conditionalFormatting sqref="R13:R20">
    <cfRule type="expression" dxfId="2646" priority="57">
      <formula>ABS(R$16-R$19)&gt;=1000</formula>
    </cfRule>
  </conditionalFormatting>
  <conditionalFormatting sqref="S13:S20">
    <cfRule type="expression" dxfId="2645" priority="56">
      <formula>ABS(S$16-S$19)&gt;=1000</formula>
    </cfRule>
  </conditionalFormatting>
  <conditionalFormatting sqref="T13:T20">
    <cfRule type="expression" dxfId="2644" priority="55">
      <formula>ABS(T$16-T$19)&gt;=1000</formula>
    </cfRule>
  </conditionalFormatting>
  <conditionalFormatting sqref="U13:U20">
    <cfRule type="expression" dxfId="2643" priority="54">
      <formula>ABS(U$16-U$19)&gt;=1000</formula>
    </cfRule>
  </conditionalFormatting>
  <conditionalFormatting sqref="V13:V20">
    <cfRule type="expression" dxfId="2642" priority="53">
      <formula>ABS(V$16-V$19)&gt;=1000</formula>
    </cfRule>
  </conditionalFormatting>
  <conditionalFormatting sqref="W13 W20 W15:W18">
    <cfRule type="expression" dxfId="2641" priority="52">
      <formula>ABS(W$16-W$19)&gt;=1000</formula>
    </cfRule>
  </conditionalFormatting>
  <conditionalFormatting sqref="X13 X15:X20 Y19">
    <cfRule type="expression" dxfId="2640" priority="51">
      <formula>ABS(X$16-X$19)&gt;=1000</formula>
    </cfRule>
  </conditionalFormatting>
  <conditionalFormatting sqref="Y13 Y15:Y18 Y20">
    <cfRule type="expression" dxfId="2639" priority="50">
      <formula>ABS(Y$16-Y$19)&gt;=1000</formula>
    </cfRule>
  </conditionalFormatting>
  <conditionalFormatting sqref="Z13:Z20">
    <cfRule type="expression" dxfId="2638" priority="49">
      <formula>ABS(Z$16-Z$19)&gt;=1000</formula>
    </cfRule>
  </conditionalFormatting>
  <conditionalFormatting sqref="AA13:AA20">
    <cfRule type="expression" dxfId="2637" priority="48">
      <formula>ABS(AA$16-AA$19)&gt;=1000</formula>
    </cfRule>
  </conditionalFormatting>
  <conditionalFormatting sqref="AB13 AB15:AB20">
    <cfRule type="expression" dxfId="2636" priority="47">
      <formula>ABS(AB$16-AB$19)&gt;=1000</formula>
    </cfRule>
  </conditionalFormatting>
  <conditionalFormatting sqref="AC13 AC15:AC20">
    <cfRule type="expression" dxfId="2635" priority="46">
      <formula>ABS(AC$16-AC$19)&gt;=1000</formula>
    </cfRule>
  </conditionalFormatting>
  <conditionalFormatting sqref="AD13:AD20">
    <cfRule type="expression" dxfId="2634" priority="45">
      <formula>ABS(AD$16-AD$19)&gt;=1000</formula>
    </cfRule>
  </conditionalFormatting>
  <conditionalFormatting sqref="AE13:AE20">
    <cfRule type="expression" dxfId="2633" priority="44">
      <formula>ABS(AE$16-AE$19)&gt;=1000</formula>
    </cfRule>
  </conditionalFormatting>
  <conditionalFormatting sqref="D22:D29">
    <cfRule type="expression" dxfId="2632" priority="43">
      <formula>ABS(D$25-D$28)&gt;=1000</formula>
    </cfRule>
  </conditionalFormatting>
  <conditionalFormatting sqref="E22:E29">
    <cfRule type="expression" dxfId="2631" priority="42">
      <formula>ABS(E$25-E$28)&gt;=1000</formula>
    </cfRule>
  </conditionalFormatting>
  <conditionalFormatting sqref="F22:F29">
    <cfRule type="expression" dxfId="2630" priority="41">
      <formula>ABS(F$25-F$28)&gt;=1000</formula>
    </cfRule>
  </conditionalFormatting>
  <conditionalFormatting sqref="G22:G29">
    <cfRule type="expression" dxfId="2629" priority="40">
      <formula>ABS(G$25-G$28)&gt;=1000</formula>
    </cfRule>
  </conditionalFormatting>
  <conditionalFormatting sqref="H22:H29">
    <cfRule type="expression" dxfId="2628" priority="39">
      <formula>ABS(H$25-H$28)&gt;=1000</formula>
    </cfRule>
  </conditionalFormatting>
  <conditionalFormatting sqref="I22 I24:I29">
    <cfRule type="expression" dxfId="2627" priority="38">
      <formula>ABS(I$25-I$28)&gt;=1000</formula>
    </cfRule>
  </conditionalFormatting>
  <conditionalFormatting sqref="J22:J29 K22">
    <cfRule type="expression" dxfId="2626" priority="37">
      <formula>ABS(J$25-J$28)&gt;=1000</formula>
    </cfRule>
  </conditionalFormatting>
  <conditionalFormatting sqref="K23:K29 L25 L28">
    <cfRule type="expression" dxfId="2625" priority="36">
      <formula>ABS(K$25-K$28)&gt;=1000</formula>
    </cfRule>
  </conditionalFormatting>
  <conditionalFormatting sqref="L22 L26:L27 L29 L24">
    <cfRule type="expression" dxfId="2624" priority="35">
      <formula>ABS(L$25-L$28)&gt;=1000</formula>
    </cfRule>
  </conditionalFormatting>
  <conditionalFormatting sqref="M22:M29">
    <cfRule type="expression" dxfId="2623" priority="34">
      <formula>ABS(M$25-M$28)&gt;=1000</formula>
    </cfRule>
  </conditionalFormatting>
  <conditionalFormatting sqref="N22:N29">
    <cfRule type="expression" dxfId="2622" priority="33">
      <formula>ABS(N$25-N$28)&gt;=1000</formula>
    </cfRule>
  </conditionalFormatting>
  <conditionalFormatting sqref="O22:O29">
    <cfRule type="expression" dxfId="2621" priority="32">
      <formula>ABS(O$25-O$28)&gt;=1000</formula>
    </cfRule>
  </conditionalFormatting>
  <conditionalFormatting sqref="P22:P29">
    <cfRule type="expression" dxfId="2620" priority="31">
      <formula>ABS(P$25-P$28)&gt;=1000</formula>
    </cfRule>
  </conditionalFormatting>
  <conditionalFormatting sqref="Q22:Q29">
    <cfRule type="expression" dxfId="2619" priority="30">
      <formula>ABS(Q$25-Q$28)&gt;=1000</formula>
    </cfRule>
  </conditionalFormatting>
  <conditionalFormatting sqref="R22:R29">
    <cfRule type="expression" dxfId="2618" priority="29">
      <formula>ABS(R$25-R$28)&gt;=1000</formula>
    </cfRule>
  </conditionalFormatting>
  <conditionalFormatting sqref="S22:S29">
    <cfRule type="expression" dxfId="2617" priority="28">
      <formula>ABS(S$25-S$28)&gt;=1000</formula>
    </cfRule>
  </conditionalFormatting>
  <conditionalFormatting sqref="T22:T29">
    <cfRule type="expression" dxfId="2616" priority="27">
      <formula>ABS(T$25-T$28)&gt;=1000</formula>
    </cfRule>
  </conditionalFormatting>
  <conditionalFormatting sqref="U22:U29">
    <cfRule type="expression" dxfId="2615" priority="26">
      <formula>ABS(U$25-U$28)&gt;=1000</formula>
    </cfRule>
  </conditionalFormatting>
  <conditionalFormatting sqref="V22:V29">
    <cfRule type="expression" dxfId="2614" priority="25">
      <formula>ABS(V$25-V$28)&gt;=1000</formula>
    </cfRule>
  </conditionalFormatting>
  <conditionalFormatting sqref="W22:W29">
    <cfRule type="expression" dxfId="2613" priority="24">
      <formula>ABS(W$25-W$28)&gt;=1000</formula>
    </cfRule>
  </conditionalFormatting>
  <conditionalFormatting sqref="X22:X29">
    <cfRule type="expression" dxfId="2612" priority="23">
      <formula>ABS(X$25-X$28)&gt;=1000</formula>
    </cfRule>
  </conditionalFormatting>
  <conditionalFormatting sqref="Y22:Y29">
    <cfRule type="expression" dxfId="2611" priority="22">
      <formula>ABS(Y$25-Y$28)&gt;=1000</formula>
    </cfRule>
  </conditionalFormatting>
  <conditionalFormatting sqref="I23">
    <cfRule type="expression" dxfId="2610" priority="21">
      <formula>ABS(I$25-I$28)&gt;=1000</formula>
    </cfRule>
  </conditionalFormatting>
  <conditionalFormatting sqref="Q14">
    <cfRule type="expression" dxfId="2609" priority="20">
      <formula>ABS(Q$16-Q$19)&gt;=1000</formula>
    </cfRule>
  </conditionalFormatting>
  <conditionalFormatting sqref="W14">
    <cfRule type="expression" dxfId="2608" priority="19">
      <formula>ABS(W$16-W$19)&gt;=1000</formula>
    </cfRule>
  </conditionalFormatting>
  <conditionalFormatting sqref="Y14">
    <cfRule type="expression" dxfId="2607" priority="18">
      <formula>ABS(Y$16-Y$19)&gt;=1000</formula>
    </cfRule>
  </conditionalFormatting>
  <conditionalFormatting sqref="X14">
    <cfRule type="expression" dxfId="2606" priority="17">
      <formula>ABS(X$16-X$19)&gt;=1000</formula>
    </cfRule>
  </conditionalFormatting>
  <conditionalFormatting sqref="T10:Y10">
    <cfRule type="expression" dxfId="2605" priority="16">
      <formula>ABS(T$7-T$10)&gt;=1000</formula>
    </cfRule>
  </conditionalFormatting>
  <conditionalFormatting sqref="W19">
    <cfRule type="expression" dxfId="2604" priority="15">
      <formula>ABS(W$16-W$19)&gt;=1000</formula>
    </cfRule>
  </conditionalFormatting>
  <conditionalFormatting sqref="AC5">
    <cfRule type="expression" dxfId="2603" priority="14">
      <formula>ABS(AC$7-AC$10)&gt;=1000</formula>
    </cfRule>
  </conditionalFormatting>
  <conditionalFormatting sqref="M14">
    <cfRule type="expression" dxfId="2602" priority="13">
      <formula>ABS(M$16-M$19)&gt;=1000</formula>
    </cfRule>
  </conditionalFormatting>
  <conditionalFormatting sqref="M16">
    <cfRule type="expression" dxfId="2601" priority="12">
      <formula>ABS(M$16-M$19)&gt;=1000</formula>
    </cfRule>
  </conditionalFormatting>
  <conditionalFormatting sqref="M19">
    <cfRule type="expression" dxfId="2600" priority="11">
      <formula>ABS(M$16-M$19)&gt;=1000</formula>
    </cfRule>
  </conditionalFormatting>
  <conditionalFormatting sqref="K13:K20">
    <cfRule type="expression" dxfId="2599" priority="10">
      <formula>ABS(K$16-K$19)&gt;=1000</formula>
    </cfRule>
  </conditionalFormatting>
  <conditionalFormatting sqref="E5">
    <cfRule type="expression" dxfId="2598" priority="9">
      <formula>ABS(E$7-E$10)&gt;=1000</formula>
    </cfRule>
  </conditionalFormatting>
  <conditionalFormatting sqref="AB14:AC14">
    <cfRule type="expression" dxfId="2597" priority="8">
      <formula>ABS(AB$16-AB$19)&gt;=1000</formula>
    </cfRule>
  </conditionalFormatting>
  <conditionalFormatting sqref="M5">
    <cfRule type="expression" dxfId="2596" priority="7">
      <formula>ABS(M$7-M$10)&gt;=1000</formula>
    </cfRule>
  </conditionalFormatting>
  <conditionalFormatting sqref="N5">
    <cfRule type="expression" dxfId="2595" priority="6">
      <formula>ABS(N$7-N$10)&gt;=1000</formula>
    </cfRule>
  </conditionalFormatting>
  <conditionalFormatting sqref="O5">
    <cfRule type="expression" dxfId="2594" priority="5">
      <formula>ABS(O$7-O$10)&gt;=1000</formula>
    </cfRule>
  </conditionalFormatting>
  <conditionalFormatting sqref="P5">
    <cfRule type="expression" dxfId="2593" priority="4">
      <formula>ABS(P$7-P$10)&gt;=1000</formula>
    </cfRule>
  </conditionalFormatting>
  <conditionalFormatting sqref="L23">
    <cfRule type="expression" dxfId="2592" priority="3">
      <formula>ABS(L$25-L$28)&gt;=1000</formula>
    </cfRule>
  </conditionalFormatting>
  <conditionalFormatting sqref="F14">
    <cfRule type="expression" dxfId="2591" priority="2">
      <formula>ABS(F$16-F$19)&gt;=1000</formula>
    </cfRule>
  </conditionalFormatting>
  <conditionalFormatting sqref="AE5">
    <cfRule type="expression" dxfId="259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75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4">
    <pageSetUpPr fitToPage="1"/>
  </sheetPr>
  <dimension ref="A1:CU223"/>
  <sheetViews>
    <sheetView view="pageBreakPreview" zoomScale="80" zoomScaleNormal="100" zoomScaleSheetLayoutView="80" workbookViewId="0">
      <selection activeCell="F14" sqref="F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5" t="s" ph="1">
        <v>177</v>
      </c>
      <c r="D6" s="71">
        <v>5338</v>
      </c>
      <c r="E6" s="71">
        <v>8637</v>
      </c>
      <c r="F6" s="71">
        <v>4371</v>
      </c>
      <c r="G6" s="71">
        <v>6699</v>
      </c>
      <c r="H6" s="71">
        <v>7240</v>
      </c>
      <c r="I6" s="71">
        <v>18.04</v>
      </c>
      <c r="J6" s="71">
        <v>9.68</v>
      </c>
      <c r="K6" s="71">
        <v>85.41</v>
      </c>
      <c r="L6" s="71">
        <v>31.38</v>
      </c>
      <c r="M6" s="71">
        <v>2012</v>
      </c>
      <c r="N6" s="71">
        <v>4503</v>
      </c>
      <c r="O6" s="71">
        <v>5359</v>
      </c>
      <c r="P6" s="71">
        <v>2091</v>
      </c>
      <c r="Q6" s="71">
        <v>6753</v>
      </c>
      <c r="R6" s="71">
        <v>0</v>
      </c>
      <c r="S6" s="71">
        <v>0</v>
      </c>
      <c r="T6" s="71">
        <v>0</v>
      </c>
      <c r="U6" s="71">
        <v>1477</v>
      </c>
      <c r="V6" s="71">
        <v>6986</v>
      </c>
      <c r="W6" s="71">
        <v>7010</v>
      </c>
      <c r="X6" s="71">
        <v>7087</v>
      </c>
      <c r="Y6" s="71">
        <v>7150</v>
      </c>
      <c r="Z6" s="71">
        <v>3288</v>
      </c>
      <c r="AA6" s="71">
        <v>558</v>
      </c>
      <c r="AB6" s="71">
        <v>1875</v>
      </c>
      <c r="AC6" s="71">
        <v>841</v>
      </c>
      <c r="AD6" s="71">
        <v>4350</v>
      </c>
      <c r="AE6" s="71">
        <v>3350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167199.12701622001</v>
      </c>
      <c r="E7" s="73" ph="1">
        <f>E6*51.53*LOOKUP(E8,密度!$A$2:$A$50,密度!$B$2:$B$50)</f>
        <v>345459.15028200002</v>
      </c>
      <c r="F7" s="73" ph="1">
        <f>F6*33.183*LOOKUP(F8,密度!$A$2:$A$50,密度!$C$2:$C$50)</f>
        <v>160504.46539380003</v>
      </c>
      <c r="G7" s="73" ph="1">
        <f xml:space="preserve"> (G6+2)*51.53*LOOKUP(G8,密度!$A$2:$A$50,密度!$B$2:$B$50)</f>
        <v>268023.82378600002</v>
      </c>
      <c r="H7" s="73" ph="1">
        <f>(H6)*51.53*LOOKUP(H8,密度!$A$2:$A$50,密度!$B$2:$B$50)</f>
        <v>290850.98511999997</v>
      </c>
      <c r="I7" s="73" ph="1">
        <f>I6*290.8*1.0267</f>
        <v>5386.1010544000001</v>
      </c>
      <c r="J7" s="73" ph="1">
        <f>J6*290.8*0.7892</f>
        <v>2221.5538047999999</v>
      </c>
      <c r="K7" s="73" ph="1">
        <f>K6*290.8*1.1126</f>
        <v>27633.899872800001</v>
      </c>
      <c r="L7" s="73" ph="1">
        <f>L6*290.8*0.777</f>
        <v>7090.3612080000003</v>
      </c>
      <c r="M7" s="73" ph="1">
        <f>M6*33.183*LOOKUP(M8,密度!$A$2:$A$50,密度!$D$2:$D$50)</f>
        <v>68233.008311999991</v>
      </c>
      <c r="N7" s="73" ph="1">
        <f>N6*33.183*LOOKUP(N8,密度!$A$2:$A$50,密度!$E$2:$E$50)</f>
        <v>116191.3629024</v>
      </c>
      <c r="O7" s="73" ph="1">
        <f>O6*20.428*LOOKUP(O8,密度!$A$2:$A$50,密度!$C$2:$C$50)</f>
        <v>120639.96450400002</v>
      </c>
      <c r="P7" s="73" ph="1">
        <f>P6*51.53*LOOKUP(P8,密度!$A$2:$A$50,密度!$B$2:$B$50)</f>
        <v>83818.126017000002</v>
      </c>
      <c r="Q7" s="73" ph="1">
        <f>Q6*1.5*1.5*3.1416*LOOKUP(W8,密度!$A$2:$A$50,密度!$L$2:$L$50)</f>
        <v>44583.794917200001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9740.8206126000005</v>
      </c>
      <c r="V7" s="73" ph="1">
        <f>V6*1.5*1.5*3.1416*LOOKUP(V8,密度!$A$2:$A$50,密度!$L$2:$L$50)</f>
        <v>46122.077786400005</v>
      </c>
      <c r="W7" s="73" ph="1">
        <f>W6*1.5*1.5*3.1416*LOOKUP(W8,密度!$A$2:$A$50,密度!$L$2:$L$50)</f>
        <v>46280.527524000005</v>
      </c>
      <c r="X7" s="73" ph="1">
        <f>X6*1.5*1.5*3.1416*LOOKUP(X8,密度!$A$2:$A$50,密度!$L$2:$L$50)</f>
        <v>47189.648444399994</v>
      </c>
      <c r="Y7" s="73" ph="1">
        <f>Y6*1.5*1.5*3.1416*LOOKUP(Y8,密度!$A$2:$A$50,密度!$L$2:$L$50)</f>
        <v>47255.35815</v>
      </c>
      <c r="Z7" s="73" ph="1">
        <f>Z6*33.183*LOOKUP(Z8,密度!$A$2:$A$50,密度!$L$2:$L$50)</f>
        <v>101904.72753600001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39359.649000000005</v>
      </c>
      <c r="AC7" s="73" ph="1">
        <f>AC6*51.53*LOOKUP(AC8,密度!$A$2:$A$50,密度!$Q$2:$Q$50)</f>
        <v>41028.615760200002</v>
      </c>
      <c r="AD7" s="73" ph="1">
        <f>AD6*20.428*LOOKUP(AD8,密度!$A$2:$A$50,密度!$V$2:$V$50)</f>
        <v>85094.059680000006</v>
      </c>
      <c r="AE7" s="73" ph="1">
        <f>AE6*20.428</f>
        <v>68433.8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27</v>
      </c>
      <c r="Q8" s="74">
        <v>28</v>
      </c>
      <c r="R8" s="74">
        <v>33</v>
      </c>
      <c r="S8" s="74">
        <v>24</v>
      </c>
      <c r="T8" s="74">
        <v>24</v>
      </c>
      <c r="U8" s="74">
        <v>29</v>
      </c>
      <c r="V8" s="74">
        <v>28</v>
      </c>
      <c r="W8" s="74">
        <v>28</v>
      </c>
      <c r="X8" s="74">
        <v>20</v>
      </c>
      <c r="Y8" s="74">
        <v>27</v>
      </c>
      <c r="Z8" s="74">
        <v>28</v>
      </c>
      <c r="AA8" s="74">
        <v>28</v>
      </c>
      <c r="AB8" s="74">
        <v>24</v>
      </c>
      <c r="AC8" s="74">
        <v>25</v>
      </c>
      <c r="AD8" s="74">
        <v>27</v>
      </c>
      <c r="AE8" s="74">
        <v>32</v>
      </c>
    </row>
    <row r="9" spans="1:99" ht="26.4" ph="1">
      <c r="B9" s="241" ph="1">
        <v>0.66666666666666663</v>
      </c>
      <c r="C9" s="145" t="s" ph="1">
        <v>180</v>
      </c>
      <c r="D9" s="71">
        <v>5340</v>
      </c>
      <c r="E9" s="71">
        <v>8340</v>
      </c>
      <c r="F9" s="71">
        <v>4372</v>
      </c>
      <c r="G9" s="71">
        <v>6702</v>
      </c>
      <c r="H9" s="71">
        <v>7012</v>
      </c>
      <c r="I9" s="71">
        <v>18.02</v>
      </c>
      <c r="J9" s="71">
        <v>7.07</v>
      </c>
      <c r="K9" s="71">
        <v>85.42</v>
      </c>
      <c r="L9" s="71">
        <v>8.66</v>
      </c>
      <c r="M9" s="71">
        <v>2012</v>
      </c>
      <c r="N9" s="71">
        <v>4506</v>
      </c>
      <c r="O9" s="71">
        <v>5358</v>
      </c>
      <c r="P9" s="71">
        <v>1768</v>
      </c>
      <c r="Q9" s="71">
        <v>6760</v>
      </c>
      <c r="R9" s="71">
        <v>4514</v>
      </c>
      <c r="S9" s="71">
        <v>0</v>
      </c>
      <c r="T9" s="71">
        <v>0</v>
      </c>
      <c r="U9" s="71">
        <v>0</v>
      </c>
      <c r="V9" s="71">
        <v>3912</v>
      </c>
      <c r="W9" s="71">
        <v>7019</v>
      </c>
      <c r="X9" s="71">
        <v>7094</v>
      </c>
      <c r="Y9" s="71">
        <v>7160</v>
      </c>
      <c r="Z9" s="71">
        <v>4255</v>
      </c>
      <c r="AA9" s="71">
        <v>558</v>
      </c>
      <c r="AB9" s="71">
        <v>1843</v>
      </c>
      <c r="AC9" s="71">
        <v>1127</v>
      </c>
      <c r="AD9" s="71">
        <v>4350</v>
      </c>
      <c r="AE9" s="71">
        <v>3352</v>
      </c>
    </row>
    <row r="10" spans="1:99" s="72" customFormat="1" ht="22.2" ph="1">
      <c r="B10" s="241" ph="1"/>
      <c r="C10" s="145" t="s" ph="1">
        <v>178</v>
      </c>
      <c r="D10" s="73" ph="1">
        <f>D9*33.183*LOOKUP(D11,密度!$A$2:$A$50,密度!$Q$2:$Q$50)</f>
        <v>167155.45354260001</v>
      </c>
      <c r="E10" s="73" ph="1">
        <f>E9*51.53*LOOKUP(E11,密度!$A$2:$A$50,密度!$B$2:$B$50)</f>
        <v>332075.70654000004</v>
      </c>
      <c r="F10" s="73" ph="1">
        <f>F9*33.183*LOOKUP(F11,密度!$A$2:$A$50,密度!$C$2:$C$50)</f>
        <v>160439.63244840002</v>
      </c>
      <c r="G10" s="73" ph="1">
        <f xml:space="preserve"> (G9+2)*51.53*LOOKUP(G11,密度!$A$2:$A$50,密度!$B$2:$B$50)</f>
        <v>267521.99372799997</v>
      </c>
      <c r="H10" s="73" ph="1">
        <f>(H9)*51.53*LOOKUP(H11,密度!$A$2:$A$50,密度!$B$2:$B$50)</f>
        <v>280463.07303199999</v>
      </c>
      <c r="I10" s="73" ph="1">
        <f>I9*290.8*1.0267</f>
        <v>5380.1297672000001</v>
      </c>
      <c r="J10" s="73" ph="1">
        <f>J9*290.8*0.7892</f>
        <v>1622.5604752000002</v>
      </c>
      <c r="K10" s="73" ph="1">
        <f>K9*290.8*1.1126</f>
        <v>27637.135313600003</v>
      </c>
      <c r="L10" s="73" ph="1">
        <f>L9*290.8*0.777</f>
        <v>1956.7408560000001</v>
      </c>
      <c r="M10" s="73" ph="1">
        <f>M9*33.183*LOOKUP(M11,密度!$A$2:$A$50,密度!$D$2:$D$50)</f>
        <v>68172.920535599987</v>
      </c>
      <c r="N10" s="73" ph="1">
        <f>N9*33.183*LOOKUP(N11,密度!$A$2:$A$50,密度!$E$2:$E$50)</f>
        <v>116096.82121709999</v>
      </c>
      <c r="O10" s="73" ph="1">
        <f>O9*20.428*LOOKUP(O11,密度!$A$2:$A$50,密度!$C$2:$C$50)</f>
        <v>120267.2025312</v>
      </c>
      <c r="P10" s="73" ph="1">
        <f>P9*51.53*LOOKUP(P11,密度!$A$2:$A$50,密度!$B$2:$B$50)</f>
        <v>70551.742976000009</v>
      </c>
      <c r="Q10" s="73" ph="1">
        <f>Q9*1.5*1.5*3.1416*LOOKUP(W11,密度!$A$2:$A$50,密度!$L$2:$L$50)</f>
        <v>44534.441952000001</v>
      </c>
      <c r="R10" s="73" ph="1">
        <f>R9*1.5*1.5*3.1416*LOOKUP(R11,密度!$A$2:$A$50,密度!$L$2:$L$50)</f>
        <v>29674.124172000003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25827.3072288</v>
      </c>
      <c r="W10" s="73" ph="1">
        <f>W9*1.5*1.5*3.1416*LOOKUP(W11,密度!$A$2:$A$50,密度!$L$2:$L$50)</f>
        <v>46240.717168800002</v>
      </c>
      <c r="X10" s="73" ph="1">
        <f>X9*1.5*1.5*3.1416*LOOKUP(X11,密度!$A$2:$A$50,密度!$L$2:$L$50)</f>
        <v>47186.114144399995</v>
      </c>
      <c r="Y10" s="73" ph="1">
        <f>Y9*1.5*1.5*3.1416*LOOKUP(Y11,密度!$A$2:$A$50,密度!$L$2:$L$50)</f>
        <v>47270.838384000002</v>
      </c>
      <c r="Z10" s="73" ph="1">
        <f>Z9*33.183*LOOKUP(Z11,密度!$A$2:$A$50,密度!$L$2:$L$50)</f>
        <v>131733.68944500003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38582.494339199999</v>
      </c>
      <c r="AC10" s="73" ph="1">
        <f>AC9*51.53*LOOKUP(AC11,密度!$A$2:$A$50,密度!$Q$2:$Q$50)</f>
        <v>54783.238852299997</v>
      </c>
      <c r="AD10" s="73" ph="1">
        <f>AD9*20.428*LOOKUP(AD11,密度!$A$2:$A$50,密度!$V$2:$V$50)</f>
        <v>85094.059680000006</v>
      </c>
      <c r="AE10" s="73" ph="1">
        <f>AE9*20.428</f>
        <v>68474.656000000003</v>
      </c>
    </row>
    <row r="11" spans="1:99" ph="1">
      <c r="A11" s="64" t="s" ph="1">
        <v>162</v>
      </c>
      <c r="B11" s="241" ph="1"/>
      <c r="C11" s="145" t="s" ph="1">
        <v>179</v>
      </c>
      <c r="D11" s="74">
        <v>30</v>
      </c>
      <c r="E11" s="74">
        <v>33</v>
      </c>
      <c r="F11" s="74">
        <v>29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36</v>
      </c>
      <c r="P11" s="74">
        <v>31</v>
      </c>
      <c r="Q11" s="74">
        <v>32</v>
      </c>
      <c r="R11" s="74">
        <v>32</v>
      </c>
      <c r="S11" s="74">
        <v>27</v>
      </c>
      <c r="T11" s="74">
        <v>35</v>
      </c>
      <c r="U11" s="74">
        <v>31</v>
      </c>
      <c r="V11" s="74">
        <v>28</v>
      </c>
      <c r="W11" s="74">
        <v>30</v>
      </c>
      <c r="X11" s="74">
        <v>21</v>
      </c>
      <c r="Y11" s="74">
        <v>28</v>
      </c>
      <c r="Z11" s="74">
        <v>29</v>
      </c>
      <c r="AA11" s="74">
        <v>32</v>
      </c>
      <c r="AB11" s="74">
        <v>27</v>
      </c>
      <c r="AC11" s="74">
        <v>30</v>
      </c>
      <c r="AD11" s="74">
        <v>30</v>
      </c>
      <c r="AE11" s="74">
        <v>33</v>
      </c>
    </row>
    <row r="12" spans="1:99" ht="9.9" customHeight="1" ph="1"/>
    <row r="13" spans="1:99" s="72" customFormat="1" ht="29.25" customHeight="1" ph="1">
      <c r="B13" s="218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5" t="s" ph="1">
        <v>177</v>
      </c>
      <c r="D15" s="78">
        <v>5127</v>
      </c>
      <c r="E15" s="78">
        <v>482</v>
      </c>
      <c r="F15" s="78">
        <v>3608</v>
      </c>
      <c r="G15" s="78">
        <v>4877</v>
      </c>
      <c r="H15" s="78">
        <v>1967</v>
      </c>
      <c r="I15" s="78">
        <v>2671</v>
      </c>
      <c r="J15" s="78">
        <v>225</v>
      </c>
      <c r="K15" s="78">
        <v>2371</v>
      </c>
      <c r="L15" s="78">
        <v>5866</v>
      </c>
      <c r="M15" s="78">
        <v>6974</v>
      </c>
      <c r="N15" s="78">
        <v>2430</v>
      </c>
      <c r="O15" s="78">
        <v>6483</v>
      </c>
      <c r="P15" s="78">
        <v>6954</v>
      </c>
      <c r="Q15" s="78">
        <v>3344</v>
      </c>
      <c r="R15" s="78">
        <v>1916</v>
      </c>
      <c r="S15" s="78">
        <v>6230</v>
      </c>
      <c r="T15" s="78">
        <v>3070</v>
      </c>
      <c r="U15" s="78">
        <v>6642</v>
      </c>
      <c r="V15" s="78">
        <v>850</v>
      </c>
      <c r="W15" s="71">
        <v>5212</v>
      </c>
      <c r="X15" s="78">
        <v>1109</v>
      </c>
      <c r="Y15" s="106">
        <v>-2366</v>
      </c>
      <c r="Z15" s="78">
        <v>0</v>
      </c>
      <c r="AA15" s="78">
        <v>7</v>
      </c>
      <c r="AB15" s="78" ph="1">
        <v>1098</v>
      </c>
      <c r="AC15" s="78" ph="1">
        <v>2155</v>
      </c>
      <c r="AD15" s="78">
        <v>81.77</v>
      </c>
      <c r="AE15" s="78">
        <v>5.51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5" t="s" ph="1">
        <v>178</v>
      </c>
      <c r="D16" s="73" ph="1">
        <f>D15*7.0686*LOOKUP(D17,密度!$A$2:$A$50,密度!$L$2:$L$50)</f>
        <v>33776.343770400003</v>
      </c>
      <c r="E16" s="73" ph="1">
        <f>E15*7.0686*LOOKUP(E17,密度!$A$2:$A$50,密度!$L$2:$L$50)</f>
        <v>3175.3847664</v>
      </c>
      <c r="F16" s="73" ph="1">
        <f>F15*9.0746*LOOKUP(F17,密度!$A$2:$A$50,密度!$L$2:$L$50)</f>
        <v>30383.793510400003</v>
      </c>
      <c r="G16" s="73" ph="1">
        <f>G15*9.0746*LOOKUP(G17,密度!$A$2:$A$50,密度!$B$2:$B$50)</f>
        <v>34387.552403400005</v>
      </c>
      <c r="H16" s="73" ph="1">
        <f>H15*9.0746*LOOKUP(H17,密度!$A$2:$A$50,密度!$L$2:$L$50)</f>
        <v>16707.3549552</v>
      </c>
      <c r="I16" s="73" ph="1">
        <f>I15*9.0746*LOOKUP(I17,密度!$A$2:$A$50,密度!$U$2:$U$50)</f>
        <v>24771.4982452</v>
      </c>
      <c r="J16" s="73" ph="1">
        <f>J15*9.0746*LOOKUP(J17,密度!$A$2:$A$50,密度!$L$2:$L$50)</f>
        <v>1907.0271900000002</v>
      </c>
      <c r="K16" s="73" ph="1">
        <f>K15*9.0746*LOOKUP(K17,密度!$A$2:$A$50,密度!$C$2:$C$50)</f>
        <v>23794.407931940001</v>
      </c>
      <c r="L16" s="73" ph="1">
        <f>L15*9.0746*LOOKUP(L17,密度!$A$2:$A$50,密度!$E$2:$E$50)</f>
        <v>41392.894959359997</v>
      </c>
      <c r="M16" s="73" ph="1">
        <f>M15*9.0746*LOOKUP(M17,密度!$A$2:$A$50,密度!$M$2:$M$50)</f>
        <v>54987.533073748004</v>
      </c>
      <c r="N16" s="73" ph="1">
        <f>N15*9.0746*LOOKUP(N17,密度!$A$2:$A$50,密度!$M$2:$M$50)</f>
        <v>19228.714416000003</v>
      </c>
      <c r="O16" s="73" ph="1">
        <f>O15*9.0746*LOOKUP(O17,密度!$A$2:$A$50,密度!$G$2:$G$50)</f>
        <v>56165.604179460002</v>
      </c>
      <c r="P16" s="73" ph="1">
        <f ca="1">P15*9.0746*LOOKUP(P17,密度!$A$2:$A$51,密度!$Q$2:$Q$50)</f>
        <v>59528.621174772001</v>
      </c>
      <c r="Q16" s="73" ph="1">
        <f>Q15*9.0746*LOOKUP(Q17,密度!$A$2:$A$50,密度!$Q$2:$Q$50)</f>
        <v>28625.785045791999</v>
      </c>
      <c r="R16" s="73" ph="1">
        <f>MAX(R15*9.0746*LOOKUP(R17,密度!$A$2:$A$50,密度!$B$2:$B$50),0)</f>
        <v>13480.08962008</v>
      </c>
      <c r="S16" s="73" ph="1">
        <f>S15*9.0746*LOOKUP(S17,密度!$A$2:$A$50,密度!$Q$2:$Q$50)</f>
        <v>53330.933264140003</v>
      </c>
      <c r="T16" s="73" ph="1">
        <f>T15*9.0746*LOOKUP(T17,密度!$A$2:$A$50,密度!$O$2:$O$50)</f>
        <v>25686.018284000002</v>
      </c>
      <c r="U16" s="73" ph="1">
        <f>U15*9.0746*LOOKUP(U17,密度!$A$2:$A$50,密度!$H$2:$H$50)</f>
        <v>54969.425798400007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49726.836443295993</v>
      </c>
      <c r="X16" s="73" ph="1">
        <f>MAX(5600*LOOKUP(X17,密度!$A$2:$A$50,密度!$I$2:$I$50)+X15*9.0476*LOOKUP(X17,密度!$A$2:$A$50,密度!$I$2:$I$50),0)</f>
        <v>16205.98505544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49.464737139999997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18265.082642000001</v>
      </c>
      <c r="AD16" s="73" ph="1">
        <f>AD15*268.68*LOOKUP(AD17,密度!$A$2:$A$50,密度!B2:B50)+IF(AD15&lt;=0,0,1566*LOOKUP(AD17,密度!$A$2:$A$50,密度!B2:B50))</f>
        <v>18348.637222559995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34</v>
      </c>
      <c r="G17" s="74">
        <v>28</v>
      </c>
      <c r="H17" s="74">
        <v>26</v>
      </c>
      <c r="I17" s="74">
        <v>28</v>
      </c>
      <c r="J17" s="74">
        <v>28</v>
      </c>
      <c r="K17" s="74">
        <v>29</v>
      </c>
      <c r="L17" s="74">
        <v>30</v>
      </c>
      <c r="M17" s="74">
        <v>31</v>
      </c>
      <c r="N17" s="74">
        <v>28</v>
      </c>
      <c r="O17" s="74">
        <v>30</v>
      </c>
      <c r="P17" s="74">
        <v>30</v>
      </c>
      <c r="Q17" s="74">
        <v>30</v>
      </c>
      <c r="R17" s="74">
        <v>30</v>
      </c>
      <c r="S17" s="74">
        <v>30</v>
      </c>
      <c r="T17" s="74">
        <v>30</v>
      </c>
      <c r="U17" s="74">
        <v>28</v>
      </c>
      <c r="V17" s="74">
        <v>31</v>
      </c>
      <c r="W17" s="74">
        <v>31</v>
      </c>
      <c r="X17" s="74">
        <v>30</v>
      </c>
      <c r="Y17" s="108">
        <v>30</v>
      </c>
      <c r="Z17" s="74">
        <v>28</v>
      </c>
      <c r="AA17" s="74">
        <v>26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3237</v>
      </c>
      <c r="E18" s="71">
        <v>1905</v>
      </c>
      <c r="F18" s="71">
        <v>3606</v>
      </c>
      <c r="G18" s="71">
        <v>4920</v>
      </c>
      <c r="H18" s="71">
        <v>1968</v>
      </c>
      <c r="I18" s="71">
        <v>2672</v>
      </c>
      <c r="J18" s="71">
        <v>226</v>
      </c>
      <c r="K18" s="71">
        <v>2624</v>
      </c>
      <c r="L18" s="71">
        <v>5863</v>
      </c>
      <c r="M18" s="71">
        <v>6145</v>
      </c>
      <c r="N18" s="71">
        <v>1270</v>
      </c>
      <c r="O18" s="71">
        <v>6488</v>
      </c>
      <c r="P18" s="71">
        <v>6960</v>
      </c>
      <c r="Q18" s="71">
        <v>3344</v>
      </c>
      <c r="R18" s="71">
        <v>4426</v>
      </c>
      <c r="S18" s="71">
        <v>6236</v>
      </c>
      <c r="T18" s="71">
        <v>3071</v>
      </c>
      <c r="U18" s="71">
        <v>6647</v>
      </c>
      <c r="V18" s="71">
        <v>850</v>
      </c>
      <c r="W18" s="71">
        <v>5212</v>
      </c>
      <c r="X18" s="71">
        <v>1108</v>
      </c>
      <c r="Y18" s="109">
        <v>-9908</v>
      </c>
      <c r="Z18" s="71">
        <v>0</v>
      </c>
      <c r="AA18" s="71">
        <v>6</v>
      </c>
      <c r="AB18" s="71">
        <v>1097</v>
      </c>
      <c r="AC18" s="71">
        <v>2156</v>
      </c>
      <c r="AD18" s="71">
        <v>84.68</v>
      </c>
      <c r="AE18" s="71">
        <v>36.39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5" t="s" ph="1">
        <v>178</v>
      </c>
      <c r="D19" s="73" ph="1">
        <f>D18*7.0686*LOOKUP(D20,密度!$A$2:$A$50,密度!$L$2:$L$50)</f>
        <v>21279.384126000001</v>
      </c>
      <c r="E19" s="73" ph="1">
        <f>E18*7.0686*LOOKUP(E20,密度!$A$2:$A$50,密度!$L$2:$L$50)</f>
        <v>12523.08519</v>
      </c>
      <c r="F19" s="73" ph="1">
        <f>F18*9.0746*LOOKUP(F20,密度!$A$2:$A$50,密度!$L$2:$L$50)</f>
        <v>30334.228045200001</v>
      </c>
      <c r="G19" s="73" ph="1">
        <f>G18*9.0746*LOOKUP(G20,密度!$A$2:$A$50,密度!$B$2:$B$50)</f>
        <v>34655.026238400002</v>
      </c>
      <c r="H19" s="73" ph="1">
        <f>H18*9.0746*LOOKUP(H20,密度!$A$2:$A$50,密度!$L$2:$L$50)</f>
        <v>16697.989968000002</v>
      </c>
      <c r="I19" s="73" ph="1">
        <f>I18*9.0746*LOOKUP(I20,密度!$A$2:$A$50,密度!$U$2:$U$50)</f>
        <v>24732.277824000001</v>
      </c>
      <c r="J19" s="73" ph="1">
        <f>J18*9.0746*LOOKUP(J20,密度!$A$2:$A$50,密度!$L$2:$L$50)</f>
        <v>1909.3502876000002</v>
      </c>
      <c r="K19" s="73" ph="1">
        <f>K18*9.0746*LOOKUP(K20,密度!$A$2:$A$50,密度!$C$2:$C$50)</f>
        <v>26290.553616640002</v>
      </c>
      <c r="L19" s="73" ph="1">
        <f>L18*9.0746*LOOKUP(L20,密度!$A$2:$A$50,密度!$E$2:$E$50)</f>
        <v>41371.725732480001</v>
      </c>
      <c r="M19" s="73" ph="1">
        <f>M18*9.0746*LOOKUP(M20,密度!$A$2:$A$50,密度!$M$2:$M$50)</f>
        <v>48334.056953090003</v>
      </c>
      <c r="N19" s="73" ph="1">
        <f>N18*9.0746*LOOKUP(N20,密度!$A$2:$A$50,密度!$M$2:$M$50)</f>
        <v>10025.3730658</v>
      </c>
      <c r="O19" s="73" ph="1">
        <f>O18*9.0746*LOOKUP(O20,密度!$A$2:$A$50,密度!$G$2:$G$50)</f>
        <v>56150.634537808</v>
      </c>
      <c r="P19" s="73" ph="1">
        <f ca="1">P18*9.0746*LOOKUP(P20,密度!$A$2:$A$51,密度!$Q$2:$Q$50)</f>
        <v>59448.612059999999</v>
      </c>
      <c r="Q19" s="73" ph="1">
        <f>Q18*9.0746*LOOKUP(Q20,密度!$A$2:$A$50,密度!$Q$2:$Q$50)</f>
        <v>28582.391034559998</v>
      </c>
      <c r="R19" s="73" ph="1">
        <f>MAX(R18*9.0746*LOOKUP(R20,密度!$A$2:$A$50,密度!$B$2:$B$50),0)</f>
        <v>30926.418292000002</v>
      </c>
      <c r="S19" s="73" ph="1">
        <f>S18*9.0746*LOOKUP(S20,密度!$A$2:$A$50,密度!$Q$2:$Q$50)</f>
        <v>53301.372754639997</v>
      </c>
      <c r="T19" s="73" ph="1">
        <f>T18*9.0746*LOOKUP(T20,密度!$A$2:$A$50,密度!$O$2:$O$50)</f>
        <v>25605.20715608</v>
      </c>
      <c r="U19" s="73" ph="1">
        <f>U18*9.0746*LOOKUP(U20,密度!$A$2:$A$50,密度!$H$2:$H$50)</f>
        <v>54890.168242000007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49621.851821807999</v>
      </c>
      <c r="X19" s="73" ph="1">
        <f>MAX(5600*LOOKUP(X20,密度!$A$2:$A$50,密度!$I$2:$I$50)+X18*9.0476*LOOKUP(X20,密度!$A$2:$A$50,密度!$I$2:$I$50),0)</f>
        <v>16162.231883519999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42.071660520000002</v>
      </c>
      <c r="AB19" s="73" ph="1">
        <f>AB18*9.0746*LOOKUP(AB20,密度!$A$2:$A$50,密度!$L$2:$L$50)</f>
        <v>9198.2686487999999</v>
      </c>
      <c r="AC19" s="73" ph="1">
        <f>AC18*9.0746*LOOKUP(AC20,密度!$A$2:$A$50,密度!$L$2:$L$50)</f>
        <v>18234.428643200001</v>
      </c>
      <c r="AD19" s="73" ph="1">
        <f>AD18*268.68*LOOKUP(AD20,密度!$A$2:$A$50,密度!B5:B53)+IF(AD18&lt;=0,0,1566*LOOKUP(AD20,密度!$A$2:$A$50,密度!B5:B53))</f>
        <v>18894.9480048</v>
      </c>
      <c r="AE19" s="73" ph="1">
        <f>AE18*268.68*LOOKUP(AE20,密度!$A$2:$A$50,密度!B5:B53)+IF(AE18&lt;=0,0,1566*LOOKUP(AE20,密度!$A$2:$A$50,密度!B5:B53))</f>
        <v>8813.7170604000003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35</v>
      </c>
      <c r="G20" s="81">
        <v>29</v>
      </c>
      <c r="H20" s="81">
        <v>27</v>
      </c>
      <c r="I20" s="81">
        <v>30</v>
      </c>
      <c r="J20" s="81">
        <v>31</v>
      </c>
      <c r="K20" s="81">
        <v>31</v>
      </c>
      <c r="L20" s="81">
        <v>30</v>
      </c>
      <c r="M20" s="81">
        <v>33</v>
      </c>
      <c r="N20" s="81">
        <v>30</v>
      </c>
      <c r="O20" s="81">
        <v>31</v>
      </c>
      <c r="P20" s="81">
        <v>33</v>
      </c>
      <c r="Q20" s="81">
        <v>32</v>
      </c>
      <c r="R20" s="81">
        <v>36</v>
      </c>
      <c r="S20" s="81">
        <v>32</v>
      </c>
      <c r="T20" s="81">
        <v>36</v>
      </c>
      <c r="U20" s="81">
        <v>30</v>
      </c>
      <c r="V20" s="81">
        <v>33</v>
      </c>
      <c r="W20" s="81">
        <v>34</v>
      </c>
      <c r="X20" s="81">
        <v>32</v>
      </c>
      <c r="Y20" s="110">
        <v>32</v>
      </c>
      <c r="Z20" s="81">
        <v>41</v>
      </c>
      <c r="AA20" s="81">
        <v>33</v>
      </c>
      <c r="AB20" s="81">
        <v>38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5" t="s" ph="1">
        <v>177</v>
      </c>
      <c r="D24" s="71">
        <v>57.69</v>
      </c>
      <c r="E24" s="71">
        <v>46.2</v>
      </c>
      <c r="F24" s="71">
        <v>1463</v>
      </c>
      <c r="G24" s="71">
        <v>2341</v>
      </c>
      <c r="H24" s="71">
        <v>2577</v>
      </c>
      <c r="I24" s="71">
        <v>2966</v>
      </c>
      <c r="J24" s="71">
        <v>1026</v>
      </c>
      <c r="K24" s="71">
        <v>5266</v>
      </c>
      <c r="L24" s="71">
        <v>5612</v>
      </c>
      <c r="M24" s="71">
        <v>3812</v>
      </c>
      <c r="N24" s="71">
        <v>5532</v>
      </c>
      <c r="O24" s="71">
        <v>5597</v>
      </c>
      <c r="P24" s="71">
        <v>356</v>
      </c>
      <c r="Q24" s="90">
        <v>616</v>
      </c>
      <c r="R24" s="71">
        <v>1343</v>
      </c>
      <c r="S24" s="71">
        <v>3273</v>
      </c>
      <c r="T24" s="71">
        <v>849</v>
      </c>
      <c r="U24" s="71">
        <v>4893</v>
      </c>
      <c r="V24" s="71">
        <v>279</v>
      </c>
      <c r="W24" s="71">
        <v>8780</v>
      </c>
      <c r="X24" s="71">
        <v>2013</v>
      </c>
      <c r="Y24" s="71">
        <v>5412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16157.206093608</v>
      </c>
      <c r="E25" s="91" ph="1">
        <f>E24*268.68*LOOKUP(E26,密度!$A$2:$A$50,密度!$C$2:$C$50)+IF(E24&lt;=0,0,1566*LOOKUP(E26,密度!$A$2:$A$50,密度!$C$2:$C$50))</f>
        <v>15501.330842400001</v>
      </c>
      <c r="F25" s="91" ph="1">
        <f>F24*11.702*LOOKUP(F26,密度!$A$2:$A$50,密度!$Q$2:$Q$50)</f>
        <v>16149.834126580001</v>
      </c>
      <c r="G25" s="91" ph="1">
        <f>G24*18.322*LOOKUP(G26,密度!$A$2:$A$50,密度!$B$2:$B$50)</f>
        <v>33254.014090599994</v>
      </c>
      <c r="H25" s="91" ph="1">
        <f>H24*18.322*LOOKUP(H26,密度!$A$2:$A$50,密度!$B$2:$B$50)</f>
        <v>36563.910873599998</v>
      </c>
      <c r="I25" s="91" ph="1">
        <f>I24*18.322*LOOKUP(I26,密度!$A$2:$A$50,密度!$Q$2:$Q$50)</f>
        <v>51222.673954159996</v>
      </c>
      <c r="J25" s="91" ph="1">
        <f>J24*18.322*LOOKUP(J26,密度!$A$2:$A$50,密度!$Q$2:$Q$50)</f>
        <v>17718.969479759999</v>
      </c>
      <c r="K25" s="91" ph="1">
        <f>K24*18.322*LOOKUP(K26,密度!$A$2:$A$50,密度!$Q$2:$Q$50)</f>
        <v>91015.923441160005</v>
      </c>
      <c r="L25" s="91" ph="1">
        <f>L24*18.322*LOOKUP(L26,密度!$A$2:$A$50,密度!$Q$2:$Q$50)</f>
        <v>96918.963665119998</v>
      </c>
      <c r="M25" s="91" ph="1">
        <f>M24*18.322*LOOKUP(M26,密度!$A$2:$A$50,密度!$Q$2:$Q$50)</f>
        <v>65833.052297119997</v>
      </c>
      <c r="N25" s="91" ph="1">
        <f>N24*18.322*LOOKUP(N26,密度!$A$2:$A$50,密度!$Q$2:$Q$50)</f>
        <v>95613.385582319985</v>
      </c>
      <c r="O25" s="91" ph="1">
        <f>O24*18.322*LOOKUP(O26,密度!$A$2:$A$50,密度!$C$2:$C$50)</f>
        <v>113223.50515940001</v>
      </c>
      <c r="P25" s="91" ph="1">
        <f>P24*11.702*LOOKUP(P26,密度!$A$2:$A$50,密度!$B$2:$B$50)</f>
        <v>3229.8315736</v>
      </c>
      <c r="Q25" s="92" ph="1">
        <f>Q24*18.322*LOOKUP(Q26,密度!$A$2:$A$50,密度!$B$2:$B$50)</f>
        <v>8740.1509887999982</v>
      </c>
      <c r="R25" s="91" ph="1">
        <f>R24*35.891*LOOKUP(R26,密度!$A$2:$A$50,密度!$C$2:$C$50)</f>
        <v>53219.4009133</v>
      </c>
      <c r="S25" s="91" ph="1">
        <f>S24*35.891*LOOKUP(S26,密度!$A$2:$A$50,密度!$B$2:$B$50)</f>
        <v>91075.454697899986</v>
      </c>
      <c r="T25" s="91" ph="1">
        <f>T24*35.891*LOOKUP(T26,密度!$A$2:$A$50,密度!$Q$2:$Q$50)</f>
        <v>28721.787824219999</v>
      </c>
      <c r="U25" s="91" ph="1">
        <f>U24*35.891</f>
        <v>175614.663</v>
      </c>
      <c r="V25" s="91" ph="1">
        <f>V24*47.051*LOOKUP(V26,密度!$A$2:$A$50,密度!$B$2:$B$50)</f>
        <v>10177.5406437</v>
      </c>
      <c r="W25" s="91" ph="1">
        <f>W24*47.051*LOOKUP(W26,密度!$A$2:$A$50,密度!$B$2:$B$50)</f>
        <v>320282.46183400002</v>
      </c>
      <c r="X25" s="91" ph="1">
        <f>X24*47.051*LOOKUP(X26,密度!$A$2:$A$50,密度!$I$2:$I$50)</f>
        <v>98076.945173129992</v>
      </c>
      <c r="Y25" s="91" ph="1">
        <f>Y24*47.051*LOOKUP(Y26,密度!$A$2:$A$50,密度!$L$2:$L$50)</f>
        <v>237069.85117200002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31</v>
      </c>
      <c r="J26" s="74">
        <v>31</v>
      </c>
      <c r="K26" s="74">
        <v>30</v>
      </c>
      <c r="L26" s="74">
        <v>31</v>
      </c>
      <c r="M26" s="74">
        <v>31</v>
      </c>
      <c r="N26" s="74">
        <v>30</v>
      </c>
      <c r="O26" s="74">
        <v>31</v>
      </c>
      <c r="P26" s="74">
        <v>30</v>
      </c>
      <c r="Q26" s="93">
        <v>31</v>
      </c>
      <c r="R26" s="74">
        <v>31</v>
      </c>
      <c r="S26" s="74">
        <v>30</v>
      </c>
      <c r="T26" s="74">
        <v>31</v>
      </c>
      <c r="U26" s="74">
        <v>30</v>
      </c>
      <c r="V26" s="74">
        <v>30</v>
      </c>
      <c r="W26" s="74">
        <v>30</v>
      </c>
      <c r="X26" s="74">
        <v>31</v>
      </c>
      <c r="Y26" s="74">
        <v>31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5" t="s" ph="1">
        <v>180</v>
      </c>
      <c r="D27" s="71">
        <v>16.46</v>
      </c>
      <c r="E27" s="71">
        <v>46.19</v>
      </c>
      <c r="F27" s="71">
        <v>545</v>
      </c>
      <c r="G27" s="71">
        <v>1916</v>
      </c>
      <c r="H27" s="71">
        <v>1993</v>
      </c>
      <c r="I27" s="71">
        <v>2965</v>
      </c>
      <c r="J27" s="71">
        <v>975</v>
      </c>
      <c r="K27" s="71">
        <v>5265</v>
      </c>
      <c r="L27" s="71">
        <v>5608</v>
      </c>
      <c r="M27" s="71">
        <v>3294</v>
      </c>
      <c r="N27" s="71">
        <v>5530</v>
      </c>
      <c r="O27" s="71">
        <v>5593</v>
      </c>
      <c r="P27" s="71">
        <v>351</v>
      </c>
      <c r="Q27" s="90">
        <v>1287</v>
      </c>
      <c r="R27" s="71">
        <v>885</v>
      </c>
      <c r="S27" s="71">
        <v>3633</v>
      </c>
      <c r="T27" s="71">
        <v>847</v>
      </c>
      <c r="U27" s="71">
        <v>4746</v>
      </c>
      <c r="V27" s="71">
        <v>271</v>
      </c>
      <c r="W27" s="71">
        <v>8779</v>
      </c>
      <c r="X27" s="71">
        <v>2374</v>
      </c>
      <c r="Y27" s="71">
        <v>4204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5" t="s" ph="1">
        <v>178</v>
      </c>
      <c r="D28" s="91" ph="1">
        <f>D27*268.68*LOOKUP(D29,密度!$A$2:$A$50,密度!$Q$2:$Q$50)+IF(D27&lt;=0,0,1566*LOOKUP(D29,密度!$A$2:$A$50,密度!$Q$2:$Q$50))</f>
        <v>5669.5267386720006</v>
      </c>
      <c r="E28" s="91" ph="1">
        <f>E27*268.68*LOOKUP(E29,密度!$A$2:$A$50,密度!$C$2:$C$50)+IF(E27&lt;=0,0,1566*LOOKUP(E29,密度!$A$2:$A$50,密度!$C$2:$C$50))</f>
        <v>15498.35144988</v>
      </c>
      <c r="F28" s="91" ph="1">
        <f>F27*11.702*LOOKUP(F29,密度!$A$2:$A$50,密度!$Q$2:$Q$50)</f>
        <v>6016.1719746999997</v>
      </c>
      <c r="G28" s="91" ph="1">
        <f>G27*18.322*LOOKUP(G29,密度!$A$2:$A$50,密度!$B$2:$B$50)</f>
        <v>27216.869285599998</v>
      </c>
      <c r="H28" s="91" ph="1">
        <f>H27*18.322*LOOKUP(H29,密度!$A$2:$A$50,密度!$B$2:$B$50)</f>
        <v>28277.793702399998</v>
      </c>
      <c r="I28" s="91" ph="1">
        <f>I27*18.322*LOOKUP(I29,密度!$A$2:$A$50,密度!$Q$2:$Q$50)</f>
        <v>51246.147550899994</v>
      </c>
      <c r="J28" s="91" ph="1">
        <f>J27*18.322*LOOKUP(J29,密度!$A$2:$A$50,密度!$Q$2:$Q$50)</f>
        <v>16838.201991000002</v>
      </c>
      <c r="K28" s="91" ph="1">
        <f>K27*18.322*LOOKUP(K29,密度!$A$2:$A$50,密度!$Q$2:$Q$50)</f>
        <v>90998.639748900008</v>
      </c>
      <c r="L28" s="91" ph="1">
        <f>L27*18.322*LOOKUP(L29,密度!$A$2:$A$50,密度!$Q$2:$Q$50)</f>
        <v>97131.418248319998</v>
      </c>
      <c r="M28" s="91" ph="1">
        <f>M27*18.322*LOOKUP(M29,密度!$A$2:$A$50,密度!$Q$2:$Q$50)</f>
        <v>56887.217803439999</v>
      </c>
      <c r="N28" s="91" ph="1">
        <f>N27*18.322*LOOKUP(N29,密度!$A$2:$A$50,密度!$Q$2:$Q$50)</f>
        <v>95780.446311199994</v>
      </c>
      <c r="O28" s="91" ph="1">
        <f>O27*18.322*LOOKUP(O29,密度!$A$2:$A$50,密度!$C$2:$C$50)</f>
        <v>113480.75520039999</v>
      </c>
      <c r="P28" s="91" ph="1">
        <f>P27*11.702*LOOKUP(P29,密度!$A$2:$A$50,密度!$B$2:$B$50)</f>
        <v>3180.7721087999998</v>
      </c>
      <c r="Q28" s="92" ph="1">
        <f>Q27*18.322*LOOKUP(Q29,密度!$A$2:$A$50,密度!$B$2:$B$50)</f>
        <v>18260.672601599999</v>
      </c>
      <c r="R28" s="91" ph="1">
        <f>R27*35.891*LOOKUP(R29,密度!$A$2:$A$50,密度!$C$2:$C$50)</f>
        <v>35070.1189935</v>
      </c>
      <c r="S28" s="91" ph="1">
        <f>S27*35.891*LOOKUP(S29,密度!$A$2:$A$50,密度!$B$2:$B$50)</f>
        <v>101092.9199259</v>
      </c>
      <c r="T28" s="91" ph="1">
        <f>T27*35.891*LOOKUP(T29,密度!$A$2:$A$50,密度!$Q$2:$Q$50)</f>
        <v>28676.927304410001</v>
      </c>
      <c r="U28" s="91" ph="1">
        <f>U27*35.891</f>
        <v>170338.68599999999</v>
      </c>
      <c r="V28" s="91" ph="1">
        <f>V27*47.051*LOOKUP(V29,密度!$A$2:$A$50,密度!$B$2:$B$50)</f>
        <v>9918.8636559000006</v>
      </c>
      <c r="W28" s="91" ph="1">
        <f>W27*47.051*LOOKUP(W29,密度!$A$2:$A$50,密度!$B$2:$B$50)</f>
        <v>320245.98319369997</v>
      </c>
      <c r="X28" s="91" ph="1">
        <f>X27*47.051*LOOKUP(X29,密度!$A$2:$A$50,密度!$I$2:$I$50)</f>
        <v>115665.50811774</v>
      </c>
      <c r="Y28" s="91" ph="1">
        <f>Y27*47.051*LOOKUP(Y29,密度!$A$2:$A$50,密度!$L$2:$L$50)</f>
        <v>184351.84052800003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5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30</v>
      </c>
      <c r="J29" s="74">
        <v>31</v>
      </c>
      <c r="K29" s="74">
        <v>30</v>
      </c>
      <c r="L29" s="74">
        <v>27</v>
      </c>
      <c r="M29" s="74">
        <v>31</v>
      </c>
      <c r="N29" s="74">
        <v>27</v>
      </c>
      <c r="O29" s="74">
        <v>27</v>
      </c>
      <c r="P29" s="74">
        <v>31</v>
      </c>
      <c r="Q29" s="93">
        <v>31</v>
      </c>
      <c r="R29" s="74">
        <v>31</v>
      </c>
      <c r="S29" s="74">
        <v>30</v>
      </c>
      <c r="T29" s="74">
        <v>30</v>
      </c>
      <c r="U29" s="74">
        <v>27</v>
      </c>
      <c r="V29" s="74">
        <v>27</v>
      </c>
      <c r="W29" s="74">
        <v>30</v>
      </c>
      <c r="X29" s="74">
        <v>31</v>
      </c>
      <c r="Y29" s="74">
        <v>30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5" t="s" ph="1">
        <v>5</v>
      </c>
      <c r="F32" s="146" t="s" ph="1">
        <v>43</v>
      </c>
      <c r="G32" s="97" t="s" ph="1">
        <v>4</v>
      </c>
      <c r="H32" s="145" t="s" ph="1">
        <v>5</v>
      </c>
      <c r="I32" s="146" t="s" ph="1">
        <v>43</v>
      </c>
      <c r="J32" s="97" t="s" ph="1">
        <v>4</v>
      </c>
      <c r="K32" s="145" t="s" ph="1">
        <v>5</v>
      </c>
      <c r="L32" s="146" t="s" ph="1">
        <v>43</v>
      </c>
      <c r="M32" s="97" t="s" ph="1">
        <v>4</v>
      </c>
      <c r="N32" s="145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6" t="s" ph="1">
        <v>43</v>
      </c>
      <c r="AB32" s="97" t="s" ph="1">
        <v>85</v>
      </c>
      <c r="AC32" s="145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57472.633841999996</v>
      </c>
      <c r="E33" s="190" ph="1">
        <f>M10+I10</f>
        <v>73553.050302799995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6" ph="1">
        <v>0</v>
      </c>
      <c r="H33" s="190" ph="1">
        <f>N19</f>
        <v>10025.3730658</v>
      </c>
      <c r="I33" s="194" ph="1">
        <v>0</v>
      </c>
      <c r="J33" s="198" ph="1">
        <f>F10+O28</f>
        <v>273920.38764880004</v>
      </c>
      <c r="K33" s="190" ph="1">
        <f>O10+K10+E28+R28</f>
        <v>198472.80828817998</v>
      </c>
      <c r="L33" s="200" ph="1">
        <f>BE27</f>
        <v>7100</v>
      </c>
      <c r="M33" s="198" ph="1">
        <f>G10+H10+W28+S28+V28+E10</f>
        <v>1311318.5400755</v>
      </c>
      <c r="N33" s="190" ph="1">
        <f>L10+P10++G28+H28</f>
        <v>128003.14682000001</v>
      </c>
      <c r="O33" s="194" ph="1">
        <f>BE17</f>
        <v>2270</v>
      </c>
      <c r="P33" s="198" ph="1">
        <f>L19</f>
        <v>41371.725732480001</v>
      </c>
      <c r="Q33" s="190" ph="1">
        <f>J10+N10</f>
        <v>117719.3816923</v>
      </c>
      <c r="R33" s="194" ph="1">
        <f>BE23</f>
        <v>890</v>
      </c>
      <c r="S33" s="198" ph="1">
        <f>E10+X28</f>
        <v>447741.21465774003</v>
      </c>
      <c r="T33" s="190" ph="1">
        <f>X19</f>
        <v>16162.231883519999</v>
      </c>
      <c r="U33" s="179" ph="1">
        <f>BE21</f>
        <v>730</v>
      </c>
      <c r="V33" s="192" ph="1">
        <f ca="1">P19+Q19+S19+M28+N28+J28</f>
        <v>310838.24195483996</v>
      </c>
      <c r="W33" s="192" ph="1">
        <f>D28+F28+V19+T28</f>
        <v>52872.271492782005</v>
      </c>
      <c r="X33" s="194" ph="1">
        <f>BE29+BE31</f>
        <v>10200</v>
      </c>
      <c r="Y33" s="196" ph="1">
        <f>+Q10+R10+S10+T10+U10+V10+W10+X10+Y10</f>
        <v>240733.54305000001</v>
      </c>
      <c r="Z33" s="177" ph="1">
        <f>D10+T19+U19+Y28+Z10</f>
        <v>563736.35891368007</v>
      </c>
      <c r="AA33" s="179" ph="1">
        <f>BE19</f>
        <v>1440</v>
      </c>
      <c r="AB33" s="181" ph="1">
        <f>I19</f>
        <v>24732.277824000001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47" t="s" ph="1">
        <v>185</v>
      </c>
      <c r="AA36" s="147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59" priority="98">
      <formula>ABS(D$7-D$10)&gt;=1000</formula>
    </cfRule>
  </conditionalFormatting>
  <conditionalFormatting sqref="E4 E6:E11">
    <cfRule type="expression" dxfId="2558" priority="97">
      <formula>ABS(E$7-E$10)&gt;=1000</formula>
    </cfRule>
  </conditionalFormatting>
  <conditionalFormatting sqref="F4:F11">
    <cfRule type="expression" dxfId="2557" priority="96">
      <formula>ABS(F$7-F$10)&gt;=1000</formula>
    </cfRule>
  </conditionalFormatting>
  <conditionalFormatting sqref="G4:G11">
    <cfRule type="expression" dxfId="2556" priority="95">
      <formula>ABS(G$7-G$10)&gt;=1000</formula>
    </cfRule>
  </conditionalFormatting>
  <conditionalFormatting sqref="H4:H11">
    <cfRule type="expression" dxfId="2555" priority="94">
      <formula>ABS(H$7-H$10)&gt;=1000</formula>
    </cfRule>
  </conditionalFormatting>
  <conditionalFormatting sqref="I4:I11">
    <cfRule type="expression" dxfId="2554" priority="93">
      <formula>ABS(I$7-I$10)&gt;=1000</formula>
    </cfRule>
  </conditionalFormatting>
  <conditionalFormatting sqref="J4:J11">
    <cfRule type="expression" dxfId="2553" priority="92">
      <formula>ABS(J$7-J$10)&gt;=1000</formula>
    </cfRule>
  </conditionalFormatting>
  <conditionalFormatting sqref="K4:K11">
    <cfRule type="expression" dxfId="2552" priority="91">
      <formula>ABS(K$7-K$10)&gt;=1000</formula>
    </cfRule>
  </conditionalFormatting>
  <conditionalFormatting sqref="L4:L11">
    <cfRule type="expression" dxfId="2551" priority="90">
      <formula>ABS(L$7-L$10)&gt;=1000</formula>
    </cfRule>
  </conditionalFormatting>
  <conditionalFormatting sqref="M4 M6:M11">
    <cfRule type="expression" dxfId="2550" priority="89">
      <formula>ABS(M$7-M$10)&gt;=1000</formula>
    </cfRule>
  </conditionalFormatting>
  <conditionalFormatting sqref="N4 N6:N11">
    <cfRule type="expression" dxfId="2549" priority="88">
      <formula>ABS(N$7-N$10)&gt;=1000</formula>
    </cfRule>
  </conditionalFormatting>
  <conditionalFormatting sqref="O4 O6:O11">
    <cfRule type="expression" dxfId="2548" priority="87">
      <formula>ABS(O$7-O$10)&gt;=1000</formula>
    </cfRule>
  </conditionalFormatting>
  <conditionalFormatting sqref="P4 P6:P11">
    <cfRule type="expression" dxfId="2547" priority="86">
      <formula>ABS(P$7-P$10)&gt;=1000</formula>
    </cfRule>
  </conditionalFormatting>
  <conditionalFormatting sqref="Q4:Q11">
    <cfRule type="expression" dxfId="2546" priority="85">
      <formula>ABS(Q$7-Q$10)&gt;=1000</formula>
    </cfRule>
  </conditionalFormatting>
  <conditionalFormatting sqref="R4:R11">
    <cfRule type="expression" dxfId="2545" priority="84">
      <formula>ABS(R$7-R$10)&gt;=1000</formula>
    </cfRule>
  </conditionalFormatting>
  <conditionalFormatting sqref="S4:S11">
    <cfRule type="expression" dxfId="2544" priority="83">
      <formula>ABS(S$7-S$10)&gt;=1000</formula>
    </cfRule>
  </conditionalFormatting>
  <conditionalFormatting sqref="T4:T9 T11">
    <cfRule type="expression" dxfId="2543" priority="82">
      <formula>ABS(T$7-T$10)&gt;=1000</formula>
    </cfRule>
  </conditionalFormatting>
  <conditionalFormatting sqref="U4:U9 U11">
    <cfRule type="expression" dxfId="2542" priority="81">
      <formula>ABS(U$7-U$10)&gt;=1000</formula>
    </cfRule>
  </conditionalFormatting>
  <conditionalFormatting sqref="V4:V9 V11">
    <cfRule type="expression" dxfId="2541" priority="80">
      <formula>ABS(V$7-V$10)&gt;=1000</formula>
    </cfRule>
  </conditionalFormatting>
  <conditionalFormatting sqref="W4:W9 W11">
    <cfRule type="expression" dxfId="2540" priority="79">
      <formula>ABS(W$7-W$10)&gt;=1000</formula>
    </cfRule>
  </conditionalFormatting>
  <conditionalFormatting sqref="X4:X9 X11">
    <cfRule type="expression" dxfId="2539" priority="78">
      <formula>ABS(X$7-X$10)&gt;=1000</formula>
    </cfRule>
  </conditionalFormatting>
  <conditionalFormatting sqref="Y4:Y9 Y11">
    <cfRule type="expression" dxfId="2538" priority="77">
      <formula>ABS(Y$7-Y$10)&gt;=1000</formula>
    </cfRule>
  </conditionalFormatting>
  <conditionalFormatting sqref="Z4:Z11">
    <cfRule type="expression" dxfId="2537" priority="76">
      <formula>ABS(Z$7-Z$10)&gt;=1000</formula>
    </cfRule>
  </conditionalFormatting>
  <conditionalFormatting sqref="AA4:AA11">
    <cfRule type="expression" dxfId="2536" priority="75">
      <formula>ABS(AA$7-AA$10)&gt;=1000</formula>
    </cfRule>
  </conditionalFormatting>
  <conditionalFormatting sqref="AB4:AB11">
    <cfRule type="expression" dxfId="2535" priority="74">
      <formula>ABS(AB$7-AB$10)&gt;=1000</formula>
    </cfRule>
  </conditionalFormatting>
  <conditionalFormatting sqref="AC4 AC6:AC11">
    <cfRule type="expression" dxfId="2534" priority="73">
      <formula>ABS(AC$7-AC$10)&gt;=1000</formula>
    </cfRule>
  </conditionalFormatting>
  <conditionalFormatting sqref="AD4:AD11">
    <cfRule type="expression" dxfId="2533" priority="72">
      <formula>ABS(AD$7-AD$10)&gt;=1000</formula>
    </cfRule>
  </conditionalFormatting>
  <conditionalFormatting sqref="AE4 AE6:AE11">
    <cfRule type="expression" dxfId="2532" priority="71">
      <formula>ABS(AE$7-AE$10)&gt;=1000</formula>
    </cfRule>
  </conditionalFormatting>
  <conditionalFormatting sqref="D13:D20">
    <cfRule type="expression" dxfId="2531" priority="70">
      <formula>ABS(D$16-D$19)&gt;=1000</formula>
    </cfRule>
  </conditionalFormatting>
  <conditionalFormatting sqref="E13:E20">
    <cfRule type="expression" dxfId="2530" priority="69">
      <formula>ABS(E$16-E$19)&gt;=1000</formula>
    </cfRule>
  </conditionalFormatting>
  <conditionalFormatting sqref="F13 F15:F20">
    <cfRule type="expression" dxfId="2529" priority="68">
      <formula>ABS(F$16-F$19)&gt;=1000</formula>
    </cfRule>
  </conditionalFormatting>
  <conditionalFormatting sqref="G13:G20">
    <cfRule type="expression" dxfId="2528" priority="67">
      <formula>ABS(G$16-G$19)&gt;=1000</formula>
    </cfRule>
  </conditionalFormatting>
  <conditionalFormatting sqref="H13:H20">
    <cfRule type="expression" dxfId="2527" priority="66">
      <formula>ABS(H$16-H$19)&gt;=1000</formula>
    </cfRule>
  </conditionalFormatting>
  <conditionalFormatting sqref="I13:I20">
    <cfRule type="expression" dxfId="2526" priority="65">
      <formula>ABS(I$16-I$19)&gt;=1000</formula>
    </cfRule>
  </conditionalFormatting>
  <conditionalFormatting sqref="J13:J20">
    <cfRule type="expression" dxfId="2525" priority="64">
      <formula>ABS(J$16-J$19)&gt;=1000</formula>
    </cfRule>
  </conditionalFormatting>
  <conditionalFormatting sqref="L13:L20">
    <cfRule type="expression" dxfId="2524" priority="63">
      <formula>ABS(L$16-L$19)&gt;=1000</formula>
    </cfRule>
  </conditionalFormatting>
  <conditionalFormatting sqref="M13 M15 M17:M18 M20">
    <cfRule type="expression" dxfId="2523" priority="62">
      <formula>ABS(M$16-M$19)&gt;=1000</formula>
    </cfRule>
  </conditionalFormatting>
  <conditionalFormatting sqref="N13:N20">
    <cfRule type="expression" dxfId="2522" priority="61">
      <formula>ABS(N$16-N$19)&gt;=1000</formula>
    </cfRule>
  </conditionalFormatting>
  <conditionalFormatting sqref="O13:O20">
    <cfRule type="expression" dxfId="2521" priority="60">
      <formula>ABS(O$16-O$19)&gt;=1000</formula>
    </cfRule>
  </conditionalFormatting>
  <conditionalFormatting sqref="P13:P20">
    <cfRule type="expression" dxfId="2520" priority="59">
      <formula>ABS(P$16-P$19)&gt;=1000</formula>
    </cfRule>
  </conditionalFormatting>
  <conditionalFormatting sqref="Q13 Q15:Q20">
    <cfRule type="expression" dxfId="2519" priority="58">
      <formula>ABS(Q$16-Q$19)&gt;=1000</formula>
    </cfRule>
  </conditionalFormatting>
  <conditionalFormatting sqref="R13:R20">
    <cfRule type="expression" dxfId="2518" priority="57">
      <formula>ABS(R$16-R$19)&gt;=1000</formula>
    </cfRule>
  </conditionalFormatting>
  <conditionalFormatting sqref="S13:S20">
    <cfRule type="expression" dxfId="2517" priority="56">
      <formula>ABS(S$16-S$19)&gt;=1000</formula>
    </cfRule>
  </conditionalFormatting>
  <conditionalFormatting sqref="T13:T20">
    <cfRule type="expression" dxfId="2516" priority="55">
      <formula>ABS(T$16-T$19)&gt;=1000</formula>
    </cfRule>
  </conditionalFormatting>
  <conditionalFormatting sqref="U13:U20">
    <cfRule type="expression" dxfId="2515" priority="54">
      <formula>ABS(U$16-U$19)&gt;=1000</formula>
    </cfRule>
  </conditionalFormatting>
  <conditionalFormatting sqref="V13:V20">
    <cfRule type="expression" dxfId="2514" priority="53">
      <formula>ABS(V$16-V$19)&gt;=1000</formula>
    </cfRule>
  </conditionalFormatting>
  <conditionalFormatting sqref="W13 W20 W15:W18">
    <cfRule type="expression" dxfId="2513" priority="52">
      <formula>ABS(W$16-W$19)&gt;=1000</formula>
    </cfRule>
  </conditionalFormatting>
  <conditionalFormatting sqref="X13 X15:X20 Y19">
    <cfRule type="expression" dxfId="2512" priority="51">
      <formula>ABS(X$16-X$19)&gt;=1000</formula>
    </cfRule>
  </conditionalFormatting>
  <conditionalFormatting sqref="Y13 Y15:Y18 Y20">
    <cfRule type="expression" dxfId="2511" priority="50">
      <formula>ABS(Y$16-Y$19)&gt;=1000</formula>
    </cfRule>
  </conditionalFormatting>
  <conditionalFormatting sqref="Z13:Z20">
    <cfRule type="expression" dxfId="2510" priority="49">
      <formula>ABS(Z$16-Z$19)&gt;=1000</formula>
    </cfRule>
  </conditionalFormatting>
  <conditionalFormatting sqref="AA13:AA20">
    <cfRule type="expression" dxfId="2509" priority="48">
      <formula>ABS(AA$16-AA$19)&gt;=1000</formula>
    </cfRule>
  </conditionalFormatting>
  <conditionalFormatting sqref="AB13 AB15:AB20">
    <cfRule type="expression" dxfId="2508" priority="47">
      <formula>ABS(AB$16-AB$19)&gt;=1000</formula>
    </cfRule>
  </conditionalFormatting>
  <conditionalFormatting sqref="AC13 AC15:AC20">
    <cfRule type="expression" dxfId="2507" priority="46">
      <formula>ABS(AC$16-AC$19)&gt;=1000</formula>
    </cfRule>
  </conditionalFormatting>
  <conditionalFormatting sqref="AD13:AD20">
    <cfRule type="expression" dxfId="2506" priority="45">
      <formula>ABS(AD$16-AD$19)&gt;=1000</formula>
    </cfRule>
  </conditionalFormatting>
  <conditionalFormatting sqref="AE13:AE20">
    <cfRule type="expression" dxfId="2505" priority="44">
      <formula>ABS(AE$16-AE$19)&gt;=1000</formula>
    </cfRule>
  </conditionalFormatting>
  <conditionalFormatting sqref="D22:D29">
    <cfRule type="expression" dxfId="2504" priority="43">
      <formula>ABS(D$25-D$28)&gt;=1000</formula>
    </cfRule>
  </conditionalFormatting>
  <conditionalFormatting sqref="E22:E29">
    <cfRule type="expression" dxfId="2503" priority="42">
      <formula>ABS(E$25-E$28)&gt;=1000</formula>
    </cfRule>
  </conditionalFormatting>
  <conditionalFormatting sqref="F22:F29">
    <cfRule type="expression" dxfId="2502" priority="41">
      <formula>ABS(F$25-F$28)&gt;=1000</formula>
    </cfRule>
  </conditionalFormatting>
  <conditionalFormatting sqref="G22:G29">
    <cfRule type="expression" dxfId="2501" priority="40">
      <formula>ABS(G$25-G$28)&gt;=1000</formula>
    </cfRule>
  </conditionalFormatting>
  <conditionalFormatting sqref="H22:H29">
    <cfRule type="expression" dxfId="2500" priority="39">
      <formula>ABS(H$25-H$28)&gt;=1000</formula>
    </cfRule>
  </conditionalFormatting>
  <conditionalFormatting sqref="I22 I24:I29">
    <cfRule type="expression" dxfId="2499" priority="38">
      <formula>ABS(I$25-I$28)&gt;=1000</formula>
    </cfRule>
  </conditionalFormatting>
  <conditionalFormatting sqref="J22:J29 K22">
    <cfRule type="expression" dxfId="2498" priority="37">
      <formula>ABS(J$25-J$28)&gt;=1000</formula>
    </cfRule>
  </conditionalFormatting>
  <conditionalFormatting sqref="K23:K29 L25 L28">
    <cfRule type="expression" dxfId="2497" priority="36">
      <formula>ABS(K$25-K$28)&gt;=1000</formula>
    </cfRule>
  </conditionalFormatting>
  <conditionalFormatting sqref="L22 L26:L27 L29 L24">
    <cfRule type="expression" dxfId="2496" priority="35">
      <formula>ABS(L$25-L$28)&gt;=1000</formula>
    </cfRule>
  </conditionalFormatting>
  <conditionalFormatting sqref="M22:M29">
    <cfRule type="expression" dxfId="2495" priority="34">
      <formula>ABS(M$25-M$28)&gt;=1000</formula>
    </cfRule>
  </conditionalFormatting>
  <conditionalFormatting sqref="N22:N29">
    <cfRule type="expression" dxfId="2494" priority="33">
      <formula>ABS(N$25-N$28)&gt;=1000</formula>
    </cfRule>
  </conditionalFormatting>
  <conditionalFormatting sqref="O22:O29">
    <cfRule type="expression" dxfId="2493" priority="32">
      <formula>ABS(O$25-O$28)&gt;=1000</formula>
    </cfRule>
  </conditionalFormatting>
  <conditionalFormatting sqref="P22:P29">
    <cfRule type="expression" dxfId="2492" priority="31">
      <formula>ABS(P$25-P$28)&gt;=1000</formula>
    </cfRule>
  </conditionalFormatting>
  <conditionalFormatting sqref="Q22:Q29">
    <cfRule type="expression" dxfId="2491" priority="30">
      <formula>ABS(Q$25-Q$28)&gt;=1000</formula>
    </cfRule>
  </conditionalFormatting>
  <conditionalFormatting sqref="R22:R29">
    <cfRule type="expression" dxfId="2490" priority="29">
      <formula>ABS(R$25-R$28)&gt;=1000</formula>
    </cfRule>
  </conditionalFormatting>
  <conditionalFormatting sqref="S22:S29">
    <cfRule type="expression" dxfId="2489" priority="28">
      <formula>ABS(S$25-S$28)&gt;=1000</formula>
    </cfRule>
  </conditionalFormatting>
  <conditionalFormatting sqref="T22:T29">
    <cfRule type="expression" dxfId="2488" priority="27">
      <formula>ABS(T$25-T$28)&gt;=1000</formula>
    </cfRule>
  </conditionalFormatting>
  <conditionalFormatting sqref="U22:U29">
    <cfRule type="expression" dxfId="2487" priority="26">
      <formula>ABS(U$25-U$28)&gt;=1000</formula>
    </cfRule>
  </conditionalFormatting>
  <conditionalFormatting sqref="V22:V29">
    <cfRule type="expression" dxfId="2486" priority="25">
      <formula>ABS(V$25-V$28)&gt;=1000</formula>
    </cfRule>
  </conditionalFormatting>
  <conditionalFormatting sqref="W22:W29">
    <cfRule type="expression" dxfId="2485" priority="24">
      <formula>ABS(W$25-W$28)&gt;=1000</formula>
    </cfRule>
  </conditionalFormatting>
  <conditionalFormatting sqref="X22:X29">
    <cfRule type="expression" dxfId="2484" priority="23">
      <formula>ABS(X$25-X$28)&gt;=1000</formula>
    </cfRule>
  </conditionalFormatting>
  <conditionalFormatting sqref="Y22:Y29">
    <cfRule type="expression" dxfId="2483" priority="22">
      <formula>ABS(Y$25-Y$28)&gt;=1000</formula>
    </cfRule>
  </conditionalFormatting>
  <conditionalFormatting sqref="I23">
    <cfRule type="expression" dxfId="2482" priority="21">
      <formula>ABS(I$25-I$28)&gt;=1000</formula>
    </cfRule>
  </conditionalFormatting>
  <conditionalFormatting sqref="Q14">
    <cfRule type="expression" dxfId="2481" priority="20">
      <formula>ABS(Q$16-Q$19)&gt;=1000</formula>
    </cfRule>
  </conditionalFormatting>
  <conditionalFormatting sqref="W14">
    <cfRule type="expression" dxfId="2480" priority="19">
      <formula>ABS(W$16-W$19)&gt;=1000</formula>
    </cfRule>
  </conditionalFormatting>
  <conditionalFormatting sqref="Y14">
    <cfRule type="expression" dxfId="2479" priority="18">
      <formula>ABS(Y$16-Y$19)&gt;=1000</formula>
    </cfRule>
  </conditionalFormatting>
  <conditionalFormatting sqref="X14">
    <cfRule type="expression" dxfId="2478" priority="17">
      <formula>ABS(X$16-X$19)&gt;=1000</formula>
    </cfRule>
  </conditionalFormatting>
  <conditionalFormatting sqref="T10:Y10">
    <cfRule type="expression" dxfId="2477" priority="16">
      <formula>ABS(T$7-T$10)&gt;=1000</formula>
    </cfRule>
  </conditionalFormatting>
  <conditionalFormatting sqref="W19">
    <cfRule type="expression" dxfId="2476" priority="15">
      <formula>ABS(W$16-W$19)&gt;=1000</formula>
    </cfRule>
  </conditionalFormatting>
  <conditionalFormatting sqref="AC5">
    <cfRule type="expression" dxfId="2475" priority="14">
      <formula>ABS(AC$7-AC$10)&gt;=1000</formula>
    </cfRule>
  </conditionalFormatting>
  <conditionalFormatting sqref="M14">
    <cfRule type="expression" dxfId="2474" priority="13">
      <formula>ABS(M$16-M$19)&gt;=1000</formula>
    </cfRule>
  </conditionalFormatting>
  <conditionalFormatting sqref="M16">
    <cfRule type="expression" dxfId="2473" priority="12">
      <formula>ABS(M$16-M$19)&gt;=1000</formula>
    </cfRule>
  </conditionalFormatting>
  <conditionalFormatting sqref="M19">
    <cfRule type="expression" dxfId="2472" priority="11">
      <formula>ABS(M$16-M$19)&gt;=1000</formula>
    </cfRule>
  </conditionalFormatting>
  <conditionalFormatting sqref="K13:K20">
    <cfRule type="expression" dxfId="2471" priority="10">
      <formula>ABS(K$16-K$19)&gt;=1000</formula>
    </cfRule>
  </conditionalFormatting>
  <conditionalFormatting sqref="E5">
    <cfRule type="expression" dxfId="2470" priority="9">
      <formula>ABS(E$7-E$10)&gt;=1000</formula>
    </cfRule>
  </conditionalFormatting>
  <conditionalFormatting sqref="AB14:AC14">
    <cfRule type="expression" dxfId="2469" priority="8">
      <formula>ABS(AB$16-AB$19)&gt;=1000</formula>
    </cfRule>
  </conditionalFormatting>
  <conditionalFormatting sqref="M5">
    <cfRule type="expression" dxfId="2468" priority="7">
      <formula>ABS(M$7-M$10)&gt;=1000</formula>
    </cfRule>
  </conditionalFormatting>
  <conditionalFormatting sqref="N5">
    <cfRule type="expression" dxfId="2467" priority="6">
      <formula>ABS(N$7-N$10)&gt;=1000</formula>
    </cfRule>
  </conditionalFormatting>
  <conditionalFormatting sqref="O5">
    <cfRule type="expression" dxfId="2466" priority="5">
      <formula>ABS(O$7-O$10)&gt;=1000</formula>
    </cfRule>
  </conditionalFormatting>
  <conditionalFormatting sqref="P5">
    <cfRule type="expression" dxfId="2465" priority="4">
      <formula>ABS(P$7-P$10)&gt;=1000</formula>
    </cfRule>
  </conditionalFormatting>
  <conditionalFormatting sqref="L23">
    <cfRule type="expression" dxfId="2464" priority="3">
      <formula>ABS(L$25-L$28)&gt;=1000</formula>
    </cfRule>
  </conditionalFormatting>
  <conditionalFormatting sqref="F14">
    <cfRule type="expression" dxfId="2463" priority="2">
      <formula>ABS(F$16-F$19)&gt;=1000</formula>
    </cfRule>
  </conditionalFormatting>
  <conditionalFormatting sqref="AE5">
    <cfRule type="expression" dxfId="246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86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5">
    <pageSetUpPr fitToPage="1"/>
  </sheetPr>
  <dimension ref="A1:CU223"/>
  <sheetViews>
    <sheetView view="pageBreakPreview" topLeftCell="A7" zoomScale="80" zoomScaleNormal="100" zoomScaleSheetLayoutView="80" workbookViewId="0">
      <selection activeCell="F14" sqref="F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5" t="s" ph="1">
        <v>177</v>
      </c>
      <c r="D6" s="71">
        <v>5338</v>
      </c>
      <c r="E6" s="71">
        <v>8340</v>
      </c>
      <c r="F6" s="71">
        <v>4369</v>
      </c>
      <c r="G6" s="71">
        <v>6699</v>
      </c>
      <c r="H6" s="71">
        <v>6474</v>
      </c>
      <c r="I6" s="71">
        <v>18.04</v>
      </c>
      <c r="J6" s="71">
        <v>6.98</v>
      </c>
      <c r="K6" s="71">
        <v>85.46</v>
      </c>
      <c r="L6" s="71">
        <v>30.31</v>
      </c>
      <c r="M6" s="71">
        <v>2013</v>
      </c>
      <c r="N6" s="71">
        <v>4503</v>
      </c>
      <c r="O6" s="71">
        <v>5356</v>
      </c>
      <c r="P6" s="71">
        <v>1660</v>
      </c>
      <c r="Q6" s="71">
        <v>6759</v>
      </c>
      <c r="R6" s="71">
        <v>4520</v>
      </c>
      <c r="S6" s="71">
        <v>0</v>
      </c>
      <c r="T6" s="71">
        <v>0</v>
      </c>
      <c r="U6" s="71">
        <v>0</v>
      </c>
      <c r="V6" s="71">
        <v>0</v>
      </c>
      <c r="W6" s="71">
        <v>5112</v>
      </c>
      <c r="X6" s="71">
        <v>7091</v>
      </c>
      <c r="Y6" s="71">
        <v>7157</v>
      </c>
      <c r="Z6" s="71">
        <v>5305</v>
      </c>
      <c r="AA6" s="71">
        <v>558</v>
      </c>
      <c r="AB6" s="71">
        <v>1843</v>
      </c>
      <c r="AC6" s="71">
        <v>1141</v>
      </c>
      <c r="AD6" s="71">
        <v>4350</v>
      </c>
      <c r="AE6" s="71">
        <v>3673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167199.12701622001</v>
      </c>
      <c r="E7" s="73" ph="1">
        <f>E6*51.53*LOOKUP(E8,密度!$A$2:$A$50,密度!$B$2:$B$50)</f>
        <v>333579.86723999999</v>
      </c>
      <c r="F7" s="73" ph="1">
        <f>F6*33.183*LOOKUP(F8,密度!$A$2:$A$50,密度!$C$2:$C$50)</f>
        <v>160431.02477819999</v>
      </c>
      <c r="G7" s="73" ph="1">
        <f xml:space="preserve"> (G6+2)*51.53*LOOKUP(G8,密度!$A$2:$A$50,密度!$B$2:$B$50)</f>
        <v>268300.06581000006</v>
      </c>
      <c r="H7" s="73" ph="1">
        <f>(H6)*51.53*LOOKUP(H8,密度!$A$2:$A$50,密度!$B$2:$B$50)</f>
        <v>260378.87421000001</v>
      </c>
      <c r="I7" s="73" ph="1">
        <f>I6*290.8*1.0267</f>
        <v>5386.1010544000001</v>
      </c>
      <c r="J7" s="73" ph="1">
        <f>J6*290.8*0.7892</f>
        <v>1601.9055328000002</v>
      </c>
      <c r="K7" s="73" ph="1">
        <f>K6*290.8*1.1126</f>
        <v>27650.0770768</v>
      </c>
      <c r="L7" s="73" ph="1">
        <f>L6*290.8*0.777</f>
        <v>6848.5929959999994</v>
      </c>
      <c r="M7" s="73" ph="1">
        <f>M6*33.183*LOOKUP(M8,密度!$A$2:$A$50,密度!$D$2:$D$50)</f>
        <v>68266.921338</v>
      </c>
      <c r="N7" s="73" ph="1">
        <f>N6*33.183*LOOKUP(N8,密度!$A$2:$A$50,密度!$E$2:$E$50)</f>
        <v>116191.3629024</v>
      </c>
      <c r="O7" s="73" ph="1">
        <f>O6*20.428*LOOKUP(O8,密度!$A$2:$A$50,密度!$C$2:$C$50)</f>
        <v>120681.841904</v>
      </c>
      <c r="P7" s="73" ph="1">
        <f>P6*51.53*LOOKUP(P8,密度!$A$2:$A$50,密度!$B$2:$B$50)</f>
        <v>66541.41042</v>
      </c>
      <c r="Q7" s="73" ph="1">
        <f>Q6*1.5*1.5*3.1416*LOOKUP(W8,密度!$A$2:$A$50,密度!$L$2:$L$50)</f>
        <v>44575.630684199998</v>
      </c>
      <c r="R7" s="73" ph="1">
        <f>R6*1.5*1.5*3.1416*LOOKUP(R8,密度!$A$2:$A$50,密度!$L$2:$L$50)</f>
        <v>29713.56696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33713.659425600003</v>
      </c>
      <c r="X7" s="73" ph="1">
        <f>X6*1.5*1.5*3.1416*LOOKUP(X8,密度!$A$2:$A$50,密度!$L$2:$L$50)</f>
        <v>47216.282929200002</v>
      </c>
      <c r="Y7" s="73" ph="1">
        <f>Y6*1.5*1.5*3.1416*LOOKUP(Y8,密度!$A$2:$A$50,密度!$L$2:$L$50)</f>
        <v>47251.032166799996</v>
      </c>
      <c r="Z7" s="73" ph="1">
        <f>Z6*33.183*LOOKUP(Z8,密度!$A$2:$A$50,密度!$L$2:$L$50)</f>
        <v>164593.48702500001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38725.559794400004</v>
      </c>
      <c r="AC7" s="73" ph="1">
        <f>AC6*51.53*LOOKUP(AC8,密度!$A$2:$A$50,密度!$Q$2:$Q$50)</f>
        <v>55664.269420200006</v>
      </c>
      <c r="AD7" s="73" ph="1">
        <f>AD6*20.428*LOOKUP(AD8,密度!$A$2:$A$50,密度!$V$2:$V$50)</f>
        <v>85094.059680000006</v>
      </c>
      <c r="AE7" s="73" ph="1">
        <f>AE6*20.428</f>
        <v>75032.044000000009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32</v>
      </c>
      <c r="P8" s="74">
        <v>27</v>
      </c>
      <c r="Q8" s="74">
        <v>28</v>
      </c>
      <c r="R8" s="74">
        <v>32</v>
      </c>
      <c r="S8" s="74">
        <v>23</v>
      </c>
      <c r="T8" s="74">
        <v>23</v>
      </c>
      <c r="U8" s="74">
        <v>27</v>
      </c>
      <c r="V8" s="74">
        <v>28</v>
      </c>
      <c r="W8" s="74">
        <v>29</v>
      </c>
      <c r="X8" s="74">
        <v>20</v>
      </c>
      <c r="Y8" s="74">
        <v>28</v>
      </c>
      <c r="Z8" s="74">
        <v>27</v>
      </c>
      <c r="AA8" s="74">
        <v>27</v>
      </c>
      <c r="AB8" s="74">
        <v>23</v>
      </c>
      <c r="AC8" s="74">
        <v>25</v>
      </c>
      <c r="AD8" s="74">
        <v>27</v>
      </c>
      <c r="AE8" s="74">
        <v>32</v>
      </c>
    </row>
    <row r="9" spans="1:99" ht="26.4" ph="1">
      <c r="B9" s="241" ph="1">
        <v>0.66666666666666663</v>
      </c>
      <c r="C9" s="145" t="s" ph="1">
        <v>180</v>
      </c>
      <c r="D9" s="71">
        <v>5342</v>
      </c>
      <c r="E9" s="71">
        <v>8340</v>
      </c>
      <c r="F9" s="71">
        <v>4371</v>
      </c>
      <c r="G9" s="71">
        <v>6702</v>
      </c>
      <c r="H9" s="71">
        <v>6228</v>
      </c>
      <c r="I9" s="71">
        <v>18.02</v>
      </c>
      <c r="J9" s="71">
        <v>7.06</v>
      </c>
      <c r="K9" s="71">
        <v>85.42</v>
      </c>
      <c r="L9" s="71">
        <v>9.58</v>
      </c>
      <c r="M9" s="71">
        <v>2013</v>
      </c>
      <c r="N9" s="71">
        <v>4330</v>
      </c>
      <c r="O9" s="71">
        <v>5359</v>
      </c>
      <c r="P9" s="71">
        <v>1313</v>
      </c>
      <c r="Q9" s="71">
        <v>6767</v>
      </c>
      <c r="R9" s="71">
        <v>6534</v>
      </c>
      <c r="S9" s="71">
        <v>0</v>
      </c>
      <c r="T9" s="71">
        <v>0</v>
      </c>
      <c r="U9" s="71">
        <v>0</v>
      </c>
      <c r="V9" s="71">
        <v>0</v>
      </c>
      <c r="W9" s="71">
        <v>343</v>
      </c>
      <c r="X9" s="71">
        <v>7101</v>
      </c>
      <c r="Y9" s="71">
        <v>7170</v>
      </c>
      <c r="Z9" s="71">
        <v>6290</v>
      </c>
      <c r="AA9" s="71">
        <v>558</v>
      </c>
      <c r="AB9" s="71">
        <v>1844</v>
      </c>
      <c r="AC9" s="71">
        <v>1480</v>
      </c>
      <c r="AD9" s="71">
        <v>4350</v>
      </c>
      <c r="AE9" s="71">
        <v>3841</v>
      </c>
    </row>
    <row r="10" spans="1:99" s="72" customFormat="1" ht="22.2" ph="1">
      <c r="B10" s="241" ph="1"/>
      <c r="C10" s="145" t="s" ph="1">
        <v>178</v>
      </c>
      <c r="D10" s="73" ph="1">
        <f>D9*33.183*LOOKUP(D11,密度!$A$2:$A$50,密度!$Q$2:$Q$50)</f>
        <v>167218.05858138</v>
      </c>
      <c r="E10" s="73" ph="1">
        <f>E9*51.53*LOOKUP(E11,密度!$A$2:$A$50,密度!$B$2:$B$50)</f>
        <v>332419.5147</v>
      </c>
      <c r="F10" s="73" ph="1">
        <f>F9*33.183*LOOKUP(F11,密度!$A$2:$A$50,密度!$C$2:$C$50)</f>
        <v>160286.90105430002</v>
      </c>
      <c r="G10" s="73" ph="1">
        <f xml:space="preserve"> (G9+2)*51.53*LOOKUP(G11,密度!$A$2:$A$50,密度!$B$2:$B$50)</f>
        <v>267521.99372799997</v>
      </c>
      <c r="H10" s="73" ph="1">
        <f>(H9)*51.53*LOOKUP(H11,密度!$A$2:$A$50,密度!$B$2:$B$50)</f>
        <v>248816.129652</v>
      </c>
      <c r="I10" s="73" ph="1">
        <f>I9*290.8*1.0267</f>
        <v>5380.1297672000001</v>
      </c>
      <c r="J10" s="73" ph="1">
        <f>J9*290.8*0.7892</f>
        <v>1620.2654815999999</v>
      </c>
      <c r="K10" s="73" ph="1">
        <f>K9*290.8*1.1126</f>
        <v>27637.135313600003</v>
      </c>
      <c r="L10" s="73" ph="1">
        <f>L9*290.8*0.777</f>
        <v>2164.6163280000001</v>
      </c>
      <c r="M10" s="73" ph="1">
        <f>M9*33.183*LOOKUP(M11,密度!$A$2:$A$50,密度!$D$2:$D$50)</f>
        <v>68146.686055800004</v>
      </c>
      <c r="N10" s="73" ph="1">
        <f>N9*33.183*LOOKUP(N11,密度!$A$2:$A$50,密度!$E$2:$E$50)</f>
        <v>111562.19171549998</v>
      </c>
      <c r="O10" s="73" ph="1">
        <f>O9*20.428*LOOKUP(O11,密度!$A$2:$A$50,密度!$C$2:$C$50)</f>
        <v>120289.6488176</v>
      </c>
      <c r="P10" s="73" ph="1">
        <f>P9*51.53*LOOKUP(P11,密度!$A$2:$A$50,密度!$B$2:$B$50)</f>
        <v>52334.151415</v>
      </c>
      <c r="Q10" s="73" ph="1">
        <f>Q9*1.5*1.5*3.1416*LOOKUP(W11,密度!$A$2:$A$50,密度!$L$2:$L$50)</f>
        <v>44293.558201200001</v>
      </c>
      <c r="R10" s="73" ph="1">
        <f>R9*1.5*1.5*3.1416*LOOKUP(R11,密度!$A$2:$A$50,密度!$L$2:$L$50)</f>
        <v>42860.823667200006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2245.1145947999998</v>
      </c>
      <c r="X10" s="73" ph="1">
        <f>X9*1.5*1.5*3.1416*LOOKUP(X11,密度!$A$2:$A$50,密度!$L$2:$L$50)</f>
        <v>47182.480883999997</v>
      </c>
      <c r="Y10" s="73" ph="1">
        <f>Y9*1.5*1.5*3.1416*LOOKUP(Y11,密度!$A$2:$A$50,密度!$L$2:$L$50)</f>
        <v>47286.177246000007</v>
      </c>
      <c r="Z10" s="73" ph="1">
        <f>Z9*33.183*LOOKUP(Z11,密度!$A$2:$A$50,密度!$L$2:$L$50)</f>
        <v>194528.03724000001</v>
      </c>
      <c r="AA10" s="73" ph="1">
        <f>AA9*33.183*LOOKUP(AA11,密度!$A$2:$A$50,密度!$D$2:$D$50)</f>
        <v>18858.662109000001</v>
      </c>
      <c r="AB10" s="73" ph="1">
        <f>AB9*20.428*LOOKUP(AB11,密度!$A$2:$A$50,密度!$D$2:$D$50)</f>
        <v>38603.4289536</v>
      </c>
      <c r="AC10" s="73" ph="1">
        <f>AC9*51.53*LOOKUP(AC11,密度!$A$2:$A$50,密度!$Q$2:$Q$50)</f>
        <v>71885.298152000003</v>
      </c>
      <c r="AD10" s="73" ph="1">
        <f>AD9*20.428*LOOKUP(AD11,密度!$A$2:$A$50,密度!$V$2:$V$50)</f>
        <v>85094.059680000006</v>
      </c>
      <c r="AE10" s="73" ph="1">
        <f>AE9*20.428</f>
        <v>78463.948000000004</v>
      </c>
    </row>
    <row r="11" spans="1:99" ph="1">
      <c r="A11" s="64" t="s" ph="1">
        <v>162</v>
      </c>
      <c r="B11" s="241" ph="1"/>
      <c r="C11" s="145" t="s" ph="1">
        <v>179</v>
      </c>
      <c r="D11" s="74">
        <v>30</v>
      </c>
      <c r="E11" s="74">
        <v>32</v>
      </c>
      <c r="F11" s="74">
        <v>30</v>
      </c>
      <c r="G11" s="74">
        <v>31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36</v>
      </c>
      <c r="P11" s="74">
        <v>32</v>
      </c>
      <c r="Q11" s="74">
        <v>33</v>
      </c>
      <c r="R11" s="74">
        <v>34</v>
      </c>
      <c r="S11" s="74">
        <v>27</v>
      </c>
      <c r="T11" s="74">
        <v>33</v>
      </c>
      <c r="U11" s="74">
        <v>32</v>
      </c>
      <c r="V11" s="74">
        <v>28</v>
      </c>
      <c r="W11" s="74">
        <v>36</v>
      </c>
      <c r="X11" s="74">
        <v>22</v>
      </c>
      <c r="Y11" s="74">
        <v>29</v>
      </c>
      <c r="Z11" s="74">
        <v>30</v>
      </c>
      <c r="AA11" s="74">
        <v>34</v>
      </c>
      <c r="AB11" s="74">
        <v>27</v>
      </c>
      <c r="AC11" s="74">
        <v>31</v>
      </c>
      <c r="AD11" s="74">
        <v>30</v>
      </c>
      <c r="AE11" s="74">
        <v>34</v>
      </c>
    </row>
    <row r="12" spans="1:99" ht="9.9" customHeight="1" ph="1"/>
    <row r="13" spans="1:99" s="72" customFormat="1" ht="29.25" customHeight="1" ph="1">
      <c r="B13" s="218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5" t="s" ph="1">
        <v>177</v>
      </c>
      <c r="D15" s="78">
        <v>3036</v>
      </c>
      <c r="E15" s="78">
        <v>1907</v>
      </c>
      <c r="F15" s="78">
        <v>3599</v>
      </c>
      <c r="G15" s="78">
        <v>5019</v>
      </c>
      <c r="H15" s="78">
        <v>1967</v>
      </c>
      <c r="I15" s="78">
        <v>2671</v>
      </c>
      <c r="J15" s="78">
        <v>278</v>
      </c>
      <c r="K15" s="78">
        <v>2623</v>
      </c>
      <c r="L15" s="78">
        <v>5853</v>
      </c>
      <c r="M15" s="78">
        <v>6977</v>
      </c>
      <c r="N15" s="78">
        <v>402</v>
      </c>
      <c r="O15" s="78">
        <v>6482</v>
      </c>
      <c r="P15" s="78">
        <v>6953</v>
      </c>
      <c r="Q15" s="78">
        <v>3344</v>
      </c>
      <c r="R15" s="78">
        <v>4424</v>
      </c>
      <c r="S15" s="78">
        <v>6230</v>
      </c>
      <c r="T15" s="78">
        <v>3069</v>
      </c>
      <c r="U15" s="78">
        <v>6643</v>
      </c>
      <c r="V15" s="78">
        <v>850</v>
      </c>
      <c r="W15" s="71">
        <v>5211</v>
      </c>
      <c r="X15" s="78">
        <v>1109</v>
      </c>
      <c r="Y15" s="106">
        <v>-2306</v>
      </c>
      <c r="Z15" s="78">
        <v>0</v>
      </c>
      <c r="AA15" s="78">
        <v>7</v>
      </c>
      <c r="AB15" s="78" ph="1">
        <v>1098</v>
      </c>
      <c r="AC15" s="78" ph="1">
        <v>2155</v>
      </c>
      <c r="AD15" s="78">
        <v>34.39</v>
      </c>
      <c r="AE15" s="78">
        <v>84.64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5" t="s" ph="1">
        <v>178</v>
      </c>
      <c r="D16" s="73" ph="1">
        <f>D15*7.0686*LOOKUP(D17,密度!$A$2:$A$50,密度!$L$2:$L$50)</f>
        <v>20000.971267200002</v>
      </c>
      <c r="E16" s="73" ph="1">
        <f>E15*7.0686*LOOKUP(E17,密度!$A$2:$A$50,密度!$L$2:$L$50)</f>
        <v>12563.192426400001</v>
      </c>
      <c r="F16" s="73" ph="1">
        <f>F15*9.0746*LOOKUP(F17,密度!$A$2:$A$50,密度!$L$2:$L$50)</f>
        <v>30373.321422000005</v>
      </c>
      <c r="G16" s="73" ph="1">
        <f>G15*9.0746*LOOKUP(G17,密度!$A$2:$A$50,密度!$B$2:$B$50)</f>
        <v>35429.78019546</v>
      </c>
      <c r="H16" s="73" ph="1">
        <f>H15*9.0746*LOOKUP(H17,密度!$A$2:$A$50,密度!$L$2:$L$50)</f>
        <v>16725.204693399999</v>
      </c>
      <c r="I16" s="73" ph="1">
        <f>I15*9.0746*LOOKUP(I17,密度!$A$2:$A$50,密度!$U$2:$U$50)</f>
        <v>24795.736501799998</v>
      </c>
      <c r="J16" s="73" ph="1">
        <f>J15*9.0746*LOOKUP(J17,密度!$A$2:$A$50,密度!$L$2:$L$50)</f>
        <v>2356.2380392</v>
      </c>
      <c r="K16" s="73" ph="1">
        <f>K15*9.0746*LOOKUP(K17,密度!$A$2:$A$50,密度!$C$2:$C$50)</f>
        <v>26340.041040280001</v>
      </c>
      <c r="L16" s="73" ph="1">
        <f>L15*9.0746*LOOKUP(L17,密度!$A$2:$A$50,密度!$E$2:$E$50)</f>
        <v>41301.161642879997</v>
      </c>
      <c r="M16" s="73" ph="1">
        <f>M15*9.0746*LOOKUP(M17,密度!$A$2:$A$50,密度!$M$2:$M$50)</f>
        <v>55011.187016854004</v>
      </c>
      <c r="N16" s="73" ph="1">
        <f>N15*9.0746*LOOKUP(N17,密度!$A$2:$A$50,密度!$M$2:$M$50)</f>
        <v>3192.3553489199999</v>
      </c>
      <c r="O16" s="73" ph="1">
        <f>O15*9.0746*LOOKUP(O17,密度!$A$2:$A$50,密度!$G$2:$G$50)</f>
        <v>56156.940658840002</v>
      </c>
      <c r="P16" s="73" ph="1">
        <f ca="1">P15*9.0746*LOOKUP(P17,密度!$A$2:$A$51,密度!$Q$2:$Q$50)</f>
        <v>59520.060832354</v>
      </c>
      <c r="Q16" s="73" ph="1">
        <f>Q15*9.0746*LOOKUP(Q17,密度!$A$2:$A$50,密度!$Q$2:$Q$50)</f>
        <v>28625.785045791999</v>
      </c>
      <c r="R16" s="73" ph="1">
        <f>MAX(R15*9.0746*LOOKUP(R17,密度!$A$2:$A$50,密度!$B$2:$B$50),0)</f>
        <v>31125.217369120001</v>
      </c>
      <c r="S16" s="73" ph="1">
        <f>S15*9.0746*LOOKUP(S17,密度!$A$2:$A$50,密度!$Q$2:$Q$50)</f>
        <v>53330.933264140003</v>
      </c>
      <c r="T16" s="73" ph="1">
        <f>T15*9.0746*LOOKUP(T17,密度!$A$2:$A$50,密度!$O$2:$O$50)</f>
        <v>25677.651502800003</v>
      </c>
      <c r="U16" s="73" ph="1">
        <f>U15*9.0746*LOOKUP(U17,密度!$A$2:$A$50,密度!$H$2:$H$50)</f>
        <v>55031.95614462001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49757.868639187996</v>
      </c>
      <c r="X16" s="73" ph="1">
        <f>MAX(5600*LOOKUP(X17,密度!$A$2:$A$50,密度!$I$2:$I$50)+X15*9.0476*LOOKUP(X17,密度!$A$2:$A$50,密度!$I$2:$I$50),0)</f>
        <v>16205.98505544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49.521907119999995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18265.082642000001</v>
      </c>
      <c r="AD16" s="73" ph="1">
        <f>AD15*268.68*LOOKUP(AD17,密度!$A$2:$A$50,密度!B2:B50)+IF(AD15&lt;=0,0,1566*LOOKUP(AD17,密度!$A$2:$A$50,密度!B2:B50))</f>
        <v>8424.2836939200006</v>
      </c>
      <c r="AE16" s="73" ph="1">
        <f>AE15*268.68*LOOKUP(AE17,密度!$A$2:$A$50,密度!B2:B50)+IF(AE15&lt;=0,0,1566*LOOKUP(AE17,密度!$A$2:$A$50,密度!B2:B50))</f>
        <v>18949.795825919999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32</v>
      </c>
      <c r="G17" s="74">
        <v>27</v>
      </c>
      <c r="H17" s="74">
        <v>25</v>
      </c>
      <c r="I17" s="74">
        <v>27</v>
      </c>
      <c r="J17" s="74">
        <v>28</v>
      </c>
      <c r="K17" s="74">
        <v>28</v>
      </c>
      <c r="L17" s="74">
        <v>30</v>
      </c>
      <c r="M17" s="74">
        <v>31</v>
      </c>
      <c r="N17" s="74">
        <v>25</v>
      </c>
      <c r="O17" s="74">
        <v>30</v>
      </c>
      <c r="P17" s="74">
        <v>30</v>
      </c>
      <c r="Q17" s="74">
        <v>30</v>
      </c>
      <c r="R17" s="74">
        <v>30</v>
      </c>
      <c r="S17" s="74">
        <v>30</v>
      </c>
      <c r="T17" s="74">
        <v>30</v>
      </c>
      <c r="U17" s="74">
        <v>27</v>
      </c>
      <c r="V17" s="74">
        <v>31</v>
      </c>
      <c r="W17" s="74">
        <v>30</v>
      </c>
      <c r="X17" s="74">
        <v>30</v>
      </c>
      <c r="Y17" s="108">
        <v>30</v>
      </c>
      <c r="Z17" s="74">
        <v>27</v>
      </c>
      <c r="AA17" s="74">
        <v>25</v>
      </c>
      <c r="AB17" s="74">
        <v>27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625</v>
      </c>
      <c r="E18" s="71">
        <v>3036</v>
      </c>
      <c r="F18" s="71">
        <v>3599</v>
      </c>
      <c r="G18" s="71">
        <v>2949</v>
      </c>
      <c r="H18" s="71">
        <v>1968</v>
      </c>
      <c r="I18" s="71">
        <v>2673</v>
      </c>
      <c r="J18" s="71">
        <v>322</v>
      </c>
      <c r="K18" s="71">
        <v>2624</v>
      </c>
      <c r="L18" s="71">
        <v>5865</v>
      </c>
      <c r="M18" s="71">
        <v>1045</v>
      </c>
      <c r="N18" s="71">
        <v>1638</v>
      </c>
      <c r="O18" s="71">
        <v>6489</v>
      </c>
      <c r="P18" s="71">
        <v>6964</v>
      </c>
      <c r="Q18" s="71">
        <v>3344</v>
      </c>
      <c r="R18" s="71">
        <v>4429</v>
      </c>
      <c r="S18" s="71">
        <v>6237</v>
      </c>
      <c r="T18" s="71">
        <v>2108</v>
      </c>
      <c r="U18" s="71">
        <v>6648</v>
      </c>
      <c r="V18" s="71">
        <v>850</v>
      </c>
      <c r="W18" s="71">
        <v>5212</v>
      </c>
      <c r="X18" s="71">
        <v>1107</v>
      </c>
      <c r="Y18" s="109">
        <v>-9908</v>
      </c>
      <c r="Z18" s="71">
        <v>0</v>
      </c>
      <c r="AA18" s="71">
        <v>6</v>
      </c>
      <c r="AB18" s="71">
        <v>1097</v>
      </c>
      <c r="AC18" s="71">
        <v>2157</v>
      </c>
      <c r="AD18" s="71">
        <v>70.569999999999993</v>
      </c>
      <c r="AE18" s="71">
        <v>5.14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5" t="s" ph="1">
        <v>178</v>
      </c>
      <c r="D19" s="73" ph="1">
        <f>D18*7.0686*LOOKUP(D20,密度!$A$2:$A$50,密度!$L$2:$L$50)</f>
        <v>4113.0416249999998</v>
      </c>
      <c r="E19" s="73" ph="1">
        <f>E18*7.0686*LOOKUP(E20,密度!$A$2:$A$50,密度!$L$2:$L$50)</f>
        <v>19979.510997600002</v>
      </c>
      <c r="F19" s="73" ph="1">
        <f>F18*9.0746*LOOKUP(F20,密度!$A$2:$A$50,密度!$L$2:$L$50)</f>
        <v>30275.342965800002</v>
      </c>
      <c r="G19" s="73" ph="1">
        <f>G18*9.0746*LOOKUP(G20,密度!$A$2:$A$50,密度!$B$2:$B$50)</f>
        <v>20747.799733619999</v>
      </c>
      <c r="H19" s="73" ph="1">
        <f>H18*9.0746*LOOKUP(H20,密度!$A$2:$A$50,密度!$L$2:$L$50)</f>
        <v>16697.989968000002</v>
      </c>
      <c r="I19" s="73" ph="1">
        <f>I18*9.0746*LOOKUP(I20,密度!$A$2:$A$50,密度!$U$2:$U$50)</f>
        <v>24693.021104400003</v>
      </c>
      <c r="J19" s="73" ph="1">
        <f>J18*9.0746*LOOKUP(J20,密度!$A$2:$A$50,密度!$L$2:$L$50)</f>
        <v>2714.5576948000003</v>
      </c>
      <c r="K19" s="73" ph="1">
        <f>K18*9.0746*LOOKUP(K20,密度!$A$2:$A$50,密度!$C$2:$C$50)</f>
        <v>26314.365367040002</v>
      </c>
      <c r="L19" s="73" ph="1">
        <f>L18*9.0746*LOOKUP(L20,密度!$A$2:$A$50,密度!$E$2:$E$50)</f>
        <v>41385.838550399996</v>
      </c>
      <c r="M19" s="73" ph="1">
        <f>M18*9.0746*LOOKUP(M20,密度!$A$2:$A$50,密度!$M$2:$M$50)</f>
        <v>8189.6713243400009</v>
      </c>
      <c r="N19" s="73" ph="1">
        <f>N18*9.0746*LOOKUP(N20,密度!$A$2:$A$50,密度!$M$2:$M$50)</f>
        <v>12961.5778656</v>
      </c>
      <c r="O19" s="73" ph="1">
        <f>O18*9.0746*LOOKUP(O20,密度!$A$2:$A$50,密度!$G$2:$G$50)</f>
        <v>56159.289074574001</v>
      </c>
      <c r="P19" s="73" ph="1">
        <f ca="1">P18*9.0746*LOOKUP(P20,密度!$A$2:$A$51,密度!$Q$2:$Q$50)</f>
        <v>59482.777929000003</v>
      </c>
      <c r="Q19" s="73" ph="1">
        <f>Q18*9.0746*LOOKUP(Q20,密度!$A$2:$A$50,密度!$Q$2:$Q$50)</f>
        <v>28603.025948991999</v>
      </c>
      <c r="R19" s="73" ph="1">
        <f>MAX(R18*9.0746*LOOKUP(R20,密度!$A$2:$A$50,密度!$B$2:$B$50),0)</f>
        <v>30983.552881060004</v>
      </c>
      <c r="S19" s="73" ph="1">
        <f>S18*9.0746*LOOKUP(S20,密度!$A$2:$A$50,密度!$Q$2:$Q$50)</f>
        <v>53348.406950915996</v>
      </c>
      <c r="T19" s="73" ph="1">
        <f>T18*9.0746*LOOKUP(T20,密度!$A$2:$A$50,密度!$O$2:$O$50)</f>
        <v>17637.174769599998</v>
      </c>
      <c r="U19" s="73" ph="1">
        <f>U18*9.0746*LOOKUP(U20,密度!$A$2:$A$50,密度!$H$2:$H$50)</f>
        <v>54898.426128000006</v>
      </c>
      <c r="V19" s="73" ph="1">
        <f>MAX(5600*LOOKUP(V20,密度!$A$2:$A$50,密度!$Q$2:$Q$50)+V18*9.0476*LOOKUP(V20,密度!$A$2:$A$50,密度!$Q$2:$Q$50),0)</f>
        <v>12500.8737714</v>
      </c>
      <c r="W19" s="73" ph="1">
        <f>MAX(5600*LOOKUP(W20,密度!$A$2:$A$50,密度!$Q$2:$Q$50)+W18*9.0476*LOOKUP(W20,密度!$A$2:$A$50,密度!$Q$2:$Q$50),0)</f>
        <v>49621.851821807999</v>
      </c>
      <c r="X19" s="73" ph="1">
        <f>MAX(5600*LOOKUP(X20,密度!$A$2:$A$50,密度!$I$2:$I$50)+X18*9.0476*LOOKUP(X20,密度!$A$2:$A$50,密度!$I$2:$I$50),0)</f>
        <v>16152.87304608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41.973654840000002</v>
      </c>
      <c r="AB19" s="73" ph="1">
        <f>AB18*9.0746*LOOKUP(AB20,密度!$A$2:$A$50,密度!$L$2:$L$50)</f>
        <v>9168.4041402000003</v>
      </c>
      <c r="AC19" s="73" ph="1">
        <f>AC18*9.0746*LOOKUP(AC20,密度!$A$2:$A$50,密度!$L$2:$L$50)</f>
        <v>18223.3122582</v>
      </c>
      <c r="AD19" s="73" ph="1">
        <f>AD18*268.68*LOOKUP(AD20,密度!$A$2:$A$50,密度!B5:B53)+IF(AD18&lt;=0,0,1566*LOOKUP(AD20,密度!$A$2:$A$50,密度!B5:B53))</f>
        <v>15949.282885199998</v>
      </c>
      <c r="AE19" s="73" ph="1">
        <f>AE18*268.68*LOOKUP(AE20,密度!$A$2:$A$50,密度!B5:B53)+IF(AE18&lt;=0,0,1566*LOOKUP(AE20,密度!$A$2:$A$50,密度!B5:B53))</f>
        <v>2289.8308103999998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31</v>
      </c>
      <c r="E20" s="81">
        <v>31</v>
      </c>
      <c r="F20" s="81">
        <v>35</v>
      </c>
      <c r="G20" s="81">
        <v>30</v>
      </c>
      <c r="H20" s="81">
        <v>27</v>
      </c>
      <c r="I20" s="81">
        <v>32</v>
      </c>
      <c r="J20" s="81">
        <v>33</v>
      </c>
      <c r="K20" s="81">
        <v>30</v>
      </c>
      <c r="L20" s="81">
        <v>30</v>
      </c>
      <c r="M20" s="81">
        <v>36</v>
      </c>
      <c r="N20" s="81">
        <v>28</v>
      </c>
      <c r="O20" s="81">
        <v>31</v>
      </c>
      <c r="P20" s="81">
        <v>33</v>
      </c>
      <c r="Q20" s="81">
        <v>31</v>
      </c>
      <c r="R20" s="81">
        <v>35</v>
      </c>
      <c r="S20" s="81">
        <v>31</v>
      </c>
      <c r="T20" s="81">
        <v>37</v>
      </c>
      <c r="U20" s="81">
        <v>30</v>
      </c>
      <c r="V20" s="81">
        <v>34</v>
      </c>
      <c r="W20" s="81">
        <v>34</v>
      </c>
      <c r="X20" s="81">
        <v>32</v>
      </c>
      <c r="Y20" s="110">
        <v>32</v>
      </c>
      <c r="Z20" s="81">
        <v>42</v>
      </c>
      <c r="AA20" s="81">
        <v>35</v>
      </c>
      <c r="AB20" s="81">
        <v>41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5" t="s" ph="1">
        <v>177</v>
      </c>
      <c r="D24" s="71">
        <v>54.75</v>
      </c>
      <c r="E24" s="71">
        <v>46.2</v>
      </c>
      <c r="F24" s="71">
        <v>1678</v>
      </c>
      <c r="G24" s="71">
        <v>3056</v>
      </c>
      <c r="H24" s="71">
        <v>1339</v>
      </c>
      <c r="I24" s="71">
        <v>2967</v>
      </c>
      <c r="J24" s="71">
        <v>721</v>
      </c>
      <c r="K24" s="71">
        <v>5267</v>
      </c>
      <c r="L24" s="71">
        <v>5613</v>
      </c>
      <c r="M24" s="71">
        <v>2168</v>
      </c>
      <c r="N24" s="71">
        <v>5532</v>
      </c>
      <c r="O24" s="71">
        <v>5597</v>
      </c>
      <c r="P24" s="71">
        <v>356</v>
      </c>
      <c r="Q24" s="90">
        <v>1360</v>
      </c>
      <c r="R24" s="71">
        <v>811</v>
      </c>
      <c r="S24" s="71">
        <v>3903</v>
      </c>
      <c r="T24" s="71">
        <v>849</v>
      </c>
      <c r="U24" s="71">
        <v>5398</v>
      </c>
      <c r="V24" s="71">
        <v>280</v>
      </c>
      <c r="W24" s="71">
        <v>9334</v>
      </c>
      <c r="X24" s="71">
        <v>2373</v>
      </c>
      <c r="Y24" s="71">
        <v>3783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15409.3579902</v>
      </c>
      <c r="E25" s="91" ph="1">
        <f>E24*268.68*LOOKUP(E26,密度!$A$2:$A$50,密度!$C$2:$C$50)+IF(E24&lt;=0,0,1566*LOOKUP(E26,密度!$A$2:$A$50,密度!$C$2:$C$50))</f>
        <v>15501.330842400001</v>
      </c>
      <c r="F25" s="91" ph="1">
        <f>F24*11.702*LOOKUP(F26,密度!$A$2:$A$50,密度!$Q$2:$Q$50)</f>
        <v>18534.96794708</v>
      </c>
      <c r="G25" s="91" ph="1">
        <f>G24*18.322*LOOKUP(G26,密度!$A$2:$A$50,密度!$B$2:$B$50)</f>
        <v>43461.015238400003</v>
      </c>
      <c r="H25" s="91" ph="1">
        <f>H24*18.322*LOOKUP(H26,密度!$A$2:$A$50,密度!$B$2:$B$50)</f>
        <v>18998.477555199999</v>
      </c>
      <c r="I25" s="91" ph="1">
        <f>I24*18.322*LOOKUP(I26,密度!$A$2:$A$50,密度!$Q$2:$Q$50)</f>
        <v>51239.943904919994</v>
      </c>
      <c r="J25" s="91" ph="1">
        <f>J24*18.322*LOOKUP(J26,密度!$A$2:$A$50,密度!$Q$2:$Q$50)</f>
        <v>12451.63449796</v>
      </c>
      <c r="K25" s="91" ph="1">
        <f>K24*18.322*LOOKUP(K26,密度!$A$2:$A$50,密度!$Q$2:$Q$50)</f>
        <v>90960.830652920005</v>
      </c>
      <c r="L25" s="91" ph="1">
        <f>L24*18.322*LOOKUP(L26,密度!$A$2:$A$50,密度!$Q$2:$Q$50)</f>
        <v>97013.364655379992</v>
      </c>
      <c r="M25" s="91" ph="1">
        <f>M24*18.322*LOOKUP(M26,密度!$A$2:$A$50,密度!$Q$2:$Q$50)</f>
        <v>37471.044819679999</v>
      </c>
      <c r="N25" s="91" ph="1">
        <f>N24*18.322*LOOKUP(N26,密度!$A$2:$A$50,密度!$Q$2:$Q$50)</f>
        <v>95674.199964719999</v>
      </c>
      <c r="O25" s="91" ph="1">
        <f>O24*18.322*LOOKUP(O26,密度!$A$2:$A$50,密度!$C$2:$C$50)</f>
        <v>113408.0919806</v>
      </c>
      <c r="P25" s="91" ph="1">
        <f>P24*11.702*LOOKUP(P26,密度!$A$2:$A$50,密度!$B$2:$B$50)</f>
        <v>3226.0822528000003</v>
      </c>
      <c r="Q25" s="92" ph="1">
        <f>Q24*18.322*LOOKUP(Q26,密度!$A$2:$A$50,密度!$B$2:$B$50)</f>
        <v>19341.289504</v>
      </c>
      <c r="R25" s="91" ph="1">
        <f>R24*35.891*LOOKUP(R26,密度!$A$2:$A$50,密度!$C$2:$C$50)</f>
        <v>32166.809865099996</v>
      </c>
      <c r="S25" s="91" ph="1">
        <f>S24*35.891*LOOKUP(S26,密度!$A$2:$A$50,密度!$B$2:$B$50)</f>
        <v>108479.9445312</v>
      </c>
      <c r="T25" s="91" ph="1">
        <f>T24*35.891*LOOKUP(T26,密度!$A$2:$A$50,密度!$Q$2:$Q$50)</f>
        <v>28721.787824219999</v>
      </c>
      <c r="U25" s="91" ph="1">
        <f>U24*35.891</f>
        <v>193739.61799999999</v>
      </c>
      <c r="V25" s="91" ph="1">
        <f>V24*47.051*LOOKUP(V26,密度!$A$2:$A$50,密度!$B$2:$B$50)</f>
        <v>10225.876136000001</v>
      </c>
      <c r="W25" s="91" ph="1">
        <f>W24*47.051*LOOKUP(W26,密度!$A$2:$A$50,密度!$B$2:$B$50)</f>
        <v>340491.62856020004</v>
      </c>
      <c r="X25" s="91" ph="1">
        <f>X24*47.051*LOOKUP(X26,密度!$A$2:$A$50,密度!$I$2:$I$50)</f>
        <v>115616.78633672999</v>
      </c>
      <c r="Y25" s="91" ph="1">
        <f>Y24*47.051*LOOKUP(Y26,密度!$A$2:$A$50,密度!$L$2:$L$50)</f>
        <v>165890.34555600001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31</v>
      </c>
      <c r="I26" s="74">
        <v>31</v>
      </c>
      <c r="J26" s="74">
        <v>31</v>
      </c>
      <c r="K26" s="74">
        <v>31</v>
      </c>
      <c r="L26" s="74">
        <v>30</v>
      </c>
      <c r="M26" s="74">
        <v>30</v>
      </c>
      <c r="N26" s="74">
        <v>29</v>
      </c>
      <c r="O26" s="74">
        <v>29</v>
      </c>
      <c r="P26" s="74">
        <v>31</v>
      </c>
      <c r="Q26" s="93">
        <v>29</v>
      </c>
      <c r="R26" s="74">
        <v>30</v>
      </c>
      <c r="S26" s="74">
        <v>31</v>
      </c>
      <c r="T26" s="74">
        <v>31</v>
      </c>
      <c r="U26" s="74">
        <v>30</v>
      </c>
      <c r="V26" s="74">
        <v>29</v>
      </c>
      <c r="W26" s="74">
        <v>30</v>
      </c>
      <c r="X26" s="74">
        <v>31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5" t="s" ph="1">
        <v>180</v>
      </c>
      <c r="D27" s="71">
        <v>19.899999999999999</v>
      </c>
      <c r="E27" s="71">
        <v>46.17</v>
      </c>
      <c r="F27" s="71">
        <v>0</v>
      </c>
      <c r="G27" s="71">
        <v>2214</v>
      </c>
      <c r="H27" s="71">
        <v>2478</v>
      </c>
      <c r="I27" s="71">
        <v>2066</v>
      </c>
      <c r="J27" s="71">
        <v>1888</v>
      </c>
      <c r="K27" s="71">
        <v>5267</v>
      </c>
      <c r="L27" s="71">
        <v>5609</v>
      </c>
      <c r="M27" s="71">
        <v>1681</v>
      </c>
      <c r="N27" s="71">
        <v>5530</v>
      </c>
      <c r="O27" s="71">
        <v>5594</v>
      </c>
      <c r="P27" s="71">
        <v>352</v>
      </c>
      <c r="Q27" s="90">
        <v>1640</v>
      </c>
      <c r="R27" s="71">
        <v>808</v>
      </c>
      <c r="S27" s="71">
        <v>3900</v>
      </c>
      <c r="T27" s="71">
        <v>847</v>
      </c>
      <c r="U27" s="71">
        <v>5550</v>
      </c>
      <c r="V27" s="71">
        <v>272</v>
      </c>
      <c r="W27" s="71">
        <v>9751</v>
      </c>
      <c r="X27" s="71">
        <v>1503</v>
      </c>
      <c r="Y27" s="71">
        <v>2334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5" t="s" ph="1">
        <v>178</v>
      </c>
      <c r="D28" s="91" ph="1">
        <f>D27*268.68*LOOKUP(D29,密度!$A$2:$A$50,密度!$Q$2:$Q$50)+IF(D27&lt;=0,0,1566*LOOKUP(D29,密度!$A$2:$A$50,密度!$Q$2:$Q$50))</f>
        <v>6544.5598936799997</v>
      </c>
      <c r="E28" s="91" ph="1">
        <f>E27*268.68*LOOKUP(E29,密度!$A$2:$A$50,密度!$C$2:$C$50)+IF(E27&lt;=0,0,1566*LOOKUP(E29,密度!$A$2:$A$50,密度!$C$2:$C$50))</f>
        <v>15492.392664840001</v>
      </c>
      <c r="F28" s="91" ph="1">
        <f>F27*11.702*LOOKUP(F29,密度!$A$2:$A$50,密度!$Q$2:$Q$50)</f>
        <v>0</v>
      </c>
      <c r="G28" s="91" ph="1">
        <f>G27*18.322*LOOKUP(G29,密度!$A$2:$A$50,密度!$B$2:$B$50)</f>
        <v>31449.973172399998</v>
      </c>
      <c r="H28" s="91" ph="1">
        <f>H27*18.322*LOOKUP(H29,密度!$A$2:$A$50,密度!$B$2:$B$50)</f>
        <v>35200.105474799995</v>
      </c>
      <c r="I28" s="91" ph="1">
        <f>I27*18.322*LOOKUP(I29,密度!$A$2:$A$50,密度!$Q$2:$Q$50)</f>
        <v>35708.108209160004</v>
      </c>
      <c r="J28" s="91" ph="1">
        <f>J27*18.322*LOOKUP(J29,密度!$A$2:$A$50,密度!$Q$2:$Q$50)</f>
        <v>32559.659760000002</v>
      </c>
      <c r="K28" s="91" ph="1">
        <f>K27*18.322*LOOKUP(K29,密度!$A$2:$A$50,密度!$Q$2:$Q$50)</f>
        <v>90832.483027499999</v>
      </c>
      <c r="L28" s="91" ph="1">
        <f>L27*18.322*LOOKUP(L29,密度!$A$2:$A$50,密度!$Q$2:$Q$50)</f>
        <v>96944.229886339992</v>
      </c>
      <c r="M28" s="91" ph="1">
        <f>M27*18.322*LOOKUP(M29,密度!$A$2:$A$50,密度!$Q$2:$Q$50)</f>
        <v>29009.843715799998</v>
      </c>
      <c r="N28" s="91" ph="1">
        <f>N27*18.322*LOOKUP(N29,密度!$A$2:$A$50,密度!$Q$2:$Q$50)</f>
        <v>95433.929653999992</v>
      </c>
      <c r="O28" s="91" ph="1">
        <f>O27*18.322*LOOKUP(O29,密度!$A$2:$A$50,密度!$C$2:$C$50)</f>
        <v>113050.07460399999</v>
      </c>
      <c r="P28" s="91" ph="1">
        <f>P27*11.702*LOOKUP(P29,密度!$A$2:$A$50,密度!$B$2:$B$50)</f>
        <v>3193.5413312000001</v>
      </c>
      <c r="Q28" s="92" ph="1">
        <f>Q27*18.322*LOOKUP(Q29,密度!$A$2:$A$50,密度!$B$2:$B$50)</f>
        <v>23218.151416000001</v>
      </c>
      <c r="R28" s="91" ph="1">
        <f>R27*35.891*LOOKUP(R29,密度!$A$2:$A$50,密度!$C$2:$C$50)</f>
        <v>32047.820432799999</v>
      </c>
      <c r="S28" s="91" ph="1">
        <f>S27*35.891*LOOKUP(S29,密度!$A$2:$A$50,密度!$B$2:$B$50)</f>
        <v>108522.53997</v>
      </c>
      <c r="T28" s="91" ph="1">
        <f>T27*35.891*LOOKUP(T29,密度!$A$2:$A$50,密度!$Q$2:$Q$50)</f>
        <v>28676.927304410001</v>
      </c>
      <c r="U28" s="91" ph="1">
        <f>U27*35.891</f>
        <v>199195.05</v>
      </c>
      <c r="V28" s="91" ph="1">
        <f>V27*47.051*LOOKUP(V29,密度!$A$2:$A$50,密度!$B$2:$B$50)</f>
        <v>9899.1539920000014</v>
      </c>
      <c r="W28" s="91" ph="1">
        <f>W27*47.051*LOOKUP(W29,密度!$A$2:$A$50,密度!$B$2:$B$50)</f>
        <v>354877.39182349999</v>
      </c>
      <c r="X28" s="91" ph="1">
        <f>X27*47.051*LOOKUP(X29,密度!$A$2:$A$50,密度!$I$2:$I$50)</f>
        <v>73071.843668370013</v>
      </c>
      <c r="Y28" s="91" ph="1">
        <f>Y27*47.051*LOOKUP(Y29,密度!$A$2:$A$50,密度!$L$2:$L$50)</f>
        <v>102129.84162000001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5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30</v>
      </c>
      <c r="J29" s="74">
        <v>33</v>
      </c>
      <c r="K29" s="74">
        <v>33</v>
      </c>
      <c r="L29" s="74">
        <v>30</v>
      </c>
      <c r="M29" s="74">
        <v>32</v>
      </c>
      <c r="N29" s="74">
        <v>32</v>
      </c>
      <c r="O29" s="74">
        <v>32</v>
      </c>
      <c r="P29" s="74">
        <v>30</v>
      </c>
      <c r="Q29" s="93">
        <v>33</v>
      </c>
      <c r="R29" s="74">
        <v>30</v>
      </c>
      <c r="S29" s="74">
        <v>30</v>
      </c>
      <c r="T29" s="74">
        <v>30</v>
      </c>
      <c r="U29" s="74">
        <v>33</v>
      </c>
      <c r="V29" s="74">
        <v>32</v>
      </c>
      <c r="W29" s="74">
        <v>32</v>
      </c>
      <c r="X29" s="74">
        <v>33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5" t="s" ph="1">
        <v>5</v>
      </c>
      <c r="F32" s="146" t="s" ph="1">
        <v>43</v>
      </c>
      <c r="G32" s="97" t="s" ph="1">
        <v>4</v>
      </c>
      <c r="H32" s="145" t="s" ph="1">
        <v>5</v>
      </c>
      <c r="I32" s="146" t="s" ph="1">
        <v>43</v>
      </c>
      <c r="J32" s="97" t="s" ph="1">
        <v>4</v>
      </c>
      <c r="K32" s="145" t="s" ph="1">
        <v>5</v>
      </c>
      <c r="L32" s="146" t="s" ph="1">
        <v>43</v>
      </c>
      <c r="M32" s="97" t="s" ph="1">
        <v>4</v>
      </c>
      <c r="N32" s="145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6" t="s" ph="1">
        <v>43</v>
      </c>
      <c r="AB32" s="97" t="s" ph="1">
        <v>85</v>
      </c>
      <c r="AC32" s="145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57462.091062599997</v>
      </c>
      <c r="E33" s="190" ph="1">
        <f>M10+I10</f>
        <v>73526.815823000012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6" ph="1">
        <v>0</v>
      </c>
      <c r="H33" s="190" ph="1">
        <f>N19</f>
        <v>12961.5778656</v>
      </c>
      <c r="I33" s="194" ph="1">
        <v>0</v>
      </c>
      <c r="J33" s="198" ph="1">
        <f>F10+O28</f>
        <v>273336.97565829998</v>
      </c>
      <c r="K33" s="190" ph="1">
        <f>O10+K10+E28+R28</f>
        <v>195466.99722884002</v>
      </c>
      <c r="L33" s="200" ph="1">
        <f>BE27</f>
        <v>7100</v>
      </c>
      <c r="M33" s="198" ph="1">
        <f>G10+H10+W28+S28+V28+E10</f>
        <v>1322056.7238655</v>
      </c>
      <c r="N33" s="190" ph="1">
        <f>L10+P10++G28+H28</f>
        <v>121148.84639019999</v>
      </c>
      <c r="O33" s="194" ph="1">
        <f>BE17</f>
        <v>2270</v>
      </c>
      <c r="P33" s="198" ph="1">
        <f>L19</f>
        <v>41385.838550399996</v>
      </c>
      <c r="Q33" s="190" ph="1">
        <f>J10+N10</f>
        <v>113182.45719709998</v>
      </c>
      <c r="R33" s="194" ph="1">
        <f>BE23</f>
        <v>890</v>
      </c>
      <c r="S33" s="198" ph="1">
        <f>E10+X28</f>
        <v>405491.35836836998</v>
      </c>
      <c r="T33" s="190" ph="1">
        <f>X19</f>
        <v>16152.87304608</v>
      </c>
      <c r="U33" s="179" ph="1">
        <f>BE21</f>
        <v>730</v>
      </c>
      <c r="V33" s="192" ph="1">
        <f ca="1">P19+Q19+S19+M28+N28+J28</f>
        <v>298437.64395870798</v>
      </c>
      <c r="W33" s="192" ph="1">
        <f>D28+F28+V19+T28</f>
        <v>47722.360969490001</v>
      </c>
      <c r="X33" s="194" ph="1">
        <f>BE29+BE31</f>
        <v>10200</v>
      </c>
      <c r="Y33" s="196" ph="1">
        <f>+Q10+R10+S10+T10+U10+V10+W10+X10+Y10</f>
        <v>183868.15459320002</v>
      </c>
      <c r="Z33" s="177" ph="1">
        <f>D10+T19+U19+Y28+Z10</f>
        <v>536411.53833898006</v>
      </c>
      <c r="AA33" s="179" ph="1">
        <f>BE19</f>
        <v>1440</v>
      </c>
      <c r="AB33" s="181" ph="1">
        <f>I19</f>
        <v>24693.021104400003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47" t="s" ph="1">
        <v>185</v>
      </c>
      <c r="AA36" s="147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31" priority="98">
      <formula>ABS(D$7-D$10)&gt;=1000</formula>
    </cfRule>
  </conditionalFormatting>
  <conditionalFormatting sqref="E4 E6:E11">
    <cfRule type="expression" dxfId="2430" priority="97">
      <formula>ABS(E$7-E$10)&gt;=1000</formula>
    </cfRule>
  </conditionalFormatting>
  <conditionalFormatting sqref="F4:F11">
    <cfRule type="expression" dxfId="2429" priority="96">
      <formula>ABS(F$7-F$10)&gt;=1000</formula>
    </cfRule>
  </conditionalFormatting>
  <conditionalFormatting sqref="G4:G11">
    <cfRule type="expression" dxfId="2428" priority="95">
      <formula>ABS(G$7-G$10)&gt;=1000</formula>
    </cfRule>
  </conditionalFormatting>
  <conditionalFormatting sqref="H4:H11">
    <cfRule type="expression" dxfId="2427" priority="94">
      <formula>ABS(H$7-H$10)&gt;=1000</formula>
    </cfRule>
  </conditionalFormatting>
  <conditionalFormatting sqref="I4:I11">
    <cfRule type="expression" dxfId="2426" priority="93">
      <formula>ABS(I$7-I$10)&gt;=1000</formula>
    </cfRule>
  </conditionalFormatting>
  <conditionalFormatting sqref="J4:J11">
    <cfRule type="expression" dxfId="2425" priority="92">
      <formula>ABS(J$7-J$10)&gt;=1000</formula>
    </cfRule>
  </conditionalFormatting>
  <conditionalFormatting sqref="K4:K11">
    <cfRule type="expression" dxfId="2424" priority="91">
      <formula>ABS(K$7-K$10)&gt;=1000</formula>
    </cfRule>
  </conditionalFormatting>
  <conditionalFormatting sqref="L4:L11">
    <cfRule type="expression" dxfId="2423" priority="90">
      <formula>ABS(L$7-L$10)&gt;=1000</formula>
    </cfRule>
  </conditionalFormatting>
  <conditionalFormatting sqref="M4 M6:M11">
    <cfRule type="expression" dxfId="2422" priority="89">
      <formula>ABS(M$7-M$10)&gt;=1000</formula>
    </cfRule>
  </conditionalFormatting>
  <conditionalFormatting sqref="N4 N6:N11">
    <cfRule type="expression" dxfId="2421" priority="88">
      <formula>ABS(N$7-N$10)&gt;=1000</formula>
    </cfRule>
  </conditionalFormatting>
  <conditionalFormatting sqref="O4 O6:O11">
    <cfRule type="expression" dxfId="2420" priority="87">
      <formula>ABS(O$7-O$10)&gt;=1000</formula>
    </cfRule>
  </conditionalFormatting>
  <conditionalFormatting sqref="P4 P6:P11">
    <cfRule type="expression" dxfId="2419" priority="86">
      <formula>ABS(P$7-P$10)&gt;=1000</formula>
    </cfRule>
  </conditionalFormatting>
  <conditionalFormatting sqref="Q4:Q11">
    <cfRule type="expression" dxfId="2418" priority="85">
      <formula>ABS(Q$7-Q$10)&gt;=1000</formula>
    </cfRule>
  </conditionalFormatting>
  <conditionalFormatting sqref="R4:R11">
    <cfRule type="expression" dxfId="2417" priority="84">
      <formula>ABS(R$7-R$10)&gt;=1000</formula>
    </cfRule>
  </conditionalFormatting>
  <conditionalFormatting sqref="S4:S11">
    <cfRule type="expression" dxfId="2416" priority="83">
      <formula>ABS(S$7-S$10)&gt;=1000</formula>
    </cfRule>
  </conditionalFormatting>
  <conditionalFormatting sqref="T4:T9 T11">
    <cfRule type="expression" dxfId="2415" priority="82">
      <formula>ABS(T$7-T$10)&gt;=1000</formula>
    </cfRule>
  </conditionalFormatting>
  <conditionalFormatting sqref="U4:U9 U11">
    <cfRule type="expression" dxfId="2414" priority="81">
      <formula>ABS(U$7-U$10)&gt;=1000</formula>
    </cfRule>
  </conditionalFormatting>
  <conditionalFormatting sqref="V4:V9 V11">
    <cfRule type="expression" dxfId="2413" priority="80">
      <formula>ABS(V$7-V$10)&gt;=1000</formula>
    </cfRule>
  </conditionalFormatting>
  <conditionalFormatting sqref="W4:W9 W11">
    <cfRule type="expression" dxfId="2412" priority="79">
      <formula>ABS(W$7-W$10)&gt;=1000</formula>
    </cfRule>
  </conditionalFormatting>
  <conditionalFormatting sqref="X4:X9 X11">
    <cfRule type="expression" dxfId="2411" priority="78">
      <formula>ABS(X$7-X$10)&gt;=1000</formula>
    </cfRule>
  </conditionalFormatting>
  <conditionalFormatting sqref="Y4:Y9 Y11">
    <cfRule type="expression" dxfId="2410" priority="77">
      <formula>ABS(Y$7-Y$10)&gt;=1000</formula>
    </cfRule>
  </conditionalFormatting>
  <conditionalFormatting sqref="Z4:Z11">
    <cfRule type="expression" dxfId="2409" priority="76">
      <formula>ABS(Z$7-Z$10)&gt;=1000</formula>
    </cfRule>
  </conditionalFormatting>
  <conditionalFormatting sqref="AA4:AA11">
    <cfRule type="expression" dxfId="2408" priority="75">
      <formula>ABS(AA$7-AA$10)&gt;=1000</formula>
    </cfRule>
  </conditionalFormatting>
  <conditionalFormatting sqref="AB4:AB11">
    <cfRule type="expression" dxfId="2407" priority="74">
      <formula>ABS(AB$7-AB$10)&gt;=1000</formula>
    </cfRule>
  </conditionalFormatting>
  <conditionalFormatting sqref="AC4 AC6:AC11">
    <cfRule type="expression" dxfId="2406" priority="73">
      <formula>ABS(AC$7-AC$10)&gt;=1000</formula>
    </cfRule>
  </conditionalFormatting>
  <conditionalFormatting sqref="AD4:AD11">
    <cfRule type="expression" dxfId="2405" priority="72">
      <formula>ABS(AD$7-AD$10)&gt;=1000</formula>
    </cfRule>
  </conditionalFormatting>
  <conditionalFormatting sqref="AE4 AE6:AE11">
    <cfRule type="expression" dxfId="2404" priority="71">
      <formula>ABS(AE$7-AE$10)&gt;=1000</formula>
    </cfRule>
  </conditionalFormatting>
  <conditionalFormatting sqref="D13:D20">
    <cfRule type="expression" dxfId="2403" priority="70">
      <formula>ABS(D$16-D$19)&gt;=1000</formula>
    </cfRule>
  </conditionalFormatting>
  <conditionalFormatting sqref="E13:E20">
    <cfRule type="expression" dxfId="2402" priority="69">
      <formula>ABS(E$16-E$19)&gt;=1000</formula>
    </cfRule>
  </conditionalFormatting>
  <conditionalFormatting sqref="F13 F15:F20">
    <cfRule type="expression" dxfId="2401" priority="68">
      <formula>ABS(F$16-F$19)&gt;=1000</formula>
    </cfRule>
  </conditionalFormatting>
  <conditionalFormatting sqref="G13:G20">
    <cfRule type="expression" dxfId="2400" priority="67">
      <formula>ABS(G$16-G$19)&gt;=1000</formula>
    </cfRule>
  </conditionalFormatting>
  <conditionalFormatting sqref="H13:H20">
    <cfRule type="expression" dxfId="2399" priority="66">
      <formula>ABS(H$16-H$19)&gt;=1000</formula>
    </cfRule>
  </conditionalFormatting>
  <conditionalFormatting sqref="I13:I20">
    <cfRule type="expression" dxfId="2398" priority="65">
      <formula>ABS(I$16-I$19)&gt;=1000</formula>
    </cfRule>
  </conditionalFormatting>
  <conditionalFormatting sqref="J13:J20">
    <cfRule type="expression" dxfId="2397" priority="64">
      <formula>ABS(J$16-J$19)&gt;=1000</formula>
    </cfRule>
  </conditionalFormatting>
  <conditionalFormatting sqref="L13:L20">
    <cfRule type="expression" dxfId="2396" priority="63">
      <formula>ABS(L$16-L$19)&gt;=1000</formula>
    </cfRule>
  </conditionalFormatting>
  <conditionalFormatting sqref="M13 M15 M17:M18 M20">
    <cfRule type="expression" dxfId="2395" priority="62">
      <formula>ABS(M$16-M$19)&gt;=1000</formula>
    </cfRule>
  </conditionalFormatting>
  <conditionalFormatting sqref="N13:N20">
    <cfRule type="expression" dxfId="2394" priority="61">
      <formula>ABS(N$16-N$19)&gt;=1000</formula>
    </cfRule>
  </conditionalFormatting>
  <conditionalFormatting sqref="O13:O20">
    <cfRule type="expression" dxfId="2393" priority="60">
      <formula>ABS(O$16-O$19)&gt;=1000</formula>
    </cfRule>
  </conditionalFormatting>
  <conditionalFormatting sqref="P13:P20">
    <cfRule type="expression" dxfId="2392" priority="59">
      <formula>ABS(P$16-P$19)&gt;=1000</formula>
    </cfRule>
  </conditionalFormatting>
  <conditionalFormatting sqref="Q13 Q15:Q20">
    <cfRule type="expression" dxfId="2391" priority="58">
      <formula>ABS(Q$16-Q$19)&gt;=1000</formula>
    </cfRule>
  </conditionalFormatting>
  <conditionalFormatting sqref="R13:R20">
    <cfRule type="expression" dxfId="2390" priority="57">
      <formula>ABS(R$16-R$19)&gt;=1000</formula>
    </cfRule>
  </conditionalFormatting>
  <conditionalFormatting sqref="S13:S20">
    <cfRule type="expression" dxfId="2389" priority="56">
      <formula>ABS(S$16-S$19)&gt;=1000</formula>
    </cfRule>
  </conditionalFormatting>
  <conditionalFormatting sqref="T13:T20">
    <cfRule type="expression" dxfId="2388" priority="55">
      <formula>ABS(T$16-T$19)&gt;=1000</formula>
    </cfRule>
  </conditionalFormatting>
  <conditionalFormatting sqref="U13:U20">
    <cfRule type="expression" dxfId="2387" priority="54">
      <formula>ABS(U$16-U$19)&gt;=1000</formula>
    </cfRule>
  </conditionalFormatting>
  <conditionalFormatting sqref="V13:V20">
    <cfRule type="expression" dxfId="2386" priority="53">
      <formula>ABS(V$16-V$19)&gt;=1000</formula>
    </cfRule>
  </conditionalFormatting>
  <conditionalFormatting sqref="W13 W20 W15:W18">
    <cfRule type="expression" dxfId="2385" priority="52">
      <formula>ABS(W$16-W$19)&gt;=1000</formula>
    </cfRule>
  </conditionalFormatting>
  <conditionalFormatting sqref="X13 X15:X20 Y19">
    <cfRule type="expression" dxfId="2384" priority="51">
      <formula>ABS(X$16-X$19)&gt;=1000</formula>
    </cfRule>
  </conditionalFormatting>
  <conditionalFormatting sqref="Y13 Y15:Y18 Y20">
    <cfRule type="expression" dxfId="2383" priority="50">
      <formula>ABS(Y$16-Y$19)&gt;=1000</formula>
    </cfRule>
  </conditionalFormatting>
  <conditionalFormatting sqref="Z13:Z20">
    <cfRule type="expression" dxfId="2382" priority="49">
      <formula>ABS(Z$16-Z$19)&gt;=1000</formula>
    </cfRule>
  </conditionalFormatting>
  <conditionalFormatting sqref="AA13:AA20">
    <cfRule type="expression" dxfId="2381" priority="48">
      <formula>ABS(AA$16-AA$19)&gt;=1000</formula>
    </cfRule>
  </conditionalFormatting>
  <conditionalFormatting sqref="AB13 AB15:AB20">
    <cfRule type="expression" dxfId="2380" priority="47">
      <formula>ABS(AB$16-AB$19)&gt;=1000</formula>
    </cfRule>
  </conditionalFormatting>
  <conditionalFormatting sqref="AC13 AC15:AC20">
    <cfRule type="expression" dxfId="2379" priority="46">
      <formula>ABS(AC$16-AC$19)&gt;=1000</formula>
    </cfRule>
  </conditionalFormatting>
  <conditionalFormatting sqref="AD13:AD20">
    <cfRule type="expression" dxfId="2378" priority="45">
      <formula>ABS(AD$16-AD$19)&gt;=1000</formula>
    </cfRule>
  </conditionalFormatting>
  <conditionalFormatting sqref="AE13:AE20">
    <cfRule type="expression" dxfId="2377" priority="44">
      <formula>ABS(AE$16-AE$19)&gt;=1000</formula>
    </cfRule>
  </conditionalFormatting>
  <conditionalFormatting sqref="D22:D29">
    <cfRule type="expression" dxfId="2376" priority="43">
      <formula>ABS(D$25-D$28)&gt;=1000</formula>
    </cfRule>
  </conditionalFormatting>
  <conditionalFormatting sqref="E22:E29">
    <cfRule type="expression" dxfId="2375" priority="42">
      <formula>ABS(E$25-E$28)&gt;=1000</formula>
    </cfRule>
  </conditionalFormatting>
  <conditionalFormatting sqref="F22:F29">
    <cfRule type="expression" dxfId="2374" priority="41">
      <formula>ABS(F$25-F$28)&gt;=1000</formula>
    </cfRule>
  </conditionalFormatting>
  <conditionalFormatting sqref="G22:G29">
    <cfRule type="expression" dxfId="2373" priority="40">
      <formula>ABS(G$25-G$28)&gt;=1000</formula>
    </cfRule>
  </conditionalFormatting>
  <conditionalFormatting sqref="H22:H29">
    <cfRule type="expression" dxfId="2372" priority="39">
      <formula>ABS(H$25-H$28)&gt;=1000</formula>
    </cfRule>
  </conditionalFormatting>
  <conditionalFormatting sqref="I22 I24:I29">
    <cfRule type="expression" dxfId="2371" priority="38">
      <formula>ABS(I$25-I$28)&gt;=1000</formula>
    </cfRule>
  </conditionalFormatting>
  <conditionalFormatting sqref="J22:J29 K22">
    <cfRule type="expression" dxfId="2370" priority="37">
      <formula>ABS(J$25-J$28)&gt;=1000</formula>
    </cfRule>
  </conditionalFormatting>
  <conditionalFormatting sqref="K23:K29 L25 L28">
    <cfRule type="expression" dxfId="2369" priority="36">
      <formula>ABS(K$25-K$28)&gt;=1000</formula>
    </cfRule>
  </conditionalFormatting>
  <conditionalFormatting sqref="L22 L26:L27 L29 L24">
    <cfRule type="expression" dxfId="2368" priority="35">
      <formula>ABS(L$25-L$28)&gt;=1000</formula>
    </cfRule>
  </conditionalFormatting>
  <conditionalFormatting sqref="M22:M29">
    <cfRule type="expression" dxfId="2367" priority="34">
      <formula>ABS(M$25-M$28)&gt;=1000</formula>
    </cfRule>
  </conditionalFormatting>
  <conditionalFormatting sqref="N22:N29">
    <cfRule type="expression" dxfId="2366" priority="33">
      <formula>ABS(N$25-N$28)&gt;=1000</formula>
    </cfRule>
  </conditionalFormatting>
  <conditionalFormatting sqref="O22:O29">
    <cfRule type="expression" dxfId="2365" priority="32">
      <formula>ABS(O$25-O$28)&gt;=1000</formula>
    </cfRule>
  </conditionalFormatting>
  <conditionalFormatting sqref="P22:P29">
    <cfRule type="expression" dxfId="2364" priority="31">
      <formula>ABS(P$25-P$28)&gt;=1000</formula>
    </cfRule>
  </conditionalFormatting>
  <conditionalFormatting sqref="Q22:Q29">
    <cfRule type="expression" dxfId="2363" priority="30">
      <formula>ABS(Q$25-Q$28)&gt;=1000</formula>
    </cfRule>
  </conditionalFormatting>
  <conditionalFormatting sqref="R22:R29">
    <cfRule type="expression" dxfId="2362" priority="29">
      <formula>ABS(R$25-R$28)&gt;=1000</formula>
    </cfRule>
  </conditionalFormatting>
  <conditionalFormatting sqref="S22:S29">
    <cfRule type="expression" dxfId="2361" priority="28">
      <formula>ABS(S$25-S$28)&gt;=1000</formula>
    </cfRule>
  </conditionalFormatting>
  <conditionalFormatting sqref="T22:T29">
    <cfRule type="expression" dxfId="2360" priority="27">
      <formula>ABS(T$25-T$28)&gt;=1000</formula>
    </cfRule>
  </conditionalFormatting>
  <conditionalFormatting sqref="U22:U29">
    <cfRule type="expression" dxfId="2359" priority="26">
      <formula>ABS(U$25-U$28)&gt;=1000</formula>
    </cfRule>
  </conditionalFormatting>
  <conditionalFormatting sqref="V22:V29">
    <cfRule type="expression" dxfId="2358" priority="25">
      <formula>ABS(V$25-V$28)&gt;=1000</formula>
    </cfRule>
  </conditionalFormatting>
  <conditionalFormatting sqref="W22:W29">
    <cfRule type="expression" dxfId="2357" priority="24">
      <formula>ABS(W$25-W$28)&gt;=1000</formula>
    </cfRule>
  </conditionalFormatting>
  <conditionalFormatting sqref="X22:X29">
    <cfRule type="expression" dxfId="2356" priority="23">
      <formula>ABS(X$25-X$28)&gt;=1000</formula>
    </cfRule>
  </conditionalFormatting>
  <conditionalFormatting sqref="Y22:Y29">
    <cfRule type="expression" dxfId="2355" priority="22">
      <formula>ABS(Y$25-Y$28)&gt;=1000</formula>
    </cfRule>
  </conditionalFormatting>
  <conditionalFormatting sqref="I23">
    <cfRule type="expression" dxfId="2354" priority="21">
      <formula>ABS(I$25-I$28)&gt;=1000</formula>
    </cfRule>
  </conditionalFormatting>
  <conditionalFormatting sqref="Q14">
    <cfRule type="expression" dxfId="2353" priority="20">
      <formula>ABS(Q$16-Q$19)&gt;=1000</formula>
    </cfRule>
  </conditionalFormatting>
  <conditionalFormatting sqref="W14">
    <cfRule type="expression" dxfId="2352" priority="19">
      <formula>ABS(W$16-W$19)&gt;=1000</formula>
    </cfRule>
  </conditionalFormatting>
  <conditionalFormatting sqref="Y14">
    <cfRule type="expression" dxfId="2351" priority="18">
      <formula>ABS(Y$16-Y$19)&gt;=1000</formula>
    </cfRule>
  </conditionalFormatting>
  <conditionalFormatting sqref="X14">
    <cfRule type="expression" dxfId="2350" priority="17">
      <formula>ABS(X$16-X$19)&gt;=1000</formula>
    </cfRule>
  </conditionalFormatting>
  <conditionalFormatting sqref="T10:Y10">
    <cfRule type="expression" dxfId="2349" priority="16">
      <formula>ABS(T$7-T$10)&gt;=1000</formula>
    </cfRule>
  </conditionalFormatting>
  <conditionalFormatting sqref="W19">
    <cfRule type="expression" dxfId="2348" priority="15">
      <formula>ABS(W$16-W$19)&gt;=1000</formula>
    </cfRule>
  </conditionalFormatting>
  <conditionalFormatting sqref="AC5">
    <cfRule type="expression" dxfId="2347" priority="14">
      <formula>ABS(AC$7-AC$10)&gt;=1000</formula>
    </cfRule>
  </conditionalFormatting>
  <conditionalFormatting sqref="M14">
    <cfRule type="expression" dxfId="2346" priority="13">
      <formula>ABS(M$16-M$19)&gt;=1000</formula>
    </cfRule>
  </conditionalFormatting>
  <conditionalFormatting sqref="M16">
    <cfRule type="expression" dxfId="2345" priority="12">
      <formula>ABS(M$16-M$19)&gt;=1000</formula>
    </cfRule>
  </conditionalFormatting>
  <conditionalFormatting sqref="M19">
    <cfRule type="expression" dxfId="2344" priority="11">
      <formula>ABS(M$16-M$19)&gt;=1000</formula>
    </cfRule>
  </conditionalFormatting>
  <conditionalFormatting sqref="K13:K20">
    <cfRule type="expression" dxfId="2343" priority="10">
      <formula>ABS(K$16-K$19)&gt;=1000</formula>
    </cfRule>
  </conditionalFormatting>
  <conditionalFormatting sqref="E5">
    <cfRule type="expression" dxfId="2342" priority="9">
      <formula>ABS(E$7-E$10)&gt;=1000</formula>
    </cfRule>
  </conditionalFormatting>
  <conditionalFormatting sqref="AB14:AC14">
    <cfRule type="expression" dxfId="2341" priority="8">
      <formula>ABS(AB$16-AB$19)&gt;=1000</formula>
    </cfRule>
  </conditionalFormatting>
  <conditionalFormatting sqref="M5">
    <cfRule type="expression" dxfId="2340" priority="7">
      <formula>ABS(M$7-M$10)&gt;=1000</formula>
    </cfRule>
  </conditionalFormatting>
  <conditionalFormatting sqref="N5">
    <cfRule type="expression" dxfId="2339" priority="6">
      <formula>ABS(N$7-N$10)&gt;=1000</formula>
    </cfRule>
  </conditionalFormatting>
  <conditionalFormatting sqref="O5">
    <cfRule type="expression" dxfId="2338" priority="5">
      <formula>ABS(O$7-O$10)&gt;=1000</formula>
    </cfRule>
  </conditionalFormatting>
  <conditionalFormatting sqref="P5">
    <cfRule type="expression" dxfId="2337" priority="4">
      <formula>ABS(P$7-P$10)&gt;=1000</formula>
    </cfRule>
  </conditionalFormatting>
  <conditionalFormatting sqref="L23">
    <cfRule type="expression" dxfId="2336" priority="3">
      <formula>ABS(L$25-L$28)&gt;=1000</formula>
    </cfRule>
  </conditionalFormatting>
  <conditionalFormatting sqref="F14">
    <cfRule type="expression" dxfId="2335" priority="2">
      <formula>ABS(F$16-F$19)&gt;=1000</formula>
    </cfRule>
  </conditionalFormatting>
  <conditionalFormatting sqref="AE5">
    <cfRule type="expression" dxfId="233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06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6">
    <pageSetUpPr fitToPage="1"/>
  </sheetPr>
  <dimension ref="A1:CU223"/>
  <sheetViews>
    <sheetView view="pageBreakPreview" zoomScale="80" zoomScaleNormal="100" zoomScaleSheetLayoutView="80" workbookViewId="0">
      <selection activeCell="F14" sqref="F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0" t="s" ph="1">
        <v>177</v>
      </c>
      <c r="D6" s="71">
        <v>5339</v>
      </c>
      <c r="E6" s="71">
        <v>8340</v>
      </c>
      <c r="F6" s="71">
        <v>4368</v>
      </c>
      <c r="G6" s="71">
        <v>6697</v>
      </c>
      <c r="H6" s="71">
        <v>5703</v>
      </c>
      <c r="I6" s="71">
        <v>18.04</v>
      </c>
      <c r="J6" s="71">
        <v>6.98</v>
      </c>
      <c r="K6" s="71">
        <v>85.5</v>
      </c>
      <c r="L6" s="71">
        <v>26.22</v>
      </c>
      <c r="M6" s="71">
        <v>2012</v>
      </c>
      <c r="N6" s="71">
        <v>4325</v>
      </c>
      <c r="O6" s="71">
        <v>5357</v>
      </c>
      <c r="P6" s="71">
        <v>905</v>
      </c>
      <c r="Q6" s="71">
        <v>6764</v>
      </c>
      <c r="R6" s="71">
        <v>6534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2064</v>
      </c>
      <c r="Y6" s="71">
        <v>7165</v>
      </c>
      <c r="Z6" s="71">
        <v>6575</v>
      </c>
      <c r="AA6" s="71">
        <v>558</v>
      </c>
      <c r="AB6" s="71">
        <v>1843</v>
      </c>
      <c r="AC6" s="71">
        <v>1478</v>
      </c>
      <c r="AD6" s="71">
        <v>4350</v>
      </c>
      <c r="AE6" s="71">
        <v>4120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167230.44944541002</v>
      </c>
      <c r="E7" s="73" ph="1">
        <f>E6*51.53*LOOKUP(E8,密度!$A$2:$A$50,密度!$B$2:$B$50)</f>
        <v>333579.86723999999</v>
      </c>
      <c r="F7" s="73" ph="1">
        <f>F6*33.183*LOOKUP(F8,密度!$A$2:$A$50,密度!$C$2:$C$50)</f>
        <v>160292.84412960004</v>
      </c>
      <c r="G7" s="73" ph="1">
        <f xml:space="preserve"> (G6+2)*51.53*LOOKUP(G8,密度!$A$2:$A$50,密度!$B$2:$B$50)</f>
        <v>267943.828614</v>
      </c>
      <c r="H7" s="73" ph="1">
        <f>(H6)*51.53*LOOKUP(H8,密度!$A$2:$A$50,密度!$B$2:$B$50)</f>
        <v>229105.40996400002</v>
      </c>
      <c r="I7" s="73" ph="1">
        <f>I6*290.8*1.0267</f>
        <v>5386.1010544000001</v>
      </c>
      <c r="J7" s="73" ph="1">
        <f>J6*290.8*0.7892</f>
        <v>1601.9055328000002</v>
      </c>
      <c r="K7" s="73" ph="1">
        <f>K6*290.8*1.1126</f>
        <v>27663.018840000001</v>
      </c>
      <c r="L7" s="73" ph="1">
        <f>L6*290.8*0.777</f>
        <v>5924.4509520000001</v>
      </c>
      <c r="M7" s="73" ph="1">
        <f>M6*33.183*LOOKUP(M8,密度!$A$2:$A$50,密度!$D$2:$D$50)</f>
        <v>68233.008311999991</v>
      </c>
      <c r="N7" s="73" ph="1">
        <f>N6*33.183*LOOKUP(N8,密度!$A$2:$A$50,密度!$E$2:$E$50)</f>
        <v>111433.36701375</v>
      </c>
      <c r="O7" s="73" ph="1">
        <f>O6*20.428*LOOKUP(O8,密度!$A$2:$A$50,密度!$C$2:$C$50)</f>
        <v>120594.94119200001</v>
      </c>
      <c r="P7" s="73" ph="1">
        <f>P6*51.53*LOOKUP(P8,密度!$A$2:$A$50,密度!$B$2:$B$50)</f>
        <v>36277.094235000004</v>
      </c>
      <c r="Q7" s="73" ph="1">
        <f>Q6*1.5*1.5*3.1416*LOOKUP(W8,密度!$A$2:$A$50,密度!$L$2:$L$50)</f>
        <v>44704.229724000004</v>
      </c>
      <c r="R7" s="73" ph="1">
        <f>R6*1.5*1.5*3.1416*LOOKUP(R8,密度!$A$2:$A$50,密度!$L$2:$L$50)</f>
        <v>42907.009899600002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13714.214975999999</v>
      </c>
      <c r="Y7" s="73" ph="1">
        <f>Y6*1.5*1.5*3.1416*LOOKUP(Y8,密度!$A$2:$A$50,密度!$L$2:$L$50)</f>
        <v>47253.202227000002</v>
      </c>
      <c r="Z7" s="73" ph="1">
        <f>Z6*33.183*LOOKUP(Z8,密度!$A$2:$A$50,密度!$L$2:$L$50)</f>
        <v>203778.46215000001</v>
      </c>
      <c r="AA7" s="73" ph="1">
        <f>AA6*33.183*LOOKUP(AA8,密度!$A$2:$A$50,密度!$D$2:$D$50)</f>
        <v>18958.649124600001</v>
      </c>
      <c r="AB7" s="73" ph="1">
        <f>AB6*20.428*LOOKUP(AB8,密度!$A$2:$A$50,密度!$D$2:$D$50)</f>
        <v>38687.910990400007</v>
      </c>
      <c r="AC7" s="73" ph="1">
        <f>AC6*51.53*LOOKUP(AC8,密度!$A$2:$A$50,密度!$Q$2:$Q$50)</f>
        <v>72050.912480200001</v>
      </c>
      <c r="AD7" s="73" ph="1">
        <f>AD6*20.428*LOOKUP(AD8,密度!$A$2:$A$50,密度!$V$2:$V$50)</f>
        <v>85094.059680000006</v>
      </c>
      <c r="AE7" s="73" ph="1">
        <f>AE6*20.428</f>
        <v>84163.36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29</v>
      </c>
      <c r="G8" s="74">
        <v>29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33</v>
      </c>
      <c r="P8" s="74">
        <v>27</v>
      </c>
      <c r="Q8" s="74">
        <v>29</v>
      </c>
      <c r="R8" s="74">
        <v>33</v>
      </c>
      <c r="S8" s="74">
        <v>23</v>
      </c>
      <c r="T8" s="74">
        <v>24</v>
      </c>
      <c r="U8" s="74">
        <v>28</v>
      </c>
      <c r="V8" s="74">
        <v>28</v>
      </c>
      <c r="W8" s="74">
        <v>27</v>
      </c>
      <c r="X8" s="74">
        <v>22</v>
      </c>
      <c r="Y8" s="74">
        <v>29</v>
      </c>
      <c r="Z8" s="74">
        <v>28</v>
      </c>
      <c r="AA8" s="74">
        <v>28</v>
      </c>
      <c r="AB8" s="74">
        <v>24</v>
      </c>
      <c r="AC8" s="74">
        <v>26</v>
      </c>
      <c r="AD8" s="74">
        <v>27</v>
      </c>
      <c r="AE8" s="74">
        <v>33</v>
      </c>
    </row>
    <row r="9" spans="1:99" ht="26.4" ph="1">
      <c r="B9" s="241" ph="1">
        <v>0.66666666666666663</v>
      </c>
      <c r="C9" s="150" t="s" ph="1">
        <v>180</v>
      </c>
      <c r="D9" s="71">
        <v>5342</v>
      </c>
      <c r="E9" s="71">
        <v>8342</v>
      </c>
      <c r="F9" s="71">
        <v>4371</v>
      </c>
      <c r="G9" s="71">
        <v>6699</v>
      </c>
      <c r="H9" s="71">
        <v>5451</v>
      </c>
      <c r="I9" s="71">
        <v>18.04</v>
      </c>
      <c r="J9" s="71">
        <v>7.04</v>
      </c>
      <c r="K9" s="71">
        <v>85.43</v>
      </c>
      <c r="L9" s="71">
        <v>12.97</v>
      </c>
      <c r="M9" s="71">
        <v>2012</v>
      </c>
      <c r="N9" s="71">
        <v>4261</v>
      </c>
      <c r="O9" s="71">
        <v>5360</v>
      </c>
      <c r="P9" s="71">
        <v>516</v>
      </c>
      <c r="Q9" s="71">
        <v>6770</v>
      </c>
      <c r="R9" s="71">
        <v>6541</v>
      </c>
      <c r="S9" s="71">
        <v>5041</v>
      </c>
      <c r="T9" s="71">
        <v>2381</v>
      </c>
      <c r="U9" s="71">
        <v>0</v>
      </c>
      <c r="V9" s="71">
        <v>0</v>
      </c>
      <c r="W9" s="71">
        <v>0</v>
      </c>
      <c r="X9" s="71">
        <v>0</v>
      </c>
      <c r="Y9" s="71">
        <v>3875</v>
      </c>
      <c r="Z9" s="71">
        <v>4260</v>
      </c>
      <c r="AA9" s="71">
        <v>558</v>
      </c>
      <c r="AB9" s="71">
        <v>1844</v>
      </c>
      <c r="AC9" s="71">
        <v>1802</v>
      </c>
      <c r="AD9" s="71">
        <v>4350</v>
      </c>
      <c r="AE9" s="71">
        <v>4065</v>
      </c>
    </row>
    <row r="10" spans="1:99" s="72" customFormat="1" ht="22.2" ph="1">
      <c r="B10" s="241" ph="1"/>
      <c r="C10" s="150" t="s" ph="1">
        <v>178</v>
      </c>
      <c r="D10" s="73" ph="1">
        <f>D9*33.183*LOOKUP(D11,密度!$A$2:$A$50,密度!$Q$2:$Q$50)</f>
        <v>167218.05858138</v>
      </c>
      <c r="E10" s="73" ph="1">
        <f>E9*51.53*LOOKUP(E11,密度!$A$2:$A$50,密度!$B$2:$B$50)</f>
        <v>332499.23161000002</v>
      </c>
      <c r="F10" s="73" ph="1">
        <f>F9*33.183*LOOKUP(F11,密度!$A$2:$A$50,密度!$C$2:$C$50)</f>
        <v>160504.46539380003</v>
      </c>
      <c r="G10" s="73" ph="1">
        <f xml:space="preserve"> (G9+2)*51.53*LOOKUP(G11,密度!$A$2:$A$50,密度!$B$2:$B$50)</f>
        <v>267402.279232</v>
      </c>
      <c r="H10" s="73" ph="1">
        <f>(H9)*51.53*LOOKUP(H11,密度!$A$2:$A$50,密度!$B$2:$B$50)</f>
        <v>217774.04025900003</v>
      </c>
      <c r="I10" s="73" ph="1">
        <f>I9*290.8*1.0267</f>
        <v>5386.1010544000001</v>
      </c>
      <c r="J10" s="73" ph="1">
        <f>J9*290.8*0.7892</f>
        <v>1615.6754944000002</v>
      </c>
      <c r="K10" s="73" ph="1">
        <f>K9*290.8*1.1126</f>
        <v>27640.370754400003</v>
      </c>
      <c r="L10" s="73" ph="1">
        <f>L9*290.8*0.777</f>
        <v>2930.5922520000004</v>
      </c>
      <c r="M10" s="73" ph="1">
        <f>M9*33.183*LOOKUP(M11,密度!$A$2:$A$50,密度!$D$2:$D$50)</f>
        <v>68172.920535599987</v>
      </c>
      <c r="N10" s="73" ph="1">
        <f>N9*33.183*LOOKUP(N11,密度!$A$2:$A$50,密度!$E$2:$E$50)</f>
        <v>109784.41083135</v>
      </c>
      <c r="O10" s="73" ph="1">
        <f>O9*20.428*LOOKUP(O11,密度!$A$2:$A$50,密度!$C$2:$C$50)</f>
        <v>120312.09510400001</v>
      </c>
      <c r="P10" s="73" ph="1">
        <f>P9*51.53*LOOKUP(P11,密度!$A$2:$A$50,密度!$B$2:$B$50)</f>
        <v>20566.962779999998</v>
      </c>
      <c r="Q10" s="73" ph="1">
        <f>Q9*1.5*1.5*3.1416*LOOKUP(W11,密度!$A$2:$A$50,密度!$L$2:$L$50)</f>
        <v>44313.194772000003</v>
      </c>
      <c r="R10" s="73" ph="1">
        <f>R9*1.5*1.5*3.1416*LOOKUP(R11,密度!$A$2:$A$50,密度!$L$2:$L$50)</f>
        <v>42906.741292799998</v>
      </c>
      <c r="S10" s="73" ph="1">
        <f>S9*1.5*1.5*3.1416*LOOKUP(S11,密度!$A$2:$A$50,密度!$L$2:$L$50)</f>
        <v>33423.578218799994</v>
      </c>
      <c r="T10" s="73" ph="1">
        <f>T9*1.5*1.5*3.1416*LOOKUP(T11,密度!$A$2:$A$50,密度!$L$2:$L$50)</f>
        <v>15786.855730799998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25528.248900000002</v>
      </c>
      <c r="Z10" s="73" ph="1">
        <f>Z9*33.183*LOOKUP(Z11,密度!$A$2:$A$50,密度!$L$2:$L$50)</f>
        <v>132029.84771999999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38603.4289536</v>
      </c>
      <c r="AC10" s="73" ph="1">
        <f>AC9*51.53*LOOKUP(AC11,密度!$A$2:$A$50,密度!$Q$2:$Q$50)</f>
        <v>87594.850409799998</v>
      </c>
      <c r="AD10" s="73" ph="1">
        <f>AD9*20.428*LOOKUP(AD11,密度!$A$2:$A$50,密度!$V$2:$V$50)</f>
        <v>85094.059680000006</v>
      </c>
      <c r="AE10" s="73" ph="1">
        <f>AE9*20.428</f>
        <v>83039.820000000007</v>
      </c>
    </row>
    <row r="11" spans="1:99" ph="1">
      <c r="A11" s="64" t="s" ph="1">
        <v>162</v>
      </c>
      <c r="B11" s="241" ph="1"/>
      <c r="C11" s="150" t="s" ph="1">
        <v>179</v>
      </c>
      <c r="D11" s="74">
        <v>30</v>
      </c>
      <c r="E11" s="74">
        <v>32</v>
      </c>
      <c r="F11" s="74">
        <v>28</v>
      </c>
      <c r="G11" s="74">
        <v>31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36</v>
      </c>
      <c r="P11" s="74">
        <v>32</v>
      </c>
      <c r="Q11" s="74">
        <v>33</v>
      </c>
      <c r="R11" s="74">
        <v>34</v>
      </c>
      <c r="S11" s="74">
        <v>24</v>
      </c>
      <c r="T11" s="74">
        <v>24</v>
      </c>
      <c r="U11" s="74">
        <v>31</v>
      </c>
      <c r="V11" s="74">
        <v>28</v>
      </c>
      <c r="W11" s="74">
        <v>36</v>
      </c>
      <c r="X11" s="74">
        <v>26</v>
      </c>
      <c r="Y11" s="74">
        <v>30</v>
      </c>
      <c r="Z11" s="74">
        <v>28</v>
      </c>
      <c r="AA11" s="74">
        <v>32</v>
      </c>
      <c r="AB11" s="74">
        <v>27</v>
      </c>
      <c r="AC11" s="74">
        <v>30</v>
      </c>
      <c r="AD11" s="74">
        <v>32</v>
      </c>
      <c r="AE11" s="74">
        <v>34</v>
      </c>
    </row>
    <row r="12" spans="1:99" ht="9.9" customHeight="1" ph="1"/>
    <row r="13" spans="1:99" s="72" customFormat="1" ht="29.25" customHeight="1" ph="1">
      <c r="B13" s="218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0" t="s" ph="1">
        <v>177</v>
      </c>
      <c r="D15" s="78">
        <v>597</v>
      </c>
      <c r="E15" s="78">
        <v>3034</v>
      </c>
      <c r="F15" s="78">
        <v>3594</v>
      </c>
      <c r="G15" s="78">
        <v>3043</v>
      </c>
      <c r="H15" s="78">
        <v>1968</v>
      </c>
      <c r="I15" s="78">
        <v>2671</v>
      </c>
      <c r="J15" s="78">
        <v>397</v>
      </c>
      <c r="K15" s="78">
        <v>2623</v>
      </c>
      <c r="L15" s="78">
        <v>5854</v>
      </c>
      <c r="M15" s="78">
        <v>1041</v>
      </c>
      <c r="N15" s="78">
        <v>1641</v>
      </c>
      <c r="O15" s="78">
        <v>6484</v>
      </c>
      <c r="P15" s="78">
        <v>6954</v>
      </c>
      <c r="Q15" s="78">
        <v>3344</v>
      </c>
      <c r="R15" s="78">
        <v>4424</v>
      </c>
      <c r="S15" s="78">
        <v>6231</v>
      </c>
      <c r="T15" s="78">
        <v>1155</v>
      </c>
      <c r="U15" s="78">
        <v>6643</v>
      </c>
      <c r="V15" s="78">
        <v>850</v>
      </c>
      <c r="W15" s="71">
        <v>5210</v>
      </c>
      <c r="X15" s="78">
        <v>1108</v>
      </c>
      <c r="Y15" s="106">
        <v>-2366</v>
      </c>
      <c r="Z15" s="78">
        <v>0</v>
      </c>
      <c r="AA15" s="78">
        <v>6</v>
      </c>
      <c r="AB15" s="78" ph="1">
        <v>1098</v>
      </c>
      <c r="AC15" s="78" ph="1">
        <v>2155</v>
      </c>
      <c r="AD15" s="78">
        <v>5.8</v>
      </c>
      <c r="AE15" s="78">
        <v>70.5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0" t="s" ph="1">
        <v>178</v>
      </c>
      <c r="D16" s="73" ph="1">
        <f>D15*7.0686*LOOKUP(D17,密度!$A$2:$A$50,密度!$L$2:$L$50)</f>
        <v>3932.9973144000005</v>
      </c>
      <c r="E16" s="73" ph="1">
        <f>E15*7.0686*LOOKUP(E17,密度!$A$2:$A$50,密度!$L$2:$L$50)</f>
        <v>19987.7953968</v>
      </c>
      <c r="F16" s="73" ph="1">
        <f>F15*9.0746*LOOKUP(F17,密度!$A$2:$A$50,密度!$L$2:$L$50)</f>
        <v>30363.738644400004</v>
      </c>
      <c r="G16" s="73" ph="1">
        <f>G15*9.0746*LOOKUP(G17,密度!$A$2:$A$50,密度!$B$2:$B$50)</f>
        <v>21456.084060600002</v>
      </c>
      <c r="H16" s="73" ph="1">
        <f>H15*9.0746*LOOKUP(H17,密度!$A$2:$A$50,密度!$L$2:$L$50)</f>
        <v>16555.119465600001</v>
      </c>
      <c r="I16" s="73" ph="1">
        <f>I15*9.0746*LOOKUP(I17,密度!$A$2:$A$50,密度!$U$2:$U$50)</f>
        <v>24795.736501799998</v>
      </c>
      <c r="J16" s="73" ph="1">
        <f>J15*9.0746*LOOKUP(J17,密度!$A$2:$A$50,密度!$L$2:$L$50)</f>
        <v>3364.8435308000003</v>
      </c>
      <c r="K16" s="73" ph="1">
        <f>K15*9.0746*LOOKUP(K17,密度!$A$2:$A$50,密度!$C$2:$C$50)</f>
        <v>26323.379167220002</v>
      </c>
      <c r="L16" s="73" ph="1">
        <f>L15*9.0746*LOOKUP(L17,密度!$A$2:$A$50,密度!$E$2:$E$50)</f>
        <v>41308.218051839998</v>
      </c>
      <c r="M16" s="73" ph="1">
        <f>M15*9.0746*LOOKUP(M17,密度!$A$2:$A$50,密度!$M$2:$M$50)</f>
        <v>8228.0396406</v>
      </c>
      <c r="N16" s="73" ph="1">
        <f>N15*9.0746*LOOKUP(N17,密度!$A$2:$A$50,密度!$M$2:$M$50)</f>
        <v>13031.48041686</v>
      </c>
      <c r="O16" s="73" ph="1">
        <f>O15*9.0746*LOOKUP(O17,密度!$A$2:$A$50,密度!$G$2:$G$50)</f>
        <v>56174.267700080003</v>
      </c>
      <c r="P16" s="73" ph="1">
        <f ca="1">P15*9.0746*LOOKUP(P17,密度!$A$2:$A$51,密度!$Q$2:$Q$50)</f>
        <v>59528.621174772001</v>
      </c>
      <c r="Q16" s="73" ph="1">
        <f>Q15*9.0746*LOOKUP(Q17,密度!$A$2:$A$50,密度!$Q$2:$Q$50)</f>
        <v>28625.785045791999</v>
      </c>
      <c r="R16" s="73" ph="1">
        <f>MAX(R15*9.0746*LOOKUP(R17,密度!$A$2:$A$50,密度!$B$2:$B$50),0)</f>
        <v>31089.08594176</v>
      </c>
      <c r="S16" s="73" ph="1">
        <f>S15*9.0746*LOOKUP(S17,密度!$A$2:$A$50,密度!$Q$2:$Q$50)</f>
        <v>53339.493606558004</v>
      </c>
      <c r="T16" s="73" ph="1">
        <f>T15*9.0746*LOOKUP(T17,密度!$A$2:$A$50,密度!$O$2:$O$50)</f>
        <v>9705.5569380000015</v>
      </c>
      <c r="U16" s="73" ph="1">
        <f>U15*9.0746*LOOKUP(U17,密度!$A$2:$A$50,密度!$H$2:$H$50)</f>
        <v>54977.701833600004</v>
      </c>
      <c r="V16" s="73" ph="1">
        <f>MAX(5600*LOOKUP(V17,密度!$A$2:$A$50,密度!$Q$2:$Q$50)+V15*9.0476*LOOKUP(V17,密度!$A$2:$A$50,密度!$Q$2:$Q$50),0)</f>
        <v>12527.321786799999</v>
      </c>
      <c r="W16" s="73" ph="1">
        <f>MAX(5600*LOOKUP(W17,密度!$A$2:$A$50,密度!$Q$2:$Q$50)+W15*9.0476*LOOKUP(W17,密度!$A$2:$A$50,密度!$Q$2:$Q$50),0)</f>
        <v>49709.780269679992</v>
      </c>
      <c r="X16" s="73" ph="1">
        <f>MAX(5600*LOOKUP(X17,密度!$A$2:$A$50,密度!$I$2:$I$50)+X15*9.0476*LOOKUP(X17,密度!$A$2:$A$50,密度!$I$2:$I$50),0)</f>
        <v>16196.606313280001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42.398346119999999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18265.082642000001</v>
      </c>
      <c r="AD16" s="73" ph="1">
        <f>AD15*268.68*LOOKUP(AD17,密度!$A$2:$A$50,密度!B2:B50)+IF(AD15&lt;=0,0,1566*LOOKUP(AD17,密度!$A$2:$A$50,密度!B2:B50))</f>
        <v>2435.7385823999998</v>
      </c>
      <c r="AE16" s="73" ph="1">
        <f>AE15*268.68*LOOKUP(AE17,密度!$A$2:$A$50,密度!B2:B50)+IF(AE15&lt;=0,0,1566*LOOKUP(AE17,密度!$A$2:$A$50,密度!B2:B50))</f>
        <v>15987.990023999999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31</v>
      </c>
      <c r="G17" s="74">
        <v>28</v>
      </c>
      <c r="H17" s="74">
        <v>35</v>
      </c>
      <c r="I17" s="74">
        <v>27</v>
      </c>
      <c r="J17" s="74">
        <v>28</v>
      </c>
      <c r="K17" s="74">
        <v>29</v>
      </c>
      <c r="L17" s="74">
        <v>30</v>
      </c>
      <c r="M17" s="74">
        <v>29</v>
      </c>
      <c r="N17" s="74">
        <v>25</v>
      </c>
      <c r="O17" s="74">
        <v>30</v>
      </c>
      <c r="P17" s="74">
        <v>30</v>
      </c>
      <c r="Q17" s="74">
        <v>30</v>
      </c>
      <c r="R17" s="74">
        <v>31</v>
      </c>
      <c r="S17" s="74">
        <v>30</v>
      </c>
      <c r="T17" s="74">
        <v>27</v>
      </c>
      <c r="U17" s="74">
        <v>28</v>
      </c>
      <c r="V17" s="74">
        <v>31</v>
      </c>
      <c r="W17" s="74">
        <v>31</v>
      </c>
      <c r="X17" s="74">
        <v>30</v>
      </c>
      <c r="Y17" s="108">
        <v>30</v>
      </c>
      <c r="Z17" s="74">
        <v>28</v>
      </c>
      <c r="AA17" s="74">
        <v>26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0</v>
      </c>
      <c r="E18" s="71">
        <v>2459</v>
      </c>
      <c r="F18" s="71">
        <v>3622</v>
      </c>
      <c r="G18" s="71">
        <v>3087</v>
      </c>
      <c r="H18" s="71">
        <v>1968</v>
      </c>
      <c r="I18" s="71">
        <v>2673</v>
      </c>
      <c r="J18" s="71">
        <v>397</v>
      </c>
      <c r="K18" s="71">
        <v>3504</v>
      </c>
      <c r="L18" s="71">
        <v>5865</v>
      </c>
      <c r="M18" s="71">
        <v>1042</v>
      </c>
      <c r="N18" s="71">
        <v>2859</v>
      </c>
      <c r="O18" s="71">
        <v>6490</v>
      </c>
      <c r="P18" s="71">
        <v>6964</v>
      </c>
      <c r="Q18" s="71">
        <v>3344</v>
      </c>
      <c r="R18" s="71">
        <v>4429</v>
      </c>
      <c r="S18" s="71">
        <v>6237</v>
      </c>
      <c r="T18" s="71">
        <v>1155</v>
      </c>
      <c r="U18" s="71">
        <v>6648</v>
      </c>
      <c r="V18" s="71">
        <v>850</v>
      </c>
      <c r="W18" s="71">
        <v>5211</v>
      </c>
      <c r="X18" s="71">
        <v>1107</v>
      </c>
      <c r="Y18" s="109">
        <v>-9909</v>
      </c>
      <c r="Z18" s="71">
        <v>0</v>
      </c>
      <c r="AA18" s="71">
        <v>6</v>
      </c>
      <c r="AB18" s="71">
        <v>1098</v>
      </c>
      <c r="AC18" s="71">
        <v>2158</v>
      </c>
      <c r="AD18" s="71">
        <v>28.79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16164.969282</v>
      </c>
      <c r="F19" s="73" ph="1">
        <f>F18*9.0746*LOOKUP(F20,密度!$A$2:$A$50,密度!$L$2:$L$50)</f>
        <v>30567.427116000006</v>
      </c>
      <c r="G19" s="73" ph="1">
        <f>G18*9.0746*LOOKUP(G20,密度!$A$2:$A$50,密度!$B$2:$B$50)</f>
        <v>21743.91585324</v>
      </c>
      <c r="H19" s="73" ph="1">
        <f>H18*9.0746*LOOKUP(H20,密度!$A$2:$A$50,密度!$L$2:$L$50)</f>
        <v>16733.7075936</v>
      </c>
      <c r="I19" s="73" ph="1">
        <f>I18*9.0746*LOOKUP(I20,密度!$A$2:$A$50,密度!$U$2:$U$50)</f>
        <v>24741.533916</v>
      </c>
      <c r="J19" s="73" ph="1">
        <f>J18*9.0746*LOOKUP(J20,密度!$A$2:$A$50,密度!$L$2:$L$50)</f>
        <v>3357.6382984000002</v>
      </c>
      <c r="K19" s="73" ph="1">
        <f>K18*9.0746*LOOKUP(K20,密度!$A$2:$A$50,密度!$C$2:$C$50)</f>
        <v>35139.30497184</v>
      </c>
      <c r="L19" s="73" ph="1">
        <f>L18*9.0746*LOOKUP(L20,密度!$A$2:$A$50,密度!$E$2:$E$50)</f>
        <v>41385.838550399996</v>
      </c>
      <c r="M19" s="73" ph="1">
        <f>M18*9.0746*LOOKUP(M20,密度!$A$2:$A$50,密度!$M$2:$M$50)</f>
        <v>8186.0173459040006</v>
      </c>
      <c r="N19" s="73" ph="1">
        <f>N18*9.0746*LOOKUP(N20,密度!$A$2:$A$50,密度!$M$2:$M$50)</f>
        <v>22623.413380800001</v>
      </c>
      <c r="O19" s="73" ph="1">
        <f>O18*9.0746*LOOKUP(O20,密度!$A$2:$A$50,密度!$G$2:$G$50)</f>
        <v>56167.943611340001</v>
      </c>
      <c r="P19" s="73" ph="1">
        <f ca="1">P18*9.0746*LOOKUP(P20,密度!$A$2:$A$51,密度!$Q$2:$Q$50)</f>
        <v>59523.85501336</v>
      </c>
      <c r="Q19" s="73" ph="1">
        <f>Q18*9.0746*LOOKUP(Q20,密度!$A$2:$A$50,密度!$Q$2:$Q$50)</f>
        <v>28582.391034559998</v>
      </c>
      <c r="R19" s="73" ph="1">
        <f>MAX(R18*9.0746*LOOKUP(R20,密度!$A$2:$A$50,密度!$B$2:$B$50),0)</f>
        <v>30983.552881060004</v>
      </c>
      <c r="S19" s="73" ph="1">
        <f>S18*9.0746*LOOKUP(S20,密度!$A$2:$A$50,密度!$Q$2:$Q$50)</f>
        <v>53309.920120379997</v>
      </c>
      <c r="T19" s="73" ph="1">
        <f>T18*9.0746*LOOKUP(T20,密度!$A$2:$A$50,密度!$O$2:$O$50)</f>
        <v>9638.4774947999995</v>
      </c>
      <c r="U19" s="73" ph="1">
        <f>U18*9.0746*LOOKUP(U20,密度!$A$2:$A$50,密度!$H$2:$H$50)</f>
        <v>54841.114584240007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49613.341739723997</v>
      </c>
      <c r="X19" s="73" ph="1">
        <f>MAX(5600*LOOKUP(X20,密度!$A$2:$A$50,密度!$I$2:$I$50)+X18*9.0476*LOOKUP(X20,密度!$A$2:$A$50,密度!$I$2:$I$50),0)</f>
        <v>16152.87304608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42.071660520000002</v>
      </c>
      <c r="AB19" s="73" ph="1">
        <f>AB18*9.0746*LOOKUP(AB20,密度!$A$2:$A$50,密度!$L$2:$L$50)</f>
        <v>9196.6896684000003</v>
      </c>
      <c r="AC19" s="73" ph="1">
        <f>AC18*9.0746*LOOKUP(AC20,密度!$A$2:$A$50,密度!$L$2:$L$50)</f>
        <v>18251.343697600001</v>
      </c>
      <c r="AD19" s="73" ph="1">
        <f>AD18*268.68*LOOKUP(AD20,密度!$A$2:$A$50,密度!B5:B53)+IF(AD18&lt;=0,0,1566*LOOKUP(AD20,密度!$A$2:$A$50,密度!B5:B53))</f>
        <v>7227.1079244000002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32</v>
      </c>
      <c r="G20" s="81">
        <v>29</v>
      </c>
      <c r="H20" s="81">
        <v>25</v>
      </c>
      <c r="I20" s="81">
        <v>30</v>
      </c>
      <c r="J20" s="81">
        <v>30</v>
      </c>
      <c r="K20" s="81">
        <v>30</v>
      </c>
      <c r="L20" s="81">
        <v>30</v>
      </c>
      <c r="M20" s="81">
        <v>34</v>
      </c>
      <c r="N20" s="81">
        <v>28</v>
      </c>
      <c r="O20" s="81">
        <v>31</v>
      </c>
      <c r="P20" s="81">
        <v>32</v>
      </c>
      <c r="Q20" s="81">
        <v>32</v>
      </c>
      <c r="R20" s="81">
        <v>35</v>
      </c>
      <c r="S20" s="81">
        <v>32</v>
      </c>
      <c r="T20" s="81">
        <v>35</v>
      </c>
      <c r="U20" s="81">
        <v>31</v>
      </c>
      <c r="V20" s="81">
        <v>33</v>
      </c>
      <c r="W20" s="81">
        <v>34</v>
      </c>
      <c r="X20" s="81">
        <v>32</v>
      </c>
      <c r="Y20" s="110">
        <v>32</v>
      </c>
      <c r="Z20" s="81">
        <v>40</v>
      </c>
      <c r="AA20" s="81">
        <v>33</v>
      </c>
      <c r="AB20" s="81">
        <v>39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0" t="s" ph="1">
        <v>177</v>
      </c>
      <c r="D24" s="71">
        <v>48.84</v>
      </c>
      <c r="E24" s="71">
        <v>46.2</v>
      </c>
      <c r="F24" s="71">
        <v>1160</v>
      </c>
      <c r="G24" s="71">
        <v>2936</v>
      </c>
      <c r="H24" s="71">
        <v>2480</v>
      </c>
      <c r="I24" s="71">
        <v>2066</v>
      </c>
      <c r="J24" s="71">
        <v>1955</v>
      </c>
      <c r="K24" s="71">
        <v>5139</v>
      </c>
      <c r="L24" s="71">
        <v>5613</v>
      </c>
      <c r="M24" s="71">
        <v>527</v>
      </c>
      <c r="N24" s="71">
        <v>5532</v>
      </c>
      <c r="O24" s="71">
        <v>5596</v>
      </c>
      <c r="P24" s="71">
        <v>356</v>
      </c>
      <c r="Q24" s="90">
        <v>1704</v>
      </c>
      <c r="R24" s="71">
        <v>811</v>
      </c>
      <c r="S24" s="71">
        <v>3902</v>
      </c>
      <c r="T24" s="71">
        <v>849</v>
      </c>
      <c r="U24" s="71">
        <v>6137</v>
      </c>
      <c r="V24" s="71">
        <v>279</v>
      </c>
      <c r="W24" s="71">
        <v>9751</v>
      </c>
      <c r="X24" s="71">
        <v>1526</v>
      </c>
      <c r="Y24" s="71">
        <v>2778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13906.030680288</v>
      </c>
      <c r="E25" s="91" ph="1">
        <f>E24*268.68*LOOKUP(E26,密度!$A$2:$A$50,密度!$C$2:$C$50)+IF(E24&lt;=0,0,1566*LOOKUP(E26,密度!$A$2:$A$50,密度!$C$2:$C$50))</f>
        <v>15501.330842400001</v>
      </c>
      <c r="F25" s="91" ph="1">
        <f>F24*11.702*LOOKUP(F26,密度!$A$2:$A$50,密度!$Q$2:$Q$50)</f>
        <v>12805.063285599999</v>
      </c>
      <c r="G25" s="91" ph="1">
        <f>G24*18.322*LOOKUP(G26,密度!$A$2:$A$50,密度!$B$2:$B$50)</f>
        <v>41706.016817600001</v>
      </c>
      <c r="H25" s="91" ph="1">
        <f>H24*18.322*LOOKUP(H26,密度!$A$2:$A$50,密度!$B$2:$B$50)</f>
        <v>35228.515567999995</v>
      </c>
      <c r="I25" s="91" ph="1">
        <f>I24*18.322*LOOKUP(I26,密度!$A$2:$A$50,密度!$Q$2:$Q$50)</f>
        <v>35679.718270159996</v>
      </c>
      <c r="J25" s="91" ph="1">
        <f>J24*18.322*LOOKUP(J26,密度!$A$2:$A$50,密度!$Q$2:$Q$50)</f>
        <v>33738.396468999992</v>
      </c>
      <c r="K25" s="91" ph="1">
        <f>K24*18.322*LOOKUP(K26,密度!$A$2:$A$50,密度!$Q$2:$Q$50)</f>
        <v>88750.276955640002</v>
      </c>
      <c r="L25" s="91" ph="1">
        <f>L24*18.322*LOOKUP(L26,密度!$A$2:$A$50,密度!$Q$2:$Q$50)</f>
        <v>96866.301473399988</v>
      </c>
      <c r="M25" s="91" ph="1">
        <f>M24*18.322*LOOKUP(M26,密度!$A$2:$A$50,密度!$Q$2:$Q$50)</f>
        <v>9101.2640505199997</v>
      </c>
      <c r="N25" s="91" ph="1">
        <f>N24*18.322*LOOKUP(N26,密度!$A$2:$A$50,密度!$Q$2:$Q$50)</f>
        <v>95613.385582319985</v>
      </c>
      <c r="O25" s="91" ph="1">
        <f>O24*18.322*LOOKUP(O26,密度!$A$2:$A$50,密度!$C$2:$C$50)</f>
        <v>113203.27583920001</v>
      </c>
      <c r="P25" s="91" ph="1">
        <f>P24*11.702*LOOKUP(P26,密度!$A$2:$A$50,密度!$B$2:$B$50)</f>
        <v>3226.0822528000003</v>
      </c>
      <c r="Q25" s="92" ph="1">
        <f>Q24*18.322*LOOKUP(Q26,密度!$A$2:$A$50,密度!$B$2:$B$50)</f>
        <v>24205.3994064</v>
      </c>
      <c r="R25" s="91" ph="1">
        <f>R24*35.891*LOOKUP(R26,密度!$A$2:$A$50,密度!$C$2:$C$50)</f>
        <v>32105.683902999997</v>
      </c>
      <c r="S25" s="91" ph="1">
        <f>S24*35.891*LOOKUP(S26,密度!$A$2:$A$50,密度!$B$2:$B$50)</f>
        <v>108326.10852699999</v>
      </c>
      <c r="T25" s="91" ph="1">
        <f>T24*35.891*LOOKUP(T26,密度!$A$2:$A$50,密度!$Q$2:$Q$50)</f>
        <v>28744.641418470001</v>
      </c>
      <c r="U25" s="91" ph="1">
        <f>U24*35.891</f>
        <v>220263.06699999998</v>
      </c>
      <c r="V25" s="91" ph="1">
        <f>V24*47.051*LOOKUP(V26,密度!$A$2:$A$50,密度!$B$2:$B$50)</f>
        <v>10165.726137600001</v>
      </c>
      <c r="W25" s="91" ph="1">
        <f>W24*47.051*LOOKUP(W26,密度!$A$2:$A$50,密度!$B$2:$B$50)</f>
        <v>355290.30669440003</v>
      </c>
      <c r="X25" s="91" ph="1">
        <f>X24*47.051*LOOKUP(X26,密度!$A$2:$A$50,密度!$I$2:$I$50)</f>
        <v>74269.740014399998</v>
      </c>
      <c r="Y25" s="91" ph="1">
        <f>Y24*47.051*LOOKUP(Y26,密度!$A$2:$A$50,密度!$L$2:$L$50)</f>
        <v>121688.848218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30</v>
      </c>
      <c r="I26" s="74">
        <v>31</v>
      </c>
      <c r="J26" s="74">
        <v>32</v>
      </c>
      <c r="K26" s="74">
        <v>31</v>
      </c>
      <c r="L26" s="74">
        <v>32</v>
      </c>
      <c r="M26" s="74">
        <v>31</v>
      </c>
      <c r="N26" s="74">
        <v>30</v>
      </c>
      <c r="O26" s="74">
        <v>31</v>
      </c>
      <c r="P26" s="74">
        <v>31</v>
      </c>
      <c r="Q26" s="93">
        <v>30</v>
      </c>
      <c r="R26" s="74">
        <v>32</v>
      </c>
      <c r="S26" s="74">
        <v>32</v>
      </c>
      <c r="T26" s="74">
        <v>30</v>
      </c>
      <c r="U26" s="74">
        <v>32</v>
      </c>
      <c r="V26" s="74">
        <v>31</v>
      </c>
      <c r="W26" s="74">
        <v>31</v>
      </c>
      <c r="X26" s="74">
        <v>32</v>
      </c>
      <c r="Y26" s="74">
        <v>31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0" t="s" ph="1">
        <v>180</v>
      </c>
      <c r="D27" s="71">
        <v>23.02</v>
      </c>
      <c r="E27" s="71">
        <v>46.19</v>
      </c>
      <c r="F27" s="71">
        <v>64</v>
      </c>
      <c r="G27" s="71">
        <v>2378</v>
      </c>
      <c r="H27" s="71">
        <v>1865</v>
      </c>
      <c r="I27" s="71">
        <v>2064</v>
      </c>
      <c r="J27" s="71">
        <v>1953</v>
      </c>
      <c r="K27" s="71">
        <v>4530</v>
      </c>
      <c r="L27" s="71">
        <v>5608</v>
      </c>
      <c r="M27" s="71">
        <v>2268</v>
      </c>
      <c r="N27" s="71">
        <v>5531</v>
      </c>
      <c r="O27" s="71">
        <v>5594</v>
      </c>
      <c r="P27" s="71">
        <v>352</v>
      </c>
      <c r="Q27" s="90">
        <v>566</v>
      </c>
      <c r="R27" s="71">
        <v>215</v>
      </c>
      <c r="S27" s="71">
        <v>4757</v>
      </c>
      <c r="T27" s="71">
        <v>847</v>
      </c>
      <c r="U27" s="71">
        <v>6097</v>
      </c>
      <c r="V27" s="71">
        <v>538</v>
      </c>
      <c r="W27" s="71">
        <v>9752</v>
      </c>
      <c r="X27" s="71">
        <v>2125</v>
      </c>
      <c r="Y27" s="71">
        <v>3564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0" t="s" ph="1">
        <v>178</v>
      </c>
      <c r="D28" s="91" ph="1">
        <f>D27*268.68*LOOKUP(D29,密度!$A$2:$A$50,密度!$Q$2:$Q$50)+IF(D27&lt;=0,0,1566*LOOKUP(D29,密度!$A$2:$A$50,密度!$Q$2:$Q$50))</f>
        <v>7338.1946156639997</v>
      </c>
      <c r="E28" s="91" ph="1">
        <f>E27*268.68*LOOKUP(E29,密度!$A$2:$A$50,密度!$C$2:$C$50)+IF(E27&lt;=0,0,1566*LOOKUP(E29,密度!$A$2:$A$50,密度!$C$2:$C$50))</f>
        <v>15498.35144988</v>
      </c>
      <c r="F28" s="91" ph="1">
        <f>F27*11.702*LOOKUP(F29,密度!$A$2:$A$50,密度!$Q$2:$Q$50)</f>
        <v>706.48625024</v>
      </c>
      <c r="G28" s="91" ph="1">
        <f>G27*18.322*LOOKUP(G29,密度!$A$2:$A$50,密度!$B$2:$B$50)</f>
        <v>33779.600814799996</v>
      </c>
      <c r="H28" s="91" ph="1">
        <f>H27*18.322*LOOKUP(H29,密度!$A$2:$A$50,密度!$B$2:$B$50)</f>
        <v>26461.658431999997</v>
      </c>
      <c r="I28" s="91" ph="1">
        <f>I27*18.322*LOOKUP(I29,密度!$A$2:$A$50,密度!$Q$2:$Q$50)</f>
        <v>35645.178368640001</v>
      </c>
      <c r="J28" s="91" ph="1">
        <f>J27*18.322*LOOKUP(J29,密度!$A$2:$A$50,密度!$Q$2:$Q$50)</f>
        <v>33703.881485400001</v>
      </c>
      <c r="K28" s="91" ph="1">
        <f>K27*18.322*LOOKUP(K29,密度!$A$2:$A$50,密度!$Q$2:$Q$50)</f>
        <v>78176.437854000003</v>
      </c>
      <c r="L28" s="91" ph="1">
        <f>L27*18.322*LOOKUP(L29,密度!$A$2:$A$50,密度!$Q$2:$Q$50)</f>
        <v>96926.946194079996</v>
      </c>
      <c r="M28" s="91" ph="1">
        <f>M27*18.322*LOOKUP(M29,密度!$A$2:$A$50,密度!$Q$2:$Q$50)</f>
        <v>39168.248323679996</v>
      </c>
      <c r="N28" s="91" ph="1">
        <f>N27*18.322*LOOKUP(N29,密度!$A$2:$A$50,密度!$Q$2:$Q$50)</f>
        <v>95596.101890059988</v>
      </c>
      <c r="O28" s="91" ph="1">
        <f>O27*18.322*LOOKUP(O29,密度!$A$2:$A$50,密度!$C$2:$C$50)</f>
        <v>113050.07460399999</v>
      </c>
      <c r="P28" s="91" ph="1">
        <f>P27*11.702*LOOKUP(P29,密度!$A$2:$A$50,密度!$B$2:$B$50)</f>
        <v>3193.5413312000001</v>
      </c>
      <c r="Q28" s="92" ph="1">
        <f>Q27*18.322*LOOKUP(Q29,密度!$A$2:$A$50,密度!$B$2:$B$50)</f>
        <v>8030.7231487999998</v>
      </c>
      <c r="R28" s="91" ph="1">
        <f>R27*35.891*LOOKUP(R29,密度!$A$2:$A$50,密度!$C$2:$C$50)</f>
        <v>8527.5759815000001</v>
      </c>
      <c r="S28" s="91" ph="1">
        <f>S27*35.891*LOOKUP(S29,密度!$A$2:$A$50,密度!$B$2:$B$50)</f>
        <v>132062.35219449998</v>
      </c>
      <c r="T28" s="91" ph="1">
        <f>T27*35.891*LOOKUP(T29,密度!$A$2:$A$50,密度!$Q$2:$Q$50)</f>
        <v>28633.455766299998</v>
      </c>
      <c r="U28" s="91" ph="1">
        <f>U27*35.891</f>
        <v>218827.427</v>
      </c>
      <c r="V28" s="91" ph="1">
        <f>V27*47.051*LOOKUP(V29,密度!$A$2:$A$50,密度!$B$2:$B$50)</f>
        <v>19602.7263872</v>
      </c>
      <c r="W28" s="91" ph="1">
        <f>W27*47.051*LOOKUP(W29,密度!$A$2:$A$50,密度!$B$2:$B$50)</f>
        <v>355326.74298879999</v>
      </c>
      <c r="X28" s="91" ph="1">
        <f>X27*47.051*LOOKUP(X29,密度!$A$2:$A$50,密度!$I$2:$I$50)</f>
        <v>103422.8031</v>
      </c>
      <c r="Y28" s="91" ph="1">
        <f>Y27*47.051*LOOKUP(Y29,密度!$A$2:$A$50,密度!$L$2:$L$50)</f>
        <v>156119.17028399999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0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31</v>
      </c>
      <c r="J29" s="74">
        <v>32</v>
      </c>
      <c r="K29" s="74">
        <v>32</v>
      </c>
      <c r="L29" s="74">
        <v>30</v>
      </c>
      <c r="M29" s="74">
        <v>31</v>
      </c>
      <c r="N29" s="74">
        <v>30</v>
      </c>
      <c r="O29" s="74">
        <v>32</v>
      </c>
      <c r="P29" s="74">
        <v>30</v>
      </c>
      <c r="Q29" s="93">
        <v>31</v>
      </c>
      <c r="R29" s="74">
        <v>30</v>
      </c>
      <c r="S29" s="74">
        <v>32</v>
      </c>
      <c r="T29" s="74">
        <v>32</v>
      </c>
      <c r="U29" s="74">
        <v>30</v>
      </c>
      <c r="V29" s="74">
        <v>31</v>
      </c>
      <c r="W29" s="74">
        <v>31</v>
      </c>
      <c r="X29" s="74">
        <v>32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57493.568456399997</v>
      </c>
      <c r="E33" s="190" ph="1">
        <f>M10+I10</f>
        <v>73559.021589999989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16" ph="1">
        <v>0</v>
      </c>
      <c r="H33" s="190" ph="1">
        <f>N19</f>
        <v>22623.413380800001</v>
      </c>
      <c r="I33" s="194" ph="1">
        <v>0</v>
      </c>
      <c r="J33" s="198" ph="1">
        <f>F10+O28</f>
        <v>273554.53999780002</v>
      </c>
      <c r="K33" s="190" ph="1">
        <f>O10+K10+E28+R28</f>
        <v>171978.39328978001</v>
      </c>
      <c r="L33" s="200" ph="1">
        <f>BE27</f>
        <v>7100</v>
      </c>
      <c r="M33" s="198" ph="1">
        <f>G10+H10+W28+S28+V28+E10</f>
        <v>1324667.3726714998</v>
      </c>
      <c r="N33" s="190" ph="1">
        <f>L10+P10++G28+H28</f>
        <v>83738.814278799982</v>
      </c>
      <c r="O33" s="194" ph="1">
        <f>BE17</f>
        <v>2270</v>
      </c>
      <c r="P33" s="198" ph="1">
        <f>L19</f>
        <v>41385.838550399996</v>
      </c>
      <c r="Q33" s="190" ph="1">
        <f>J10+N10</f>
        <v>111400.08632575</v>
      </c>
      <c r="R33" s="194" ph="1">
        <f>BE23</f>
        <v>890</v>
      </c>
      <c r="S33" s="198" ph="1">
        <f>E10+X28</f>
        <v>435922.03471000004</v>
      </c>
      <c r="T33" s="190" ph="1">
        <f>X19</f>
        <v>16152.87304608</v>
      </c>
      <c r="U33" s="179" ph="1">
        <f>BE21</f>
        <v>730</v>
      </c>
      <c r="V33" s="192" ph="1">
        <f ca="1">P19+Q19+S19+M28+N28+J28</f>
        <v>309884.39786744001</v>
      </c>
      <c r="W33" s="192" ph="1">
        <f>D28+F28+V19+T28</f>
        <v>49187.782107203995</v>
      </c>
      <c r="X33" s="194" ph="1">
        <f>BE29+BE31</f>
        <v>10200</v>
      </c>
      <c r="Y33" s="196" ph="1">
        <f>+Q10+R10+S10+T10+U10+V10+W10+X10+Y10</f>
        <v>161958.61891439999</v>
      </c>
      <c r="Z33" s="177" ph="1">
        <f>D10+T19+U19+Y28+Z10</f>
        <v>519846.66866442002</v>
      </c>
      <c r="AA33" s="179" ph="1">
        <f>BE19</f>
        <v>1440</v>
      </c>
      <c r="AB33" s="181" ph="1">
        <f>I19</f>
        <v>24741.533916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48" t="s" ph="1">
        <v>185</v>
      </c>
      <c r="AA36" s="148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03" priority="98">
      <formula>ABS(D$7-D$10)&gt;=1000</formula>
    </cfRule>
  </conditionalFormatting>
  <conditionalFormatting sqref="E4 E6:E11">
    <cfRule type="expression" dxfId="2302" priority="97">
      <formula>ABS(E$7-E$10)&gt;=1000</formula>
    </cfRule>
  </conditionalFormatting>
  <conditionalFormatting sqref="F4:F11">
    <cfRule type="expression" dxfId="2301" priority="96">
      <formula>ABS(F$7-F$10)&gt;=1000</formula>
    </cfRule>
  </conditionalFormatting>
  <conditionalFormatting sqref="G4:G11">
    <cfRule type="expression" dxfId="2300" priority="95">
      <formula>ABS(G$7-G$10)&gt;=1000</formula>
    </cfRule>
  </conditionalFormatting>
  <conditionalFormatting sqref="H4:H11">
    <cfRule type="expression" dxfId="2299" priority="94">
      <formula>ABS(H$7-H$10)&gt;=1000</formula>
    </cfRule>
  </conditionalFormatting>
  <conditionalFormatting sqref="I4:I11">
    <cfRule type="expression" dxfId="2298" priority="93">
      <formula>ABS(I$7-I$10)&gt;=1000</formula>
    </cfRule>
  </conditionalFormatting>
  <conditionalFormatting sqref="J4:J11">
    <cfRule type="expression" dxfId="2297" priority="92">
      <formula>ABS(J$7-J$10)&gt;=1000</formula>
    </cfRule>
  </conditionalFormatting>
  <conditionalFormatting sqref="K4:K11">
    <cfRule type="expression" dxfId="2296" priority="91">
      <formula>ABS(K$7-K$10)&gt;=1000</formula>
    </cfRule>
  </conditionalFormatting>
  <conditionalFormatting sqref="L4:L11">
    <cfRule type="expression" dxfId="2295" priority="90">
      <formula>ABS(L$7-L$10)&gt;=1000</formula>
    </cfRule>
  </conditionalFormatting>
  <conditionalFormatting sqref="M4 M6:M11">
    <cfRule type="expression" dxfId="2294" priority="89">
      <formula>ABS(M$7-M$10)&gt;=1000</formula>
    </cfRule>
  </conditionalFormatting>
  <conditionalFormatting sqref="N4 N6:N11">
    <cfRule type="expression" dxfId="2293" priority="88">
      <formula>ABS(N$7-N$10)&gt;=1000</formula>
    </cfRule>
  </conditionalFormatting>
  <conditionalFormatting sqref="O4 O6:O11">
    <cfRule type="expression" dxfId="2292" priority="87">
      <formula>ABS(O$7-O$10)&gt;=1000</formula>
    </cfRule>
  </conditionalFormatting>
  <conditionalFormatting sqref="P4 P6:P11">
    <cfRule type="expression" dxfId="2291" priority="86">
      <formula>ABS(P$7-P$10)&gt;=1000</formula>
    </cfRule>
  </conditionalFormatting>
  <conditionalFormatting sqref="Q4:Q11">
    <cfRule type="expression" dxfId="2290" priority="85">
      <formula>ABS(Q$7-Q$10)&gt;=1000</formula>
    </cfRule>
  </conditionalFormatting>
  <conditionalFormatting sqref="R4:R11">
    <cfRule type="expression" dxfId="2289" priority="84">
      <formula>ABS(R$7-R$10)&gt;=1000</formula>
    </cfRule>
  </conditionalFormatting>
  <conditionalFormatting sqref="S4:S11">
    <cfRule type="expression" dxfId="2288" priority="83">
      <formula>ABS(S$7-S$10)&gt;=1000</formula>
    </cfRule>
  </conditionalFormatting>
  <conditionalFormatting sqref="T4:T9 T11">
    <cfRule type="expression" dxfId="2287" priority="82">
      <formula>ABS(T$7-T$10)&gt;=1000</formula>
    </cfRule>
  </conditionalFormatting>
  <conditionalFormatting sqref="U4:U9 U11">
    <cfRule type="expression" dxfId="2286" priority="81">
      <formula>ABS(U$7-U$10)&gt;=1000</formula>
    </cfRule>
  </conditionalFormatting>
  <conditionalFormatting sqref="V4:V9 V11">
    <cfRule type="expression" dxfId="2285" priority="80">
      <formula>ABS(V$7-V$10)&gt;=1000</formula>
    </cfRule>
  </conditionalFormatting>
  <conditionalFormatting sqref="W4:W9 W11">
    <cfRule type="expression" dxfId="2284" priority="79">
      <formula>ABS(W$7-W$10)&gt;=1000</formula>
    </cfRule>
  </conditionalFormatting>
  <conditionalFormatting sqref="X4:X9 X11">
    <cfRule type="expression" dxfId="2283" priority="78">
      <formula>ABS(X$7-X$10)&gt;=1000</formula>
    </cfRule>
  </conditionalFormatting>
  <conditionalFormatting sqref="Y4:Y9 Y11">
    <cfRule type="expression" dxfId="2282" priority="77">
      <formula>ABS(Y$7-Y$10)&gt;=1000</formula>
    </cfRule>
  </conditionalFormatting>
  <conditionalFormatting sqref="Z4:Z11">
    <cfRule type="expression" dxfId="2281" priority="76">
      <formula>ABS(Z$7-Z$10)&gt;=1000</formula>
    </cfRule>
  </conditionalFormatting>
  <conditionalFormatting sqref="AA4:AA11">
    <cfRule type="expression" dxfId="2280" priority="75">
      <formula>ABS(AA$7-AA$10)&gt;=1000</formula>
    </cfRule>
  </conditionalFormatting>
  <conditionalFormatting sqref="AB4:AB11">
    <cfRule type="expression" dxfId="2279" priority="74">
      <formula>ABS(AB$7-AB$10)&gt;=1000</formula>
    </cfRule>
  </conditionalFormatting>
  <conditionalFormatting sqref="AC4 AC6:AC11">
    <cfRule type="expression" dxfId="2278" priority="73">
      <formula>ABS(AC$7-AC$10)&gt;=1000</formula>
    </cfRule>
  </conditionalFormatting>
  <conditionalFormatting sqref="AD4:AD11">
    <cfRule type="expression" dxfId="2277" priority="72">
      <formula>ABS(AD$7-AD$10)&gt;=1000</formula>
    </cfRule>
  </conditionalFormatting>
  <conditionalFormatting sqref="AE4 AE6:AE11">
    <cfRule type="expression" dxfId="2276" priority="71">
      <formula>ABS(AE$7-AE$10)&gt;=1000</formula>
    </cfRule>
  </conditionalFormatting>
  <conditionalFormatting sqref="D13:D20">
    <cfRule type="expression" dxfId="2275" priority="70">
      <formula>ABS(D$16-D$19)&gt;=1000</formula>
    </cfRule>
  </conditionalFormatting>
  <conditionalFormatting sqref="E13:E20">
    <cfRule type="expression" dxfId="2274" priority="69">
      <formula>ABS(E$16-E$19)&gt;=1000</formula>
    </cfRule>
  </conditionalFormatting>
  <conditionalFormatting sqref="F13 F15:F20">
    <cfRule type="expression" dxfId="2273" priority="68">
      <formula>ABS(F$16-F$19)&gt;=1000</formula>
    </cfRule>
  </conditionalFormatting>
  <conditionalFormatting sqref="G13:G20">
    <cfRule type="expression" dxfId="2272" priority="67">
      <formula>ABS(G$16-G$19)&gt;=1000</formula>
    </cfRule>
  </conditionalFormatting>
  <conditionalFormatting sqref="H13:H20">
    <cfRule type="expression" dxfId="2271" priority="66">
      <formula>ABS(H$16-H$19)&gt;=1000</formula>
    </cfRule>
  </conditionalFormatting>
  <conditionalFormatting sqref="I13:I20">
    <cfRule type="expression" dxfId="2270" priority="65">
      <formula>ABS(I$16-I$19)&gt;=1000</formula>
    </cfRule>
  </conditionalFormatting>
  <conditionalFormatting sqref="J13:J20">
    <cfRule type="expression" dxfId="2269" priority="64">
      <formula>ABS(J$16-J$19)&gt;=1000</formula>
    </cfRule>
  </conditionalFormatting>
  <conditionalFormatting sqref="L13:L20">
    <cfRule type="expression" dxfId="2268" priority="63">
      <formula>ABS(L$16-L$19)&gt;=1000</formula>
    </cfRule>
  </conditionalFormatting>
  <conditionalFormatting sqref="M13 M15 M17:M18 M20">
    <cfRule type="expression" dxfId="2267" priority="62">
      <formula>ABS(M$16-M$19)&gt;=1000</formula>
    </cfRule>
  </conditionalFormatting>
  <conditionalFormatting sqref="N13:N20">
    <cfRule type="expression" dxfId="2266" priority="61">
      <formula>ABS(N$16-N$19)&gt;=1000</formula>
    </cfRule>
  </conditionalFormatting>
  <conditionalFormatting sqref="O13:O20">
    <cfRule type="expression" dxfId="2265" priority="60">
      <formula>ABS(O$16-O$19)&gt;=1000</formula>
    </cfRule>
  </conditionalFormatting>
  <conditionalFormatting sqref="P13:P20">
    <cfRule type="expression" dxfId="2264" priority="59">
      <formula>ABS(P$16-P$19)&gt;=1000</formula>
    </cfRule>
  </conditionalFormatting>
  <conditionalFormatting sqref="Q13 Q15:Q20">
    <cfRule type="expression" dxfId="2263" priority="58">
      <formula>ABS(Q$16-Q$19)&gt;=1000</formula>
    </cfRule>
  </conditionalFormatting>
  <conditionalFormatting sqref="R13:R20">
    <cfRule type="expression" dxfId="2262" priority="57">
      <formula>ABS(R$16-R$19)&gt;=1000</formula>
    </cfRule>
  </conditionalFormatting>
  <conditionalFormatting sqref="S13:S20">
    <cfRule type="expression" dxfId="2261" priority="56">
      <formula>ABS(S$16-S$19)&gt;=1000</formula>
    </cfRule>
  </conditionalFormatting>
  <conditionalFormatting sqref="T13:T20">
    <cfRule type="expression" dxfId="2260" priority="55">
      <formula>ABS(T$16-T$19)&gt;=1000</formula>
    </cfRule>
  </conditionalFormatting>
  <conditionalFormatting sqref="U13:U20">
    <cfRule type="expression" dxfId="2259" priority="54">
      <formula>ABS(U$16-U$19)&gt;=1000</formula>
    </cfRule>
  </conditionalFormatting>
  <conditionalFormatting sqref="V13:V20">
    <cfRule type="expression" dxfId="2258" priority="53">
      <formula>ABS(V$16-V$19)&gt;=1000</formula>
    </cfRule>
  </conditionalFormatting>
  <conditionalFormatting sqref="W13 W20 W15:W18">
    <cfRule type="expression" dxfId="2257" priority="52">
      <formula>ABS(W$16-W$19)&gt;=1000</formula>
    </cfRule>
  </conditionalFormatting>
  <conditionalFormatting sqref="X13 X15:X20 Y19">
    <cfRule type="expression" dxfId="2256" priority="51">
      <formula>ABS(X$16-X$19)&gt;=1000</formula>
    </cfRule>
  </conditionalFormatting>
  <conditionalFormatting sqref="Y13 Y15:Y18 Y20">
    <cfRule type="expression" dxfId="2255" priority="50">
      <formula>ABS(Y$16-Y$19)&gt;=1000</formula>
    </cfRule>
  </conditionalFormatting>
  <conditionalFormatting sqref="Z13:Z20">
    <cfRule type="expression" dxfId="2254" priority="49">
      <formula>ABS(Z$16-Z$19)&gt;=1000</formula>
    </cfRule>
  </conditionalFormatting>
  <conditionalFormatting sqref="AA13:AA20">
    <cfRule type="expression" dxfId="2253" priority="48">
      <formula>ABS(AA$16-AA$19)&gt;=1000</formula>
    </cfRule>
  </conditionalFormatting>
  <conditionalFormatting sqref="AB13 AB15:AB20">
    <cfRule type="expression" dxfId="2252" priority="47">
      <formula>ABS(AB$16-AB$19)&gt;=1000</formula>
    </cfRule>
  </conditionalFormatting>
  <conditionalFormatting sqref="AC13 AC15:AC20">
    <cfRule type="expression" dxfId="2251" priority="46">
      <formula>ABS(AC$16-AC$19)&gt;=1000</formula>
    </cfRule>
  </conditionalFormatting>
  <conditionalFormatting sqref="AD13:AD20">
    <cfRule type="expression" dxfId="2250" priority="45">
      <formula>ABS(AD$16-AD$19)&gt;=1000</formula>
    </cfRule>
  </conditionalFormatting>
  <conditionalFormatting sqref="AE13:AE20">
    <cfRule type="expression" dxfId="2249" priority="44">
      <formula>ABS(AE$16-AE$19)&gt;=1000</formula>
    </cfRule>
  </conditionalFormatting>
  <conditionalFormatting sqref="D22:D29">
    <cfRule type="expression" dxfId="2248" priority="43">
      <formula>ABS(D$25-D$28)&gt;=1000</formula>
    </cfRule>
  </conditionalFormatting>
  <conditionalFormatting sqref="E22:E29">
    <cfRule type="expression" dxfId="2247" priority="42">
      <formula>ABS(E$25-E$28)&gt;=1000</formula>
    </cfRule>
  </conditionalFormatting>
  <conditionalFormatting sqref="F22:F29">
    <cfRule type="expression" dxfId="2246" priority="41">
      <formula>ABS(F$25-F$28)&gt;=1000</formula>
    </cfRule>
  </conditionalFormatting>
  <conditionalFormatting sqref="G22:G29">
    <cfRule type="expression" dxfId="2245" priority="40">
      <formula>ABS(G$25-G$28)&gt;=1000</formula>
    </cfRule>
  </conditionalFormatting>
  <conditionalFormatting sqref="H22:H29">
    <cfRule type="expression" dxfId="2244" priority="39">
      <formula>ABS(H$25-H$28)&gt;=1000</formula>
    </cfRule>
  </conditionalFormatting>
  <conditionalFormatting sqref="I22 I24:I29">
    <cfRule type="expression" dxfId="2243" priority="38">
      <formula>ABS(I$25-I$28)&gt;=1000</formula>
    </cfRule>
  </conditionalFormatting>
  <conditionalFormatting sqref="J22:J29 K22">
    <cfRule type="expression" dxfId="2242" priority="37">
      <formula>ABS(J$25-J$28)&gt;=1000</formula>
    </cfRule>
  </conditionalFormatting>
  <conditionalFormatting sqref="K23:K29 L25 L28">
    <cfRule type="expression" dxfId="2241" priority="36">
      <formula>ABS(K$25-K$28)&gt;=1000</formula>
    </cfRule>
  </conditionalFormatting>
  <conditionalFormatting sqref="L22 L26:L27 L29 L24">
    <cfRule type="expression" dxfId="2240" priority="35">
      <formula>ABS(L$25-L$28)&gt;=1000</formula>
    </cfRule>
  </conditionalFormatting>
  <conditionalFormatting sqref="M22:M29">
    <cfRule type="expression" dxfId="2239" priority="34">
      <formula>ABS(M$25-M$28)&gt;=1000</formula>
    </cfRule>
  </conditionalFormatting>
  <conditionalFormatting sqref="N22:N29">
    <cfRule type="expression" dxfId="2238" priority="33">
      <formula>ABS(N$25-N$28)&gt;=1000</formula>
    </cfRule>
  </conditionalFormatting>
  <conditionalFormatting sqref="O22:O29">
    <cfRule type="expression" dxfId="2237" priority="32">
      <formula>ABS(O$25-O$28)&gt;=1000</formula>
    </cfRule>
  </conditionalFormatting>
  <conditionalFormatting sqref="P22:P29">
    <cfRule type="expression" dxfId="2236" priority="31">
      <formula>ABS(P$25-P$28)&gt;=1000</formula>
    </cfRule>
  </conditionalFormatting>
  <conditionalFormatting sqref="Q22:Q29">
    <cfRule type="expression" dxfId="2235" priority="30">
      <formula>ABS(Q$25-Q$28)&gt;=1000</formula>
    </cfRule>
  </conditionalFormatting>
  <conditionalFormatting sqref="R22:R29">
    <cfRule type="expression" dxfId="2234" priority="29">
      <formula>ABS(R$25-R$28)&gt;=1000</formula>
    </cfRule>
  </conditionalFormatting>
  <conditionalFormatting sqref="S22:S29">
    <cfRule type="expression" dxfId="2233" priority="28">
      <formula>ABS(S$25-S$28)&gt;=1000</formula>
    </cfRule>
  </conditionalFormatting>
  <conditionalFormatting sqref="T22:T29">
    <cfRule type="expression" dxfId="2232" priority="27">
      <formula>ABS(T$25-T$28)&gt;=1000</formula>
    </cfRule>
  </conditionalFormatting>
  <conditionalFormatting sqref="U22:U29">
    <cfRule type="expression" dxfId="2231" priority="26">
      <formula>ABS(U$25-U$28)&gt;=1000</formula>
    </cfRule>
  </conditionalFormatting>
  <conditionalFormatting sqref="V22:V29">
    <cfRule type="expression" dxfId="2230" priority="25">
      <formula>ABS(V$25-V$28)&gt;=1000</formula>
    </cfRule>
  </conditionalFormatting>
  <conditionalFormatting sqref="W22:W29">
    <cfRule type="expression" dxfId="2229" priority="24">
      <formula>ABS(W$25-W$28)&gt;=1000</formula>
    </cfRule>
  </conditionalFormatting>
  <conditionalFormatting sqref="X22:X29">
    <cfRule type="expression" dxfId="2228" priority="23">
      <formula>ABS(X$25-X$28)&gt;=1000</formula>
    </cfRule>
  </conditionalFormatting>
  <conditionalFormatting sqref="Y22:Y29">
    <cfRule type="expression" dxfId="2227" priority="22">
      <formula>ABS(Y$25-Y$28)&gt;=1000</formula>
    </cfRule>
  </conditionalFormatting>
  <conditionalFormatting sqref="I23">
    <cfRule type="expression" dxfId="2226" priority="21">
      <formula>ABS(I$25-I$28)&gt;=1000</formula>
    </cfRule>
  </conditionalFormatting>
  <conditionalFormatting sqref="Q14">
    <cfRule type="expression" dxfId="2225" priority="20">
      <formula>ABS(Q$16-Q$19)&gt;=1000</formula>
    </cfRule>
  </conditionalFormatting>
  <conditionalFormatting sqref="W14">
    <cfRule type="expression" dxfId="2224" priority="19">
      <formula>ABS(W$16-W$19)&gt;=1000</formula>
    </cfRule>
  </conditionalFormatting>
  <conditionalFormatting sqref="Y14">
    <cfRule type="expression" dxfId="2223" priority="18">
      <formula>ABS(Y$16-Y$19)&gt;=1000</formula>
    </cfRule>
  </conditionalFormatting>
  <conditionalFormatting sqref="X14">
    <cfRule type="expression" dxfId="2222" priority="17">
      <formula>ABS(X$16-X$19)&gt;=1000</formula>
    </cfRule>
  </conditionalFormatting>
  <conditionalFormatting sqref="T10:Y10">
    <cfRule type="expression" dxfId="2221" priority="16">
      <formula>ABS(T$7-T$10)&gt;=1000</formula>
    </cfRule>
  </conditionalFormatting>
  <conditionalFormatting sqref="W19">
    <cfRule type="expression" dxfId="2220" priority="15">
      <formula>ABS(W$16-W$19)&gt;=1000</formula>
    </cfRule>
  </conditionalFormatting>
  <conditionalFormatting sqref="AC5">
    <cfRule type="expression" dxfId="2219" priority="14">
      <formula>ABS(AC$7-AC$10)&gt;=1000</formula>
    </cfRule>
  </conditionalFormatting>
  <conditionalFormatting sqref="M14">
    <cfRule type="expression" dxfId="2218" priority="13">
      <formula>ABS(M$16-M$19)&gt;=1000</formula>
    </cfRule>
  </conditionalFormatting>
  <conditionalFormatting sqref="M16">
    <cfRule type="expression" dxfId="2217" priority="12">
      <formula>ABS(M$16-M$19)&gt;=1000</formula>
    </cfRule>
  </conditionalFormatting>
  <conditionalFormatting sqref="M19">
    <cfRule type="expression" dxfId="2216" priority="11">
      <formula>ABS(M$16-M$19)&gt;=1000</formula>
    </cfRule>
  </conditionalFormatting>
  <conditionalFormatting sqref="K13:K20">
    <cfRule type="expression" dxfId="2215" priority="10">
      <formula>ABS(K$16-K$19)&gt;=1000</formula>
    </cfRule>
  </conditionalFormatting>
  <conditionalFormatting sqref="E5">
    <cfRule type="expression" dxfId="2214" priority="9">
      <formula>ABS(E$7-E$10)&gt;=1000</formula>
    </cfRule>
  </conditionalFormatting>
  <conditionalFormatting sqref="AB14:AC14">
    <cfRule type="expression" dxfId="2213" priority="8">
      <formula>ABS(AB$16-AB$19)&gt;=1000</formula>
    </cfRule>
  </conditionalFormatting>
  <conditionalFormatting sqref="M5">
    <cfRule type="expression" dxfId="2212" priority="7">
      <formula>ABS(M$7-M$10)&gt;=1000</formula>
    </cfRule>
  </conditionalFormatting>
  <conditionalFormatting sqref="N5">
    <cfRule type="expression" dxfId="2211" priority="6">
      <formula>ABS(N$7-N$10)&gt;=1000</formula>
    </cfRule>
  </conditionalFormatting>
  <conditionalFormatting sqref="O5">
    <cfRule type="expression" dxfId="2210" priority="5">
      <formula>ABS(O$7-O$10)&gt;=1000</formula>
    </cfRule>
  </conditionalFormatting>
  <conditionalFormatting sqref="P5">
    <cfRule type="expression" dxfId="2209" priority="4">
      <formula>ABS(P$7-P$10)&gt;=1000</formula>
    </cfRule>
  </conditionalFormatting>
  <conditionalFormatting sqref="L23">
    <cfRule type="expression" dxfId="2208" priority="3">
      <formula>ABS(L$25-L$28)&gt;=1000</formula>
    </cfRule>
  </conditionalFormatting>
  <conditionalFormatting sqref="F14">
    <cfRule type="expression" dxfId="2207" priority="2">
      <formula>ABS(F$16-F$19)&gt;=1000</formula>
    </cfRule>
  </conditionalFormatting>
  <conditionalFormatting sqref="AE5">
    <cfRule type="expression" dxfId="220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27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8">
    <pageSetUpPr fitToPage="1"/>
  </sheetPr>
  <dimension ref="A1:CU223"/>
  <sheetViews>
    <sheetView view="pageBreakPreview" topLeftCell="A16" zoomScale="80" zoomScaleNormal="100" zoomScaleSheetLayoutView="80" workbookViewId="0">
      <selection activeCell="O15" sqref="O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1" t="s" ph="1">
        <v>177</v>
      </c>
      <c r="D6" s="71">
        <v>5339</v>
      </c>
      <c r="E6" s="71">
        <v>7824</v>
      </c>
      <c r="F6" s="71">
        <v>4367</v>
      </c>
      <c r="G6" s="71">
        <v>6986</v>
      </c>
      <c r="H6" s="71">
        <v>2610</v>
      </c>
      <c r="I6" s="71">
        <v>18.07</v>
      </c>
      <c r="J6" s="71">
        <v>7</v>
      </c>
      <c r="K6" s="71">
        <v>85.39</v>
      </c>
      <c r="L6" s="71">
        <v>18.920000000000002</v>
      </c>
      <c r="M6" s="71">
        <v>2012</v>
      </c>
      <c r="N6" s="71">
        <v>4258</v>
      </c>
      <c r="O6" s="71">
        <v>3513</v>
      </c>
      <c r="P6" s="71">
        <v>201</v>
      </c>
      <c r="Q6" s="71">
        <v>3105</v>
      </c>
      <c r="R6" s="71">
        <v>6547</v>
      </c>
      <c r="S6" s="71">
        <v>5049</v>
      </c>
      <c r="T6" s="71">
        <v>6879</v>
      </c>
      <c r="U6" s="71">
        <v>7127</v>
      </c>
      <c r="V6" s="71">
        <v>2173</v>
      </c>
      <c r="W6" s="71">
        <v>0</v>
      </c>
      <c r="X6" s="71">
        <v>0</v>
      </c>
      <c r="Y6" s="71">
        <v>0</v>
      </c>
      <c r="Z6" s="71">
        <v>4237</v>
      </c>
      <c r="AA6" s="71">
        <v>558</v>
      </c>
      <c r="AB6" s="71">
        <v>1843</v>
      </c>
      <c r="AC6" s="71">
        <v>2275</v>
      </c>
      <c r="AD6" s="71">
        <v>4350</v>
      </c>
      <c r="AE6" s="71">
        <v>4062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167124.15102321</v>
      </c>
      <c r="E7" s="73" ph="1">
        <f>E6*51.53*LOOKUP(E8,密度!$A$2:$A$50,密度!$B$2:$B$50)</f>
        <v>312941.11286400002</v>
      </c>
      <c r="F7" s="73" ph="1">
        <f>F6*33.183*LOOKUP(F8,密度!$A$2:$A$50,密度!$C$2:$C$50)</f>
        <v>160357.58416259999</v>
      </c>
      <c r="G7" s="73" ph="1">
        <f xml:space="preserve"> (G6+2)*51.53*LOOKUP(G8,密度!$A$2:$A$50,密度!$B$2:$B$50)</f>
        <v>279503.13096799998</v>
      </c>
      <c r="H7" s="73" ph="1">
        <f>(H6)*51.53*LOOKUP(H8,密度!$A$2:$A$50,密度!$B$2:$B$50)</f>
        <v>104972.02065000001</v>
      </c>
      <c r="I7" s="73" ph="1">
        <f>I6*290.8*1.0267</f>
        <v>5395.0579852000001</v>
      </c>
      <c r="J7" s="73" ph="1">
        <f>J6*290.8*0.7892</f>
        <v>1606.4955200000002</v>
      </c>
      <c r="K7" s="73" ph="1">
        <f>K6*290.8*1.1126</f>
        <v>27627.428991200002</v>
      </c>
      <c r="L7" s="73" ph="1">
        <f>L6*290.8*0.777</f>
        <v>4275.004272000001</v>
      </c>
      <c r="M7" s="73" ph="1">
        <f>M6*33.183*LOOKUP(M8,密度!$A$2:$A$50,密度!$D$2:$D$50)</f>
        <v>68359.860284399998</v>
      </c>
      <c r="N7" s="73" ph="1">
        <f>N6*33.183*LOOKUP(N8,密度!$A$2:$A$50,密度!$E$2:$E$50)</f>
        <v>109707.1160103</v>
      </c>
      <c r="O7" s="73" ph="1">
        <f>O6*20.428*LOOKUP(O8,密度!$A$2:$A$50,密度!$C$2:$C$50)</f>
        <v>79083.447528000004</v>
      </c>
      <c r="P7" s="73" ph="1">
        <f>P6*51.53*LOOKUP(P8,密度!$A$2:$A$50,密度!$B$2:$B$50)</f>
        <v>8074.7303879999999</v>
      </c>
      <c r="Q7" s="73" ph="1">
        <f>Q6*1.5*1.5*3.1416*LOOKUP(W8,密度!$A$2:$A$50,密度!$L$2:$L$50)</f>
        <v>20521.382805000001</v>
      </c>
      <c r="R7" s="73" ph="1">
        <f>R6*1.5*1.5*3.1416*LOOKUP(R8,密度!$A$2:$A$50,密度!$L$2:$L$50)</f>
        <v>42992.377381799997</v>
      </c>
      <c r="S7" s="73" ph="1">
        <f>S6*1.5*1.5*3.1416*LOOKUP(S8,密度!$A$2:$A$50,密度!$L$2:$L$50)</f>
        <v>33476.620993199998</v>
      </c>
      <c r="T7" s="73" ph="1">
        <f>T6*1.5*1.5*3.1416*LOOKUP(T8,密度!$A$2:$A$50,密度!$L$2:$L$50)</f>
        <v>45610.155637199998</v>
      </c>
      <c r="U7" s="73" ph="1">
        <f>U6*1.5*1.5*3.1416*LOOKUP(U8,密度!$A$2:$A$50,密度!$L$2:$L$50)</f>
        <v>47103.347907000003</v>
      </c>
      <c r="V7" s="73" ph="1">
        <f>V6*1.5*1.5*3.1416*LOOKUP(V8,密度!$A$2:$A$50,密度!$L$2:$L$50)</f>
        <v>14346.3033252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131738.79962700003</v>
      </c>
      <c r="AA7" s="73" ph="1">
        <f>AA6*33.183*LOOKUP(AA8,密度!$A$2:$A$50,密度!$D$2:$D$50)</f>
        <v>19010.4942438</v>
      </c>
      <c r="AB7" s="73" ph="1">
        <f>AB6*20.428*LOOKUP(AB8,密度!$A$2:$A$50,密度!$D$2:$D$50)</f>
        <v>38725.559794400004</v>
      </c>
      <c r="AC7" s="73" ph="1">
        <f>AC6*51.53*LOOKUP(AC8,密度!$A$2:$A$50,密度!$Q$2:$Q$50)</f>
        <v>110903.8064225</v>
      </c>
      <c r="AD7" s="73" ph="1">
        <f>AD6*20.428*LOOKUP(AD8,密度!$A$2:$A$50,密度!$V$2:$V$50)</f>
        <v>85094.059680000006</v>
      </c>
      <c r="AE7" s="73" ph="1">
        <f>AE6*20.428</f>
        <v>82978.536000000007</v>
      </c>
    </row>
    <row r="8" spans="1:99" ph="1">
      <c r="B8" s="241" ph="1"/>
      <c r="C8" s="68" t="s" ph="1">
        <v>179</v>
      </c>
      <c r="D8" s="74">
        <v>30</v>
      </c>
      <c r="E8" s="74">
        <v>29</v>
      </c>
      <c r="F8" s="74">
        <v>28</v>
      </c>
      <c r="G8" s="74">
        <v>29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31</v>
      </c>
      <c r="O8" s="74">
        <v>33</v>
      </c>
      <c r="P8" s="74">
        <v>25</v>
      </c>
      <c r="Q8" s="74">
        <v>30</v>
      </c>
      <c r="R8" s="74">
        <v>33</v>
      </c>
      <c r="S8" s="74">
        <v>24</v>
      </c>
      <c r="T8" s="74">
        <v>24</v>
      </c>
      <c r="U8" s="74">
        <v>27</v>
      </c>
      <c r="V8" s="74">
        <v>28</v>
      </c>
      <c r="W8" s="74">
        <v>27</v>
      </c>
      <c r="X8" s="74">
        <v>18</v>
      </c>
      <c r="Y8" s="74">
        <v>26</v>
      </c>
      <c r="Z8" s="74">
        <v>25</v>
      </c>
      <c r="AA8" s="74">
        <v>25</v>
      </c>
      <c r="AB8" s="74">
        <v>23</v>
      </c>
      <c r="AC8" s="74">
        <v>26</v>
      </c>
      <c r="AD8" s="74">
        <v>27</v>
      </c>
      <c r="AE8" s="74">
        <v>30</v>
      </c>
    </row>
    <row r="9" spans="1:99" ht="26.4" ph="1">
      <c r="B9" s="241" ph="1">
        <v>0.66666666666666663</v>
      </c>
      <c r="C9" s="151" t="s" ph="1">
        <v>180</v>
      </c>
      <c r="D9" s="71">
        <v>5342</v>
      </c>
      <c r="E9" s="71">
        <v>7825</v>
      </c>
      <c r="F9" s="71">
        <v>4369</v>
      </c>
      <c r="G9" s="71">
        <v>6977</v>
      </c>
      <c r="H9" s="71">
        <v>2340</v>
      </c>
      <c r="I9" s="71">
        <v>4.74</v>
      </c>
      <c r="J9" s="71">
        <v>7.09</v>
      </c>
      <c r="K9" s="71">
        <v>85.4</v>
      </c>
      <c r="L9" s="71">
        <v>10.06</v>
      </c>
      <c r="M9" s="71">
        <v>1449</v>
      </c>
      <c r="N9" s="71">
        <v>4261</v>
      </c>
      <c r="O9" s="71">
        <v>2612</v>
      </c>
      <c r="P9" s="71">
        <v>307</v>
      </c>
      <c r="Q9" s="71">
        <v>0</v>
      </c>
      <c r="R9" s="71">
        <v>5578</v>
      </c>
      <c r="S9" s="71">
        <v>5053</v>
      </c>
      <c r="T9" s="71">
        <v>6885</v>
      </c>
      <c r="U9" s="71">
        <v>7133</v>
      </c>
      <c r="V9" s="71">
        <v>4785</v>
      </c>
      <c r="W9" s="71">
        <v>2217</v>
      </c>
      <c r="X9" s="71">
        <v>0</v>
      </c>
      <c r="Y9" s="71">
        <v>0</v>
      </c>
      <c r="Z9" s="71">
        <v>2705</v>
      </c>
      <c r="AA9" s="71">
        <v>556</v>
      </c>
      <c r="AB9" s="71">
        <v>1843</v>
      </c>
      <c r="AC9" s="71">
        <v>2579</v>
      </c>
      <c r="AD9" s="71">
        <v>4350</v>
      </c>
      <c r="AE9" s="71">
        <v>3964</v>
      </c>
    </row>
    <row r="10" spans="1:99" s="72" customFormat="1" ht="22.2" ph="1">
      <c r="B10" s="241" ph="1"/>
      <c r="C10" s="151" t="s" ph="1">
        <v>178</v>
      </c>
      <c r="D10" s="73" ph="1">
        <f>D9*33.183*LOOKUP(D11,密度!$A$2:$A$50,密度!$Q$2:$Q$50)</f>
        <v>167218.05858138</v>
      </c>
      <c r="E10" s="73" ph="1">
        <f>E9*51.53*LOOKUP(E11,密度!$A$2:$A$50,密度!$B$2:$B$50)</f>
        <v>311892.41037499998</v>
      </c>
      <c r="F10" s="73" ph="1">
        <f>F9*33.183*LOOKUP(F11,密度!$A$2:$A$50,密度!$C$2:$C$50)</f>
        <v>160329.54120930002</v>
      </c>
      <c r="G10" s="73" ph="1">
        <f xml:space="preserve"> (G9+2)*51.53*LOOKUP(G11,密度!$A$2:$A$50,密度!$B$2:$B$50)</f>
        <v>278172.15744499996</v>
      </c>
      <c r="H10" s="73" ph="1">
        <f>(H9)*51.53*LOOKUP(H11,密度!$A$2:$A$50,密度!$B$2:$B$50)</f>
        <v>93594.351240000004</v>
      </c>
      <c r="I10" s="73" ph="1">
        <f>I9*290.8*1.0267</f>
        <v>1415.1950664000001</v>
      </c>
      <c r="J10" s="73" ph="1">
        <f>J9*290.8*0.7892</f>
        <v>1627.1504623999999</v>
      </c>
      <c r="K10" s="73" ph="1">
        <f>K9*290.8*1.1126</f>
        <v>27630.664432000005</v>
      </c>
      <c r="L10" s="73" ph="1">
        <f>L9*290.8*0.777</f>
        <v>2273.0730960000005</v>
      </c>
      <c r="M10" s="73" ph="1">
        <f>M9*33.183*LOOKUP(M11,密度!$A$2:$A$50,密度!$D$2:$D$50)</f>
        <v>49096.7007237</v>
      </c>
      <c r="N10" s="73" ph="1">
        <f>N9*33.183*LOOKUP(N11,密度!$A$2:$A$50,密度!$E$2:$E$50)</f>
        <v>109624.63700916001</v>
      </c>
      <c r="O10" s="73" ph="1">
        <f>O9*20.428*LOOKUP(O11,密度!$A$2:$A$50,密度!$C$2:$C$50)</f>
        <v>58576.342140800007</v>
      </c>
      <c r="P10" s="73" ph="1">
        <f>P9*51.53*LOOKUP(P11,密度!$A$2:$A$50,密度!$B$2:$B$50)</f>
        <v>12209.652178000002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36550.359291599998</v>
      </c>
      <c r="S10" s="73" ph="1">
        <f>S9*1.5*1.5*3.1416*LOOKUP(S11,密度!$A$2:$A$50,密度!$L$2:$L$50)</f>
        <v>33431.707108800001</v>
      </c>
      <c r="T10" s="73" ph="1">
        <f>T9*1.5*1.5*3.1416*LOOKUP(T11,密度!$A$2:$A$50,密度!$L$2:$L$50)</f>
        <v>45552.603096000006</v>
      </c>
      <c r="U10" s="73" ph="1">
        <f>U9*1.5*1.5*3.1416*LOOKUP(U11,密度!$A$2:$A$50,密度!$L$2:$L$50)</f>
        <v>47092.582429200003</v>
      </c>
      <c r="V10" s="73" ph="1">
        <f>V9*1.5*1.5*3.1416*LOOKUP(V11,密度!$A$2:$A$50,密度!$L$2:$L$50)</f>
        <v>31590.916433999999</v>
      </c>
      <c r="W10" s="73" ph="1">
        <f>W9*1.5*1.5*3.1416*LOOKUP(W11,密度!$A$2:$A$50,密度!$L$2:$L$50)</f>
        <v>14652.465597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84015.37404000001</v>
      </c>
      <c r="AA10" s="73" ph="1">
        <f>AA9*33.183*LOOKUP(AA11,密度!$A$2:$A$50,密度!$D$2:$D$50)</f>
        <v>18791.068337999997</v>
      </c>
      <c r="AB10" s="73" ph="1">
        <f>AB9*20.428*LOOKUP(AB11,密度!$A$2:$A$50,密度!$D$2:$D$50)</f>
        <v>38582.494339199999</v>
      </c>
      <c r="AC10" s="73" ph="1">
        <f>AC9*51.53*LOOKUP(AC11,密度!$A$2:$A$50,密度!$Q$2:$Q$50)</f>
        <v>125364.6610471</v>
      </c>
      <c r="AD10" s="73" ph="1">
        <f>AD9*20.428*LOOKUP(AD11,密度!$A$2:$A$50,密度!$V$2:$V$50)</f>
        <v>85094.059680000006</v>
      </c>
      <c r="AE10" s="73" ph="1">
        <f>AE9*20.428</f>
        <v>80976.592000000004</v>
      </c>
    </row>
    <row r="11" spans="1:99" ph="1">
      <c r="A11" s="64" t="s" ph="1">
        <v>162</v>
      </c>
      <c r="B11" s="241" ph="1"/>
      <c r="C11" s="151" t="s" ph="1">
        <v>179</v>
      </c>
      <c r="D11" s="74">
        <v>30</v>
      </c>
      <c r="E11" s="74">
        <v>32</v>
      </c>
      <c r="F11" s="74">
        <v>29</v>
      </c>
      <c r="G11" s="74">
        <v>32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32</v>
      </c>
      <c r="O11" s="74">
        <v>37</v>
      </c>
      <c r="P11" s="74">
        <v>34</v>
      </c>
      <c r="Q11" s="74">
        <v>40</v>
      </c>
      <c r="R11" s="74">
        <v>35</v>
      </c>
      <c r="S11" s="74">
        <v>26</v>
      </c>
      <c r="T11" s="74">
        <v>26</v>
      </c>
      <c r="U11" s="74">
        <v>28</v>
      </c>
      <c r="V11" s="74">
        <v>28</v>
      </c>
      <c r="W11" s="74">
        <v>27</v>
      </c>
      <c r="X11" s="74">
        <v>27</v>
      </c>
      <c r="Y11" s="74">
        <v>32</v>
      </c>
      <c r="Z11" s="74">
        <v>26</v>
      </c>
      <c r="AA11" s="74">
        <v>34</v>
      </c>
      <c r="AB11" s="74">
        <v>27</v>
      </c>
      <c r="AC11" s="74">
        <v>30</v>
      </c>
      <c r="AD11" s="74">
        <v>31</v>
      </c>
      <c r="AE11" s="74">
        <v>33</v>
      </c>
    </row>
    <row r="12" spans="1:99" ht="9.9" customHeight="1" ph="1"/>
    <row r="13" spans="1:99" s="72" customFormat="1" ht="29.25" customHeight="1" ph="1">
      <c r="B13" s="218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1" t="s" ph="1">
        <v>177</v>
      </c>
      <c r="D15" s="78">
        <v>2580</v>
      </c>
      <c r="E15" s="78">
        <v>67</v>
      </c>
      <c r="F15" s="78">
        <v>4791</v>
      </c>
      <c r="G15" s="78">
        <v>4110</v>
      </c>
      <c r="H15" s="78">
        <v>1968</v>
      </c>
      <c r="I15" s="78">
        <v>2672</v>
      </c>
      <c r="J15" s="78">
        <v>1169</v>
      </c>
      <c r="K15" s="78">
        <v>3579</v>
      </c>
      <c r="L15" s="78">
        <v>5855</v>
      </c>
      <c r="M15" s="78">
        <v>6981</v>
      </c>
      <c r="N15" s="78">
        <v>866</v>
      </c>
      <c r="O15" s="78">
        <v>6485</v>
      </c>
      <c r="P15" s="78">
        <v>6957</v>
      </c>
      <c r="Q15" s="78">
        <v>3344</v>
      </c>
      <c r="R15" s="78">
        <v>4426</v>
      </c>
      <c r="S15" s="78">
        <v>6231</v>
      </c>
      <c r="T15" s="78">
        <v>1156</v>
      </c>
      <c r="U15" s="78">
        <v>6644</v>
      </c>
      <c r="V15" s="78">
        <v>850</v>
      </c>
      <c r="W15" s="71">
        <v>5208</v>
      </c>
      <c r="X15" s="78">
        <v>1107</v>
      </c>
      <c r="Y15" s="106">
        <v>-9907</v>
      </c>
      <c r="Z15" s="78">
        <v>0</v>
      </c>
      <c r="AA15" s="78">
        <v>7</v>
      </c>
      <c r="AB15" s="78" ph="1">
        <v>1099</v>
      </c>
      <c r="AC15" s="78" ph="1">
        <v>2156</v>
      </c>
      <c r="AD15" s="78">
        <v>84.52</v>
      </c>
      <c r="AE15" s="78">
        <v>31.48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1" t="s" ph="1">
        <v>178</v>
      </c>
      <c r="D16" s="73" ph="1">
        <f>D15*7.0686*LOOKUP(D17,密度!$A$2:$A$50,密度!$L$2:$L$50)</f>
        <v>16996.872816000003</v>
      </c>
      <c r="E16" s="73" ph="1">
        <f>E15*7.0686*LOOKUP(E17,密度!$A$2:$A$50,密度!$L$2:$L$50)</f>
        <v>441.39165840000004</v>
      </c>
      <c r="F16" s="73" ph="1">
        <f>F15*9.0746*LOOKUP(F17,密度!$A$2:$A$50,密度!$L$2:$L$50)</f>
        <v>40259.154363600006</v>
      </c>
      <c r="G16" s="73" ph="1">
        <f>G15*9.0746*LOOKUP(G17,密度!$A$2:$A$50,密度!$B$2:$B$50)</f>
        <v>28979.462862</v>
      </c>
      <c r="H16" s="73" ph="1">
        <f>H15*9.0746*LOOKUP(H17,密度!$A$2:$A$50,密度!$L$2:$L$50)</f>
        <v>16733.7075936</v>
      </c>
      <c r="I16" s="73" ph="1">
        <f>I15*9.0746*LOOKUP(I17,密度!$A$2:$A$50,密度!$U$2:$U$50)</f>
        <v>24805.019817599998</v>
      </c>
      <c r="J16" s="73" ph="1">
        <f>J15*9.0746*LOOKUP(J17,密度!$A$2:$A$50,密度!$L$2:$L$50)</f>
        <v>9908.065711600002</v>
      </c>
      <c r="K16" s="73" ph="1">
        <f>K15*9.0746*LOOKUP(K17,密度!$A$2:$A$50,密度!$C$2:$C$50)</f>
        <v>35940.147496439997</v>
      </c>
      <c r="L16" s="73" ph="1">
        <f>L15*9.0746*LOOKUP(L17,密度!$A$2:$A$50,密度!$E$2:$E$50)</f>
        <v>41315.274460799999</v>
      </c>
      <c r="M16" s="73" ph="1">
        <f>M15*9.0746*LOOKUP(M17,密度!$A$2:$A$50,密度!$M$2:$M$50)</f>
        <v>55107.97588374</v>
      </c>
      <c r="N16" s="73" ph="1">
        <f>N15*9.0746*LOOKUP(N17,密度!$A$2:$A$50,密度!$M$2:$M$50)</f>
        <v>6877.0640103599999</v>
      </c>
      <c r="O16" s="73" ph="1">
        <f>O15*9.0746*LOOKUP(O17,密度!$A$2:$A$50,密度!$G$2:$G$50)</f>
        <v>56182.931220700004</v>
      </c>
      <c r="P16" s="73" ph="1">
        <f ca="1">P15*9.0746*LOOKUP(P17,密度!$A$2:$A$51,密度!$Q$2:$Q$50)</f>
        <v>59554.302202026003</v>
      </c>
      <c r="Q16" s="73" ph="1">
        <f>Q15*9.0746*LOOKUP(Q17,密度!$A$2:$A$50,密度!$Q$2:$Q$50)</f>
        <v>28625.785045791999</v>
      </c>
      <c r="R16" s="73" ph="1">
        <f>MAX(R15*9.0746*LOOKUP(R17,密度!$A$2:$A$50,密度!$B$2:$B$50),0)</f>
        <v>31066.992920600002</v>
      </c>
      <c r="S16" s="73" ph="1">
        <f>S15*9.0746*LOOKUP(S17,密度!$A$2:$A$50,密度!$Q$2:$Q$50)</f>
        <v>53339.493606558004</v>
      </c>
      <c r="T16" s="73" ph="1">
        <f>T15*9.0746*LOOKUP(T17,密度!$A$2:$A$50,密度!$O$2:$O$50)</f>
        <v>9713.9600176000004</v>
      </c>
      <c r="U16" s="73" ph="1">
        <f>U15*9.0746*LOOKUP(U17,密度!$A$2:$A$50,密度!$H$2:$H$50)</f>
        <v>54985.977868800008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49732.264021663999</v>
      </c>
      <c r="X16" s="73" ph="1">
        <f>MAX(5600*LOOKUP(X17,密度!$A$2:$A$50,密度!$I$2:$I$50)+X15*9.0476*LOOKUP(X17,密度!$A$2:$A$50,密度!$I$2:$I$50),0)</f>
        <v>16152.87304608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49.521907119999995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18273.558318399999</v>
      </c>
      <c r="AD16" s="73" ph="1">
        <f>AD15*268.68*LOOKUP(AD17,密度!$A$2:$A$50,密度!B2:B50)+IF(AD15&lt;=0,0,1566*LOOKUP(AD17,密度!$A$2:$A$50,密度!B2:B50))</f>
        <v>18924.660274559996</v>
      </c>
      <c r="AE16" s="73" ph="1">
        <f>AE15*268.68*LOOKUP(AE17,密度!$A$2:$A$50,密度!B2:B50)+IF(AE15&lt;=0,0,1566*LOOKUP(AE17,密度!$A$2:$A$50,密度!B2:B50))</f>
        <v>7814.7465734400012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36</v>
      </c>
      <c r="G17" s="74">
        <v>28</v>
      </c>
      <c r="H17" s="74">
        <v>25</v>
      </c>
      <c r="I17" s="74">
        <v>27</v>
      </c>
      <c r="J17" s="74">
        <v>28</v>
      </c>
      <c r="K17" s="74">
        <v>28</v>
      </c>
      <c r="L17" s="74">
        <v>30</v>
      </c>
      <c r="M17" s="74">
        <v>30</v>
      </c>
      <c r="N17" s="74">
        <v>25</v>
      </c>
      <c r="O17" s="74">
        <v>30</v>
      </c>
      <c r="P17" s="74">
        <v>30</v>
      </c>
      <c r="Q17" s="74">
        <v>30</v>
      </c>
      <c r="R17" s="74">
        <v>32</v>
      </c>
      <c r="S17" s="74">
        <v>30</v>
      </c>
      <c r="T17" s="74">
        <v>27</v>
      </c>
      <c r="U17" s="74">
        <v>28</v>
      </c>
      <c r="V17" s="74">
        <v>30</v>
      </c>
      <c r="W17" s="74">
        <v>30</v>
      </c>
      <c r="X17" s="74">
        <v>32</v>
      </c>
      <c r="Y17" s="108">
        <v>32</v>
      </c>
      <c r="Z17" s="74">
        <v>27</v>
      </c>
      <c r="AA17" s="74">
        <v>25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2393</v>
      </c>
      <c r="E18" s="71">
        <v>67</v>
      </c>
      <c r="F18" s="71">
        <v>4788</v>
      </c>
      <c r="G18" s="71">
        <v>4211</v>
      </c>
      <c r="H18" s="71">
        <v>1968</v>
      </c>
      <c r="I18" s="71">
        <v>2673</v>
      </c>
      <c r="J18" s="71">
        <v>1169</v>
      </c>
      <c r="K18" s="71">
        <v>3580</v>
      </c>
      <c r="L18" s="71">
        <v>5865</v>
      </c>
      <c r="M18" s="71">
        <v>4019</v>
      </c>
      <c r="N18" s="71">
        <v>1908</v>
      </c>
      <c r="O18" s="71">
        <v>3700</v>
      </c>
      <c r="P18" s="71">
        <v>6967</v>
      </c>
      <c r="Q18" s="71">
        <v>3344</v>
      </c>
      <c r="R18" s="71">
        <v>4429</v>
      </c>
      <c r="S18" s="71">
        <v>6238</v>
      </c>
      <c r="T18" s="71">
        <v>6582</v>
      </c>
      <c r="U18" s="71">
        <v>2807</v>
      </c>
      <c r="V18" s="71">
        <v>850</v>
      </c>
      <c r="W18" s="71">
        <v>5208</v>
      </c>
      <c r="X18" s="71">
        <v>1106</v>
      </c>
      <c r="Y18" s="109">
        <v>-9908</v>
      </c>
      <c r="Z18" s="71">
        <v>0</v>
      </c>
      <c r="AA18" s="71">
        <v>6</v>
      </c>
      <c r="AB18" s="71">
        <v>1098</v>
      </c>
      <c r="AC18" s="71">
        <v>2157</v>
      </c>
      <c r="AD18" s="71">
        <v>84.22</v>
      </c>
      <c r="AE18" s="71">
        <v>70.709999999999994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1" t="s" ph="1">
        <v>178</v>
      </c>
      <c r="D19" s="73" ph="1">
        <f>D18*7.0686*LOOKUP(D20,密度!$A$2:$A$50,密度!$L$2:$L$50)</f>
        <v>15731.098614000002</v>
      </c>
      <c r="E19" s="73" ph="1">
        <f>E18*7.0686*LOOKUP(E20,密度!$A$2:$A$50,密度!$L$2:$L$50)</f>
        <v>440.44446600000003</v>
      </c>
      <c r="F19" s="73" ph="1">
        <f>F18*9.0746*LOOKUP(F20,密度!$A$2:$A$50,密度!$L$2:$L$50)</f>
        <v>40190.495940000008</v>
      </c>
      <c r="G19" s="73" ph="1">
        <f>G18*9.0746*LOOKUP(G20,密度!$A$2:$A$50,密度!$B$2:$B$50)</f>
        <v>29661.039733719997</v>
      </c>
      <c r="H19" s="73" ph="1">
        <f>H18*9.0746*LOOKUP(H20,密度!$A$2:$A$50,密度!$L$2:$L$50)</f>
        <v>16697.989968000002</v>
      </c>
      <c r="I19" s="73" ph="1">
        <f>I18*9.0746*LOOKUP(I20,密度!$A$2:$A$50,密度!$U$2:$U$50)</f>
        <v>24717.277510199998</v>
      </c>
      <c r="J19" s="73" ph="1">
        <f>J18*9.0746*LOOKUP(J20,密度!$A$2:$A$50,密度!$L$2:$L$50)</f>
        <v>9865.6328820000017</v>
      </c>
      <c r="K19" s="73" ph="1">
        <f>K18*9.0746*LOOKUP(K20,密度!$A$2:$A$50,密度!$C$2:$C$50)</f>
        <v>35901.4588468</v>
      </c>
      <c r="L19" s="73" ph="1">
        <f>L18*9.0746*LOOKUP(L20,密度!$A$2:$A$50,密度!$E$2:$E$50)</f>
        <v>41264.491184279999</v>
      </c>
      <c r="M19" s="73" ph="1">
        <f>M18*9.0746*LOOKUP(M20,密度!$A$2:$A$50,密度!$M$2:$M$50)</f>
        <v>31573.516039528</v>
      </c>
      <c r="N19" s="73" ph="1">
        <f>N18*9.0746*LOOKUP(N20,密度!$A$2:$A$50,密度!$M$2:$M$50)</f>
        <v>15098.1016896</v>
      </c>
      <c r="O19" s="73" ph="1">
        <f>O18*9.0746*LOOKUP(O20,密度!$A$2:$A$50,密度!$G$2:$G$50)</f>
        <v>32021.786034200002</v>
      </c>
      <c r="P19" s="73" ph="1">
        <f ca="1">P18*9.0746*LOOKUP(P20,密度!$A$2:$A$51,密度!$Q$2:$Q$50)</f>
        <v>59466.675323538002</v>
      </c>
      <c r="Q19" s="73" ph="1">
        <f>Q18*9.0746*LOOKUP(Q20,密度!$A$2:$A$50,密度!$Q$2:$Q$50)</f>
        <v>28582.391034559998</v>
      </c>
      <c r="R19" s="73" ph="1">
        <f>MAX(R18*9.0746*LOOKUP(R20,密度!$A$2:$A$50,密度!$B$2:$B$50),0)</f>
        <v>30983.552881060004</v>
      </c>
      <c r="S19" s="73" ph="1">
        <f>S18*9.0746*LOOKUP(S20,密度!$A$2:$A$50,密度!$Q$2:$Q$50)</f>
        <v>53318.467486119996</v>
      </c>
      <c r="T19" s="73" ph="1">
        <f>T18*9.0746*LOOKUP(T20,密度!$A$2:$A$50,密度!$O$2:$O$50)</f>
        <v>54974.587430880005</v>
      </c>
      <c r="U19" s="73" ph="1">
        <f>U18*9.0746*LOOKUP(U20,密度!$A$2:$A$50,密度!$H$2:$H$50)</f>
        <v>23130.978989776002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49587.811493471992</v>
      </c>
      <c r="X19" s="73" ph="1">
        <f>MAX(5600*LOOKUP(X20,密度!$A$2:$A$50,密度!$I$2:$I$50)+X18*9.0476*LOOKUP(X20,密度!$A$2:$A$50,密度!$I$2:$I$50),0)</f>
        <v>16143.514208640001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42.022657680000002</v>
      </c>
      <c r="AB19" s="73" ph="1">
        <f>AB18*9.0746*LOOKUP(AB20,密度!$A$2:$A$50,密度!$L$2:$L$50)</f>
        <v>9196.6896684000003</v>
      </c>
      <c r="AC19" s="73" ph="1">
        <f>AC18*9.0746*LOOKUP(AC20,密度!$A$2:$A$50,密度!$L$2:$L$50)</f>
        <v>18242.886170400001</v>
      </c>
      <c r="AD19" s="73" ph="1">
        <f>AD18*268.68*LOOKUP(AD20,密度!$A$2:$A$50,密度!B5:B53)+IF(AD18&lt;=0,0,1566*LOOKUP(AD20,密度!$A$2:$A$50,密度!B5:B53))</f>
        <v>18798.916399199999</v>
      </c>
      <c r="AE19" s="73" ph="1">
        <f>AE18*268.68*LOOKUP(AE20,密度!$A$2:$A$50,密度!B5:B53)+IF(AE18&lt;=0,0,1566*LOOKUP(AE20,密度!$A$2:$A$50,密度!B5:B53))</f>
        <v>15978.509895599998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37</v>
      </c>
      <c r="G20" s="81">
        <v>29</v>
      </c>
      <c r="H20" s="81">
        <v>27</v>
      </c>
      <c r="I20" s="81">
        <v>31</v>
      </c>
      <c r="J20" s="81">
        <v>32</v>
      </c>
      <c r="K20" s="81">
        <v>30</v>
      </c>
      <c r="L20" s="81">
        <v>32</v>
      </c>
      <c r="M20" s="81">
        <v>34</v>
      </c>
      <c r="N20" s="81">
        <v>28</v>
      </c>
      <c r="O20" s="81">
        <v>31</v>
      </c>
      <c r="P20" s="81">
        <v>34</v>
      </c>
      <c r="Q20" s="81">
        <v>32</v>
      </c>
      <c r="R20" s="81">
        <v>35</v>
      </c>
      <c r="S20" s="81">
        <v>32</v>
      </c>
      <c r="T20" s="81">
        <v>34</v>
      </c>
      <c r="U20" s="81">
        <v>32</v>
      </c>
      <c r="V20" s="81">
        <v>33</v>
      </c>
      <c r="W20" s="81">
        <v>34</v>
      </c>
      <c r="X20" s="81">
        <v>32</v>
      </c>
      <c r="Y20" s="110">
        <v>32</v>
      </c>
      <c r="Z20" s="81">
        <v>42</v>
      </c>
      <c r="AA20" s="81">
        <v>34</v>
      </c>
      <c r="AB20" s="81">
        <v>39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1" t="s" ph="1">
        <v>177</v>
      </c>
      <c r="D24" s="71">
        <v>84.14</v>
      </c>
      <c r="E24" s="71">
        <v>46.21</v>
      </c>
      <c r="F24" s="71">
        <v>3871</v>
      </c>
      <c r="G24" s="71">
        <v>2491</v>
      </c>
      <c r="H24" s="71">
        <v>2250</v>
      </c>
      <c r="I24" s="71">
        <v>2065</v>
      </c>
      <c r="J24" s="71">
        <v>1364</v>
      </c>
      <c r="K24" s="71">
        <v>501</v>
      </c>
      <c r="L24" s="71">
        <v>5613</v>
      </c>
      <c r="M24" s="71">
        <v>4013</v>
      </c>
      <c r="N24" s="71">
        <v>5533</v>
      </c>
      <c r="O24" s="71">
        <v>5597</v>
      </c>
      <c r="P24" s="71">
        <v>2404</v>
      </c>
      <c r="Q24" s="90">
        <v>1948</v>
      </c>
      <c r="R24" s="71">
        <v>217</v>
      </c>
      <c r="S24" s="71">
        <v>4760</v>
      </c>
      <c r="T24" s="71">
        <v>849</v>
      </c>
      <c r="U24" s="71">
        <v>5830</v>
      </c>
      <c r="V24" s="71">
        <v>2204</v>
      </c>
      <c r="W24" s="71">
        <v>9761</v>
      </c>
      <c r="X24" s="71">
        <v>2127</v>
      </c>
      <c r="Y24" s="71">
        <v>4545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22885.295323248003</v>
      </c>
      <c r="E25" s="91" ph="1">
        <f>E24*268.68*LOOKUP(E26,密度!$A$2:$A$50,密度!$C$2:$C$50)+IF(E24&lt;=0,0,1566*LOOKUP(E26,密度!$A$2:$A$50,密度!$C$2:$C$50))</f>
        <v>15504.31023492</v>
      </c>
      <c r="F25" s="91" ph="1">
        <f>F24*11.702*LOOKUP(F26,密度!$A$2:$A$50,密度!$Q$2:$Q$50)</f>
        <v>42758.558357060007</v>
      </c>
      <c r="G25" s="91" ph="1">
        <f>G24*18.322*LOOKUP(G26,密度!$A$2:$A$50,密度!$B$2:$B$50)</f>
        <v>35425.847172399997</v>
      </c>
      <c r="H25" s="91" ph="1">
        <f>H24*18.322*LOOKUP(H26,密度!$A$2:$A$50,密度!$B$2:$B$50)</f>
        <v>31961.35485</v>
      </c>
      <c r="I25" s="91" ph="1">
        <f>I24*18.322*LOOKUP(I26,密度!$A$2:$A$50,密度!$Q$2:$Q$50)</f>
        <v>35713.525474900001</v>
      </c>
      <c r="J25" s="91" ph="1">
        <f>J24*18.322*LOOKUP(J26,密度!$A$2:$A$50,密度!$Q$2:$Q$50)</f>
        <v>23574.956242639997</v>
      </c>
      <c r="K25" s="91" ph="1">
        <f>K24*18.322*LOOKUP(K26,密度!$A$2:$A$50,密度!$Q$2:$Q$50)</f>
        <v>8659.1298222599999</v>
      </c>
      <c r="L25" s="91" ph="1">
        <f>L24*18.322*LOOKUP(L26,密度!$A$2:$A$50,密度!$Q$2:$Q$50)</f>
        <v>97075.069486980006</v>
      </c>
      <c r="M25" s="91" ph="1">
        <f>M24*18.322*LOOKUP(M26,密度!$A$2:$A$50,密度!$Q$2:$Q$50)</f>
        <v>69304.31239988</v>
      </c>
      <c r="N25" s="91" ph="1">
        <f>N24*18.322*LOOKUP(N26,密度!$A$2:$A$50,密度!$Q$2:$Q$50)</f>
        <v>95554.637555079986</v>
      </c>
      <c r="O25" s="91" ph="1">
        <f>O24*18.322*LOOKUP(O26,密度!$A$2:$A$50,密度!$C$2:$C$50)</f>
        <v>113223.50515940001</v>
      </c>
      <c r="P25" s="91" ph="1">
        <f>P24*11.702*LOOKUP(P26,密度!$A$2:$A$50,密度!$B$2:$B$50)</f>
        <v>21810.435682399999</v>
      </c>
      <c r="Q25" s="92" ph="1">
        <f>Q24*18.322*LOOKUP(Q26,密度!$A$2:$A$50,密度!$B$2:$B$50)</f>
        <v>27671.4307768</v>
      </c>
      <c r="R25" s="91" ph="1">
        <f>R24*35.891*LOOKUP(R26,密度!$A$2:$A$50,密度!$C$2:$C$50)</f>
        <v>8613.1329473000005</v>
      </c>
      <c r="S25" s="91" ph="1">
        <f>S24*35.891*LOOKUP(S26,密度!$A$2:$A$50,密度!$B$2:$B$50)</f>
        <v>132606.90839200001</v>
      </c>
      <c r="T25" s="91" ph="1">
        <f>T24*35.891*LOOKUP(T26,密度!$A$2:$A$50,密度!$Q$2:$Q$50)</f>
        <v>28744.641418470001</v>
      </c>
      <c r="U25" s="91" ph="1">
        <f>U24*35.891</f>
        <v>209244.53</v>
      </c>
      <c r="V25" s="91" ph="1">
        <f>V24*47.051*LOOKUP(V26,密度!$A$2:$A$50,密度!$B$2:$B$50)</f>
        <v>80492.253584800012</v>
      </c>
      <c r="W25" s="91" ph="1">
        <f>W24*47.051*LOOKUP(W26,密度!$A$2:$A$50,密度!$B$2:$B$50)</f>
        <v>356068.00796830002</v>
      </c>
      <c r="X25" s="91" ph="1">
        <f>X24*47.051*LOOKUP(X26,密度!$A$2:$A$50,密度!$I$2:$I$50)</f>
        <v>103631.22820827</v>
      </c>
      <c r="Y25" s="91" ph="1">
        <f>Y24*47.051*LOOKUP(Y26,密度!$A$2:$A$50,密度!$L$2:$L$50)</f>
        <v>199305.21294000003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30</v>
      </c>
      <c r="I26" s="74">
        <v>29</v>
      </c>
      <c r="J26" s="74">
        <v>30</v>
      </c>
      <c r="K26" s="74">
        <v>30</v>
      </c>
      <c r="L26" s="74">
        <v>29</v>
      </c>
      <c r="M26" s="74">
        <v>31</v>
      </c>
      <c r="N26" s="74">
        <v>31</v>
      </c>
      <c r="O26" s="74">
        <v>31</v>
      </c>
      <c r="P26" s="74">
        <v>30</v>
      </c>
      <c r="Q26" s="93">
        <v>30</v>
      </c>
      <c r="R26" s="74">
        <v>29</v>
      </c>
      <c r="S26" s="74">
        <v>29</v>
      </c>
      <c r="T26" s="74">
        <v>30</v>
      </c>
      <c r="U26" s="74">
        <v>31</v>
      </c>
      <c r="V26" s="74">
        <v>29</v>
      </c>
      <c r="W26" s="74">
        <v>30</v>
      </c>
      <c r="X26" s="74">
        <v>31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1" t="s" ph="1">
        <v>180</v>
      </c>
      <c r="D27" s="71">
        <v>82.3</v>
      </c>
      <c r="E27" s="71">
        <v>46.2</v>
      </c>
      <c r="F27" s="71">
        <v>3907</v>
      </c>
      <c r="G27" s="71">
        <v>1452</v>
      </c>
      <c r="H27" s="71">
        <v>1738</v>
      </c>
      <c r="I27" s="71">
        <v>1173</v>
      </c>
      <c r="J27" s="71">
        <v>3591</v>
      </c>
      <c r="K27" s="71">
        <v>497</v>
      </c>
      <c r="L27" s="71">
        <v>5609</v>
      </c>
      <c r="M27" s="71">
        <v>4012</v>
      </c>
      <c r="N27" s="71">
        <v>5532</v>
      </c>
      <c r="O27" s="71">
        <v>5593</v>
      </c>
      <c r="P27" s="71">
        <v>1155</v>
      </c>
      <c r="Q27" s="90">
        <v>2954</v>
      </c>
      <c r="R27" s="71">
        <v>213</v>
      </c>
      <c r="S27" s="71">
        <v>4755</v>
      </c>
      <c r="T27" s="71">
        <v>847</v>
      </c>
      <c r="U27" s="71">
        <v>5263</v>
      </c>
      <c r="V27" s="71">
        <v>2677</v>
      </c>
      <c r="W27" s="71">
        <v>9759</v>
      </c>
      <c r="X27" s="71">
        <v>2729</v>
      </c>
      <c r="Y27" s="71">
        <v>5150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1" t="s" ph="1">
        <v>178</v>
      </c>
      <c r="D28" s="91" ph="1">
        <f>D27*268.68*LOOKUP(D29,密度!$A$2:$A$50,密度!$Q$2:$Q$50)+IF(D27&lt;=0,0,1566*LOOKUP(D29,密度!$A$2:$A$50,密度!$Q$2:$Q$50))</f>
        <v>22417.254333360004</v>
      </c>
      <c r="E28" s="91" ph="1">
        <f>E27*268.68*LOOKUP(E29,密度!$A$2:$A$50,密度!$C$2:$C$50)+IF(E27&lt;=0,0,1566*LOOKUP(E29,密度!$A$2:$A$50,密度!$C$2:$C$50))</f>
        <v>15501.330842400001</v>
      </c>
      <c r="F28" s="91" ph="1">
        <f>F27*11.702*LOOKUP(F29,密度!$A$2:$A$50,密度!$Q$2:$Q$50)</f>
        <v>43128.777807619997</v>
      </c>
      <c r="G28" s="91" ph="1">
        <f>G27*18.322*LOOKUP(G29,密度!$A$2:$A$50,密度!$B$2:$B$50)</f>
        <v>20625.727663199999</v>
      </c>
      <c r="H28" s="91" ph="1">
        <f>H27*18.322*LOOKUP(H29,密度!$A$2:$A$50,密度!$B$2:$B$50)</f>
        <v>24688.370990799998</v>
      </c>
      <c r="I28" s="91" ph="1">
        <f>I27*18.322*LOOKUP(I29,密度!$A$2:$A$50,密度!$Q$2:$Q$50)</f>
        <v>20273.771020979999</v>
      </c>
      <c r="J28" s="91" ph="1">
        <f>J27*18.322*LOOKUP(J29,密度!$A$2:$A$50,密度!$Q$2:$Q$50)</f>
        <v>62105.215486859997</v>
      </c>
      <c r="K28" s="91" ph="1">
        <f>K27*18.322*LOOKUP(K29,密度!$A$2:$A$50,密度!$Q$2:$Q$50)</f>
        <v>8595.4586736199999</v>
      </c>
      <c r="L28" s="91" ph="1">
        <f>L27*18.322*LOOKUP(L29,密度!$A$2:$A$50,密度!$Q$2:$Q$50)</f>
        <v>96944.229886339992</v>
      </c>
      <c r="M28" s="91" ph="1">
        <f>M27*18.322*LOOKUP(M29,密度!$A$2:$A$50,密度!$Q$2:$Q$50)</f>
        <v>69342.173347119999</v>
      </c>
      <c r="N28" s="91" ph="1">
        <f>N27*18.322*LOOKUP(N29,密度!$A$2:$A$50,密度!$Q$2:$Q$50)</f>
        <v>95674.199964719999</v>
      </c>
      <c r="O28" s="91" ph="1">
        <f>O27*18.322*LOOKUP(O29,密度!$A$2:$A$50,密度!$C$2:$C$50)</f>
        <v>113245.0628246</v>
      </c>
      <c r="P28" s="91" ph="1">
        <f>P27*11.702*LOOKUP(P29,密度!$A$2:$A$50,密度!$B$2:$B$50)</f>
        <v>10478.807493</v>
      </c>
      <c r="Q28" s="92" ph="1">
        <f>Q27*18.322*LOOKUP(Q29,密度!$A$2:$A$50,密度!$B$2:$B$50)</f>
        <v>42010.418525599998</v>
      </c>
      <c r="R28" s="91" ph="1">
        <f>R27*35.891*LOOKUP(R29,密度!$A$2:$A$50,密度!$C$2:$C$50)</f>
        <v>8454.3655197000007</v>
      </c>
      <c r="S28" s="91" ph="1">
        <f>S27*35.891*LOOKUP(S29,密度!$A$2:$A$50,密度!$B$2:$B$50)</f>
        <v>132467.61542099999</v>
      </c>
      <c r="T28" s="91" ph="1">
        <f>T27*35.891*LOOKUP(T29,密度!$A$2:$A$50,密度!$Q$2:$Q$50)</f>
        <v>28676.927304410001</v>
      </c>
      <c r="U28" s="91" ph="1">
        <f>U27*35.891</f>
        <v>188894.33299999998</v>
      </c>
      <c r="V28" s="91" ph="1">
        <f>V27*47.051*LOOKUP(V29,密度!$A$2:$A$50,密度!$B$2:$B$50)</f>
        <v>97653.320083099999</v>
      </c>
      <c r="W28" s="91" ph="1">
        <f>W27*47.051*LOOKUP(W29,密度!$A$2:$A$50,密度!$B$2:$B$50)</f>
        <v>356408.30432580004</v>
      </c>
      <c r="X28" s="91" ph="1">
        <f>X27*47.051*LOOKUP(X29,密度!$A$2:$A$50,密度!$I$2:$I$50)</f>
        <v>133101.69875139999</v>
      </c>
      <c r="Y28" s="91" ph="1">
        <f>Y27*47.051*LOOKUP(Y29,密度!$A$2:$A$50,密度!$L$2:$L$50)</f>
        <v>226077.70245000004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1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30</v>
      </c>
      <c r="J29" s="74">
        <v>29</v>
      </c>
      <c r="K29" s="74">
        <v>29</v>
      </c>
      <c r="L29" s="74">
        <v>30</v>
      </c>
      <c r="M29" s="74">
        <v>30</v>
      </c>
      <c r="N29" s="74">
        <v>29</v>
      </c>
      <c r="O29" s="74">
        <v>30</v>
      </c>
      <c r="P29" s="74">
        <v>30</v>
      </c>
      <c r="Q29" s="93">
        <v>29</v>
      </c>
      <c r="R29" s="74">
        <v>29</v>
      </c>
      <c r="S29" s="74">
        <v>29</v>
      </c>
      <c r="T29" s="74">
        <v>30</v>
      </c>
      <c r="U29" s="74">
        <v>30</v>
      </c>
      <c r="V29" s="74">
        <v>30</v>
      </c>
      <c r="W29" s="74">
        <v>29</v>
      </c>
      <c r="X29" s="74">
        <v>30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57373.562677199996</v>
      </c>
      <c r="E33" s="190" ph="1">
        <f>M10+I10</f>
        <v>50511.895790100003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16" ph="1">
        <v>0</v>
      </c>
      <c r="H33" s="190" ph="1">
        <f>N19</f>
        <v>15098.1016896</v>
      </c>
      <c r="I33" s="194" ph="1">
        <v>0</v>
      </c>
      <c r="J33" s="198" ph="1">
        <f>F10+O28</f>
        <v>273574.60403390002</v>
      </c>
      <c r="K33" s="190" ph="1">
        <f>O10+K10+E28+R28</f>
        <v>110162.70293490002</v>
      </c>
      <c r="L33" s="200" ph="1">
        <f>BE27</f>
        <v>7100</v>
      </c>
      <c r="M33" s="198" ph="1">
        <f>G10+H10+W28+S28+V28+E10</f>
        <v>1270188.1588899</v>
      </c>
      <c r="N33" s="190" ph="1">
        <f>L10+P10++G28+H28</f>
        <v>59796.823927999998</v>
      </c>
      <c r="O33" s="194" ph="1">
        <f>BE17</f>
        <v>2270</v>
      </c>
      <c r="P33" s="198" ph="1">
        <f>L19</f>
        <v>41264.491184279999</v>
      </c>
      <c r="Q33" s="190" ph="1">
        <f>J10+N10</f>
        <v>111251.78747156</v>
      </c>
      <c r="R33" s="194" ph="1">
        <f>BE23</f>
        <v>890</v>
      </c>
      <c r="S33" s="198" ph="1">
        <f>E10+X28</f>
        <v>444994.10912639997</v>
      </c>
      <c r="T33" s="190" ph="1">
        <f>X19</f>
        <v>16143.514208640001</v>
      </c>
      <c r="U33" s="179" ph="1">
        <f>BE21</f>
        <v>730</v>
      </c>
      <c r="V33" s="192" ph="1">
        <f ca="1">P19+Q19+S19+M28+N28+J28</f>
        <v>368489.12264291802</v>
      </c>
      <c r="W33" s="192" ph="1">
        <f>D28+F28+V19+T28</f>
        <v>106732.60492039</v>
      </c>
      <c r="X33" s="194" ph="1">
        <f>BE29+BE31</f>
        <v>10200</v>
      </c>
      <c r="Y33" s="196" ph="1">
        <f>+Q10+R10+S10+T10+U10+V10+W10+X10+Y10</f>
        <v>208870.63395660001</v>
      </c>
      <c r="Z33" s="177" ph="1">
        <f>D10+T19+U19+Y28+Z10</f>
        <v>555416.70149203599</v>
      </c>
      <c r="AA33" s="179" ph="1">
        <f>BE19</f>
        <v>1440</v>
      </c>
      <c r="AB33" s="181" ph="1">
        <f>I19</f>
        <v>24717.277510199998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3" t="s" ph="1">
        <v>185</v>
      </c>
      <c r="AA36" s="153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75" priority="98">
      <formula>ABS(D$7-D$10)&gt;=1000</formula>
    </cfRule>
  </conditionalFormatting>
  <conditionalFormatting sqref="E4 E6:E11">
    <cfRule type="expression" dxfId="2174" priority="97">
      <formula>ABS(E$7-E$10)&gt;=1000</formula>
    </cfRule>
  </conditionalFormatting>
  <conditionalFormatting sqref="F4:F11">
    <cfRule type="expression" dxfId="2173" priority="96">
      <formula>ABS(F$7-F$10)&gt;=1000</formula>
    </cfRule>
  </conditionalFormatting>
  <conditionalFormatting sqref="G4:G11">
    <cfRule type="expression" dxfId="2172" priority="95">
      <formula>ABS(G$7-G$10)&gt;=1000</formula>
    </cfRule>
  </conditionalFormatting>
  <conditionalFormatting sqref="H4:H11">
    <cfRule type="expression" dxfId="2171" priority="94">
      <formula>ABS(H$7-H$10)&gt;=1000</formula>
    </cfRule>
  </conditionalFormatting>
  <conditionalFormatting sqref="I4:I11">
    <cfRule type="expression" dxfId="2170" priority="93">
      <formula>ABS(I$7-I$10)&gt;=1000</formula>
    </cfRule>
  </conditionalFormatting>
  <conditionalFormatting sqref="J4:J11">
    <cfRule type="expression" dxfId="2169" priority="92">
      <formula>ABS(J$7-J$10)&gt;=1000</formula>
    </cfRule>
  </conditionalFormatting>
  <conditionalFormatting sqref="K4:K11">
    <cfRule type="expression" dxfId="2168" priority="91">
      <formula>ABS(K$7-K$10)&gt;=1000</formula>
    </cfRule>
  </conditionalFormatting>
  <conditionalFormatting sqref="L4:L11">
    <cfRule type="expression" dxfId="2167" priority="90">
      <formula>ABS(L$7-L$10)&gt;=1000</formula>
    </cfRule>
  </conditionalFormatting>
  <conditionalFormatting sqref="M4 M6:M11">
    <cfRule type="expression" dxfId="2166" priority="89">
      <formula>ABS(M$7-M$10)&gt;=1000</formula>
    </cfRule>
  </conditionalFormatting>
  <conditionalFormatting sqref="N4 N6:N11">
    <cfRule type="expression" dxfId="2165" priority="88">
      <formula>ABS(N$7-N$10)&gt;=1000</formula>
    </cfRule>
  </conditionalFormatting>
  <conditionalFormatting sqref="O4 O6:O11">
    <cfRule type="expression" dxfId="2164" priority="87">
      <formula>ABS(O$7-O$10)&gt;=1000</formula>
    </cfRule>
  </conditionalFormatting>
  <conditionalFormatting sqref="P4 P6:P11">
    <cfRule type="expression" dxfId="2163" priority="86">
      <formula>ABS(P$7-P$10)&gt;=1000</formula>
    </cfRule>
  </conditionalFormatting>
  <conditionalFormatting sqref="Q4:Q11">
    <cfRule type="expression" dxfId="2162" priority="85">
      <formula>ABS(Q$7-Q$10)&gt;=1000</formula>
    </cfRule>
  </conditionalFormatting>
  <conditionalFormatting sqref="R4:R11">
    <cfRule type="expression" dxfId="2161" priority="84">
      <formula>ABS(R$7-R$10)&gt;=1000</formula>
    </cfRule>
  </conditionalFormatting>
  <conditionalFormatting sqref="S4:S11">
    <cfRule type="expression" dxfId="2160" priority="83">
      <formula>ABS(S$7-S$10)&gt;=1000</formula>
    </cfRule>
  </conditionalFormatting>
  <conditionalFormatting sqref="T4:T9 T11">
    <cfRule type="expression" dxfId="2159" priority="82">
      <formula>ABS(T$7-T$10)&gt;=1000</formula>
    </cfRule>
  </conditionalFormatting>
  <conditionalFormatting sqref="U4:U9 U11">
    <cfRule type="expression" dxfId="2158" priority="81">
      <formula>ABS(U$7-U$10)&gt;=1000</formula>
    </cfRule>
  </conditionalFormatting>
  <conditionalFormatting sqref="V4:V9 V11">
    <cfRule type="expression" dxfId="2157" priority="80">
      <formula>ABS(V$7-V$10)&gt;=1000</formula>
    </cfRule>
  </conditionalFormatting>
  <conditionalFormatting sqref="W4:W9 W11">
    <cfRule type="expression" dxfId="2156" priority="79">
      <formula>ABS(W$7-W$10)&gt;=1000</formula>
    </cfRule>
  </conditionalFormatting>
  <conditionalFormatting sqref="X4:X9 X11">
    <cfRule type="expression" dxfId="2155" priority="78">
      <formula>ABS(X$7-X$10)&gt;=1000</formula>
    </cfRule>
  </conditionalFormatting>
  <conditionalFormatting sqref="Y4:Y9 Y11">
    <cfRule type="expression" dxfId="2154" priority="77">
      <formula>ABS(Y$7-Y$10)&gt;=1000</formula>
    </cfRule>
  </conditionalFormatting>
  <conditionalFormatting sqref="Z4:Z11">
    <cfRule type="expression" dxfId="2153" priority="76">
      <formula>ABS(Z$7-Z$10)&gt;=1000</formula>
    </cfRule>
  </conditionalFormatting>
  <conditionalFormatting sqref="AA4:AA11">
    <cfRule type="expression" dxfId="2152" priority="75">
      <formula>ABS(AA$7-AA$10)&gt;=1000</formula>
    </cfRule>
  </conditionalFormatting>
  <conditionalFormatting sqref="AB4:AB11">
    <cfRule type="expression" dxfId="2151" priority="74">
      <formula>ABS(AB$7-AB$10)&gt;=1000</formula>
    </cfRule>
  </conditionalFormatting>
  <conditionalFormatting sqref="AC4 AC6:AC11">
    <cfRule type="expression" dxfId="2150" priority="73">
      <formula>ABS(AC$7-AC$10)&gt;=1000</formula>
    </cfRule>
  </conditionalFormatting>
  <conditionalFormatting sqref="AD4:AD11">
    <cfRule type="expression" dxfId="2149" priority="72">
      <formula>ABS(AD$7-AD$10)&gt;=1000</formula>
    </cfRule>
  </conditionalFormatting>
  <conditionalFormatting sqref="AE4 AE6:AE11">
    <cfRule type="expression" dxfId="2148" priority="71">
      <formula>ABS(AE$7-AE$10)&gt;=1000</formula>
    </cfRule>
  </conditionalFormatting>
  <conditionalFormatting sqref="D13:D20">
    <cfRule type="expression" dxfId="2147" priority="70">
      <formula>ABS(D$16-D$19)&gt;=1000</formula>
    </cfRule>
  </conditionalFormatting>
  <conditionalFormatting sqref="E13:E20">
    <cfRule type="expression" dxfId="2146" priority="69">
      <formula>ABS(E$16-E$19)&gt;=1000</formula>
    </cfRule>
  </conditionalFormatting>
  <conditionalFormatting sqref="F13 F15:F20">
    <cfRule type="expression" dxfId="2145" priority="68">
      <formula>ABS(F$16-F$19)&gt;=1000</formula>
    </cfRule>
  </conditionalFormatting>
  <conditionalFormatting sqref="G13:G20">
    <cfRule type="expression" dxfId="2144" priority="67">
      <formula>ABS(G$16-G$19)&gt;=1000</formula>
    </cfRule>
  </conditionalFormatting>
  <conditionalFormatting sqref="H13:H20">
    <cfRule type="expression" dxfId="2143" priority="66">
      <formula>ABS(H$16-H$19)&gt;=1000</formula>
    </cfRule>
  </conditionalFormatting>
  <conditionalFormatting sqref="I13:I20">
    <cfRule type="expression" dxfId="2142" priority="65">
      <formula>ABS(I$16-I$19)&gt;=1000</formula>
    </cfRule>
  </conditionalFormatting>
  <conditionalFormatting sqref="J13:J20">
    <cfRule type="expression" dxfId="2141" priority="64">
      <formula>ABS(J$16-J$19)&gt;=1000</formula>
    </cfRule>
  </conditionalFormatting>
  <conditionalFormatting sqref="L13:L20">
    <cfRule type="expression" dxfId="2140" priority="63">
      <formula>ABS(L$16-L$19)&gt;=1000</formula>
    </cfRule>
  </conditionalFormatting>
  <conditionalFormatting sqref="M13 M15 M17:M18 M20">
    <cfRule type="expression" dxfId="2139" priority="62">
      <formula>ABS(M$16-M$19)&gt;=1000</formula>
    </cfRule>
  </conditionalFormatting>
  <conditionalFormatting sqref="N13:N20">
    <cfRule type="expression" dxfId="2138" priority="61">
      <formula>ABS(N$16-N$19)&gt;=1000</formula>
    </cfRule>
  </conditionalFormatting>
  <conditionalFormatting sqref="O13:O20">
    <cfRule type="expression" dxfId="2137" priority="60">
      <formula>ABS(O$16-O$19)&gt;=1000</formula>
    </cfRule>
  </conditionalFormatting>
  <conditionalFormatting sqref="P13:P20">
    <cfRule type="expression" dxfId="2136" priority="59">
      <formula>ABS(P$16-P$19)&gt;=1000</formula>
    </cfRule>
  </conditionalFormatting>
  <conditionalFormatting sqref="Q13 Q15:Q20">
    <cfRule type="expression" dxfId="2135" priority="58">
      <formula>ABS(Q$16-Q$19)&gt;=1000</formula>
    </cfRule>
  </conditionalFormatting>
  <conditionalFormatting sqref="R13:R20">
    <cfRule type="expression" dxfId="2134" priority="57">
      <formula>ABS(R$16-R$19)&gt;=1000</formula>
    </cfRule>
  </conditionalFormatting>
  <conditionalFormatting sqref="S13:S20">
    <cfRule type="expression" dxfId="2133" priority="56">
      <formula>ABS(S$16-S$19)&gt;=1000</formula>
    </cfRule>
  </conditionalFormatting>
  <conditionalFormatting sqref="T13:T20">
    <cfRule type="expression" dxfId="2132" priority="55">
      <formula>ABS(T$16-T$19)&gt;=1000</formula>
    </cfRule>
  </conditionalFormatting>
  <conditionalFormatting sqref="U13:U20">
    <cfRule type="expression" dxfId="2131" priority="54">
      <formula>ABS(U$16-U$19)&gt;=1000</formula>
    </cfRule>
  </conditionalFormatting>
  <conditionalFormatting sqref="V13:V20">
    <cfRule type="expression" dxfId="2130" priority="53">
      <formula>ABS(V$16-V$19)&gt;=1000</formula>
    </cfRule>
  </conditionalFormatting>
  <conditionalFormatting sqref="W13 W20 W15:W18">
    <cfRule type="expression" dxfId="2129" priority="52">
      <formula>ABS(W$16-W$19)&gt;=1000</formula>
    </cfRule>
  </conditionalFormatting>
  <conditionalFormatting sqref="X13 X15:X20 Y19">
    <cfRule type="expression" dxfId="2128" priority="51">
      <formula>ABS(X$16-X$19)&gt;=1000</formula>
    </cfRule>
  </conditionalFormatting>
  <conditionalFormatting sqref="Y13 Y15:Y18 Y20">
    <cfRule type="expression" dxfId="2127" priority="50">
      <formula>ABS(Y$16-Y$19)&gt;=1000</formula>
    </cfRule>
  </conditionalFormatting>
  <conditionalFormatting sqref="Z13:Z20">
    <cfRule type="expression" dxfId="2126" priority="49">
      <formula>ABS(Z$16-Z$19)&gt;=1000</formula>
    </cfRule>
  </conditionalFormatting>
  <conditionalFormatting sqref="AA13:AA20">
    <cfRule type="expression" dxfId="2125" priority="48">
      <formula>ABS(AA$16-AA$19)&gt;=1000</formula>
    </cfRule>
  </conditionalFormatting>
  <conditionalFormatting sqref="AB13 AB15:AB20">
    <cfRule type="expression" dxfId="2124" priority="47">
      <formula>ABS(AB$16-AB$19)&gt;=1000</formula>
    </cfRule>
  </conditionalFormatting>
  <conditionalFormatting sqref="AC13 AC15:AC20">
    <cfRule type="expression" dxfId="2123" priority="46">
      <formula>ABS(AC$16-AC$19)&gt;=1000</formula>
    </cfRule>
  </conditionalFormatting>
  <conditionalFormatting sqref="AD13:AD20">
    <cfRule type="expression" dxfId="2122" priority="45">
      <formula>ABS(AD$16-AD$19)&gt;=1000</formula>
    </cfRule>
  </conditionalFormatting>
  <conditionalFormatting sqref="AE13:AE20">
    <cfRule type="expression" dxfId="2121" priority="44">
      <formula>ABS(AE$16-AE$19)&gt;=1000</formula>
    </cfRule>
  </conditionalFormatting>
  <conditionalFormatting sqref="D22:D29">
    <cfRule type="expression" dxfId="2120" priority="43">
      <formula>ABS(D$25-D$28)&gt;=1000</formula>
    </cfRule>
  </conditionalFormatting>
  <conditionalFormatting sqref="E22:E29">
    <cfRule type="expression" dxfId="2119" priority="42">
      <formula>ABS(E$25-E$28)&gt;=1000</formula>
    </cfRule>
  </conditionalFormatting>
  <conditionalFormatting sqref="F22:F29">
    <cfRule type="expression" dxfId="2118" priority="41">
      <formula>ABS(F$25-F$28)&gt;=1000</formula>
    </cfRule>
  </conditionalFormatting>
  <conditionalFormatting sqref="G22:G29">
    <cfRule type="expression" dxfId="2117" priority="40">
      <formula>ABS(G$25-G$28)&gt;=1000</formula>
    </cfRule>
  </conditionalFormatting>
  <conditionalFormatting sqref="H22:H29">
    <cfRule type="expression" dxfId="2116" priority="39">
      <formula>ABS(H$25-H$28)&gt;=1000</formula>
    </cfRule>
  </conditionalFormatting>
  <conditionalFormatting sqref="I22 I24:I29">
    <cfRule type="expression" dxfId="2115" priority="38">
      <formula>ABS(I$25-I$28)&gt;=1000</formula>
    </cfRule>
  </conditionalFormatting>
  <conditionalFormatting sqref="J22:J29 K22">
    <cfRule type="expression" dxfId="2114" priority="37">
      <formula>ABS(J$25-J$28)&gt;=1000</formula>
    </cfRule>
  </conditionalFormatting>
  <conditionalFormatting sqref="K23:K29 L25 L28">
    <cfRule type="expression" dxfId="2113" priority="36">
      <formula>ABS(K$25-K$28)&gt;=1000</formula>
    </cfRule>
  </conditionalFormatting>
  <conditionalFormatting sqref="L22 L26:L27 L29 L24">
    <cfRule type="expression" dxfId="2112" priority="35">
      <formula>ABS(L$25-L$28)&gt;=1000</formula>
    </cfRule>
  </conditionalFormatting>
  <conditionalFormatting sqref="M22:M29">
    <cfRule type="expression" dxfId="2111" priority="34">
      <formula>ABS(M$25-M$28)&gt;=1000</formula>
    </cfRule>
  </conditionalFormatting>
  <conditionalFormatting sqref="N22:N29">
    <cfRule type="expression" dxfId="2110" priority="33">
      <formula>ABS(N$25-N$28)&gt;=1000</formula>
    </cfRule>
  </conditionalFormatting>
  <conditionalFormatting sqref="O22:O29">
    <cfRule type="expression" dxfId="2109" priority="32">
      <formula>ABS(O$25-O$28)&gt;=1000</formula>
    </cfRule>
  </conditionalFormatting>
  <conditionalFormatting sqref="P22:P29">
    <cfRule type="expression" dxfId="2108" priority="31">
      <formula>ABS(P$25-P$28)&gt;=1000</formula>
    </cfRule>
  </conditionalFormatting>
  <conditionalFormatting sqref="Q22:Q29">
    <cfRule type="expression" dxfId="2107" priority="30">
      <formula>ABS(Q$25-Q$28)&gt;=1000</formula>
    </cfRule>
  </conditionalFormatting>
  <conditionalFormatting sqref="R22:R29">
    <cfRule type="expression" dxfId="2106" priority="29">
      <formula>ABS(R$25-R$28)&gt;=1000</formula>
    </cfRule>
  </conditionalFormatting>
  <conditionalFormatting sqref="S22:S29">
    <cfRule type="expression" dxfId="2105" priority="28">
      <formula>ABS(S$25-S$28)&gt;=1000</formula>
    </cfRule>
  </conditionalFormatting>
  <conditionalFormatting sqref="T22:T29">
    <cfRule type="expression" dxfId="2104" priority="27">
      <formula>ABS(T$25-T$28)&gt;=1000</formula>
    </cfRule>
  </conditionalFormatting>
  <conditionalFormatting sqref="U22:U29">
    <cfRule type="expression" dxfId="2103" priority="26">
      <formula>ABS(U$25-U$28)&gt;=1000</formula>
    </cfRule>
  </conditionalFormatting>
  <conditionalFormatting sqref="V22:V29">
    <cfRule type="expression" dxfId="2102" priority="25">
      <formula>ABS(V$25-V$28)&gt;=1000</formula>
    </cfRule>
  </conditionalFormatting>
  <conditionalFormatting sqref="W22:W29">
    <cfRule type="expression" dxfId="2101" priority="24">
      <formula>ABS(W$25-W$28)&gt;=1000</formula>
    </cfRule>
  </conditionalFormatting>
  <conditionalFormatting sqref="X22:X29">
    <cfRule type="expression" dxfId="2100" priority="23">
      <formula>ABS(X$25-X$28)&gt;=1000</formula>
    </cfRule>
  </conditionalFormatting>
  <conditionalFormatting sqref="Y22:Y29">
    <cfRule type="expression" dxfId="2099" priority="22">
      <formula>ABS(Y$25-Y$28)&gt;=1000</formula>
    </cfRule>
  </conditionalFormatting>
  <conditionalFormatting sqref="I23">
    <cfRule type="expression" dxfId="2098" priority="21">
      <formula>ABS(I$25-I$28)&gt;=1000</formula>
    </cfRule>
  </conditionalFormatting>
  <conditionalFormatting sqref="Q14">
    <cfRule type="expression" dxfId="2097" priority="20">
      <formula>ABS(Q$16-Q$19)&gt;=1000</formula>
    </cfRule>
  </conditionalFormatting>
  <conditionalFormatting sqref="W14">
    <cfRule type="expression" dxfId="2096" priority="19">
      <formula>ABS(W$16-W$19)&gt;=1000</formula>
    </cfRule>
  </conditionalFormatting>
  <conditionalFormatting sqref="Y14">
    <cfRule type="expression" dxfId="2095" priority="18">
      <formula>ABS(Y$16-Y$19)&gt;=1000</formula>
    </cfRule>
  </conditionalFormatting>
  <conditionalFormatting sqref="X14">
    <cfRule type="expression" dxfId="2094" priority="17">
      <formula>ABS(X$16-X$19)&gt;=1000</formula>
    </cfRule>
  </conditionalFormatting>
  <conditionalFormatting sqref="T10:Y10">
    <cfRule type="expression" dxfId="2093" priority="16">
      <formula>ABS(T$7-T$10)&gt;=1000</formula>
    </cfRule>
  </conditionalFormatting>
  <conditionalFormatting sqref="W19">
    <cfRule type="expression" dxfId="2092" priority="15">
      <formula>ABS(W$16-W$19)&gt;=1000</formula>
    </cfRule>
  </conditionalFormatting>
  <conditionalFormatting sqref="AC5">
    <cfRule type="expression" dxfId="2091" priority="14">
      <formula>ABS(AC$7-AC$10)&gt;=1000</formula>
    </cfRule>
  </conditionalFormatting>
  <conditionalFormatting sqref="M14">
    <cfRule type="expression" dxfId="2090" priority="13">
      <formula>ABS(M$16-M$19)&gt;=1000</formula>
    </cfRule>
  </conditionalFormatting>
  <conditionalFormatting sqref="M16">
    <cfRule type="expression" dxfId="2089" priority="12">
      <formula>ABS(M$16-M$19)&gt;=1000</formula>
    </cfRule>
  </conditionalFormatting>
  <conditionalFormatting sqref="M19">
    <cfRule type="expression" dxfId="2088" priority="11">
      <formula>ABS(M$16-M$19)&gt;=1000</formula>
    </cfRule>
  </conditionalFormatting>
  <conditionalFormatting sqref="K13:K20">
    <cfRule type="expression" dxfId="2087" priority="10">
      <formula>ABS(K$16-K$19)&gt;=1000</formula>
    </cfRule>
  </conditionalFormatting>
  <conditionalFormatting sqref="E5">
    <cfRule type="expression" dxfId="2086" priority="9">
      <formula>ABS(E$7-E$10)&gt;=1000</formula>
    </cfRule>
  </conditionalFormatting>
  <conditionalFormatting sqref="AB14:AC14">
    <cfRule type="expression" dxfId="2085" priority="8">
      <formula>ABS(AB$16-AB$19)&gt;=1000</formula>
    </cfRule>
  </conditionalFormatting>
  <conditionalFormatting sqref="M5">
    <cfRule type="expression" dxfId="2084" priority="7">
      <formula>ABS(M$7-M$10)&gt;=1000</formula>
    </cfRule>
  </conditionalFormatting>
  <conditionalFormatting sqref="N5">
    <cfRule type="expression" dxfId="2083" priority="6">
      <formula>ABS(N$7-N$10)&gt;=1000</formula>
    </cfRule>
  </conditionalFormatting>
  <conditionalFormatting sqref="O5">
    <cfRule type="expression" dxfId="2082" priority="5">
      <formula>ABS(O$7-O$10)&gt;=1000</formula>
    </cfRule>
  </conditionalFormatting>
  <conditionalFormatting sqref="P5">
    <cfRule type="expression" dxfId="2081" priority="4">
      <formula>ABS(P$7-P$10)&gt;=1000</formula>
    </cfRule>
  </conditionalFormatting>
  <conditionalFormatting sqref="L23">
    <cfRule type="expression" dxfId="2080" priority="3">
      <formula>ABS(L$25-L$28)&gt;=1000</formula>
    </cfRule>
  </conditionalFormatting>
  <conditionalFormatting sqref="F14">
    <cfRule type="expression" dxfId="2079" priority="2">
      <formula>ABS(F$16-F$19)&gt;=1000</formula>
    </cfRule>
  </conditionalFormatting>
  <conditionalFormatting sqref="AE5">
    <cfRule type="expression" dxfId="207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57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39">
    <pageSetUpPr fitToPage="1"/>
  </sheetPr>
  <dimension ref="A1:CU223"/>
  <sheetViews>
    <sheetView view="pageBreakPreview" zoomScale="80" zoomScaleNormal="100" zoomScaleSheetLayoutView="80" workbookViewId="0">
      <selection activeCell="W9" sqref="W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45938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1" t="s" ph="1">
        <v>177</v>
      </c>
      <c r="D6" s="71">
        <v>5339</v>
      </c>
      <c r="E6" s="71">
        <v>7825</v>
      </c>
      <c r="F6" s="71">
        <v>4367</v>
      </c>
      <c r="G6" s="71">
        <v>6600</v>
      </c>
      <c r="H6" s="71">
        <v>1768</v>
      </c>
      <c r="I6" s="71">
        <v>4.8099999999999996</v>
      </c>
      <c r="J6" s="71">
        <v>7</v>
      </c>
      <c r="K6" s="71">
        <v>85.39</v>
      </c>
      <c r="L6" s="71">
        <v>65.14</v>
      </c>
      <c r="M6" s="71">
        <v>1449</v>
      </c>
      <c r="N6" s="71">
        <v>3986</v>
      </c>
      <c r="O6" s="71">
        <v>2611</v>
      </c>
      <c r="P6" s="71">
        <v>482</v>
      </c>
      <c r="Q6" s="71">
        <v>0</v>
      </c>
      <c r="R6" s="71">
        <v>0</v>
      </c>
      <c r="S6" s="71">
        <v>5042</v>
      </c>
      <c r="T6" s="71">
        <v>6882</v>
      </c>
      <c r="U6" s="71">
        <v>7131</v>
      </c>
      <c r="V6" s="71">
        <v>4786</v>
      </c>
      <c r="W6" s="71">
        <v>2224</v>
      </c>
      <c r="X6" s="71">
        <v>0</v>
      </c>
      <c r="Y6" s="71">
        <v>0</v>
      </c>
      <c r="Z6" s="71">
        <v>1915</v>
      </c>
      <c r="AA6" s="71">
        <v>556</v>
      </c>
      <c r="AB6" s="71">
        <v>1843</v>
      </c>
      <c r="AC6" s="71">
        <v>2581</v>
      </c>
      <c r="AD6" s="71">
        <v>4350</v>
      </c>
      <c r="AE6" s="71">
        <v>3968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167124.15102321</v>
      </c>
      <c r="E7" s="73" ph="1">
        <f>E6*51.53*LOOKUP(E8,密度!$A$2:$A$50,密度!$B$2:$B$50)</f>
        <v>312981.11044999998</v>
      </c>
      <c r="F7" s="73" ph="1">
        <f>F6*33.183*LOOKUP(F8,密度!$A$2:$A$50,密度!$C$2:$C$50)</f>
        <v>160357.58416259999</v>
      </c>
      <c r="G7" s="73" ph="1">
        <f xml:space="preserve"> (G6+2)*51.53*LOOKUP(G8,密度!$A$2:$A$50,密度!$B$2:$B$50)</f>
        <v>264064.06277199998</v>
      </c>
      <c r="H7" s="73" ph="1">
        <f>(H6)*51.53*LOOKUP(H8,密度!$A$2:$A$50,密度!$B$2:$B$50)</f>
        <v>71107.483720000004</v>
      </c>
      <c r="I7" s="73" ph="1">
        <f>I6*290.8*1.0267</f>
        <v>1436.0945715999999</v>
      </c>
      <c r="J7" s="73" ph="1">
        <f>J6*290.8*0.7892</f>
        <v>1606.4955200000002</v>
      </c>
      <c r="K7" s="73" ph="1">
        <f>K6*290.8*1.1126</f>
        <v>27627.428991200002</v>
      </c>
      <c r="L7" s="73" ph="1">
        <f>L6*290.8*0.777</f>
        <v>14718.487224</v>
      </c>
      <c r="M7" s="73" ph="1">
        <f>M6*33.183*LOOKUP(M8,密度!$A$2:$A$50,密度!$D$2:$D$50)</f>
        <v>49139.974674000005</v>
      </c>
      <c r="N7" s="73" ph="1">
        <f>N6*33.183*LOOKUP(N8,密度!$A$2:$A$50,密度!$E$2:$E$50)</f>
        <v>102851.1597888</v>
      </c>
      <c r="O7" s="73" ph="1">
        <f>O6*20.428*LOOKUP(O8,密度!$A$2:$A$50,密度!$C$2:$C$50)</f>
        <v>58777.933816000004</v>
      </c>
      <c r="P7" s="73" ph="1">
        <f>P6*51.53*LOOKUP(P8,密度!$A$2:$A$50,密度!$B$2:$B$50)</f>
        <v>19340.930101999998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33394.568684400001</v>
      </c>
      <c r="T7" s="73" ph="1">
        <f>T6*1.5*1.5*3.1416*LOOKUP(T8,密度!$A$2:$A$50,密度!$L$2:$L$50)</f>
        <v>45630.046677599996</v>
      </c>
      <c r="U7" s="73" ph="1">
        <f>U6*1.5*1.5*3.1416*LOOKUP(U8,密度!$A$2:$A$50,密度!$L$2:$L$50)</f>
        <v>47079.378284400002</v>
      </c>
      <c r="V7" s="73" ph="1">
        <f>V6*1.5*1.5*3.1416*LOOKUP(V8,密度!$A$2:$A$50,密度!$L$2:$L$50)</f>
        <v>31597.518506400003</v>
      </c>
      <c r="W7" s="73" ph="1">
        <f>W6*1.5*1.5*3.1416*LOOKUP(W8,密度!$A$2:$A$50,密度!$L$2:$L$50)</f>
        <v>14698.729584000001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59542.081965000005</v>
      </c>
      <c r="AA7" s="73" ph="1">
        <f>AA6*33.183*LOOKUP(AA8,密度!$A$2:$A$50,密度!$D$2:$D$50)</f>
        <v>18890.696977200001</v>
      </c>
      <c r="AB7" s="73" ph="1">
        <f>AB6*20.428*LOOKUP(AB8,密度!$A$2:$A$50,密度!$D$2:$D$50)</f>
        <v>38725.559794400004</v>
      </c>
      <c r="AC7" s="73" ph="1">
        <f>AC6*51.53*LOOKUP(AC8,密度!$A$2:$A$50,密度!$Q$2:$Q$50)</f>
        <v>125820.9777479</v>
      </c>
      <c r="AD7" s="73" ph="1">
        <f>AD6*20.428*LOOKUP(AD8,密度!$A$2:$A$50,密度!$V$2:$V$50)</f>
        <v>85094.059680000006</v>
      </c>
      <c r="AE7" s="73" ph="1">
        <f>AE6*20.428</f>
        <v>81058.304000000004</v>
      </c>
    </row>
    <row r="8" spans="1:99" ph="1">
      <c r="B8" s="241" ph="1"/>
      <c r="C8" s="68" t="s" ph="1">
        <v>179</v>
      </c>
      <c r="D8" s="74">
        <v>30</v>
      </c>
      <c r="E8" s="74">
        <v>29</v>
      </c>
      <c r="F8" s="74">
        <v>28</v>
      </c>
      <c r="G8" s="74">
        <v>29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33</v>
      </c>
      <c r="P8" s="74">
        <v>26</v>
      </c>
      <c r="Q8" s="74">
        <v>27</v>
      </c>
      <c r="R8" s="74">
        <v>34</v>
      </c>
      <c r="S8" s="74">
        <v>25</v>
      </c>
      <c r="T8" s="74">
        <v>24</v>
      </c>
      <c r="U8" s="74">
        <v>28</v>
      </c>
      <c r="V8" s="74">
        <v>28</v>
      </c>
      <c r="W8" s="74">
        <v>27</v>
      </c>
      <c r="X8" s="74">
        <v>18</v>
      </c>
      <c r="Y8" s="74">
        <v>26</v>
      </c>
      <c r="Z8" s="74">
        <v>25</v>
      </c>
      <c r="AA8" s="74">
        <v>28</v>
      </c>
      <c r="AB8" s="74">
        <v>23</v>
      </c>
      <c r="AC8" s="74">
        <v>26</v>
      </c>
      <c r="AD8" s="74">
        <v>27</v>
      </c>
      <c r="AE8" s="74">
        <v>30</v>
      </c>
    </row>
    <row r="9" spans="1:99" ht="26.4" ph="1">
      <c r="B9" s="241" ph="1">
        <v>0.66666666666666663</v>
      </c>
      <c r="C9" s="151" t="s" ph="1">
        <v>180</v>
      </c>
      <c r="D9" s="71">
        <v>5342</v>
      </c>
      <c r="E9" s="71">
        <v>7822</v>
      </c>
      <c r="F9" s="71">
        <v>4369</v>
      </c>
      <c r="G9" s="71">
        <v>6545</v>
      </c>
      <c r="H9" s="71">
        <v>1497</v>
      </c>
      <c r="I9" s="71">
        <v>0.04</v>
      </c>
      <c r="J9" s="71">
        <v>7.05</v>
      </c>
      <c r="K9" s="71">
        <v>85.41</v>
      </c>
      <c r="L9" s="71">
        <v>10.68</v>
      </c>
      <c r="M9" s="71">
        <v>1448</v>
      </c>
      <c r="N9" s="71">
        <v>3989</v>
      </c>
      <c r="O9" s="71">
        <v>1700</v>
      </c>
      <c r="P9" s="71">
        <v>515</v>
      </c>
      <c r="Q9" s="71">
        <v>0</v>
      </c>
      <c r="R9" s="71">
        <v>0</v>
      </c>
      <c r="S9" s="71">
        <v>1805</v>
      </c>
      <c r="T9" s="71">
        <v>6887</v>
      </c>
      <c r="U9" s="71">
        <v>7136</v>
      </c>
      <c r="V9" s="71">
        <v>4791</v>
      </c>
      <c r="W9" s="71">
        <v>3988</v>
      </c>
      <c r="X9" s="71">
        <v>0</v>
      </c>
      <c r="Y9" s="71">
        <v>0</v>
      </c>
      <c r="Z9" s="71">
        <v>966</v>
      </c>
      <c r="AA9" s="71">
        <v>556</v>
      </c>
      <c r="AB9" s="71">
        <v>1842</v>
      </c>
      <c r="AC9" s="71">
        <v>2906</v>
      </c>
      <c r="AD9" s="71">
        <v>4350</v>
      </c>
      <c r="AE9" s="71">
        <v>3780</v>
      </c>
    </row>
    <row r="10" spans="1:99" s="72" customFormat="1" ht="22.2" ph="1">
      <c r="B10" s="241" ph="1"/>
      <c r="C10" s="151" t="s" ph="1">
        <v>178</v>
      </c>
      <c r="D10" s="73" ph="1">
        <f>D9*33.183*LOOKUP(D11,密度!$A$2:$A$50,密度!$Q$2:$Q$50)</f>
        <v>167085.11089188</v>
      </c>
      <c r="E10" s="73" ph="1">
        <f>E9*51.53*LOOKUP(E11,密度!$A$2:$A$50,密度!$B$2:$B$50)</f>
        <v>311772.83501000004</v>
      </c>
      <c r="F10" s="73" ph="1">
        <f>F9*33.183*LOOKUP(F11,密度!$A$2:$A$50,密度!$C$2:$C$50)</f>
        <v>160329.54120930002</v>
      </c>
      <c r="G10" s="73" ph="1">
        <f xml:space="preserve"> (G9+2)*51.53*LOOKUP(G11,密度!$A$2:$A$50,密度!$B$2:$B$50)</f>
        <v>261256.935104</v>
      </c>
      <c r="H10" s="73" ph="1">
        <f>(H9)*51.53*LOOKUP(H11,密度!$A$2:$A$50,密度!$B$2:$B$50)</f>
        <v>59876.386242</v>
      </c>
      <c r="I10" s="73" ph="1">
        <f>I9*290.8*1.0267</f>
        <v>11.942574400000002</v>
      </c>
      <c r="J10" s="73" ph="1">
        <f>J9*290.8*0.7892</f>
        <v>1617.9704879999999</v>
      </c>
      <c r="K10" s="73" ph="1">
        <f>K9*290.8*1.1126</f>
        <v>27633.899872800001</v>
      </c>
      <c r="L10" s="73" ph="1">
        <f>L9*290.8*0.777</f>
        <v>2413.1630880000002</v>
      </c>
      <c r="M10" s="73" ph="1">
        <f>M9*33.183*LOOKUP(M11,密度!$A$2:$A$50,密度!$D$2:$D$50)</f>
        <v>49019.573476799997</v>
      </c>
      <c r="N10" s="73" ph="1">
        <f>N9*33.183*LOOKUP(N11,密度!$A$2:$A$50,密度!$E$2:$E$50)</f>
        <v>102776.34705614999</v>
      </c>
      <c r="O10" s="73" ph="1">
        <f>O9*20.428*LOOKUP(O11,密度!$A$2:$A$50,密度!$C$2:$C$50)</f>
        <v>38158.686880000001</v>
      </c>
      <c r="P10" s="73" ph="1">
        <f>P9*51.53*LOOKUP(P11,密度!$A$2:$A$50,密度!$B$2:$B$50)</f>
        <v>20481.989810000003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11942.258328000002</v>
      </c>
      <c r="T10" s="73" ph="1">
        <f>T9*1.5*1.5*3.1416*LOOKUP(T11,密度!$A$2:$A$50,密度!$L$2:$L$50)</f>
        <v>45565.8355152</v>
      </c>
      <c r="U10" s="73" ph="1">
        <f>U9*1.5*1.5*3.1416*LOOKUP(U11,密度!$A$2:$A$50,密度!$L$2:$L$50)</f>
        <v>47112.388646400002</v>
      </c>
      <c r="V10" s="73" ph="1">
        <f>V9*1.5*1.5*3.1416*LOOKUP(V11,密度!$A$2:$A$50,密度!$L$2:$L$50)</f>
        <v>31630.528868399997</v>
      </c>
      <c r="W10" s="73" ph="1">
        <f>W9*1.5*1.5*3.1416*LOOKUP(W11,密度!$A$2:$A$50,密度!$L$2:$L$50)</f>
        <v>26329.0647312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29939.162651999999</v>
      </c>
      <c r="AA10" s="73" ph="1">
        <f>AA9*33.183*LOOKUP(AA11,密度!$A$2:$A$50,密度!$D$2:$D$50)</f>
        <v>18807.673111200002</v>
      </c>
      <c r="AB10" s="73" ph="1">
        <f>AB9*20.428*LOOKUP(AB11,密度!$A$2:$A$50,密度!$D$2:$D$50)</f>
        <v>38599.188100800005</v>
      </c>
      <c r="AC10" s="73" ph="1">
        <f>AC9*51.53*LOOKUP(AC11,密度!$A$2:$A$50,密度!$Q$2:$Q$50)</f>
        <v>141147.75434439999</v>
      </c>
      <c r="AD10" s="73" ph="1">
        <f>AD9*20.428*LOOKUP(AD11,密度!$A$2:$A$50,密度!$V$2:$V$50)</f>
        <v>85094.059680000006</v>
      </c>
      <c r="AE10" s="73" ph="1">
        <f>AE9*20.428</f>
        <v>77217.84</v>
      </c>
    </row>
    <row r="11" spans="1:99" ph="1">
      <c r="A11" s="64" t="s" ph="1">
        <v>162</v>
      </c>
      <c r="B11" s="241" ph="1"/>
      <c r="C11" s="151" t="s" ph="1">
        <v>179</v>
      </c>
      <c r="D11" s="74">
        <v>31</v>
      </c>
      <c r="E11" s="74">
        <v>32</v>
      </c>
      <c r="F11" s="74">
        <v>29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36</v>
      </c>
      <c r="P11" s="74">
        <v>34</v>
      </c>
      <c r="Q11" s="74">
        <v>38</v>
      </c>
      <c r="R11" s="74">
        <v>36</v>
      </c>
      <c r="S11" s="74">
        <v>26</v>
      </c>
      <c r="T11" s="74">
        <v>26</v>
      </c>
      <c r="U11" s="74">
        <v>28</v>
      </c>
      <c r="V11" s="74">
        <v>28</v>
      </c>
      <c r="W11" s="74">
        <v>28</v>
      </c>
      <c r="X11" s="74">
        <v>27</v>
      </c>
      <c r="Y11" s="74">
        <v>32</v>
      </c>
      <c r="Z11" s="74">
        <v>28</v>
      </c>
      <c r="AA11" s="74">
        <v>33</v>
      </c>
      <c r="AB11" s="74">
        <v>26</v>
      </c>
      <c r="AC11" s="74">
        <v>31</v>
      </c>
      <c r="AD11" s="74">
        <v>31</v>
      </c>
      <c r="AE11" s="74">
        <v>33</v>
      </c>
    </row>
    <row r="12" spans="1:99" ht="9.9" customHeight="1" ph="1"/>
    <row r="13" spans="1:99" s="72" customFormat="1" ht="29.25" customHeight="1" ph="1">
      <c r="B13" s="218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1" t="s" ph="1">
        <v>177</v>
      </c>
      <c r="D15" s="78">
        <v>2040</v>
      </c>
      <c r="E15" s="78">
        <v>68</v>
      </c>
      <c r="F15" s="78">
        <v>4777</v>
      </c>
      <c r="G15" s="78">
        <v>4379</v>
      </c>
      <c r="H15" s="78">
        <v>1968</v>
      </c>
      <c r="I15" s="78">
        <v>2672</v>
      </c>
      <c r="J15" s="78">
        <v>1173</v>
      </c>
      <c r="K15" s="78">
        <v>3579</v>
      </c>
      <c r="L15" s="78">
        <v>5852</v>
      </c>
      <c r="M15" s="78">
        <v>4011</v>
      </c>
      <c r="N15" s="78">
        <v>1910</v>
      </c>
      <c r="O15" s="78">
        <v>3696</v>
      </c>
      <c r="P15" s="78">
        <v>6958</v>
      </c>
      <c r="Q15" s="78">
        <v>3345</v>
      </c>
      <c r="R15" s="78">
        <v>4425</v>
      </c>
      <c r="S15" s="78">
        <v>6231</v>
      </c>
      <c r="T15" s="78">
        <v>6623</v>
      </c>
      <c r="U15" s="78">
        <v>2759</v>
      </c>
      <c r="V15" s="78">
        <v>850</v>
      </c>
      <c r="W15" s="71">
        <v>5207</v>
      </c>
      <c r="X15" s="78">
        <v>1107</v>
      </c>
      <c r="Y15" s="106">
        <v>-2367</v>
      </c>
      <c r="Z15" s="78">
        <v>0</v>
      </c>
      <c r="AA15" s="78">
        <v>8</v>
      </c>
      <c r="AB15" s="78" ph="1">
        <v>1099</v>
      </c>
      <c r="AC15" s="78" ph="1">
        <v>2157</v>
      </c>
      <c r="AD15" s="78">
        <v>75.52</v>
      </c>
      <c r="AE15" s="78">
        <v>0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1" t="s" ph="1">
        <v>178</v>
      </c>
      <c r="D16" s="73" ph="1">
        <f>D15*7.0686*LOOKUP(D17,密度!$A$2:$A$50,密度!$L$2:$L$50)</f>
        <v>13439.387807999999</v>
      </c>
      <c r="E16" s="73" ph="1">
        <f>E15*7.0686*LOOKUP(E17,密度!$A$2:$A$50,密度!$L$2:$L$50)</f>
        <v>447.97959360000004</v>
      </c>
      <c r="F16" s="73" ph="1">
        <f>F15*9.0746*LOOKUP(F17,密度!$A$2:$A$50,密度!$L$2:$L$50)</f>
        <v>40184.860613400007</v>
      </c>
      <c r="G16" s="73" ph="1">
        <f>G15*9.0746*LOOKUP(G17,密度!$A$2:$A$50,密度!$B$2:$B$50)</f>
        <v>30844.382093079999</v>
      </c>
      <c r="H16" s="73" ph="1">
        <f>H15*9.0746*LOOKUP(H17,密度!$A$2:$A$50,密度!$L$2:$L$50)</f>
        <v>16733.7075936</v>
      </c>
      <c r="I16" s="73" ph="1">
        <f>I15*9.0746*LOOKUP(I17,密度!$A$2:$A$50,密度!$U$2:$U$50)</f>
        <v>24805.019817599998</v>
      </c>
      <c r="J16" s="73" ph="1">
        <f>J15*9.0746*LOOKUP(J17,密度!$A$2:$A$50,密度!$L$2:$L$50)</f>
        <v>9941.9684172000016</v>
      </c>
      <c r="K16" s="73" ph="1">
        <f>K15*9.0746*LOOKUP(K17,密度!$A$2:$A$50,密度!$C$2:$C$50)</f>
        <v>35940.147496439997</v>
      </c>
      <c r="L16" s="73" ph="1">
        <f>L15*9.0746*LOOKUP(L17,密度!$A$2:$A$50,密度!$E$2:$E$50)</f>
        <v>41294.105233920003</v>
      </c>
      <c r="M16" s="73" ph="1">
        <f>M15*9.0746*LOOKUP(M17,密度!$A$2:$A$50,密度!$M$2:$M$50)</f>
        <v>31548.885669462001</v>
      </c>
      <c r="N16" s="73" ph="1">
        <f>N15*9.0746*LOOKUP(N17,密度!$A$2:$A$50,密度!$M$2:$M$50)</f>
        <v>15150.3260126</v>
      </c>
      <c r="O16" s="73" ph="1">
        <f>O15*9.0746*LOOKUP(O17,密度!$A$2:$A$50,密度!$G$2:$G$50)</f>
        <v>32020.372211520003</v>
      </c>
      <c r="P16" s="73" ph="1">
        <f ca="1">P15*9.0746*LOOKUP(P17,密度!$A$2:$A$51,密度!$Q$2:$Q$50)</f>
        <v>59562.862544444004</v>
      </c>
      <c r="Q16" s="73" ph="1">
        <f>Q15*9.0746*LOOKUP(Q17,密度!$A$2:$A$50,密度!$Q$2:$Q$50)</f>
        <v>28634.34538821</v>
      </c>
      <c r="R16" s="73" ph="1">
        <f>MAX(R15*9.0746*LOOKUP(R17,密度!$A$2:$A$50,密度!$B$2:$B$50),0)</f>
        <v>31059.973717500001</v>
      </c>
      <c r="S16" s="73" ph="1">
        <f>S15*9.0746*LOOKUP(S17,密度!$A$2:$A$50,密度!$Q$2:$Q$50)</f>
        <v>53339.493606558004</v>
      </c>
      <c r="T16" s="73" ph="1">
        <f>T15*9.0746*LOOKUP(T17,密度!$A$2:$A$50,密度!$O$2:$O$50)</f>
        <v>55653.596190800003</v>
      </c>
      <c r="U16" s="73" ph="1">
        <f>U15*9.0746*LOOKUP(U17,密度!$A$2:$A$50,密度!$H$2:$H$50)</f>
        <v>22808.544295400003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49723.729149155995</v>
      </c>
      <c r="X16" s="73" ph="1">
        <f>MAX(5600*LOOKUP(X17,密度!$A$2:$A$50,密度!$I$2:$I$50)+X15*9.0476*LOOKUP(X17,密度!$A$2:$A$50,密度!$I$2:$I$50),0)</f>
        <v>16187.227571119998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56.596465279999997</v>
      </c>
      <c r="AB16" s="73" ph="1">
        <f>AB15*9.0746*LOOKUP(AB17,密度!$A$2:$A$50,密度!$L$2:$L$50)</f>
        <v>9314.7683636000002</v>
      </c>
      <c r="AC16" s="73" ph="1">
        <f>AC15*9.0746*LOOKUP(AC17,密度!$A$2:$A$50,密度!$L$2:$L$50)</f>
        <v>18282.0339948</v>
      </c>
      <c r="AD16" s="73" ph="1">
        <f>AD15*268.68*LOOKUP(AD17,密度!$A$2:$A$50,密度!B2:B50)+IF(AD15&lt;=0,0,1566*LOOKUP(AD17,密度!$A$2:$A$50,密度!B2:B50))</f>
        <v>17039.493922559999</v>
      </c>
      <c r="AE16" s="73" ph="1">
        <f>AE15*268.68*LOOKUP(AE17,密度!$A$2:$A$50,密度!B2:B50)+IF(AE15&lt;=0,0,1566*LOOKUP(AE17,密度!$A$2:$A$50,密度!B2:B50))</f>
        <v>0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35</v>
      </c>
      <c r="G17" s="74">
        <v>29</v>
      </c>
      <c r="H17" s="74">
        <v>25</v>
      </c>
      <c r="I17" s="74">
        <v>27</v>
      </c>
      <c r="J17" s="74">
        <v>28</v>
      </c>
      <c r="K17" s="74">
        <v>28</v>
      </c>
      <c r="L17" s="74">
        <v>30</v>
      </c>
      <c r="M17" s="74">
        <v>33</v>
      </c>
      <c r="N17" s="74">
        <v>26</v>
      </c>
      <c r="O17" s="74">
        <v>30</v>
      </c>
      <c r="P17" s="74">
        <v>30</v>
      </c>
      <c r="Q17" s="74">
        <v>30</v>
      </c>
      <c r="R17" s="74">
        <v>32</v>
      </c>
      <c r="S17" s="74">
        <v>30</v>
      </c>
      <c r="T17" s="74">
        <v>28</v>
      </c>
      <c r="U17" s="74">
        <v>29</v>
      </c>
      <c r="V17" s="74">
        <v>30</v>
      </c>
      <c r="W17" s="74">
        <v>30</v>
      </c>
      <c r="X17" s="74">
        <v>30</v>
      </c>
      <c r="Y17" s="108">
        <v>30</v>
      </c>
      <c r="Z17" s="74">
        <v>28</v>
      </c>
      <c r="AA17" s="74">
        <v>25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1061</v>
      </c>
      <c r="E18" s="71">
        <v>66</v>
      </c>
      <c r="F18" s="71">
        <v>4776</v>
      </c>
      <c r="G18" s="71">
        <v>4594</v>
      </c>
      <c r="H18" s="71">
        <v>1968</v>
      </c>
      <c r="I18" s="71">
        <v>2673</v>
      </c>
      <c r="J18" s="71">
        <v>1204</v>
      </c>
      <c r="K18" s="71">
        <v>3579</v>
      </c>
      <c r="L18" s="71">
        <v>5861</v>
      </c>
      <c r="M18" s="71">
        <v>4929</v>
      </c>
      <c r="N18" s="71">
        <v>3636</v>
      </c>
      <c r="O18" s="71">
        <v>941</v>
      </c>
      <c r="P18" s="71">
        <v>6965</v>
      </c>
      <c r="Q18" s="71">
        <v>3343</v>
      </c>
      <c r="R18" s="71">
        <v>4427</v>
      </c>
      <c r="S18" s="71">
        <v>6236</v>
      </c>
      <c r="T18" s="71">
        <v>4429</v>
      </c>
      <c r="U18" s="71">
        <v>2758</v>
      </c>
      <c r="V18" s="71">
        <v>850</v>
      </c>
      <c r="W18" s="71">
        <v>5208</v>
      </c>
      <c r="X18" s="71">
        <v>1106</v>
      </c>
      <c r="Y18" s="109">
        <v>-9908</v>
      </c>
      <c r="Z18" s="71">
        <v>0</v>
      </c>
      <c r="AA18" s="71">
        <v>6</v>
      </c>
      <c r="AB18" s="71">
        <v>1097</v>
      </c>
      <c r="AC18" s="71">
        <v>2157</v>
      </c>
      <c r="AD18" s="71">
        <v>84.46</v>
      </c>
      <c r="AE18" s="71">
        <v>23.58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1" t="s" ph="1">
        <v>178</v>
      </c>
      <c r="D19" s="73" ph="1">
        <f>D18*7.0686*LOOKUP(D20,密度!$A$2:$A$50,密度!$L$2:$L$50)</f>
        <v>6974.7996780000003</v>
      </c>
      <c r="E19" s="73" ph="1">
        <f>E18*7.0686*LOOKUP(E20,密度!$A$2:$A$50,密度!$L$2:$L$50)</f>
        <v>433.87066800000002</v>
      </c>
      <c r="F19" s="73" ph="1">
        <f>F18*9.0746*LOOKUP(F20,密度!$A$2:$A$50,密度!$L$2:$L$50)</f>
        <v>40089.767880000007</v>
      </c>
      <c r="G19" s="73" ph="1">
        <f>G18*9.0746*LOOKUP(G20,密度!$A$2:$A$50,密度!$B$2:$B$50)</f>
        <v>32321.258723720002</v>
      </c>
      <c r="H19" s="73" ph="1">
        <f>H18*9.0746*LOOKUP(H20,密度!$A$2:$A$50,密度!$L$2:$L$50)</f>
        <v>16715.848780799999</v>
      </c>
      <c r="I19" s="73" ph="1">
        <f>I18*9.0746*LOOKUP(I20,密度!$A$2:$A$50,密度!$U$2:$U$50)</f>
        <v>24693.021104400003</v>
      </c>
      <c r="J19" s="73" ph="1">
        <f>J18*9.0746*LOOKUP(J20,密度!$A$2:$A$50,密度!$L$2:$L$50)</f>
        <v>10161.011112</v>
      </c>
      <c r="K19" s="73" ph="1">
        <f>K18*9.0746*LOOKUP(K20,密度!$A$2:$A$50,密度!$C$2:$C$50)</f>
        <v>35891.430506339995</v>
      </c>
      <c r="L19" s="73" ph="1">
        <f>L18*9.0746*LOOKUP(L20,密度!$A$2:$A$50,密度!$E$2:$E$50)</f>
        <v>41357.612914559999</v>
      </c>
      <c r="M19" s="73" ph="1">
        <f>M18*9.0746*LOOKUP(M20,密度!$A$2:$A$50,密度!$M$2:$M$50)</f>
        <v>38722.533107447998</v>
      </c>
      <c r="N19" s="73" ph="1">
        <f>N18*9.0746*LOOKUP(N20,密度!$A$2:$A$50,密度!$M$2:$M$50)</f>
        <v>28702.564147440004</v>
      </c>
      <c r="O19" s="73" ph="1">
        <f>O18*9.0746*LOOKUP(O20,密度!$A$2:$A$50,密度!$G$2:$G$50)</f>
        <v>8134.782154304</v>
      </c>
      <c r="P19" s="73" ph="1">
        <f ca="1">P18*9.0746*LOOKUP(P20,密度!$A$2:$A$51,密度!$Q$2:$Q$50)</f>
        <v>59491.319396250001</v>
      </c>
      <c r="Q19" s="73" ph="1">
        <f>Q18*9.0746*LOOKUP(Q20,密度!$A$2:$A$50,密度!$Q$2:$Q$50)</f>
        <v>28573.843668819998</v>
      </c>
      <c r="R19" s="73" ph="1">
        <f>MAX(R18*9.0746*LOOKUP(R20,密度!$A$2:$A$50,密度!$B$2:$B$50),0)</f>
        <v>30969.561662780005</v>
      </c>
      <c r="S19" s="73" ph="1">
        <f>S18*9.0746*LOOKUP(S20,密度!$A$2:$A$50,密度!$Q$2:$Q$50)</f>
        <v>53301.372754639997</v>
      </c>
      <c r="T19" s="73" ph="1">
        <f>T18*9.0746*LOOKUP(T20,密度!$A$2:$A$50,密度!$O$2:$O$50)</f>
        <v>36960.014566639999</v>
      </c>
      <c r="U19" s="73" ph="1">
        <f>U18*9.0746*LOOKUP(U20,密度!$A$2:$A$50,密度!$H$2:$H$50)</f>
        <v>22727.196314143999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49553.543557951991</v>
      </c>
      <c r="X19" s="73" ph="1">
        <f>MAX(5600*LOOKUP(X20,密度!$A$2:$A$50,密度!$I$2:$I$50)+X18*9.0476*LOOKUP(X20,密度!$A$2:$A$50,密度!$I$2:$I$50),0)</f>
        <v>16126.190832024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41.973654840000002</v>
      </c>
      <c r="AB19" s="73" ph="1">
        <f>AB18*9.0746*LOOKUP(AB20,密度!$A$2:$A$50,密度!$L$2:$L$50)</f>
        <v>9188.3138125999994</v>
      </c>
      <c r="AC19" s="73" ph="1">
        <f>AC18*9.0746*LOOKUP(AC20,密度!$A$2:$A$50,密度!$L$2:$L$50)</f>
        <v>18242.886170400001</v>
      </c>
      <c r="AD19" s="73" ph="1">
        <f>AD18*268.68*LOOKUP(AD20,密度!$A$2:$A$50,密度!B5:B53)+IF(AD18&lt;=0,0,1566*LOOKUP(AD20,密度!$A$2:$A$50,密度!B5:B53))</f>
        <v>18849.019845599996</v>
      </c>
      <c r="AE19" s="73" ph="1">
        <f>AE18*268.68*LOOKUP(AE20,密度!$A$2:$A$50,密度!B5:B53)+IF(AE18&lt;=0,0,1566*LOOKUP(AE20,密度!$A$2:$A$50,密度!B5:B53))</f>
        <v>6139.4456088000006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37</v>
      </c>
      <c r="G20" s="81">
        <v>30</v>
      </c>
      <c r="H20" s="81">
        <v>26</v>
      </c>
      <c r="I20" s="81">
        <v>32</v>
      </c>
      <c r="J20" s="81">
        <v>32</v>
      </c>
      <c r="K20" s="81">
        <v>30</v>
      </c>
      <c r="L20" s="81">
        <v>30</v>
      </c>
      <c r="M20" s="81">
        <v>34</v>
      </c>
      <c r="N20" s="81">
        <v>30</v>
      </c>
      <c r="O20" s="81">
        <v>32</v>
      </c>
      <c r="P20" s="81">
        <v>33</v>
      </c>
      <c r="Q20" s="81">
        <v>32</v>
      </c>
      <c r="R20" s="81">
        <v>35</v>
      </c>
      <c r="S20" s="81">
        <v>32</v>
      </c>
      <c r="T20" s="81">
        <v>35</v>
      </c>
      <c r="U20" s="81">
        <v>32</v>
      </c>
      <c r="V20" s="81">
        <v>33</v>
      </c>
      <c r="W20" s="81">
        <v>35</v>
      </c>
      <c r="X20" s="81">
        <v>33</v>
      </c>
      <c r="Y20" s="110">
        <v>33</v>
      </c>
      <c r="Z20" s="81">
        <v>42</v>
      </c>
      <c r="AA20" s="81">
        <v>35</v>
      </c>
      <c r="AB20" s="81">
        <v>39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1" t="s" ph="1">
        <v>177</v>
      </c>
      <c r="D24" s="71">
        <v>61.19</v>
      </c>
      <c r="E24" s="71">
        <v>46.21</v>
      </c>
      <c r="F24" s="71">
        <v>3736</v>
      </c>
      <c r="G24" s="71">
        <v>2519</v>
      </c>
      <c r="H24" s="71">
        <v>902</v>
      </c>
      <c r="I24" s="71">
        <v>1174</v>
      </c>
      <c r="J24" s="71">
        <v>4185</v>
      </c>
      <c r="K24" s="71">
        <v>501</v>
      </c>
      <c r="L24" s="71">
        <v>5613</v>
      </c>
      <c r="M24" s="71">
        <v>4013</v>
      </c>
      <c r="N24" s="71">
        <v>5534</v>
      </c>
      <c r="O24" s="71">
        <v>5597</v>
      </c>
      <c r="P24" s="71">
        <v>2389</v>
      </c>
      <c r="Q24" s="90">
        <v>3760</v>
      </c>
      <c r="R24" s="71">
        <v>215</v>
      </c>
      <c r="S24" s="71">
        <v>4758</v>
      </c>
      <c r="T24" s="71">
        <v>848</v>
      </c>
      <c r="U24" s="71">
        <v>5413</v>
      </c>
      <c r="V24" s="71">
        <v>3172</v>
      </c>
      <c r="W24" s="71">
        <v>9759</v>
      </c>
      <c r="X24" s="71">
        <v>2728</v>
      </c>
      <c r="Y24" s="71">
        <v>6015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17047.501454808003</v>
      </c>
      <c r="E25" s="91" ph="1">
        <f>E24*268.68*LOOKUP(E26,密度!$A$2:$A$50,密度!$C$2:$C$50)+IF(E24&lt;=0,0,1566*LOOKUP(E26,密度!$A$2:$A$50,密度!$C$2:$C$50))</f>
        <v>15504.31023492</v>
      </c>
      <c r="F25" s="91" ph="1">
        <f>F24*11.702*LOOKUP(F26,密度!$A$2:$A$50,密度!$Q$2:$Q$50)</f>
        <v>41241.13485776</v>
      </c>
      <c r="G25" s="91" ph="1">
        <f>G24*18.322*LOOKUP(G26,密度!$A$2:$A$50,密度!$B$2:$B$50)</f>
        <v>35782.512385399998</v>
      </c>
      <c r="H25" s="91" ph="1">
        <f>H24*18.322*LOOKUP(H26,密度!$A$2:$A$50,密度!$B$2:$B$50)</f>
        <v>12798.078233599999</v>
      </c>
      <c r="I25" s="91" ph="1">
        <f>I24*18.322*LOOKUP(I26,密度!$A$2:$A$50,密度!$Q$2:$Q$50)</f>
        <v>20291.054713239999</v>
      </c>
      <c r="J25" s="91" ph="1">
        <f>J24*18.322*LOOKUP(J26,密度!$A$2:$A$50,密度!$Q$2:$Q$50)</f>
        <v>72378.25865009999</v>
      </c>
      <c r="K25" s="91" ph="1">
        <f>K24*18.322*LOOKUP(K26,密度!$A$2:$A$50,密度!$Q$2:$Q$50)</f>
        <v>8664.6374154599998</v>
      </c>
      <c r="L25" s="91" ph="1">
        <f>L24*18.322*LOOKUP(L26,密度!$A$2:$A$50,密度!$Q$2:$Q$50)</f>
        <v>97013.364655379992</v>
      </c>
      <c r="M25" s="91" ph="1">
        <f>M24*18.322*LOOKUP(M26,密度!$A$2:$A$50,密度!$Q$2:$Q$50)</f>
        <v>69304.31239988</v>
      </c>
      <c r="N25" s="91" ph="1">
        <f>N24*18.322*LOOKUP(N26,密度!$A$2:$A$50,密度!$Q$2:$Q$50)</f>
        <v>95647.952966839992</v>
      </c>
      <c r="O25" s="91" ph="1">
        <f>O24*18.322*LOOKUP(O26,密度!$A$2:$A$50,密度!$C$2:$C$50)</f>
        <v>113408.0919806</v>
      </c>
      <c r="P25" s="91" ph="1">
        <f>P24*11.702*LOOKUP(P26,密度!$A$2:$A$50,密度!$B$2:$B$50)</f>
        <v>21649.186803200002</v>
      </c>
      <c r="Q25" s="92" ph="1">
        <f>Q24*18.322*LOOKUP(Q26,密度!$A$2:$A$50,密度!$B$2:$B$50)</f>
        <v>53348.973568000001</v>
      </c>
      <c r="R25" s="91" ph="1">
        <f>R24*35.891*LOOKUP(R26,密度!$A$2:$A$50,密度!$C$2:$C$50)</f>
        <v>8533.7492335000006</v>
      </c>
      <c r="S25" s="91" ph="1">
        <f>S24*35.891*LOOKUP(S26,密度!$A$2:$A$50,密度!$B$2:$B$50)</f>
        <v>132243.8063232</v>
      </c>
      <c r="T25" s="91" ph="1">
        <f>T24*35.891*LOOKUP(T26,密度!$A$2:$A$50,密度!$Q$2:$Q$50)</f>
        <v>28710.784361440001</v>
      </c>
      <c r="U25" s="91" ph="1">
        <f>U24*35.891</f>
        <v>194277.98299999998</v>
      </c>
      <c r="V25" s="91" ph="1">
        <f>V24*47.051*LOOKUP(V26,密度!$A$2:$A$50,密度!$B$2:$B$50)</f>
        <v>115575.9258368</v>
      </c>
      <c r="W25" s="91" ph="1">
        <f>W24*47.051*LOOKUP(W26,密度!$A$2:$A$50,密度!$B$2:$B$50)</f>
        <v>356408.30432580004</v>
      </c>
      <c r="X25" s="91" ph="1">
        <f>X24*47.051*LOOKUP(X26,密度!$A$2:$A$50,密度!$I$2:$I$50)</f>
        <v>132913.01859528001</v>
      </c>
      <c r="Y25" s="91" ph="1">
        <f>Y24*47.051*LOOKUP(Y26,密度!$A$2:$A$50,密度!$L$2:$L$50)</f>
        <v>264049.97674500005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30</v>
      </c>
      <c r="J26" s="74">
        <v>29</v>
      </c>
      <c r="K26" s="74">
        <v>29</v>
      </c>
      <c r="L26" s="74">
        <v>30</v>
      </c>
      <c r="M26" s="74">
        <v>31</v>
      </c>
      <c r="N26" s="74">
        <v>30</v>
      </c>
      <c r="O26" s="74">
        <v>29</v>
      </c>
      <c r="P26" s="74">
        <v>31</v>
      </c>
      <c r="Q26" s="93">
        <v>31</v>
      </c>
      <c r="R26" s="74">
        <v>29</v>
      </c>
      <c r="S26" s="74">
        <v>31</v>
      </c>
      <c r="T26" s="74">
        <v>30</v>
      </c>
      <c r="U26" s="74">
        <v>30</v>
      </c>
      <c r="V26" s="74">
        <v>31</v>
      </c>
      <c r="W26" s="74">
        <v>29</v>
      </c>
      <c r="X26" s="74">
        <v>31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1" t="s" ph="1">
        <v>180</v>
      </c>
      <c r="D27" s="71">
        <v>29.78</v>
      </c>
      <c r="E27" s="71">
        <v>46.18</v>
      </c>
      <c r="F27" s="71">
        <v>3266</v>
      </c>
      <c r="G27" s="71">
        <v>1982</v>
      </c>
      <c r="H27" s="71">
        <v>897</v>
      </c>
      <c r="I27" s="71">
        <v>1171</v>
      </c>
      <c r="J27" s="71">
        <v>3746</v>
      </c>
      <c r="K27" s="71">
        <v>497</v>
      </c>
      <c r="L27" s="71">
        <v>5608</v>
      </c>
      <c r="M27" s="71">
        <v>4012</v>
      </c>
      <c r="N27" s="71">
        <v>5530</v>
      </c>
      <c r="O27" s="71">
        <v>5592</v>
      </c>
      <c r="P27" s="71">
        <v>353</v>
      </c>
      <c r="Q27" s="90">
        <v>2323</v>
      </c>
      <c r="R27" s="71">
        <v>213</v>
      </c>
      <c r="S27" s="71">
        <v>6277</v>
      </c>
      <c r="T27" s="71">
        <v>847</v>
      </c>
      <c r="U27" s="71">
        <v>5218</v>
      </c>
      <c r="V27" s="71">
        <v>3651</v>
      </c>
      <c r="W27" s="71">
        <v>9758</v>
      </c>
      <c r="X27" s="71">
        <v>3328</v>
      </c>
      <c r="Y27" s="71">
        <v>5540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1" t="s" ph="1">
        <v>178</v>
      </c>
      <c r="D28" s="91" ph="1">
        <f>D27*268.68*LOOKUP(D29,密度!$A$2:$A$50,密度!$Q$2:$Q$50)+IF(D27&lt;=0,0,1566*LOOKUP(D29,密度!$A$2:$A$50,密度!$Q$2:$Q$50))</f>
        <v>9057.7365132960003</v>
      </c>
      <c r="E28" s="91" ph="1">
        <f>E27*268.68*LOOKUP(E29,密度!$A$2:$A$50,密度!$C$2:$C$50)+IF(E27&lt;=0,0,1566*LOOKUP(E29,密度!$A$2:$A$50,密度!$C$2:$C$50))</f>
        <v>15495.37205736</v>
      </c>
      <c r="F28" s="91" ph="1">
        <f>F27*11.702*LOOKUP(F29,密度!$A$2:$A$50,密度!$Q$2:$Q$50)</f>
        <v>36052.87645756</v>
      </c>
      <c r="G28" s="91" ph="1">
        <f>G27*18.322*LOOKUP(G29,密度!$A$2:$A$50,密度!$B$2:$B$50)</f>
        <v>28154.402361199998</v>
      </c>
      <c r="H28" s="91" ph="1">
        <f>H27*18.322*LOOKUP(H29,密度!$A$2:$A$50,密度!$B$2:$B$50)</f>
        <v>12727.135449599999</v>
      </c>
      <c r="I28" s="91" ph="1">
        <f>I27*18.322*LOOKUP(I29,密度!$A$2:$A$50,密度!$Q$2:$Q$50)</f>
        <v>20239.203636459999</v>
      </c>
      <c r="J28" s="91" ph="1">
        <f>J27*18.322*LOOKUP(J29,密度!$A$2:$A$50,密度!$Q$2:$Q$50)</f>
        <v>64693.235546960001</v>
      </c>
      <c r="K28" s="91" ph="1">
        <f>K27*18.322*LOOKUP(K29,密度!$A$2:$A$50,密度!$Q$2:$Q$50)</f>
        <v>8589.99505322</v>
      </c>
      <c r="L28" s="91" ph="1">
        <f>L27*18.322*LOOKUP(L29,密度!$A$2:$A$50,密度!$Q$2:$Q$50)</f>
        <v>96849.883862079994</v>
      </c>
      <c r="M28" s="91" ph="1">
        <f>M27*18.322*LOOKUP(M29,密度!$A$2:$A$50,密度!$Q$2:$Q$50)</f>
        <v>69287.042449119996</v>
      </c>
      <c r="N28" s="91" ph="1">
        <f>N27*18.322*LOOKUP(N29,密度!$A$2:$A$50,密度!$Q$2:$Q$50)</f>
        <v>95578.818197799992</v>
      </c>
      <c r="O28" s="91" ph="1">
        <f>O27*18.322*LOOKUP(O29,密度!$A$2:$A$50,密度!$C$2:$C$50)</f>
        <v>113122.35855840001</v>
      </c>
      <c r="P28" s="91" ph="1">
        <f>P27*11.702*LOOKUP(P29,密度!$A$2:$A$50,密度!$B$2:$B$50)</f>
        <v>3198.8961663999994</v>
      </c>
      <c r="Q28" s="92" ph="1">
        <f>Q27*18.322*LOOKUP(Q29,密度!$A$2:$A$50,密度!$B$2:$B$50)</f>
        <v>32998.3232518</v>
      </c>
      <c r="R28" s="91" ph="1">
        <f>R27*35.891*LOOKUP(R29,密度!$A$2:$A$50,密度!$C$2:$C$50)</f>
        <v>8440.6049103000005</v>
      </c>
      <c r="S28" s="91" ph="1">
        <f>S27*35.891*LOOKUP(S29,密度!$A$2:$A$50,密度!$B$2:$B$50)</f>
        <v>174462.8777408</v>
      </c>
      <c r="T28" s="91" ph="1">
        <f>T27*35.891*LOOKUP(T29,密度!$A$2:$A$50,密度!$Q$2:$Q$50)</f>
        <v>28676.927304410001</v>
      </c>
      <c r="U28" s="91" ph="1">
        <f>U27*35.891</f>
        <v>187279.23799999998</v>
      </c>
      <c r="V28" s="91" ph="1">
        <f>V27*47.051*LOOKUP(V29,密度!$A$2:$A$50,密度!$B$2:$B$50)</f>
        <v>133028.91085439999</v>
      </c>
      <c r="W28" s="91" ph="1">
        <f>W27*47.051*LOOKUP(W29,密度!$A$2:$A$50,密度!$B$2:$B$50)</f>
        <v>355958.5720474</v>
      </c>
      <c r="X28" s="91" ph="1">
        <f>X27*47.051*LOOKUP(X29,密度!$A$2:$A$50,密度!$I$2:$I$50)</f>
        <v>162146.08720128</v>
      </c>
      <c r="Y28" s="91" ph="1">
        <f>Y27*47.051*LOOKUP(Y29,密度!$A$2:$A$50,密度!$L$2:$L$50)</f>
        <v>242676.82474000001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1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30</v>
      </c>
      <c r="J29" s="74">
        <v>31</v>
      </c>
      <c r="K29" s="74">
        <v>30</v>
      </c>
      <c r="L29" s="74">
        <v>31</v>
      </c>
      <c r="M29" s="74">
        <v>31</v>
      </c>
      <c r="N29" s="74">
        <v>30</v>
      </c>
      <c r="O29" s="74">
        <v>31</v>
      </c>
      <c r="P29" s="74">
        <v>31</v>
      </c>
      <c r="Q29" s="93">
        <v>30</v>
      </c>
      <c r="R29" s="74">
        <v>31</v>
      </c>
      <c r="S29" s="74">
        <v>31</v>
      </c>
      <c r="T29" s="74">
        <v>30</v>
      </c>
      <c r="U29" s="74">
        <v>30</v>
      </c>
      <c r="V29" s="74">
        <v>31</v>
      </c>
      <c r="W29" s="74">
        <v>30</v>
      </c>
      <c r="X29" s="74">
        <v>31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57406.861212000003</v>
      </c>
      <c r="E33" s="190" ph="1">
        <f>M10+I10</f>
        <v>49031.516051199993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16" ph="1">
        <v>0</v>
      </c>
      <c r="H33" s="190" ph="1">
        <f>N19</f>
        <v>28702.564147440004</v>
      </c>
      <c r="I33" s="194" ph="1">
        <v>0</v>
      </c>
      <c r="J33" s="198" ph="1">
        <f>F10+O28</f>
        <v>273451.8997677</v>
      </c>
      <c r="K33" s="190" ph="1">
        <f>O10+K10+E28+R28</f>
        <v>89728.563720460006</v>
      </c>
      <c r="L33" s="200" ph="1">
        <f>BE27</f>
        <v>7100</v>
      </c>
      <c r="M33" s="198" ph="1">
        <f>G10+H10+W28+S28+V28+E10</f>
        <v>1296356.5169986002</v>
      </c>
      <c r="N33" s="190" ph="1">
        <f>L10+P10++G28+H28</f>
        <v>63776.690708800001</v>
      </c>
      <c r="O33" s="194" ph="1">
        <f>BE17</f>
        <v>2270</v>
      </c>
      <c r="P33" s="198" ph="1">
        <f>L19</f>
        <v>41357.612914559999</v>
      </c>
      <c r="Q33" s="190" ph="1">
        <f>J10+N10</f>
        <v>104394.31754414999</v>
      </c>
      <c r="R33" s="194" ph="1">
        <f>BE23</f>
        <v>890</v>
      </c>
      <c r="S33" s="198" ph="1">
        <f>E10+X28</f>
        <v>473918.92221128003</v>
      </c>
      <c r="T33" s="190" ph="1">
        <f>X19</f>
        <v>16126.190832024</v>
      </c>
      <c r="U33" s="179" ph="1">
        <f>BE21</f>
        <v>730</v>
      </c>
      <c r="V33" s="192" ph="1">
        <f ca="1">P19+Q19+S19+M28+N28+J28</f>
        <v>370925.63201358996</v>
      </c>
      <c r="W33" s="192" ph="1">
        <f>D28+F28+V19+T28</f>
        <v>86297.185750265999</v>
      </c>
      <c r="X33" s="194" ph="1">
        <f>BE29+BE31</f>
        <v>10200</v>
      </c>
      <c r="Y33" s="196" ph="1">
        <f>+Q10+R10+S10+T10+U10+V10+W10+X10+Y10</f>
        <v>162580.07608919998</v>
      </c>
      <c r="Z33" s="177" ph="1">
        <f>D10+T19+U19+Y28+Z10</f>
        <v>499388.30916466401</v>
      </c>
      <c r="AA33" s="179" ph="1">
        <f>BE19</f>
        <v>1440</v>
      </c>
      <c r="AB33" s="181" ph="1">
        <f>I19</f>
        <v>24693.021104400003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3" t="s" ph="1">
        <v>185</v>
      </c>
      <c r="AA36" s="153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47" priority="98">
      <formula>ABS(D$7-D$10)&gt;=1000</formula>
    </cfRule>
  </conditionalFormatting>
  <conditionalFormatting sqref="E4 E6:E11">
    <cfRule type="expression" dxfId="2046" priority="97">
      <formula>ABS(E$7-E$10)&gt;=1000</formula>
    </cfRule>
  </conditionalFormatting>
  <conditionalFormatting sqref="F4:F11">
    <cfRule type="expression" dxfId="2045" priority="96">
      <formula>ABS(F$7-F$10)&gt;=1000</formula>
    </cfRule>
  </conditionalFormatting>
  <conditionalFormatting sqref="G4:G11">
    <cfRule type="expression" dxfId="2044" priority="95">
      <formula>ABS(G$7-G$10)&gt;=1000</formula>
    </cfRule>
  </conditionalFormatting>
  <conditionalFormatting sqref="H4:H11">
    <cfRule type="expression" dxfId="2043" priority="94">
      <formula>ABS(H$7-H$10)&gt;=1000</formula>
    </cfRule>
  </conditionalFormatting>
  <conditionalFormatting sqref="I4:I11">
    <cfRule type="expression" dxfId="2042" priority="93">
      <formula>ABS(I$7-I$10)&gt;=1000</formula>
    </cfRule>
  </conditionalFormatting>
  <conditionalFormatting sqref="J4:J11">
    <cfRule type="expression" dxfId="2041" priority="92">
      <formula>ABS(J$7-J$10)&gt;=1000</formula>
    </cfRule>
  </conditionalFormatting>
  <conditionalFormatting sqref="K4:K11">
    <cfRule type="expression" dxfId="2040" priority="91">
      <formula>ABS(K$7-K$10)&gt;=1000</formula>
    </cfRule>
  </conditionalFormatting>
  <conditionalFormatting sqref="L4:L11">
    <cfRule type="expression" dxfId="2039" priority="90">
      <formula>ABS(L$7-L$10)&gt;=1000</formula>
    </cfRule>
  </conditionalFormatting>
  <conditionalFormatting sqref="M4 M6:M11">
    <cfRule type="expression" dxfId="2038" priority="89">
      <formula>ABS(M$7-M$10)&gt;=1000</formula>
    </cfRule>
  </conditionalFormatting>
  <conditionalFormatting sqref="N4 N6:N11">
    <cfRule type="expression" dxfId="2037" priority="88">
      <formula>ABS(N$7-N$10)&gt;=1000</formula>
    </cfRule>
  </conditionalFormatting>
  <conditionalFormatting sqref="O4 O6:O11">
    <cfRule type="expression" dxfId="2036" priority="87">
      <formula>ABS(O$7-O$10)&gt;=1000</formula>
    </cfRule>
  </conditionalFormatting>
  <conditionalFormatting sqref="P4 P6:P11">
    <cfRule type="expression" dxfId="2035" priority="86">
      <formula>ABS(P$7-P$10)&gt;=1000</formula>
    </cfRule>
  </conditionalFormatting>
  <conditionalFormatting sqref="Q4:Q11">
    <cfRule type="expression" dxfId="2034" priority="85">
      <formula>ABS(Q$7-Q$10)&gt;=1000</formula>
    </cfRule>
  </conditionalFormatting>
  <conditionalFormatting sqref="R4:R11">
    <cfRule type="expression" dxfId="2033" priority="84">
      <formula>ABS(R$7-R$10)&gt;=1000</formula>
    </cfRule>
  </conditionalFormatting>
  <conditionalFormatting sqref="S4:S11">
    <cfRule type="expression" dxfId="2032" priority="83">
      <formula>ABS(S$7-S$10)&gt;=1000</formula>
    </cfRule>
  </conditionalFormatting>
  <conditionalFormatting sqref="T4:T9 T11">
    <cfRule type="expression" dxfId="2031" priority="82">
      <formula>ABS(T$7-T$10)&gt;=1000</formula>
    </cfRule>
  </conditionalFormatting>
  <conditionalFormatting sqref="U4:U9 U11">
    <cfRule type="expression" dxfId="2030" priority="81">
      <formula>ABS(U$7-U$10)&gt;=1000</formula>
    </cfRule>
  </conditionalFormatting>
  <conditionalFormatting sqref="V4:V9 V11">
    <cfRule type="expression" dxfId="2029" priority="80">
      <formula>ABS(V$7-V$10)&gt;=1000</formula>
    </cfRule>
  </conditionalFormatting>
  <conditionalFormatting sqref="W4:W9 W11">
    <cfRule type="expression" dxfId="2028" priority="79">
      <formula>ABS(W$7-W$10)&gt;=1000</formula>
    </cfRule>
  </conditionalFormatting>
  <conditionalFormatting sqref="X4:X9 X11">
    <cfRule type="expression" dxfId="2027" priority="78">
      <formula>ABS(X$7-X$10)&gt;=1000</formula>
    </cfRule>
  </conditionalFormatting>
  <conditionalFormatting sqref="Y4:Y9 Y11">
    <cfRule type="expression" dxfId="2026" priority="77">
      <formula>ABS(Y$7-Y$10)&gt;=1000</formula>
    </cfRule>
  </conditionalFormatting>
  <conditionalFormatting sqref="Z4:Z11">
    <cfRule type="expression" dxfId="2025" priority="76">
      <formula>ABS(Z$7-Z$10)&gt;=1000</formula>
    </cfRule>
  </conditionalFormatting>
  <conditionalFormatting sqref="AA4:AA11">
    <cfRule type="expression" dxfId="2024" priority="75">
      <formula>ABS(AA$7-AA$10)&gt;=1000</formula>
    </cfRule>
  </conditionalFormatting>
  <conditionalFormatting sqref="AB4:AB11">
    <cfRule type="expression" dxfId="2023" priority="74">
      <formula>ABS(AB$7-AB$10)&gt;=1000</formula>
    </cfRule>
  </conditionalFormatting>
  <conditionalFormatting sqref="AC4 AC6:AC11">
    <cfRule type="expression" dxfId="2022" priority="73">
      <formula>ABS(AC$7-AC$10)&gt;=1000</formula>
    </cfRule>
  </conditionalFormatting>
  <conditionalFormatting sqref="AD4:AD11">
    <cfRule type="expression" dxfId="2021" priority="72">
      <formula>ABS(AD$7-AD$10)&gt;=1000</formula>
    </cfRule>
  </conditionalFormatting>
  <conditionalFormatting sqref="AE4 AE6:AE11">
    <cfRule type="expression" dxfId="2020" priority="71">
      <formula>ABS(AE$7-AE$10)&gt;=1000</formula>
    </cfRule>
  </conditionalFormatting>
  <conditionalFormatting sqref="D13:D20">
    <cfRule type="expression" dxfId="2019" priority="70">
      <formula>ABS(D$16-D$19)&gt;=1000</formula>
    </cfRule>
  </conditionalFormatting>
  <conditionalFormatting sqref="E13:E20">
    <cfRule type="expression" dxfId="2018" priority="69">
      <formula>ABS(E$16-E$19)&gt;=1000</formula>
    </cfRule>
  </conditionalFormatting>
  <conditionalFormatting sqref="F13 F15:F20">
    <cfRule type="expression" dxfId="2017" priority="68">
      <formula>ABS(F$16-F$19)&gt;=1000</formula>
    </cfRule>
  </conditionalFormatting>
  <conditionalFormatting sqref="G13:G20">
    <cfRule type="expression" dxfId="2016" priority="67">
      <formula>ABS(G$16-G$19)&gt;=1000</formula>
    </cfRule>
  </conditionalFormatting>
  <conditionalFormatting sqref="H13:H20">
    <cfRule type="expression" dxfId="2015" priority="66">
      <formula>ABS(H$16-H$19)&gt;=1000</formula>
    </cfRule>
  </conditionalFormatting>
  <conditionalFormatting sqref="I13:I20">
    <cfRule type="expression" dxfId="2014" priority="65">
      <formula>ABS(I$16-I$19)&gt;=1000</formula>
    </cfRule>
  </conditionalFormatting>
  <conditionalFormatting sqref="J13:J20">
    <cfRule type="expression" dxfId="2013" priority="64">
      <formula>ABS(J$16-J$19)&gt;=1000</formula>
    </cfRule>
  </conditionalFormatting>
  <conditionalFormatting sqref="L13:L20">
    <cfRule type="expression" dxfId="2012" priority="63">
      <formula>ABS(L$16-L$19)&gt;=1000</formula>
    </cfRule>
  </conditionalFormatting>
  <conditionalFormatting sqref="M13 M15 M17:M18 M20">
    <cfRule type="expression" dxfId="2011" priority="62">
      <formula>ABS(M$16-M$19)&gt;=1000</formula>
    </cfRule>
  </conditionalFormatting>
  <conditionalFormatting sqref="N13:N20">
    <cfRule type="expression" dxfId="2010" priority="61">
      <formula>ABS(N$16-N$19)&gt;=1000</formula>
    </cfRule>
  </conditionalFormatting>
  <conditionalFormatting sqref="O13:O20">
    <cfRule type="expression" dxfId="2009" priority="60">
      <formula>ABS(O$16-O$19)&gt;=1000</formula>
    </cfRule>
  </conditionalFormatting>
  <conditionalFormatting sqref="P13:P20">
    <cfRule type="expression" dxfId="2008" priority="59">
      <formula>ABS(P$16-P$19)&gt;=1000</formula>
    </cfRule>
  </conditionalFormatting>
  <conditionalFormatting sqref="Q13 Q15:Q20">
    <cfRule type="expression" dxfId="2007" priority="58">
      <formula>ABS(Q$16-Q$19)&gt;=1000</formula>
    </cfRule>
  </conditionalFormatting>
  <conditionalFormatting sqref="R13:R20">
    <cfRule type="expression" dxfId="2006" priority="57">
      <formula>ABS(R$16-R$19)&gt;=1000</formula>
    </cfRule>
  </conditionalFormatting>
  <conditionalFormatting sqref="S13:S20">
    <cfRule type="expression" dxfId="2005" priority="56">
      <formula>ABS(S$16-S$19)&gt;=1000</formula>
    </cfRule>
  </conditionalFormatting>
  <conditionalFormatting sqref="T13:T20">
    <cfRule type="expression" dxfId="2004" priority="55">
      <formula>ABS(T$16-T$19)&gt;=1000</formula>
    </cfRule>
  </conditionalFormatting>
  <conditionalFormatting sqref="U13:U20">
    <cfRule type="expression" dxfId="2003" priority="54">
      <formula>ABS(U$16-U$19)&gt;=1000</formula>
    </cfRule>
  </conditionalFormatting>
  <conditionalFormatting sqref="V13:V20">
    <cfRule type="expression" dxfId="2002" priority="53">
      <formula>ABS(V$16-V$19)&gt;=1000</formula>
    </cfRule>
  </conditionalFormatting>
  <conditionalFormatting sqref="W13 W20 W15:W18">
    <cfRule type="expression" dxfId="2001" priority="52">
      <formula>ABS(W$16-W$19)&gt;=1000</formula>
    </cfRule>
  </conditionalFormatting>
  <conditionalFormatting sqref="X13 X15:X20 Y19">
    <cfRule type="expression" dxfId="2000" priority="51">
      <formula>ABS(X$16-X$19)&gt;=1000</formula>
    </cfRule>
  </conditionalFormatting>
  <conditionalFormatting sqref="Y13 Y15:Y18 Y20">
    <cfRule type="expression" dxfId="1999" priority="50">
      <formula>ABS(Y$16-Y$19)&gt;=1000</formula>
    </cfRule>
  </conditionalFormatting>
  <conditionalFormatting sqref="Z13:Z20">
    <cfRule type="expression" dxfId="1998" priority="49">
      <formula>ABS(Z$16-Z$19)&gt;=1000</formula>
    </cfRule>
  </conditionalFormatting>
  <conditionalFormatting sqref="AA13:AA20">
    <cfRule type="expression" dxfId="1997" priority="48">
      <formula>ABS(AA$16-AA$19)&gt;=1000</formula>
    </cfRule>
  </conditionalFormatting>
  <conditionalFormatting sqref="AB13 AB15:AB20">
    <cfRule type="expression" dxfId="1996" priority="47">
      <formula>ABS(AB$16-AB$19)&gt;=1000</formula>
    </cfRule>
  </conditionalFormatting>
  <conditionalFormatting sqref="AC13 AC15:AC20">
    <cfRule type="expression" dxfId="1995" priority="46">
      <formula>ABS(AC$16-AC$19)&gt;=1000</formula>
    </cfRule>
  </conditionalFormatting>
  <conditionalFormatting sqref="AD13:AD20">
    <cfRule type="expression" dxfId="1994" priority="45">
      <formula>ABS(AD$16-AD$19)&gt;=1000</formula>
    </cfRule>
  </conditionalFormatting>
  <conditionalFormatting sqref="AE13:AE20">
    <cfRule type="expression" dxfId="1993" priority="44">
      <formula>ABS(AE$16-AE$19)&gt;=1000</formula>
    </cfRule>
  </conditionalFormatting>
  <conditionalFormatting sqref="D22:D29">
    <cfRule type="expression" dxfId="1992" priority="43">
      <formula>ABS(D$25-D$28)&gt;=1000</formula>
    </cfRule>
  </conditionalFormatting>
  <conditionalFormatting sqref="E22:E29">
    <cfRule type="expression" dxfId="1991" priority="42">
      <formula>ABS(E$25-E$28)&gt;=1000</formula>
    </cfRule>
  </conditionalFormatting>
  <conditionalFormatting sqref="F22:F29">
    <cfRule type="expression" dxfId="1990" priority="41">
      <formula>ABS(F$25-F$28)&gt;=1000</formula>
    </cfRule>
  </conditionalFormatting>
  <conditionalFormatting sqref="G22:G29">
    <cfRule type="expression" dxfId="1989" priority="40">
      <formula>ABS(G$25-G$28)&gt;=1000</formula>
    </cfRule>
  </conditionalFormatting>
  <conditionalFormatting sqref="H22:H29">
    <cfRule type="expression" dxfId="1988" priority="39">
      <formula>ABS(H$25-H$28)&gt;=1000</formula>
    </cfRule>
  </conditionalFormatting>
  <conditionalFormatting sqref="I22 I24:I29">
    <cfRule type="expression" dxfId="1987" priority="38">
      <formula>ABS(I$25-I$28)&gt;=1000</formula>
    </cfRule>
  </conditionalFormatting>
  <conditionalFormatting sqref="J22:J29 K22">
    <cfRule type="expression" dxfId="1986" priority="37">
      <formula>ABS(J$25-J$28)&gt;=1000</formula>
    </cfRule>
  </conditionalFormatting>
  <conditionalFormatting sqref="K23:K29 L25 L28">
    <cfRule type="expression" dxfId="1985" priority="36">
      <formula>ABS(K$25-K$28)&gt;=1000</formula>
    </cfRule>
  </conditionalFormatting>
  <conditionalFormatting sqref="L22 L26:L27 L29 L24">
    <cfRule type="expression" dxfId="1984" priority="35">
      <formula>ABS(L$25-L$28)&gt;=1000</formula>
    </cfRule>
  </conditionalFormatting>
  <conditionalFormatting sqref="M22:M29">
    <cfRule type="expression" dxfId="1983" priority="34">
      <formula>ABS(M$25-M$28)&gt;=1000</formula>
    </cfRule>
  </conditionalFormatting>
  <conditionalFormatting sqref="N22:N29">
    <cfRule type="expression" dxfId="1982" priority="33">
      <formula>ABS(N$25-N$28)&gt;=1000</formula>
    </cfRule>
  </conditionalFormatting>
  <conditionalFormatting sqref="O22:O29">
    <cfRule type="expression" dxfId="1981" priority="32">
      <formula>ABS(O$25-O$28)&gt;=1000</formula>
    </cfRule>
  </conditionalFormatting>
  <conditionalFormatting sqref="P22:P29">
    <cfRule type="expression" dxfId="1980" priority="31">
      <formula>ABS(P$25-P$28)&gt;=1000</formula>
    </cfRule>
  </conditionalFormatting>
  <conditionalFormatting sqref="Q22:Q29">
    <cfRule type="expression" dxfId="1979" priority="30">
      <formula>ABS(Q$25-Q$28)&gt;=1000</formula>
    </cfRule>
  </conditionalFormatting>
  <conditionalFormatting sqref="R22:R29">
    <cfRule type="expression" dxfId="1978" priority="29">
      <formula>ABS(R$25-R$28)&gt;=1000</formula>
    </cfRule>
  </conditionalFormatting>
  <conditionalFormatting sqref="S22:S29">
    <cfRule type="expression" dxfId="1977" priority="28">
      <formula>ABS(S$25-S$28)&gt;=1000</formula>
    </cfRule>
  </conditionalFormatting>
  <conditionalFormatting sqref="T22:T29">
    <cfRule type="expression" dxfId="1976" priority="27">
      <formula>ABS(T$25-T$28)&gt;=1000</formula>
    </cfRule>
  </conditionalFormatting>
  <conditionalFormatting sqref="U22:U29">
    <cfRule type="expression" dxfId="1975" priority="26">
      <formula>ABS(U$25-U$28)&gt;=1000</formula>
    </cfRule>
  </conditionalFormatting>
  <conditionalFormatting sqref="V22:V29">
    <cfRule type="expression" dxfId="1974" priority="25">
      <formula>ABS(V$25-V$28)&gt;=1000</formula>
    </cfRule>
  </conditionalFormatting>
  <conditionalFormatting sqref="W22:W29">
    <cfRule type="expression" dxfId="1973" priority="24">
      <formula>ABS(W$25-W$28)&gt;=1000</formula>
    </cfRule>
  </conditionalFormatting>
  <conditionalFormatting sqref="X22:X29">
    <cfRule type="expression" dxfId="1972" priority="23">
      <formula>ABS(X$25-X$28)&gt;=1000</formula>
    </cfRule>
  </conditionalFormatting>
  <conditionalFormatting sqref="Y22:Y29">
    <cfRule type="expression" dxfId="1971" priority="22">
      <formula>ABS(Y$25-Y$28)&gt;=1000</formula>
    </cfRule>
  </conditionalFormatting>
  <conditionalFormatting sqref="I23">
    <cfRule type="expression" dxfId="1970" priority="21">
      <formula>ABS(I$25-I$28)&gt;=1000</formula>
    </cfRule>
  </conditionalFormatting>
  <conditionalFormatting sqref="Q14">
    <cfRule type="expression" dxfId="1969" priority="20">
      <formula>ABS(Q$16-Q$19)&gt;=1000</formula>
    </cfRule>
  </conditionalFormatting>
  <conditionalFormatting sqref="W14">
    <cfRule type="expression" dxfId="1968" priority="19">
      <formula>ABS(W$16-W$19)&gt;=1000</formula>
    </cfRule>
  </conditionalFormatting>
  <conditionalFormatting sqref="Y14">
    <cfRule type="expression" dxfId="1967" priority="18">
      <formula>ABS(Y$16-Y$19)&gt;=1000</formula>
    </cfRule>
  </conditionalFormatting>
  <conditionalFormatting sqref="X14">
    <cfRule type="expression" dxfId="1966" priority="17">
      <formula>ABS(X$16-X$19)&gt;=1000</formula>
    </cfRule>
  </conditionalFormatting>
  <conditionalFormatting sqref="T10:Y10">
    <cfRule type="expression" dxfId="1965" priority="16">
      <formula>ABS(T$7-T$10)&gt;=1000</formula>
    </cfRule>
  </conditionalFormatting>
  <conditionalFormatting sqref="W19">
    <cfRule type="expression" dxfId="1964" priority="15">
      <formula>ABS(W$16-W$19)&gt;=1000</formula>
    </cfRule>
  </conditionalFormatting>
  <conditionalFormatting sqref="AC5">
    <cfRule type="expression" dxfId="1963" priority="14">
      <formula>ABS(AC$7-AC$10)&gt;=1000</formula>
    </cfRule>
  </conditionalFormatting>
  <conditionalFormatting sqref="M14">
    <cfRule type="expression" dxfId="1962" priority="13">
      <formula>ABS(M$16-M$19)&gt;=1000</formula>
    </cfRule>
  </conditionalFormatting>
  <conditionalFormatting sqref="M16">
    <cfRule type="expression" dxfId="1961" priority="12">
      <formula>ABS(M$16-M$19)&gt;=1000</formula>
    </cfRule>
  </conditionalFormatting>
  <conditionalFormatting sqref="M19">
    <cfRule type="expression" dxfId="1960" priority="11">
      <formula>ABS(M$16-M$19)&gt;=1000</formula>
    </cfRule>
  </conditionalFormatting>
  <conditionalFormatting sqref="K13:K20">
    <cfRule type="expression" dxfId="1959" priority="10">
      <formula>ABS(K$16-K$19)&gt;=1000</formula>
    </cfRule>
  </conditionalFormatting>
  <conditionalFormatting sqref="E5">
    <cfRule type="expression" dxfId="1958" priority="9">
      <formula>ABS(E$7-E$10)&gt;=1000</formula>
    </cfRule>
  </conditionalFormatting>
  <conditionalFormatting sqref="AB14:AC14">
    <cfRule type="expression" dxfId="1957" priority="8">
      <formula>ABS(AB$16-AB$19)&gt;=1000</formula>
    </cfRule>
  </conditionalFormatting>
  <conditionalFormatting sqref="M5">
    <cfRule type="expression" dxfId="1956" priority="7">
      <formula>ABS(M$7-M$10)&gt;=1000</formula>
    </cfRule>
  </conditionalFormatting>
  <conditionalFormatting sqref="N5">
    <cfRule type="expression" dxfId="1955" priority="6">
      <formula>ABS(N$7-N$10)&gt;=1000</formula>
    </cfRule>
  </conditionalFormatting>
  <conditionalFormatting sqref="O5">
    <cfRule type="expression" dxfId="1954" priority="5">
      <formula>ABS(O$7-O$10)&gt;=1000</formula>
    </cfRule>
  </conditionalFormatting>
  <conditionalFormatting sqref="P5">
    <cfRule type="expression" dxfId="1953" priority="4">
      <formula>ABS(P$7-P$10)&gt;=1000</formula>
    </cfRule>
  </conditionalFormatting>
  <conditionalFormatting sqref="L23">
    <cfRule type="expression" dxfId="1952" priority="3">
      <formula>ABS(L$25-L$28)&gt;=1000</formula>
    </cfRule>
  </conditionalFormatting>
  <conditionalFormatting sqref="F14">
    <cfRule type="expression" dxfId="1951" priority="2">
      <formula>ABS(F$16-F$19)&gt;=1000</formula>
    </cfRule>
  </conditionalFormatting>
  <conditionalFormatting sqref="AE5">
    <cfRule type="expression" dxfId="195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6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0">
    <pageSetUpPr fitToPage="1"/>
  </sheetPr>
  <dimension ref="A1:CU223"/>
  <sheetViews>
    <sheetView view="pageBreakPreview" topLeftCell="A13" zoomScale="80" zoomScaleNormal="100" zoomScaleSheetLayoutView="80" workbookViewId="0">
      <selection activeCell="W9" sqref="W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45939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5339</v>
      </c>
      <c r="E6" s="71">
        <v>7825</v>
      </c>
      <c r="F6" s="71">
        <v>4367</v>
      </c>
      <c r="G6" s="71">
        <v>6541</v>
      </c>
      <c r="H6" s="71">
        <v>919</v>
      </c>
      <c r="I6" s="71">
        <v>0.05</v>
      </c>
      <c r="J6" s="71">
        <v>7</v>
      </c>
      <c r="K6" s="71">
        <v>85.42</v>
      </c>
      <c r="L6" s="71">
        <v>32.409999999999997</v>
      </c>
      <c r="M6" s="71">
        <v>1450</v>
      </c>
      <c r="N6" s="71">
        <v>3827</v>
      </c>
      <c r="O6" s="71">
        <v>1699</v>
      </c>
      <c r="P6" s="71">
        <v>503</v>
      </c>
      <c r="Q6" s="71">
        <v>0</v>
      </c>
      <c r="R6" s="71">
        <v>0</v>
      </c>
      <c r="S6" s="71">
        <v>0</v>
      </c>
      <c r="T6" s="71">
        <v>4199</v>
      </c>
      <c r="U6" s="71">
        <v>7134</v>
      </c>
      <c r="V6" s="71">
        <v>4791</v>
      </c>
      <c r="W6" s="71">
        <v>6398</v>
      </c>
      <c r="X6" s="71">
        <v>0</v>
      </c>
      <c r="Y6" s="71">
        <v>0</v>
      </c>
      <c r="Z6" s="71">
        <v>1764</v>
      </c>
      <c r="AA6" s="71">
        <v>558</v>
      </c>
      <c r="AB6" s="71">
        <v>1843</v>
      </c>
      <c r="AC6" s="71">
        <v>2911</v>
      </c>
      <c r="AD6" s="71">
        <v>4350</v>
      </c>
      <c r="AE6" s="71">
        <v>3875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167230.44944541002</v>
      </c>
      <c r="E7" s="73" ph="1">
        <f>E6*51.53*LOOKUP(E8,密度!$A$2:$A$50,密度!$B$2:$B$50)</f>
        <v>312981.11044999998</v>
      </c>
      <c r="F7" s="73" ph="1">
        <f>F6*33.183*LOOKUP(F8,密度!$A$2:$A$50,密度!$C$2:$C$50)</f>
        <v>160357.58416259999</v>
      </c>
      <c r="G7" s="73" ph="1">
        <f xml:space="preserve"> (G6+2)*51.53*LOOKUP(G8,密度!$A$2:$A$50,密度!$B$2:$B$50)</f>
        <v>261704.20519799998</v>
      </c>
      <c r="H7" s="73" ph="1">
        <f>(H6)*51.53*LOOKUP(H8,密度!$A$2:$A$50,密度!$B$2:$B$50)</f>
        <v>37004.033098</v>
      </c>
      <c r="I7" s="73" ph="1">
        <f>I6*290.8*1.0267</f>
        <v>14.928217999999999</v>
      </c>
      <c r="J7" s="73" ph="1">
        <f>J6*290.8*0.7892</f>
        <v>1606.4955200000002</v>
      </c>
      <c r="K7" s="73" ph="1">
        <f>K6*290.8*1.1126</f>
        <v>27637.135313600003</v>
      </c>
      <c r="L7" s="73" ph="1">
        <f>L6*290.8*0.777</f>
        <v>7323.0913559999999</v>
      </c>
      <c r="M7" s="73" ph="1">
        <f>M6*33.183*LOOKUP(M8,密度!$A$2:$A$50,密度!$D$2:$D$50)</f>
        <v>49217.191514999991</v>
      </c>
      <c r="N7" s="73" ph="1">
        <f>N6*33.183*LOOKUP(N8,密度!$A$2:$A$50,密度!$E$2:$E$50)</f>
        <v>98748.466761599993</v>
      </c>
      <c r="O7" s="73" ph="1">
        <f>O6*20.428*LOOKUP(O8,密度!$A$2:$A$50,密度!$C$2:$C$50)</f>
        <v>38282.010715999997</v>
      </c>
      <c r="P7" s="73" ph="1">
        <f>P6*51.53*LOOKUP(P8,密度!$A$2:$A$50,密度!$B$2:$B$50)</f>
        <v>20183.584733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27811.145161800003</v>
      </c>
      <c r="U7" s="73" ph="1">
        <f>U6*1.5*1.5*3.1416*LOOKUP(U8,密度!$A$2:$A$50,密度!$L$2:$L$50)</f>
        <v>47099.184501600001</v>
      </c>
      <c r="V7" s="73" ph="1">
        <f>V6*1.5*1.5*3.1416*LOOKUP(V8,密度!$A$2:$A$50,密度!$L$2:$L$50)</f>
        <v>31630.528868399997</v>
      </c>
      <c r="W7" s="73" ph="1">
        <f>W6*1.5*1.5*3.1416*LOOKUP(W8,密度!$A$2:$A$50,密度!$L$2:$L$50)</f>
        <v>42285.284117999996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54495.909972000001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38725.559794400004</v>
      </c>
      <c r="AC7" s="73" ph="1">
        <f>AC6*51.53*LOOKUP(AC8,密度!$A$2:$A$50,密度!$Q$2:$Q$50)</f>
        <v>142014.62601420001</v>
      </c>
      <c r="AD7" s="73" ph="1">
        <f>AD6*20.428*LOOKUP(AD8,密度!$A$2:$A$50,密度!$V$2:$V$50)</f>
        <v>85094.059680000006</v>
      </c>
      <c r="AE7" s="73" ph="1">
        <f>AE6*20.428</f>
        <v>79158.5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29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32</v>
      </c>
      <c r="P8" s="74">
        <v>26</v>
      </c>
      <c r="Q8" s="74">
        <v>27</v>
      </c>
      <c r="R8" s="74">
        <v>32</v>
      </c>
      <c r="S8" s="74">
        <v>23</v>
      </c>
      <c r="T8" s="74">
        <v>25</v>
      </c>
      <c r="U8" s="74">
        <v>28</v>
      </c>
      <c r="V8" s="74">
        <v>28</v>
      </c>
      <c r="W8" s="74">
        <v>27</v>
      </c>
      <c r="X8" s="74">
        <v>18</v>
      </c>
      <c r="Y8" s="74">
        <v>26</v>
      </c>
      <c r="Z8" s="74">
        <v>31</v>
      </c>
      <c r="AA8" s="74">
        <v>27</v>
      </c>
      <c r="AB8" s="74">
        <v>23</v>
      </c>
      <c r="AC8" s="74">
        <v>25</v>
      </c>
      <c r="AD8" s="74">
        <v>27</v>
      </c>
      <c r="AE8" s="74">
        <v>28</v>
      </c>
    </row>
    <row r="9" spans="1:99" ht="26.4" ph="1">
      <c r="B9" s="241" ph="1">
        <v>0.66666666666666663</v>
      </c>
      <c r="C9" s="156" t="s" ph="1">
        <v>180</v>
      </c>
      <c r="D9" s="71">
        <v>5342</v>
      </c>
      <c r="E9" s="71">
        <v>7825</v>
      </c>
      <c r="F9" s="71">
        <v>4369</v>
      </c>
      <c r="G9" s="71">
        <v>6543</v>
      </c>
      <c r="H9" s="71">
        <v>655</v>
      </c>
      <c r="I9" s="71">
        <v>0.04</v>
      </c>
      <c r="J9" s="71">
        <v>7.06</v>
      </c>
      <c r="K9" s="71">
        <v>85.39</v>
      </c>
      <c r="L9" s="71">
        <v>40.99</v>
      </c>
      <c r="M9" s="71">
        <v>1449</v>
      </c>
      <c r="N9" s="71">
        <v>3830</v>
      </c>
      <c r="O9" s="71">
        <v>1699</v>
      </c>
      <c r="P9" s="71">
        <v>301</v>
      </c>
      <c r="Q9" s="71">
        <v>0</v>
      </c>
      <c r="R9" s="71">
        <v>0</v>
      </c>
      <c r="S9" s="71">
        <v>0</v>
      </c>
      <c r="T9" s="71">
        <v>811</v>
      </c>
      <c r="U9" s="71">
        <v>7139</v>
      </c>
      <c r="V9" s="71">
        <v>4796</v>
      </c>
      <c r="W9" s="71">
        <v>6408</v>
      </c>
      <c r="X9" s="71">
        <v>5135</v>
      </c>
      <c r="Y9" s="71">
        <v>0</v>
      </c>
      <c r="Z9" s="71">
        <v>2515</v>
      </c>
      <c r="AA9" s="71">
        <v>558</v>
      </c>
      <c r="AB9" s="71">
        <v>1843</v>
      </c>
      <c r="AC9" s="71">
        <v>3046</v>
      </c>
      <c r="AD9" s="71">
        <v>4350</v>
      </c>
      <c r="AE9" s="71">
        <v>3631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167218.05858138</v>
      </c>
      <c r="E10" s="73" ph="1">
        <f>E9*51.53*LOOKUP(E11,密度!$A$2:$A$50,密度!$B$2:$B$50)</f>
        <v>312255.31040000002</v>
      </c>
      <c r="F10" s="73" ph="1">
        <f>F9*33.183*LOOKUP(F11,密度!$A$2:$A$50,密度!$C$2:$C$50)</f>
        <v>159909.10928100001</v>
      </c>
      <c r="G10" s="73" ph="1">
        <f xml:space="preserve"> (G9+2)*51.53*LOOKUP(G11,密度!$A$2:$A$50,密度!$B$2:$B$50)</f>
        <v>260873.587975</v>
      </c>
      <c r="H10" s="73" ph="1">
        <f>(H9)*51.53*LOOKUP(H11,密度!$A$2:$A$50,密度!$B$2:$B$50)</f>
        <v>26137.664960000002</v>
      </c>
      <c r="I10" s="73" ph="1">
        <f>I9*290.8*1.0267</f>
        <v>11.942574400000002</v>
      </c>
      <c r="J10" s="73" ph="1">
        <f>J9*290.8*0.7892</f>
        <v>1620.2654815999999</v>
      </c>
      <c r="K10" s="73" ph="1">
        <f>K9*290.8*1.1126</f>
        <v>27627.428991200002</v>
      </c>
      <c r="L10" s="73" ph="1">
        <f>L9*290.8*0.777</f>
        <v>9261.7560840000024</v>
      </c>
      <c r="M10" s="73" ph="1">
        <f>M9*33.183*LOOKUP(M11,密度!$A$2:$A$50,密度!$D$2:$D$50)</f>
        <v>49096.7007237</v>
      </c>
      <c r="N10" s="73" ph="1">
        <f>N9*33.183*LOOKUP(N11,密度!$A$2:$A$50,密度!$E$2:$E$50)</f>
        <v>98679.721540500002</v>
      </c>
      <c r="O10" s="73" ph="1">
        <f>O9*20.428*LOOKUP(O11,密度!$A$2:$A$50,密度!$C$2:$C$50)</f>
        <v>38136.2405936</v>
      </c>
      <c r="P10" s="73" ph="1">
        <f>P9*51.53*LOOKUP(P11,密度!$A$2:$A$50,密度!$B$2:$B$50)</f>
        <v>11997.394955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5337.0828126000006</v>
      </c>
      <c r="U10" s="73" ph="1">
        <f>U9*1.5*1.5*3.1416*LOOKUP(U11,密度!$A$2:$A$50,密度!$L$2:$L$50)</f>
        <v>47081.732128199998</v>
      </c>
      <c r="V10" s="73" ph="1">
        <f>V9*1.5*1.5*3.1416*LOOKUP(V11,密度!$A$2:$A$50,密度!$L$2:$L$50)</f>
        <v>31663.539230399998</v>
      </c>
      <c r="W10" s="73" ph="1">
        <f>W9*1.5*1.5*3.1416*LOOKUP(W11,密度!$A$2:$A$50,密度!$L$2:$L$50)</f>
        <v>42260.784350399997</v>
      </c>
      <c r="X10" s="73" ph="1">
        <f>X9*1.5*1.5*3.1416*LOOKUP(X11,密度!$A$2:$A$50,密度!$L$2:$L$50)</f>
        <v>34192.019861999994</v>
      </c>
      <c r="Y10" s="73" ph="1">
        <f>Y9*1.5*1.5*3.1416*LOOKUP(Y11,密度!$A$2:$A$50,密度!$L$2:$L$50)</f>
        <v>0</v>
      </c>
      <c r="Z10" s="73" ph="1">
        <f>Z9*33.183*LOOKUP(Z11,密度!$A$2:$A$50,密度!$L$2:$L$50)</f>
        <v>77863.743585000004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38620.143143200003</v>
      </c>
      <c r="AC10" s="73" ph="1">
        <f>AC9*51.53*LOOKUP(AC11,密度!$A$2:$A$50,密度!$Q$2:$Q$50)</f>
        <v>148159.61149340001</v>
      </c>
      <c r="AD10" s="73" ph="1">
        <f>AD9*20.428*LOOKUP(AD11,密度!$A$2:$A$50,密度!$V$2:$V$50)</f>
        <v>85094.059680000006</v>
      </c>
      <c r="AE10" s="73" ph="1">
        <f>AE9*20.428</f>
        <v>74174.067999999999</v>
      </c>
    </row>
    <row r="11" spans="1:99" ph="1">
      <c r="A11" s="64" t="s" ph="1">
        <v>162</v>
      </c>
      <c r="B11" s="241" ph="1"/>
      <c r="C11" s="156" t="s" ph="1">
        <v>179</v>
      </c>
      <c r="D11" s="74">
        <v>30</v>
      </c>
      <c r="E11" s="74">
        <v>31</v>
      </c>
      <c r="F11" s="74">
        <v>32</v>
      </c>
      <c r="G11" s="74">
        <v>32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36</v>
      </c>
      <c r="P11" s="74">
        <v>32</v>
      </c>
      <c r="Q11" s="74">
        <v>37</v>
      </c>
      <c r="R11" s="74">
        <v>36</v>
      </c>
      <c r="S11" s="74">
        <v>27</v>
      </c>
      <c r="T11" s="74">
        <v>31</v>
      </c>
      <c r="U11" s="74">
        <v>29</v>
      </c>
      <c r="V11" s="74">
        <v>28</v>
      </c>
      <c r="W11" s="74">
        <v>29</v>
      </c>
      <c r="X11" s="74">
        <v>20</v>
      </c>
      <c r="Y11" s="74">
        <v>30</v>
      </c>
      <c r="Z11" s="74">
        <v>29</v>
      </c>
      <c r="AA11" s="74">
        <v>32</v>
      </c>
      <c r="AB11" s="74">
        <v>26</v>
      </c>
      <c r="AC11" s="74">
        <v>29</v>
      </c>
      <c r="AD11" s="74">
        <v>30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996</v>
      </c>
      <c r="E15" s="78">
        <v>68</v>
      </c>
      <c r="F15" s="78">
        <v>4769</v>
      </c>
      <c r="G15" s="78">
        <v>4720</v>
      </c>
      <c r="H15" s="78">
        <v>1963</v>
      </c>
      <c r="I15" s="78">
        <v>2672</v>
      </c>
      <c r="J15" s="78">
        <v>1212</v>
      </c>
      <c r="K15" s="78">
        <v>3579</v>
      </c>
      <c r="L15" s="78">
        <v>5851</v>
      </c>
      <c r="M15" s="78">
        <v>7014</v>
      </c>
      <c r="N15" s="78">
        <v>1535</v>
      </c>
      <c r="O15" s="78">
        <v>940</v>
      </c>
      <c r="P15" s="78">
        <v>6955</v>
      </c>
      <c r="Q15" s="78">
        <v>3346</v>
      </c>
      <c r="R15" s="78">
        <v>4424</v>
      </c>
      <c r="S15" s="78">
        <v>6231</v>
      </c>
      <c r="T15" s="78">
        <v>3456</v>
      </c>
      <c r="U15" s="78">
        <v>2757</v>
      </c>
      <c r="V15" s="78">
        <v>850</v>
      </c>
      <c r="W15" s="71">
        <v>5207</v>
      </c>
      <c r="X15" s="78">
        <v>1108</v>
      </c>
      <c r="Y15" s="106">
        <v>-9907</v>
      </c>
      <c r="Z15" s="78">
        <v>0</v>
      </c>
      <c r="AA15" s="78">
        <v>8</v>
      </c>
      <c r="AB15" s="78" ph="1">
        <v>1098</v>
      </c>
      <c r="AC15" s="78" ph="1">
        <v>2156</v>
      </c>
      <c r="AD15" s="78">
        <v>30.62</v>
      </c>
      <c r="AE15" s="78">
        <v>6.24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6561.5834592000001</v>
      </c>
      <c r="E16" s="73" ph="1">
        <f>E15*7.0686*LOOKUP(E17,密度!$A$2:$A$50,密度!$L$2:$L$50)</f>
        <v>447.97959360000004</v>
      </c>
      <c r="F16" s="73" ph="1">
        <f>F15*9.0746*LOOKUP(F17,密度!$A$2:$A$50,密度!$L$2:$L$50)</f>
        <v>40160.840147200004</v>
      </c>
      <c r="G16" s="73" ph="1">
        <f>G15*9.0746*LOOKUP(G17,密度!$A$2:$A$50,密度!$B$2:$B$50)</f>
        <v>33280.551024</v>
      </c>
      <c r="H16" s="73" ph="1">
        <f>H15*9.0746*LOOKUP(H17,密度!$A$2:$A$50,密度!$L$2:$L$50)</f>
        <v>16691.193092600002</v>
      </c>
      <c r="I16" s="73" ph="1">
        <f>I15*9.0746*LOOKUP(I17,密度!$A$2:$A$50,密度!$U$2:$U$50)</f>
        <v>24805.019817599998</v>
      </c>
      <c r="J16" s="73" ph="1">
        <f>J15*9.0746*LOOKUP(J17,密度!$A$2:$A$50,密度!$L$2:$L$50)</f>
        <v>10283.518212000001</v>
      </c>
      <c r="K16" s="73" ph="1">
        <f>K15*9.0746*LOOKUP(K17,密度!$A$2:$A$50,密度!$C$2:$C$50)</f>
        <v>35940.147496439997</v>
      </c>
      <c r="L16" s="73" ph="1">
        <f>L15*9.0746*LOOKUP(L17,密度!$A$2:$A$50,密度!$E$2:$E$50)</f>
        <v>41287.048824960002</v>
      </c>
      <c r="M16" s="73" ph="1">
        <f>M15*9.0746*LOOKUP(M17,密度!$A$2:$A$50,密度!$M$2:$M$50)</f>
        <v>55302.918981828007</v>
      </c>
      <c r="N16" s="73" ph="1">
        <f>N15*9.0746*LOOKUP(N17,密度!$A$2:$A$50,密度!$M$2:$M$50)</f>
        <v>12161.856054100001</v>
      </c>
      <c r="O16" s="73" ph="1">
        <f>O15*9.0746*LOOKUP(O17,密度!$A$2:$A$50,密度!$G$2:$G$50)</f>
        <v>8163.3286679999992</v>
      </c>
      <c r="P16" s="73" ph="1">
        <f ca="1">P15*9.0746*LOOKUP(P17,密度!$A$2:$A$51,密度!$Q$2:$Q$50)</f>
        <v>59537.181517190002</v>
      </c>
      <c r="Q16" s="73" ph="1">
        <f>Q15*9.0746*LOOKUP(Q17,密度!$A$2:$A$50,密度!$Q$2:$Q$50)</f>
        <v>28642.905730628001</v>
      </c>
      <c r="R16" s="73" ph="1">
        <f>MAX(R15*9.0746*LOOKUP(R17,密度!$A$2:$A$50,密度!$B$2:$B$50),0)</f>
        <v>31052.9545144</v>
      </c>
      <c r="S16" s="73" ph="1">
        <f>S15*9.0746*LOOKUP(S17,密度!$A$2:$A$50,密度!$Q$2:$Q$50)</f>
        <v>53339.493606558004</v>
      </c>
      <c r="T16" s="73" ph="1">
        <f>T15*9.0746*LOOKUP(T17,密度!$A$2:$A$50,密度!$O$2:$O$50)</f>
        <v>29041.043097600003</v>
      </c>
      <c r="U16" s="73" ph="1">
        <f>U15*9.0746*LOOKUP(U17,密度!$A$2:$A$50,密度!$H$2:$H$50)</f>
        <v>22792.010374200003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49684.196009255997</v>
      </c>
      <c r="X16" s="73" ph="1">
        <f>MAX(5600*LOOKUP(X17,密度!$A$2:$A$50,密度!$I$2:$I$50)+X15*9.0476*LOOKUP(X17,密度!$A$2:$A$50,密度!$I$2:$I$50),0)</f>
        <v>16196.606313280001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56.531128159999994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18273.558318399999</v>
      </c>
      <c r="AD16" s="73" ph="1">
        <f>AD15*268.68*LOOKUP(AD17,密度!$A$2:$A$50,密度!B2:B50)+IF(AD15&lt;=0,0,1566*LOOKUP(AD17,密度!$A$2:$A$50,密度!B2:B50))</f>
        <v>7634.6084553600012</v>
      </c>
      <c r="AE16" s="73" ph="1">
        <f>AE15*268.68*LOOKUP(AE17,密度!$A$2:$A$50,密度!B2:B50)+IF(AE15&lt;=0,0,1566*LOOKUP(AE17,密度!$A$2:$A$50,密度!B2:B50))</f>
        <v>2527.9022707200002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34</v>
      </c>
      <c r="G17" s="74">
        <v>28</v>
      </c>
      <c r="H17" s="74">
        <v>25</v>
      </c>
      <c r="I17" s="74">
        <v>27</v>
      </c>
      <c r="J17" s="74">
        <v>27</v>
      </c>
      <c r="K17" s="74">
        <v>28</v>
      </c>
      <c r="L17" s="74">
        <v>30</v>
      </c>
      <c r="M17" s="74">
        <v>31</v>
      </c>
      <c r="N17" s="74">
        <v>27</v>
      </c>
      <c r="O17" s="74">
        <v>28</v>
      </c>
      <c r="P17" s="74">
        <v>30</v>
      </c>
      <c r="Q17" s="74">
        <v>30</v>
      </c>
      <c r="R17" s="74">
        <v>32</v>
      </c>
      <c r="S17" s="74">
        <v>30</v>
      </c>
      <c r="T17" s="74">
        <v>29</v>
      </c>
      <c r="U17" s="74">
        <v>29</v>
      </c>
      <c r="V17" s="74">
        <v>30</v>
      </c>
      <c r="W17" s="74">
        <v>31</v>
      </c>
      <c r="X17" s="74">
        <v>30</v>
      </c>
      <c r="Y17" s="108">
        <v>30</v>
      </c>
      <c r="Z17" s="74">
        <v>28</v>
      </c>
      <c r="AA17" s="74">
        <v>26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877</v>
      </c>
      <c r="E18" s="71">
        <v>66</v>
      </c>
      <c r="F18" s="71">
        <v>2599</v>
      </c>
      <c r="G18" s="71">
        <v>4766</v>
      </c>
      <c r="H18" s="71">
        <v>1968</v>
      </c>
      <c r="I18" s="71">
        <v>2673</v>
      </c>
      <c r="J18" s="71">
        <v>1213</v>
      </c>
      <c r="K18" s="71">
        <v>3579</v>
      </c>
      <c r="L18" s="71">
        <v>5861</v>
      </c>
      <c r="M18" s="71">
        <v>4065</v>
      </c>
      <c r="N18" s="71">
        <v>2948</v>
      </c>
      <c r="O18" s="71">
        <v>941</v>
      </c>
      <c r="P18" s="71">
        <v>6964</v>
      </c>
      <c r="Q18" s="71">
        <v>3344</v>
      </c>
      <c r="R18" s="71">
        <v>4192</v>
      </c>
      <c r="S18" s="71">
        <v>6235</v>
      </c>
      <c r="T18" s="71">
        <v>3189</v>
      </c>
      <c r="U18" s="71">
        <v>2757</v>
      </c>
      <c r="V18" s="71">
        <v>850</v>
      </c>
      <c r="W18" s="71">
        <v>5207</v>
      </c>
      <c r="X18" s="71">
        <v>1106</v>
      </c>
      <c r="Y18" s="109">
        <v>-9908</v>
      </c>
      <c r="Z18" s="71">
        <v>0</v>
      </c>
      <c r="AA18" s="71">
        <v>8</v>
      </c>
      <c r="AB18" s="71">
        <v>1098</v>
      </c>
      <c r="AC18" s="71">
        <v>2158</v>
      </c>
      <c r="AD18" s="71">
        <v>70.52</v>
      </c>
      <c r="AE18" s="71">
        <v>6.15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5765.2208460000002</v>
      </c>
      <c r="E19" s="73" ph="1">
        <f>E18*7.0686*LOOKUP(E20,密度!$A$2:$A$50,密度!$L$2:$L$50)</f>
        <v>433.87066800000002</v>
      </c>
      <c r="F19" s="73" ph="1">
        <f>F18*9.0746*LOOKUP(F20,密度!$A$2:$A$50,密度!$L$2:$L$50)</f>
        <v>21910.358536600001</v>
      </c>
      <c r="G19" s="73" ph="1">
        <f>G18*9.0746*LOOKUP(G20,密度!$A$2:$A$50,密度!$B$2:$B$50)</f>
        <v>33570.295742320006</v>
      </c>
      <c r="H19" s="73" ph="1">
        <f>H18*9.0746*LOOKUP(H20,密度!$A$2:$A$50,密度!$L$2:$L$50)</f>
        <v>16697.989968000002</v>
      </c>
      <c r="I19" s="73" ph="1">
        <f>I18*9.0746*LOOKUP(I20,密度!$A$2:$A$50,密度!$U$2:$U$50)</f>
        <v>24693.021104400003</v>
      </c>
      <c r="J19" s="73" ph="1">
        <f>J18*9.0746*LOOKUP(J20,密度!$A$2:$A$50,密度!$L$2:$L$50)</f>
        <v>10236.965514</v>
      </c>
      <c r="K19" s="73" ph="1">
        <f>K18*9.0746*LOOKUP(K20,密度!$A$2:$A$50,密度!$C$2:$C$50)</f>
        <v>35891.430506339995</v>
      </c>
      <c r="L19" s="73" ph="1">
        <f>L18*9.0746*LOOKUP(L20,密度!$A$2:$A$50,密度!$E$2:$E$50)</f>
        <v>41357.612914559999</v>
      </c>
      <c r="M19" s="73" ph="1">
        <f>M18*9.0746*LOOKUP(M20,密度!$A$2:$A$50,密度!$M$2:$M$50)</f>
        <v>31934.894924280004</v>
      </c>
      <c r="N19" s="73" ph="1">
        <f>N18*9.0746*LOOKUP(N20,密度!$A$2:$A$50,密度!$M$2:$M$50)</f>
        <v>23327.674937600001</v>
      </c>
      <c r="O19" s="73" ph="1">
        <f>O18*9.0746*LOOKUP(O20,密度!$A$2:$A$50,密度!$G$2:$G$50)</f>
        <v>8143.9190968059993</v>
      </c>
      <c r="P19" s="73" ph="1">
        <f ca="1">P18*9.0746*LOOKUP(P20,密度!$A$2:$A$51,密度!$Q$2:$Q$50)</f>
        <v>59482.777929000003</v>
      </c>
      <c r="Q19" s="73" ph="1">
        <f>Q18*9.0746*LOOKUP(Q20,密度!$A$2:$A$50,密度!$Q$2:$Q$50)</f>
        <v>28582.391034559998</v>
      </c>
      <c r="R19" s="73" ph="1">
        <f>MAX(R18*9.0746*LOOKUP(R20,密度!$A$2:$A$50,密度!$B$2:$B$50),0)</f>
        <v>29325.593514880002</v>
      </c>
      <c r="S19" s="73" ph="1">
        <f>S18*9.0746*LOOKUP(S20,密度!$A$2:$A$50,密度!$Q$2:$Q$50)</f>
        <v>53292.825388899997</v>
      </c>
      <c r="T19" s="73" ph="1">
        <f>T18*9.0746*LOOKUP(T20,密度!$A$2:$A$50,密度!$O$2:$O$50)</f>
        <v>26612.211888240003</v>
      </c>
      <c r="U19" s="73" ph="1">
        <f>U18*9.0746*LOOKUP(U20,密度!$A$2:$A$50,密度!$H$2:$H$50)</f>
        <v>22743.223963410001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49648.352629079993</v>
      </c>
      <c r="X19" s="73" ph="1">
        <f>MAX(5600*LOOKUP(X20,密度!$A$2:$A$50,密度!$I$2:$I$50)+X18*9.0476*LOOKUP(X20,密度!$A$2:$A$50,密度!$I$2:$I$50),0)</f>
        <v>16160.837585255998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56.153624799999996</v>
      </c>
      <c r="AB19" s="73" ph="1">
        <f>AB18*9.0746*LOOKUP(AB20,密度!$A$2:$A$50,密度!$L$2:$L$50)</f>
        <v>9226.5814007999998</v>
      </c>
      <c r="AC19" s="73" ph="1">
        <f>AC18*9.0746*LOOKUP(AC20,密度!$A$2:$A$50,密度!$L$2:$L$50)</f>
        <v>18251.343697600001</v>
      </c>
      <c r="AD19" s="73" ph="1">
        <f>AD18*268.68*LOOKUP(AD20,密度!$A$2:$A$50,密度!B5:B53)+IF(AD18&lt;=0,0,1566*LOOKUP(AD20,密度!$A$2:$A$50,密度!B5:B53))</f>
        <v>15938.844667199997</v>
      </c>
      <c r="AE19" s="73" ph="1">
        <f>AE18*268.68*LOOKUP(AE20,密度!$A$2:$A$50,密度!B5:B53)+IF(AE18&lt;=0,0,1566*LOOKUP(AE20,密度!$A$2:$A$50,密度!B5:B53))</f>
        <v>2500.6828139999998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33</v>
      </c>
      <c r="G20" s="81">
        <v>29</v>
      </c>
      <c r="H20" s="81">
        <v>27</v>
      </c>
      <c r="I20" s="81">
        <v>32</v>
      </c>
      <c r="J20" s="81">
        <v>32</v>
      </c>
      <c r="K20" s="81">
        <v>30</v>
      </c>
      <c r="L20" s="81">
        <v>30</v>
      </c>
      <c r="M20" s="81">
        <v>34</v>
      </c>
      <c r="N20" s="81">
        <v>28</v>
      </c>
      <c r="O20" s="81">
        <v>31</v>
      </c>
      <c r="P20" s="81">
        <v>33</v>
      </c>
      <c r="Q20" s="81">
        <v>32</v>
      </c>
      <c r="R20" s="81">
        <v>35</v>
      </c>
      <c r="S20" s="81">
        <v>32</v>
      </c>
      <c r="T20" s="81">
        <v>35</v>
      </c>
      <c r="U20" s="81">
        <v>31</v>
      </c>
      <c r="V20" s="81">
        <v>32</v>
      </c>
      <c r="W20" s="81">
        <v>32</v>
      </c>
      <c r="X20" s="81">
        <v>31</v>
      </c>
      <c r="Y20" s="110">
        <v>31</v>
      </c>
      <c r="Z20" s="81">
        <v>39</v>
      </c>
      <c r="AA20" s="81">
        <v>32</v>
      </c>
      <c r="AB20" s="81">
        <v>36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54.44</v>
      </c>
      <c r="E24" s="71">
        <v>46.2</v>
      </c>
      <c r="F24" s="71">
        <v>3627</v>
      </c>
      <c r="G24" s="71">
        <v>2413</v>
      </c>
      <c r="H24" s="71">
        <v>2034</v>
      </c>
      <c r="I24" s="71">
        <v>1174</v>
      </c>
      <c r="J24" s="71">
        <v>2571</v>
      </c>
      <c r="K24" s="71">
        <v>501</v>
      </c>
      <c r="L24" s="71">
        <v>5613</v>
      </c>
      <c r="M24" s="71">
        <v>4013</v>
      </c>
      <c r="N24" s="71">
        <v>5533</v>
      </c>
      <c r="O24" s="71">
        <v>5597</v>
      </c>
      <c r="P24" s="71">
        <v>357</v>
      </c>
      <c r="Q24" s="90">
        <v>932</v>
      </c>
      <c r="R24" s="71">
        <v>217</v>
      </c>
      <c r="S24" s="71">
        <v>7034</v>
      </c>
      <c r="T24" s="71">
        <v>849</v>
      </c>
      <c r="U24" s="71">
        <v>5374</v>
      </c>
      <c r="V24" s="71">
        <v>3228</v>
      </c>
      <c r="W24" s="71">
        <v>9760</v>
      </c>
      <c r="X24" s="71">
        <v>2854</v>
      </c>
      <c r="Y24" s="71">
        <v>5541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15330.503258207998</v>
      </c>
      <c r="E25" s="91" ph="1">
        <f>E24*268.68*LOOKUP(E26,密度!$A$2:$A$50,密度!$C$2:$C$50)+IF(E24&lt;=0,0,1566*LOOKUP(E26,密度!$A$2:$A$50,密度!$C$2:$C$50))</f>
        <v>15501.330842400001</v>
      </c>
      <c r="F25" s="91" ph="1">
        <f>F24*11.702*LOOKUP(F26,密度!$A$2:$A$50,密度!$Q$2:$Q$50)</f>
        <v>40037.900462820005</v>
      </c>
      <c r="G25" s="91" ph="1">
        <f>G24*18.322*LOOKUP(G26,密度!$A$2:$A$50,密度!$B$2:$B$50)</f>
        <v>34276.777445799999</v>
      </c>
      <c r="H25" s="91" ph="1">
        <f>H24*18.322*LOOKUP(H26,密度!$A$2:$A$50,密度!$B$2:$B$50)</f>
        <v>28859.524531199997</v>
      </c>
      <c r="I25" s="91" ph="1">
        <f>I24*18.322*LOOKUP(I26,密度!$A$2:$A$50,密度!$Q$2:$Q$50)</f>
        <v>20260.295373199999</v>
      </c>
      <c r="J25" s="91" ph="1">
        <f>J24*18.322*LOOKUP(J26,密度!$A$2:$A$50,密度!$Q$2:$Q$50)</f>
        <v>44401.04340396</v>
      </c>
      <c r="K25" s="91" ph="1">
        <f>K24*18.322*LOOKUP(K26,密度!$A$2:$A$50,密度!$Q$2:$Q$50)</f>
        <v>8659.1298222599999</v>
      </c>
      <c r="L25" s="91" ph="1">
        <f>L24*18.322*LOOKUP(L26,密度!$A$2:$A$50,密度!$Q$2:$Q$50)</f>
        <v>97013.364655379992</v>
      </c>
      <c r="M25" s="91" ph="1">
        <f>M24*18.322*LOOKUP(M26,密度!$A$2:$A$50,密度!$Q$2:$Q$50)</f>
        <v>69304.31239988</v>
      </c>
      <c r="N25" s="91" ph="1">
        <f>N24*18.322*LOOKUP(N26,密度!$A$2:$A$50,密度!$Q$2:$Q$50)</f>
        <v>95630.669274579996</v>
      </c>
      <c r="O25" s="91" ph="1">
        <f>O24*18.322*LOOKUP(O26,密度!$A$2:$A$50,密度!$C$2:$C$50)</f>
        <v>113223.50515940001</v>
      </c>
      <c r="P25" s="91" ph="1">
        <f>P24*11.702*LOOKUP(P26,密度!$A$2:$A$50,密度!$B$2:$B$50)</f>
        <v>3231.3844289999997</v>
      </c>
      <c r="Q25" s="92" ph="1">
        <f>Q24*18.322*LOOKUP(Q26,密度!$A$2:$A$50,密度!$B$2:$B$50)</f>
        <v>13208.366443999999</v>
      </c>
      <c r="R25" s="91" ph="1">
        <f>R24*35.891*LOOKUP(R26,密度!$A$2:$A$50,密度!$C$2:$C$50)</f>
        <v>8606.9022697</v>
      </c>
      <c r="S25" s="91" ph="1">
        <f>S24*35.891*LOOKUP(S26,密度!$A$2:$A$50,密度!$B$2:$B$50)</f>
        <v>195730.14003819998</v>
      </c>
      <c r="T25" s="91" ph="1">
        <f>T24*35.891*LOOKUP(T26,密度!$A$2:$A$50,密度!$Q$2:$Q$50)</f>
        <v>28721.787824219999</v>
      </c>
      <c r="U25" s="91" ph="1">
        <f>U24*35.891</f>
        <v>192878.234</v>
      </c>
      <c r="V25" s="91" ph="1">
        <f>V24*47.051*LOOKUP(V26,密度!$A$2:$A$50,密度!$B$2:$B$50)</f>
        <v>117479.66575799999</v>
      </c>
      <c r="W25" s="91" ph="1">
        <f>W24*47.051*LOOKUP(W26,密度!$A$2:$A$50,密度!$B$2:$B$50)</f>
        <v>355618.23334400001</v>
      </c>
      <c r="X25" s="91" ph="1">
        <f>X24*47.051*LOOKUP(X26,密度!$A$2:$A$50,密度!$I$2:$I$50)</f>
        <v>138902.90825760001</v>
      </c>
      <c r="Y25" s="91" ph="1">
        <f>Y24*47.051*LOOKUP(Y26,密度!$A$2:$A$50,密度!$L$2:$L$50)</f>
        <v>242981.33881200003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30</v>
      </c>
      <c r="H26" s="74">
        <v>31</v>
      </c>
      <c r="I26" s="74">
        <v>32</v>
      </c>
      <c r="J26" s="74">
        <v>31</v>
      </c>
      <c r="K26" s="74">
        <v>30</v>
      </c>
      <c r="L26" s="74">
        <v>30</v>
      </c>
      <c r="M26" s="74">
        <v>31</v>
      </c>
      <c r="N26" s="74">
        <v>30</v>
      </c>
      <c r="O26" s="74">
        <v>31</v>
      </c>
      <c r="P26" s="74">
        <v>32</v>
      </c>
      <c r="Q26" s="93">
        <v>32</v>
      </c>
      <c r="R26" s="74">
        <v>30</v>
      </c>
      <c r="S26" s="74">
        <v>30</v>
      </c>
      <c r="T26" s="74">
        <v>31</v>
      </c>
      <c r="U26" s="74">
        <v>30</v>
      </c>
      <c r="V26" s="74">
        <v>32</v>
      </c>
      <c r="W26" s="74">
        <v>31</v>
      </c>
      <c r="X26" s="74">
        <v>32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23.6</v>
      </c>
      <c r="E27" s="71">
        <v>46.2</v>
      </c>
      <c r="F27" s="71">
        <v>2382</v>
      </c>
      <c r="G27" s="71">
        <v>2408</v>
      </c>
      <c r="H27" s="71">
        <v>1401</v>
      </c>
      <c r="I27" s="71">
        <v>1171</v>
      </c>
      <c r="J27" s="71">
        <v>2031</v>
      </c>
      <c r="K27" s="71">
        <v>499</v>
      </c>
      <c r="L27" s="71">
        <v>5609</v>
      </c>
      <c r="M27" s="71">
        <v>4012</v>
      </c>
      <c r="N27" s="71">
        <v>5533</v>
      </c>
      <c r="O27" s="71">
        <v>5595</v>
      </c>
      <c r="P27" s="71">
        <v>354</v>
      </c>
      <c r="Q27" s="90">
        <v>1136</v>
      </c>
      <c r="R27" s="71">
        <v>214</v>
      </c>
      <c r="S27" s="71">
        <v>7032</v>
      </c>
      <c r="T27" s="71">
        <v>847</v>
      </c>
      <c r="U27" s="71">
        <v>5164</v>
      </c>
      <c r="V27" s="71">
        <v>3318</v>
      </c>
      <c r="W27" s="71">
        <v>9760</v>
      </c>
      <c r="X27" s="71">
        <v>3320</v>
      </c>
      <c r="Y27" s="71">
        <v>4445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7485.7292755200006</v>
      </c>
      <c r="E28" s="91" ph="1">
        <f>E27*268.68*LOOKUP(E29,密度!$A$2:$A$50,密度!$C$2:$C$50)+IF(E27&lt;=0,0,1566*LOOKUP(E29,密度!$A$2:$A$50,密度!$C$2:$C$50))</f>
        <v>15501.330842400001</v>
      </c>
      <c r="F28" s="91" ph="1">
        <f>F27*11.702*LOOKUP(F29,密度!$A$2:$A$50,密度!$Q$2:$Q$50)</f>
        <v>26294.535126120001</v>
      </c>
      <c r="G28" s="91" ph="1">
        <f>G27*18.322*LOOKUP(G29,密度!$A$2:$A$50,密度!$B$2:$B$50)</f>
        <v>34205.752212799998</v>
      </c>
      <c r="H28" s="91" ph="1">
        <f>H27*18.322*LOOKUP(H29,密度!$A$2:$A$50,密度!$B$2:$B$50)</f>
        <v>19855.065866999998</v>
      </c>
      <c r="I28" s="91" ph="1">
        <f>I27*18.322*LOOKUP(I29,密度!$A$2:$A$50,密度!$Q$2:$Q$50)</f>
        <v>20239.203636459999</v>
      </c>
      <c r="J28" s="91" ph="1">
        <f>J27*18.322*LOOKUP(J29,密度!$A$2:$A$50,密度!$Q$2:$Q$50)</f>
        <v>35049.965845799998</v>
      </c>
      <c r="K28" s="91" ph="1">
        <f>K27*18.322*LOOKUP(K29,密度!$A$2:$A$50,密度!$Q$2:$Q$50)</f>
        <v>8624.56243774</v>
      </c>
      <c r="L28" s="91" ph="1">
        <f>L27*18.322*LOOKUP(L29,密度!$A$2:$A$50,密度!$Q$2:$Q$50)</f>
        <v>96867.153812839999</v>
      </c>
      <c r="M28" s="91" ph="1">
        <f>M27*18.322*LOOKUP(M29,密度!$A$2:$A$50,密度!$Q$2:$Q$50)</f>
        <v>69287.042449119996</v>
      </c>
      <c r="N28" s="91" ph="1">
        <f>N27*18.322*LOOKUP(N29,密度!$A$2:$A$50,密度!$Q$2:$Q$50)</f>
        <v>95485.702129399986</v>
      </c>
      <c r="O28" s="91" ph="1">
        <f>O27*18.322*LOOKUP(O29,密度!$A$2:$A$50,密度!$C$2:$C$50)</f>
        <v>113285.55810899999</v>
      </c>
      <c r="P28" s="91" ph="1">
        <f>P27*11.702*LOOKUP(P29,密度!$A$2:$A$50,密度!$B$2:$B$50)</f>
        <v>3211.6864523999998</v>
      </c>
      <c r="Q28" s="92" ph="1">
        <f>Q27*18.322*LOOKUP(Q29,密度!$A$2:$A$50,密度!$B$2:$B$50)</f>
        <v>16118.200524799997</v>
      </c>
      <c r="R28" s="91" ph="1">
        <f>R27*35.891*LOOKUP(R29,密度!$A$2:$A$50,密度!$C$2:$C$50)</f>
        <v>8480.2321634</v>
      </c>
      <c r="S28" s="91" ph="1">
        <f>S27*35.891*LOOKUP(S29,密度!$A$2:$A$50,密度!$B$2:$B$50)</f>
        <v>195220.19353199998</v>
      </c>
      <c r="T28" s="91" ph="1">
        <f>T27*35.891*LOOKUP(T29,密度!$A$2:$A$50,密度!$Q$2:$Q$50)</f>
        <v>28654.127546659998</v>
      </c>
      <c r="U28" s="91" ph="1">
        <f>U27*35.891</f>
        <v>185341.12399999998</v>
      </c>
      <c r="V28" s="91" ph="1">
        <f>V27*47.051*LOOKUP(V29,密度!$A$2:$A$50,密度!$B$2:$B$50)</f>
        <v>121036.12851539999</v>
      </c>
      <c r="W28" s="91" ph="1">
        <f>W27*47.051*LOOKUP(W29,密度!$A$2:$A$50,密度!$B$2:$B$50)</f>
        <v>355618.23334400001</v>
      </c>
      <c r="X28" s="91" ph="1">
        <f>X27*47.051*LOOKUP(X29,密度!$A$2:$A$50,密度!$I$2:$I$50)</f>
        <v>161582.92060800001</v>
      </c>
      <c r="Y28" s="91" ph="1">
        <f>Y27*47.051*LOOKUP(Y29,密度!$A$2:$A$50,密度!$L$2:$L$50)</f>
        <v>194710.91804500003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32</v>
      </c>
      <c r="I29" s="74">
        <v>30</v>
      </c>
      <c r="J29" s="74">
        <v>32</v>
      </c>
      <c r="K29" s="74">
        <v>30</v>
      </c>
      <c r="L29" s="74">
        <v>31</v>
      </c>
      <c r="M29" s="74">
        <v>31</v>
      </c>
      <c r="N29" s="74">
        <v>32</v>
      </c>
      <c r="O29" s="74">
        <v>30</v>
      </c>
      <c r="P29" s="74">
        <v>30</v>
      </c>
      <c r="Q29" s="93">
        <v>31</v>
      </c>
      <c r="R29" s="74">
        <v>31</v>
      </c>
      <c r="S29" s="74">
        <v>32</v>
      </c>
      <c r="T29" s="74">
        <v>31</v>
      </c>
      <c r="U29" s="74">
        <v>32</v>
      </c>
      <c r="V29" s="74">
        <v>30</v>
      </c>
      <c r="W29" s="74">
        <v>31</v>
      </c>
      <c r="X29" s="74">
        <v>32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57510.282646000007</v>
      </c>
      <c r="E33" s="190" ph="1">
        <f>M10+I10</f>
        <v>49108.643298099996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16" ph="1">
        <v>0</v>
      </c>
      <c r="H33" s="190" ph="1">
        <f>N19</f>
        <v>23327.674937600001</v>
      </c>
      <c r="I33" s="194" ph="1">
        <v>0</v>
      </c>
      <c r="J33" s="198" ph="1">
        <f>F10+O28</f>
        <v>273194.66739000002</v>
      </c>
      <c r="K33" s="190" ph="1">
        <f>O10+K10+E28+R28</f>
        <v>89745.23259059999</v>
      </c>
      <c r="L33" s="200" ph="1">
        <f>BE27</f>
        <v>7100</v>
      </c>
      <c r="M33" s="198" ph="1">
        <f>G10+H10+W28+S28+V28+E10</f>
        <v>1271141.1187264</v>
      </c>
      <c r="N33" s="190" ph="1">
        <f>L10+P10++G28+H28</f>
        <v>75319.9691188</v>
      </c>
      <c r="O33" s="194" ph="1">
        <f>BE17</f>
        <v>2270</v>
      </c>
      <c r="P33" s="198" ph="1">
        <f>L19</f>
        <v>41357.612914559999</v>
      </c>
      <c r="Q33" s="190" ph="1">
        <f>J10+N10</f>
        <v>100299.9870221</v>
      </c>
      <c r="R33" s="194" ph="1">
        <f>BE23</f>
        <v>890</v>
      </c>
      <c r="S33" s="198" ph="1">
        <f>E10+X28</f>
        <v>473838.23100800003</v>
      </c>
      <c r="T33" s="190" ph="1">
        <f>X19</f>
        <v>16160.837585255998</v>
      </c>
      <c r="U33" s="179" ph="1">
        <f>BE21</f>
        <v>730</v>
      </c>
      <c r="V33" s="192" ph="1">
        <f ca="1">P19+Q19+S19+M28+N28+J28</f>
        <v>341180.70477677998</v>
      </c>
      <c r="W33" s="192" ph="1">
        <f>D28+F28+V19+T28</f>
        <v>74952.676222299997</v>
      </c>
      <c r="X33" s="194" ph="1">
        <f>BE29+BE31</f>
        <v>10200</v>
      </c>
      <c r="Y33" s="196" ph="1">
        <f>+Q10+R10+S10+T10+U10+V10+W10+X10+Y10</f>
        <v>160535.15838359998</v>
      </c>
      <c r="Z33" s="177" ph="1">
        <f>D10+T19+U19+Y28+Z10</f>
        <v>489148.15606303007</v>
      </c>
      <c r="AA33" s="179" ph="1">
        <f>BE19</f>
        <v>1440</v>
      </c>
      <c r="AB33" s="181" ph="1">
        <f>I19</f>
        <v>24693.021104400003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19" priority="98">
      <formula>ABS(D$7-D$10)&gt;=1000</formula>
    </cfRule>
  </conditionalFormatting>
  <conditionalFormatting sqref="E4 E6:E11">
    <cfRule type="expression" dxfId="1918" priority="97">
      <formula>ABS(E$7-E$10)&gt;=1000</formula>
    </cfRule>
  </conditionalFormatting>
  <conditionalFormatting sqref="F4:F11">
    <cfRule type="expression" dxfId="1917" priority="96">
      <formula>ABS(F$7-F$10)&gt;=1000</formula>
    </cfRule>
  </conditionalFormatting>
  <conditionalFormatting sqref="G4:G11">
    <cfRule type="expression" dxfId="1916" priority="95">
      <formula>ABS(G$7-G$10)&gt;=1000</formula>
    </cfRule>
  </conditionalFormatting>
  <conditionalFormatting sqref="H4:H11">
    <cfRule type="expression" dxfId="1915" priority="94">
      <formula>ABS(H$7-H$10)&gt;=1000</formula>
    </cfRule>
  </conditionalFormatting>
  <conditionalFormatting sqref="I4:I11">
    <cfRule type="expression" dxfId="1914" priority="93">
      <formula>ABS(I$7-I$10)&gt;=1000</formula>
    </cfRule>
  </conditionalFormatting>
  <conditionalFormatting sqref="J4:J11">
    <cfRule type="expression" dxfId="1913" priority="92">
      <formula>ABS(J$7-J$10)&gt;=1000</formula>
    </cfRule>
  </conditionalFormatting>
  <conditionalFormatting sqref="K4:K11">
    <cfRule type="expression" dxfId="1912" priority="91">
      <formula>ABS(K$7-K$10)&gt;=1000</formula>
    </cfRule>
  </conditionalFormatting>
  <conditionalFormatting sqref="L4:L11">
    <cfRule type="expression" dxfId="1911" priority="90">
      <formula>ABS(L$7-L$10)&gt;=1000</formula>
    </cfRule>
  </conditionalFormatting>
  <conditionalFormatting sqref="M4 M6:M11">
    <cfRule type="expression" dxfId="1910" priority="89">
      <formula>ABS(M$7-M$10)&gt;=1000</formula>
    </cfRule>
  </conditionalFormatting>
  <conditionalFormatting sqref="N4 N6:N11">
    <cfRule type="expression" dxfId="1909" priority="88">
      <formula>ABS(N$7-N$10)&gt;=1000</formula>
    </cfRule>
  </conditionalFormatting>
  <conditionalFormatting sqref="O4 O6:O11">
    <cfRule type="expression" dxfId="1908" priority="87">
      <formula>ABS(O$7-O$10)&gt;=1000</formula>
    </cfRule>
  </conditionalFormatting>
  <conditionalFormatting sqref="P4 P6:P11">
    <cfRule type="expression" dxfId="1907" priority="86">
      <formula>ABS(P$7-P$10)&gt;=1000</formula>
    </cfRule>
  </conditionalFormatting>
  <conditionalFormatting sqref="Q4:Q11">
    <cfRule type="expression" dxfId="1906" priority="85">
      <formula>ABS(Q$7-Q$10)&gt;=1000</formula>
    </cfRule>
  </conditionalFormatting>
  <conditionalFormatting sqref="R4:R11">
    <cfRule type="expression" dxfId="1905" priority="84">
      <formula>ABS(R$7-R$10)&gt;=1000</formula>
    </cfRule>
  </conditionalFormatting>
  <conditionalFormatting sqref="S4:S11">
    <cfRule type="expression" dxfId="1904" priority="83">
      <formula>ABS(S$7-S$10)&gt;=1000</formula>
    </cfRule>
  </conditionalFormatting>
  <conditionalFormatting sqref="T4:T9 T11">
    <cfRule type="expression" dxfId="1903" priority="82">
      <formula>ABS(T$7-T$10)&gt;=1000</formula>
    </cfRule>
  </conditionalFormatting>
  <conditionalFormatting sqref="U4:U9 U11">
    <cfRule type="expression" dxfId="1902" priority="81">
      <formula>ABS(U$7-U$10)&gt;=1000</formula>
    </cfRule>
  </conditionalFormatting>
  <conditionalFormatting sqref="V4:V9 V11">
    <cfRule type="expression" dxfId="1901" priority="80">
      <formula>ABS(V$7-V$10)&gt;=1000</formula>
    </cfRule>
  </conditionalFormatting>
  <conditionalFormatting sqref="W4:W9 W11">
    <cfRule type="expression" dxfId="1900" priority="79">
      <formula>ABS(W$7-W$10)&gt;=1000</formula>
    </cfRule>
  </conditionalFormatting>
  <conditionalFormatting sqref="X4:X9 X11">
    <cfRule type="expression" dxfId="1899" priority="78">
      <formula>ABS(X$7-X$10)&gt;=1000</formula>
    </cfRule>
  </conditionalFormatting>
  <conditionalFormatting sqref="Y4:Y9 Y11">
    <cfRule type="expression" dxfId="1898" priority="77">
      <formula>ABS(Y$7-Y$10)&gt;=1000</formula>
    </cfRule>
  </conditionalFormatting>
  <conditionalFormatting sqref="Z4:Z11">
    <cfRule type="expression" dxfId="1897" priority="76">
      <formula>ABS(Z$7-Z$10)&gt;=1000</formula>
    </cfRule>
  </conditionalFormatting>
  <conditionalFormatting sqref="AA4:AA11">
    <cfRule type="expression" dxfId="1896" priority="75">
      <formula>ABS(AA$7-AA$10)&gt;=1000</formula>
    </cfRule>
  </conditionalFormatting>
  <conditionalFormatting sqref="AB4:AB11">
    <cfRule type="expression" dxfId="1895" priority="74">
      <formula>ABS(AB$7-AB$10)&gt;=1000</formula>
    </cfRule>
  </conditionalFormatting>
  <conditionalFormatting sqref="AC4 AC6:AC11">
    <cfRule type="expression" dxfId="1894" priority="73">
      <formula>ABS(AC$7-AC$10)&gt;=1000</formula>
    </cfRule>
  </conditionalFormatting>
  <conditionalFormatting sqref="AD4:AD11">
    <cfRule type="expression" dxfId="1893" priority="72">
      <formula>ABS(AD$7-AD$10)&gt;=1000</formula>
    </cfRule>
  </conditionalFormatting>
  <conditionalFormatting sqref="AE4 AE6:AE11">
    <cfRule type="expression" dxfId="1892" priority="71">
      <formula>ABS(AE$7-AE$10)&gt;=1000</formula>
    </cfRule>
  </conditionalFormatting>
  <conditionalFormatting sqref="D13:D20">
    <cfRule type="expression" dxfId="1891" priority="70">
      <formula>ABS(D$16-D$19)&gt;=1000</formula>
    </cfRule>
  </conditionalFormatting>
  <conditionalFormatting sqref="E13:E20">
    <cfRule type="expression" dxfId="1890" priority="69">
      <formula>ABS(E$16-E$19)&gt;=1000</formula>
    </cfRule>
  </conditionalFormatting>
  <conditionalFormatting sqref="F13 F15:F20">
    <cfRule type="expression" dxfId="1889" priority="68">
      <formula>ABS(F$16-F$19)&gt;=1000</formula>
    </cfRule>
  </conditionalFormatting>
  <conditionalFormatting sqref="G13:G20">
    <cfRule type="expression" dxfId="1888" priority="67">
      <formula>ABS(G$16-G$19)&gt;=1000</formula>
    </cfRule>
  </conditionalFormatting>
  <conditionalFormatting sqref="H13:H20">
    <cfRule type="expression" dxfId="1887" priority="66">
      <formula>ABS(H$16-H$19)&gt;=1000</formula>
    </cfRule>
  </conditionalFormatting>
  <conditionalFormatting sqref="I13:I20">
    <cfRule type="expression" dxfId="1886" priority="65">
      <formula>ABS(I$16-I$19)&gt;=1000</formula>
    </cfRule>
  </conditionalFormatting>
  <conditionalFormatting sqref="J13:J20">
    <cfRule type="expression" dxfId="1885" priority="64">
      <formula>ABS(J$16-J$19)&gt;=1000</formula>
    </cfRule>
  </conditionalFormatting>
  <conditionalFormatting sqref="L13:L20">
    <cfRule type="expression" dxfId="1884" priority="63">
      <formula>ABS(L$16-L$19)&gt;=1000</formula>
    </cfRule>
  </conditionalFormatting>
  <conditionalFormatting sqref="M13 M15 M17:M18 M20">
    <cfRule type="expression" dxfId="1883" priority="62">
      <formula>ABS(M$16-M$19)&gt;=1000</formula>
    </cfRule>
  </conditionalFormatting>
  <conditionalFormatting sqref="N13:N20">
    <cfRule type="expression" dxfId="1882" priority="61">
      <formula>ABS(N$16-N$19)&gt;=1000</formula>
    </cfRule>
  </conditionalFormatting>
  <conditionalFormatting sqref="O13:O20">
    <cfRule type="expression" dxfId="1881" priority="60">
      <formula>ABS(O$16-O$19)&gt;=1000</formula>
    </cfRule>
  </conditionalFormatting>
  <conditionalFormatting sqref="P13:P20">
    <cfRule type="expression" dxfId="1880" priority="59">
      <formula>ABS(P$16-P$19)&gt;=1000</formula>
    </cfRule>
  </conditionalFormatting>
  <conditionalFormatting sqref="Q13 Q15:Q20">
    <cfRule type="expression" dxfId="1879" priority="58">
      <formula>ABS(Q$16-Q$19)&gt;=1000</formula>
    </cfRule>
  </conditionalFormatting>
  <conditionalFormatting sqref="R13:R20">
    <cfRule type="expression" dxfId="1878" priority="57">
      <formula>ABS(R$16-R$19)&gt;=1000</formula>
    </cfRule>
  </conditionalFormatting>
  <conditionalFormatting sqref="S13:S20">
    <cfRule type="expression" dxfId="1877" priority="56">
      <formula>ABS(S$16-S$19)&gt;=1000</formula>
    </cfRule>
  </conditionalFormatting>
  <conditionalFormatting sqref="T13:T20">
    <cfRule type="expression" dxfId="1876" priority="55">
      <formula>ABS(T$16-T$19)&gt;=1000</formula>
    </cfRule>
  </conditionalFormatting>
  <conditionalFormatting sqref="U13:U20">
    <cfRule type="expression" dxfId="1875" priority="54">
      <formula>ABS(U$16-U$19)&gt;=1000</formula>
    </cfRule>
  </conditionalFormatting>
  <conditionalFormatting sqref="V13:V20">
    <cfRule type="expression" dxfId="1874" priority="53">
      <formula>ABS(V$16-V$19)&gt;=1000</formula>
    </cfRule>
  </conditionalFormatting>
  <conditionalFormatting sqref="W13 W20 W15:W18">
    <cfRule type="expression" dxfId="1873" priority="52">
      <formula>ABS(W$16-W$19)&gt;=1000</formula>
    </cfRule>
  </conditionalFormatting>
  <conditionalFormatting sqref="X13 X15:X20 Y19">
    <cfRule type="expression" dxfId="1872" priority="51">
      <formula>ABS(X$16-X$19)&gt;=1000</formula>
    </cfRule>
  </conditionalFormatting>
  <conditionalFormatting sqref="Y13 Y15:Y18 Y20">
    <cfRule type="expression" dxfId="1871" priority="50">
      <formula>ABS(Y$16-Y$19)&gt;=1000</formula>
    </cfRule>
  </conditionalFormatting>
  <conditionalFormatting sqref="Z13:Z20">
    <cfRule type="expression" dxfId="1870" priority="49">
      <formula>ABS(Z$16-Z$19)&gt;=1000</formula>
    </cfRule>
  </conditionalFormatting>
  <conditionalFormatting sqref="AA13:AA20">
    <cfRule type="expression" dxfId="1869" priority="48">
      <formula>ABS(AA$16-AA$19)&gt;=1000</formula>
    </cfRule>
  </conditionalFormatting>
  <conditionalFormatting sqref="AB13 AB15:AB20">
    <cfRule type="expression" dxfId="1868" priority="47">
      <formula>ABS(AB$16-AB$19)&gt;=1000</formula>
    </cfRule>
  </conditionalFormatting>
  <conditionalFormatting sqref="AC13 AC15:AC20">
    <cfRule type="expression" dxfId="1867" priority="46">
      <formula>ABS(AC$16-AC$19)&gt;=1000</formula>
    </cfRule>
  </conditionalFormatting>
  <conditionalFormatting sqref="AD13:AD20">
    <cfRule type="expression" dxfId="1866" priority="45">
      <formula>ABS(AD$16-AD$19)&gt;=1000</formula>
    </cfRule>
  </conditionalFormatting>
  <conditionalFormatting sqref="AE13:AE20">
    <cfRule type="expression" dxfId="1865" priority="44">
      <formula>ABS(AE$16-AE$19)&gt;=1000</formula>
    </cfRule>
  </conditionalFormatting>
  <conditionalFormatting sqref="D22:D29">
    <cfRule type="expression" dxfId="1864" priority="43">
      <formula>ABS(D$25-D$28)&gt;=1000</formula>
    </cfRule>
  </conditionalFormatting>
  <conditionalFormatting sqref="E22:E29">
    <cfRule type="expression" dxfId="1863" priority="42">
      <formula>ABS(E$25-E$28)&gt;=1000</formula>
    </cfRule>
  </conditionalFormatting>
  <conditionalFormatting sqref="F22:F29">
    <cfRule type="expression" dxfId="1862" priority="41">
      <formula>ABS(F$25-F$28)&gt;=1000</formula>
    </cfRule>
  </conditionalFormatting>
  <conditionalFormatting sqref="G22:G29">
    <cfRule type="expression" dxfId="1861" priority="40">
      <formula>ABS(G$25-G$28)&gt;=1000</formula>
    </cfRule>
  </conditionalFormatting>
  <conditionalFormatting sqref="H22:H29">
    <cfRule type="expression" dxfId="1860" priority="39">
      <formula>ABS(H$25-H$28)&gt;=1000</formula>
    </cfRule>
  </conditionalFormatting>
  <conditionalFormatting sqref="I22 I24:I29">
    <cfRule type="expression" dxfId="1859" priority="38">
      <formula>ABS(I$25-I$28)&gt;=1000</formula>
    </cfRule>
  </conditionalFormatting>
  <conditionalFormatting sqref="J22:J29 K22">
    <cfRule type="expression" dxfId="1858" priority="37">
      <formula>ABS(J$25-J$28)&gt;=1000</formula>
    </cfRule>
  </conditionalFormatting>
  <conditionalFormatting sqref="K23:K29 L25 L28">
    <cfRule type="expression" dxfId="1857" priority="36">
      <formula>ABS(K$25-K$28)&gt;=1000</formula>
    </cfRule>
  </conditionalFormatting>
  <conditionalFormatting sqref="L22 L26:L27 L29 L24">
    <cfRule type="expression" dxfId="1856" priority="35">
      <formula>ABS(L$25-L$28)&gt;=1000</formula>
    </cfRule>
  </conditionalFormatting>
  <conditionalFormatting sqref="M22:M29">
    <cfRule type="expression" dxfId="1855" priority="34">
      <formula>ABS(M$25-M$28)&gt;=1000</formula>
    </cfRule>
  </conditionalFormatting>
  <conditionalFormatting sqref="N22:N29">
    <cfRule type="expression" dxfId="1854" priority="33">
      <formula>ABS(N$25-N$28)&gt;=1000</formula>
    </cfRule>
  </conditionalFormatting>
  <conditionalFormatting sqref="O22:O29">
    <cfRule type="expression" dxfId="1853" priority="32">
      <formula>ABS(O$25-O$28)&gt;=1000</formula>
    </cfRule>
  </conditionalFormatting>
  <conditionalFormatting sqref="P22:P29">
    <cfRule type="expression" dxfId="1852" priority="31">
      <formula>ABS(P$25-P$28)&gt;=1000</formula>
    </cfRule>
  </conditionalFormatting>
  <conditionalFormatting sqref="Q22:Q29">
    <cfRule type="expression" dxfId="1851" priority="30">
      <formula>ABS(Q$25-Q$28)&gt;=1000</formula>
    </cfRule>
  </conditionalFormatting>
  <conditionalFormatting sqref="R22:R29">
    <cfRule type="expression" dxfId="1850" priority="29">
      <formula>ABS(R$25-R$28)&gt;=1000</formula>
    </cfRule>
  </conditionalFormatting>
  <conditionalFormatting sqref="S22:S29">
    <cfRule type="expression" dxfId="1849" priority="28">
      <formula>ABS(S$25-S$28)&gt;=1000</formula>
    </cfRule>
  </conditionalFormatting>
  <conditionalFormatting sqref="T22:T29">
    <cfRule type="expression" dxfId="1848" priority="27">
      <formula>ABS(T$25-T$28)&gt;=1000</formula>
    </cfRule>
  </conditionalFormatting>
  <conditionalFormatting sqref="U22:U29">
    <cfRule type="expression" dxfId="1847" priority="26">
      <formula>ABS(U$25-U$28)&gt;=1000</formula>
    </cfRule>
  </conditionalFormatting>
  <conditionalFormatting sqref="V22:V29">
    <cfRule type="expression" dxfId="1846" priority="25">
      <formula>ABS(V$25-V$28)&gt;=1000</formula>
    </cfRule>
  </conditionalFormatting>
  <conditionalFormatting sqref="W22:W29">
    <cfRule type="expression" dxfId="1845" priority="24">
      <formula>ABS(W$25-W$28)&gt;=1000</formula>
    </cfRule>
  </conditionalFormatting>
  <conditionalFormatting sqref="X22:X29">
    <cfRule type="expression" dxfId="1844" priority="23">
      <formula>ABS(X$25-X$28)&gt;=1000</formula>
    </cfRule>
  </conditionalFormatting>
  <conditionalFormatting sqref="Y22:Y29">
    <cfRule type="expression" dxfId="1843" priority="22">
      <formula>ABS(Y$25-Y$28)&gt;=1000</formula>
    </cfRule>
  </conditionalFormatting>
  <conditionalFormatting sqref="I23">
    <cfRule type="expression" dxfId="1842" priority="21">
      <formula>ABS(I$25-I$28)&gt;=1000</formula>
    </cfRule>
  </conditionalFormatting>
  <conditionalFormatting sqref="Q14">
    <cfRule type="expression" dxfId="1841" priority="20">
      <formula>ABS(Q$16-Q$19)&gt;=1000</formula>
    </cfRule>
  </conditionalFormatting>
  <conditionalFormatting sqref="W14">
    <cfRule type="expression" dxfId="1840" priority="19">
      <formula>ABS(W$16-W$19)&gt;=1000</formula>
    </cfRule>
  </conditionalFormatting>
  <conditionalFormatting sqref="Y14">
    <cfRule type="expression" dxfId="1839" priority="18">
      <formula>ABS(Y$16-Y$19)&gt;=1000</formula>
    </cfRule>
  </conditionalFormatting>
  <conditionalFormatting sqref="X14">
    <cfRule type="expression" dxfId="1838" priority="17">
      <formula>ABS(X$16-X$19)&gt;=1000</formula>
    </cfRule>
  </conditionalFormatting>
  <conditionalFormatting sqref="T10:Y10">
    <cfRule type="expression" dxfId="1837" priority="16">
      <formula>ABS(T$7-T$10)&gt;=1000</formula>
    </cfRule>
  </conditionalFormatting>
  <conditionalFormatting sqref="W19">
    <cfRule type="expression" dxfId="1836" priority="15">
      <formula>ABS(W$16-W$19)&gt;=1000</formula>
    </cfRule>
  </conditionalFormatting>
  <conditionalFormatting sqref="AC5">
    <cfRule type="expression" dxfId="1835" priority="14">
      <formula>ABS(AC$7-AC$10)&gt;=1000</formula>
    </cfRule>
  </conditionalFormatting>
  <conditionalFormatting sqref="M14">
    <cfRule type="expression" dxfId="1834" priority="13">
      <formula>ABS(M$16-M$19)&gt;=1000</formula>
    </cfRule>
  </conditionalFormatting>
  <conditionalFormatting sqref="M16">
    <cfRule type="expression" dxfId="1833" priority="12">
      <formula>ABS(M$16-M$19)&gt;=1000</formula>
    </cfRule>
  </conditionalFormatting>
  <conditionalFormatting sqref="M19">
    <cfRule type="expression" dxfId="1832" priority="11">
      <formula>ABS(M$16-M$19)&gt;=1000</formula>
    </cfRule>
  </conditionalFormatting>
  <conditionalFormatting sqref="K13:K20">
    <cfRule type="expression" dxfId="1831" priority="10">
      <formula>ABS(K$16-K$19)&gt;=1000</formula>
    </cfRule>
  </conditionalFormatting>
  <conditionalFormatting sqref="E5">
    <cfRule type="expression" dxfId="1830" priority="9">
      <formula>ABS(E$7-E$10)&gt;=1000</formula>
    </cfRule>
  </conditionalFormatting>
  <conditionalFormatting sqref="AB14:AC14">
    <cfRule type="expression" dxfId="1829" priority="8">
      <formula>ABS(AB$16-AB$19)&gt;=1000</formula>
    </cfRule>
  </conditionalFormatting>
  <conditionalFormatting sqref="M5">
    <cfRule type="expression" dxfId="1828" priority="7">
      <formula>ABS(M$7-M$10)&gt;=1000</formula>
    </cfRule>
  </conditionalFormatting>
  <conditionalFormatting sqref="N5">
    <cfRule type="expression" dxfId="1827" priority="6">
      <formula>ABS(N$7-N$10)&gt;=1000</formula>
    </cfRule>
  </conditionalFormatting>
  <conditionalFormatting sqref="O5">
    <cfRule type="expression" dxfId="1826" priority="5">
      <formula>ABS(O$7-O$10)&gt;=1000</formula>
    </cfRule>
  </conditionalFormatting>
  <conditionalFormatting sqref="P5">
    <cfRule type="expression" dxfId="1825" priority="4">
      <formula>ABS(P$7-P$10)&gt;=1000</formula>
    </cfRule>
  </conditionalFormatting>
  <conditionalFormatting sqref="L23">
    <cfRule type="expression" dxfId="1824" priority="3">
      <formula>ABS(L$25-L$28)&gt;=1000</formula>
    </cfRule>
  </conditionalFormatting>
  <conditionalFormatting sqref="F14">
    <cfRule type="expression" dxfId="1823" priority="2">
      <formula>ABS(F$16-F$19)&gt;=1000</formula>
    </cfRule>
  </conditionalFormatting>
  <conditionalFormatting sqref="AE5">
    <cfRule type="expression" dxfId="182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388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1">
    <pageSetUpPr fitToPage="1"/>
  </sheetPr>
  <dimension ref="A1:CU223"/>
  <sheetViews>
    <sheetView view="pageBreakPreview" topLeftCell="A15" zoomScale="80" zoomScaleNormal="100" zoomScaleSheetLayoutView="80" workbookViewId="0">
      <selection activeCell="W21" sqref="W2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45943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5336</v>
      </c>
      <c r="E6" s="71">
        <v>4930</v>
      </c>
      <c r="F6" s="71">
        <v>4364</v>
      </c>
      <c r="G6" s="71">
        <v>6536</v>
      </c>
      <c r="H6" s="71">
        <v>0</v>
      </c>
      <c r="I6" s="71">
        <v>0.06</v>
      </c>
      <c r="J6" s="71">
        <v>7.01</v>
      </c>
      <c r="K6" s="71">
        <v>85.37</v>
      </c>
      <c r="L6" s="71">
        <v>39.93</v>
      </c>
      <c r="M6" s="71">
        <v>1449</v>
      </c>
      <c r="N6" s="71">
        <v>3824</v>
      </c>
      <c r="O6" s="71">
        <v>786</v>
      </c>
      <c r="P6" s="71">
        <v>3098</v>
      </c>
      <c r="Q6" s="71">
        <v>7013</v>
      </c>
      <c r="R6" s="71">
        <v>6</v>
      </c>
      <c r="S6" s="71">
        <v>0</v>
      </c>
      <c r="T6" s="71">
        <v>0</v>
      </c>
      <c r="U6" s="71">
        <v>0</v>
      </c>
      <c r="V6" s="71">
        <v>0</v>
      </c>
      <c r="W6" s="71">
        <v>4968</v>
      </c>
      <c r="X6" s="71">
        <v>7099</v>
      </c>
      <c r="Y6" s="71">
        <v>4572</v>
      </c>
      <c r="Z6" s="71">
        <v>5263</v>
      </c>
      <c r="AA6" s="71">
        <v>556</v>
      </c>
      <c r="AB6" s="71">
        <v>1841</v>
      </c>
      <c r="AC6" s="71">
        <v>3043</v>
      </c>
      <c r="AD6" s="71">
        <v>4350</v>
      </c>
      <c r="AE6" s="71">
        <v>3572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167136.48215784002</v>
      </c>
      <c r="E7" s="73" ph="1">
        <f>E6*51.53*LOOKUP(E8,密度!$A$2:$A$50,密度!$B$2:$B$50)</f>
        <v>197188.09898000001</v>
      </c>
      <c r="F7" s="73" ph="1">
        <f>F6*33.183*LOOKUP(F8,密度!$A$2:$A$50,密度!$C$2:$C$50)</f>
        <v>160363.2717288</v>
      </c>
      <c r="G7" s="73" ph="1">
        <f xml:space="preserve"> (G6+2)*51.53*LOOKUP(G8,密度!$A$2:$A$50,密度!$B$2:$B$50)</f>
        <v>261504.21726800001</v>
      </c>
      <c r="H7" s="73" ph="1">
        <f>(H6)*51.53*LOOKUP(H8,密度!$A$2:$A$50,密度!$B$2:$B$50)</f>
        <v>0</v>
      </c>
      <c r="I7" s="73" ph="1">
        <f>I6*290.8*1.0267</f>
        <v>17.913861600000001</v>
      </c>
      <c r="J7" s="73" ph="1">
        <f>J6*290.8*0.7892</f>
        <v>1608.7905136000002</v>
      </c>
      <c r="K7" s="73" ph="1">
        <f>K6*290.8*1.1126</f>
        <v>27620.958109600004</v>
      </c>
      <c r="L7" s="73" ph="1">
        <f>L6*290.8*0.777</f>
        <v>9022.2473879999998</v>
      </c>
      <c r="M7" s="73" ph="1">
        <f>M6*33.183*LOOKUP(M8,密度!$A$2:$A$50,密度!$D$2:$D$50)</f>
        <v>49231.330791300003</v>
      </c>
      <c r="N7" s="73" ph="1">
        <f>N6*33.183*LOOKUP(N8,密度!$A$2:$A$50,密度!$E$2:$E$50)</f>
        <v>98671.05745919999</v>
      </c>
      <c r="O7" s="73" ph="1">
        <f>O6*20.428*LOOKUP(O8,密度!$A$2:$A$50,密度!$C$2:$C$50)</f>
        <v>17756.781607200002</v>
      </c>
      <c r="P7" s="73" ph="1">
        <f>P6*51.53*LOOKUP(P8,密度!$A$2:$A$50,密度!$B$2:$B$50)</f>
        <v>124040.23338000001</v>
      </c>
      <c r="Q7" s="73" ph="1">
        <f>Q6*1.5*1.5*3.1416*LOOKUP(W8,密度!$A$2:$A$50,密度!$L$2:$L$50)</f>
        <v>46250.761649400003</v>
      </c>
      <c r="R7" s="73" ph="1">
        <f>R6*1.5*1.5*3.1416*LOOKUP(R8,密度!$A$2:$A$50,密度!$L$2:$L$50)</f>
        <v>39.442788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32763.978878400001</v>
      </c>
      <c r="X7" s="73" ph="1">
        <f>X6*1.5*1.5*3.1416*LOOKUP(X8,密度!$A$2:$A$50,密度!$L$2:$L$50)</f>
        <v>47319.731890199997</v>
      </c>
      <c r="Y7" s="73" ph="1">
        <f>Y6*1.5*1.5*3.1416*LOOKUP(Y8,密度!$A$2:$A$50,密度!$L$2:$L$50)</f>
        <v>30216.992652000001</v>
      </c>
      <c r="Z7" s="73" ph="1">
        <f>Z6*33.183*LOOKUP(Z8,密度!$A$2:$A$50,密度!$L$2:$L$50)</f>
        <v>163639.67487300001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38717.38246600001</v>
      </c>
      <c r="AC7" s="73" ph="1">
        <f>AC6*51.53*LOOKUP(AC8,密度!$A$2:$A$50,密度!$Q$2:$Q$50)</f>
        <v>148454.31362460001</v>
      </c>
      <c r="AD7" s="73" ph="1">
        <f>AD6*20.428*LOOKUP(AD8,密度!$A$2:$A$50,密度!$V$2:$V$50)</f>
        <v>85094.059680000006</v>
      </c>
      <c r="AE7" s="73" ph="1">
        <f>AE6*20.428</f>
        <v>72968.816000000006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27</v>
      </c>
      <c r="G8" s="74">
        <v>29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29</v>
      </c>
      <c r="P8" s="74">
        <v>28</v>
      </c>
      <c r="Q8" s="74">
        <v>27</v>
      </c>
      <c r="R8" s="74">
        <v>32</v>
      </c>
      <c r="S8" s="74">
        <v>22</v>
      </c>
      <c r="T8" s="74">
        <v>22</v>
      </c>
      <c r="U8" s="74">
        <v>27</v>
      </c>
      <c r="V8" s="74">
        <v>28</v>
      </c>
      <c r="W8" s="74">
        <v>29</v>
      </c>
      <c r="X8" s="74">
        <v>19</v>
      </c>
      <c r="Y8" s="74">
        <v>27</v>
      </c>
      <c r="Z8" s="74">
        <v>25</v>
      </c>
      <c r="AA8" s="74">
        <v>27</v>
      </c>
      <c r="AB8" s="74">
        <v>22</v>
      </c>
      <c r="AC8" s="74">
        <v>25</v>
      </c>
      <c r="AD8" s="74">
        <v>27</v>
      </c>
      <c r="AE8" s="74">
        <v>30</v>
      </c>
    </row>
    <row r="9" spans="1:99" ht="26.4" ph="1">
      <c r="B9" s="241" ph="1">
        <v>0.66666666666666663</v>
      </c>
      <c r="C9" s="156" t="s" ph="1">
        <v>180</v>
      </c>
      <c r="D9" s="71">
        <v>5339</v>
      </c>
      <c r="E9" s="71">
        <v>4630</v>
      </c>
      <c r="F9" s="71">
        <v>4367</v>
      </c>
      <c r="G9" s="71">
        <v>6541</v>
      </c>
      <c r="H9" s="71">
        <v>0</v>
      </c>
      <c r="I9" s="71">
        <v>0.04</v>
      </c>
      <c r="J9" s="71">
        <v>7.08</v>
      </c>
      <c r="K9" s="71">
        <v>7.41</v>
      </c>
      <c r="L9" s="71">
        <v>28.17</v>
      </c>
      <c r="M9" s="71">
        <v>1449</v>
      </c>
      <c r="N9" s="71">
        <v>3827</v>
      </c>
      <c r="O9" s="71">
        <v>1015</v>
      </c>
      <c r="P9" s="71">
        <v>2986</v>
      </c>
      <c r="Q9" s="71">
        <v>7023</v>
      </c>
      <c r="R9" s="71">
        <v>2350</v>
      </c>
      <c r="S9" s="71">
        <v>2299</v>
      </c>
      <c r="T9" s="71">
        <v>0</v>
      </c>
      <c r="U9" s="71">
        <v>0</v>
      </c>
      <c r="V9" s="71">
        <v>0</v>
      </c>
      <c r="W9" s="71">
        <v>486</v>
      </c>
      <c r="X9" s="71">
        <v>7109</v>
      </c>
      <c r="Y9" s="71">
        <v>4581</v>
      </c>
      <c r="Z9" s="71">
        <v>6211</v>
      </c>
      <c r="AA9" s="71">
        <v>558</v>
      </c>
      <c r="AB9" s="71">
        <v>1760</v>
      </c>
      <c r="AC9" s="71">
        <v>3168</v>
      </c>
      <c r="AD9" s="71">
        <v>4350</v>
      </c>
      <c r="AE9" s="71">
        <v>3540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167124.15102321</v>
      </c>
      <c r="E10" s="73" ph="1">
        <f>E9*51.53*LOOKUP(E11,密度!$A$2:$A$50,密度!$B$2:$B$50)</f>
        <v>184544.64664999998</v>
      </c>
      <c r="F10" s="73" ph="1">
        <f>F9*33.183*LOOKUP(F11,密度!$A$2:$A$50,密度!$C$2:$C$50)</f>
        <v>160357.58416259999</v>
      </c>
      <c r="G10" s="73" ph="1">
        <f xml:space="preserve"> (G9+2)*51.53*LOOKUP(G11,密度!$A$2:$A$50,密度!$B$2:$B$50)</f>
        <v>261400.76048699999</v>
      </c>
      <c r="H10" s="73" ph="1">
        <f>(H9)*51.53*LOOKUP(H11,密度!$A$2:$A$50,密度!$B$2:$B$50)</f>
        <v>0</v>
      </c>
      <c r="I10" s="73" ph="1">
        <f>I9*290.8*1.0267</f>
        <v>11.942574400000002</v>
      </c>
      <c r="J10" s="73" ph="1">
        <f>J9*290.8*0.7892</f>
        <v>1624.8554688000002</v>
      </c>
      <c r="K10" s="73" ph="1">
        <f>K9*290.8*1.1126</f>
        <v>2397.4616328000002</v>
      </c>
      <c r="L10" s="73" ph="1">
        <f>L9*290.8*0.777</f>
        <v>6365.0565720000013</v>
      </c>
      <c r="M10" s="73" ph="1">
        <f>M9*33.183*LOOKUP(M11,密度!$A$2:$A$50,密度!$D$2:$D$50)</f>
        <v>49139.974674000005</v>
      </c>
      <c r="N10" s="73" ph="1">
        <f>N9*33.183*LOOKUP(N11,密度!$A$2:$A$50,密度!$E$2:$E$50)</f>
        <v>98748.466761599993</v>
      </c>
      <c r="O10" s="73" ph="1">
        <f>O9*20.428*LOOKUP(O11,密度!$A$2:$A$50,密度!$C$2:$C$50)</f>
        <v>22739.438414000004</v>
      </c>
      <c r="P10" s="73" ph="1">
        <f>P9*51.53*LOOKUP(P11,密度!$A$2:$A$50,密度!$B$2:$B$50)</f>
        <v>119017.34663</v>
      </c>
      <c r="Q10" s="73" ph="1">
        <f>Q9*1.5*1.5*3.1416*LOOKUP(W11,密度!$A$2:$A$50,密度!$L$2:$L$50)</f>
        <v>46068.4977984</v>
      </c>
      <c r="R10" s="73" ph="1">
        <f>R9*1.5*1.5*3.1416*LOOKUP(R11,密度!$A$2:$A$50,密度!$L$2:$L$50)</f>
        <v>15448.425300000001</v>
      </c>
      <c r="S10" s="73" ph="1">
        <f>S9*1.5*1.5*3.1416*LOOKUP(S11,密度!$A$2:$A$50,密度!$L$2:$L$50)</f>
        <v>15259.4180046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3187.9951488000002</v>
      </c>
      <c r="X10" s="73" ph="1">
        <f>X9*1.5*1.5*3.1416*LOOKUP(X11,密度!$A$2:$A$50,密度!$L$2:$L$50)</f>
        <v>47235.636756</v>
      </c>
      <c r="Y10" s="73" ph="1">
        <f>Y9*1.5*1.5*3.1416*LOOKUP(Y11,密度!$A$2:$A$50,密度!$L$2:$L$50)</f>
        <v>30211.712407800002</v>
      </c>
      <c r="Z10" s="73" ph="1">
        <f>Z9*33.183*LOOKUP(Z11,密度!$A$2:$A$50,密度!$L$2:$L$50)</f>
        <v>192703.13815500002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36913.232575999995</v>
      </c>
      <c r="AC10" s="73" ph="1">
        <f>AC9*51.53*LOOKUP(AC11,密度!$A$2:$A$50,密度!$Q$2:$Q$50)</f>
        <v>154093.77846720003</v>
      </c>
      <c r="AD10" s="73" ph="1">
        <f>AD9*20.428*LOOKUP(AD11,密度!$A$2:$A$50,密度!$V$2:$V$50)</f>
        <v>85094.059680000006</v>
      </c>
      <c r="AE10" s="73" ph="1">
        <f>AE9*20.428</f>
        <v>72315.12000000001</v>
      </c>
    </row>
    <row r="11" spans="1:99" ph="1">
      <c r="A11" s="64" t="s" ph="1">
        <v>162</v>
      </c>
      <c r="B11" s="241" ph="1"/>
      <c r="C11" s="156" t="s" ph="1">
        <v>179</v>
      </c>
      <c r="D11" s="74">
        <v>30</v>
      </c>
      <c r="E11" s="74">
        <v>32</v>
      </c>
      <c r="F11" s="74">
        <v>28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38</v>
      </c>
      <c r="P11" s="74">
        <v>32</v>
      </c>
      <c r="Q11" s="74">
        <v>29</v>
      </c>
      <c r="R11" s="74">
        <v>32</v>
      </c>
      <c r="S11" s="74">
        <v>23</v>
      </c>
      <c r="T11" s="74">
        <v>31</v>
      </c>
      <c r="U11" s="74">
        <v>30</v>
      </c>
      <c r="V11" s="74">
        <v>28</v>
      </c>
      <c r="W11" s="74">
        <v>34</v>
      </c>
      <c r="X11" s="74">
        <v>22</v>
      </c>
      <c r="Y11" s="74">
        <v>29</v>
      </c>
      <c r="Z11" s="74">
        <v>27</v>
      </c>
      <c r="AA11" s="74">
        <v>32</v>
      </c>
      <c r="AB11" s="74">
        <v>25</v>
      </c>
      <c r="AC11" s="74">
        <v>29</v>
      </c>
      <c r="AD11" s="74">
        <v>29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4384</v>
      </c>
      <c r="E15" s="78">
        <v>67</v>
      </c>
      <c r="F15" s="78">
        <v>2585</v>
      </c>
      <c r="G15" s="78">
        <v>3378</v>
      </c>
      <c r="H15" s="78">
        <v>1967</v>
      </c>
      <c r="I15" s="78">
        <v>2670</v>
      </c>
      <c r="J15" s="78">
        <v>1343</v>
      </c>
      <c r="K15" s="78">
        <v>3577</v>
      </c>
      <c r="L15" s="78">
        <v>5846</v>
      </c>
      <c r="M15" s="78">
        <v>7019</v>
      </c>
      <c r="N15" s="78">
        <v>4235</v>
      </c>
      <c r="O15" s="78">
        <v>939</v>
      </c>
      <c r="P15" s="78">
        <v>6953</v>
      </c>
      <c r="Q15" s="78">
        <v>3342</v>
      </c>
      <c r="R15" s="78">
        <v>0</v>
      </c>
      <c r="S15" s="78">
        <v>6225</v>
      </c>
      <c r="T15" s="78">
        <v>3185</v>
      </c>
      <c r="U15" s="78">
        <v>6260</v>
      </c>
      <c r="V15" s="78">
        <v>850</v>
      </c>
      <c r="W15" s="71">
        <v>-210</v>
      </c>
      <c r="X15" s="78">
        <v>1106</v>
      </c>
      <c r="Y15" s="106">
        <v>-2365</v>
      </c>
      <c r="Z15" s="78">
        <v>0</v>
      </c>
      <c r="AA15" s="78">
        <v>8</v>
      </c>
      <c r="AB15" s="78" ph="1">
        <v>1098</v>
      </c>
      <c r="AC15" s="78" ph="1">
        <v>2154</v>
      </c>
      <c r="AD15" s="78">
        <v>72.17</v>
      </c>
      <c r="AE15" s="78">
        <v>5.33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28881.507916800001</v>
      </c>
      <c r="E16" s="73" ph="1">
        <f>E15*7.0686*LOOKUP(E17,密度!$A$2:$A$50,密度!$L$2:$L$50)</f>
        <v>441.39165840000004</v>
      </c>
      <c r="F16" s="73" ph="1">
        <f>F15*9.0746*LOOKUP(F17,密度!$A$2:$A$50,密度!$L$2:$L$50)</f>
        <v>21862.707812000001</v>
      </c>
      <c r="G16" s="73" ph="1">
        <f>G15*9.0746*LOOKUP(G17,密度!$A$2:$A$50,密度!$B$2:$B$50)</f>
        <v>23845.745666520001</v>
      </c>
      <c r="H16" s="73" ph="1">
        <f>H15*9.0746*LOOKUP(H17,密度!$A$2:$A$50,密度!$L$2:$L$50)</f>
        <v>16725.204693399999</v>
      </c>
      <c r="I16" s="73" ph="1">
        <f>I15*9.0746*LOOKUP(I17,密度!$A$2:$A$50,密度!$U$2:$U$50)</f>
        <v>24810.682368000002</v>
      </c>
      <c r="J16" s="73" ph="1">
        <f>J15*9.0746*LOOKUP(J17,密度!$A$2:$A$50,密度!$L$2:$L$50)</f>
        <v>11382.833405200001</v>
      </c>
      <c r="K16" s="73" ph="1">
        <f>K15*9.0746*LOOKUP(K17,密度!$A$2:$A$50,密度!$C$2:$C$50)</f>
        <v>35946.03146708</v>
      </c>
      <c r="L16" s="73" ph="1">
        <f>L15*9.0746*LOOKUP(L17,密度!$A$2:$A$50,密度!$E$2:$E$50)</f>
        <v>41310.12190292</v>
      </c>
      <c r="M16" s="73" ph="1">
        <f>M15*9.0746*LOOKUP(M17,密度!$A$2:$A$50,密度!$M$2:$M$50)</f>
        <v>55407.947676260002</v>
      </c>
      <c r="N16" s="73" ph="1">
        <f>N15*9.0746*LOOKUP(N17,密度!$A$2:$A$50,密度!$M$2:$M$50)</f>
        <v>33592.4767871</v>
      </c>
      <c r="O16" s="73" ph="1">
        <f>O15*9.0746*LOOKUP(O17,密度!$A$2:$A$50,密度!$G$2:$G$50)</f>
        <v>8163.1653251999996</v>
      </c>
      <c r="P16" s="73" ph="1">
        <f ca="1">P15*9.0746*LOOKUP(P17,密度!$A$2:$A$51,密度!$Q$2:$Q$50)</f>
        <v>59520.060832354</v>
      </c>
      <c r="Q16" s="73" ph="1">
        <f>Q15*9.0746*LOOKUP(Q17,密度!$A$2:$A$50,密度!$Q$2:$Q$50)</f>
        <v>28608.664360956001</v>
      </c>
      <c r="R16" s="73" ph="1">
        <f>MAX(R15*9.0746*LOOKUP(R17,密度!$A$2:$A$50,密度!$B$2:$B$50),0)</f>
        <v>0</v>
      </c>
      <c r="S16" s="73" ph="1">
        <f>S15*9.0746*LOOKUP(S17,密度!$A$2:$A$50,密度!$Q$2:$Q$50)</f>
        <v>53288.131552049999</v>
      </c>
      <c r="T16" s="73" ph="1">
        <f>T15*9.0746*LOOKUP(T17,密度!$A$2:$A$50,密度!$O$2:$O$50)</f>
        <v>26648.198122000002</v>
      </c>
      <c r="U16" s="73" ph="1">
        <f>U15*9.0746*LOOKUP(U17,密度!$A$2:$A$50,密度!$H$2:$H$50)</f>
        <v>51694.36636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3490.3247733200005</v>
      </c>
      <c r="X16" s="73" ph="1">
        <f>MAX(5600*LOOKUP(X17,密度!$A$2:$A$50,密度!$I$2:$I$50)+X15*9.0476*LOOKUP(X17,密度!$A$2:$A$50,密度!$I$2:$I$50),0)</f>
        <v>16177.848828959999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56.596465279999997</v>
      </c>
      <c r="AB16" s="73" ph="1">
        <f>AB15*9.0746*LOOKUP(AB17,密度!$A$2:$A$50,密度!$L$2:$L$50)</f>
        <v>9316.2565979999999</v>
      </c>
      <c r="AC16" s="73" ph="1">
        <f>AC15*9.0746*LOOKUP(AC17,密度!$A$2:$A$50,密度!$L$2:$L$50)</f>
        <v>18276.153654000002</v>
      </c>
      <c r="AD16" s="73" ph="1">
        <f>AD15*268.68*LOOKUP(AD17,密度!$A$2:$A$50,密度!B2:B50)+IF(AD15&lt;=0,0,1566*LOOKUP(AD17,密度!$A$2:$A$50,密度!B2:B50))</f>
        <v>16337.793113760001</v>
      </c>
      <c r="AE16" s="73" ph="1">
        <f>AE15*268.68*LOOKUP(AE17,密度!$A$2:$A$50,密度!B2:B50)+IF(AE15&lt;=0,0,1566*LOOKUP(AE17,密度!$A$2:$A$50,密度!B2:B50))</f>
        <v>2337.2910062399997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30</v>
      </c>
      <c r="G17" s="74">
        <v>27</v>
      </c>
      <c r="H17" s="74">
        <v>25</v>
      </c>
      <c r="I17" s="74">
        <v>26</v>
      </c>
      <c r="J17" s="74">
        <v>28</v>
      </c>
      <c r="K17" s="74">
        <v>27</v>
      </c>
      <c r="L17" s="74">
        <v>29</v>
      </c>
      <c r="M17" s="74">
        <v>30</v>
      </c>
      <c r="N17" s="74">
        <v>26</v>
      </c>
      <c r="O17" s="74">
        <v>27</v>
      </c>
      <c r="P17" s="74">
        <v>30</v>
      </c>
      <c r="Q17" s="74">
        <v>30</v>
      </c>
      <c r="R17" s="74">
        <v>28</v>
      </c>
      <c r="S17" s="74">
        <v>30</v>
      </c>
      <c r="T17" s="74">
        <v>30</v>
      </c>
      <c r="U17" s="74">
        <v>30</v>
      </c>
      <c r="V17" s="74">
        <v>30</v>
      </c>
      <c r="W17" s="74">
        <v>30</v>
      </c>
      <c r="X17" s="74">
        <v>30</v>
      </c>
      <c r="Y17" s="108">
        <v>30</v>
      </c>
      <c r="Z17" s="74">
        <v>27</v>
      </c>
      <c r="AA17" s="74">
        <v>25</v>
      </c>
      <c r="AB17" s="74">
        <v>27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3842</v>
      </c>
      <c r="E18" s="71">
        <v>66</v>
      </c>
      <c r="F18" s="71">
        <v>2585</v>
      </c>
      <c r="G18" s="71">
        <v>3778</v>
      </c>
      <c r="H18" s="71">
        <v>1968</v>
      </c>
      <c r="I18" s="71">
        <v>2672</v>
      </c>
      <c r="J18" s="71">
        <v>1348</v>
      </c>
      <c r="K18" s="71">
        <v>3579</v>
      </c>
      <c r="L18" s="71">
        <v>5858</v>
      </c>
      <c r="M18" s="71">
        <v>5528</v>
      </c>
      <c r="N18" s="71">
        <v>4015</v>
      </c>
      <c r="O18" s="71">
        <v>940</v>
      </c>
      <c r="P18" s="71">
        <v>6964</v>
      </c>
      <c r="Q18" s="71">
        <v>1648</v>
      </c>
      <c r="R18" s="71">
        <v>0</v>
      </c>
      <c r="S18" s="71">
        <v>6232</v>
      </c>
      <c r="T18" s="71">
        <v>2176</v>
      </c>
      <c r="U18" s="71">
        <v>6263</v>
      </c>
      <c r="V18" s="71">
        <v>850</v>
      </c>
      <c r="W18" s="71">
        <v>-817</v>
      </c>
      <c r="X18" s="71">
        <v>877</v>
      </c>
      <c r="Y18" s="109">
        <v>-9907</v>
      </c>
      <c r="Z18" s="71">
        <v>0</v>
      </c>
      <c r="AA18" s="71">
        <v>7</v>
      </c>
      <c r="AB18" s="71">
        <v>1098</v>
      </c>
      <c r="AC18" s="71">
        <v>2156</v>
      </c>
      <c r="AD18" s="71">
        <v>84.45</v>
      </c>
      <c r="AE18" s="71">
        <v>34.47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25256.531916</v>
      </c>
      <c r="E19" s="73" ph="1">
        <f>E18*7.0686*LOOKUP(E20,密度!$A$2:$A$50,密度!$L$2:$L$50)</f>
        <v>433.87066800000002</v>
      </c>
      <c r="F19" s="73" ph="1">
        <f>F18*9.0746*LOOKUP(F20,密度!$A$2:$A$50,密度!$L$2:$L$50)</f>
        <v>21839.249971000001</v>
      </c>
      <c r="G19" s="73" ph="1">
        <f>G18*9.0746*LOOKUP(G20,密度!$A$2:$A$50,密度!$B$2:$B$50)</f>
        <v>26638.5427476</v>
      </c>
      <c r="H19" s="73" ph="1">
        <f>H18*9.0746*LOOKUP(H20,密度!$A$2:$A$50,密度!$L$2:$L$50)</f>
        <v>16715.848780799999</v>
      </c>
      <c r="I19" s="73" ph="1">
        <f>I18*9.0746*LOOKUP(I20,密度!$A$2:$A$50,密度!$U$2:$U$50)</f>
        <v>24732.277824000001</v>
      </c>
      <c r="J19" s="73" ph="1">
        <f>J18*9.0746*LOOKUP(J20,密度!$A$2:$A$50,密度!$L$2:$L$50)</f>
        <v>11400.746665600002</v>
      </c>
      <c r="K19" s="73" ph="1">
        <f>K18*9.0746*LOOKUP(K20,密度!$A$2:$A$50,密度!$C$2:$C$50)</f>
        <v>35917.412901060001</v>
      </c>
      <c r="L19" s="73" ph="1">
        <f>L18*9.0746*LOOKUP(L20,密度!$A$2:$A$50,密度!$E$2:$E$50)</f>
        <v>41336.443687680003</v>
      </c>
      <c r="M19" s="73" ph="1">
        <f>M18*9.0746*LOOKUP(M20,密度!$A$2:$A$50,密度!$M$2:$M$50)</f>
        <v>43480.987280175999</v>
      </c>
      <c r="N19" s="73" ph="1">
        <f>N18*9.0746*LOOKUP(N20,密度!$A$2:$A$50,密度!$M$2:$M$50)</f>
        <v>31694.388078100001</v>
      </c>
      <c r="O19" s="73" ph="1">
        <f>O18*9.0746*LOOKUP(O20,密度!$A$2:$A$50,密度!$G$2:$G$50)</f>
        <v>8143.7093827999997</v>
      </c>
      <c r="P19" s="73" ph="1">
        <f ca="1">P18*9.0746*LOOKUP(P20,密度!$A$2:$A$51,密度!$Q$2:$Q$50)</f>
        <v>59441.068889496004</v>
      </c>
      <c r="Q19" s="73" ph="1">
        <f>Q18*9.0746*LOOKUP(Q20,密度!$A$2:$A$50,密度!$Q$2:$Q$50)</f>
        <v>14086.05873952</v>
      </c>
      <c r="R19" s="73" ph="1">
        <f>MAX(R18*9.0746*LOOKUP(R20,密度!$A$2:$A$50,密度!$B$2:$B$50),0)</f>
        <v>0</v>
      </c>
      <c r="S19" s="73" ph="1">
        <f>S18*9.0746*LOOKUP(S20,密度!$A$2:$A$50,密度!$Q$2:$Q$50)</f>
        <v>53305.639268576</v>
      </c>
      <c r="T19" s="73" ph="1">
        <f>T18*9.0746*LOOKUP(T20,密度!$A$2:$A$50,密度!$O$2:$O$50)</f>
        <v>18206.115891200003</v>
      </c>
      <c r="U19" s="73" ph="1">
        <f>U18*9.0746*LOOKUP(U20,密度!$A$2:$A$50,密度!$H$2:$H$50)</f>
        <v>51719.140017999998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14000.34043488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49.026433959999999</v>
      </c>
      <c r="AB19" s="73" ph="1">
        <f>AB18*9.0746*LOOKUP(AB20,密度!$A$2:$A$50,密度!$L$2:$L$50)</f>
        <v>9196.6896684000003</v>
      </c>
      <c r="AC19" s="73" ph="1">
        <f>AC18*9.0746*LOOKUP(AC20,密度!$A$2:$A$50,密度!$L$2:$L$50)</f>
        <v>18234.428643200001</v>
      </c>
      <c r="AD19" s="73" ph="1">
        <f>AD18*268.68*LOOKUP(AD20,密度!$A$2:$A$50,密度!B5:B53)+IF(AD18&lt;=0,0,1566*LOOKUP(AD20,密度!$A$2:$A$50,密度!B5:B53))</f>
        <v>18846.932202</v>
      </c>
      <c r="AE19" s="73" ph="1">
        <f>AE18*268.68*LOOKUP(AE20,密度!$A$2:$A$50,密度!B5:B53)+IF(AE18&lt;=0,0,1566*LOOKUP(AE20,密度!$A$2:$A$50,密度!B5:B53))</f>
        <v>8412.8894892000008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31</v>
      </c>
      <c r="G20" s="81">
        <v>28</v>
      </c>
      <c r="H20" s="81">
        <v>26</v>
      </c>
      <c r="I20" s="81">
        <v>30</v>
      </c>
      <c r="J20" s="81">
        <v>30</v>
      </c>
      <c r="K20" s="81">
        <v>29</v>
      </c>
      <c r="L20" s="81">
        <v>30</v>
      </c>
      <c r="M20" s="81">
        <v>33</v>
      </c>
      <c r="N20" s="81">
        <v>30</v>
      </c>
      <c r="O20" s="81">
        <v>30</v>
      </c>
      <c r="P20" s="81">
        <v>34</v>
      </c>
      <c r="Q20" s="81">
        <v>32</v>
      </c>
      <c r="R20" s="81">
        <v>46</v>
      </c>
      <c r="S20" s="81">
        <v>31</v>
      </c>
      <c r="T20" s="81">
        <v>37</v>
      </c>
      <c r="U20" s="81">
        <v>30</v>
      </c>
      <c r="V20" s="81">
        <v>32</v>
      </c>
      <c r="W20" s="81">
        <v>34</v>
      </c>
      <c r="X20" s="81">
        <v>32</v>
      </c>
      <c r="Y20" s="110">
        <v>32</v>
      </c>
      <c r="Z20" s="81">
        <v>40</v>
      </c>
      <c r="AA20" s="81">
        <v>34</v>
      </c>
      <c r="AB20" s="81">
        <v>39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81.92</v>
      </c>
      <c r="E24" s="71">
        <v>46.18</v>
      </c>
      <c r="F24" s="71">
        <v>4074</v>
      </c>
      <c r="G24" s="71">
        <v>2408</v>
      </c>
      <c r="H24" s="71">
        <v>3783</v>
      </c>
      <c r="I24" s="71">
        <v>2844</v>
      </c>
      <c r="J24" s="71">
        <v>389</v>
      </c>
      <c r="K24" s="71">
        <v>501</v>
      </c>
      <c r="L24" s="71">
        <v>5609</v>
      </c>
      <c r="M24" s="71">
        <v>4011</v>
      </c>
      <c r="N24" s="71">
        <v>5530</v>
      </c>
      <c r="O24" s="71">
        <v>5596</v>
      </c>
      <c r="P24" s="71">
        <v>358</v>
      </c>
      <c r="Q24" s="90">
        <v>2498</v>
      </c>
      <c r="R24" s="71">
        <v>217</v>
      </c>
      <c r="S24" s="71">
        <v>3587</v>
      </c>
      <c r="T24" s="71">
        <v>848</v>
      </c>
      <c r="U24" s="71">
        <v>5191</v>
      </c>
      <c r="V24" s="71">
        <v>4921</v>
      </c>
      <c r="W24" s="71">
        <v>9759</v>
      </c>
      <c r="X24" s="71">
        <v>2974</v>
      </c>
      <c r="Y24" s="71">
        <v>4425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22320.593694144005</v>
      </c>
      <c r="E25" s="91" ph="1">
        <f>E24*268.68*LOOKUP(E26,密度!$A$2:$A$50,密度!$C$2:$C$50)+IF(E24&lt;=0,0,1566*LOOKUP(E26,密度!$A$2:$A$50,密度!$C$2:$C$50))</f>
        <v>15495.37205736</v>
      </c>
      <c r="F25" s="91" ph="1">
        <f>F24*11.702*LOOKUP(F26,密度!$A$2:$A$50,密度!$Q$2:$Q$50)</f>
        <v>45000.869735640001</v>
      </c>
      <c r="G25" s="91" ph="1">
        <f>G24*18.322*LOOKUP(G26,密度!$A$2:$A$50,密度!$B$2:$B$50)</f>
        <v>34245.459651199999</v>
      </c>
      <c r="H25" s="91" ph="1">
        <f>H24*18.322*LOOKUP(H26,密度!$A$2:$A$50,密度!$B$2:$B$50)</f>
        <v>53855.521902000008</v>
      </c>
      <c r="I25" s="91" ph="1">
        <f>I24*18.322*LOOKUP(I26,密度!$A$2:$A$50,密度!$Q$2:$Q$50)</f>
        <v>49186.085448239995</v>
      </c>
      <c r="J25" s="91" ph="1">
        <f>J24*18.322*LOOKUP(J26,密度!$A$2:$A$50,密度!$Q$2:$Q$50)</f>
        <v>6732.5504519599999</v>
      </c>
      <c r="K25" s="91" ph="1">
        <f>K24*18.322*LOOKUP(K26,密度!$A$2:$A$50,密度!$Q$2:$Q$50)</f>
        <v>8664.6374154599998</v>
      </c>
      <c r="L25" s="91" ph="1">
        <f>L24*18.322*LOOKUP(L26,密度!$A$2:$A$50,密度!$Q$2:$Q$50)</f>
        <v>96944.229886339992</v>
      </c>
      <c r="M25" s="91" ph="1">
        <f>M24*18.322*LOOKUP(M26,密度!$A$2:$A$50,密度!$Q$2:$Q$50)</f>
        <v>69324.889654860002</v>
      </c>
      <c r="N25" s="91" ph="1">
        <f>N24*18.322*LOOKUP(N26,密度!$A$2:$A$50,密度!$Q$2:$Q$50)</f>
        <v>95709.521849199984</v>
      </c>
      <c r="O25" s="91" ph="1">
        <f>O24*18.322*LOOKUP(O26,密度!$A$2:$A$50,密度!$C$2:$C$50)</f>
        <v>113459.60061920001</v>
      </c>
      <c r="P25" s="91" ph="1">
        <f>P24*11.702*LOOKUP(P26,密度!$A$2:$A$50,密度!$B$2:$B$50)</f>
        <v>3251.7470791999999</v>
      </c>
      <c r="Q25" s="92" ph="1">
        <f>Q24*18.322*LOOKUP(Q26,密度!$A$2:$A$50,密度!$B$2:$B$50)</f>
        <v>35562.012611999999</v>
      </c>
      <c r="R25" s="91" ph="1">
        <f>R24*35.891*LOOKUP(R26,密度!$A$2:$A$50,密度!$C$2:$C$50)</f>
        <v>8606.9022697</v>
      </c>
      <c r="S25" s="91" ph="1">
        <f>S24*35.891*LOOKUP(S26,密度!$A$2:$A$50,密度!$B$2:$B$50)</f>
        <v>99812.910480099992</v>
      </c>
      <c r="T25" s="91" ph="1">
        <f>T24*35.891*LOOKUP(T26,密度!$A$2:$A$50,密度!$Q$2:$Q$50)</f>
        <v>28710.784361440001</v>
      </c>
      <c r="U25" s="91" ph="1">
        <f>U24*35.891</f>
        <v>186310.18099999998</v>
      </c>
      <c r="V25" s="91" ph="1">
        <f>V24*47.051*LOOKUP(V26,密度!$A$2:$A$50,密度!$B$2:$B$50)</f>
        <v>179905.00346700003</v>
      </c>
      <c r="W25" s="91" ph="1">
        <f>W24*47.051*LOOKUP(W26,密度!$A$2:$A$50,密度!$B$2:$B$50)</f>
        <v>356408.30432580004</v>
      </c>
      <c r="X25" s="91" ph="1">
        <f>X24*47.051*LOOKUP(X26,密度!$A$2:$A$50,密度!$I$2:$I$50)</f>
        <v>145051.1000684</v>
      </c>
      <c r="Y25" s="91" ph="1">
        <f>Y24*47.051*LOOKUP(Y26,密度!$A$2:$A$50,密度!$L$2:$L$50)</f>
        <v>194251.22977500001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28</v>
      </c>
      <c r="I26" s="74">
        <v>29</v>
      </c>
      <c r="J26" s="74">
        <v>28</v>
      </c>
      <c r="K26" s="74">
        <v>29</v>
      </c>
      <c r="L26" s="74">
        <v>30</v>
      </c>
      <c r="M26" s="74">
        <v>30</v>
      </c>
      <c r="N26" s="74">
        <v>28</v>
      </c>
      <c r="O26" s="74">
        <v>28</v>
      </c>
      <c r="P26" s="74">
        <v>29</v>
      </c>
      <c r="Q26" s="93">
        <v>28</v>
      </c>
      <c r="R26" s="74">
        <v>30</v>
      </c>
      <c r="S26" s="74">
        <v>30</v>
      </c>
      <c r="T26" s="74">
        <v>30</v>
      </c>
      <c r="U26" s="74">
        <v>29</v>
      </c>
      <c r="V26" s="74">
        <v>28</v>
      </c>
      <c r="W26" s="74">
        <v>29</v>
      </c>
      <c r="X26" s="74">
        <v>30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80.19</v>
      </c>
      <c r="E27" s="71">
        <v>46.18</v>
      </c>
      <c r="F27" s="71">
        <v>1544</v>
      </c>
      <c r="G27" s="71">
        <v>2405</v>
      </c>
      <c r="H27" s="71">
        <v>3305</v>
      </c>
      <c r="I27" s="71">
        <v>3350</v>
      </c>
      <c r="J27" s="71">
        <v>385</v>
      </c>
      <c r="K27" s="71">
        <v>497</v>
      </c>
      <c r="L27" s="71">
        <v>5606</v>
      </c>
      <c r="M27" s="71">
        <v>4010</v>
      </c>
      <c r="N27" s="71">
        <v>5529</v>
      </c>
      <c r="O27" s="71">
        <v>5592</v>
      </c>
      <c r="P27" s="71">
        <v>355</v>
      </c>
      <c r="Q27" s="90">
        <v>2660</v>
      </c>
      <c r="R27" s="71">
        <v>214</v>
      </c>
      <c r="S27" s="71">
        <v>3188</v>
      </c>
      <c r="T27" s="71">
        <v>1684</v>
      </c>
      <c r="U27" s="71">
        <v>5065</v>
      </c>
      <c r="V27" s="71">
        <v>5671</v>
      </c>
      <c r="W27" s="71">
        <v>9758</v>
      </c>
      <c r="X27" s="71">
        <v>3468</v>
      </c>
      <c r="Y27" s="71">
        <v>2796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21880.533415608003</v>
      </c>
      <c r="E28" s="91" ph="1">
        <f>E27*268.68*LOOKUP(E29,密度!$A$2:$A$50,密度!$C$2:$C$50)+IF(E27&lt;=0,0,1566*LOOKUP(E29,密度!$A$2:$A$50,密度!$C$2:$C$50))</f>
        <v>15495.37205736</v>
      </c>
      <c r="F28" s="91" ph="1">
        <f>F27*11.702*LOOKUP(F29,密度!$A$2:$A$50,密度!$Q$2:$Q$50)</f>
        <v>17054.821519839999</v>
      </c>
      <c r="G28" s="91" ph="1">
        <f>G27*18.322*LOOKUP(G29,密度!$A$2:$A$50,密度!$B$2:$B$50)</f>
        <v>34202.795041999998</v>
      </c>
      <c r="H28" s="91" ph="1">
        <f>H27*18.322*LOOKUP(H29,密度!$A$2:$A$50,密度!$B$2:$B$50)</f>
        <v>46947.679013000001</v>
      </c>
      <c r="I28" s="91" ph="1">
        <f>I27*18.322*LOOKUP(I29,密度!$A$2:$A$50,密度!$Q$2:$Q$50)</f>
        <v>57900.369071000001</v>
      </c>
      <c r="J28" s="91" ph="1">
        <f>J27*18.322*LOOKUP(J29,密度!$A$2:$A$50,密度!$Q$2:$Q$50)</f>
        <v>6630.3085617999996</v>
      </c>
      <c r="K28" s="91" ph="1">
        <f>K27*18.322*LOOKUP(K29,密度!$A$2:$A$50,密度!$Q$2:$Q$50)</f>
        <v>8595.4586736199999</v>
      </c>
      <c r="L28" s="91" ph="1">
        <f>L27*18.322*LOOKUP(L29,密度!$A$2:$A$50,密度!$Q$2:$Q$50)</f>
        <v>96892.378809560003</v>
      </c>
      <c r="M28" s="91" ph="1">
        <f>M27*18.322*LOOKUP(M29,密度!$A$2:$A$50,密度!$Q$2:$Q$50)</f>
        <v>69307.605962600006</v>
      </c>
      <c r="N28" s="91" ph="1">
        <f>N27*18.322*LOOKUP(N29,密度!$A$2:$A$50,密度!$Q$2:$Q$50)</f>
        <v>96697.133714519994</v>
      </c>
      <c r="O28" s="91" ph="1">
        <f>O27*18.322*LOOKUP(O29,密度!$A$2:$A$50,密度!$C$2:$C$50)</f>
        <v>113224.81518239999</v>
      </c>
      <c r="P28" s="91" ph="1">
        <f>P27*11.702*LOOKUP(P29,密度!$A$2:$A$50,密度!$B$2:$B$50)</f>
        <v>3202.480489</v>
      </c>
      <c r="Q28" s="92" ph="1">
        <f>Q27*18.322*LOOKUP(Q29,密度!$A$2:$A$50,密度!$B$2:$B$50)</f>
        <v>37829.286823999995</v>
      </c>
      <c r="R28" s="91" ph="1">
        <f>R27*35.891*LOOKUP(R29,密度!$A$2:$A$50,密度!$C$2:$C$50)</f>
        <v>8494.0573766000016</v>
      </c>
      <c r="S28" s="91" ph="1">
        <f>S27*35.891*LOOKUP(S29,密度!$A$2:$A$50,密度!$B$2:$B$50)</f>
        <v>88813.198309600004</v>
      </c>
      <c r="T28" s="91" ph="1">
        <f>T27*35.891*LOOKUP(T29,密度!$A$2:$A$50,密度!$Q$2:$Q$50)</f>
        <v>57015.284038519996</v>
      </c>
      <c r="U28" s="91" ph="1">
        <f>U27*35.891</f>
        <v>181787.91499999998</v>
      </c>
      <c r="V28" s="91" ph="1">
        <f>V27*47.051*LOOKUP(V29,密度!$A$2:$A$50,密度!$B$2:$B$50)</f>
        <v>206870.36914130001</v>
      </c>
      <c r="W28" s="91" ph="1">
        <f>W27*47.051*LOOKUP(W29,密度!$A$2:$A$50,密度!$B$2:$B$50)</f>
        <v>355958.5720474</v>
      </c>
      <c r="X28" s="91" ph="1">
        <f>X27*47.051*LOOKUP(X29,密度!$A$2:$A$50,密度!$I$2:$I$50)</f>
        <v>168242.64900876</v>
      </c>
      <c r="Y28" s="91" ph="1">
        <f>Y27*47.051*LOOKUP(Y29,密度!$A$2:$A$50,密度!$L$2:$L$50)</f>
        <v>122740.43806800003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29</v>
      </c>
      <c r="G29" s="74">
        <v>29</v>
      </c>
      <c r="H29" s="74">
        <v>30</v>
      </c>
      <c r="I29" s="74">
        <v>30</v>
      </c>
      <c r="J29" s="74">
        <v>35</v>
      </c>
      <c r="K29" s="74">
        <v>29</v>
      </c>
      <c r="L29" s="74">
        <v>30</v>
      </c>
      <c r="M29" s="74">
        <v>30</v>
      </c>
      <c r="N29" s="74">
        <v>3</v>
      </c>
      <c r="O29" s="74">
        <v>30</v>
      </c>
      <c r="P29" s="74">
        <v>35</v>
      </c>
      <c r="Q29" s="93">
        <v>29</v>
      </c>
      <c r="R29" s="74">
        <v>29</v>
      </c>
      <c r="S29" s="74">
        <v>29</v>
      </c>
      <c r="T29" s="74">
        <v>30</v>
      </c>
      <c r="U29" s="74">
        <v>35</v>
      </c>
      <c r="V29" s="74">
        <v>30</v>
      </c>
      <c r="W29" s="74">
        <v>30</v>
      </c>
      <c r="X29" s="74">
        <v>35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55803.372078799992</v>
      </c>
      <c r="E33" s="190" ph="1">
        <f>M10+I10</f>
        <v>49151.917248400001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6" ph="1">
        <v>0</v>
      </c>
      <c r="H33" s="190" ph="1">
        <f>N19</f>
        <v>31694.388078100001</v>
      </c>
      <c r="I33" s="194" ph="1">
        <v>0</v>
      </c>
      <c r="J33" s="198" ph="1">
        <f>F10+O28</f>
        <v>273582.39934499998</v>
      </c>
      <c r="K33" s="190" ph="1">
        <f>O10+K10+E28+R28</f>
        <v>49126.329480760003</v>
      </c>
      <c r="L33" s="200" ph="1">
        <f>BE27</f>
        <v>7100</v>
      </c>
      <c r="M33" s="198" ph="1">
        <f>G10+H10+W28+S28+V28+E10</f>
        <v>1097587.5466352999</v>
      </c>
      <c r="N33" s="190" ph="1">
        <f>L10+P10++G28+H28</f>
        <v>206532.87725700001</v>
      </c>
      <c r="O33" s="194" ph="1">
        <f>BE17</f>
        <v>2270</v>
      </c>
      <c r="P33" s="198" ph="1">
        <f>L19</f>
        <v>41336.443687680003</v>
      </c>
      <c r="Q33" s="190" ph="1">
        <f>J10+N10</f>
        <v>100373.32223039999</v>
      </c>
      <c r="R33" s="194" ph="1">
        <f>BE23</f>
        <v>890</v>
      </c>
      <c r="S33" s="198" ph="1">
        <f>E10+X28</f>
        <v>352787.29565876001</v>
      </c>
      <c r="T33" s="190" ph="1">
        <f>X19</f>
        <v>14000.34043488</v>
      </c>
      <c r="U33" s="179" ph="1">
        <f>BE21</f>
        <v>730</v>
      </c>
      <c r="V33" s="192" ph="1">
        <f ca="1">P19+Q19+S19+M28+N28+J28</f>
        <v>299467.81513651198</v>
      </c>
      <c r="W33" s="192" ph="1">
        <f>D28+F28+V19+T28</f>
        <v>108468.92324796799</v>
      </c>
      <c r="X33" s="194" ph="1">
        <f>BE29+BE31</f>
        <v>10200</v>
      </c>
      <c r="Y33" s="196" ph="1">
        <f>+Q10+R10+S10+T10+U10+V10+W10+X10+Y10</f>
        <v>157411.68541559999</v>
      </c>
      <c r="Z33" s="177" ph="1">
        <f>D10+T19+U19+Y28+Z10</f>
        <v>552492.98315541004</v>
      </c>
      <c r="AA33" s="179" ph="1">
        <f>BE19</f>
        <v>1440</v>
      </c>
      <c r="AB33" s="181" ph="1">
        <f>I19</f>
        <v>24732.277824000001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791" priority="98">
      <formula>ABS(D$7-D$10)&gt;=1000</formula>
    </cfRule>
  </conditionalFormatting>
  <conditionalFormatting sqref="E4 E6:E11">
    <cfRule type="expression" dxfId="1790" priority="97">
      <formula>ABS(E$7-E$10)&gt;=1000</formula>
    </cfRule>
  </conditionalFormatting>
  <conditionalFormatting sqref="F4:F11">
    <cfRule type="expression" dxfId="1789" priority="96">
      <formula>ABS(F$7-F$10)&gt;=1000</formula>
    </cfRule>
  </conditionalFormatting>
  <conditionalFormatting sqref="G4:G11">
    <cfRule type="expression" dxfId="1788" priority="95">
      <formula>ABS(G$7-G$10)&gt;=1000</formula>
    </cfRule>
  </conditionalFormatting>
  <conditionalFormatting sqref="H4:H11">
    <cfRule type="expression" dxfId="1787" priority="94">
      <formula>ABS(H$7-H$10)&gt;=1000</formula>
    </cfRule>
  </conditionalFormatting>
  <conditionalFormatting sqref="I4:I11">
    <cfRule type="expression" dxfId="1786" priority="93">
      <formula>ABS(I$7-I$10)&gt;=1000</formula>
    </cfRule>
  </conditionalFormatting>
  <conditionalFormatting sqref="J4:J11">
    <cfRule type="expression" dxfId="1785" priority="92">
      <formula>ABS(J$7-J$10)&gt;=1000</formula>
    </cfRule>
  </conditionalFormatting>
  <conditionalFormatting sqref="K4:K11">
    <cfRule type="expression" dxfId="1784" priority="91">
      <formula>ABS(K$7-K$10)&gt;=1000</formula>
    </cfRule>
  </conditionalFormatting>
  <conditionalFormatting sqref="L4:L11">
    <cfRule type="expression" dxfId="1783" priority="90">
      <formula>ABS(L$7-L$10)&gt;=1000</formula>
    </cfRule>
  </conditionalFormatting>
  <conditionalFormatting sqref="M4 M6:M11">
    <cfRule type="expression" dxfId="1782" priority="89">
      <formula>ABS(M$7-M$10)&gt;=1000</formula>
    </cfRule>
  </conditionalFormatting>
  <conditionalFormatting sqref="N4 N6:N11">
    <cfRule type="expression" dxfId="1781" priority="88">
      <formula>ABS(N$7-N$10)&gt;=1000</formula>
    </cfRule>
  </conditionalFormatting>
  <conditionalFormatting sqref="O4 O6:O11">
    <cfRule type="expression" dxfId="1780" priority="87">
      <formula>ABS(O$7-O$10)&gt;=1000</formula>
    </cfRule>
  </conditionalFormatting>
  <conditionalFormatting sqref="P4 P6:P11">
    <cfRule type="expression" dxfId="1779" priority="86">
      <formula>ABS(P$7-P$10)&gt;=1000</formula>
    </cfRule>
  </conditionalFormatting>
  <conditionalFormatting sqref="Q4:Q11">
    <cfRule type="expression" dxfId="1778" priority="85">
      <formula>ABS(Q$7-Q$10)&gt;=1000</formula>
    </cfRule>
  </conditionalFormatting>
  <conditionalFormatting sqref="R4:R11">
    <cfRule type="expression" dxfId="1777" priority="84">
      <formula>ABS(R$7-R$10)&gt;=1000</formula>
    </cfRule>
  </conditionalFormatting>
  <conditionalFormatting sqref="S4:S11">
    <cfRule type="expression" dxfId="1776" priority="83">
      <formula>ABS(S$7-S$10)&gt;=1000</formula>
    </cfRule>
  </conditionalFormatting>
  <conditionalFormatting sqref="T4:T9 T11">
    <cfRule type="expression" dxfId="1775" priority="82">
      <formula>ABS(T$7-T$10)&gt;=1000</formula>
    </cfRule>
  </conditionalFormatting>
  <conditionalFormatting sqref="U4:U9 U11">
    <cfRule type="expression" dxfId="1774" priority="81">
      <formula>ABS(U$7-U$10)&gt;=1000</formula>
    </cfRule>
  </conditionalFormatting>
  <conditionalFormatting sqref="V4:V9 V11">
    <cfRule type="expression" dxfId="1773" priority="80">
      <formula>ABS(V$7-V$10)&gt;=1000</formula>
    </cfRule>
  </conditionalFormatting>
  <conditionalFormatting sqref="W4:W9 W11">
    <cfRule type="expression" dxfId="1772" priority="79">
      <formula>ABS(W$7-W$10)&gt;=1000</formula>
    </cfRule>
  </conditionalFormatting>
  <conditionalFormatting sqref="X4:X9 X11">
    <cfRule type="expression" dxfId="1771" priority="78">
      <formula>ABS(X$7-X$10)&gt;=1000</formula>
    </cfRule>
  </conditionalFormatting>
  <conditionalFormatting sqref="Y4:Y9 Y11">
    <cfRule type="expression" dxfId="1770" priority="77">
      <formula>ABS(Y$7-Y$10)&gt;=1000</formula>
    </cfRule>
  </conditionalFormatting>
  <conditionalFormatting sqref="Z4:Z11">
    <cfRule type="expression" dxfId="1769" priority="76">
      <formula>ABS(Z$7-Z$10)&gt;=1000</formula>
    </cfRule>
  </conditionalFormatting>
  <conditionalFormatting sqref="AA4:AA11">
    <cfRule type="expression" dxfId="1768" priority="75">
      <formula>ABS(AA$7-AA$10)&gt;=1000</formula>
    </cfRule>
  </conditionalFormatting>
  <conditionalFormatting sqref="AB4:AB11">
    <cfRule type="expression" dxfId="1767" priority="74">
      <formula>ABS(AB$7-AB$10)&gt;=1000</formula>
    </cfRule>
  </conditionalFormatting>
  <conditionalFormatting sqref="AC4 AC6:AC11">
    <cfRule type="expression" dxfId="1766" priority="73">
      <formula>ABS(AC$7-AC$10)&gt;=1000</formula>
    </cfRule>
  </conditionalFormatting>
  <conditionalFormatting sqref="AD4:AD11">
    <cfRule type="expression" dxfId="1765" priority="72">
      <formula>ABS(AD$7-AD$10)&gt;=1000</formula>
    </cfRule>
  </conditionalFormatting>
  <conditionalFormatting sqref="AE4 AE6:AE11">
    <cfRule type="expression" dxfId="1764" priority="71">
      <formula>ABS(AE$7-AE$10)&gt;=1000</formula>
    </cfRule>
  </conditionalFormatting>
  <conditionalFormatting sqref="D13:D20">
    <cfRule type="expression" dxfId="1763" priority="70">
      <formula>ABS(D$16-D$19)&gt;=1000</formula>
    </cfRule>
  </conditionalFormatting>
  <conditionalFormatting sqref="E13:E20">
    <cfRule type="expression" dxfId="1762" priority="69">
      <formula>ABS(E$16-E$19)&gt;=1000</formula>
    </cfRule>
  </conditionalFormatting>
  <conditionalFormatting sqref="F13 F15:F20">
    <cfRule type="expression" dxfId="1761" priority="68">
      <formula>ABS(F$16-F$19)&gt;=1000</formula>
    </cfRule>
  </conditionalFormatting>
  <conditionalFormatting sqref="G13:G20">
    <cfRule type="expression" dxfId="1760" priority="67">
      <formula>ABS(G$16-G$19)&gt;=1000</formula>
    </cfRule>
  </conditionalFormatting>
  <conditionalFormatting sqref="H13:H20">
    <cfRule type="expression" dxfId="1759" priority="66">
      <formula>ABS(H$16-H$19)&gt;=1000</formula>
    </cfRule>
  </conditionalFormatting>
  <conditionalFormatting sqref="I13:I20">
    <cfRule type="expression" dxfId="1758" priority="65">
      <formula>ABS(I$16-I$19)&gt;=1000</formula>
    </cfRule>
  </conditionalFormatting>
  <conditionalFormatting sqref="J13:J20">
    <cfRule type="expression" dxfId="1757" priority="64">
      <formula>ABS(J$16-J$19)&gt;=1000</formula>
    </cfRule>
  </conditionalFormatting>
  <conditionalFormatting sqref="L13:L20">
    <cfRule type="expression" dxfId="1756" priority="63">
      <formula>ABS(L$16-L$19)&gt;=1000</formula>
    </cfRule>
  </conditionalFormatting>
  <conditionalFormatting sqref="M13 M15 M17:M18 M20">
    <cfRule type="expression" dxfId="1755" priority="62">
      <formula>ABS(M$16-M$19)&gt;=1000</formula>
    </cfRule>
  </conditionalFormatting>
  <conditionalFormatting sqref="N13:N20">
    <cfRule type="expression" dxfId="1754" priority="61">
      <formula>ABS(N$16-N$19)&gt;=1000</formula>
    </cfRule>
  </conditionalFormatting>
  <conditionalFormatting sqref="O13:O20">
    <cfRule type="expression" dxfId="1753" priority="60">
      <formula>ABS(O$16-O$19)&gt;=1000</formula>
    </cfRule>
  </conditionalFormatting>
  <conditionalFormatting sqref="P13:P20">
    <cfRule type="expression" dxfId="1752" priority="59">
      <formula>ABS(P$16-P$19)&gt;=1000</formula>
    </cfRule>
  </conditionalFormatting>
  <conditionalFormatting sqref="Q13 Q15:Q20">
    <cfRule type="expression" dxfId="1751" priority="58">
      <formula>ABS(Q$16-Q$19)&gt;=1000</formula>
    </cfRule>
  </conditionalFormatting>
  <conditionalFormatting sqref="R13:R20">
    <cfRule type="expression" dxfId="1750" priority="57">
      <formula>ABS(R$16-R$19)&gt;=1000</formula>
    </cfRule>
  </conditionalFormatting>
  <conditionalFormatting sqref="S13:S20">
    <cfRule type="expression" dxfId="1749" priority="56">
      <formula>ABS(S$16-S$19)&gt;=1000</formula>
    </cfRule>
  </conditionalFormatting>
  <conditionalFormatting sqref="T13:T20">
    <cfRule type="expression" dxfId="1748" priority="55">
      <formula>ABS(T$16-T$19)&gt;=1000</formula>
    </cfRule>
  </conditionalFormatting>
  <conditionalFormatting sqref="U13:U20">
    <cfRule type="expression" dxfId="1747" priority="54">
      <formula>ABS(U$16-U$19)&gt;=1000</formula>
    </cfRule>
  </conditionalFormatting>
  <conditionalFormatting sqref="V13:V20">
    <cfRule type="expression" dxfId="1746" priority="53">
      <formula>ABS(V$16-V$19)&gt;=1000</formula>
    </cfRule>
  </conditionalFormatting>
  <conditionalFormatting sqref="W13 W20 W15:W18">
    <cfRule type="expression" dxfId="1745" priority="52">
      <formula>ABS(W$16-W$19)&gt;=1000</formula>
    </cfRule>
  </conditionalFormatting>
  <conditionalFormatting sqref="X13 X15:X20 Y19">
    <cfRule type="expression" dxfId="1744" priority="51">
      <formula>ABS(X$16-X$19)&gt;=1000</formula>
    </cfRule>
  </conditionalFormatting>
  <conditionalFormatting sqref="Y13 Y15:Y18 Y20">
    <cfRule type="expression" dxfId="1743" priority="50">
      <formula>ABS(Y$16-Y$19)&gt;=1000</formula>
    </cfRule>
  </conditionalFormatting>
  <conditionalFormatting sqref="Z13:Z20">
    <cfRule type="expression" dxfId="1742" priority="49">
      <formula>ABS(Z$16-Z$19)&gt;=1000</formula>
    </cfRule>
  </conditionalFormatting>
  <conditionalFormatting sqref="AA13:AA20">
    <cfRule type="expression" dxfId="1741" priority="48">
      <formula>ABS(AA$16-AA$19)&gt;=1000</formula>
    </cfRule>
  </conditionalFormatting>
  <conditionalFormatting sqref="AB13 AB15:AB20">
    <cfRule type="expression" dxfId="1740" priority="47">
      <formula>ABS(AB$16-AB$19)&gt;=1000</formula>
    </cfRule>
  </conditionalFormatting>
  <conditionalFormatting sqref="AC13 AC15:AC20">
    <cfRule type="expression" dxfId="1739" priority="46">
      <formula>ABS(AC$16-AC$19)&gt;=1000</formula>
    </cfRule>
  </conditionalFormatting>
  <conditionalFormatting sqref="AD13:AD20">
    <cfRule type="expression" dxfId="1738" priority="45">
      <formula>ABS(AD$16-AD$19)&gt;=1000</formula>
    </cfRule>
  </conditionalFormatting>
  <conditionalFormatting sqref="AE13:AE20">
    <cfRule type="expression" dxfId="1737" priority="44">
      <formula>ABS(AE$16-AE$19)&gt;=1000</formula>
    </cfRule>
  </conditionalFormatting>
  <conditionalFormatting sqref="D22:D29">
    <cfRule type="expression" dxfId="1736" priority="43">
      <formula>ABS(D$25-D$28)&gt;=1000</formula>
    </cfRule>
  </conditionalFormatting>
  <conditionalFormatting sqref="E22:E29">
    <cfRule type="expression" dxfId="1735" priority="42">
      <formula>ABS(E$25-E$28)&gt;=1000</formula>
    </cfRule>
  </conditionalFormatting>
  <conditionalFormatting sqref="F22:F29">
    <cfRule type="expression" dxfId="1734" priority="41">
      <formula>ABS(F$25-F$28)&gt;=1000</formula>
    </cfRule>
  </conditionalFormatting>
  <conditionalFormatting sqref="G22:G29">
    <cfRule type="expression" dxfId="1733" priority="40">
      <formula>ABS(G$25-G$28)&gt;=1000</formula>
    </cfRule>
  </conditionalFormatting>
  <conditionalFormatting sqref="H22:H29">
    <cfRule type="expression" dxfId="1732" priority="39">
      <formula>ABS(H$25-H$28)&gt;=1000</formula>
    </cfRule>
  </conditionalFormatting>
  <conditionalFormatting sqref="I22 I24:I29">
    <cfRule type="expression" dxfId="1731" priority="38">
      <formula>ABS(I$25-I$28)&gt;=1000</formula>
    </cfRule>
  </conditionalFormatting>
  <conditionalFormatting sqref="J22:J29 K22">
    <cfRule type="expression" dxfId="1730" priority="37">
      <formula>ABS(J$25-J$28)&gt;=1000</formula>
    </cfRule>
  </conditionalFormatting>
  <conditionalFormatting sqref="K23:K29 L25 L28">
    <cfRule type="expression" dxfId="1729" priority="36">
      <formula>ABS(K$25-K$28)&gt;=1000</formula>
    </cfRule>
  </conditionalFormatting>
  <conditionalFormatting sqref="L22 L26:L27 L29 L24">
    <cfRule type="expression" dxfId="1728" priority="35">
      <formula>ABS(L$25-L$28)&gt;=1000</formula>
    </cfRule>
  </conditionalFormatting>
  <conditionalFormatting sqref="M22:M29">
    <cfRule type="expression" dxfId="1727" priority="34">
      <formula>ABS(M$25-M$28)&gt;=1000</formula>
    </cfRule>
  </conditionalFormatting>
  <conditionalFormatting sqref="N22:N29">
    <cfRule type="expression" dxfId="1726" priority="33">
      <formula>ABS(N$25-N$28)&gt;=1000</formula>
    </cfRule>
  </conditionalFormatting>
  <conditionalFormatting sqref="O22:O29">
    <cfRule type="expression" dxfId="1725" priority="32">
      <formula>ABS(O$25-O$28)&gt;=1000</formula>
    </cfRule>
  </conditionalFormatting>
  <conditionalFormatting sqref="P22:P29">
    <cfRule type="expression" dxfId="1724" priority="31">
      <formula>ABS(P$25-P$28)&gt;=1000</formula>
    </cfRule>
  </conditionalFormatting>
  <conditionalFormatting sqref="Q22:Q29">
    <cfRule type="expression" dxfId="1723" priority="30">
      <formula>ABS(Q$25-Q$28)&gt;=1000</formula>
    </cfRule>
  </conditionalFormatting>
  <conditionalFormatting sqref="R22:R29">
    <cfRule type="expression" dxfId="1722" priority="29">
      <formula>ABS(R$25-R$28)&gt;=1000</formula>
    </cfRule>
  </conditionalFormatting>
  <conditionalFormatting sqref="S22:S29">
    <cfRule type="expression" dxfId="1721" priority="28">
      <formula>ABS(S$25-S$28)&gt;=1000</formula>
    </cfRule>
  </conditionalFormatting>
  <conditionalFormatting sqref="T22:T29">
    <cfRule type="expression" dxfId="1720" priority="27">
      <formula>ABS(T$25-T$28)&gt;=1000</formula>
    </cfRule>
  </conditionalFormatting>
  <conditionalFormatting sqref="U22:U29">
    <cfRule type="expression" dxfId="1719" priority="26">
      <formula>ABS(U$25-U$28)&gt;=1000</formula>
    </cfRule>
  </conditionalFormatting>
  <conditionalFormatting sqref="V22:V29">
    <cfRule type="expression" dxfId="1718" priority="25">
      <formula>ABS(V$25-V$28)&gt;=1000</formula>
    </cfRule>
  </conditionalFormatting>
  <conditionalFormatting sqref="W22:W29">
    <cfRule type="expression" dxfId="1717" priority="24">
      <formula>ABS(W$25-W$28)&gt;=1000</formula>
    </cfRule>
  </conditionalFormatting>
  <conditionalFormatting sqref="X22:X29">
    <cfRule type="expression" dxfId="1716" priority="23">
      <formula>ABS(X$25-X$28)&gt;=1000</formula>
    </cfRule>
  </conditionalFormatting>
  <conditionalFormatting sqref="Y22:Y29">
    <cfRule type="expression" dxfId="1715" priority="22">
      <formula>ABS(Y$25-Y$28)&gt;=1000</formula>
    </cfRule>
  </conditionalFormatting>
  <conditionalFormatting sqref="I23">
    <cfRule type="expression" dxfId="1714" priority="21">
      <formula>ABS(I$25-I$28)&gt;=1000</formula>
    </cfRule>
  </conditionalFormatting>
  <conditionalFormatting sqref="Q14">
    <cfRule type="expression" dxfId="1713" priority="20">
      <formula>ABS(Q$16-Q$19)&gt;=1000</formula>
    </cfRule>
  </conditionalFormatting>
  <conditionalFormatting sqref="W14">
    <cfRule type="expression" dxfId="1712" priority="19">
      <formula>ABS(W$16-W$19)&gt;=1000</formula>
    </cfRule>
  </conditionalFormatting>
  <conditionalFormatting sqref="Y14">
    <cfRule type="expression" dxfId="1711" priority="18">
      <formula>ABS(Y$16-Y$19)&gt;=1000</formula>
    </cfRule>
  </conditionalFormatting>
  <conditionalFormatting sqref="X14">
    <cfRule type="expression" dxfId="1710" priority="17">
      <formula>ABS(X$16-X$19)&gt;=1000</formula>
    </cfRule>
  </conditionalFormatting>
  <conditionalFormatting sqref="T10:Y10">
    <cfRule type="expression" dxfId="1709" priority="16">
      <formula>ABS(T$7-T$10)&gt;=1000</formula>
    </cfRule>
  </conditionalFormatting>
  <conditionalFormatting sqref="W19">
    <cfRule type="expression" dxfId="1708" priority="15">
      <formula>ABS(W$16-W$19)&gt;=1000</formula>
    </cfRule>
  </conditionalFormatting>
  <conditionalFormatting sqref="AC5">
    <cfRule type="expression" dxfId="1707" priority="14">
      <formula>ABS(AC$7-AC$10)&gt;=1000</formula>
    </cfRule>
  </conditionalFormatting>
  <conditionalFormatting sqref="M14">
    <cfRule type="expression" dxfId="1706" priority="13">
      <formula>ABS(M$16-M$19)&gt;=1000</formula>
    </cfRule>
  </conditionalFormatting>
  <conditionalFormatting sqref="M16">
    <cfRule type="expression" dxfId="1705" priority="12">
      <formula>ABS(M$16-M$19)&gt;=1000</formula>
    </cfRule>
  </conditionalFormatting>
  <conditionalFormatting sqref="M19">
    <cfRule type="expression" dxfId="1704" priority="11">
      <formula>ABS(M$16-M$19)&gt;=1000</formula>
    </cfRule>
  </conditionalFormatting>
  <conditionalFormatting sqref="K13:K20">
    <cfRule type="expression" dxfId="1703" priority="10">
      <formula>ABS(K$16-K$19)&gt;=1000</formula>
    </cfRule>
  </conditionalFormatting>
  <conditionalFormatting sqref="E5">
    <cfRule type="expression" dxfId="1702" priority="9">
      <formula>ABS(E$7-E$10)&gt;=1000</formula>
    </cfRule>
  </conditionalFormatting>
  <conditionalFormatting sqref="AB14:AC14">
    <cfRule type="expression" dxfId="1701" priority="8">
      <formula>ABS(AB$16-AB$19)&gt;=1000</formula>
    </cfRule>
  </conditionalFormatting>
  <conditionalFormatting sqref="M5">
    <cfRule type="expression" dxfId="1700" priority="7">
      <formula>ABS(M$7-M$10)&gt;=1000</formula>
    </cfRule>
  </conditionalFormatting>
  <conditionalFormatting sqref="N5">
    <cfRule type="expression" dxfId="1699" priority="6">
      <formula>ABS(N$7-N$10)&gt;=1000</formula>
    </cfRule>
  </conditionalFormatting>
  <conditionalFormatting sqref="O5">
    <cfRule type="expression" dxfId="1698" priority="5">
      <formula>ABS(O$7-O$10)&gt;=1000</formula>
    </cfRule>
  </conditionalFormatting>
  <conditionalFormatting sqref="P5">
    <cfRule type="expression" dxfId="1697" priority="4">
      <formula>ABS(P$7-P$10)&gt;=1000</formula>
    </cfRule>
  </conditionalFormatting>
  <conditionalFormatting sqref="L23">
    <cfRule type="expression" dxfId="1696" priority="3">
      <formula>ABS(L$25-L$28)&gt;=1000</formula>
    </cfRule>
  </conditionalFormatting>
  <conditionalFormatting sqref="F14">
    <cfRule type="expression" dxfId="1695" priority="2">
      <formula>ABS(F$16-F$19)&gt;=1000</formula>
    </cfRule>
  </conditionalFormatting>
  <conditionalFormatting sqref="AE5">
    <cfRule type="expression" dxfId="169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2">
    <pageSetUpPr fitToPage="1"/>
  </sheetPr>
  <dimension ref="A1:CU223"/>
  <sheetViews>
    <sheetView view="pageBreakPreview" topLeftCell="A9" zoomScale="80" zoomScaleNormal="100" zoomScaleSheetLayoutView="80" workbookViewId="0">
      <selection activeCell="W16" sqref="W1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45944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5338</v>
      </c>
      <c r="E6" s="71">
        <v>3954</v>
      </c>
      <c r="F6" s="71">
        <v>4365</v>
      </c>
      <c r="G6" s="71">
        <v>6536</v>
      </c>
      <c r="H6" s="71">
        <v>0</v>
      </c>
      <c r="I6" s="71">
        <v>0.05</v>
      </c>
      <c r="J6" s="71">
        <v>6.99</v>
      </c>
      <c r="K6" s="71">
        <v>7.3</v>
      </c>
      <c r="L6" s="71">
        <v>40.97</v>
      </c>
      <c r="M6" s="71">
        <v>1449</v>
      </c>
      <c r="N6" s="71">
        <v>3823</v>
      </c>
      <c r="O6" s="71">
        <v>1014</v>
      </c>
      <c r="P6" s="71">
        <v>3689</v>
      </c>
      <c r="Q6" s="71">
        <v>7021</v>
      </c>
      <c r="R6" s="71">
        <v>2351</v>
      </c>
      <c r="S6" s="71">
        <v>2301</v>
      </c>
      <c r="T6" s="71">
        <v>0</v>
      </c>
      <c r="U6" s="71">
        <v>0</v>
      </c>
      <c r="V6" s="71">
        <v>0</v>
      </c>
      <c r="W6" s="71">
        <v>0</v>
      </c>
      <c r="X6" s="71">
        <v>3926</v>
      </c>
      <c r="Y6" s="71">
        <v>4577</v>
      </c>
      <c r="Z6" s="71">
        <v>6590</v>
      </c>
      <c r="AA6" s="71">
        <v>556</v>
      </c>
      <c r="AB6" s="71">
        <v>1759</v>
      </c>
      <c r="AC6" s="71">
        <v>3168</v>
      </c>
      <c r="AD6" s="71">
        <v>4350</v>
      </c>
      <c r="AE6" s="71">
        <v>3541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167199.12701622001</v>
      </c>
      <c r="E7" s="73" ph="1">
        <f>E6*51.53*LOOKUP(E8,密度!$A$2:$A$50,密度!$B$2:$B$50)</f>
        <v>158150.455044</v>
      </c>
      <c r="F7" s="73" ph="1">
        <f>F6*33.183*LOOKUP(F8,密度!$A$2:$A$50,密度!$C$2:$C$50)</f>
        <v>160284.14354700001</v>
      </c>
      <c r="G7" s="73" ph="1">
        <f xml:space="preserve"> (G6+2)*51.53*LOOKUP(G8,密度!$A$2:$A$50,密度!$B$2:$B$50)</f>
        <v>261773.73978000003</v>
      </c>
      <c r="H7" s="73" ph="1">
        <f>(H6)*51.53*LOOKUP(H8,密度!$A$2:$A$50,密度!$B$2:$B$50)</f>
        <v>0</v>
      </c>
      <c r="I7" s="73" ph="1">
        <f>I6*290.8*1.0267</f>
        <v>14.928217999999999</v>
      </c>
      <c r="J7" s="73" ph="1">
        <f>J6*290.8*0.7892</f>
        <v>1604.2005264000002</v>
      </c>
      <c r="K7" s="73" ph="1">
        <f>K6*290.8*1.1126</f>
        <v>2361.8717840000004</v>
      </c>
      <c r="L7" s="73" ph="1">
        <f>L6*290.8*0.777</f>
        <v>9257.2370520000004</v>
      </c>
      <c r="M7" s="73" ph="1">
        <f>M6*33.183*LOOKUP(M8,密度!$A$2:$A$50,密度!$D$2:$D$50)</f>
        <v>49231.330791300003</v>
      </c>
      <c r="N7" s="73" ph="1">
        <f>N6*33.183*LOOKUP(N8,密度!$A$2:$A$50,密度!$E$2:$E$50)</f>
        <v>98499.366958049999</v>
      </c>
      <c r="O7" s="73" ph="1">
        <f>O6*20.428*LOOKUP(O8,密度!$A$2:$A$50,密度!$C$2:$C$50)</f>
        <v>22891.032559200001</v>
      </c>
      <c r="P7" s="73" ph="1">
        <f>P6*51.53*LOOKUP(P8,密度!$A$2:$A$50,密度!$B$2:$B$50)</f>
        <v>147703.17009000003</v>
      </c>
      <c r="Q7" s="73" ph="1">
        <f>Q6*1.5*1.5*3.1416*LOOKUP(W8,密度!$A$2:$A$50,密度!$L$2:$L$50)</f>
        <v>46402.778961000004</v>
      </c>
      <c r="R7" s="73" ph="1">
        <f>R6*1.5*1.5*3.1416*LOOKUP(R8,密度!$A$2:$A$50,密度!$L$2:$L$50)</f>
        <v>15471.617376600003</v>
      </c>
      <c r="S7" s="73" ph="1">
        <f>S6*1.5*1.5*3.1416*LOOKUP(S8,密度!$A$2:$A$50,密度!$L$2:$L$50)</f>
        <v>15288.957683999999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26141.746831199998</v>
      </c>
      <c r="Y7" s="73" ph="1">
        <f>Y6*1.5*1.5*3.1416*LOOKUP(Y8,密度!$A$2:$A$50,密度!$L$2:$L$50)</f>
        <v>30250.038357000001</v>
      </c>
      <c r="Z7" s="73" ph="1">
        <f>Z6*33.183*LOOKUP(Z8,密度!$A$2:$A$50,密度!$L$2:$L$50)</f>
        <v>204680.70792000002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36992.871134000001</v>
      </c>
      <c r="AC7" s="73" ph="1">
        <f>AC6*51.53*LOOKUP(AC8,密度!$A$2:$A$50,密度!$Q$2:$Q$50)</f>
        <v>154552.50264960001</v>
      </c>
      <c r="AD7" s="73" ph="1">
        <f>AD6*20.428*LOOKUP(AD8,密度!$A$2:$A$50,密度!$V$2:$V$50)</f>
        <v>85094.059680000006</v>
      </c>
      <c r="AE7" s="73" ph="1">
        <f>AE6*20.428</f>
        <v>72335.54800000001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28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31</v>
      </c>
      <c r="O8" s="74">
        <v>30</v>
      </c>
      <c r="P8" s="74">
        <v>28</v>
      </c>
      <c r="Q8" s="74">
        <v>28</v>
      </c>
      <c r="R8" s="74">
        <v>31</v>
      </c>
      <c r="S8" s="74">
        <v>22</v>
      </c>
      <c r="T8" s="74">
        <v>23</v>
      </c>
      <c r="U8" s="74">
        <v>27</v>
      </c>
      <c r="V8" s="74">
        <v>28</v>
      </c>
      <c r="W8" s="74">
        <v>27</v>
      </c>
      <c r="X8" s="74">
        <v>20</v>
      </c>
      <c r="Y8" s="74">
        <v>27</v>
      </c>
      <c r="Z8" s="74">
        <v>26</v>
      </c>
      <c r="AA8" s="74">
        <v>27</v>
      </c>
      <c r="AB8" s="74">
        <v>22</v>
      </c>
      <c r="AC8" s="74">
        <v>25</v>
      </c>
      <c r="AD8" s="74">
        <v>27</v>
      </c>
      <c r="AE8" s="74">
        <v>29</v>
      </c>
    </row>
    <row r="9" spans="1:99" ht="26.4" ph="1">
      <c r="B9" s="241" ph="1">
        <v>0.66666666666666663</v>
      </c>
      <c r="C9" s="156" t="s" ph="1">
        <v>180</v>
      </c>
      <c r="D9" s="71">
        <v>5340</v>
      </c>
      <c r="E9" s="71">
        <v>3726</v>
      </c>
      <c r="F9" s="71">
        <v>4783</v>
      </c>
      <c r="G9" s="71">
        <v>6541</v>
      </c>
      <c r="H9" s="71">
        <v>1752</v>
      </c>
      <c r="I9" s="71">
        <v>0.04</v>
      </c>
      <c r="J9" s="71">
        <v>7.08</v>
      </c>
      <c r="K9" s="71">
        <v>7.39</v>
      </c>
      <c r="L9" s="71">
        <v>40.880000000000003</v>
      </c>
      <c r="M9" s="71">
        <v>1448</v>
      </c>
      <c r="N9" s="71">
        <v>3827</v>
      </c>
      <c r="O9" s="71">
        <v>1014</v>
      </c>
      <c r="P9" s="71">
        <v>3583</v>
      </c>
      <c r="Q9" s="71">
        <v>7029</v>
      </c>
      <c r="R9" s="71">
        <v>4382</v>
      </c>
      <c r="S9" s="71">
        <v>2303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3910</v>
      </c>
      <c r="Z9" s="71">
        <v>4282</v>
      </c>
      <c r="AA9" s="71">
        <v>558</v>
      </c>
      <c r="AB9" s="71">
        <v>1635</v>
      </c>
      <c r="AC9" s="71">
        <v>3508</v>
      </c>
      <c r="AD9" s="71">
        <v>4350</v>
      </c>
      <c r="AE9" s="71">
        <v>3592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167155.45354260001</v>
      </c>
      <c r="E10" s="73" ph="1">
        <f>E9*51.53*LOOKUP(E11,密度!$A$2:$A$50,密度!$B$2:$B$50)</f>
        <v>148512.60332999998</v>
      </c>
      <c r="F10" s="73" ph="1">
        <f>F9*33.183*LOOKUP(F11,密度!$A$2:$A$50,密度!$C$2:$C$50)</f>
        <v>175633.2322074</v>
      </c>
      <c r="G10" s="73" ph="1">
        <f xml:space="preserve"> (G9+2)*51.53*LOOKUP(G11,密度!$A$2:$A$50,密度!$B$2:$B$50)</f>
        <v>261400.76048699999</v>
      </c>
      <c r="H10" s="73" ph="1">
        <f>(H9)*51.53*LOOKUP(H11,密度!$A$2:$A$50,密度!$B$2:$B$50)</f>
        <v>70229.247623999996</v>
      </c>
      <c r="I10" s="73" ph="1">
        <f>I9*290.8*1.0267</f>
        <v>11.942574400000002</v>
      </c>
      <c r="J10" s="73" ph="1">
        <f>J9*290.8*0.7892</f>
        <v>1624.8554688000002</v>
      </c>
      <c r="K10" s="73" ph="1">
        <f>K9*290.8*1.1126</f>
        <v>2390.9907512000004</v>
      </c>
      <c r="L10" s="73" ph="1">
        <f>L9*290.8*0.777</f>
        <v>9236.9014080000015</v>
      </c>
      <c r="M10" s="73" ph="1">
        <f>M9*33.183*LOOKUP(M11,密度!$A$2:$A$50,密度!$D$2:$D$50)</f>
        <v>49106.061647999995</v>
      </c>
      <c r="N10" s="73" ph="1">
        <f>N9*33.183*LOOKUP(N11,密度!$A$2:$A$50,密度!$E$2:$E$50)</f>
        <v>98602.426719449999</v>
      </c>
      <c r="O10" s="73" ph="1">
        <f>O9*20.428*LOOKUP(O11,密度!$A$2:$A$50,密度!$C$2:$C$50)</f>
        <v>22739.820417600004</v>
      </c>
      <c r="P10" s="73" ph="1">
        <f>P9*51.53*LOOKUP(P11,密度!$A$2:$A$50,密度!$B$2:$B$50)</f>
        <v>142812.84426499999</v>
      </c>
      <c r="Q10" s="73" ph="1">
        <f>Q9*1.5*1.5*3.1416*LOOKUP(W11,密度!$A$2:$A$50,密度!$L$2:$L$50)</f>
        <v>45909.115005599997</v>
      </c>
      <c r="R10" s="73" ph="1">
        <f>R9*1.5*1.5*3.1416*LOOKUP(R11,密度!$A$2:$A$50,密度!$L$2:$L$50)</f>
        <v>28775.4082308</v>
      </c>
      <c r="S10" s="73" ph="1">
        <f>S9*1.5*1.5*3.1416*LOOKUP(S11,密度!$A$2:$A$50,密度!$L$2:$L$50)</f>
        <v>15253.409694600001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25786.464857999999</v>
      </c>
      <c r="Z10" s="73" ph="1">
        <f>Z9*33.183*LOOKUP(Z11,密度!$A$2:$A$50,密度!$L$2:$L$50)</f>
        <v>132853.78161000001</v>
      </c>
      <c r="AA10" s="73" ph="1">
        <f>AA9*33.183*LOOKUP(AA11,密度!$A$2:$A$50,密度!$D$2:$D$50)</f>
        <v>18906.804005400001</v>
      </c>
      <c r="AB10" s="73" ph="1">
        <f>AB9*20.428*LOOKUP(AB11,密度!$A$2:$A$50,密度!$D$2:$D$50)</f>
        <v>34291.554125999995</v>
      </c>
      <c r="AC10" s="73" ph="1">
        <f>AC9*51.53*LOOKUP(AC11,密度!$A$2:$A$50,密度!$Q$2:$Q$50)</f>
        <v>170631.6208532</v>
      </c>
      <c r="AD10" s="73" ph="1">
        <f>AD9*20.428*LOOKUP(AD11,密度!$A$2:$A$50,密度!$V$2:$V$50)</f>
        <v>85094.059680000006</v>
      </c>
      <c r="AE10" s="73" ph="1">
        <f>AE9*20.428</f>
        <v>73377.376000000004</v>
      </c>
    </row>
    <row r="11" spans="1:99" ph="1">
      <c r="A11" s="64" t="s" ph="1">
        <v>162</v>
      </c>
      <c r="B11" s="241" ph="1"/>
      <c r="C11" s="156" t="s" ph="1">
        <v>179</v>
      </c>
      <c r="D11" s="74">
        <v>30</v>
      </c>
      <c r="E11" s="74">
        <v>32</v>
      </c>
      <c r="F11" s="74">
        <v>28</v>
      </c>
      <c r="G11" s="74">
        <v>30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31</v>
      </c>
      <c r="O11" s="74">
        <v>37</v>
      </c>
      <c r="P11" s="74">
        <v>32</v>
      </c>
      <c r="Q11" s="74">
        <v>30</v>
      </c>
      <c r="R11" s="74">
        <v>33</v>
      </c>
      <c r="S11" s="74">
        <v>25</v>
      </c>
      <c r="T11" s="74">
        <v>32</v>
      </c>
      <c r="U11" s="74">
        <v>30</v>
      </c>
      <c r="V11" s="74">
        <v>27</v>
      </c>
      <c r="W11" s="74">
        <v>38</v>
      </c>
      <c r="X11" s="74">
        <v>31</v>
      </c>
      <c r="Y11" s="74">
        <v>29</v>
      </c>
      <c r="Z11" s="74">
        <v>27</v>
      </c>
      <c r="AA11" s="74">
        <v>31</v>
      </c>
      <c r="AB11" s="74">
        <v>25</v>
      </c>
      <c r="AC11" s="74">
        <v>29</v>
      </c>
      <c r="AD11" s="74">
        <v>29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3838</v>
      </c>
      <c r="E15" s="78">
        <v>67</v>
      </c>
      <c r="F15" s="78">
        <v>2584</v>
      </c>
      <c r="G15" s="78">
        <v>3919</v>
      </c>
      <c r="H15" s="78">
        <v>1967</v>
      </c>
      <c r="I15" s="78">
        <v>2670</v>
      </c>
      <c r="J15" s="78">
        <v>1377</v>
      </c>
      <c r="K15" s="78">
        <v>3577</v>
      </c>
      <c r="L15" s="78">
        <v>5846</v>
      </c>
      <c r="M15" s="78">
        <v>6914</v>
      </c>
      <c r="N15" s="78">
        <v>2602</v>
      </c>
      <c r="O15" s="78">
        <v>940</v>
      </c>
      <c r="P15" s="78">
        <v>6954</v>
      </c>
      <c r="Q15" s="78">
        <v>1645</v>
      </c>
      <c r="R15" s="78">
        <v>-10</v>
      </c>
      <c r="S15" s="78">
        <v>6226</v>
      </c>
      <c r="T15" s="78">
        <v>1078</v>
      </c>
      <c r="U15" s="78">
        <v>6252</v>
      </c>
      <c r="V15" s="78">
        <v>850</v>
      </c>
      <c r="W15" s="71">
        <v>-817</v>
      </c>
      <c r="X15" s="78">
        <v>867</v>
      </c>
      <c r="Y15" s="106">
        <v>-2365</v>
      </c>
      <c r="Z15" s="78">
        <v>0</v>
      </c>
      <c r="AA15" s="78">
        <v>7</v>
      </c>
      <c r="AB15" s="78" ph="1">
        <v>1098</v>
      </c>
      <c r="AC15" s="78" ph="1">
        <v>2154</v>
      </c>
      <c r="AD15" s="78">
        <v>41.69</v>
      </c>
      <c r="AE15" s="78">
        <v>5.8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25284.495297600002</v>
      </c>
      <c r="E16" s="73" ph="1">
        <f>E15*7.0686*LOOKUP(E17,密度!$A$2:$A$50,密度!$L$2:$L$50)</f>
        <v>441.39165840000004</v>
      </c>
      <c r="F16" s="73" ph="1">
        <f>F15*9.0746*LOOKUP(F17,密度!$A$2:$A$50,密度!$L$2:$L$50)</f>
        <v>21854.2502848</v>
      </c>
      <c r="G16" s="73" ph="1">
        <f>G15*9.0746*LOOKUP(G17,密度!$A$2:$A$50,密度!$B$2:$B$50)</f>
        <v>27664.735721460002</v>
      </c>
      <c r="H16" s="73" ph="1">
        <f>H15*9.0746*LOOKUP(H17,密度!$A$2:$A$50,密度!$L$2:$L$50)</f>
        <v>16725.204693399999</v>
      </c>
      <c r="I16" s="73" ph="1">
        <f>I15*9.0746*LOOKUP(I17,密度!$A$2:$A$50,密度!$U$2:$U$50)</f>
        <v>24786.453185999999</v>
      </c>
      <c r="J16" s="73" ph="1">
        <f>J15*9.0746*LOOKUP(J17,密度!$A$2:$A$50,密度!$L$2:$L$50)</f>
        <v>11671.006402800002</v>
      </c>
      <c r="K16" s="73" ph="1">
        <f>K15*9.0746*LOOKUP(K17,密度!$A$2:$A$50,密度!$C$2:$C$50)</f>
        <v>35920.063591719998</v>
      </c>
      <c r="L16" s="73" ph="1">
        <f>L15*9.0746*LOOKUP(L17,密度!$A$2:$A$50,密度!$E$2:$E$50)</f>
        <v>41251.766780160004</v>
      </c>
      <c r="M16" s="73" ph="1">
        <f>M15*9.0746*LOOKUP(M17,密度!$A$2:$A$50,密度!$M$2:$M$50)</f>
        <v>54514.454211628006</v>
      </c>
      <c r="N16" s="73" ph="1">
        <f>N15*9.0746*LOOKUP(N17,密度!$A$2:$A$50,密度!$M$2:$M$50)</f>
        <v>20589.7592224</v>
      </c>
      <c r="O16" s="73" ph="1">
        <f>O15*9.0746*LOOKUP(O17,密度!$A$2:$A$50,密度!$G$2:$G$50)</f>
        <v>8163.3286679999992</v>
      </c>
      <c r="P16" s="73" ph="1">
        <f ca="1">P15*9.0746*LOOKUP(P17,密度!$A$2:$A$51,密度!$Q$2:$Q$50)</f>
        <v>59528.621174772001</v>
      </c>
      <c r="Q16" s="73" ph="1">
        <f>Q15*9.0746*LOOKUP(Q17,密度!$A$2:$A$50,密度!$Q$2:$Q$50)</f>
        <v>14081.76327761</v>
      </c>
      <c r="R16" s="73" ph="1">
        <f>MAX(R15*9.0746*LOOKUP(R17,密度!$A$2:$A$50,密度!$B$2:$B$50),0)</f>
        <v>0</v>
      </c>
      <c r="S16" s="73" ph="1">
        <f>S15*9.0746*LOOKUP(S17,密度!$A$2:$A$50,密度!$Q$2:$Q$50)</f>
        <v>53296.691894468</v>
      </c>
      <c r="T16" s="73" ph="1">
        <f>T15*9.0746*LOOKUP(T17,密度!$A$2:$A$50,密度!$O$2:$O$50)</f>
        <v>9058.5198087999997</v>
      </c>
      <c r="U16" s="73" ph="1">
        <f>U15*9.0746*LOOKUP(U17,密度!$A$2:$A$50,密度!$H$2:$H$50)</f>
        <v>51792.833029680005</v>
      </c>
      <c r="V16" s="73" ph="1">
        <f>MAX(5600*LOOKUP(V17,密度!$A$2:$A$50,密度!$Q$2:$Q$50)+V15*9.0476*LOOKUP(V17,密度!$A$2:$A$50,密度!$Q$2:$Q$50),0)</f>
        <v>12537.289631799998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13936.32945272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49.413919380000003</v>
      </c>
      <c r="AB16" s="73" ph="1">
        <f>AB15*9.0746*LOOKUP(AB17,密度!$A$2:$A$50,密度!$L$2:$L$50)</f>
        <v>9306.2926872000007</v>
      </c>
      <c r="AC16" s="73" ph="1">
        <f>AC15*9.0746*LOOKUP(AC17,密度!$A$2:$A$50,密度!$L$2:$L$50)</f>
        <v>18276.153654000002</v>
      </c>
      <c r="AD16" s="73" ph="1">
        <f>AD15*268.68*LOOKUP(AD17,密度!$A$2:$A$50,密度!B2:B50)+IF(AD15&lt;=0,0,1566*LOOKUP(AD17,密度!$A$2:$A$50,密度!B2:B50))</f>
        <v>9953.363068319999</v>
      </c>
      <c r="AE16" s="73" ph="1">
        <f>AE15*268.68*LOOKUP(AE17,密度!$A$2:$A$50,密度!B2:B50)+IF(AE15&lt;=0,0,1566*LOOKUP(AE17,密度!$A$2:$A$50,密度!B2:B50))</f>
        <v>2435.7385823999998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30</v>
      </c>
      <c r="G17" s="74">
        <v>27</v>
      </c>
      <c r="H17" s="74">
        <v>25</v>
      </c>
      <c r="I17" s="74">
        <v>27</v>
      </c>
      <c r="J17" s="74">
        <v>28</v>
      </c>
      <c r="K17" s="74">
        <v>28</v>
      </c>
      <c r="L17" s="74">
        <v>30</v>
      </c>
      <c r="M17" s="74">
        <v>31</v>
      </c>
      <c r="N17" s="74">
        <v>28</v>
      </c>
      <c r="O17" s="74">
        <v>28</v>
      </c>
      <c r="P17" s="74">
        <v>30</v>
      </c>
      <c r="Q17" s="74">
        <v>30</v>
      </c>
      <c r="R17" s="74">
        <v>28</v>
      </c>
      <c r="S17" s="74">
        <v>30</v>
      </c>
      <c r="T17" s="74">
        <v>27</v>
      </c>
      <c r="U17" s="74">
        <v>27</v>
      </c>
      <c r="V17" s="74">
        <v>30</v>
      </c>
      <c r="W17" s="74">
        <v>29</v>
      </c>
      <c r="X17" s="74">
        <v>30</v>
      </c>
      <c r="Y17" s="108">
        <v>30</v>
      </c>
      <c r="Z17" s="74">
        <v>28</v>
      </c>
      <c r="AA17" s="74">
        <v>27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2802</v>
      </c>
      <c r="E18" s="71">
        <v>66</v>
      </c>
      <c r="F18" s="71">
        <v>2585</v>
      </c>
      <c r="G18" s="71">
        <v>4022</v>
      </c>
      <c r="H18" s="71">
        <v>1968</v>
      </c>
      <c r="I18" s="71">
        <v>2672</v>
      </c>
      <c r="J18" s="71">
        <v>1400</v>
      </c>
      <c r="K18" s="71">
        <v>3579</v>
      </c>
      <c r="L18" s="71">
        <v>5858</v>
      </c>
      <c r="M18" s="71">
        <v>4620</v>
      </c>
      <c r="N18" s="71">
        <v>3303</v>
      </c>
      <c r="O18" s="71">
        <v>940</v>
      </c>
      <c r="P18" s="71">
        <v>6966</v>
      </c>
      <c r="Q18" s="71">
        <v>1647</v>
      </c>
      <c r="R18" s="71">
        <v>-11</v>
      </c>
      <c r="S18" s="71">
        <v>6233</v>
      </c>
      <c r="T18" s="71">
        <v>1078</v>
      </c>
      <c r="U18" s="71">
        <v>6249</v>
      </c>
      <c r="V18" s="71">
        <v>850</v>
      </c>
      <c r="W18" s="71">
        <v>-817</v>
      </c>
      <c r="X18" s="71">
        <v>867</v>
      </c>
      <c r="Y18" s="109">
        <v>-9908</v>
      </c>
      <c r="Z18" s="71">
        <v>0</v>
      </c>
      <c r="AA18" s="71">
        <v>7</v>
      </c>
      <c r="AB18" s="71">
        <v>1098</v>
      </c>
      <c r="AC18" s="71">
        <v>2156</v>
      </c>
      <c r="AD18" s="71">
        <v>82.86</v>
      </c>
      <c r="AE18" s="71">
        <v>5.74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18419.781996000002</v>
      </c>
      <c r="E19" s="73" ph="1">
        <f>E18*7.0686*LOOKUP(E20,密度!$A$2:$A$50,密度!$L$2:$L$50)</f>
        <v>433.87066800000002</v>
      </c>
      <c r="F19" s="73" ph="1">
        <f>F18*9.0746*LOOKUP(F20,密度!$A$2:$A$50,密度!$L$2:$L$50)</f>
        <v>21839.249971000001</v>
      </c>
      <c r="G19" s="73" ph="1">
        <f>G18*9.0746*LOOKUP(G20,密度!$A$2:$A$50,密度!$B$2:$B$50)</f>
        <v>28358.978012399999</v>
      </c>
      <c r="H19" s="73" ph="1">
        <f>H18*9.0746*LOOKUP(H20,密度!$A$2:$A$50,密度!$L$2:$L$50)</f>
        <v>16733.7075936</v>
      </c>
      <c r="I19" s="73" ph="1">
        <f>I18*9.0746*LOOKUP(I20,密度!$A$2:$A$50,密度!$U$2:$U$50)</f>
        <v>24732.277824000001</v>
      </c>
      <c r="J19" s="73" ph="1">
        <f>J18*9.0746*LOOKUP(J20,密度!$A$2:$A$50,密度!$L$2:$L$50)</f>
        <v>11840.53808</v>
      </c>
      <c r="K19" s="73" ph="1">
        <f>K18*9.0746*LOOKUP(K20,密度!$A$2:$A$50,密度!$C$2:$C$50)</f>
        <v>35917.412901060001</v>
      </c>
      <c r="L19" s="73" ph="1">
        <f>L18*9.0746*LOOKUP(L20,密度!$A$2:$A$50,密度!$E$2:$E$50)</f>
        <v>41336.443687680003</v>
      </c>
      <c r="M19" s="73" ph="1">
        <f>M18*9.0746*LOOKUP(M20,密度!$A$2:$A$50,密度!$M$2:$M$50)</f>
        <v>36295.009729440004</v>
      </c>
      <c r="N19" s="73" ph="1">
        <f>N18*9.0746*LOOKUP(N20,密度!$A$2:$A$50,密度!$M$2:$M$50)</f>
        <v>26073.863965619999</v>
      </c>
      <c r="O19" s="73" ph="1">
        <f>O18*9.0746*LOOKUP(O20,密度!$A$2:$A$50,密度!$G$2:$G$50)</f>
        <v>8135.2645600399992</v>
      </c>
      <c r="P19" s="73" ph="1">
        <f ca="1">P18*9.0746*LOOKUP(P20,密度!$A$2:$A$51,密度!$Q$2:$Q$50)</f>
        <v>59499.860863499998</v>
      </c>
      <c r="Q19" s="73" ph="1">
        <f>Q18*9.0746*LOOKUP(Q20,密度!$A$2:$A$50,密度!$Q$2:$Q$50)</f>
        <v>14077.51137378</v>
      </c>
      <c r="R19" s="73" ph="1">
        <f>MAX(R18*9.0746*LOOKUP(R20,密度!$A$2:$A$50,密度!$B$2:$B$50),0)</f>
        <v>0</v>
      </c>
      <c r="S19" s="73" ph="1">
        <f>S18*9.0746*LOOKUP(S20,密度!$A$2:$A$50,密度!$Q$2:$Q$50)</f>
        <v>53275.730657419997</v>
      </c>
      <c r="T19" s="73" ph="1">
        <f>T18*9.0746*LOOKUP(T20,密度!$A$2:$A$50,密度!$O$2:$O$50)</f>
        <v>8995.9123284799989</v>
      </c>
      <c r="U19" s="73" ph="1">
        <f>U18*9.0746*LOOKUP(U20,密度!$A$2:$A$50,密度!$H$2:$H$50)</f>
        <v>51603.529613999999</v>
      </c>
      <c r="V19" s="73" ph="1">
        <f>MAX(5600*LOOKUP(V20,密度!$A$2:$A$50,密度!$Q$2:$Q$50)+V18*9.0476*LOOKUP(V20,密度!$A$2:$A$50,密度!$Q$2:$Q$50),0)</f>
        <v>12518.284273999998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13906.752060480001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49.134421699999997</v>
      </c>
      <c r="AB19" s="73" ph="1">
        <f>AB18*9.0746*LOOKUP(AB20,密度!$A$2:$A$50,密度!$L$2:$L$50)</f>
        <v>9206.6535791999995</v>
      </c>
      <c r="AC19" s="73" ph="1">
        <f>AC18*9.0746*LOOKUP(AC20,密度!$A$2:$A$50,密度!$L$2:$L$50)</f>
        <v>18234.428643200001</v>
      </c>
      <c r="AD19" s="73" ph="1">
        <f>AD18*268.68*LOOKUP(AD20,密度!$A$2:$A$50,密度!B5:B53)+IF(AD18&lt;=0,0,1566*LOOKUP(AD20,密度!$A$2:$A$50,密度!B5:B53))</f>
        <v>18514.9968696</v>
      </c>
      <c r="AE19" s="73" ph="1">
        <f>AE18*268.68*LOOKUP(AE20,密度!$A$2:$A$50,密度!B5:B53)+IF(AE18&lt;=0,0,1566*LOOKUP(AE20,密度!$A$2:$A$50,密度!B5:B53))</f>
        <v>2415.0894263999999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31</v>
      </c>
      <c r="G20" s="81">
        <v>28</v>
      </c>
      <c r="H20" s="81">
        <v>25</v>
      </c>
      <c r="I20" s="81">
        <v>30</v>
      </c>
      <c r="J20" s="81">
        <v>30</v>
      </c>
      <c r="K20" s="81">
        <v>29</v>
      </c>
      <c r="L20" s="81">
        <v>30</v>
      </c>
      <c r="M20" s="81">
        <v>34</v>
      </c>
      <c r="N20" s="81">
        <v>30</v>
      </c>
      <c r="O20" s="81">
        <v>31</v>
      </c>
      <c r="P20" s="81">
        <v>33</v>
      </c>
      <c r="Q20" s="81">
        <v>32</v>
      </c>
      <c r="R20" s="81">
        <v>45</v>
      </c>
      <c r="S20" s="81">
        <v>32</v>
      </c>
      <c r="T20" s="81">
        <v>35</v>
      </c>
      <c r="U20" s="81">
        <v>30</v>
      </c>
      <c r="V20" s="81">
        <v>32</v>
      </c>
      <c r="W20" s="81">
        <v>34</v>
      </c>
      <c r="X20" s="81">
        <v>32</v>
      </c>
      <c r="Y20" s="110">
        <v>32</v>
      </c>
      <c r="Z20" s="81">
        <v>40</v>
      </c>
      <c r="AA20" s="81">
        <v>32</v>
      </c>
      <c r="AB20" s="81">
        <v>38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79.17</v>
      </c>
      <c r="E24" s="71">
        <v>46.19</v>
      </c>
      <c r="F24" s="71">
        <v>1563</v>
      </c>
      <c r="G24" s="71">
        <v>3544</v>
      </c>
      <c r="H24" s="71">
        <v>3760</v>
      </c>
      <c r="I24" s="71">
        <v>4504</v>
      </c>
      <c r="J24" s="71">
        <v>389</v>
      </c>
      <c r="K24" s="71">
        <v>501</v>
      </c>
      <c r="L24" s="71">
        <v>5609</v>
      </c>
      <c r="M24" s="71">
        <v>4011</v>
      </c>
      <c r="N24" s="71">
        <v>5530</v>
      </c>
      <c r="O24" s="71">
        <v>5595</v>
      </c>
      <c r="P24" s="71">
        <v>359</v>
      </c>
      <c r="Q24" s="90">
        <v>2736</v>
      </c>
      <c r="R24" s="71">
        <v>216</v>
      </c>
      <c r="S24" s="71">
        <v>2389</v>
      </c>
      <c r="T24" s="71">
        <v>1685</v>
      </c>
      <c r="U24" s="71">
        <v>5187</v>
      </c>
      <c r="V24" s="71">
        <v>5884</v>
      </c>
      <c r="W24" s="71">
        <v>9759</v>
      </c>
      <c r="X24" s="71">
        <v>3591</v>
      </c>
      <c r="Y24" s="71">
        <v>3098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21621.075910344003</v>
      </c>
      <c r="E25" s="91" ph="1">
        <f>E24*268.68*LOOKUP(E26,密度!$A$2:$A$50,密度!$C$2:$C$50)+IF(E24&lt;=0,0,1566*LOOKUP(E26,密度!$A$2:$A$50,密度!$C$2:$C$50))</f>
        <v>15498.35144988</v>
      </c>
      <c r="F25" s="91" ph="1">
        <f>F24*11.702*LOOKUP(F26,密度!$A$2:$A$50,密度!$Q$2:$Q$50)</f>
        <v>17264.693028180001</v>
      </c>
      <c r="G25" s="91" ph="1">
        <f>G24*18.322*LOOKUP(G26,密度!$A$2:$A$50,密度!$B$2:$B$50)</f>
        <v>50401.125001599998</v>
      </c>
      <c r="H25" s="91" ph="1">
        <f>H24*18.322*LOOKUP(H26,密度!$A$2:$A$50,密度!$B$2:$B$50)</f>
        <v>53528.089440000003</v>
      </c>
      <c r="I25" s="91" ph="1">
        <f>I24*18.322*LOOKUP(I26,密度!$A$2:$A$50,密度!$Q$2:$Q$50)</f>
        <v>77895.263311839997</v>
      </c>
      <c r="J25" s="91" ph="1">
        <f>J24*18.322*LOOKUP(J26,密度!$A$2:$A$50,密度!$Q$2:$Q$50)</f>
        <v>6732.5504519599999</v>
      </c>
      <c r="K25" s="91" ph="1">
        <f>K24*18.322*LOOKUP(K26,密度!$A$2:$A$50,密度!$Q$2:$Q$50)</f>
        <v>8670.9711476400007</v>
      </c>
      <c r="L25" s="91" ph="1">
        <f>L24*18.322*LOOKUP(L26,密度!$A$2:$A$50,密度!$Q$2:$Q$50)</f>
        <v>96944.229886339992</v>
      </c>
      <c r="M25" s="91" ph="1">
        <f>M24*18.322*LOOKUP(M26,密度!$A$2:$A$50,密度!$Q$2:$Q$50)</f>
        <v>69324.889654860002</v>
      </c>
      <c r="N25" s="91" ph="1">
        <f>N24*18.322*LOOKUP(N26,密度!$A$2:$A$50,密度!$Q$2:$Q$50)</f>
        <v>95709.521849199984</v>
      </c>
      <c r="O25" s="91" ph="1">
        <f>O24*18.322*LOOKUP(O26,密度!$A$2:$A$50,密度!$C$2:$C$50)</f>
        <v>113285.55810899999</v>
      </c>
      <c r="P25" s="91" ph="1">
        <f>P24*11.702*LOOKUP(P26,密度!$A$2:$A$50,密度!$B$2:$B$50)</f>
        <v>3257.0492553999998</v>
      </c>
      <c r="Q25" s="92" ph="1">
        <f>Q24*18.322*LOOKUP(Q26,密度!$A$2:$A$50,密度!$B$2:$B$50)</f>
        <v>38950.226783999999</v>
      </c>
      <c r="R25" s="91" ph="1">
        <f>R24*35.891*LOOKUP(R26,密度!$A$2:$A$50,密度!$C$2:$C$50)</f>
        <v>8573.4410903999997</v>
      </c>
      <c r="S25" s="91" ph="1">
        <f>S24*35.891*LOOKUP(S26,密度!$A$2:$A$50,密度!$B$2:$B$50)</f>
        <v>66622.776423000003</v>
      </c>
      <c r="T25" s="91" ph="1">
        <f>T24*35.891*LOOKUP(T26,密度!$A$2:$A$50,密度!$Q$2:$Q$50)</f>
        <v>57085.426896550001</v>
      </c>
      <c r="U25" s="91" ph="1">
        <f>U24*35.891</f>
        <v>186166.617</v>
      </c>
      <c r="V25" s="91" ph="1">
        <f>V24*47.051*LOOKUP(V26,密度!$A$2:$A$50,密度!$B$2:$B$50)</f>
        <v>215110.96126800004</v>
      </c>
      <c r="W25" s="91" ph="1">
        <f>W24*47.051*LOOKUP(W26,密度!$A$2:$A$50,密度!$B$2:$B$50)</f>
        <v>356408.30432580004</v>
      </c>
      <c r="X25" s="91" ph="1">
        <f>X24*47.051*LOOKUP(X26,密度!$A$2:$A$50,密度!$I$2:$I$50)</f>
        <v>175144.0821606</v>
      </c>
      <c r="Y25" s="91" ph="1">
        <f>Y24*47.051*LOOKUP(Y26,密度!$A$2:$A$50,密度!$L$2:$L$50)</f>
        <v>136143.57413200001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29</v>
      </c>
      <c r="H26" s="74">
        <v>28</v>
      </c>
      <c r="I26" s="74">
        <v>29</v>
      </c>
      <c r="J26" s="74">
        <v>28</v>
      </c>
      <c r="K26" s="74">
        <v>28</v>
      </c>
      <c r="L26" s="74">
        <v>30</v>
      </c>
      <c r="M26" s="74">
        <v>30</v>
      </c>
      <c r="N26" s="74">
        <v>28</v>
      </c>
      <c r="O26" s="74">
        <v>30</v>
      </c>
      <c r="P26" s="74">
        <v>30</v>
      </c>
      <c r="Q26" s="93">
        <v>28</v>
      </c>
      <c r="R26" s="74">
        <v>29</v>
      </c>
      <c r="S26" s="74">
        <v>28</v>
      </c>
      <c r="T26" s="74">
        <v>29</v>
      </c>
      <c r="U26" s="74">
        <v>28</v>
      </c>
      <c r="V26" s="74">
        <v>28</v>
      </c>
      <c r="W26" s="74">
        <v>29</v>
      </c>
      <c r="X26" s="74">
        <v>30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79.28</v>
      </c>
      <c r="E27" s="71">
        <v>46.19</v>
      </c>
      <c r="F27" s="71">
        <v>1563</v>
      </c>
      <c r="G27" s="71">
        <v>3018</v>
      </c>
      <c r="H27" s="71">
        <v>3318</v>
      </c>
      <c r="I27" s="71">
        <v>4168</v>
      </c>
      <c r="J27" s="71">
        <v>385</v>
      </c>
      <c r="K27" s="71">
        <v>497</v>
      </c>
      <c r="L27" s="71">
        <v>5606</v>
      </c>
      <c r="M27" s="71">
        <v>4010</v>
      </c>
      <c r="N27" s="71">
        <v>5529</v>
      </c>
      <c r="O27" s="71">
        <v>5592</v>
      </c>
      <c r="P27" s="71">
        <v>355</v>
      </c>
      <c r="Q27" s="90">
        <v>3399</v>
      </c>
      <c r="R27" s="71">
        <v>213</v>
      </c>
      <c r="S27" s="71">
        <v>1996</v>
      </c>
      <c r="T27" s="71">
        <v>1683</v>
      </c>
      <c r="U27" s="71">
        <v>5035</v>
      </c>
      <c r="V27" s="71">
        <v>6367</v>
      </c>
      <c r="W27" s="71">
        <v>9759</v>
      </c>
      <c r="X27" s="71">
        <v>3353</v>
      </c>
      <c r="Y27" s="71">
        <v>3812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21649.056621696003</v>
      </c>
      <c r="E28" s="91" ph="1">
        <f>E27*268.68*LOOKUP(E29,密度!$A$2:$A$50,密度!$C$2:$C$50)+IF(E27&lt;=0,0,1566*LOOKUP(E29,密度!$A$2:$A$50,密度!$C$2:$C$50))</f>
        <v>15498.35144988</v>
      </c>
      <c r="F28" s="91" ph="1">
        <f>F27*11.702*LOOKUP(F29,密度!$A$2:$A$50,密度!$Q$2:$Q$50)</f>
        <v>17240.001223079998</v>
      </c>
      <c r="G28" s="91" ph="1">
        <f>G27*18.322*LOOKUP(G29,密度!$A$2:$A$50,密度!$B$2:$B$50)</f>
        <v>42870.830638799998</v>
      </c>
      <c r="H28" s="91" ph="1">
        <f>H27*18.322*LOOKUP(H29,密度!$A$2:$A$50,密度!$B$2:$B$50)</f>
        <v>47077.631462400001</v>
      </c>
      <c r="I28" s="91" ph="1">
        <f>I27*18.322*LOOKUP(I29,密度!$A$2:$A$50,密度!$Q$2:$Q$50)</f>
        <v>71981.154767679982</v>
      </c>
      <c r="J28" s="91" ph="1">
        <f>J27*18.322*LOOKUP(J29,密度!$A$2:$A$50,密度!$Q$2:$Q$50)</f>
        <v>6630.3085617999996</v>
      </c>
      <c r="K28" s="91" ph="1">
        <f>K27*18.322*LOOKUP(K29,密度!$A$2:$A$50,密度!$Q$2:$Q$50)</f>
        <v>8589.99505322</v>
      </c>
      <c r="L28" s="91" ph="1">
        <f>L27*18.322*LOOKUP(L29,密度!$A$2:$A$50,密度!$Q$2:$Q$50)</f>
        <v>96544.18129208</v>
      </c>
      <c r="M28" s="91" ph="1">
        <f>M27*18.322*LOOKUP(M29,密度!$A$2:$A$50,密度!$Q$2:$Q$50)</f>
        <v>69252.502547600001</v>
      </c>
      <c r="N28" s="91" ph="1">
        <f>N27*18.322*LOOKUP(N29,密度!$A$2:$A$50,密度!$Q$2:$Q$50)</f>
        <v>95561.534505539996</v>
      </c>
      <c r="O28" s="91" ph="1">
        <f>O27*18.322*LOOKUP(O29,密度!$A$2:$A$50,密度!$C$2:$C$50)</f>
        <v>113122.35855840001</v>
      </c>
      <c r="P28" s="91" ph="1">
        <f>P27*11.702*LOOKUP(P29,密度!$A$2:$A$50,密度!$B$2:$B$50)</f>
        <v>3202.480489</v>
      </c>
      <c r="Q28" s="92" ph="1">
        <f>Q27*18.322*LOOKUP(Q29,密度!$A$2:$A$50,密度!$B$2:$B$50)</f>
        <v>48226.904563199998</v>
      </c>
      <c r="R28" s="91" ph="1">
        <f>R27*35.891*LOOKUP(R29,密度!$A$2:$A$50,密度!$C$2:$C$50)</f>
        <v>8448.2496932999984</v>
      </c>
      <c r="S28" s="91" ph="1">
        <f>S27*35.891*LOOKUP(S29,密度!$A$2:$A$50,密度!$B$2:$B$50)</f>
        <v>55541.279430800001</v>
      </c>
      <c r="T28" s="91" ph="1">
        <f>T27*35.891*LOOKUP(T29,密度!$A$2:$A$50,密度!$Q$2:$Q$50)</f>
        <v>56936.123566739996</v>
      </c>
      <c r="U28" s="91" ph="1">
        <f>U27*35.891</f>
        <v>180711.185</v>
      </c>
      <c r="V28" s="91" ph="1">
        <f>V27*47.051*LOOKUP(V29,密度!$A$2:$A$50,密度!$B$2:$B$50)</f>
        <v>232259.5027901</v>
      </c>
      <c r="W28" s="91" ph="1">
        <f>W27*47.051*LOOKUP(W29,密度!$A$2:$A$50,密度!$B$2:$B$50)</f>
        <v>355581.79704959999</v>
      </c>
      <c r="X28" s="91" ph="1">
        <f>X27*47.051*LOOKUP(X29,密度!$A$2:$A$50,密度!$I$2:$I$50)</f>
        <v>162663.66843321</v>
      </c>
      <c r="Y28" s="91" ph="1">
        <f>Y27*47.051*LOOKUP(Y29,密度!$A$2:$A$50,密度!$L$2:$L$50)</f>
        <v>166982.68157200003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31</v>
      </c>
      <c r="G29" s="74">
        <v>30</v>
      </c>
      <c r="H29" s="74">
        <v>31</v>
      </c>
      <c r="I29" s="74">
        <v>31</v>
      </c>
      <c r="J29" s="74">
        <v>35</v>
      </c>
      <c r="K29" s="74">
        <v>30</v>
      </c>
      <c r="L29" s="74">
        <v>35</v>
      </c>
      <c r="M29" s="74">
        <v>31</v>
      </c>
      <c r="N29" s="74">
        <v>30</v>
      </c>
      <c r="O29" s="74">
        <v>31</v>
      </c>
      <c r="P29" s="74">
        <v>35</v>
      </c>
      <c r="Q29" s="93">
        <v>31</v>
      </c>
      <c r="R29" s="74">
        <v>30</v>
      </c>
      <c r="S29" s="74">
        <v>30</v>
      </c>
      <c r="T29" s="74">
        <v>31</v>
      </c>
      <c r="U29" s="74">
        <v>31</v>
      </c>
      <c r="V29" s="74">
        <v>30</v>
      </c>
      <c r="W29" s="74">
        <v>31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53198.358131399997</v>
      </c>
      <c r="E33" s="190" ph="1">
        <f>M10+I10</f>
        <v>49118.004222399992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6" ph="1">
        <v>0</v>
      </c>
      <c r="H33" s="190" ph="1">
        <f>N19</f>
        <v>26073.863965619999</v>
      </c>
      <c r="I33" s="194" ph="1">
        <v>0</v>
      </c>
      <c r="J33" s="198" ph="1">
        <f>F10+O28</f>
        <v>288755.59076579998</v>
      </c>
      <c r="K33" s="190" ph="1">
        <f>O10+K10+E28+R28</f>
        <v>49077.412311979999</v>
      </c>
      <c r="L33" s="200" ph="1">
        <f>BE27</f>
        <v>7100</v>
      </c>
      <c r="M33" s="198" ph="1">
        <f>G10+H10+W28+S28+V28+E10</f>
        <v>1123525.1907115001</v>
      </c>
      <c r="N33" s="190" ph="1">
        <f>L10+P10++G28+H28</f>
        <v>241998.20777419998</v>
      </c>
      <c r="O33" s="194" ph="1">
        <f>BE17</f>
        <v>2270</v>
      </c>
      <c r="P33" s="198" ph="1">
        <f>L19</f>
        <v>41336.443687680003</v>
      </c>
      <c r="Q33" s="190" ph="1">
        <f>J10+N10</f>
        <v>100227.28218825</v>
      </c>
      <c r="R33" s="194" ph="1">
        <f>BE23</f>
        <v>890</v>
      </c>
      <c r="S33" s="198" ph="1">
        <f>E10+X28</f>
        <v>311176.27176320995</v>
      </c>
      <c r="T33" s="190" ph="1">
        <f>X19</f>
        <v>13906.752060480001</v>
      </c>
      <c r="U33" s="179" ph="1">
        <f>BE21</f>
        <v>730</v>
      </c>
      <c r="V33" s="192" ph="1">
        <f ca="1">P19+Q19+S19+M28+N28+J28</f>
        <v>298297.44850963994</v>
      </c>
      <c r="W33" s="192" ph="1">
        <f>D28+F28+V19+T28</f>
        <v>108343.465685516</v>
      </c>
      <c r="X33" s="194" ph="1">
        <f>BE29+BE31</f>
        <v>10200</v>
      </c>
      <c r="Y33" s="196" ph="1">
        <f>+Q10+R10+S10+T10+U10+V10+W10+X10+Y10</f>
        <v>115724.39778900001</v>
      </c>
      <c r="Z33" s="177" ph="1">
        <f>D10+T19+U19+Y28+Z10</f>
        <v>527591.35866708006</v>
      </c>
      <c r="AA33" s="179" ph="1">
        <f>BE19</f>
        <v>1440</v>
      </c>
      <c r="AB33" s="181" ph="1">
        <f>I19</f>
        <v>24732.277824000001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63" priority="98">
      <formula>ABS(D$7-D$10)&gt;=1000</formula>
    </cfRule>
  </conditionalFormatting>
  <conditionalFormatting sqref="E4 E6:E11">
    <cfRule type="expression" dxfId="1662" priority="97">
      <formula>ABS(E$7-E$10)&gt;=1000</formula>
    </cfRule>
  </conditionalFormatting>
  <conditionalFormatting sqref="F4:F11">
    <cfRule type="expression" dxfId="1661" priority="96">
      <formula>ABS(F$7-F$10)&gt;=1000</formula>
    </cfRule>
  </conditionalFormatting>
  <conditionalFormatting sqref="G4:G11">
    <cfRule type="expression" dxfId="1660" priority="95">
      <formula>ABS(G$7-G$10)&gt;=1000</formula>
    </cfRule>
  </conditionalFormatting>
  <conditionalFormatting sqref="H4:H11">
    <cfRule type="expression" dxfId="1659" priority="94">
      <formula>ABS(H$7-H$10)&gt;=1000</formula>
    </cfRule>
  </conditionalFormatting>
  <conditionalFormatting sqref="I4:I11">
    <cfRule type="expression" dxfId="1658" priority="93">
      <formula>ABS(I$7-I$10)&gt;=1000</formula>
    </cfRule>
  </conditionalFormatting>
  <conditionalFormatting sqref="J4:J11">
    <cfRule type="expression" dxfId="1657" priority="92">
      <formula>ABS(J$7-J$10)&gt;=1000</formula>
    </cfRule>
  </conditionalFormatting>
  <conditionalFormatting sqref="K4:K11">
    <cfRule type="expression" dxfId="1656" priority="91">
      <formula>ABS(K$7-K$10)&gt;=1000</formula>
    </cfRule>
  </conditionalFormatting>
  <conditionalFormatting sqref="L4:L11">
    <cfRule type="expression" dxfId="1655" priority="90">
      <formula>ABS(L$7-L$10)&gt;=1000</formula>
    </cfRule>
  </conditionalFormatting>
  <conditionalFormatting sqref="M4 M6:M11">
    <cfRule type="expression" dxfId="1654" priority="89">
      <formula>ABS(M$7-M$10)&gt;=1000</formula>
    </cfRule>
  </conditionalFormatting>
  <conditionalFormatting sqref="N4 N6:N11">
    <cfRule type="expression" dxfId="1653" priority="88">
      <formula>ABS(N$7-N$10)&gt;=1000</formula>
    </cfRule>
  </conditionalFormatting>
  <conditionalFormatting sqref="O4 O6:O11">
    <cfRule type="expression" dxfId="1652" priority="87">
      <formula>ABS(O$7-O$10)&gt;=1000</formula>
    </cfRule>
  </conditionalFormatting>
  <conditionalFormatting sqref="P4 P6:P11">
    <cfRule type="expression" dxfId="1651" priority="86">
      <formula>ABS(P$7-P$10)&gt;=1000</formula>
    </cfRule>
  </conditionalFormatting>
  <conditionalFormatting sqref="Q4:Q11">
    <cfRule type="expression" dxfId="1650" priority="85">
      <formula>ABS(Q$7-Q$10)&gt;=1000</formula>
    </cfRule>
  </conditionalFormatting>
  <conditionalFormatting sqref="R4:R11">
    <cfRule type="expression" dxfId="1649" priority="84">
      <formula>ABS(R$7-R$10)&gt;=1000</formula>
    </cfRule>
  </conditionalFormatting>
  <conditionalFormatting sqref="S4:S11">
    <cfRule type="expression" dxfId="1648" priority="83">
      <formula>ABS(S$7-S$10)&gt;=1000</formula>
    </cfRule>
  </conditionalFormatting>
  <conditionalFormatting sqref="T4:T9 T11">
    <cfRule type="expression" dxfId="1647" priority="82">
      <formula>ABS(T$7-T$10)&gt;=1000</formula>
    </cfRule>
  </conditionalFormatting>
  <conditionalFormatting sqref="U4:U9 U11">
    <cfRule type="expression" dxfId="1646" priority="81">
      <formula>ABS(U$7-U$10)&gt;=1000</formula>
    </cfRule>
  </conditionalFormatting>
  <conditionalFormatting sqref="V4:V9 V11">
    <cfRule type="expression" dxfId="1645" priority="80">
      <formula>ABS(V$7-V$10)&gt;=1000</formula>
    </cfRule>
  </conditionalFormatting>
  <conditionalFormatting sqref="W4:W9 W11">
    <cfRule type="expression" dxfId="1644" priority="79">
      <formula>ABS(W$7-W$10)&gt;=1000</formula>
    </cfRule>
  </conditionalFormatting>
  <conditionalFormatting sqref="X4:X9 X11">
    <cfRule type="expression" dxfId="1643" priority="78">
      <formula>ABS(X$7-X$10)&gt;=1000</formula>
    </cfRule>
  </conditionalFormatting>
  <conditionalFormatting sqref="Y4:Y9 Y11">
    <cfRule type="expression" dxfId="1642" priority="77">
      <formula>ABS(Y$7-Y$10)&gt;=1000</formula>
    </cfRule>
  </conditionalFormatting>
  <conditionalFormatting sqref="Z4:Z11">
    <cfRule type="expression" dxfId="1641" priority="76">
      <formula>ABS(Z$7-Z$10)&gt;=1000</formula>
    </cfRule>
  </conditionalFormatting>
  <conditionalFormatting sqref="AA4:AA11">
    <cfRule type="expression" dxfId="1640" priority="75">
      <formula>ABS(AA$7-AA$10)&gt;=1000</formula>
    </cfRule>
  </conditionalFormatting>
  <conditionalFormatting sqref="AB4:AB11">
    <cfRule type="expression" dxfId="1639" priority="74">
      <formula>ABS(AB$7-AB$10)&gt;=1000</formula>
    </cfRule>
  </conditionalFormatting>
  <conditionalFormatting sqref="AC4 AC6:AC11">
    <cfRule type="expression" dxfId="1638" priority="73">
      <formula>ABS(AC$7-AC$10)&gt;=1000</formula>
    </cfRule>
  </conditionalFormatting>
  <conditionalFormatting sqref="AD4:AD11">
    <cfRule type="expression" dxfId="1637" priority="72">
      <formula>ABS(AD$7-AD$10)&gt;=1000</formula>
    </cfRule>
  </conditionalFormatting>
  <conditionalFormatting sqref="AE4 AE6:AE11">
    <cfRule type="expression" dxfId="1636" priority="71">
      <formula>ABS(AE$7-AE$10)&gt;=1000</formula>
    </cfRule>
  </conditionalFormatting>
  <conditionalFormatting sqref="D13:D20">
    <cfRule type="expression" dxfId="1635" priority="70">
      <formula>ABS(D$16-D$19)&gt;=1000</formula>
    </cfRule>
  </conditionalFormatting>
  <conditionalFormatting sqref="E13:E20">
    <cfRule type="expression" dxfId="1634" priority="69">
      <formula>ABS(E$16-E$19)&gt;=1000</formula>
    </cfRule>
  </conditionalFormatting>
  <conditionalFormatting sqref="F13 F15:F20">
    <cfRule type="expression" dxfId="1633" priority="68">
      <formula>ABS(F$16-F$19)&gt;=1000</formula>
    </cfRule>
  </conditionalFormatting>
  <conditionalFormatting sqref="G13:G20">
    <cfRule type="expression" dxfId="1632" priority="67">
      <formula>ABS(G$16-G$19)&gt;=1000</formula>
    </cfRule>
  </conditionalFormatting>
  <conditionalFormatting sqref="H13:H20">
    <cfRule type="expression" dxfId="1631" priority="66">
      <formula>ABS(H$16-H$19)&gt;=1000</formula>
    </cfRule>
  </conditionalFormatting>
  <conditionalFormatting sqref="I13:I20">
    <cfRule type="expression" dxfId="1630" priority="65">
      <formula>ABS(I$16-I$19)&gt;=1000</formula>
    </cfRule>
  </conditionalFormatting>
  <conditionalFormatting sqref="J13:J20">
    <cfRule type="expression" dxfId="1629" priority="64">
      <formula>ABS(J$16-J$19)&gt;=1000</formula>
    </cfRule>
  </conditionalFormatting>
  <conditionalFormatting sqref="L13:L20">
    <cfRule type="expression" dxfId="1628" priority="63">
      <formula>ABS(L$16-L$19)&gt;=1000</formula>
    </cfRule>
  </conditionalFormatting>
  <conditionalFormatting sqref="M13 M15 M17:M18 M20">
    <cfRule type="expression" dxfId="1627" priority="62">
      <formula>ABS(M$16-M$19)&gt;=1000</formula>
    </cfRule>
  </conditionalFormatting>
  <conditionalFormatting sqref="N13:N20">
    <cfRule type="expression" dxfId="1626" priority="61">
      <formula>ABS(N$16-N$19)&gt;=1000</formula>
    </cfRule>
  </conditionalFormatting>
  <conditionalFormatting sqref="O13:O20">
    <cfRule type="expression" dxfId="1625" priority="60">
      <formula>ABS(O$16-O$19)&gt;=1000</formula>
    </cfRule>
  </conditionalFormatting>
  <conditionalFormatting sqref="P13:P20">
    <cfRule type="expression" dxfId="1624" priority="59">
      <formula>ABS(P$16-P$19)&gt;=1000</formula>
    </cfRule>
  </conditionalFormatting>
  <conditionalFormatting sqref="Q13 Q15:Q20">
    <cfRule type="expression" dxfId="1623" priority="58">
      <formula>ABS(Q$16-Q$19)&gt;=1000</formula>
    </cfRule>
  </conditionalFormatting>
  <conditionalFormatting sqref="R13:R20">
    <cfRule type="expression" dxfId="1622" priority="57">
      <formula>ABS(R$16-R$19)&gt;=1000</formula>
    </cfRule>
  </conditionalFormatting>
  <conditionalFormatting sqref="S13:S20">
    <cfRule type="expression" dxfId="1621" priority="56">
      <formula>ABS(S$16-S$19)&gt;=1000</formula>
    </cfRule>
  </conditionalFormatting>
  <conditionalFormatting sqref="T13:T20">
    <cfRule type="expression" dxfId="1620" priority="55">
      <formula>ABS(T$16-T$19)&gt;=1000</formula>
    </cfRule>
  </conditionalFormatting>
  <conditionalFormatting sqref="U13:U20">
    <cfRule type="expression" dxfId="1619" priority="54">
      <formula>ABS(U$16-U$19)&gt;=1000</formula>
    </cfRule>
  </conditionalFormatting>
  <conditionalFormatting sqref="V13:V20">
    <cfRule type="expression" dxfId="1618" priority="53">
      <formula>ABS(V$16-V$19)&gt;=1000</formula>
    </cfRule>
  </conditionalFormatting>
  <conditionalFormatting sqref="W13 W20 W15:W18">
    <cfRule type="expression" dxfId="1617" priority="52">
      <formula>ABS(W$16-W$19)&gt;=1000</formula>
    </cfRule>
  </conditionalFormatting>
  <conditionalFormatting sqref="X13 X15:X20 Y19">
    <cfRule type="expression" dxfId="1616" priority="51">
      <formula>ABS(X$16-X$19)&gt;=1000</formula>
    </cfRule>
  </conditionalFormatting>
  <conditionalFormatting sqref="Y13 Y15:Y18 Y20">
    <cfRule type="expression" dxfId="1615" priority="50">
      <formula>ABS(Y$16-Y$19)&gt;=1000</formula>
    </cfRule>
  </conditionalFormatting>
  <conditionalFormatting sqref="Z13:Z20">
    <cfRule type="expression" dxfId="1614" priority="49">
      <formula>ABS(Z$16-Z$19)&gt;=1000</formula>
    </cfRule>
  </conditionalFormatting>
  <conditionalFormatting sqref="AA13:AA20">
    <cfRule type="expression" dxfId="1613" priority="48">
      <formula>ABS(AA$16-AA$19)&gt;=1000</formula>
    </cfRule>
  </conditionalFormatting>
  <conditionalFormatting sqref="AB13 AB15:AB20">
    <cfRule type="expression" dxfId="1612" priority="47">
      <formula>ABS(AB$16-AB$19)&gt;=1000</formula>
    </cfRule>
  </conditionalFormatting>
  <conditionalFormatting sqref="AC13 AC15:AC20">
    <cfRule type="expression" dxfId="1611" priority="46">
      <formula>ABS(AC$16-AC$19)&gt;=1000</formula>
    </cfRule>
  </conditionalFormatting>
  <conditionalFormatting sqref="AD13:AD20">
    <cfRule type="expression" dxfId="1610" priority="45">
      <formula>ABS(AD$16-AD$19)&gt;=1000</formula>
    </cfRule>
  </conditionalFormatting>
  <conditionalFormatting sqref="AE13:AE20">
    <cfRule type="expression" dxfId="1609" priority="44">
      <formula>ABS(AE$16-AE$19)&gt;=1000</formula>
    </cfRule>
  </conditionalFormatting>
  <conditionalFormatting sqref="D22:D29">
    <cfRule type="expression" dxfId="1608" priority="43">
      <formula>ABS(D$25-D$28)&gt;=1000</formula>
    </cfRule>
  </conditionalFormatting>
  <conditionalFormatting sqref="E22:E29">
    <cfRule type="expression" dxfId="1607" priority="42">
      <formula>ABS(E$25-E$28)&gt;=1000</formula>
    </cfRule>
  </conditionalFormatting>
  <conditionalFormatting sqref="F22:F29">
    <cfRule type="expression" dxfId="1606" priority="41">
      <formula>ABS(F$25-F$28)&gt;=1000</formula>
    </cfRule>
  </conditionalFormatting>
  <conditionalFormatting sqref="G22:G29">
    <cfRule type="expression" dxfId="1605" priority="40">
      <formula>ABS(G$25-G$28)&gt;=1000</formula>
    </cfRule>
  </conditionalFormatting>
  <conditionalFormatting sqref="H22:H29">
    <cfRule type="expression" dxfId="1604" priority="39">
      <formula>ABS(H$25-H$28)&gt;=1000</formula>
    </cfRule>
  </conditionalFormatting>
  <conditionalFormatting sqref="I22 I24:I29">
    <cfRule type="expression" dxfId="1603" priority="38">
      <formula>ABS(I$25-I$28)&gt;=1000</formula>
    </cfRule>
  </conditionalFormatting>
  <conditionalFormatting sqref="J22:J29 K22">
    <cfRule type="expression" dxfId="1602" priority="37">
      <formula>ABS(J$25-J$28)&gt;=1000</formula>
    </cfRule>
  </conditionalFormatting>
  <conditionalFormatting sqref="K23:K29 L25 L28">
    <cfRule type="expression" dxfId="1601" priority="36">
      <formula>ABS(K$25-K$28)&gt;=1000</formula>
    </cfRule>
  </conditionalFormatting>
  <conditionalFormatting sqref="L22 L26:L27 L29 L24">
    <cfRule type="expression" dxfId="1600" priority="35">
      <formula>ABS(L$25-L$28)&gt;=1000</formula>
    </cfRule>
  </conditionalFormatting>
  <conditionalFormatting sqref="M22:M29">
    <cfRule type="expression" dxfId="1599" priority="34">
      <formula>ABS(M$25-M$28)&gt;=1000</formula>
    </cfRule>
  </conditionalFormatting>
  <conditionalFormatting sqref="N22:N29">
    <cfRule type="expression" dxfId="1598" priority="33">
      <formula>ABS(N$25-N$28)&gt;=1000</formula>
    </cfRule>
  </conditionalFormatting>
  <conditionalFormatting sqref="O22:O29">
    <cfRule type="expression" dxfId="1597" priority="32">
      <formula>ABS(O$25-O$28)&gt;=1000</formula>
    </cfRule>
  </conditionalFormatting>
  <conditionalFormatting sqref="P22:P29">
    <cfRule type="expression" dxfId="1596" priority="31">
      <formula>ABS(P$25-P$28)&gt;=1000</formula>
    </cfRule>
  </conditionalFormatting>
  <conditionalFormatting sqref="Q22:Q29">
    <cfRule type="expression" dxfId="1595" priority="30">
      <formula>ABS(Q$25-Q$28)&gt;=1000</formula>
    </cfRule>
  </conditionalFormatting>
  <conditionalFormatting sqref="R22:R29">
    <cfRule type="expression" dxfId="1594" priority="29">
      <formula>ABS(R$25-R$28)&gt;=1000</formula>
    </cfRule>
  </conditionalFormatting>
  <conditionalFormatting sqref="S22:S29">
    <cfRule type="expression" dxfId="1593" priority="28">
      <formula>ABS(S$25-S$28)&gt;=1000</formula>
    </cfRule>
  </conditionalFormatting>
  <conditionalFormatting sqref="T22:T29">
    <cfRule type="expression" dxfId="1592" priority="27">
      <formula>ABS(T$25-T$28)&gt;=1000</formula>
    </cfRule>
  </conditionalFormatting>
  <conditionalFormatting sqref="U22:U29">
    <cfRule type="expression" dxfId="1591" priority="26">
      <formula>ABS(U$25-U$28)&gt;=1000</formula>
    </cfRule>
  </conditionalFormatting>
  <conditionalFormatting sqref="V22:V29">
    <cfRule type="expression" dxfId="1590" priority="25">
      <formula>ABS(V$25-V$28)&gt;=1000</formula>
    </cfRule>
  </conditionalFormatting>
  <conditionalFormatting sqref="W22:W29">
    <cfRule type="expression" dxfId="1589" priority="24">
      <formula>ABS(W$25-W$28)&gt;=1000</formula>
    </cfRule>
  </conditionalFormatting>
  <conditionalFormatting sqref="X22:X29">
    <cfRule type="expression" dxfId="1588" priority="23">
      <formula>ABS(X$25-X$28)&gt;=1000</formula>
    </cfRule>
  </conditionalFormatting>
  <conditionalFormatting sqref="Y22:Y29">
    <cfRule type="expression" dxfId="1587" priority="22">
      <formula>ABS(Y$25-Y$28)&gt;=1000</formula>
    </cfRule>
  </conditionalFormatting>
  <conditionalFormatting sqref="I23">
    <cfRule type="expression" dxfId="1586" priority="21">
      <formula>ABS(I$25-I$28)&gt;=1000</formula>
    </cfRule>
  </conditionalFormatting>
  <conditionalFormatting sqref="Q14">
    <cfRule type="expression" dxfId="1585" priority="20">
      <formula>ABS(Q$16-Q$19)&gt;=1000</formula>
    </cfRule>
  </conditionalFormatting>
  <conditionalFormatting sqref="W14">
    <cfRule type="expression" dxfId="1584" priority="19">
      <formula>ABS(W$16-W$19)&gt;=1000</formula>
    </cfRule>
  </conditionalFormatting>
  <conditionalFormatting sqref="Y14">
    <cfRule type="expression" dxfId="1583" priority="18">
      <formula>ABS(Y$16-Y$19)&gt;=1000</formula>
    </cfRule>
  </conditionalFormatting>
  <conditionalFormatting sqref="X14">
    <cfRule type="expression" dxfId="1582" priority="17">
      <formula>ABS(X$16-X$19)&gt;=1000</formula>
    </cfRule>
  </conditionalFormatting>
  <conditionalFormatting sqref="T10:Y10">
    <cfRule type="expression" dxfId="1581" priority="16">
      <formula>ABS(T$7-T$10)&gt;=1000</formula>
    </cfRule>
  </conditionalFormatting>
  <conditionalFormatting sqref="W19">
    <cfRule type="expression" dxfId="1580" priority="15">
      <formula>ABS(W$16-W$19)&gt;=1000</formula>
    </cfRule>
  </conditionalFormatting>
  <conditionalFormatting sqref="AC5">
    <cfRule type="expression" dxfId="1579" priority="14">
      <formula>ABS(AC$7-AC$10)&gt;=1000</formula>
    </cfRule>
  </conditionalFormatting>
  <conditionalFormatting sqref="M14">
    <cfRule type="expression" dxfId="1578" priority="13">
      <formula>ABS(M$16-M$19)&gt;=1000</formula>
    </cfRule>
  </conditionalFormatting>
  <conditionalFormatting sqref="M16">
    <cfRule type="expression" dxfId="1577" priority="12">
      <formula>ABS(M$16-M$19)&gt;=1000</formula>
    </cfRule>
  </conditionalFormatting>
  <conditionalFormatting sqref="M19">
    <cfRule type="expression" dxfId="1576" priority="11">
      <formula>ABS(M$16-M$19)&gt;=1000</formula>
    </cfRule>
  </conditionalFormatting>
  <conditionalFormatting sqref="K13:K20">
    <cfRule type="expression" dxfId="1575" priority="10">
      <formula>ABS(K$16-K$19)&gt;=1000</formula>
    </cfRule>
  </conditionalFormatting>
  <conditionalFormatting sqref="E5">
    <cfRule type="expression" dxfId="1574" priority="9">
      <formula>ABS(E$7-E$10)&gt;=1000</formula>
    </cfRule>
  </conditionalFormatting>
  <conditionalFormatting sqref="AB14:AC14">
    <cfRule type="expression" dxfId="1573" priority="8">
      <formula>ABS(AB$16-AB$19)&gt;=1000</formula>
    </cfRule>
  </conditionalFormatting>
  <conditionalFormatting sqref="M5">
    <cfRule type="expression" dxfId="1572" priority="7">
      <formula>ABS(M$7-M$10)&gt;=1000</formula>
    </cfRule>
  </conditionalFormatting>
  <conditionalFormatting sqref="N5">
    <cfRule type="expression" dxfId="1571" priority="6">
      <formula>ABS(N$7-N$10)&gt;=1000</formula>
    </cfRule>
  </conditionalFormatting>
  <conditionalFormatting sqref="O5">
    <cfRule type="expression" dxfId="1570" priority="5">
      <formula>ABS(O$7-O$10)&gt;=1000</formula>
    </cfRule>
  </conditionalFormatting>
  <conditionalFormatting sqref="P5">
    <cfRule type="expression" dxfId="1569" priority="4">
      <formula>ABS(P$7-P$10)&gt;=1000</formula>
    </cfRule>
  </conditionalFormatting>
  <conditionalFormatting sqref="L23">
    <cfRule type="expression" dxfId="1568" priority="3">
      <formula>ABS(L$25-L$28)&gt;=1000</formula>
    </cfRule>
  </conditionalFormatting>
  <conditionalFormatting sqref="F14">
    <cfRule type="expression" dxfId="1567" priority="2">
      <formula>ABS(F$16-F$19)&gt;=1000</formula>
    </cfRule>
  </conditionalFormatting>
  <conditionalFormatting sqref="AE5">
    <cfRule type="expression" dxfId="156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29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3">
    <pageSetUpPr fitToPage="1"/>
  </sheetPr>
  <dimension ref="A1:CU223"/>
  <sheetViews>
    <sheetView view="pageBreakPreview" topLeftCell="A12" zoomScale="80" zoomScaleNormal="100" zoomScaleSheetLayoutView="80" workbookViewId="0">
      <selection activeCell="Q8" sqref="Q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45945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5336</v>
      </c>
      <c r="E6" s="71">
        <v>3042</v>
      </c>
      <c r="F6" s="71">
        <v>5183</v>
      </c>
      <c r="G6" s="71">
        <v>6538</v>
      </c>
      <c r="H6" s="71">
        <v>1752</v>
      </c>
      <c r="I6" s="71">
        <v>0.05</v>
      </c>
      <c r="J6" s="71">
        <v>7</v>
      </c>
      <c r="K6" s="71">
        <v>7.28</v>
      </c>
      <c r="L6" s="71">
        <v>41.25</v>
      </c>
      <c r="M6" s="71">
        <v>1449</v>
      </c>
      <c r="N6" s="71">
        <v>3823</v>
      </c>
      <c r="O6" s="71">
        <v>1014</v>
      </c>
      <c r="P6" s="71">
        <v>4187</v>
      </c>
      <c r="Q6" s="71">
        <v>5160</v>
      </c>
      <c r="R6" s="71">
        <v>4383</v>
      </c>
      <c r="S6" s="71">
        <v>2998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4277</v>
      </c>
      <c r="AA6" s="71">
        <v>558</v>
      </c>
      <c r="AB6" s="71">
        <v>1635</v>
      </c>
      <c r="AC6" s="71">
        <v>3506</v>
      </c>
      <c r="AD6" s="71">
        <v>4350</v>
      </c>
      <c r="AE6" s="71">
        <v>3590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167136.48215784002</v>
      </c>
      <c r="E7" s="73" ph="1">
        <f>E6*51.53*LOOKUP(E8,密度!$A$2:$A$50,密度!$B$2:$B$50)</f>
        <v>121672.65661200001</v>
      </c>
      <c r="F7" s="73" ph="1">
        <f>F6*33.183*LOOKUP(F8,密度!$A$2:$A$50,密度!$C$2:$C$50)</f>
        <v>190321.3553274</v>
      </c>
      <c r="G7" s="73" ph="1">
        <f xml:space="preserve"> (G6+2)*51.53*LOOKUP(G8,密度!$A$2:$A$50,密度!$B$2:$B$50)</f>
        <v>261853.81740000003</v>
      </c>
      <c r="H7" s="73" ph="1">
        <f>(H6)*51.53*LOOKUP(H8,密度!$A$2:$A$50,密度!$B$2:$B$50)</f>
        <v>70545.229584000001</v>
      </c>
      <c r="I7" s="73" ph="1">
        <f>I6*290.8*1.0267</f>
        <v>14.928217999999999</v>
      </c>
      <c r="J7" s="73" ph="1">
        <f>J6*290.8*0.7892</f>
        <v>1606.4955200000002</v>
      </c>
      <c r="K7" s="73" ph="1">
        <f>K6*290.8*1.1126</f>
        <v>2355.4009024000006</v>
      </c>
      <c r="L7" s="73" ph="1">
        <f>L6*290.8*0.777</f>
        <v>9320.5035000000007</v>
      </c>
      <c r="M7" s="73" ph="1">
        <f>M6*33.183*LOOKUP(M8,密度!$A$2:$A$50,密度!$D$2:$D$50)</f>
        <v>49231.330791300003</v>
      </c>
      <c r="N7" s="73" ph="1">
        <f>N6*33.183*LOOKUP(N8,密度!$A$2:$A$50,密度!$E$2:$E$50)</f>
        <v>98645.254358399994</v>
      </c>
      <c r="O7" s="73" ph="1">
        <f>O6*20.428*LOOKUP(O8,密度!$A$2:$A$50,密度!$C$2:$C$50)</f>
        <v>22891.032559200001</v>
      </c>
      <c r="P7" s="73" ph="1">
        <f>P6*51.53*LOOKUP(P8,密度!$A$2:$A$50,密度!$B$2:$B$50)</f>
        <v>167642.49747000003</v>
      </c>
      <c r="Q7" s="73" ph="1">
        <f>Q6*1.5*1.5*3.1416*LOOKUP(W8,密度!$A$2:$A$50,密度!$L$2:$L$50)</f>
        <v>34103.167560000002</v>
      </c>
      <c r="R7" s="73" ph="1">
        <f>R6*1.5*1.5*3.1416*LOOKUP(R8,密度!$A$2:$A$50,密度!$L$2:$L$50)</f>
        <v>28812.956634000002</v>
      </c>
      <c r="S7" s="73" ph="1">
        <f>S6*1.5*1.5*3.1416*LOOKUP(S8,密度!$A$2:$A$50,密度!$L$2:$L$50)</f>
        <v>19877.779706399997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132982.498467</v>
      </c>
      <c r="AA7" s="73" ph="1">
        <f>AA6*33.183*LOOKUP(AA8,密度!$A$2:$A$50,密度!$D$2:$D$50)</f>
        <v>18975.313627200001</v>
      </c>
      <c r="AB7" s="73" ph="1">
        <f>AB6*20.428*LOOKUP(AB8,密度!$A$2:$A$50,密度!$D$2:$D$50)</f>
        <v>34385.073510000002</v>
      </c>
      <c r="AC7" s="73" ph="1">
        <f>AC6*51.53*LOOKUP(AC8,密度!$A$2:$A$50,密度!$Q$2:$Q$50)</f>
        <v>171042.00577319998</v>
      </c>
      <c r="AD7" s="73" ph="1">
        <f>AD6*20.428*LOOKUP(AD8,密度!$A$2:$A$50,密度!$V$2:$V$50)</f>
        <v>85094.059680000006</v>
      </c>
      <c r="AE7" s="73" ph="1">
        <f>AE6*20.428</f>
        <v>73336.52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28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30</v>
      </c>
      <c r="P8" s="74">
        <v>28</v>
      </c>
      <c r="Q8" s="74">
        <v>28</v>
      </c>
      <c r="R8" s="74">
        <v>32</v>
      </c>
      <c r="S8" s="74">
        <v>24</v>
      </c>
      <c r="T8" s="74">
        <v>22</v>
      </c>
      <c r="U8" s="74">
        <v>27</v>
      </c>
      <c r="V8" s="74">
        <v>28</v>
      </c>
      <c r="W8" s="74">
        <v>27</v>
      </c>
      <c r="X8" s="74">
        <v>18</v>
      </c>
      <c r="Y8" s="74">
        <v>26</v>
      </c>
      <c r="Z8" s="74">
        <v>25</v>
      </c>
      <c r="AA8" s="74">
        <v>27</v>
      </c>
      <c r="AB8" s="74">
        <v>22</v>
      </c>
      <c r="AC8" s="74">
        <v>25</v>
      </c>
      <c r="AD8" s="74">
        <v>28</v>
      </c>
      <c r="AE8" s="74">
        <v>29</v>
      </c>
    </row>
    <row r="9" spans="1:99" ht="26.4" ph="1">
      <c r="B9" s="241" ph="1">
        <v>0.66666666666666663</v>
      </c>
      <c r="C9" s="156" t="s" ph="1">
        <v>180</v>
      </c>
      <c r="D9" s="71">
        <v>4964</v>
      </c>
      <c r="E9" s="71">
        <v>2719</v>
      </c>
      <c r="F9" s="71">
        <v>5186</v>
      </c>
      <c r="G9" s="71">
        <v>6541</v>
      </c>
      <c r="H9" s="71">
        <v>2631</v>
      </c>
      <c r="I9" s="71">
        <v>0.04</v>
      </c>
      <c r="J9" s="71">
        <v>7.07</v>
      </c>
      <c r="K9" s="71">
        <v>7.35</v>
      </c>
      <c r="L9" s="71">
        <v>34.29</v>
      </c>
      <c r="M9" s="71">
        <v>1448</v>
      </c>
      <c r="N9" s="71">
        <v>3825</v>
      </c>
      <c r="O9" s="71">
        <v>103</v>
      </c>
      <c r="P9" s="71">
        <v>4092</v>
      </c>
      <c r="Q9" s="71">
        <v>183</v>
      </c>
      <c r="R9" s="71">
        <v>6899</v>
      </c>
      <c r="S9" s="71">
        <v>4512</v>
      </c>
      <c r="T9" s="71">
        <v>2095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1226</v>
      </c>
      <c r="AA9" s="71">
        <v>558</v>
      </c>
      <c r="AB9" s="71">
        <v>1509</v>
      </c>
      <c r="AC9" s="71">
        <v>3853</v>
      </c>
      <c r="AD9" s="71">
        <v>4350</v>
      </c>
      <c r="AE9" s="71">
        <v>3311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155385.70625196001</v>
      </c>
      <c r="E10" s="73" ph="1">
        <f>E9*51.53*LOOKUP(E11,密度!$A$2:$A$50,密度!$B$2:$B$50)</f>
        <v>108375.13914499999</v>
      </c>
      <c r="F10" s="73" ph="1">
        <f>F9*33.183*LOOKUP(F11,密度!$A$2:$A$50,密度!$C$2:$C$50)</f>
        <v>190431.51625079999</v>
      </c>
      <c r="G10" s="73" ph="1">
        <f xml:space="preserve"> (G9+2)*51.53*LOOKUP(G11,密度!$A$2:$A$50,密度!$B$2:$B$50)</f>
        <v>261400.76048699999</v>
      </c>
      <c r="H10" s="73" ph="1">
        <f>(H9)*51.53*LOOKUP(H11,密度!$A$2:$A$50,密度!$B$2:$B$50)</f>
        <v>105464.126997</v>
      </c>
      <c r="I10" s="73" ph="1">
        <f>I9*290.8*1.0267</f>
        <v>11.942574400000002</v>
      </c>
      <c r="J10" s="73" ph="1">
        <f>J9*290.8*0.7892</f>
        <v>1622.5604752000002</v>
      </c>
      <c r="K10" s="73" ph="1">
        <f>K9*290.8*1.1126</f>
        <v>2378.048988</v>
      </c>
      <c r="L10" s="73" ph="1">
        <f>L9*290.8*0.777</f>
        <v>7747.8803639999996</v>
      </c>
      <c r="M10" s="73" ph="1">
        <f>M9*33.183*LOOKUP(M11,密度!$A$2:$A$50,密度!$D$2:$D$50)</f>
        <v>49062.817562399992</v>
      </c>
      <c r="N10" s="73" ph="1">
        <f>N9*33.183*LOOKUP(N11,密度!$A$2:$A$50,密度!$E$2:$E$50)</f>
        <v>98550.896838750006</v>
      </c>
      <c r="O10" s="73" ph="1">
        <f>O9*20.428*LOOKUP(O11,密度!$A$2:$A$50,密度!$C$2:$C$50)</f>
        <v>2305.4448388000001</v>
      </c>
      <c r="P10" s="73" ph="1">
        <f>P9*51.53*LOOKUP(P11,密度!$A$2:$A$50,密度!$B$2:$B$50)</f>
        <v>163100.79785999999</v>
      </c>
      <c r="Q10" s="73" ph="1">
        <f>Q9*1.5*1.5*3.1416*LOOKUP(W11,密度!$A$2:$A$50,密度!$L$2:$L$50)</f>
        <v>1195.2437112</v>
      </c>
      <c r="R10" s="73" ph="1">
        <f>R9*1.5*1.5*3.1416*LOOKUP(R11,密度!$A$2:$A$50,密度!$L$2:$L$50)</f>
        <v>45255.099859200003</v>
      </c>
      <c r="S10" s="73" ph="1">
        <f>S9*1.5*1.5*3.1416*LOOKUP(S11,密度!$A$2:$A$50,密度!$L$2:$L$50)</f>
        <v>29884.2312384</v>
      </c>
      <c r="T10" s="73" ph="1">
        <f>T9*1.5*1.5*3.1416*LOOKUP(T11,密度!$A$2:$A$50,密度!$L$2:$L$50)</f>
        <v>13905.385263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38078.687087999999</v>
      </c>
      <c r="AA10" s="73" ph="1">
        <f>AA9*33.183*LOOKUP(AA11,密度!$A$2:$A$50,密度!$D$2:$D$50)</f>
        <v>18890.139502800001</v>
      </c>
      <c r="AB10" s="73" ph="1">
        <f>AB9*20.428*LOOKUP(AB11,密度!$A$2:$A$50,密度!$D$2:$D$50)</f>
        <v>31676.645515200005</v>
      </c>
      <c r="AC10" s="73" ph="1">
        <f>AC9*51.53*LOOKUP(AC11,密度!$A$2:$A$50,密度!$Q$2:$Q$50)</f>
        <v>187412.66680370001</v>
      </c>
      <c r="AD10" s="73" ph="1">
        <f>AD9*20.428*LOOKUP(AD11,密度!$A$2:$A$50,密度!$V$2:$V$50)</f>
        <v>85094.059680000006</v>
      </c>
      <c r="AE10" s="73" ph="1">
        <f>AE9*20.428</f>
        <v>67637.108000000007</v>
      </c>
    </row>
    <row r="11" spans="1:99" ph="1">
      <c r="A11" s="64" t="s" ph="1">
        <v>162</v>
      </c>
      <c r="B11" s="241" ph="1"/>
      <c r="C11" s="156" t="s" ph="1">
        <v>179</v>
      </c>
      <c r="D11" s="74">
        <v>30</v>
      </c>
      <c r="E11" s="74">
        <v>32</v>
      </c>
      <c r="F11" s="74">
        <v>28</v>
      </c>
      <c r="G11" s="74">
        <v>30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39</v>
      </c>
      <c r="P11" s="74">
        <v>32</v>
      </c>
      <c r="Q11" s="74">
        <v>35</v>
      </c>
      <c r="R11" s="74">
        <v>34</v>
      </c>
      <c r="S11" s="74">
        <v>25</v>
      </c>
      <c r="T11" s="74">
        <v>23</v>
      </c>
      <c r="U11" s="74">
        <v>30</v>
      </c>
      <c r="V11" s="74">
        <v>28</v>
      </c>
      <c r="W11" s="74">
        <v>38</v>
      </c>
      <c r="X11" s="74">
        <v>30</v>
      </c>
      <c r="Y11" s="74">
        <v>32</v>
      </c>
      <c r="Z11" s="74">
        <v>26</v>
      </c>
      <c r="AA11" s="74">
        <v>32</v>
      </c>
      <c r="AB11" s="74">
        <v>24</v>
      </c>
      <c r="AC11" s="74">
        <v>29</v>
      </c>
      <c r="AD11" s="74">
        <v>30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2664</v>
      </c>
      <c r="E15" s="78">
        <v>68</v>
      </c>
      <c r="F15" s="78">
        <v>2583</v>
      </c>
      <c r="G15" s="78">
        <v>4124</v>
      </c>
      <c r="H15" s="78">
        <v>1967</v>
      </c>
      <c r="I15" s="78">
        <v>2670</v>
      </c>
      <c r="J15" s="78">
        <v>1399</v>
      </c>
      <c r="K15" s="78">
        <v>3577</v>
      </c>
      <c r="L15" s="78">
        <v>5846</v>
      </c>
      <c r="M15" s="78">
        <v>6992</v>
      </c>
      <c r="N15" s="78">
        <v>904</v>
      </c>
      <c r="O15" s="78">
        <v>940</v>
      </c>
      <c r="P15" s="78">
        <v>5888</v>
      </c>
      <c r="Q15" s="78">
        <v>1645</v>
      </c>
      <c r="R15" s="78">
        <v>-10</v>
      </c>
      <c r="S15" s="78">
        <v>6226</v>
      </c>
      <c r="T15" s="78">
        <v>1078</v>
      </c>
      <c r="U15" s="78">
        <v>6244</v>
      </c>
      <c r="V15" s="78">
        <v>850</v>
      </c>
      <c r="W15" s="71">
        <v>-817</v>
      </c>
      <c r="X15" s="78">
        <v>868</v>
      </c>
      <c r="Y15" s="106">
        <v>-2364</v>
      </c>
      <c r="Z15" s="78">
        <v>0</v>
      </c>
      <c r="AA15" s="78">
        <v>8</v>
      </c>
      <c r="AB15" s="78" ph="1">
        <v>1099</v>
      </c>
      <c r="AC15" s="78" ph="1">
        <v>2155</v>
      </c>
      <c r="AD15" s="78">
        <v>12.12</v>
      </c>
      <c r="AE15" s="78">
        <v>85.03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17550.259372800003</v>
      </c>
      <c r="E16" s="73" ph="1">
        <f>E15*7.0686*LOOKUP(E17,密度!$A$2:$A$50,密度!$L$2:$L$50)</f>
        <v>447.97959360000004</v>
      </c>
      <c r="F16" s="73" ph="1">
        <f>F15*9.0746*LOOKUP(F17,密度!$A$2:$A$50,密度!$L$2:$L$50)</f>
        <v>21869.232449400002</v>
      </c>
      <c r="G16" s="73" ph="1">
        <f>G15*9.0746*LOOKUP(G17,密度!$A$2:$A$50,密度!$B$2:$B$50)</f>
        <v>29111.857646159999</v>
      </c>
      <c r="H16" s="73" ph="1">
        <f>H15*9.0746*LOOKUP(H17,密度!$A$2:$A$50,密度!$L$2:$L$50)</f>
        <v>16725.204693399999</v>
      </c>
      <c r="I16" s="73" ph="1">
        <f>I15*9.0746*LOOKUP(I17,密度!$A$2:$A$50,密度!$U$2:$U$50)</f>
        <v>24810.682368000002</v>
      </c>
      <c r="J16" s="73" ph="1">
        <f>J15*9.0746*LOOKUP(J17,密度!$A$2:$A$50,密度!$L$2:$L$50)</f>
        <v>11857.471283600002</v>
      </c>
      <c r="K16" s="73" ph="1">
        <f>K15*9.0746*LOOKUP(K17,密度!$A$2:$A$50,密度!$C$2:$C$50)</f>
        <v>35920.063591719998</v>
      </c>
      <c r="L16" s="73" ph="1">
        <f>L15*9.0746*LOOKUP(L17,密度!$A$2:$A$50,密度!$E$2:$E$50)</f>
        <v>41251.766780160004</v>
      </c>
      <c r="M16" s="73" ph="1">
        <f>M15*9.0746*LOOKUP(M17,密度!$A$2:$A$50,密度!$M$2:$M$50)</f>
        <v>55194.809823680007</v>
      </c>
      <c r="N16" s="73" ph="1">
        <f>N15*9.0746*LOOKUP(N17,密度!$A$2:$A$50,密度!$M$2:$M$50)</f>
        <v>7178.8289438400006</v>
      </c>
      <c r="O16" s="73" ph="1">
        <f>O15*9.0746*LOOKUP(O17,密度!$A$2:$A$50,密度!$G$2:$G$50)</f>
        <v>8171.8587919999991</v>
      </c>
      <c r="P16" s="73" ph="1">
        <f ca="1">P15*9.0746*LOOKUP(P17,密度!$A$2:$A$51,密度!$Q$2:$Q$50)</f>
        <v>50403.296157183999</v>
      </c>
      <c r="Q16" s="73" ph="1">
        <f>Q15*9.0746*LOOKUP(Q17,密度!$A$2:$A$50,密度!$Q$2:$Q$50)</f>
        <v>14081.76327761</v>
      </c>
      <c r="R16" s="73" ph="1">
        <f>MAX(R15*9.0746*LOOKUP(R17,密度!$A$2:$A$50,密度!$B$2:$B$50),0)</f>
        <v>0</v>
      </c>
      <c r="S16" s="73" ph="1">
        <f>S15*9.0746*LOOKUP(S17,密度!$A$2:$A$50,密度!$Q$2:$Q$50)</f>
        <v>53296.691894468</v>
      </c>
      <c r="T16" s="73" ph="1">
        <f>T15*9.0746*LOOKUP(T17,密度!$A$2:$A$50,密度!$O$2:$O$50)</f>
        <v>9058.5198087999997</v>
      </c>
      <c r="U16" s="73" ph="1">
        <f>U15*9.0746*LOOKUP(U17,密度!$A$2:$A$50,密度!$H$2:$H$50)</f>
        <v>51726.559410960006</v>
      </c>
      <c r="V16" s="73" ph="1">
        <f>MAX(5600*LOOKUP(V17,密度!$A$2:$A$50,密度!$Q$2:$Q$50)+V15*9.0476*LOOKUP(V17,密度!$A$2:$A$50,密度!$Q$2:$Q$50),0)</f>
        <v>12554.4343252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13945.708194880001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56.596465279999997</v>
      </c>
      <c r="AB16" s="73" ph="1">
        <f>AB15*9.0746*LOOKUP(AB17,密度!$A$2:$A$50,密度!$L$2:$L$50)</f>
        <v>9334.7143343999996</v>
      </c>
      <c r="AC16" s="73" ph="1">
        <f>AC15*9.0746*LOOKUP(AC17,密度!$A$2:$A$50,密度!$L$2:$L$50)</f>
        <v>18284.638405000002</v>
      </c>
      <c r="AD16" s="73" ph="1">
        <f>AD15*268.68*LOOKUP(AD17,密度!$A$2:$A$50,密度!B2:B50)+IF(AD15&lt;=0,0,1566*LOOKUP(AD17,密度!$A$2:$A$50,密度!B2:B50))</f>
        <v>3759.5442873599995</v>
      </c>
      <c r="AE16" s="73" ph="1">
        <f>AE15*268.68*LOOKUP(AE17,密度!$A$2:$A$50,密度!B2:B50)+IF(AE15&lt;=0,0,1566*LOOKUP(AE17,密度!$A$2:$A$50,密度!B2:B50))</f>
        <v>19031.48636784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29</v>
      </c>
      <c r="G17" s="74">
        <v>27</v>
      </c>
      <c r="H17" s="74">
        <v>25</v>
      </c>
      <c r="I17" s="74">
        <v>26</v>
      </c>
      <c r="J17" s="74">
        <v>28</v>
      </c>
      <c r="K17" s="74">
        <v>28</v>
      </c>
      <c r="L17" s="74">
        <v>30</v>
      </c>
      <c r="M17" s="74">
        <v>30</v>
      </c>
      <c r="N17" s="74">
        <v>25</v>
      </c>
      <c r="O17" s="74">
        <v>27</v>
      </c>
      <c r="P17" s="74">
        <v>30</v>
      </c>
      <c r="Q17" s="74">
        <v>30</v>
      </c>
      <c r="R17" s="74">
        <v>27</v>
      </c>
      <c r="S17" s="74">
        <v>30</v>
      </c>
      <c r="T17" s="74">
        <v>26</v>
      </c>
      <c r="U17" s="74">
        <v>27</v>
      </c>
      <c r="V17" s="74">
        <v>28</v>
      </c>
      <c r="W17" s="74">
        <v>28</v>
      </c>
      <c r="X17" s="74">
        <v>30</v>
      </c>
      <c r="Y17" s="108">
        <v>30</v>
      </c>
      <c r="Z17" s="74">
        <v>27</v>
      </c>
      <c r="AA17" s="74">
        <v>25</v>
      </c>
      <c r="AB17" s="74">
        <v>26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617</v>
      </c>
      <c r="E18" s="71">
        <v>67</v>
      </c>
      <c r="F18" s="71">
        <v>2584</v>
      </c>
      <c r="G18" s="71">
        <v>4191</v>
      </c>
      <c r="H18" s="71">
        <v>1967</v>
      </c>
      <c r="I18" s="71">
        <v>2671</v>
      </c>
      <c r="J18" s="71">
        <v>1445</v>
      </c>
      <c r="K18" s="71">
        <v>3579</v>
      </c>
      <c r="L18" s="71">
        <v>5854</v>
      </c>
      <c r="M18" s="71">
        <v>7004</v>
      </c>
      <c r="N18" s="71">
        <v>4054</v>
      </c>
      <c r="O18" s="71">
        <v>940</v>
      </c>
      <c r="P18" s="71">
        <v>6287</v>
      </c>
      <c r="Q18" s="71">
        <v>1645</v>
      </c>
      <c r="R18" s="71">
        <v>0</v>
      </c>
      <c r="S18" s="71">
        <v>6230</v>
      </c>
      <c r="T18" s="71">
        <v>6641</v>
      </c>
      <c r="U18" s="71">
        <v>2318</v>
      </c>
      <c r="V18" s="71">
        <v>850</v>
      </c>
      <c r="W18" s="71">
        <v>-116</v>
      </c>
      <c r="X18" s="71">
        <v>866</v>
      </c>
      <c r="Y18" s="109">
        <v>-9908</v>
      </c>
      <c r="Z18" s="71">
        <v>0</v>
      </c>
      <c r="AA18" s="71">
        <v>7</v>
      </c>
      <c r="AB18" s="71">
        <v>1098</v>
      </c>
      <c r="AC18" s="71">
        <v>2157</v>
      </c>
      <c r="AD18" s="71">
        <v>51.72</v>
      </c>
      <c r="AE18" s="71">
        <v>84.67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4056.0333660000006</v>
      </c>
      <c r="E19" s="73" ph="1">
        <f>E18*7.0686*LOOKUP(E20,密度!$A$2:$A$50,密度!$L$2:$L$50)</f>
        <v>439.97086980000006</v>
      </c>
      <c r="F19" s="73" ph="1">
        <f>F18*9.0746*LOOKUP(F20,密度!$A$2:$A$50,密度!$L$2:$L$50)</f>
        <v>21830.801518400003</v>
      </c>
      <c r="G19" s="73" ph="1">
        <f>G18*9.0746*LOOKUP(G20,密度!$A$2:$A$50,密度!$B$2:$B$50)</f>
        <v>29550.5909622</v>
      </c>
      <c r="H19" s="73" ph="1">
        <f>H18*9.0746*LOOKUP(H20,密度!$A$2:$A$50,密度!$L$2:$L$50)</f>
        <v>16725.204693399999</v>
      </c>
      <c r="I19" s="73" ph="1">
        <f>I18*9.0746*LOOKUP(I20,密度!$A$2:$A$50,密度!$U$2:$U$50)</f>
        <v>24698.7834754</v>
      </c>
      <c r="J19" s="73" ph="1">
        <f>J18*9.0746*LOOKUP(J20,密度!$A$2:$A$50,密度!$L$2:$L$50)</f>
        <v>12194.901210000002</v>
      </c>
      <c r="K19" s="73" ph="1">
        <f>K18*9.0746*LOOKUP(K20,密度!$A$2:$A$50,密度!$C$2:$C$50)</f>
        <v>35891.430506339995</v>
      </c>
      <c r="L19" s="73" ph="1">
        <f>L18*9.0746*LOOKUP(L20,密度!$A$2:$A$50,密度!$E$2:$E$50)</f>
        <v>41308.218051839998</v>
      </c>
      <c r="M19" s="73" ph="1">
        <f>M18*9.0746*LOOKUP(M20,密度!$A$2:$A$50,密度!$M$2:$M$50)</f>
        <v>55090.599658168008</v>
      </c>
      <c r="N19" s="73" ph="1">
        <f>N18*9.0746*LOOKUP(N20,密度!$A$2:$A$50,密度!$M$2:$M$50)</f>
        <v>32042.721136400003</v>
      </c>
      <c r="O19" s="73" ph="1">
        <f>O18*9.0746*LOOKUP(O20,密度!$A$2:$A$50,密度!$G$2:$G$50)</f>
        <v>8135.2645600399992</v>
      </c>
      <c r="P19" s="73" ph="1">
        <f ca="1">P18*9.0746*LOOKUP(P20,密度!$A$2:$A$51,密度!$Q$2:$Q$50)</f>
        <v>53700.204600750003</v>
      </c>
      <c r="Q19" s="73" ph="1">
        <f>Q18*9.0746*LOOKUP(Q20,密度!$A$2:$A$50,密度!$Q$2:$Q$50)</f>
        <v>14060.416642300001</v>
      </c>
      <c r="R19" s="73" ph="1">
        <f>MAX(R18*9.0746*LOOKUP(R20,密度!$A$2:$A$50,密度!$B$2:$B$50),0)</f>
        <v>0</v>
      </c>
      <c r="S19" s="73" ph="1">
        <f>S18*9.0746*LOOKUP(S20,密度!$A$2:$A$50,密度!$Q$2:$Q$50)</f>
        <v>53288.53219564</v>
      </c>
      <c r="T19" s="73" ph="1">
        <f>T18*9.0746*LOOKUP(T20,密度!$A$2:$A$50,密度!$O$2:$O$50)</f>
        <v>55515.582414320008</v>
      </c>
      <c r="U19" s="73" ph="1">
        <f>U18*9.0746*LOOKUP(U20,密度!$A$2:$A$50,密度!$H$2:$H$50)</f>
        <v>19141.779748000001</v>
      </c>
      <c r="V19" s="73" ph="1">
        <f>MAX(5600*LOOKUP(V20,密度!$A$2:$A$50,密度!$Q$2:$Q$50)+V18*9.0476*LOOKUP(V20,密度!$A$2:$A$50,密度!$Q$2:$Q$50),0)</f>
        <v>12509.645474999999</v>
      </c>
      <c r="W19" s="73" ph="1">
        <f>MAX(5600*LOOKUP(W20,密度!$A$2:$A$50,密度!$Q$2:$Q$50)+W18*9.0476*LOOKUP(W20,密度!$A$2:$A$50,密度!$Q$2:$Q$50),0)</f>
        <v>4280.134478256</v>
      </c>
      <c r="X19" s="73" ph="1">
        <f>MAX(5600*LOOKUP(X20,密度!$A$2:$A$50,密度!$I$2:$I$50)+X18*9.0476*LOOKUP(X20,密度!$A$2:$A$50,密度!$I$2:$I$50),0)</f>
        <v>13897.393223039999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49.134421699999997</v>
      </c>
      <c r="AB19" s="73" ph="1">
        <f>AB18*9.0746*LOOKUP(AB20,密度!$A$2:$A$50,密度!$L$2:$L$50)</f>
        <v>9226.5814007999998</v>
      </c>
      <c r="AC19" s="73" ph="1">
        <f>AC18*9.0746*LOOKUP(AC20,密度!$A$2:$A$50,密度!$L$2:$L$50)</f>
        <v>18242.886170400001</v>
      </c>
      <c r="AD19" s="73" ph="1">
        <f>AD18*268.68*LOOKUP(AD20,密度!$A$2:$A$50,密度!B5:B53)+IF(AD18&lt;=0,0,1566*LOOKUP(AD20,密度!$A$2:$A$50,密度!B5:B53))</f>
        <v>12014.0746992</v>
      </c>
      <c r="AE19" s="73" ph="1">
        <f>AE18*268.68*LOOKUP(AE20,密度!$A$2:$A$50,密度!B5:B53)+IF(AE18&lt;=0,0,1566*LOOKUP(AE20,密度!$A$2:$A$50,密度!B5:B53))</f>
        <v>18892.860361200001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33</v>
      </c>
      <c r="F20" s="81">
        <v>31</v>
      </c>
      <c r="G20" s="81">
        <v>28</v>
      </c>
      <c r="H20" s="81">
        <v>25</v>
      </c>
      <c r="I20" s="81">
        <v>31</v>
      </c>
      <c r="J20" s="81">
        <v>32</v>
      </c>
      <c r="K20" s="81">
        <v>30</v>
      </c>
      <c r="L20" s="81">
        <v>30</v>
      </c>
      <c r="M20" s="81">
        <v>33</v>
      </c>
      <c r="N20" s="81">
        <v>29</v>
      </c>
      <c r="O20" s="81">
        <v>31</v>
      </c>
      <c r="P20" s="81">
        <v>33</v>
      </c>
      <c r="Q20" s="81">
        <v>32</v>
      </c>
      <c r="R20" s="81">
        <v>43</v>
      </c>
      <c r="S20" s="81">
        <v>31</v>
      </c>
      <c r="T20" s="81">
        <v>33</v>
      </c>
      <c r="U20" s="81">
        <v>30</v>
      </c>
      <c r="V20" s="81">
        <v>33</v>
      </c>
      <c r="W20" s="81">
        <v>34</v>
      </c>
      <c r="X20" s="81">
        <v>32</v>
      </c>
      <c r="Y20" s="110">
        <v>32</v>
      </c>
      <c r="Z20" s="81">
        <v>39</v>
      </c>
      <c r="AA20" s="81">
        <v>32</v>
      </c>
      <c r="AB20" s="81">
        <v>36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79.150000000000006</v>
      </c>
      <c r="E24" s="71">
        <v>46.2</v>
      </c>
      <c r="F24" s="71">
        <v>1563</v>
      </c>
      <c r="G24" s="71">
        <v>3456</v>
      </c>
      <c r="H24" s="71">
        <v>3197</v>
      </c>
      <c r="I24" s="71">
        <v>5339</v>
      </c>
      <c r="J24" s="71">
        <v>389</v>
      </c>
      <c r="K24" s="71">
        <v>501</v>
      </c>
      <c r="L24" s="71">
        <v>5610</v>
      </c>
      <c r="M24" s="71">
        <v>4011</v>
      </c>
      <c r="N24" s="71">
        <v>5531</v>
      </c>
      <c r="O24" s="71">
        <v>5596</v>
      </c>
      <c r="P24" s="71">
        <v>359</v>
      </c>
      <c r="Q24" s="90">
        <v>3544</v>
      </c>
      <c r="R24" s="71">
        <v>217</v>
      </c>
      <c r="S24" s="71">
        <v>1181</v>
      </c>
      <c r="T24" s="71">
        <v>1685</v>
      </c>
      <c r="U24" s="71">
        <v>5189</v>
      </c>
      <c r="V24" s="71">
        <v>6369</v>
      </c>
      <c r="W24" s="71">
        <v>9758</v>
      </c>
      <c r="X24" s="71">
        <v>3351</v>
      </c>
      <c r="Y24" s="71">
        <v>4554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21615.988508280003</v>
      </c>
      <c r="E25" s="91" ph="1">
        <f>E24*268.68*LOOKUP(E26,密度!$A$2:$A$50,密度!$C$2:$C$50)+IF(E24&lt;=0,0,1566*LOOKUP(E26,密度!$A$2:$A$50,密度!$C$2:$C$50))</f>
        <v>15501.330842400001</v>
      </c>
      <c r="F25" s="91" ph="1">
        <f>F24*11.702*LOOKUP(F26,密度!$A$2:$A$50,密度!$Q$2:$Q$50)</f>
        <v>17253.71889258</v>
      </c>
      <c r="G25" s="91" ph="1">
        <f>G24*18.322*LOOKUP(G26,密度!$A$2:$A$50,密度!$B$2:$B$50)</f>
        <v>49149.629798399998</v>
      </c>
      <c r="H25" s="91" ph="1">
        <f>H24*18.322*LOOKUP(H26,密度!$A$2:$A$50,密度!$B$2:$B$50)</f>
        <v>45466.251870799999</v>
      </c>
      <c r="I25" s="91" ph="1">
        <f>I24*18.322*LOOKUP(I26,密度!$A$2:$A$50,密度!$Q$2:$Q$50)</f>
        <v>92403.822269960001</v>
      </c>
      <c r="J25" s="91" ph="1">
        <f>J24*18.322*LOOKUP(J26,密度!$A$2:$A$50,密度!$Q$2:$Q$50)</f>
        <v>6732.5504519599999</v>
      </c>
      <c r="K25" s="91" ph="1">
        <f>K24*18.322*LOOKUP(K26,密度!$A$2:$A$50,密度!$Q$2:$Q$50)</f>
        <v>8670.9711476400007</v>
      </c>
      <c r="L25" s="91" ph="1">
        <f>L24*18.322*LOOKUP(L26,密度!$A$2:$A$50,密度!$Q$2:$Q$50)</f>
        <v>96961.513578600003</v>
      </c>
      <c r="M25" s="91" ph="1">
        <f>M24*18.322*LOOKUP(M26,密度!$A$2:$A$50,密度!$Q$2:$Q$50)</f>
        <v>69324.889654860002</v>
      </c>
      <c r="N25" s="91" ph="1">
        <f>N24*18.322*LOOKUP(N26,密度!$A$2:$A$50,密度!$Q$2:$Q$50)</f>
        <v>95656.905279259998</v>
      </c>
      <c r="O25" s="91" ph="1">
        <f>O24*18.322*LOOKUP(O26,密度!$A$2:$A$50,密度!$C$2:$C$50)</f>
        <v>113387.8296808</v>
      </c>
      <c r="P25" s="91" ph="1">
        <f>P24*11.702*LOOKUP(P26,密度!$A$2:$A$50,密度!$B$2:$B$50)</f>
        <v>3264.1909860000001</v>
      </c>
      <c r="Q25" s="92" ph="1">
        <f>Q24*18.322*LOOKUP(Q26,密度!$A$2:$A$50,密度!$B$2:$B$50)</f>
        <v>50401.125001599998</v>
      </c>
      <c r="R25" s="91" ph="1">
        <f>R24*35.891*LOOKUP(R26,密度!$A$2:$A$50,密度!$C$2:$C$50)</f>
        <v>8606.9022697</v>
      </c>
      <c r="S25" s="91" ph="1">
        <f>S24*35.891*LOOKUP(S26,密度!$A$2:$A$50,密度!$B$2:$B$50)</f>
        <v>32862.851206300002</v>
      </c>
      <c r="T25" s="91" ph="1">
        <f>T24*35.891*LOOKUP(T26,密度!$A$2:$A$50,密度!$Q$2:$Q$50)</f>
        <v>57085.426896550001</v>
      </c>
      <c r="U25" s="91" ph="1">
        <f>U24*35.891</f>
        <v>186238.399</v>
      </c>
      <c r="V25" s="91" ph="1">
        <f>V24*47.051*LOOKUP(V26,密度!$A$2:$A$50,密度!$B$2:$B$50)</f>
        <v>232602.16110780003</v>
      </c>
      <c r="W25" s="91" ph="1">
        <f>W24*47.051*LOOKUP(W26,密度!$A$2:$A$50,密度!$B$2:$B$50)</f>
        <v>356371.78333960002</v>
      </c>
      <c r="X25" s="91" ph="1">
        <f>X24*47.051*LOOKUP(X26,密度!$A$2:$A$50,密度!$I$2:$I$50)</f>
        <v>163438.54617660001</v>
      </c>
      <c r="Y25" s="91" ph="1">
        <f>Y24*47.051*LOOKUP(Y26,密度!$A$2:$A$50,密度!$L$2:$L$50)</f>
        <v>200128.41723600004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29</v>
      </c>
      <c r="H26" s="74">
        <v>29</v>
      </c>
      <c r="I26" s="74">
        <v>28</v>
      </c>
      <c r="J26" s="74">
        <v>28</v>
      </c>
      <c r="K26" s="74">
        <v>28</v>
      </c>
      <c r="L26" s="74">
        <v>30</v>
      </c>
      <c r="M26" s="74">
        <v>30</v>
      </c>
      <c r="N26" s="74">
        <v>29</v>
      </c>
      <c r="O26" s="74">
        <v>29</v>
      </c>
      <c r="P26" s="74">
        <v>28</v>
      </c>
      <c r="Q26" s="93">
        <v>29</v>
      </c>
      <c r="R26" s="74">
        <v>30</v>
      </c>
      <c r="S26" s="74">
        <v>30</v>
      </c>
      <c r="T26" s="74">
        <v>29</v>
      </c>
      <c r="U26" s="74">
        <v>28</v>
      </c>
      <c r="V26" s="74">
        <v>29</v>
      </c>
      <c r="W26" s="74">
        <v>29</v>
      </c>
      <c r="X26" s="74">
        <v>30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79.2</v>
      </c>
      <c r="E27" s="71">
        <v>46.18</v>
      </c>
      <c r="F27" s="71">
        <v>1562</v>
      </c>
      <c r="G27" s="71">
        <v>3037</v>
      </c>
      <c r="H27" s="71">
        <v>2682</v>
      </c>
      <c r="I27" s="71">
        <v>5601</v>
      </c>
      <c r="J27" s="71">
        <v>385</v>
      </c>
      <c r="K27" s="71">
        <v>498</v>
      </c>
      <c r="L27" s="71">
        <v>5605</v>
      </c>
      <c r="M27" s="71">
        <v>4009</v>
      </c>
      <c r="N27" s="71">
        <v>5528</v>
      </c>
      <c r="O27" s="71">
        <v>5592</v>
      </c>
      <c r="P27" s="71">
        <v>355</v>
      </c>
      <c r="Q27" s="90">
        <v>4104</v>
      </c>
      <c r="R27" s="71">
        <v>214</v>
      </c>
      <c r="S27" s="71">
        <v>797</v>
      </c>
      <c r="T27" s="71">
        <v>971</v>
      </c>
      <c r="U27" s="71">
        <v>5001</v>
      </c>
      <c r="V27" s="71">
        <v>6568</v>
      </c>
      <c r="W27" s="71">
        <v>9757</v>
      </c>
      <c r="X27" s="71">
        <v>3406</v>
      </c>
      <c r="Y27" s="71">
        <v>5277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21628.707013440006</v>
      </c>
      <c r="E28" s="91" ph="1">
        <f>E27*268.68*LOOKUP(E29,密度!$A$2:$A$50,密度!$C$2:$C$50)+IF(E27&lt;=0,0,1566*LOOKUP(E29,密度!$A$2:$A$50,密度!$C$2:$C$50))</f>
        <v>15495.37205736</v>
      </c>
      <c r="F28" s="91" ph="1">
        <f>F27*11.702*LOOKUP(F29,密度!$A$2:$A$50,密度!$Q$2:$Q$50)</f>
        <v>17228.971151919999</v>
      </c>
      <c r="G28" s="91" ph="1">
        <f>G27*18.322*LOOKUP(G29,密度!$A$2:$A$50,密度!$B$2:$B$50)</f>
        <v>43140.726524199999</v>
      </c>
      <c r="H28" s="91" ph="1">
        <f>H27*18.322*LOOKUP(H29,密度!$A$2:$A$50,密度!$B$2:$B$50)</f>
        <v>38053.709337599998</v>
      </c>
      <c r="I28" s="91" ph="1">
        <f>I27*18.322*LOOKUP(I29,密度!$A$2:$A$50,密度!$Q$2:$Q$50)</f>
        <v>96805.960348259992</v>
      </c>
      <c r="J28" s="91" ph="1">
        <f>J27*18.322*LOOKUP(J29,密度!$A$2:$A$50,密度!$Q$2:$Q$50)</f>
        <v>6634.8936422999996</v>
      </c>
      <c r="K28" s="91" ph="1">
        <f>K27*18.322*LOOKUP(K29,密度!$A$2:$A$50,密度!$Q$2:$Q$50)</f>
        <v>8600.4354784799998</v>
      </c>
      <c r="L28" s="91" ph="1">
        <f>L27*18.322*LOOKUP(L29,密度!$A$2:$A$50,密度!$Q$2:$Q$50)</f>
        <v>96593.711337900007</v>
      </c>
      <c r="M28" s="91" ph="1">
        <f>M27*18.322*LOOKUP(M29,密度!$A$2:$A$50,密度!$Q$2:$Q$50)</f>
        <v>69235.232596839996</v>
      </c>
      <c r="N28" s="91" ph="1">
        <f>N27*18.322*LOOKUP(N29,密度!$A$2:$A$50,密度!$Q$2:$Q$50)</f>
        <v>95468.287801279992</v>
      </c>
      <c r="O28" s="91" ph="1">
        <f>O27*18.322*LOOKUP(O29,密度!$A$2:$A$50,密度!$C$2:$C$50)</f>
        <v>113224.81518239999</v>
      </c>
      <c r="P28" s="91" ph="1">
        <f>P27*11.702*LOOKUP(P29,密度!$A$2:$A$50,密度!$B$2:$B$50)</f>
        <v>3217.0202239999999</v>
      </c>
      <c r="Q28" s="92" ph="1">
        <f>Q27*18.322*LOOKUP(Q29,密度!$A$2:$A$50,密度!$B$2:$B$50)</f>
        <v>58297.511246399998</v>
      </c>
      <c r="R28" s="91" ph="1">
        <f>R27*35.891*LOOKUP(R29,密度!$A$2:$A$50,密度!$C$2:$C$50)</f>
        <v>8487.9128373999993</v>
      </c>
      <c r="S28" s="91" ph="1">
        <f>S27*35.891*LOOKUP(S29,密度!$A$2:$A$50,密度!$B$2:$B$50)</f>
        <v>22151.810348799998</v>
      </c>
      <c r="T28" s="91" ph="1">
        <f>T27*35.891*LOOKUP(T29,密度!$A$2:$A$50,密度!$Q$2:$Q$50)</f>
        <v>32779.712934989999</v>
      </c>
      <c r="U28" s="91" ph="1">
        <f>U27*35.891</f>
        <v>179490.891</v>
      </c>
      <c r="V28" s="91" ph="1">
        <f>V27*47.051*LOOKUP(V29,密度!$A$2:$A$50,密度!$B$2:$B$50)</f>
        <v>239591.70949039998</v>
      </c>
      <c r="W28" s="91" ph="1">
        <f>W27*47.051*LOOKUP(W29,密度!$A$2:$A$50,密度!$B$2:$B$50)</f>
        <v>355508.92446080002</v>
      </c>
      <c r="X28" s="91" ph="1">
        <f>X27*47.051*LOOKUP(X29,密度!$A$2:$A$50,密度!$I$2:$I$50)</f>
        <v>165412.73461908003</v>
      </c>
      <c r="Y28" s="91" ph="1">
        <f>Y27*47.051*LOOKUP(Y29,密度!$A$2:$A$50,密度!$L$2:$L$50)</f>
        <v>231156.24623700001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31</v>
      </c>
      <c r="G29" s="74">
        <v>30</v>
      </c>
      <c r="H29" s="74">
        <v>31</v>
      </c>
      <c r="I29" s="74">
        <v>30</v>
      </c>
      <c r="J29" s="74">
        <v>34</v>
      </c>
      <c r="K29" s="74">
        <v>31</v>
      </c>
      <c r="L29" s="74">
        <v>34</v>
      </c>
      <c r="M29" s="74">
        <v>31</v>
      </c>
      <c r="N29" s="74">
        <v>31</v>
      </c>
      <c r="O29" s="74">
        <v>30</v>
      </c>
      <c r="P29" s="74">
        <v>31</v>
      </c>
      <c r="Q29" s="93">
        <v>30</v>
      </c>
      <c r="R29" s="74">
        <v>30</v>
      </c>
      <c r="S29" s="74">
        <v>31</v>
      </c>
      <c r="T29" s="74">
        <v>34</v>
      </c>
      <c r="U29" s="74">
        <v>30</v>
      </c>
      <c r="V29" s="74">
        <v>30</v>
      </c>
      <c r="W29" s="74">
        <v>31</v>
      </c>
      <c r="X29" s="74">
        <v>34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50566.78501800001</v>
      </c>
      <c r="E33" s="190" ph="1">
        <f>M10+I10</f>
        <v>49074.760136799989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6" ph="1">
        <v>0</v>
      </c>
      <c r="H33" s="190" ph="1">
        <f>N19</f>
        <v>32042.721136400003</v>
      </c>
      <c r="I33" s="194" ph="1">
        <v>0</v>
      </c>
      <c r="J33" s="198" ph="1">
        <f>F10+O28</f>
        <v>303656.33143319999</v>
      </c>
      <c r="K33" s="190" ph="1">
        <f>O10+K10+E28+R28</f>
        <v>28666.77872156</v>
      </c>
      <c r="L33" s="200" ph="1">
        <f>BE27</f>
        <v>7100</v>
      </c>
      <c r="M33" s="198" ph="1">
        <f>G10+H10+W28+S28+V28+E10</f>
        <v>1092492.4709289998</v>
      </c>
      <c r="N33" s="190" ph="1">
        <f>L10+P10++G28+H28</f>
        <v>252043.11408580001</v>
      </c>
      <c r="O33" s="194" ph="1">
        <f>BE17</f>
        <v>2270</v>
      </c>
      <c r="P33" s="198" ph="1">
        <f>L19</f>
        <v>41308.218051839998</v>
      </c>
      <c r="Q33" s="190" ph="1">
        <f>J10+N10</f>
        <v>100173.45731395001</v>
      </c>
      <c r="R33" s="194" ph="1">
        <f>BE23</f>
        <v>890</v>
      </c>
      <c r="S33" s="198" ph="1">
        <f>E10+X28</f>
        <v>273787.87376408</v>
      </c>
      <c r="T33" s="190" ph="1">
        <f>X19</f>
        <v>13897.393223039999</v>
      </c>
      <c r="U33" s="179" ph="1">
        <f>BE21</f>
        <v>730</v>
      </c>
      <c r="V33" s="192" ph="1">
        <f ca="1">P19+Q19+S19+M28+N28+J28</f>
        <v>292387.56747910997</v>
      </c>
      <c r="W33" s="192" ph="1">
        <f>D28+F28+V19+T28</f>
        <v>84147.036575350008</v>
      </c>
      <c r="X33" s="194" ph="1">
        <f>BE29+BE31</f>
        <v>10200</v>
      </c>
      <c r="Y33" s="196" ph="1">
        <f>+Q10+R10+S10+T10+U10+V10+W10+X10+Y10</f>
        <v>90239.9600718</v>
      </c>
      <c r="Z33" s="177" ph="1">
        <f>D10+T19+U19+Y28+Z10</f>
        <v>499278.00173928007</v>
      </c>
      <c r="AA33" s="179" ph="1">
        <f>BE19</f>
        <v>1440</v>
      </c>
      <c r="AB33" s="181" ph="1">
        <f>I19</f>
        <v>24698.7834754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35" priority="98">
      <formula>ABS(D$7-D$10)&gt;=1000</formula>
    </cfRule>
  </conditionalFormatting>
  <conditionalFormatting sqref="E4 E6:E11">
    <cfRule type="expression" dxfId="1534" priority="97">
      <formula>ABS(E$7-E$10)&gt;=1000</formula>
    </cfRule>
  </conditionalFormatting>
  <conditionalFormatting sqref="F4:F11">
    <cfRule type="expression" dxfId="1533" priority="96">
      <formula>ABS(F$7-F$10)&gt;=1000</formula>
    </cfRule>
  </conditionalFormatting>
  <conditionalFormatting sqref="G4:G11">
    <cfRule type="expression" dxfId="1532" priority="95">
      <formula>ABS(G$7-G$10)&gt;=1000</formula>
    </cfRule>
  </conditionalFormatting>
  <conditionalFormatting sqref="H4:H11">
    <cfRule type="expression" dxfId="1531" priority="94">
      <formula>ABS(H$7-H$10)&gt;=1000</formula>
    </cfRule>
  </conditionalFormatting>
  <conditionalFormatting sqref="I4:I11">
    <cfRule type="expression" dxfId="1530" priority="93">
      <formula>ABS(I$7-I$10)&gt;=1000</formula>
    </cfRule>
  </conditionalFormatting>
  <conditionalFormatting sqref="J4:J11">
    <cfRule type="expression" dxfId="1529" priority="92">
      <formula>ABS(J$7-J$10)&gt;=1000</formula>
    </cfRule>
  </conditionalFormatting>
  <conditionalFormatting sqref="K4:K11">
    <cfRule type="expression" dxfId="1528" priority="91">
      <formula>ABS(K$7-K$10)&gt;=1000</formula>
    </cfRule>
  </conditionalFormatting>
  <conditionalFormatting sqref="L4:L11">
    <cfRule type="expression" dxfId="1527" priority="90">
      <formula>ABS(L$7-L$10)&gt;=1000</formula>
    </cfRule>
  </conditionalFormatting>
  <conditionalFormatting sqref="M4 M6:M11">
    <cfRule type="expression" dxfId="1526" priority="89">
      <formula>ABS(M$7-M$10)&gt;=1000</formula>
    </cfRule>
  </conditionalFormatting>
  <conditionalFormatting sqref="N4 N6:N11">
    <cfRule type="expression" dxfId="1525" priority="88">
      <formula>ABS(N$7-N$10)&gt;=1000</formula>
    </cfRule>
  </conditionalFormatting>
  <conditionalFormatting sqref="O4 O6:O11">
    <cfRule type="expression" dxfId="1524" priority="87">
      <formula>ABS(O$7-O$10)&gt;=1000</formula>
    </cfRule>
  </conditionalFormatting>
  <conditionalFormatting sqref="P4 P6:P11">
    <cfRule type="expression" dxfId="1523" priority="86">
      <formula>ABS(P$7-P$10)&gt;=1000</formula>
    </cfRule>
  </conditionalFormatting>
  <conditionalFormatting sqref="Q4:Q11">
    <cfRule type="expression" dxfId="1522" priority="85">
      <formula>ABS(Q$7-Q$10)&gt;=1000</formula>
    </cfRule>
  </conditionalFormatting>
  <conditionalFormatting sqref="R4:R11">
    <cfRule type="expression" dxfId="1521" priority="84">
      <formula>ABS(R$7-R$10)&gt;=1000</formula>
    </cfRule>
  </conditionalFormatting>
  <conditionalFormatting sqref="S4:S11">
    <cfRule type="expression" dxfId="1520" priority="83">
      <formula>ABS(S$7-S$10)&gt;=1000</formula>
    </cfRule>
  </conditionalFormatting>
  <conditionalFormatting sqref="T4:T9 T11">
    <cfRule type="expression" dxfId="1519" priority="82">
      <formula>ABS(T$7-T$10)&gt;=1000</formula>
    </cfRule>
  </conditionalFormatting>
  <conditionalFormatting sqref="U4:U9 U11">
    <cfRule type="expression" dxfId="1518" priority="81">
      <formula>ABS(U$7-U$10)&gt;=1000</formula>
    </cfRule>
  </conditionalFormatting>
  <conditionalFormatting sqref="V4:V9 V11">
    <cfRule type="expression" dxfId="1517" priority="80">
      <formula>ABS(V$7-V$10)&gt;=1000</formula>
    </cfRule>
  </conditionalFormatting>
  <conditionalFormatting sqref="W4:W9 W11">
    <cfRule type="expression" dxfId="1516" priority="79">
      <formula>ABS(W$7-W$10)&gt;=1000</formula>
    </cfRule>
  </conditionalFormatting>
  <conditionalFormatting sqref="X4:X9 X11">
    <cfRule type="expression" dxfId="1515" priority="78">
      <formula>ABS(X$7-X$10)&gt;=1000</formula>
    </cfRule>
  </conditionalFormatting>
  <conditionalFormatting sqref="Y4:Y9 Y11">
    <cfRule type="expression" dxfId="1514" priority="77">
      <formula>ABS(Y$7-Y$10)&gt;=1000</formula>
    </cfRule>
  </conditionalFormatting>
  <conditionalFormatting sqref="Z4:Z11">
    <cfRule type="expression" dxfId="1513" priority="76">
      <formula>ABS(Z$7-Z$10)&gt;=1000</formula>
    </cfRule>
  </conditionalFormatting>
  <conditionalFormatting sqref="AA4:AA11">
    <cfRule type="expression" dxfId="1512" priority="75">
      <formula>ABS(AA$7-AA$10)&gt;=1000</formula>
    </cfRule>
  </conditionalFormatting>
  <conditionalFormatting sqref="AB4:AB11">
    <cfRule type="expression" dxfId="1511" priority="74">
      <formula>ABS(AB$7-AB$10)&gt;=1000</formula>
    </cfRule>
  </conditionalFormatting>
  <conditionalFormatting sqref="AC4 AC6:AC11">
    <cfRule type="expression" dxfId="1510" priority="73">
      <formula>ABS(AC$7-AC$10)&gt;=1000</formula>
    </cfRule>
  </conditionalFormatting>
  <conditionalFormatting sqref="AD4:AD11">
    <cfRule type="expression" dxfId="1509" priority="72">
      <formula>ABS(AD$7-AD$10)&gt;=1000</formula>
    </cfRule>
  </conditionalFormatting>
  <conditionalFormatting sqref="AE4 AE6:AE11">
    <cfRule type="expression" dxfId="1508" priority="71">
      <formula>ABS(AE$7-AE$10)&gt;=1000</formula>
    </cfRule>
  </conditionalFormatting>
  <conditionalFormatting sqref="D13:D20">
    <cfRule type="expression" dxfId="1507" priority="70">
      <formula>ABS(D$16-D$19)&gt;=1000</formula>
    </cfRule>
  </conditionalFormatting>
  <conditionalFormatting sqref="E13:E20">
    <cfRule type="expression" dxfId="1506" priority="69">
      <formula>ABS(E$16-E$19)&gt;=1000</formula>
    </cfRule>
  </conditionalFormatting>
  <conditionalFormatting sqref="F13 F15:F20">
    <cfRule type="expression" dxfId="1505" priority="68">
      <formula>ABS(F$16-F$19)&gt;=1000</formula>
    </cfRule>
  </conditionalFormatting>
  <conditionalFormatting sqref="G13:G20">
    <cfRule type="expression" dxfId="1504" priority="67">
      <formula>ABS(G$16-G$19)&gt;=1000</formula>
    </cfRule>
  </conditionalFormatting>
  <conditionalFormatting sqref="H13:H20">
    <cfRule type="expression" dxfId="1503" priority="66">
      <formula>ABS(H$16-H$19)&gt;=1000</formula>
    </cfRule>
  </conditionalFormatting>
  <conditionalFormatting sqref="I13:I20">
    <cfRule type="expression" dxfId="1502" priority="65">
      <formula>ABS(I$16-I$19)&gt;=1000</formula>
    </cfRule>
  </conditionalFormatting>
  <conditionalFormatting sqref="J13:J20">
    <cfRule type="expression" dxfId="1501" priority="64">
      <formula>ABS(J$16-J$19)&gt;=1000</formula>
    </cfRule>
  </conditionalFormatting>
  <conditionalFormatting sqref="L13:L20">
    <cfRule type="expression" dxfId="1500" priority="63">
      <formula>ABS(L$16-L$19)&gt;=1000</formula>
    </cfRule>
  </conditionalFormatting>
  <conditionalFormatting sqref="M13 M15 M17:M18 M20">
    <cfRule type="expression" dxfId="1499" priority="62">
      <formula>ABS(M$16-M$19)&gt;=1000</formula>
    </cfRule>
  </conditionalFormatting>
  <conditionalFormatting sqref="N13:N20">
    <cfRule type="expression" dxfId="1498" priority="61">
      <formula>ABS(N$16-N$19)&gt;=1000</formula>
    </cfRule>
  </conditionalFormatting>
  <conditionalFormatting sqref="O13:O20">
    <cfRule type="expression" dxfId="1497" priority="60">
      <formula>ABS(O$16-O$19)&gt;=1000</formula>
    </cfRule>
  </conditionalFormatting>
  <conditionalFormatting sqref="P13:P20">
    <cfRule type="expression" dxfId="1496" priority="59">
      <formula>ABS(P$16-P$19)&gt;=1000</formula>
    </cfRule>
  </conditionalFormatting>
  <conditionalFormatting sqref="Q13 Q15:Q20">
    <cfRule type="expression" dxfId="1495" priority="58">
      <formula>ABS(Q$16-Q$19)&gt;=1000</formula>
    </cfRule>
  </conditionalFormatting>
  <conditionalFormatting sqref="R13:R20">
    <cfRule type="expression" dxfId="1494" priority="57">
      <formula>ABS(R$16-R$19)&gt;=1000</formula>
    </cfRule>
  </conditionalFormatting>
  <conditionalFormatting sqref="S13:S20">
    <cfRule type="expression" dxfId="1493" priority="56">
      <formula>ABS(S$16-S$19)&gt;=1000</formula>
    </cfRule>
  </conditionalFormatting>
  <conditionalFormatting sqref="T13:T20">
    <cfRule type="expression" dxfId="1492" priority="55">
      <formula>ABS(T$16-T$19)&gt;=1000</formula>
    </cfRule>
  </conditionalFormatting>
  <conditionalFormatting sqref="U13:U20">
    <cfRule type="expression" dxfId="1491" priority="54">
      <formula>ABS(U$16-U$19)&gt;=1000</formula>
    </cfRule>
  </conditionalFormatting>
  <conditionalFormatting sqref="V13:V20">
    <cfRule type="expression" dxfId="1490" priority="53">
      <formula>ABS(V$16-V$19)&gt;=1000</formula>
    </cfRule>
  </conditionalFormatting>
  <conditionalFormatting sqref="W13 W20 W15:W18">
    <cfRule type="expression" dxfId="1489" priority="52">
      <formula>ABS(W$16-W$19)&gt;=1000</formula>
    </cfRule>
  </conditionalFormatting>
  <conditionalFormatting sqref="X13 X15:X20 Y19">
    <cfRule type="expression" dxfId="1488" priority="51">
      <formula>ABS(X$16-X$19)&gt;=1000</formula>
    </cfRule>
  </conditionalFormatting>
  <conditionalFormatting sqref="Y13 Y15:Y18 Y20">
    <cfRule type="expression" dxfId="1487" priority="50">
      <formula>ABS(Y$16-Y$19)&gt;=1000</formula>
    </cfRule>
  </conditionalFormatting>
  <conditionalFormatting sqref="Z13:Z20">
    <cfRule type="expression" dxfId="1486" priority="49">
      <formula>ABS(Z$16-Z$19)&gt;=1000</formula>
    </cfRule>
  </conditionalFormatting>
  <conditionalFormatting sqref="AA13:AA20">
    <cfRule type="expression" dxfId="1485" priority="48">
      <formula>ABS(AA$16-AA$19)&gt;=1000</formula>
    </cfRule>
  </conditionalFormatting>
  <conditionalFormatting sqref="AB13 AB15:AB20">
    <cfRule type="expression" dxfId="1484" priority="47">
      <formula>ABS(AB$16-AB$19)&gt;=1000</formula>
    </cfRule>
  </conditionalFormatting>
  <conditionalFormatting sqref="AC13 AC15:AC20">
    <cfRule type="expression" dxfId="1483" priority="46">
      <formula>ABS(AC$16-AC$19)&gt;=1000</formula>
    </cfRule>
  </conditionalFormatting>
  <conditionalFormatting sqref="AD13:AD20">
    <cfRule type="expression" dxfId="1482" priority="45">
      <formula>ABS(AD$16-AD$19)&gt;=1000</formula>
    </cfRule>
  </conditionalFormatting>
  <conditionalFormatting sqref="AE13:AE20">
    <cfRule type="expression" dxfId="1481" priority="44">
      <formula>ABS(AE$16-AE$19)&gt;=1000</formula>
    </cfRule>
  </conditionalFormatting>
  <conditionalFormatting sqref="D22:D29">
    <cfRule type="expression" dxfId="1480" priority="43">
      <formula>ABS(D$25-D$28)&gt;=1000</formula>
    </cfRule>
  </conditionalFormatting>
  <conditionalFormatting sqref="E22:E29">
    <cfRule type="expression" dxfId="1479" priority="42">
      <formula>ABS(E$25-E$28)&gt;=1000</formula>
    </cfRule>
  </conditionalFormatting>
  <conditionalFormatting sqref="F22:F29">
    <cfRule type="expression" dxfId="1478" priority="41">
      <formula>ABS(F$25-F$28)&gt;=1000</formula>
    </cfRule>
  </conditionalFormatting>
  <conditionalFormatting sqref="G22:G29">
    <cfRule type="expression" dxfId="1477" priority="40">
      <formula>ABS(G$25-G$28)&gt;=1000</formula>
    </cfRule>
  </conditionalFormatting>
  <conditionalFormatting sqref="H22:H29">
    <cfRule type="expression" dxfId="1476" priority="39">
      <formula>ABS(H$25-H$28)&gt;=1000</formula>
    </cfRule>
  </conditionalFormatting>
  <conditionalFormatting sqref="I22 I24:I29">
    <cfRule type="expression" dxfId="1475" priority="38">
      <formula>ABS(I$25-I$28)&gt;=1000</formula>
    </cfRule>
  </conditionalFormatting>
  <conditionalFormatting sqref="J22:J29 K22">
    <cfRule type="expression" dxfId="1474" priority="37">
      <formula>ABS(J$25-J$28)&gt;=1000</formula>
    </cfRule>
  </conditionalFormatting>
  <conditionalFormatting sqref="K23:K29 L25 L28">
    <cfRule type="expression" dxfId="1473" priority="36">
      <formula>ABS(K$25-K$28)&gt;=1000</formula>
    </cfRule>
  </conditionalFormatting>
  <conditionalFormatting sqref="L22 L26:L27 L29 L24">
    <cfRule type="expression" dxfId="1472" priority="35">
      <formula>ABS(L$25-L$28)&gt;=1000</formula>
    </cfRule>
  </conditionalFormatting>
  <conditionalFormatting sqref="M22:M29">
    <cfRule type="expression" dxfId="1471" priority="34">
      <formula>ABS(M$25-M$28)&gt;=1000</formula>
    </cfRule>
  </conditionalFormatting>
  <conditionalFormatting sqref="N22:N29">
    <cfRule type="expression" dxfId="1470" priority="33">
      <formula>ABS(N$25-N$28)&gt;=1000</formula>
    </cfRule>
  </conditionalFormatting>
  <conditionalFormatting sqref="O22:O29">
    <cfRule type="expression" dxfId="1469" priority="32">
      <formula>ABS(O$25-O$28)&gt;=1000</formula>
    </cfRule>
  </conditionalFormatting>
  <conditionalFormatting sqref="P22:P29">
    <cfRule type="expression" dxfId="1468" priority="31">
      <formula>ABS(P$25-P$28)&gt;=1000</formula>
    </cfRule>
  </conditionalFormatting>
  <conditionalFormatting sqref="Q22:Q29">
    <cfRule type="expression" dxfId="1467" priority="30">
      <formula>ABS(Q$25-Q$28)&gt;=1000</formula>
    </cfRule>
  </conditionalFormatting>
  <conditionalFormatting sqref="R22:R29">
    <cfRule type="expression" dxfId="1466" priority="29">
      <formula>ABS(R$25-R$28)&gt;=1000</formula>
    </cfRule>
  </conditionalFormatting>
  <conditionalFormatting sqref="S22:S29">
    <cfRule type="expression" dxfId="1465" priority="28">
      <formula>ABS(S$25-S$28)&gt;=1000</formula>
    </cfRule>
  </conditionalFormatting>
  <conditionalFormatting sqref="T22:T29">
    <cfRule type="expression" dxfId="1464" priority="27">
      <formula>ABS(T$25-T$28)&gt;=1000</formula>
    </cfRule>
  </conditionalFormatting>
  <conditionalFormatting sqref="U22:U29">
    <cfRule type="expression" dxfId="1463" priority="26">
      <formula>ABS(U$25-U$28)&gt;=1000</formula>
    </cfRule>
  </conditionalFormatting>
  <conditionalFormatting sqref="V22:V29">
    <cfRule type="expression" dxfId="1462" priority="25">
      <formula>ABS(V$25-V$28)&gt;=1000</formula>
    </cfRule>
  </conditionalFormatting>
  <conditionalFormatting sqref="W22:W29">
    <cfRule type="expression" dxfId="1461" priority="24">
      <formula>ABS(W$25-W$28)&gt;=1000</formula>
    </cfRule>
  </conditionalFormatting>
  <conditionalFormatting sqref="X22:X29">
    <cfRule type="expression" dxfId="1460" priority="23">
      <formula>ABS(X$25-X$28)&gt;=1000</formula>
    </cfRule>
  </conditionalFormatting>
  <conditionalFormatting sqref="Y22:Y29">
    <cfRule type="expression" dxfId="1459" priority="22">
      <formula>ABS(Y$25-Y$28)&gt;=1000</formula>
    </cfRule>
  </conditionalFormatting>
  <conditionalFormatting sqref="I23">
    <cfRule type="expression" dxfId="1458" priority="21">
      <formula>ABS(I$25-I$28)&gt;=1000</formula>
    </cfRule>
  </conditionalFormatting>
  <conditionalFormatting sqref="Q14">
    <cfRule type="expression" dxfId="1457" priority="20">
      <formula>ABS(Q$16-Q$19)&gt;=1000</formula>
    </cfRule>
  </conditionalFormatting>
  <conditionalFormatting sqref="W14">
    <cfRule type="expression" dxfId="1456" priority="19">
      <formula>ABS(W$16-W$19)&gt;=1000</formula>
    </cfRule>
  </conditionalFormatting>
  <conditionalFormatting sqref="Y14">
    <cfRule type="expression" dxfId="1455" priority="18">
      <formula>ABS(Y$16-Y$19)&gt;=1000</formula>
    </cfRule>
  </conditionalFormatting>
  <conditionalFormatting sqref="X14">
    <cfRule type="expression" dxfId="1454" priority="17">
      <formula>ABS(X$16-X$19)&gt;=1000</formula>
    </cfRule>
  </conditionalFormatting>
  <conditionalFormatting sqref="T10:Y10">
    <cfRule type="expression" dxfId="1453" priority="16">
      <formula>ABS(T$7-T$10)&gt;=1000</formula>
    </cfRule>
  </conditionalFormatting>
  <conditionalFormatting sqref="W19">
    <cfRule type="expression" dxfId="1452" priority="15">
      <formula>ABS(W$16-W$19)&gt;=1000</formula>
    </cfRule>
  </conditionalFormatting>
  <conditionalFormatting sqref="AC5">
    <cfRule type="expression" dxfId="1451" priority="14">
      <formula>ABS(AC$7-AC$10)&gt;=1000</formula>
    </cfRule>
  </conditionalFormatting>
  <conditionalFormatting sqref="M14">
    <cfRule type="expression" dxfId="1450" priority="13">
      <formula>ABS(M$16-M$19)&gt;=1000</formula>
    </cfRule>
  </conditionalFormatting>
  <conditionalFormatting sqref="M16">
    <cfRule type="expression" dxfId="1449" priority="12">
      <formula>ABS(M$16-M$19)&gt;=1000</formula>
    </cfRule>
  </conditionalFormatting>
  <conditionalFormatting sqref="M19">
    <cfRule type="expression" dxfId="1448" priority="11">
      <formula>ABS(M$16-M$19)&gt;=1000</formula>
    </cfRule>
  </conditionalFormatting>
  <conditionalFormatting sqref="K13:K20">
    <cfRule type="expression" dxfId="1447" priority="10">
      <formula>ABS(K$16-K$19)&gt;=1000</formula>
    </cfRule>
  </conditionalFormatting>
  <conditionalFormatting sqref="E5">
    <cfRule type="expression" dxfId="1446" priority="9">
      <formula>ABS(E$7-E$10)&gt;=1000</formula>
    </cfRule>
  </conditionalFormatting>
  <conditionalFormatting sqref="AB14:AC14">
    <cfRule type="expression" dxfId="1445" priority="8">
      <formula>ABS(AB$16-AB$19)&gt;=1000</formula>
    </cfRule>
  </conditionalFormatting>
  <conditionalFormatting sqref="M5">
    <cfRule type="expression" dxfId="1444" priority="7">
      <formula>ABS(M$7-M$10)&gt;=1000</formula>
    </cfRule>
  </conditionalFormatting>
  <conditionalFormatting sqref="N5">
    <cfRule type="expression" dxfId="1443" priority="6">
      <formula>ABS(N$7-N$10)&gt;=1000</formula>
    </cfRule>
  </conditionalFormatting>
  <conditionalFormatting sqref="O5">
    <cfRule type="expression" dxfId="1442" priority="5">
      <formula>ABS(O$7-O$10)&gt;=1000</formula>
    </cfRule>
  </conditionalFormatting>
  <conditionalFormatting sqref="P5">
    <cfRule type="expression" dxfId="1441" priority="4">
      <formula>ABS(P$7-P$10)&gt;=1000</formula>
    </cfRule>
  </conditionalFormatting>
  <conditionalFormatting sqref="L23">
    <cfRule type="expression" dxfId="1440" priority="3">
      <formula>ABS(L$25-L$28)&gt;=1000</formula>
    </cfRule>
  </conditionalFormatting>
  <conditionalFormatting sqref="F14">
    <cfRule type="expression" dxfId="1439" priority="2">
      <formula>ABS(F$16-F$19)&gt;=1000</formula>
    </cfRule>
  </conditionalFormatting>
  <conditionalFormatting sqref="AE5">
    <cfRule type="expression" dxfId="143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39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4">
    <pageSetUpPr fitToPage="1"/>
  </sheetPr>
  <dimension ref="A1:CU223"/>
  <sheetViews>
    <sheetView view="pageBreakPreview" topLeftCell="A19" zoomScale="80" zoomScaleNormal="100" zoomScaleSheetLayoutView="80" workbookViewId="0">
      <selection activeCell="Q8" sqref="Q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45946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3697</v>
      </c>
      <c r="E6" s="71">
        <v>2026</v>
      </c>
      <c r="F6" s="71">
        <v>5182</v>
      </c>
      <c r="G6" s="71">
        <v>6370</v>
      </c>
      <c r="H6" s="71">
        <v>2632</v>
      </c>
      <c r="I6" s="71">
        <v>0.05</v>
      </c>
      <c r="J6" s="71">
        <v>7.01</v>
      </c>
      <c r="K6" s="71">
        <v>7.29</v>
      </c>
      <c r="L6" s="71">
        <v>39.99</v>
      </c>
      <c r="M6" s="71">
        <v>1449</v>
      </c>
      <c r="N6" s="71">
        <v>3673</v>
      </c>
      <c r="O6" s="71">
        <v>104</v>
      </c>
      <c r="P6" s="71">
        <v>4744</v>
      </c>
      <c r="Q6" s="71">
        <v>0</v>
      </c>
      <c r="R6" s="71">
        <v>2341</v>
      </c>
      <c r="S6" s="71">
        <v>4512</v>
      </c>
      <c r="T6" s="71">
        <v>2098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2045</v>
      </c>
      <c r="AA6" s="71">
        <v>556</v>
      </c>
      <c r="AB6" s="71">
        <v>1509</v>
      </c>
      <c r="AC6" s="71">
        <v>3853</v>
      </c>
      <c r="AD6" s="71">
        <v>4350</v>
      </c>
      <c r="AE6" s="71">
        <v>3310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115799.02071543</v>
      </c>
      <c r="E7" s="73" ph="1">
        <f>E6*51.53*LOOKUP(E8,密度!$A$2:$A$50,密度!$B$2:$B$50)</f>
        <v>81118.629060000007</v>
      </c>
      <c r="F7" s="73" ph="1">
        <f>F6*33.183*LOOKUP(F8,密度!$A$2:$A$50,密度!$C$2:$C$50)</f>
        <v>190422.19846439999</v>
      </c>
      <c r="G7" s="73" ph="1">
        <f xml:space="preserve"> (G6+2)*51.53*LOOKUP(G8,密度!$A$2:$A$50,密度!$B$2:$B$50)</f>
        <v>255127.29732000004</v>
      </c>
      <c r="H7" s="73" ph="1">
        <f>(H6)*51.53*LOOKUP(H8,密度!$A$2:$A$50,密度!$B$2:$B$50)</f>
        <v>105856.84227999998</v>
      </c>
      <c r="I7" s="73" ph="1">
        <f>I6*290.8*1.0267</f>
        <v>14.928217999999999</v>
      </c>
      <c r="J7" s="73" ph="1">
        <f>J6*290.8*0.7892</f>
        <v>1608.7905136000002</v>
      </c>
      <c r="K7" s="73" ph="1">
        <f>K6*290.8*1.1126</f>
        <v>2358.6363432000003</v>
      </c>
      <c r="L7" s="73" ph="1">
        <f>L6*290.8*0.777</f>
        <v>9035.8044840000002</v>
      </c>
      <c r="M7" s="73" ph="1">
        <f>M6*33.183*LOOKUP(M8,密度!$A$2:$A$50,密度!$D$2:$D$50)</f>
        <v>49231.330791300003</v>
      </c>
      <c r="N7" s="73" ph="1">
        <f>N6*33.183*LOOKUP(N8,密度!$A$2:$A$50,密度!$E$2:$E$50)</f>
        <v>94774.789238400001</v>
      </c>
      <c r="O7" s="73" ph="1">
        <f>O6*20.428*LOOKUP(O8,密度!$A$2:$A$50,密度!$C$2:$C$50)</f>
        <v>2349.4978208000002</v>
      </c>
      <c r="P7" s="73" ph="1">
        <f>P6*51.53*LOOKUP(P8,密度!$A$2:$A$50,密度!$B$2:$B$50)</f>
        <v>189944.11464000001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15372.7135254</v>
      </c>
      <c r="S7" s="73" ph="1">
        <f>S6*1.5*1.5*3.1416*LOOKUP(S8,密度!$A$2:$A$50,密度!$L$2:$L$50)</f>
        <v>29916.124761599996</v>
      </c>
      <c r="T7" s="73" ph="1">
        <f>T6*1.5*1.5*3.1416*LOOKUP(T8,密度!$A$2:$A$50,密度!$L$2:$L$50)</f>
        <v>13940.127431999999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63516.243960000007</v>
      </c>
      <c r="AA7" s="73" ph="1">
        <f>AA6*33.183*LOOKUP(AA8,密度!$A$2:$A$50,密度!$D$2:$D$50)</f>
        <v>18907.301750399998</v>
      </c>
      <c r="AB7" s="73" ph="1">
        <f>AB6*20.428*LOOKUP(AB8,密度!$A$2:$A$50,密度!$D$2:$D$50)</f>
        <v>31766.040486000002</v>
      </c>
      <c r="AC7" s="73" ph="1">
        <f>AC6*51.53*LOOKUP(AC8,密度!$A$2:$A$50,密度!$Q$2:$Q$50)</f>
        <v>187970.5785066</v>
      </c>
      <c r="AD7" s="73" ph="1">
        <f>AD6*20.428*LOOKUP(AD8,密度!$A$2:$A$50,密度!$V$2:$V$50)</f>
        <v>85094.059680000006</v>
      </c>
      <c r="AE7" s="73" ph="1">
        <f>AE6*20.428</f>
        <v>67616.680000000008</v>
      </c>
    </row>
    <row r="8" spans="1:99" ph="1">
      <c r="B8" s="241" ph="1"/>
      <c r="C8" s="68" t="s" ph="1">
        <v>179</v>
      </c>
      <c r="D8" s="74">
        <v>29</v>
      </c>
      <c r="E8" s="74">
        <v>28</v>
      </c>
      <c r="F8" s="74">
        <v>27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29</v>
      </c>
      <c r="P8" s="74">
        <v>28</v>
      </c>
      <c r="Q8" s="74">
        <v>27</v>
      </c>
      <c r="R8" s="74">
        <v>33</v>
      </c>
      <c r="S8" s="74">
        <v>24</v>
      </c>
      <c r="T8" s="74">
        <v>22</v>
      </c>
      <c r="U8" s="74">
        <v>27</v>
      </c>
      <c r="V8" s="74">
        <v>28</v>
      </c>
      <c r="W8" s="74">
        <v>27</v>
      </c>
      <c r="X8" s="74">
        <v>18</v>
      </c>
      <c r="Y8" s="74">
        <v>26</v>
      </c>
      <c r="Z8" s="74">
        <v>26</v>
      </c>
      <c r="AA8" s="74">
        <v>27</v>
      </c>
      <c r="AB8" s="74">
        <v>21</v>
      </c>
      <c r="AC8" s="74">
        <v>25</v>
      </c>
      <c r="AD8" s="74">
        <v>27</v>
      </c>
      <c r="AE8" s="74">
        <v>29</v>
      </c>
    </row>
    <row r="9" spans="1:99" ht="26.4" ph="1">
      <c r="B9" s="241" ph="1">
        <v>0.66666666666666663</v>
      </c>
      <c r="C9" s="156" t="s" ph="1">
        <v>180</v>
      </c>
      <c r="D9" s="71">
        <v>3106</v>
      </c>
      <c r="E9" s="71">
        <v>1884</v>
      </c>
      <c r="F9" s="71">
        <v>5185</v>
      </c>
      <c r="G9" s="71">
        <v>6095</v>
      </c>
      <c r="H9" s="71">
        <v>2632</v>
      </c>
      <c r="I9" s="71">
        <v>0.04</v>
      </c>
      <c r="J9" s="71">
        <v>7.09</v>
      </c>
      <c r="K9" s="71">
        <v>7.39</v>
      </c>
      <c r="L9" s="71">
        <v>9.57</v>
      </c>
      <c r="M9" s="71">
        <v>1448</v>
      </c>
      <c r="N9" s="71">
        <v>3618</v>
      </c>
      <c r="O9" s="71">
        <v>102</v>
      </c>
      <c r="P9" s="71">
        <v>4590</v>
      </c>
      <c r="Q9" s="71">
        <v>0</v>
      </c>
      <c r="R9" s="71">
        <v>0</v>
      </c>
      <c r="S9" s="71">
        <v>2075</v>
      </c>
      <c r="T9" s="71">
        <v>4459</v>
      </c>
      <c r="U9" s="71">
        <v>2333</v>
      </c>
      <c r="V9" s="71">
        <v>0</v>
      </c>
      <c r="W9" s="71">
        <v>0</v>
      </c>
      <c r="X9" s="71">
        <v>0</v>
      </c>
      <c r="Y9" s="71">
        <v>0</v>
      </c>
      <c r="Z9" s="71">
        <v>3054</v>
      </c>
      <c r="AA9" s="71">
        <v>1094</v>
      </c>
      <c r="AB9" s="71">
        <v>1508</v>
      </c>
      <c r="AC9" s="71">
        <v>4120</v>
      </c>
      <c r="AD9" s="71">
        <v>4350</v>
      </c>
      <c r="AE9" s="71">
        <v>3113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97225.625225340002</v>
      </c>
      <c r="E10" s="73" ph="1">
        <f>E9*51.53*LOOKUP(E11,密度!$A$2:$A$50,密度!$B$2:$B$50)</f>
        <v>75093.32922</v>
      </c>
      <c r="F10" s="73" ph="1">
        <f>F9*33.183*LOOKUP(F11,密度!$A$2:$A$50,密度!$C$2:$C$50)</f>
        <v>190394.795943</v>
      </c>
      <c r="G10" s="73" ph="1">
        <f xml:space="preserve"> (G9+2)*51.53*LOOKUP(G11,密度!$A$2:$A$50,密度!$B$2:$B$50)</f>
        <v>243299.76070400001</v>
      </c>
      <c r="H10" s="73" ph="1">
        <f>(H9)*51.53*LOOKUP(H11,密度!$A$2:$A$50,密度!$B$2:$B$50)</f>
        <v>105504.212184</v>
      </c>
      <c r="I10" s="73" ph="1">
        <f>I9*290.8*1.0267</f>
        <v>11.942574400000002</v>
      </c>
      <c r="J10" s="73" ph="1">
        <f>J9*290.8*0.7892</f>
        <v>1627.1504623999999</v>
      </c>
      <c r="K10" s="73" ph="1">
        <f>K9*290.8*1.1126</f>
        <v>2390.9907512000004</v>
      </c>
      <c r="L10" s="73" ph="1">
        <f>L9*290.8*0.777</f>
        <v>2162.356812</v>
      </c>
      <c r="M10" s="73" ph="1">
        <f>M9*33.183*LOOKUP(M11,密度!$A$2:$A$50,密度!$D$2:$D$50)</f>
        <v>49062.817562399992</v>
      </c>
      <c r="N10" s="73" ph="1">
        <f>N9*33.183*LOOKUP(N11,密度!$A$2:$A$50,密度!$E$2:$E$50)</f>
        <v>93355.618694399993</v>
      </c>
      <c r="O10" s="73" ph="1">
        <f>O9*20.428*LOOKUP(O11,密度!$A$2:$A$50,密度!$C$2:$C$50)</f>
        <v>2283.0618791999996</v>
      </c>
      <c r="P10" s="73" ph="1">
        <f>P9*51.53*LOOKUP(P11,密度!$A$2:$A$50,密度!$B$2:$B$50)</f>
        <v>182950.30845000001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13728.63492</v>
      </c>
      <c r="T10" s="73" ph="1">
        <f>T9*1.5*1.5*3.1416*LOOKUP(T11,密度!$A$2:$A$50,密度!$L$2:$L$50)</f>
        <v>29596.235268599998</v>
      </c>
      <c r="U10" s="73" ph="1">
        <f>U9*1.5*1.5*3.1416*LOOKUP(U11,密度!$A$2:$A$50,密度!$L$2:$L$50)</f>
        <v>15452.1080406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94652.383788000006</v>
      </c>
      <c r="AA10" s="73" ph="1">
        <f>AA9*33.183*LOOKUP(AA11,密度!$A$2:$A$50,密度!$D$2:$D$50)</f>
        <v>37068.17846219999</v>
      </c>
      <c r="AB10" s="73" ph="1">
        <f>AB9*20.428*LOOKUP(AB11,密度!$A$2:$A$50,密度!$D$2:$D$50)</f>
        <v>31655.653702400006</v>
      </c>
      <c r="AC10" s="73" ph="1">
        <f>AC9*51.53*LOOKUP(AC11,密度!$A$2:$A$50,密度!$Q$2:$Q$50)</f>
        <v>200272.35498800001</v>
      </c>
      <c r="AD10" s="73" ph="1">
        <f>AD9*20.428*LOOKUP(AD11,密度!$A$2:$A$50,密度!$V$2:$V$50)</f>
        <v>85094.059680000006</v>
      </c>
      <c r="AE10" s="73" ph="1">
        <f>AE9*20.428</f>
        <v>63592.364000000001</v>
      </c>
    </row>
    <row r="11" spans="1:99" ph="1">
      <c r="A11" s="64" t="s" ph="1">
        <v>162</v>
      </c>
      <c r="B11" s="241" ph="1"/>
      <c r="C11" s="156" t="s" ph="1">
        <v>179</v>
      </c>
      <c r="D11" s="74">
        <v>30</v>
      </c>
      <c r="E11" s="74">
        <v>32</v>
      </c>
      <c r="F11" s="74">
        <v>28</v>
      </c>
      <c r="G11" s="74">
        <v>31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39</v>
      </c>
      <c r="P11" s="74">
        <v>32</v>
      </c>
      <c r="Q11" s="74">
        <v>37</v>
      </c>
      <c r="R11" s="74">
        <v>35</v>
      </c>
      <c r="S11" s="74">
        <v>26</v>
      </c>
      <c r="T11" s="74">
        <v>23</v>
      </c>
      <c r="U11" s="74">
        <v>25</v>
      </c>
      <c r="V11" s="74">
        <v>28</v>
      </c>
      <c r="W11" s="74">
        <v>40</v>
      </c>
      <c r="X11" s="74">
        <v>32</v>
      </c>
      <c r="Y11" s="74">
        <v>32</v>
      </c>
      <c r="Z11" s="74">
        <v>28</v>
      </c>
      <c r="AA11" s="74">
        <v>31</v>
      </c>
      <c r="AB11" s="74">
        <v>24</v>
      </c>
      <c r="AC11" s="74">
        <v>30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0</v>
      </c>
      <c r="E15" s="78">
        <v>68</v>
      </c>
      <c r="F15" s="78">
        <v>2583</v>
      </c>
      <c r="G15" s="78">
        <v>4303</v>
      </c>
      <c r="H15" s="78">
        <v>1967</v>
      </c>
      <c r="I15" s="78">
        <v>2670</v>
      </c>
      <c r="J15" s="78">
        <v>1702</v>
      </c>
      <c r="K15" s="78">
        <v>3577</v>
      </c>
      <c r="L15" s="78">
        <v>5843</v>
      </c>
      <c r="M15" s="78">
        <v>6992</v>
      </c>
      <c r="N15" s="78">
        <v>4403</v>
      </c>
      <c r="O15" s="78">
        <v>940</v>
      </c>
      <c r="P15" s="78">
        <v>6985</v>
      </c>
      <c r="Q15" s="78">
        <v>1701</v>
      </c>
      <c r="R15" s="78">
        <v>-13</v>
      </c>
      <c r="S15" s="78">
        <v>6224</v>
      </c>
      <c r="T15" s="78">
        <v>6664</v>
      </c>
      <c r="U15" s="78">
        <v>2279</v>
      </c>
      <c r="V15" s="78">
        <v>1774</v>
      </c>
      <c r="W15" s="71">
        <v>1154</v>
      </c>
      <c r="X15" s="78">
        <v>867</v>
      </c>
      <c r="Y15" s="106">
        <v>-2364</v>
      </c>
      <c r="Z15" s="78">
        <v>0</v>
      </c>
      <c r="AA15" s="78">
        <v>8</v>
      </c>
      <c r="AB15" s="78" ph="1">
        <v>1099</v>
      </c>
      <c r="AC15" s="78" ph="1">
        <v>2155</v>
      </c>
      <c r="AD15" s="78">
        <v>5.65</v>
      </c>
      <c r="AE15" s="78">
        <v>77.5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447.97959360000004</v>
      </c>
      <c r="F16" s="73" ph="1">
        <f>F15*9.0746*LOOKUP(F17,密度!$A$2:$A$50,密度!$L$2:$L$50)</f>
        <v>21845.7927576</v>
      </c>
      <c r="G16" s="73" ph="1">
        <f>G15*9.0746*LOOKUP(G17,密度!$A$2:$A$50,密度!$B$2:$B$50)</f>
        <v>30406.680559059998</v>
      </c>
      <c r="H16" s="73" ph="1">
        <f>H15*9.0746*LOOKUP(H17,密度!$A$2:$A$50,密度!$L$2:$L$50)</f>
        <v>16725.204693399999</v>
      </c>
      <c r="I16" s="73" ph="1">
        <f>I15*9.0746*LOOKUP(I17,密度!$A$2:$A$50,密度!$U$2:$U$50)</f>
        <v>24786.453185999999</v>
      </c>
      <c r="J16" s="73" ph="1">
        <f>J15*9.0746*LOOKUP(J17,密度!$A$2:$A$50,密度!$L$2:$L$50)</f>
        <v>14425.6012328</v>
      </c>
      <c r="K16" s="73" ph="1">
        <f>K15*9.0746*LOOKUP(K17,密度!$A$2:$A$50,密度!$C$2:$C$50)</f>
        <v>35920.063591719998</v>
      </c>
      <c r="L16" s="73" ph="1">
        <f>L15*9.0746*LOOKUP(L17,密度!$A$2:$A$50,密度!$E$2:$E$50)</f>
        <v>41288.922729860002</v>
      </c>
      <c r="M16" s="73" ph="1">
        <f>M15*9.0746*LOOKUP(M17,密度!$A$2:$A$50,密度!$M$2:$M$50)</f>
        <v>55194.809823680007</v>
      </c>
      <c r="N16" s="73" ph="1">
        <f>N15*9.0746*LOOKUP(N17,密度!$A$2:$A$50,密度!$M$2:$M$50)</f>
        <v>34925.070907579997</v>
      </c>
      <c r="O16" s="73" ph="1">
        <f>O15*9.0746*LOOKUP(O17,密度!$A$2:$A$50,密度!$G$2:$G$50)</f>
        <v>8163.3286679999992</v>
      </c>
      <c r="P16" s="73" ph="1">
        <f ca="1">P15*9.0746*LOOKUP(P17,密度!$A$2:$A$51,密度!$Q$2:$Q$50)</f>
        <v>59793.991789729997</v>
      </c>
      <c r="Q16" s="73" ph="1">
        <f>Q15*9.0746*LOOKUP(Q17,密度!$A$2:$A$50,密度!$Q$2:$Q$50)</f>
        <v>14561.142453017999</v>
      </c>
      <c r="R16" s="73" ph="1">
        <f>MAX(R15*9.0746*LOOKUP(R17,密度!$A$2:$A$50,密度!$B$2:$B$50),0)</f>
        <v>0</v>
      </c>
      <c r="S16" s="73" ph="1">
        <f>S15*9.0746*LOOKUP(S17,密度!$A$2:$A$50,密度!$Q$2:$Q$50)</f>
        <v>53279.571209631998</v>
      </c>
      <c r="T16" s="73" ph="1">
        <f>T15*9.0746*LOOKUP(T17,密度!$A$2:$A$50,密度!$O$2:$O$50)</f>
        <v>55998.122454400007</v>
      </c>
      <c r="U16" s="73" ph="1">
        <f>U15*9.0746*LOOKUP(U17,密度!$A$2:$A$50,密度!$H$2:$H$50)</f>
        <v>18879.697132860001</v>
      </c>
      <c r="V16" s="73" ph="1">
        <f>MAX(5600*LOOKUP(V17,密度!$A$2:$A$50,密度!$Q$2:$Q$50)+V15*9.0476*LOOKUP(V17,密度!$A$2:$A$50,密度!$Q$2:$Q$50),0)</f>
        <v>20407.273997391996</v>
      </c>
      <c r="W16" s="73" ph="1">
        <f>MAX(5600*LOOKUP(W17,密度!$A$2:$A$50,密度!$Q$2:$Q$50)+W15*9.0476*LOOKUP(W17,密度!$A$2:$A$50,密度!$Q$2:$Q$50),0)</f>
        <v>15131.890874231998</v>
      </c>
      <c r="X16" s="73" ph="1">
        <f>MAX(5600*LOOKUP(X17,密度!$A$2:$A$50,密度!$I$2:$I$50)+X15*9.0476*LOOKUP(X17,密度!$A$2:$A$50,密度!$I$2:$I$50),0)</f>
        <v>13936.32945272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56.473050720000003</v>
      </c>
      <c r="AB16" s="73" ph="1">
        <f>AB15*9.0746*LOOKUP(AB17,密度!$A$2:$A$50,密度!$L$2:$L$50)</f>
        <v>9324.7413489999999</v>
      </c>
      <c r="AC16" s="73" ph="1">
        <f>AC15*9.0746*LOOKUP(AC17,密度!$A$2:$A$50,密度!$L$2:$L$50)</f>
        <v>18284.638405000002</v>
      </c>
      <c r="AD16" s="73" ph="1">
        <f>AD15*268.68*LOOKUP(AD17,密度!$A$2:$A$50,密度!B2:B50)+IF(AD15&lt;=0,0,1566*LOOKUP(AD17,密度!$A$2:$A$50,密度!B2:B50))</f>
        <v>2404.3191431999999</v>
      </c>
      <c r="AE16" s="73" ph="1">
        <f>AE15*268.68*LOOKUP(AE17,密度!$A$2:$A$50,密度!B2:B50)+IF(AE15&lt;=0,0,1566*LOOKUP(AE17,密度!$A$2:$A$50,密度!B2:B50))</f>
        <v>17454.230520000001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30</v>
      </c>
      <c r="G17" s="74">
        <v>26</v>
      </c>
      <c r="H17" s="74">
        <v>25</v>
      </c>
      <c r="I17" s="74">
        <v>27</v>
      </c>
      <c r="J17" s="74">
        <v>28</v>
      </c>
      <c r="K17" s="74">
        <v>28</v>
      </c>
      <c r="L17" s="74">
        <v>29</v>
      </c>
      <c r="M17" s="74">
        <v>30</v>
      </c>
      <c r="N17" s="74">
        <v>26</v>
      </c>
      <c r="O17" s="74">
        <v>28</v>
      </c>
      <c r="P17" s="74">
        <v>30</v>
      </c>
      <c r="Q17" s="74">
        <v>30</v>
      </c>
      <c r="R17" s="74">
        <v>28</v>
      </c>
      <c r="S17" s="74">
        <v>30</v>
      </c>
      <c r="T17" s="74">
        <v>28</v>
      </c>
      <c r="U17" s="74">
        <v>27</v>
      </c>
      <c r="V17" s="74">
        <v>31</v>
      </c>
      <c r="W17" s="74">
        <v>30</v>
      </c>
      <c r="X17" s="74">
        <v>30</v>
      </c>
      <c r="Y17" s="108">
        <v>30</v>
      </c>
      <c r="Z17" s="74">
        <v>27</v>
      </c>
      <c r="AA17" s="74">
        <v>27</v>
      </c>
      <c r="AB17" s="74">
        <v>27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1617</v>
      </c>
      <c r="E18" s="71">
        <v>66</v>
      </c>
      <c r="F18" s="71">
        <v>2584</v>
      </c>
      <c r="G18" s="71">
        <v>4516</v>
      </c>
      <c r="H18" s="71">
        <v>1967</v>
      </c>
      <c r="I18" s="71">
        <v>2671</v>
      </c>
      <c r="J18" s="71">
        <v>1826</v>
      </c>
      <c r="K18" s="71">
        <v>3578</v>
      </c>
      <c r="L18" s="71">
        <v>5854</v>
      </c>
      <c r="M18" s="71">
        <v>6198</v>
      </c>
      <c r="N18" s="71">
        <v>3606</v>
      </c>
      <c r="O18" s="71">
        <v>940</v>
      </c>
      <c r="P18" s="71">
        <v>6993</v>
      </c>
      <c r="Q18" s="71">
        <v>1702</v>
      </c>
      <c r="R18" s="71">
        <v>-2</v>
      </c>
      <c r="S18" s="71">
        <v>6231</v>
      </c>
      <c r="T18" s="71">
        <v>6319</v>
      </c>
      <c r="U18" s="71">
        <v>2283</v>
      </c>
      <c r="V18" s="71">
        <v>3330</v>
      </c>
      <c r="W18" s="71">
        <v>1775</v>
      </c>
      <c r="X18" s="71">
        <v>863</v>
      </c>
      <c r="Y18" s="109">
        <v>-9907</v>
      </c>
      <c r="Z18" s="71">
        <v>0</v>
      </c>
      <c r="AA18" s="71">
        <v>7</v>
      </c>
      <c r="AB18" s="71">
        <v>1098</v>
      </c>
      <c r="AC18" s="71">
        <v>2157</v>
      </c>
      <c r="AD18" s="71">
        <v>36.44</v>
      </c>
      <c r="AE18" s="71">
        <v>84.77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10629.831366</v>
      </c>
      <c r="E19" s="73" ph="1">
        <f>E18*7.0686*LOOKUP(E20,密度!$A$2:$A$50,密度!$L$2:$L$50)</f>
        <v>433.87066800000002</v>
      </c>
      <c r="F19" s="73" ph="1">
        <f>F18*9.0746*LOOKUP(F20,密度!$A$2:$A$50,密度!$L$2:$L$50)</f>
        <v>21830.801518400003</v>
      </c>
      <c r="G19" s="73" ph="1">
        <f>G18*9.0746*LOOKUP(G20,密度!$A$2:$A$50,密度!$B$2:$B$50)</f>
        <v>31809.369612320002</v>
      </c>
      <c r="H19" s="73" ph="1">
        <f>H18*9.0746*LOOKUP(H20,密度!$A$2:$A$50,密度!$L$2:$L$50)</f>
        <v>16725.204693399999</v>
      </c>
      <c r="I19" s="73" ph="1">
        <f>I18*9.0746*LOOKUP(I20,密度!$A$2:$A$50,密度!$U$2:$U$50)</f>
        <v>24723.021732000001</v>
      </c>
      <c r="J19" s="73" ph="1">
        <f>J18*9.0746*LOOKUP(J20,密度!$A$2:$A$50,密度!$L$2:$L$50)</f>
        <v>15443.444667200001</v>
      </c>
      <c r="K19" s="73" ph="1">
        <f>K18*9.0746*LOOKUP(K20,密度!$A$2:$A$50,密度!$C$2:$C$50)</f>
        <v>35881.402165879997</v>
      </c>
      <c r="L19" s="73" ph="1">
        <f>L18*9.0746*LOOKUP(L20,密度!$A$2:$A$50,密度!$E$2:$E$50)</f>
        <v>41308.218051839998</v>
      </c>
      <c r="M19" s="73" ph="1">
        <f>M18*9.0746*LOOKUP(M20,密度!$A$2:$A$50,密度!$M$2:$M$50)</f>
        <v>48809.989867656004</v>
      </c>
      <c r="N19" s="73" ph="1">
        <f>N18*9.0746*LOOKUP(N20,密度!$A$2:$A$50,密度!$M$2:$M$50)</f>
        <v>28501.739619600001</v>
      </c>
      <c r="O19" s="73" ph="1">
        <f>O18*9.0746*LOOKUP(O20,密度!$A$2:$A$50,密度!$G$2:$G$50)</f>
        <v>8135.2645600399992</v>
      </c>
      <c r="P19" s="73" ph="1">
        <f ca="1">P18*9.0746*LOOKUP(P20,密度!$A$2:$A$51,密度!$Q$2:$Q$50)</f>
        <v>59730.480479250007</v>
      </c>
      <c r="Q19" s="73" ph="1">
        <f>Q18*9.0746*LOOKUP(Q20,密度!$A$2:$A$50,密度!$Q$2:$Q$50)</f>
        <v>14547.616489479999</v>
      </c>
      <c r="R19" s="73" ph="1">
        <f>MAX(R18*9.0746*LOOKUP(R20,密度!$A$2:$A$50,密度!$B$2:$B$50),0)</f>
        <v>0</v>
      </c>
      <c r="S19" s="73" ph="1">
        <f>S18*9.0746*LOOKUP(S20,密度!$A$2:$A$50,密度!$Q$2:$Q$50)</f>
        <v>53297.085732107997</v>
      </c>
      <c r="T19" s="73" ph="1">
        <f>T18*9.0746*LOOKUP(T20,密度!$A$2:$A$50,密度!$O$2:$O$50)</f>
        <v>52777.942566960002</v>
      </c>
      <c r="U19" s="73" ph="1">
        <f>U18*9.0746*LOOKUP(U20,密度!$A$2:$A$50,密度!$H$2:$H$50)</f>
        <v>18852.753737999999</v>
      </c>
      <c r="V19" s="73" ph="1">
        <f>MAX(5600*LOOKUP(V20,密度!$A$2:$A$50,密度!$Q$2:$Q$50)+V18*9.0476*LOOKUP(V20,密度!$A$2:$A$50,密度!$Q$2:$Q$50),0)</f>
        <v>33605.877339719998</v>
      </c>
      <c r="W19" s="73" ph="1">
        <f>MAX(5600*LOOKUP(W20,密度!$A$2:$A$50,密度!$Q$2:$Q$50)+W18*9.0476*LOOKUP(W20,密度!$A$2:$A$50,密度!$Q$2:$Q$50),0)</f>
        <v>20358.621030599999</v>
      </c>
      <c r="X19" s="73" ph="1">
        <f>MAX(5600*LOOKUP(X20,密度!$A$2:$A$50,密度!$I$2:$I$50)+X18*9.0476*LOOKUP(X20,密度!$A$2:$A$50,密度!$I$2:$I$50),0)</f>
        <v>13869.316710719999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49.083603940000003</v>
      </c>
      <c r="AB19" s="73" ph="1">
        <f>AB18*9.0746*LOOKUP(AB20,密度!$A$2:$A$50,密度!$L$2:$L$50)</f>
        <v>9206.6535791999995</v>
      </c>
      <c r="AC19" s="73" ph="1">
        <f>AC18*9.0746*LOOKUP(AC20,密度!$A$2:$A$50,密度!$L$2:$L$50)</f>
        <v>18262.460082599999</v>
      </c>
      <c r="AD19" s="73" ph="1">
        <f>AD18*268.68*LOOKUP(AD20,密度!$A$2:$A$50,密度!B5:B53)+IF(AD18&lt;=0,0,1566*LOOKUP(AD20,密度!$A$2:$A$50,密度!B5:B53))</f>
        <v>8824.1552783999996</v>
      </c>
      <c r="AE19" s="73" ph="1">
        <f>AE18*268.68*LOOKUP(AE20,密度!$A$2:$A$50,密度!B5:B53)+IF(AE18&lt;=0,0,1566*LOOKUP(AE20,密度!$A$2:$A$50,密度!B5:B53))</f>
        <v>18913.736797199999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31</v>
      </c>
      <c r="G20" s="81">
        <v>29</v>
      </c>
      <c r="H20" s="81">
        <v>25</v>
      </c>
      <c r="I20" s="81">
        <v>30</v>
      </c>
      <c r="J20" s="81">
        <v>30</v>
      </c>
      <c r="K20" s="81">
        <v>30</v>
      </c>
      <c r="L20" s="81">
        <v>30</v>
      </c>
      <c r="M20" s="81">
        <v>32</v>
      </c>
      <c r="N20" s="81">
        <v>29</v>
      </c>
      <c r="O20" s="81">
        <v>31</v>
      </c>
      <c r="P20" s="81">
        <v>33</v>
      </c>
      <c r="Q20" s="81">
        <v>32</v>
      </c>
      <c r="R20" s="81">
        <v>45</v>
      </c>
      <c r="S20" s="81">
        <v>31</v>
      </c>
      <c r="T20" s="81">
        <v>34</v>
      </c>
      <c r="U20" s="81">
        <v>30</v>
      </c>
      <c r="V20" s="81">
        <v>34</v>
      </c>
      <c r="W20" s="81">
        <v>35</v>
      </c>
      <c r="X20" s="81">
        <v>32</v>
      </c>
      <c r="Y20" s="110">
        <v>32</v>
      </c>
      <c r="Z20" s="81">
        <v>41</v>
      </c>
      <c r="AA20" s="81">
        <v>33</v>
      </c>
      <c r="AB20" s="81">
        <v>38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79.11</v>
      </c>
      <c r="E24" s="71">
        <v>46.19</v>
      </c>
      <c r="F24" s="71">
        <v>1562</v>
      </c>
      <c r="G24" s="71">
        <v>3905</v>
      </c>
      <c r="H24" s="71">
        <v>3257</v>
      </c>
      <c r="I24" s="71">
        <v>5600</v>
      </c>
      <c r="J24" s="71">
        <v>389</v>
      </c>
      <c r="K24" s="71">
        <v>501</v>
      </c>
      <c r="L24" s="71">
        <v>5609</v>
      </c>
      <c r="M24" s="71">
        <v>4010</v>
      </c>
      <c r="N24" s="71">
        <v>5530</v>
      </c>
      <c r="O24" s="71">
        <v>5595</v>
      </c>
      <c r="P24" s="71">
        <v>359</v>
      </c>
      <c r="Q24" s="90">
        <v>4172</v>
      </c>
      <c r="R24" s="71">
        <v>217</v>
      </c>
      <c r="S24" s="71">
        <v>228</v>
      </c>
      <c r="T24" s="71">
        <v>753</v>
      </c>
      <c r="U24" s="71">
        <v>5128</v>
      </c>
      <c r="V24" s="71">
        <v>7327</v>
      </c>
      <c r="W24" s="71">
        <v>9758</v>
      </c>
      <c r="X24" s="71">
        <v>3583</v>
      </c>
      <c r="Y24" s="71">
        <v>5459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21605.813704152002</v>
      </c>
      <c r="E25" s="91" ph="1">
        <f>E24*268.68*LOOKUP(E26,密度!$A$2:$A$50,密度!$C$2:$C$50)+IF(E24&lt;=0,0,1566*LOOKUP(E26,密度!$A$2:$A$50,密度!$C$2:$C$50))</f>
        <v>15498.35144988</v>
      </c>
      <c r="F25" s="91" ph="1">
        <f>F24*11.702*LOOKUP(F26,密度!$A$2:$A$50,密度!$Q$2:$Q$50)</f>
        <v>17266.259340880002</v>
      </c>
      <c r="G25" s="91" ph="1">
        <f>G24*18.322*LOOKUP(G26,密度!$A$2:$A$50,密度!$B$2:$B$50)</f>
        <v>55535.099642000001</v>
      </c>
      <c r="H25" s="91" ph="1">
        <f>H24*18.322*LOOKUP(H26,密度!$A$2:$A$50,密度!$B$2:$B$50)</f>
        <v>46319.544054800004</v>
      </c>
      <c r="I25" s="91" ph="1">
        <f>I24*18.322*LOOKUP(I26,密度!$A$2:$A$50,密度!$Q$2:$Q$50)</f>
        <v>96788.676655999996</v>
      </c>
      <c r="J25" s="91" ph="1">
        <f>J24*18.322*LOOKUP(J26,密度!$A$2:$A$50,密度!$Q$2:$Q$50)</f>
        <v>6732.5504519599999</v>
      </c>
      <c r="K25" s="91" ph="1">
        <f>K24*18.322*LOOKUP(K26,密度!$A$2:$A$50,密度!$Q$2:$Q$50)</f>
        <v>8664.6374154599998</v>
      </c>
      <c r="L25" s="91" ph="1">
        <f>L24*18.322*LOOKUP(L26,密度!$A$2:$A$50,密度!$Q$2:$Q$50)</f>
        <v>97076.800732760006</v>
      </c>
      <c r="M25" s="91" ph="1">
        <f>M24*18.322*LOOKUP(M26,密度!$A$2:$A$50,密度!$Q$2:$Q$50)</f>
        <v>69307.605962600006</v>
      </c>
      <c r="N25" s="91" ph="1">
        <f>N24*18.322*LOOKUP(N26,密度!$A$2:$A$50,密度!$Q$2:$Q$50)</f>
        <v>95709.521849199984</v>
      </c>
      <c r="O25" s="91" ph="1">
        <f>O24*18.322*LOOKUP(O26,密度!$A$2:$A$50,密度!$C$2:$C$50)</f>
        <v>113439.325494</v>
      </c>
      <c r="P25" s="91" ph="1">
        <f>P24*11.702*LOOKUP(P26,密度!$A$2:$A$50,密度!$B$2:$B$50)</f>
        <v>3260.8301716000001</v>
      </c>
      <c r="Q25" s="92" ph="1">
        <f>Q24*18.322*LOOKUP(Q26,密度!$A$2:$A$50,密度!$B$2:$B$50)</f>
        <v>59263.454415199994</v>
      </c>
      <c r="R25" s="91" ph="1">
        <f>R24*35.891*LOOKUP(R26,密度!$A$2:$A$50,密度!$C$2:$C$50)</f>
        <v>8606.9022697</v>
      </c>
      <c r="S25" s="91" ph="1">
        <f>S24*35.891*LOOKUP(S26,密度!$A$2:$A$50,密度!$B$2:$B$50)</f>
        <v>6351.7594775999996</v>
      </c>
      <c r="T25" s="91" ph="1">
        <f>T24*35.891*LOOKUP(T26,密度!$A$2:$A$50,密度!$Q$2:$Q$50)</f>
        <v>25510.579497390001</v>
      </c>
      <c r="U25" s="91" ph="1">
        <f>U24*35.891</f>
        <v>184049.04799999998</v>
      </c>
      <c r="V25" s="91" ph="1">
        <f>V24*47.051*LOOKUP(V26,密度!$A$2:$A$50,密度!$B$2:$B$50)</f>
        <v>267589.26588740002</v>
      </c>
      <c r="W25" s="91" ph="1">
        <f>W24*47.051*LOOKUP(W26,密度!$A$2:$A$50,密度!$B$2:$B$50)</f>
        <v>356739.08226599998</v>
      </c>
      <c r="X25" s="91" ph="1">
        <f>X24*47.051*LOOKUP(X26,密度!$A$2:$A$50,密度!$I$2:$I$50)</f>
        <v>174753.8976278</v>
      </c>
      <c r="Y25" s="91" ph="1">
        <f>Y24*47.051*LOOKUP(Y26,密度!$A$2:$A$50,密度!$L$2:$L$50)</f>
        <v>239899.21600600003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30</v>
      </c>
      <c r="J26" s="74">
        <v>28</v>
      </c>
      <c r="K26" s="74">
        <v>29</v>
      </c>
      <c r="L26" s="74">
        <v>28</v>
      </c>
      <c r="M26" s="74">
        <v>30</v>
      </c>
      <c r="N26" s="74">
        <v>28</v>
      </c>
      <c r="O26" s="74">
        <v>28</v>
      </c>
      <c r="P26" s="74">
        <v>29</v>
      </c>
      <c r="Q26" s="93">
        <v>30</v>
      </c>
      <c r="R26" s="74">
        <v>30</v>
      </c>
      <c r="S26" s="74">
        <v>29</v>
      </c>
      <c r="T26" s="74">
        <v>29</v>
      </c>
      <c r="U26" s="74">
        <v>28</v>
      </c>
      <c r="V26" s="74">
        <v>29</v>
      </c>
      <c r="W26" s="74">
        <v>28</v>
      </c>
      <c r="X26" s="74">
        <v>30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79.2</v>
      </c>
      <c r="E27" s="71">
        <v>46.17</v>
      </c>
      <c r="F27" s="71">
        <v>1561</v>
      </c>
      <c r="G27" s="71">
        <v>3526</v>
      </c>
      <c r="H27" s="71">
        <v>3248</v>
      </c>
      <c r="I27" s="71">
        <v>5600</v>
      </c>
      <c r="J27" s="71">
        <v>385</v>
      </c>
      <c r="K27" s="71">
        <v>498</v>
      </c>
      <c r="L27" s="71">
        <v>5605</v>
      </c>
      <c r="M27" s="71">
        <v>4009</v>
      </c>
      <c r="N27" s="71">
        <v>5528</v>
      </c>
      <c r="O27" s="71">
        <v>5591</v>
      </c>
      <c r="P27" s="71">
        <v>356</v>
      </c>
      <c r="Q27" s="90">
        <v>4394</v>
      </c>
      <c r="R27" s="71">
        <v>214</v>
      </c>
      <c r="S27" s="71">
        <v>225</v>
      </c>
      <c r="T27" s="71">
        <v>683</v>
      </c>
      <c r="U27" s="71">
        <v>5235</v>
      </c>
      <c r="V27" s="71">
        <v>9540</v>
      </c>
      <c r="W27" s="71">
        <v>9756</v>
      </c>
      <c r="X27" s="71">
        <v>3212</v>
      </c>
      <c r="Y27" s="71">
        <v>3821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21628.707013440006</v>
      </c>
      <c r="E28" s="91" ph="1">
        <f>E27*268.68*LOOKUP(E29,密度!$A$2:$A$50,密度!$C$2:$C$50)+IF(E27&lt;=0,0,1566*LOOKUP(E29,密度!$A$2:$A$50,密度!$C$2:$C$50))</f>
        <v>15492.392664840001</v>
      </c>
      <c r="F28" s="91" ph="1">
        <f>F27*11.702*LOOKUP(F29,密度!$A$2:$A$50,密度!$Q$2:$Q$50)</f>
        <v>17231.64119726</v>
      </c>
      <c r="G28" s="91" ph="1">
        <f>G27*18.322*LOOKUP(G29,密度!$A$2:$A$50,密度!$B$2:$B$50)</f>
        <v>50086.994311599999</v>
      </c>
      <c r="H28" s="91" ph="1">
        <f>H27*18.322*LOOKUP(H29,密度!$A$2:$A$50,密度!$B$2:$B$50)</f>
        <v>46191.550227200001</v>
      </c>
      <c r="I28" s="91" ph="1">
        <f>I27*18.322*LOOKUP(I29,密度!$A$2:$A$50,密度!$Q$2:$Q$50)</f>
        <v>96850.238576000003</v>
      </c>
      <c r="J28" s="91" ph="1">
        <f>J27*18.322*LOOKUP(J29,密度!$A$2:$A$50,密度!$Q$2:$Q$50)</f>
        <v>6630.3085617999996</v>
      </c>
      <c r="K28" s="91" ph="1">
        <f>K27*18.322*LOOKUP(K29,密度!$A$2:$A$50,密度!$Q$2:$Q$50)</f>
        <v>8607.27874548</v>
      </c>
      <c r="L28" s="91" ph="1">
        <f>L27*18.322*LOOKUP(L29,密度!$A$2:$A$50,密度!$Q$2:$Q$50)</f>
        <v>96936.712003299996</v>
      </c>
      <c r="M28" s="91" ph="1">
        <f>M27*18.322*LOOKUP(M29,密度!$A$2:$A$50,密度!$Q$2:$Q$50)</f>
        <v>69290.322270339995</v>
      </c>
      <c r="N28" s="91" ph="1">
        <f>N27*18.322*LOOKUP(N29,密度!$A$2:$A$50,密度!$Q$2:$Q$50)</f>
        <v>95544.250813279985</v>
      </c>
      <c r="O28" s="91" ph="1">
        <f>O27*18.322*LOOKUP(O29,密度!$A$2:$A$50,密度!$C$2:$C$50)</f>
        <v>113286.51818180001</v>
      </c>
      <c r="P28" s="91" ph="1">
        <f>P27*11.702*LOOKUP(P29,密度!$A$2:$A$50,密度!$B$2:$B$50)</f>
        <v>3229.8315736</v>
      </c>
      <c r="Q28" s="92" ph="1">
        <f>Q27*18.322*LOOKUP(Q29,密度!$A$2:$A$50,密度!$B$2:$B$50)</f>
        <v>62489.430941600003</v>
      </c>
      <c r="R28" s="91" ph="1">
        <f>R27*35.891*LOOKUP(R29,密度!$A$2:$A$50,密度!$C$2:$C$50)</f>
        <v>8494.0573766000016</v>
      </c>
      <c r="S28" s="91" ph="1">
        <f>S27*35.891*LOOKUP(S29,密度!$A$2:$A$50,密度!$B$2:$B$50)</f>
        <v>6260.9157674999997</v>
      </c>
      <c r="T28" s="91" ph="1">
        <f>T27*35.891*LOOKUP(T29,密度!$A$2:$A$50,密度!$Q$2:$Q$50)</f>
        <v>23124.36995149</v>
      </c>
      <c r="U28" s="91" ph="1">
        <f>U27*35.891</f>
        <v>187889.38499999998</v>
      </c>
      <c r="V28" s="91" ph="1">
        <f>V27*47.051*LOOKUP(V29,密度!$A$2:$A$50,密度!$B$2:$B$50)</f>
        <v>346031.21568600007</v>
      </c>
      <c r="W28" s="91" ph="1">
        <f>W27*47.051*LOOKUP(W29,密度!$A$2:$A$50,密度!$B$2:$B$50)</f>
        <v>355885.61476680002</v>
      </c>
      <c r="X28" s="91" ph="1">
        <f>X27*47.051*LOOKUP(X29,密度!$A$2:$A$50,密度!$I$2:$I$50)</f>
        <v>155823.35311883999</v>
      </c>
      <c r="Y28" s="91" ph="1">
        <f>Y27*47.051*LOOKUP(Y29,密度!$A$2:$A$50,密度!$L$2:$L$50)</f>
        <v>167736.48564300002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29</v>
      </c>
      <c r="I29" s="74">
        <v>29</v>
      </c>
      <c r="J29" s="74">
        <v>35</v>
      </c>
      <c r="K29" s="74">
        <v>30</v>
      </c>
      <c r="L29" s="74">
        <v>29</v>
      </c>
      <c r="M29" s="74">
        <v>30</v>
      </c>
      <c r="N29" s="74">
        <v>30</v>
      </c>
      <c r="O29" s="74">
        <v>29</v>
      </c>
      <c r="P29" s="74">
        <v>30</v>
      </c>
      <c r="Q29" s="93">
        <v>29</v>
      </c>
      <c r="R29" s="74">
        <v>29</v>
      </c>
      <c r="S29" s="74">
        <v>30</v>
      </c>
      <c r="T29" s="74">
        <v>30</v>
      </c>
      <c r="U29" s="74">
        <v>29</v>
      </c>
      <c r="V29" s="74">
        <v>35</v>
      </c>
      <c r="W29" s="74">
        <v>30</v>
      </c>
      <c r="X29" s="74">
        <v>35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68723.832164599997</v>
      </c>
      <c r="E33" s="190" ph="1">
        <f>M10+I10</f>
        <v>49074.760136799989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6" ph="1">
        <v>0</v>
      </c>
      <c r="H33" s="190" ph="1">
        <f>N19</f>
        <v>28501.739619600001</v>
      </c>
      <c r="I33" s="194" ph="1">
        <v>0</v>
      </c>
      <c r="J33" s="198" ph="1">
        <f>F10+O28</f>
        <v>303681.31412480003</v>
      </c>
      <c r="K33" s="190" ph="1">
        <f>O10+K10+E28+R28</f>
        <v>28660.502671840004</v>
      </c>
      <c r="L33" s="200" ph="1">
        <f>BE27</f>
        <v>7100</v>
      </c>
      <c r="M33" s="198" ph="1">
        <f>G10+H10+W28+S28+V28+E10</f>
        <v>1132075.0483283</v>
      </c>
      <c r="N33" s="190" ph="1">
        <f>L10+P10++G28+H28</f>
        <v>281391.20980080002</v>
      </c>
      <c r="O33" s="194" ph="1">
        <f>BE17</f>
        <v>2270</v>
      </c>
      <c r="P33" s="198" ph="1">
        <f>L19</f>
        <v>41308.218051839998</v>
      </c>
      <c r="Q33" s="190" ph="1">
        <f>J10+N10</f>
        <v>94982.769156799986</v>
      </c>
      <c r="R33" s="194" ph="1">
        <f>BE23</f>
        <v>890</v>
      </c>
      <c r="S33" s="198" ph="1">
        <f>E10+X28</f>
        <v>230916.68233883998</v>
      </c>
      <c r="T33" s="190" ph="1">
        <f>X19</f>
        <v>13869.316710719999</v>
      </c>
      <c r="U33" s="179" ph="1">
        <f>BE21</f>
        <v>730</v>
      </c>
      <c r="V33" s="192" ph="1">
        <f ca="1">P19+Q19+S19+M28+N28+J28</f>
        <v>299040.064346258</v>
      </c>
      <c r="W33" s="192" ph="1">
        <f>D28+F28+V19+T28</f>
        <v>95590.595501909993</v>
      </c>
      <c r="X33" s="194" ph="1">
        <f>BE29+BE31</f>
        <v>10200</v>
      </c>
      <c r="Y33" s="196" ph="1">
        <f>+Q10+R10+S10+T10+U10+V10+W10+X10+Y10</f>
        <v>58776.978229200002</v>
      </c>
      <c r="Z33" s="177" ph="1">
        <f>D10+T19+U19+Y28+Z10</f>
        <v>431245.19096130005</v>
      </c>
      <c r="AA33" s="179" ph="1">
        <f>BE19</f>
        <v>1440</v>
      </c>
      <c r="AB33" s="181" ph="1">
        <f>I19</f>
        <v>24723.021732000001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07" priority="98">
      <formula>ABS(D$7-D$10)&gt;=1000</formula>
    </cfRule>
  </conditionalFormatting>
  <conditionalFormatting sqref="E4 E6:E11">
    <cfRule type="expression" dxfId="1406" priority="97">
      <formula>ABS(E$7-E$10)&gt;=1000</formula>
    </cfRule>
  </conditionalFormatting>
  <conditionalFormatting sqref="F4:F11">
    <cfRule type="expression" dxfId="1405" priority="96">
      <formula>ABS(F$7-F$10)&gt;=1000</formula>
    </cfRule>
  </conditionalFormatting>
  <conditionalFormatting sqref="G4:G11">
    <cfRule type="expression" dxfId="1404" priority="95">
      <formula>ABS(G$7-G$10)&gt;=1000</formula>
    </cfRule>
  </conditionalFormatting>
  <conditionalFormatting sqref="H4:H11">
    <cfRule type="expression" dxfId="1403" priority="94">
      <formula>ABS(H$7-H$10)&gt;=1000</formula>
    </cfRule>
  </conditionalFormatting>
  <conditionalFormatting sqref="I4:I11">
    <cfRule type="expression" dxfId="1402" priority="93">
      <formula>ABS(I$7-I$10)&gt;=1000</formula>
    </cfRule>
  </conditionalFormatting>
  <conditionalFormatting sqref="J4:J11">
    <cfRule type="expression" dxfId="1401" priority="92">
      <formula>ABS(J$7-J$10)&gt;=1000</formula>
    </cfRule>
  </conditionalFormatting>
  <conditionalFormatting sqref="K4:K11">
    <cfRule type="expression" dxfId="1400" priority="91">
      <formula>ABS(K$7-K$10)&gt;=1000</formula>
    </cfRule>
  </conditionalFormatting>
  <conditionalFormatting sqref="L4:L11">
    <cfRule type="expression" dxfId="1399" priority="90">
      <formula>ABS(L$7-L$10)&gt;=1000</formula>
    </cfRule>
  </conditionalFormatting>
  <conditionalFormatting sqref="M4 M6:M11">
    <cfRule type="expression" dxfId="1398" priority="89">
      <formula>ABS(M$7-M$10)&gt;=1000</formula>
    </cfRule>
  </conditionalFormatting>
  <conditionalFormatting sqref="N4 N6:N11">
    <cfRule type="expression" dxfId="1397" priority="88">
      <formula>ABS(N$7-N$10)&gt;=1000</formula>
    </cfRule>
  </conditionalFormatting>
  <conditionalFormatting sqref="O4 O6:O11">
    <cfRule type="expression" dxfId="1396" priority="87">
      <formula>ABS(O$7-O$10)&gt;=1000</formula>
    </cfRule>
  </conditionalFormatting>
  <conditionalFormatting sqref="P4 P6:P11">
    <cfRule type="expression" dxfId="1395" priority="86">
      <formula>ABS(P$7-P$10)&gt;=1000</formula>
    </cfRule>
  </conditionalFormatting>
  <conditionalFormatting sqref="Q4:Q11">
    <cfRule type="expression" dxfId="1394" priority="85">
      <formula>ABS(Q$7-Q$10)&gt;=1000</formula>
    </cfRule>
  </conditionalFormatting>
  <conditionalFormatting sqref="R4:R11">
    <cfRule type="expression" dxfId="1393" priority="84">
      <formula>ABS(R$7-R$10)&gt;=1000</formula>
    </cfRule>
  </conditionalFormatting>
  <conditionalFormatting sqref="S4:S11">
    <cfRule type="expression" dxfId="1392" priority="83">
      <formula>ABS(S$7-S$10)&gt;=1000</formula>
    </cfRule>
  </conditionalFormatting>
  <conditionalFormatting sqref="T4:T9 T11">
    <cfRule type="expression" dxfId="1391" priority="82">
      <formula>ABS(T$7-T$10)&gt;=1000</formula>
    </cfRule>
  </conditionalFormatting>
  <conditionalFormatting sqref="U4:U9 U11">
    <cfRule type="expression" dxfId="1390" priority="81">
      <formula>ABS(U$7-U$10)&gt;=1000</formula>
    </cfRule>
  </conditionalFormatting>
  <conditionalFormatting sqref="V4:V9 V11">
    <cfRule type="expression" dxfId="1389" priority="80">
      <formula>ABS(V$7-V$10)&gt;=1000</formula>
    </cfRule>
  </conditionalFormatting>
  <conditionalFormatting sqref="W4:W9 W11">
    <cfRule type="expression" dxfId="1388" priority="79">
      <formula>ABS(W$7-W$10)&gt;=1000</formula>
    </cfRule>
  </conditionalFormatting>
  <conditionalFormatting sqref="X4:X9 X11">
    <cfRule type="expression" dxfId="1387" priority="78">
      <formula>ABS(X$7-X$10)&gt;=1000</formula>
    </cfRule>
  </conditionalFormatting>
  <conditionalFormatting sqref="Y4:Y9 Y11">
    <cfRule type="expression" dxfId="1386" priority="77">
      <formula>ABS(Y$7-Y$10)&gt;=1000</formula>
    </cfRule>
  </conditionalFormatting>
  <conditionalFormatting sqref="Z4:Z11">
    <cfRule type="expression" dxfId="1385" priority="76">
      <formula>ABS(Z$7-Z$10)&gt;=1000</formula>
    </cfRule>
  </conditionalFormatting>
  <conditionalFormatting sqref="AA4:AA11">
    <cfRule type="expression" dxfId="1384" priority="75">
      <formula>ABS(AA$7-AA$10)&gt;=1000</formula>
    </cfRule>
  </conditionalFormatting>
  <conditionalFormatting sqref="AB4:AB11">
    <cfRule type="expression" dxfId="1383" priority="74">
      <formula>ABS(AB$7-AB$10)&gt;=1000</formula>
    </cfRule>
  </conditionalFormatting>
  <conditionalFormatting sqref="AC4 AC6:AC11">
    <cfRule type="expression" dxfId="1382" priority="73">
      <formula>ABS(AC$7-AC$10)&gt;=1000</formula>
    </cfRule>
  </conditionalFormatting>
  <conditionalFormatting sqref="AD4:AD11">
    <cfRule type="expression" dxfId="1381" priority="72">
      <formula>ABS(AD$7-AD$10)&gt;=1000</formula>
    </cfRule>
  </conditionalFormatting>
  <conditionalFormatting sqref="AE4 AE6:AE11">
    <cfRule type="expression" dxfId="1380" priority="71">
      <formula>ABS(AE$7-AE$10)&gt;=1000</formula>
    </cfRule>
  </conditionalFormatting>
  <conditionalFormatting sqref="D13:D20">
    <cfRule type="expression" dxfId="1379" priority="70">
      <formula>ABS(D$16-D$19)&gt;=1000</formula>
    </cfRule>
  </conditionalFormatting>
  <conditionalFormatting sqref="E13:E20">
    <cfRule type="expression" dxfId="1378" priority="69">
      <formula>ABS(E$16-E$19)&gt;=1000</formula>
    </cfRule>
  </conditionalFormatting>
  <conditionalFormatting sqref="F13 F15:F20">
    <cfRule type="expression" dxfId="1377" priority="68">
      <formula>ABS(F$16-F$19)&gt;=1000</formula>
    </cfRule>
  </conditionalFormatting>
  <conditionalFormatting sqref="G13:G20">
    <cfRule type="expression" dxfId="1376" priority="67">
      <formula>ABS(G$16-G$19)&gt;=1000</formula>
    </cfRule>
  </conditionalFormatting>
  <conditionalFormatting sqref="H13:H20">
    <cfRule type="expression" dxfId="1375" priority="66">
      <formula>ABS(H$16-H$19)&gt;=1000</formula>
    </cfRule>
  </conditionalFormatting>
  <conditionalFormatting sqref="I13:I20">
    <cfRule type="expression" dxfId="1374" priority="65">
      <formula>ABS(I$16-I$19)&gt;=1000</formula>
    </cfRule>
  </conditionalFormatting>
  <conditionalFormatting sqref="J13:J20">
    <cfRule type="expression" dxfId="1373" priority="64">
      <formula>ABS(J$16-J$19)&gt;=1000</formula>
    </cfRule>
  </conditionalFormatting>
  <conditionalFormatting sqref="L13:L20">
    <cfRule type="expression" dxfId="1372" priority="63">
      <formula>ABS(L$16-L$19)&gt;=1000</formula>
    </cfRule>
  </conditionalFormatting>
  <conditionalFormatting sqref="M13 M15 M17:M18 M20">
    <cfRule type="expression" dxfId="1371" priority="62">
      <formula>ABS(M$16-M$19)&gt;=1000</formula>
    </cfRule>
  </conditionalFormatting>
  <conditionalFormatting sqref="N13:N20">
    <cfRule type="expression" dxfId="1370" priority="61">
      <formula>ABS(N$16-N$19)&gt;=1000</formula>
    </cfRule>
  </conditionalFormatting>
  <conditionalFormatting sqref="O13:O20">
    <cfRule type="expression" dxfId="1369" priority="60">
      <formula>ABS(O$16-O$19)&gt;=1000</formula>
    </cfRule>
  </conditionalFormatting>
  <conditionalFormatting sqref="P13:P20">
    <cfRule type="expression" dxfId="1368" priority="59">
      <formula>ABS(P$16-P$19)&gt;=1000</formula>
    </cfRule>
  </conditionalFormatting>
  <conditionalFormatting sqref="Q13 Q15:Q20">
    <cfRule type="expression" dxfId="1367" priority="58">
      <formula>ABS(Q$16-Q$19)&gt;=1000</formula>
    </cfRule>
  </conditionalFormatting>
  <conditionalFormatting sqref="R13:R20">
    <cfRule type="expression" dxfId="1366" priority="57">
      <formula>ABS(R$16-R$19)&gt;=1000</formula>
    </cfRule>
  </conditionalFormatting>
  <conditionalFormatting sqref="S13:S20">
    <cfRule type="expression" dxfId="1365" priority="56">
      <formula>ABS(S$16-S$19)&gt;=1000</formula>
    </cfRule>
  </conditionalFormatting>
  <conditionalFormatting sqref="T13:T20">
    <cfRule type="expression" dxfId="1364" priority="55">
      <formula>ABS(T$16-T$19)&gt;=1000</formula>
    </cfRule>
  </conditionalFormatting>
  <conditionalFormatting sqref="U13:U20">
    <cfRule type="expression" dxfId="1363" priority="54">
      <formula>ABS(U$16-U$19)&gt;=1000</formula>
    </cfRule>
  </conditionalFormatting>
  <conditionalFormatting sqref="V13:V20">
    <cfRule type="expression" dxfId="1362" priority="53">
      <formula>ABS(V$16-V$19)&gt;=1000</formula>
    </cfRule>
  </conditionalFormatting>
  <conditionalFormatting sqref="W13 W20 W15:W18">
    <cfRule type="expression" dxfId="1361" priority="52">
      <formula>ABS(W$16-W$19)&gt;=1000</formula>
    </cfRule>
  </conditionalFormatting>
  <conditionalFormatting sqref="X13 X15:X20 Y19">
    <cfRule type="expression" dxfId="1360" priority="51">
      <formula>ABS(X$16-X$19)&gt;=1000</formula>
    </cfRule>
  </conditionalFormatting>
  <conditionalFormatting sqref="Y13 Y15:Y18 Y20">
    <cfRule type="expression" dxfId="1359" priority="50">
      <formula>ABS(Y$16-Y$19)&gt;=1000</formula>
    </cfRule>
  </conditionalFormatting>
  <conditionalFormatting sqref="Z13:Z20">
    <cfRule type="expression" dxfId="1358" priority="49">
      <formula>ABS(Z$16-Z$19)&gt;=1000</formula>
    </cfRule>
  </conditionalFormatting>
  <conditionalFormatting sqref="AA13:AA20">
    <cfRule type="expression" dxfId="1357" priority="48">
      <formula>ABS(AA$16-AA$19)&gt;=1000</formula>
    </cfRule>
  </conditionalFormatting>
  <conditionalFormatting sqref="AB13 AB15:AB20">
    <cfRule type="expression" dxfId="1356" priority="47">
      <formula>ABS(AB$16-AB$19)&gt;=1000</formula>
    </cfRule>
  </conditionalFormatting>
  <conditionalFormatting sqref="AC13 AC15:AC20">
    <cfRule type="expression" dxfId="1355" priority="46">
      <formula>ABS(AC$16-AC$19)&gt;=1000</formula>
    </cfRule>
  </conditionalFormatting>
  <conditionalFormatting sqref="AD13:AD20">
    <cfRule type="expression" dxfId="1354" priority="45">
      <formula>ABS(AD$16-AD$19)&gt;=1000</formula>
    </cfRule>
  </conditionalFormatting>
  <conditionalFormatting sqref="AE13:AE20">
    <cfRule type="expression" dxfId="1353" priority="44">
      <formula>ABS(AE$16-AE$19)&gt;=1000</formula>
    </cfRule>
  </conditionalFormatting>
  <conditionalFormatting sqref="D22:D29">
    <cfRule type="expression" dxfId="1352" priority="43">
      <formula>ABS(D$25-D$28)&gt;=1000</formula>
    </cfRule>
  </conditionalFormatting>
  <conditionalFormatting sqref="E22:E29">
    <cfRule type="expression" dxfId="1351" priority="42">
      <formula>ABS(E$25-E$28)&gt;=1000</formula>
    </cfRule>
  </conditionalFormatting>
  <conditionalFormatting sqref="F22:F29">
    <cfRule type="expression" dxfId="1350" priority="41">
      <formula>ABS(F$25-F$28)&gt;=1000</formula>
    </cfRule>
  </conditionalFormatting>
  <conditionalFormatting sqref="G22:G29">
    <cfRule type="expression" dxfId="1349" priority="40">
      <formula>ABS(G$25-G$28)&gt;=1000</formula>
    </cfRule>
  </conditionalFormatting>
  <conditionalFormatting sqref="H22:H29">
    <cfRule type="expression" dxfId="1348" priority="39">
      <formula>ABS(H$25-H$28)&gt;=1000</formula>
    </cfRule>
  </conditionalFormatting>
  <conditionalFormatting sqref="I22 I24:I29">
    <cfRule type="expression" dxfId="1347" priority="38">
      <formula>ABS(I$25-I$28)&gt;=1000</formula>
    </cfRule>
  </conditionalFormatting>
  <conditionalFormatting sqref="J22:J29 K22">
    <cfRule type="expression" dxfId="1346" priority="37">
      <formula>ABS(J$25-J$28)&gt;=1000</formula>
    </cfRule>
  </conditionalFormatting>
  <conditionalFormatting sqref="K23:K29 L25 L28">
    <cfRule type="expression" dxfId="1345" priority="36">
      <formula>ABS(K$25-K$28)&gt;=1000</formula>
    </cfRule>
  </conditionalFormatting>
  <conditionalFormatting sqref="L22 L26:L27 L29 L24">
    <cfRule type="expression" dxfId="1344" priority="35">
      <formula>ABS(L$25-L$28)&gt;=1000</formula>
    </cfRule>
  </conditionalFormatting>
  <conditionalFormatting sqref="M22:M29">
    <cfRule type="expression" dxfId="1343" priority="34">
      <formula>ABS(M$25-M$28)&gt;=1000</formula>
    </cfRule>
  </conditionalFormatting>
  <conditionalFormatting sqref="N22:N29">
    <cfRule type="expression" dxfId="1342" priority="33">
      <formula>ABS(N$25-N$28)&gt;=1000</formula>
    </cfRule>
  </conditionalFormatting>
  <conditionalFormatting sqref="O22:O29">
    <cfRule type="expression" dxfId="1341" priority="32">
      <formula>ABS(O$25-O$28)&gt;=1000</formula>
    </cfRule>
  </conditionalFormatting>
  <conditionalFormatting sqref="P22:P29">
    <cfRule type="expression" dxfId="1340" priority="31">
      <formula>ABS(P$25-P$28)&gt;=1000</formula>
    </cfRule>
  </conditionalFormatting>
  <conditionalFormatting sqref="Q22:Q29">
    <cfRule type="expression" dxfId="1339" priority="30">
      <formula>ABS(Q$25-Q$28)&gt;=1000</formula>
    </cfRule>
  </conditionalFormatting>
  <conditionalFormatting sqref="R22:R29">
    <cfRule type="expression" dxfId="1338" priority="29">
      <formula>ABS(R$25-R$28)&gt;=1000</formula>
    </cfRule>
  </conditionalFormatting>
  <conditionalFormatting sqref="S22:S29">
    <cfRule type="expression" dxfId="1337" priority="28">
      <formula>ABS(S$25-S$28)&gt;=1000</formula>
    </cfRule>
  </conditionalFormatting>
  <conditionalFormatting sqref="T22:T29">
    <cfRule type="expression" dxfId="1336" priority="27">
      <formula>ABS(T$25-T$28)&gt;=1000</formula>
    </cfRule>
  </conditionalFormatting>
  <conditionalFormatting sqref="U22:U29">
    <cfRule type="expression" dxfId="1335" priority="26">
      <formula>ABS(U$25-U$28)&gt;=1000</formula>
    </cfRule>
  </conditionalFormatting>
  <conditionalFormatting sqref="V22:V29">
    <cfRule type="expression" dxfId="1334" priority="25">
      <formula>ABS(V$25-V$28)&gt;=1000</formula>
    </cfRule>
  </conditionalFormatting>
  <conditionalFormatting sqref="W22:W29">
    <cfRule type="expression" dxfId="1333" priority="24">
      <formula>ABS(W$25-W$28)&gt;=1000</formula>
    </cfRule>
  </conditionalFormatting>
  <conditionalFormatting sqref="X22:X29">
    <cfRule type="expression" dxfId="1332" priority="23">
      <formula>ABS(X$25-X$28)&gt;=1000</formula>
    </cfRule>
  </conditionalFormatting>
  <conditionalFormatting sqref="Y22:Y29">
    <cfRule type="expression" dxfId="1331" priority="22">
      <formula>ABS(Y$25-Y$28)&gt;=1000</formula>
    </cfRule>
  </conditionalFormatting>
  <conditionalFormatting sqref="I23">
    <cfRule type="expression" dxfId="1330" priority="21">
      <formula>ABS(I$25-I$28)&gt;=1000</formula>
    </cfRule>
  </conditionalFormatting>
  <conditionalFormatting sqref="Q14">
    <cfRule type="expression" dxfId="1329" priority="20">
      <formula>ABS(Q$16-Q$19)&gt;=1000</formula>
    </cfRule>
  </conditionalFormatting>
  <conditionalFormatting sqref="W14">
    <cfRule type="expression" dxfId="1328" priority="19">
      <formula>ABS(W$16-W$19)&gt;=1000</formula>
    </cfRule>
  </conditionalFormatting>
  <conditionalFormatting sqref="Y14">
    <cfRule type="expression" dxfId="1327" priority="18">
      <formula>ABS(Y$16-Y$19)&gt;=1000</formula>
    </cfRule>
  </conditionalFormatting>
  <conditionalFormatting sqref="X14">
    <cfRule type="expression" dxfId="1326" priority="17">
      <formula>ABS(X$16-X$19)&gt;=1000</formula>
    </cfRule>
  </conditionalFormatting>
  <conditionalFormatting sqref="T10:Y10">
    <cfRule type="expression" dxfId="1325" priority="16">
      <formula>ABS(T$7-T$10)&gt;=1000</formula>
    </cfRule>
  </conditionalFormatting>
  <conditionalFormatting sqref="W19">
    <cfRule type="expression" dxfId="1324" priority="15">
      <formula>ABS(W$16-W$19)&gt;=1000</formula>
    </cfRule>
  </conditionalFormatting>
  <conditionalFormatting sqref="AC5">
    <cfRule type="expression" dxfId="1323" priority="14">
      <formula>ABS(AC$7-AC$10)&gt;=1000</formula>
    </cfRule>
  </conditionalFormatting>
  <conditionalFormatting sqref="M14">
    <cfRule type="expression" dxfId="1322" priority="13">
      <formula>ABS(M$16-M$19)&gt;=1000</formula>
    </cfRule>
  </conditionalFormatting>
  <conditionalFormatting sqref="M16">
    <cfRule type="expression" dxfId="1321" priority="12">
      <formula>ABS(M$16-M$19)&gt;=1000</formula>
    </cfRule>
  </conditionalFormatting>
  <conditionalFormatting sqref="M19">
    <cfRule type="expression" dxfId="1320" priority="11">
      <formula>ABS(M$16-M$19)&gt;=1000</formula>
    </cfRule>
  </conditionalFormatting>
  <conditionalFormatting sqref="K13:K20">
    <cfRule type="expression" dxfId="1319" priority="10">
      <formula>ABS(K$16-K$19)&gt;=1000</formula>
    </cfRule>
  </conditionalFormatting>
  <conditionalFormatting sqref="E5">
    <cfRule type="expression" dxfId="1318" priority="9">
      <formula>ABS(E$7-E$10)&gt;=1000</formula>
    </cfRule>
  </conditionalFormatting>
  <conditionalFormatting sqref="AB14:AC14">
    <cfRule type="expression" dxfId="1317" priority="8">
      <formula>ABS(AB$16-AB$19)&gt;=1000</formula>
    </cfRule>
  </conditionalFormatting>
  <conditionalFormatting sqref="M5">
    <cfRule type="expression" dxfId="1316" priority="7">
      <formula>ABS(M$7-M$10)&gt;=1000</formula>
    </cfRule>
  </conditionalFormatting>
  <conditionalFormatting sqref="N5">
    <cfRule type="expression" dxfId="1315" priority="6">
      <formula>ABS(N$7-N$10)&gt;=1000</formula>
    </cfRule>
  </conditionalFormatting>
  <conditionalFormatting sqref="O5">
    <cfRule type="expression" dxfId="1314" priority="5">
      <formula>ABS(O$7-O$10)&gt;=1000</formula>
    </cfRule>
  </conditionalFormatting>
  <conditionalFormatting sqref="P5">
    <cfRule type="expression" dxfId="1313" priority="4">
      <formula>ABS(P$7-P$10)&gt;=1000</formula>
    </cfRule>
  </conditionalFormatting>
  <conditionalFormatting sqref="L23">
    <cfRule type="expression" dxfId="1312" priority="3">
      <formula>ABS(L$25-L$28)&gt;=1000</formula>
    </cfRule>
  </conditionalFormatting>
  <conditionalFormatting sqref="F14">
    <cfRule type="expression" dxfId="1311" priority="2">
      <formula>ABS(F$16-F$19)&gt;=1000</formula>
    </cfRule>
  </conditionalFormatting>
  <conditionalFormatting sqref="AE5">
    <cfRule type="expression" dxfId="131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49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5">
    <pageSetUpPr fitToPage="1"/>
  </sheetPr>
  <dimension ref="A1:CU223"/>
  <sheetViews>
    <sheetView view="pageBreakPreview" zoomScale="80" zoomScaleNormal="100" zoomScaleSheetLayoutView="80" workbookViewId="0">
      <selection activeCell="Q13" sqref="Q1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45947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1824</v>
      </c>
      <c r="E6" s="71">
        <v>1597</v>
      </c>
      <c r="F6" s="71">
        <v>5182</v>
      </c>
      <c r="G6" s="71">
        <v>5516</v>
      </c>
      <c r="H6" s="71">
        <v>2632</v>
      </c>
      <c r="I6" s="71">
        <v>0.05</v>
      </c>
      <c r="J6" s="71">
        <v>7.01</v>
      </c>
      <c r="K6" s="71">
        <v>7.26</v>
      </c>
      <c r="L6" s="71">
        <v>37.08</v>
      </c>
      <c r="M6" s="71">
        <v>1448</v>
      </c>
      <c r="N6" s="71">
        <v>3388</v>
      </c>
      <c r="O6" s="71">
        <v>103</v>
      </c>
      <c r="P6" s="71">
        <v>4669</v>
      </c>
      <c r="Q6" s="71">
        <v>0</v>
      </c>
      <c r="R6" s="71">
        <v>0</v>
      </c>
      <c r="S6" s="71">
        <v>0</v>
      </c>
      <c r="T6" s="71">
        <v>4461</v>
      </c>
      <c r="U6" s="71">
        <v>2335</v>
      </c>
      <c r="V6" s="71">
        <v>0</v>
      </c>
      <c r="W6" s="71">
        <v>0</v>
      </c>
      <c r="X6" s="71">
        <v>0</v>
      </c>
      <c r="Y6" s="71">
        <v>1</v>
      </c>
      <c r="Z6" s="71">
        <v>3537</v>
      </c>
      <c r="AA6" s="71">
        <v>1145</v>
      </c>
      <c r="AB6" s="71">
        <v>1508</v>
      </c>
      <c r="AC6" s="71">
        <v>4124</v>
      </c>
      <c r="AD6" s="71">
        <v>4350</v>
      </c>
      <c r="AE6" s="71">
        <v>3120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57132.110842560003</v>
      </c>
      <c r="E7" s="73" ph="1">
        <f>E6*51.53*LOOKUP(E8,密度!$A$2:$A$50,密度!$B$2:$B$50)</f>
        <v>63941.979570000003</v>
      </c>
      <c r="F7" s="73" ph="1">
        <f>F6*33.183*LOOKUP(F8,密度!$A$2:$A$50,密度!$C$2:$C$50)</f>
        <v>190422.19846439999</v>
      </c>
      <c r="G7" s="73" ph="1">
        <f xml:space="preserve"> (G6+2)*51.53*LOOKUP(G8,密度!$A$2:$A$50,密度!$B$2:$B$50)</f>
        <v>220934.15357999998</v>
      </c>
      <c r="H7" s="73" ph="1">
        <f>(H6)*51.53*LOOKUP(H8,密度!$A$2:$A$50,密度!$B$2:$B$50)</f>
        <v>105382.14792</v>
      </c>
      <c r="I7" s="73" ph="1">
        <f>I6*290.8*1.0267</f>
        <v>14.928217999999999</v>
      </c>
      <c r="J7" s="73" ph="1">
        <f>J6*290.8*0.7892</f>
        <v>1608.7905136000002</v>
      </c>
      <c r="K7" s="73" ph="1">
        <f>K6*290.8*1.1126</f>
        <v>2348.9300208</v>
      </c>
      <c r="L7" s="73" ph="1">
        <f>L6*290.8*0.777</f>
        <v>8378.2853279999999</v>
      </c>
      <c r="M7" s="73" ph="1">
        <f>M6*33.183*LOOKUP(M8,密度!$A$2:$A$50,密度!$D$2:$D$50)</f>
        <v>49197.354717599999</v>
      </c>
      <c r="N7" s="73" ph="1">
        <f>N6*33.183*LOOKUP(N8,密度!$A$2:$A$50,密度!$E$2:$E$50)</f>
        <v>87420.9055104</v>
      </c>
      <c r="O7" s="73" ph="1">
        <f>O6*20.428*LOOKUP(O8,密度!$A$2:$A$50,密度!$C$2:$C$50)</f>
        <v>2326.9064956000007</v>
      </c>
      <c r="P7" s="73" ph="1">
        <f>P6*51.53*LOOKUP(P8,密度!$A$2:$A$50,密度!$B$2:$B$50)</f>
        <v>186941.20389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29641.043124</v>
      </c>
      <c r="U7" s="73" ph="1">
        <f>U6*1.5*1.5*3.1416*LOOKUP(U8,密度!$A$2:$A$50,密度!$L$2:$L$50)</f>
        <v>15465.354597000001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6.6162096000000004</v>
      </c>
      <c r="Z7" s="73" ph="1">
        <f>Z6*33.183*LOOKUP(Z8,密度!$A$2:$A$50,密度!$L$2:$L$50)</f>
        <v>109739.33338500001</v>
      </c>
      <c r="AA7" s="73" ph="1">
        <f>AA6*33.183*LOOKUP(AA8,密度!$A$2:$A$50,密度!$D$2:$D$50)</f>
        <v>38936.79946799999</v>
      </c>
      <c r="AB7" s="73" ph="1">
        <f>AB6*20.428*LOOKUP(AB8,密度!$A$2:$A$50,密度!$D$2:$D$50)</f>
        <v>31744.989432000002</v>
      </c>
      <c r="AC7" s="73" ph="1">
        <f>AC6*51.53*LOOKUP(AC8,密度!$A$2:$A$50,密度!$Q$2:$Q$50)</f>
        <v>201191.45231280001</v>
      </c>
      <c r="AD7" s="73" ph="1">
        <f>AD6*20.428*LOOKUP(AD8,密度!$A$2:$A$50,密度!$V$2:$V$50)</f>
        <v>85094.059680000006</v>
      </c>
      <c r="AE7" s="73" ph="1">
        <f>AE6*20.428</f>
        <v>63735.360000000001</v>
      </c>
    </row>
    <row r="8" spans="1:99" ph="1">
      <c r="B8" s="241" ph="1"/>
      <c r="C8" s="68" t="s" ph="1">
        <v>179</v>
      </c>
      <c r="D8" s="74">
        <v>29</v>
      </c>
      <c r="E8" s="74">
        <v>28</v>
      </c>
      <c r="F8" s="74">
        <v>27</v>
      </c>
      <c r="G8" s="74">
        <v>28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29</v>
      </c>
      <c r="P8" s="74">
        <v>28</v>
      </c>
      <c r="Q8" s="74">
        <v>27</v>
      </c>
      <c r="R8" s="74">
        <v>32</v>
      </c>
      <c r="S8" s="74">
        <v>24</v>
      </c>
      <c r="T8" s="74">
        <v>22</v>
      </c>
      <c r="U8" s="74">
        <v>25</v>
      </c>
      <c r="V8" s="74">
        <v>28</v>
      </c>
      <c r="W8" s="74">
        <v>27</v>
      </c>
      <c r="X8" s="74">
        <v>18</v>
      </c>
      <c r="Y8" s="74">
        <v>26</v>
      </c>
      <c r="Z8" s="74">
        <v>27</v>
      </c>
      <c r="AA8" s="74">
        <v>27</v>
      </c>
      <c r="AB8" s="74">
        <v>21</v>
      </c>
      <c r="AC8" s="74">
        <v>25</v>
      </c>
      <c r="AD8" s="74">
        <v>26</v>
      </c>
      <c r="AE8" s="74">
        <v>28</v>
      </c>
    </row>
    <row r="9" spans="1:99" ht="26.4" ph="1">
      <c r="B9" s="241" ph="1">
        <v>0.66666666666666663</v>
      </c>
      <c r="C9" s="156" t="s" ph="1">
        <v>180</v>
      </c>
      <c r="D9" s="71">
        <v>1646</v>
      </c>
      <c r="E9" s="71">
        <v>1336</v>
      </c>
      <c r="F9" s="71">
        <v>5185</v>
      </c>
      <c r="G9" s="71">
        <v>5249</v>
      </c>
      <c r="H9" s="71">
        <v>2632</v>
      </c>
      <c r="I9" s="71">
        <v>0.04</v>
      </c>
      <c r="J9" s="71">
        <v>7.08</v>
      </c>
      <c r="K9" s="71">
        <v>7.38</v>
      </c>
      <c r="L9" s="71">
        <v>34.880000000000003</v>
      </c>
      <c r="M9" s="71">
        <v>1448</v>
      </c>
      <c r="N9" s="71">
        <v>3210</v>
      </c>
      <c r="O9" s="71">
        <v>103</v>
      </c>
      <c r="P9" s="71">
        <v>5003</v>
      </c>
      <c r="Q9" s="71">
        <v>0</v>
      </c>
      <c r="R9" s="71">
        <v>0</v>
      </c>
      <c r="S9" s="71">
        <v>0</v>
      </c>
      <c r="T9" s="71">
        <v>6834</v>
      </c>
      <c r="U9" s="71">
        <v>4466</v>
      </c>
      <c r="V9" s="71">
        <v>0</v>
      </c>
      <c r="W9" s="71">
        <v>0</v>
      </c>
      <c r="X9" s="71">
        <v>0</v>
      </c>
      <c r="Y9" s="71">
        <v>0</v>
      </c>
      <c r="Z9" s="71">
        <v>3535</v>
      </c>
      <c r="AA9" s="71">
        <v>1147</v>
      </c>
      <c r="AB9" s="71">
        <v>2190</v>
      </c>
      <c r="AC9" s="71">
        <v>4504</v>
      </c>
      <c r="AD9" s="71">
        <v>4350</v>
      </c>
      <c r="AE9" s="71">
        <v>2976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51523.946915940003</v>
      </c>
      <c r="E10" s="73" ph="1">
        <f>E9*51.53*LOOKUP(E11,密度!$A$2:$A$50,密度!$B$2:$B$50)</f>
        <v>53250.895879999996</v>
      </c>
      <c r="F10" s="73" ph="1">
        <f>F9*33.183*LOOKUP(F11,密度!$A$2:$A$50,密度!$C$2:$C$50)</f>
        <v>190394.795943</v>
      </c>
      <c r="G10" s="73" ph="1">
        <f xml:space="preserve"> (G9+2)*51.53*LOOKUP(G11,密度!$A$2:$A$50,密度!$B$2:$B$50)</f>
        <v>209783.79845900001</v>
      </c>
      <c r="H10" s="73" ph="1">
        <f>(H9)*51.53*LOOKUP(H11,密度!$A$2:$A$50,密度!$B$2:$B$50)</f>
        <v>105504.212184</v>
      </c>
      <c r="I10" s="73" ph="1">
        <f>I9*290.8*1.0267</f>
        <v>11.942574400000002</v>
      </c>
      <c r="J10" s="73" ph="1">
        <f>J9*290.8*0.7892</f>
        <v>1624.8554688000002</v>
      </c>
      <c r="K10" s="73" ph="1">
        <f>K9*290.8*1.1126</f>
        <v>2387.7553104000003</v>
      </c>
      <c r="L10" s="73" ph="1">
        <f>L9*290.8*0.777</f>
        <v>7881.1918080000014</v>
      </c>
      <c r="M10" s="73" ph="1">
        <f>M9*33.183*LOOKUP(M11,密度!$A$2:$A$50,密度!$D$2:$D$50)</f>
        <v>49062.817562399992</v>
      </c>
      <c r="N10" s="73" ph="1">
        <f>N9*33.183*LOOKUP(N11,密度!$A$2:$A$50,密度!$E$2:$E$50)</f>
        <v>82705.458523499998</v>
      </c>
      <c r="O10" s="73" ph="1">
        <f>O9*20.428*LOOKUP(O11,密度!$A$2:$A$50,密度!$C$2:$C$50)</f>
        <v>2309.8634152000004</v>
      </c>
      <c r="P10" s="73" ph="1">
        <f>P9*51.53*LOOKUP(P11,密度!$A$2:$A$50,密度!$B$2:$B$50)</f>
        <v>199411.85036499999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45360.096843599997</v>
      </c>
      <c r="U10" s="73" ph="1">
        <f>U9*1.5*1.5*3.1416*LOOKUP(U11,密度!$A$2:$A$50,密度!$L$2:$L$50)</f>
        <v>29547.992073599999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109677.28117500001</v>
      </c>
      <c r="AA10" s="73" ph="1">
        <f>AA9*33.183*LOOKUP(AA11,密度!$A$2:$A$50,密度!$D$2:$D$50)</f>
        <v>38863.986011099994</v>
      </c>
      <c r="AB10" s="73" ph="1">
        <f>AB9*20.428*LOOKUP(AB11,密度!$A$2:$A$50,密度!$D$2:$D$50)</f>
        <v>46016.807351999996</v>
      </c>
      <c r="AC10" s="73" ph="1">
        <f>AC9*51.53*LOOKUP(AC11,密度!$A$2:$A$50,密度!$Q$2:$Q$50)</f>
        <v>218938.51622960001</v>
      </c>
      <c r="AD10" s="73" ph="1">
        <f>AD9*20.428*LOOKUP(AD11,密度!$A$2:$A$50,密度!$V$2:$V$50)</f>
        <v>85094.059680000006</v>
      </c>
      <c r="AE10" s="73" ph="1">
        <f>AE9*20.428</f>
        <v>60793.728000000003</v>
      </c>
    </row>
    <row r="11" spans="1:99" ph="1">
      <c r="A11" s="64" t="s" ph="1">
        <v>162</v>
      </c>
      <c r="B11" s="241" ph="1"/>
      <c r="C11" s="156" t="s" ph="1">
        <v>179</v>
      </c>
      <c r="D11" s="74">
        <v>30</v>
      </c>
      <c r="E11" s="74">
        <v>32</v>
      </c>
      <c r="F11" s="74">
        <v>28</v>
      </c>
      <c r="G11" s="74">
        <v>30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37</v>
      </c>
      <c r="P11" s="74">
        <v>32</v>
      </c>
      <c r="Q11" s="74">
        <v>35</v>
      </c>
      <c r="R11" s="74">
        <v>36</v>
      </c>
      <c r="S11" s="74">
        <v>28</v>
      </c>
      <c r="T11" s="74">
        <v>23</v>
      </c>
      <c r="U11" s="74">
        <v>26</v>
      </c>
      <c r="V11" s="74">
        <v>28</v>
      </c>
      <c r="W11" s="74">
        <v>37</v>
      </c>
      <c r="X11" s="74">
        <v>30</v>
      </c>
      <c r="Y11" s="74">
        <v>32</v>
      </c>
      <c r="Z11" s="74">
        <v>27</v>
      </c>
      <c r="AA11" s="74">
        <v>31</v>
      </c>
      <c r="AB11" s="74">
        <v>23</v>
      </c>
      <c r="AC11" s="74">
        <v>30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1305</v>
      </c>
      <c r="E15" s="78">
        <v>68</v>
      </c>
      <c r="F15" s="78">
        <v>2582</v>
      </c>
      <c r="G15" s="78">
        <v>4600</v>
      </c>
      <c r="H15" s="78">
        <v>1966</v>
      </c>
      <c r="I15" s="78">
        <v>2670</v>
      </c>
      <c r="J15" s="78">
        <v>2081</v>
      </c>
      <c r="K15" s="78">
        <v>3577</v>
      </c>
      <c r="L15" s="78">
        <v>5841</v>
      </c>
      <c r="M15" s="78">
        <v>6940</v>
      </c>
      <c r="N15" s="78">
        <v>2835</v>
      </c>
      <c r="O15" s="78">
        <v>939</v>
      </c>
      <c r="P15" s="78">
        <v>6981</v>
      </c>
      <c r="Q15" s="78">
        <v>1701</v>
      </c>
      <c r="R15" s="78">
        <v>-12</v>
      </c>
      <c r="S15" s="78">
        <v>6224</v>
      </c>
      <c r="T15" s="78">
        <v>6315</v>
      </c>
      <c r="U15" s="78">
        <v>2282</v>
      </c>
      <c r="V15" s="78">
        <v>4978</v>
      </c>
      <c r="W15" s="71">
        <v>4557</v>
      </c>
      <c r="X15" s="78">
        <v>866</v>
      </c>
      <c r="Y15" s="106">
        <v>-2366</v>
      </c>
      <c r="Z15" s="78">
        <v>0</v>
      </c>
      <c r="AA15" s="78">
        <v>8</v>
      </c>
      <c r="AB15" s="78" ph="1">
        <v>1098</v>
      </c>
      <c r="AC15" s="78" ph="1">
        <v>2154</v>
      </c>
      <c r="AD15" s="78">
        <v>8.6999999999999993</v>
      </c>
      <c r="AE15" s="78">
        <v>73.02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8597.2554359999995</v>
      </c>
      <c r="E16" s="73" ph="1">
        <f>E15*7.0686*LOOKUP(E17,密度!$A$2:$A$50,密度!$L$2:$L$50)</f>
        <v>447.97959360000004</v>
      </c>
      <c r="F16" s="73" ph="1">
        <f>F15*9.0746*LOOKUP(F17,密度!$A$2:$A$50,密度!$L$2:$L$50)</f>
        <v>21860.765847600003</v>
      </c>
      <c r="G16" s="73" ph="1">
        <f>G15*9.0746*LOOKUP(G17,密度!$A$2:$A$50,密度!$B$2:$B$50)</f>
        <v>32472.004164000005</v>
      </c>
      <c r="H16" s="73" ph="1">
        <f>H15*9.0746*LOOKUP(H17,密度!$A$2:$A$50,密度!$L$2:$L$50)</f>
        <v>16734.542456799998</v>
      </c>
      <c r="I16" s="73" ph="1">
        <f>I15*9.0746*LOOKUP(I17,密度!$A$2:$A$50,密度!$U$2:$U$50)</f>
        <v>24810.682368000002</v>
      </c>
      <c r="J16" s="73" ph="1">
        <f>J15*9.0746*LOOKUP(J17,密度!$A$2:$A$50,密度!$L$2:$L$50)</f>
        <v>17637.882588400003</v>
      </c>
      <c r="K16" s="73" ph="1">
        <f>K15*9.0746*LOOKUP(K17,密度!$A$2:$A$50,密度!$C$2:$C$50)</f>
        <v>35946.03146708</v>
      </c>
      <c r="L16" s="73" ph="1">
        <f>L15*9.0746*LOOKUP(L17,密度!$A$2:$A$50,密度!$E$2:$E$50)</f>
        <v>41216.484735359998</v>
      </c>
      <c r="M16" s="73" ph="1">
        <f>M15*9.0746*LOOKUP(M17,密度!$A$2:$A$50,密度!$M$2:$M$50)</f>
        <v>54784.322107600005</v>
      </c>
      <c r="N16" s="73" ph="1">
        <f>N15*9.0746*LOOKUP(N17,密度!$A$2:$A$50,密度!$M$2:$M$50)</f>
        <v>22461.7992921</v>
      </c>
      <c r="O16" s="73" ph="1">
        <f>O15*9.0746*LOOKUP(O17,密度!$A$2:$A$50,密度!$G$2:$G$50)</f>
        <v>8171.6863745999999</v>
      </c>
      <c r="P16" s="73" ph="1">
        <f ca="1">P15*9.0746*LOOKUP(P17,密度!$A$2:$A$51,密度!$Q$2:$Q$50)</f>
        <v>59759.750420058001</v>
      </c>
      <c r="Q16" s="73" ph="1">
        <f>Q15*9.0746*LOOKUP(Q17,密度!$A$2:$A$50,密度!$Q$2:$Q$50)</f>
        <v>14561.142453017999</v>
      </c>
      <c r="R16" s="73" ph="1">
        <f>MAX(R15*9.0746*LOOKUP(R17,密度!$A$2:$A$50,密度!$B$2:$B$50),0)</f>
        <v>0</v>
      </c>
      <c r="S16" s="73" ph="1">
        <f>S15*9.0746*LOOKUP(S17,密度!$A$2:$A$50,密度!$Q$2:$Q$50)</f>
        <v>53279.571209631998</v>
      </c>
      <c r="T16" s="73" ph="1">
        <f>T15*9.0746*LOOKUP(T17,密度!$A$2:$A$50,密度!$O$2:$O$50)</f>
        <v>53065.447674000003</v>
      </c>
      <c r="U16" s="73" ph="1">
        <f>U15*9.0746*LOOKUP(U17,密度!$A$2:$A$50,密度!$H$2:$H$50)</f>
        <v>18904.54973988</v>
      </c>
      <c r="V16" s="73" ph="1">
        <f>MAX(5600*LOOKUP(V17,密度!$A$2:$A$50,密度!$Q$2:$Q$50)+V15*9.0476*LOOKUP(V17,密度!$A$2:$A$50,密度!$Q$2:$Q$50),0)</f>
        <v>47731.264130223994</v>
      </c>
      <c r="W16" s="73" ph="1">
        <f>MAX(5600*LOOKUP(W17,密度!$A$2:$A$50,密度!$Q$2:$Q$50)+W15*9.0476*LOOKUP(W17,密度!$A$2:$A$50,密度!$Q$2:$Q$50),0)</f>
        <v>44140.939584055988</v>
      </c>
      <c r="X16" s="73" ph="1">
        <f>MAX(5600*LOOKUP(X17,密度!$A$2:$A$50,密度!$I$2:$I$50)+X15*9.0476*LOOKUP(X17,密度!$A$2:$A$50,密度!$I$2:$I$50),0)</f>
        <v>13926.950710559999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56.596465279999997</v>
      </c>
      <c r="AB16" s="73" ph="1">
        <f>AB15*9.0746*LOOKUP(AB17,密度!$A$2:$A$50,密度!$L$2:$L$50)</f>
        <v>9326.220508800001</v>
      </c>
      <c r="AC16" s="73" ph="1">
        <f>AC15*9.0746*LOOKUP(AC17,密度!$A$2:$A$50,密度!$L$2:$L$50)</f>
        <v>18276.153654000002</v>
      </c>
      <c r="AD16" s="73" ph="1">
        <f>AD15*268.68*LOOKUP(AD17,密度!$A$2:$A$50,密度!B2:B50)+IF(AD15&lt;=0,0,1566*LOOKUP(AD17,密度!$A$2:$A$50,密度!B2:B50))</f>
        <v>3043.1810735999998</v>
      </c>
      <c r="AE16" s="73" ph="1">
        <f>AE15*268.68*LOOKUP(AE17,密度!$A$2:$A$50,密度!B2:B50)+IF(AE15&lt;=0,0,1566*LOOKUP(AE17,密度!$A$2:$A$50,密度!B2:B50))</f>
        <v>16515.836602559997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29</v>
      </c>
      <c r="G17" s="74">
        <v>27</v>
      </c>
      <c r="H17" s="74">
        <v>24</v>
      </c>
      <c r="I17" s="74">
        <v>26</v>
      </c>
      <c r="J17" s="74">
        <v>28</v>
      </c>
      <c r="K17" s="74">
        <v>27</v>
      </c>
      <c r="L17" s="74">
        <v>30</v>
      </c>
      <c r="M17" s="74">
        <v>30</v>
      </c>
      <c r="N17" s="74">
        <v>27</v>
      </c>
      <c r="O17" s="74">
        <v>26</v>
      </c>
      <c r="P17" s="74">
        <v>30</v>
      </c>
      <c r="Q17" s="74">
        <v>30</v>
      </c>
      <c r="R17" s="74">
        <v>28</v>
      </c>
      <c r="S17" s="74">
        <v>30</v>
      </c>
      <c r="T17" s="74">
        <v>28</v>
      </c>
      <c r="U17" s="74">
        <v>27</v>
      </c>
      <c r="V17" s="74">
        <v>31</v>
      </c>
      <c r="W17" s="74">
        <v>31</v>
      </c>
      <c r="X17" s="74">
        <v>30</v>
      </c>
      <c r="Y17" s="108">
        <v>30</v>
      </c>
      <c r="Z17" s="74">
        <v>27</v>
      </c>
      <c r="AA17" s="74">
        <v>25</v>
      </c>
      <c r="AB17" s="74">
        <v>26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699</v>
      </c>
      <c r="E18" s="71">
        <v>66</v>
      </c>
      <c r="F18" s="71">
        <v>2875</v>
      </c>
      <c r="G18" s="71">
        <v>1260</v>
      </c>
      <c r="H18" s="71">
        <v>1967</v>
      </c>
      <c r="I18" s="71">
        <v>2671</v>
      </c>
      <c r="J18" s="71">
        <v>2118</v>
      </c>
      <c r="K18" s="71">
        <v>3579</v>
      </c>
      <c r="L18" s="71">
        <v>5854</v>
      </c>
      <c r="M18" s="71">
        <v>6031</v>
      </c>
      <c r="N18" s="71">
        <v>4316</v>
      </c>
      <c r="O18" s="71">
        <v>940</v>
      </c>
      <c r="P18" s="71">
        <v>6994</v>
      </c>
      <c r="Q18" s="71">
        <v>1746</v>
      </c>
      <c r="R18" s="71">
        <v>-13</v>
      </c>
      <c r="S18" s="71">
        <v>6231</v>
      </c>
      <c r="T18" s="71">
        <v>4789</v>
      </c>
      <c r="U18" s="71">
        <v>4049</v>
      </c>
      <c r="V18" s="71">
        <v>4979</v>
      </c>
      <c r="W18" s="71">
        <v>5082</v>
      </c>
      <c r="X18" s="71">
        <v>864</v>
      </c>
      <c r="Y18" s="109">
        <v>-9908</v>
      </c>
      <c r="Z18" s="71">
        <v>0</v>
      </c>
      <c r="AA18" s="71">
        <v>7</v>
      </c>
      <c r="AB18" s="71">
        <v>1098</v>
      </c>
      <c r="AC18" s="71">
        <v>2157</v>
      </c>
      <c r="AD18" s="71">
        <v>37.729999999999997</v>
      </c>
      <c r="AE18" s="71">
        <v>84.67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4595.0848020000003</v>
      </c>
      <c r="E19" s="73" ph="1">
        <f>E18*7.0686*LOOKUP(E20,密度!$A$2:$A$50,密度!$L$2:$L$50)</f>
        <v>434.33719560000003</v>
      </c>
      <c r="F19" s="73" ph="1">
        <f>F18*9.0746*LOOKUP(F20,密度!$A$2:$A$50,密度!$L$2:$L$50)</f>
        <v>24289.301225000003</v>
      </c>
      <c r="G19" s="73" ph="1">
        <f>G18*9.0746*LOOKUP(G20,密度!$A$2:$A$50,密度!$B$2:$B$50)</f>
        <v>8875.0676952000013</v>
      </c>
      <c r="H19" s="73" ph="1">
        <f>H18*9.0746*LOOKUP(H20,密度!$A$2:$A$50,密度!$L$2:$L$50)</f>
        <v>16707.3549552</v>
      </c>
      <c r="I19" s="73" ph="1">
        <f>I18*9.0746*LOOKUP(I20,密度!$A$2:$A$50,密度!$U$2:$U$50)</f>
        <v>24723.021732000001</v>
      </c>
      <c r="J19" s="73" ph="1">
        <f>J18*9.0746*LOOKUP(J20,密度!$A$2:$A$50,密度!$L$2:$L$50)</f>
        <v>17913.042609600005</v>
      </c>
      <c r="K19" s="73" ph="1">
        <f>K18*9.0746*LOOKUP(K20,密度!$A$2:$A$50,密度!$C$2:$C$50)</f>
        <v>35917.412901060001</v>
      </c>
      <c r="L19" s="73" ph="1">
        <f>L18*9.0746*LOOKUP(L20,密度!$A$2:$A$50,密度!$E$2:$E$50)</f>
        <v>41308.218051839998</v>
      </c>
      <c r="M19" s="73" ph="1">
        <f>M18*9.0746*LOOKUP(M20,密度!$A$2:$A$50,密度!$M$2:$M$50)</f>
        <v>47437.379574302002</v>
      </c>
      <c r="N19" s="73" ph="1">
        <f>N18*9.0746*LOOKUP(N20,密度!$A$2:$A$50,密度!$M$2:$M$50)</f>
        <v>34113.563005600001</v>
      </c>
      <c r="O19" s="73" ph="1">
        <f>O18*9.0746*LOOKUP(O20,密度!$A$2:$A$50,密度!$G$2:$G$50)</f>
        <v>8135.2645600399992</v>
      </c>
      <c r="P19" s="73" ph="1">
        <f ca="1">P18*9.0746*LOOKUP(P20,密度!$A$2:$A$51,密度!$Q$2:$Q$50)</f>
        <v>59780.275985560002</v>
      </c>
      <c r="Q19" s="73" ph="1">
        <f>Q18*9.0746*LOOKUP(Q20,密度!$A$2:$A$50,密度!$Q$2:$Q$50)</f>
        <v>14934.474673127999</v>
      </c>
      <c r="R19" s="73" ph="1">
        <f>MAX(R18*9.0746*LOOKUP(R20,密度!$A$2:$A$50,密度!$B$2:$B$50),0)</f>
        <v>0</v>
      </c>
      <c r="S19" s="73" ph="1">
        <f>S18*9.0746*LOOKUP(S20,密度!$A$2:$A$50,密度!$Q$2:$Q$50)</f>
        <v>53297.085732107997</v>
      </c>
      <c r="T19" s="73" ph="1">
        <f>T18*9.0746*LOOKUP(T20,密度!$A$2:$A$50,密度!$O$2:$O$50)</f>
        <v>39964.215344240001</v>
      </c>
      <c r="U19" s="73" ph="1">
        <f>U18*9.0746*LOOKUP(U20,密度!$A$2:$A$50,密度!$H$2:$H$50)</f>
        <v>33436.180414000002</v>
      </c>
      <c r="V19" s="73" ph="1">
        <f>MAX(5600*LOOKUP(V20,密度!$A$2:$A$50,密度!$Q$2:$Q$50)+V18*9.0476*LOOKUP(V20,密度!$A$2:$A$50,密度!$Q$2:$Q$50),0)</f>
        <v>47639.002696235999</v>
      </c>
      <c r="W19" s="73" ph="1">
        <f>MAX(5600*LOOKUP(W20,密度!$A$2:$A$50,密度!$Q$2:$Q$50)+W18*9.0476*LOOKUP(W20,密度!$A$2:$A$50,密度!$Q$2:$Q$50),0)</f>
        <v>48482.01421380799</v>
      </c>
      <c r="X19" s="73" ph="1">
        <f>MAX(5600*LOOKUP(X20,密度!$A$2:$A$50,密度!$I$2:$I$50)+X18*9.0476*LOOKUP(X20,密度!$A$2:$A$50,密度!$I$2:$I$50),0)</f>
        <v>13878.675548159999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49.134421699999997</v>
      </c>
      <c r="AB19" s="73" ph="1">
        <f>AB18*9.0746*LOOKUP(AB20,密度!$A$2:$A$50,密度!$L$2:$L$50)</f>
        <v>9206.6535791999995</v>
      </c>
      <c r="AC19" s="73" ph="1">
        <f>AC18*9.0746*LOOKUP(AC20,密度!$A$2:$A$50,密度!$L$2:$L$50)</f>
        <v>18262.460082599999</v>
      </c>
      <c r="AD19" s="73" ph="1">
        <f>AD18*268.68*LOOKUP(AD20,密度!$A$2:$A$50,密度!B5:B53)+IF(AD18&lt;=0,0,1566*LOOKUP(AD20,密度!$A$2:$A$50,密度!B5:B53))</f>
        <v>9093.4613027999985</v>
      </c>
      <c r="AE19" s="73" ph="1">
        <f>AE18*268.68*LOOKUP(AE20,密度!$A$2:$A$50,密度!B5:B53)+IF(AE18&lt;=0,0,1566*LOOKUP(AE20,密度!$A$2:$A$50,密度!B5:B53))</f>
        <v>18892.860361200001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31</v>
      </c>
      <c r="F20" s="81">
        <v>31</v>
      </c>
      <c r="G20" s="81">
        <v>29</v>
      </c>
      <c r="H20" s="81">
        <v>26</v>
      </c>
      <c r="I20" s="81">
        <v>30</v>
      </c>
      <c r="J20" s="81">
        <v>30</v>
      </c>
      <c r="K20" s="81">
        <v>29</v>
      </c>
      <c r="L20" s="81">
        <v>30</v>
      </c>
      <c r="M20" s="81">
        <v>33</v>
      </c>
      <c r="N20" s="81">
        <v>29</v>
      </c>
      <c r="O20" s="81">
        <v>31</v>
      </c>
      <c r="P20" s="81">
        <v>32</v>
      </c>
      <c r="Q20" s="81">
        <v>31</v>
      </c>
      <c r="R20" s="81">
        <v>45</v>
      </c>
      <c r="S20" s="81">
        <v>31</v>
      </c>
      <c r="T20" s="81">
        <v>35</v>
      </c>
      <c r="U20" s="81">
        <v>30</v>
      </c>
      <c r="V20" s="81">
        <v>34</v>
      </c>
      <c r="W20" s="81">
        <v>35</v>
      </c>
      <c r="X20" s="81">
        <v>32</v>
      </c>
      <c r="Y20" s="110">
        <v>32</v>
      </c>
      <c r="Z20" s="81">
        <v>40</v>
      </c>
      <c r="AA20" s="81">
        <v>32</v>
      </c>
      <c r="AB20" s="81">
        <v>38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635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79.09</v>
      </c>
      <c r="E24" s="71">
        <v>46.2</v>
      </c>
      <c r="F24" s="71">
        <v>1561</v>
      </c>
      <c r="G24" s="71">
        <v>3917</v>
      </c>
      <c r="H24" s="71">
        <v>3909</v>
      </c>
      <c r="I24" s="71">
        <v>5600</v>
      </c>
      <c r="J24" s="71">
        <v>389</v>
      </c>
      <c r="K24" s="71">
        <v>501</v>
      </c>
      <c r="L24" s="71">
        <v>5608</v>
      </c>
      <c r="M24" s="71">
        <v>4010</v>
      </c>
      <c r="N24" s="71">
        <v>5529</v>
      </c>
      <c r="O24" s="71">
        <v>5594</v>
      </c>
      <c r="P24" s="71">
        <v>360</v>
      </c>
      <c r="Q24" s="90">
        <v>4461</v>
      </c>
      <c r="R24" s="71">
        <v>217</v>
      </c>
      <c r="S24" s="71">
        <v>228</v>
      </c>
      <c r="T24" s="71">
        <v>280</v>
      </c>
      <c r="U24" s="71">
        <v>5259</v>
      </c>
      <c r="V24" s="71">
        <v>10213</v>
      </c>
      <c r="W24" s="71">
        <v>9756</v>
      </c>
      <c r="X24" s="71">
        <v>3212</v>
      </c>
      <c r="Y24" s="71">
        <v>3790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21600.726302088002</v>
      </c>
      <c r="E25" s="91" ph="1">
        <f>E24*268.68*LOOKUP(E26,密度!$A$2:$A$50,密度!$C$2:$C$50)+IF(E24&lt;=0,0,1566*LOOKUP(E26,密度!$A$2:$A$50,密度!$C$2:$C$50))</f>
        <v>15501.330842400001</v>
      </c>
      <c r="F25" s="91" ph="1">
        <f>F24*11.702*LOOKUP(F26,密度!$A$2:$A$50,密度!$Q$2:$Q$50)</f>
        <v>17255.205397640002</v>
      </c>
      <c r="G25" s="91" ph="1">
        <f>G24*18.322*LOOKUP(G26,密度!$A$2:$A$50,密度!$B$2:$B$50)</f>
        <v>55705.75807879999</v>
      </c>
      <c r="H25" s="91" ph="1">
        <f>H24*18.322*LOOKUP(H26,密度!$A$2:$A$50,密度!$B$2:$B$50)</f>
        <v>55591.985787600002</v>
      </c>
      <c r="I25" s="91" ph="1">
        <f>I24*18.322*LOOKUP(I26,密度!$A$2:$A$50,密度!$Q$2:$Q$50)</f>
        <v>96921.034784000003</v>
      </c>
      <c r="J25" s="91" ph="1">
        <f>J24*18.322*LOOKUP(J26,密度!$A$2:$A$50,密度!$Q$2:$Q$50)</f>
        <v>6732.5504519599999</v>
      </c>
      <c r="K25" s="91" ph="1">
        <f>K24*18.322*LOOKUP(K26,密度!$A$2:$A$50,密度!$Q$2:$Q$50)</f>
        <v>8664.6374154599998</v>
      </c>
      <c r="L25" s="91" ph="1">
        <f>L24*18.322*LOOKUP(L26,密度!$A$2:$A$50,密度!$Q$2:$Q$50)</f>
        <v>96988.59605968</v>
      </c>
      <c r="M25" s="91" ph="1">
        <f>M24*18.322*LOOKUP(M26,密度!$A$2:$A$50,密度!$Q$2:$Q$50)</f>
        <v>69307.605962600006</v>
      </c>
      <c r="N25" s="91" ph="1">
        <f>N24*18.322*LOOKUP(N26,密度!$A$2:$A$50,密度!$Q$2:$Q$50)</f>
        <v>95561.534505539996</v>
      </c>
      <c r="O25" s="91" ph="1">
        <f>O24*18.322*LOOKUP(O26,密度!$A$2:$A$50,密度!$C$2:$C$50)</f>
        <v>113265.31046679999</v>
      </c>
      <c r="P25" s="91" ph="1">
        <f>P24*11.702*LOOKUP(P26,密度!$A$2:$A$50,密度!$B$2:$B$50)</f>
        <v>3269.9132640000003</v>
      </c>
      <c r="Q25" s="92" ph="1">
        <f>Q24*18.322*LOOKUP(Q26,密度!$A$2:$A$50,密度!$B$2:$B$50)</f>
        <v>63507.661434000001</v>
      </c>
      <c r="R25" s="91" ph="1">
        <f>R24*35.891*LOOKUP(R26,密度!$A$2:$A$50,密度!$C$2:$C$50)</f>
        <v>8613.1329473000005</v>
      </c>
      <c r="S25" s="91" ph="1">
        <f>S24*35.891*LOOKUP(S26,密度!$A$2:$A$50,密度!$B$2:$B$50)</f>
        <v>6351.7594775999996</v>
      </c>
      <c r="T25" s="91" ph="1">
        <f>T24*35.891*LOOKUP(T26,密度!$A$2:$A$50,密度!$Q$2:$Q$50)</f>
        <v>9492.9397976</v>
      </c>
      <c r="U25" s="91" ph="1">
        <f>U24*35.891</f>
        <v>188750.769</v>
      </c>
      <c r="V25" s="91" ph="1">
        <f>V24*47.051*LOOKUP(V26,密度!$A$2:$A$50,密度!$B$2:$B$50)</f>
        <v>372988.83206059999</v>
      </c>
      <c r="W25" s="91" ph="1">
        <f>W24*47.051*LOOKUP(W26,密度!$A$2:$A$50,密度!$B$2:$B$50)</f>
        <v>356665.96501200006</v>
      </c>
      <c r="X25" s="91" ph="1">
        <f>X24*47.051*LOOKUP(X26,密度!$A$2:$A$50,密度!$I$2:$I$50)</f>
        <v>156659.08991919999</v>
      </c>
      <c r="Y25" s="91" ph="1">
        <f>Y24*47.051*LOOKUP(Y26,密度!$A$2:$A$50,密度!$L$2:$L$50)</f>
        <v>166197.30628000002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28</v>
      </c>
      <c r="J26" s="74">
        <v>28</v>
      </c>
      <c r="K26" s="74">
        <v>29</v>
      </c>
      <c r="L26" s="74">
        <v>29</v>
      </c>
      <c r="M26" s="74">
        <v>30</v>
      </c>
      <c r="N26" s="74">
        <v>30</v>
      </c>
      <c r="O26" s="74">
        <v>30</v>
      </c>
      <c r="P26" s="74">
        <v>29</v>
      </c>
      <c r="Q26" s="93">
        <v>28</v>
      </c>
      <c r="R26" s="74">
        <v>29</v>
      </c>
      <c r="S26" s="74">
        <v>29</v>
      </c>
      <c r="T26" s="74">
        <v>28</v>
      </c>
      <c r="U26" s="74">
        <v>30</v>
      </c>
      <c r="V26" s="74">
        <v>29</v>
      </c>
      <c r="W26" s="74">
        <v>28</v>
      </c>
      <c r="X26" s="74">
        <v>30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79.23</v>
      </c>
      <c r="E27" s="71">
        <v>46.18</v>
      </c>
      <c r="F27" s="71">
        <v>1562</v>
      </c>
      <c r="G27" s="71">
        <v>3324</v>
      </c>
      <c r="H27" s="71">
        <v>2825</v>
      </c>
      <c r="I27" s="71">
        <v>5599</v>
      </c>
      <c r="J27" s="71">
        <v>743</v>
      </c>
      <c r="K27" s="71">
        <v>498</v>
      </c>
      <c r="L27" s="71">
        <v>5605</v>
      </c>
      <c r="M27" s="71">
        <v>5130</v>
      </c>
      <c r="N27" s="71">
        <v>5527</v>
      </c>
      <c r="O27" s="71">
        <v>5591</v>
      </c>
      <c r="P27" s="71">
        <v>356</v>
      </c>
      <c r="Q27" s="90">
        <v>450</v>
      </c>
      <c r="R27" s="71">
        <v>214</v>
      </c>
      <c r="S27" s="71">
        <v>2379</v>
      </c>
      <c r="T27" s="71">
        <v>278</v>
      </c>
      <c r="U27" s="71">
        <v>4855</v>
      </c>
      <c r="V27" s="71">
        <v>11178</v>
      </c>
      <c r="W27" s="71">
        <v>9757</v>
      </c>
      <c r="X27" s="71">
        <v>3810</v>
      </c>
      <c r="Y27" s="71">
        <v>2728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21636.338116536004</v>
      </c>
      <c r="E28" s="91" ph="1">
        <f>E27*268.68*LOOKUP(E29,密度!$A$2:$A$50,密度!$C$2:$C$50)+IF(E27&lt;=0,0,1566*LOOKUP(E29,密度!$A$2:$A$50,密度!$C$2:$C$50))</f>
        <v>15495.37205736</v>
      </c>
      <c r="F28" s="91" ph="1">
        <f>F27*11.702*LOOKUP(F29,密度!$A$2:$A$50,密度!$Q$2:$Q$50)</f>
        <v>17279.054307680002</v>
      </c>
      <c r="G28" s="91" ph="1">
        <f>G27*18.322*LOOKUP(G29,密度!$A$2:$A$50,密度!$B$2:$B$50)</f>
        <v>47217.574898399995</v>
      </c>
      <c r="H28" s="91" ph="1">
        <f>H27*18.322*LOOKUP(H29,密度!$A$2:$A$50,密度!$B$2:$B$50)</f>
        <v>40175.840329999999</v>
      </c>
      <c r="I28" s="91" ph="1">
        <f>I27*18.322*LOOKUP(I29,密度!$A$2:$A$50,密度!$Q$2:$Q$50)</f>
        <v>96975.536870960001</v>
      </c>
      <c r="J28" s="91" ph="1">
        <f>J27*18.322*LOOKUP(J29,密度!$A$2:$A$50,密度!$Q$2:$Q$50)</f>
        <v>12849.95129678</v>
      </c>
      <c r="K28" s="91" ph="1">
        <f>K27*18.322*LOOKUP(K29,密度!$A$2:$A$50,密度!$Q$2:$Q$50)</f>
        <v>8625.4362139200002</v>
      </c>
      <c r="L28" s="91" ph="1">
        <f>L27*18.322*LOOKUP(L29,密度!$A$2:$A$50,密度!$Q$2:$Q$50)</f>
        <v>97079.457789200009</v>
      </c>
      <c r="M28" s="91" ph="1">
        <f>M27*18.322*LOOKUP(M29,密度!$A$2:$A$50,密度!$Q$2:$Q$50)</f>
        <v>88594.847398800004</v>
      </c>
      <c r="N28" s="91" ph="1">
        <f>N27*18.322*LOOKUP(N29,密度!$A$2:$A$50,密度!$Q$2:$Q$50)</f>
        <v>95657.599866279998</v>
      </c>
      <c r="O28" s="91" ph="1">
        <f>O27*18.322*LOOKUP(O29,密度!$A$2:$A$50,密度!$C$2:$C$50)</f>
        <v>113440.17563479999</v>
      </c>
      <c r="P28" s="91" ph="1">
        <f>P27*11.702*LOOKUP(P29,密度!$A$2:$A$50,密度!$B$2:$B$50)</f>
        <v>3226.0822528000003</v>
      </c>
      <c r="Q28" s="92" ph="1">
        <f>Q27*18.322*LOOKUP(Q29,密度!$A$2:$A$50,密度!$B$2:$B$50)</f>
        <v>6406.2873</v>
      </c>
      <c r="R28" s="91" ph="1">
        <f>R27*35.891*LOOKUP(R29,密度!$A$2:$A$50,密度!$C$2:$C$50)</f>
        <v>8505.5783875999987</v>
      </c>
      <c r="S28" s="91" ph="1">
        <f>S27*35.891*LOOKUP(S29,密度!$A$2:$A$50,密度!$B$2:$B$50)</f>
        <v>66198.749381699992</v>
      </c>
      <c r="T28" s="91" ph="1">
        <f>T27*35.891*LOOKUP(T29,密度!$A$2:$A$50,密度!$Q$2:$Q$50)</f>
        <v>9412.2618543400004</v>
      </c>
      <c r="U28" s="91" ph="1">
        <f>U27*35.891</f>
        <v>174250.80499999999</v>
      </c>
      <c r="V28" s="91" ph="1">
        <f>V27*47.051*LOOKUP(V29,密度!$A$2:$A$50,密度!$B$2:$B$50)</f>
        <v>409125.67507619999</v>
      </c>
      <c r="W28" s="91" ph="1">
        <f>W27*47.051*LOOKUP(W29,密度!$A$2:$A$50,密度!$B$2:$B$50)</f>
        <v>356702.52363900002</v>
      </c>
      <c r="X28" s="91" ph="1">
        <f>X27*47.051*LOOKUP(X29,密度!$A$2:$A$50,密度!$I$2:$I$50)</f>
        <v>185629.98564809997</v>
      </c>
      <c r="Y28" s="91" ph="1">
        <f>Y27*47.051*LOOKUP(Y29,密度!$A$2:$A$50,密度!$L$2:$L$50)</f>
        <v>119883.68955200001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27</v>
      </c>
      <c r="G29" s="74">
        <v>30</v>
      </c>
      <c r="H29" s="74">
        <v>29</v>
      </c>
      <c r="I29" s="74">
        <v>27</v>
      </c>
      <c r="J29" s="74">
        <v>29</v>
      </c>
      <c r="K29" s="74">
        <v>27</v>
      </c>
      <c r="L29" s="74">
        <v>27</v>
      </c>
      <c r="M29" s="74">
        <v>31</v>
      </c>
      <c r="N29" s="74">
        <v>28</v>
      </c>
      <c r="O29" s="74">
        <v>27</v>
      </c>
      <c r="P29" s="74">
        <v>31</v>
      </c>
      <c r="Q29" s="93">
        <v>28</v>
      </c>
      <c r="R29" s="74">
        <v>27</v>
      </c>
      <c r="S29" s="74">
        <v>30</v>
      </c>
      <c r="T29" s="74">
        <v>30</v>
      </c>
      <c r="U29" s="74">
        <v>29</v>
      </c>
      <c r="V29" s="74">
        <v>27</v>
      </c>
      <c r="W29" s="74">
        <v>28</v>
      </c>
      <c r="X29" s="74">
        <v>31</v>
      </c>
      <c r="Y29" s="74">
        <v>28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84880.793363099991</v>
      </c>
      <c r="E33" s="190" ph="1">
        <f>M10+I10</f>
        <v>49074.760136799989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6" ph="1">
        <v>0</v>
      </c>
      <c r="H33" s="190" ph="1">
        <f>N19</f>
        <v>34113.563005600001</v>
      </c>
      <c r="I33" s="194" ph="1">
        <v>0</v>
      </c>
      <c r="J33" s="198" ph="1">
        <f>F10+O28</f>
        <v>303834.9715778</v>
      </c>
      <c r="K33" s="190" ph="1">
        <f>O10+K10+E28+R28</f>
        <v>28698.56917056</v>
      </c>
      <c r="L33" s="200" ph="1">
        <f>BE27</f>
        <v>7100</v>
      </c>
      <c r="M33" s="198" ph="1">
        <f>G10+H10+W28+S28+V28+E10</f>
        <v>1200565.8546199</v>
      </c>
      <c r="N33" s="190" ph="1">
        <f>L10+P10++G28+H28</f>
        <v>294686.45740139997</v>
      </c>
      <c r="O33" s="194" ph="1">
        <f>BE17</f>
        <v>2270</v>
      </c>
      <c r="P33" s="198" ph="1">
        <f>L19</f>
        <v>41308.218051839998</v>
      </c>
      <c r="Q33" s="190" ph="1">
        <f>J10+N10</f>
        <v>84330.313992299998</v>
      </c>
      <c r="R33" s="194" ph="1">
        <f>BE23</f>
        <v>890</v>
      </c>
      <c r="S33" s="198" ph="1">
        <f>E10+X28</f>
        <v>238880.88152809997</v>
      </c>
      <c r="T33" s="190" ph="1">
        <f>X19</f>
        <v>13878.675548159999</v>
      </c>
      <c r="U33" s="179" ph="1">
        <f>BE21</f>
        <v>730</v>
      </c>
      <c r="V33" s="192" ph="1">
        <f ca="1">P19+Q19+S19+M28+N28+J28</f>
        <v>325114.23495265603</v>
      </c>
      <c r="W33" s="192" ph="1">
        <f>D28+F28+V19+T28</f>
        <v>95966.656974792015</v>
      </c>
      <c r="X33" s="194" ph="1">
        <f>BE29+BE31</f>
        <v>10200</v>
      </c>
      <c r="Y33" s="196" ph="1">
        <f>+Q10+R10+S10+T10+U10+V10+W10+X10+Y10</f>
        <v>74908.088917199988</v>
      </c>
      <c r="Z33" s="177" ph="1">
        <f>D10+T19+U19+Y28+Z10</f>
        <v>354485.31340118003</v>
      </c>
      <c r="AA33" s="179" ph="1">
        <f>BE19</f>
        <v>1440</v>
      </c>
      <c r="AB33" s="181" ph="1">
        <f>I19</f>
        <v>24723.021732000001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79" priority="98">
      <formula>ABS(D$7-D$10)&gt;=1000</formula>
    </cfRule>
  </conditionalFormatting>
  <conditionalFormatting sqref="E4 E6:E11">
    <cfRule type="expression" dxfId="1278" priority="97">
      <formula>ABS(E$7-E$10)&gt;=1000</formula>
    </cfRule>
  </conditionalFormatting>
  <conditionalFormatting sqref="F4:F11">
    <cfRule type="expression" dxfId="1277" priority="96">
      <formula>ABS(F$7-F$10)&gt;=1000</formula>
    </cfRule>
  </conditionalFormatting>
  <conditionalFormatting sqref="G4:G11">
    <cfRule type="expression" dxfId="1276" priority="95">
      <formula>ABS(G$7-G$10)&gt;=1000</formula>
    </cfRule>
  </conditionalFormatting>
  <conditionalFormatting sqref="H4:H11">
    <cfRule type="expression" dxfId="1275" priority="94">
      <formula>ABS(H$7-H$10)&gt;=1000</formula>
    </cfRule>
  </conditionalFormatting>
  <conditionalFormatting sqref="I4:I11">
    <cfRule type="expression" dxfId="1274" priority="93">
      <formula>ABS(I$7-I$10)&gt;=1000</formula>
    </cfRule>
  </conditionalFormatting>
  <conditionalFormatting sqref="J4:J11">
    <cfRule type="expression" dxfId="1273" priority="92">
      <formula>ABS(J$7-J$10)&gt;=1000</formula>
    </cfRule>
  </conditionalFormatting>
  <conditionalFormatting sqref="K4:K11">
    <cfRule type="expression" dxfId="1272" priority="91">
      <formula>ABS(K$7-K$10)&gt;=1000</formula>
    </cfRule>
  </conditionalFormatting>
  <conditionalFormatting sqref="L4:L11">
    <cfRule type="expression" dxfId="1271" priority="90">
      <formula>ABS(L$7-L$10)&gt;=1000</formula>
    </cfRule>
  </conditionalFormatting>
  <conditionalFormatting sqref="M4 M6:M11">
    <cfRule type="expression" dxfId="1270" priority="89">
      <formula>ABS(M$7-M$10)&gt;=1000</formula>
    </cfRule>
  </conditionalFormatting>
  <conditionalFormatting sqref="N4 N6:N11">
    <cfRule type="expression" dxfId="1269" priority="88">
      <formula>ABS(N$7-N$10)&gt;=1000</formula>
    </cfRule>
  </conditionalFormatting>
  <conditionalFormatting sqref="O4 O6:O11">
    <cfRule type="expression" dxfId="1268" priority="87">
      <formula>ABS(O$7-O$10)&gt;=1000</formula>
    </cfRule>
  </conditionalFormatting>
  <conditionalFormatting sqref="P4 P6:P11">
    <cfRule type="expression" dxfId="1267" priority="86">
      <formula>ABS(P$7-P$10)&gt;=1000</formula>
    </cfRule>
  </conditionalFormatting>
  <conditionalFormatting sqref="Q4:Q11">
    <cfRule type="expression" dxfId="1266" priority="85">
      <formula>ABS(Q$7-Q$10)&gt;=1000</formula>
    </cfRule>
  </conditionalFormatting>
  <conditionalFormatting sqref="R4:R11">
    <cfRule type="expression" dxfId="1265" priority="84">
      <formula>ABS(R$7-R$10)&gt;=1000</formula>
    </cfRule>
  </conditionalFormatting>
  <conditionalFormatting sqref="S4:S11">
    <cfRule type="expression" dxfId="1264" priority="83">
      <formula>ABS(S$7-S$10)&gt;=1000</formula>
    </cfRule>
  </conditionalFormatting>
  <conditionalFormatting sqref="T4:T9 T11">
    <cfRule type="expression" dxfId="1263" priority="82">
      <formula>ABS(T$7-T$10)&gt;=1000</formula>
    </cfRule>
  </conditionalFormatting>
  <conditionalFormatting sqref="U4:U9 U11">
    <cfRule type="expression" dxfId="1262" priority="81">
      <formula>ABS(U$7-U$10)&gt;=1000</formula>
    </cfRule>
  </conditionalFormatting>
  <conditionalFormatting sqref="V4:V9 V11">
    <cfRule type="expression" dxfId="1261" priority="80">
      <formula>ABS(V$7-V$10)&gt;=1000</formula>
    </cfRule>
  </conditionalFormatting>
  <conditionalFormatting sqref="W4:W9 W11">
    <cfRule type="expression" dxfId="1260" priority="79">
      <formula>ABS(W$7-W$10)&gt;=1000</formula>
    </cfRule>
  </conditionalFormatting>
  <conditionalFormatting sqref="X4:X9 X11">
    <cfRule type="expression" dxfId="1259" priority="78">
      <formula>ABS(X$7-X$10)&gt;=1000</formula>
    </cfRule>
  </conditionalFormatting>
  <conditionalFormatting sqref="Y4:Y9 Y11">
    <cfRule type="expression" dxfId="1258" priority="77">
      <formula>ABS(Y$7-Y$10)&gt;=1000</formula>
    </cfRule>
  </conditionalFormatting>
  <conditionalFormatting sqref="Z4:Z11">
    <cfRule type="expression" dxfId="1257" priority="76">
      <formula>ABS(Z$7-Z$10)&gt;=1000</formula>
    </cfRule>
  </conditionalFormatting>
  <conditionalFormatting sqref="AA4:AA11">
    <cfRule type="expression" dxfId="1256" priority="75">
      <formula>ABS(AA$7-AA$10)&gt;=1000</formula>
    </cfRule>
  </conditionalFormatting>
  <conditionalFormatting sqref="AB4:AB11">
    <cfRule type="expression" dxfId="1255" priority="74">
      <formula>ABS(AB$7-AB$10)&gt;=1000</formula>
    </cfRule>
  </conditionalFormatting>
  <conditionalFormatting sqref="AC4 AC6:AC11">
    <cfRule type="expression" dxfId="1254" priority="73">
      <formula>ABS(AC$7-AC$10)&gt;=1000</formula>
    </cfRule>
  </conditionalFormatting>
  <conditionalFormatting sqref="AD4:AD11">
    <cfRule type="expression" dxfId="1253" priority="72">
      <formula>ABS(AD$7-AD$10)&gt;=1000</formula>
    </cfRule>
  </conditionalFormatting>
  <conditionalFormatting sqref="AE4 AE6:AE11">
    <cfRule type="expression" dxfId="1252" priority="71">
      <formula>ABS(AE$7-AE$10)&gt;=1000</formula>
    </cfRule>
  </conditionalFormatting>
  <conditionalFormatting sqref="D13:D20">
    <cfRule type="expression" dxfId="1251" priority="70">
      <formula>ABS(D$16-D$19)&gt;=1000</formula>
    </cfRule>
  </conditionalFormatting>
  <conditionalFormatting sqref="E13:E20">
    <cfRule type="expression" dxfId="1250" priority="69">
      <formula>ABS(E$16-E$19)&gt;=1000</formula>
    </cfRule>
  </conditionalFormatting>
  <conditionalFormatting sqref="F13 F15:F20">
    <cfRule type="expression" dxfId="1249" priority="68">
      <formula>ABS(F$16-F$19)&gt;=1000</formula>
    </cfRule>
  </conditionalFormatting>
  <conditionalFormatting sqref="G13:G20">
    <cfRule type="expression" dxfId="1248" priority="67">
      <formula>ABS(G$16-G$19)&gt;=1000</formula>
    </cfRule>
  </conditionalFormatting>
  <conditionalFormatting sqref="H13:H20">
    <cfRule type="expression" dxfId="1247" priority="66">
      <formula>ABS(H$16-H$19)&gt;=1000</formula>
    </cfRule>
  </conditionalFormatting>
  <conditionalFormatting sqref="I13:I20">
    <cfRule type="expression" dxfId="1246" priority="65">
      <formula>ABS(I$16-I$19)&gt;=1000</formula>
    </cfRule>
  </conditionalFormatting>
  <conditionalFormatting sqref="J13:J20">
    <cfRule type="expression" dxfId="1245" priority="64">
      <formula>ABS(J$16-J$19)&gt;=1000</formula>
    </cfRule>
  </conditionalFormatting>
  <conditionalFormatting sqref="L13:L20">
    <cfRule type="expression" dxfId="1244" priority="63">
      <formula>ABS(L$16-L$19)&gt;=1000</formula>
    </cfRule>
  </conditionalFormatting>
  <conditionalFormatting sqref="M13 M15 M17:M18 M20">
    <cfRule type="expression" dxfId="1243" priority="62">
      <formula>ABS(M$16-M$19)&gt;=1000</formula>
    </cfRule>
  </conditionalFormatting>
  <conditionalFormatting sqref="N13:N20">
    <cfRule type="expression" dxfId="1242" priority="61">
      <formula>ABS(N$16-N$19)&gt;=1000</formula>
    </cfRule>
  </conditionalFormatting>
  <conditionalFormatting sqref="O13:O20">
    <cfRule type="expression" dxfId="1241" priority="60">
      <formula>ABS(O$16-O$19)&gt;=1000</formula>
    </cfRule>
  </conditionalFormatting>
  <conditionalFormatting sqref="P13:P20">
    <cfRule type="expression" dxfId="1240" priority="59">
      <formula>ABS(P$16-P$19)&gt;=1000</formula>
    </cfRule>
  </conditionalFormatting>
  <conditionalFormatting sqref="Q13 Q15:Q20">
    <cfRule type="expression" dxfId="1239" priority="58">
      <formula>ABS(Q$16-Q$19)&gt;=1000</formula>
    </cfRule>
  </conditionalFormatting>
  <conditionalFormatting sqref="R13:R20">
    <cfRule type="expression" dxfId="1238" priority="57">
      <formula>ABS(R$16-R$19)&gt;=1000</formula>
    </cfRule>
  </conditionalFormatting>
  <conditionalFormatting sqref="S13:S20">
    <cfRule type="expression" dxfId="1237" priority="56">
      <formula>ABS(S$16-S$19)&gt;=1000</formula>
    </cfRule>
  </conditionalFormatting>
  <conditionalFormatting sqref="T13:T20">
    <cfRule type="expression" dxfId="1236" priority="55">
      <formula>ABS(T$16-T$19)&gt;=1000</formula>
    </cfRule>
  </conditionalFormatting>
  <conditionalFormatting sqref="U13:U20">
    <cfRule type="expression" dxfId="1235" priority="54">
      <formula>ABS(U$16-U$19)&gt;=1000</formula>
    </cfRule>
  </conditionalFormatting>
  <conditionalFormatting sqref="V13:V20">
    <cfRule type="expression" dxfId="1234" priority="53">
      <formula>ABS(V$16-V$19)&gt;=1000</formula>
    </cfRule>
  </conditionalFormatting>
  <conditionalFormatting sqref="W13 W20 W15:W18">
    <cfRule type="expression" dxfId="1233" priority="52">
      <formula>ABS(W$16-W$19)&gt;=1000</formula>
    </cfRule>
  </conditionalFormatting>
  <conditionalFormatting sqref="X13 X15:X20 Y19">
    <cfRule type="expression" dxfId="1232" priority="51">
      <formula>ABS(X$16-X$19)&gt;=1000</formula>
    </cfRule>
  </conditionalFormatting>
  <conditionalFormatting sqref="Y13 Y15:Y18 Y20">
    <cfRule type="expression" dxfId="1231" priority="50">
      <formula>ABS(Y$16-Y$19)&gt;=1000</formula>
    </cfRule>
  </conditionalFormatting>
  <conditionalFormatting sqref="Z13:Z20">
    <cfRule type="expression" dxfId="1230" priority="49">
      <formula>ABS(Z$16-Z$19)&gt;=1000</formula>
    </cfRule>
  </conditionalFormatting>
  <conditionalFormatting sqref="AA13:AA20">
    <cfRule type="expression" dxfId="1229" priority="48">
      <formula>ABS(AA$16-AA$19)&gt;=1000</formula>
    </cfRule>
  </conditionalFormatting>
  <conditionalFormatting sqref="AB13 AB15:AB20">
    <cfRule type="expression" dxfId="1228" priority="47">
      <formula>ABS(AB$16-AB$19)&gt;=1000</formula>
    </cfRule>
  </conditionalFormatting>
  <conditionalFormatting sqref="AC13 AC15:AC20">
    <cfRule type="expression" dxfId="1227" priority="46">
      <formula>ABS(AC$16-AC$19)&gt;=1000</formula>
    </cfRule>
  </conditionalFormatting>
  <conditionalFormatting sqref="AD13:AD20">
    <cfRule type="expression" dxfId="1226" priority="45">
      <formula>ABS(AD$16-AD$19)&gt;=1000</formula>
    </cfRule>
  </conditionalFormatting>
  <conditionalFormatting sqref="AE13:AE20">
    <cfRule type="expression" dxfId="1225" priority="44">
      <formula>ABS(AE$16-AE$19)&gt;=1000</formula>
    </cfRule>
  </conditionalFormatting>
  <conditionalFormatting sqref="D22:D29">
    <cfRule type="expression" dxfId="1224" priority="43">
      <formula>ABS(D$25-D$28)&gt;=1000</formula>
    </cfRule>
  </conditionalFormatting>
  <conditionalFormatting sqref="E22:E29">
    <cfRule type="expression" dxfId="1223" priority="42">
      <formula>ABS(E$25-E$28)&gt;=1000</formula>
    </cfRule>
  </conditionalFormatting>
  <conditionalFormatting sqref="F22:F29">
    <cfRule type="expression" dxfId="1222" priority="41">
      <formula>ABS(F$25-F$28)&gt;=1000</formula>
    </cfRule>
  </conditionalFormatting>
  <conditionalFormatting sqref="G22:G29">
    <cfRule type="expression" dxfId="1221" priority="40">
      <formula>ABS(G$25-G$28)&gt;=1000</formula>
    </cfRule>
  </conditionalFormatting>
  <conditionalFormatting sqref="H22:H29">
    <cfRule type="expression" dxfId="1220" priority="39">
      <formula>ABS(H$25-H$28)&gt;=1000</formula>
    </cfRule>
  </conditionalFormatting>
  <conditionalFormatting sqref="I22 I24:I29">
    <cfRule type="expression" dxfId="1219" priority="38">
      <formula>ABS(I$25-I$28)&gt;=1000</formula>
    </cfRule>
  </conditionalFormatting>
  <conditionalFormatting sqref="J22:J29 K22">
    <cfRule type="expression" dxfId="1218" priority="37">
      <formula>ABS(J$25-J$28)&gt;=1000</formula>
    </cfRule>
  </conditionalFormatting>
  <conditionalFormatting sqref="K23:K29 L25 L28">
    <cfRule type="expression" dxfId="1217" priority="36">
      <formula>ABS(K$25-K$28)&gt;=1000</formula>
    </cfRule>
  </conditionalFormatting>
  <conditionalFormatting sqref="L22 L26:L27 L29 L24">
    <cfRule type="expression" dxfId="1216" priority="35">
      <formula>ABS(L$25-L$28)&gt;=1000</formula>
    </cfRule>
  </conditionalFormatting>
  <conditionalFormatting sqref="M22:M29">
    <cfRule type="expression" dxfId="1215" priority="34">
      <formula>ABS(M$25-M$28)&gt;=1000</formula>
    </cfRule>
  </conditionalFormatting>
  <conditionalFormatting sqref="N22:N29">
    <cfRule type="expression" dxfId="1214" priority="33">
      <formula>ABS(N$25-N$28)&gt;=1000</formula>
    </cfRule>
  </conditionalFormatting>
  <conditionalFormatting sqref="O22:O29">
    <cfRule type="expression" dxfId="1213" priority="32">
      <formula>ABS(O$25-O$28)&gt;=1000</formula>
    </cfRule>
  </conditionalFormatting>
  <conditionalFormatting sqref="P22:P29">
    <cfRule type="expression" dxfId="1212" priority="31">
      <formula>ABS(P$25-P$28)&gt;=1000</formula>
    </cfRule>
  </conditionalFormatting>
  <conditionalFormatting sqref="Q22:Q29">
    <cfRule type="expression" dxfId="1211" priority="30">
      <formula>ABS(Q$25-Q$28)&gt;=1000</formula>
    </cfRule>
  </conditionalFormatting>
  <conditionalFormatting sqref="R22:R29">
    <cfRule type="expression" dxfId="1210" priority="29">
      <formula>ABS(R$25-R$28)&gt;=1000</formula>
    </cfRule>
  </conditionalFormatting>
  <conditionalFormatting sqref="S22:S29">
    <cfRule type="expression" dxfId="1209" priority="28">
      <formula>ABS(S$25-S$28)&gt;=1000</formula>
    </cfRule>
  </conditionalFormatting>
  <conditionalFormatting sqref="T22:T29">
    <cfRule type="expression" dxfId="1208" priority="27">
      <formula>ABS(T$25-T$28)&gt;=1000</formula>
    </cfRule>
  </conditionalFormatting>
  <conditionalFormatting sqref="U22:U29">
    <cfRule type="expression" dxfId="1207" priority="26">
      <formula>ABS(U$25-U$28)&gt;=1000</formula>
    </cfRule>
  </conditionalFormatting>
  <conditionalFormatting sqref="V22:V29">
    <cfRule type="expression" dxfId="1206" priority="25">
      <formula>ABS(V$25-V$28)&gt;=1000</formula>
    </cfRule>
  </conditionalFormatting>
  <conditionalFormatting sqref="W22:W29">
    <cfRule type="expression" dxfId="1205" priority="24">
      <formula>ABS(W$25-W$28)&gt;=1000</formula>
    </cfRule>
  </conditionalFormatting>
  <conditionalFormatting sqref="X22:X29">
    <cfRule type="expression" dxfId="1204" priority="23">
      <formula>ABS(X$25-X$28)&gt;=1000</formula>
    </cfRule>
  </conditionalFormatting>
  <conditionalFormatting sqref="Y22:Y29">
    <cfRule type="expression" dxfId="1203" priority="22">
      <formula>ABS(Y$25-Y$28)&gt;=1000</formula>
    </cfRule>
  </conditionalFormatting>
  <conditionalFormatting sqref="I23">
    <cfRule type="expression" dxfId="1202" priority="21">
      <formula>ABS(I$25-I$28)&gt;=1000</formula>
    </cfRule>
  </conditionalFormatting>
  <conditionalFormatting sqref="Q14">
    <cfRule type="expression" dxfId="1201" priority="20">
      <formula>ABS(Q$16-Q$19)&gt;=1000</formula>
    </cfRule>
  </conditionalFormatting>
  <conditionalFormatting sqref="W14">
    <cfRule type="expression" dxfId="1200" priority="19">
      <formula>ABS(W$16-W$19)&gt;=1000</formula>
    </cfRule>
  </conditionalFormatting>
  <conditionalFormatting sqref="Y14">
    <cfRule type="expression" dxfId="1199" priority="18">
      <formula>ABS(Y$16-Y$19)&gt;=1000</formula>
    </cfRule>
  </conditionalFormatting>
  <conditionalFormatting sqref="X14">
    <cfRule type="expression" dxfId="1198" priority="17">
      <formula>ABS(X$16-X$19)&gt;=1000</formula>
    </cfRule>
  </conditionalFormatting>
  <conditionalFormatting sqref="T10:Y10">
    <cfRule type="expression" dxfId="1197" priority="16">
      <formula>ABS(T$7-T$10)&gt;=1000</formula>
    </cfRule>
  </conditionalFormatting>
  <conditionalFormatting sqref="W19">
    <cfRule type="expression" dxfId="1196" priority="15">
      <formula>ABS(W$16-W$19)&gt;=1000</formula>
    </cfRule>
  </conditionalFormatting>
  <conditionalFormatting sqref="AC5">
    <cfRule type="expression" dxfId="1195" priority="14">
      <formula>ABS(AC$7-AC$10)&gt;=1000</formula>
    </cfRule>
  </conditionalFormatting>
  <conditionalFormatting sqref="M14">
    <cfRule type="expression" dxfId="1194" priority="13">
      <formula>ABS(M$16-M$19)&gt;=1000</formula>
    </cfRule>
  </conditionalFormatting>
  <conditionalFormatting sqref="M16">
    <cfRule type="expression" dxfId="1193" priority="12">
      <formula>ABS(M$16-M$19)&gt;=1000</formula>
    </cfRule>
  </conditionalFormatting>
  <conditionalFormatting sqref="M19">
    <cfRule type="expression" dxfId="1192" priority="11">
      <formula>ABS(M$16-M$19)&gt;=1000</formula>
    </cfRule>
  </conditionalFormatting>
  <conditionalFormatting sqref="K13:K20">
    <cfRule type="expression" dxfId="1191" priority="10">
      <formula>ABS(K$16-K$19)&gt;=1000</formula>
    </cfRule>
  </conditionalFormatting>
  <conditionalFormatting sqref="E5">
    <cfRule type="expression" dxfId="1190" priority="9">
      <formula>ABS(E$7-E$10)&gt;=1000</formula>
    </cfRule>
  </conditionalFormatting>
  <conditionalFormatting sqref="AB14:AC14">
    <cfRule type="expression" dxfId="1189" priority="8">
      <formula>ABS(AB$16-AB$19)&gt;=1000</formula>
    </cfRule>
  </conditionalFormatting>
  <conditionalFormatting sqref="M5">
    <cfRule type="expression" dxfId="1188" priority="7">
      <formula>ABS(M$7-M$10)&gt;=1000</formula>
    </cfRule>
  </conditionalFormatting>
  <conditionalFormatting sqref="N5">
    <cfRule type="expression" dxfId="1187" priority="6">
      <formula>ABS(N$7-N$10)&gt;=1000</formula>
    </cfRule>
  </conditionalFormatting>
  <conditionalFormatting sqref="O5">
    <cfRule type="expression" dxfId="1186" priority="5">
      <formula>ABS(O$7-O$10)&gt;=1000</formula>
    </cfRule>
  </conditionalFormatting>
  <conditionalFormatting sqref="P5">
    <cfRule type="expression" dxfId="1185" priority="4">
      <formula>ABS(P$7-P$10)&gt;=1000</formula>
    </cfRule>
  </conditionalFormatting>
  <conditionalFormatting sqref="L23">
    <cfRule type="expression" dxfId="1184" priority="3">
      <formula>ABS(L$25-L$28)&gt;=1000</formula>
    </cfRule>
  </conditionalFormatting>
  <conditionalFormatting sqref="F14">
    <cfRule type="expression" dxfId="1183" priority="2">
      <formula>ABS(F$16-F$19)&gt;=1000</formula>
    </cfRule>
  </conditionalFormatting>
  <conditionalFormatting sqref="AE5">
    <cfRule type="expression" dxfId="118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60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6">
    <pageSetUpPr fitToPage="1"/>
  </sheetPr>
  <dimension ref="A1:CU223"/>
  <sheetViews>
    <sheetView view="pageBreakPreview" topLeftCell="A19" zoomScale="80" zoomScaleNormal="100" zoomScaleSheetLayoutView="8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1250</v>
      </c>
      <c r="E6" s="71">
        <v>622</v>
      </c>
      <c r="F6" s="71">
        <v>5181</v>
      </c>
      <c r="G6" s="71">
        <v>4159</v>
      </c>
      <c r="H6" s="71">
        <v>2634</v>
      </c>
      <c r="I6" s="71">
        <v>0.06</v>
      </c>
      <c r="J6" s="71">
        <v>7</v>
      </c>
      <c r="K6" s="71">
        <v>7.31</v>
      </c>
      <c r="L6" s="71">
        <v>32.549999999999997</v>
      </c>
      <c r="M6" s="71">
        <v>1448</v>
      </c>
      <c r="N6" s="71">
        <v>3203</v>
      </c>
      <c r="O6" s="71">
        <v>105</v>
      </c>
      <c r="P6" s="71">
        <v>7339</v>
      </c>
      <c r="Q6" s="71">
        <v>0</v>
      </c>
      <c r="R6" s="71">
        <v>0</v>
      </c>
      <c r="S6" s="71">
        <v>0</v>
      </c>
      <c r="T6" s="71">
        <v>1275</v>
      </c>
      <c r="U6" s="71">
        <v>6925</v>
      </c>
      <c r="V6" s="71">
        <v>3871</v>
      </c>
      <c r="W6" s="71">
        <v>4433</v>
      </c>
      <c r="X6" s="71">
        <v>3106</v>
      </c>
      <c r="Y6" s="71">
        <v>0</v>
      </c>
      <c r="Z6" s="71">
        <v>4401</v>
      </c>
      <c r="AA6" s="71">
        <v>1146</v>
      </c>
      <c r="AB6" s="71">
        <v>3146</v>
      </c>
      <c r="AC6" s="71">
        <v>4243</v>
      </c>
      <c r="AD6" s="71">
        <v>4350</v>
      </c>
      <c r="AE6" s="71">
        <v>2850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39128.149237500002</v>
      </c>
      <c r="E7" s="73" ph="1">
        <f>E6*51.53*LOOKUP(E8,密度!$A$2:$A$50,密度!$B$2:$B$50)</f>
        <v>24987.474135999997</v>
      </c>
      <c r="F7" s="73" ph="1">
        <f>F6*33.183*LOOKUP(F8,密度!$A$2:$A$50,密度!$C$2:$C$50)</f>
        <v>190505.79639629999</v>
      </c>
      <c r="G7" s="73" ph="1">
        <f xml:space="preserve"> (G6+2)*51.53*LOOKUP(G8,密度!$A$2:$A$50,密度!$B$2:$B$50)</f>
        <v>166601.48841000002</v>
      </c>
      <c r="H7" s="73" ph="1">
        <f>(H6)*51.53*LOOKUP(H8,密度!$A$2:$A$50,密度!$B$2:$B$50)</f>
        <v>106059.43762799999</v>
      </c>
      <c r="I7" s="73" ph="1">
        <f>I6*290.8*1.0267</f>
        <v>17.913861600000001</v>
      </c>
      <c r="J7" s="73" ph="1">
        <f>J6*290.8*0.7892</f>
        <v>1606.4955200000002</v>
      </c>
      <c r="K7" s="73" ph="1">
        <f>K6*290.8*1.1126</f>
        <v>2365.1072248</v>
      </c>
      <c r="L7" s="73" ph="1">
        <f>L6*290.8*0.777</f>
        <v>7354.7245799999992</v>
      </c>
      <c r="M7" s="73" ph="1">
        <f>M6*33.183*LOOKUP(M8,密度!$A$2:$A$50,密度!$D$2:$D$50)</f>
        <v>49288.647787199996</v>
      </c>
      <c r="N7" s="73" ph="1">
        <f>N6*33.183*LOOKUP(N8,密度!$A$2:$A$50,密度!$E$2:$E$50)</f>
        <v>82647.331862399995</v>
      </c>
      <c r="O7" s="73" ph="1">
        <f>O6*20.428*LOOKUP(O8,密度!$A$2:$A$50,密度!$C$2:$C$50)</f>
        <v>2373.590604</v>
      </c>
      <c r="P7" s="73" ph="1">
        <f>P6*51.53*LOOKUP(P8,密度!$A$2:$A$50,密度!$B$2:$B$50)</f>
        <v>294185.187393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8462.7046350000001</v>
      </c>
      <c r="U7" s="73" ph="1">
        <f>U6*1.5*1.5*3.1416*LOOKUP(U8,密度!$A$2:$A$50,密度!$L$2:$L$50)</f>
        <v>45768.301425000005</v>
      </c>
      <c r="V7" s="73" ph="1">
        <f>V6*1.5*1.5*3.1416*LOOKUP(V8,密度!$A$2:$A$50,密度!$L$2:$L$50)</f>
        <v>25556.6222604</v>
      </c>
      <c r="W7" s="73" ph="1">
        <f>W6*1.5*1.5*3.1416*LOOKUP(W8,密度!$A$2:$A$50,密度!$L$2:$L$50)</f>
        <v>29329.657156800004</v>
      </c>
      <c r="X7" s="73" ph="1">
        <f>X6*1.5*1.5*3.1416*LOOKUP(X8,密度!$A$2:$A$50,密度!$L$2:$L$50)</f>
        <v>20725.587590399999</v>
      </c>
      <c r="Y7" s="73" ph="1">
        <f>Y6*1.5*1.5*3.1416*LOOKUP(Y8,密度!$A$2:$A$50,密度!$L$2:$L$50)</f>
        <v>0</v>
      </c>
      <c r="Z7" s="73" ph="1">
        <f>Z6*33.183*LOOKUP(Z8,密度!$A$2:$A$50,密度!$L$2:$L$50)</f>
        <v>137276.08001999999</v>
      </c>
      <c r="AA7" s="73" ph="1">
        <f>AA6*33.183*LOOKUP(AA8,密度!$A$2:$A$50,密度!$D$2:$D$50)</f>
        <v>39008.8331244</v>
      </c>
      <c r="AB7" s="73" ph="1">
        <f>AB6*20.428*LOOKUP(AB8,密度!$A$2:$A$50,密度!$D$2:$D$50)</f>
        <v>66284.455723200008</v>
      </c>
      <c r="AC7" s="73" ph="1">
        <f>AC6*51.53*LOOKUP(AC8,密度!$A$2:$A$50,密度!$Q$2:$Q$50)</f>
        <v>207316.14527800001</v>
      </c>
      <c r="AD7" s="73" ph="1">
        <f>AD6*20.428*LOOKUP(AD8,密度!$A$2:$A$50,密度!$V$2:$V$50)</f>
        <v>85094.059680000006</v>
      </c>
      <c r="AE7" s="73" ph="1">
        <f>AE6*20.428</f>
        <v>58219.8</v>
      </c>
    </row>
    <row r="8" spans="1:99" ph="1">
      <c r="B8" s="241" ph="1"/>
      <c r="C8" s="68" t="s" ph="1">
        <v>179</v>
      </c>
      <c r="D8" s="74">
        <v>30</v>
      </c>
      <c r="E8" s="74">
        <v>25</v>
      </c>
      <c r="F8" s="74">
        <v>26</v>
      </c>
      <c r="G8" s="74">
        <v>28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30</v>
      </c>
      <c r="O8" s="74">
        <v>28</v>
      </c>
      <c r="P8" s="74">
        <v>27</v>
      </c>
      <c r="Q8" s="74">
        <v>26</v>
      </c>
      <c r="R8" s="74">
        <v>31</v>
      </c>
      <c r="S8" s="74">
        <v>22</v>
      </c>
      <c r="T8" s="74">
        <v>23</v>
      </c>
      <c r="U8" s="74">
        <v>27</v>
      </c>
      <c r="V8" s="74">
        <v>28</v>
      </c>
      <c r="W8" s="74">
        <v>26</v>
      </c>
      <c r="X8" s="74">
        <v>18</v>
      </c>
      <c r="Y8" s="74">
        <v>25</v>
      </c>
      <c r="Z8" s="74">
        <v>22</v>
      </c>
      <c r="AA8" s="74">
        <v>26</v>
      </c>
      <c r="AB8" s="74">
        <v>20</v>
      </c>
      <c r="AC8" s="74">
        <v>23</v>
      </c>
      <c r="AD8" s="74">
        <v>26</v>
      </c>
      <c r="AE8" s="74">
        <v>28</v>
      </c>
    </row>
    <row r="9" spans="1:99" ht="26.4" ph="1">
      <c r="B9" s="241" ph="1">
        <v>0.66666666666666663</v>
      </c>
      <c r="C9" s="157" t="s" ph="1">
        <v>180</v>
      </c>
      <c r="D9" s="71">
        <v>1549</v>
      </c>
      <c r="E9" s="71">
        <v>859</v>
      </c>
      <c r="F9" s="71">
        <v>6003</v>
      </c>
      <c r="G9" s="71">
        <v>4159</v>
      </c>
      <c r="H9" s="71">
        <v>2448</v>
      </c>
      <c r="I9" s="71">
        <v>0.05</v>
      </c>
      <c r="J9" s="71">
        <v>7.01</v>
      </c>
      <c r="K9" s="71">
        <v>7.3</v>
      </c>
      <c r="L9" s="71">
        <v>21.2</v>
      </c>
      <c r="M9" s="71">
        <v>1448</v>
      </c>
      <c r="N9" s="71">
        <v>3200</v>
      </c>
      <c r="O9" s="71">
        <v>104</v>
      </c>
      <c r="P9" s="71">
        <v>7344</v>
      </c>
      <c r="Q9" s="71">
        <v>1973</v>
      </c>
      <c r="R9" s="71">
        <v>0</v>
      </c>
      <c r="S9" s="71">
        <v>0</v>
      </c>
      <c r="T9" s="71">
        <v>0</v>
      </c>
      <c r="U9" s="71">
        <v>4712</v>
      </c>
      <c r="V9" s="71">
        <v>3871</v>
      </c>
      <c r="W9" s="71">
        <v>6556</v>
      </c>
      <c r="X9" s="71">
        <v>7023</v>
      </c>
      <c r="Y9" s="71">
        <v>3000</v>
      </c>
      <c r="Z9" s="71">
        <v>5159</v>
      </c>
      <c r="AA9" s="71">
        <v>1145</v>
      </c>
      <c r="AB9" s="71">
        <v>3145</v>
      </c>
      <c r="AC9" s="71">
        <v>3970</v>
      </c>
      <c r="AD9" s="71">
        <v>4350</v>
      </c>
      <c r="AE9" s="71">
        <v>2803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48487.602535109996</v>
      </c>
      <c r="E10" s="73" ph="1">
        <f>E9*51.53*LOOKUP(E11,密度!$A$2:$A$50,密度!$B$2:$B$50)</f>
        <v>34468.587049000002</v>
      </c>
      <c r="F10" s="73" ph="1">
        <f>F9*33.183*LOOKUP(F11,密度!$A$2:$A$50,密度!$C$2:$C$50)</f>
        <v>220730.80404690001</v>
      </c>
      <c r="G10" s="73" ph="1">
        <f xml:space="preserve"> (G9+2)*51.53*LOOKUP(G11,密度!$A$2:$A$50,密度!$B$2:$B$50)</f>
        <v>166601.48841000002</v>
      </c>
      <c r="H10" s="73" ph="1">
        <f>(H9)*51.53*LOOKUP(H11,密度!$A$2:$A$50,密度!$B$2:$B$50)</f>
        <v>98456.515920000005</v>
      </c>
      <c r="I10" s="73" ph="1">
        <f>I9*290.8*1.0267</f>
        <v>14.928217999999999</v>
      </c>
      <c r="J10" s="73" ph="1">
        <f>J9*290.8*0.7892</f>
        <v>1608.7905136000002</v>
      </c>
      <c r="K10" s="73" ph="1">
        <f>K9*290.8*1.1126</f>
        <v>2361.8717840000004</v>
      </c>
      <c r="L10" s="73" ph="1">
        <f>L9*290.8*0.777</f>
        <v>4790.1739200000002</v>
      </c>
      <c r="M10" s="73" ph="1">
        <f>M9*33.183*LOOKUP(M11,密度!$A$2:$A$50,密度!$D$2:$D$50)</f>
        <v>49240.598803199995</v>
      </c>
      <c r="N10" s="73" ph="1">
        <f>N9*33.183*LOOKUP(N11,密度!$A$2:$A$50,密度!$E$2:$E$50)</f>
        <v>82686.726720000006</v>
      </c>
      <c r="O10" s="73" ph="1">
        <f>O9*20.428*LOOKUP(O11,密度!$A$2:$A$50,密度!$C$2:$C$50)</f>
        <v>2349.4978208000002</v>
      </c>
      <c r="P10" s="73" ph="1">
        <f>P9*51.53*LOOKUP(P11,密度!$A$2:$A$50,密度!$B$2:$B$50)</f>
        <v>294385.61332800001</v>
      </c>
      <c r="Q10" s="73" ph="1">
        <f>Q9*1.5*1.5*3.1416*LOOKUP(W11,密度!$A$2:$A$50,密度!$L$2:$L$50)</f>
        <v>13053.781540800001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31142.272391999999</v>
      </c>
      <c r="V10" s="73" ph="1">
        <f>V9*1.5*1.5*3.1416*LOOKUP(V11,密度!$A$2:$A$50,密度!$L$2:$L$50)</f>
        <v>25556.6222604</v>
      </c>
      <c r="W10" s="73" ph="1">
        <f>W9*1.5*1.5*3.1416*LOOKUP(W11,密度!$A$2:$A$50,密度!$L$2:$L$50)</f>
        <v>43375.870137600003</v>
      </c>
      <c r="X10" s="73" ph="1">
        <f>X9*1.5*1.5*3.1416*LOOKUP(X11,密度!$A$2:$A$50,密度!$L$2:$L$50)</f>
        <v>46862.782243199996</v>
      </c>
      <c r="Y10" s="73" ph="1">
        <f>Y9*1.5*1.5*3.1416*LOOKUP(Y11,密度!$A$2:$A$50,密度!$L$2:$L$50)</f>
        <v>19891.040399999998</v>
      </c>
      <c r="Z10" s="73" ph="1">
        <f>Z9*33.183*LOOKUP(Z11,密度!$A$2:$A$50,密度!$L$2:$L$50)</f>
        <v>160748.44008299999</v>
      </c>
      <c r="AA10" s="73" ph="1">
        <f>AA9*33.183*LOOKUP(AA11,密度!$A$2:$A$50,密度!$D$2:$D$50)</f>
        <v>38902.604386499996</v>
      </c>
      <c r="AB10" s="73" ph="1">
        <f>AB9*20.428*LOOKUP(AB11,密度!$A$2:$A$50,密度!$D$2:$D$50)</f>
        <v>66263.386284000007</v>
      </c>
      <c r="AC10" s="73" ph="1">
        <f>AC9*51.53*LOOKUP(AC11,密度!$A$2:$A$50,密度!$Q$2:$Q$50)</f>
        <v>193827.82252700001</v>
      </c>
      <c r="AD10" s="73" ph="1">
        <f>AD9*20.428*LOOKUP(AD11,密度!$A$2:$A$50,密度!$V$2:$V$50)</f>
        <v>85094.059680000006</v>
      </c>
      <c r="AE10" s="73" ph="1">
        <f>AE9*20.428</f>
        <v>57259.684000000001</v>
      </c>
    </row>
    <row r="11" spans="1:99" ph="1">
      <c r="A11" s="64" t="s" ph="1">
        <v>162</v>
      </c>
      <c r="B11" s="241" ph="1"/>
      <c r="C11" s="157" t="s" ph="1">
        <v>179</v>
      </c>
      <c r="D11" s="74">
        <v>30</v>
      </c>
      <c r="E11" s="74">
        <v>26</v>
      </c>
      <c r="F11" s="74">
        <v>26</v>
      </c>
      <c r="G11" s="74">
        <v>28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29</v>
      </c>
      <c r="O11" s="74">
        <v>29</v>
      </c>
      <c r="P11" s="74">
        <v>27</v>
      </c>
      <c r="Q11" s="74">
        <v>27</v>
      </c>
      <c r="R11" s="74">
        <v>32</v>
      </c>
      <c r="S11" s="74">
        <v>22</v>
      </c>
      <c r="T11" s="74">
        <v>24</v>
      </c>
      <c r="U11" s="74">
        <v>27</v>
      </c>
      <c r="V11" s="74">
        <v>28</v>
      </c>
      <c r="W11" s="74">
        <v>26</v>
      </c>
      <c r="X11" s="74">
        <v>18</v>
      </c>
      <c r="Y11" s="74">
        <v>24</v>
      </c>
      <c r="Z11" s="74">
        <v>23</v>
      </c>
      <c r="AA11" s="74">
        <v>28</v>
      </c>
      <c r="AB11" s="74">
        <v>20</v>
      </c>
      <c r="AC11" s="74">
        <v>24</v>
      </c>
      <c r="AD11" s="74">
        <v>26</v>
      </c>
      <c r="AE11" s="74">
        <v>27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2220</v>
      </c>
      <c r="E15" s="78">
        <v>67</v>
      </c>
      <c r="F15" s="78">
        <v>3756</v>
      </c>
      <c r="G15" s="78">
        <v>1724</v>
      </c>
      <c r="H15" s="78">
        <v>1966</v>
      </c>
      <c r="I15" s="78">
        <v>2670</v>
      </c>
      <c r="J15" s="78">
        <v>151</v>
      </c>
      <c r="K15" s="78">
        <v>3576</v>
      </c>
      <c r="L15" s="78">
        <v>5834</v>
      </c>
      <c r="M15" s="78">
        <v>6940</v>
      </c>
      <c r="N15" s="78">
        <v>4007</v>
      </c>
      <c r="O15" s="78">
        <v>1239</v>
      </c>
      <c r="P15" s="78">
        <v>6970</v>
      </c>
      <c r="Q15" s="78">
        <v>6981</v>
      </c>
      <c r="R15" s="78">
        <v>-11</v>
      </c>
      <c r="S15" s="78">
        <v>6219</v>
      </c>
      <c r="T15" s="78">
        <v>3832</v>
      </c>
      <c r="U15" s="78">
        <v>5873</v>
      </c>
      <c r="V15" s="78">
        <v>4972</v>
      </c>
      <c r="W15" s="71">
        <v>5075</v>
      </c>
      <c r="X15" s="78">
        <v>864</v>
      </c>
      <c r="Y15" s="106">
        <v>-9906</v>
      </c>
      <c r="Z15" s="78">
        <v>0</v>
      </c>
      <c r="AA15" s="78">
        <v>8</v>
      </c>
      <c r="AB15" s="78" ph="1">
        <v>1098</v>
      </c>
      <c r="AC15" s="78" ph="1">
        <v>2153</v>
      </c>
      <c r="AD15" s="78">
        <v>24.74</v>
      </c>
      <c r="AE15" s="78">
        <v>84.5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14656.600727999999</v>
      </c>
      <c r="E16" s="73" ph="1">
        <f>E15*7.0686*LOOKUP(E17,密度!$A$2:$A$50,密度!$L$2:$L$50)</f>
        <v>442.33885080000005</v>
      </c>
      <c r="F16" s="73" ph="1">
        <f>F15*9.0746*LOOKUP(F17,密度!$A$2:$A$50,密度!$L$2:$L$50)</f>
        <v>31732.387965600003</v>
      </c>
      <c r="G16" s="73" ph="1">
        <f>G15*9.0746*LOOKUP(G17,密度!$A$2:$A$50,密度!$B$2:$B$50)</f>
        <v>12169.942430160001</v>
      </c>
      <c r="H16" s="73" ph="1">
        <f>H15*9.0746*LOOKUP(H17,密度!$A$2:$A$50,密度!$L$2:$L$50)</f>
        <v>16573.976484400002</v>
      </c>
      <c r="I16" s="73" ph="1">
        <f>I15*9.0746*LOOKUP(I17,密度!$A$2:$A$50,密度!$U$2:$U$50)</f>
        <v>24592.619729999999</v>
      </c>
      <c r="J16" s="73" ph="1">
        <f>J15*9.0746*LOOKUP(J17,密度!$A$2:$A$50,密度!$L$2:$L$50)</f>
        <v>1279.8271364</v>
      </c>
      <c r="K16" s="73" ph="1">
        <f>K15*9.0746*LOOKUP(K17,密度!$A$2:$A$50,密度!$C$2:$C$50)</f>
        <v>35910.021639359999</v>
      </c>
      <c r="L16" s="73" ph="1">
        <f>L15*9.0746*LOOKUP(L17,密度!$A$2:$A$50,密度!$E$2:$E$50)</f>
        <v>41225.325210679999</v>
      </c>
      <c r="M16" s="73" ph="1">
        <f>M15*9.0746*LOOKUP(M17,密度!$A$2:$A$50,密度!$M$2:$M$50)</f>
        <v>54853.597604000002</v>
      </c>
      <c r="N16" s="73" ph="1">
        <f>N15*9.0746*LOOKUP(N17,密度!$A$2:$A$50,密度!$M$2:$M$50)</f>
        <v>31820.318117220002</v>
      </c>
      <c r="O16" s="73" ph="1">
        <f>O15*9.0746*LOOKUP(O17,密度!$A$2:$A$50,密度!$G$2:$G$50)</f>
        <v>10782.448794600001</v>
      </c>
      <c r="P16" s="73" ph="1">
        <f ca="1">P15*9.0746*LOOKUP(P17,密度!$A$2:$A$51,密度!$Q$2:$Q$50)</f>
        <v>59747.179104440002</v>
      </c>
      <c r="Q16" s="73" ph="1">
        <f>Q15*9.0746*LOOKUP(Q17,密度!$A$2:$A$50,密度!$Q$2:$Q$50)</f>
        <v>59759.750420058001</v>
      </c>
      <c r="R16" s="73" ph="1">
        <f>MAX(R15*9.0746*LOOKUP(R17,密度!$A$2:$A$50,密度!$B$2:$B$50),0)</f>
        <v>0</v>
      </c>
      <c r="S16" s="73" ph="1">
        <f>S15*9.0746*LOOKUP(S17,密度!$A$2:$A$50,密度!$Q$2:$Q$50)</f>
        <v>53309.570566788003</v>
      </c>
      <c r="T16" s="73" ph="1">
        <f>T15*9.0746*LOOKUP(T17,密度!$A$2:$A$50,密度!$O$2:$O$50)</f>
        <v>32200.601027200002</v>
      </c>
      <c r="U16" s="73" ph="1">
        <f>U15*9.0746*LOOKUP(U17,密度!$A$2:$A$50,密度!$H$2:$H$50)</f>
        <v>48706.415468620005</v>
      </c>
      <c r="V16" s="73" ph="1">
        <f>MAX(5600*LOOKUP(V17,密度!$A$2:$A$50,密度!$Q$2:$Q$50)+V15*9.0476*LOOKUP(V17,密度!$A$2:$A$50,密度!$Q$2:$Q$50),0)</f>
        <v>47718.034109775996</v>
      </c>
      <c r="W16" s="73" ph="1">
        <f>MAX(5600*LOOKUP(W17,密度!$A$2:$A$50,密度!$Q$2:$Q$50)+W15*9.0476*LOOKUP(W17,密度!$A$2:$A$50,密度!$Q$2:$Q$50),0)</f>
        <v>48597.125978099997</v>
      </c>
      <c r="X16" s="73" ph="1">
        <f>MAX(5600*LOOKUP(X17,密度!$A$2:$A$50,密度!$I$2:$I$50)+X15*9.0476*LOOKUP(X17,密度!$A$2:$A$50,密度!$I$2:$I$50),0)</f>
        <v>13922.95206528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56.596465279999997</v>
      </c>
      <c r="AB16" s="73" ph="1">
        <f>AB15*9.0746*LOOKUP(AB17,密度!$A$2:$A$50,密度!$L$2:$L$50)</f>
        <v>9336.1844196000002</v>
      </c>
      <c r="AC16" s="73" ph="1">
        <f>AC15*9.0746*LOOKUP(AC17,密度!$A$2:$A$50,密度!$L$2:$L$50)</f>
        <v>18287.206516800001</v>
      </c>
      <c r="AD16" s="73" ph="1">
        <f>AD15*268.68*LOOKUP(AD17,密度!$A$2:$A$50,密度!B2:B50)+IF(AD15&lt;=0,0,1566*LOOKUP(AD17,密度!$A$2:$A$50,密度!B2:B50))</f>
        <v>6402.9664387199991</v>
      </c>
      <c r="AE16" s="73" ph="1">
        <f>AE15*268.68*LOOKUP(AE17,密度!$A$2:$A$50,密度!B2:B50)+IF(AE15&lt;=0,0,1566*LOOKUP(AE17,密度!$A$2:$A$50,密度!B2:B50))</f>
        <v>18920.471015999996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31</v>
      </c>
      <c r="G17" s="74">
        <v>27</v>
      </c>
      <c r="H17" s="74">
        <v>33</v>
      </c>
      <c r="I17" s="74">
        <v>35</v>
      </c>
      <c r="J17" s="74">
        <v>28</v>
      </c>
      <c r="K17" s="74">
        <v>28</v>
      </c>
      <c r="L17" s="74">
        <v>29</v>
      </c>
      <c r="M17" s="74">
        <v>29</v>
      </c>
      <c r="N17" s="74">
        <v>25</v>
      </c>
      <c r="O17" s="74">
        <v>26</v>
      </c>
      <c r="P17" s="74">
        <v>28</v>
      </c>
      <c r="Q17" s="74">
        <v>30</v>
      </c>
      <c r="R17" s="74">
        <v>27</v>
      </c>
      <c r="S17" s="74">
        <v>28</v>
      </c>
      <c r="T17" s="74">
        <v>28</v>
      </c>
      <c r="U17" s="74">
        <v>26</v>
      </c>
      <c r="V17" s="74">
        <v>30</v>
      </c>
      <c r="W17" s="74">
        <v>30</v>
      </c>
      <c r="X17" s="74">
        <v>29</v>
      </c>
      <c r="Y17" s="108">
        <v>29</v>
      </c>
      <c r="Z17" s="74">
        <v>26</v>
      </c>
      <c r="AA17" s="74">
        <v>25</v>
      </c>
      <c r="AB17" s="74">
        <v>25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3114</v>
      </c>
      <c r="E18" s="71">
        <v>67</v>
      </c>
      <c r="F18" s="71">
        <v>3882</v>
      </c>
      <c r="G18" s="71">
        <v>1781</v>
      </c>
      <c r="H18" s="71">
        <v>1965</v>
      </c>
      <c r="I18" s="71">
        <v>2669</v>
      </c>
      <c r="J18" s="71">
        <v>151</v>
      </c>
      <c r="K18" s="71">
        <v>3576</v>
      </c>
      <c r="L18" s="71">
        <v>5831</v>
      </c>
      <c r="M18" s="71">
        <v>6938</v>
      </c>
      <c r="N18" s="71">
        <v>5352</v>
      </c>
      <c r="O18" s="71">
        <v>1470</v>
      </c>
      <c r="P18" s="71">
        <v>6967</v>
      </c>
      <c r="Q18" s="71">
        <v>6976</v>
      </c>
      <c r="R18" s="71">
        <v>-9</v>
      </c>
      <c r="S18" s="71">
        <v>6216</v>
      </c>
      <c r="T18" s="71">
        <v>2951</v>
      </c>
      <c r="U18" s="71">
        <v>5867</v>
      </c>
      <c r="V18" s="71">
        <v>4972</v>
      </c>
      <c r="W18" s="71">
        <v>5074</v>
      </c>
      <c r="X18" s="71">
        <v>861</v>
      </c>
      <c r="Y18" s="109">
        <v>-9906</v>
      </c>
      <c r="Z18" s="71">
        <v>0</v>
      </c>
      <c r="AA18" s="71">
        <v>8</v>
      </c>
      <c r="AB18" s="71">
        <v>1097</v>
      </c>
      <c r="AC18" s="71">
        <v>2153</v>
      </c>
      <c r="AD18" s="71">
        <v>64.819999999999993</v>
      </c>
      <c r="AE18" s="71">
        <v>83.84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20558.853453600001</v>
      </c>
      <c r="E19" s="73" ph="1">
        <f>E18*7.0686*LOOKUP(E20,密度!$A$2:$A$50,密度!$L$2:$L$50)</f>
        <v>441.39165840000004</v>
      </c>
      <c r="F19" s="73" ph="1">
        <f>F18*9.0746*LOOKUP(F20,密度!$A$2:$A$50,密度!$L$2:$L$50)</f>
        <v>32832.120590400009</v>
      </c>
      <c r="G19" s="73" ph="1">
        <f>G18*9.0746*LOOKUP(G20,密度!$A$2:$A$50,密度!$B$2:$B$50)</f>
        <v>12585.24240662</v>
      </c>
      <c r="H19" s="73" ph="1">
        <f>H18*9.0746*LOOKUP(H20,密度!$A$2:$A$50,密度!$L$2:$L$50)</f>
        <v>16726.030481999998</v>
      </c>
      <c r="I19" s="73" ph="1">
        <f>I18*9.0746*LOOKUP(I20,密度!$A$2:$A$50,密度!$U$2:$U$50)</f>
        <v>24752.949762800003</v>
      </c>
      <c r="J19" s="73" ph="1">
        <f>J18*9.0746*LOOKUP(J20,密度!$A$2:$A$50,密度!$L$2:$L$50)</f>
        <v>1277.0866072000001</v>
      </c>
      <c r="K19" s="73" ph="1">
        <f>K18*9.0746*LOOKUP(K20,密度!$A$2:$A$50,密度!$C$2:$C$50)</f>
        <v>35910.021639359999</v>
      </c>
      <c r="L19" s="73" ph="1">
        <f>L18*9.0746*LOOKUP(L20,密度!$A$2:$A$50,密度!$E$2:$E$50)</f>
        <v>41262.33142948</v>
      </c>
      <c r="M19" s="73" ph="1">
        <f>M18*9.0746*LOOKUP(M20,密度!$A$2:$A$50,密度!$M$2:$M$50)</f>
        <v>54768.534118520001</v>
      </c>
      <c r="N19" s="73" ph="1">
        <f>N18*9.0746*LOOKUP(N20,密度!$A$2:$A$50,密度!$M$2:$M$50)</f>
        <v>42501.208525920003</v>
      </c>
      <c r="O19" s="73" ph="1">
        <f>O18*9.0746*LOOKUP(O20,密度!$A$2:$A$50,密度!$G$2:$G$50)</f>
        <v>12766.056533999999</v>
      </c>
      <c r="P19" s="73" ph="1">
        <f ca="1">P18*9.0746*LOOKUP(P20,密度!$A$2:$A$51,密度!$Q$2:$Q$50)</f>
        <v>59721.462958484</v>
      </c>
      <c r="Q19" s="73" ph="1">
        <f>Q18*9.0746*LOOKUP(Q20,密度!$A$2:$A$50,密度!$Q$2:$Q$50)</f>
        <v>59716.948707967997</v>
      </c>
      <c r="R19" s="73" ph="1">
        <f>MAX(R18*9.0746*LOOKUP(R20,密度!$A$2:$A$50,密度!$B$2:$B$50),0)</f>
        <v>0</v>
      </c>
      <c r="S19" s="73" ph="1">
        <f>S18*9.0746*LOOKUP(S20,密度!$A$2:$A$50,密度!$Q$2:$Q$50)</f>
        <v>53283.854420832002</v>
      </c>
      <c r="T19" s="73" ph="1">
        <f>T18*9.0746*LOOKUP(T20,密度!$A$2:$A$50,密度!$O$2:$O$50)</f>
        <v>24797.487899600001</v>
      </c>
      <c r="U19" s="73" ph="1">
        <f>U18*9.0746*LOOKUP(U20,密度!$A$2:$A$50,密度!$H$2:$H$50)</f>
        <v>48699.248349540001</v>
      </c>
      <c r="V19" s="73" ph="1">
        <f>MAX(5600*LOOKUP(V20,密度!$A$2:$A$50,密度!$Q$2:$Q$50)+V18*9.0476*LOOKUP(V20,密度!$A$2:$A$50,密度!$Q$2:$Q$50),0)</f>
        <v>47718.034109775996</v>
      </c>
      <c r="W19" s="73" ph="1">
        <f>MAX(5600*LOOKUP(W20,密度!$A$2:$A$50,密度!$Q$2:$Q$50)+W18*9.0476*LOOKUP(W20,密度!$A$2:$A$50,密度!$Q$2:$Q$50),0)</f>
        <v>48588.591105591993</v>
      </c>
      <c r="X19" s="73" ph="1">
        <f>MAX(5600*LOOKUP(X20,密度!$A$2:$A$50,密度!$I$2:$I$50)+X18*9.0476*LOOKUP(X20,密度!$A$2:$A$50,密度!$I$2:$I$50),0)</f>
        <v>13880.05699976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56.596465279999997</v>
      </c>
      <c r="AB19" s="73" ph="1">
        <f>AB18*9.0746*LOOKUP(AB20,密度!$A$2:$A$50,密度!$L$2:$L$50)</f>
        <v>9307.771847</v>
      </c>
      <c r="AC19" s="73" ph="1">
        <f>AC18*9.0746*LOOKUP(AC20,密度!$A$2:$A$50,密度!$L$2:$L$50)</f>
        <v>18287.206516800001</v>
      </c>
      <c r="AD19" s="73" ph="1">
        <f>AD18*268.68*LOOKUP(AD20,密度!$A$2:$A$50,密度!B5:B53)+IF(AD18&lt;=0,0,1566*LOOKUP(AD20,密度!$A$2:$A$50,密度!B5:B53))</f>
        <v>14748.887815199998</v>
      </c>
      <c r="AE19" s="73" ph="1">
        <f>AE18*268.68*LOOKUP(AE20,密度!$A$2:$A$50,密度!B5:B53)+IF(AE18&lt;=0,0,1566*LOOKUP(AE20,密度!$A$2:$A$50,密度!B5:B53))</f>
        <v>18719.585942400001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28</v>
      </c>
      <c r="E20" s="81">
        <v>30</v>
      </c>
      <c r="F20" s="81">
        <v>30</v>
      </c>
      <c r="G20" s="81">
        <v>26</v>
      </c>
      <c r="H20" s="81">
        <v>24</v>
      </c>
      <c r="I20" s="81">
        <v>28</v>
      </c>
      <c r="J20" s="81">
        <v>30</v>
      </c>
      <c r="K20" s="81">
        <v>28</v>
      </c>
      <c r="L20" s="81">
        <v>28</v>
      </c>
      <c r="M20" s="81">
        <v>30</v>
      </c>
      <c r="N20" s="81">
        <v>25</v>
      </c>
      <c r="O20" s="81">
        <v>28</v>
      </c>
      <c r="P20" s="81">
        <v>28</v>
      </c>
      <c r="Q20" s="81">
        <v>30</v>
      </c>
      <c r="R20" s="81">
        <v>29</v>
      </c>
      <c r="S20" s="81">
        <v>28</v>
      </c>
      <c r="T20" s="81">
        <v>29</v>
      </c>
      <c r="U20" s="81">
        <v>25</v>
      </c>
      <c r="V20" s="81">
        <v>30</v>
      </c>
      <c r="W20" s="81">
        <v>30</v>
      </c>
      <c r="X20" s="81">
        <v>30</v>
      </c>
      <c r="Y20" s="110">
        <v>30</v>
      </c>
      <c r="Z20" s="81">
        <v>28</v>
      </c>
      <c r="AA20" s="81">
        <v>25</v>
      </c>
      <c r="AB20" s="81">
        <v>27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643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78.98</v>
      </c>
      <c r="E24" s="71">
        <v>46.15</v>
      </c>
      <c r="F24" s="71">
        <v>1560</v>
      </c>
      <c r="G24" s="71">
        <v>1489</v>
      </c>
      <c r="H24" s="71">
        <v>2043</v>
      </c>
      <c r="I24" s="71">
        <v>5593</v>
      </c>
      <c r="J24" s="71">
        <v>2618</v>
      </c>
      <c r="K24" s="71">
        <v>501</v>
      </c>
      <c r="L24" s="71">
        <v>5605</v>
      </c>
      <c r="M24" s="71">
        <v>5128</v>
      </c>
      <c r="N24" s="71">
        <v>5527</v>
      </c>
      <c r="O24" s="71">
        <v>5593</v>
      </c>
      <c r="P24" s="71">
        <v>2461</v>
      </c>
      <c r="Q24" s="90">
        <v>3910</v>
      </c>
      <c r="R24" s="71">
        <v>217</v>
      </c>
      <c r="S24" s="71">
        <v>666</v>
      </c>
      <c r="T24" s="71">
        <v>280</v>
      </c>
      <c r="U24" s="71">
        <v>4856</v>
      </c>
      <c r="V24" s="71">
        <v>9503</v>
      </c>
      <c r="W24" s="71">
        <v>9752</v>
      </c>
      <c r="X24" s="71">
        <v>3337</v>
      </c>
      <c r="Y24" s="71">
        <v>2717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21572.745590736005</v>
      </c>
      <c r="E25" s="91" ph="1">
        <f>E24*268.68*LOOKUP(E26,密度!$A$2:$A$50,密度!$C$2:$C$50)+IF(E24&lt;=0,0,1566*LOOKUP(E26,密度!$A$2:$A$50,密度!$C$2:$C$50))</f>
        <v>15486.433879799999</v>
      </c>
      <c r="F25" s="91" ph="1">
        <f>F24*11.702*LOOKUP(F26,密度!$A$2:$A$50,密度!$Q$2:$Q$50)</f>
        <v>17231.555421599998</v>
      </c>
      <c r="G25" s="91" ph="1">
        <f>G24*18.322*LOOKUP(G26,密度!$A$2:$A$50,密度!$B$2:$B$50)</f>
        <v>21197.692866000001</v>
      </c>
      <c r="H25" s="91" ph="1">
        <f>H24*18.322*LOOKUP(H26,密度!$A$2:$A$50,密度!$B$2:$B$50)</f>
        <v>29118.233003400001</v>
      </c>
      <c r="I25" s="91" ph="1">
        <f>I24*18.322*LOOKUP(I26,密度!$A$2:$A$50,密度!$Q$2:$Q$50)</f>
        <v>96871.615952720007</v>
      </c>
      <c r="J25" s="91" ph="1">
        <f>J24*18.322*LOOKUP(J26,密度!$A$2:$A$50,密度!$Q$2:$Q$50)</f>
        <v>45344.16065872</v>
      </c>
      <c r="K25" s="91" ph="1">
        <f>K24*18.322*LOOKUP(K26,密度!$A$2:$A$50,密度!$Q$2:$Q$50)</f>
        <v>8670.9711476400007</v>
      </c>
      <c r="L25" s="91" ph="1">
        <f>L24*18.322*LOOKUP(L26,密度!$A$2:$A$50,密度!$Q$2:$Q$50)</f>
        <v>97007.571422199995</v>
      </c>
      <c r="M25" s="91" ph="1">
        <f>M24*18.322*LOOKUP(M26,密度!$A$2:$A$50,密度!$Q$2:$Q$50)</f>
        <v>88687.147038880008</v>
      </c>
      <c r="N25" s="91" ph="1">
        <f>N24*18.322*LOOKUP(N26,密度!$A$2:$A$50,密度!$Q$2:$Q$50)</f>
        <v>95657.599866279998</v>
      </c>
      <c r="O25" s="91" ph="1">
        <f>O24*18.322*LOOKUP(O26,密度!$A$2:$A$50,密度!$C$2:$C$50)</f>
        <v>113327.0427814</v>
      </c>
      <c r="P25" s="91" ph="1">
        <f>P24*11.702*LOOKUP(P26,密度!$A$2:$A$50,密度!$B$2:$B$50)</f>
        <v>22353.4903964</v>
      </c>
      <c r="Q25" s="92" ph="1">
        <f>Q24*18.322*LOOKUP(Q26,密度!$A$2:$A$50,密度!$B$2:$B$50)</f>
        <v>55663.51853999999</v>
      </c>
      <c r="R25" s="91" ph="1">
        <f>R24*35.891*LOOKUP(R26,密度!$A$2:$A$50,密度!$C$2:$C$50)</f>
        <v>8624.8154677999992</v>
      </c>
      <c r="S25" s="91" ph="1">
        <f>S24*35.891*LOOKUP(S26,密度!$A$2:$A$50,密度!$B$2:$B$50)</f>
        <v>18572.946462</v>
      </c>
      <c r="T25" s="91" ph="1">
        <f>T24*35.891*LOOKUP(T26,密度!$A$2:$A$50,密度!$Q$2:$Q$50)</f>
        <v>9499.9744336000003</v>
      </c>
      <c r="U25" s="91" ph="1">
        <f>U24*35.891</f>
        <v>174286.696</v>
      </c>
      <c r="V25" s="91" ph="1">
        <f>V24*47.051*LOOKUP(V26,密度!$A$2:$A$50,密度!$B$2:$B$50)</f>
        <v>347058.9318586</v>
      </c>
      <c r="W25" s="91" ph="1">
        <f>W24*47.051*LOOKUP(W26,密度!$A$2:$A$50,密度!$B$2:$B$50)</f>
        <v>356932.68772080005</v>
      </c>
      <c r="X25" s="91" ph="1">
        <f>X24*47.051*LOOKUP(X26,密度!$A$2:$A$50,密度!$I$2:$I$50)</f>
        <v>162928.43334990001</v>
      </c>
      <c r="Y25" s="91" ph="1">
        <f>Y24*47.051*LOOKUP(Y26,密度!$A$2:$A$50,密度!$L$2:$L$50)</f>
        <v>119400.28757800002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27</v>
      </c>
      <c r="I26" s="74">
        <v>27</v>
      </c>
      <c r="J26" s="74">
        <v>27</v>
      </c>
      <c r="K26" s="74">
        <v>28</v>
      </c>
      <c r="L26" s="74">
        <v>28</v>
      </c>
      <c r="M26" s="74">
        <v>29</v>
      </c>
      <c r="N26" s="74">
        <v>28</v>
      </c>
      <c r="O26" s="74">
        <v>29</v>
      </c>
      <c r="P26" s="74">
        <v>29</v>
      </c>
      <c r="Q26" s="93">
        <v>28</v>
      </c>
      <c r="R26" s="74">
        <v>27</v>
      </c>
      <c r="S26" s="74">
        <v>28</v>
      </c>
      <c r="T26" s="74">
        <v>27</v>
      </c>
      <c r="U26" s="74">
        <v>29</v>
      </c>
      <c r="V26" s="74">
        <v>29</v>
      </c>
      <c r="W26" s="74">
        <v>27</v>
      </c>
      <c r="X26" s="74">
        <v>29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78.94</v>
      </c>
      <c r="E27" s="71">
        <v>46.13</v>
      </c>
      <c r="F27" s="71">
        <v>1560</v>
      </c>
      <c r="G27" s="71">
        <v>1465</v>
      </c>
      <c r="H27" s="71">
        <v>1490</v>
      </c>
      <c r="I27" s="71">
        <v>5592</v>
      </c>
      <c r="J27" s="71">
        <v>4852</v>
      </c>
      <c r="K27" s="71">
        <v>501</v>
      </c>
      <c r="L27" s="71">
        <v>5602</v>
      </c>
      <c r="M27" s="71">
        <v>5127</v>
      </c>
      <c r="N27" s="71">
        <v>5526</v>
      </c>
      <c r="O27" s="71">
        <v>5591</v>
      </c>
      <c r="P27" s="71">
        <v>1545</v>
      </c>
      <c r="Q27" s="90">
        <v>1373</v>
      </c>
      <c r="R27" s="71">
        <v>218</v>
      </c>
      <c r="S27" s="71">
        <v>2225</v>
      </c>
      <c r="T27" s="71">
        <v>279</v>
      </c>
      <c r="U27" s="71">
        <v>4518</v>
      </c>
      <c r="V27" s="71">
        <v>9226</v>
      </c>
      <c r="W27" s="71">
        <v>9747</v>
      </c>
      <c r="X27" s="71">
        <v>2866</v>
      </c>
      <c r="Y27" s="71">
        <v>1634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21562.570786608001</v>
      </c>
      <c r="E28" s="91" ph="1">
        <f>E27*268.68*LOOKUP(E29,密度!$A$2:$A$50,密度!$C$2:$C$50)+IF(E27&lt;=0,0,1566*LOOKUP(E29,密度!$A$2:$A$50,密度!$C$2:$C$50))</f>
        <v>15480.475094760001</v>
      </c>
      <c r="F28" s="91" ph="1">
        <f>F27*11.702*LOOKUP(F29,密度!$A$2:$A$50,密度!$Q$2:$Q$50)</f>
        <v>17282.8523088</v>
      </c>
      <c r="G28" s="91" ph="1">
        <f>G27*18.322*LOOKUP(G29,密度!$A$2:$A$50,密度!$B$2:$B$50)</f>
        <v>20856.02421</v>
      </c>
      <c r="H28" s="91" ph="1">
        <f>H27*18.322*LOOKUP(H29,密度!$A$2:$A$50,密度!$B$2:$B$50)</f>
        <v>21236.498862</v>
      </c>
      <c r="I28" s="91" ph="1">
        <f>I27*18.322*LOOKUP(I29,密度!$A$2:$A$50,密度!$Q$2:$Q$50)</f>
        <v>96854.295799679996</v>
      </c>
      <c r="J28" s="91" ph="1">
        <f>J27*18.322*LOOKUP(J29,密度!$A$2:$A$50,密度!$Q$2:$Q$50)</f>
        <v>84037.382550080001</v>
      </c>
      <c r="K28" s="91" ph="1">
        <f>K27*18.322*LOOKUP(K29,密度!$A$2:$A$50,密度!$Q$2:$Q$50)</f>
        <v>8683.9139916599997</v>
      </c>
      <c r="L28" s="91" ph="1">
        <f>L27*18.322*LOOKUP(L29,密度!$A$2:$A$50,密度!$Q$2:$Q$50)</f>
        <v>96955.649439279994</v>
      </c>
      <c r="M28" s="91" ph="1">
        <f>M27*18.322*LOOKUP(M29,密度!$A$2:$A$50,密度!$Q$2:$Q$50)</f>
        <v>88800.424636080003</v>
      </c>
      <c r="N28" s="91" ph="1">
        <f>N27*18.322*LOOKUP(N29,密度!$A$2:$A$50,密度!$Q$2:$Q$50)</f>
        <v>95783.051333159994</v>
      </c>
      <c r="O28" s="91" ph="1">
        <f>O27*18.322*LOOKUP(O29,密度!$A$2:$A$50,密度!$C$2:$C$50)</f>
        <v>113511.8824462</v>
      </c>
      <c r="P28" s="91" ph="1">
        <f>P27*11.702*LOOKUP(P29,密度!$A$2:$A$50,密度!$B$2:$B$50)</f>
        <v>14047.84143</v>
      </c>
      <c r="Q28" s="92" ph="1">
        <f>Q27*18.322*LOOKUP(Q29,密度!$A$2:$A$50,密度!$B$2:$B$50)</f>
        <v>19568.9348574</v>
      </c>
      <c r="R28" s="91" ph="1">
        <f>R27*35.891*LOOKUP(R29,密度!$A$2:$A$50,密度!$C$2:$C$50)</f>
        <v>8664.5611611999993</v>
      </c>
      <c r="S28" s="91" ph="1">
        <f>S27*35.891*LOOKUP(S29,密度!$A$2:$A$50,密度!$B$2:$B$50)</f>
        <v>62049.258074999998</v>
      </c>
      <c r="T28" s="91" ph="1">
        <f>T27*35.891*LOOKUP(T29,密度!$A$2:$A$50,密度!$Q$2:$Q$50)</f>
        <v>9459.0364411800001</v>
      </c>
      <c r="U28" s="91" ph="1">
        <f>U27*35.891</f>
        <v>162155.538</v>
      </c>
      <c r="V28" s="91" ph="1">
        <f>V27*47.051*LOOKUP(V29,密度!$A$2:$A$50,密度!$B$2:$B$50)</f>
        <v>338418.53326960001</v>
      </c>
      <c r="W28" s="91" ph="1">
        <f>W27*47.051*LOOKUP(W29,密度!$A$2:$A$50,密度!$B$2:$B$50)</f>
        <v>357529.31322119996</v>
      </c>
      <c r="X28" s="91" ph="1">
        <f>X27*47.051*LOOKUP(X29,密度!$A$2:$A$50,密度!$I$2:$I$50)</f>
        <v>140093.75965739999</v>
      </c>
      <c r="Y28" s="91" ph="1">
        <f>Y27*47.051*LOOKUP(Y29,密度!$A$2:$A$50,密度!$L$2:$L$50)</f>
        <v>71960.928624000007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25</v>
      </c>
      <c r="G29" s="74">
        <v>28</v>
      </c>
      <c r="H29" s="74">
        <v>27</v>
      </c>
      <c r="I29" s="74">
        <v>27</v>
      </c>
      <c r="J29" s="74">
        <v>27</v>
      </c>
      <c r="K29" s="74">
        <v>26</v>
      </c>
      <c r="L29" s="74">
        <v>28</v>
      </c>
      <c r="M29" s="74">
        <v>27</v>
      </c>
      <c r="N29" s="74">
        <v>26</v>
      </c>
      <c r="O29" s="74">
        <v>26</v>
      </c>
      <c r="P29" s="74">
        <v>28</v>
      </c>
      <c r="Q29" s="93">
        <v>27</v>
      </c>
      <c r="R29" s="74">
        <v>27</v>
      </c>
      <c r="S29" s="74">
        <v>28</v>
      </c>
      <c r="T29" s="74">
        <v>28</v>
      </c>
      <c r="U29" s="74">
        <v>26</v>
      </c>
      <c r="V29" s="74">
        <v>25</v>
      </c>
      <c r="W29" s="74">
        <v>25</v>
      </c>
      <c r="X29" s="74">
        <v>28</v>
      </c>
      <c r="Y29" s="74">
        <v>26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105165.9906705</v>
      </c>
      <c r="E33" s="190" ph="1">
        <f>M10+I10</f>
        <v>49255.527021199996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6" ph="1">
        <v>0</v>
      </c>
      <c r="H33" s="190" ph="1">
        <f>N19</f>
        <v>42501.208525920003</v>
      </c>
      <c r="I33" s="194" ph="1">
        <v>0</v>
      </c>
      <c r="J33" s="198" ph="1">
        <f>F10+O28</f>
        <v>334242.68649310002</v>
      </c>
      <c r="K33" s="190" ph="1">
        <f>O10+K10+E28+R28</f>
        <v>28856.405860760002</v>
      </c>
      <c r="L33" s="200" ph="1">
        <f>BE27</f>
        <v>7100</v>
      </c>
      <c r="M33" s="198" ph="1">
        <f>G10+H10+W28+S28+V28+E10</f>
        <v>1057523.6959448</v>
      </c>
      <c r="N33" s="190" ph="1">
        <f>L10+P10++G28+H28</f>
        <v>341268.31031999999</v>
      </c>
      <c r="O33" s="194" ph="1">
        <f>BE17</f>
        <v>2270</v>
      </c>
      <c r="P33" s="198" ph="1">
        <f>L19</f>
        <v>41262.33142948</v>
      </c>
      <c r="Q33" s="190" ph="1">
        <f>J10+N10</f>
        <v>84295.517233600011</v>
      </c>
      <c r="R33" s="194" ph="1">
        <f>BE23</f>
        <v>890</v>
      </c>
      <c r="S33" s="198" ph="1">
        <f>E10+X28</f>
        <v>174562.34670639999</v>
      </c>
      <c r="T33" s="190" ph="1">
        <f>X19</f>
        <v>13880.05699976</v>
      </c>
      <c r="U33" s="179" ph="1">
        <f>BE21</f>
        <v>730</v>
      </c>
      <c r="V33" s="192" ph="1">
        <f ca="1">P19+Q19+S19+M28+N28+J28</f>
        <v>441343.12460660405</v>
      </c>
      <c r="W33" s="192" ph="1">
        <f>D28+F28+V19+T28</f>
        <v>96022.49364636399</v>
      </c>
      <c r="X33" s="194" ph="1">
        <f>BE29+BE31</f>
        <v>10200</v>
      </c>
      <c r="Y33" s="196" ph="1">
        <f>+Q10+R10+S10+T10+U10+V10+W10+X10+Y10</f>
        <v>179882.36897399998</v>
      </c>
      <c r="Z33" s="177" ph="1">
        <f>D10+T19+U19+Y28+Z10</f>
        <v>354693.70749125001</v>
      </c>
      <c r="AA33" s="179" ph="1">
        <f>BE19</f>
        <v>1440</v>
      </c>
      <c r="AB33" s="181" ph="1">
        <f>I19</f>
        <v>24752.949762800003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51" priority="98">
      <formula>ABS(D$7-D$10)&gt;=1000</formula>
    </cfRule>
  </conditionalFormatting>
  <conditionalFormatting sqref="E4 E6:E11">
    <cfRule type="expression" dxfId="1150" priority="97">
      <formula>ABS(E$7-E$10)&gt;=1000</formula>
    </cfRule>
  </conditionalFormatting>
  <conditionalFormatting sqref="F4:F11">
    <cfRule type="expression" dxfId="1149" priority="96">
      <formula>ABS(F$7-F$10)&gt;=1000</formula>
    </cfRule>
  </conditionalFormatting>
  <conditionalFormatting sqref="G4:G11">
    <cfRule type="expression" dxfId="1148" priority="95">
      <formula>ABS(G$7-G$10)&gt;=1000</formula>
    </cfRule>
  </conditionalFormatting>
  <conditionalFormatting sqref="H4:H11">
    <cfRule type="expression" dxfId="1147" priority="94">
      <formula>ABS(H$7-H$10)&gt;=1000</formula>
    </cfRule>
  </conditionalFormatting>
  <conditionalFormatting sqref="I4:I11">
    <cfRule type="expression" dxfId="1146" priority="93">
      <formula>ABS(I$7-I$10)&gt;=1000</formula>
    </cfRule>
  </conditionalFormatting>
  <conditionalFormatting sqref="J4:J11">
    <cfRule type="expression" dxfId="1145" priority="92">
      <formula>ABS(J$7-J$10)&gt;=1000</formula>
    </cfRule>
  </conditionalFormatting>
  <conditionalFormatting sqref="K4:K11">
    <cfRule type="expression" dxfId="1144" priority="91">
      <formula>ABS(K$7-K$10)&gt;=1000</formula>
    </cfRule>
  </conditionalFormatting>
  <conditionalFormatting sqref="L4:L11">
    <cfRule type="expression" dxfId="1143" priority="90">
      <formula>ABS(L$7-L$10)&gt;=1000</formula>
    </cfRule>
  </conditionalFormatting>
  <conditionalFormatting sqref="M4 M6:M11">
    <cfRule type="expression" dxfId="1142" priority="89">
      <formula>ABS(M$7-M$10)&gt;=1000</formula>
    </cfRule>
  </conditionalFormatting>
  <conditionalFormatting sqref="N4 N6:N11">
    <cfRule type="expression" dxfId="1141" priority="88">
      <formula>ABS(N$7-N$10)&gt;=1000</formula>
    </cfRule>
  </conditionalFormatting>
  <conditionalFormatting sqref="O4 O6:O11">
    <cfRule type="expression" dxfId="1140" priority="87">
      <formula>ABS(O$7-O$10)&gt;=1000</formula>
    </cfRule>
  </conditionalFormatting>
  <conditionalFormatting sqref="P4 P6:P11">
    <cfRule type="expression" dxfId="1139" priority="86">
      <formula>ABS(P$7-P$10)&gt;=1000</formula>
    </cfRule>
  </conditionalFormatting>
  <conditionalFormatting sqref="Q4:Q11">
    <cfRule type="expression" dxfId="1138" priority="85">
      <formula>ABS(Q$7-Q$10)&gt;=1000</formula>
    </cfRule>
  </conditionalFormatting>
  <conditionalFormatting sqref="R4:R11">
    <cfRule type="expression" dxfId="1137" priority="84">
      <formula>ABS(R$7-R$10)&gt;=1000</formula>
    </cfRule>
  </conditionalFormatting>
  <conditionalFormatting sqref="S4:S11">
    <cfRule type="expression" dxfId="1136" priority="83">
      <formula>ABS(S$7-S$10)&gt;=1000</formula>
    </cfRule>
  </conditionalFormatting>
  <conditionalFormatting sqref="T4:T9 T11">
    <cfRule type="expression" dxfId="1135" priority="82">
      <formula>ABS(T$7-T$10)&gt;=1000</formula>
    </cfRule>
  </conditionalFormatting>
  <conditionalFormatting sqref="U4:U9 U11">
    <cfRule type="expression" dxfId="1134" priority="81">
      <formula>ABS(U$7-U$10)&gt;=1000</formula>
    </cfRule>
  </conditionalFormatting>
  <conditionalFormatting sqref="V4:V9 V11">
    <cfRule type="expression" dxfId="1133" priority="80">
      <formula>ABS(V$7-V$10)&gt;=1000</formula>
    </cfRule>
  </conditionalFormatting>
  <conditionalFormatting sqref="W4:W9 W11">
    <cfRule type="expression" dxfId="1132" priority="79">
      <formula>ABS(W$7-W$10)&gt;=1000</formula>
    </cfRule>
  </conditionalFormatting>
  <conditionalFormatting sqref="X4:X9 X11">
    <cfRule type="expression" dxfId="1131" priority="78">
      <formula>ABS(X$7-X$10)&gt;=1000</formula>
    </cfRule>
  </conditionalFormatting>
  <conditionalFormatting sqref="Y4:Y9 Y11">
    <cfRule type="expression" dxfId="1130" priority="77">
      <formula>ABS(Y$7-Y$10)&gt;=1000</formula>
    </cfRule>
  </conditionalFormatting>
  <conditionalFormatting sqref="Z4:Z11">
    <cfRule type="expression" dxfId="1129" priority="76">
      <formula>ABS(Z$7-Z$10)&gt;=1000</formula>
    </cfRule>
  </conditionalFormatting>
  <conditionalFormatting sqref="AA4:AA11">
    <cfRule type="expression" dxfId="1128" priority="75">
      <formula>ABS(AA$7-AA$10)&gt;=1000</formula>
    </cfRule>
  </conditionalFormatting>
  <conditionalFormatting sqref="AB4:AB11">
    <cfRule type="expression" dxfId="1127" priority="74">
      <formula>ABS(AB$7-AB$10)&gt;=1000</formula>
    </cfRule>
  </conditionalFormatting>
  <conditionalFormatting sqref="AC4 AC6:AC11">
    <cfRule type="expression" dxfId="1126" priority="73">
      <formula>ABS(AC$7-AC$10)&gt;=1000</formula>
    </cfRule>
  </conditionalFormatting>
  <conditionalFormatting sqref="AD4:AD11">
    <cfRule type="expression" dxfId="1125" priority="72">
      <formula>ABS(AD$7-AD$10)&gt;=1000</formula>
    </cfRule>
  </conditionalFormatting>
  <conditionalFormatting sqref="AE4 AE6:AE11">
    <cfRule type="expression" dxfId="1124" priority="71">
      <formula>ABS(AE$7-AE$10)&gt;=1000</formula>
    </cfRule>
  </conditionalFormatting>
  <conditionalFormatting sqref="D13:D20">
    <cfRule type="expression" dxfId="1123" priority="70">
      <formula>ABS(D$16-D$19)&gt;=1000</formula>
    </cfRule>
  </conditionalFormatting>
  <conditionalFormatting sqref="E13:E20">
    <cfRule type="expression" dxfId="1122" priority="69">
      <formula>ABS(E$16-E$19)&gt;=1000</formula>
    </cfRule>
  </conditionalFormatting>
  <conditionalFormatting sqref="F13 F15:F20">
    <cfRule type="expression" dxfId="1121" priority="68">
      <formula>ABS(F$16-F$19)&gt;=1000</formula>
    </cfRule>
  </conditionalFormatting>
  <conditionalFormatting sqref="G13:G20">
    <cfRule type="expression" dxfId="1120" priority="67">
      <formula>ABS(G$16-G$19)&gt;=1000</formula>
    </cfRule>
  </conditionalFormatting>
  <conditionalFormatting sqref="H13:H20">
    <cfRule type="expression" dxfId="1119" priority="66">
      <formula>ABS(H$16-H$19)&gt;=1000</formula>
    </cfRule>
  </conditionalFormatting>
  <conditionalFormatting sqref="I13:I20">
    <cfRule type="expression" dxfId="1118" priority="65">
      <formula>ABS(I$16-I$19)&gt;=1000</formula>
    </cfRule>
  </conditionalFormatting>
  <conditionalFormatting sqref="J13:J20">
    <cfRule type="expression" dxfId="1117" priority="64">
      <formula>ABS(J$16-J$19)&gt;=1000</formula>
    </cfRule>
  </conditionalFormatting>
  <conditionalFormatting sqref="L13:L20">
    <cfRule type="expression" dxfId="1116" priority="63">
      <formula>ABS(L$16-L$19)&gt;=1000</formula>
    </cfRule>
  </conditionalFormatting>
  <conditionalFormatting sqref="M13 M15 M17:M18 M20">
    <cfRule type="expression" dxfId="1115" priority="62">
      <formula>ABS(M$16-M$19)&gt;=1000</formula>
    </cfRule>
  </conditionalFormatting>
  <conditionalFormatting sqref="N13:N20">
    <cfRule type="expression" dxfId="1114" priority="61">
      <formula>ABS(N$16-N$19)&gt;=1000</formula>
    </cfRule>
  </conditionalFormatting>
  <conditionalFormatting sqref="O13:O20">
    <cfRule type="expression" dxfId="1113" priority="60">
      <formula>ABS(O$16-O$19)&gt;=1000</formula>
    </cfRule>
  </conditionalFormatting>
  <conditionalFormatting sqref="P13:P20">
    <cfRule type="expression" dxfId="1112" priority="59">
      <formula>ABS(P$16-P$19)&gt;=1000</formula>
    </cfRule>
  </conditionalFormatting>
  <conditionalFormatting sqref="Q13 Q15:Q20">
    <cfRule type="expression" dxfId="1111" priority="58">
      <formula>ABS(Q$16-Q$19)&gt;=1000</formula>
    </cfRule>
  </conditionalFormatting>
  <conditionalFormatting sqref="R13:R20">
    <cfRule type="expression" dxfId="1110" priority="57">
      <formula>ABS(R$16-R$19)&gt;=1000</formula>
    </cfRule>
  </conditionalFormatting>
  <conditionalFormatting sqref="S13:S20">
    <cfRule type="expression" dxfId="1109" priority="56">
      <formula>ABS(S$16-S$19)&gt;=1000</formula>
    </cfRule>
  </conditionalFormatting>
  <conditionalFormatting sqref="T13:T20">
    <cfRule type="expression" dxfId="1108" priority="55">
      <formula>ABS(T$16-T$19)&gt;=1000</formula>
    </cfRule>
  </conditionalFormatting>
  <conditionalFormatting sqref="U13:U20">
    <cfRule type="expression" dxfId="1107" priority="54">
      <formula>ABS(U$16-U$19)&gt;=1000</formula>
    </cfRule>
  </conditionalFormatting>
  <conditionalFormatting sqref="V13:V20">
    <cfRule type="expression" dxfId="1106" priority="53">
      <formula>ABS(V$16-V$19)&gt;=1000</formula>
    </cfRule>
  </conditionalFormatting>
  <conditionalFormatting sqref="W13 W20 W15:W18">
    <cfRule type="expression" dxfId="1105" priority="52">
      <formula>ABS(W$16-W$19)&gt;=1000</formula>
    </cfRule>
  </conditionalFormatting>
  <conditionalFormatting sqref="X13 X15:X20 Y19">
    <cfRule type="expression" dxfId="1104" priority="51">
      <formula>ABS(X$16-X$19)&gt;=1000</formula>
    </cfRule>
  </conditionalFormatting>
  <conditionalFormatting sqref="Y13 Y15:Y18 Y20">
    <cfRule type="expression" dxfId="1103" priority="50">
      <formula>ABS(Y$16-Y$19)&gt;=1000</formula>
    </cfRule>
  </conditionalFormatting>
  <conditionalFormatting sqref="Z13:Z20">
    <cfRule type="expression" dxfId="1102" priority="49">
      <formula>ABS(Z$16-Z$19)&gt;=1000</formula>
    </cfRule>
  </conditionalFormatting>
  <conditionalFormatting sqref="AA13:AA20">
    <cfRule type="expression" dxfId="1101" priority="48">
      <formula>ABS(AA$16-AA$19)&gt;=1000</formula>
    </cfRule>
  </conditionalFormatting>
  <conditionalFormatting sqref="AB13 AB15:AB20">
    <cfRule type="expression" dxfId="1100" priority="47">
      <formula>ABS(AB$16-AB$19)&gt;=1000</formula>
    </cfRule>
  </conditionalFormatting>
  <conditionalFormatting sqref="AC13 AC15:AC20">
    <cfRule type="expression" dxfId="1099" priority="46">
      <formula>ABS(AC$16-AC$19)&gt;=1000</formula>
    </cfRule>
  </conditionalFormatting>
  <conditionalFormatting sqref="AD13:AD20">
    <cfRule type="expression" dxfId="1098" priority="45">
      <formula>ABS(AD$16-AD$19)&gt;=1000</formula>
    </cfRule>
  </conditionalFormatting>
  <conditionalFormatting sqref="AE13:AE20">
    <cfRule type="expression" dxfId="1097" priority="44">
      <formula>ABS(AE$16-AE$19)&gt;=1000</formula>
    </cfRule>
  </conditionalFormatting>
  <conditionalFormatting sqref="D22:D29">
    <cfRule type="expression" dxfId="1096" priority="43">
      <formula>ABS(D$25-D$28)&gt;=1000</formula>
    </cfRule>
  </conditionalFormatting>
  <conditionalFormatting sqref="E22:E29">
    <cfRule type="expression" dxfId="1095" priority="42">
      <formula>ABS(E$25-E$28)&gt;=1000</formula>
    </cfRule>
  </conditionalFormatting>
  <conditionalFormatting sqref="F22:F29">
    <cfRule type="expression" dxfId="1094" priority="41">
      <formula>ABS(F$25-F$28)&gt;=1000</formula>
    </cfRule>
  </conditionalFormatting>
  <conditionalFormatting sqref="G22:G29">
    <cfRule type="expression" dxfId="1093" priority="40">
      <formula>ABS(G$25-G$28)&gt;=1000</formula>
    </cfRule>
  </conditionalFormatting>
  <conditionalFormatting sqref="H22:H29">
    <cfRule type="expression" dxfId="1092" priority="39">
      <formula>ABS(H$25-H$28)&gt;=1000</formula>
    </cfRule>
  </conditionalFormatting>
  <conditionalFormatting sqref="I22 I24:I29">
    <cfRule type="expression" dxfId="1091" priority="38">
      <formula>ABS(I$25-I$28)&gt;=1000</formula>
    </cfRule>
  </conditionalFormatting>
  <conditionalFormatting sqref="J22:J29 K22">
    <cfRule type="expression" dxfId="1090" priority="37">
      <formula>ABS(J$25-J$28)&gt;=1000</formula>
    </cfRule>
  </conditionalFormatting>
  <conditionalFormatting sqref="K23:K29 L25 L28">
    <cfRule type="expression" dxfId="1089" priority="36">
      <formula>ABS(K$25-K$28)&gt;=1000</formula>
    </cfRule>
  </conditionalFormatting>
  <conditionalFormatting sqref="L22 L26:L27 L29 L24">
    <cfRule type="expression" dxfId="1088" priority="35">
      <formula>ABS(L$25-L$28)&gt;=1000</formula>
    </cfRule>
  </conditionalFormatting>
  <conditionalFormatting sqref="M22:M29">
    <cfRule type="expression" dxfId="1087" priority="34">
      <formula>ABS(M$25-M$28)&gt;=1000</formula>
    </cfRule>
  </conditionalFormatting>
  <conditionalFormatting sqref="N22:N29">
    <cfRule type="expression" dxfId="1086" priority="33">
      <formula>ABS(N$25-N$28)&gt;=1000</formula>
    </cfRule>
  </conditionalFormatting>
  <conditionalFormatting sqref="O22:O29">
    <cfRule type="expression" dxfId="1085" priority="32">
      <formula>ABS(O$25-O$28)&gt;=1000</formula>
    </cfRule>
  </conditionalFormatting>
  <conditionalFormatting sqref="P22:P29">
    <cfRule type="expression" dxfId="1084" priority="31">
      <formula>ABS(P$25-P$28)&gt;=1000</formula>
    </cfRule>
  </conditionalFormatting>
  <conditionalFormatting sqref="Q22:Q29">
    <cfRule type="expression" dxfId="1083" priority="30">
      <formula>ABS(Q$25-Q$28)&gt;=1000</formula>
    </cfRule>
  </conditionalFormatting>
  <conditionalFormatting sqref="R22:R29">
    <cfRule type="expression" dxfId="1082" priority="29">
      <formula>ABS(R$25-R$28)&gt;=1000</formula>
    </cfRule>
  </conditionalFormatting>
  <conditionalFormatting sqref="S22:S29">
    <cfRule type="expression" dxfId="1081" priority="28">
      <formula>ABS(S$25-S$28)&gt;=1000</formula>
    </cfRule>
  </conditionalFormatting>
  <conditionalFormatting sqref="T22:T29">
    <cfRule type="expression" dxfId="1080" priority="27">
      <formula>ABS(T$25-T$28)&gt;=1000</formula>
    </cfRule>
  </conditionalFormatting>
  <conditionalFormatting sqref="U22:U29">
    <cfRule type="expression" dxfId="1079" priority="26">
      <formula>ABS(U$25-U$28)&gt;=1000</formula>
    </cfRule>
  </conditionalFormatting>
  <conditionalFormatting sqref="V22:V29">
    <cfRule type="expression" dxfId="1078" priority="25">
      <formula>ABS(V$25-V$28)&gt;=1000</formula>
    </cfRule>
  </conditionalFormatting>
  <conditionalFormatting sqref="W22:W29">
    <cfRule type="expression" dxfId="1077" priority="24">
      <formula>ABS(W$25-W$28)&gt;=1000</formula>
    </cfRule>
  </conditionalFormatting>
  <conditionalFormatting sqref="X22:X29">
    <cfRule type="expression" dxfId="1076" priority="23">
      <formula>ABS(X$25-X$28)&gt;=1000</formula>
    </cfRule>
  </conditionalFormatting>
  <conditionalFormatting sqref="Y22:Y29">
    <cfRule type="expression" dxfId="1075" priority="22">
      <formula>ABS(Y$25-Y$28)&gt;=1000</formula>
    </cfRule>
  </conditionalFormatting>
  <conditionalFormatting sqref="I23">
    <cfRule type="expression" dxfId="1074" priority="21">
      <formula>ABS(I$25-I$28)&gt;=1000</formula>
    </cfRule>
  </conditionalFormatting>
  <conditionalFormatting sqref="Q14">
    <cfRule type="expression" dxfId="1073" priority="20">
      <formula>ABS(Q$16-Q$19)&gt;=1000</formula>
    </cfRule>
  </conditionalFormatting>
  <conditionalFormatting sqref="W14">
    <cfRule type="expression" dxfId="1072" priority="19">
      <formula>ABS(W$16-W$19)&gt;=1000</formula>
    </cfRule>
  </conditionalFormatting>
  <conditionalFormatting sqref="Y14">
    <cfRule type="expression" dxfId="1071" priority="18">
      <formula>ABS(Y$16-Y$19)&gt;=1000</formula>
    </cfRule>
  </conditionalFormatting>
  <conditionalFormatting sqref="X14">
    <cfRule type="expression" dxfId="1070" priority="17">
      <formula>ABS(X$16-X$19)&gt;=1000</formula>
    </cfRule>
  </conditionalFormatting>
  <conditionalFormatting sqref="T10:Y10">
    <cfRule type="expression" dxfId="1069" priority="16">
      <formula>ABS(T$7-T$10)&gt;=1000</formula>
    </cfRule>
  </conditionalFormatting>
  <conditionalFormatting sqref="W19">
    <cfRule type="expression" dxfId="1068" priority="15">
      <formula>ABS(W$16-W$19)&gt;=1000</formula>
    </cfRule>
  </conditionalFormatting>
  <conditionalFormatting sqref="AC5">
    <cfRule type="expression" dxfId="1067" priority="14">
      <formula>ABS(AC$7-AC$10)&gt;=1000</formula>
    </cfRule>
  </conditionalFormatting>
  <conditionalFormatting sqref="M14">
    <cfRule type="expression" dxfId="1066" priority="13">
      <formula>ABS(M$16-M$19)&gt;=1000</formula>
    </cfRule>
  </conditionalFormatting>
  <conditionalFormatting sqref="M16">
    <cfRule type="expression" dxfId="1065" priority="12">
      <formula>ABS(M$16-M$19)&gt;=1000</formula>
    </cfRule>
  </conditionalFormatting>
  <conditionalFormatting sqref="M19">
    <cfRule type="expression" dxfId="1064" priority="11">
      <formula>ABS(M$16-M$19)&gt;=1000</formula>
    </cfRule>
  </conditionalFormatting>
  <conditionalFormatting sqref="K13:K20">
    <cfRule type="expression" dxfId="1063" priority="10">
      <formula>ABS(K$16-K$19)&gt;=1000</formula>
    </cfRule>
  </conditionalFormatting>
  <conditionalFormatting sqref="E5">
    <cfRule type="expression" dxfId="1062" priority="9">
      <formula>ABS(E$7-E$10)&gt;=1000</formula>
    </cfRule>
  </conditionalFormatting>
  <conditionalFormatting sqref="AB14:AC14">
    <cfRule type="expression" dxfId="1061" priority="8">
      <formula>ABS(AB$16-AB$19)&gt;=1000</formula>
    </cfRule>
  </conditionalFormatting>
  <conditionalFormatting sqref="M5">
    <cfRule type="expression" dxfId="1060" priority="7">
      <formula>ABS(M$7-M$10)&gt;=1000</formula>
    </cfRule>
  </conditionalFormatting>
  <conditionalFormatting sqref="N5">
    <cfRule type="expression" dxfId="1059" priority="6">
      <formula>ABS(N$7-N$10)&gt;=1000</formula>
    </cfRule>
  </conditionalFormatting>
  <conditionalFormatting sqref="O5">
    <cfRule type="expression" dxfId="1058" priority="5">
      <formula>ABS(O$7-O$10)&gt;=1000</formula>
    </cfRule>
  </conditionalFormatting>
  <conditionalFormatting sqref="P5">
    <cfRule type="expression" dxfId="1057" priority="4">
      <formula>ABS(P$7-P$10)&gt;=1000</formula>
    </cfRule>
  </conditionalFormatting>
  <conditionalFormatting sqref="L23">
    <cfRule type="expression" dxfId="1056" priority="3">
      <formula>ABS(L$25-L$28)&gt;=1000</formula>
    </cfRule>
  </conditionalFormatting>
  <conditionalFormatting sqref="F14">
    <cfRule type="expression" dxfId="1055" priority="2">
      <formula>ABS(F$16-F$19)&gt;=1000</formula>
    </cfRule>
  </conditionalFormatting>
  <conditionalFormatting sqref="AE5">
    <cfRule type="expression" dxfId="105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80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7">
    <pageSetUpPr fitToPage="1"/>
  </sheetPr>
  <dimension ref="A1:CU223"/>
  <sheetViews>
    <sheetView view="pageBreakPreview" topLeftCell="A16" zoomScale="80" zoomScaleNormal="100" zoomScaleSheetLayoutView="80" workbookViewId="0">
      <selection activeCell="E6" sqref="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2131</v>
      </c>
      <c r="E6" s="71">
        <v>1062</v>
      </c>
      <c r="F6" s="71">
        <v>6000</v>
      </c>
      <c r="G6" s="71">
        <v>4151</v>
      </c>
      <c r="H6" s="71">
        <v>1852</v>
      </c>
      <c r="I6" s="71">
        <v>0.06</v>
      </c>
      <c r="J6" s="71">
        <v>7.05</v>
      </c>
      <c r="K6" s="71">
        <v>7.36</v>
      </c>
      <c r="L6" s="71">
        <v>32.76</v>
      </c>
      <c r="M6" s="71">
        <v>1446</v>
      </c>
      <c r="N6" s="71">
        <v>3196</v>
      </c>
      <c r="O6" s="71">
        <v>105</v>
      </c>
      <c r="P6" s="71">
        <v>7277</v>
      </c>
      <c r="Q6" s="71">
        <v>1970</v>
      </c>
      <c r="R6" s="71">
        <v>0</v>
      </c>
      <c r="S6" s="71">
        <v>0</v>
      </c>
      <c r="T6" s="71">
        <v>0</v>
      </c>
      <c r="U6" s="71">
        <v>2239</v>
      </c>
      <c r="V6" s="71">
        <v>3864</v>
      </c>
      <c r="W6" s="71">
        <v>6550</v>
      </c>
      <c r="X6" s="71">
        <v>7015</v>
      </c>
      <c r="Y6" s="71">
        <v>3776</v>
      </c>
      <c r="Z6" s="71">
        <v>5646</v>
      </c>
      <c r="AA6" s="71">
        <v>1145</v>
      </c>
      <c r="AB6" s="71">
        <v>3140</v>
      </c>
      <c r="AC6" s="71">
        <v>3456</v>
      </c>
      <c r="AD6" s="71">
        <v>4350</v>
      </c>
      <c r="AE6" s="71">
        <v>2800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66846.387636359999</v>
      </c>
      <c r="E7" s="73" ph="1">
        <f>E6*51.53*LOOKUP(E8,密度!$A$2:$A$50,密度!$B$2:$B$50)</f>
        <v>42712.753230000002</v>
      </c>
      <c r="F7" s="73" ph="1">
        <f>F6*33.183*LOOKUP(F8,密度!$A$2:$A$50,密度!$C$2:$C$50)</f>
        <v>220779.77220000001</v>
      </c>
      <c r="G7" s="73" ph="1">
        <f xml:space="preserve"> (G6+2)*51.53*LOOKUP(G8,密度!$A$2:$A$50,密度!$B$2:$B$50)</f>
        <v>166473.78161100001</v>
      </c>
      <c r="H7" s="73" ph="1">
        <f>(H6)*51.53*LOOKUP(H8,密度!$A$2:$A$50,密度!$B$2:$B$50)</f>
        <v>74743.564192000005</v>
      </c>
      <c r="I7" s="73" ph="1">
        <f>I6*290.8*1.0267</f>
        <v>17.913861600000001</v>
      </c>
      <c r="J7" s="73" ph="1">
        <f>J6*290.8*0.7892</f>
        <v>1617.9704879999999</v>
      </c>
      <c r="K7" s="73" ph="1">
        <f>K6*290.8*1.1126</f>
        <v>2381.2844288000001</v>
      </c>
      <c r="L7" s="73" ph="1">
        <f>L6*290.8*0.777</f>
        <v>7402.1744160000007</v>
      </c>
      <c r="M7" s="73" ph="1">
        <f>M6*33.183*LOOKUP(M8,密度!$A$2:$A$50,密度!$D$2:$D$50)</f>
        <v>49306.938256800007</v>
      </c>
      <c r="N7" s="73" ph="1">
        <f>N6*33.183*LOOKUP(N8,密度!$A$2:$A$50,密度!$E$2:$E$50)</f>
        <v>82827.289908000006</v>
      </c>
      <c r="O7" s="73" ph="1">
        <f>O6*20.428*LOOKUP(O8,密度!$A$2:$A$50,密度!$C$2:$C$50)</f>
        <v>2376.8080140000002</v>
      </c>
      <c r="P7" s="73" ph="1">
        <f>P6*51.53*LOOKUP(P8,密度!$A$2:$A$50,密度!$B$2:$B$50)</f>
        <v>292674.86370499997</v>
      </c>
      <c r="Q7" s="73" ph="1">
        <f>Q6*1.5*1.5*3.1416*LOOKUP(W8,密度!$A$2:$A$50,密度!$L$2:$L$50)</f>
        <v>13047.858054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14829.519889800002</v>
      </c>
      <c r="V7" s="73" ph="1">
        <f>V6*1.5*1.5*3.1416*LOOKUP(V8,密度!$A$2:$A$50,密度!$L$2:$L$50)</f>
        <v>25510.4077536</v>
      </c>
      <c r="W7" s="73" ph="1">
        <f>W6*1.5*1.5*3.1416*LOOKUP(W8,密度!$A$2:$A$50,密度!$L$2:$L$50)</f>
        <v>43382.472210000007</v>
      </c>
      <c r="X7" s="73" ph="1">
        <f>X6*1.5*1.5*3.1416*LOOKUP(X8,密度!$A$2:$A$50,密度!$L$2:$L$50)</f>
        <v>46958.158862999997</v>
      </c>
      <c r="Y7" s="73" ph="1">
        <f>Y6*1.5*1.5*3.1416*LOOKUP(Y8,密度!$A$2:$A$50,密度!$L$2:$L$50)</f>
        <v>25062.880550399997</v>
      </c>
      <c r="Z7" s="73" ph="1">
        <f>Z6*33.183*LOOKUP(Z8,密度!$A$2:$A$50,密度!$L$2:$L$50)</f>
        <v>176297.49613799999</v>
      </c>
      <c r="AA7" s="73" ph="1">
        <f>AA6*33.183*LOOKUP(AA8,密度!$A$2:$A$50,密度!$D$2:$D$50)</f>
        <v>39043.184165999999</v>
      </c>
      <c r="AB7" s="73" ph="1">
        <f>AB6*20.428*LOOKUP(AB8,密度!$A$2:$A$50,密度!$D$2:$D$50)</f>
        <v>66318.398888000011</v>
      </c>
      <c r="AC7" s="73" ph="1">
        <f>AC6*51.53*LOOKUP(AC8,密度!$A$2:$A$50,密度!$Q$2:$Q$50)</f>
        <v>169128.0888192</v>
      </c>
      <c r="AD7" s="73" ph="1">
        <f>AD6*20.428*LOOKUP(AD8,密度!$A$2:$A$50,密度!$V$2:$V$50)</f>
        <v>85378.417440000005</v>
      </c>
      <c r="AE7" s="73" ph="1">
        <f>AE6*20.428</f>
        <v>57198.400000000001</v>
      </c>
    </row>
    <row r="8" spans="1:99" ph="1">
      <c r="B8" s="241" ph="1"/>
      <c r="C8" s="68" t="s" ph="1">
        <v>179</v>
      </c>
      <c r="D8" s="74">
        <v>27</v>
      </c>
      <c r="E8" s="74">
        <v>24</v>
      </c>
      <c r="F8" s="74">
        <v>25</v>
      </c>
      <c r="G8" s="74">
        <v>27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27</v>
      </c>
      <c r="O8" s="74">
        <v>26</v>
      </c>
      <c r="P8" s="74">
        <v>24</v>
      </c>
      <c r="Q8" s="74">
        <v>25</v>
      </c>
      <c r="R8" s="74">
        <v>29</v>
      </c>
      <c r="S8" s="74">
        <v>20</v>
      </c>
      <c r="T8" s="74">
        <v>20</v>
      </c>
      <c r="U8" s="74">
        <v>25</v>
      </c>
      <c r="V8" s="74">
        <v>28</v>
      </c>
      <c r="W8" s="74">
        <v>25</v>
      </c>
      <c r="X8" s="74">
        <v>15</v>
      </c>
      <c r="Y8" s="74">
        <v>23</v>
      </c>
      <c r="Z8" s="74">
        <v>21</v>
      </c>
      <c r="AA8" s="74">
        <v>24</v>
      </c>
      <c r="AB8" s="74">
        <v>17</v>
      </c>
      <c r="AC8" s="74">
        <v>21</v>
      </c>
      <c r="AD8" s="74">
        <v>23</v>
      </c>
      <c r="AE8" s="74">
        <v>26</v>
      </c>
    </row>
    <row r="9" spans="1:99" ht="26.4" ph="1">
      <c r="B9" s="241" ph="1">
        <v>0.66666666666666663</v>
      </c>
      <c r="C9" s="157" t="s" ph="1">
        <v>180</v>
      </c>
      <c r="D9" s="71">
        <v>2411</v>
      </c>
      <c r="E9" s="71">
        <v>1076</v>
      </c>
      <c r="F9" s="71">
        <v>6821</v>
      </c>
      <c r="G9" s="71">
        <v>4153</v>
      </c>
      <c r="H9" s="71">
        <v>1728</v>
      </c>
      <c r="I9" s="71">
        <v>0.06</v>
      </c>
      <c r="J9" s="71">
        <v>7.06</v>
      </c>
      <c r="K9" s="71">
        <v>7.3</v>
      </c>
      <c r="L9" s="71">
        <v>17.93</v>
      </c>
      <c r="M9" s="71">
        <v>1446</v>
      </c>
      <c r="N9" s="71">
        <v>3183</v>
      </c>
      <c r="O9" s="71">
        <v>104</v>
      </c>
      <c r="P9" s="71">
        <v>7130</v>
      </c>
      <c r="Q9" s="71">
        <v>5012</v>
      </c>
      <c r="R9" s="71">
        <v>2324</v>
      </c>
      <c r="S9" s="71">
        <v>0</v>
      </c>
      <c r="T9" s="71">
        <v>0</v>
      </c>
      <c r="U9" s="71">
        <v>0</v>
      </c>
      <c r="V9" s="71">
        <v>2557</v>
      </c>
      <c r="W9" s="71">
        <v>6552</v>
      </c>
      <c r="X9" s="71">
        <v>7017</v>
      </c>
      <c r="Y9" s="71">
        <v>6190</v>
      </c>
      <c r="Z9" s="71">
        <v>4091</v>
      </c>
      <c r="AA9" s="71">
        <v>1145</v>
      </c>
      <c r="AB9" s="71">
        <v>3082</v>
      </c>
      <c r="AC9" s="71">
        <v>3552</v>
      </c>
      <c r="AD9" s="71">
        <v>4350</v>
      </c>
      <c r="AE9" s="71">
        <v>2802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75629.582633160011</v>
      </c>
      <c r="E10" s="73" ph="1">
        <f>E9*51.53*LOOKUP(E11,密度!$A$2:$A$50,密度!$B$2:$B$50)</f>
        <v>43225.919887999997</v>
      </c>
      <c r="F10" s="73" ph="1">
        <f>F9*33.183*LOOKUP(F11,密度!$A$2:$A$50,密度!$C$2:$C$50)</f>
        <v>251148.24323279996</v>
      </c>
      <c r="G10" s="73" ph="1">
        <f xml:space="preserve"> (G9+2)*51.53*LOOKUP(G11,密度!$A$2:$A$50,密度!$B$2:$B$50)</f>
        <v>166725.23770499998</v>
      </c>
      <c r="H10" s="73" ph="1">
        <f>(H9)*51.53*LOOKUP(H11,密度!$A$2:$A$50,密度!$B$2:$B$50)</f>
        <v>69658.996031999995</v>
      </c>
      <c r="I10" s="73" ph="1">
        <f>I9*290.8*1.0267</f>
        <v>17.913861600000001</v>
      </c>
      <c r="J10" s="73" ph="1">
        <f>J9*290.8*0.7892</f>
        <v>1620.2654815999999</v>
      </c>
      <c r="K10" s="73" ph="1">
        <f>K9*290.8*1.1126</f>
        <v>2361.8717840000004</v>
      </c>
      <c r="L10" s="73" ph="1">
        <f>L9*290.8*0.777</f>
        <v>4051.3121879999999</v>
      </c>
      <c r="M10" s="73" ph="1">
        <f>M9*33.183*LOOKUP(M11,密度!$A$2:$A$50,密度!$D$2:$D$50)</f>
        <v>49263.753900600001</v>
      </c>
      <c r="N10" s="73" ph="1">
        <f>N9*33.183*LOOKUP(N11,密度!$A$2:$A$50,密度!$E$2:$E$50)</f>
        <v>82363.637122200002</v>
      </c>
      <c r="O10" s="73" ph="1">
        <f>O9*20.428*LOOKUP(O11,密度!$A$2:$A$50,密度!$C$2:$C$50)</f>
        <v>2349.4978208000002</v>
      </c>
      <c r="P10" s="73" ph="1">
        <f>P9*51.53*LOOKUP(P11,密度!$A$2:$A$50,密度!$B$2:$B$50)</f>
        <v>286431.97843999998</v>
      </c>
      <c r="Q10" s="73" ph="1">
        <f>Q9*1.5*1.5*3.1416*LOOKUP(W11,密度!$A$2:$A$50,密度!$L$2:$L$50)</f>
        <v>33160.442515200004</v>
      </c>
      <c r="R10" s="73" ph="1">
        <f>R9*1.5*1.5*3.1416*LOOKUP(R11,密度!$A$2:$A$50,密度!$L$2:$L$50)</f>
        <v>15310.361404800002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16881.499126800001</v>
      </c>
      <c r="W10" s="73" ph="1">
        <f>W9*1.5*1.5*3.1416*LOOKUP(W11,密度!$A$2:$A$50,密度!$L$2:$L$50)</f>
        <v>43349.4052992</v>
      </c>
      <c r="X10" s="73" ph="1">
        <f>X9*1.5*1.5*3.1416*LOOKUP(X11,密度!$A$2:$A$50,密度!$L$2:$L$50)</f>
        <v>46872.346058999996</v>
      </c>
      <c r="Y10" s="73" ph="1">
        <f>Y9*1.5*1.5*3.1416*LOOKUP(Y11,密度!$A$2:$A$50,密度!$L$2:$L$50)</f>
        <v>41041.846691999999</v>
      </c>
      <c r="Z10" s="73" ph="1">
        <f>Z9*33.183*LOOKUP(Z11,密度!$A$2:$A$50,密度!$L$2:$L$50)</f>
        <v>127742.30547299999</v>
      </c>
      <c r="AA10" s="73" ph="1">
        <f>AA9*33.183*LOOKUP(AA11,密度!$A$2:$A$50,密度!$D$2:$D$50)</f>
        <v>38974.794002999995</v>
      </c>
      <c r="AB10" s="73" ph="1">
        <f>AB9*20.428*LOOKUP(AB11,密度!$A$2:$A$50,密度!$D$2:$D$50)</f>
        <v>65043.042077600003</v>
      </c>
      <c r="AC10" s="73" ph="1">
        <f>AC9*51.53*LOOKUP(AC11,密度!$A$2:$A$50,密度!$Q$2:$Q$50)</f>
        <v>173716.27055039999</v>
      </c>
      <c r="AD10" s="73" ph="1">
        <f>AD9*20.428*LOOKUP(AD11,密度!$A$2:$A$50,密度!$V$2:$V$50)</f>
        <v>85378.417440000005</v>
      </c>
      <c r="AE10" s="73" ph="1">
        <f>AE9*20.428</f>
        <v>57239.256000000001</v>
      </c>
    </row>
    <row r="11" spans="1:99" ph="1">
      <c r="A11" s="64" t="s" ph="1">
        <v>162</v>
      </c>
      <c r="B11" s="241" ph="1"/>
      <c r="C11" s="157" t="s" ph="1">
        <v>179</v>
      </c>
      <c r="D11" s="74">
        <v>27</v>
      </c>
      <c r="E11" s="74">
        <v>25</v>
      </c>
      <c r="F11" s="74">
        <v>24</v>
      </c>
      <c r="G11" s="74">
        <v>26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28</v>
      </c>
      <c r="O11" s="74">
        <v>29</v>
      </c>
      <c r="P11" s="74">
        <v>25</v>
      </c>
      <c r="Q11" s="74">
        <v>26</v>
      </c>
      <c r="R11" s="74">
        <v>30</v>
      </c>
      <c r="S11" s="74">
        <v>21</v>
      </c>
      <c r="T11" s="74">
        <v>23</v>
      </c>
      <c r="U11" s="74">
        <v>25</v>
      </c>
      <c r="V11" s="74">
        <v>28</v>
      </c>
      <c r="W11" s="74">
        <v>26</v>
      </c>
      <c r="X11" s="74">
        <v>17</v>
      </c>
      <c r="Y11" s="74">
        <v>24</v>
      </c>
      <c r="Z11" s="74">
        <v>21</v>
      </c>
      <c r="AA11" s="74">
        <v>26</v>
      </c>
      <c r="AB11" s="74">
        <v>18</v>
      </c>
      <c r="AC11" s="74">
        <v>22</v>
      </c>
      <c r="AD11" s="74">
        <v>24</v>
      </c>
      <c r="AE11" s="74">
        <v>27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3109</v>
      </c>
      <c r="E15" s="78">
        <v>67</v>
      </c>
      <c r="F15" s="78">
        <v>4115</v>
      </c>
      <c r="G15" s="78">
        <v>1870</v>
      </c>
      <c r="H15" s="78">
        <v>1962</v>
      </c>
      <c r="I15" s="78">
        <v>2665</v>
      </c>
      <c r="J15" s="78">
        <v>160</v>
      </c>
      <c r="K15" s="78">
        <v>3572</v>
      </c>
      <c r="L15" s="78">
        <v>5810</v>
      </c>
      <c r="M15" s="78">
        <v>6915</v>
      </c>
      <c r="N15" s="78">
        <v>5342</v>
      </c>
      <c r="O15" s="78">
        <v>2092</v>
      </c>
      <c r="P15" s="78">
        <v>6946</v>
      </c>
      <c r="Q15" s="78">
        <v>6955</v>
      </c>
      <c r="R15" s="78">
        <v>-11</v>
      </c>
      <c r="S15" s="78">
        <v>6202</v>
      </c>
      <c r="T15" s="78">
        <v>2084</v>
      </c>
      <c r="U15" s="78">
        <v>5855</v>
      </c>
      <c r="V15" s="78">
        <v>4968</v>
      </c>
      <c r="W15" s="71">
        <v>5071</v>
      </c>
      <c r="X15" s="78">
        <v>861</v>
      </c>
      <c r="Y15" s="106">
        <v>-9904</v>
      </c>
      <c r="Z15" s="78">
        <v>0</v>
      </c>
      <c r="AA15" s="78">
        <v>8</v>
      </c>
      <c r="AB15" s="78" ph="1">
        <v>1096</v>
      </c>
      <c r="AC15" s="78" ph="1">
        <v>2147</v>
      </c>
      <c r="AD15" s="78">
        <v>5.75</v>
      </c>
      <c r="AE15" s="78">
        <v>60.12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20569.795646400002</v>
      </c>
      <c r="E16" s="73" ph="1">
        <f>E15*7.0686*LOOKUP(E17,密度!$A$2:$A$50,密度!$L$2:$L$50)</f>
        <v>443.75963940000003</v>
      </c>
      <c r="F16" s="73" ph="1">
        <f>F15*9.0746*LOOKUP(F17,密度!$A$2:$A$50,密度!$L$2:$L$50)</f>
        <v>34877.408386000003</v>
      </c>
      <c r="G16" s="73" ph="1">
        <f>G15*9.0746*LOOKUP(G17,密度!$A$2:$A$50,密度!$B$2:$B$50)</f>
        <v>13229.423759199999</v>
      </c>
      <c r="H16" s="73" ph="1">
        <f>H15*9.0746*LOOKUP(H17,密度!$A$2:$A$50,密度!$L$2:$L$50)</f>
        <v>16753.9076532</v>
      </c>
      <c r="I16" s="73" ph="1">
        <f>I15*9.0746*LOOKUP(I17,密度!$A$2:$A$50,密度!$U$2:$U$50)</f>
        <v>24836.771842999999</v>
      </c>
      <c r="J16" s="73" ph="1">
        <f>J15*9.0746*LOOKUP(J17,密度!$A$2:$A$50,密度!$L$2:$L$50)</f>
        <v>1361.915968</v>
      </c>
      <c r="K16" s="73" ph="1">
        <f>K15*9.0746*LOOKUP(K17,密度!$A$2:$A$50,密度!$C$2:$C$50)</f>
        <v>35944.407113679998</v>
      </c>
      <c r="L16" s="73" ph="1">
        <f>L15*9.0746*LOOKUP(L17,密度!$A$2:$A$50,密度!$E$2:$E$50)</f>
        <v>41292.987243199997</v>
      </c>
      <c r="M16" s="73" ph="1">
        <f>M15*9.0746*LOOKUP(M17,密度!$A$2:$A$50,密度!$M$2:$M$50)</f>
        <v>54787.774992900006</v>
      </c>
      <c r="N16" s="73" ph="1">
        <f>N15*9.0746*LOOKUP(N17,密度!$A$2:$A$50,密度!$M$2:$M$50)</f>
        <v>42562.378589600004</v>
      </c>
      <c r="O16" s="73" ph="1">
        <f>O15*9.0746*LOOKUP(O17,密度!$A$2:$A$50,密度!$G$2:$G$50)</f>
        <v>18228.49748464</v>
      </c>
      <c r="P16" s="73" ph="1">
        <f ca="1">P15*9.0746*LOOKUP(P17,密度!$A$2:$A$51,密度!$Q$2:$Q$50)</f>
        <v>59675.078140584003</v>
      </c>
      <c r="Q16" s="73" ph="1">
        <f>Q15*9.0746*LOOKUP(Q17,密度!$A$2:$A$50,密度!$Q$2:$Q$50)</f>
        <v>59752.399721820002</v>
      </c>
      <c r="R16" s="73" ph="1">
        <f>MAX(R15*9.0746*LOOKUP(R17,密度!$A$2:$A$50,密度!$B$2:$B$50),0)</f>
        <v>0</v>
      </c>
      <c r="S16" s="73" ph="1">
        <f>S15*9.0746*LOOKUP(S17,密度!$A$2:$A$50,密度!$Q$2:$Q$50)</f>
        <v>53243.201483276003</v>
      </c>
      <c r="T16" s="73" ph="1">
        <f>T15*9.0746*LOOKUP(T17,密度!$A$2:$A$50,密度!$O$2:$O$50)</f>
        <v>17512.017886400001</v>
      </c>
      <c r="U16" s="73" ph="1">
        <f>U15*9.0746*LOOKUP(U17,密度!$A$2:$A$50,密度!$H$2:$H$50)</f>
        <v>48764.350437399997</v>
      </c>
      <c r="V16" s="73" ph="1">
        <f>MAX(5600*LOOKUP(V17,密度!$A$2:$A$50,密度!$Q$2:$Q$50)+V15*9.0476*LOOKUP(V17,密度!$A$2:$A$50,密度!$Q$2:$Q$50),0)</f>
        <v>47784.486088575999</v>
      </c>
      <c r="W16" s="73" ph="1">
        <f>MAX(5600*LOOKUP(W17,密度!$A$2:$A$50,密度!$Q$2:$Q$50)+W15*9.0476*LOOKUP(W17,密度!$A$2:$A$50,密度!$Q$2:$Q$50),0)</f>
        <v>48629.396177751994</v>
      </c>
      <c r="X16" s="73" ph="1">
        <f>MAX(5600*LOOKUP(X17,密度!$A$2:$A$50,密度!$I$2:$I$50)+X15*9.0476*LOOKUP(X17,密度!$A$2:$A$50,密度!$I$2:$I$50),0)</f>
        <v>13938.972927599998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56.661802399999999</v>
      </c>
      <c r="AB16" s="73" ph="1">
        <f>AB15*9.0746*LOOKUP(AB17,密度!$A$2:$A$50,密度!$L$2:$L$50)</f>
        <v>9339.0701423999999</v>
      </c>
      <c r="AC16" s="73" ph="1">
        <f>AC15*9.0746*LOOKUP(AC17,密度!$A$2:$A$50,密度!$L$2:$L$50)</f>
        <v>18275.209895599997</v>
      </c>
      <c r="AD16" s="73" ph="1">
        <f>AD15*268.68*LOOKUP(AD17,密度!$A$2:$A$50,密度!B2:B50)+IF(AD15&lt;=0,0,1566*LOOKUP(AD17,密度!$A$2:$A$50,密度!B2:B50))</f>
        <v>2425.2654359999997</v>
      </c>
      <c r="AE16" s="73" ph="1">
        <f>AE15*268.68*LOOKUP(AE17,密度!$A$2:$A$50,密度!B2:B50)+IF(AE15&lt;=0,0,1566*LOOKUP(AE17,密度!$A$2:$A$50,密度!B2:B50))</f>
        <v>13813.76483136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26</v>
      </c>
      <c r="E17" s="74">
        <v>25</v>
      </c>
      <c r="F17" s="74">
        <v>28</v>
      </c>
      <c r="G17" s="74">
        <v>25</v>
      </c>
      <c r="H17" s="74">
        <v>21</v>
      </c>
      <c r="I17" s="74">
        <v>23</v>
      </c>
      <c r="J17" s="74">
        <v>24</v>
      </c>
      <c r="K17" s="74">
        <v>25</v>
      </c>
      <c r="L17" s="74">
        <v>25</v>
      </c>
      <c r="M17" s="74">
        <v>27</v>
      </c>
      <c r="N17" s="74">
        <v>22</v>
      </c>
      <c r="O17" s="74">
        <v>25</v>
      </c>
      <c r="P17" s="74">
        <v>25</v>
      </c>
      <c r="Q17" s="74">
        <v>25</v>
      </c>
      <c r="R17" s="74">
        <v>25</v>
      </c>
      <c r="S17" s="74">
        <v>26</v>
      </c>
      <c r="T17" s="74">
        <v>25</v>
      </c>
      <c r="U17" s="74">
        <v>22</v>
      </c>
      <c r="V17" s="74">
        <v>27</v>
      </c>
      <c r="W17" s="74">
        <v>28</v>
      </c>
      <c r="X17" s="74">
        <v>26</v>
      </c>
      <c r="Y17" s="108">
        <v>26</v>
      </c>
      <c r="Z17" s="74">
        <v>22</v>
      </c>
      <c r="AA17" s="74">
        <v>24</v>
      </c>
      <c r="AB17" s="74">
        <v>23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673</v>
      </c>
      <c r="E18" s="71">
        <v>67</v>
      </c>
      <c r="F18" s="71">
        <v>4195</v>
      </c>
      <c r="G18" s="71">
        <v>1974</v>
      </c>
      <c r="H18" s="71">
        <v>1981</v>
      </c>
      <c r="I18" s="71">
        <v>2666</v>
      </c>
      <c r="J18" s="71">
        <v>164</v>
      </c>
      <c r="K18" s="71">
        <v>3572</v>
      </c>
      <c r="L18" s="71">
        <v>4001</v>
      </c>
      <c r="M18" s="71">
        <v>5266</v>
      </c>
      <c r="N18" s="71">
        <v>5435</v>
      </c>
      <c r="O18" s="71">
        <v>2355</v>
      </c>
      <c r="P18" s="71">
        <v>6949</v>
      </c>
      <c r="Q18" s="71">
        <v>6955</v>
      </c>
      <c r="R18" s="71">
        <v>-11</v>
      </c>
      <c r="S18" s="71">
        <v>6202</v>
      </c>
      <c r="T18" s="71">
        <v>1513</v>
      </c>
      <c r="U18" s="71">
        <v>5854</v>
      </c>
      <c r="V18" s="71">
        <v>4967</v>
      </c>
      <c r="W18" s="71">
        <v>5070</v>
      </c>
      <c r="X18" s="71">
        <v>861</v>
      </c>
      <c r="Y18" s="109">
        <v>-9906</v>
      </c>
      <c r="Z18" s="71">
        <v>0</v>
      </c>
      <c r="AA18" s="71">
        <v>8</v>
      </c>
      <c r="AB18" s="71">
        <v>1095</v>
      </c>
      <c r="AC18" s="71">
        <v>2147</v>
      </c>
      <c r="AD18" s="71">
        <v>14.41</v>
      </c>
      <c r="AE18" s="71">
        <v>84.47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4452.7090608000008</v>
      </c>
      <c r="E19" s="73" ph="1">
        <f>E18*7.0686*LOOKUP(E20,密度!$A$2:$A$50,密度!$L$2:$L$50)</f>
        <v>443.28604320000005</v>
      </c>
      <c r="F19" s="73" ph="1">
        <f>F18*9.0746*LOOKUP(F20,密度!$A$2:$A$50,密度!$L$2:$L$50)</f>
        <v>35517.394551000005</v>
      </c>
      <c r="G19" s="73" ph="1">
        <f>G18*9.0746*LOOKUP(G20,密度!$A$2:$A$50,密度!$B$2:$B$50)</f>
        <v>13965.177807839998</v>
      </c>
      <c r="H19" s="73" ph="1">
        <f>H18*9.0746*LOOKUP(H20,密度!$A$2:$A$50,密度!$L$2:$L$50)</f>
        <v>16916.152426599998</v>
      </c>
      <c r="I19" s="73" ph="1">
        <f>I18*9.0746*LOOKUP(I20,密度!$A$2:$A$50,密度!$U$2:$U$50)</f>
        <v>24797.705689999999</v>
      </c>
      <c r="J19" s="73" ph="1">
        <f>J18*9.0746*LOOKUP(J20,密度!$A$2:$A$50,密度!$L$2:$L$50)</f>
        <v>1391.4991640000001</v>
      </c>
      <c r="K19" s="73" ph="1">
        <f>K18*9.0746*LOOKUP(K20,密度!$A$2:$A$50,密度!$C$2:$C$50)</f>
        <v>35944.407113679998</v>
      </c>
      <c r="L19" s="73" ph="1">
        <f>L18*9.0746*LOOKUP(L20,密度!$A$2:$A$50,密度!$E$2:$E$50)</f>
        <v>28396.07588466</v>
      </c>
      <c r="M19" s="73" ph="1">
        <f>M18*9.0746*LOOKUP(M20,密度!$A$2:$A$50,密度!$M$2:$M$50)</f>
        <v>41670.1276192</v>
      </c>
      <c r="N19" s="73" ph="1">
        <f>N18*9.0746*LOOKUP(N20,密度!$A$2:$A$50,密度!$M$2:$M$50)</f>
        <v>43199.783030899998</v>
      </c>
      <c r="O19" s="73" ph="1">
        <f>O18*9.0746*LOOKUP(O20,密度!$A$2:$A$50,密度!$G$2:$G$50)</f>
        <v>20494.484997</v>
      </c>
      <c r="P19" s="73" ph="1">
        <f ca="1">P18*9.0746*LOOKUP(P20,密度!$A$2:$A$51,密度!$Q$2:$Q$50)</f>
        <v>59656.079830262002</v>
      </c>
      <c r="Q19" s="73" ph="1">
        <f>Q18*9.0746*LOOKUP(Q20,密度!$A$2:$A$50,密度!$Q$2:$Q$50)</f>
        <v>59707.588893290005</v>
      </c>
      <c r="R19" s="73" ph="1">
        <f>MAX(R18*9.0746*LOOKUP(R20,密度!$A$2:$A$50,密度!$B$2:$B$50),0)</f>
        <v>0</v>
      </c>
      <c r="S19" s="73" ph="1">
        <f>S18*9.0746*LOOKUP(S20,密度!$A$2:$A$50,密度!$Q$2:$Q$50)</f>
        <v>53283.160758408005</v>
      </c>
      <c r="T19" s="73" ph="1">
        <f>T18*9.0746*LOOKUP(T20,密度!$A$2:$A$50,密度!$O$2:$O$50)</f>
        <v>12713.859434800001</v>
      </c>
      <c r="U19" s="73" ph="1">
        <f>U18*9.0746*LOOKUP(U20,密度!$A$2:$A$50,密度!$H$2:$H$50)</f>
        <v>48697.586790280002</v>
      </c>
      <c r="V19" s="73" ph="1">
        <f>MAX(5600*LOOKUP(V20,密度!$A$2:$A$50,密度!$Q$2:$Q$50)+V18*9.0476*LOOKUP(V20,密度!$A$2:$A$50,密度!$Q$2:$Q$50),0)</f>
        <v>47740.555610904004</v>
      </c>
      <c r="W19" s="73" ph="1">
        <f>MAX(5600*LOOKUP(W20,密度!$A$2:$A$50,密度!$Q$2:$Q$50)+W18*9.0476*LOOKUP(W20,密度!$A$2:$A$50,密度!$Q$2:$Q$50),0)</f>
        <v>48620.84963384</v>
      </c>
      <c r="X19" s="73" ph="1">
        <f>MAX(5600*LOOKUP(X20,密度!$A$2:$A$50,密度!$I$2:$I$50)+X18*9.0476*LOOKUP(X20,密度!$A$2:$A$50,密度!$I$2:$I$50),0)</f>
        <v>13894.785981720001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56.661802399999999</v>
      </c>
      <c r="AB19" s="73" ph="1">
        <f>AB18*9.0746*LOOKUP(AB20,密度!$A$2:$A$50,密度!$L$2:$L$50)</f>
        <v>9310.6757190000008</v>
      </c>
      <c r="AC19" s="73" ph="1">
        <f>AC18*9.0746*LOOKUP(AC20,密度!$A$2:$A$50,密度!$L$2:$L$50)</f>
        <v>18275.209895599997</v>
      </c>
      <c r="AD19" s="73" ph="1">
        <f>AD18*268.68*LOOKUP(AD20,密度!$A$2:$A$50,密度!B5:B53)+IF(AD18&lt;=0,0,1566*LOOKUP(AD20,密度!$A$2:$A$50,密度!B5:B53))</f>
        <v>4225.0764276</v>
      </c>
      <c r="AE19" s="73" ph="1">
        <f>AE18*268.68*LOOKUP(AE20,密度!$A$2:$A$50,密度!B5:B53)+IF(AE18&lt;=0,0,1566*LOOKUP(AE20,密度!$A$2:$A$50,密度!B5:B53))</f>
        <v>18851.1074892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29</v>
      </c>
      <c r="G20" s="81">
        <v>25</v>
      </c>
      <c r="H20" s="81">
        <v>21</v>
      </c>
      <c r="I20" s="81">
        <v>25</v>
      </c>
      <c r="J20" s="81">
        <v>27</v>
      </c>
      <c r="K20" s="81">
        <v>25</v>
      </c>
      <c r="L20" s="81">
        <v>26</v>
      </c>
      <c r="M20" s="81">
        <v>28</v>
      </c>
      <c r="N20" s="81">
        <v>24</v>
      </c>
      <c r="O20" s="81">
        <v>26</v>
      </c>
      <c r="P20" s="81">
        <v>26</v>
      </c>
      <c r="Q20" s="81">
        <v>26</v>
      </c>
      <c r="R20" s="81">
        <v>28</v>
      </c>
      <c r="S20" s="81">
        <v>25</v>
      </c>
      <c r="T20" s="81">
        <v>28</v>
      </c>
      <c r="U20" s="81">
        <v>23</v>
      </c>
      <c r="V20" s="81">
        <v>28</v>
      </c>
      <c r="W20" s="81">
        <v>28</v>
      </c>
      <c r="X20" s="81">
        <v>29</v>
      </c>
      <c r="Y20" s="110">
        <v>29</v>
      </c>
      <c r="Z20" s="81">
        <v>26</v>
      </c>
      <c r="AA20" s="81">
        <v>24</v>
      </c>
      <c r="AB20" s="81">
        <v>25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643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78.72</v>
      </c>
      <c r="E24" s="71">
        <v>46.07</v>
      </c>
      <c r="F24" s="71">
        <v>1557</v>
      </c>
      <c r="G24" s="71">
        <v>3252</v>
      </c>
      <c r="H24" s="71">
        <v>1111</v>
      </c>
      <c r="I24" s="71">
        <v>5582</v>
      </c>
      <c r="J24" s="71">
        <v>4845</v>
      </c>
      <c r="K24" s="71">
        <v>500</v>
      </c>
      <c r="L24" s="71">
        <v>5593</v>
      </c>
      <c r="M24" s="71">
        <v>5118</v>
      </c>
      <c r="N24" s="71">
        <v>5518</v>
      </c>
      <c r="O24" s="71">
        <v>5588</v>
      </c>
      <c r="P24" s="71">
        <v>382</v>
      </c>
      <c r="Q24" s="90">
        <v>839</v>
      </c>
      <c r="R24" s="71">
        <v>218</v>
      </c>
      <c r="S24" s="71">
        <v>3006</v>
      </c>
      <c r="T24" s="71">
        <v>280</v>
      </c>
      <c r="U24" s="71">
        <v>4674</v>
      </c>
      <c r="V24" s="71">
        <v>8699</v>
      </c>
      <c r="W24" s="71">
        <v>9733</v>
      </c>
      <c r="X24" s="71">
        <v>2855</v>
      </c>
      <c r="Y24" s="71">
        <v>1634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21506.609363904005</v>
      </c>
      <c r="E25" s="91" ph="1">
        <f>E24*268.68*LOOKUP(E26,密度!$A$2:$A$50,密度!$C$2:$C$50)+IF(E24&lt;=0,0,1566*LOOKUP(E26,密度!$A$2:$A$50,密度!$C$2:$C$50))</f>
        <v>15462.59873964</v>
      </c>
      <c r="F25" s="91" ph="1">
        <f>F24*11.702*LOOKUP(F26,密度!$A$2:$A$50,密度!$Q$2:$Q$50)</f>
        <v>17249.616054359998</v>
      </c>
      <c r="G25" s="91" ph="1">
        <f>G24*18.322*LOOKUP(G26,密度!$A$2:$A$50,密度!$B$2:$B$50)</f>
        <v>46451.019062399995</v>
      </c>
      <c r="H25" s="91" ph="1">
        <f>H24*18.322*LOOKUP(H26,密度!$A$2:$A$50,密度!$B$2:$B$50)</f>
        <v>15834.731701799999</v>
      </c>
      <c r="I25" s="91" ph="1">
        <f>I24*18.322*LOOKUP(I26,密度!$A$2:$A$50,密度!$Q$2:$Q$50)</f>
        <v>96753.708386119994</v>
      </c>
      <c r="J25" s="91" ph="1">
        <f>J24*18.322*LOOKUP(J26,密度!$A$2:$A$50,密度!$Q$2:$Q$50)</f>
        <v>83979.168242700005</v>
      </c>
      <c r="K25" s="91" ph="1">
        <f>K24*18.322*LOOKUP(K26,密度!$A$2:$A$50,密度!$Q$2:$Q$50)</f>
        <v>8673.085140000001</v>
      </c>
      <c r="L25" s="91" ph="1">
        <f>L24*18.322*LOOKUP(L26,密度!$A$2:$A$50,密度!$Q$2:$Q$50)</f>
        <v>96871.615952720007</v>
      </c>
      <c r="M25" s="91" ph="1">
        <f>M24*18.322*LOOKUP(M26,密度!$A$2:$A$50,密度!$Q$2:$Q$50)</f>
        <v>88644.543258720005</v>
      </c>
      <c r="N25" s="91" ph="1">
        <f>N24*18.322*LOOKUP(N26,密度!$A$2:$A$50,密度!$Q$2:$Q$50)</f>
        <v>95572.604474720007</v>
      </c>
      <c r="O25" s="91" ph="1">
        <f>O24*18.322*LOOKUP(O26,密度!$A$2:$A$50,密度!$C$2:$C$50)</f>
        <v>113450.97462160001</v>
      </c>
      <c r="P25" s="91" ph="1">
        <f>P24*11.702*LOOKUP(P26,密度!$A$2:$A$50,密度!$B$2:$B$50)</f>
        <v>3484.9398543999996</v>
      </c>
      <c r="Q25" s="92" ph="1">
        <f>Q24*18.322*LOOKUP(Q26,密度!$A$2:$A$50,密度!$B$2:$B$50)</f>
        <v>11984.134376799999</v>
      </c>
      <c r="R25" s="91" ph="1">
        <f>R24*35.891*LOOKUP(R26,密度!$A$2:$A$50,密度!$C$2:$C$50)</f>
        <v>8664.5611611999993</v>
      </c>
      <c r="S25" s="91" ph="1">
        <f>S24*35.891*LOOKUP(S26,密度!$A$2:$A$50,密度!$B$2:$B$50)</f>
        <v>84012.655030199981</v>
      </c>
      <c r="T25" s="91" ph="1">
        <f>T24*35.891*LOOKUP(T26,密度!$A$2:$A$50,密度!$Q$2:$Q$50)</f>
        <v>9507.1095643999997</v>
      </c>
      <c r="U25" s="91" ph="1">
        <f>U24*35.891</f>
        <v>167754.53399999999</v>
      </c>
      <c r="V25" s="91" ph="1">
        <f>V24*47.051*LOOKUP(V26,密度!$A$2:$A$50,密度!$B$2:$B$50)</f>
        <v>318719.30057630001</v>
      </c>
      <c r="W25" s="91" ph="1">
        <f>W24*47.051*LOOKUP(W26,密度!$A$2:$A$50,密度!$B$2:$B$50)</f>
        <v>357015.77978680003</v>
      </c>
      <c r="X25" s="91" ph="1">
        <f>X24*47.051*LOOKUP(X26,密度!$A$2:$A$50,密度!$I$2:$I$50)</f>
        <v>139703.82920000001</v>
      </c>
      <c r="Y25" s="91" ph="1">
        <f>Y24*47.051*LOOKUP(Y26,密度!$A$2:$A$50,密度!$L$2:$L$50)</f>
        <v>72037.809958000013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25</v>
      </c>
      <c r="G26" s="74">
        <v>25</v>
      </c>
      <c r="H26" s="74">
        <v>27</v>
      </c>
      <c r="I26" s="74">
        <v>26</v>
      </c>
      <c r="J26" s="74">
        <v>26</v>
      </c>
      <c r="K26" s="74">
        <v>25</v>
      </c>
      <c r="L26" s="74">
        <v>27</v>
      </c>
      <c r="M26" s="74">
        <v>27</v>
      </c>
      <c r="N26" s="74">
        <v>27</v>
      </c>
      <c r="O26" s="74">
        <v>26</v>
      </c>
      <c r="P26" s="74">
        <v>25</v>
      </c>
      <c r="Q26" s="93">
        <v>25</v>
      </c>
      <c r="R26" s="74">
        <v>27</v>
      </c>
      <c r="S26" s="74">
        <v>26</v>
      </c>
      <c r="T26" s="74">
        <v>26</v>
      </c>
      <c r="U26" s="74">
        <v>25</v>
      </c>
      <c r="V26" s="74">
        <v>26</v>
      </c>
      <c r="W26" s="74">
        <v>25</v>
      </c>
      <c r="X26" s="74">
        <v>27</v>
      </c>
      <c r="Y26" s="74">
        <v>25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78.739999999999995</v>
      </c>
      <c r="E27" s="71">
        <v>46.07</v>
      </c>
      <c r="F27" s="71">
        <v>1556</v>
      </c>
      <c r="G27" s="71">
        <v>2660</v>
      </c>
      <c r="H27" s="71">
        <v>817</v>
      </c>
      <c r="I27" s="71">
        <v>4690</v>
      </c>
      <c r="J27" s="71">
        <v>4845</v>
      </c>
      <c r="K27" s="71">
        <v>2070</v>
      </c>
      <c r="L27" s="71">
        <v>5590</v>
      </c>
      <c r="M27" s="71">
        <v>5117</v>
      </c>
      <c r="N27" s="71">
        <v>5516</v>
      </c>
      <c r="O27" s="71">
        <v>5586</v>
      </c>
      <c r="P27" s="71">
        <v>380</v>
      </c>
      <c r="Q27" s="90">
        <v>1454</v>
      </c>
      <c r="R27" s="71">
        <v>218</v>
      </c>
      <c r="S27" s="71">
        <v>3738</v>
      </c>
      <c r="T27" s="71">
        <v>279</v>
      </c>
      <c r="U27" s="71">
        <v>4348</v>
      </c>
      <c r="V27" s="71">
        <v>8477</v>
      </c>
      <c r="W27" s="71">
        <v>9006</v>
      </c>
      <c r="X27" s="71">
        <v>3379</v>
      </c>
      <c r="Y27" s="71">
        <v>2153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21511.696765968001</v>
      </c>
      <c r="E28" s="91" ph="1">
        <f>E27*268.68*LOOKUP(E29,密度!$A$2:$A$50,密度!$C$2:$C$50)+IF(E27&lt;=0,0,1566*LOOKUP(E29,密度!$A$2:$A$50,密度!$C$2:$C$50))</f>
        <v>15462.59873964</v>
      </c>
      <c r="F28" s="91" ph="1">
        <f>F27*11.702*LOOKUP(F29,密度!$A$2:$A$50,密度!$Q$2:$Q$50)</f>
        <v>17225.609401360001</v>
      </c>
      <c r="G28" s="91" ph="1">
        <f>G27*18.322*LOOKUP(G29,密度!$A$2:$A$50,密度!$B$2:$B$50)</f>
        <v>37994.990991999999</v>
      </c>
      <c r="H28" s="91" ph="1">
        <f>H27*18.322*LOOKUP(H29,密度!$A$2:$A$50,密度!$B$2:$B$50)</f>
        <v>11683.362256999999</v>
      </c>
      <c r="I28" s="91" ph="1">
        <f>I27*18.322*LOOKUP(I29,密度!$A$2:$A$50,密度!$Q$2:$Q$50)</f>
        <v>81231.517757599999</v>
      </c>
      <c r="J28" s="91" ph="1">
        <f>J27*18.322*LOOKUP(J29,密度!$A$2:$A$50,密度!$Q$2:$Q$50)</f>
        <v>83979.168242700005</v>
      </c>
      <c r="K28" s="91" ph="1">
        <f>K27*18.322*LOOKUP(K29,密度!$A$2:$A$50,密度!$Q$2:$Q$50)</f>
        <v>35852.716792800005</v>
      </c>
      <c r="L28" s="91" ph="1">
        <f>L27*18.322*LOOKUP(L29,密度!$A$2:$A$50,密度!$Q$2:$Q$50)</f>
        <v>97039.858450600004</v>
      </c>
      <c r="M28" s="91" ph="1">
        <f>M27*18.322*LOOKUP(M29,密度!$A$2:$A$50,密度!$Q$2:$Q$50)</f>
        <v>88627.223105680008</v>
      </c>
      <c r="N28" s="91" ph="1">
        <f>N27*18.322*LOOKUP(N29,密度!$A$2:$A$50,密度!$Q$2:$Q$50)</f>
        <v>95681.475264480003</v>
      </c>
      <c r="O28" s="91" ph="1">
        <f>O27*18.322*LOOKUP(O29,密度!$A$2:$A$50,密度!$C$2:$C$50)</f>
        <v>113563.88944319998</v>
      </c>
      <c r="P28" s="91" ph="1">
        <f>P27*11.702*LOOKUP(P29,密度!$A$2:$A$50,密度!$B$2:$B$50)</f>
        <v>3466.6940960000002</v>
      </c>
      <c r="Q28" s="92" ph="1">
        <f>Q27*18.322*LOOKUP(Q29,密度!$A$2:$A$50,密度!$B$2:$B$50)</f>
        <v>20768.690564799999</v>
      </c>
      <c r="R28" s="91" ph="1">
        <f>R27*35.891*LOOKUP(R29,密度!$A$2:$A$50,密度!$C$2:$C$50)</f>
        <v>8670.0381278000004</v>
      </c>
      <c r="S28" s="91" ph="1">
        <f>S27*35.891*LOOKUP(S29,密度!$A$2:$A$50,密度!$B$2:$B$50)</f>
        <v>104363.4980682</v>
      </c>
      <c r="T28" s="91" ph="1">
        <f>T27*35.891*LOOKUP(T29,密度!$A$2:$A$50,密度!$Q$2:$Q$50)</f>
        <v>9487.575169830001</v>
      </c>
      <c r="U28" s="91" ph="1">
        <f>U27*35.891</f>
        <v>156054.068</v>
      </c>
      <c r="V28" s="91" ph="1">
        <f>V27*47.051*LOOKUP(V29,密度!$A$2:$A$50,密度!$B$2:$B$50)</f>
        <v>310585.52833489998</v>
      </c>
      <c r="W28" s="91" ph="1">
        <f>W27*47.051*LOOKUP(W29,密度!$A$2:$A$50,密度!$B$2:$B$50)</f>
        <v>330348.72215759999</v>
      </c>
      <c r="X28" s="91" ph="1">
        <f>X27*47.051*LOOKUP(X29,密度!$A$2:$A$50,密度!$I$2:$I$50)</f>
        <v>165344.74215999999</v>
      </c>
      <c r="Y28" s="91" ph="1">
        <f>Y27*47.051*LOOKUP(Y29,密度!$A$2:$A$50,密度!$L$2:$L$50)</f>
        <v>95020.153213999991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26</v>
      </c>
      <c r="G29" s="74">
        <v>25</v>
      </c>
      <c r="H29" s="74">
        <v>24</v>
      </c>
      <c r="I29" s="74">
        <v>27</v>
      </c>
      <c r="J29" s="74">
        <v>26</v>
      </c>
      <c r="K29" s="74">
        <v>27</v>
      </c>
      <c r="L29" s="74">
        <v>24</v>
      </c>
      <c r="M29" s="74">
        <v>27</v>
      </c>
      <c r="N29" s="74">
        <v>25</v>
      </c>
      <c r="O29" s="74">
        <v>24</v>
      </c>
      <c r="P29" s="74">
        <v>25</v>
      </c>
      <c r="Q29" s="93">
        <v>25</v>
      </c>
      <c r="R29" s="74">
        <v>26</v>
      </c>
      <c r="S29" s="74">
        <v>27</v>
      </c>
      <c r="T29" s="74">
        <v>24</v>
      </c>
      <c r="U29" s="74">
        <v>24</v>
      </c>
      <c r="V29" s="74">
        <v>26</v>
      </c>
      <c r="W29" s="74">
        <v>25</v>
      </c>
      <c r="X29" s="74">
        <v>27</v>
      </c>
      <c r="Y29" s="74">
        <v>24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104017.8360806</v>
      </c>
      <c r="E33" s="190" ph="1">
        <f>M10+I10</f>
        <v>49281.667762199999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6" ph="1">
        <v>0</v>
      </c>
      <c r="H33" s="190" ph="1">
        <f>N19</f>
        <v>43199.783030899998</v>
      </c>
      <c r="I33" s="194" ph="1">
        <v>0</v>
      </c>
      <c r="J33" s="198" ph="1">
        <f>F10+O28</f>
        <v>364712.13267599995</v>
      </c>
      <c r="K33" s="190" ph="1">
        <f>O10+K10+E28+R28</f>
        <v>28844.006472239998</v>
      </c>
      <c r="L33" s="200" ph="1">
        <f>BE27</f>
        <v>7100</v>
      </c>
      <c r="M33" s="198" ph="1">
        <f>G10+H10+W28+S28+V28+E10</f>
        <v>1024907.9021856999</v>
      </c>
      <c r="N33" s="190" ph="1">
        <f>L10+P10++G28+H28</f>
        <v>340161.64387699997</v>
      </c>
      <c r="O33" s="194" ph="1">
        <f>BE17</f>
        <v>2270</v>
      </c>
      <c r="P33" s="198" ph="1">
        <f>L19</f>
        <v>28396.07588466</v>
      </c>
      <c r="Q33" s="190" ph="1">
        <f>J10+N10</f>
        <v>83983.902603800001</v>
      </c>
      <c r="R33" s="194" ph="1">
        <f>BE23</f>
        <v>890</v>
      </c>
      <c r="S33" s="198" ph="1">
        <f>E10+X28</f>
        <v>208570.662048</v>
      </c>
      <c r="T33" s="190" ph="1">
        <f>X19</f>
        <v>13894.785981720001</v>
      </c>
      <c r="U33" s="179" ph="1">
        <f>BE21</f>
        <v>730</v>
      </c>
      <c r="V33" s="192" ph="1">
        <f ca="1">P19+Q19+S19+M28+N28+J28</f>
        <v>440934.69609481998</v>
      </c>
      <c r="W33" s="192" ph="1">
        <f>D28+F28+V19+T28</f>
        <v>95965.436948062008</v>
      </c>
      <c r="X33" s="194" ph="1">
        <f>BE29+BE31</f>
        <v>10200</v>
      </c>
      <c r="Y33" s="196" ph="1">
        <f>+Q10+R10+S10+T10+U10+V10+W10+X10+Y10</f>
        <v>196615.90109699999</v>
      </c>
      <c r="Z33" s="177" ph="1">
        <f>D10+T19+U19+Y28+Z10</f>
        <v>359803.48754523997</v>
      </c>
      <c r="AA33" s="179" ph="1">
        <f>BE19</f>
        <v>1440</v>
      </c>
      <c r="AB33" s="181" ph="1">
        <f>I19</f>
        <v>24797.705689999999</v>
      </c>
      <c r="AC33" s="183" ph="1">
        <f>AD10</f>
        <v>85378.417440000005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23" priority="98">
      <formula>ABS(D$7-D$10)&gt;=1000</formula>
    </cfRule>
  </conditionalFormatting>
  <conditionalFormatting sqref="E4 E6:E11">
    <cfRule type="expression" dxfId="1022" priority="97">
      <formula>ABS(E$7-E$10)&gt;=1000</formula>
    </cfRule>
  </conditionalFormatting>
  <conditionalFormatting sqref="F4:F11">
    <cfRule type="expression" dxfId="1021" priority="96">
      <formula>ABS(F$7-F$10)&gt;=1000</formula>
    </cfRule>
  </conditionalFormatting>
  <conditionalFormatting sqref="G4:G11">
    <cfRule type="expression" dxfId="1020" priority="95">
      <formula>ABS(G$7-G$10)&gt;=1000</formula>
    </cfRule>
  </conditionalFormatting>
  <conditionalFormatting sqref="H4:H11">
    <cfRule type="expression" dxfId="1019" priority="94">
      <formula>ABS(H$7-H$10)&gt;=1000</formula>
    </cfRule>
  </conditionalFormatting>
  <conditionalFormatting sqref="I4:I11">
    <cfRule type="expression" dxfId="1018" priority="93">
      <formula>ABS(I$7-I$10)&gt;=1000</formula>
    </cfRule>
  </conditionalFormatting>
  <conditionalFormatting sqref="J4:J11">
    <cfRule type="expression" dxfId="1017" priority="92">
      <formula>ABS(J$7-J$10)&gt;=1000</formula>
    </cfRule>
  </conditionalFormatting>
  <conditionalFormatting sqref="K4:K11">
    <cfRule type="expression" dxfId="1016" priority="91">
      <formula>ABS(K$7-K$10)&gt;=1000</formula>
    </cfRule>
  </conditionalFormatting>
  <conditionalFormatting sqref="L4:L11">
    <cfRule type="expression" dxfId="1015" priority="90">
      <formula>ABS(L$7-L$10)&gt;=1000</formula>
    </cfRule>
  </conditionalFormatting>
  <conditionalFormatting sqref="M4 M6:M11">
    <cfRule type="expression" dxfId="1014" priority="89">
      <formula>ABS(M$7-M$10)&gt;=1000</formula>
    </cfRule>
  </conditionalFormatting>
  <conditionalFormatting sqref="N4 N6:N11">
    <cfRule type="expression" dxfId="1013" priority="88">
      <formula>ABS(N$7-N$10)&gt;=1000</formula>
    </cfRule>
  </conditionalFormatting>
  <conditionalFormatting sqref="O4 O6:O11">
    <cfRule type="expression" dxfId="1012" priority="87">
      <formula>ABS(O$7-O$10)&gt;=1000</formula>
    </cfRule>
  </conditionalFormatting>
  <conditionalFormatting sqref="P4 P6:P11">
    <cfRule type="expression" dxfId="1011" priority="86">
      <formula>ABS(P$7-P$10)&gt;=1000</formula>
    </cfRule>
  </conditionalFormatting>
  <conditionalFormatting sqref="Q4:Q11">
    <cfRule type="expression" dxfId="1010" priority="85">
      <formula>ABS(Q$7-Q$10)&gt;=1000</formula>
    </cfRule>
  </conditionalFormatting>
  <conditionalFormatting sqref="R4:R11">
    <cfRule type="expression" dxfId="1009" priority="84">
      <formula>ABS(R$7-R$10)&gt;=1000</formula>
    </cfRule>
  </conditionalFormatting>
  <conditionalFormatting sqref="S4:S11">
    <cfRule type="expression" dxfId="1008" priority="83">
      <formula>ABS(S$7-S$10)&gt;=1000</formula>
    </cfRule>
  </conditionalFormatting>
  <conditionalFormatting sqref="T4:T9 T11">
    <cfRule type="expression" dxfId="1007" priority="82">
      <formula>ABS(T$7-T$10)&gt;=1000</formula>
    </cfRule>
  </conditionalFormatting>
  <conditionalFormatting sqref="U4:U9 U11">
    <cfRule type="expression" dxfId="1006" priority="81">
      <formula>ABS(U$7-U$10)&gt;=1000</formula>
    </cfRule>
  </conditionalFormatting>
  <conditionalFormatting sqref="V4:V9 V11">
    <cfRule type="expression" dxfId="1005" priority="80">
      <formula>ABS(V$7-V$10)&gt;=1000</formula>
    </cfRule>
  </conditionalFormatting>
  <conditionalFormatting sqref="W4:W9 W11">
    <cfRule type="expression" dxfId="1004" priority="79">
      <formula>ABS(W$7-W$10)&gt;=1000</formula>
    </cfRule>
  </conditionalFormatting>
  <conditionalFormatting sqref="X4:X9 X11">
    <cfRule type="expression" dxfId="1003" priority="78">
      <formula>ABS(X$7-X$10)&gt;=1000</formula>
    </cfRule>
  </conditionalFormatting>
  <conditionalFormatting sqref="Y4:Y9 Y11">
    <cfRule type="expression" dxfId="1002" priority="77">
      <formula>ABS(Y$7-Y$10)&gt;=1000</formula>
    </cfRule>
  </conditionalFormatting>
  <conditionalFormatting sqref="Z4:Z11">
    <cfRule type="expression" dxfId="1001" priority="76">
      <formula>ABS(Z$7-Z$10)&gt;=1000</formula>
    </cfRule>
  </conditionalFormatting>
  <conditionalFormatting sqref="AA4:AA11">
    <cfRule type="expression" dxfId="1000" priority="75">
      <formula>ABS(AA$7-AA$10)&gt;=1000</formula>
    </cfRule>
  </conditionalFormatting>
  <conditionalFormatting sqref="AB4:AB11">
    <cfRule type="expression" dxfId="999" priority="74">
      <formula>ABS(AB$7-AB$10)&gt;=1000</formula>
    </cfRule>
  </conditionalFormatting>
  <conditionalFormatting sqref="AC4 AC6:AC11">
    <cfRule type="expression" dxfId="998" priority="73">
      <formula>ABS(AC$7-AC$10)&gt;=1000</formula>
    </cfRule>
  </conditionalFormatting>
  <conditionalFormatting sqref="AD4:AD11">
    <cfRule type="expression" dxfId="997" priority="72">
      <formula>ABS(AD$7-AD$10)&gt;=1000</formula>
    </cfRule>
  </conditionalFormatting>
  <conditionalFormatting sqref="AE4 AE6:AE11">
    <cfRule type="expression" dxfId="996" priority="71">
      <formula>ABS(AE$7-AE$10)&gt;=1000</formula>
    </cfRule>
  </conditionalFormatting>
  <conditionalFormatting sqref="D13:D20">
    <cfRule type="expression" dxfId="995" priority="70">
      <formula>ABS(D$16-D$19)&gt;=1000</formula>
    </cfRule>
  </conditionalFormatting>
  <conditionalFormatting sqref="E13:E20">
    <cfRule type="expression" dxfId="994" priority="69">
      <formula>ABS(E$16-E$19)&gt;=1000</formula>
    </cfRule>
  </conditionalFormatting>
  <conditionalFormatting sqref="F13 F15:F20">
    <cfRule type="expression" dxfId="993" priority="68">
      <formula>ABS(F$16-F$19)&gt;=1000</formula>
    </cfRule>
  </conditionalFormatting>
  <conditionalFormatting sqref="G13:G20">
    <cfRule type="expression" dxfId="992" priority="67">
      <formula>ABS(G$16-G$19)&gt;=1000</formula>
    </cfRule>
  </conditionalFormatting>
  <conditionalFormatting sqref="H13:H20">
    <cfRule type="expression" dxfId="991" priority="66">
      <formula>ABS(H$16-H$19)&gt;=1000</formula>
    </cfRule>
  </conditionalFormatting>
  <conditionalFormatting sqref="I13:I20">
    <cfRule type="expression" dxfId="990" priority="65">
      <formula>ABS(I$16-I$19)&gt;=1000</formula>
    </cfRule>
  </conditionalFormatting>
  <conditionalFormatting sqref="J13:J20">
    <cfRule type="expression" dxfId="989" priority="64">
      <formula>ABS(J$16-J$19)&gt;=1000</formula>
    </cfRule>
  </conditionalFormatting>
  <conditionalFormatting sqref="L13:L20">
    <cfRule type="expression" dxfId="988" priority="63">
      <formula>ABS(L$16-L$19)&gt;=1000</formula>
    </cfRule>
  </conditionalFormatting>
  <conditionalFormatting sqref="M13 M15 M17:M18 M20">
    <cfRule type="expression" dxfId="987" priority="62">
      <formula>ABS(M$16-M$19)&gt;=1000</formula>
    </cfRule>
  </conditionalFormatting>
  <conditionalFormatting sqref="N13:N20">
    <cfRule type="expression" dxfId="986" priority="61">
      <formula>ABS(N$16-N$19)&gt;=1000</formula>
    </cfRule>
  </conditionalFormatting>
  <conditionalFormatting sqref="O13:O20">
    <cfRule type="expression" dxfId="985" priority="60">
      <formula>ABS(O$16-O$19)&gt;=1000</formula>
    </cfRule>
  </conditionalFormatting>
  <conditionalFormatting sqref="P13:P20">
    <cfRule type="expression" dxfId="984" priority="59">
      <formula>ABS(P$16-P$19)&gt;=1000</formula>
    </cfRule>
  </conditionalFormatting>
  <conditionalFormatting sqref="Q13 Q15:Q20">
    <cfRule type="expression" dxfId="983" priority="58">
      <formula>ABS(Q$16-Q$19)&gt;=1000</formula>
    </cfRule>
  </conditionalFormatting>
  <conditionalFormatting sqref="R13:R20">
    <cfRule type="expression" dxfId="982" priority="57">
      <formula>ABS(R$16-R$19)&gt;=1000</formula>
    </cfRule>
  </conditionalFormatting>
  <conditionalFormatting sqref="S13:S20">
    <cfRule type="expression" dxfId="981" priority="56">
      <formula>ABS(S$16-S$19)&gt;=1000</formula>
    </cfRule>
  </conditionalFormatting>
  <conditionalFormatting sqref="T13:T20">
    <cfRule type="expression" dxfId="980" priority="55">
      <formula>ABS(T$16-T$19)&gt;=1000</formula>
    </cfRule>
  </conditionalFormatting>
  <conditionalFormatting sqref="U13:U20">
    <cfRule type="expression" dxfId="979" priority="54">
      <formula>ABS(U$16-U$19)&gt;=1000</formula>
    </cfRule>
  </conditionalFormatting>
  <conditionalFormatting sqref="V13:V20">
    <cfRule type="expression" dxfId="978" priority="53">
      <formula>ABS(V$16-V$19)&gt;=1000</formula>
    </cfRule>
  </conditionalFormatting>
  <conditionalFormatting sqref="W13 W20 W15:W18">
    <cfRule type="expression" dxfId="977" priority="52">
      <formula>ABS(W$16-W$19)&gt;=1000</formula>
    </cfRule>
  </conditionalFormatting>
  <conditionalFormatting sqref="X13 X15:X20 Y19">
    <cfRule type="expression" dxfId="976" priority="51">
      <formula>ABS(X$16-X$19)&gt;=1000</formula>
    </cfRule>
  </conditionalFormatting>
  <conditionalFormatting sqref="Y13 Y15:Y18 Y20">
    <cfRule type="expression" dxfId="975" priority="50">
      <formula>ABS(Y$16-Y$19)&gt;=1000</formula>
    </cfRule>
  </conditionalFormatting>
  <conditionalFormatting sqref="Z13:Z20">
    <cfRule type="expression" dxfId="974" priority="49">
      <formula>ABS(Z$16-Z$19)&gt;=1000</formula>
    </cfRule>
  </conditionalFormatting>
  <conditionalFormatting sqref="AA13:AA20">
    <cfRule type="expression" dxfId="973" priority="48">
      <formula>ABS(AA$16-AA$19)&gt;=1000</formula>
    </cfRule>
  </conditionalFormatting>
  <conditionalFormatting sqref="AB13 AB15:AB20">
    <cfRule type="expression" dxfId="972" priority="47">
      <formula>ABS(AB$16-AB$19)&gt;=1000</formula>
    </cfRule>
  </conditionalFormatting>
  <conditionalFormatting sqref="AC13 AC15:AC20">
    <cfRule type="expression" dxfId="971" priority="46">
      <formula>ABS(AC$16-AC$19)&gt;=1000</formula>
    </cfRule>
  </conditionalFormatting>
  <conditionalFormatting sqref="AD13:AD20">
    <cfRule type="expression" dxfId="970" priority="45">
      <formula>ABS(AD$16-AD$19)&gt;=1000</formula>
    </cfRule>
  </conditionalFormatting>
  <conditionalFormatting sqref="AE13:AE20">
    <cfRule type="expression" dxfId="969" priority="44">
      <formula>ABS(AE$16-AE$19)&gt;=1000</formula>
    </cfRule>
  </conditionalFormatting>
  <conditionalFormatting sqref="D22:D29">
    <cfRule type="expression" dxfId="968" priority="43">
      <formula>ABS(D$25-D$28)&gt;=1000</formula>
    </cfRule>
  </conditionalFormatting>
  <conditionalFormatting sqref="E22:E29">
    <cfRule type="expression" dxfId="967" priority="42">
      <formula>ABS(E$25-E$28)&gt;=1000</formula>
    </cfRule>
  </conditionalFormatting>
  <conditionalFormatting sqref="F22:F29">
    <cfRule type="expression" dxfId="966" priority="41">
      <formula>ABS(F$25-F$28)&gt;=1000</formula>
    </cfRule>
  </conditionalFormatting>
  <conditionalFormatting sqref="G22:G29">
    <cfRule type="expression" dxfId="965" priority="40">
      <formula>ABS(G$25-G$28)&gt;=1000</formula>
    </cfRule>
  </conditionalFormatting>
  <conditionalFormatting sqref="H22:H29">
    <cfRule type="expression" dxfId="964" priority="39">
      <formula>ABS(H$25-H$28)&gt;=1000</formula>
    </cfRule>
  </conditionalFormatting>
  <conditionalFormatting sqref="I22 I24:I29">
    <cfRule type="expression" dxfId="963" priority="38">
      <formula>ABS(I$25-I$28)&gt;=1000</formula>
    </cfRule>
  </conditionalFormatting>
  <conditionalFormatting sqref="J22:J29 K22">
    <cfRule type="expression" dxfId="962" priority="37">
      <formula>ABS(J$25-J$28)&gt;=1000</formula>
    </cfRule>
  </conditionalFormatting>
  <conditionalFormatting sqref="K23:K29 L25 L28">
    <cfRule type="expression" dxfId="961" priority="36">
      <formula>ABS(K$25-K$28)&gt;=1000</formula>
    </cfRule>
  </conditionalFormatting>
  <conditionalFormatting sqref="L22 L26:L27 L29 L24">
    <cfRule type="expression" dxfId="960" priority="35">
      <formula>ABS(L$25-L$28)&gt;=1000</formula>
    </cfRule>
  </conditionalFormatting>
  <conditionalFormatting sqref="M22:M29">
    <cfRule type="expression" dxfId="959" priority="34">
      <formula>ABS(M$25-M$28)&gt;=1000</formula>
    </cfRule>
  </conditionalFormatting>
  <conditionalFormatting sqref="N22:N29">
    <cfRule type="expression" dxfId="958" priority="33">
      <formula>ABS(N$25-N$28)&gt;=1000</formula>
    </cfRule>
  </conditionalFormatting>
  <conditionalFormatting sqref="O22:O29">
    <cfRule type="expression" dxfId="957" priority="32">
      <formula>ABS(O$25-O$28)&gt;=1000</formula>
    </cfRule>
  </conditionalFormatting>
  <conditionalFormatting sqref="P22:P29">
    <cfRule type="expression" dxfId="956" priority="31">
      <formula>ABS(P$25-P$28)&gt;=1000</formula>
    </cfRule>
  </conditionalFormatting>
  <conditionalFormatting sqref="Q22:Q29">
    <cfRule type="expression" dxfId="955" priority="30">
      <formula>ABS(Q$25-Q$28)&gt;=1000</formula>
    </cfRule>
  </conditionalFormatting>
  <conditionalFormatting sqref="R22:R29">
    <cfRule type="expression" dxfId="954" priority="29">
      <formula>ABS(R$25-R$28)&gt;=1000</formula>
    </cfRule>
  </conditionalFormatting>
  <conditionalFormatting sqref="S22:S29">
    <cfRule type="expression" dxfId="953" priority="28">
      <formula>ABS(S$25-S$28)&gt;=1000</formula>
    </cfRule>
  </conditionalFormatting>
  <conditionalFormatting sqref="T22:T29">
    <cfRule type="expression" dxfId="952" priority="27">
      <formula>ABS(T$25-T$28)&gt;=1000</formula>
    </cfRule>
  </conditionalFormatting>
  <conditionalFormatting sqref="U22:U29">
    <cfRule type="expression" dxfId="951" priority="26">
      <formula>ABS(U$25-U$28)&gt;=1000</formula>
    </cfRule>
  </conditionalFormatting>
  <conditionalFormatting sqref="V22:V29">
    <cfRule type="expression" dxfId="950" priority="25">
      <formula>ABS(V$25-V$28)&gt;=1000</formula>
    </cfRule>
  </conditionalFormatting>
  <conditionalFormatting sqref="W22:W29">
    <cfRule type="expression" dxfId="949" priority="24">
      <formula>ABS(W$25-W$28)&gt;=1000</formula>
    </cfRule>
  </conditionalFormatting>
  <conditionalFormatting sqref="X22:X29">
    <cfRule type="expression" dxfId="948" priority="23">
      <formula>ABS(X$25-X$28)&gt;=1000</formula>
    </cfRule>
  </conditionalFormatting>
  <conditionalFormatting sqref="Y22:Y29">
    <cfRule type="expression" dxfId="947" priority="22">
      <formula>ABS(Y$25-Y$28)&gt;=1000</formula>
    </cfRule>
  </conditionalFormatting>
  <conditionalFormatting sqref="I23">
    <cfRule type="expression" dxfId="946" priority="21">
      <formula>ABS(I$25-I$28)&gt;=1000</formula>
    </cfRule>
  </conditionalFormatting>
  <conditionalFormatting sqref="Q14">
    <cfRule type="expression" dxfId="945" priority="20">
      <formula>ABS(Q$16-Q$19)&gt;=1000</formula>
    </cfRule>
  </conditionalFormatting>
  <conditionalFormatting sqref="W14">
    <cfRule type="expression" dxfId="944" priority="19">
      <formula>ABS(W$16-W$19)&gt;=1000</formula>
    </cfRule>
  </conditionalFormatting>
  <conditionalFormatting sqref="Y14">
    <cfRule type="expression" dxfId="943" priority="18">
      <formula>ABS(Y$16-Y$19)&gt;=1000</formula>
    </cfRule>
  </conditionalFormatting>
  <conditionalFormatting sqref="X14">
    <cfRule type="expression" dxfId="942" priority="17">
      <formula>ABS(X$16-X$19)&gt;=1000</formula>
    </cfRule>
  </conditionalFormatting>
  <conditionalFormatting sqref="T10:Y10">
    <cfRule type="expression" dxfId="941" priority="16">
      <formula>ABS(T$7-T$10)&gt;=1000</formula>
    </cfRule>
  </conditionalFormatting>
  <conditionalFormatting sqref="W19">
    <cfRule type="expression" dxfId="940" priority="15">
      <formula>ABS(W$16-W$19)&gt;=1000</formula>
    </cfRule>
  </conditionalFormatting>
  <conditionalFormatting sqref="AC5">
    <cfRule type="expression" dxfId="939" priority="14">
      <formula>ABS(AC$7-AC$10)&gt;=1000</formula>
    </cfRule>
  </conditionalFormatting>
  <conditionalFormatting sqref="M14">
    <cfRule type="expression" dxfId="938" priority="13">
      <formula>ABS(M$16-M$19)&gt;=1000</formula>
    </cfRule>
  </conditionalFormatting>
  <conditionalFormatting sqref="M16">
    <cfRule type="expression" dxfId="937" priority="12">
      <formula>ABS(M$16-M$19)&gt;=1000</formula>
    </cfRule>
  </conditionalFormatting>
  <conditionalFormatting sqref="M19">
    <cfRule type="expression" dxfId="936" priority="11">
      <formula>ABS(M$16-M$19)&gt;=1000</formula>
    </cfRule>
  </conditionalFormatting>
  <conditionalFormatting sqref="K13:K20">
    <cfRule type="expression" dxfId="935" priority="10">
      <formula>ABS(K$16-K$19)&gt;=1000</formula>
    </cfRule>
  </conditionalFormatting>
  <conditionalFormatting sqref="E5">
    <cfRule type="expression" dxfId="934" priority="9">
      <formula>ABS(E$7-E$10)&gt;=1000</formula>
    </cfRule>
  </conditionalFormatting>
  <conditionalFormatting sqref="AB14:AC14">
    <cfRule type="expression" dxfId="933" priority="8">
      <formula>ABS(AB$16-AB$19)&gt;=1000</formula>
    </cfRule>
  </conditionalFormatting>
  <conditionalFormatting sqref="M5">
    <cfRule type="expression" dxfId="932" priority="7">
      <formula>ABS(M$7-M$10)&gt;=1000</formula>
    </cfRule>
  </conditionalFormatting>
  <conditionalFormatting sqref="N5">
    <cfRule type="expression" dxfId="931" priority="6">
      <formula>ABS(N$7-N$10)&gt;=1000</formula>
    </cfRule>
  </conditionalFormatting>
  <conditionalFormatting sqref="O5">
    <cfRule type="expression" dxfId="930" priority="5">
      <formula>ABS(O$7-O$10)&gt;=1000</formula>
    </cfRule>
  </conditionalFormatting>
  <conditionalFormatting sqref="P5">
    <cfRule type="expression" dxfId="929" priority="4">
      <formula>ABS(P$7-P$10)&gt;=1000</formula>
    </cfRule>
  </conditionalFormatting>
  <conditionalFormatting sqref="L23">
    <cfRule type="expression" dxfId="928" priority="3">
      <formula>ABS(L$25-L$28)&gt;=1000</formula>
    </cfRule>
  </conditionalFormatting>
  <conditionalFormatting sqref="F14">
    <cfRule type="expression" dxfId="927" priority="2">
      <formula>ABS(F$16-F$19)&gt;=1000</formula>
    </cfRule>
  </conditionalFormatting>
  <conditionalFormatting sqref="AE5">
    <cfRule type="expression" dxfId="92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90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8">
    <pageSetUpPr fitToPage="1"/>
  </sheetPr>
  <dimension ref="A1:CU223"/>
  <sheetViews>
    <sheetView view="pageBreakPreview" zoomScale="80" zoomScaleNormal="100" zoomScaleSheetLayoutView="80" workbookViewId="0">
      <selection activeCell="E6" sqref="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3015</v>
      </c>
      <c r="E6" s="71">
        <v>1494</v>
      </c>
      <c r="F6" s="71">
        <v>6817</v>
      </c>
      <c r="G6" s="71">
        <v>4149</v>
      </c>
      <c r="H6" s="71">
        <v>1726</v>
      </c>
      <c r="I6" s="71">
        <v>0.06</v>
      </c>
      <c r="J6" s="71">
        <v>7.02</v>
      </c>
      <c r="K6" s="71">
        <v>7.33</v>
      </c>
      <c r="L6" s="71">
        <v>53.46</v>
      </c>
      <c r="M6" s="71">
        <v>1445</v>
      </c>
      <c r="N6" s="71">
        <v>3178</v>
      </c>
      <c r="O6" s="71">
        <v>105</v>
      </c>
      <c r="P6" s="71">
        <v>7205</v>
      </c>
      <c r="Q6" s="71">
        <v>5008</v>
      </c>
      <c r="R6" s="71">
        <v>2324</v>
      </c>
      <c r="S6" s="71">
        <v>0</v>
      </c>
      <c r="T6" s="71">
        <v>0</v>
      </c>
      <c r="U6" s="71">
        <v>0</v>
      </c>
      <c r="V6" s="71">
        <v>665</v>
      </c>
      <c r="W6" s="71">
        <v>6545</v>
      </c>
      <c r="X6" s="71">
        <v>7010</v>
      </c>
      <c r="Y6" s="71">
        <v>6184</v>
      </c>
      <c r="Z6" s="71">
        <v>4136</v>
      </c>
      <c r="AA6" s="71">
        <v>1143</v>
      </c>
      <c r="AB6" s="71">
        <v>3078</v>
      </c>
      <c r="AC6" s="71">
        <v>3016</v>
      </c>
      <c r="AD6" s="71">
        <v>4350</v>
      </c>
      <c r="AE6" s="71">
        <v>2800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94647.222172349997</v>
      </c>
      <c r="E7" s="73" ph="1">
        <f>E6*51.53*LOOKUP(E8,密度!$A$2:$A$50,密度!$B$2:$B$50)</f>
        <v>60087.432510000006</v>
      </c>
      <c r="F7" s="73" ph="1">
        <f>F6*33.183*LOOKUP(F8,密度!$A$2:$A$50,密度!$C$2:$C$50)</f>
        <v>251181.93061440001</v>
      </c>
      <c r="G7" s="73" ph="1">
        <f xml:space="preserve"> (G6+2)*51.53*LOOKUP(G8,密度!$A$2:$A$50,密度!$B$2:$B$50)</f>
        <v>166757.24298799998</v>
      </c>
      <c r="H7" s="73" ph="1">
        <f>(H6)*51.53*LOOKUP(H8,密度!$A$2:$A$50,密度!$B$2:$B$50)</f>
        <v>69418.278789999997</v>
      </c>
      <c r="I7" s="73" ph="1">
        <f>I6*290.8*1.0267</f>
        <v>17.913861600000001</v>
      </c>
      <c r="J7" s="73" ph="1">
        <f>J6*290.8*0.7892</f>
        <v>1611.0855071999999</v>
      </c>
      <c r="K7" s="73" ph="1">
        <f>K6*290.8*1.1126</f>
        <v>2371.5781064000003</v>
      </c>
      <c r="L7" s="73" ph="1">
        <f>L6*290.8*0.777</f>
        <v>12079.372536000001</v>
      </c>
      <c r="M7" s="73" ph="1">
        <f>M6*33.183*LOOKUP(M8,密度!$A$2:$A$50,密度!$D$2:$D$50)</f>
        <v>49272.839405999999</v>
      </c>
      <c r="N7" s="73" ph="1">
        <f>N6*33.183*LOOKUP(N8,密度!$A$2:$A$50,密度!$E$2:$E$50)</f>
        <v>82476.804425399998</v>
      </c>
      <c r="O7" s="73" ph="1">
        <f>O6*20.428*LOOKUP(O8,密度!$A$2:$A$50,密度!$C$2:$C$50)</f>
        <v>2376.8080140000002</v>
      </c>
      <c r="P7" s="73" ph="1">
        <f>P6*51.53*LOOKUP(P8,密度!$A$2:$A$50,密度!$B$2:$B$50)</f>
        <v>290113.23011</v>
      </c>
      <c r="Q7" s="73" ph="1">
        <f>Q6*1.5*1.5*3.1416*LOOKUP(W8,密度!$A$2:$A$50,密度!$L$2:$L$50)</f>
        <v>33204.776774399994</v>
      </c>
      <c r="R7" s="73" ph="1">
        <f>R6*1.5*1.5*3.1416*LOOKUP(R8,密度!$A$2:$A$50,密度!$L$2:$L$50)</f>
        <v>15326.788831200001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4399.7793840000004</v>
      </c>
      <c r="W7" s="73" ph="1">
        <f>W6*1.5*1.5*3.1416*LOOKUP(W8,密度!$A$2:$A$50,密度!$L$2:$L$50)</f>
        <v>43395.619805999995</v>
      </c>
      <c r="X7" s="73" ph="1">
        <f>X6*1.5*1.5*3.1416*LOOKUP(X8,密度!$A$2:$A$50,密度!$L$2:$L$50)</f>
        <v>46924.689041999998</v>
      </c>
      <c r="Y7" s="73" ph="1">
        <f>Y6*1.5*1.5*3.1416*LOOKUP(Y8,密度!$A$2:$A$50,密度!$L$2:$L$50)</f>
        <v>41045.776833599994</v>
      </c>
      <c r="Z7" s="73" ph="1">
        <f>Z6*33.183*LOOKUP(Z8,密度!$A$2:$A$50,密度!$L$2:$L$50)</f>
        <v>129284.684496</v>
      </c>
      <c r="AA7" s="73" ph="1">
        <f>AA6*33.183*LOOKUP(AA8,密度!$A$2:$A$50,密度!$D$2:$D$50)</f>
        <v>39012.914633400003</v>
      </c>
      <c r="AB7" s="73" ph="1">
        <f>AB6*20.428*LOOKUP(AB8,密度!$A$2:$A$50,密度!$D$2:$D$50)</f>
        <v>64499.620507200008</v>
      </c>
      <c r="AC7" s="73" ph="1">
        <f>AC6*51.53*LOOKUP(AC8,密度!$A$2:$A$50,密度!$Q$2:$Q$50)</f>
        <v>147364.00993600002</v>
      </c>
      <c r="AD7" s="73" ph="1">
        <f>AD6*20.428*LOOKUP(AD8,密度!$A$2:$A$50,密度!$V$2:$V$50)</f>
        <v>85378.417440000005</v>
      </c>
      <c r="AE7" s="73" ph="1">
        <f>AE6*20.428</f>
        <v>57198.400000000001</v>
      </c>
    </row>
    <row r="8" spans="1:99" ph="1">
      <c r="B8" s="241" ph="1"/>
      <c r="C8" s="68" t="s" ph="1">
        <v>179</v>
      </c>
      <c r="D8" s="74">
        <v>26</v>
      </c>
      <c r="E8" s="74">
        <v>24</v>
      </c>
      <c r="F8" s="74">
        <v>23</v>
      </c>
      <c r="G8" s="74">
        <v>25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26</v>
      </c>
      <c r="O8" s="74">
        <v>26</v>
      </c>
      <c r="P8" s="74">
        <v>23</v>
      </c>
      <c r="Q8" s="74">
        <v>24</v>
      </c>
      <c r="R8" s="74">
        <v>29</v>
      </c>
      <c r="S8" s="74">
        <v>19</v>
      </c>
      <c r="T8" s="74">
        <v>19</v>
      </c>
      <c r="U8" s="74">
        <v>23</v>
      </c>
      <c r="V8" s="74">
        <v>26</v>
      </c>
      <c r="W8" s="74">
        <v>24</v>
      </c>
      <c r="X8" s="74">
        <v>15</v>
      </c>
      <c r="Y8" s="74">
        <v>23</v>
      </c>
      <c r="Z8" s="74">
        <v>20</v>
      </c>
      <c r="AA8" s="74">
        <v>23</v>
      </c>
      <c r="AB8" s="74">
        <v>26</v>
      </c>
      <c r="AC8" s="74">
        <v>23</v>
      </c>
      <c r="AD8" s="74">
        <v>23</v>
      </c>
      <c r="AE8" s="74">
        <v>25</v>
      </c>
    </row>
    <row r="9" spans="1:99" ht="26.4" ph="1">
      <c r="B9" s="241" ph="1">
        <v>0.66666666666666663</v>
      </c>
      <c r="C9" s="157" t="s" ph="1">
        <v>180</v>
      </c>
      <c r="D9" s="71">
        <v>3310</v>
      </c>
      <c r="E9" s="71">
        <v>1924</v>
      </c>
      <c r="F9" s="71">
        <v>6817</v>
      </c>
      <c r="G9" s="71">
        <v>4147</v>
      </c>
      <c r="H9" s="71">
        <v>1724</v>
      </c>
      <c r="I9" s="71">
        <v>0.06</v>
      </c>
      <c r="J9" s="71">
        <v>7.03</v>
      </c>
      <c r="K9" s="71">
        <v>7.3</v>
      </c>
      <c r="L9" s="71">
        <v>9.69</v>
      </c>
      <c r="M9" s="71">
        <v>1445</v>
      </c>
      <c r="N9" s="71">
        <v>3176</v>
      </c>
      <c r="O9" s="71">
        <v>104</v>
      </c>
      <c r="P9" s="71">
        <v>6949</v>
      </c>
      <c r="Q9" s="71">
        <v>7240</v>
      </c>
      <c r="R9" s="71">
        <v>4666</v>
      </c>
      <c r="S9" s="71">
        <v>3530</v>
      </c>
      <c r="T9" s="71">
        <v>0</v>
      </c>
      <c r="U9" s="71">
        <v>0</v>
      </c>
      <c r="V9" s="71">
        <v>0</v>
      </c>
      <c r="W9" s="71">
        <v>4366</v>
      </c>
      <c r="X9" s="71">
        <v>7011</v>
      </c>
      <c r="Y9" s="71">
        <v>6186</v>
      </c>
      <c r="Z9" s="71">
        <v>1877</v>
      </c>
      <c r="AA9" s="71">
        <v>1930</v>
      </c>
      <c r="AB9" s="71">
        <v>2955</v>
      </c>
      <c r="AC9" s="71">
        <v>3089</v>
      </c>
      <c r="AD9" s="71">
        <v>4350</v>
      </c>
      <c r="AE9" s="71">
        <v>2565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103907.89565190001</v>
      </c>
      <c r="E10" s="73" ph="1">
        <f>E9*51.53*LOOKUP(E11,密度!$A$2:$A$50,密度!$B$2:$B$50)</f>
        <v>77292.444111999997</v>
      </c>
      <c r="F10" s="73" ph="1">
        <f>F9*33.183*LOOKUP(F11,密度!$A$2:$A$50,密度!$C$2:$C$50)</f>
        <v>251000.96380559998</v>
      </c>
      <c r="G10" s="73" ph="1">
        <f xml:space="preserve"> (G9+2)*51.53*LOOKUP(G11,密度!$A$2:$A$50,密度!$B$2:$B$50)</f>
        <v>166676.89741199999</v>
      </c>
      <c r="H10" s="73" ph="1">
        <f>(H9)*51.53*LOOKUP(H11,密度!$A$2:$A$50,密度!$B$2:$B$50)</f>
        <v>69577.702304000006</v>
      </c>
      <c r="I10" s="73" ph="1">
        <f>I9*290.8*1.0267</f>
        <v>17.913861600000001</v>
      </c>
      <c r="J10" s="73" ph="1">
        <f>J9*290.8*0.7892</f>
        <v>1613.3805008000002</v>
      </c>
      <c r="K10" s="73" ph="1">
        <f>K9*290.8*1.1126</f>
        <v>2361.8717840000004</v>
      </c>
      <c r="L10" s="73" ph="1">
        <f>L9*290.8*0.777</f>
        <v>2189.471004</v>
      </c>
      <c r="M10" s="73" ph="1">
        <f>M9*33.183*LOOKUP(M11,密度!$A$2:$A$50,密度!$D$2:$D$50)</f>
        <v>49229.684914499994</v>
      </c>
      <c r="N10" s="73" ph="1">
        <f>N9*33.183*LOOKUP(N11,密度!$A$2:$A$50,密度!$E$2:$E$50)</f>
        <v>82424.899576800002</v>
      </c>
      <c r="O10" s="73" ph="1">
        <f>O9*20.428*LOOKUP(O11,密度!$A$2:$A$50,密度!$C$2:$C$50)</f>
        <v>2350.9849792000005</v>
      </c>
      <c r="P10" s="73" ph="1">
        <f>P9*51.53*LOOKUP(P11,密度!$A$2:$A$50,密度!$B$2:$B$50)</f>
        <v>279482.97758499999</v>
      </c>
      <c r="Q10" s="73" ph="1">
        <f>Q9*1.5*1.5*3.1416*LOOKUP(W11,密度!$A$2:$A$50,密度!$L$2:$L$50)</f>
        <v>48003.710831999997</v>
      </c>
      <c r="R10" s="73" ph="1">
        <f>R9*1.5*1.5*3.1416*LOOKUP(R11,密度!$A$2:$A$50,密度!$L$2:$L$50)</f>
        <v>30772.287730800002</v>
      </c>
      <c r="S10" s="73" ph="1">
        <f>S9*1.5*1.5*3.1416*LOOKUP(S11,密度!$A$2:$A$50,密度!$L$2:$L$50)</f>
        <v>23504.932836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28948.094128799999</v>
      </c>
      <c r="X10" s="73" ph="1">
        <f>X9*1.5*1.5*3.1416*LOOKUP(X11,密度!$A$2:$A$50,密度!$L$2:$L$50)</f>
        <v>46931.383006199998</v>
      </c>
      <c r="Y10" s="73" ph="1">
        <f>Y9*1.5*1.5*3.1416*LOOKUP(Y11,密度!$A$2:$A$50,密度!$L$2:$L$50)</f>
        <v>41059.051664399994</v>
      </c>
      <c r="Z10" s="73" ph="1">
        <f>Z9*33.183*LOOKUP(Z11,密度!$A$2:$A$50,密度!$L$2:$L$50)</f>
        <v>58671.990522</v>
      </c>
      <c r="AA10" s="73" ph="1">
        <f>AA9*33.183*LOOKUP(AA11,密度!$A$2:$A$50,密度!$D$2:$D$50)</f>
        <v>65753.143173000004</v>
      </c>
      <c r="AB10" s="73" ph="1">
        <f>AB9*20.428*LOOKUP(AB11,密度!$A$2:$A$50,密度!$D$2:$D$50)</f>
        <v>62362.812894000002</v>
      </c>
      <c r="AC10" s="73" ph="1">
        <f>AC9*51.53*LOOKUP(AC11,密度!$A$2:$A$50,密度!$Q$2:$Q$50)</f>
        <v>151168.01688730001</v>
      </c>
      <c r="AD10" s="73" ph="1">
        <f>AD9*20.428*LOOKUP(AD11,密度!$A$2:$A$50,密度!$V$2:$V$50)</f>
        <v>85378.417440000005</v>
      </c>
      <c r="AE10" s="73" ph="1">
        <f>AE9*20.428</f>
        <v>52397.82</v>
      </c>
    </row>
    <row r="11" spans="1:99" ph="1">
      <c r="A11" s="64" t="s" ph="1">
        <v>162</v>
      </c>
      <c r="B11" s="241" ph="1"/>
      <c r="C11" s="157" t="s" ph="1">
        <v>179</v>
      </c>
      <c r="D11" s="74">
        <v>26</v>
      </c>
      <c r="E11" s="74">
        <v>25</v>
      </c>
      <c r="F11" s="74">
        <v>24</v>
      </c>
      <c r="G11" s="74">
        <v>25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26</v>
      </c>
      <c r="O11" s="74">
        <v>28</v>
      </c>
      <c r="P11" s="74">
        <v>24</v>
      </c>
      <c r="Q11" s="74">
        <v>25</v>
      </c>
      <c r="R11" s="74">
        <v>29</v>
      </c>
      <c r="S11" s="74">
        <v>20</v>
      </c>
      <c r="T11" s="74">
        <v>21</v>
      </c>
      <c r="U11" s="74">
        <v>24</v>
      </c>
      <c r="V11" s="74">
        <v>27</v>
      </c>
      <c r="W11" s="74">
        <v>24</v>
      </c>
      <c r="X11" s="74">
        <v>15</v>
      </c>
      <c r="Y11" s="74">
        <v>23</v>
      </c>
      <c r="Z11" s="74">
        <v>20</v>
      </c>
      <c r="AA11" s="74">
        <v>25</v>
      </c>
      <c r="AB11" s="74">
        <v>18</v>
      </c>
      <c r="AC11" s="74">
        <v>21</v>
      </c>
      <c r="AD11" s="74">
        <v>23</v>
      </c>
      <c r="AE11" s="74">
        <v>24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470</v>
      </c>
      <c r="E15" s="78">
        <v>67</v>
      </c>
      <c r="F15" s="78">
        <v>4427</v>
      </c>
      <c r="G15" s="78">
        <v>2485</v>
      </c>
      <c r="H15" s="78">
        <v>1959</v>
      </c>
      <c r="I15" s="78">
        <v>2663</v>
      </c>
      <c r="J15" s="78">
        <v>163</v>
      </c>
      <c r="K15" s="78">
        <v>3570</v>
      </c>
      <c r="L15" s="78">
        <v>3986</v>
      </c>
      <c r="M15" s="78">
        <v>6806</v>
      </c>
      <c r="N15" s="78">
        <v>3853</v>
      </c>
      <c r="O15" s="78">
        <v>2854</v>
      </c>
      <c r="P15" s="78">
        <v>6935</v>
      </c>
      <c r="Q15" s="78">
        <v>6943</v>
      </c>
      <c r="R15" s="78">
        <v>-9</v>
      </c>
      <c r="S15" s="78">
        <v>6193</v>
      </c>
      <c r="T15" s="78">
        <v>1510</v>
      </c>
      <c r="U15" s="78">
        <v>5844</v>
      </c>
      <c r="V15" s="78">
        <v>4963</v>
      </c>
      <c r="W15" s="71">
        <v>5068</v>
      </c>
      <c r="X15" s="78">
        <v>860</v>
      </c>
      <c r="Y15" s="106">
        <v>-9904</v>
      </c>
      <c r="Z15" s="78">
        <v>0</v>
      </c>
      <c r="AA15" s="78">
        <v>9</v>
      </c>
      <c r="AB15" s="78" ph="1">
        <v>1095</v>
      </c>
      <c r="AC15" s="78" ph="1">
        <v>2144</v>
      </c>
      <c r="AD15" s="78">
        <v>82.8</v>
      </c>
      <c r="AE15" s="78">
        <v>5.48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3116.2629959999999</v>
      </c>
      <c r="E16" s="73" ph="1">
        <f>E15*7.0686*LOOKUP(E17,密度!$A$2:$A$50,密度!$L$2:$L$50)</f>
        <v>443.75963940000003</v>
      </c>
      <c r="F16" s="73" ph="1">
        <f>F15*9.0746*LOOKUP(F17,密度!$A$2:$A$50,密度!$L$2:$L$50)</f>
        <v>37602.165931200005</v>
      </c>
      <c r="G16" s="73" ph="1">
        <f>G15*9.0746*LOOKUP(G17,密度!$A$2:$A$50,密度!$B$2:$B$50)</f>
        <v>17541.941379900003</v>
      </c>
      <c r="H16" s="73" ph="1">
        <f>H15*9.0746*LOOKUP(H17,密度!$A$2:$A$50,密度!$L$2:$L$50)</f>
        <v>16763.844340200001</v>
      </c>
      <c r="I16" s="73" ph="1">
        <f>I15*9.0746*LOOKUP(I17,密度!$A$2:$A$50,密度!$U$2:$U$50)</f>
        <v>24842.298274400004</v>
      </c>
      <c r="J16" s="73" ph="1">
        <f>J15*9.0746*LOOKUP(J17,密度!$A$2:$A$50,密度!$L$2:$L$50)</f>
        <v>1388.9310522000001</v>
      </c>
      <c r="K16" s="73" ph="1">
        <f>K15*9.0746*LOOKUP(K17,密度!$A$2:$A$50,密度!$C$2:$C$50)</f>
        <v>35972.8759488</v>
      </c>
      <c r="L16" s="73" ph="1">
        <f>L15*9.0746*LOOKUP(L17,密度!$A$2:$A$50,密度!$E$2:$E$50)</f>
        <v>28459.622586080004</v>
      </c>
      <c r="M16" s="73" ph="1">
        <f>M15*9.0746*LOOKUP(M17,密度!$A$2:$A$50,密度!$M$2:$M$50)</f>
        <v>54047.687822759995</v>
      </c>
      <c r="N16" s="73" ph="1">
        <f>N15*9.0746*LOOKUP(N17,密度!$A$2:$A$50,密度!$M$2:$M$50)</f>
        <v>30698.772876399998</v>
      </c>
      <c r="O16" s="73" ph="1">
        <f>O15*9.0746*LOOKUP(O17,密度!$A$2:$A$50,密度!$G$2:$G$50)</f>
        <v>24868.13184568</v>
      </c>
      <c r="P16" s="73" ph="1">
        <f ca="1">P15*9.0746*LOOKUP(P17,密度!$A$2:$A$51,密度!$Q$2:$Q$50)</f>
        <v>59672.455218200004</v>
      </c>
      <c r="Q16" s="73" ph="1">
        <f>Q15*9.0746*LOOKUP(Q17,密度!$A$2:$A$50,密度!$Q$2:$Q$50)</f>
        <v>59797.365907502004</v>
      </c>
      <c r="R16" s="73" ph="1">
        <f>MAX(R15*9.0746*LOOKUP(R17,密度!$A$2:$A$50,密度!$B$2:$B$50),0)</f>
        <v>0</v>
      </c>
      <c r="S16" s="73" ph="1">
        <f>S15*9.0746*LOOKUP(S17,密度!$A$2:$A$50,密度!$Q$2:$Q$50)</f>
        <v>53287.889713960009</v>
      </c>
      <c r="T16" s="73" ph="1">
        <f>T15*9.0746*LOOKUP(T17,密度!$A$2:$A$50,密度!$O$2:$O$50)</f>
        <v>12743.460780000001</v>
      </c>
      <c r="U16" s="73" ph="1">
        <f>U15*9.0746*LOOKUP(U17,密度!$A$2:$A$50,密度!$H$2:$H$50)</f>
        <v>48672.735090720002</v>
      </c>
      <c r="V16" s="73" ph="1">
        <f>MAX(5600*LOOKUP(V17,密度!$A$2:$A$50,密度!$Q$2:$Q$50)+V15*9.0476*LOOKUP(V17,密度!$A$2:$A$50,密度!$Q$2:$Q$50),0)</f>
        <v>47741.721702416005</v>
      </c>
      <c r="W16" s="73" ph="1">
        <f>MAX(5600*LOOKUP(W17,密度!$A$2:$A$50,密度!$Q$2:$Q$50)+W15*9.0476*LOOKUP(W17,密度!$A$2:$A$50,密度!$Q$2:$Q$50),0)</f>
        <v>48639.773811776002</v>
      </c>
      <c r="X16" s="73" ph="1">
        <f>MAX(5600*LOOKUP(X17,密度!$A$2:$A$50,密度!$I$2:$I$50)+X15*9.0476*LOOKUP(X17,密度!$A$2:$A$50,密度!$I$2:$I$50),0)</f>
        <v>13929.554375999998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63.965040480000006</v>
      </c>
      <c r="AB16" s="73" ph="1">
        <f>AB15*9.0746*LOOKUP(AB17,密度!$A$2:$A$50,密度!$L$2:$L$50)</f>
        <v>9330.5490929999996</v>
      </c>
      <c r="AC16" s="73" ph="1">
        <f>AC15*9.0746*LOOKUP(AC17,密度!$A$2:$A$50,密度!$L$2:$L$50)</f>
        <v>18288.585855999998</v>
      </c>
      <c r="AD16" s="73" ph="1">
        <f>AD15*268.68*LOOKUP(AD17,密度!$A$2:$A$50,密度!B2:B50)+IF(AD15&lt;=0,0,1566*LOOKUP(AD17,密度!$A$2:$A$50,密度!B2:B50))</f>
        <v>18564.3840384</v>
      </c>
      <c r="AE16" s="73" ph="1">
        <f>AE15*268.68*LOOKUP(AE17,密度!$A$2:$A$50,密度!B2:B50)+IF(AE15&lt;=0,0,1566*LOOKUP(AE17,密度!$A$2:$A$50,密度!B2:B50))</f>
        <v>2368.7104454399996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24</v>
      </c>
      <c r="E17" s="74">
        <v>25</v>
      </c>
      <c r="F17" s="74">
        <v>26</v>
      </c>
      <c r="G17" s="74">
        <v>27</v>
      </c>
      <c r="H17" s="74">
        <v>19</v>
      </c>
      <c r="I17" s="74">
        <v>22</v>
      </c>
      <c r="J17" s="74">
        <v>23</v>
      </c>
      <c r="K17" s="74">
        <v>23</v>
      </c>
      <c r="L17" s="74">
        <v>22</v>
      </c>
      <c r="M17" s="74">
        <v>25</v>
      </c>
      <c r="N17" s="74">
        <v>22</v>
      </c>
      <c r="O17" s="74">
        <v>25</v>
      </c>
      <c r="P17" s="74">
        <v>23</v>
      </c>
      <c r="Q17" s="74">
        <v>22</v>
      </c>
      <c r="R17" s="74">
        <v>24</v>
      </c>
      <c r="S17" s="74">
        <v>23</v>
      </c>
      <c r="T17" s="74">
        <v>24</v>
      </c>
      <c r="U17" s="74">
        <v>22</v>
      </c>
      <c r="V17" s="74">
        <v>27</v>
      </c>
      <c r="W17" s="74">
        <v>27</v>
      </c>
      <c r="X17" s="74">
        <v>26</v>
      </c>
      <c r="Y17" s="108">
        <v>26</v>
      </c>
      <c r="Z17" s="74">
        <v>24</v>
      </c>
      <c r="AA17" s="74">
        <v>21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441</v>
      </c>
      <c r="E18" s="71">
        <v>67</v>
      </c>
      <c r="F18" s="71">
        <v>4510</v>
      </c>
      <c r="G18" s="71">
        <v>2763</v>
      </c>
      <c r="H18" s="71">
        <v>1959</v>
      </c>
      <c r="I18" s="71">
        <v>2662</v>
      </c>
      <c r="J18" s="71">
        <v>170</v>
      </c>
      <c r="K18" s="71">
        <v>3569</v>
      </c>
      <c r="L18" s="71">
        <v>3986</v>
      </c>
      <c r="M18" s="71">
        <v>3855</v>
      </c>
      <c r="N18" s="71">
        <v>5217</v>
      </c>
      <c r="O18" s="71">
        <v>3127</v>
      </c>
      <c r="P18" s="71">
        <v>6936</v>
      </c>
      <c r="Q18" s="71">
        <v>6944</v>
      </c>
      <c r="R18" s="71">
        <v>51</v>
      </c>
      <c r="S18" s="71">
        <v>6193</v>
      </c>
      <c r="T18" s="71">
        <v>6575</v>
      </c>
      <c r="U18" s="71">
        <v>2252</v>
      </c>
      <c r="V18" s="71">
        <v>4963</v>
      </c>
      <c r="W18" s="71">
        <v>5066</v>
      </c>
      <c r="X18" s="71">
        <v>857</v>
      </c>
      <c r="Y18" s="109">
        <v>-9905</v>
      </c>
      <c r="Z18" s="71">
        <v>0</v>
      </c>
      <c r="AA18" s="71">
        <v>9</v>
      </c>
      <c r="AB18" s="71">
        <v>1095</v>
      </c>
      <c r="AC18" s="71">
        <v>2144</v>
      </c>
      <c r="AD18" s="71">
        <v>84.32</v>
      </c>
      <c r="AE18" s="71">
        <v>36.14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2920.8656861999998</v>
      </c>
      <c r="E19" s="73" ph="1">
        <f>E18*7.0686*LOOKUP(E20,密度!$A$2:$A$50,密度!$L$2:$L$50)</f>
        <v>443.75963940000003</v>
      </c>
      <c r="F19" s="73" ph="1">
        <f>F18*9.0746*LOOKUP(F20,密度!$A$2:$A$50,密度!$L$2:$L$50)</f>
        <v>38266.227010000002</v>
      </c>
      <c r="G19" s="73" ph="1">
        <f>G18*9.0746*LOOKUP(G20,密度!$A$2:$A$50,密度!$B$2:$B$50)</f>
        <v>19524.438388259998</v>
      </c>
      <c r="H19" s="73" ph="1">
        <f>H18*9.0746*LOOKUP(H20,密度!$A$2:$A$50,密度!$L$2:$L$50)</f>
        <v>16746.067198799999</v>
      </c>
      <c r="I19" s="73" ph="1">
        <f>I18*9.0746*LOOKUP(I20,密度!$A$2:$A$50,密度!$U$2:$U$50)</f>
        <v>24784.656415200003</v>
      </c>
      <c r="J19" s="73" ph="1">
        <f>J18*9.0746*LOOKUP(J20,密度!$A$2:$A$50,密度!$L$2:$L$50)</f>
        <v>1445.4930340000001</v>
      </c>
      <c r="K19" s="73" ph="1">
        <f>K18*9.0746*LOOKUP(K20,密度!$A$2:$A$50,密度!$C$2:$C$50)</f>
        <v>35936.889715040001</v>
      </c>
      <c r="L19" s="73" ph="1">
        <f>L18*9.0746*LOOKUP(L20,密度!$A$2:$A$50,密度!$E$2:$E$50)</f>
        <v>28329.405705920002</v>
      </c>
      <c r="M19" s="73" ph="1">
        <f>M18*9.0746*LOOKUP(M20,密度!$A$2:$A$50,密度!$M$2:$M$50)</f>
        <v>30578.275800299998</v>
      </c>
      <c r="N19" s="73" ph="1">
        <f>N18*9.0746*LOOKUP(N20,密度!$A$2:$A$50,密度!$M$2:$M$50)</f>
        <v>41566.441239600004</v>
      </c>
      <c r="O19" s="73" ph="1">
        <f>O18*9.0746*LOOKUP(O20,密度!$A$2:$A$50,密度!$G$2:$G$50)</f>
        <v>27212.8469578</v>
      </c>
      <c r="P19" s="73" ph="1">
        <f ca="1">P18*9.0746*LOOKUP(P20,密度!$A$2:$A$51,密度!$Q$2:$Q$50)</f>
        <v>59589.165272544007</v>
      </c>
      <c r="Q19" s="73" ph="1">
        <f>Q18*9.0746*LOOKUP(Q20,密度!$A$2:$A$50,密度!$Q$2:$Q$50)</f>
        <v>59657.895566976003</v>
      </c>
      <c r="R19" s="73" ph="1">
        <f>MAX(R18*9.0746*LOOKUP(R20,密度!$A$2:$A$50,密度!$B$2:$B$50),0)</f>
        <v>360.80246615999999</v>
      </c>
      <c r="S19" s="73" ph="1">
        <f>S18*9.0746*LOOKUP(S20,密度!$A$2:$A$50,密度!$Q$2:$Q$50)</f>
        <v>53205.839177172005</v>
      </c>
      <c r="T19" s="73" ph="1">
        <f>T18*9.0746*LOOKUP(T20,密度!$A$2:$A$50,密度!$O$2:$O$50)</f>
        <v>55488.910350000006</v>
      </c>
      <c r="U19" s="73" ph="1">
        <f>U18*9.0746*LOOKUP(U20,密度!$A$2:$A$50,密度!$H$2:$H$50)</f>
        <v>18756.160065759999</v>
      </c>
      <c r="V19" s="73" ph="1">
        <f>MAX(5600*LOOKUP(V20,密度!$A$2:$A$50,密度!$Q$2:$Q$50)+V18*9.0476*LOOKUP(V20,密度!$A$2:$A$50,密度!$Q$2:$Q$50),0)</f>
        <v>47741.721702416005</v>
      </c>
      <c r="W19" s="73" ph="1">
        <f>MAX(5600*LOOKUP(W20,密度!$A$2:$A$50,密度!$Q$2:$Q$50)+W18*9.0476*LOOKUP(W20,密度!$A$2:$A$50,密度!$Q$2:$Q$50),0)</f>
        <v>48586.663458192001</v>
      </c>
      <c r="X19" s="73" ph="1">
        <f>MAX(5600*LOOKUP(X20,密度!$A$2:$A$50,密度!$I$2:$I$50)+X18*9.0476*LOOKUP(X20,密度!$A$2:$A$50,密度!$I$2:$I$50),0)</f>
        <v>13887.944927999999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63.818031960000006</v>
      </c>
      <c r="AB19" s="73" ph="1">
        <f>AB18*9.0746*LOOKUP(AB20,密度!$A$2:$A$50,密度!$L$2:$L$50)</f>
        <v>9310.6757190000008</v>
      </c>
      <c r="AC19" s="73" ph="1">
        <f>AC18*9.0746*LOOKUP(AC20,密度!$A$2:$A$50,密度!$L$2:$L$50)</f>
        <v>18269.129913599998</v>
      </c>
      <c r="AD19" s="73" ph="1">
        <f>AD18*268.68*LOOKUP(AD20,密度!$A$2:$A$50,密度!B5:B53)+IF(AD18&lt;=0,0,1566*LOOKUP(AD20,密度!$A$2:$A$50,密度!B5:B53))</f>
        <v>18819.792835199998</v>
      </c>
      <c r="AE19" s="73" ph="1">
        <f>AE18*268.68*LOOKUP(AE20,密度!$A$2:$A$50,密度!B5:B53)+IF(AE18&lt;=0,0,1566*LOOKUP(AE20,密度!$A$2:$A$50,密度!B5:B53))</f>
        <v>8761.5259704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25</v>
      </c>
      <c r="E20" s="81">
        <v>25</v>
      </c>
      <c r="F20" s="81">
        <v>27</v>
      </c>
      <c r="G20" s="81">
        <v>26</v>
      </c>
      <c r="H20" s="81">
        <v>20</v>
      </c>
      <c r="I20" s="81">
        <v>24</v>
      </c>
      <c r="J20" s="81">
        <v>25</v>
      </c>
      <c r="K20" s="81">
        <v>24</v>
      </c>
      <c r="L20" s="81">
        <v>25</v>
      </c>
      <c r="M20" s="81">
        <v>26</v>
      </c>
      <c r="N20" s="81">
        <v>22</v>
      </c>
      <c r="O20" s="81">
        <v>26</v>
      </c>
      <c r="P20" s="81">
        <v>25</v>
      </c>
      <c r="Q20" s="81">
        <v>25</v>
      </c>
      <c r="R20" s="81">
        <v>25</v>
      </c>
      <c r="S20" s="81">
        <v>25</v>
      </c>
      <c r="T20" s="81">
        <v>24</v>
      </c>
      <c r="U20" s="81">
        <v>22</v>
      </c>
      <c r="V20" s="81">
        <v>27</v>
      </c>
      <c r="W20" s="81">
        <v>28</v>
      </c>
      <c r="X20" s="81">
        <v>27</v>
      </c>
      <c r="Y20" s="110">
        <v>27</v>
      </c>
      <c r="Z20" s="81">
        <v>25</v>
      </c>
      <c r="AA20" s="81">
        <v>23</v>
      </c>
      <c r="AB20" s="81">
        <v>25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644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78.599999999999994</v>
      </c>
      <c r="E24" s="71">
        <v>46.04</v>
      </c>
      <c r="F24" s="71">
        <v>1554</v>
      </c>
      <c r="G24" s="71">
        <v>2394</v>
      </c>
      <c r="H24" s="71">
        <v>1122</v>
      </c>
      <c r="I24" s="71">
        <v>4684</v>
      </c>
      <c r="J24" s="71">
        <v>4840</v>
      </c>
      <c r="K24" s="71">
        <v>2725</v>
      </c>
      <c r="L24" s="71">
        <v>5585</v>
      </c>
      <c r="M24" s="71">
        <v>5110</v>
      </c>
      <c r="N24" s="71">
        <v>5510</v>
      </c>
      <c r="O24" s="71">
        <v>5584</v>
      </c>
      <c r="P24" s="71">
        <v>382</v>
      </c>
      <c r="Q24" s="90">
        <v>1615</v>
      </c>
      <c r="R24" s="71">
        <v>218</v>
      </c>
      <c r="S24" s="71">
        <v>3170</v>
      </c>
      <c r="T24" s="71">
        <v>280</v>
      </c>
      <c r="U24" s="71">
        <v>4509</v>
      </c>
      <c r="V24" s="71">
        <v>8408</v>
      </c>
      <c r="W24" s="71">
        <v>8626</v>
      </c>
      <c r="X24" s="71">
        <v>2977</v>
      </c>
      <c r="Y24" s="71">
        <v>2402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21476.084951520003</v>
      </c>
      <c r="E25" s="91" ph="1">
        <f>E24*268.68*LOOKUP(E26,密度!$A$2:$A$50,密度!$C$2:$C$50)+IF(E24&lt;=0,0,1566*LOOKUP(E26,密度!$A$2:$A$50,密度!$C$2:$C$50))</f>
        <v>15453.66056208</v>
      </c>
      <c r="F25" s="91" ph="1">
        <f>F24*11.702*LOOKUP(F26,密度!$A$2:$A$50,密度!$Q$2:$Q$50)</f>
        <v>17216.37979992</v>
      </c>
      <c r="G25" s="91" ph="1">
        <f>G24*18.322*LOOKUP(G26,密度!$A$2:$A$50,密度!$B$2:$B$50)</f>
        <v>34234.968473999994</v>
      </c>
      <c r="H25" s="91" ph="1">
        <f>H24*18.322*LOOKUP(H26,密度!$A$2:$A$50,密度!$B$2:$B$50)</f>
        <v>16044.960161999999</v>
      </c>
      <c r="I25" s="91" ph="1">
        <f>I24*18.322*LOOKUP(I26,密度!$A$2:$A$50,密度!$Q$2:$Q$50)</f>
        <v>81249.461591519997</v>
      </c>
      <c r="J25" s="91" ph="1">
        <f>J24*18.322*LOOKUP(J26,密度!$A$2:$A$50,密度!$Q$2:$Q$50)</f>
        <v>83955.464155199996</v>
      </c>
      <c r="K25" s="91" ph="1">
        <f>K24*18.322*LOOKUP(K26,密度!$A$2:$A$50,密度!$Q$2:$Q$50)</f>
        <v>47304.761051499998</v>
      </c>
      <c r="L25" s="91" ph="1">
        <f>L24*18.322*LOOKUP(L26,密度!$A$2:$A$50,密度!$Q$2:$Q$50)</f>
        <v>96805.707871099992</v>
      </c>
      <c r="M25" s="91" ph="1">
        <f>M24*18.322*LOOKUP(M26,密度!$A$2:$A$50,密度!$Q$2:$Q$50)</f>
        <v>88572.456082600009</v>
      </c>
      <c r="N25" s="91" ph="1">
        <f>N24*18.322*LOOKUP(N26,密度!$A$2:$A$50,密度!$Q$2:$Q$50)</f>
        <v>95577.398242800002</v>
      </c>
      <c r="O25" s="91" ph="1">
        <f>O24*18.322*LOOKUP(O26,密度!$A$2:$A$50,密度!$C$2:$C$50)</f>
        <v>113523.22926079998</v>
      </c>
      <c r="P25" s="91" ph="1">
        <f>P24*11.702*LOOKUP(P26,密度!$A$2:$A$50,密度!$B$2:$B$50)</f>
        <v>3488.9630019999995</v>
      </c>
      <c r="Q25" s="92" ph="1">
        <f>Q24*18.322*LOOKUP(Q26,密度!$A$2:$A$50,密度!$B$2:$B$50)</f>
        <v>23068.387387999999</v>
      </c>
      <c r="R25" s="91" ph="1">
        <f>R24*35.891*LOOKUP(R26,密度!$A$2:$A$50,密度!$C$2:$C$50)</f>
        <v>8670.0381278000004</v>
      </c>
      <c r="S25" s="91" ph="1">
        <f>S24*35.891*LOOKUP(S26,密度!$A$2:$A$50,密度!$B$2:$B$50)</f>
        <v>88596.179789000002</v>
      </c>
      <c r="T25" s="91" ph="1">
        <f>T24*35.891*LOOKUP(T26,密度!$A$2:$A$50,密度!$Q$2:$Q$50)</f>
        <v>9514.2446951999991</v>
      </c>
      <c r="U25" s="91" ph="1">
        <f>U24*35.891</f>
        <v>161832.519</v>
      </c>
      <c r="V25" s="91" ph="1">
        <f>V24*47.051*LOOKUP(V26,密度!$A$2:$A$50,密度!$B$2:$B$50)</f>
        <v>308769.55264399998</v>
      </c>
      <c r="W25" s="91" ph="1">
        <f>W24*47.051*LOOKUP(W26,密度!$A$2:$A$50,密度!$B$2:$B$50)</f>
        <v>316044.68177620001</v>
      </c>
      <c r="X25" s="91" ph="1">
        <f>X24*47.051*LOOKUP(X26,密度!$A$2:$A$50,密度!$I$2:$I$50)</f>
        <v>145813.73090700002</v>
      </c>
      <c r="Y25" s="91" ph="1">
        <f>Y24*47.051*LOOKUP(Y26,密度!$A$2:$A$50,密度!$L$2:$L$50)</f>
        <v>106009.47887599999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25</v>
      </c>
      <c r="G26" s="74">
        <v>24</v>
      </c>
      <c r="H26" s="74">
        <v>24</v>
      </c>
      <c r="I26" s="74">
        <v>25</v>
      </c>
      <c r="J26" s="74">
        <v>25</v>
      </c>
      <c r="K26" s="74">
        <v>24</v>
      </c>
      <c r="L26" s="74">
        <v>26</v>
      </c>
      <c r="M26" s="74">
        <v>26</v>
      </c>
      <c r="N26" s="74">
        <v>25</v>
      </c>
      <c r="O26" s="74">
        <v>24</v>
      </c>
      <c r="P26" s="74">
        <v>24</v>
      </c>
      <c r="Q26" s="93">
        <v>25</v>
      </c>
      <c r="R26" s="74">
        <v>26</v>
      </c>
      <c r="S26" s="74">
        <v>26</v>
      </c>
      <c r="T26" s="74">
        <v>25</v>
      </c>
      <c r="U26" s="74">
        <v>26</v>
      </c>
      <c r="V26" s="74">
        <v>24</v>
      </c>
      <c r="W26" s="74">
        <v>26</v>
      </c>
      <c r="X26" s="74">
        <v>26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78.64</v>
      </c>
      <c r="E27" s="71">
        <v>46.02</v>
      </c>
      <c r="F27" s="71">
        <v>1553</v>
      </c>
      <c r="G27" s="71">
        <v>1814</v>
      </c>
      <c r="H27" s="71">
        <v>1121</v>
      </c>
      <c r="I27" s="71">
        <v>4683</v>
      </c>
      <c r="J27" s="71">
        <v>4839</v>
      </c>
      <c r="K27" s="71">
        <v>3839</v>
      </c>
      <c r="L27" s="71">
        <v>5583</v>
      </c>
      <c r="M27" s="71">
        <v>5109</v>
      </c>
      <c r="N27" s="71">
        <v>5509</v>
      </c>
      <c r="O27" s="71">
        <v>5582</v>
      </c>
      <c r="P27" s="71">
        <v>381</v>
      </c>
      <c r="Q27" s="90">
        <v>2159</v>
      </c>
      <c r="R27" s="71">
        <v>217</v>
      </c>
      <c r="S27" s="71">
        <v>2860</v>
      </c>
      <c r="T27" s="71">
        <v>279</v>
      </c>
      <c r="U27" s="71">
        <v>4547</v>
      </c>
      <c r="V27" s="71">
        <v>9842</v>
      </c>
      <c r="W27" s="71">
        <v>8621</v>
      </c>
      <c r="X27" s="71">
        <v>2625</v>
      </c>
      <c r="Y27" s="71">
        <v>2796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21486.259755648003</v>
      </c>
      <c r="E28" s="91" ph="1">
        <f>E27*268.68*LOOKUP(E29,密度!$A$2:$A$50,密度!$C$2:$C$50)+IF(E27&lt;=0,0,1566*LOOKUP(E29,密度!$A$2:$A$50,密度!$C$2:$C$50))</f>
        <v>15447.701777040002</v>
      </c>
      <c r="F28" s="91" ph="1">
        <f>F27*11.702*LOOKUP(F29,密度!$A$2:$A$50,密度!$Q$2:$Q$50)</f>
        <v>17218.567488819997</v>
      </c>
      <c r="G28" s="91" ph="1">
        <f>G27*18.322*LOOKUP(G29,密度!$A$2:$A$50,密度!$B$2:$B$50)</f>
        <v>25970.6947912</v>
      </c>
      <c r="H28" s="91" ph="1">
        <f>H27*18.322*LOOKUP(H29,密度!$A$2:$A$50,密度!$B$2:$B$50)</f>
        <v>16030.659840999999</v>
      </c>
      <c r="I28" s="91" ph="1">
        <f>I27*18.322*LOOKUP(I29,密度!$A$2:$A$50,密度!$Q$2:$Q$50)</f>
        <v>81294.750827219992</v>
      </c>
      <c r="J28" s="91" ph="1">
        <f>J27*18.322*LOOKUP(J29,密度!$A$2:$A$50,密度!$Q$2:$Q$50)</f>
        <v>83938.117984919998</v>
      </c>
      <c r="K28" s="91" ph="1">
        <f>K27*18.322*LOOKUP(K29,密度!$A$2:$A$50,密度!$Q$2:$Q$50)</f>
        <v>66694.641415599996</v>
      </c>
      <c r="L28" s="91" ph="1">
        <f>L27*18.322*LOOKUP(L29,密度!$A$2:$A$50,密度!$Q$2:$Q$50)</f>
        <v>96918.341633219999</v>
      </c>
      <c r="M28" s="91" ph="1">
        <f>M27*18.322*LOOKUP(M29,密度!$A$2:$A$50,密度!$Q$2:$Q$50)</f>
        <v>88621.583960520002</v>
      </c>
      <c r="N28" s="91" ph="1">
        <f>N27*18.322*LOOKUP(N29,密度!$A$2:$A$50,密度!$Q$2:$Q$50)</f>
        <v>95707.418483600006</v>
      </c>
      <c r="O28" s="91" ph="1">
        <f>O27*18.322*LOOKUP(O29,密度!$A$2:$A$50,密度!$C$2:$C$50)</f>
        <v>113482.56907839999</v>
      </c>
      <c r="P28" s="91" ph="1">
        <f>P27*11.702*LOOKUP(P29,密度!$A$2:$A$50,密度!$B$2:$B$50)</f>
        <v>3479.8295909999997</v>
      </c>
      <c r="Q28" s="92" ph="1">
        <f>Q27*18.322*LOOKUP(Q29,密度!$A$2:$A$50,密度!$B$2:$B$50)</f>
        <v>30909.994517199997</v>
      </c>
      <c r="R28" s="91" ph="1">
        <f>R27*35.891*LOOKUP(R29,密度!$A$2:$A$50,密度!$C$2:$C$50)</f>
        <v>8636.4979882999996</v>
      </c>
      <c r="S28" s="91" ph="1">
        <f>S27*35.891*LOOKUP(S29,密度!$A$2:$A$50,密度!$B$2:$B$50)</f>
        <v>80116.966929999995</v>
      </c>
      <c r="T28" s="91" ph="1">
        <f>T27*35.891*LOOKUP(T29,密度!$A$2:$A$50,密度!$Q$2:$Q$50)</f>
        <v>9480.26524986</v>
      </c>
      <c r="U28" s="91" ph="1">
        <f>U27*35.891</f>
        <v>163196.37699999998</v>
      </c>
      <c r="V28" s="91" ph="1">
        <f>V27*47.051*LOOKUP(V29,密度!$A$2:$A$50,密度!$B$2:$B$50)</f>
        <v>361430.77273100003</v>
      </c>
      <c r="W28" s="91" ph="1">
        <f>W27*47.051*LOOKUP(W29,密度!$A$2:$A$50,密度!$B$2:$B$50)</f>
        <v>316591.61671550001</v>
      </c>
      <c r="X28" s="91" ph="1">
        <f>X27*47.051*LOOKUP(X29,密度!$A$2:$A$50,密度!$I$2:$I$50)</f>
        <v>128733.3004125</v>
      </c>
      <c r="Y28" s="91" ph="1">
        <f>Y27*47.051*LOOKUP(Y29,密度!$A$2:$A$50,密度!$L$2:$L$50)</f>
        <v>123398.21104800001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24</v>
      </c>
      <c r="G29" s="74">
        <v>23</v>
      </c>
      <c r="H29" s="74">
        <v>24</v>
      </c>
      <c r="I29" s="74">
        <v>24</v>
      </c>
      <c r="J29" s="74">
        <v>25</v>
      </c>
      <c r="K29" s="74">
        <v>23</v>
      </c>
      <c r="L29" s="74">
        <v>24</v>
      </c>
      <c r="M29" s="74">
        <v>25</v>
      </c>
      <c r="N29" s="74">
        <v>23</v>
      </c>
      <c r="O29" s="74">
        <v>24</v>
      </c>
      <c r="P29" s="74">
        <v>24</v>
      </c>
      <c r="Q29" s="93">
        <v>23</v>
      </c>
      <c r="R29" s="74">
        <v>25</v>
      </c>
      <c r="S29" s="74">
        <v>24</v>
      </c>
      <c r="T29" s="74">
        <v>25</v>
      </c>
      <c r="U29" s="74">
        <v>23</v>
      </c>
      <c r="V29" s="74">
        <v>24</v>
      </c>
      <c r="W29" s="74">
        <v>24</v>
      </c>
      <c r="X29" s="74">
        <v>25</v>
      </c>
      <c r="Y29" s="74">
        <v>24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128115.95606700001</v>
      </c>
      <c r="E33" s="190" ph="1">
        <f>M10+I10</f>
        <v>49247.598776099992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6" ph="1">
        <v>0</v>
      </c>
      <c r="H33" s="190" ph="1">
        <f>N19</f>
        <v>41566.441239600004</v>
      </c>
      <c r="I33" s="194" ph="1">
        <v>0</v>
      </c>
      <c r="J33" s="198" ph="1">
        <f>F10+O28</f>
        <v>364483.53288399999</v>
      </c>
      <c r="K33" s="190" ph="1">
        <f>O10+K10+E28+R28</f>
        <v>28797.056528540001</v>
      </c>
      <c r="L33" s="200" ph="1">
        <f>BE27</f>
        <v>7100</v>
      </c>
      <c r="M33" s="198" ph="1">
        <f>G10+H10+W28+S28+V28+E10</f>
        <v>1071686.4002045002</v>
      </c>
      <c r="N33" s="190" ph="1">
        <f>L10+P10++G28+H28</f>
        <v>323673.80322119995</v>
      </c>
      <c r="O33" s="194" ph="1">
        <f>BE17</f>
        <v>2270</v>
      </c>
      <c r="P33" s="198" ph="1">
        <f>L19</f>
        <v>28329.405705920002</v>
      </c>
      <c r="Q33" s="190" ph="1">
        <f>J10+N10</f>
        <v>84038.280077600008</v>
      </c>
      <c r="R33" s="194" ph="1">
        <f>BE23</f>
        <v>890</v>
      </c>
      <c r="S33" s="198" ph="1">
        <f>E10+X28</f>
        <v>206025.74452449998</v>
      </c>
      <c r="T33" s="190" ph="1">
        <f>X19</f>
        <v>13887.944927999999</v>
      </c>
      <c r="U33" s="179" ph="1">
        <f>BE21</f>
        <v>730</v>
      </c>
      <c r="V33" s="192" ph="1">
        <f ca="1">P19+Q19+S19+M28+N28+J28</f>
        <v>440720.02044573199</v>
      </c>
      <c r="W33" s="192" ph="1">
        <f>D28+F28+V19+T28</f>
        <v>95926.814196744002</v>
      </c>
      <c r="X33" s="194" ph="1">
        <f>BE29+BE31</f>
        <v>10200</v>
      </c>
      <c r="Y33" s="196" ph="1">
        <f>+Q10+R10+S10+T10+U10+V10+W10+X10+Y10</f>
        <v>219219.46019819999</v>
      </c>
      <c r="Z33" s="177" ph="1">
        <f>D10+T19+U19+Y28+Z10</f>
        <v>360223.16763765999</v>
      </c>
      <c r="AA33" s="179" ph="1">
        <f>BE19</f>
        <v>1440</v>
      </c>
      <c r="AB33" s="181" ph="1">
        <f>I19</f>
        <v>24784.656415200003</v>
      </c>
      <c r="AC33" s="183" ph="1">
        <f>AD10</f>
        <v>85378.417440000005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95" priority="98">
      <formula>ABS(D$7-D$10)&gt;=1000</formula>
    </cfRule>
  </conditionalFormatting>
  <conditionalFormatting sqref="E4 E6:E11">
    <cfRule type="expression" dxfId="894" priority="97">
      <formula>ABS(E$7-E$10)&gt;=1000</formula>
    </cfRule>
  </conditionalFormatting>
  <conditionalFormatting sqref="F4:F11">
    <cfRule type="expression" dxfId="893" priority="96">
      <formula>ABS(F$7-F$10)&gt;=1000</formula>
    </cfRule>
  </conditionalFormatting>
  <conditionalFormatting sqref="G4:G11">
    <cfRule type="expression" dxfId="892" priority="95">
      <formula>ABS(G$7-G$10)&gt;=1000</formula>
    </cfRule>
  </conditionalFormatting>
  <conditionalFormatting sqref="H4:H11">
    <cfRule type="expression" dxfId="891" priority="94">
      <formula>ABS(H$7-H$10)&gt;=1000</formula>
    </cfRule>
  </conditionalFormatting>
  <conditionalFormatting sqref="I4:I11">
    <cfRule type="expression" dxfId="890" priority="93">
      <formula>ABS(I$7-I$10)&gt;=1000</formula>
    </cfRule>
  </conditionalFormatting>
  <conditionalFormatting sqref="J4:J11">
    <cfRule type="expression" dxfId="889" priority="92">
      <formula>ABS(J$7-J$10)&gt;=1000</formula>
    </cfRule>
  </conditionalFormatting>
  <conditionalFormatting sqref="K4:K11">
    <cfRule type="expression" dxfId="888" priority="91">
      <formula>ABS(K$7-K$10)&gt;=1000</formula>
    </cfRule>
  </conditionalFormatting>
  <conditionalFormatting sqref="L4:L11">
    <cfRule type="expression" dxfId="887" priority="90">
      <formula>ABS(L$7-L$10)&gt;=1000</formula>
    </cfRule>
  </conditionalFormatting>
  <conditionalFormatting sqref="M4 M6:M11">
    <cfRule type="expression" dxfId="886" priority="89">
      <formula>ABS(M$7-M$10)&gt;=1000</formula>
    </cfRule>
  </conditionalFormatting>
  <conditionalFormatting sqref="N4 N6:N11">
    <cfRule type="expression" dxfId="885" priority="88">
      <formula>ABS(N$7-N$10)&gt;=1000</formula>
    </cfRule>
  </conditionalFormatting>
  <conditionalFormatting sqref="O4 O6:O11">
    <cfRule type="expression" dxfId="884" priority="87">
      <formula>ABS(O$7-O$10)&gt;=1000</formula>
    </cfRule>
  </conditionalFormatting>
  <conditionalFormatting sqref="P4 P6:P11">
    <cfRule type="expression" dxfId="883" priority="86">
      <formula>ABS(P$7-P$10)&gt;=1000</formula>
    </cfRule>
  </conditionalFormatting>
  <conditionalFormatting sqref="Q4:Q11">
    <cfRule type="expression" dxfId="882" priority="85">
      <formula>ABS(Q$7-Q$10)&gt;=1000</formula>
    </cfRule>
  </conditionalFormatting>
  <conditionalFormatting sqref="R4:R11">
    <cfRule type="expression" dxfId="881" priority="84">
      <formula>ABS(R$7-R$10)&gt;=1000</formula>
    </cfRule>
  </conditionalFormatting>
  <conditionalFormatting sqref="S4:S11">
    <cfRule type="expression" dxfId="880" priority="83">
      <formula>ABS(S$7-S$10)&gt;=1000</formula>
    </cfRule>
  </conditionalFormatting>
  <conditionalFormatting sqref="T4:T9 T11">
    <cfRule type="expression" dxfId="879" priority="82">
      <formula>ABS(T$7-T$10)&gt;=1000</formula>
    </cfRule>
  </conditionalFormatting>
  <conditionalFormatting sqref="U4:U9 U11">
    <cfRule type="expression" dxfId="878" priority="81">
      <formula>ABS(U$7-U$10)&gt;=1000</formula>
    </cfRule>
  </conditionalFormatting>
  <conditionalFormatting sqref="V4:V9 V11">
    <cfRule type="expression" dxfId="877" priority="80">
      <formula>ABS(V$7-V$10)&gt;=1000</formula>
    </cfRule>
  </conditionalFormatting>
  <conditionalFormatting sqref="W4:W9 W11">
    <cfRule type="expression" dxfId="876" priority="79">
      <formula>ABS(W$7-W$10)&gt;=1000</formula>
    </cfRule>
  </conditionalFormatting>
  <conditionalFormatting sqref="X4:X9 X11">
    <cfRule type="expression" dxfId="875" priority="78">
      <formula>ABS(X$7-X$10)&gt;=1000</formula>
    </cfRule>
  </conditionalFormatting>
  <conditionalFormatting sqref="Y4:Y9 Y11">
    <cfRule type="expression" dxfId="874" priority="77">
      <formula>ABS(Y$7-Y$10)&gt;=1000</formula>
    </cfRule>
  </conditionalFormatting>
  <conditionalFormatting sqref="Z4:Z11">
    <cfRule type="expression" dxfId="873" priority="76">
      <formula>ABS(Z$7-Z$10)&gt;=1000</formula>
    </cfRule>
  </conditionalFormatting>
  <conditionalFormatting sqref="AA4:AA11">
    <cfRule type="expression" dxfId="872" priority="75">
      <formula>ABS(AA$7-AA$10)&gt;=1000</formula>
    </cfRule>
  </conditionalFormatting>
  <conditionalFormatting sqref="AB4:AB11">
    <cfRule type="expression" dxfId="871" priority="74">
      <formula>ABS(AB$7-AB$10)&gt;=1000</formula>
    </cfRule>
  </conditionalFormatting>
  <conditionalFormatting sqref="AC4 AC6:AC11">
    <cfRule type="expression" dxfId="870" priority="73">
      <formula>ABS(AC$7-AC$10)&gt;=1000</formula>
    </cfRule>
  </conditionalFormatting>
  <conditionalFormatting sqref="AD4:AD11">
    <cfRule type="expression" dxfId="869" priority="72">
      <formula>ABS(AD$7-AD$10)&gt;=1000</formula>
    </cfRule>
  </conditionalFormatting>
  <conditionalFormatting sqref="AE4 AE6:AE11">
    <cfRule type="expression" dxfId="868" priority="71">
      <formula>ABS(AE$7-AE$10)&gt;=1000</formula>
    </cfRule>
  </conditionalFormatting>
  <conditionalFormatting sqref="D13:D20">
    <cfRule type="expression" dxfId="867" priority="70">
      <formula>ABS(D$16-D$19)&gt;=1000</formula>
    </cfRule>
  </conditionalFormatting>
  <conditionalFormatting sqref="E13:E20">
    <cfRule type="expression" dxfId="866" priority="69">
      <formula>ABS(E$16-E$19)&gt;=1000</formula>
    </cfRule>
  </conditionalFormatting>
  <conditionalFormatting sqref="F13 F15:F20">
    <cfRule type="expression" dxfId="865" priority="68">
      <formula>ABS(F$16-F$19)&gt;=1000</formula>
    </cfRule>
  </conditionalFormatting>
  <conditionalFormatting sqref="G13:G20">
    <cfRule type="expression" dxfId="864" priority="67">
      <formula>ABS(G$16-G$19)&gt;=1000</formula>
    </cfRule>
  </conditionalFormatting>
  <conditionalFormatting sqref="H13:H20">
    <cfRule type="expression" dxfId="863" priority="66">
      <formula>ABS(H$16-H$19)&gt;=1000</formula>
    </cfRule>
  </conditionalFormatting>
  <conditionalFormatting sqref="I13:I20">
    <cfRule type="expression" dxfId="862" priority="65">
      <formula>ABS(I$16-I$19)&gt;=1000</formula>
    </cfRule>
  </conditionalFormatting>
  <conditionalFormatting sqref="J13:J20">
    <cfRule type="expression" dxfId="861" priority="64">
      <formula>ABS(J$16-J$19)&gt;=1000</formula>
    </cfRule>
  </conditionalFormatting>
  <conditionalFormatting sqref="L13:L20">
    <cfRule type="expression" dxfId="860" priority="63">
      <formula>ABS(L$16-L$19)&gt;=1000</formula>
    </cfRule>
  </conditionalFormatting>
  <conditionalFormatting sqref="M13 M15 M17:M18 M20">
    <cfRule type="expression" dxfId="859" priority="62">
      <formula>ABS(M$16-M$19)&gt;=1000</formula>
    </cfRule>
  </conditionalFormatting>
  <conditionalFormatting sqref="N13:N20">
    <cfRule type="expression" dxfId="858" priority="61">
      <formula>ABS(N$16-N$19)&gt;=1000</formula>
    </cfRule>
  </conditionalFormatting>
  <conditionalFormatting sqref="O13:O20">
    <cfRule type="expression" dxfId="857" priority="60">
      <formula>ABS(O$16-O$19)&gt;=1000</formula>
    </cfRule>
  </conditionalFormatting>
  <conditionalFormatting sqref="P13:P20">
    <cfRule type="expression" dxfId="856" priority="59">
      <formula>ABS(P$16-P$19)&gt;=1000</formula>
    </cfRule>
  </conditionalFormatting>
  <conditionalFormatting sqref="Q13 Q15:Q20">
    <cfRule type="expression" dxfId="855" priority="58">
      <formula>ABS(Q$16-Q$19)&gt;=1000</formula>
    </cfRule>
  </conditionalFormatting>
  <conditionalFormatting sqref="R13:R20">
    <cfRule type="expression" dxfId="854" priority="57">
      <formula>ABS(R$16-R$19)&gt;=1000</formula>
    </cfRule>
  </conditionalFormatting>
  <conditionalFormatting sqref="S13:S20">
    <cfRule type="expression" dxfId="853" priority="56">
      <formula>ABS(S$16-S$19)&gt;=1000</formula>
    </cfRule>
  </conditionalFormatting>
  <conditionalFormatting sqref="T13:T20">
    <cfRule type="expression" dxfId="852" priority="55">
      <formula>ABS(T$16-T$19)&gt;=1000</formula>
    </cfRule>
  </conditionalFormatting>
  <conditionalFormatting sqref="U13:U20">
    <cfRule type="expression" dxfId="851" priority="54">
      <formula>ABS(U$16-U$19)&gt;=1000</formula>
    </cfRule>
  </conditionalFormatting>
  <conditionalFormatting sqref="V13:V20">
    <cfRule type="expression" dxfId="850" priority="53">
      <formula>ABS(V$16-V$19)&gt;=1000</formula>
    </cfRule>
  </conditionalFormatting>
  <conditionalFormatting sqref="W13 W20 W15:W18">
    <cfRule type="expression" dxfId="849" priority="52">
      <formula>ABS(W$16-W$19)&gt;=1000</formula>
    </cfRule>
  </conditionalFormatting>
  <conditionalFormatting sqref="X13 X15:X20 Y19">
    <cfRule type="expression" dxfId="848" priority="51">
      <formula>ABS(X$16-X$19)&gt;=1000</formula>
    </cfRule>
  </conditionalFormatting>
  <conditionalFormatting sqref="Y13 Y15:Y18 Y20">
    <cfRule type="expression" dxfId="847" priority="50">
      <formula>ABS(Y$16-Y$19)&gt;=1000</formula>
    </cfRule>
  </conditionalFormatting>
  <conditionalFormatting sqref="Z13:Z20">
    <cfRule type="expression" dxfId="846" priority="49">
      <formula>ABS(Z$16-Z$19)&gt;=1000</formula>
    </cfRule>
  </conditionalFormatting>
  <conditionalFormatting sqref="AA13:AA20">
    <cfRule type="expression" dxfId="845" priority="48">
      <formula>ABS(AA$16-AA$19)&gt;=1000</formula>
    </cfRule>
  </conditionalFormatting>
  <conditionalFormatting sqref="AB13 AB15:AB20">
    <cfRule type="expression" dxfId="844" priority="47">
      <formula>ABS(AB$16-AB$19)&gt;=1000</formula>
    </cfRule>
  </conditionalFormatting>
  <conditionalFormatting sqref="AC13 AC15:AC20">
    <cfRule type="expression" dxfId="843" priority="46">
      <formula>ABS(AC$16-AC$19)&gt;=1000</formula>
    </cfRule>
  </conditionalFormatting>
  <conditionalFormatting sqref="AD13:AD20">
    <cfRule type="expression" dxfId="842" priority="45">
      <formula>ABS(AD$16-AD$19)&gt;=1000</formula>
    </cfRule>
  </conditionalFormatting>
  <conditionalFormatting sqref="AE13:AE20">
    <cfRule type="expression" dxfId="841" priority="44">
      <formula>ABS(AE$16-AE$19)&gt;=1000</formula>
    </cfRule>
  </conditionalFormatting>
  <conditionalFormatting sqref="D22:D29">
    <cfRule type="expression" dxfId="840" priority="43">
      <formula>ABS(D$25-D$28)&gt;=1000</formula>
    </cfRule>
  </conditionalFormatting>
  <conditionalFormatting sqref="E22:E29">
    <cfRule type="expression" dxfId="839" priority="42">
      <formula>ABS(E$25-E$28)&gt;=1000</formula>
    </cfRule>
  </conditionalFormatting>
  <conditionalFormatting sqref="F22:F29">
    <cfRule type="expression" dxfId="838" priority="41">
      <formula>ABS(F$25-F$28)&gt;=1000</formula>
    </cfRule>
  </conditionalFormatting>
  <conditionalFormatting sqref="G22:G29">
    <cfRule type="expression" dxfId="837" priority="40">
      <formula>ABS(G$25-G$28)&gt;=1000</formula>
    </cfRule>
  </conditionalFormatting>
  <conditionalFormatting sqref="H22:H29">
    <cfRule type="expression" dxfId="836" priority="39">
      <formula>ABS(H$25-H$28)&gt;=1000</formula>
    </cfRule>
  </conditionalFormatting>
  <conditionalFormatting sqref="I22 I24:I29">
    <cfRule type="expression" dxfId="835" priority="38">
      <formula>ABS(I$25-I$28)&gt;=1000</formula>
    </cfRule>
  </conditionalFormatting>
  <conditionalFormatting sqref="J22:J29 K22">
    <cfRule type="expression" dxfId="834" priority="37">
      <formula>ABS(J$25-J$28)&gt;=1000</formula>
    </cfRule>
  </conditionalFormatting>
  <conditionalFormatting sqref="K23:K29 L25 L28">
    <cfRule type="expression" dxfId="833" priority="36">
      <formula>ABS(K$25-K$28)&gt;=1000</formula>
    </cfRule>
  </conditionalFormatting>
  <conditionalFormatting sqref="L22 L26:L27 L29 L24">
    <cfRule type="expression" dxfId="832" priority="35">
      <formula>ABS(L$25-L$28)&gt;=1000</formula>
    </cfRule>
  </conditionalFormatting>
  <conditionalFormatting sqref="M22:M29">
    <cfRule type="expression" dxfId="831" priority="34">
      <formula>ABS(M$25-M$28)&gt;=1000</formula>
    </cfRule>
  </conditionalFormatting>
  <conditionalFormatting sqref="N22:N29">
    <cfRule type="expression" dxfId="830" priority="33">
      <formula>ABS(N$25-N$28)&gt;=1000</formula>
    </cfRule>
  </conditionalFormatting>
  <conditionalFormatting sqref="O22:O29">
    <cfRule type="expression" dxfId="829" priority="32">
      <formula>ABS(O$25-O$28)&gt;=1000</formula>
    </cfRule>
  </conditionalFormatting>
  <conditionalFormatting sqref="P22:P29">
    <cfRule type="expression" dxfId="828" priority="31">
      <formula>ABS(P$25-P$28)&gt;=1000</formula>
    </cfRule>
  </conditionalFormatting>
  <conditionalFormatting sqref="Q22:Q29">
    <cfRule type="expression" dxfId="827" priority="30">
      <formula>ABS(Q$25-Q$28)&gt;=1000</formula>
    </cfRule>
  </conditionalFormatting>
  <conditionalFormatting sqref="R22:R29">
    <cfRule type="expression" dxfId="826" priority="29">
      <formula>ABS(R$25-R$28)&gt;=1000</formula>
    </cfRule>
  </conditionalFormatting>
  <conditionalFormatting sqref="S22:S29">
    <cfRule type="expression" dxfId="825" priority="28">
      <formula>ABS(S$25-S$28)&gt;=1000</formula>
    </cfRule>
  </conditionalFormatting>
  <conditionalFormatting sqref="T22:T29">
    <cfRule type="expression" dxfId="824" priority="27">
      <formula>ABS(T$25-T$28)&gt;=1000</formula>
    </cfRule>
  </conditionalFormatting>
  <conditionalFormatting sqref="U22:U29">
    <cfRule type="expression" dxfId="823" priority="26">
      <formula>ABS(U$25-U$28)&gt;=1000</formula>
    </cfRule>
  </conditionalFormatting>
  <conditionalFormatting sqref="V22:V29">
    <cfRule type="expression" dxfId="822" priority="25">
      <formula>ABS(V$25-V$28)&gt;=1000</formula>
    </cfRule>
  </conditionalFormatting>
  <conditionalFormatting sqref="W22:W29">
    <cfRule type="expression" dxfId="821" priority="24">
      <formula>ABS(W$25-W$28)&gt;=1000</formula>
    </cfRule>
  </conditionalFormatting>
  <conditionalFormatting sqref="X22:X29">
    <cfRule type="expression" dxfId="820" priority="23">
      <formula>ABS(X$25-X$28)&gt;=1000</formula>
    </cfRule>
  </conditionalFormatting>
  <conditionalFormatting sqref="Y22:Y29">
    <cfRule type="expression" dxfId="819" priority="22">
      <formula>ABS(Y$25-Y$28)&gt;=1000</formula>
    </cfRule>
  </conditionalFormatting>
  <conditionalFormatting sqref="I23">
    <cfRule type="expression" dxfId="818" priority="21">
      <formula>ABS(I$25-I$28)&gt;=1000</formula>
    </cfRule>
  </conditionalFormatting>
  <conditionalFormatting sqref="Q14">
    <cfRule type="expression" dxfId="817" priority="20">
      <formula>ABS(Q$16-Q$19)&gt;=1000</formula>
    </cfRule>
  </conditionalFormatting>
  <conditionalFormatting sqref="W14">
    <cfRule type="expression" dxfId="816" priority="19">
      <formula>ABS(W$16-W$19)&gt;=1000</formula>
    </cfRule>
  </conditionalFormatting>
  <conditionalFormatting sqref="Y14">
    <cfRule type="expression" dxfId="815" priority="18">
      <formula>ABS(Y$16-Y$19)&gt;=1000</formula>
    </cfRule>
  </conditionalFormatting>
  <conditionalFormatting sqref="X14">
    <cfRule type="expression" dxfId="814" priority="17">
      <formula>ABS(X$16-X$19)&gt;=1000</formula>
    </cfRule>
  </conditionalFormatting>
  <conditionalFormatting sqref="T10:Y10">
    <cfRule type="expression" dxfId="813" priority="16">
      <formula>ABS(T$7-T$10)&gt;=1000</formula>
    </cfRule>
  </conditionalFormatting>
  <conditionalFormatting sqref="W19">
    <cfRule type="expression" dxfId="812" priority="15">
      <formula>ABS(W$16-W$19)&gt;=1000</formula>
    </cfRule>
  </conditionalFormatting>
  <conditionalFormatting sqref="AC5">
    <cfRule type="expression" dxfId="811" priority="14">
      <formula>ABS(AC$7-AC$10)&gt;=1000</formula>
    </cfRule>
  </conditionalFormatting>
  <conditionalFormatting sqref="M14">
    <cfRule type="expression" dxfId="810" priority="13">
      <formula>ABS(M$16-M$19)&gt;=1000</formula>
    </cfRule>
  </conditionalFormatting>
  <conditionalFormatting sqref="M16">
    <cfRule type="expression" dxfId="809" priority="12">
      <formula>ABS(M$16-M$19)&gt;=1000</formula>
    </cfRule>
  </conditionalFormatting>
  <conditionalFormatting sqref="M19">
    <cfRule type="expression" dxfId="808" priority="11">
      <formula>ABS(M$16-M$19)&gt;=1000</formula>
    </cfRule>
  </conditionalFormatting>
  <conditionalFormatting sqref="K13:K20">
    <cfRule type="expression" dxfId="807" priority="10">
      <formula>ABS(K$16-K$19)&gt;=1000</formula>
    </cfRule>
  </conditionalFormatting>
  <conditionalFormatting sqref="E5">
    <cfRule type="expression" dxfId="806" priority="9">
      <formula>ABS(E$7-E$10)&gt;=1000</formula>
    </cfRule>
  </conditionalFormatting>
  <conditionalFormatting sqref="AB14:AC14">
    <cfRule type="expression" dxfId="805" priority="8">
      <formula>ABS(AB$16-AB$19)&gt;=1000</formula>
    </cfRule>
  </conditionalFormatting>
  <conditionalFormatting sqref="M5">
    <cfRule type="expression" dxfId="804" priority="7">
      <formula>ABS(M$7-M$10)&gt;=1000</formula>
    </cfRule>
  </conditionalFormatting>
  <conditionalFormatting sqref="N5">
    <cfRule type="expression" dxfId="803" priority="6">
      <formula>ABS(N$7-N$10)&gt;=1000</formula>
    </cfRule>
  </conditionalFormatting>
  <conditionalFormatting sqref="O5">
    <cfRule type="expression" dxfId="802" priority="5">
      <formula>ABS(O$7-O$10)&gt;=1000</formula>
    </cfRule>
  </conditionalFormatting>
  <conditionalFormatting sqref="P5">
    <cfRule type="expression" dxfId="801" priority="4">
      <formula>ABS(P$7-P$10)&gt;=1000</formula>
    </cfRule>
  </conditionalFormatting>
  <conditionalFormatting sqref="L23">
    <cfRule type="expression" dxfId="800" priority="3">
      <formula>ABS(L$25-L$28)&gt;=1000</formula>
    </cfRule>
  </conditionalFormatting>
  <conditionalFormatting sqref="F14">
    <cfRule type="expression" dxfId="799" priority="2">
      <formula>ABS(F$16-F$19)&gt;=1000</formula>
    </cfRule>
  </conditionalFormatting>
  <conditionalFormatting sqref="AE5">
    <cfRule type="expression" dxfId="79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01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49">
    <pageSetUpPr fitToPage="1"/>
  </sheetPr>
  <dimension ref="A1:CU223"/>
  <sheetViews>
    <sheetView view="pageBreakPreview" zoomScale="80" zoomScaleNormal="100" zoomScaleSheetLayoutView="80" workbookViewId="0">
      <selection activeCell="U10" sqref="U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3914</v>
      </c>
      <c r="E6" s="71">
        <v>1928</v>
      </c>
      <c r="F6" s="71">
        <v>6811</v>
      </c>
      <c r="G6" s="71">
        <v>4145</v>
      </c>
      <c r="H6" s="71">
        <v>1724</v>
      </c>
      <c r="I6" s="71">
        <v>0.06</v>
      </c>
      <c r="J6" s="71">
        <v>7.02</v>
      </c>
      <c r="K6" s="71">
        <v>7.36</v>
      </c>
      <c r="L6" s="71">
        <v>23.3</v>
      </c>
      <c r="M6" s="71">
        <v>1445</v>
      </c>
      <c r="N6" s="71">
        <v>2948</v>
      </c>
      <c r="O6" s="71">
        <v>104</v>
      </c>
      <c r="P6" s="71">
        <v>6789</v>
      </c>
      <c r="Q6" s="71">
        <v>7236</v>
      </c>
      <c r="R6" s="71">
        <v>4664</v>
      </c>
      <c r="S6" s="71">
        <v>5439</v>
      </c>
      <c r="T6" s="71">
        <v>0</v>
      </c>
      <c r="U6" s="71">
        <v>0</v>
      </c>
      <c r="V6" s="71">
        <v>0</v>
      </c>
      <c r="W6" s="71">
        <v>1658</v>
      </c>
      <c r="X6" s="71">
        <v>7007</v>
      </c>
      <c r="Y6" s="71">
        <v>6183</v>
      </c>
      <c r="Z6" s="71">
        <v>1857</v>
      </c>
      <c r="AA6" s="71">
        <v>2327</v>
      </c>
      <c r="AB6" s="71">
        <v>2952</v>
      </c>
      <c r="AC6" s="71">
        <v>2553</v>
      </c>
      <c r="AD6" s="71">
        <v>4350</v>
      </c>
      <c r="AE6" s="71">
        <v>2559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122960.94576588001</v>
      </c>
      <c r="E7" s="73" ph="1">
        <f>E6*51.53*LOOKUP(E8,密度!$A$2:$A$50,密度!$B$2:$B$50)</f>
        <v>77542.55012</v>
      </c>
      <c r="F7" s="73" ph="1">
        <f>F6*33.183*LOOKUP(F8,密度!$A$2:$A$50,密度!$C$2:$C$50)</f>
        <v>250960.85219520002</v>
      </c>
      <c r="G7" s="73" ph="1">
        <f xml:space="preserve"> (G6+2)*51.53*LOOKUP(G8,密度!$A$2:$A$50,密度!$B$2:$B$50)</f>
        <v>166788.877255</v>
      </c>
      <c r="H7" s="73" ph="1">
        <f>(H6)*51.53*LOOKUP(H8,密度!$A$2:$A$50,密度!$B$2:$B$50)</f>
        <v>69657.656252000001</v>
      </c>
      <c r="I7" s="73" ph="1">
        <f>I6*290.8*1.0267</f>
        <v>17.913861600000001</v>
      </c>
      <c r="J7" s="73" ph="1">
        <f>J6*290.8*0.7892</f>
        <v>1611.0855071999999</v>
      </c>
      <c r="K7" s="73" ph="1">
        <f>K6*290.8*1.1126</f>
        <v>2381.2844288000001</v>
      </c>
      <c r="L7" s="73" ph="1">
        <f>L6*290.8*0.777</f>
        <v>5264.6722800000007</v>
      </c>
      <c r="M7" s="73" ph="1">
        <f>M6*33.183*LOOKUP(M8,密度!$A$2:$A$50,密度!$D$2:$D$50)</f>
        <v>49272.839405999999</v>
      </c>
      <c r="N7" s="73" ph="1">
        <f>N6*33.183*LOOKUP(N8,密度!$A$2:$A$50,密度!$E$2:$E$50)</f>
        <v>76507.746836399994</v>
      </c>
      <c r="O7" s="73" ph="1">
        <f>O6*20.428*LOOKUP(O8,密度!$A$2:$A$50,密度!$C$2:$C$50)</f>
        <v>2354.1717472000005</v>
      </c>
      <c r="P7" s="73" ph="1">
        <f>P6*51.53*LOOKUP(P8,密度!$A$2:$A$50,密度!$B$2:$B$50)</f>
        <v>273362.76463799999</v>
      </c>
      <c r="Q7" s="73" ph="1">
        <f>Q6*1.5*1.5*3.1416*LOOKUP(W8,密度!$A$2:$A$50,密度!$L$2:$L$50)</f>
        <v>47977.189444800002</v>
      </c>
      <c r="R7" s="73" ph="1">
        <f>R6*1.5*1.5*3.1416*LOOKUP(R8,密度!$A$2:$A$50,密度!$L$2:$L$50)</f>
        <v>30759.097723200004</v>
      </c>
      <c r="S7" s="73" ph="1">
        <f>S6*1.5*1.5*3.1416*LOOKUP(S8,密度!$A$2:$A$50,密度!$L$2:$L$50)</f>
        <v>36216.240706800003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10993.114994399999</v>
      </c>
      <c r="X7" s="73" ph="1">
        <f>X6*1.5*1.5*3.1416*LOOKUP(X8,密度!$A$2:$A$50,密度!$L$2:$L$50)</f>
        <v>46904.607149399999</v>
      </c>
      <c r="Y7" s="73" ph="1">
        <f>Y6*1.5*1.5*3.1416*LOOKUP(Y8,密度!$A$2:$A$50,密度!$L$2:$L$50)</f>
        <v>41039.1394182</v>
      </c>
      <c r="Z7" s="73" ph="1">
        <f>Z6*33.183*LOOKUP(Z8,密度!$A$2:$A$50,密度!$L$2:$L$50)</f>
        <v>58046.822801999995</v>
      </c>
      <c r="AA7" s="73" ph="1">
        <f>AA6*33.183*LOOKUP(AA8,密度!$A$2:$A$50,密度!$D$2:$D$50)</f>
        <v>79425.242652599991</v>
      </c>
      <c r="AB7" s="73" ph="1">
        <f>AB6*20.428*LOOKUP(AB8,密度!$A$2:$A$50,密度!$D$2:$D$50)</f>
        <v>62402.016268800005</v>
      </c>
      <c r="AC7" s="73" ph="1">
        <f>AC6*51.53*LOOKUP(AC8,密度!$A$2:$A$50,密度!$Q$2:$Q$50)</f>
        <v>124937.50311210001</v>
      </c>
      <c r="AD7" s="73" ph="1">
        <f>AD6*20.428*LOOKUP(AD8,密度!$A$2:$A$50,密度!$V$2:$V$50)</f>
        <v>85378.417440000005</v>
      </c>
      <c r="AE7" s="73" ph="1">
        <f>AE6*20.428</f>
        <v>52275.252</v>
      </c>
    </row>
    <row r="8" spans="1:99" ph="1">
      <c r="B8" s="241" ph="1"/>
      <c r="C8" s="68" t="s" ph="1">
        <v>179</v>
      </c>
      <c r="D8" s="74">
        <v>25</v>
      </c>
      <c r="E8" s="74">
        <v>24</v>
      </c>
      <c r="F8" s="74">
        <v>23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26</v>
      </c>
      <c r="O8" s="74">
        <v>26</v>
      </c>
      <c r="P8" s="74">
        <v>23</v>
      </c>
      <c r="Q8" s="74">
        <v>24</v>
      </c>
      <c r="R8" s="74">
        <v>29</v>
      </c>
      <c r="S8" s="74">
        <v>20</v>
      </c>
      <c r="T8" s="74">
        <v>19</v>
      </c>
      <c r="U8" s="74">
        <v>24</v>
      </c>
      <c r="V8" s="74">
        <v>28</v>
      </c>
      <c r="W8" s="74">
        <v>24</v>
      </c>
      <c r="X8" s="74">
        <v>15</v>
      </c>
      <c r="Y8" s="74">
        <v>23</v>
      </c>
      <c r="Z8" s="74">
        <v>20</v>
      </c>
      <c r="AA8" s="74">
        <v>23</v>
      </c>
      <c r="AB8" s="74">
        <v>16</v>
      </c>
      <c r="AC8" s="74">
        <v>21</v>
      </c>
      <c r="AD8" s="74">
        <v>22</v>
      </c>
      <c r="AE8" s="74">
        <v>24</v>
      </c>
    </row>
    <row r="9" spans="1:99" ht="26.4" ph="1">
      <c r="B9" s="241" ph="1">
        <v>0.66666666666666663</v>
      </c>
      <c r="C9" s="162" t="s" ph="1">
        <v>180</v>
      </c>
      <c r="D9" s="71">
        <v>4213</v>
      </c>
      <c r="E9" s="71">
        <v>2022</v>
      </c>
      <c r="F9" s="71">
        <v>6641</v>
      </c>
      <c r="G9" s="71">
        <v>4147</v>
      </c>
      <c r="H9" s="71">
        <v>1724</v>
      </c>
      <c r="I9" s="71">
        <v>0.05</v>
      </c>
      <c r="J9" s="71">
        <v>7.02</v>
      </c>
      <c r="K9" s="71">
        <v>7.32</v>
      </c>
      <c r="L9" s="71">
        <v>9.82</v>
      </c>
      <c r="M9" s="71">
        <v>1444</v>
      </c>
      <c r="N9" s="71">
        <v>2950</v>
      </c>
      <c r="O9" s="71">
        <v>103</v>
      </c>
      <c r="P9" s="71">
        <v>6784</v>
      </c>
      <c r="Q9" s="71">
        <v>7244</v>
      </c>
      <c r="R9" s="71">
        <v>6825</v>
      </c>
      <c r="S9" s="71">
        <v>5444</v>
      </c>
      <c r="T9" s="71">
        <v>3014</v>
      </c>
      <c r="U9" s="71">
        <v>1432</v>
      </c>
      <c r="V9" s="71">
        <v>0</v>
      </c>
      <c r="W9" s="71">
        <v>0</v>
      </c>
      <c r="X9" s="71">
        <v>4635</v>
      </c>
      <c r="Y9" s="71">
        <v>6190</v>
      </c>
      <c r="Z9" s="71">
        <v>313</v>
      </c>
      <c r="AA9" s="71">
        <v>2329</v>
      </c>
      <c r="AB9" s="71">
        <v>2614</v>
      </c>
      <c r="AC9" s="71">
        <v>2634</v>
      </c>
      <c r="AD9" s="71">
        <v>4350</v>
      </c>
      <c r="AE9" s="71">
        <v>2445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132254.97413337001</v>
      </c>
      <c r="E10" s="73" ph="1">
        <f>E9*51.53*LOOKUP(E11,密度!$A$2:$A$50,密度!$B$2:$B$50)</f>
        <v>81135.603042000002</v>
      </c>
      <c r="F10" s="73" ph="1">
        <f>F9*33.183*LOOKUP(F11,密度!$A$2:$A$50,密度!$C$2:$C$50)</f>
        <v>244520.66900879997</v>
      </c>
      <c r="G10" s="73" ph="1">
        <f xml:space="preserve"> (G9+2)*51.53*LOOKUP(G11,密度!$A$2:$A$50,密度!$B$2:$B$50)</f>
        <v>166484.47923899998</v>
      </c>
      <c r="H10" s="73" ph="1">
        <f>(H9)*51.53*LOOKUP(H11,密度!$A$2:$A$50,密度!$B$2:$B$50)</f>
        <v>69417.794408000002</v>
      </c>
      <c r="I10" s="73" ph="1">
        <f>I9*290.8*1.0267</f>
        <v>14.928217999999999</v>
      </c>
      <c r="J10" s="73" ph="1">
        <f>J9*290.8*0.7892</f>
        <v>1611.0855071999999</v>
      </c>
      <c r="K10" s="73" ph="1">
        <f>K9*290.8*1.1126</f>
        <v>2368.3426656000001</v>
      </c>
      <c r="L10" s="73" ph="1">
        <f>L9*290.8*0.777</f>
        <v>2218.8447120000005</v>
      </c>
      <c r="M10" s="73" ph="1">
        <f>M9*33.183*LOOKUP(M11,密度!$A$2:$A$50,密度!$D$2:$D$50)</f>
        <v>49104.575049599996</v>
      </c>
      <c r="N10" s="73" ph="1">
        <f>N9*33.183*LOOKUP(N11,密度!$A$2:$A$50,密度!$E$2:$E$50)</f>
        <v>76451.972850000006</v>
      </c>
      <c r="O10" s="73" ph="1">
        <f>O9*20.428*LOOKUP(O11,密度!$A$2:$A$50,密度!$C$2:$C$50)</f>
        <v>2323.1191444000006</v>
      </c>
      <c r="P10" s="73" ph="1">
        <f>P9*51.53*LOOKUP(P11,密度!$A$2:$A$50,密度!$B$2:$B$50)</f>
        <v>272217.572224</v>
      </c>
      <c r="Q10" s="73" ph="1">
        <f>Q9*1.5*1.5*3.1416*LOOKUP(W11,密度!$A$2:$A$50,密度!$L$2:$L$50)</f>
        <v>47774.2075272</v>
      </c>
      <c r="R10" s="73" ph="1">
        <f>R9*1.5*1.5*3.1416*LOOKUP(R11,密度!$A$2:$A$50,密度!$L$2:$L$50)</f>
        <v>44962.657740000002</v>
      </c>
      <c r="S10" s="73" ph="1">
        <f>S9*1.5*1.5*3.1416*LOOKUP(S11,密度!$A$2:$A$50,密度!$L$2:$L$50)</f>
        <v>36211.052354399995</v>
      </c>
      <c r="T10" s="73" ph="1">
        <f>T9*1.5*1.5*3.1416*LOOKUP(T11,密度!$A$2:$A$50,密度!$L$2:$L$50)</f>
        <v>20047.779536399998</v>
      </c>
      <c r="U10" s="73" ph="1">
        <f>U9*1.5*1.5*3.1416*LOOKUP(U11,密度!$A$2:$A$50,密度!$L$2:$L$50)</f>
        <v>9494.6566175999978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30960.998144999998</v>
      </c>
      <c r="Y10" s="73" ph="1">
        <f>Y9*1.5*1.5*3.1416*LOOKUP(Y11,密度!$A$2:$A$50,密度!$L$2:$L$50)</f>
        <v>41041.846691999999</v>
      </c>
      <c r="Z10" s="73" ph="1">
        <f>Z9*33.183*LOOKUP(Z11,密度!$A$2:$A$50,密度!$L$2:$L$50)</f>
        <v>9773.4885389999999</v>
      </c>
      <c r="AA10" s="73" ph="1">
        <f>AA9*33.183*LOOKUP(AA11,密度!$A$2:$A$50,密度!$D$2:$D$50)</f>
        <v>79277.113740600005</v>
      </c>
      <c r="AB10" s="73" ph="1">
        <f>AB9*20.428*LOOKUP(AB11,密度!$A$2:$A$50,密度!$D$2:$D$50)</f>
        <v>55166.292015199993</v>
      </c>
      <c r="AC10" s="73" ph="1">
        <f>AC9*51.53*LOOKUP(AC11,密度!$A$2:$A$50,密度!$Q$2:$Q$50)</f>
        <v>128600.1220494</v>
      </c>
      <c r="AD10" s="73" ph="1">
        <f>AD9*20.428*LOOKUP(AD11,密度!$A$2:$A$50,密度!$V$2:$V$50)</f>
        <v>85378.417440000005</v>
      </c>
      <c r="AE10" s="73" ph="1">
        <f>AE9*20.428</f>
        <v>49946.46</v>
      </c>
    </row>
    <row r="11" spans="1:99" ph="1">
      <c r="A11" s="64" t="s" ph="1">
        <v>162</v>
      </c>
      <c r="B11" s="241" ph="1"/>
      <c r="C11" s="162" t="s" ph="1">
        <v>179</v>
      </c>
      <c r="D11" s="74">
        <v>26</v>
      </c>
      <c r="E11" s="74">
        <v>26</v>
      </c>
      <c r="F11" s="74">
        <v>24</v>
      </c>
      <c r="G11" s="74">
        <v>26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27</v>
      </c>
      <c r="O11" s="74">
        <v>31</v>
      </c>
      <c r="P11" s="74">
        <v>26</v>
      </c>
      <c r="Q11" s="74">
        <v>26</v>
      </c>
      <c r="R11" s="74">
        <v>30</v>
      </c>
      <c r="S11" s="74">
        <v>21</v>
      </c>
      <c r="T11" s="74">
        <v>21</v>
      </c>
      <c r="U11" s="74">
        <v>24</v>
      </c>
      <c r="V11" s="74">
        <v>28</v>
      </c>
      <c r="W11" s="74">
        <v>29</v>
      </c>
      <c r="X11" s="74">
        <v>17</v>
      </c>
      <c r="Y11" s="74">
        <v>24</v>
      </c>
      <c r="Z11" s="74">
        <v>21</v>
      </c>
      <c r="AA11" s="74">
        <v>26</v>
      </c>
      <c r="AB11" s="74">
        <v>18</v>
      </c>
      <c r="AC11" s="74">
        <v>24</v>
      </c>
      <c r="AD11" s="74">
        <v>25</v>
      </c>
      <c r="AE11" s="74">
        <v>27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1660</v>
      </c>
      <c r="E15" s="78">
        <v>67</v>
      </c>
      <c r="F15" s="78">
        <v>4714</v>
      </c>
      <c r="G15" s="78">
        <v>2882</v>
      </c>
      <c r="H15" s="78">
        <v>1958</v>
      </c>
      <c r="I15" s="78">
        <v>2660</v>
      </c>
      <c r="J15" s="78">
        <v>170</v>
      </c>
      <c r="K15" s="78">
        <v>3567</v>
      </c>
      <c r="L15" s="78">
        <v>3981</v>
      </c>
      <c r="M15" s="78">
        <v>6032</v>
      </c>
      <c r="N15" s="78">
        <v>3028</v>
      </c>
      <c r="O15" s="78">
        <v>3683</v>
      </c>
      <c r="P15" s="78">
        <v>6929</v>
      </c>
      <c r="Q15" s="78">
        <v>6938</v>
      </c>
      <c r="R15" s="78">
        <v>2465</v>
      </c>
      <c r="S15" s="78">
        <v>6188</v>
      </c>
      <c r="T15" s="78">
        <v>6583</v>
      </c>
      <c r="U15" s="78">
        <v>2252</v>
      </c>
      <c r="V15" s="78">
        <v>4959</v>
      </c>
      <c r="W15" s="71">
        <v>5064</v>
      </c>
      <c r="X15" s="78">
        <v>856</v>
      </c>
      <c r="Y15" s="106">
        <v>-9905</v>
      </c>
      <c r="Z15" s="78">
        <v>0</v>
      </c>
      <c r="AA15" s="78">
        <v>10</v>
      </c>
      <c r="AB15" s="78" ph="1">
        <v>1094</v>
      </c>
      <c r="AC15" s="78" ph="1">
        <v>2142</v>
      </c>
      <c r="AD15" s="78">
        <v>23.88</v>
      </c>
      <c r="AE15" s="78">
        <v>84.67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11029.843439999999</v>
      </c>
      <c r="E16" s="73" ph="1">
        <f>E15*7.0686*LOOKUP(E17,密度!$A$2:$A$50,密度!$L$2:$L$50)</f>
        <v>444.70683179999997</v>
      </c>
      <c r="F16" s="73" ph="1">
        <f>F15*9.0746*LOOKUP(F17,密度!$A$2:$A$50,密度!$L$2:$L$50)</f>
        <v>40039.893878400006</v>
      </c>
      <c r="G16" s="73" ph="1">
        <f>G15*9.0746*LOOKUP(G17,密度!$A$2:$A$50,密度!$B$2:$B$50)</f>
        <v>20412.414314599999</v>
      </c>
      <c r="H16" s="73" ph="1">
        <f>H15*9.0746*LOOKUP(H17,密度!$A$2:$A$50,密度!$L$2:$L$50)</f>
        <v>16737.518925600001</v>
      </c>
      <c r="I16" s="73" ph="1">
        <f>I15*9.0746*LOOKUP(I17,密度!$A$2:$A$50,密度!$U$2:$U$50)</f>
        <v>24790.173771999998</v>
      </c>
      <c r="J16" s="73" ph="1">
        <f>J15*9.0746*LOOKUP(J17,密度!$A$2:$A$50,密度!$L$2:$L$50)</f>
        <v>1447.0357159999999</v>
      </c>
      <c r="K16" s="73" ph="1">
        <f>K15*9.0746*LOOKUP(K17,密度!$A$2:$A$50,密度!$C$2:$C$50)</f>
        <v>35942.64664128</v>
      </c>
      <c r="L16" s="73" ph="1">
        <f>L15*9.0746*LOOKUP(L17,密度!$A$2:$A$50,密度!$E$2:$E$50)</f>
        <v>28423.923109680003</v>
      </c>
      <c r="M16" s="73" ph="1">
        <f>M15*9.0746*LOOKUP(M17,密度!$A$2:$A$50,密度!$M$2:$M$50)</f>
        <v>47901.212598720005</v>
      </c>
      <c r="N16" s="73" ph="1">
        <f>N15*9.0746*LOOKUP(N17,密度!$A$2:$A$50,密度!$M$2:$M$50)</f>
        <v>24155.812044080001</v>
      </c>
      <c r="O16" s="73" ph="1">
        <f>O15*9.0746*LOOKUP(O17,密度!$A$2:$A$50,密度!$G$2:$G$50)</f>
        <v>32091.56607836</v>
      </c>
      <c r="P16" s="73" ph="1">
        <f ca="1">P15*9.0746*LOOKUP(P17,密度!$A$2:$A$51,密度!$Q$2:$Q$50)</f>
        <v>59620.828003880008</v>
      </c>
      <c r="Q16" s="73" ph="1">
        <f>Q15*9.0746*LOOKUP(Q17,密度!$A$2:$A$50,密度!$Q$2:$Q$50)</f>
        <v>59754.302846931998</v>
      </c>
      <c r="R16" s="73" ph="1">
        <f>MAX(R15*9.0746*LOOKUP(R17,密度!$A$2:$A$50,密度!$B$2:$B$50),0)</f>
        <v>17438.785864399997</v>
      </c>
      <c r="S16" s="73" ph="1">
        <f>S15*9.0746*LOOKUP(S17,密度!$A$2:$A$50,密度!$Q$2:$Q$50)</f>
        <v>53294.843761431999</v>
      </c>
      <c r="T16" s="73" ph="1">
        <f>T15*9.0746*LOOKUP(T17,密度!$A$2:$A$50,密度!$O$2:$O$50)</f>
        <v>55556.425374000006</v>
      </c>
      <c r="U16" s="73" ph="1">
        <f>U15*9.0746*LOOKUP(U17,密度!$A$2:$A$50,密度!$H$2:$H$50)</f>
        <v>18776.596064960002</v>
      </c>
      <c r="V16" s="73" ph="1">
        <f>MAX(5600*LOOKUP(V17,密度!$A$2:$A$50,密度!$Q$2:$Q$50)+V15*9.0476*LOOKUP(V17,密度!$A$2:$A$50,密度!$Q$2:$Q$50),0)</f>
        <v>47707.510193487993</v>
      </c>
      <c r="W16" s="73" ph="1">
        <f>MAX(5600*LOOKUP(W17,密度!$A$2:$A$50,密度!$Q$2:$Q$50)+W15*9.0476*LOOKUP(W17,密度!$A$2:$A$50,密度!$Q$2:$Q$50),0)</f>
        <v>48605.562302848004</v>
      </c>
      <c r="X16" s="73" ph="1">
        <f>MAX(5600*LOOKUP(X17,密度!$A$2:$A$50,密度!$I$2:$I$50)+X15*9.0476*LOOKUP(X17,密度!$A$2:$A$50,密度!$I$2:$I$50),0)</f>
        <v>13909.228338879999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70.990595800000008</v>
      </c>
      <c r="AB16" s="73" ph="1">
        <f>AB15*9.0746*LOOKUP(AB17,密度!$A$2:$A$50,密度!$L$2:$L$50)</f>
        <v>9322.0280435999994</v>
      </c>
      <c r="AC16" s="73" ph="1">
        <f>AC15*9.0746*LOOKUP(AC17,密度!$A$2:$A$50,密度!$L$2:$L$50)</f>
        <v>18271.525608</v>
      </c>
      <c r="AD16" s="73" ph="1">
        <f>AD15*268.68*LOOKUP(AD17,密度!$A$2:$A$50,密度!B2:B50)+IF(AD15&lt;=0,0,1566*LOOKUP(AD17,密度!$A$2:$A$50,密度!B2:B50))</f>
        <v>6222.8283206399992</v>
      </c>
      <c r="AE16" s="73" ph="1">
        <f>AE15*268.68*LOOKUP(AE17,密度!$A$2:$A$50,密度!B2:B50)+IF(AE15&lt;=0,0,1566*LOOKUP(AE17,密度!$A$2:$A$50,密度!B2:B50))</f>
        <v>18956.079713759998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22</v>
      </c>
      <c r="E17" s="74">
        <v>23</v>
      </c>
      <c r="F17" s="74">
        <v>26</v>
      </c>
      <c r="G17" s="74">
        <v>24</v>
      </c>
      <c r="H17" s="74">
        <v>20</v>
      </c>
      <c r="I17" s="74">
        <v>23</v>
      </c>
      <c r="J17" s="74">
        <v>24</v>
      </c>
      <c r="K17" s="74">
        <v>23</v>
      </c>
      <c r="L17" s="74">
        <v>22</v>
      </c>
      <c r="M17" s="74">
        <v>25</v>
      </c>
      <c r="N17" s="74">
        <v>21</v>
      </c>
      <c r="O17" s="74">
        <v>25</v>
      </c>
      <c r="P17" s="74">
        <v>23</v>
      </c>
      <c r="Q17" s="74">
        <v>22</v>
      </c>
      <c r="R17" s="74">
        <v>25</v>
      </c>
      <c r="S17" s="74">
        <v>22</v>
      </c>
      <c r="T17" s="74">
        <v>23</v>
      </c>
      <c r="U17" s="74">
        <v>21</v>
      </c>
      <c r="V17" s="74">
        <v>27</v>
      </c>
      <c r="W17" s="74">
        <v>27</v>
      </c>
      <c r="X17" s="74">
        <v>25</v>
      </c>
      <c r="Y17" s="108">
        <v>25</v>
      </c>
      <c r="Z17" s="74">
        <v>23</v>
      </c>
      <c r="AA17" s="74">
        <v>22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</v>
      </c>
      <c r="E18" s="71">
        <v>67</v>
      </c>
      <c r="F18" s="71">
        <v>4811</v>
      </c>
      <c r="G18" s="71">
        <v>2940</v>
      </c>
      <c r="H18" s="71">
        <v>1958</v>
      </c>
      <c r="I18" s="71">
        <v>2340</v>
      </c>
      <c r="J18" s="71">
        <v>170</v>
      </c>
      <c r="K18" s="71">
        <v>3568</v>
      </c>
      <c r="L18" s="71">
        <v>3987</v>
      </c>
      <c r="M18" s="71">
        <v>3690</v>
      </c>
      <c r="N18" s="71">
        <v>5184</v>
      </c>
      <c r="O18" s="71">
        <v>3946</v>
      </c>
      <c r="P18" s="71">
        <v>6938</v>
      </c>
      <c r="Q18" s="71">
        <v>5138</v>
      </c>
      <c r="R18" s="71">
        <v>4965</v>
      </c>
      <c r="S18" s="71">
        <v>6194</v>
      </c>
      <c r="T18" s="71">
        <v>5772</v>
      </c>
      <c r="U18" s="71">
        <v>2253</v>
      </c>
      <c r="V18" s="71">
        <v>4959</v>
      </c>
      <c r="W18" s="71">
        <v>5063</v>
      </c>
      <c r="X18" s="71">
        <v>855</v>
      </c>
      <c r="Y18" s="109">
        <v>-9905</v>
      </c>
      <c r="Z18" s="71">
        <v>0</v>
      </c>
      <c r="AA18" s="71">
        <v>8</v>
      </c>
      <c r="AB18" s="71">
        <v>1093</v>
      </c>
      <c r="AC18" s="71">
        <v>2145</v>
      </c>
      <c r="AD18" s="71">
        <v>55.86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6.6162096000000004</v>
      </c>
      <c r="E19" s="73" ph="1">
        <f>E18*7.0686*LOOKUP(E20,密度!$A$2:$A$50,密度!$L$2:$L$50)</f>
        <v>443.28604320000005</v>
      </c>
      <c r="F19" s="73" ph="1">
        <f>F18*9.0746*LOOKUP(F20,密度!$A$2:$A$50,密度!$L$2:$L$50)</f>
        <v>40732.821259800003</v>
      </c>
      <c r="G19" s="73" ph="1">
        <f>G18*9.0746*LOOKUP(G20,密度!$A$2:$A$50,密度!$B$2:$B$50)</f>
        <v>20775.1895988</v>
      </c>
      <c r="H19" s="73" ph="1">
        <f>H18*9.0746*LOOKUP(H20,密度!$A$2:$A$50,密度!$L$2:$L$50)</f>
        <v>16719.750858799998</v>
      </c>
      <c r="I19" s="73" ph="1">
        <f>I18*9.0746*LOOKUP(I20,密度!$A$2:$A$50,密度!$U$2:$U$50)</f>
        <v>21722.958972</v>
      </c>
      <c r="J19" s="73" ph="1">
        <f>J18*9.0746*LOOKUP(J20,密度!$A$2:$A$50,密度!$L$2:$L$50)</f>
        <v>1442.4076700000001</v>
      </c>
      <c r="K19" s="73" ph="1">
        <f>K18*9.0746*LOOKUP(K20,密度!$A$2:$A$50,密度!$C$2:$C$50)</f>
        <v>35878.253279680001</v>
      </c>
      <c r="L19" s="73" ph="1">
        <f>L18*9.0746*LOOKUP(L20,密度!$A$2:$A$50,密度!$E$2:$E$50)</f>
        <v>28336.512932640002</v>
      </c>
      <c r="M19" s="73" ph="1">
        <f>M18*9.0746*LOOKUP(M20,密度!$A$2:$A$50,密度!$M$2:$M$50)</f>
        <v>29235.992729399997</v>
      </c>
      <c r="N19" s="73" ph="1">
        <f>N18*9.0746*LOOKUP(N20,密度!$A$2:$A$50,密度!$M$2:$M$50)</f>
        <v>41167.089872639997</v>
      </c>
      <c r="O19" s="73" ph="1">
        <f>O18*9.0746*LOOKUP(O20,密度!$A$2:$A$50,密度!$G$2:$G$50)</f>
        <v>34304.419992799994</v>
      </c>
      <c r="P19" s="73" ph="1">
        <f ca="1">P18*9.0746*LOOKUP(P20,密度!$A$2:$A$51,密度!$Q$2:$Q$50)</f>
        <v>59561.646548044002</v>
      </c>
      <c r="Q19" s="73" ph="1">
        <f>Q18*9.0746*LOOKUP(Q20,密度!$A$2:$A$50,密度!$Q$2:$Q$50)</f>
        <v>44108.927639644004</v>
      </c>
      <c r="R19" s="73" ph="1">
        <f>MAX(R18*9.0746*LOOKUP(R20,密度!$A$2:$A$50,密度!$B$2:$B$50),0)</f>
        <v>35048.587103100006</v>
      </c>
      <c r="S19" s="73" ph="1">
        <f>S18*9.0746*LOOKUP(S20,密度!$A$2:$A$50,密度!$Q$2:$Q$50)</f>
        <v>53214.430463976008</v>
      </c>
      <c r="T19" s="73" ph="1">
        <f>T18*9.0746*LOOKUP(T20,密度!$A$2:$A$50,密度!$O$2:$O$50)</f>
        <v>48502.575451200006</v>
      </c>
      <c r="U19" s="73" ph="1">
        <f>U18*9.0746*LOOKUP(U20,密度!$A$2:$A$50,密度!$H$2:$H$50)</f>
        <v>18741.999152460001</v>
      </c>
      <c r="V19" s="73" ph="1">
        <f>MAX(5600*LOOKUP(V20,密度!$A$2:$A$50,密度!$Q$2:$Q$50)+V18*9.0476*LOOKUP(V20,密度!$A$2:$A$50,密度!$Q$2:$Q$50),0)</f>
        <v>47637.360996211995</v>
      </c>
      <c r="W19" s="73" ph="1">
        <f>MAX(5600*LOOKUP(W20,密度!$A$2:$A$50,密度!$Q$2:$Q$50)+W18*9.0476*LOOKUP(W20,密度!$A$2:$A$50,密度!$Q$2:$Q$50),0)</f>
        <v>48494.707508003994</v>
      </c>
      <c r="X19" s="73" ph="1">
        <f>MAX(5600*LOOKUP(X20,密度!$A$2:$A$50,密度!$I$2:$I$50)+X18*9.0476*LOOKUP(X20,密度!$A$2:$A$50,密度!$I$2:$I$50),0)</f>
        <v>13854.456652199999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56.596465279999997</v>
      </c>
      <c r="AB19" s="73" ph="1">
        <f>AB18*9.0746*LOOKUP(AB20,密度!$A$2:$A$50,密度!$L$2:$L$50)</f>
        <v>9263.9143051999999</v>
      </c>
      <c r="AC19" s="73" ph="1">
        <f>AC18*9.0746*LOOKUP(AC20,密度!$A$2:$A$50,密度!$L$2:$L$50)</f>
        <v>18258.185945999998</v>
      </c>
      <c r="AD19" s="73" ph="1">
        <f>AD18*268.68*LOOKUP(AD20,密度!$A$2:$A$50,密度!B5:B53)+IF(AD18&lt;=0,0,1566*LOOKUP(AD20,密度!$A$2:$A$50,密度!B5:B53))</f>
        <v>12878.359149599999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29</v>
      </c>
      <c r="G20" s="81">
        <v>26</v>
      </c>
      <c r="H20" s="81">
        <v>21</v>
      </c>
      <c r="I20" s="81">
        <v>27</v>
      </c>
      <c r="J20" s="81">
        <v>27</v>
      </c>
      <c r="K20" s="81">
        <v>26</v>
      </c>
      <c r="L20" s="81">
        <v>25</v>
      </c>
      <c r="M20" s="81">
        <v>27</v>
      </c>
      <c r="N20" s="81">
        <v>25</v>
      </c>
      <c r="O20" s="81">
        <v>27</v>
      </c>
      <c r="P20" s="81">
        <v>26</v>
      </c>
      <c r="Q20" s="81">
        <v>26</v>
      </c>
      <c r="R20" s="81">
        <v>27</v>
      </c>
      <c r="S20" s="81">
        <v>25</v>
      </c>
      <c r="T20" s="81">
        <v>27</v>
      </c>
      <c r="U20" s="81">
        <v>23</v>
      </c>
      <c r="V20" s="81">
        <v>29</v>
      </c>
      <c r="W20" s="81">
        <v>30</v>
      </c>
      <c r="X20" s="81">
        <v>28</v>
      </c>
      <c r="Y20" s="110">
        <v>28</v>
      </c>
      <c r="Z20" s="81">
        <v>29</v>
      </c>
      <c r="AA20" s="81">
        <v>25</v>
      </c>
      <c r="AB20" s="81">
        <v>28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644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78.58</v>
      </c>
      <c r="E24" s="71">
        <v>46.01</v>
      </c>
      <c r="F24" s="71">
        <v>1553</v>
      </c>
      <c r="G24" s="71">
        <v>1854</v>
      </c>
      <c r="H24" s="71">
        <v>1122</v>
      </c>
      <c r="I24" s="71">
        <v>4680</v>
      </c>
      <c r="J24" s="71">
        <v>4836</v>
      </c>
      <c r="K24" s="71">
        <v>3836</v>
      </c>
      <c r="L24" s="71">
        <v>5581</v>
      </c>
      <c r="M24" s="71">
        <v>5106</v>
      </c>
      <c r="N24" s="71">
        <v>5505</v>
      </c>
      <c r="O24" s="71">
        <v>5580</v>
      </c>
      <c r="P24" s="71">
        <v>382</v>
      </c>
      <c r="Q24" s="90">
        <v>2433</v>
      </c>
      <c r="R24" s="71">
        <v>218</v>
      </c>
      <c r="S24" s="71">
        <v>2210</v>
      </c>
      <c r="T24" s="71">
        <v>280</v>
      </c>
      <c r="U24" s="71">
        <v>4700</v>
      </c>
      <c r="V24" s="71">
        <v>9833</v>
      </c>
      <c r="W24" s="71">
        <v>8614</v>
      </c>
      <c r="X24" s="71">
        <v>2496</v>
      </c>
      <c r="Y24" s="71">
        <v>3184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21470.997549456002</v>
      </c>
      <c r="E25" s="91" ph="1">
        <f>E24*268.68*LOOKUP(E26,密度!$A$2:$A$50,密度!$C$2:$C$50)+IF(E24&lt;=0,0,1566*LOOKUP(E26,密度!$A$2:$A$50,密度!$C$2:$C$50))</f>
        <v>15444.722384519999</v>
      </c>
      <c r="F25" s="91" ph="1">
        <f>F24*11.702*LOOKUP(F26,密度!$A$2:$A$50,密度!$Q$2:$Q$50)</f>
        <v>17231.833929199998</v>
      </c>
      <c r="G25" s="91" ph="1">
        <f>G24*18.322*LOOKUP(G26,密度!$A$2:$A$50,密度!$B$2:$B$50)</f>
        <v>26543.367223199999</v>
      </c>
      <c r="H25" s="91" ph="1">
        <f>H24*18.322*LOOKUP(H26,密度!$A$2:$A$50,密度!$B$2:$B$50)</f>
        <v>16081.963273199999</v>
      </c>
      <c r="I25" s="91" ph="1">
        <f>I24*18.322*LOOKUP(I26,密度!$A$2:$A$50,密度!$Q$2:$Q$50)</f>
        <v>81242.672191199992</v>
      </c>
      <c r="J25" s="91" ph="1">
        <f>J24*18.322*LOOKUP(J26,密度!$A$2:$A$50,密度!$Q$2:$Q$50)</f>
        <v>83950.761264240005</v>
      </c>
      <c r="K25" s="91" ph="1">
        <f>K24*18.322*LOOKUP(K26,密度!$A$2:$A$50,密度!$Q$2:$Q$50)</f>
        <v>66642.522654400003</v>
      </c>
      <c r="L25" s="91" ph="1">
        <f>L24*18.322*LOOKUP(L26,密度!$A$2:$A$50,密度!$Q$2:$Q$50)</f>
        <v>96958.268752400007</v>
      </c>
      <c r="M25" s="91" ph="1">
        <f>M24*18.322*LOOKUP(M26,密度!$A$2:$A$50,密度!$Q$2:$Q$50)</f>
        <v>88706.131562399998</v>
      </c>
      <c r="N25" s="91" ph="1">
        <f>N24*18.322*LOOKUP(N26,密度!$A$2:$A$50,密度!$Q$2:$Q$50)</f>
        <v>95637.926802000002</v>
      </c>
      <c r="O25" s="91" ph="1">
        <f>O24*18.322*LOOKUP(O26,密度!$A$2:$A$50,密度!$C$2:$C$50)</f>
        <v>113595.26403599999</v>
      </c>
      <c r="P25" s="91" ph="1">
        <f>P24*11.702*LOOKUP(P26,密度!$A$2:$A$50,密度!$B$2:$B$50)</f>
        <v>3488.9630019999995</v>
      </c>
      <c r="Q25" s="92" ph="1">
        <f>Q24*18.322*LOOKUP(Q26,密度!$A$2:$A$50,密度!$B$2:$B$50)</f>
        <v>34872.920359800002</v>
      </c>
      <c r="R25" s="91" ph="1">
        <f>R24*35.891*LOOKUP(R26,密度!$A$2:$A$50,密度!$C$2:$C$50)</f>
        <v>8681.7744847999984</v>
      </c>
      <c r="S25" s="91" ph="1">
        <f>S24*35.891*LOOKUP(S26,密度!$A$2:$A$50,密度!$B$2:$B$50)</f>
        <v>61908.565354999999</v>
      </c>
      <c r="T25" s="91" ph="1">
        <f>T24*35.891*LOOKUP(T26,密度!$A$2:$A$50,密度!$Q$2:$Q$50)</f>
        <v>9528.9169359999996</v>
      </c>
      <c r="U25" s="91" ph="1">
        <f>U24*35.891</f>
        <v>168687.69999999998</v>
      </c>
      <c r="V25" s="91" ph="1">
        <f>V24*47.051*LOOKUP(V26,密度!$A$2:$A$50,密度!$B$2:$B$50)</f>
        <v>361516.65021619998</v>
      </c>
      <c r="W25" s="91" ph="1">
        <f>W24*47.051*LOOKUP(W26,密度!$A$2:$A$50,密度!$B$2:$B$50)</f>
        <v>316699.32115959999</v>
      </c>
      <c r="X25" s="91" ph="1">
        <f>X24*47.051*LOOKUP(X26,密度!$A$2:$A$50,密度!$I$2:$I$50)</f>
        <v>122571.39323520001</v>
      </c>
      <c r="Y25" s="91" ph="1">
        <f>Y24*47.051*LOOKUP(Y26,密度!$A$2:$A$50,密度!$L$2:$L$50)</f>
        <v>140821.76096000001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22</v>
      </c>
      <c r="I26" s="74">
        <v>24</v>
      </c>
      <c r="J26" s="74">
        <v>24</v>
      </c>
      <c r="K26" s="74">
        <v>23</v>
      </c>
      <c r="L26" s="74">
        <v>23</v>
      </c>
      <c r="M26" s="74">
        <v>23</v>
      </c>
      <c r="N26" s="74">
        <v>23</v>
      </c>
      <c r="O26" s="74">
        <v>22</v>
      </c>
      <c r="P26" s="74">
        <v>24</v>
      </c>
      <c r="Q26" s="93">
        <v>22</v>
      </c>
      <c r="R26" s="74">
        <v>24</v>
      </c>
      <c r="S26" s="74">
        <v>24</v>
      </c>
      <c r="T26" s="74">
        <v>23</v>
      </c>
      <c r="U26" s="74">
        <v>22</v>
      </c>
      <c r="V26" s="74">
        <v>23</v>
      </c>
      <c r="W26" s="74">
        <v>23</v>
      </c>
      <c r="X26" s="74">
        <v>24</v>
      </c>
      <c r="Y26" s="74">
        <v>22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78.72</v>
      </c>
      <c r="E27" s="71">
        <v>46.03</v>
      </c>
      <c r="F27" s="71">
        <v>1553</v>
      </c>
      <c r="G27" s="71">
        <v>1354</v>
      </c>
      <c r="H27" s="71">
        <v>9</v>
      </c>
      <c r="I27" s="71">
        <v>3794</v>
      </c>
      <c r="J27" s="71">
        <v>4838</v>
      </c>
      <c r="K27" s="71">
        <v>3837</v>
      </c>
      <c r="L27" s="71">
        <v>5580</v>
      </c>
      <c r="M27" s="71">
        <v>5107</v>
      </c>
      <c r="N27" s="71">
        <v>5505</v>
      </c>
      <c r="O27" s="71">
        <v>5580</v>
      </c>
      <c r="P27" s="71">
        <v>379</v>
      </c>
      <c r="Q27" s="90">
        <v>2744</v>
      </c>
      <c r="R27" s="71">
        <v>217</v>
      </c>
      <c r="S27" s="71">
        <v>1908</v>
      </c>
      <c r="T27" s="71">
        <v>278</v>
      </c>
      <c r="U27" s="71">
        <v>4533</v>
      </c>
      <c r="V27" s="71">
        <v>10313</v>
      </c>
      <c r="W27" s="71">
        <v>8613</v>
      </c>
      <c r="X27" s="71">
        <v>3095</v>
      </c>
      <c r="Y27" s="71">
        <v>3790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21506.609363904005</v>
      </c>
      <c r="E28" s="91" ph="1">
        <f>E27*268.68*LOOKUP(E29,密度!$A$2:$A$50,密度!$C$2:$C$50)+IF(E27&lt;=0,0,1566*LOOKUP(E29,密度!$A$2:$A$50,密度!$C$2:$C$50))</f>
        <v>15450.681169560001</v>
      </c>
      <c r="F28" s="91" ph="1">
        <f>F27*11.702*LOOKUP(F29,密度!$A$2:$A$50,密度!$Q$2:$Q$50)</f>
        <v>17231.833929199998</v>
      </c>
      <c r="G28" s="91" ph="1">
        <f>G27*18.322*LOOKUP(G29,密度!$A$2:$A$50,密度!$B$2:$B$50)</f>
        <v>19362.634633999998</v>
      </c>
      <c r="H28" s="91" ph="1">
        <f>H27*18.322*LOOKUP(H29,密度!$A$2:$A$50,密度!$B$2:$B$50)</f>
        <v>128.8512972</v>
      </c>
      <c r="I28" s="91" ph="1">
        <f>I27*18.322*LOOKUP(I29,密度!$A$2:$A$50,密度!$Q$2:$Q$50)</f>
        <v>65912.859997599997</v>
      </c>
      <c r="J28" s="91" ph="1">
        <f>J27*18.322*LOOKUP(J29,密度!$A$2:$A$50,密度!$Q$2:$Q$50)</f>
        <v>83920.77181464</v>
      </c>
      <c r="K28" s="91" ph="1">
        <f>K27*18.322*LOOKUP(K29,密度!$A$2:$A$50,密度!$Q$2:$Q$50)</f>
        <v>66557.255364359997</v>
      </c>
      <c r="L28" s="91" ph="1">
        <f>L27*18.322*LOOKUP(L29,密度!$A$2:$A$50,密度!$Q$2:$Q$50)</f>
        <v>96866.2629972</v>
      </c>
      <c r="M28" s="91" ph="1">
        <f>M27*18.322*LOOKUP(M29,密度!$A$2:$A$50,密度!$Q$2:$Q$50)</f>
        <v>88723.504482799995</v>
      </c>
      <c r="N28" s="91" ph="1">
        <f>N27*18.322*LOOKUP(N29,密度!$A$2:$A$50,密度!$Q$2:$Q$50)</f>
        <v>95727.694524899998</v>
      </c>
      <c r="O28" s="91" ph="1">
        <f>O27*18.322*LOOKUP(O29,密度!$A$2:$A$50,密度!$C$2:$C$50)</f>
        <v>113595.26403599999</v>
      </c>
      <c r="P28" s="91" ph="1">
        <f>P27*11.702*LOOKUP(P29,密度!$A$2:$A$50,密度!$B$2:$B$50)</f>
        <v>3461.5627689999997</v>
      </c>
      <c r="Q28" s="92" ph="1">
        <f>Q27*18.322*LOOKUP(Q29,密度!$A$2:$A$50,密度!$B$2:$B$50)</f>
        <v>39194.832812799999</v>
      </c>
      <c r="R28" s="91" ph="1">
        <f>R27*35.891*LOOKUP(R29,密度!$A$2:$A$50,密度!$C$2:$C$50)</f>
        <v>8641.9498311999996</v>
      </c>
      <c r="S28" s="91" ph="1">
        <f>S27*35.891*LOOKUP(S29,密度!$A$2:$A$50,密度!$B$2:$B$50)</f>
        <v>53448.661853999991</v>
      </c>
      <c r="T28" s="91" ph="1">
        <f>T27*35.891*LOOKUP(T29,密度!$A$2:$A$50,密度!$Q$2:$Q$50)</f>
        <v>9446.285804520001</v>
      </c>
      <c r="U28" s="91" ph="1">
        <f>U27*35.891</f>
        <v>162693.90299999999</v>
      </c>
      <c r="V28" s="91" ph="1">
        <f>V27*47.051*LOOKUP(V29,密度!$A$2:$A$50,密度!$B$2:$B$50)</f>
        <v>379164.16288820002</v>
      </c>
      <c r="W28" s="91" ph="1">
        <f>W27*47.051*LOOKUP(W29,密度!$A$2:$A$50,密度!$B$2:$B$50)</f>
        <v>316297.83027149999</v>
      </c>
      <c r="X28" s="91" ph="1">
        <f>X27*47.051*LOOKUP(X29,密度!$A$2:$A$50,密度!$I$2:$I$50)</f>
        <v>151782.69134349999</v>
      </c>
      <c r="Y28" s="91" ph="1">
        <f>Y27*47.051*LOOKUP(Y29,密度!$A$2:$A$50,密度!$L$2:$L$50)</f>
        <v>167088.92273000002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23</v>
      </c>
      <c r="G29" s="74">
        <v>24</v>
      </c>
      <c r="H29" s="74">
        <v>23</v>
      </c>
      <c r="I29" s="74">
        <v>23</v>
      </c>
      <c r="J29" s="74">
        <v>25</v>
      </c>
      <c r="K29" s="74">
        <v>25</v>
      </c>
      <c r="L29" s="74">
        <v>24</v>
      </c>
      <c r="M29" s="74">
        <v>23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134443.40575579999</v>
      </c>
      <c r="E33" s="190" ph="1">
        <f>M10+I10</f>
        <v>49119.503267599997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6" ph="1">
        <v>0</v>
      </c>
      <c r="H33" s="190" ph="1">
        <f>N19</f>
        <v>41167.089872639997</v>
      </c>
      <c r="I33" s="194" ph="1">
        <v>0</v>
      </c>
      <c r="J33" s="198" ph="1">
        <f>F10+O28</f>
        <v>358115.93304479995</v>
      </c>
      <c r="K33" s="190" ph="1">
        <f>O10+K10+E28+R28</f>
        <v>28784.092810760001</v>
      </c>
      <c r="L33" s="200" ph="1">
        <f>BE27</f>
        <v>7100</v>
      </c>
      <c r="M33" s="198" ph="1">
        <f>G10+H10+W28+S28+V28+E10</f>
        <v>1065948.5317027001</v>
      </c>
      <c r="N33" s="190" ph="1">
        <f>L10+P10++G28+H28</f>
        <v>293927.90286720003</v>
      </c>
      <c r="O33" s="194" ph="1">
        <f>BE17</f>
        <v>2270</v>
      </c>
      <c r="P33" s="198" ph="1">
        <f>L19</f>
        <v>28336.512932640002</v>
      </c>
      <c r="Q33" s="190" ph="1">
        <f>J10+N10</f>
        <v>78063.058357200003</v>
      </c>
      <c r="R33" s="194" ph="1">
        <f>BE23</f>
        <v>890</v>
      </c>
      <c r="S33" s="198" ph="1">
        <f>E10+X28</f>
        <v>232918.29438549999</v>
      </c>
      <c r="T33" s="190" ph="1">
        <f>X19</f>
        <v>13854.456652199999</v>
      </c>
      <c r="U33" s="179" ph="1">
        <f>BE21</f>
        <v>730</v>
      </c>
      <c r="V33" s="192" ph="1">
        <f ca="1">P19+Q19+S19+M28+N28+J28</f>
        <v>425256.97547400405</v>
      </c>
      <c r="W33" s="192" ph="1">
        <f>D28+F28+V19+T28</f>
        <v>95822.090093835999</v>
      </c>
      <c r="X33" s="194" ph="1">
        <f>BE29+BE31</f>
        <v>10200</v>
      </c>
      <c r="Y33" s="196" ph="1">
        <f>+Q10+R10+S10+T10+U10+V10+W10+X10+Y10</f>
        <v>230493.19861259998</v>
      </c>
      <c r="Z33" s="177" ph="1">
        <f>D10+T19+U19+Y28+Z10</f>
        <v>376361.96000602999</v>
      </c>
      <c r="AA33" s="179" ph="1">
        <f>BE19</f>
        <v>1440</v>
      </c>
      <c r="AB33" s="181" ph="1">
        <f>I19</f>
        <v>21722.958972</v>
      </c>
      <c r="AC33" s="183" ph="1">
        <f>AD10</f>
        <v>85378.417440000005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767" priority="98">
      <formula>ABS(D$7-D$10)&gt;=1000</formula>
    </cfRule>
  </conditionalFormatting>
  <conditionalFormatting sqref="E4 E6:E11">
    <cfRule type="expression" dxfId="766" priority="97">
      <formula>ABS(E$7-E$10)&gt;=1000</formula>
    </cfRule>
  </conditionalFormatting>
  <conditionalFormatting sqref="F4:F11">
    <cfRule type="expression" dxfId="765" priority="96">
      <formula>ABS(F$7-F$10)&gt;=1000</formula>
    </cfRule>
  </conditionalFormatting>
  <conditionalFormatting sqref="G4:G11">
    <cfRule type="expression" dxfId="764" priority="95">
      <formula>ABS(G$7-G$10)&gt;=1000</formula>
    </cfRule>
  </conditionalFormatting>
  <conditionalFormatting sqref="H4:H11">
    <cfRule type="expression" dxfId="763" priority="94">
      <formula>ABS(H$7-H$10)&gt;=1000</formula>
    </cfRule>
  </conditionalFormatting>
  <conditionalFormatting sqref="I4:I11">
    <cfRule type="expression" dxfId="762" priority="93">
      <formula>ABS(I$7-I$10)&gt;=1000</formula>
    </cfRule>
  </conditionalFormatting>
  <conditionalFormatting sqref="J4:J11">
    <cfRule type="expression" dxfId="761" priority="92">
      <formula>ABS(J$7-J$10)&gt;=1000</formula>
    </cfRule>
  </conditionalFormatting>
  <conditionalFormatting sqref="K4:K11">
    <cfRule type="expression" dxfId="760" priority="91">
      <formula>ABS(K$7-K$10)&gt;=1000</formula>
    </cfRule>
  </conditionalFormatting>
  <conditionalFormatting sqref="L4:L11">
    <cfRule type="expression" dxfId="759" priority="90">
      <formula>ABS(L$7-L$10)&gt;=1000</formula>
    </cfRule>
  </conditionalFormatting>
  <conditionalFormatting sqref="M4 M6:M11">
    <cfRule type="expression" dxfId="758" priority="89">
      <formula>ABS(M$7-M$10)&gt;=1000</formula>
    </cfRule>
  </conditionalFormatting>
  <conditionalFormatting sqref="N4 N6:N11">
    <cfRule type="expression" dxfId="757" priority="88">
      <formula>ABS(N$7-N$10)&gt;=1000</formula>
    </cfRule>
  </conditionalFormatting>
  <conditionalFormatting sqref="O4 O6:O11">
    <cfRule type="expression" dxfId="756" priority="87">
      <formula>ABS(O$7-O$10)&gt;=1000</formula>
    </cfRule>
  </conditionalFormatting>
  <conditionalFormatting sqref="P4 P6:P11">
    <cfRule type="expression" dxfId="755" priority="86">
      <formula>ABS(P$7-P$10)&gt;=1000</formula>
    </cfRule>
  </conditionalFormatting>
  <conditionalFormatting sqref="Q4:Q11">
    <cfRule type="expression" dxfId="754" priority="85">
      <formula>ABS(Q$7-Q$10)&gt;=1000</formula>
    </cfRule>
  </conditionalFormatting>
  <conditionalFormatting sqref="R4:R11">
    <cfRule type="expression" dxfId="753" priority="84">
      <formula>ABS(R$7-R$10)&gt;=1000</formula>
    </cfRule>
  </conditionalFormatting>
  <conditionalFormatting sqref="S4:S11">
    <cfRule type="expression" dxfId="752" priority="83">
      <formula>ABS(S$7-S$10)&gt;=1000</formula>
    </cfRule>
  </conditionalFormatting>
  <conditionalFormatting sqref="T4:T9 T11">
    <cfRule type="expression" dxfId="751" priority="82">
      <formula>ABS(T$7-T$10)&gt;=1000</formula>
    </cfRule>
  </conditionalFormatting>
  <conditionalFormatting sqref="U4:U9 U11">
    <cfRule type="expression" dxfId="750" priority="81">
      <formula>ABS(U$7-U$10)&gt;=1000</formula>
    </cfRule>
  </conditionalFormatting>
  <conditionalFormatting sqref="V4:V9 V11">
    <cfRule type="expression" dxfId="749" priority="80">
      <formula>ABS(V$7-V$10)&gt;=1000</formula>
    </cfRule>
  </conditionalFormatting>
  <conditionalFormatting sqref="W4:W9 W11">
    <cfRule type="expression" dxfId="748" priority="79">
      <formula>ABS(W$7-W$10)&gt;=1000</formula>
    </cfRule>
  </conditionalFormatting>
  <conditionalFormatting sqref="X4:X9 X11">
    <cfRule type="expression" dxfId="747" priority="78">
      <formula>ABS(X$7-X$10)&gt;=1000</formula>
    </cfRule>
  </conditionalFormatting>
  <conditionalFormatting sqref="Y4:Y9 Y11">
    <cfRule type="expression" dxfId="746" priority="77">
      <formula>ABS(Y$7-Y$10)&gt;=1000</formula>
    </cfRule>
  </conditionalFormatting>
  <conditionalFormatting sqref="Z4:Z11">
    <cfRule type="expression" dxfId="745" priority="76">
      <formula>ABS(Z$7-Z$10)&gt;=1000</formula>
    </cfRule>
  </conditionalFormatting>
  <conditionalFormatting sqref="AA4:AA11">
    <cfRule type="expression" dxfId="744" priority="75">
      <formula>ABS(AA$7-AA$10)&gt;=1000</formula>
    </cfRule>
  </conditionalFormatting>
  <conditionalFormatting sqref="AB4:AB11">
    <cfRule type="expression" dxfId="743" priority="74">
      <formula>ABS(AB$7-AB$10)&gt;=1000</formula>
    </cfRule>
  </conditionalFormatting>
  <conditionalFormatting sqref="AC4 AC6:AC11">
    <cfRule type="expression" dxfId="742" priority="73">
      <formula>ABS(AC$7-AC$10)&gt;=1000</formula>
    </cfRule>
  </conditionalFormatting>
  <conditionalFormatting sqref="AD4:AD11">
    <cfRule type="expression" dxfId="741" priority="72">
      <formula>ABS(AD$7-AD$10)&gt;=1000</formula>
    </cfRule>
  </conditionalFormatting>
  <conditionalFormatting sqref="AE4 AE6:AE11">
    <cfRule type="expression" dxfId="740" priority="71">
      <formula>ABS(AE$7-AE$10)&gt;=1000</formula>
    </cfRule>
  </conditionalFormatting>
  <conditionalFormatting sqref="D13:D20">
    <cfRule type="expression" dxfId="739" priority="70">
      <formula>ABS(D$16-D$19)&gt;=1000</formula>
    </cfRule>
  </conditionalFormatting>
  <conditionalFormatting sqref="E13:E20">
    <cfRule type="expression" dxfId="738" priority="69">
      <formula>ABS(E$16-E$19)&gt;=1000</formula>
    </cfRule>
  </conditionalFormatting>
  <conditionalFormatting sqref="F13 F15:F20">
    <cfRule type="expression" dxfId="737" priority="68">
      <formula>ABS(F$16-F$19)&gt;=1000</formula>
    </cfRule>
  </conditionalFormatting>
  <conditionalFormatting sqref="G13:G20">
    <cfRule type="expression" dxfId="736" priority="67">
      <formula>ABS(G$16-G$19)&gt;=1000</formula>
    </cfRule>
  </conditionalFormatting>
  <conditionalFormatting sqref="H13:H20">
    <cfRule type="expression" dxfId="735" priority="66">
      <formula>ABS(H$16-H$19)&gt;=1000</formula>
    </cfRule>
  </conditionalFormatting>
  <conditionalFormatting sqref="I13:I20">
    <cfRule type="expression" dxfId="734" priority="65">
      <formula>ABS(I$16-I$19)&gt;=1000</formula>
    </cfRule>
  </conditionalFormatting>
  <conditionalFormatting sqref="J13:J20">
    <cfRule type="expression" dxfId="733" priority="64">
      <formula>ABS(J$16-J$19)&gt;=1000</formula>
    </cfRule>
  </conditionalFormatting>
  <conditionalFormatting sqref="L13:L20">
    <cfRule type="expression" dxfId="732" priority="63">
      <formula>ABS(L$16-L$19)&gt;=1000</formula>
    </cfRule>
  </conditionalFormatting>
  <conditionalFormatting sqref="M13 M15 M17:M18 M20">
    <cfRule type="expression" dxfId="731" priority="62">
      <formula>ABS(M$16-M$19)&gt;=1000</formula>
    </cfRule>
  </conditionalFormatting>
  <conditionalFormatting sqref="N13:N20">
    <cfRule type="expression" dxfId="730" priority="61">
      <formula>ABS(N$16-N$19)&gt;=1000</formula>
    </cfRule>
  </conditionalFormatting>
  <conditionalFormatting sqref="O13:O20">
    <cfRule type="expression" dxfId="729" priority="60">
      <formula>ABS(O$16-O$19)&gt;=1000</formula>
    </cfRule>
  </conditionalFormatting>
  <conditionalFormatting sqref="P13:P20">
    <cfRule type="expression" dxfId="728" priority="59">
      <formula>ABS(P$16-P$19)&gt;=1000</formula>
    </cfRule>
  </conditionalFormatting>
  <conditionalFormatting sqref="Q13 Q15:Q20">
    <cfRule type="expression" dxfId="727" priority="58">
      <formula>ABS(Q$16-Q$19)&gt;=1000</formula>
    </cfRule>
  </conditionalFormatting>
  <conditionalFormatting sqref="R13:R20">
    <cfRule type="expression" dxfId="726" priority="57">
      <formula>ABS(R$16-R$19)&gt;=1000</formula>
    </cfRule>
  </conditionalFormatting>
  <conditionalFormatting sqref="S13:S20">
    <cfRule type="expression" dxfId="725" priority="56">
      <formula>ABS(S$16-S$19)&gt;=1000</formula>
    </cfRule>
  </conditionalFormatting>
  <conditionalFormatting sqref="T13:T20">
    <cfRule type="expression" dxfId="724" priority="55">
      <formula>ABS(T$16-T$19)&gt;=1000</formula>
    </cfRule>
  </conditionalFormatting>
  <conditionalFormatting sqref="U13:U20">
    <cfRule type="expression" dxfId="723" priority="54">
      <formula>ABS(U$16-U$19)&gt;=1000</formula>
    </cfRule>
  </conditionalFormatting>
  <conditionalFormatting sqref="V13:V20">
    <cfRule type="expression" dxfId="722" priority="53">
      <formula>ABS(V$16-V$19)&gt;=1000</formula>
    </cfRule>
  </conditionalFormatting>
  <conditionalFormatting sqref="W13 W20 W15:W18">
    <cfRule type="expression" dxfId="721" priority="52">
      <formula>ABS(W$16-W$19)&gt;=1000</formula>
    </cfRule>
  </conditionalFormatting>
  <conditionalFormatting sqref="X13 X15:X20 Y19">
    <cfRule type="expression" dxfId="720" priority="51">
      <formula>ABS(X$16-X$19)&gt;=1000</formula>
    </cfRule>
  </conditionalFormatting>
  <conditionalFormatting sqref="Y13 Y15:Y18 Y20">
    <cfRule type="expression" dxfId="719" priority="50">
      <formula>ABS(Y$16-Y$19)&gt;=1000</formula>
    </cfRule>
  </conditionalFormatting>
  <conditionalFormatting sqref="Z13:Z20">
    <cfRule type="expression" dxfId="718" priority="49">
      <formula>ABS(Z$16-Z$19)&gt;=1000</formula>
    </cfRule>
  </conditionalFormatting>
  <conditionalFormatting sqref="AA13:AA20">
    <cfRule type="expression" dxfId="717" priority="48">
      <formula>ABS(AA$16-AA$19)&gt;=1000</formula>
    </cfRule>
  </conditionalFormatting>
  <conditionalFormatting sqref="AB13 AB15:AB20">
    <cfRule type="expression" dxfId="716" priority="47">
      <formula>ABS(AB$16-AB$19)&gt;=1000</formula>
    </cfRule>
  </conditionalFormatting>
  <conditionalFormatting sqref="AC13 AC15:AC20">
    <cfRule type="expression" dxfId="715" priority="46">
      <formula>ABS(AC$16-AC$19)&gt;=1000</formula>
    </cfRule>
  </conditionalFormatting>
  <conditionalFormatting sqref="AD13:AD20">
    <cfRule type="expression" dxfId="714" priority="45">
      <formula>ABS(AD$16-AD$19)&gt;=1000</formula>
    </cfRule>
  </conditionalFormatting>
  <conditionalFormatting sqref="AE13:AE20">
    <cfRule type="expression" dxfId="713" priority="44">
      <formula>ABS(AE$16-AE$19)&gt;=1000</formula>
    </cfRule>
  </conditionalFormatting>
  <conditionalFormatting sqref="D22:D29">
    <cfRule type="expression" dxfId="712" priority="43">
      <formula>ABS(D$25-D$28)&gt;=1000</formula>
    </cfRule>
  </conditionalFormatting>
  <conditionalFormatting sqref="E22:E29">
    <cfRule type="expression" dxfId="711" priority="42">
      <formula>ABS(E$25-E$28)&gt;=1000</formula>
    </cfRule>
  </conditionalFormatting>
  <conditionalFormatting sqref="F22:F29">
    <cfRule type="expression" dxfId="710" priority="41">
      <formula>ABS(F$25-F$28)&gt;=1000</formula>
    </cfRule>
  </conditionalFormatting>
  <conditionalFormatting sqref="G22:G29">
    <cfRule type="expression" dxfId="709" priority="40">
      <formula>ABS(G$25-G$28)&gt;=1000</formula>
    </cfRule>
  </conditionalFormatting>
  <conditionalFormatting sqref="H22:H29">
    <cfRule type="expression" dxfId="708" priority="39">
      <formula>ABS(H$25-H$28)&gt;=1000</formula>
    </cfRule>
  </conditionalFormatting>
  <conditionalFormatting sqref="I22 I24:I29">
    <cfRule type="expression" dxfId="707" priority="38">
      <formula>ABS(I$25-I$28)&gt;=1000</formula>
    </cfRule>
  </conditionalFormatting>
  <conditionalFormatting sqref="J22:J29 K22">
    <cfRule type="expression" dxfId="706" priority="37">
      <formula>ABS(J$25-J$28)&gt;=1000</formula>
    </cfRule>
  </conditionalFormatting>
  <conditionalFormatting sqref="K23:K29 L25 L28">
    <cfRule type="expression" dxfId="705" priority="36">
      <formula>ABS(K$25-K$28)&gt;=1000</formula>
    </cfRule>
  </conditionalFormatting>
  <conditionalFormatting sqref="L22 L26:L27 L29 L24">
    <cfRule type="expression" dxfId="704" priority="35">
      <formula>ABS(L$25-L$28)&gt;=1000</formula>
    </cfRule>
  </conditionalFormatting>
  <conditionalFormatting sqref="M22:M29">
    <cfRule type="expression" dxfId="703" priority="34">
      <formula>ABS(M$25-M$28)&gt;=1000</formula>
    </cfRule>
  </conditionalFormatting>
  <conditionalFormatting sqref="N22:N29">
    <cfRule type="expression" dxfId="702" priority="33">
      <formula>ABS(N$25-N$28)&gt;=1000</formula>
    </cfRule>
  </conditionalFormatting>
  <conditionalFormatting sqref="O22:O29">
    <cfRule type="expression" dxfId="701" priority="32">
      <formula>ABS(O$25-O$28)&gt;=1000</formula>
    </cfRule>
  </conditionalFormatting>
  <conditionalFormatting sqref="P22:P29">
    <cfRule type="expression" dxfId="700" priority="31">
      <formula>ABS(P$25-P$28)&gt;=1000</formula>
    </cfRule>
  </conditionalFormatting>
  <conditionalFormatting sqref="Q22:Q29">
    <cfRule type="expression" dxfId="699" priority="30">
      <formula>ABS(Q$25-Q$28)&gt;=1000</formula>
    </cfRule>
  </conditionalFormatting>
  <conditionalFormatting sqref="R22:R29">
    <cfRule type="expression" dxfId="698" priority="29">
      <formula>ABS(R$25-R$28)&gt;=1000</formula>
    </cfRule>
  </conditionalFormatting>
  <conditionalFormatting sqref="S22:S29">
    <cfRule type="expression" dxfId="697" priority="28">
      <formula>ABS(S$25-S$28)&gt;=1000</formula>
    </cfRule>
  </conditionalFormatting>
  <conditionalFormatting sqref="T22:T29">
    <cfRule type="expression" dxfId="696" priority="27">
      <formula>ABS(T$25-T$28)&gt;=1000</formula>
    </cfRule>
  </conditionalFormatting>
  <conditionalFormatting sqref="U22:U29">
    <cfRule type="expression" dxfId="695" priority="26">
      <formula>ABS(U$25-U$28)&gt;=1000</formula>
    </cfRule>
  </conditionalFormatting>
  <conditionalFormatting sqref="V22:V29">
    <cfRule type="expression" dxfId="694" priority="25">
      <formula>ABS(V$25-V$28)&gt;=1000</formula>
    </cfRule>
  </conditionalFormatting>
  <conditionalFormatting sqref="W22:W29">
    <cfRule type="expression" dxfId="693" priority="24">
      <formula>ABS(W$25-W$28)&gt;=1000</formula>
    </cfRule>
  </conditionalFormatting>
  <conditionalFormatting sqref="X22:X29">
    <cfRule type="expression" dxfId="692" priority="23">
      <formula>ABS(X$25-X$28)&gt;=1000</formula>
    </cfRule>
  </conditionalFormatting>
  <conditionalFormatting sqref="Y22:Y29">
    <cfRule type="expression" dxfId="691" priority="22">
      <formula>ABS(Y$25-Y$28)&gt;=1000</formula>
    </cfRule>
  </conditionalFormatting>
  <conditionalFormatting sqref="I23">
    <cfRule type="expression" dxfId="690" priority="21">
      <formula>ABS(I$25-I$28)&gt;=1000</formula>
    </cfRule>
  </conditionalFormatting>
  <conditionalFormatting sqref="Q14">
    <cfRule type="expression" dxfId="689" priority="20">
      <formula>ABS(Q$16-Q$19)&gt;=1000</formula>
    </cfRule>
  </conditionalFormatting>
  <conditionalFormatting sqref="W14">
    <cfRule type="expression" dxfId="688" priority="19">
      <formula>ABS(W$16-W$19)&gt;=1000</formula>
    </cfRule>
  </conditionalFormatting>
  <conditionalFormatting sqref="Y14">
    <cfRule type="expression" dxfId="687" priority="18">
      <formula>ABS(Y$16-Y$19)&gt;=1000</formula>
    </cfRule>
  </conditionalFormatting>
  <conditionalFormatting sqref="X14">
    <cfRule type="expression" dxfId="686" priority="17">
      <formula>ABS(X$16-X$19)&gt;=1000</formula>
    </cfRule>
  </conditionalFormatting>
  <conditionalFormatting sqref="T10:Y10">
    <cfRule type="expression" dxfId="685" priority="16">
      <formula>ABS(T$7-T$10)&gt;=1000</formula>
    </cfRule>
  </conditionalFormatting>
  <conditionalFormatting sqref="W19">
    <cfRule type="expression" dxfId="684" priority="15">
      <formula>ABS(W$16-W$19)&gt;=1000</formula>
    </cfRule>
  </conditionalFormatting>
  <conditionalFormatting sqref="AC5">
    <cfRule type="expression" dxfId="683" priority="14">
      <formula>ABS(AC$7-AC$10)&gt;=1000</formula>
    </cfRule>
  </conditionalFormatting>
  <conditionalFormatting sqref="M14">
    <cfRule type="expression" dxfId="682" priority="13">
      <formula>ABS(M$16-M$19)&gt;=1000</formula>
    </cfRule>
  </conditionalFormatting>
  <conditionalFormatting sqref="M16">
    <cfRule type="expression" dxfId="681" priority="12">
      <formula>ABS(M$16-M$19)&gt;=1000</formula>
    </cfRule>
  </conditionalFormatting>
  <conditionalFormatting sqref="M19">
    <cfRule type="expression" dxfId="680" priority="11">
      <formula>ABS(M$16-M$19)&gt;=1000</formula>
    </cfRule>
  </conditionalFormatting>
  <conditionalFormatting sqref="K13:K20">
    <cfRule type="expression" dxfId="679" priority="10">
      <formula>ABS(K$16-K$19)&gt;=1000</formula>
    </cfRule>
  </conditionalFormatting>
  <conditionalFormatting sqref="E5">
    <cfRule type="expression" dxfId="678" priority="9">
      <formula>ABS(E$7-E$10)&gt;=1000</formula>
    </cfRule>
  </conditionalFormatting>
  <conditionalFormatting sqref="AB14:AC14">
    <cfRule type="expression" dxfId="677" priority="8">
      <formula>ABS(AB$16-AB$19)&gt;=1000</formula>
    </cfRule>
  </conditionalFormatting>
  <conditionalFormatting sqref="M5">
    <cfRule type="expression" dxfId="676" priority="7">
      <formula>ABS(M$7-M$10)&gt;=1000</formula>
    </cfRule>
  </conditionalFormatting>
  <conditionalFormatting sqref="N5">
    <cfRule type="expression" dxfId="675" priority="6">
      <formula>ABS(N$7-N$10)&gt;=1000</formula>
    </cfRule>
  </conditionalFormatting>
  <conditionalFormatting sqref="O5">
    <cfRule type="expression" dxfId="674" priority="5">
      <formula>ABS(O$7-O$10)&gt;=1000</formula>
    </cfRule>
  </conditionalFormatting>
  <conditionalFormatting sqref="P5">
    <cfRule type="expression" dxfId="673" priority="4">
      <formula>ABS(P$7-P$10)&gt;=1000</formula>
    </cfRule>
  </conditionalFormatting>
  <conditionalFormatting sqref="L23">
    <cfRule type="expression" dxfId="672" priority="3">
      <formula>ABS(L$25-L$28)&gt;=1000</formula>
    </cfRule>
  </conditionalFormatting>
  <conditionalFormatting sqref="F14">
    <cfRule type="expression" dxfId="671" priority="2">
      <formula>ABS(F$16-F$19)&gt;=1000</formula>
    </cfRule>
  </conditionalFormatting>
  <conditionalFormatting sqref="AE5">
    <cfRule type="expression" dxfId="67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21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0">
    <pageSetUpPr fitToPage="1"/>
  </sheetPr>
  <dimension ref="A1:CU223"/>
  <sheetViews>
    <sheetView view="pageBreakPreview" topLeftCell="A19" zoomScale="80" zoomScaleNormal="100" zoomScaleSheetLayoutView="80" workbookViewId="0">
      <selection activeCell="AF32" sqref="AF32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6793</v>
      </c>
      <c r="E6" s="71">
        <v>3341</v>
      </c>
      <c r="F6" s="71">
        <v>6696</v>
      </c>
      <c r="G6" s="71">
        <v>2743</v>
      </c>
      <c r="H6" s="71">
        <v>1724</v>
      </c>
      <c r="I6" s="71">
        <v>0.06</v>
      </c>
      <c r="J6" s="71">
        <v>7.01</v>
      </c>
      <c r="K6" s="71">
        <v>-7.0000000000000007E-2</v>
      </c>
      <c r="L6" s="71">
        <v>31.5</v>
      </c>
      <c r="M6" s="71">
        <v>1444</v>
      </c>
      <c r="N6" s="71">
        <v>2948</v>
      </c>
      <c r="O6" s="71">
        <v>105</v>
      </c>
      <c r="P6" s="71">
        <v>5131</v>
      </c>
      <c r="Q6" s="71">
        <v>0</v>
      </c>
      <c r="R6" s="71">
        <v>3861</v>
      </c>
      <c r="S6" s="71">
        <v>5444</v>
      </c>
      <c r="T6" s="71">
        <v>7138</v>
      </c>
      <c r="U6" s="71">
        <v>6144</v>
      </c>
      <c r="V6" s="71">
        <v>5160</v>
      </c>
      <c r="W6" s="71">
        <v>7010</v>
      </c>
      <c r="X6" s="71">
        <v>4296</v>
      </c>
      <c r="Y6" s="71">
        <v>0</v>
      </c>
      <c r="Z6" s="71">
        <v>2221</v>
      </c>
      <c r="AA6" s="71">
        <v>2331</v>
      </c>
      <c r="AB6" s="71">
        <v>2615</v>
      </c>
      <c r="AC6" s="71">
        <v>534</v>
      </c>
      <c r="AD6" s="71">
        <v>4350</v>
      </c>
      <c r="AE6" s="71">
        <v>2291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213406.66954206</v>
      </c>
      <c r="E7" s="73" ph="1">
        <f>E6*51.53*LOOKUP(E8,密度!$A$2:$A$50,密度!$B$2:$B$50)</f>
        <v>134527.17582200002</v>
      </c>
      <c r="F7" s="73" ph="1">
        <f>F6*33.183*LOOKUP(F8,密度!$A$2:$A$50,密度!$C$2:$C$50)</f>
        <v>246723.5158272</v>
      </c>
      <c r="G7" s="73" ph="1">
        <f xml:space="preserve"> (G6+2)*51.53*LOOKUP(G8,密度!$A$2:$A$50,密度!$B$2:$B$50)</f>
        <v>110401.607925</v>
      </c>
      <c r="H7" s="73" ph="1">
        <f>(H6)*51.53*LOOKUP(H8,密度!$A$2:$A$50,密度!$B$2:$B$50)</f>
        <v>69657.656252000001</v>
      </c>
      <c r="I7" s="73" ph="1">
        <f>I6*290.8*1.0267</f>
        <v>17.913861600000001</v>
      </c>
      <c r="J7" s="73" ph="1">
        <f>J6*290.8*0.7892</f>
        <v>1608.7905136000002</v>
      </c>
      <c r="K7" s="73" ph="1">
        <f>K6*290.8*1.1126</f>
        <v>-22.648085600000002</v>
      </c>
      <c r="L7" s="73" ph="1">
        <f>L6*290.8*0.777</f>
        <v>7117.4754000000012</v>
      </c>
      <c r="M7" s="73" ph="1">
        <f>M6*33.183*LOOKUP(M8,密度!$A$2:$A$50,密度!$D$2:$D$50)</f>
        <v>49238.740555200005</v>
      </c>
      <c r="N7" s="73" ph="1">
        <f>N6*33.183*LOOKUP(N8,密度!$A$2:$A$50,密度!$E$2:$E$50)</f>
        <v>76615.352668799998</v>
      </c>
      <c r="O7" s="73" ph="1">
        <f>O6*20.428*LOOKUP(O8,密度!$A$2:$A$50,密度!$C$2:$C$50)</f>
        <v>2376.8080140000002</v>
      </c>
      <c r="P7" s="73" ph="1">
        <f>P6*51.53*LOOKUP(P8,密度!$A$2:$A$50,密度!$B$2:$B$50)</f>
        <v>206840.456389</v>
      </c>
      <c r="Q7" s="73" ph="1">
        <f>Q6*1.5*1.5*3.1416*LOOKUP(W8,密度!$A$2:$A$50,密度!$L$2:$L$50)</f>
        <v>0</v>
      </c>
      <c r="R7" s="73" ph="1">
        <f>R6*1.5*1.5*3.1416*LOOKUP(R8,密度!$A$2:$A$50,密度!$L$2:$L$50)</f>
        <v>25463.309671800002</v>
      </c>
      <c r="S7" s="73" ph="1">
        <f>S6*1.5*1.5*3.1416*LOOKUP(S8,密度!$A$2:$A$50,密度!$L$2:$L$50)</f>
        <v>36249.533812799993</v>
      </c>
      <c r="T7" s="73" ph="1">
        <f>T6*1.5*1.5*3.1416*LOOKUP(T8,密度!$A$2:$A$50,密度!$L$2:$L$50)</f>
        <v>47529.238125599994</v>
      </c>
      <c r="U7" s="73" ph="1">
        <f>U6*1.5*1.5*3.1416*LOOKUP(U8,密度!$A$2:$A$50,密度!$L$2:$L$50)</f>
        <v>40736.850739199996</v>
      </c>
      <c r="V7" s="73" ph="1">
        <f>V6*1.5*1.5*3.1416*LOOKUP(V8,密度!$A$2:$A$50,密度!$L$2:$L$50)</f>
        <v>34066.693584000001</v>
      </c>
      <c r="W7" s="73" ph="1">
        <f>W6*1.5*1.5*3.1416*LOOKUP(W8,密度!$A$2:$A$50,密度!$L$2:$L$50)</f>
        <v>46478.731067999994</v>
      </c>
      <c r="X7" s="73" ph="1">
        <f>X6*1.5*1.5*3.1416*LOOKUP(X8,密度!$A$2:$A$50,密度!$L$2:$L$50)</f>
        <v>28757.270203199998</v>
      </c>
      <c r="Y7" s="73" ph="1">
        <f>Y6*1.5*1.5*3.1416*LOOKUP(Y8,密度!$A$2:$A$50,密度!$L$2:$L$50)</f>
        <v>0</v>
      </c>
      <c r="Z7" s="73" ph="1">
        <f>Z6*33.183*LOOKUP(Z8,密度!$A$2:$A$50,密度!$L$2:$L$50)</f>
        <v>69424.875306000002</v>
      </c>
      <c r="AA7" s="73" ph="1">
        <f>AA6*33.183*LOOKUP(AA8,密度!$A$2:$A$50,密度!$D$2:$D$50)</f>
        <v>79561.770787800007</v>
      </c>
      <c r="AB7" s="73" ph="1">
        <f>AB6*20.428*LOOKUP(AB8,密度!$A$2:$A$50,密度!$D$2:$D$50)</f>
        <v>55230.131558000001</v>
      </c>
      <c r="AC7" s="73" ph="1">
        <f>AC6*51.53*LOOKUP(AC8,密度!$A$2:$A$50,密度!$Q$2:$Q$50)</f>
        <v>26175.0149346</v>
      </c>
      <c r="AD7" s="73" ph="1">
        <f>AD6*20.428*LOOKUP(AD8,密度!$A$2:$A$50,密度!$V$2:$V$50)</f>
        <v>85094.059680000006</v>
      </c>
      <c r="AE7" s="73" ph="1">
        <f>AE6*20.428</f>
        <v>46800.548000000003</v>
      </c>
    </row>
    <row r="8" spans="1:99" ph="1">
      <c r="B8" s="241" ph="1"/>
      <c r="C8" s="68" t="s" ph="1">
        <v>179</v>
      </c>
      <c r="D8" s="74">
        <v>25</v>
      </c>
      <c r="E8" s="74">
        <v>23</v>
      </c>
      <c r="F8" s="74">
        <v>23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26</v>
      </c>
      <c r="P8" s="74">
        <v>22</v>
      </c>
      <c r="Q8" s="74">
        <v>23</v>
      </c>
      <c r="R8" s="74">
        <v>29</v>
      </c>
      <c r="S8" s="74">
        <v>20</v>
      </c>
      <c r="T8" s="74">
        <v>20</v>
      </c>
      <c r="U8" s="74">
        <v>24</v>
      </c>
      <c r="V8" s="74">
        <v>28</v>
      </c>
      <c r="W8" s="74">
        <v>24</v>
      </c>
      <c r="X8" s="74">
        <v>15</v>
      </c>
      <c r="Y8" s="74">
        <v>22</v>
      </c>
      <c r="Z8" s="74">
        <v>20</v>
      </c>
      <c r="AA8" s="74">
        <v>23</v>
      </c>
      <c r="AB8" s="74">
        <v>17</v>
      </c>
      <c r="AC8" s="74">
        <v>19</v>
      </c>
      <c r="AD8" s="74">
        <v>27</v>
      </c>
      <c r="AE8" s="74">
        <v>27</v>
      </c>
    </row>
    <row r="9" spans="1:99" ht="26.4" ph="1">
      <c r="B9" s="241" ph="1">
        <v>0.66666666666666663</v>
      </c>
      <c r="C9" s="162" t="s" ph="1">
        <v>180</v>
      </c>
      <c r="D9" s="71">
        <v>6793</v>
      </c>
      <c r="E9" s="71">
        <v>3335</v>
      </c>
      <c r="F9" s="71">
        <v>6698</v>
      </c>
      <c r="G9" s="71">
        <v>2469</v>
      </c>
      <c r="H9" s="71">
        <v>1723</v>
      </c>
      <c r="I9" s="71">
        <v>0.05</v>
      </c>
      <c r="J9" s="71">
        <v>7.05</v>
      </c>
      <c r="K9" s="71">
        <v>-0.08</v>
      </c>
      <c r="L9" s="71">
        <v>10.38</v>
      </c>
      <c r="M9" s="71">
        <v>1444</v>
      </c>
      <c r="N9" s="71">
        <v>2949</v>
      </c>
      <c r="O9" s="71">
        <v>103</v>
      </c>
      <c r="P9" s="71">
        <v>4779</v>
      </c>
      <c r="Q9" s="71">
        <v>2340</v>
      </c>
      <c r="R9" s="71">
        <v>0</v>
      </c>
      <c r="S9" s="71">
        <v>5090</v>
      </c>
      <c r="T9" s="71">
        <v>7140</v>
      </c>
      <c r="U9" s="71">
        <v>6146</v>
      </c>
      <c r="V9" s="71">
        <v>5163</v>
      </c>
      <c r="W9" s="71">
        <v>7000</v>
      </c>
      <c r="X9" s="71">
        <v>7087</v>
      </c>
      <c r="Y9" s="71">
        <v>4629</v>
      </c>
      <c r="Z9" s="71">
        <v>3139</v>
      </c>
      <c r="AA9" s="71">
        <v>2331</v>
      </c>
      <c r="AB9" s="71">
        <v>2574</v>
      </c>
      <c r="AC9" s="71">
        <v>534</v>
      </c>
      <c r="AD9" s="71">
        <v>4350</v>
      </c>
      <c r="AE9" s="71">
        <v>2392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213406.66954206</v>
      </c>
      <c r="E10" s="73" ph="1">
        <f>E9*51.53*LOOKUP(E11,密度!$A$2:$A$50,密度!$B$2:$B$50)</f>
        <v>133976.24798000001</v>
      </c>
      <c r="F10" s="73" ph="1">
        <f>F9*33.183*LOOKUP(F11,密度!$A$2:$A$50,密度!$C$2:$C$50)</f>
        <v>246619.40084639998</v>
      </c>
      <c r="G10" s="73" ph="1">
        <f xml:space="preserve"> (G9+2)*51.53*LOOKUP(G11,密度!$A$2:$A$50,密度!$B$2:$B$50)</f>
        <v>99266.959147999994</v>
      </c>
      <c r="H10" s="73" ph="1">
        <f>(H9)*51.53*LOOKUP(H11,密度!$A$2:$A$50,密度!$B$2:$B$50)</f>
        <v>69457.436436999997</v>
      </c>
      <c r="I10" s="73" ph="1">
        <f>I9*290.8*1.0267</f>
        <v>14.928217999999999</v>
      </c>
      <c r="J10" s="73" ph="1">
        <f>J9*290.8*0.7892</f>
        <v>1617.9704879999999</v>
      </c>
      <c r="K10" s="73" ph="1">
        <f>K9*290.8*1.1126</f>
        <v>-25.883526400000004</v>
      </c>
      <c r="L10" s="73" ph="1">
        <f>L9*290.8*0.777</f>
        <v>2345.3776080000002</v>
      </c>
      <c r="M10" s="73" ph="1">
        <f>M9*33.183*LOOKUP(M11,密度!$A$2:$A$50,密度!$D$2:$D$50)</f>
        <v>49152.491301599999</v>
      </c>
      <c r="N10" s="73" ph="1">
        <f>N9*33.183*LOOKUP(N11,密度!$A$2:$A$50,密度!$E$2:$E$50)</f>
        <v>76641.341594400001</v>
      </c>
      <c r="O10" s="73" ph="1">
        <f>O9*20.428*LOOKUP(O11,密度!$A$2:$A$50,密度!$C$2:$C$50)</f>
        <v>2325.2232284000002</v>
      </c>
      <c r="P10" s="73" ph="1">
        <f>P9*51.53*LOOKUP(P11,密度!$A$2:$A$50,密度!$B$2:$B$50)</f>
        <v>191985.75385199999</v>
      </c>
      <c r="Q10" s="73" ph="1">
        <f>Q9*1.5*1.5*3.1416*LOOKUP(W11,密度!$A$2:$A$50,密度!$L$2:$L$50)</f>
        <v>15481.930464000003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33856.402733999996</v>
      </c>
      <c r="T10" s="73" ph="1">
        <f>T9*1.5*1.5*3.1416*LOOKUP(T11,密度!$A$2:$A$50,密度!$L$2:$L$50)</f>
        <v>47492.085563999994</v>
      </c>
      <c r="U10" s="73" ph="1">
        <f>U9*1.5*1.5*3.1416*LOOKUP(U11,密度!$A$2:$A$50,密度!$L$2:$L$50)</f>
        <v>40750.111432799997</v>
      </c>
      <c r="V10" s="73" ph="1">
        <f>V9*1.5*1.5*3.1416*LOOKUP(V11,密度!$A$2:$A$50,密度!$L$2:$L$50)</f>
        <v>34086.4998012</v>
      </c>
      <c r="W10" s="73" ph="1">
        <f>W9*1.5*1.5*3.1416*LOOKUP(W11,密度!$A$2:$A$50,密度!$L$2:$L$50)</f>
        <v>46313.467199999999</v>
      </c>
      <c r="X10" s="73" ph="1">
        <f>X9*1.5*1.5*3.1416*LOOKUP(X11,密度!$A$2:$A$50,密度!$L$2:$L$50)</f>
        <v>47390.0291172</v>
      </c>
      <c r="Y10" s="73" ph="1">
        <f>Y9*1.5*1.5*3.1416*LOOKUP(Y11,密度!$A$2:$A$50,密度!$L$2:$L$50)</f>
        <v>30724.595886599996</v>
      </c>
      <c r="Z10" s="73" ph="1">
        <f>Z9*33.183*LOOKUP(Z11,密度!$A$2:$A$50,密度!$L$2:$L$50)</f>
        <v>97911.750780000002</v>
      </c>
      <c r="AA10" s="73" ph="1">
        <f>AA9*33.183*LOOKUP(AA11,密度!$A$2:$A$50,密度!$D$2:$D$50)</f>
        <v>79345.191983400015</v>
      </c>
      <c r="AB10" s="73" ph="1">
        <f>AB9*20.428*LOOKUP(AB11,密度!$A$2:$A$50,密度!$D$2:$D$50)</f>
        <v>54322.125343199994</v>
      </c>
      <c r="AC10" s="73" ph="1">
        <f>AC9*51.53*LOOKUP(AC11,密度!$A$2:$A$50,密度!$Q$2:$Q$50)</f>
        <v>26091.638364000002</v>
      </c>
      <c r="AD10" s="73" ph="1">
        <f>AD9*20.428*LOOKUP(AD11,密度!$A$2:$A$50,密度!$V$2:$V$50)</f>
        <v>85378.417440000005</v>
      </c>
      <c r="AE10" s="73" ph="1">
        <f>AE9*20.428</f>
        <v>48863.776000000005</v>
      </c>
    </row>
    <row r="11" spans="1:99" ph="1">
      <c r="A11" s="64" t="s" ph="1">
        <v>162</v>
      </c>
      <c r="B11" s="241" ph="1"/>
      <c r="C11" s="162" t="s" ph="1">
        <v>179</v>
      </c>
      <c r="D11" s="74">
        <v>25</v>
      </c>
      <c r="E11" s="74">
        <v>25</v>
      </c>
      <c r="F11" s="74">
        <v>24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25</v>
      </c>
      <c r="O11" s="74">
        <v>30</v>
      </c>
      <c r="P11" s="74">
        <v>25</v>
      </c>
      <c r="Q11" s="74">
        <v>25</v>
      </c>
      <c r="R11" s="74">
        <v>31</v>
      </c>
      <c r="S11" s="74">
        <v>21</v>
      </c>
      <c r="T11" s="74">
        <v>21</v>
      </c>
      <c r="U11" s="74">
        <v>24</v>
      </c>
      <c r="V11" s="74">
        <v>28</v>
      </c>
      <c r="W11" s="74">
        <v>26</v>
      </c>
      <c r="X11" s="74">
        <v>16</v>
      </c>
      <c r="Y11" s="74">
        <v>23</v>
      </c>
      <c r="Z11" s="74">
        <v>22</v>
      </c>
      <c r="AA11" s="74">
        <v>26</v>
      </c>
      <c r="AB11" s="74">
        <v>18</v>
      </c>
      <c r="AC11" s="74">
        <v>23</v>
      </c>
      <c r="AD11" s="74">
        <v>24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4102</v>
      </c>
      <c r="E15" s="78">
        <v>67</v>
      </c>
      <c r="F15" s="78">
        <v>5104</v>
      </c>
      <c r="G15" s="78">
        <v>3504</v>
      </c>
      <c r="H15" s="78">
        <v>1958</v>
      </c>
      <c r="I15" s="78">
        <v>2713</v>
      </c>
      <c r="J15" s="78">
        <v>736</v>
      </c>
      <c r="K15" s="78">
        <v>4075</v>
      </c>
      <c r="L15" s="78">
        <v>3983</v>
      </c>
      <c r="M15" s="78">
        <v>6994</v>
      </c>
      <c r="N15" s="78">
        <v>5818</v>
      </c>
      <c r="O15" s="78">
        <v>6398</v>
      </c>
      <c r="P15" s="78">
        <v>6940</v>
      </c>
      <c r="Q15" s="78">
        <v>5136</v>
      </c>
      <c r="R15" s="78">
        <v>4966</v>
      </c>
      <c r="S15" s="78">
        <v>6191</v>
      </c>
      <c r="T15" s="78">
        <v>4869</v>
      </c>
      <c r="U15" s="78">
        <v>5916</v>
      </c>
      <c r="V15" s="78">
        <v>4949</v>
      </c>
      <c r="W15" s="71">
        <v>5053</v>
      </c>
      <c r="X15" s="78">
        <v>856</v>
      </c>
      <c r="Y15" s="106">
        <v>-9905</v>
      </c>
      <c r="Z15" s="78">
        <v>0</v>
      </c>
      <c r="AA15" s="78">
        <v>9</v>
      </c>
      <c r="AB15" s="78" ph="1">
        <v>1095</v>
      </c>
      <c r="AC15" s="78" ph="1">
        <v>2144</v>
      </c>
      <c r="AD15" s="78">
        <v>5.7</v>
      </c>
      <c r="AE15" s="78">
        <v>55.28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27226.677970799999</v>
      </c>
      <c r="E16" s="73" ph="1">
        <f>E15*7.0686*LOOKUP(E17,密度!$A$2:$A$50,密度!$L$2:$L$50)</f>
        <v>444.2332356</v>
      </c>
      <c r="F16" s="73" ph="1">
        <f>F15*9.0746*LOOKUP(F17,密度!$A$2:$A$50,密度!$L$2:$L$50)</f>
        <v>43352.485862400004</v>
      </c>
      <c r="G16" s="73" ph="1">
        <f>G15*9.0746*LOOKUP(G17,密度!$A$2:$A$50,密度!$B$2:$B$50)</f>
        <v>24846.487109760001</v>
      </c>
      <c r="H16" s="73" ph="1">
        <f>H15*9.0746*LOOKUP(H17,密度!$A$2:$A$50,密度!$L$2:$L$50)</f>
        <v>16755.286992400001</v>
      </c>
      <c r="I16" s="73" ph="1">
        <f>I15*9.0746*LOOKUP(I17,密度!$A$2:$A$50,密度!$U$2:$U$50)</f>
        <v>25284.113324599999</v>
      </c>
      <c r="J16" s="73" ph="1">
        <f>J15*9.0746*LOOKUP(J17,密度!$A$2:$A$50,密度!$L$2:$L$50)</f>
        <v>6271.4923583999998</v>
      </c>
      <c r="K16" s="73" ph="1">
        <f>K15*9.0746*LOOKUP(K17,密度!$A$2:$A$50,密度!$C$2:$C$50)</f>
        <v>41031.892851999997</v>
      </c>
      <c r="L16" s="73" ph="1">
        <f>L15*9.0746*LOOKUP(L17,密度!$A$2:$A$50,密度!$E$2:$E$50)</f>
        <v>28394.829942079999</v>
      </c>
      <c r="M16" s="73" ph="1">
        <f>M15*9.0746*LOOKUP(M17,密度!$A$2:$A$50,密度!$M$2:$M$50)</f>
        <v>55477.162372840001</v>
      </c>
      <c r="N16" s="73" ph="1">
        <f>N15*9.0746*LOOKUP(N17,密度!$A$2:$A$50,密度!$M$2:$M$50)</f>
        <v>46354.908018399998</v>
      </c>
      <c r="O16" s="73" ph="1">
        <f>O15*9.0746*LOOKUP(O17,密度!$A$2:$A$50,密度!$G$2:$G$50)</f>
        <v>55748.531026160003</v>
      </c>
      <c r="P16" s="73" ph="1">
        <f ca="1">P15*9.0746*LOOKUP(P17,密度!$A$2:$A$51,密度!$Q$2:$Q$50)</f>
        <v>59669.504158280004</v>
      </c>
      <c r="Q16" s="73" ph="1">
        <f>Q15*9.0746*LOOKUP(Q17,密度!$A$2:$A$50,密度!$Q$2:$Q$50)</f>
        <v>44158.872241632002</v>
      </c>
      <c r="R16" s="73" ph="1">
        <f>MAX(R15*9.0746*LOOKUP(R17,密度!$A$2:$A$50,密度!$B$2:$B$50),0)</f>
        <v>35091.69780532</v>
      </c>
      <c r="S16" s="73" ph="1">
        <f>S15*9.0746*LOOKUP(S17,密度!$A$2:$A$50,密度!$Q$2:$Q$50)</f>
        <v>53270.680642520005</v>
      </c>
      <c r="T16" s="73" ph="1">
        <f>T15*9.0746*LOOKUP(T17,密度!$A$2:$A$50,密度!$O$2:$O$50)</f>
        <v>41091.331482000009</v>
      </c>
      <c r="U16" s="73" ph="1">
        <f>U15*9.0746*LOOKUP(U17,密度!$A$2:$A$50,密度!$H$2:$H$50)</f>
        <v>49326.084511679997</v>
      </c>
      <c r="V16" s="73" ph="1">
        <f>MAX(5600*LOOKUP(V17,密度!$A$2:$A$50,密度!$Q$2:$Q$50)+V15*9.0476*LOOKUP(V17,密度!$A$2:$A$50,密度!$Q$2:$Q$50),0)</f>
        <v>47657.748787571996</v>
      </c>
      <c r="W16" s="73" ph="1">
        <f>MAX(5600*LOOKUP(W17,密度!$A$2:$A$50,密度!$Q$2:$Q$50)+W15*9.0476*LOOKUP(W17,密度!$A$2:$A$50,密度!$Q$2:$Q$50),0)</f>
        <v>48547.916094483997</v>
      </c>
      <c r="X16" s="73" ph="1">
        <f>MAX(5600*LOOKUP(X17,密度!$A$2:$A$50,密度!$I$2:$I$50)+X15*9.0476*LOOKUP(X17,密度!$A$2:$A$50,密度!$I$2:$I$50),0)</f>
        <v>13878.535424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63.965040480000006</v>
      </c>
      <c r="AB16" s="73" ph="1">
        <f>AB15*9.0746*LOOKUP(AB17,密度!$A$2:$A$50,密度!$L$2:$L$50)</f>
        <v>9340.4857799999991</v>
      </c>
      <c r="AC16" s="73" ph="1">
        <f>AC15*9.0746*LOOKUP(AC17,密度!$A$2:$A$50,密度!$L$2:$L$50)</f>
        <v>18288.585855999998</v>
      </c>
      <c r="AD16" s="73" ph="1">
        <f>AD15*268.68*LOOKUP(AD17,密度!$A$2:$A$50,密度!B2:B50)+IF(AD15&lt;=0,0,1566*LOOKUP(AD17,密度!$A$2:$A$50,密度!B2:B50))</f>
        <v>2414.7922896</v>
      </c>
      <c r="AE16" s="73" ph="1">
        <f>AE15*268.68*LOOKUP(AE17,密度!$A$2:$A$50,密度!B2:B50)+IF(AE15&lt;=0,0,1566*LOOKUP(AE17,密度!$A$2:$A$50,密度!B2:B50))</f>
        <v>12799.964259840001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23</v>
      </c>
      <c r="E17" s="74">
        <v>24</v>
      </c>
      <c r="F17" s="74">
        <v>26</v>
      </c>
      <c r="G17" s="74">
        <v>23</v>
      </c>
      <c r="H17" s="74">
        <v>19</v>
      </c>
      <c r="I17" s="74">
        <v>23</v>
      </c>
      <c r="J17" s="74">
        <v>23</v>
      </c>
      <c r="K17" s="74">
        <v>24</v>
      </c>
      <c r="L17" s="74">
        <v>23</v>
      </c>
      <c r="M17" s="74">
        <v>26</v>
      </c>
      <c r="N17" s="74">
        <v>22</v>
      </c>
      <c r="O17" s="74">
        <v>25</v>
      </c>
      <c r="P17" s="74">
        <v>24</v>
      </c>
      <c r="Q17" s="74">
        <v>24</v>
      </c>
      <c r="R17" s="74">
        <v>26</v>
      </c>
      <c r="S17" s="74">
        <v>23</v>
      </c>
      <c r="T17" s="74">
        <v>24</v>
      </c>
      <c r="U17" s="74">
        <v>21</v>
      </c>
      <c r="V17" s="74">
        <v>26</v>
      </c>
      <c r="W17" s="74">
        <v>26</v>
      </c>
      <c r="X17" s="74">
        <v>27</v>
      </c>
      <c r="Y17" s="108">
        <v>27</v>
      </c>
      <c r="Z17" s="74">
        <v>23</v>
      </c>
      <c r="AA17" s="74">
        <v>21</v>
      </c>
      <c r="AB17" s="74">
        <v>22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4106</v>
      </c>
      <c r="E18" s="71">
        <v>67</v>
      </c>
      <c r="F18" s="71">
        <v>3151</v>
      </c>
      <c r="G18" s="71">
        <v>3548</v>
      </c>
      <c r="H18" s="71">
        <v>0</v>
      </c>
      <c r="I18" s="71">
        <v>2712</v>
      </c>
      <c r="J18" s="71">
        <v>736</v>
      </c>
      <c r="K18" s="71">
        <v>4200</v>
      </c>
      <c r="L18" s="71">
        <v>3987</v>
      </c>
      <c r="M18" s="71">
        <v>5434</v>
      </c>
      <c r="N18" s="71">
        <v>4421</v>
      </c>
      <c r="O18" s="71">
        <v>6400</v>
      </c>
      <c r="P18" s="71">
        <v>6945</v>
      </c>
      <c r="Q18" s="71">
        <v>5138</v>
      </c>
      <c r="R18" s="71">
        <v>4966</v>
      </c>
      <c r="S18" s="71">
        <v>6194</v>
      </c>
      <c r="T18" s="71">
        <v>4871</v>
      </c>
      <c r="U18" s="71">
        <v>5916</v>
      </c>
      <c r="V18" s="71">
        <v>4949</v>
      </c>
      <c r="W18" s="71">
        <v>5052</v>
      </c>
      <c r="X18" s="71">
        <v>853</v>
      </c>
      <c r="Y18" s="109">
        <v>-9906</v>
      </c>
      <c r="Z18" s="71">
        <v>0</v>
      </c>
      <c r="AA18" s="71">
        <v>9</v>
      </c>
      <c r="AB18" s="71">
        <v>1093</v>
      </c>
      <c r="AC18" s="71">
        <v>2145</v>
      </c>
      <c r="AD18" s="71">
        <v>15.3</v>
      </c>
      <c r="AE18" s="71">
        <v>83.86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27166.156617600001</v>
      </c>
      <c r="E19" s="73" ph="1">
        <f>E18*7.0686*LOOKUP(E20,密度!$A$2:$A$50,密度!$L$2:$L$50)</f>
        <v>443.28604320000005</v>
      </c>
      <c r="F19" s="73" ph="1">
        <f>F18*9.0746*LOOKUP(F20,密度!$A$2:$A$50,密度!$L$2:$L$50)</f>
        <v>26706.856336400004</v>
      </c>
      <c r="G19" s="73" ph="1">
        <f>G18*9.0746*LOOKUP(G20,密度!$A$2:$A$50,密度!$B$2:$B$50)</f>
        <v>25071.555338959999</v>
      </c>
      <c r="H19" s="73" ph="1">
        <f>H18*9.0746*LOOKUP(H20,密度!$A$2:$A$50,密度!$L$2:$L$50)</f>
        <v>0</v>
      </c>
      <c r="I19" s="73" ph="1">
        <f>I18*9.0746*LOOKUP(I20,密度!$A$2:$A$50,密度!$U$2:$U$50)</f>
        <v>25176.352449599999</v>
      </c>
      <c r="J19" s="73" ph="1">
        <f>J18*9.0746*LOOKUP(J20,密度!$A$2:$A$50,密度!$L$2:$L$50)</f>
        <v>6244.7767360000007</v>
      </c>
      <c r="K19" s="73" ph="1">
        <f>K18*9.0746*LOOKUP(K20,密度!$A$2:$A$50,密度!$C$2:$C$50)</f>
        <v>42233.369892000002</v>
      </c>
      <c r="L19" s="73" ph="1">
        <f>L18*9.0746*LOOKUP(L20,密度!$A$2:$A$50,密度!$E$2:$E$50)</f>
        <v>28336.512932640002</v>
      </c>
      <c r="M19" s="73" ph="1">
        <f>M18*9.0746*LOOKUP(M20,密度!$A$2:$A$50,密度!$M$2:$M$50)</f>
        <v>42999.520220799997</v>
      </c>
      <c r="N19" s="73" ph="1">
        <f>N18*9.0746*LOOKUP(N20,密度!$A$2:$A$50,密度!$M$2:$M$50)</f>
        <v>35140.062700940005</v>
      </c>
      <c r="O19" s="73" ph="1">
        <f>O18*9.0746*LOOKUP(O20,密度!$A$2:$A$50,密度!$G$2:$G$50)</f>
        <v>55696.26496</v>
      </c>
      <c r="P19" s="73" ph="1">
        <f ca="1">P18*9.0746*LOOKUP(P20,密度!$A$2:$A$51,密度!$Q$2:$Q$50)</f>
        <v>59621.740454910003</v>
      </c>
      <c r="Q19" s="73" ph="1">
        <f>Q18*9.0746*LOOKUP(Q20,密度!$A$2:$A$50,密度!$Q$2:$Q$50)</f>
        <v>44108.927639644004</v>
      </c>
      <c r="R19" s="73" ph="1">
        <f>MAX(R18*9.0746*LOOKUP(R20,密度!$A$2:$A$50,密度!$B$2:$B$50),0)</f>
        <v>35015.088217200006</v>
      </c>
      <c r="S19" s="73" ph="1">
        <f>S18*9.0746*LOOKUP(S20,密度!$A$2:$A$50,密度!$Q$2:$Q$50)</f>
        <v>53174.522732572004</v>
      </c>
      <c r="T19" s="73" ph="1">
        <f>T18*9.0746*LOOKUP(T20,密度!$A$2:$A$50,密度!$O$2:$O$50)</f>
        <v>40931.400731600006</v>
      </c>
      <c r="U19" s="73" ph="1">
        <f>U18*9.0746*LOOKUP(U20,密度!$A$2:$A$50,密度!$H$2:$H$50)</f>
        <v>49105.974643919995</v>
      </c>
      <c r="V19" s="73" ph="1">
        <f>MAX(5600*LOOKUP(V20,密度!$A$2:$A$50,密度!$Q$2:$Q$50)+V18*9.0476*LOOKUP(V20,密度!$A$2:$A$50,密度!$Q$2:$Q$50),0)</f>
        <v>47586.717820488004</v>
      </c>
      <c r="W19" s="73" ph="1">
        <f>MAX(5600*LOOKUP(W20,密度!$A$2:$A$50,密度!$Q$2:$Q$50)+W18*9.0476*LOOKUP(W20,密度!$A$2:$A$50,密度!$Q$2:$Q$50),0)</f>
        <v>48467.011843423999</v>
      </c>
      <c r="X19" s="73" ph="1">
        <f>MAX(5600*LOOKUP(X20,密度!$A$2:$A$50,密度!$I$2:$I$50)+X18*9.0476*LOOKUP(X20,密度!$A$2:$A$50,密度!$I$2:$I$50),0)</f>
        <v>13850.306912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63.671023439999999</v>
      </c>
      <c r="AB19" s="73" ph="1">
        <f>AB18*9.0746*LOOKUP(AB20,密度!$A$2:$A$50,密度!$L$2:$L$50)</f>
        <v>9263.9143051999999</v>
      </c>
      <c r="AC19" s="73" ph="1">
        <f>AC18*9.0746*LOOKUP(AC20,密度!$A$2:$A$50,密度!$L$2:$L$50)</f>
        <v>18258.185945999998</v>
      </c>
      <c r="AD19" s="73" ph="1">
        <f>AD18*268.68*LOOKUP(AD20,密度!$A$2:$A$50,密度!B5:B53)+IF(AD18&lt;=0,0,1566*LOOKUP(AD20,密度!$A$2:$A$50,密度!B5:B53))</f>
        <v>4410.8767079999998</v>
      </c>
      <c r="AE19" s="73" ph="1">
        <f>AE18*268.68*LOOKUP(AE20,密度!$A$2:$A$50,密度!B5:B53)+IF(AE18&lt;=0,0,1566*LOOKUP(AE20,密度!$A$2:$A$50,密度!B5:B53))</f>
        <v>18723.761229600001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28</v>
      </c>
      <c r="G20" s="81">
        <v>26</v>
      </c>
      <c r="H20" s="81">
        <v>21</v>
      </c>
      <c r="I20" s="81">
        <v>27</v>
      </c>
      <c r="J20" s="81">
        <v>27</v>
      </c>
      <c r="K20" s="81">
        <v>26</v>
      </c>
      <c r="L20" s="81">
        <v>25</v>
      </c>
      <c r="M20" s="81">
        <v>28</v>
      </c>
      <c r="N20" s="81">
        <v>24</v>
      </c>
      <c r="O20" s="81">
        <v>26</v>
      </c>
      <c r="P20" s="81">
        <v>26</v>
      </c>
      <c r="Q20" s="81">
        <v>26</v>
      </c>
      <c r="R20" s="81">
        <v>28</v>
      </c>
      <c r="S20" s="81">
        <v>26</v>
      </c>
      <c r="T20" s="81">
        <v>27</v>
      </c>
      <c r="U20" s="81">
        <v>25</v>
      </c>
      <c r="V20" s="81">
        <v>28</v>
      </c>
      <c r="W20" s="81">
        <v>28</v>
      </c>
      <c r="X20" s="81">
        <v>27</v>
      </c>
      <c r="Y20" s="110">
        <v>27</v>
      </c>
      <c r="Z20" s="81">
        <v>30</v>
      </c>
      <c r="AA20" s="81">
        <v>25</v>
      </c>
      <c r="AB20" s="81">
        <v>28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78.64</v>
      </c>
      <c r="E24" s="71">
        <v>46.04</v>
      </c>
      <c r="F24" s="71">
        <v>1553</v>
      </c>
      <c r="G24" s="71">
        <v>3318</v>
      </c>
      <c r="H24" s="71">
        <v>537</v>
      </c>
      <c r="I24" s="71">
        <v>3793</v>
      </c>
      <c r="J24" s="71">
        <v>4839</v>
      </c>
      <c r="K24" s="71">
        <v>3835</v>
      </c>
      <c r="L24" s="71">
        <v>5582</v>
      </c>
      <c r="M24" s="71">
        <v>5108</v>
      </c>
      <c r="N24" s="71">
        <v>5504</v>
      </c>
      <c r="O24" s="71">
        <v>5579</v>
      </c>
      <c r="P24" s="71">
        <v>382</v>
      </c>
      <c r="Q24" s="90">
        <v>3676</v>
      </c>
      <c r="R24" s="71">
        <v>218</v>
      </c>
      <c r="S24" s="71">
        <v>64</v>
      </c>
      <c r="T24" s="71">
        <v>280</v>
      </c>
      <c r="U24" s="71">
        <v>4221</v>
      </c>
      <c r="V24" s="71">
        <v>10312</v>
      </c>
      <c r="W24" s="71">
        <v>8613</v>
      </c>
      <c r="X24" s="71">
        <v>3094</v>
      </c>
      <c r="Y24" s="71">
        <v>5463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21486.259755648003</v>
      </c>
      <c r="E25" s="91" ph="1">
        <f>E24*268.68*LOOKUP(E26,密度!$A$2:$A$50,密度!$C$2:$C$50)+IF(E24&lt;=0,0,1566*LOOKUP(E26,密度!$A$2:$A$50,密度!$C$2:$C$50))</f>
        <v>15453.66056208</v>
      </c>
      <c r="F25" s="91" ph="1">
        <f>F24*11.702*LOOKUP(F26,密度!$A$2:$A$50,密度!$Q$2:$Q$50)</f>
        <v>17248.008082539996</v>
      </c>
      <c r="G25" s="91" ph="1">
        <f>G24*18.322*LOOKUP(G26,密度!$A$2:$A$50,密度!$B$2:$B$50)</f>
        <v>47448.465078000001</v>
      </c>
      <c r="H25" s="91" ph="1">
        <f>H24*18.322*LOOKUP(H26,密度!$A$2:$A$50,密度!$B$2:$B$50)</f>
        <v>7688.1273995999991</v>
      </c>
      <c r="I25" s="91" ph="1">
        <f>I24*18.322*LOOKUP(I26,密度!$A$2:$A$50,密度!$Q$2:$Q$50)</f>
        <v>65957.337935139993</v>
      </c>
      <c r="J25" s="91" ph="1">
        <f>J24*18.322*LOOKUP(J26,密度!$A$2:$A$50,密度!$Q$2:$Q$50)</f>
        <v>83938.117984919998</v>
      </c>
      <c r="K25" s="91" ph="1">
        <f>K24*18.322*LOOKUP(K26,密度!$A$2:$A$50,密度!$Q$2:$Q$50)</f>
        <v>66472.674966099992</v>
      </c>
      <c r="L25" s="91" ph="1">
        <f>L24*18.322*LOOKUP(L26,密度!$A$2:$A$50,密度!$Q$2:$Q$50)</f>
        <v>96975.641672800004</v>
      </c>
      <c r="M25" s="91" ph="1">
        <f>M24*18.322*LOOKUP(M26,密度!$A$2:$A$50,密度!$Q$2:$Q$50)</f>
        <v>88672.557596719998</v>
      </c>
      <c r="N25" s="91" ph="1">
        <f>N24*18.322*LOOKUP(N26,密度!$A$2:$A$50,密度!$Q$2:$Q$50)</f>
        <v>95620.553881600004</v>
      </c>
      <c r="O25" s="91" ph="1">
        <f>O24*18.322*LOOKUP(O26,密度!$A$2:$A$50,密度!$C$2:$C$50)</f>
        <v>113421.57880479998</v>
      </c>
      <c r="P25" s="91" ph="1">
        <f>P24*11.702*LOOKUP(P26,密度!$A$2:$A$50,密度!$B$2:$B$50)</f>
        <v>3488.9630019999995</v>
      </c>
      <c r="Q25" s="92" ph="1">
        <f>Q24*18.322*LOOKUP(Q26,密度!$A$2:$A$50,密度!$B$2:$B$50)</f>
        <v>52689.213005599995</v>
      </c>
      <c r="R25" s="91" ph="1">
        <f>R24*35.891*LOOKUP(R26,密度!$A$2:$A$50,密度!$C$2:$C$50)</f>
        <v>8681.7744847999984</v>
      </c>
      <c r="S25" s="91" ph="1">
        <f>S24*35.891*LOOKUP(S26,密度!$A$2:$A$50,密度!$B$2:$B$50)</f>
        <v>1794.8945535999999</v>
      </c>
      <c r="T25" s="91" ph="1">
        <f>T24*35.891*LOOKUP(T26,密度!$A$2:$A$50,密度!$Q$2:$Q$50)</f>
        <v>9528.9169359999996</v>
      </c>
      <c r="U25" s="91" ph="1">
        <f>U24*35.891</f>
        <v>151495.91099999999</v>
      </c>
      <c r="V25" s="91" ph="1">
        <f>V24*47.051*LOOKUP(V26,密度!$A$2:$A$50,密度!$B$2:$B$50)</f>
        <v>378254.05539519998</v>
      </c>
      <c r="W25" s="91" ph="1">
        <f>W24*47.051*LOOKUP(W26,密度!$A$2:$A$50,密度!$B$2:$B$50)</f>
        <v>315933.10503480001</v>
      </c>
      <c r="X25" s="91" ph="1">
        <f>X24*47.051*LOOKUP(X26,密度!$A$2:$A$50,密度!$I$2:$I$50)</f>
        <v>151544.40155399998</v>
      </c>
      <c r="Y25" s="91" ph="1">
        <f>Y24*47.051*LOOKUP(Y26,密度!$A$2:$A$50,密度!$L$2:$L$50)</f>
        <v>241103.15699399999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24</v>
      </c>
      <c r="H26" s="74">
        <v>23</v>
      </c>
      <c r="I26" s="74">
        <v>22</v>
      </c>
      <c r="J26" s="74">
        <v>25</v>
      </c>
      <c r="K26" s="74">
        <v>26</v>
      </c>
      <c r="L26" s="74">
        <v>23</v>
      </c>
      <c r="M26" s="74">
        <v>24</v>
      </c>
      <c r="N26" s="74">
        <v>23</v>
      </c>
      <c r="O26" s="74">
        <v>24</v>
      </c>
      <c r="P26" s="74">
        <v>24</v>
      </c>
      <c r="Q26" s="93">
        <v>22</v>
      </c>
      <c r="R26" s="74">
        <v>24</v>
      </c>
      <c r="S26" s="74">
        <v>23</v>
      </c>
      <c r="T26" s="74">
        <v>23</v>
      </c>
      <c r="U26" s="74">
        <v>24</v>
      </c>
      <c r="V26" s="74">
        <v>25</v>
      </c>
      <c r="W26" s="74">
        <v>25</v>
      </c>
      <c r="X26" s="74">
        <v>26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78.7</v>
      </c>
      <c r="E27" s="71">
        <v>46.04</v>
      </c>
      <c r="F27" s="71">
        <v>1553</v>
      </c>
      <c r="G27" s="71">
        <v>2810</v>
      </c>
      <c r="H27" s="71">
        <v>157</v>
      </c>
      <c r="I27" s="71">
        <v>3793</v>
      </c>
      <c r="J27" s="71">
        <v>4839</v>
      </c>
      <c r="K27" s="71">
        <v>3834</v>
      </c>
      <c r="L27" s="71">
        <v>5580</v>
      </c>
      <c r="M27" s="71">
        <v>5107</v>
      </c>
      <c r="N27" s="71">
        <v>5504</v>
      </c>
      <c r="O27" s="71">
        <v>5577</v>
      </c>
      <c r="P27" s="71">
        <v>378</v>
      </c>
      <c r="Q27" s="90">
        <v>388</v>
      </c>
      <c r="R27" s="71">
        <v>216</v>
      </c>
      <c r="S27" s="71">
        <v>1892</v>
      </c>
      <c r="T27" s="71">
        <v>278</v>
      </c>
      <c r="U27" s="71">
        <v>3366</v>
      </c>
      <c r="V27" s="71">
        <v>11753</v>
      </c>
      <c r="W27" s="71">
        <v>8610</v>
      </c>
      <c r="X27" s="71">
        <v>3138</v>
      </c>
      <c r="Y27" s="71">
        <v>3894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21501.521961840004</v>
      </c>
      <c r="E28" s="91" ph="1">
        <f>E27*268.68*LOOKUP(E29,密度!$A$2:$A$50,密度!$C$2:$C$50)+IF(E27&lt;=0,0,1566*LOOKUP(E29,密度!$A$2:$A$50,密度!$C$2:$C$50))</f>
        <v>15453.66056208</v>
      </c>
      <c r="F28" s="91" ph="1">
        <f>F27*11.702*LOOKUP(F29,密度!$A$2:$A$50,密度!$Q$2:$Q$50)</f>
        <v>17205.30104844</v>
      </c>
      <c r="G28" s="91" ph="1">
        <f>G27*18.322*LOOKUP(G29,密度!$A$2:$A$50,密度!$B$2:$B$50)</f>
        <v>40137.565671999997</v>
      </c>
      <c r="H28" s="91" ph="1">
        <f>H27*18.322*LOOKUP(H29,密度!$A$2:$A$50,密度!$B$2:$B$50)</f>
        <v>2247.7392955999999</v>
      </c>
      <c r="I28" s="91" ph="1">
        <f>I27*18.322*LOOKUP(I29,密度!$A$2:$A$50,密度!$Q$2:$Q$50)</f>
        <v>65895.487077199999</v>
      </c>
      <c r="J28" s="91" ph="1">
        <f>J27*18.322*LOOKUP(J29,密度!$A$2:$A$50,密度!$Q$2:$Q$50)</f>
        <v>84002.839900260005</v>
      </c>
      <c r="K28" s="91" ph="1">
        <f>K27*18.322*LOOKUP(K29,密度!$A$2:$A$50,密度!$Q$2:$Q$50)</f>
        <v>66556.496833559999</v>
      </c>
      <c r="L28" s="91" ph="1">
        <f>L27*18.322*LOOKUP(L29,密度!$A$2:$A$50,密度!$Q$2:$Q$50)</f>
        <v>96940.895831999995</v>
      </c>
      <c r="M28" s="91" ph="1">
        <f>M27*18.322*LOOKUP(M29,密度!$A$2:$A$50,密度!$Q$2:$Q$50)</f>
        <v>88655.198051380008</v>
      </c>
      <c r="N28" s="91" ph="1">
        <f>N27*18.322*LOOKUP(N29,密度!$A$2:$A$50,密度!$Q$2:$Q$50)</f>
        <v>95473.321221120001</v>
      </c>
      <c r="O28" s="91" ph="1">
        <f>O27*18.322*LOOKUP(O29,密度!$A$2:$A$50,密度!$C$2:$C$50)</f>
        <v>113534.19131339999</v>
      </c>
      <c r="P28" s="91" ph="1">
        <f>P27*11.702*LOOKUP(P29,密度!$A$2:$A$50,密度!$B$2:$B$50)</f>
        <v>3456.4103783999999</v>
      </c>
      <c r="Q28" s="92" ph="1">
        <f>Q27*18.322*LOOKUP(Q29,密度!$A$2:$A$50,密度!$B$2:$B$50)</f>
        <v>5554.9225903999995</v>
      </c>
      <c r="R28" s="91" ph="1">
        <f>R27*35.891*LOOKUP(R29,密度!$A$2:$A$50,密度!$C$2:$C$50)</f>
        <v>8602.125177599999</v>
      </c>
      <c r="S28" s="91" ph="1">
        <f>S27*35.891*LOOKUP(S29,密度!$A$2:$A$50,密度!$B$2:$B$50)</f>
        <v>53061.5702408</v>
      </c>
      <c r="T28" s="91" ph="1">
        <f>T27*35.891*LOOKUP(T29,密度!$A$2:$A$50,密度!$Q$2:$Q$50)</f>
        <v>9446.285804520001</v>
      </c>
      <c r="U28" s="91" ph="1">
        <f>U27*35.891</f>
        <v>120809.106</v>
      </c>
      <c r="V28" s="91" ph="1">
        <f>V27*47.051*LOOKUP(V29,密度!$A$2:$A$50,密度!$B$2:$B$50)</f>
        <v>431609.00954150001</v>
      </c>
      <c r="W28" s="91" ph="1">
        <f>W27*47.051*LOOKUP(W29,密度!$A$2:$A$50,密度!$B$2:$B$50)</f>
        <v>316552.258554</v>
      </c>
      <c r="X28" s="91" ph="1">
        <f>X27*47.051*LOOKUP(X29,密度!$A$2:$A$50,密度!$I$2:$I$50)</f>
        <v>153891.46540740001</v>
      </c>
      <c r="Y28" s="91" ph="1">
        <f>Y27*47.051*LOOKUP(Y29,密度!$A$2:$A$50,密度!$L$2:$L$50)</f>
        <v>171857.16517200001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25</v>
      </c>
      <c r="G29" s="74">
        <v>25</v>
      </c>
      <c r="H29" s="74">
        <v>23</v>
      </c>
      <c r="I29" s="74">
        <v>23</v>
      </c>
      <c r="J29" s="74">
        <v>24</v>
      </c>
      <c r="K29" s="74">
        <v>24</v>
      </c>
      <c r="L29" s="74">
        <v>23</v>
      </c>
      <c r="M29" s="74">
        <v>24</v>
      </c>
      <c r="N29" s="74">
        <v>25</v>
      </c>
      <c r="O29" s="74">
        <v>22</v>
      </c>
      <c r="P29" s="74">
        <v>23</v>
      </c>
      <c r="Q29" s="93">
        <v>23</v>
      </c>
      <c r="R29" s="74">
        <v>24</v>
      </c>
      <c r="S29" s="74">
        <v>23</v>
      </c>
      <c r="T29" s="74">
        <v>25</v>
      </c>
      <c r="U29" s="74">
        <v>25</v>
      </c>
      <c r="V29" s="74">
        <v>24</v>
      </c>
      <c r="W29" s="74">
        <v>23</v>
      </c>
      <c r="X29" s="74">
        <v>25</v>
      </c>
      <c r="Y29" s="74">
        <v>24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133667.31732660002</v>
      </c>
      <c r="E33" s="190" ph="1">
        <f>M10+I10</f>
        <v>49167.4195196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6" ph="1">
        <v>0</v>
      </c>
      <c r="H33" s="190" ph="1">
        <f>N19</f>
        <v>35140.062700940005</v>
      </c>
      <c r="I33" s="194" ph="1">
        <v>0</v>
      </c>
      <c r="J33" s="198" ph="1">
        <f>F10+O28</f>
        <v>360153.5921598</v>
      </c>
      <c r="K33" s="190" ph="1">
        <f>O10+K10+E28+R28</f>
        <v>26355.12544168</v>
      </c>
      <c r="L33" s="200" ph="1">
        <f>BE27</f>
        <v>7100</v>
      </c>
      <c r="M33" s="198" ph="1">
        <f>G10+H10+W28+S28+V28+E10</f>
        <v>1103923.4819013001</v>
      </c>
      <c r="N33" s="190" ph="1">
        <f>L10+P10++G28+H28</f>
        <v>236716.43642760001</v>
      </c>
      <c r="O33" s="194" ph="1">
        <f>BE17</f>
        <v>2270</v>
      </c>
      <c r="P33" s="198" ph="1">
        <f>L19</f>
        <v>28336.512932640002</v>
      </c>
      <c r="Q33" s="190" ph="1">
        <f>J10+N10</f>
        <v>78259.312082400007</v>
      </c>
      <c r="R33" s="194" ph="1">
        <f>BE23</f>
        <v>890</v>
      </c>
      <c r="S33" s="198" ph="1">
        <f>E10+X28</f>
        <v>287867.71338740003</v>
      </c>
      <c r="T33" s="190" ph="1">
        <f>X19</f>
        <v>13850.306912</v>
      </c>
      <c r="U33" s="179" ph="1">
        <f>BE21</f>
        <v>730</v>
      </c>
      <c r="V33" s="192" ph="1">
        <f ca="1">P19+Q19+S19+M28+N28+J28</f>
        <v>425036.54999988608</v>
      </c>
      <c r="W33" s="192" ph="1">
        <f>D28+F28+V19+T28</f>
        <v>95739.826635288002</v>
      </c>
      <c r="X33" s="194" ph="1">
        <f>BE29+BE31</f>
        <v>10200</v>
      </c>
      <c r="Y33" s="196" ph="1">
        <f>+Q10+R10+S10+T10+U10+V10+W10+X10+Y10</f>
        <v>296095.12219979998</v>
      </c>
      <c r="Z33" s="177" ph="1">
        <f>D10+T19+U19+Y28+Z10</f>
        <v>573212.96086958004</v>
      </c>
      <c r="AA33" s="179" ph="1">
        <f>BE19</f>
        <v>1440</v>
      </c>
      <c r="AB33" s="181" ph="1">
        <f>I19</f>
        <v>25176.352449599999</v>
      </c>
      <c r="AC33" s="183" ph="1">
        <f>AD10</f>
        <v>85378.417440000005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639" priority="98">
      <formula>ABS(D$7-D$10)&gt;=1000</formula>
    </cfRule>
  </conditionalFormatting>
  <conditionalFormatting sqref="E4 E6:E11">
    <cfRule type="expression" dxfId="638" priority="97">
      <formula>ABS(E$7-E$10)&gt;=1000</formula>
    </cfRule>
  </conditionalFormatting>
  <conditionalFormatting sqref="F4:F11">
    <cfRule type="expression" dxfId="637" priority="96">
      <formula>ABS(F$7-F$10)&gt;=1000</formula>
    </cfRule>
  </conditionalFormatting>
  <conditionalFormatting sqref="G4:G11">
    <cfRule type="expression" dxfId="636" priority="95">
      <formula>ABS(G$7-G$10)&gt;=1000</formula>
    </cfRule>
  </conditionalFormatting>
  <conditionalFormatting sqref="H4:H11">
    <cfRule type="expression" dxfId="635" priority="94">
      <formula>ABS(H$7-H$10)&gt;=1000</formula>
    </cfRule>
  </conditionalFormatting>
  <conditionalFormatting sqref="I4:I11">
    <cfRule type="expression" dxfId="634" priority="93">
      <formula>ABS(I$7-I$10)&gt;=1000</formula>
    </cfRule>
  </conditionalFormatting>
  <conditionalFormatting sqref="J4:J11">
    <cfRule type="expression" dxfId="633" priority="92">
      <formula>ABS(J$7-J$10)&gt;=1000</formula>
    </cfRule>
  </conditionalFormatting>
  <conditionalFormatting sqref="K4:K11">
    <cfRule type="expression" dxfId="632" priority="91">
      <formula>ABS(K$7-K$10)&gt;=1000</formula>
    </cfRule>
  </conditionalFormatting>
  <conditionalFormatting sqref="L4:L11">
    <cfRule type="expression" dxfId="631" priority="90">
      <formula>ABS(L$7-L$10)&gt;=1000</formula>
    </cfRule>
  </conditionalFormatting>
  <conditionalFormatting sqref="M4 M6:M11">
    <cfRule type="expression" dxfId="630" priority="89">
      <formula>ABS(M$7-M$10)&gt;=1000</formula>
    </cfRule>
  </conditionalFormatting>
  <conditionalFormatting sqref="N4 N6:N11">
    <cfRule type="expression" dxfId="629" priority="88">
      <formula>ABS(N$7-N$10)&gt;=1000</formula>
    </cfRule>
  </conditionalFormatting>
  <conditionalFormatting sqref="O4 O6:O11">
    <cfRule type="expression" dxfId="628" priority="87">
      <formula>ABS(O$7-O$10)&gt;=1000</formula>
    </cfRule>
  </conditionalFormatting>
  <conditionalFormatting sqref="P4 P6:P11">
    <cfRule type="expression" dxfId="627" priority="86">
      <formula>ABS(P$7-P$10)&gt;=1000</formula>
    </cfRule>
  </conditionalFormatting>
  <conditionalFormatting sqref="Q4:Q11">
    <cfRule type="expression" dxfId="626" priority="85">
      <formula>ABS(Q$7-Q$10)&gt;=1000</formula>
    </cfRule>
  </conditionalFormatting>
  <conditionalFormatting sqref="R4:R11">
    <cfRule type="expression" dxfId="625" priority="84">
      <formula>ABS(R$7-R$10)&gt;=1000</formula>
    </cfRule>
  </conditionalFormatting>
  <conditionalFormatting sqref="S4:S11">
    <cfRule type="expression" dxfId="624" priority="83">
      <formula>ABS(S$7-S$10)&gt;=1000</formula>
    </cfRule>
  </conditionalFormatting>
  <conditionalFormatting sqref="T4:T9 T11">
    <cfRule type="expression" dxfId="623" priority="82">
      <formula>ABS(T$7-T$10)&gt;=1000</formula>
    </cfRule>
  </conditionalFormatting>
  <conditionalFormatting sqref="U4:U9 U11">
    <cfRule type="expression" dxfId="622" priority="81">
      <formula>ABS(U$7-U$10)&gt;=1000</formula>
    </cfRule>
  </conditionalFormatting>
  <conditionalFormatting sqref="V4:V9 V11">
    <cfRule type="expression" dxfId="621" priority="80">
      <formula>ABS(V$7-V$10)&gt;=1000</formula>
    </cfRule>
  </conditionalFormatting>
  <conditionalFormatting sqref="W4:W9 W11">
    <cfRule type="expression" dxfId="620" priority="79">
      <formula>ABS(W$7-W$10)&gt;=1000</formula>
    </cfRule>
  </conditionalFormatting>
  <conditionalFormatting sqref="X4:X9 X11">
    <cfRule type="expression" dxfId="619" priority="78">
      <formula>ABS(X$7-X$10)&gt;=1000</formula>
    </cfRule>
  </conditionalFormatting>
  <conditionalFormatting sqref="Y4:Y9 Y11">
    <cfRule type="expression" dxfId="618" priority="77">
      <formula>ABS(Y$7-Y$10)&gt;=1000</formula>
    </cfRule>
  </conditionalFormatting>
  <conditionalFormatting sqref="Z4:Z11">
    <cfRule type="expression" dxfId="617" priority="76">
      <formula>ABS(Z$7-Z$10)&gt;=1000</formula>
    </cfRule>
  </conditionalFormatting>
  <conditionalFormatting sqref="AA4:AA11">
    <cfRule type="expression" dxfId="616" priority="75">
      <formula>ABS(AA$7-AA$10)&gt;=1000</formula>
    </cfRule>
  </conditionalFormatting>
  <conditionalFormatting sqref="AB4:AB11">
    <cfRule type="expression" dxfId="615" priority="74">
      <formula>ABS(AB$7-AB$10)&gt;=1000</formula>
    </cfRule>
  </conditionalFormatting>
  <conditionalFormatting sqref="AC4 AC6:AC11">
    <cfRule type="expression" dxfId="614" priority="73">
      <formula>ABS(AC$7-AC$10)&gt;=1000</formula>
    </cfRule>
  </conditionalFormatting>
  <conditionalFormatting sqref="AD4:AD11">
    <cfRule type="expression" dxfId="613" priority="72">
      <formula>ABS(AD$7-AD$10)&gt;=1000</formula>
    </cfRule>
  </conditionalFormatting>
  <conditionalFormatting sqref="AE4 AE6:AE11">
    <cfRule type="expression" dxfId="612" priority="71">
      <formula>ABS(AE$7-AE$10)&gt;=1000</formula>
    </cfRule>
  </conditionalFormatting>
  <conditionalFormatting sqref="D13:D20">
    <cfRule type="expression" dxfId="611" priority="70">
      <formula>ABS(D$16-D$19)&gt;=1000</formula>
    </cfRule>
  </conditionalFormatting>
  <conditionalFormatting sqref="E13:E20">
    <cfRule type="expression" dxfId="610" priority="69">
      <formula>ABS(E$16-E$19)&gt;=1000</formula>
    </cfRule>
  </conditionalFormatting>
  <conditionalFormatting sqref="F13 F15:F20">
    <cfRule type="expression" dxfId="609" priority="68">
      <formula>ABS(F$16-F$19)&gt;=1000</formula>
    </cfRule>
  </conditionalFormatting>
  <conditionalFormatting sqref="G13:G20">
    <cfRule type="expression" dxfId="608" priority="67">
      <formula>ABS(G$16-G$19)&gt;=1000</formula>
    </cfRule>
  </conditionalFormatting>
  <conditionalFormatting sqref="H13:H20">
    <cfRule type="expression" dxfId="607" priority="66">
      <formula>ABS(H$16-H$19)&gt;=1000</formula>
    </cfRule>
  </conditionalFormatting>
  <conditionalFormatting sqref="I13:I20">
    <cfRule type="expression" dxfId="606" priority="65">
      <formula>ABS(I$16-I$19)&gt;=1000</formula>
    </cfRule>
  </conditionalFormatting>
  <conditionalFormatting sqref="J13:J20">
    <cfRule type="expression" dxfId="605" priority="64">
      <formula>ABS(J$16-J$19)&gt;=1000</formula>
    </cfRule>
  </conditionalFormatting>
  <conditionalFormatting sqref="L13:L20">
    <cfRule type="expression" dxfId="604" priority="63">
      <formula>ABS(L$16-L$19)&gt;=1000</formula>
    </cfRule>
  </conditionalFormatting>
  <conditionalFormatting sqref="M13 M15 M17:M18 M20">
    <cfRule type="expression" dxfId="603" priority="62">
      <formula>ABS(M$16-M$19)&gt;=1000</formula>
    </cfRule>
  </conditionalFormatting>
  <conditionalFormatting sqref="N13:N20">
    <cfRule type="expression" dxfId="602" priority="61">
      <formula>ABS(N$16-N$19)&gt;=1000</formula>
    </cfRule>
  </conditionalFormatting>
  <conditionalFormatting sqref="O13:O20">
    <cfRule type="expression" dxfId="601" priority="60">
      <formula>ABS(O$16-O$19)&gt;=1000</formula>
    </cfRule>
  </conditionalFormatting>
  <conditionalFormatting sqref="P13:P20">
    <cfRule type="expression" dxfId="600" priority="59">
      <formula>ABS(P$16-P$19)&gt;=1000</formula>
    </cfRule>
  </conditionalFormatting>
  <conditionalFormatting sqref="Q13 Q15:Q20">
    <cfRule type="expression" dxfId="599" priority="58">
      <formula>ABS(Q$16-Q$19)&gt;=1000</formula>
    </cfRule>
  </conditionalFormatting>
  <conditionalFormatting sqref="R13:R20">
    <cfRule type="expression" dxfId="598" priority="57">
      <formula>ABS(R$16-R$19)&gt;=1000</formula>
    </cfRule>
  </conditionalFormatting>
  <conditionalFormatting sqref="S13:S20">
    <cfRule type="expression" dxfId="597" priority="56">
      <formula>ABS(S$16-S$19)&gt;=1000</formula>
    </cfRule>
  </conditionalFormatting>
  <conditionalFormatting sqref="T13:T20">
    <cfRule type="expression" dxfId="596" priority="55">
      <formula>ABS(T$16-T$19)&gt;=1000</formula>
    </cfRule>
  </conditionalFormatting>
  <conditionalFormatting sqref="U13:U20">
    <cfRule type="expression" dxfId="595" priority="54">
      <formula>ABS(U$16-U$19)&gt;=1000</formula>
    </cfRule>
  </conditionalFormatting>
  <conditionalFormatting sqref="V13:V20">
    <cfRule type="expression" dxfId="594" priority="53">
      <formula>ABS(V$16-V$19)&gt;=1000</formula>
    </cfRule>
  </conditionalFormatting>
  <conditionalFormatting sqref="W13 W20 W15:W18">
    <cfRule type="expression" dxfId="593" priority="52">
      <formula>ABS(W$16-W$19)&gt;=1000</formula>
    </cfRule>
  </conditionalFormatting>
  <conditionalFormatting sqref="X13 X15:X20 Y19">
    <cfRule type="expression" dxfId="592" priority="51">
      <formula>ABS(X$16-X$19)&gt;=1000</formula>
    </cfRule>
  </conditionalFormatting>
  <conditionalFormatting sqref="Y13 Y15:Y18 Y20">
    <cfRule type="expression" dxfId="591" priority="50">
      <formula>ABS(Y$16-Y$19)&gt;=1000</formula>
    </cfRule>
  </conditionalFormatting>
  <conditionalFormatting sqref="Z13:Z20">
    <cfRule type="expression" dxfId="590" priority="49">
      <formula>ABS(Z$16-Z$19)&gt;=1000</formula>
    </cfRule>
  </conditionalFormatting>
  <conditionalFormatting sqref="AA13:AA20">
    <cfRule type="expression" dxfId="589" priority="48">
      <formula>ABS(AA$16-AA$19)&gt;=1000</formula>
    </cfRule>
  </conditionalFormatting>
  <conditionalFormatting sqref="AB13 AB15:AB20">
    <cfRule type="expression" dxfId="588" priority="47">
      <formula>ABS(AB$16-AB$19)&gt;=1000</formula>
    </cfRule>
  </conditionalFormatting>
  <conditionalFormatting sqref="AC13 AC15:AC20">
    <cfRule type="expression" dxfId="587" priority="46">
      <formula>ABS(AC$16-AC$19)&gt;=1000</formula>
    </cfRule>
  </conditionalFormatting>
  <conditionalFormatting sqref="AD13:AD20">
    <cfRule type="expression" dxfId="586" priority="45">
      <formula>ABS(AD$16-AD$19)&gt;=1000</formula>
    </cfRule>
  </conditionalFormatting>
  <conditionalFormatting sqref="AE13:AE20">
    <cfRule type="expression" dxfId="585" priority="44">
      <formula>ABS(AE$16-AE$19)&gt;=1000</formula>
    </cfRule>
  </conditionalFormatting>
  <conditionalFormatting sqref="D22:D29">
    <cfRule type="expression" dxfId="584" priority="43">
      <formula>ABS(D$25-D$28)&gt;=1000</formula>
    </cfRule>
  </conditionalFormatting>
  <conditionalFormatting sqref="E22:E29">
    <cfRule type="expression" dxfId="583" priority="42">
      <formula>ABS(E$25-E$28)&gt;=1000</formula>
    </cfRule>
  </conditionalFormatting>
  <conditionalFormatting sqref="F22:F29">
    <cfRule type="expression" dxfId="582" priority="41">
      <formula>ABS(F$25-F$28)&gt;=1000</formula>
    </cfRule>
  </conditionalFormatting>
  <conditionalFormatting sqref="G22:G29">
    <cfRule type="expression" dxfId="581" priority="40">
      <formula>ABS(G$25-G$28)&gt;=1000</formula>
    </cfRule>
  </conditionalFormatting>
  <conditionalFormatting sqref="H22:H29">
    <cfRule type="expression" dxfId="580" priority="39">
      <formula>ABS(H$25-H$28)&gt;=1000</formula>
    </cfRule>
  </conditionalFormatting>
  <conditionalFormatting sqref="I22 I24:I29">
    <cfRule type="expression" dxfId="579" priority="38">
      <formula>ABS(I$25-I$28)&gt;=1000</formula>
    </cfRule>
  </conditionalFormatting>
  <conditionalFormatting sqref="J22:J29 K22">
    <cfRule type="expression" dxfId="578" priority="37">
      <formula>ABS(J$25-J$28)&gt;=1000</formula>
    </cfRule>
  </conditionalFormatting>
  <conditionalFormatting sqref="K23:K29 L25 L28">
    <cfRule type="expression" dxfId="577" priority="36">
      <formula>ABS(K$25-K$28)&gt;=1000</formula>
    </cfRule>
  </conditionalFormatting>
  <conditionalFormatting sqref="L22 L26:L27 L29 L24">
    <cfRule type="expression" dxfId="576" priority="35">
      <formula>ABS(L$25-L$28)&gt;=1000</formula>
    </cfRule>
  </conditionalFormatting>
  <conditionalFormatting sqref="M22:M29">
    <cfRule type="expression" dxfId="575" priority="34">
      <formula>ABS(M$25-M$28)&gt;=1000</formula>
    </cfRule>
  </conditionalFormatting>
  <conditionalFormatting sqref="N22:N29">
    <cfRule type="expression" dxfId="574" priority="33">
      <formula>ABS(N$25-N$28)&gt;=1000</formula>
    </cfRule>
  </conditionalFormatting>
  <conditionalFormatting sqref="O22:O29">
    <cfRule type="expression" dxfId="573" priority="32">
      <formula>ABS(O$25-O$28)&gt;=1000</formula>
    </cfRule>
  </conditionalFormatting>
  <conditionalFormatting sqref="P22:P29">
    <cfRule type="expression" dxfId="572" priority="31">
      <formula>ABS(P$25-P$28)&gt;=1000</formula>
    </cfRule>
  </conditionalFormatting>
  <conditionalFormatting sqref="Q22:Q29">
    <cfRule type="expression" dxfId="571" priority="30">
      <formula>ABS(Q$25-Q$28)&gt;=1000</formula>
    </cfRule>
  </conditionalFormatting>
  <conditionalFormatting sqref="R22:R29">
    <cfRule type="expression" dxfId="570" priority="29">
      <formula>ABS(R$25-R$28)&gt;=1000</formula>
    </cfRule>
  </conditionalFormatting>
  <conditionalFormatting sqref="S22:S29">
    <cfRule type="expression" dxfId="569" priority="28">
      <formula>ABS(S$25-S$28)&gt;=1000</formula>
    </cfRule>
  </conditionalFormatting>
  <conditionalFormatting sqref="T22:T29">
    <cfRule type="expression" dxfId="568" priority="27">
      <formula>ABS(T$25-T$28)&gt;=1000</formula>
    </cfRule>
  </conditionalFormatting>
  <conditionalFormatting sqref="U22:U29">
    <cfRule type="expression" dxfId="567" priority="26">
      <formula>ABS(U$25-U$28)&gt;=1000</formula>
    </cfRule>
  </conditionalFormatting>
  <conditionalFormatting sqref="V22:V29">
    <cfRule type="expression" dxfId="566" priority="25">
      <formula>ABS(V$25-V$28)&gt;=1000</formula>
    </cfRule>
  </conditionalFormatting>
  <conditionalFormatting sqref="W22:W29">
    <cfRule type="expression" dxfId="565" priority="24">
      <formula>ABS(W$25-W$28)&gt;=1000</formula>
    </cfRule>
  </conditionalFormatting>
  <conditionalFormatting sqref="X22:X29">
    <cfRule type="expression" dxfId="564" priority="23">
      <formula>ABS(X$25-X$28)&gt;=1000</formula>
    </cfRule>
  </conditionalFormatting>
  <conditionalFormatting sqref="Y22:Y29">
    <cfRule type="expression" dxfId="563" priority="22">
      <formula>ABS(Y$25-Y$28)&gt;=1000</formula>
    </cfRule>
  </conditionalFormatting>
  <conditionalFormatting sqref="I23">
    <cfRule type="expression" dxfId="562" priority="21">
      <formula>ABS(I$25-I$28)&gt;=1000</formula>
    </cfRule>
  </conditionalFormatting>
  <conditionalFormatting sqref="Q14">
    <cfRule type="expression" dxfId="561" priority="20">
      <formula>ABS(Q$16-Q$19)&gt;=1000</formula>
    </cfRule>
  </conditionalFormatting>
  <conditionalFormatting sqref="W14">
    <cfRule type="expression" dxfId="560" priority="19">
      <formula>ABS(W$16-W$19)&gt;=1000</formula>
    </cfRule>
  </conditionalFormatting>
  <conditionalFormatting sqref="Y14">
    <cfRule type="expression" dxfId="559" priority="18">
      <formula>ABS(Y$16-Y$19)&gt;=1000</formula>
    </cfRule>
  </conditionalFormatting>
  <conditionalFormatting sqref="X14">
    <cfRule type="expression" dxfId="558" priority="17">
      <formula>ABS(X$16-X$19)&gt;=1000</formula>
    </cfRule>
  </conditionalFormatting>
  <conditionalFormatting sqref="T10:Y10">
    <cfRule type="expression" dxfId="557" priority="16">
      <formula>ABS(T$7-T$10)&gt;=1000</formula>
    </cfRule>
  </conditionalFormatting>
  <conditionalFormatting sqref="W19">
    <cfRule type="expression" dxfId="556" priority="15">
      <formula>ABS(W$16-W$19)&gt;=1000</formula>
    </cfRule>
  </conditionalFormatting>
  <conditionalFormatting sqref="AC5">
    <cfRule type="expression" dxfId="555" priority="14">
      <formula>ABS(AC$7-AC$10)&gt;=1000</formula>
    </cfRule>
  </conditionalFormatting>
  <conditionalFormatting sqref="M14">
    <cfRule type="expression" dxfId="554" priority="13">
      <formula>ABS(M$16-M$19)&gt;=1000</formula>
    </cfRule>
  </conditionalFormatting>
  <conditionalFormatting sqref="M16">
    <cfRule type="expression" dxfId="553" priority="12">
      <formula>ABS(M$16-M$19)&gt;=1000</formula>
    </cfRule>
  </conditionalFormatting>
  <conditionalFormatting sqref="M19">
    <cfRule type="expression" dxfId="552" priority="11">
      <formula>ABS(M$16-M$19)&gt;=1000</formula>
    </cfRule>
  </conditionalFormatting>
  <conditionalFormatting sqref="K13:K20">
    <cfRule type="expression" dxfId="551" priority="10">
      <formula>ABS(K$16-K$19)&gt;=1000</formula>
    </cfRule>
  </conditionalFormatting>
  <conditionalFormatting sqref="E5">
    <cfRule type="expression" dxfId="550" priority="9">
      <formula>ABS(E$7-E$10)&gt;=1000</formula>
    </cfRule>
  </conditionalFormatting>
  <conditionalFormatting sqref="AB14:AC14">
    <cfRule type="expression" dxfId="549" priority="8">
      <formula>ABS(AB$16-AB$19)&gt;=1000</formula>
    </cfRule>
  </conditionalFormatting>
  <conditionalFormatting sqref="M5">
    <cfRule type="expression" dxfId="548" priority="7">
      <formula>ABS(M$7-M$10)&gt;=1000</formula>
    </cfRule>
  </conditionalFormatting>
  <conditionalFormatting sqref="N5">
    <cfRule type="expression" dxfId="547" priority="6">
      <formula>ABS(N$7-N$10)&gt;=1000</formula>
    </cfRule>
  </conditionalFormatting>
  <conditionalFormatting sqref="O5">
    <cfRule type="expression" dxfId="546" priority="5">
      <formula>ABS(O$7-O$10)&gt;=1000</formula>
    </cfRule>
  </conditionalFormatting>
  <conditionalFormatting sqref="P5">
    <cfRule type="expression" dxfId="545" priority="4">
      <formula>ABS(P$7-P$10)&gt;=1000</formula>
    </cfRule>
  </conditionalFormatting>
  <conditionalFormatting sqref="L23">
    <cfRule type="expression" dxfId="544" priority="3">
      <formula>ABS(L$25-L$28)&gt;=1000</formula>
    </cfRule>
  </conditionalFormatting>
  <conditionalFormatting sqref="F14">
    <cfRule type="expression" dxfId="543" priority="2">
      <formula>ABS(F$16-F$19)&gt;=1000</formula>
    </cfRule>
  </conditionalFormatting>
  <conditionalFormatting sqref="AE5">
    <cfRule type="expression" dxfId="54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31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1">
    <pageSetUpPr fitToPage="1"/>
  </sheetPr>
  <dimension ref="A1:CU223"/>
  <sheetViews>
    <sheetView view="pageBreakPreview" topLeftCell="A13" zoomScale="80" zoomScaleNormal="100" zoomScaleSheetLayoutView="80" workbookViewId="0">
      <selection activeCell="E6" sqref="E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45958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6786</v>
      </c>
      <c r="E6" s="71">
        <v>3335</v>
      </c>
      <c r="F6" s="71">
        <v>6695</v>
      </c>
      <c r="G6" s="71">
        <v>1897</v>
      </c>
      <c r="H6" s="71">
        <v>1724</v>
      </c>
      <c r="I6" s="71">
        <v>7.0000000000000007E-2</v>
      </c>
      <c r="J6" s="71">
        <v>7.03</v>
      </c>
      <c r="K6" s="71">
        <v>66.78</v>
      </c>
      <c r="L6" s="71">
        <v>32.08</v>
      </c>
      <c r="M6" s="71">
        <v>1444</v>
      </c>
      <c r="N6" s="71">
        <v>2947</v>
      </c>
      <c r="O6" s="71">
        <v>104</v>
      </c>
      <c r="P6" s="71">
        <v>4279</v>
      </c>
      <c r="Q6" s="71">
        <v>2339</v>
      </c>
      <c r="R6" s="71">
        <v>0</v>
      </c>
      <c r="S6" s="71">
        <v>0</v>
      </c>
      <c r="T6" s="71">
        <v>7124</v>
      </c>
      <c r="U6" s="71">
        <v>6140</v>
      </c>
      <c r="V6" s="71">
        <v>5158</v>
      </c>
      <c r="W6" s="71">
        <v>6991</v>
      </c>
      <c r="X6" s="71">
        <v>7080</v>
      </c>
      <c r="Y6" s="71">
        <v>4624</v>
      </c>
      <c r="Z6" s="71">
        <v>4266</v>
      </c>
      <c r="AA6" s="71">
        <v>2331</v>
      </c>
      <c r="AB6" s="71">
        <v>2573</v>
      </c>
      <c r="AC6" s="71">
        <v>536</v>
      </c>
      <c r="AD6" s="71">
        <v>4350</v>
      </c>
      <c r="AE6" s="71">
        <v>3165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213351.14110986001</v>
      </c>
      <c r="E7" s="73" ph="1">
        <f>E6*51.53*LOOKUP(E8,密度!$A$2:$A$50,密度!$B$2:$B$50)</f>
        <v>134285.58257</v>
      </c>
      <c r="F7" s="73" ph="1">
        <f>F6*33.183*LOOKUP(F8,密度!$A$2:$A$50,密度!$C$2:$C$50)</f>
        <v>246842.18155350001</v>
      </c>
      <c r="G7" s="73" ph="1">
        <f xml:space="preserve"> (G6+2)*51.53*LOOKUP(G8,密度!$A$2:$A$50,密度!$B$2:$B$50)</f>
        <v>76464.264257999996</v>
      </c>
      <c r="H7" s="73" ph="1">
        <f>(H6)*51.53*LOOKUP(H8,密度!$A$2:$A$50,密度!$B$2:$B$50)</f>
        <v>69799.796604000003</v>
      </c>
      <c r="I7" s="73" ph="1">
        <f>I6*290.8*1.0267</f>
        <v>20.8995052</v>
      </c>
      <c r="J7" s="73" ph="1">
        <f>J6*290.8*0.7892</f>
        <v>1613.3805008000002</v>
      </c>
      <c r="K7" s="73" ph="1">
        <f>K6*290.8*1.1126</f>
        <v>21606.273662399999</v>
      </c>
      <c r="L7" s="73" ph="1">
        <f>L6*290.8*0.777</f>
        <v>7248.5273280000001</v>
      </c>
      <c r="M7" s="73" ph="1">
        <f>M6*33.183*LOOKUP(M8,密度!$A$2:$A$50,密度!$D$2:$D$50)</f>
        <v>49286.656807200001</v>
      </c>
      <c r="N7" s="73" ph="1">
        <f>N6*33.183*LOOKUP(N8,密度!$A$2:$A$50,密度!$E$2:$E$50)</f>
        <v>76589.363743200011</v>
      </c>
      <c r="O7" s="73" ph="1">
        <f>O6*20.428*LOOKUP(O8,密度!$A$2:$A$50,密度!$C$2:$C$50)</f>
        <v>2357.3585152000001</v>
      </c>
      <c r="P7" s="73" ph="1">
        <f>P6*51.53*LOOKUP(P8,密度!$A$2:$A$50,密度!$B$2:$B$50)</f>
        <v>172494.701401</v>
      </c>
      <c r="Q7" s="73" ph="1">
        <f>Q6*1.5*1.5*3.1416*LOOKUP(W8,密度!$A$2:$A$50,密度!$L$2:$L$50)</f>
        <v>15508.381165199999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47486.3741352</v>
      </c>
      <c r="U7" s="73" ph="1">
        <f>U6*1.5*1.5*3.1416*LOOKUP(U8,密度!$A$2:$A$50,密度!$L$2:$L$50)</f>
        <v>40753.730555999995</v>
      </c>
      <c r="V7" s="73" ph="1">
        <f>V6*1.5*1.5*3.1416*LOOKUP(V8,密度!$A$2:$A$50,密度!$L$2:$L$50)</f>
        <v>34089.949278</v>
      </c>
      <c r="W7" s="73" ph="1">
        <f>W6*1.5*1.5*3.1416*LOOKUP(W8,密度!$A$2:$A$50,密度!$L$2:$L$50)</f>
        <v>46352.754478800001</v>
      </c>
      <c r="X7" s="73" ph="1">
        <f>X6*1.5*1.5*3.1416*LOOKUP(X8,密度!$A$2:$A$50,密度!$L$2:$L$50)</f>
        <v>47443.312224000001</v>
      </c>
      <c r="Y7" s="73" ph="1">
        <f>Y6*1.5*1.5*3.1416*LOOKUP(Y8,密度!$A$2:$A$50,密度!$L$2:$L$50)</f>
        <v>30724.094015999999</v>
      </c>
      <c r="Z7" s="73" ph="1">
        <f>Z6*33.183*LOOKUP(Z8,密度!$A$2:$A$50,密度!$L$2:$L$50)</f>
        <v>133348.27467599997</v>
      </c>
      <c r="AA7" s="73" ph="1">
        <f>AA6*33.183*LOOKUP(AA8,密度!$A$2:$A$50,密度!$D$2:$D$50)</f>
        <v>79631.385403500011</v>
      </c>
      <c r="AB7" s="73" ph="1">
        <f>AB6*20.428*LOOKUP(AB8,密度!$A$2:$A$50,密度!$D$2:$D$50)</f>
        <v>54390.375291199998</v>
      </c>
      <c r="AC7" s="73" ph="1">
        <f>AC6*51.53*LOOKUP(AC8,密度!$A$2:$A$50,密度!$Q$2:$Q$50)</f>
        <v>26294.592360800001</v>
      </c>
      <c r="AD7" s="73" ph="1">
        <f>AD6*20.428*LOOKUP(AD8,密度!$A$2:$A$50,密度!$V$2:$V$50)</f>
        <v>85378.417440000005</v>
      </c>
      <c r="AE7" s="73" ph="1">
        <f>AE6*20.428</f>
        <v>64654.62</v>
      </c>
    </row>
    <row r="8" spans="1:99" ph="1">
      <c r="B8" s="241" ph="1"/>
      <c r="C8" s="68" t="s" ph="1">
        <v>179</v>
      </c>
      <c r="D8" s="74">
        <v>24</v>
      </c>
      <c r="E8" s="74">
        <v>23</v>
      </c>
      <c r="F8" s="74">
        <v>22</v>
      </c>
      <c r="G8" s="74">
        <v>23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25</v>
      </c>
      <c r="O8" s="74">
        <v>24</v>
      </c>
      <c r="P8" s="74">
        <v>22</v>
      </c>
      <c r="Q8" s="74">
        <v>23</v>
      </c>
      <c r="R8" s="74">
        <v>28</v>
      </c>
      <c r="S8" s="74">
        <v>18</v>
      </c>
      <c r="T8" s="74">
        <v>19</v>
      </c>
      <c r="U8" s="74">
        <v>23</v>
      </c>
      <c r="V8" s="74">
        <v>27</v>
      </c>
      <c r="W8" s="74">
        <v>24</v>
      </c>
      <c r="X8" s="74">
        <v>14</v>
      </c>
      <c r="Y8" s="74">
        <v>22</v>
      </c>
      <c r="Z8" s="74">
        <v>20</v>
      </c>
      <c r="AA8" s="74">
        <v>22</v>
      </c>
      <c r="AB8" s="74">
        <v>16</v>
      </c>
      <c r="AC8" s="74">
        <v>18</v>
      </c>
      <c r="AD8" s="74">
        <v>21</v>
      </c>
      <c r="AE8" s="74">
        <v>30</v>
      </c>
    </row>
    <row r="9" spans="1:99" ht="26.4" ph="1">
      <c r="B9" s="241" ph="1">
        <v>0.66666666666666663</v>
      </c>
      <c r="C9" s="163" t="s" ph="1">
        <v>180</v>
      </c>
      <c r="D9" s="71">
        <v>6785</v>
      </c>
      <c r="E9" s="71">
        <v>3766</v>
      </c>
      <c r="F9" s="71">
        <v>6694</v>
      </c>
      <c r="G9" s="71">
        <v>1613</v>
      </c>
      <c r="H9" s="71">
        <v>2596</v>
      </c>
      <c r="I9" s="71">
        <v>7.0000000000000007E-2</v>
      </c>
      <c r="J9" s="71">
        <v>7.01</v>
      </c>
      <c r="K9" s="71">
        <v>-7.0000000000000007E-2</v>
      </c>
      <c r="L9" s="71">
        <v>9.8699999999999992</v>
      </c>
      <c r="M9" s="71">
        <v>1245</v>
      </c>
      <c r="N9" s="71">
        <v>2727</v>
      </c>
      <c r="O9" s="71">
        <v>104</v>
      </c>
      <c r="P9" s="71">
        <v>3867</v>
      </c>
      <c r="Q9" s="71">
        <v>4632</v>
      </c>
      <c r="R9" s="71">
        <v>4455</v>
      </c>
      <c r="S9" s="71">
        <v>0</v>
      </c>
      <c r="T9" s="71">
        <v>2388</v>
      </c>
      <c r="U9" s="71">
        <v>6138</v>
      </c>
      <c r="V9" s="71">
        <v>5158</v>
      </c>
      <c r="W9" s="71">
        <v>6990</v>
      </c>
      <c r="X9" s="71">
        <v>7078</v>
      </c>
      <c r="Y9" s="71">
        <v>7100</v>
      </c>
      <c r="Z9" s="71">
        <v>5041</v>
      </c>
      <c r="AA9" s="71">
        <v>2329</v>
      </c>
      <c r="AB9" s="71">
        <v>2516</v>
      </c>
      <c r="AC9" s="71">
        <v>534</v>
      </c>
      <c r="AD9" s="71">
        <v>4350</v>
      </c>
      <c r="AE9" s="71">
        <v>2334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213319.70121285002</v>
      </c>
      <c r="E10" s="73" ph="1">
        <f>E9*51.53*LOOKUP(E11,密度!$A$2:$A$50,密度!$B$2:$B$50)</f>
        <v>151640.03117200002</v>
      </c>
      <c r="F10" s="73" ph="1">
        <f>F9*33.183*LOOKUP(F11,密度!$A$2:$A$50,密度!$C$2:$C$50)</f>
        <v>246805.3119222</v>
      </c>
      <c r="G10" s="73" ph="1">
        <f xml:space="preserve"> (G9+2)*51.53*LOOKUP(G11,密度!$A$2:$A$50,密度!$B$2:$B$50)</f>
        <v>65028.850329999994</v>
      </c>
      <c r="H10" s="73" ph="1">
        <f>(H9)*51.53*LOOKUP(H11,密度!$A$2:$A$50,密度!$B$2:$B$50)</f>
        <v>104890.53110800001</v>
      </c>
      <c r="I10" s="73" ph="1">
        <f>I9*290.8*1.0267</f>
        <v>20.8995052</v>
      </c>
      <c r="J10" s="73" ph="1">
        <f>J9*290.8*0.7892</f>
        <v>1608.7905136000002</v>
      </c>
      <c r="K10" s="73" ph="1">
        <f>K9*290.8*1.1126</f>
        <v>-22.648085600000002</v>
      </c>
      <c r="L10" s="73" ph="1">
        <f>L9*290.8*0.777</f>
        <v>2230.142292</v>
      </c>
      <c r="M10" s="73" ph="1">
        <f>M9*33.183*LOOKUP(M11,密度!$A$2:$A$50,密度!$D$2:$D$50)</f>
        <v>42494.382080999996</v>
      </c>
      <c r="N10" s="73" ph="1">
        <f>N9*33.183*LOOKUP(N11,密度!$A$2:$A$50,密度!$E$2:$E$50)</f>
        <v>70871.800111200006</v>
      </c>
      <c r="O10" s="73" ph="1">
        <f>O9*20.428*LOOKUP(O11,密度!$A$2:$A$50,密度!$C$2:$C$50)</f>
        <v>2354.1717472000005</v>
      </c>
      <c r="P10" s="73" ph="1">
        <f>P9*51.53*LOOKUP(P11,密度!$A$2:$A$50,密度!$B$2:$B$50)</f>
        <v>155886.19077300001</v>
      </c>
      <c r="Q10" s="73" ph="1">
        <f>Q9*1.5*1.5*3.1416*LOOKUP(W11,密度!$A$2:$A$50,密度!$L$2:$L$50)</f>
        <v>30711.766377599997</v>
      </c>
      <c r="R10" s="73" ph="1">
        <f>R9*1.5*1.5*3.1416*LOOKUP(R11,密度!$A$2:$A$50,密度!$L$2:$L$50)</f>
        <v>29412.232542000002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15917.667242399999</v>
      </c>
      <c r="U10" s="73" ph="1">
        <f>U9*1.5*1.5*3.1416*LOOKUP(U11,密度!$A$2:$A$50,密度!$L$2:$L$50)</f>
        <v>40740.455725200001</v>
      </c>
      <c r="V10" s="73" ph="1">
        <f>V9*1.5*1.5*3.1416*LOOKUP(V11,密度!$A$2:$A$50,密度!$L$2:$L$50)</f>
        <v>34053.489439199999</v>
      </c>
      <c r="W10" s="73" ph="1">
        <f>W9*1.5*1.5*3.1416*LOOKUP(W11,密度!$A$2:$A$50,密度!$L$2:$L$50)</f>
        <v>46346.12413199999</v>
      </c>
      <c r="X10" s="73" ph="1">
        <f>X9*1.5*1.5*3.1416*LOOKUP(X11,密度!$A$2:$A$50,密度!$L$2:$L$50)</f>
        <v>47379.878607599996</v>
      </c>
      <c r="Y10" s="73" ph="1">
        <f>Y9*1.5*1.5*3.1416*LOOKUP(Y11,密度!$A$2:$A$50,密度!$L$2:$L$50)</f>
        <v>47125.649339999996</v>
      </c>
      <c r="Z10" s="73" ph="1">
        <f>Z9*33.183*LOOKUP(Z11,密度!$A$2:$A$50,密度!$L$2:$L$50)</f>
        <v>157573.52382599999</v>
      </c>
      <c r="AA10" s="73" ph="1">
        <f>AA9*33.183*LOOKUP(AA11,密度!$A$2:$A$50,密度!$D$2:$D$50)</f>
        <v>79563.061606500007</v>
      </c>
      <c r="AB10" s="73" ph="1">
        <f>AB9*20.428*LOOKUP(AB11,密度!$A$2:$A$50,密度!$D$2:$D$50)</f>
        <v>53185.458310400005</v>
      </c>
      <c r="AC10" s="73" ph="1">
        <f>AC9*51.53*LOOKUP(AC11,密度!$A$2:$A$50,密度!$Q$2:$Q$50)</f>
        <v>26151.625467599999</v>
      </c>
      <c r="AD10" s="73" ph="1">
        <f>AD9*20.428*LOOKUP(AD11,密度!$A$2:$A$50,密度!$V$2:$V$50)</f>
        <v>85378.417440000005</v>
      </c>
      <c r="AE10" s="73" ph="1">
        <f>AE9*20.428</f>
        <v>47678.952000000005</v>
      </c>
    </row>
    <row r="11" spans="1:99" ph="1">
      <c r="A11" s="64" t="s" ph="1">
        <v>162</v>
      </c>
      <c r="B11" s="241" ph="1"/>
      <c r="C11" s="163" t="s" ph="1">
        <v>179</v>
      </c>
      <c r="D11" s="74">
        <v>24</v>
      </c>
      <c r="E11" s="74">
        <v>23</v>
      </c>
      <c r="F11" s="74">
        <v>22</v>
      </c>
      <c r="G11" s="74">
        <v>23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25</v>
      </c>
      <c r="O11" s="74">
        <v>26</v>
      </c>
      <c r="P11" s="74">
        <v>22</v>
      </c>
      <c r="Q11" s="74">
        <v>23</v>
      </c>
      <c r="R11" s="74">
        <v>28</v>
      </c>
      <c r="S11" s="74">
        <v>19</v>
      </c>
      <c r="T11" s="74">
        <v>19</v>
      </c>
      <c r="U11" s="74">
        <v>23</v>
      </c>
      <c r="V11" s="74">
        <v>28</v>
      </c>
      <c r="W11" s="74">
        <v>24</v>
      </c>
      <c r="X11" s="74">
        <v>15</v>
      </c>
      <c r="Y11" s="74">
        <v>23</v>
      </c>
      <c r="Z11" s="74">
        <v>20</v>
      </c>
      <c r="AA11" s="74">
        <v>22</v>
      </c>
      <c r="AB11" s="74">
        <v>16</v>
      </c>
      <c r="AC11" s="74">
        <v>20</v>
      </c>
      <c r="AD11" s="74">
        <v>21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4098</v>
      </c>
      <c r="E15" s="78">
        <v>67</v>
      </c>
      <c r="F15" s="78">
        <v>3148</v>
      </c>
      <c r="G15" s="78">
        <v>3651</v>
      </c>
      <c r="H15" s="78">
        <v>0</v>
      </c>
      <c r="I15" s="78">
        <v>2708</v>
      </c>
      <c r="J15" s="78">
        <v>736</v>
      </c>
      <c r="K15" s="78">
        <v>4198</v>
      </c>
      <c r="L15" s="78">
        <v>3979</v>
      </c>
      <c r="M15" s="78">
        <v>6740</v>
      </c>
      <c r="N15" s="78">
        <v>3075</v>
      </c>
      <c r="O15" s="78">
        <v>6392</v>
      </c>
      <c r="P15" s="78">
        <v>6933</v>
      </c>
      <c r="Q15" s="78">
        <v>5132</v>
      </c>
      <c r="R15" s="78">
        <v>4959</v>
      </c>
      <c r="S15" s="78">
        <v>6186</v>
      </c>
      <c r="T15" s="78">
        <v>4864</v>
      </c>
      <c r="U15" s="78">
        <v>5910</v>
      </c>
      <c r="V15" s="78">
        <v>4947</v>
      </c>
      <c r="W15" s="71">
        <v>5051</v>
      </c>
      <c r="X15" s="78">
        <v>854</v>
      </c>
      <c r="Y15" s="106">
        <v>-9904</v>
      </c>
      <c r="Z15" s="78">
        <v>0</v>
      </c>
      <c r="AA15" s="78">
        <v>9</v>
      </c>
      <c r="AB15" s="78" ph="1">
        <v>1093</v>
      </c>
      <c r="AC15" s="78" ph="1">
        <v>2142</v>
      </c>
      <c r="AD15" s="78">
        <v>84.83</v>
      </c>
      <c r="AE15" s="78">
        <v>18.149999999999999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27200.128309199998</v>
      </c>
      <c r="E16" s="73" ph="1">
        <f>E15*7.0686*LOOKUP(E17,密度!$A$2:$A$50,密度!$L$2:$L$50)</f>
        <v>444.70683179999997</v>
      </c>
      <c r="F16" s="73" ph="1">
        <f>F15*9.0746*LOOKUP(F17,密度!$A$2:$A$50,密度!$L$2:$L$50)</f>
        <v>26767.129829600002</v>
      </c>
      <c r="G16" s="73" ph="1">
        <f>G15*9.0746*LOOKUP(G17,密度!$A$2:$A$50,密度!$B$2:$B$50)</f>
        <v>25918.66652658</v>
      </c>
      <c r="H16" s="73" ph="1">
        <f>H15*9.0746*LOOKUP(H17,密度!$A$2:$A$50,密度!$L$2:$L$50)</f>
        <v>0</v>
      </c>
      <c r="I16" s="73" ph="1">
        <f>I15*9.0746*LOOKUP(I17,密度!$A$2:$A$50,密度!$U$2:$U$50)</f>
        <v>25262.089270400003</v>
      </c>
      <c r="J16" s="73" ph="1">
        <f>J15*9.0746*LOOKUP(J17,密度!$A$2:$A$50,密度!$L$2:$L$50)</f>
        <v>6278.1712639999996</v>
      </c>
      <c r="K16" s="73" ph="1">
        <f>K15*9.0746*LOOKUP(K17,密度!$A$2:$A$50,密度!$C$2:$C$50)</f>
        <v>42300.877656320001</v>
      </c>
      <c r="L16" s="73" ph="1">
        <f>L15*9.0746*LOOKUP(L17,密度!$A$2:$A$50,密度!$E$2:$E$50)</f>
        <v>28366.31391904</v>
      </c>
      <c r="M16" s="73" ph="1">
        <f>M15*9.0746*LOOKUP(M17,密度!$A$2:$A$50,密度!$M$2:$M$50)</f>
        <v>53572.500023600005</v>
      </c>
      <c r="N16" s="73" ph="1">
        <f>N15*9.0746*LOOKUP(N17,密度!$A$2:$A$50,密度!$M$2:$M$50)</f>
        <v>24530.753644500001</v>
      </c>
      <c r="O16" s="73" ph="1">
        <f>O15*9.0746*LOOKUP(O17,密度!$A$2:$A$50,密度!$G$2:$G$50)</f>
        <v>55754.255283840008</v>
      </c>
      <c r="P16" s="73" ph="1">
        <f ca="1">P15*9.0746*LOOKUP(P17,密度!$A$2:$A$51,密度!$Q$2:$Q$50)</f>
        <v>59655.246146760008</v>
      </c>
      <c r="Q16" s="73" ph="1">
        <f>Q15*9.0746*LOOKUP(Q17,密度!$A$2:$A$50,密度!$Q$2:$Q$50)</f>
        <v>44158.477315040007</v>
      </c>
      <c r="R16" s="73" ph="1">
        <f>MAX(R15*9.0746*LOOKUP(R17,密度!$A$2:$A$50,密度!$B$2:$B$50),0)</f>
        <v>35082.733915440003</v>
      </c>
      <c r="S16" s="73" ph="1">
        <f>S15*9.0746*LOOKUP(S17,密度!$A$2:$A$50,密度!$Q$2:$Q$50)</f>
        <v>53277.618537203998</v>
      </c>
      <c r="T16" s="73" ph="1">
        <f>T15*9.0746*LOOKUP(T17,密度!$A$2:$A$50,密度!$O$2:$O$50)</f>
        <v>41049.134592000002</v>
      </c>
      <c r="U16" s="73" ph="1">
        <f>U15*9.0746*LOOKUP(U17,密度!$A$2:$A$50,密度!$H$2:$H$50)</f>
        <v>49324.325854199997</v>
      </c>
      <c r="V16" s="73" ph="1">
        <f>MAX(5600*LOOKUP(V17,密度!$A$2:$A$50,密度!$Q$2:$Q$50)+V15*9.0476*LOOKUP(V17,密度!$A$2:$A$50,密度!$Q$2:$Q$50),0)</f>
        <v>47676.384704327997</v>
      </c>
      <c r="W16" s="73" ph="1">
        <f>MAX(5600*LOOKUP(W17,密度!$A$2:$A$50,密度!$Q$2:$Q$50)+W15*9.0476*LOOKUP(W17,密度!$A$2:$A$50,密度!$Q$2:$Q$50),0)</f>
        <v>48530.797492427999</v>
      </c>
      <c r="X16" s="73" ph="1">
        <f>MAX(5600*LOOKUP(X17,密度!$A$2:$A$50,密度!$I$2:$I$50)+X15*9.0476*LOOKUP(X17,密度!$A$2:$A$50,密度!$I$2:$I$50),0)</f>
        <v>13890.36771192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64.038544740000006</v>
      </c>
      <c r="AB16" s="73" ph="1">
        <f>AB15*9.0746*LOOKUP(AB17,密度!$A$2:$A$50,密度!$L$2:$L$50)</f>
        <v>9323.4255319999993</v>
      </c>
      <c r="AC16" s="73" ph="1">
        <f>AC15*9.0746*LOOKUP(AC17,密度!$A$2:$A$50,密度!$L$2:$L$50)</f>
        <v>18271.525608</v>
      </c>
      <c r="AD16" s="73" ph="1">
        <f>AD15*268.68*LOOKUP(AD17,密度!$A$2:$A$50,密度!B2:B50)+IF(AD15&lt;=0,0,1566*LOOKUP(AD17,密度!$A$2:$A$50,密度!B2:B50))</f>
        <v>18989.593782239997</v>
      </c>
      <c r="AE16" s="73" ph="1">
        <f>AE15*268.68*LOOKUP(AE17,密度!$A$2:$A$50,密度!B2:B50)+IF(AE15&lt;=0,0,1566*LOOKUP(AE17,密度!$A$2:$A$50,密度!B2:B50))</f>
        <v>5022.6057431999998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23</v>
      </c>
      <c r="E17" s="74">
        <v>23</v>
      </c>
      <c r="F17" s="74">
        <v>25</v>
      </c>
      <c r="G17" s="74">
        <v>22</v>
      </c>
      <c r="H17" s="74">
        <v>26</v>
      </c>
      <c r="I17" s="74">
        <v>22</v>
      </c>
      <c r="J17" s="74">
        <v>22</v>
      </c>
      <c r="K17" s="74">
        <v>23</v>
      </c>
      <c r="L17" s="74">
        <v>23</v>
      </c>
      <c r="M17" s="74">
        <v>24</v>
      </c>
      <c r="N17" s="74">
        <v>21</v>
      </c>
      <c r="O17" s="74">
        <v>24</v>
      </c>
      <c r="P17" s="74">
        <v>23</v>
      </c>
      <c r="Q17" s="74">
        <v>23</v>
      </c>
      <c r="R17" s="74">
        <v>25</v>
      </c>
      <c r="S17" s="74">
        <v>22</v>
      </c>
      <c r="T17" s="74">
        <v>23</v>
      </c>
      <c r="U17" s="74">
        <v>20</v>
      </c>
      <c r="V17" s="74">
        <v>25</v>
      </c>
      <c r="W17" s="74">
        <v>26</v>
      </c>
      <c r="X17" s="74">
        <v>25</v>
      </c>
      <c r="Y17" s="108">
        <v>25</v>
      </c>
      <c r="Z17" s="74">
        <v>23</v>
      </c>
      <c r="AA17" s="74">
        <v>20</v>
      </c>
      <c r="AB17" s="74">
        <v>22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5315</v>
      </c>
      <c r="E18" s="71">
        <v>2201</v>
      </c>
      <c r="F18" s="71">
        <v>3147</v>
      </c>
      <c r="G18" s="71">
        <v>3696</v>
      </c>
      <c r="H18" s="71">
        <v>0</v>
      </c>
      <c r="I18" s="71">
        <v>1618</v>
      </c>
      <c r="J18" s="71">
        <v>736</v>
      </c>
      <c r="K18" s="71">
        <v>4197</v>
      </c>
      <c r="L18" s="71">
        <v>3978</v>
      </c>
      <c r="M18" s="71">
        <v>6226</v>
      </c>
      <c r="N18" s="71">
        <v>1986</v>
      </c>
      <c r="O18" s="71">
        <v>6390</v>
      </c>
      <c r="P18" s="71">
        <v>6930</v>
      </c>
      <c r="Q18" s="71">
        <v>3391</v>
      </c>
      <c r="R18" s="71">
        <v>4956</v>
      </c>
      <c r="S18" s="71">
        <v>6186</v>
      </c>
      <c r="T18" s="71">
        <v>4862</v>
      </c>
      <c r="U18" s="71">
        <v>5904</v>
      </c>
      <c r="V18" s="71">
        <v>4946</v>
      </c>
      <c r="W18" s="71">
        <v>5049</v>
      </c>
      <c r="X18" s="71">
        <v>852</v>
      </c>
      <c r="Y18" s="109">
        <v>-9904</v>
      </c>
      <c r="Z18" s="71">
        <v>0</v>
      </c>
      <c r="AA18" s="71">
        <v>9</v>
      </c>
      <c r="AB18" s="71">
        <v>1093</v>
      </c>
      <c r="AC18" s="71">
        <v>2141</v>
      </c>
      <c r="AD18" s="71">
        <v>84.45</v>
      </c>
      <c r="AE18" s="71">
        <v>61.85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35277.862850999998</v>
      </c>
      <c r="E19" s="73" ph="1">
        <f>E18*7.0686*LOOKUP(E20,密度!$A$2:$A$50,密度!$L$2:$L$50)</f>
        <v>14593.393306800001</v>
      </c>
      <c r="F19" s="73" ph="1">
        <f>F18*9.0746*LOOKUP(F20,密度!$A$2:$A$50,密度!$L$2:$L$50)</f>
        <v>26758.626929400005</v>
      </c>
      <c r="G19" s="73" ph="1">
        <f>G18*9.0746*LOOKUP(G20,密度!$A$2:$A$50,密度!$B$2:$B$50)</f>
        <v>26238.124207680004</v>
      </c>
      <c r="H19" s="73" ph="1">
        <f>H18*9.0746*LOOKUP(H20,密度!$A$2:$A$50,密度!$L$2:$L$50)</f>
        <v>0</v>
      </c>
      <c r="I19" s="73" ph="1">
        <f>I18*9.0746*LOOKUP(I20,密度!$A$2:$A$50,密度!$U$2:$U$50)</f>
        <v>15093.8184784</v>
      </c>
      <c r="J19" s="73" ph="1">
        <f>J18*9.0746*LOOKUP(J20,密度!$A$2:$A$50,密度!$L$2:$L$50)</f>
        <v>6271.4923583999998</v>
      </c>
      <c r="K19" s="73" ph="1">
        <f>K18*9.0746*LOOKUP(K20,密度!$A$2:$A$50,密度!$C$2:$C$50)</f>
        <v>42317.461487820001</v>
      </c>
      <c r="L19" s="73" ph="1">
        <f>L18*9.0746*LOOKUP(L20,密度!$A$2:$A$50,密度!$E$2:$E$50)</f>
        <v>28359.184913280002</v>
      </c>
      <c r="M19" s="73" ph="1">
        <f>M18*9.0746*LOOKUP(M20,密度!$A$2:$A$50,密度!$M$2:$M$50)</f>
        <v>49441.801995959999</v>
      </c>
      <c r="N19" s="73" ph="1">
        <f>N18*9.0746*LOOKUP(N20,密度!$A$2:$A$50,密度!$M$2:$M$50)</f>
        <v>15843.276987960002</v>
      </c>
      <c r="O19" s="73" ph="1">
        <f>O18*9.0746*LOOKUP(O20,密度!$A$2:$A$50,密度!$G$2:$G$50)</f>
        <v>55678.823578800009</v>
      </c>
      <c r="P19" s="73" ph="1">
        <f ca="1">P18*9.0746*LOOKUP(P20,密度!$A$2:$A$51,密度!$Q$2:$Q$50)</f>
        <v>59629.432539600006</v>
      </c>
      <c r="Q19" s="73" ph="1">
        <f>Q18*9.0746*LOOKUP(Q20,密度!$A$2:$A$50,密度!$Q$2:$Q$50)</f>
        <v>29155.517089442001</v>
      </c>
      <c r="R19" s="73" ph="1">
        <f>MAX(R18*9.0746*LOOKUP(R20,密度!$A$2:$A$50,密度!$B$2:$B$50),0)</f>
        <v>35061.51024096</v>
      </c>
      <c r="S19" s="73" ph="1">
        <f>S18*9.0746*LOOKUP(S20,密度!$A$2:$A$50,密度!$Q$2:$Q$50)</f>
        <v>53277.618537203998</v>
      </c>
      <c r="T19" s="73" ph="1">
        <f>T18*9.0746*LOOKUP(T20,密度!$A$2:$A$50,密度!$O$2:$O$50)</f>
        <v>41032.255836000004</v>
      </c>
      <c r="U19" s="73" ph="1">
        <f>U18*9.0746*LOOKUP(U20,密度!$A$2:$A$50,密度!$H$2:$H$50)</f>
        <v>49274.250396479998</v>
      </c>
      <c r="V19" s="73" ph="1">
        <f>MAX(5600*LOOKUP(V20,密度!$A$2:$A$50,密度!$Q$2:$Q$50)+V18*9.0476*LOOKUP(V20,密度!$A$2:$A$50,密度!$Q$2:$Q$50),0)</f>
        <v>47667.818979503994</v>
      </c>
      <c r="W19" s="73" ph="1">
        <f>MAX(5600*LOOKUP(W20,密度!$A$2:$A$50,密度!$Q$2:$Q$50)+W18*9.0476*LOOKUP(W20,密度!$A$2:$A$50,密度!$Q$2:$Q$50),0)</f>
        <v>48513.678890372001</v>
      </c>
      <c r="X19" s="73" ph="1">
        <f>MAX(5600*LOOKUP(X20,密度!$A$2:$A$50,密度!$I$2:$I$50)+X18*9.0476*LOOKUP(X20,密度!$A$2:$A$50,密度!$I$2:$I$50),0)</f>
        <v>13890.139062239999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63.965040480000006</v>
      </c>
      <c r="AB19" s="73" ph="1">
        <f>AB18*9.0746*LOOKUP(AB20,密度!$A$2:$A$50,密度!$L$2:$L$50)</f>
        <v>9313.5069941999991</v>
      </c>
      <c r="AC19" s="73" ph="1">
        <f>AC18*9.0746*LOOKUP(AC20,密度!$A$2:$A$50,密度!$L$2:$L$50)</f>
        <v>18262.995483999999</v>
      </c>
      <c r="AD19" s="73" ph="1">
        <f>AD18*268.68*LOOKUP(AD20,密度!$A$2:$A$50,密度!B5:B53)+IF(AD18&lt;=0,0,1566*LOOKUP(AD20,密度!$A$2:$A$50,密度!B5:B53))</f>
        <v>18846.932202</v>
      </c>
      <c r="AE19" s="73" ph="1">
        <f>AE18*268.68*LOOKUP(AE20,密度!$A$2:$A$50,密度!B5:B53)+IF(AE18&lt;=0,0,1566*LOOKUP(AE20,密度!$A$2:$A$50,密度!B5:B53))</f>
        <v>14128.857666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23</v>
      </c>
      <c r="E20" s="81">
        <v>24</v>
      </c>
      <c r="F20" s="81">
        <v>25</v>
      </c>
      <c r="G20" s="81">
        <v>22</v>
      </c>
      <c r="H20" s="81">
        <v>18</v>
      </c>
      <c r="I20" s="81">
        <v>22</v>
      </c>
      <c r="J20" s="81">
        <v>23</v>
      </c>
      <c r="K20" s="81">
        <v>22</v>
      </c>
      <c r="L20" s="81">
        <v>23</v>
      </c>
      <c r="M20" s="81">
        <v>25</v>
      </c>
      <c r="N20" s="81">
        <v>21</v>
      </c>
      <c r="O20" s="81">
        <v>25</v>
      </c>
      <c r="P20" s="81">
        <v>23</v>
      </c>
      <c r="Q20" s="81">
        <v>24</v>
      </c>
      <c r="R20" s="81">
        <v>25</v>
      </c>
      <c r="S20" s="81">
        <v>22</v>
      </c>
      <c r="T20" s="81">
        <v>24</v>
      </c>
      <c r="U20" s="81">
        <v>20</v>
      </c>
      <c r="V20" s="81">
        <v>25</v>
      </c>
      <c r="W20" s="81">
        <v>26</v>
      </c>
      <c r="X20" s="81">
        <v>24</v>
      </c>
      <c r="Y20" s="110">
        <v>24</v>
      </c>
      <c r="Z20" s="81">
        <v>23</v>
      </c>
      <c r="AA20" s="81">
        <v>21</v>
      </c>
      <c r="AB20" s="81">
        <v>23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78.55</v>
      </c>
      <c r="E24" s="71">
        <v>46.02</v>
      </c>
      <c r="F24" s="71">
        <v>1552</v>
      </c>
      <c r="G24" s="71">
        <v>2626</v>
      </c>
      <c r="H24" s="71">
        <v>722</v>
      </c>
      <c r="I24" s="71">
        <v>3790</v>
      </c>
      <c r="J24" s="71">
        <v>4836</v>
      </c>
      <c r="K24" s="71">
        <v>3832</v>
      </c>
      <c r="L24" s="71">
        <v>5578</v>
      </c>
      <c r="M24" s="71">
        <v>5103</v>
      </c>
      <c r="N24" s="71">
        <v>5502</v>
      </c>
      <c r="O24" s="71">
        <v>5577</v>
      </c>
      <c r="P24" s="71">
        <v>382</v>
      </c>
      <c r="Q24" s="90">
        <v>512</v>
      </c>
      <c r="R24" s="71">
        <v>218</v>
      </c>
      <c r="S24" s="71">
        <v>1894</v>
      </c>
      <c r="T24" s="71">
        <v>278</v>
      </c>
      <c r="U24" s="71">
        <v>3258</v>
      </c>
      <c r="V24" s="71">
        <v>11744</v>
      </c>
      <c r="W24" s="71">
        <v>8607</v>
      </c>
      <c r="X24" s="71">
        <v>3566</v>
      </c>
      <c r="Y24" s="71">
        <v>3819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21463.36644636</v>
      </c>
      <c r="E25" s="91" ph="1">
        <f>E24*268.68*LOOKUP(E26,密度!$A$2:$A$50,密度!$C$2:$C$50)+IF(E24&lt;=0,0,1566*LOOKUP(E26,密度!$A$2:$A$50,密度!$C$2:$C$50))</f>
        <v>15447.701777040002</v>
      </c>
      <c r="F25" s="91" ph="1">
        <f>F24*11.702*LOOKUP(F26,密度!$A$2:$A$50,密度!$Q$2:$Q$50)</f>
        <v>17220.738092800002</v>
      </c>
      <c r="G25" s="91" ph="1">
        <f>G24*18.322*LOOKUP(G26,密度!$A$2:$A$50,密度!$B$2:$B$50)</f>
        <v>37595.945160800002</v>
      </c>
      <c r="H25" s="91" ph="1">
        <f>H24*18.322*LOOKUP(H26,密度!$A$2:$A$50,密度!$B$2:$B$50)</f>
        <v>10360.548668799998</v>
      </c>
      <c r="I25" s="91" ph="1">
        <f>I24*18.322*LOOKUP(I26,密度!$A$2:$A$50,密度!$Q$2:$Q$50)</f>
        <v>65905.170254199984</v>
      </c>
      <c r="J25" s="91" ph="1">
        <f>J24*18.322*LOOKUP(J26,密度!$A$2:$A$50,密度!$Q$2:$Q$50)</f>
        <v>83950.761264240005</v>
      </c>
      <c r="K25" s="91" ph="1">
        <f>K24*18.322*LOOKUP(K26,密度!$A$2:$A$50,密度!$Q$2:$Q$50)</f>
        <v>66573.030972799999</v>
      </c>
      <c r="L25" s="91" ph="1">
        <f>L24*18.322*LOOKUP(L26,密度!$A$2:$A$50,密度!$Q$2:$Q$50)</f>
        <v>96906.1499912</v>
      </c>
      <c r="M25" s="91" ph="1">
        <f>M24*18.322*LOOKUP(M26,密度!$A$2:$A$50,密度!$Q$2:$Q$50)</f>
        <v>88654.012801200006</v>
      </c>
      <c r="N25" s="91" ph="1">
        <f>N24*18.322*LOOKUP(N26,密度!$A$2:$A$50,密度!$Q$2:$Q$50)</f>
        <v>95675.526843960004</v>
      </c>
      <c r="O25" s="91" ph="1">
        <f>O24*18.322*LOOKUP(O26,密度!$A$2:$A$50,密度!$C$2:$C$50)</f>
        <v>113462.66405760001</v>
      </c>
      <c r="P25" s="91" ph="1">
        <f>P24*11.702*LOOKUP(P26,密度!$A$2:$A$50,密度!$B$2:$B$50)</f>
        <v>3497.0092971999998</v>
      </c>
      <c r="Q25" s="92" ph="1">
        <f>Q24*18.322*LOOKUP(Q26,密度!$A$2:$A$50,密度!$B$2:$B$50)</f>
        <v>7347.0926847999999</v>
      </c>
      <c r="R25" s="91" ph="1">
        <f>R24*35.891*LOOKUP(R26,密度!$A$2:$A$50,密度!$C$2:$C$50)</f>
        <v>8688.0338751999989</v>
      </c>
      <c r="S25" s="91" ph="1">
        <f>S24*35.891*LOOKUP(S26,密度!$A$2:$A$50,密度!$B$2:$B$50)</f>
        <v>53056.480897000001</v>
      </c>
      <c r="T25" s="91" ph="1">
        <f>T24*35.891*LOOKUP(T26,密度!$A$2:$A$50,密度!$Q$2:$Q$50)</f>
        <v>9475.7200136200008</v>
      </c>
      <c r="U25" s="91" ph="1">
        <f>U24*35.891</f>
        <v>116932.878</v>
      </c>
      <c r="V25" s="91" ph="1">
        <f>V24*47.051*LOOKUP(V26,密度!$A$2:$A$50,密度!$B$2:$B$50)</f>
        <v>432273.1202912</v>
      </c>
      <c r="W25" s="91" ph="1">
        <f>W24*47.051*LOOKUP(W26,密度!$A$2:$A$50,密度!$B$2:$B$50)</f>
        <v>316077.49043850001</v>
      </c>
      <c r="X25" s="91" ph="1">
        <f>X24*47.051*LOOKUP(X26,密度!$A$2:$A$50,密度!$I$2:$I$50)</f>
        <v>175116.02094420002</v>
      </c>
      <c r="Y25" s="91" ph="1">
        <f>Y24*47.051*LOOKUP(Y26,密度!$A$2:$A$50,密度!$L$2:$L$50)</f>
        <v>168726.815091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21</v>
      </c>
      <c r="I26" s="74">
        <v>22</v>
      </c>
      <c r="J26" s="74">
        <v>24</v>
      </c>
      <c r="K26" s="74">
        <v>23</v>
      </c>
      <c r="L26" s="74">
        <v>23</v>
      </c>
      <c r="M26" s="74">
        <v>23</v>
      </c>
      <c r="N26" s="74">
        <v>22</v>
      </c>
      <c r="O26" s="74">
        <v>23</v>
      </c>
      <c r="P26" s="74">
        <v>22</v>
      </c>
      <c r="Q26" s="93">
        <v>21</v>
      </c>
      <c r="R26" s="74">
        <v>23</v>
      </c>
      <c r="S26" s="74">
        <v>24</v>
      </c>
      <c r="T26" s="74">
        <v>21</v>
      </c>
      <c r="U26" s="74">
        <v>23</v>
      </c>
      <c r="V26" s="74">
        <v>22</v>
      </c>
      <c r="W26" s="74">
        <v>24</v>
      </c>
      <c r="X26" s="74">
        <v>24</v>
      </c>
      <c r="Y26" s="74">
        <v>23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78.53</v>
      </c>
      <c r="E27" s="71">
        <v>46.01</v>
      </c>
      <c r="F27" s="71">
        <v>1552</v>
      </c>
      <c r="G27" s="71">
        <v>2068</v>
      </c>
      <c r="H27" s="71">
        <v>721</v>
      </c>
      <c r="I27" s="71">
        <v>3789</v>
      </c>
      <c r="J27" s="71">
        <v>4835</v>
      </c>
      <c r="K27" s="71">
        <v>3832</v>
      </c>
      <c r="L27" s="71">
        <v>5577</v>
      </c>
      <c r="M27" s="71">
        <v>5103</v>
      </c>
      <c r="N27" s="71">
        <v>5500</v>
      </c>
      <c r="O27" s="71">
        <v>5577</v>
      </c>
      <c r="P27" s="71">
        <v>382</v>
      </c>
      <c r="Q27" s="90">
        <v>753</v>
      </c>
      <c r="R27" s="71">
        <v>217</v>
      </c>
      <c r="S27" s="71">
        <v>2316</v>
      </c>
      <c r="T27" s="71">
        <v>279</v>
      </c>
      <c r="U27" s="71">
        <v>3235</v>
      </c>
      <c r="V27" s="71">
        <v>11741</v>
      </c>
      <c r="W27" s="71">
        <v>8280</v>
      </c>
      <c r="X27" s="71">
        <v>4041</v>
      </c>
      <c r="Y27" s="71">
        <v>2213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21458.279044296003</v>
      </c>
      <c r="E28" s="91" ph="1">
        <f>E27*268.68*LOOKUP(E29,密度!$A$2:$A$50,密度!$C$2:$C$50)+IF(E27&lt;=0,0,1566*LOOKUP(E29,密度!$A$2:$A$50,密度!$C$2:$C$50))</f>
        <v>15444.722384519999</v>
      </c>
      <c r="F28" s="91" ph="1">
        <f>F27*11.702*LOOKUP(F29,密度!$A$2:$A$50,密度!$Q$2:$Q$50)</f>
        <v>17220.738092800002</v>
      </c>
      <c r="G28" s="91" ph="1">
        <f>G27*18.322*LOOKUP(G29,密度!$A$2:$A$50,密度!$B$2:$B$50)</f>
        <v>29607.164734400001</v>
      </c>
      <c r="H28" s="91" ph="1">
        <f>H27*18.322*LOOKUP(H29,密度!$A$2:$A$50,密度!$B$2:$B$50)</f>
        <v>10346.1988784</v>
      </c>
      <c r="I28" s="91" ph="1">
        <f>I27*18.322*LOOKUP(I29,密度!$A$2:$A$50,密度!$Q$2:$Q$50)</f>
        <v>65887.781027219986</v>
      </c>
      <c r="J28" s="91" ph="1">
        <f>J27*18.322*LOOKUP(J29,密度!$A$2:$A$50,密度!$Q$2:$Q$50)</f>
        <v>83933.401718900001</v>
      </c>
      <c r="K28" s="91" ph="1">
        <f>K27*18.322*LOOKUP(K29,密度!$A$2:$A$50,密度!$Q$2:$Q$50)</f>
        <v>66635.51778735999</v>
      </c>
      <c r="L28" s="91" ph="1">
        <f>L27*18.322*LOOKUP(L29,密度!$A$2:$A$50,密度!$Q$2:$Q$50)</f>
        <v>96888.777070800003</v>
      </c>
      <c r="M28" s="91" ph="1">
        <f>M27*18.322*LOOKUP(M29,密度!$A$2:$A$50,密度!$Q$2:$Q$50)</f>
        <v>88654.012801200006</v>
      </c>
      <c r="N28" s="91" ph="1">
        <f>N27*18.322*LOOKUP(N29,密度!$A$2:$A$50,密度!$Q$2:$Q$50)</f>
        <v>95701.210990000007</v>
      </c>
      <c r="O28" s="91" ph="1">
        <f>O27*18.322*LOOKUP(O29,密度!$A$2:$A$50,密度!$C$2:$C$50)</f>
        <v>113615.93674860001</v>
      </c>
      <c r="P28" s="91" ph="1">
        <f>P27*11.702*LOOKUP(P29,密度!$A$2:$A$50,密度!$B$2:$B$50)</f>
        <v>3492.9861495999999</v>
      </c>
      <c r="Q28" s="92" ph="1">
        <f>Q27*18.322*LOOKUP(Q29,密度!$A$2:$A$50,密度!$B$2:$B$50)</f>
        <v>10805.392171199999</v>
      </c>
      <c r="R28" s="91" ph="1">
        <f>R27*35.891*LOOKUP(R29,密度!$A$2:$A$50,密度!$C$2:$C$50)</f>
        <v>8641.9498311999996</v>
      </c>
      <c r="S28" s="91" ph="1">
        <f>S27*35.891*LOOKUP(S29,密度!$A$2:$A$50,密度!$B$2:$B$50)</f>
        <v>64952.746658399999</v>
      </c>
      <c r="T28" s="91" ph="1">
        <f>T27*35.891*LOOKUP(T29,密度!$A$2:$A$50,密度!$Q$2:$Q$50)</f>
        <v>9503.7971840099999</v>
      </c>
      <c r="U28" s="91" ph="1">
        <f>U27*35.891</f>
        <v>116107.38499999999</v>
      </c>
      <c r="V28" s="91" ph="1">
        <f>V27*47.051*LOOKUP(V29,密度!$A$2:$A$50,密度!$B$2:$B$50)</f>
        <v>431665.51308739994</v>
      </c>
      <c r="W28" s="91" ph="1">
        <f>W27*47.051*LOOKUP(W29,密度!$A$2:$A$50,密度!$B$2:$B$50)</f>
        <v>305120.84169600002</v>
      </c>
      <c r="X28" s="91" ph="1">
        <f>X27*47.051*LOOKUP(X29,密度!$A$2:$A$50,密度!$I$2:$I$50)</f>
        <v>198441.90707670004</v>
      </c>
      <c r="Y28" s="91" ph="1">
        <f>Y27*47.051*LOOKUP(Y29,密度!$A$2:$A$50,密度!$L$2:$L$50)</f>
        <v>97668.183493999997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21</v>
      </c>
      <c r="I29" s="74">
        <v>22</v>
      </c>
      <c r="J29" s="74">
        <v>24</v>
      </c>
      <c r="K29" s="74">
        <v>22</v>
      </c>
      <c r="L29" s="74">
        <v>23</v>
      </c>
      <c r="M29" s="74">
        <v>23</v>
      </c>
      <c r="N29" s="74">
        <v>21</v>
      </c>
      <c r="O29" s="74">
        <v>21</v>
      </c>
      <c r="P29" s="74">
        <v>23</v>
      </c>
      <c r="Q29" s="93">
        <v>21</v>
      </c>
      <c r="R29" s="74">
        <v>24</v>
      </c>
      <c r="S29" s="74">
        <v>23</v>
      </c>
      <c r="T29" s="74">
        <v>22</v>
      </c>
      <c r="U29" s="74">
        <v>24</v>
      </c>
      <c r="V29" s="74">
        <v>23</v>
      </c>
      <c r="W29" s="74">
        <v>21</v>
      </c>
      <c r="X29" s="74">
        <v>24</v>
      </c>
      <c r="Y29" s="74">
        <v>24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132748.51991690003</v>
      </c>
      <c r="E33" s="190" ph="1">
        <f>M10+I10</f>
        <v>42515.281586199999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6" ph="1">
        <v>0</v>
      </c>
      <c r="H33" s="190" ph="1">
        <f>N19</f>
        <v>15843.276987960002</v>
      </c>
      <c r="I33" s="194" ph="1">
        <v>0</v>
      </c>
      <c r="J33" s="198" ph="1">
        <f>F10+O28</f>
        <v>360421.24867080001</v>
      </c>
      <c r="K33" s="190" ph="1">
        <f>O10+K10+E28+R28</f>
        <v>26418.195877319999</v>
      </c>
      <c r="L33" s="200" ph="1">
        <f>BE27</f>
        <v>7100</v>
      </c>
      <c r="M33" s="198" ph="1">
        <f>G10+H10+W28+S28+V28+E10</f>
        <v>1123298.5140518001</v>
      </c>
      <c r="N33" s="190" ph="1">
        <f>L10+P10++G28+H28</f>
        <v>198069.69667780001</v>
      </c>
      <c r="O33" s="194" ph="1">
        <f>BE17</f>
        <v>2270</v>
      </c>
      <c r="P33" s="198" ph="1">
        <f>L19</f>
        <v>28359.184913280002</v>
      </c>
      <c r="Q33" s="190" ph="1">
        <f>J10+N10</f>
        <v>72480.59062480001</v>
      </c>
      <c r="R33" s="194" ph="1">
        <f>BE23</f>
        <v>890</v>
      </c>
      <c r="S33" s="198" ph="1">
        <f>E10+X28</f>
        <v>350081.93824870005</v>
      </c>
      <c r="T33" s="190" ph="1">
        <f>X19</f>
        <v>13890.139062239999</v>
      </c>
      <c r="U33" s="179" ph="1">
        <f>BE21</f>
        <v>730</v>
      </c>
      <c r="V33" s="192" ph="1">
        <f ca="1">P19+Q19+S19+M28+N28+J28</f>
        <v>410351.19367634604</v>
      </c>
      <c r="W33" s="192" ph="1">
        <f>D28+F28+V19+T28</f>
        <v>95850.633300610003</v>
      </c>
      <c r="X33" s="194" ph="1">
        <f>BE29+BE31</f>
        <v>10200</v>
      </c>
      <c r="Y33" s="196" ph="1">
        <f>+Q10+R10+S10+T10+U10+V10+W10+X10+Y10</f>
        <v>291687.26340599998</v>
      </c>
      <c r="Z33" s="177" ph="1">
        <f>D10+T19+U19+Y28+Z10</f>
        <v>558867.91476533003</v>
      </c>
      <c r="AA33" s="179" ph="1">
        <f>BE19</f>
        <v>1440</v>
      </c>
      <c r="AB33" s="181" ph="1">
        <f>I19</f>
        <v>15093.8184784</v>
      </c>
      <c r="AC33" s="183" ph="1">
        <f>AD10</f>
        <v>85378.417440000005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1" priority="98">
      <formula>ABS(D$7-D$10)&gt;=1000</formula>
    </cfRule>
  </conditionalFormatting>
  <conditionalFormatting sqref="E4 E6:E11">
    <cfRule type="expression" dxfId="510" priority="97">
      <formula>ABS(E$7-E$10)&gt;=1000</formula>
    </cfRule>
  </conditionalFormatting>
  <conditionalFormatting sqref="F4:F11">
    <cfRule type="expression" dxfId="509" priority="96">
      <formula>ABS(F$7-F$10)&gt;=1000</formula>
    </cfRule>
  </conditionalFormatting>
  <conditionalFormatting sqref="G4:G11">
    <cfRule type="expression" dxfId="508" priority="95">
      <formula>ABS(G$7-G$10)&gt;=1000</formula>
    </cfRule>
  </conditionalFormatting>
  <conditionalFormatting sqref="H4:H11">
    <cfRule type="expression" dxfId="507" priority="94">
      <formula>ABS(H$7-H$10)&gt;=1000</formula>
    </cfRule>
  </conditionalFormatting>
  <conditionalFormatting sqref="I4:I11">
    <cfRule type="expression" dxfId="506" priority="93">
      <formula>ABS(I$7-I$10)&gt;=1000</formula>
    </cfRule>
  </conditionalFormatting>
  <conditionalFormatting sqref="J4:J11">
    <cfRule type="expression" dxfId="505" priority="92">
      <formula>ABS(J$7-J$10)&gt;=1000</formula>
    </cfRule>
  </conditionalFormatting>
  <conditionalFormatting sqref="K4:K11">
    <cfRule type="expression" dxfId="504" priority="91">
      <formula>ABS(K$7-K$10)&gt;=1000</formula>
    </cfRule>
  </conditionalFormatting>
  <conditionalFormatting sqref="L4:L11">
    <cfRule type="expression" dxfId="503" priority="90">
      <formula>ABS(L$7-L$10)&gt;=1000</formula>
    </cfRule>
  </conditionalFormatting>
  <conditionalFormatting sqref="M4 M6:M11">
    <cfRule type="expression" dxfId="502" priority="89">
      <formula>ABS(M$7-M$10)&gt;=1000</formula>
    </cfRule>
  </conditionalFormatting>
  <conditionalFormatting sqref="N4 N6:N11">
    <cfRule type="expression" dxfId="501" priority="88">
      <formula>ABS(N$7-N$10)&gt;=1000</formula>
    </cfRule>
  </conditionalFormatting>
  <conditionalFormatting sqref="O4 O6:O11">
    <cfRule type="expression" dxfId="500" priority="87">
      <formula>ABS(O$7-O$10)&gt;=1000</formula>
    </cfRule>
  </conditionalFormatting>
  <conditionalFormatting sqref="P4 P6:P11">
    <cfRule type="expression" dxfId="499" priority="86">
      <formula>ABS(P$7-P$10)&gt;=1000</formula>
    </cfRule>
  </conditionalFormatting>
  <conditionalFormatting sqref="Q4:Q11">
    <cfRule type="expression" dxfId="498" priority="85">
      <formula>ABS(Q$7-Q$10)&gt;=1000</formula>
    </cfRule>
  </conditionalFormatting>
  <conditionalFormatting sqref="R4:R11">
    <cfRule type="expression" dxfId="497" priority="84">
      <formula>ABS(R$7-R$10)&gt;=1000</formula>
    </cfRule>
  </conditionalFormatting>
  <conditionalFormatting sqref="S4:S11">
    <cfRule type="expression" dxfId="496" priority="83">
      <formula>ABS(S$7-S$10)&gt;=1000</formula>
    </cfRule>
  </conditionalFormatting>
  <conditionalFormatting sqref="T4:T9 T11">
    <cfRule type="expression" dxfId="495" priority="82">
      <formula>ABS(T$7-T$10)&gt;=1000</formula>
    </cfRule>
  </conditionalFormatting>
  <conditionalFormatting sqref="U4:U9 U11">
    <cfRule type="expression" dxfId="494" priority="81">
      <formula>ABS(U$7-U$10)&gt;=1000</formula>
    </cfRule>
  </conditionalFormatting>
  <conditionalFormatting sqref="V4:V9 V11">
    <cfRule type="expression" dxfId="493" priority="80">
      <formula>ABS(V$7-V$10)&gt;=1000</formula>
    </cfRule>
  </conditionalFormatting>
  <conditionalFormatting sqref="W4:W9 W11">
    <cfRule type="expression" dxfId="492" priority="79">
      <formula>ABS(W$7-W$10)&gt;=1000</formula>
    </cfRule>
  </conditionalFormatting>
  <conditionalFormatting sqref="X4:X9 X11">
    <cfRule type="expression" dxfId="491" priority="78">
      <formula>ABS(X$7-X$10)&gt;=1000</formula>
    </cfRule>
  </conditionalFormatting>
  <conditionalFormatting sqref="Y4:Y9 Y11">
    <cfRule type="expression" dxfId="490" priority="77">
      <formula>ABS(Y$7-Y$10)&gt;=1000</formula>
    </cfRule>
  </conditionalFormatting>
  <conditionalFormatting sqref="Z4:Z11">
    <cfRule type="expression" dxfId="489" priority="76">
      <formula>ABS(Z$7-Z$10)&gt;=1000</formula>
    </cfRule>
  </conditionalFormatting>
  <conditionalFormatting sqref="AA4:AA11">
    <cfRule type="expression" dxfId="488" priority="75">
      <formula>ABS(AA$7-AA$10)&gt;=1000</formula>
    </cfRule>
  </conditionalFormatting>
  <conditionalFormatting sqref="AB4:AB11">
    <cfRule type="expression" dxfId="487" priority="74">
      <formula>ABS(AB$7-AB$10)&gt;=1000</formula>
    </cfRule>
  </conditionalFormatting>
  <conditionalFormatting sqref="AC4 AC6:AC11">
    <cfRule type="expression" dxfId="486" priority="73">
      <formula>ABS(AC$7-AC$10)&gt;=1000</formula>
    </cfRule>
  </conditionalFormatting>
  <conditionalFormatting sqref="AD4:AD11">
    <cfRule type="expression" dxfId="485" priority="72">
      <formula>ABS(AD$7-AD$10)&gt;=1000</formula>
    </cfRule>
  </conditionalFormatting>
  <conditionalFormatting sqref="AE4 AE6:AE11">
    <cfRule type="expression" dxfId="484" priority="71">
      <formula>ABS(AE$7-AE$10)&gt;=1000</formula>
    </cfRule>
  </conditionalFormatting>
  <conditionalFormatting sqref="D13:D20">
    <cfRule type="expression" dxfId="483" priority="70">
      <formula>ABS(D$16-D$19)&gt;=1000</formula>
    </cfRule>
  </conditionalFormatting>
  <conditionalFormatting sqref="E13:E20">
    <cfRule type="expression" dxfId="482" priority="69">
      <formula>ABS(E$16-E$19)&gt;=1000</formula>
    </cfRule>
  </conditionalFormatting>
  <conditionalFormatting sqref="F13 F15:F20">
    <cfRule type="expression" dxfId="481" priority="68">
      <formula>ABS(F$16-F$19)&gt;=1000</formula>
    </cfRule>
  </conditionalFormatting>
  <conditionalFormatting sqref="G13:G20">
    <cfRule type="expression" dxfId="480" priority="67">
      <formula>ABS(G$16-G$19)&gt;=1000</formula>
    </cfRule>
  </conditionalFormatting>
  <conditionalFormatting sqref="H13:H20">
    <cfRule type="expression" dxfId="479" priority="66">
      <formula>ABS(H$16-H$19)&gt;=1000</formula>
    </cfRule>
  </conditionalFormatting>
  <conditionalFormatting sqref="I13:I20">
    <cfRule type="expression" dxfId="478" priority="65">
      <formula>ABS(I$16-I$19)&gt;=1000</formula>
    </cfRule>
  </conditionalFormatting>
  <conditionalFormatting sqref="J13:J20">
    <cfRule type="expression" dxfId="477" priority="64">
      <formula>ABS(J$16-J$19)&gt;=1000</formula>
    </cfRule>
  </conditionalFormatting>
  <conditionalFormatting sqref="L13:L20">
    <cfRule type="expression" dxfId="476" priority="63">
      <formula>ABS(L$16-L$19)&gt;=1000</formula>
    </cfRule>
  </conditionalFormatting>
  <conditionalFormatting sqref="M13 M15 M17:M18 M20">
    <cfRule type="expression" dxfId="475" priority="62">
      <formula>ABS(M$16-M$19)&gt;=1000</formula>
    </cfRule>
  </conditionalFormatting>
  <conditionalFormatting sqref="N13:N20">
    <cfRule type="expression" dxfId="474" priority="61">
      <formula>ABS(N$16-N$19)&gt;=1000</formula>
    </cfRule>
  </conditionalFormatting>
  <conditionalFormatting sqref="O13:O20">
    <cfRule type="expression" dxfId="473" priority="60">
      <formula>ABS(O$16-O$19)&gt;=1000</formula>
    </cfRule>
  </conditionalFormatting>
  <conditionalFormatting sqref="P13:P20">
    <cfRule type="expression" dxfId="472" priority="59">
      <formula>ABS(P$16-P$19)&gt;=1000</formula>
    </cfRule>
  </conditionalFormatting>
  <conditionalFormatting sqref="Q13 Q15:Q20">
    <cfRule type="expression" dxfId="471" priority="58">
      <formula>ABS(Q$16-Q$19)&gt;=1000</formula>
    </cfRule>
  </conditionalFormatting>
  <conditionalFormatting sqref="R13:R20">
    <cfRule type="expression" dxfId="470" priority="57">
      <formula>ABS(R$16-R$19)&gt;=1000</formula>
    </cfRule>
  </conditionalFormatting>
  <conditionalFormatting sqref="S13:S20">
    <cfRule type="expression" dxfId="469" priority="56">
      <formula>ABS(S$16-S$19)&gt;=1000</formula>
    </cfRule>
  </conditionalFormatting>
  <conditionalFormatting sqref="T13:T20">
    <cfRule type="expression" dxfId="468" priority="55">
      <formula>ABS(T$16-T$19)&gt;=1000</formula>
    </cfRule>
  </conditionalFormatting>
  <conditionalFormatting sqref="U13:U20">
    <cfRule type="expression" dxfId="467" priority="54">
      <formula>ABS(U$16-U$19)&gt;=1000</formula>
    </cfRule>
  </conditionalFormatting>
  <conditionalFormatting sqref="V13:V20">
    <cfRule type="expression" dxfId="466" priority="53">
      <formula>ABS(V$16-V$19)&gt;=1000</formula>
    </cfRule>
  </conditionalFormatting>
  <conditionalFormatting sqref="W13 W20 W15:W18">
    <cfRule type="expression" dxfId="465" priority="52">
      <formula>ABS(W$16-W$19)&gt;=1000</formula>
    </cfRule>
  </conditionalFormatting>
  <conditionalFormatting sqref="X13 X15:X20 Y19">
    <cfRule type="expression" dxfId="464" priority="51">
      <formula>ABS(X$16-X$19)&gt;=1000</formula>
    </cfRule>
  </conditionalFormatting>
  <conditionalFormatting sqref="Y13 Y15:Y18 Y20">
    <cfRule type="expression" dxfId="463" priority="50">
      <formula>ABS(Y$16-Y$19)&gt;=1000</formula>
    </cfRule>
  </conditionalFormatting>
  <conditionalFormatting sqref="Z13:Z20">
    <cfRule type="expression" dxfId="462" priority="49">
      <formula>ABS(Z$16-Z$19)&gt;=1000</formula>
    </cfRule>
  </conditionalFormatting>
  <conditionalFormatting sqref="AA13:AA20">
    <cfRule type="expression" dxfId="461" priority="48">
      <formula>ABS(AA$16-AA$19)&gt;=1000</formula>
    </cfRule>
  </conditionalFormatting>
  <conditionalFormatting sqref="AB13 AB15:AB20">
    <cfRule type="expression" dxfId="460" priority="47">
      <formula>ABS(AB$16-AB$19)&gt;=1000</formula>
    </cfRule>
  </conditionalFormatting>
  <conditionalFormatting sqref="AC13 AC15:AC20">
    <cfRule type="expression" dxfId="459" priority="46">
      <formula>ABS(AC$16-AC$19)&gt;=1000</formula>
    </cfRule>
  </conditionalFormatting>
  <conditionalFormatting sqref="AD13:AD20">
    <cfRule type="expression" dxfId="458" priority="45">
      <formula>ABS(AD$16-AD$19)&gt;=1000</formula>
    </cfRule>
  </conditionalFormatting>
  <conditionalFormatting sqref="AE13:AE20">
    <cfRule type="expression" dxfId="457" priority="44">
      <formula>ABS(AE$16-AE$19)&gt;=1000</formula>
    </cfRule>
  </conditionalFormatting>
  <conditionalFormatting sqref="D22:D29">
    <cfRule type="expression" dxfId="456" priority="43">
      <formula>ABS(D$25-D$28)&gt;=1000</formula>
    </cfRule>
  </conditionalFormatting>
  <conditionalFormatting sqref="E22:E29">
    <cfRule type="expression" dxfId="455" priority="42">
      <formula>ABS(E$25-E$28)&gt;=1000</formula>
    </cfRule>
  </conditionalFormatting>
  <conditionalFormatting sqref="F22:F29">
    <cfRule type="expression" dxfId="454" priority="41">
      <formula>ABS(F$25-F$28)&gt;=1000</formula>
    </cfRule>
  </conditionalFormatting>
  <conditionalFormatting sqref="G22:G29">
    <cfRule type="expression" dxfId="453" priority="40">
      <formula>ABS(G$25-G$28)&gt;=1000</formula>
    </cfRule>
  </conditionalFormatting>
  <conditionalFormatting sqref="H22:H29">
    <cfRule type="expression" dxfId="452" priority="39">
      <formula>ABS(H$25-H$28)&gt;=1000</formula>
    </cfRule>
  </conditionalFormatting>
  <conditionalFormatting sqref="I22 I24:I29">
    <cfRule type="expression" dxfId="451" priority="38">
      <formula>ABS(I$25-I$28)&gt;=1000</formula>
    </cfRule>
  </conditionalFormatting>
  <conditionalFormatting sqref="J22:J29 K22">
    <cfRule type="expression" dxfId="450" priority="37">
      <formula>ABS(J$25-J$28)&gt;=1000</formula>
    </cfRule>
  </conditionalFormatting>
  <conditionalFormatting sqref="K23:K29 L25 L28">
    <cfRule type="expression" dxfId="449" priority="36">
      <formula>ABS(K$25-K$28)&gt;=1000</formula>
    </cfRule>
  </conditionalFormatting>
  <conditionalFormatting sqref="L22 L26:L27 L29 L24">
    <cfRule type="expression" dxfId="448" priority="35">
      <formula>ABS(L$25-L$28)&gt;=1000</formula>
    </cfRule>
  </conditionalFormatting>
  <conditionalFormatting sqref="M22:M29">
    <cfRule type="expression" dxfId="447" priority="34">
      <formula>ABS(M$25-M$28)&gt;=1000</formula>
    </cfRule>
  </conditionalFormatting>
  <conditionalFormatting sqref="N22:N29">
    <cfRule type="expression" dxfId="446" priority="33">
      <formula>ABS(N$25-N$28)&gt;=1000</formula>
    </cfRule>
  </conditionalFormatting>
  <conditionalFormatting sqref="O22:O29">
    <cfRule type="expression" dxfId="445" priority="32">
      <formula>ABS(O$25-O$28)&gt;=1000</formula>
    </cfRule>
  </conditionalFormatting>
  <conditionalFormatting sqref="P22:P29">
    <cfRule type="expression" dxfId="444" priority="31">
      <formula>ABS(P$25-P$28)&gt;=1000</formula>
    </cfRule>
  </conditionalFormatting>
  <conditionalFormatting sqref="Q22:Q29">
    <cfRule type="expression" dxfId="443" priority="30">
      <formula>ABS(Q$25-Q$28)&gt;=1000</formula>
    </cfRule>
  </conditionalFormatting>
  <conditionalFormatting sqref="R22:R29">
    <cfRule type="expression" dxfId="442" priority="29">
      <formula>ABS(R$25-R$28)&gt;=1000</formula>
    </cfRule>
  </conditionalFormatting>
  <conditionalFormatting sqref="S22:S29">
    <cfRule type="expression" dxfId="441" priority="28">
      <formula>ABS(S$25-S$28)&gt;=1000</formula>
    </cfRule>
  </conditionalFormatting>
  <conditionalFormatting sqref="T22:T29">
    <cfRule type="expression" dxfId="440" priority="27">
      <formula>ABS(T$25-T$28)&gt;=1000</formula>
    </cfRule>
  </conditionalFormatting>
  <conditionalFormatting sqref="U22:U29">
    <cfRule type="expression" dxfId="439" priority="26">
      <formula>ABS(U$25-U$28)&gt;=1000</formula>
    </cfRule>
  </conditionalFormatting>
  <conditionalFormatting sqref="V22:V29">
    <cfRule type="expression" dxfId="438" priority="25">
      <formula>ABS(V$25-V$28)&gt;=1000</formula>
    </cfRule>
  </conditionalFormatting>
  <conditionalFormatting sqref="W22:W29">
    <cfRule type="expression" dxfId="437" priority="24">
      <formula>ABS(W$25-W$28)&gt;=1000</formula>
    </cfRule>
  </conditionalFormatting>
  <conditionalFormatting sqref="X22:X29">
    <cfRule type="expression" dxfId="436" priority="23">
      <formula>ABS(X$25-X$28)&gt;=1000</formula>
    </cfRule>
  </conditionalFormatting>
  <conditionalFormatting sqref="Y22:Y29">
    <cfRule type="expression" dxfId="435" priority="22">
      <formula>ABS(Y$25-Y$28)&gt;=1000</formula>
    </cfRule>
  </conditionalFormatting>
  <conditionalFormatting sqref="I23">
    <cfRule type="expression" dxfId="434" priority="21">
      <formula>ABS(I$25-I$28)&gt;=1000</formula>
    </cfRule>
  </conditionalFormatting>
  <conditionalFormatting sqref="Q14">
    <cfRule type="expression" dxfId="433" priority="20">
      <formula>ABS(Q$16-Q$19)&gt;=1000</formula>
    </cfRule>
  </conditionalFormatting>
  <conditionalFormatting sqref="W14">
    <cfRule type="expression" dxfId="432" priority="19">
      <formula>ABS(W$16-W$19)&gt;=1000</formula>
    </cfRule>
  </conditionalFormatting>
  <conditionalFormatting sqref="Y14">
    <cfRule type="expression" dxfId="431" priority="18">
      <formula>ABS(Y$16-Y$19)&gt;=1000</formula>
    </cfRule>
  </conditionalFormatting>
  <conditionalFormatting sqref="X14">
    <cfRule type="expression" dxfId="430" priority="17">
      <formula>ABS(X$16-X$19)&gt;=1000</formula>
    </cfRule>
  </conditionalFormatting>
  <conditionalFormatting sqref="T10:Y10">
    <cfRule type="expression" dxfId="429" priority="16">
      <formula>ABS(T$7-T$10)&gt;=1000</formula>
    </cfRule>
  </conditionalFormatting>
  <conditionalFormatting sqref="W19">
    <cfRule type="expression" dxfId="428" priority="15">
      <formula>ABS(W$16-W$19)&gt;=1000</formula>
    </cfRule>
  </conditionalFormatting>
  <conditionalFormatting sqref="AC5">
    <cfRule type="expression" dxfId="427" priority="14">
      <formula>ABS(AC$7-AC$10)&gt;=1000</formula>
    </cfRule>
  </conditionalFormatting>
  <conditionalFormatting sqref="M14">
    <cfRule type="expression" dxfId="426" priority="13">
      <formula>ABS(M$16-M$19)&gt;=1000</formula>
    </cfRule>
  </conditionalFormatting>
  <conditionalFormatting sqref="M16">
    <cfRule type="expression" dxfId="425" priority="12">
      <formula>ABS(M$16-M$19)&gt;=1000</formula>
    </cfRule>
  </conditionalFormatting>
  <conditionalFormatting sqref="M19">
    <cfRule type="expression" dxfId="424" priority="11">
      <formula>ABS(M$16-M$19)&gt;=1000</formula>
    </cfRule>
  </conditionalFormatting>
  <conditionalFormatting sqref="K13:K20">
    <cfRule type="expression" dxfId="423" priority="10">
      <formula>ABS(K$16-K$19)&gt;=1000</formula>
    </cfRule>
  </conditionalFormatting>
  <conditionalFormatting sqref="E5">
    <cfRule type="expression" dxfId="422" priority="9">
      <formula>ABS(E$7-E$10)&gt;=1000</formula>
    </cfRule>
  </conditionalFormatting>
  <conditionalFormatting sqref="AB14:AC14">
    <cfRule type="expression" dxfId="421" priority="8">
      <formula>ABS(AB$16-AB$19)&gt;=1000</formula>
    </cfRule>
  </conditionalFormatting>
  <conditionalFormatting sqref="M5">
    <cfRule type="expression" dxfId="420" priority="7">
      <formula>ABS(M$7-M$10)&gt;=1000</formula>
    </cfRule>
  </conditionalFormatting>
  <conditionalFormatting sqref="N5">
    <cfRule type="expression" dxfId="419" priority="6">
      <formula>ABS(N$7-N$10)&gt;=1000</formula>
    </cfRule>
  </conditionalFormatting>
  <conditionalFormatting sqref="O5">
    <cfRule type="expression" dxfId="418" priority="5">
      <formula>ABS(O$7-O$10)&gt;=1000</formula>
    </cfRule>
  </conditionalFormatting>
  <conditionalFormatting sqref="P5">
    <cfRule type="expression" dxfId="417" priority="4">
      <formula>ABS(P$7-P$10)&gt;=1000</formula>
    </cfRule>
  </conditionalFormatting>
  <conditionalFormatting sqref="L23">
    <cfRule type="expression" dxfId="416" priority="3">
      <formula>ABS(L$25-L$28)&gt;=1000</formula>
    </cfRule>
  </conditionalFormatting>
  <conditionalFormatting sqref="F14">
    <cfRule type="expression" dxfId="415" priority="2">
      <formula>ABS(F$16-F$19)&gt;=1000</formula>
    </cfRule>
  </conditionalFormatting>
  <conditionalFormatting sqref="AE5">
    <cfRule type="expression" dxfId="41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52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2">
    <pageSetUpPr fitToPage="1"/>
  </sheetPr>
  <dimension ref="A1:CU223"/>
  <sheetViews>
    <sheetView view="pageBreakPreview" zoomScale="80" zoomScaleNormal="100" zoomScaleSheetLayoutView="80" workbookViewId="0">
      <selection activeCell="AF17" sqref="AF1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45959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6780</v>
      </c>
      <c r="E6" s="71">
        <v>3764</v>
      </c>
      <c r="F6" s="71">
        <v>6691</v>
      </c>
      <c r="G6" s="71">
        <v>1068</v>
      </c>
      <c r="H6" s="71">
        <v>2598</v>
      </c>
      <c r="I6" s="71">
        <v>0.06</v>
      </c>
      <c r="J6" s="71">
        <v>7</v>
      </c>
      <c r="K6" s="71">
        <v>-7.0000000000000007E-2</v>
      </c>
      <c r="L6" s="71">
        <v>24.24</v>
      </c>
      <c r="M6" s="71">
        <v>1244</v>
      </c>
      <c r="N6" s="71">
        <v>2724</v>
      </c>
      <c r="O6" s="71">
        <v>105</v>
      </c>
      <c r="P6" s="71">
        <v>3748</v>
      </c>
      <c r="Q6" s="71">
        <v>4632</v>
      </c>
      <c r="R6" s="71">
        <v>4455</v>
      </c>
      <c r="S6" s="71">
        <v>0</v>
      </c>
      <c r="T6" s="71">
        <v>0</v>
      </c>
      <c r="U6" s="71">
        <v>2832</v>
      </c>
      <c r="V6" s="71">
        <v>5155</v>
      </c>
      <c r="W6" s="71">
        <v>6984</v>
      </c>
      <c r="X6" s="71">
        <v>7074</v>
      </c>
      <c r="Y6" s="71">
        <v>7098</v>
      </c>
      <c r="Z6" s="71">
        <v>5892</v>
      </c>
      <c r="AA6" s="71">
        <v>2328</v>
      </c>
      <c r="AB6" s="71">
        <v>2515</v>
      </c>
      <c r="AC6" s="71">
        <v>534</v>
      </c>
      <c r="AD6" s="71">
        <v>4350</v>
      </c>
      <c r="AE6" s="71">
        <v>2734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213326.73766799999</v>
      </c>
      <c r="E7" s="73" ph="1">
        <f>E6*51.53*LOOKUP(E8,密度!$A$2:$A$50,密度!$B$2:$B$50)</f>
        <v>151559.500088</v>
      </c>
      <c r="F7" s="73" ph="1">
        <f>F6*33.183*LOOKUP(F8,密度!$A$2:$A$50,密度!$C$2:$C$50)</f>
        <v>246539.28381120003</v>
      </c>
      <c r="G7" s="73" ph="1">
        <f xml:space="preserve"> (G6+2)*51.53*LOOKUP(G8,密度!$A$2:$A$50,密度!$B$2:$B$50)</f>
        <v>43084.129939999999</v>
      </c>
      <c r="H7" s="73" ph="1">
        <f>(H6)*51.53*LOOKUP(H8,密度!$A$2:$A$50,密度!$B$2:$B$50)</f>
        <v>105078.44040600001</v>
      </c>
      <c r="I7" s="73" ph="1">
        <f>I6*290.8*1.0267</f>
        <v>17.913861600000001</v>
      </c>
      <c r="J7" s="73" ph="1">
        <f>J6*290.8*0.7892</f>
        <v>1606.4955200000002</v>
      </c>
      <c r="K7" s="73" ph="1">
        <f>K6*290.8*1.1126</f>
        <v>-22.648085600000002</v>
      </c>
      <c r="L7" s="73" ph="1">
        <f>L6*290.8*0.777</f>
        <v>5477.0667840000006</v>
      </c>
      <c r="M7" s="73" ph="1">
        <f>M6*33.183*LOOKUP(M8,密度!$A$2:$A$50,密度!$D$2:$D$50)</f>
        <v>42497.401734000006</v>
      </c>
      <c r="N7" s="73" ph="1">
        <f>N6*33.183*LOOKUP(N8,密度!$A$2:$A$50,密度!$E$2:$E$50)</f>
        <v>70793.833334399998</v>
      </c>
      <c r="O7" s="73" ph="1">
        <f>O6*20.428*LOOKUP(O8,密度!$A$2:$A$50,密度!$C$2:$C$50)</f>
        <v>2380.0254239999999</v>
      </c>
      <c r="P7" s="73" ph="1">
        <f>P6*51.53*LOOKUP(P8,密度!$A$2:$A$50,密度!$B$2:$B$50)</f>
        <v>151262.893408</v>
      </c>
      <c r="Q7" s="73" ph="1">
        <f>Q6*1.5*1.5*3.1416*LOOKUP(W8,密度!$A$2:$A$50,密度!$L$2:$L$50)</f>
        <v>30744.508132799998</v>
      </c>
      <c r="R7" s="73" ph="1">
        <f>R6*1.5*1.5*3.1416*LOOKUP(R8,密度!$A$2:$A$50,密度!$L$2:$L$50)</f>
        <v>29412.232542000002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18797.1604128</v>
      </c>
      <c r="V7" s="73" ph="1">
        <f>V6*1.5*1.5*3.1416*LOOKUP(V8,密度!$A$2:$A$50,密度!$L$2:$L$50)</f>
        <v>34070.121855000005</v>
      </c>
      <c r="W7" s="73" ph="1">
        <f>W6*1.5*1.5*3.1416*LOOKUP(W8,密度!$A$2:$A$50,密度!$L$2:$L$50)</f>
        <v>46355.709153599993</v>
      </c>
      <c r="X7" s="73" ph="1">
        <f>X6*1.5*1.5*3.1416*LOOKUP(X8,密度!$A$2:$A$50,密度!$L$2:$L$50)</f>
        <v>47403.106027200003</v>
      </c>
      <c r="Y7" s="73" ph="1">
        <f>Y6*1.5*1.5*3.1416*LOOKUP(Y8,密度!$A$2:$A$50,密度!$L$2:$L$50)</f>
        <v>47162.547431999999</v>
      </c>
      <c r="Z7" s="73" ph="1">
        <f>Z6*33.183*LOOKUP(Z8,密度!$A$2:$A$50,密度!$L$2:$L$50)</f>
        <v>184174.41031199999</v>
      </c>
      <c r="AA7" s="73" ph="1">
        <f>AA6*33.183*LOOKUP(AA8,密度!$A$2:$A$50,密度!$D$2:$D$50)</f>
        <v>79528.899708000012</v>
      </c>
      <c r="AB7" s="73" ph="1">
        <f>AB6*20.428*LOOKUP(AB8,密度!$A$2:$A$50,密度!$D$2:$D$50)</f>
        <v>53205.420552000011</v>
      </c>
      <c r="AC7" s="73" ph="1">
        <f>AC6*51.53*LOOKUP(AC8,密度!$A$2:$A$50,密度!$Q$2:$Q$50)</f>
        <v>26175.0149346</v>
      </c>
      <c r="AD7" s="73" ph="1">
        <f>AD6*20.428*LOOKUP(AD8,密度!$A$2:$A$50,密度!$V$2:$V$50)</f>
        <v>85378.417440000005</v>
      </c>
      <c r="AE7" s="73" ph="1">
        <f>AE6*20.428</f>
        <v>55850.152000000002</v>
      </c>
    </row>
    <row r="8" spans="1:99" ph="1">
      <c r="B8" s="241" ph="1"/>
      <c r="C8" s="68" t="s" ph="1">
        <v>179</v>
      </c>
      <c r="D8" s="74">
        <v>23</v>
      </c>
      <c r="E8" s="74">
        <v>23</v>
      </c>
      <c r="F8" s="74">
        <v>23</v>
      </c>
      <c r="G8" s="74">
        <v>23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25</v>
      </c>
      <c r="O8" s="74">
        <v>24</v>
      </c>
      <c r="P8" s="74">
        <v>21</v>
      </c>
      <c r="Q8" s="74">
        <v>23</v>
      </c>
      <c r="R8" s="74">
        <v>28</v>
      </c>
      <c r="S8" s="74">
        <v>19</v>
      </c>
      <c r="T8" s="74">
        <v>18</v>
      </c>
      <c r="U8" s="74">
        <v>23</v>
      </c>
      <c r="V8" s="74">
        <v>27</v>
      </c>
      <c r="W8" s="74">
        <v>23</v>
      </c>
      <c r="X8" s="74">
        <v>14</v>
      </c>
      <c r="Y8" s="74">
        <v>22</v>
      </c>
      <c r="Z8" s="74">
        <v>20</v>
      </c>
      <c r="AA8" s="74">
        <v>22</v>
      </c>
      <c r="AB8" s="74">
        <v>15</v>
      </c>
      <c r="AC8" s="74">
        <v>19</v>
      </c>
      <c r="AD8" s="74">
        <v>21</v>
      </c>
      <c r="AE8" s="74">
        <v>30</v>
      </c>
    </row>
    <row r="9" spans="1:99" ht="26.4" ph="1">
      <c r="B9" s="241" ph="1">
        <v>0.66666666666666663</v>
      </c>
      <c r="C9" s="163" t="s" ph="1">
        <v>180</v>
      </c>
      <c r="D9" s="71">
        <v>6785</v>
      </c>
      <c r="E9" s="71">
        <v>4197</v>
      </c>
      <c r="F9" s="71">
        <v>6489</v>
      </c>
      <c r="G9" s="71">
        <v>788</v>
      </c>
      <c r="H9" s="71">
        <v>5260</v>
      </c>
      <c r="I9" s="71">
        <v>0.05</v>
      </c>
      <c r="J9" s="71">
        <v>7.11</v>
      </c>
      <c r="K9" s="71">
        <v>4.74</v>
      </c>
      <c r="L9" s="71">
        <v>10.16</v>
      </c>
      <c r="M9" s="71">
        <v>1245</v>
      </c>
      <c r="N9" s="71">
        <v>2727</v>
      </c>
      <c r="O9" s="71">
        <v>104</v>
      </c>
      <c r="P9" s="71">
        <v>3331</v>
      </c>
      <c r="Q9" s="71">
        <v>6753</v>
      </c>
      <c r="R9" s="71">
        <v>4459</v>
      </c>
      <c r="S9" s="71">
        <v>2838</v>
      </c>
      <c r="T9" s="71">
        <v>0</v>
      </c>
      <c r="U9" s="71">
        <v>0</v>
      </c>
      <c r="V9" s="71">
        <v>2497</v>
      </c>
      <c r="W9" s="71">
        <v>6998</v>
      </c>
      <c r="X9" s="71">
        <v>7087</v>
      </c>
      <c r="Y9" s="71">
        <v>7112</v>
      </c>
      <c r="Z9" s="71">
        <v>3570</v>
      </c>
      <c r="AA9" s="71">
        <v>2323</v>
      </c>
      <c r="AB9" s="71">
        <v>2395</v>
      </c>
      <c r="AC9" s="71">
        <v>534</v>
      </c>
      <c r="AD9" s="71">
        <v>4350</v>
      </c>
      <c r="AE9" s="71">
        <v>3477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213155.3441547</v>
      </c>
      <c r="E10" s="73" ph="1">
        <f>E9*51.53*LOOKUP(E11,密度!$A$2:$A$50,密度!$B$2:$B$50)</f>
        <v>168410.546967</v>
      </c>
      <c r="F10" s="73" ph="1">
        <f>F9*33.183*LOOKUP(F11,密度!$A$2:$A$50,密度!$C$2:$C$50)</f>
        <v>238924.05077519998</v>
      </c>
      <c r="G10" s="73" ph="1">
        <f xml:space="preserve"> (G9+2)*51.53*LOOKUP(G11,密度!$A$2:$A$50,密度!$B$2:$B$50)</f>
        <v>31667.297730000006</v>
      </c>
      <c r="H10" s="73" ph="1">
        <f>(H9)*51.53*LOOKUP(H11,密度!$A$2:$A$50,密度!$B$2:$B$50)</f>
        <v>211796.75091999999</v>
      </c>
      <c r="I10" s="73" ph="1">
        <f>I9*290.8*1.0267</f>
        <v>14.928217999999999</v>
      </c>
      <c r="J10" s="73" ph="1">
        <f>J9*290.8*0.7892</f>
        <v>1631.7404496000001</v>
      </c>
      <c r="K10" s="73" ph="1">
        <f>K9*290.8*1.1126</f>
        <v>1533.5989392000001</v>
      </c>
      <c r="L10" s="73" ph="1">
        <f>L9*290.8*0.777</f>
        <v>2295.6682560000004</v>
      </c>
      <c r="M10" s="73" ph="1">
        <f>M9*33.183*LOOKUP(M11,密度!$A$2:$A$50,密度!$D$2:$D$50)</f>
        <v>42300.211756500001</v>
      </c>
      <c r="N10" s="73" ph="1">
        <f>N9*33.183*LOOKUP(N11,密度!$A$2:$A$50,密度!$E$2:$E$50)</f>
        <v>70772.261066099993</v>
      </c>
      <c r="O10" s="73" ph="1">
        <f>O9*20.428*LOOKUP(O11,密度!$A$2:$A$50,密度!$C$2:$C$50)</f>
        <v>2345.6736992000006</v>
      </c>
      <c r="P10" s="73" ph="1">
        <f>P9*51.53*LOOKUP(P11,密度!$A$2:$A$50,密度!$B$2:$B$50)</f>
        <v>133523.757897</v>
      </c>
      <c r="Q10" s="73" ph="1">
        <f>Q9*1.5*1.5*3.1416*LOOKUP(W11,密度!$A$2:$A$50,密度!$L$2:$L$50)</f>
        <v>44726.997684599999</v>
      </c>
      <c r="R10" s="73" ph="1">
        <f>R9*1.5*1.5*3.1416*LOOKUP(R11,密度!$A$2:$A$50,密度!$L$2:$L$50)</f>
        <v>29375.603056800002</v>
      </c>
      <c r="S10" s="73" ph="1">
        <f>S9*1.5*1.5*3.1416*LOOKUP(S11,密度!$A$2:$A$50,密度!$L$2:$L$50)</f>
        <v>18877.106278799998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16485.374782800001</v>
      </c>
      <c r="W10" s="73" ph="1">
        <f>W9*1.5*1.5*3.1416*LOOKUP(W11,密度!$A$2:$A$50,密度!$L$2:$L$50)</f>
        <v>46349.700843600003</v>
      </c>
      <c r="X10" s="73" ph="1">
        <f>X9*1.5*1.5*3.1416*LOOKUP(X11,密度!$A$2:$A$50,密度!$L$2:$L$50)</f>
        <v>47390.0291172</v>
      </c>
      <c r="Y10" s="73" ph="1">
        <f>Y9*1.5*1.5*3.1416*LOOKUP(Y11,密度!$A$2:$A$50,密度!$L$2:$L$50)</f>
        <v>47155.026441599992</v>
      </c>
      <c r="Z10" s="73" ph="1">
        <f>Z9*33.183*LOOKUP(Z11,密度!$A$2:$A$50,密度!$L$2:$L$50)</f>
        <v>111237.04809</v>
      </c>
      <c r="AA10" s="73" ph="1">
        <f>AA9*33.183*LOOKUP(AA11,密度!$A$2:$A$50,密度!$D$2:$D$50)</f>
        <v>78995.794903199989</v>
      </c>
      <c r="AB10" s="73" ph="1">
        <f>AB9*20.428*LOOKUP(AB11,密度!$A$2:$A$50,密度!$D$2:$D$50)</f>
        <v>50544.479486000004</v>
      </c>
      <c r="AC10" s="73" ph="1">
        <f>AC9*51.53*LOOKUP(AC11,密度!$A$2:$A$50,密度!$Q$2:$Q$50)</f>
        <v>26051.463514800002</v>
      </c>
      <c r="AD10" s="73" ph="1">
        <f>AD9*20.428*LOOKUP(AD11,密度!$A$2:$A$50,密度!$V$2:$V$50)</f>
        <v>85094.059680000006</v>
      </c>
      <c r="AE10" s="73" ph="1">
        <f>AE9*20.428</f>
        <v>71028.156000000003</v>
      </c>
    </row>
    <row r="11" spans="1:99" ph="1">
      <c r="A11" s="64" t="s" ph="1">
        <v>162</v>
      </c>
      <c r="B11" s="241" ph="1"/>
      <c r="C11" s="163" t="s" ph="1">
        <v>179</v>
      </c>
      <c r="D11" s="74">
        <v>25</v>
      </c>
      <c r="E11" s="74">
        <v>26</v>
      </c>
      <c r="F11" s="74">
        <v>24</v>
      </c>
      <c r="G11" s="74">
        <v>27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26</v>
      </c>
      <c r="O11" s="74">
        <v>31</v>
      </c>
      <c r="P11" s="74">
        <v>27</v>
      </c>
      <c r="Q11" s="74">
        <v>25</v>
      </c>
      <c r="R11" s="74">
        <v>30</v>
      </c>
      <c r="S11" s="74">
        <v>21</v>
      </c>
      <c r="T11" s="74">
        <v>30</v>
      </c>
      <c r="U11" s="74">
        <v>27</v>
      </c>
      <c r="V11" s="74">
        <v>28</v>
      </c>
      <c r="W11" s="74">
        <v>25</v>
      </c>
      <c r="X11" s="74">
        <v>16</v>
      </c>
      <c r="Y11" s="74">
        <v>24</v>
      </c>
      <c r="Z11" s="74">
        <v>23</v>
      </c>
      <c r="AA11" s="74">
        <v>27</v>
      </c>
      <c r="AB11" s="74">
        <v>18</v>
      </c>
      <c r="AC11" s="74">
        <v>25</v>
      </c>
      <c r="AD11" s="74">
        <v>29</v>
      </c>
      <c r="AE11" s="74">
        <v>33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5310</v>
      </c>
      <c r="E15" s="78">
        <v>2202</v>
      </c>
      <c r="F15" s="78">
        <v>3179</v>
      </c>
      <c r="G15" s="78">
        <v>3789</v>
      </c>
      <c r="H15" s="78">
        <v>0</v>
      </c>
      <c r="I15" s="78">
        <v>1616</v>
      </c>
      <c r="J15" s="78">
        <v>735</v>
      </c>
      <c r="K15" s="78">
        <v>4195</v>
      </c>
      <c r="L15" s="78">
        <v>3972</v>
      </c>
      <c r="M15" s="78">
        <v>6705</v>
      </c>
      <c r="N15" s="78">
        <v>1501</v>
      </c>
      <c r="O15" s="78">
        <v>6385</v>
      </c>
      <c r="P15" s="78">
        <v>6924</v>
      </c>
      <c r="Q15" s="78">
        <v>3389</v>
      </c>
      <c r="R15" s="78">
        <v>4952</v>
      </c>
      <c r="S15" s="78">
        <v>6180</v>
      </c>
      <c r="T15" s="78">
        <v>4857</v>
      </c>
      <c r="U15" s="78">
        <v>5899</v>
      </c>
      <c r="V15" s="78">
        <v>4944</v>
      </c>
      <c r="W15" s="71">
        <v>5048</v>
      </c>
      <c r="X15" s="78">
        <v>851</v>
      </c>
      <c r="Y15" s="106">
        <v>-9905</v>
      </c>
      <c r="Z15" s="78">
        <v>0</v>
      </c>
      <c r="AA15" s="78">
        <v>9</v>
      </c>
      <c r="AB15" s="78" ph="1">
        <v>1093</v>
      </c>
      <c r="AC15" s="78" ph="1">
        <v>2139</v>
      </c>
      <c r="AD15" s="78">
        <v>66.98</v>
      </c>
      <c r="AE15" s="78">
        <v>3.91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35282.210039999998</v>
      </c>
      <c r="E16" s="73" ph="1">
        <f>E15*7.0686*LOOKUP(E17,密度!$A$2:$A$50,密度!$L$2:$L$50)</f>
        <v>14615.588710799999</v>
      </c>
      <c r="F16" s="73" ph="1">
        <f>F15*9.0746*LOOKUP(F17,密度!$A$2:$A$50,密度!$L$2:$L$50)</f>
        <v>27030.719735800001</v>
      </c>
      <c r="G16" s="73" ph="1">
        <f>G15*9.0746*LOOKUP(G17,密度!$A$2:$A$50,密度!$B$2:$B$50)</f>
        <v>26929.282042080002</v>
      </c>
      <c r="H16" s="73" ph="1">
        <f>H15*9.0746*LOOKUP(H17,密度!$A$2:$A$50,密度!$L$2:$L$50)</f>
        <v>0</v>
      </c>
      <c r="I16" s="73" ph="1">
        <f>I15*9.0746*LOOKUP(I17,密度!$A$2:$A$50,密度!$U$2:$U$50)</f>
        <v>15075.161100800002</v>
      </c>
      <c r="J16" s="73" ph="1">
        <f>J15*9.0746*LOOKUP(J17,密度!$A$2:$A$50,密度!$L$2:$L$50)</f>
        <v>6262.9713089999996</v>
      </c>
      <c r="K16" s="73" ph="1">
        <f>K15*9.0746*LOOKUP(K17,密度!$A$2:$A$50,密度!$C$2:$C$50)</f>
        <v>42327.750269300006</v>
      </c>
      <c r="L16" s="73" ph="1">
        <f>L15*9.0746*LOOKUP(L17,密度!$A$2:$A$50,密度!$E$2:$E$50)</f>
        <v>28359.664052160006</v>
      </c>
      <c r="M16" s="73" ph="1">
        <f>M15*9.0746*LOOKUP(M17,密度!$A$2:$A$50,密度!$M$2:$M$50)</f>
        <v>53361.234260999998</v>
      </c>
      <c r="N16" s="73" ph="1">
        <f>N15*9.0746*LOOKUP(N17,密度!$A$2:$A$50,密度!$M$2:$M$50)</f>
        <v>11974.198770859999</v>
      </c>
      <c r="O16" s="73" ph="1">
        <f>O15*9.0746*LOOKUP(O17,密度!$A$2:$A$50,密度!$G$2:$G$50)</f>
        <v>55693.197745200006</v>
      </c>
      <c r="P16" s="73" ph="1">
        <f ca="1">P15*9.0746*LOOKUP(P17,密度!$A$2:$A$51,密度!$Q$2:$Q$50)</f>
        <v>59633.726277336005</v>
      </c>
      <c r="Q16" s="73" ph="1">
        <f>Q15*9.0746*LOOKUP(Q17,密度!$A$2:$A$50,密度!$Q$2:$Q$50)</f>
        <v>29160.771555080002</v>
      </c>
      <c r="R16" s="73" ph="1">
        <f>MAX(R15*9.0746*LOOKUP(R17,密度!$A$2:$A$50,密度!$B$2:$B$50),0)</f>
        <v>35073.655685600002</v>
      </c>
      <c r="S16" s="73" ph="1">
        <f>S15*9.0746*LOOKUP(S17,密度!$A$2:$A$50,密度!$Q$2:$Q$50)</f>
        <v>53225.942864519995</v>
      </c>
      <c r="T16" s="73" ph="1">
        <f>T15*9.0746*LOOKUP(T17,密度!$A$2:$A$50,密度!$O$2:$O$50)</f>
        <v>40990.058946000005</v>
      </c>
      <c r="U16" s="73" ph="1">
        <f>U15*9.0746*LOOKUP(U17,密度!$A$2:$A$50,密度!$H$2:$H$50)</f>
        <v>49232.520848379994</v>
      </c>
      <c r="V16" s="73" ph="1">
        <f>MAX(5600*LOOKUP(V17,密度!$A$2:$A$50,密度!$Q$2:$Q$50)+V15*9.0476*LOOKUP(V17,密度!$A$2:$A$50,密度!$Q$2:$Q$50),0)</f>
        <v>47614.952282432001</v>
      </c>
      <c r="W16" s="73" ph="1">
        <f>MAX(5600*LOOKUP(W17,密度!$A$2:$A$50,密度!$Q$2:$Q$50)+W15*9.0476*LOOKUP(W17,密度!$A$2:$A$50,密度!$Q$2:$Q$50),0)</f>
        <v>48505.119589344002</v>
      </c>
      <c r="X16" s="73" ph="1">
        <f>MAX(5600*LOOKUP(X17,密度!$A$2:$A$50,密度!$I$2:$I$50)+X15*9.0476*LOOKUP(X17,密度!$A$2:$A$50,密度!$I$2:$I$50),0)</f>
        <v>13862.076771479999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63.965040480000006</v>
      </c>
      <c r="AB16" s="73" ph="1">
        <f>AB15*9.0746*LOOKUP(AB17,密度!$A$2:$A$50,密度!$L$2:$L$50)</f>
        <v>9323.4255319999993</v>
      </c>
      <c r="AC16" s="73" ph="1">
        <f>AC15*9.0746*LOOKUP(AC17,密度!$A$2:$A$50,密度!$L$2:$L$50)</f>
        <v>18265.3458054</v>
      </c>
      <c r="AD16" s="73" ph="1">
        <f>AD15*268.68*LOOKUP(AD17,密度!$A$2:$A$50,密度!B2:B50)+IF(AD15&lt;=0,0,1566*LOOKUP(AD17,密度!$A$2:$A$50,密度!B2:B50))</f>
        <v>15250.680517440001</v>
      </c>
      <c r="AE16" s="73" ph="1">
        <f>AE15*268.68*LOOKUP(AE17,密度!$A$2:$A$50,密度!B2:B50)+IF(AE15&lt;=0,0,1566*LOOKUP(AE17,密度!$A$2:$A$50,密度!B2:B50))</f>
        <v>2039.8536484799999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22</v>
      </c>
      <c r="E17" s="74">
        <v>23</v>
      </c>
      <c r="F17" s="74">
        <v>25</v>
      </c>
      <c r="G17" s="74">
        <v>21</v>
      </c>
      <c r="H17" s="74">
        <v>18</v>
      </c>
      <c r="I17" s="74">
        <v>22</v>
      </c>
      <c r="J17" s="74">
        <v>23</v>
      </c>
      <c r="K17" s="74">
        <v>21</v>
      </c>
      <c r="L17" s="74">
        <v>22</v>
      </c>
      <c r="M17" s="74">
        <v>23</v>
      </c>
      <c r="N17" s="74">
        <v>21</v>
      </c>
      <c r="O17" s="74">
        <v>24</v>
      </c>
      <c r="P17" s="74">
        <v>22</v>
      </c>
      <c r="Q17" s="74">
        <v>23</v>
      </c>
      <c r="R17" s="74">
        <v>24</v>
      </c>
      <c r="S17" s="74">
        <v>22</v>
      </c>
      <c r="T17" s="74">
        <v>23</v>
      </c>
      <c r="U17" s="74">
        <v>20</v>
      </c>
      <c r="V17" s="74">
        <v>26</v>
      </c>
      <c r="W17" s="74">
        <v>26</v>
      </c>
      <c r="X17" s="74">
        <v>25</v>
      </c>
      <c r="Y17" s="108">
        <v>25</v>
      </c>
      <c r="Z17" s="74">
        <v>23</v>
      </c>
      <c r="AA17" s="74">
        <v>21</v>
      </c>
      <c r="AB17" s="74">
        <v>22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5964</v>
      </c>
      <c r="E18" s="71">
        <v>3407</v>
      </c>
      <c r="F18" s="71">
        <v>3247</v>
      </c>
      <c r="G18" s="71">
        <v>3855</v>
      </c>
      <c r="H18" s="71">
        <v>0</v>
      </c>
      <c r="I18" s="71">
        <v>1617</v>
      </c>
      <c r="J18" s="71">
        <v>735</v>
      </c>
      <c r="K18" s="71">
        <v>4197</v>
      </c>
      <c r="L18" s="71">
        <v>3964</v>
      </c>
      <c r="M18" s="71">
        <v>5699</v>
      </c>
      <c r="N18" s="71">
        <v>918</v>
      </c>
      <c r="O18" s="71">
        <v>6394</v>
      </c>
      <c r="P18" s="71">
        <v>6940</v>
      </c>
      <c r="Q18" s="71">
        <v>3391</v>
      </c>
      <c r="R18" s="71">
        <v>4962</v>
      </c>
      <c r="S18" s="71">
        <v>6191</v>
      </c>
      <c r="T18" s="71">
        <v>4315</v>
      </c>
      <c r="U18" s="71">
        <v>5899</v>
      </c>
      <c r="V18" s="71">
        <v>4944</v>
      </c>
      <c r="W18" s="71">
        <v>5047</v>
      </c>
      <c r="X18" s="71">
        <v>849</v>
      </c>
      <c r="Y18" s="109">
        <v>-9908</v>
      </c>
      <c r="Z18" s="71">
        <v>0</v>
      </c>
      <c r="AA18" s="71">
        <v>9</v>
      </c>
      <c r="AB18" s="71">
        <v>1092</v>
      </c>
      <c r="AC18" s="71">
        <v>2143</v>
      </c>
      <c r="AD18" s="71">
        <v>84.7</v>
      </c>
      <c r="AE18" s="71">
        <v>28.21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39459.074054400007</v>
      </c>
      <c r="E19" s="73" ph="1">
        <f>E18*7.0686*LOOKUP(E20,密度!$A$2:$A$50,密度!$L$2:$L$50)</f>
        <v>22541.426107200001</v>
      </c>
      <c r="F19" s="73" ph="1">
        <f>F18*9.0746*LOOKUP(F20,密度!$A$2:$A$50,密度!$L$2:$L$50)</f>
        <v>27461.590818400004</v>
      </c>
      <c r="G19" s="73" ph="1">
        <f>G18*9.0746*LOOKUP(G20,密度!$A$2:$A$50,密度!$B$2:$B$50)</f>
        <v>27303.906031499999</v>
      </c>
      <c r="H19" s="73" ph="1">
        <f>H18*9.0746*LOOKUP(H20,密度!$A$2:$A$50,密度!$L$2:$L$50)</f>
        <v>0</v>
      </c>
      <c r="I19" s="73" ph="1">
        <f>I18*9.0746*LOOKUP(I20,密度!$A$2:$A$50,密度!$U$2:$U$50)</f>
        <v>14996.448020400001</v>
      </c>
      <c r="J19" s="73" ph="1">
        <f>J18*9.0746*LOOKUP(J20,密度!$A$2:$A$50,密度!$L$2:$L$50)</f>
        <v>6229.6221540000006</v>
      </c>
      <c r="K19" s="73" ph="1">
        <f>K18*9.0746*LOOKUP(K20,密度!$A$2:$A$50,密度!$C$2:$C$50)</f>
        <v>42203.203199220006</v>
      </c>
      <c r="L19" s="73" ph="1">
        <f>L18*9.0746*LOOKUP(L20,密度!$A$2:$A$50,密度!$E$2:$E$50)</f>
        <v>28216.212775360003</v>
      </c>
      <c r="M19" s="73" ph="1">
        <f>M18*9.0746*LOOKUP(M20,密度!$A$2:$A$50,密度!$M$2:$M$50)</f>
        <v>45153.366548739999</v>
      </c>
      <c r="N19" s="73" ph="1">
        <f>N18*9.0746*LOOKUP(N20,密度!$A$2:$A$50,密度!$M$2:$M$50)</f>
        <v>7273.3445326799992</v>
      </c>
      <c r="O19" s="73" ph="1">
        <f>O18*9.0746*LOOKUP(O20,密度!$A$2:$A$50,密度!$G$2:$G$50)</f>
        <v>55644.049711599997</v>
      </c>
      <c r="P19" s="73" ph="1">
        <f ca="1">P18*9.0746*LOOKUP(P20,密度!$A$2:$A$51,密度!$Q$2:$Q$50)</f>
        <v>59578.816235720005</v>
      </c>
      <c r="Q19" s="73" ph="1">
        <f>Q18*9.0746*LOOKUP(Q20,密度!$A$2:$A$50,密度!$Q$2:$Q$50)</f>
        <v>29111.205454658</v>
      </c>
      <c r="R19" s="73" ph="1">
        <f>MAX(R18*9.0746*LOOKUP(R20,密度!$A$2:$A$50,密度!$B$2:$B$50),0)</f>
        <v>34986.884360400007</v>
      </c>
      <c r="S19" s="73" ph="1">
        <f>S18*9.0746*LOOKUP(S20,密度!$A$2:$A$50,密度!$Q$2:$Q$50)</f>
        <v>53188.656603564006</v>
      </c>
      <c r="T19" s="73" ph="1">
        <f>T18*9.0746*LOOKUP(T20,密度!$A$2:$A$50,密度!$O$2:$O$50)</f>
        <v>36259.288474000001</v>
      </c>
      <c r="U19" s="73" ph="1">
        <f>U18*9.0746*LOOKUP(U20,密度!$A$2:$A$50,密度!$H$2:$H$50)</f>
        <v>49071.927652179998</v>
      </c>
      <c r="V19" s="73" ph="1">
        <f>MAX(5600*LOOKUP(V20,密度!$A$2:$A$50,密度!$Q$2:$Q$50)+V18*9.0476*LOOKUP(V20,密度!$A$2:$A$50,密度!$Q$2:$Q$50),0)</f>
        <v>47509.256480191994</v>
      </c>
      <c r="W19" s="73" ph="1">
        <f>MAX(5600*LOOKUP(W20,密度!$A$2:$A$50,密度!$Q$2:$Q$50)+W18*9.0476*LOOKUP(W20,密度!$A$2:$A$50,密度!$Q$2:$Q$50),0)</f>
        <v>48358.149547875997</v>
      </c>
      <c r="X19" s="73" ph="1">
        <f>MAX(5600*LOOKUP(X20,密度!$A$2:$A$50,密度!$I$2:$I$50)+X18*9.0476*LOOKUP(X20,密度!$A$2:$A$50,密度!$I$2:$I$50),0)</f>
        <v>13782.12164748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63.532182060000004</v>
      </c>
      <c r="AB19" s="73" ph="1">
        <f>AB18*9.0746*LOOKUP(AB20,密度!$A$2:$A$50,密度!$L$2:$L$50)</f>
        <v>9225.7102392000015</v>
      </c>
      <c r="AC19" s="73" ph="1">
        <f>AC18*9.0746*LOOKUP(AC20,密度!$A$2:$A$50,密度!$L$2:$L$50)</f>
        <v>18241.161996399998</v>
      </c>
      <c r="AD19" s="73" ph="1">
        <f>AD18*268.68*LOOKUP(AD20,密度!$A$2:$A$50,密度!B5:B53)+IF(AD18&lt;=0,0,1566*LOOKUP(AD20,密度!$A$2:$A$50,密度!B5:B53))</f>
        <v>18899.123292</v>
      </c>
      <c r="AE19" s="73" ph="1">
        <f>AE18*268.68*LOOKUP(AE20,密度!$A$2:$A$50,密度!B5:B53)+IF(AE18&lt;=0,0,1566*LOOKUP(AE20,密度!$A$2:$A$50,密度!B5:B53))</f>
        <v>7106.0245956000008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30</v>
      </c>
      <c r="G20" s="81">
        <v>24</v>
      </c>
      <c r="H20" s="81">
        <v>22</v>
      </c>
      <c r="I20" s="81">
        <v>28</v>
      </c>
      <c r="J20" s="81">
        <v>28</v>
      </c>
      <c r="K20" s="81">
        <v>26</v>
      </c>
      <c r="L20" s="81">
        <v>24</v>
      </c>
      <c r="M20" s="81">
        <v>27</v>
      </c>
      <c r="N20" s="81">
        <v>27</v>
      </c>
      <c r="O20" s="81">
        <v>26</v>
      </c>
      <c r="P20" s="81">
        <v>26</v>
      </c>
      <c r="Q20" s="81">
        <v>26</v>
      </c>
      <c r="R20" s="81">
        <v>28</v>
      </c>
      <c r="S20" s="81">
        <v>25</v>
      </c>
      <c r="T20" s="81">
        <v>28</v>
      </c>
      <c r="U20" s="81">
        <v>23</v>
      </c>
      <c r="V20" s="81">
        <v>29</v>
      </c>
      <c r="W20" s="81">
        <v>30</v>
      </c>
      <c r="X20" s="81">
        <v>29</v>
      </c>
      <c r="Y20" s="110">
        <v>29</v>
      </c>
      <c r="Z20" s="81">
        <v>33</v>
      </c>
      <c r="AA20" s="81">
        <v>27</v>
      </c>
      <c r="AB20" s="81">
        <v>31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78.489999999999995</v>
      </c>
      <c r="E24" s="71">
        <v>45.98</v>
      </c>
      <c r="F24" s="71">
        <v>1551</v>
      </c>
      <c r="G24" s="71">
        <v>2553</v>
      </c>
      <c r="H24" s="71">
        <v>1912</v>
      </c>
      <c r="I24" s="71">
        <v>3786</v>
      </c>
      <c r="J24" s="71">
        <v>4830</v>
      </c>
      <c r="K24" s="71">
        <v>3829</v>
      </c>
      <c r="L24" s="71">
        <v>5574</v>
      </c>
      <c r="M24" s="71">
        <v>5099</v>
      </c>
      <c r="N24" s="71">
        <v>5498</v>
      </c>
      <c r="O24" s="71">
        <v>5575</v>
      </c>
      <c r="P24" s="71">
        <v>382</v>
      </c>
      <c r="Q24" s="90">
        <v>824</v>
      </c>
      <c r="R24" s="71">
        <v>218</v>
      </c>
      <c r="S24" s="71">
        <v>2315</v>
      </c>
      <c r="T24" s="71">
        <v>279</v>
      </c>
      <c r="U24" s="71">
        <v>3363</v>
      </c>
      <c r="V24" s="71">
        <v>11735</v>
      </c>
      <c r="W24" s="71">
        <v>8278</v>
      </c>
      <c r="X24" s="71">
        <v>4041</v>
      </c>
      <c r="Y24" s="71">
        <v>2461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21448.104240167999</v>
      </c>
      <c r="E25" s="91" ph="1">
        <f>E24*268.68*LOOKUP(E26,密度!$A$2:$A$50,密度!$C$2:$C$50)+IF(E24&lt;=0,0,1566*LOOKUP(E26,密度!$A$2:$A$50,密度!$C$2:$C$50))</f>
        <v>15435.784206959999</v>
      </c>
      <c r="F25" s="91" ph="1">
        <f>F24*11.702*LOOKUP(F26,密度!$A$2:$A$50,密度!$Q$2:$Q$50)</f>
        <v>17225.795580179998</v>
      </c>
      <c r="G25" s="91" ph="1">
        <f>G24*18.322*LOOKUP(G26,密度!$A$2:$A$50,密度!$B$2:$B$50)</f>
        <v>36550.8179724</v>
      </c>
      <c r="H25" s="91" ph="1">
        <f>H24*18.322*LOOKUP(H26,密度!$A$2:$A$50,密度!$B$2:$B$50)</f>
        <v>27373.742249599996</v>
      </c>
      <c r="I25" s="91" ph="1">
        <f>I24*18.322*LOOKUP(I26,密度!$A$2:$A$50,密度!$Q$2:$Q$50)</f>
        <v>65835.613346279992</v>
      </c>
      <c r="J25" s="91" ph="1">
        <f>J24*18.322*LOOKUP(J26,密度!$A$2:$A$50,密度!$Q$2:$Q$50)</f>
        <v>83846.603992199991</v>
      </c>
      <c r="K25" s="91" ph="1">
        <f>K24*18.322*LOOKUP(K26,密度!$A$2:$A$50,密度!$Q$2:$Q$50)</f>
        <v>66520.912211599993</v>
      </c>
      <c r="L25" s="91" ph="1">
        <f>L24*18.322*LOOKUP(L26,密度!$A$2:$A$50,密度!$Q$2:$Q$50)</f>
        <v>96927.551186519995</v>
      </c>
      <c r="M25" s="91" ph="1">
        <f>M24*18.322*LOOKUP(M26,密度!$A$2:$A$50,密度!$Q$2:$Q$50)</f>
        <v>88667.668371020001</v>
      </c>
      <c r="N25" s="91" ph="1">
        <f>N24*18.322*LOOKUP(N26,密度!$A$2:$A$50,密度!$Q$2:$Q$50)</f>
        <v>95605.969936039997</v>
      </c>
      <c r="O25" s="91" ph="1">
        <f>O24*18.322*LOOKUP(O26,密度!$A$2:$A$50,密度!$C$2:$C$50)</f>
        <v>113575.19228500001</v>
      </c>
      <c r="P25" s="91" ph="1">
        <f>P24*11.702*LOOKUP(P26,密度!$A$2:$A$50,密度!$B$2:$B$50)</f>
        <v>3488.9630019999995</v>
      </c>
      <c r="Q25" s="92" ph="1">
        <f>Q24*18.322*LOOKUP(Q26,密度!$A$2:$A$50,密度!$B$2:$B$50)</f>
        <v>11797.0520992</v>
      </c>
      <c r="R25" s="91" ph="1">
        <f>R24*35.891*LOOKUP(R26,密度!$A$2:$A$50,密度!$C$2:$C$50)</f>
        <v>8688.0338751999989</v>
      </c>
      <c r="S25" s="91" ph="1">
        <f>S24*35.891*LOOKUP(S26,密度!$A$2:$A$50,密度!$B$2:$B$50)</f>
        <v>64849.922532499993</v>
      </c>
      <c r="T25" s="91" ph="1">
        <f>T24*35.891*LOOKUP(T26,密度!$A$2:$A$50,密度!$Q$2:$Q$50)</f>
        <v>9503.7971840099999</v>
      </c>
      <c r="U25" s="91" ph="1">
        <f>U24*35.891</f>
        <v>120701.43299999999</v>
      </c>
      <c r="V25" s="91" ph="1">
        <f>V24*47.051*LOOKUP(V26,密度!$A$2:$A$50,密度!$B$2:$B$50)</f>
        <v>431444.91917899996</v>
      </c>
      <c r="W25" s="91" ph="1">
        <f>W24*47.051*LOOKUP(W26,密度!$A$2:$A$50,密度!$B$2:$B$50)</f>
        <v>304346.06228920002</v>
      </c>
      <c r="X25" s="91" ph="1">
        <f>X24*47.051*LOOKUP(X26,密度!$A$2:$A$50,密度!$I$2:$I$50)</f>
        <v>198441.90707670004</v>
      </c>
      <c r="Y25" s="91" ph="1">
        <f>Y24*47.051*LOOKUP(Y26,密度!$A$2:$A$50,密度!$L$2:$L$50)</f>
        <v>108729.167829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23</v>
      </c>
      <c r="H26" s="74">
        <v>23</v>
      </c>
      <c r="I26" s="74">
        <v>22</v>
      </c>
      <c r="J26" s="74">
        <v>24</v>
      </c>
      <c r="K26" s="74">
        <v>23</v>
      </c>
      <c r="L26" s="74">
        <v>22</v>
      </c>
      <c r="M26" s="74">
        <v>22</v>
      </c>
      <c r="N26" s="74">
        <v>22</v>
      </c>
      <c r="O26" s="74">
        <v>21</v>
      </c>
      <c r="P26" s="74">
        <v>24</v>
      </c>
      <c r="Q26" s="93">
        <v>23</v>
      </c>
      <c r="R26" s="74">
        <v>23</v>
      </c>
      <c r="S26" s="74">
        <v>24</v>
      </c>
      <c r="T26" s="74">
        <v>22</v>
      </c>
      <c r="U26" s="74">
        <v>24</v>
      </c>
      <c r="V26" s="74">
        <v>23</v>
      </c>
      <c r="W26" s="74">
        <v>23</v>
      </c>
      <c r="X26" s="74">
        <v>24</v>
      </c>
      <c r="Y26" s="74">
        <v>23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78.72</v>
      </c>
      <c r="E27" s="71">
        <v>46.01</v>
      </c>
      <c r="F27" s="71">
        <v>1553</v>
      </c>
      <c r="G27" s="71">
        <v>2047</v>
      </c>
      <c r="H27" s="71">
        <v>1426</v>
      </c>
      <c r="I27" s="71">
        <v>3787</v>
      </c>
      <c r="J27" s="71">
        <v>4835</v>
      </c>
      <c r="K27" s="71">
        <v>3831</v>
      </c>
      <c r="L27" s="71">
        <v>5575</v>
      </c>
      <c r="M27" s="71">
        <v>5102</v>
      </c>
      <c r="N27" s="71">
        <v>5499</v>
      </c>
      <c r="O27" s="71">
        <v>5573</v>
      </c>
      <c r="P27" s="71">
        <v>378</v>
      </c>
      <c r="Q27" s="90">
        <v>1202</v>
      </c>
      <c r="R27" s="71">
        <v>215</v>
      </c>
      <c r="S27" s="71">
        <v>2314</v>
      </c>
      <c r="T27" s="71">
        <v>278</v>
      </c>
      <c r="U27" s="71">
        <v>3217</v>
      </c>
      <c r="V27" s="71">
        <v>11743</v>
      </c>
      <c r="W27" s="71">
        <v>8280</v>
      </c>
      <c r="X27" s="71">
        <v>3670</v>
      </c>
      <c r="Y27" s="71">
        <v>3269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21506.609363904005</v>
      </c>
      <c r="E28" s="91" ph="1">
        <f>E27*268.68*LOOKUP(E29,密度!$A$2:$A$50,密度!$C$2:$C$50)+IF(E27&lt;=0,0,1566*LOOKUP(E29,密度!$A$2:$A$50,密度!$C$2:$C$50))</f>
        <v>15444.722384519999</v>
      </c>
      <c r="F28" s="91" ph="1">
        <f>F27*11.702*LOOKUP(F29,密度!$A$2:$A$50,密度!$Q$2:$Q$50)</f>
        <v>17231.833929199998</v>
      </c>
      <c r="G28" s="91" ph="1">
        <f>G27*18.322*LOOKUP(G29,密度!$A$2:$A$50,密度!$B$2:$B$50)</f>
        <v>29272.757086999998</v>
      </c>
      <c r="H28" s="91" ph="1">
        <f>H27*18.322*LOOKUP(H29,密度!$A$2:$A$50,密度!$B$2:$B$50)</f>
        <v>20439.286655599997</v>
      </c>
      <c r="I28" s="91" ph="1">
        <f>I27*18.322*LOOKUP(I29,密度!$A$2:$A$50,密度!$Q$2:$Q$50)</f>
        <v>65853.00257325999</v>
      </c>
      <c r="J28" s="91" ph="1">
        <f>J27*18.322*LOOKUP(J29,密度!$A$2:$A$50,密度!$Q$2:$Q$50)</f>
        <v>83998.070133999994</v>
      </c>
      <c r="K28" s="91" ph="1">
        <f>K27*18.322*LOOKUP(K29,密度!$A$2:$A$50,密度!$Q$2:$Q$50)</f>
        <v>66555.658052400002</v>
      </c>
      <c r="L28" s="91" ph="1">
        <f>L27*18.322*LOOKUP(L29,密度!$A$2:$A$50,密度!$Q$2:$Q$50)</f>
        <v>96944.940413499993</v>
      </c>
      <c r="M28" s="91" ph="1">
        <f>M27*18.322*LOOKUP(M29,密度!$A$2:$A$50,密度!$Q$2:$Q$50)</f>
        <v>88636.639880800009</v>
      </c>
      <c r="N28" s="91" ph="1">
        <f>N27*18.322*LOOKUP(N29,密度!$A$2:$A$50,密度!$Q$2:$Q$50)</f>
        <v>95623.359163019995</v>
      </c>
      <c r="O28" s="91" ph="1">
        <f>O27*18.322*LOOKUP(O29,密度!$A$2:$A$50,密度!$C$2:$C$50)</f>
        <v>113534.4478214</v>
      </c>
      <c r="P28" s="91" ph="1">
        <f>P27*11.702*LOOKUP(P29,密度!$A$2:$A$50,密度!$B$2:$B$50)</f>
        <v>3456.4103783999999</v>
      </c>
      <c r="Q28" s="92" ph="1">
        <f>Q27*18.322*LOOKUP(Q29,密度!$A$2:$A$50,密度!$B$2:$B$50)</f>
        <v>17228.627321199998</v>
      </c>
      <c r="R28" s="91" ph="1">
        <f>R27*35.891*LOOKUP(R29,密度!$A$2:$A$50,密度!$C$2:$C$50)</f>
        <v>8562.3005239999984</v>
      </c>
      <c r="S28" s="91" ph="1">
        <f>S27*35.891*LOOKUP(S29,密度!$A$2:$A$50,密度!$B$2:$B$50)</f>
        <v>64896.656203599989</v>
      </c>
      <c r="T28" s="91" ph="1">
        <f>T27*35.891*LOOKUP(T29,密度!$A$2:$A$50,密度!$Q$2:$Q$50)</f>
        <v>9453.5695240599998</v>
      </c>
      <c r="U28" s="91" ph="1">
        <f>U27*35.891</f>
        <v>115461.34699999999</v>
      </c>
      <c r="V28" s="91" ph="1">
        <f>V27*47.051*LOOKUP(V29,密度!$A$2:$A$50,密度!$B$2:$B$50)</f>
        <v>431241.77648649999</v>
      </c>
      <c r="W28" s="91" ph="1">
        <f>W27*47.051*LOOKUP(W29,密度!$A$2:$A$50,密度!$B$2:$B$50)</f>
        <v>304419.59359200002</v>
      </c>
      <c r="X28" s="91" ph="1">
        <f>X27*47.051*LOOKUP(X29,密度!$A$2:$A$50,密度!$I$2:$I$50)</f>
        <v>180223.16232900001</v>
      </c>
      <c r="Y28" s="91" ph="1">
        <f>Y27*47.051*LOOKUP(Y29,密度!$A$2:$A$50,密度!$L$2:$L$50)</f>
        <v>144273.51642200002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23</v>
      </c>
      <c r="G29" s="74">
        <v>24</v>
      </c>
      <c r="H29" s="74">
        <v>22</v>
      </c>
      <c r="I29" s="74">
        <v>22</v>
      </c>
      <c r="J29" s="74">
        <v>23</v>
      </c>
      <c r="K29" s="74">
        <v>23</v>
      </c>
      <c r="L29" s="74">
        <v>22</v>
      </c>
      <c r="M29" s="74">
        <v>23</v>
      </c>
      <c r="N29" s="74">
        <v>22</v>
      </c>
      <c r="O29" s="74">
        <v>21</v>
      </c>
      <c r="P29" s="74">
        <v>23</v>
      </c>
      <c r="Q29" s="93">
        <v>22</v>
      </c>
      <c r="R29" s="74">
        <v>24</v>
      </c>
      <c r="S29" s="74">
        <v>23</v>
      </c>
      <c r="T29" s="74">
        <v>24</v>
      </c>
      <c r="U29" s="74">
        <v>22</v>
      </c>
      <c r="V29" s="74">
        <v>24</v>
      </c>
      <c r="W29" s="74">
        <v>23</v>
      </c>
      <c r="X29" s="74">
        <v>24</v>
      </c>
      <c r="Y29" s="74">
        <v>24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129540.2743892</v>
      </c>
      <c r="E33" s="190" ph="1">
        <f>M10+I10</f>
        <v>42315.139974500002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6" ph="1">
        <v>0</v>
      </c>
      <c r="H33" s="190" ph="1">
        <f>N19</f>
        <v>7273.3445326799992</v>
      </c>
      <c r="I33" s="194" ph="1">
        <v>0</v>
      </c>
      <c r="J33" s="198" ph="1">
        <f>F10+O28</f>
        <v>352458.49859659997</v>
      </c>
      <c r="K33" s="190" ph="1">
        <f>O10+K10+E28+R28</f>
        <v>27886.295546919999</v>
      </c>
      <c r="L33" s="200" ph="1">
        <f>BE27</f>
        <v>7100</v>
      </c>
      <c r="M33" s="198" ph="1">
        <f>G10+H10+W28+S28+V28+E10</f>
        <v>1212432.6218991</v>
      </c>
      <c r="N33" s="190" ph="1">
        <f>L10+P10++G28+H28</f>
        <v>185531.46989560002</v>
      </c>
      <c r="O33" s="194" ph="1">
        <f>BE17</f>
        <v>2270</v>
      </c>
      <c r="P33" s="198" ph="1">
        <f>L19</f>
        <v>28216.212775360003</v>
      </c>
      <c r="Q33" s="190" ph="1">
        <f>J10+N10</f>
        <v>72404.001515699987</v>
      </c>
      <c r="R33" s="194" ph="1">
        <f>BE23</f>
        <v>890</v>
      </c>
      <c r="S33" s="198" ph="1">
        <f>E10+X28</f>
        <v>348633.70929600002</v>
      </c>
      <c r="T33" s="190" ph="1">
        <f>X19</f>
        <v>13782.12164748</v>
      </c>
      <c r="U33" s="179" ph="1">
        <f>BE21</f>
        <v>730</v>
      </c>
      <c r="V33" s="192" ph="1">
        <f ca="1">P19+Q19+S19+M28+N28+J28</f>
        <v>410136.74747176201</v>
      </c>
      <c r="W33" s="192" ph="1">
        <f>D28+F28+V19+T28</f>
        <v>95701.269297356004</v>
      </c>
      <c r="X33" s="194" ph="1">
        <f>BE29+BE31</f>
        <v>10200</v>
      </c>
      <c r="Y33" s="196" ph="1">
        <f>+Q10+R10+S10+T10+U10+V10+W10+X10+Y10</f>
        <v>250359.83820540001</v>
      </c>
      <c r="Z33" s="177" ph="1">
        <f>D10+T19+U19+Y28+Z10</f>
        <v>553997.12479288003</v>
      </c>
      <c r="AA33" s="179" ph="1">
        <f>BE19</f>
        <v>1440</v>
      </c>
      <c r="AB33" s="181" ph="1">
        <f>I19</f>
        <v>14996.448020400001</v>
      </c>
      <c r="AC33" s="183" ph="1">
        <f>AD10</f>
        <v>85094.059680000006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3" priority="98">
      <formula>ABS(D$7-D$10)&gt;=1000</formula>
    </cfRule>
  </conditionalFormatting>
  <conditionalFormatting sqref="E4 E6:E11">
    <cfRule type="expression" dxfId="382" priority="97">
      <formula>ABS(E$7-E$10)&gt;=1000</formula>
    </cfRule>
  </conditionalFormatting>
  <conditionalFormatting sqref="F4:F11">
    <cfRule type="expression" dxfId="381" priority="96">
      <formula>ABS(F$7-F$10)&gt;=1000</formula>
    </cfRule>
  </conditionalFormatting>
  <conditionalFormatting sqref="G4:G11">
    <cfRule type="expression" dxfId="380" priority="95">
      <formula>ABS(G$7-G$10)&gt;=1000</formula>
    </cfRule>
  </conditionalFormatting>
  <conditionalFormatting sqref="H4:H11">
    <cfRule type="expression" dxfId="379" priority="94">
      <formula>ABS(H$7-H$10)&gt;=1000</formula>
    </cfRule>
  </conditionalFormatting>
  <conditionalFormatting sqref="I4:I11">
    <cfRule type="expression" dxfId="378" priority="93">
      <formula>ABS(I$7-I$10)&gt;=1000</formula>
    </cfRule>
  </conditionalFormatting>
  <conditionalFormatting sqref="J4:J11">
    <cfRule type="expression" dxfId="377" priority="92">
      <formula>ABS(J$7-J$10)&gt;=1000</formula>
    </cfRule>
  </conditionalFormatting>
  <conditionalFormatting sqref="K4:K11">
    <cfRule type="expression" dxfId="376" priority="91">
      <formula>ABS(K$7-K$10)&gt;=1000</formula>
    </cfRule>
  </conditionalFormatting>
  <conditionalFormatting sqref="L4:L11">
    <cfRule type="expression" dxfId="375" priority="90">
      <formula>ABS(L$7-L$10)&gt;=1000</formula>
    </cfRule>
  </conditionalFormatting>
  <conditionalFormatting sqref="M4 M6:M11">
    <cfRule type="expression" dxfId="374" priority="89">
      <formula>ABS(M$7-M$10)&gt;=1000</formula>
    </cfRule>
  </conditionalFormatting>
  <conditionalFormatting sqref="N4 N6:N11">
    <cfRule type="expression" dxfId="373" priority="88">
      <formula>ABS(N$7-N$10)&gt;=1000</formula>
    </cfRule>
  </conditionalFormatting>
  <conditionalFormatting sqref="O4 O6:O11">
    <cfRule type="expression" dxfId="372" priority="87">
      <formula>ABS(O$7-O$10)&gt;=1000</formula>
    </cfRule>
  </conditionalFormatting>
  <conditionalFormatting sqref="P4 P6:P11">
    <cfRule type="expression" dxfId="371" priority="86">
      <formula>ABS(P$7-P$10)&gt;=1000</formula>
    </cfRule>
  </conditionalFormatting>
  <conditionalFormatting sqref="Q4:Q11">
    <cfRule type="expression" dxfId="370" priority="85">
      <formula>ABS(Q$7-Q$10)&gt;=1000</formula>
    </cfRule>
  </conditionalFormatting>
  <conditionalFormatting sqref="R4:R11">
    <cfRule type="expression" dxfId="369" priority="84">
      <formula>ABS(R$7-R$10)&gt;=1000</formula>
    </cfRule>
  </conditionalFormatting>
  <conditionalFormatting sqref="S4:S11">
    <cfRule type="expression" dxfId="368" priority="83">
      <formula>ABS(S$7-S$10)&gt;=1000</formula>
    </cfRule>
  </conditionalFormatting>
  <conditionalFormatting sqref="T4:T9 T11">
    <cfRule type="expression" dxfId="367" priority="82">
      <formula>ABS(T$7-T$10)&gt;=1000</formula>
    </cfRule>
  </conditionalFormatting>
  <conditionalFormatting sqref="U4:U9 U11">
    <cfRule type="expression" dxfId="366" priority="81">
      <formula>ABS(U$7-U$10)&gt;=1000</formula>
    </cfRule>
  </conditionalFormatting>
  <conditionalFormatting sqref="V4:V9 V11">
    <cfRule type="expression" dxfId="365" priority="80">
      <formula>ABS(V$7-V$10)&gt;=1000</formula>
    </cfRule>
  </conditionalFormatting>
  <conditionalFormatting sqref="W4:W9 W11">
    <cfRule type="expression" dxfId="364" priority="79">
      <formula>ABS(W$7-W$10)&gt;=1000</formula>
    </cfRule>
  </conditionalFormatting>
  <conditionalFormatting sqref="X4:X9 X11">
    <cfRule type="expression" dxfId="363" priority="78">
      <formula>ABS(X$7-X$10)&gt;=1000</formula>
    </cfRule>
  </conditionalFormatting>
  <conditionalFormatting sqref="Y4:Y9 Y11">
    <cfRule type="expression" dxfId="362" priority="77">
      <formula>ABS(Y$7-Y$10)&gt;=1000</formula>
    </cfRule>
  </conditionalFormatting>
  <conditionalFormatting sqref="Z4:Z11">
    <cfRule type="expression" dxfId="361" priority="76">
      <formula>ABS(Z$7-Z$10)&gt;=1000</formula>
    </cfRule>
  </conditionalFormatting>
  <conditionalFormatting sqref="AA4:AA11">
    <cfRule type="expression" dxfId="360" priority="75">
      <formula>ABS(AA$7-AA$10)&gt;=1000</formula>
    </cfRule>
  </conditionalFormatting>
  <conditionalFormatting sqref="AB4:AB11">
    <cfRule type="expression" dxfId="359" priority="74">
      <formula>ABS(AB$7-AB$10)&gt;=1000</formula>
    </cfRule>
  </conditionalFormatting>
  <conditionalFormatting sqref="AC4 AC6:AC11">
    <cfRule type="expression" dxfId="358" priority="73">
      <formula>ABS(AC$7-AC$10)&gt;=1000</formula>
    </cfRule>
  </conditionalFormatting>
  <conditionalFormatting sqref="AD4:AD11">
    <cfRule type="expression" dxfId="357" priority="72">
      <formula>ABS(AD$7-AD$10)&gt;=1000</formula>
    </cfRule>
  </conditionalFormatting>
  <conditionalFormatting sqref="AE4 AE6:AE11">
    <cfRule type="expression" dxfId="356" priority="71">
      <formula>ABS(AE$7-AE$10)&gt;=1000</formula>
    </cfRule>
  </conditionalFormatting>
  <conditionalFormatting sqref="D13:D20">
    <cfRule type="expression" dxfId="355" priority="70">
      <formula>ABS(D$16-D$19)&gt;=1000</formula>
    </cfRule>
  </conditionalFormatting>
  <conditionalFormatting sqref="E13:E20">
    <cfRule type="expression" dxfId="354" priority="69">
      <formula>ABS(E$16-E$19)&gt;=1000</formula>
    </cfRule>
  </conditionalFormatting>
  <conditionalFormatting sqref="F13 F15:F20">
    <cfRule type="expression" dxfId="353" priority="68">
      <formula>ABS(F$16-F$19)&gt;=1000</formula>
    </cfRule>
  </conditionalFormatting>
  <conditionalFormatting sqref="G13:G20">
    <cfRule type="expression" dxfId="352" priority="67">
      <formula>ABS(G$16-G$19)&gt;=1000</formula>
    </cfRule>
  </conditionalFormatting>
  <conditionalFormatting sqref="H13:H20">
    <cfRule type="expression" dxfId="351" priority="66">
      <formula>ABS(H$16-H$19)&gt;=1000</formula>
    </cfRule>
  </conditionalFormatting>
  <conditionalFormatting sqref="I13:I20">
    <cfRule type="expression" dxfId="350" priority="65">
      <formula>ABS(I$16-I$19)&gt;=1000</formula>
    </cfRule>
  </conditionalFormatting>
  <conditionalFormatting sqref="J13:J20">
    <cfRule type="expression" dxfId="349" priority="64">
      <formula>ABS(J$16-J$19)&gt;=1000</formula>
    </cfRule>
  </conditionalFormatting>
  <conditionalFormatting sqref="L13:L20">
    <cfRule type="expression" dxfId="348" priority="63">
      <formula>ABS(L$16-L$19)&gt;=1000</formula>
    </cfRule>
  </conditionalFormatting>
  <conditionalFormatting sqref="M13 M15 M17:M18 M20">
    <cfRule type="expression" dxfId="347" priority="62">
      <formula>ABS(M$16-M$19)&gt;=1000</formula>
    </cfRule>
  </conditionalFormatting>
  <conditionalFormatting sqref="N13:N20">
    <cfRule type="expression" dxfId="346" priority="61">
      <formula>ABS(N$16-N$19)&gt;=1000</formula>
    </cfRule>
  </conditionalFormatting>
  <conditionalFormatting sqref="O13:O20">
    <cfRule type="expression" dxfId="345" priority="60">
      <formula>ABS(O$16-O$19)&gt;=1000</formula>
    </cfRule>
  </conditionalFormatting>
  <conditionalFormatting sqref="P13:P20">
    <cfRule type="expression" dxfId="344" priority="59">
      <formula>ABS(P$16-P$19)&gt;=1000</formula>
    </cfRule>
  </conditionalFormatting>
  <conditionalFormatting sqref="Q13 Q15:Q20">
    <cfRule type="expression" dxfId="343" priority="58">
      <formula>ABS(Q$16-Q$19)&gt;=1000</formula>
    </cfRule>
  </conditionalFormatting>
  <conditionalFormatting sqref="R13:R20">
    <cfRule type="expression" dxfId="342" priority="57">
      <formula>ABS(R$16-R$19)&gt;=1000</formula>
    </cfRule>
  </conditionalFormatting>
  <conditionalFormatting sqref="S13:S20">
    <cfRule type="expression" dxfId="341" priority="56">
      <formula>ABS(S$16-S$19)&gt;=1000</formula>
    </cfRule>
  </conditionalFormatting>
  <conditionalFormatting sqref="T13:T20">
    <cfRule type="expression" dxfId="340" priority="55">
      <formula>ABS(T$16-T$19)&gt;=1000</formula>
    </cfRule>
  </conditionalFormatting>
  <conditionalFormatting sqref="U13:U20">
    <cfRule type="expression" dxfId="339" priority="54">
      <formula>ABS(U$16-U$19)&gt;=1000</formula>
    </cfRule>
  </conditionalFormatting>
  <conditionalFormatting sqref="V13:V20">
    <cfRule type="expression" dxfId="338" priority="53">
      <formula>ABS(V$16-V$19)&gt;=1000</formula>
    </cfRule>
  </conditionalFormatting>
  <conditionalFormatting sqref="W13 W20 W15:W18">
    <cfRule type="expression" dxfId="337" priority="52">
      <formula>ABS(W$16-W$19)&gt;=1000</formula>
    </cfRule>
  </conditionalFormatting>
  <conditionalFormatting sqref="X13 X15:X20 Y19">
    <cfRule type="expression" dxfId="336" priority="51">
      <formula>ABS(X$16-X$19)&gt;=1000</formula>
    </cfRule>
  </conditionalFormatting>
  <conditionalFormatting sqref="Y13 Y15:Y18 Y20">
    <cfRule type="expression" dxfId="335" priority="50">
      <formula>ABS(Y$16-Y$19)&gt;=1000</formula>
    </cfRule>
  </conditionalFormatting>
  <conditionalFormatting sqref="Z13:Z20">
    <cfRule type="expression" dxfId="334" priority="49">
      <formula>ABS(Z$16-Z$19)&gt;=1000</formula>
    </cfRule>
  </conditionalFormatting>
  <conditionalFormatting sqref="AA13:AA20">
    <cfRule type="expression" dxfId="333" priority="48">
      <formula>ABS(AA$16-AA$19)&gt;=1000</formula>
    </cfRule>
  </conditionalFormatting>
  <conditionalFormatting sqref="AB13 AB15:AB20">
    <cfRule type="expression" dxfId="332" priority="47">
      <formula>ABS(AB$16-AB$19)&gt;=1000</formula>
    </cfRule>
  </conditionalFormatting>
  <conditionalFormatting sqref="AC13 AC15:AC20">
    <cfRule type="expression" dxfId="331" priority="46">
      <formula>ABS(AC$16-AC$19)&gt;=1000</formula>
    </cfRule>
  </conditionalFormatting>
  <conditionalFormatting sqref="AD13:AD20">
    <cfRule type="expression" dxfId="330" priority="45">
      <formula>ABS(AD$16-AD$19)&gt;=1000</formula>
    </cfRule>
  </conditionalFormatting>
  <conditionalFormatting sqref="AE13:AE20">
    <cfRule type="expression" dxfId="329" priority="44">
      <formula>ABS(AE$16-AE$19)&gt;=1000</formula>
    </cfRule>
  </conditionalFormatting>
  <conditionalFormatting sqref="D22:D29">
    <cfRule type="expression" dxfId="328" priority="43">
      <formula>ABS(D$25-D$28)&gt;=1000</formula>
    </cfRule>
  </conditionalFormatting>
  <conditionalFormatting sqref="E22:E29">
    <cfRule type="expression" dxfId="327" priority="42">
      <formula>ABS(E$25-E$28)&gt;=1000</formula>
    </cfRule>
  </conditionalFormatting>
  <conditionalFormatting sqref="F22:F29">
    <cfRule type="expression" dxfId="326" priority="41">
      <formula>ABS(F$25-F$28)&gt;=1000</formula>
    </cfRule>
  </conditionalFormatting>
  <conditionalFormatting sqref="G22:G29">
    <cfRule type="expression" dxfId="325" priority="40">
      <formula>ABS(G$25-G$28)&gt;=1000</formula>
    </cfRule>
  </conditionalFormatting>
  <conditionalFormatting sqref="H22:H29">
    <cfRule type="expression" dxfId="324" priority="39">
      <formula>ABS(H$25-H$28)&gt;=1000</formula>
    </cfRule>
  </conditionalFormatting>
  <conditionalFormatting sqref="I22 I24:I29">
    <cfRule type="expression" dxfId="323" priority="38">
      <formula>ABS(I$25-I$28)&gt;=1000</formula>
    </cfRule>
  </conditionalFormatting>
  <conditionalFormatting sqref="J22:J29 K22">
    <cfRule type="expression" dxfId="322" priority="37">
      <formula>ABS(J$25-J$28)&gt;=1000</formula>
    </cfRule>
  </conditionalFormatting>
  <conditionalFormatting sqref="K23:K29 L25 L28">
    <cfRule type="expression" dxfId="321" priority="36">
      <formula>ABS(K$25-K$28)&gt;=1000</formula>
    </cfRule>
  </conditionalFormatting>
  <conditionalFormatting sqref="L22 L26:L27 L29 L24">
    <cfRule type="expression" dxfId="320" priority="35">
      <formula>ABS(L$25-L$28)&gt;=1000</formula>
    </cfRule>
  </conditionalFormatting>
  <conditionalFormatting sqref="M22:M29">
    <cfRule type="expression" dxfId="319" priority="34">
      <formula>ABS(M$25-M$28)&gt;=1000</formula>
    </cfRule>
  </conditionalFormatting>
  <conditionalFormatting sqref="N22:N29">
    <cfRule type="expression" dxfId="318" priority="33">
      <formula>ABS(N$25-N$28)&gt;=1000</formula>
    </cfRule>
  </conditionalFormatting>
  <conditionalFormatting sqref="O22:O29">
    <cfRule type="expression" dxfId="317" priority="32">
      <formula>ABS(O$25-O$28)&gt;=1000</formula>
    </cfRule>
  </conditionalFormatting>
  <conditionalFormatting sqref="P22:P29">
    <cfRule type="expression" dxfId="316" priority="31">
      <formula>ABS(P$25-P$28)&gt;=1000</formula>
    </cfRule>
  </conditionalFormatting>
  <conditionalFormatting sqref="Q22:Q29">
    <cfRule type="expression" dxfId="315" priority="30">
      <formula>ABS(Q$25-Q$28)&gt;=1000</formula>
    </cfRule>
  </conditionalFormatting>
  <conditionalFormatting sqref="R22:R29">
    <cfRule type="expression" dxfId="314" priority="29">
      <formula>ABS(R$25-R$28)&gt;=1000</formula>
    </cfRule>
  </conditionalFormatting>
  <conditionalFormatting sqref="S22:S29">
    <cfRule type="expression" dxfId="313" priority="28">
      <formula>ABS(S$25-S$28)&gt;=1000</formula>
    </cfRule>
  </conditionalFormatting>
  <conditionalFormatting sqref="T22:T29">
    <cfRule type="expression" dxfId="312" priority="27">
      <formula>ABS(T$25-T$28)&gt;=1000</formula>
    </cfRule>
  </conditionalFormatting>
  <conditionalFormatting sqref="U22:U29">
    <cfRule type="expression" dxfId="311" priority="26">
      <formula>ABS(U$25-U$28)&gt;=1000</formula>
    </cfRule>
  </conditionalFormatting>
  <conditionalFormatting sqref="V22:V29">
    <cfRule type="expression" dxfId="310" priority="25">
      <formula>ABS(V$25-V$28)&gt;=1000</formula>
    </cfRule>
  </conditionalFormatting>
  <conditionalFormatting sqref="W22:W29">
    <cfRule type="expression" dxfId="309" priority="24">
      <formula>ABS(W$25-W$28)&gt;=1000</formula>
    </cfRule>
  </conditionalFormatting>
  <conditionalFormatting sqref="X22:X29">
    <cfRule type="expression" dxfId="308" priority="23">
      <formula>ABS(X$25-X$28)&gt;=1000</formula>
    </cfRule>
  </conditionalFormatting>
  <conditionalFormatting sqref="Y22:Y29">
    <cfRule type="expression" dxfId="307" priority="22">
      <formula>ABS(Y$25-Y$28)&gt;=1000</formula>
    </cfRule>
  </conditionalFormatting>
  <conditionalFormatting sqref="I23">
    <cfRule type="expression" dxfId="306" priority="21">
      <formula>ABS(I$25-I$28)&gt;=1000</formula>
    </cfRule>
  </conditionalFormatting>
  <conditionalFormatting sqref="Q14">
    <cfRule type="expression" dxfId="305" priority="20">
      <formula>ABS(Q$16-Q$19)&gt;=1000</formula>
    </cfRule>
  </conditionalFormatting>
  <conditionalFormatting sqref="W14">
    <cfRule type="expression" dxfId="304" priority="19">
      <formula>ABS(W$16-W$19)&gt;=1000</formula>
    </cfRule>
  </conditionalFormatting>
  <conditionalFormatting sqref="Y14">
    <cfRule type="expression" dxfId="303" priority="18">
      <formula>ABS(Y$16-Y$19)&gt;=1000</formula>
    </cfRule>
  </conditionalFormatting>
  <conditionalFormatting sqref="X14">
    <cfRule type="expression" dxfId="302" priority="17">
      <formula>ABS(X$16-X$19)&gt;=1000</formula>
    </cfRule>
  </conditionalFormatting>
  <conditionalFormatting sqref="T10:Y10">
    <cfRule type="expression" dxfId="301" priority="16">
      <formula>ABS(T$7-T$10)&gt;=1000</formula>
    </cfRule>
  </conditionalFormatting>
  <conditionalFormatting sqref="W19">
    <cfRule type="expression" dxfId="300" priority="15">
      <formula>ABS(W$16-W$19)&gt;=1000</formula>
    </cfRule>
  </conditionalFormatting>
  <conditionalFormatting sqref="AC5">
    <cfRule type="expression" dxfId="299" priority="14">
      <formula>ABS(AC$7-AC$10)&gt;=1000</formula>
    </cfRule>
  </conditionalFormatting>
  <conditionalFormatting sqref="M14">
    <cfRule type="expression" dxfId="298" priority="13">
      <formula>ABS(M$16-M$19)&gt;=1000</formula>
    </cfRule>
  </conditionalFormatting>
  <conditionalFormatting sqref="M16">
    <cfRule type="expression" dxfId="297" priority="12">
      <formula>ABS(M$16-M$19)&gt;=1000</formula>
    </cfRule>
  </conditionalFormatting>
  <conditionalFormatting sqref="M19">
    <cfRule type="expression" dxfId="296" priority="11">
      <formula>ABS(M$16-M$19)&gt;=1000</formula>
    </cfRule>
  </conditionalFormatting>
  <conditionalFormatting sqref="K13:K20">
    <cfRule type="expression" dxfId="295" priority="10">
      <formula>ABS(K$16-K$19)&gt;=1000</formula>
    </cfRule>
  </conditionalFormatting>
  <conditionalFormatting sqref="E5">
    <cfRule type="expression" dxfId="294" priority="9">
      <formula>ABS(E$7-E$10)&gt;=1000</formula>
    </cfRule>
  </conditionalFormatting>
  <conditionalFormatting sqref="AB14:AC14">
    <cfRule type="expression" dxfId="293" priority="8">
      <formula>ABS(AB$16-AB$19)&gt;=1000</formula>
    </cfRule>
  </conditionalFormatting>
  <conditionalFormatting sqref="M5">
    <cfRule type="expression" dxfId="292" priority="7">
      <formula>ABS(M$7-M$10)&gt;=1000</formula>
    </cfRule>
  </conditionalFormatting>
  <conditionalFormatting sqref="N5">
    <cfRule type="expression" dxfId="291" priority="6">
      <formula>ABS(N$7-N$10)&gt;=1000</formula>
    </cfRule>
  </conditionalFormatting>
  <conditionalFormatting sqref="O5">
    <cfRule type="expression" dxfId="290" priority="5">
      <formula>ABS(O$7-O$10)&gt;=1000</formula>
    </cfRule>
  </conditionalFormatting>
  <conditionalFormatting sqref="P5">
    <cfRule type="expression" dxfId="289" priority="4">
      <formula>ABS(P$7-P$10)&gt;=1000</formula>
    </cfRule>
  </conditionalFormatting>
  <conditionalFormatting sqref="L23">
    <cfRule type="expression" dxfId="288" priority="3">
      <formula>ABS(L$25-L$28)&gt;=1000</formula>
    </cfRule>
  </conditionalFormatting>
  <conditionalFormatting sqref="F14">
    <cfRule type="expression" dxfId="287" priority="2">
      <formula>ABS(F$16-F$19)&gt;=1000</formula>
    </cfRule>
  </conditionalFormatting>
  <conditionalFormatting sqref="AE5">
    <cfRule type="expression" dxfId="28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7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3">
    <pageSetUpPr fitToPage="1"/>
  </sheetPr>
  <dimension ref="A1:CU223"/>
  <sheetViews>
    <sheetView view="pageBreakPreview" topLeftCell="A10" zoomScale="80" zoomScaleNormal="100" zoomScaleSheetLayoutView="80" workbookViewId="0">
      <selection activeCell="E15" sqref="E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45960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6784</v>
      </c>
      <c r="E6" s="71">
        <v>4197</v>
      </c>
      <c r="F6" s="71">
        <v>6427</v>
      </c>
      <c r="G6" s="71">
        <v>210</v>
      </c>
      <c r="H6" s="71">
        <v>5226</v>
      </c>
      <c r="I6" s="71">
        <v>0.06</v>
      </c>
      <c r="J6" s="71">
        <v>6.99</v>
      </c>
      <c r="K6" s="71">
        <v>-0.08</v>
      </c>
      <c r="L6" s="71">
        <v>30.74</v>
      </c>
      <c r="M6" s="71">
        <v>1245</v>
      </c>
      <c r="N6" s="71">
        <v>2726</v>
      </c>
      <c r="O6" s="71">
        <v>105</v>
      </c>
      <c r="P6" s="71">
        <v>2858</v>
      </c>
      <c r="Q6" s="71">
        <v>6754</v>
      </c>
      <c r="R6" s="71">
        <v>6639</v>
      </c>
      <c r="S6" s="71">
        <v>2838</v>
      </c>
      <c r="T6" s="71">
        <v>2360</v>
      </c>
      <c r="U6" s="71">
        <v>0</v>
      </c>
      <c r="V6" s="71">
        <v>0</v>
      </c>
      <c r="W6" s="71">
        <v>6987</v>
      </c>
      <c r="X6" s="71">
        <v>7085</v>
      </c>
      <c r="Y6" s="71">
        <v>7110</v>
      </c>
      <c r="Z6" s="71">
        <v>3547</v>
      </c>
      <c r="AA6" s="71">
        <v>2066</v>
      </c>
      <c r="AB6" s="71">
        <v>2395</v>
      </c>
      <c r="AC6" s="71">
        <v>534</v>
      </c>
      <c r="AD6" s="71">
        <v>4350</v>
      </c>
      <c r="AE6" s="71">
        <v>3670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213288.26131584001</v>
      </c>
      <c r="E7" s="73" ph="1">
        <f>E6*51.53*LOOKUP(E8,密度!$A$2:$A$50,密度!$B$2:$B$50)</f>
        <v>168799.835505</v>
      </c>
      <c r="F7" s="73" ph="1">
        <f>F6*33.183*LOOKUP(F8,密度!$A$2:$A$50,密度!$C$2:$C$50)</f>
        <v>236811.83336640001</v>
      </c>
      <c r="G7" s="73" ph="1">
        <f xml:space="preserve"> (G6+2)*51.53*LOOKUP(G8,密度!$A$2:$A$50,密度!$B$2:$B$50)</f>
        <v>8536.2949040000003</v>
      </c>
      <c r="H7" s="73" ph="1">
        <f>(H6)*51.53*LOOKUP(H8,密度!$A$2:$A$50,密度!$B$2:$B$50)</f>
        <v>211154.82109800001</v>
      </c>
      <c r="I7" s="73" ph="1">
        <f>I6*290.8*1.0267</f>
        <v>17.913861600000001</v>
      </c>
      <c r="J7" s="73" ph="1">
        <f>J6*290.8*0.7892</f>
        <v>1604.2005264000002</v>
      </c>
      <c r="K7" s="73" ph="1">
        <f>K6*290.8*1.1126</f>
        <v>-25.883526400000004</v>
      </c>
      <c r="L7" s="73" ph="1">
        <f>L6*290.8*0.777</f>
        <v>6945.7521839999999</v>
      </c>
      <c r="M7" s="73" ph="1">
        <f>M6*33.183*LOOKUP(M8,密度!$A$2:$A$50,密度!$D$2:$D$50)</f>
        <v>42453.069245999999</v>
      </c>
      <c r="N7" s="73" ph="1">
        <f>N6*33.183*LOOKUP(N8,密度!$A$2:$A$50,密度!$E$2:$E$50)</f>
        <v>70845.811185599989</v>
      </c>
      <c r="O7" s="73" ph="1">
        <f>O6*20.428*LOOKUP(O8,密度!$A$2:$A$50,密度!$C$2:$C$50)</f>
        <v>2376.8080140000002</v>
      </c>
      <c r="P7" s="73" ph="1">
        <f>P6*51.53*LOOKUP(P8,密度!$A$2:$A$50,密度!$B$2:$B$50)</f>
        <v>115078.91903599999</v>
      </c>
      <c r="Q7" s="73" ph="1">
        <f>Q6*1.5*1.5*3.1416*LOOKUP(W8,密度!$A$2:$A$50,密度!$L$2:$L$50)</f>
        <v>44781.362287199998</v>
      </c>
      <c r="R7" s="73" ph="1">
        <f>R6*1.5*1.5*3.1416*LOOKUP(R8,密度!$A$2:$A$50,密度!$L$2:$L$50)</f>
        <v>43784.230228200002</v>
      </c>
      <c r="S7" s="73" ph="1">
        <f>S6*1.5*1.5*3.1416*LOOKUP(S8,密度!$A$2:$A$50,密度!$L$2:$L$50)</f>
        <v>18897.166965599998</v>
      </c>
      <c r="T7" s="73" ph="1">
        <f>T6*1.5*1.5*3.1416*LOOKUP(T8,密度!$A$2:$A$50,密度!$L$2:$L$50)</f>
        <v>15714.346031999999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46326.233091599999</v>
      </c>
      <c r="X7" s="73" ph="1">
        <f>X6*1.5*1.5*3.1416*LOOKUP(X8,密度!$A$2:$A$50,密度!$L$2:$L$50)</f>
        <v>47426.736357000002</v>
      </c>
      <c r="Y7" s="73" ph="1">
        <f>Y6*1.5*1.5*3.1416*LOOKUP(Y8,密度!$A$2:$A$50,密度!$L$2:$L$50)</f>
        <v>47141.765747999998</v>
      </c>
      <c r="Z7" s="73" ph="1">
        <f>Z6*33.183*LOOKUP(Z8,密度!$A$2:$A$50,密度!$L$2:$L$50)</f>
        <v>110755.79504099999</v>
      </c>
      <c r="AA7" s="73" ph="1">
        <f>AA6*33.183*LOOKUP(AA8,密度!$A$2:$A$50,密度!$D$2:$D$50)</f>
        <v>70448.225752800005</v>
      </c>
      <c r="AB7" s="73" ph="1">
        <f>AB6*20.428*LOOKUP(AB8,密度!$A$2:$A$50,密度!$D$2:$D$50)</f>
        <v>50583.619534000005</v>
      </c>
      <c r="AC7" s="73" ph="1">
        <f>AC6*51.53*LOOKUP(AC8,密度!$A$2:$A$50,密度!$Q$2:$Q$50)</f>
        <v>26151.625467599999</v>
      </c>
      <c r="AD7" s="73" ph="1">
        <f>AD6*20.428*LOOKUP(AD8,密度!$A$2:$A$50,密度!$V$2:$V$50)</f>
        <v>85094.059680000006</v>
      </c>
      <c r="AE7" s="73" ph="1">
        <f>AE6*20.428</f>
        <v>74970.760000000009</v>
      </c>
    </row>
    <row r="8" spans="1:99" ph="1">
      <c r="B8" s="241" ph="1"/>
      <c r="C8" s="68" t="s" ph="1">
        <v>179</v>
      </c>
      <c r="D8" s="74">
        <v>24</v>
      </c>
      <c r="E8" s="74">
        <v>24</v>
      </c>
      <c r="F8" s="74">
        <v>23</v>
      </c>
      <c r="G8" s="74">
        <v>23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26</v>
      </c>
      <c r="P8" s="74">
        <v>23</v>
      </c>
      <c r="Q8" s="74">
        <v>24</v>
      </c>
      <c r="R8" s="74">
        <v>29</v>
      </c>
      <c r="S8" s="74">
        <v>20</v>
      </c>
      <c r="T8" s="74">
        <v>20</v>
      </c>
      <c r="U8" s="74">
        <v>24</v>
      </c>
      <c r="V8" s="74">
        <v>27</v>
      </c>
      <c r="W8" s="74">
        <v>24</v>
      </c>
      <c r="X8" s="74">
        <v>15</v>
      </c>
      <c r="Y8" s="74">
        <v>24</v>
      </c>
      <c r="Z8" s="74">
        <v>21</v>
      </c>
      <c r="AA8" s="74">
        <v>24</v>
      </c>
      <c r="AB8" s="74">
        <v>17</v>
      </c>
      <c r="AC8" s="74">
        <v>20</v>
      </c>
      <c r="AD8" s="74">
        <v>27</v>
      </c>
      <c r="AE8" s="74">
        <v>32</v>
      </c>
    </row>
    <row r="9" spans="1:99" ht="26.4" ph="1">
      <c r="B9" s="241" ph="1">
        <v>0.66666666666666663</v>
      </c>
      <c r="C9" s="163" t="s" ph="1">
        <v>180</v>
      </c>
      <c r="D9" s="71">
        <v>6789</v>
      </c>
      <c r="E9" s="71">
        <v>4632</v>
      </c>
      <c r="F9" s="71">
        <v>6428</v>
      </c>
      <c r="G9" s="71">
        <v>0</v>
      </c>
      <c r="H9" s="71">
        <v>5229</v>
      </c>
      <c r="I9" s="71">
        <v>1.91</v>
      </c>
      <c r="J9" s="71">
        <v>7.01</v>
      </c>
      <c r="K9" s="71">
        <v>-0.08</v>
      </c>
      <c r="L9" s="71">
        <v>10.210000000000001</v>
      </c>
      <c r="M9" s="71">
        <v>1245</v>
      </c>
      <c r="N9" s="71">
        <v>2505</v>
      </c>
      <c r="O9" s="71">
        <v>103</v>
      </c>
      <c r="P9" s="71">
        <v>2740</v>
      </c>
      <c r="Q9" s="71">
        <v>6762</v>
      </c>
      <c r="R9" s="71">
        <v>6646</v>
      </c>
      <c r="S9" s="71">
        <v>5544</v>
      </c>
      <c r="T9" s="71">
        <v>7195</v>
      </c>
      <c r="U9" s="71">
        <v>0</v>
      </c>
      <c r="V9" s="71">
        <v>0</v>
      </c>
      <c r="W9" s="71">
        <v>3421</v>
      </c>
      <c r="X9" s="71">
        <v>7093</v>
      </c>
      <c r="Y9" s="71">
        <v>7121</v>
      </c>
      <c r="Z9" s="71">
        <v>2029</v>
      </c>
      <c r="AA9" s="71">
        <v>2620</v>
      </c>
      <c r="AB9" s="71">
        <v>2274</v>
      </c>
      <c r="AC9" s="71">
        <v>532</v>
      </c>
      <c r="AD9" s="71">
        <v>5071</v>
      </c>
      <c r="AE9" s="71">
        <v>3700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213281.00684838</v>
      </c>
      <c r="E10" s="73" ph="1">
        <f>E9*51.53*LOOKUP(E11,密度!$A$2:$A$50,密度!$B$2:$B$50)</f>
        <v>185865.53575199997</v>
      </c>
      <c r="F10" s="73" ph="1">
        <f>F9*33.183*LOOKUP(F11,密度!$A$2:$A$50,密度!$C$2:$C$50)</f>
        <v>236678.03951039998</v>
      </c>
      <c r="G10" s="73" ph="1">
        <f xml:space="preserve"> (G9+2)*51.53*LOOKUP(G11,密度!$A$2:$A$50,密度!$B$2:$B$50)</f>
        <v>80.07762000000001</v>
      </c>
      <c r="H10" s="73" ph="1">
        <f>(H9)*51.53*LOOKUP(H11,密度!$A$2:$A$50,密度!$B$2:$B$50)</f>
        <v>210548.519118</v>
      </c>
      <c r="I10" s="73" ph="1">
        <f>I9*290.8*1.0267</f>
        <v>570.25792760000002</v>
      </c>
      <c r="J10" s="73" ph="1">
        <f>J9*290.8*0.7892</f>
        <v>1608.7905136000002</v>
      </c>
      <c r="K10" s="73" ph="1">
        <f>K9*290.8*1.1126</f>
        <v>-25.883526400000004</v>
      </c>
      <c r="L10" s="73" ph="1">
        <f>L9*290.8*0.777</f>
        <v>2306.9658360000003</v>
      </c>
      <c r="M10" s="73" ph="1">
        <f>M9*33.183*LOOKUP(M11,密度!$A$2:$A$50,密度!$D$2:$D$50)</f>
        <v>42378.706143000003</v>
      </c>
      <c r="N10" s="73" ph="1">
        <f>N9*33.183*LOOKUP(N11,密度!$A$2:$A$50,密度!$E$2:$E$50)</f>
        <v>65010.822871499993</v>
      </c>
      <c r="O10" s="73" ph="1">
        <f>O9*20.428*LOOKUP(O11,密度!$A$2:$A$50,密度!$C$2:$C$50)</f>
        <v>2318.7005680000007</v>
      </c>
      <c r="P10" s="73" ph="1">
        <f>P9*51.53*LOOKUP(P11,密度!$A$2:$A$50,密度!$B$2:$B$50)</f>
        <v>109833.41238000001</v>
      </c>
      <c r="Q10" s="73" ph="1">
        <f>Q9*1.5*1.5*3.1416*LOOKUP(W11,密度!$A$2:$A$50,密度!$L$2:$L$50)</f>
        <v>44738.809315200007</v>
      </c>
      <c r="R10" s="73" ph="1">
        <f>R9*1.5*1.5*3.1416*LOOKUP(R11,密度!$A$2:$A$50,密度!$L$2:$L$50)</f>
        <v>43736.439423600001</v>
      </c>
      <c r="S10" s="73" ph="1">
        <f>S9*1.5*1.5*3.1416*LOOKUP(S11,密度!$A$2:$A$50,密度!$L$2:$L$50)</f>
        <v>36837.019295999991</v>
      </c>
      <c r="T10" s="73" ph="1">
        <f>T9*1.5*1.5*3.1416*LOOKUP(T11,密度!$A$2:$A$50,密度!$L$2:$L$50)</f>
        <v>47857.920956999995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22634.0530416</v>
      </c>
      <c r="X10" s="73" ph="1">
        <f>X9*1.5*1.5*3.1416*LOOKUP(X11,密度!$A$2:$A$50,密度!$L$2:$L$50)</f>
        <v>47380.012910999998</v>
      </c>
      <c r="Y10" s="73" ph="1">
        <f>Y9*1.5*1.5*3.1416*LOOKUP(Y11,密度!$A$2:$A$50,密度!$L$2:$L$50)</f>
        <v>47164.364062200002</v>
      </c>
      <c r="Z10" s="73" ph="1">
        <f>Z9*33.183*LOOKUP(Z11,密度!$A$2:$A$50,密度!$L$2:$L$50)</f>
        <v>63221.280272999997</v>
      </c>
      <c r="AA10" s="73" ph="1">
        <f>AA9*33.183*LOOKUP(AA11,密度!$A$2:$A$50,密度!$D$2:$D$50)</f>
        <v>89095.558608000007</v>
      </c>
      <c r="AB10" s="73" ph="1">
        <f>AB9*20.428*LOOKUP(AB11,密度!$A$2:$A$50,密度!$D$2:$D$50)</f>
        <v>47949.067358400003</v>
      </c>
      <c r="AC10" s="73" ph="1">
        <f>AC9*51.53*LOOKUP(AC11,密度!$A$2:$A$50,密度!$Q$2:$Q$50)</f>
        <v>25934.428578800002</v>
      </c>
      <c r="AD10" s="73" ph="1">
        <f>AD9*20.428*LOOKUP(AD11,密度!$A$2:$A$50,密度!$V$2:$V$50)</f>
        <v>99198.155548800001</v>
      </c>
      <c r="AE10" s="73" ph="1">
        <f>AE9*20.428</f>
        <v>75583.600000000006</v>
      </c>
    </row>
    <row r="11" spans="1:99" ph="1">
      <c r="A11" s="64" t="s" ph="1">
        <v>162</v>
      </c>
      <c r="B11" s="241" ph="1"/>
      <c r="C11" s="163" t="s" ph="1">
        <v>179</v>
      </c>
      <c r="D11" s="74">
        <v>25</v>
      </c>
      <c r="E11" s="74">
        <v>26</v>
      </c>
      <c r="F11" s="74">
        <v>24</v>
      </c>
      <c r="G11" s="74">
        <v>28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33</v>
      </c>
      <c r="P11" s="74">
        <v>27</v>
      </c>
      <c r="Q11" s="74">
        <v>26</v>
      </c>
      <c r="R11" s="74">
        <v>31</v>
      </c>
      <c r="S11" s="74">
        <v>22</v>
      </c>
      <c r="T11" s="74">
        <v>21</v>
      </c>
      <c r="U11" s="74">
        <v>27</v>
      </c>
      <c r="V11" s="74">
        <v>28</v>
      </c>
      <c r="W11" s="74">
        <v>26</v>
      </c>
      <c r="X11" s="74">
        <v>17</v>
      </c>
      <c r="Y11" s="74">
        <v>25</v>
      </c>
      <c r="Z11" s="74">
        <v>23</v>
      </c>
      <c r="AA11" s="74">
        <v>27</v>
      </c>
      <c r="AB11" s="74">
        <v>19</v>
      </c>
      <c r="AC11" s="74">
        <v>26</v>
      </c>
      <c r="AD11" s="74">
        <v>29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5960</v>
      </c>
      <c r="E15" s="78">
        <v>3407</v>
      </c>
      <c r="F15" s="78">
        <v>3835</v>
      </c>
      <c r="G15" s="78">
        <v>4013</v>
      </c>
      <c r="H15" s="78">
        <v>0</v>
      </c>
      <c r="I15" s="78">
        <v>1616</v>
      </c>
      <c r="J15" s="78">
        <v>735</v>
      </c>
      <c r="K15" s="78">
        <v>4455</v>
      </c>
      <c r="L15" s="78">
        <v>3961</v>
      </c>
      <c r="M15" s="78">
        <v>6010</v>
      </c>
      <c r="N15" s="78">
        <v>589</v>
      </c>
      <c r="O15" s="78">
        <v>6393</v>
      </c>
      <c r="P15" s="78">
        <v>6936</v>
      </c>
      <c r="Q15" s="78">
        <v>3394</v>
      </c>
      <c r="R15" s="78">
        <v>4961</v>
      </c>
      <c r="S15" s="78">
        <v>6188</v>
      </c>
      <c r="T15" s="78">
        <v>4314</v>
      </c>
      <c r="U15" s="78">
        <v>5899</v>
      </c>
      <c r="V15" s="78">
        <v>4942</v>
      </c>
      <c r="W15" s="71">
        <v>5046</v>
      </c>
      <c r="X15" s="78">
        <v>851</v>
      </c>
      <c r="Y15" s="106">
        <v>-9904</v>
      </c>
      <c r="Z15" s="78">
        <v>0</v>
      </c>
      <c r="AA15" s="78">
        <v>9</v>
      </c>
      <c r="AB15" s="78" ph="1">
        <v>1093</v>
      </c>
      <c r="AC15" s="78" ph="1">
        <v>2143</v>
      </c>
      <c r="AD15" s="78">
        <v>23.76</v>
      </c>
      <c r="AE15" s="78">
        <v>84.9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39474.738072</v>
      </c>
      <c r="E16" s="73" ph="1">
        <f>E15*7.0686*LOOKUP(E17,密度!$A$2:$A$50,密度!$L$2:$L$50)</f>
        <v>22565.508827400001</v>
      </c>
      <c r="F16" s="73" ph="1">
        <f>F15*9.0746*LOOKUP(F17,密度!$A$2:$A$50,密度!$L$2:$L$50)</f>
        <v>32434.616812000004</v>
      </c>
      <c r="G16" s="73" ph="1">
        <f>G15*9.0746*LOOKUP(G17,密度!$A$2:$A$50,密度!$B$2:$B$50)</f>
        <v>28422.9766289</v>
      </c>
      <c r="H16" s="73" ph="1">
        <f>H15*9.0746*LOOKUP(H17,密度!$A$2:$A$50,密度!$L$2:$L$50)</f>
        <v>0</v>
      </c>
      <c r="I16" s="73" ph="1">
        <f>I15*9.0746*LOOKUP(I17,密度!$A$2:$A$50,密度!$U$2:$U$50)</f>
        <v>15060.4965472</v>
      </c>
      <c r="J16" s="73" ph="1">
        <f>J15*9.0746*LOOKUP(J17,密度!$A$2:$A$50,密度!$L$2:$L$50)</f>
        <v>6256.3014779999994</v>
      </c>
      <c r="K16" s="73" ph="1">
        <f>K15*9.0746*LOOKUP(K17,密度!$A$2:$A$50,密度!$C$2:$C$50)</f>
        <v>44858.179792799994</v>
      </c>
      <c r="L16" s="73" ph="1">
        <f>L15*9.0746*LOOKUP(L17,密度!$A$2:$A$50,密度!$E$2:$E$50)</f>
        <v>28194.858426639996</v>
      </c>
      <c r="M16" s="73" ph="1">
        <f>M15*9.0746*LOOKUP(M17,密度!$A$2:$A$50,密度!$M$2:$M$50)</f>
        <v>47726.5065846</v>
      </c>
      <c r="N16" s="73" ph="1">
        <f>N15*9.0746*LOOKUP(N17,密度!$A$2:$A$50,密度!$M$2:$M$50)</f>
        <v>4698.7362265399997</v>
      </c>
      <c r="O16" s="73" ph="1">
        <f>O15*9.0746*LOOKUP(O17,密度!$A$2:$A$50,密度!$G$2:$G$50)</f>
        <v>55704.963871560009</v>
      </c>
      <c r="P16" s="73" ph="1">
        <f ca="1">P15*9.0746*LOOKUP(P17,密度!$A$2:$A$51,密度!$Q$2:$Q$50)</f>
        <v>59589.165272544007</v>
      </c>
      <c r="Q16" s="73" ph="1">
        <f>Q15*9.0746*LOOKUP(Q17,密度!$A$2:$A$50,密度!$Q$2:$Q$50)</f>
        <v>29181.310823227999</v>
      </c>
      <c r="R16" s="73" ph="1">
        <f>MAX(R15*9.0746*LOOKUP(R17,密度!$A$2:$A$50,密度!$B$2:$B$50),0)</f>
        <v>35096.88303176</v>
      </c>
      <c r="S16" s="73" ph="1">
        <f>S15*9.0746*LOOKUP(S17,密度!$A$2:$A$50,密度!$Q$2:$Q$50)</f>
        <v>53203.874889256003</v>
      </c>
      <c r="T16" s="73" ph="1">
        <f>T15*9.0746*LOOKUP(T17,密度!$A$2:$A$50,密度!$O$2:$O$50)</f>
        <v>36407.476691999997</v>
      </c>
      <c r="U16" s="73" ph="1">
        <f>U15*9.0746*LOOKUP(U17,密度!$A$2:$A$50,密度!$H$2:$H$50)</f>
        <v>49184.342889519998</v>
      </c>
      <c r="V16" s="73" ph="1">
        <f>MAX(5600*LOOKUP(V17,密度!$A$2:$A$50,密度!$Q$2:$Q$50)+V15*9.0476*LOOKUP(V17,密度!$A$2:$A$50,密度!$Q$2:$Q$50),0)</f>
        <v>47562.111280543999</v>
      </c>
      <c r="W16" s="73" ph="1">
        <f>MAX(5600*LOOKUP(W17,密度!$A$2:$A$50,密度!$Q$2:$Q$50)+W15*9.0476*LOOKUP(W17,密度!$A$2:$A$50,密度!$Q$2:$Q$50),0)</f>
        <v>48415.732579952004</v>
      </c>
      <c r="X16" s="73" ph="1">
        <f>MAX(5600*LOOKUP(X17,密度!$A$2:$A$50,密度!$I$2:$I$50)+X15*9.0476*LOOKUP(X17,密度!$A$2:$A$50,密度!$I$2:$I$50),0)</f>
        <v>13844.787411599998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63.891536220000006</v>
      </c>
      <c r="AB16" s="73" ph="1">
        <f>AB15*9.0746*LOOKUP(AB17,密度!$A$2:$A$50,密度!$L$2:$L$50)</f>
        <v>9303.5884563999989</v>
      </c>
      <c r="AC16" s="73" ph="1">
        <f>AC15*9.0746*LOOKUP(AC17,密度!$A$2:$A$50,密度!$L$2:$L$50)</f>
        <v>18260.6088642</v>
      </c>
      <c r="AD16" s="73" ph="1">
        <f>AD15*268.68*LOOKUP(AD17,密度!$A$2:$A$50,密度!B2:B50)+IF(AD15&lt;=0,0,1566*LOOKUP(AD17,密度!$A$2:$A$50,密度!B2:B50))</f>
        <v>6197.69276928</v>
      </c>
      <c r="AE16" s="73" ph="1">
        <f>AE15*268.68*LOOKUP(AE17,密度!$A$2:$A$50,密度!B2:B50)+IF(AE15&lt;=0,0,1566*LOOKUP(AE17,密度!$A$2:$A$50,密度!B2:B50))</f>
        <v>19004.256187199997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25</v>
      </c>
      <c r="E17" s="74">
        <v>25</v>
      </c>
      <c r="F17" s="74">
        <v>30</v>
      </c>
      <c r="G17" s="74">
        <v>24</v>
      </c>
      <c r="H17" s="74">
        <v>20</v>
      </c>
      <c r="I17" s="74">
        <v>23</v>
      </c>
      <c r="J17" s="74">
        <v>24</v>
      </c>
      <c r="K17" s="74">
        <v>24</v>
      </c>
      <c r="L17" s="74">
        <v>24</v>
      </c>
      <c r="M17" s="74">
        <v>25</v>
      </c>
      <c r="N17" s="74">
        <v>21</v>
      </c>
      <c r="O17" s="74">
        <v>25</v>
      </c>
      <c r="P17" s="74">
        <v>25</v>
      </c>
      <c r="Q17" s="74">
        <v>24</v>
      </c>
      <c r="R17" s="74">
        <v>25</v>
      </c>
      <c r="S17" s="74">
        <v>24</v>
      </c>
      <c r="T17" s="74">
        <v>24</v>
      </c>
      <c r="U17" s="74">
        <v>21</v>
      </c>
      <c r="V17" s="74">
        <v>27</v>
      </c>
      <c r="W17" s="74">
        <v>28</v>
      </c>
      <c r="X17" s="74">
        <v>26</v>
      </c>
      <c r="Y17" s="108">
        <v>26</v>
      </c>
      <c r="Z17" s="74">
        <v>24</v>
      </c>
      <c r="AA17" s="74">
        <v>22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5970</v>
      </c>
      <c r="E18" s="71">
        <v>3537</v>
      </c>
      <c r="F18" s="71">
        <v>4250</v>
      </c>
      <c r="G18" s="71">
        <v>4085</v>
      </c>
      <c r="H18" s="71">
        <v>0</v>
      </c>
      <c r="I18" s="71">
        <v>1617</v>
      </c>
      <c r="J18" s="71">
        <v>736</v>
      </c>
      <c r="K18" s="71">
        <v>4465</v>
      </c>
      <c r="L18" s="71">
        <v>3970</v>
      </c>
      <c r="M18" s="71">
        <v>3936</v>
      </c>
      <c r="N18" s="71">
        <v>2702</v>
      </c>
      <c r="O18" s="71">
        <v>6402</v>
      </c>
      <c r="P18" s="71">
        <v>6949</v>
      </c>
      <c r="Q18" s="71">
        <v>1613</v>
      </c>
      <c r="R18" s="71">
        <v>4946</v>
      </c>
      <c r="S18" s="71">
        <v>6196</v>
      </c>
      <c r="T18" s="71">
        <v>3366</v>
      </c>
      <c r="U18" s="71">
        <v>5904</v>
      </c>
      <c r="V18" s="71">
        <v>4943</v>
      </c>
      <c r="W18" s="71">
        <v>5046</v>
      </c>
      <c r="X18" s="71">
        <v>850</v>
      </c>
      <c r="Y18" s="109">
        <v>-9907</v>
      </c>
      <c r="Z18" s="71">
        <v>0</v>
      </c>
      <c r="AA18" s="71">
        <v>8</v>
      </c>
      <c r="AB18" s="71">
        <v>1093</v>
      </c>
      <c r="AC18" s="71">
        <v>2146</v>
      </c>
      <c r="AD18" s="71">
        <v>59.29</v>
      </c>
      <c r="AE18" s="71">
        <v>84.41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39498.771312000004</v>
      </c>
      <c r="E19" s="73" ph="1">
        <f>E18*7.0686*LOOKUP(E20,密度!$A$2:$A$50,密度!$L$2:$L$50)</f>
        <v>23401.533355200001</v>
      </c>
      <c r="F19" s="73" ph="1">
        <f>F18*9.0746*LOOKUP(F20,密度!$A$2:$A$50,密度!$L$2:$L$50)</f>
        <v>35828.789450000004</v>
      </c>
      <c r="G19" s="73" ph="1">
        <f>G18*9.0746*LOOKUP(G20,密度!$A$2:$A$50,密度!$B$2:$B$50)</f>
        <v>28899.5700836</v>
      </c>
      <c r="H19" s="73" ph="1">
        <f>H18*9.0746*LOOKUP(H20,密度!$A$2:$A$50,密度!$L$2:$L$50)</f>
        <v>0</v>
      </c>
      <c r="I19" s="73" ph="1">
        <f>I18*9.0746*LOOKUP(I20,密度!$A$2:$A$50,密度!$U$2:$U$50)</f>
        <v>14981.774392199999</v>
      </c>
      <c r="J19" s="73" ph="1">
        <f>J18*9.0746*LOOKUP(J20,密度!$A$2:$A$50,密度!$L$2:$L$50)</f>
        <v>6231.4189248000002</v>
      </c>
      <c r="K19" s="73" ph="1">
        <f>K18*9.0746*LOOKUP(K20,密度!$A$2:$A$50,密度!$C$2:$C$50)</f>
        <v>44837.317287400001</v>
      </c>
      <c r="L19" s="73" ph="1">
        <f>L18*9.0746*LOOKUP(L20,密度!$A$2:$A$50,密度!$E$2:$E$50)</f>
        <v>28176.061300200003</v>
      </c>
      <c r="M19" s="73" ph="1">
        <f>M18*9.0746*LOOKUP(M20,密度!$A$2:$A$50,密度!$M$2:$M$50)</f>
        <v>31145.769523200001</v>
      </c>
      <c r="N19" s="73" ph="1">
        <f>N18*9.0746*LOOKUP(N20,密度!$A$2:$A$50,密度!$M$2:$M$50)</f>
        <v>21457.07500692</v>
      </c>
      <c r="O19" s="73" ph="1">
        <f>O18*9.0746*LOOKUP(O20,密度!$A$2:$A$50,密度!$G$2:$G$50)</f>
        <v>55655.574453599998</v>
      </c>
      <c r="P19" s="73" ph="1">
        <f ca="1">P18*9.0746*LOOKUP(P20,密度!$A$2:$A$51,密度!$Q$2:$Q$50)</f>
        <v>59656.079830262002</v>
      </c>
      <c r="Q19" s="73" ph="1">
        <f>Q18*9.0746*LOOKUP(Q20,密度!$A$2:$A$50,密度!$Q$2:$Q$50)</f>
        <v>13836.960606536</v>
      </c>
      <c r="R19" s="73" ph="1">
        <f>MAX(R18*9.0746*LOOKUP(R20,密度!$A$2:$A$50,密度!$B$2:$B$50),0)</f>
        <v>34838.162555920004</v>
      </c>
      <c r="S19" s="73" ph="1">
        <f>S18*9.0746*LOOKUP(S20,密度!$A$2:$A$50,密度!$Q$2:$Q$50)</f>
        <v>53231.613037584008</v>
      </c>
      <c r="T19" s="73" ph="1">
        <f>T18*9.0746*LOOKUP(T20,密度!$A$2:$A$50,密度!$O$2:$O$50)</f>
        <v>28284.765933600003</v>
      </c>
      <c r="U19" s="73" ph="1">
        <f>U18*9.0746*LOOKUP(U20,密度!$A$2:$A$50,密度!$H$2:$H$50)</f>
        <v>49059.94464288</v>
      </c>
      <c r="V19" s="73" ph="1">
        <f>MAX(5600*LOOKUP(V20,密度!$A$2:$A$50,密度!$Q$2:$Q$50)+V18*9.0476*LOOKUP(V20,密度!$A$2:$A$50,密度!$Q$2:$Q$50),0)</f>
        <v>47470.522807043999</v>
      </c>
      <c r="W19" s="73" ph="1">
        <f>MAX(5600*LOOKUP(W20,密度!$A$2:$A$50,密度!$Q$2:$Q$50)+W18*9.0476*LOOKUP(W20,密度!$A$2:$A$50,密度!$Q$2:$Q$50),0)</f>
        <v>48349.614675368</v>
      </c>
      <c r="X19" s="73" ph="1">
        <f>MAX(5600*LOOKUP(X20,密度!$A$2:$A$50,密度!$I$2:$I$50)+X18*9.0476*LOOKUP(X20,密度!$A$2:$A$50,密度!$I$2:$I$50),0)</f>
        <v>13807.458893999998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56.473050720000003</v>
      </c>
      <c r="AB19" s="73" ph="1">
        <f>AB18*9.0746*LOOKUP(AB20,密度!$A$2:$A$50,密度!$L$2:$L$50)</f>
        <v>9244.0772296000014</v>
      </c>
      <c r="AC19" s="73" ph="1">
        <f>AC18*9.0746*LOOKUP(AC20,密度!$A$2:$A$50,密度!$L$2:$L$50)</f>
        <v>18247.2238292</v>
      </c>
      <c r="AD19" s="73" ph="1">
        <f>AD18*268.68*LOOKUP(AD20,密度!$A$2:$A$50,密度!B5:B53)+IF(AD18&lt;=0,0,1566*LOOKUP(AD20,密度!$A$2:$A$50,密度!B5:B53))</f>
        <v>13594.4209044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26</v>
      </c>
      <c r="E20" s="81">
        <v>26</v>
      </c>
      <c r="F20" s="81">
        <v>33</v>
      </c>
      <c r="G20" s="81">
        <v>25</v>
      </c>
      <c r="H20" s="81">
        <v>24</v>
      </c>
      <c r="I20" s="81">
        <v>29</v>
      </c>
      <c r="J20" s="81">
        <v>29</v>
      </c>
      <c r="K20" s="81">
        <v>28</v>
      </c>
      <c r="L20" s="81">
        <v>26</v>
      </c>
      <c r="M20" s="81">
        <v>28</v>
      </c>
      <c r="N20" s="81">
        <v>25</v>
      </c>
      <c r="O20" s="81">
        <v>27</v>
      </c>
      <c r="P20" s="81">
        <v>26</v>
      </c>
      <c r="Q20" s="81">
        <v>27</v>
      </c>
      <c r="R20" s="81">
        <v>29</v>
      </c>
      <c r="S20" s="81">
        <v>25</v>
      </c>
      <c r="T20" s="81">
        <v>29</v>
      </c>
      <c r="U20" s="81">
        <v>24</v>
      </c>
      <c r="V20" s="81">
        <v>30</v>
      </c>
      <c r="W20" s="81">
        <v>30</v>
      </c>
      <c r="X20" s="81">
        <v>28</v>
      </c>
      <c r="Y20" s="110">
        <v>28</v>
      </c>
      <c r="Z20" s="81">
        <v>31</v>
      </c>
      <c r="AA20" s="81">
        <v>27</v>
      </c>
      <c r="AB20" s="81">
        <v>30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645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78.680000000000007</v>
      </c>
      <c r="E24" s="71">
        <v>46.03</v>
      </c>
      <c r="F24" s="71">
        <v>1553</v>
      </c>
      <c r="G24" s="71">
        <v>2817</v>
      </c>
      <c r="H24" s="71">
        <v>1427</v>
      </c>
      <c r="I24" s="71">
        <v>3789</v>
      </c>
      <c r="J24" s="71">
        <v>4835</v>
      </c>
      <c r="K24" s="71">
        <v>3833</v>
      </c>
      <c r="L24" s="71">
        <v>5578</v>
      </c>
      <c r="M24" s="71">
        <v>5103</v>
      </c>
      <c r="N24" s="71">
        <v>5501</v>
      </c>
      <c r="O24" s="71">
        <v>5576</v>
      </c>
      <c r="P24" s="71">
        <v>381</v>
      </c>
      <c r="Q24" s="90">
        <v>1389</v>
      </c>
      <c r="R24" s="71">
        <v>217</v>
      </c>
      <c r="S24" s="71">
        <v>2317</v>
      </c>
      <c r="T24" s="71">
        <v>278</v>
      </c>
      <c r="U24" s="71">
        <v>3820</v>
      </c>
      <c r="V24" s="71">
        <v>11743</v>
      </c>
      <c r="W24" s="71">
        <v>8282</v>
      </c>
      <c r="X24" s="71">
        <v>3670</v>
      </c>
      <c r="Y24" s="71">
        <v>3757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21496.434559776004</v>
      </c>
      <c r="E25" s="91" ph="1">
        <f>E24*268.68*LOOKUP(E26,密度!$A$2:$A$50,密度!$C$2:$C$50)+IF(E24&lt;=0,0,1566*LOOKUP(E26,密度!$A$2:$A$50,密度!$C$2:$C$50))</f>
        <v>15450.681169560001</v>
      </c>
      <c r="F25" s="91" ph="1">
        <f>F24*11.702*LOOKUP(F26,密度!$A$2:$A$50,密度!$Q$2:$Q$50)</f>
        <v>17248.008082539996</v>
      </c>
      <c r="G25" s="91" ph="1">
        <f>G24*18.322*LOOKUP(G26,密度!$A$2:$A$50,密度!$B$2:$B$50)</f>
        <v>40284.004257000001</v>
      </c>
      <c r="H25" s="91" ph="1">
        <f>H24*18.322*LOOKUP(H26,密度!$A$2:$A$50,密度!$B$2:$B$50)</f>
        <v>20477.150900799999</v>
      </c>
      <c r="I25" s="91" ph="1">
        <f>I24*18.322*LOOKUP(I26,密度!$A$2:$A$50,密度!$Q$2:$Q$50)</f>
        <v>65887.781027219986</v>
      </c>
      <c r="J25" s="91" ph="1">
        <f>J24*18.322*LOOKUP(J26,密度!$A$2:$A$50,密度!$Q$2:$Q$50)</f>
        <v>83998.070133999994</v>
      </c>
      <c r="K25" s="91" ph="1">
        <f>K24*18.322*LOOKUP(K26,密度!$A$2:$A$50,密度!$Q$2:$Q$50)</f>
        <v>66590.403893199997</v>
      </c>
      <c r="L25" s="91" ph="1">
        <f>L24*18.322*LOOKUP(L26,密度!$A$2:$A$50,密度!$Q$2:$Q$50)</f>
        <v>96906.1499912</v>
      </c>
      <c r="M25" s="91" ph="1">
        <f>M24*18.322*LOOKUP(M26,密度!$A$2:$A$50,密度!$Q$2:$Q$50)</f>
        <v>88654.012801200006</v>
      </c>
      <c r="N25" s="91" ph="1">
        <f>N24*18.322*LOOKUP(N26,密度!$A$2:$A$50,密度!$Q$2:$Q$50)</f>
        <v>95718.61121018001</v>
      </c>
      <c r="O25" s="91" ph="1">
        <f>O24*18.322*LOOKUP(O26,密度!$A$2:$A$50,密度!$C$2:$C$50)</f>
        <v>113513.8337392</v>
      </c>
      <c r="P25" s="91" ph="1">
        <f>P24*11.702*LOOKUP(P26,密度!$A$2:$A$50,密度!$B$2:$B$50)</f>
        <v>3479.8295909999997</v>
      </c>
      <c r="Q25" s="92" ph="1">
        <f>Q24*18.322*LOOKUP(Q26,密度!$A$2:$A$50,密度!$B$2:$B$50)</f>
        <v>19931.858865599999</v>
      </c>
      <c r="R25" s="91" ph="1">
        <f>R24*35.891*LOOKUP(R26,密度!$A$2:$A$50,密度!$C$2:$C$50)</f>
        <v>8648.1805088000001</v>
      </c>
      <c r="S25" s="91" ph="1">
        <f>S24*35.891*LOOKUP(S26,密度!$A$2:$A$50,密度!$B$2:$B$50)</f>
        <v>64905.948383499999</v>
      </c>
      <c r="T25" s="91" ph="1">
        <f>T24*35.891*LOOKUP(T26,密度!$A$2:$A$50,密度!$Q$2:$Q$50)</f>
        <v>9460.8532436000005</v>
      </c>
      <c r="U25" s="91" ph="1">
        <f>U24*35.891</f>
        <v>137103.62</v>
      </c>
      <c r="V25" s="91" ph="1">
        <f>V24*47.051*LOOKUP(V26,密度!$A$2:$A$50,密度!$B$2:$B$50)</f>
        <v>432236.3122939</v>
      </c>
      <c r="W25" s="91" ph="1">
        <f>W24*47.051*LOOKUP(W26,密度!$A$2:$A$50,密度!$B$2:$B$50)</f>
        <v>304142.41615100001</v>
      </c>
      <c r="X25" s="91" ph="1">
        <f>X24*47.051*LOOKUP(X26,密度!$A$2:$A$50,密度!$I$2:$I$50)</f>
        <v>180223.16232900001</v>
      </c>
      <c r="Y25" s="91" ph="1">
        <f>Y24*47.051*LOOKUP(Y26,密度!$A$2:$A$50,密度!$L$2:$L$50)</f>
        <v>165987.599973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22</v>
      </c>
      <c r="G26" s="74">
        <v>24</v>
      </c>
      <c r="H26" s="74">
        <v>21</v>
      </c>
      <c r="I26" s="74">
        <v>22</v>
      </c>
      <c r="J26" s="74">
        <v>23</v>
      </c>
      <c r="K26" s="74">
        <v>23</v>
      </c>
      <c r="L26" s="74">
        <v>23</v>
      </c>
      <c r="M26" s="74">
        <v>23</v>
      </c>
      <c r="N26" s="74">
        <v>21</v>
      </c>
      <c r="O26" s="74">
        <v>22</v>
      </c>
      <c r="P26" s="74">
        <v>24</v>
      </c>
      <c r="Q26" s="93">
        <v>21</v>
      </c>
      <c r="R26" s="74">
        <v>23</v>
      </c>
      <c r="S26" s="74">
        <v>24</v>
      </c>
      <c r="T26" s="74">
        <v>23</v>
      </c>
      <c r="U26" s="74">
        <v>24</v>
      </c>
      <c r="V26" s="74">
        <v>22</v>
      </c>
      <c r="W26" s="74">
        <v>24</v>
      </c>
      <c r="X26" s="74">
        <v>24</v>
      </c>
      <c r="Y26" s="74">
        <v>23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78.819999999999993</v>
      </c>
      <c r="E27" s="71">
        <v>46.05</v>
      </c>
      <c r="F27" s="71">
        <v>1554</v>
      </c>
      <c r="G27" s="71">
        <v>2331</v>
      </c>
      <c r="H27" s="71">
        <v>1085</v>
      </c>
      <c r="I27" s="71">
        <v>2897</v>
      </c>
      <c r="J27" s="71">
        <v>4837</v>
      </c>
      <c r="K27" s="71">
        <v>3833</v>
      </c>
      <c r="L27" s="71">
        <v>5579</v>
      </c>
      <c r="M27" s="71">
        <v>5106</v>
      </c>
      <c r="N27" s="71">
        <v>5503</v>
      </c>
      <c r="O27" s="71">
        <v>5575</v>
      </c>
      <c r="P27" s="71">
        <v>379</v>
      </c>
      <c r="Q27" s="90">
        <v>1768</v>
      </c>
      <c r="R27" s="71">
        <v>215</v>
      </c>
      <c r="S27" s="71">
        <v>2315</v>
      </c>
      <c r="T27" s="71">
        <v>278</v>
      </c>
      <c r="U27" s="71">
        <v>3740</v>
      </c>
      <c r="V27" s="71">
        <v>11752</v>
      </c>
      <c r="W27" s="71">
        <v>8285</v>
      </c>
      <c r="X27" s="71">
        <v>3297</v>
      </c>
      <c r="Y27" s="71">
        <v>4095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21532.046374224003</v>
      </c>
      <c r="E28" s="91" ph="1">
        <f>E27*268.68*LOOKUP(E29,密度!$A$2:$A$50,密度!$C$2:$C$50)+IF(E27&lt;=0,0,1566*LOOKUP(E29,密度!$A$2:$A$50,密度!$C$2:$C$50))</f>
        <v>15456.639954599999</v>
      </c>
      <c r="F28" s="91" ph="1">
        <f>F27*11.702*LOOKUP(F29,密度!$A$2:$A$50,密度!$Q$2:$Q$50)</f>
        <v>17242.929765600002</v>
      </c>
      <c r="G28" s="91" ph="1">
        <f>G27*18.322*LOOKUP(G29,密度!$A$2:$A$50,密度!$B$2:$B$50)</f>
        <v>33295.610527199991</v>
      </c>
      <c r="H28" s="91" ph="1">
        <f>H27*18.322*LOOKUP(H29,密度!$A$2:$A$50,密度!$B$2:$B$50)</f>
        <v>15515.848284999998</v>
      </c>
      <c r="I28" s="91" ph="1">
        <f>I27*18.322*LOOKUP(I29,密度!$A$2:$A$50,密度!$Q$2:$Q$50)</f>
        <v>50329.350398800001</v>
      </c>
      <c r="J28" s="91" ph="1">
        <f>J27*18.322*LOOKUP(J29,密度!$A$2:$A$50,密度!$Q$2:$Q$50)</f>
        <v>83968.120809579996</v>
      </c>
      <c r="K28" s="91" ph="1">
        <f>K27*18.322*LOOKUP(K29,密度!$A$2:$A$50,密度!$Q$2:$Q$50)</f>
        <v>66590.403893199997</v>
      </c>
      <c r="L28" s="91" ph="1">
        <f>L27*18.322*LOOKUP(L29,密度!$A$2:$A$50,密度!$Q$2:$Q$50)</f>
        <v>96848.903451859995</v>
      </c>
      <c r="M28" s="91" ph="1">
        <f>M27*18.322*LOOKUP(M29,密度!$A$2:$A$50,密度!$Q$2:$Q$50)</f>
        <v>88637.838506040003</v>
      </c>
      <c r="N28" s="91" ph="1">
        <f>N27*18.322*LOOKUP(N29,密度!$A$2:$A$50,密度!$Q$2:$Q$50)</f>
        <v>95692.916070940002</v>
      </c>
      <c r="O28" s="91" ph="1">
        <f>O27*18.322*LOOKUP(O29,密度!$A$2:$A$50,密度!$C$2:$C$50)</f>
        <v>113493.47616499999</v>
      </c>
      <c r="P28" s="91" ph="1">
        <f>P27*11.702*LOOKUP(P29,密度!$A$2:$A$50,密度!$B$2:$B$50)</f>
        <v>3461.5627689999997</v>
      </c>
      <c r="Q28" s="92" ph="1">
        <f>Q27*18.322*LOOKUP(Q29,密度!$A$2:$A$50,密度!$B$2:$B$50)</f>
        <v>25282.967527999997</v>
      </c>
      <c r="R28" s="91" ph="1">
        <f>R27*35.891*LOOKUP(R29,密度!$A$2:$A$50,密度!$C$2:$C$50)</f>
        <v>8562.3005239999984</v>
      </c>
      <c r="S28" s="91" ph="1">
        <f>S27*35.891*LOOKUP(S29,密度!$A$2:$A$50,密度!$B$2:$B$50)</f>
        <v>64849.922532499993</v>
      </c>
      <c r="T28" s="91" ph="1">
        <f>T27*35.891*LOOKUP(T29,密度!$A$2:$A$50,密度!$Q$2:$Q$50)</f>
        <v>9446.285804520001</v>
      </c>
      <c r="U28" s="91" ph="1">
        <f>U27*35.891</f>
        <v>134232.34</v>
      </c>
      <c r="V28" s="91" ph="1">
        <f>V27*47.051*LOOKUP(V29,密度!$A$2:$A$50,密度!$B$2:$B$50)</f>
        <v>431572.28623600001</v>
      </c>
      <c r="W28" s="91" ph="1">
        <f>W27*47.051*LOOKUP(W29,密度!$A$2:$A$50,密度!$B$2:$B$50)</f>
        <v>304252.5860675</v>
      </c>
      <c r="X28" s="91" ph="1">
        <f>X27*47.051*LOOKUP(X29,密度!$A$2:$A$50,密度!$I$2:$I$50)</f>
        <v>161689.0253181</v>
      </c>
      <c r="Y28" s="91" ph="1">
        <f>Y27*47.051*LOOKUP(Y29,密度!$A$2:$A$50,密度!$L$2:$L$50)</f>
        <v>180920.74045499999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23</v>
      </c>
      <c r="J29" s="74">
        <v>24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24</v>
      </c>
      <c r="R29" s="74">
        <v>24</v>
      </c>
      <c r="S29" s="74">
        <v>24</v>
      </c>
      <c r="T29" s="74">
        <v>25</v>
      </c>
      <c r="U29" s="74">
        <v>25</v>
      </c>
      <c r="V29" s="74">
        <v>24</v>
      </c>
      <c r="W29" s="74">
        <v>24</v>
      </c>
      <c r="X29" s="74">
        <v>25</v>
      </c>
      <c r="Y29" s="74">
        <v>23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137044.62596640002</v>
      </c>
      <c r="E33" s="190" ph="1">
        <f>M10+I10</f>
        <v>42948.964070600006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16" ph="1">
        <v>0</v>
      </c>
      <c r="H33" s="190" ph="1">
        <f>N19</f>
        <v>21457.07500692</v>
      </c>
      <c r="I33" s="194" ph="1">
        <v>0</v>
      </c>
      <c r="J33" s="198" ph="1">
        <f>F10+O28</f>
        <v>350171.51567539998</v>
      </c>
      <c r="K33" s="190" ph="1">
        <f>O10+K10+E28+R28</f>
        <v>26311.757520199997</v>
      </c>
      <c r="L33" s="200" ph="1">
        <f>BE27</f>
        <v>7100</v>
      </c>
      <c r="M33" s="198" ph="1">
        <f>G10+H10+W28+S28+V28+E10</f>
        <v>1197168.9273260001</v>
      </c>
      <c r="N33" s="190" ph="1">
        <f>L10+P10++G28+H28</f>
        <v>160951.83702819998</v>
      </c>
      <c r="O33" s="194" ph="1">
        <f>BE17</f>
        <v>2270</v>
      </c>
      <c r="P33" s="198" ph="1">
        <f>L19</f>
        <v>28176.061300200003</v>
      </c>
      <c r="Q33" s="190" ph="1">
        <f>J10+N10</f>
        <v>66619.61338509999</v>
      </c>
      <c r="R33" s="194" ph="1">
        <f>BE23</f>
        <v>890</v>
      </c>
      <c r="S33" s="198" ph="1">
        <f>E10+X28</f>
        <v>347554.56107009994</v>
      </c>
      <c r="T33" s="190" ph="1">
        <f>X19</f>
        <v>13807.458893999998</v>
      </c>
      <c r="U33" s="179" ph="1">
        <f>BE21</f>
        <v>730</v>
      </c>
      <c r="V33" s="192" ph="1">
        <f ca="1">P19+Q19+S19+M28+N28+J28</f>
        <v>395023.52886094199</v>
      </c>
      <c r="W33" s="192" ph="1">
        <f>D28+F28+V19+T28</f>
        <v>95691.784751387997</v>
      </c>
      <c r="X33" s="194" ph="1">
        <f>BE29+BE31</f>
        <v>10200</v>
      </c>
      <c r="Y33" s="196" ph="1">
        <f>+Q10+R10+S10+T10+U10+V10+W10+X10+Y10</f>
        <v>290348.6190066</v>
      </c>
      <c r="Z33" s="177" ph="1">
        <f>D10+T19+U19+Y28+Z10</f>
        <v>534767.73815285997</v>
      </c>
      <c r="AA33" s="179" ph="1">
        <f>BE19</f>
        <v>1440</v>
      </c>
      <c r="AB33" s="181" ph="1">
        <f>I19</f>
        <v>14981.774392199999</v>
      </c>
      <c r="AC33" s="183" ph="1">
        <f>AD10</f>
        <v>99198.155548800001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5" priority="98">
      <formula>ABS(D$7-D$10)&gt;=1000</formula>
    </cfRule>
  </conditionalFormatting>
  <conditionalFormatting sqref="E4 E6:E11">
    <cfRule type="expression" dxfId="254" priority="97">
      <formula>ABS(E$7-E$10)&gt;=1000</formula>
    </cfRule>
  </conditionalFormatting>
  <conditionalFormatting sqref="F4:F11">
    <cfRule type="expression" dxfId="253" priority="96">
      <formula>ABS(F$7-F$10)&gt;=1000</formula>
    </cfRule>
  </conditionalFormatting>
  <conditionalFormatting sqref="G4:G11">
    <cfRule type="expression" dxfId="252" priority="95">
      <formula>ABS(G$7-G$10)&gt;=1000</formula>
    </cfRule>
  </conditionalFormatting>
  <conditionalFormatting sqref="H4:H11">
    <cfRule type="expression" dxfId="251" priority="94">
      <formula>ABS(H$7-H$10)&gt;=1000</formula>
    </cfRule>
  </conditionalFormatting>
  <conditionalFormatting sqref="I4:I11">
    <cfRule type="expression" dxfId="250" priority="93">
      <formula>ABS(I$7-I$10)&gt;=1000</formula>
    </cfRule>
  </conditionalFormatting>
  <conditionalFormatting sqref="J4:J11">
    <cfRule type="expression" dxfId="249" priority="92">
      <formula>ABS(J$7-J$10)&gt;=1000</formula>
    </cfRule>
  </conditionalFormatting>
  <conditionalFormatting sqref="K4:K11">
    <cfRule type="expression" dxfId="248" priority="91">
      <formula>ABS(K$7-K$10)&gt;=1000</formula>
    </cfRule>
  </conditionalFormatting>
  <conditionalFormatting sqref="L4:L11">
    <cfRule type="expression" dxfId="247" priority="90">
      <formula>ABS(L$7-L$10)&gt;=1000</formula>
    </cfRule>
  </conditionalFormatting>
  <conditionalFormatting sqref="M4 M6:M11">
    <cfRule type="expression" dxfId="246" priority="89">
      <formula>ABS(M$7-M$10)&gt;=1000</formula>
    </cfRule>
  </conditionalFormatting>
  <conditionalFormatting sqref="N4 N6:N11">
    <cfRule type="expression" dxfId="245" priority="88">
      <formula>ABS(N$7-N$10)&gt;=1000</formula>
    </cfRule>
  </conditionalFormatting>
  <conditionalFormatting sqref="O4 O6:O11">
    <cfRule type="expression" dxfId="244" priority="87">
      <formula>ABS(O$7-O$10)&gt;=1000</formula>
    </cfRule>
  </conditionalFormatting>
  <conditionalFormatting sqref="P4 P6:P11">
    <cfRule type="expression" dxfId="243" priority="86">
      <formula>ABS(P$7-P$10)&gt;=1000</formula>
    </cfRule>
  </conditionalFormatting>
  <conditionalFormatting sqref="Q4:Q11">
    <cfRule type="expression" dxfId="242" priority="85">
      <formula>ABS(Q$7-Q$10)&gt;=1000</formula>
    </cfRule>
  </conditionalFormatting>
  <conditionalFormatting sqref="R4:R11">
    <cfRule type="expression" dxfId="241" priority="84">
      <formula>ABS(R$7-R$10)&gt;=1000</formula>
    </cfRule>
  </conditionalFormatting>
  <conditionalFormatting sqref="S4:S11">
    <cfRule type="expression" dxfId="240" priority="83">
      <formula>ABS(S$7-S$10)&gt;=1000</formula>
    </cfRule>
  </conditionalFormatting>
  <conditionalFormatting sqref="T4:T9 T11">
    <cfRule type="expression" dxfId="239" priority="82">
      <formula>ABS(T$7-T$10)&gt;=1000</formula>
    </cfRule>
  </conditionalFormatting>
  <conditionalFormatting sqref="U4:U9 U11">
    <cfRule type="expression" dxfId="238" priority="81">
      <formula>ABS(U$7-U$10)&gt;=1000</formula>
    </cfRule>
  </conditionalFormatting>
  <conditionalFormatting sqref="V4:V9 V11">
    <cfRule type="expression" dxfId="237" priority="80">
      <formula>ABS(V$7-V$10)&gt;=1000</formula>
    </cfRule>
  </conditionalFormatting>
  <conditionalFormatting sqref="W4:W9 W11">
    <cfRule type="expression" dxfId="236" priority="79">
      <formula>ABS(W$7-W$10)&gt;=1000</formula>
    </cfRule>
  </conditionalFormatting>
  <conditionalFormatting sqref="X4:X9 X11">
    <cfRule type="expression" dxfId="235" priority="78">
      <formula>ABS(X$7-X$10)&gt;=1000</formula>
    </cfRule>
  </conditionalFormatting>
  <conditionalFormatting sqref="Y4:Y9 Y11">
    <cfRule type="expression" dxfId="234" priority="77">
      <formula>ABS(Y$7-Y$10)&gt;=1000</formula>
    </cfRule>
  </conditionalFormatting>
  <conditionalFormatting sqref="Z4:Z11">
    <cfRule type="expression" dxfId="233" priority="76">
      <formula>ABS(Z$7-Z$10)&gt;=1000</formula>
    </cfRule>
  </conditionalFormatting>
  <conditionalFormatting sqref="AA4:AA11">
    <cfRule type="expression" dxfId="232" priority="75">
      <formula>ABS(AA$7-AA$10)&gt;=1000</formula>
    </cfRule>
  </conditionalFormatting>
  <conditionalFormatting sqref="AB4:AB11">
    <cfRule type="expression" dxfId="231" priority="74">
      <formula>ABS(AB$7-AB$10)&gt;=1000</formula>
    </cfRule>
  </conditionalFormatting>
  <conditionalFormatting sqref="AC4 AC6:AC11">
    <cfRule type="expression" dxfId="230" priority="73">
      <formula>ABS(AC$7-AC$10)&gt;=1000</formula>
    </cfRule>
  </conditionalFormatting>
  <conditionalFormatting sqref="AD4:AD11">
    <cfRule type="expression" dxfId="229" priority="72">
      <formula>ABS(AD$7-AD$10)&gt;=1000</formula>
    </cfRule>
  </conditionalFormatting>
  <conditionalFormatting sqref="AE4 AE6:AE11">
    <cfRule type="expression" dxfId="228" priority="71">
      <formula>ABS(AE$7-AE$10)&gt;=1000</formula>
    </cfRule>
  </conditionalFormatting>
  <conditionalFormatting sqref="D13:D20">
    <cfRule type="expression" dxfId="227" priority="70">
      <formula>ABS(D$16-D$19)&gt;=1000</formula>
    </cfRule>
  </conditionalFormatting>
  <conditionalFormatting sqref="E13:E20">
    <cfRule type="expression" dxfId="226" priority="69">
      <formula>ABS(E$16-E$19)&gt;=1000</formula>
    </cfRule>
  </conditionalFormatting>
  <conditionalFormatting sqref="F13 F15:F20">
    <cfRule type="expression" dxfId="225" priority="68">
      <formula>ABS(F$16-F$19)&gt;=1000</formula>
    </cfRule>
  </conditionalFormatting>
  <conditionalFormatting sqref="G13:G20">
    <cfRule type="expression" dxfId="224" priority="67">
      <formula>ABS(G$16-G$19)&gt;=1000</formula>
    </cfRule>
  </conditionalFormatting>
  <conditionalFormatting sqref="H13:H20">
    <cfRule type="expression" dxfId="223" priority="66">
      <formula>ABS(H$16-H$19)&gt;=1000</formula>
    </cfRule>
  </conditionalFormatting>
  <conditionalFormatting sqref="I13:I20">
    <cfRule type="expression" dxfId="222" priority="65">
      <formula>ABS(I$16-I$19)&gt;=1000</formula>
    </cfRule>
  </conditionalFormatting>
  <conditionalFormatting sqref="J13:J20">
    <cfRule type="expression" dxfId="221" priority="64">
      <formula>ABS(J$16-J$19)&gt;=1000</formula>
    </cfRule>
  </conditionalFormatting>
  <conditionalFormatting sqref="L13:L20">
    <cfRule type="expression" dxfId="220" priority="63">
      <formula>ABS(L$16-L$19)&gt;=1000</formula>
    </cfRule>
  </conditionalFormatting>
  <conditionalFormatting sqref="M13 M15 M17:M18 M20">
    <cfRule type="expression" dxfId="219" priority="62">
      <formula>ABS(M$16-M$19)&gt;=1000</formula>
    </cfRule>
  </conditionalFormatting>
  <conditionalFormatting sqref="N13:N20">
    <cfRule type="expression" dxfId="218" priority="61">
      <formula>ABS(N$16-N$19)&gt;=1000</formula>
    </cfRule>
  </conditionalFormatting>
  <conditionalFormatting sqref="O13:O20">
    <cfRule type="expression" dxfId="217" priority="60">
      <formula>ABS(O$16-O$19)&gt;=1000</formula>
    </cfRule>
  </conditionalFormatting>
  <conditionalFormatting sqref="P13:P20">
    <cfRule type="expression" dxfId="216" priority="59">
      <formula>ABS(P$16-P$19)&gt;=1000</formula>
    </cfRule>
  </conditionalFormatting>
  <conditionalFormatting sqref="Q13 Q15:Q20">
    <cfRule type="expression" dxfId="215" priority="58">
      <formula>ABS(Q$16-Q$19)&gt;=1000</formula>
    </cfRule>
  </conditionalFormatting>
  <conditionalFormatting sqref="R13:R20">
    <cfRule type="expression" dxfId="214" priority="57">
      <formula>ABS(R$16-R$19)&gt;=1000</formula>
    </cfRule>
  </conditionalFormatting>
  <conditionalFormatting sqref="S13:S20">
    <cfRule type="expression" dxfId="213" priority="56">
      <formula>ABS(S$16-S$19)&gt;=1000</formula>
    </cfRule>
  </conditionalFormatting>
  <conditionalFormatting sqref="T13:T20">
    <cfRule type="expression" dxfId="212" priority="55">
      <formula>ABS(T$16-T$19)&gt;=1000</formula>
    </cfRule>
  </conditionalFormatting>
  <conditionalFormatting sqref="U13:U20">
    <cfRule type="expression" dxfId="211" priority="54">
      <formula>ABS(U$16-U$19)&gt;=1000</formula>
    </cfRule>
  </conditionalFormatting>
  <conditionalFormatting sqref="V13:V20">
    <cfRule type="expression" dxfId="210" priority="53">
      <formula>ABS(V$16-V$19)&gt;=1000</formula>
    </cfRule>
  </conditionalFormatting>
  <conditionalFormatting sqref="W13 W20 W15:W18">
    <cfRule type="expression" dxfId="209" priority="52">
      <formula>ABS(W$16-W$19)&gt;=1000</formula>
    </cfRule>
  </conditionalFormatting>
  <conditionalFormatting sqref="X13 X15:X20 Y19">
    <cfRule type="expression" dxfId="208" priority="51">
      <formula>ABS(X$16-X$19)&gt;=1000</formula>
    </cfRule>
  </conditionalFormatting>
  <conditionalFormatting sqref="Y13 Y15:Y18 Y20">
    <cfRule type="expression" dxfId="207" priority="50">
      <formula>ABS(Y$16-Y$19)&gt;=1000</formula>
    </cfRule>
  </conditionalFormatting>
  <conditionalFormatting sqref="Z13:Z20">
    <cfRule type="expression" dxfId="206" priority="49">
      <formula>ABS(Z$16-Z$19)&gt;=1000</formula>
    </cfRule>
  </conditionalFormatting>
  <conditionalFormatting sqref="AA13:AA20">
    <cfRule type="expression" dxfId="205" priority="48">
      <formula>ABS(AA$16-AA$19)&gt;=1000</formula>
    </cfRule>
  </conditionalFormatting>
  <conditionalFormatting sqref="AB13 AB15:AB20">
    <cfRule type="expression" dxfId="204" priority="47">
      <formula>ABS(AB$16-AB$19)&gt;=1000</formula>
    </cfRule>
  </conditionalFormatting>
  <conditionalFormatting sqref="AC13 AC15:AC20">
    <cfRule type="expression" dxfId="203" priority="46">
      <formula>ABS(AC$16-AC$19)&gt;=1000</formula>
    </cfRule>
  </conditionalFormatting>
  <conditionalFormatting sqref="AD13:AD20">
    <cfRule type="expression" dxfId="202" priority="45">
      <formula>ABS(AD$16-AD$19)&gt;=1000</formula>
    </cfRule>
  </conditionalFormatting>
  <conditionalFormatting sqref="AE13:AE20">
    <cfRule type="expression" dxfId="201" priority="44">
      <formula>ABS(AE$16-AE$19)&gt;=1000</formula>
    </cfRule>
  </conditionalFormatting>
  <conditionalFormatting sqref="D22:D29">
    <cfRule type="expression" dxfId="200" priority="43">
      <formula>ABS(D$25-D$28)&gt;=1000</formula>
    </cfRule>
  </conditionalFormatting>
  <conditionalFormatting sqref="E22:E29">
    <cfRule type="expression" dxfId="199" priority="42">
      <formula>ABS(E$25-E$28)&gt;=1000</formula>
    </cfRule>
  </conditionalFormatting>
  <conditionalFormatting sqref="F22:F29">
    <cfRule type="expression" dxfId="198" priority="41">
      <formula>ABS(F$25-F$28)&gt;=1000</formula>
    </cfRule>
  </conditionalFormatting>
  <conditionalFormatting sqref="G22:G29">
    <cfRule type="expression" dxfId="197" priority="40">
      <formula>ABS(G$25-G$28)&gt;=1000</formula>
    </cfRule>
  </conditionalFormatting>
  <conditionalFormatting sqref="H22:H29">
    <cfRule type="expression" dxfId="196" priority="39">
      <formula>ABS(H$25-H$28)&gt;=1000</formula>
    </cfRule>
  </conditionalFormatting>
  <conditionalFormatting sqref="I22 I24:I29">
    <cfRule type="expression" dxfId="195" priority="38">
      <formula>ABS(I$25-I$28)&gt;=1000</formula>
    </cfRule>
  </conditionalFormatting>
  <conditionalFormatting sqref="J22:J29 K22">
    <cfRule type="expression" dxfId="194" priority="37">
      <formula>ABS(J$25-J$28)&gt;=1000</formula>
    </cfRule>
  </conditionalFormatting>
  <conditionalFormatting sqref="K23:K29 L25 L28">
    <cfRule type="expression" dxfId="193" priority="36">
      <formula>ABS(K$25-K$28)&gt;=1000</formula>
    </cfRule>
  </conditionalFormatting>
  <conditionalFormatting sqref="L22 L26:L27 L29 L24">
    <cfRule type="expression" dxfId="192" priority="35">
      <formula>ABS(L$25-L$28)&gt;=1000</formula>
    </cfRule>
  </conditionalFormatting>
  <conditionalFormatting sqref="M22:M29">
    <cfRule type="expression" dxfId="191" priority="34">
      <formula>ABS(M$25-M$28)&gt;=1000</formula>
    </cfRule>
  </conditionalFormatting>
  <conditionalFormatting sqref="N22:N29">
    <cfRule type="expression" dxfId="190" priority="33">
      <formula>ABS(N$25-N$28)&gt;=1000</formula>
    </cfRule>
  </conditionalFormatting>
  <conditionalFormatting sqref="O22:O29">
    <cfRule type="expression" dxfId="189" priority="32">
      <formula>ABS(O$25-O$28)&gt;=1000</formula>
    </cfRule>
  </conditionalFormatting>
  <conditionalFormatting sqref="P22:P29">
    <cfRule type="expression" dxfId="188" priority="31">
      <formula>ABS(P$25-P$28)&gt;=1000</formula>
    </cfRule>
  </conditionalFormatting>
  <conditionalFormatting sqref="Q22:Q29">
    <cfRule type="expression" dxfId="187" priority="30">
      <formula>ABS(Q$25-Q$28)&gt;=1000</formula>
    </cfRule>
  </conditionalFormatting>
  <conditionalFormatting sqref="R22:R29">
    <cfRule type="expression" dxfId="186" priority="29">
      <formula>ABS(R$25-R$28)&gt;=1000</formula>
    </cfRule>
  </conditionalFormatting>
  <conditionalFormatting sqref="S22:S29">
    <cfRule type="expression" dxfId="185" priority="28">
      <formula>ABS(S$25-S$28)&gt;=1000</formula>
    </cfRule>
  </conditionalFormatting>
  <conditionalFormatting sqref="T22:T29">
    <cfRule type="expression" dxfId="184" priority="27">
      <formula>ABS(T$25-T$28)&gt;=1000</formula>
    </cfRule>
  </conditionalFormatting>
  <conditionalFormatting sqref="U22:U29">
    <cfRule type="expression" dxfId="183" priority="26">
      <formula>ABS(U$25-U$28)&gt;=1000</formula>
    </cfRule>
  </conditionalFormatting>
  <conditionalFormatting sqref="V22:V29">
    <cfRule type="expression" dxfId="182" priority="25">
      <formula>ABS(V$25-V$28)&gt;=1000</formula>
    </cfRule>
  </conditionalFormatting>
  <conditionalFormatting sqref="W22:W29">
    <cfRule type="expression" dxfId="181" priority="24">
      <formula>ABS(W$25-W$28)&gt;=1000</formula>
    </cfRule>
  </conditionalFormatting>
  <conditionalFormatting sqref="X22:X29">
    <cfRule type="expression" dxfId="180" priority="23">
      <formula>ABS(X$25-X$28)&gt;=1000</formula>
    </cfRule>
  </conditionalFormatting>
  <conditionalFormatting sqref="Y22:Y29">
    <cfRule type="expression" dxfId="179" priority="22">
      <formula>ABS(Y$25-Y$28)&gt;=1000</formula>
    </cfRule>
  </conditionalFormatting>
  <conditionalFormatting sqref="I23">
    <cfRule type="expression" dxfId="178" priority="21">
      <formula>ABS(I$25-I$28)&gt;=1000</formula>
    </cfRule>
  </conditionalFormatting>
  <conditionalFormatting sqref="Q14">
    <cfRule type="expression" dxfId="177" priority="20">
      <formula>ABS(Q$16-Q$19)&gt;=1000</formula>
    </cfRule>
  </conditionalFormatting>
  <conditionalFormatting sqref="W14">
    <cfRule type="expression" dxfId="176" priority="19">
      <formula>ABS(W$16-W$19)&gt;=1000</formula>
    </cfRule>
  </conditionalFormatting>
  <conditionalFormatting sqref="Y14">
    <cfRule type="expression" dxfId="175" priority="18">
      <formula>ABS(Y$16-Y$19)&gt;=1000</formula>
    </cfRule>
  </conditionalFormatting>
  <conditionalFormatting sqref="X14">
    <cfRule type="expression" dxfId="174" priority="17">
      <formula>ABS(X$16-X$19)&gt;=1000</formula>
    </cfRule>
  </conditionalFormatting>
  <conditionalFormatting sqref="T10:Y10">
    <cfRule type="expression" dxfId="173" priority="16">
      <formula>ABS(T$7-T$10)&gt;=1000</formula>
    </cfRule>
  </conditionalFormatting>
  <conditionalFormatting sqref="W19">
    <cfRule type="expression" dxfId="172" priority="15">
      <formula>ABS(W$16-W$19)&gt;=1000</formula>
    </cfRule>
  </conditionalFormatting>
  <conditionalFormatting sqref="AC5">
    <cfRule type="expression" dxfId="171" priority="14">
      <formula>ABS(AC$7-AC$10)&gt;=1000</formula>
    </cfRule>
  </conditionalFormatting>
  <conditionalFormatting sqref="M14">
    <cfRule type="expression" dxfId="170" priority="13">
      <formula>ABS(M$16-M$19)&gt;=1000</formula>
    </cfRule>
  </conditionalFormatting>
  <conditionalFormatting sqref="M16">
    <cfRule type="expression" dxfId="169" priority="12">
      <formula>ABS(M$16-M$19)&gt;=1000</formula>
    </cfRule>
  </conditionalFormatting>
  <conditionalFormatting sqref="M19">
    <cfRule type="expression" dxfId="168" priority="11">
      <formula>ABS(M$16-M$19)&gt;=1000</formula>
    </cfRule>
  </conditionalFormatting>
  <conditionalFormatting sqref="K13:K20">
    <cfRule type="expression" dxfId="167" priority="10">
      <formula>ABS(K$16-K$19)&gt;=1000</formula>
    </cfRule>
  </conditionalFormatting>
  <conditionalFormatting sqref="E5">
    <cfRule type="expression" dxfId="166" priority="9">
      <formula>ABS(E$7-E$10)&gt;=1000</formula>
    </cfRule>
  </conditionalFormatting>
  <conditionalFormatting sqref="AB14:AC14">
    <cfRule type="expression" dxfId="165" priority="8">
      <formula>ABS(AB$16-AB$19)&gt;=1000</formula>
    </cfRule>
  </conditionalFormatting>
  <conditionalFormatting sqref="M5">
    <cfRule type="expression" dxfId="164" priority="7">
      <formula>ABS(M$7-M$10)&gt;=1000</formula>
    </cfRule>
  </conditionalFormatting>
  <conditionalFormatting sqref="N5">
    <cfRule type="expression" dxfId="163" priority="6">
      <formula>ABS(N$7-N$10)&gt;=1000</formula>
    </cfRule>
  </conditionalFormatting>
  <conditionalFormatting sqref="O5">
    <cfRule type="expression" dxfId="162" priority="5">
      <formula>ABS(O$7-O$10)&gt;=1000</formula>
    </cfRule>
  </conditionalFormatting>
  <conditionalFormatting sqref="P5">
    <cfRule type="expression" dxfId="161" priority="4">
      <formula>ABS(P$7-P$10)&gt;=1000</formula>
    </cfRule>
  </conditionalFormatting>
  <conditionalFormatting sqref="L23">
    <cfRule type="expression" dxfId="160" priority="3">
      <formula>ABS(L$25-L$28)&gt;=1000</formula>
    </cfRule>
  </conditionalFormatting>
  <conditionalFormatting sqref="F14">
    <cfRule type="expression" dxfId="159" priority="2">
      <formula>ABS(F$16-F$19)&gt;=1000</formula>
    </cfRule>
  </conditionalFormatting>
  <conditionalFormatting sqref="AE5">
    <cfRule type="expression" dxfId="15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83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4">
    <pageSetUpPr fitToPage="1"/>
  </sheetPr>
  <dimension ref="A1:CU223"/>
  <sheetViews>
    <sheetView tabSelected="1" view="pageBreakPreview" topLeftCell="A13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45961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6786</v>
      </c>
      <c r="E6" s="71">
        <v>4634</v>
      </c>
      <c r="F6" s="71">
        <v>6458</v>
      </c>
      <c r="G6" s="71">
        <v>1264</v>
      </c>
      <c r="H6" s="71">
        <v>5227</v>
      </c>
      <c r="I6" s="71">
        <v>59.04</v>
      </c>
      <c r="J6" s="71">
        <v>6.99</v>
      </c>
      <c r="K6" s="71">
        <v>8.59</v>
      </c>
      <c r="L6" s="71">
        <v>27.88</v>
      </c>
      <c r="M6" s="71">
        <v>1246</v>
      </c>
      <c r="N6" s="71">
        <v>2504</v>
      </c>
      <c r="O6" s="71">
        <v>105</v>
      </c>
      <c r="P6" s="71">
        <v>2559</v>
      </c>
      <c r="Q6" s="71">
        <v>6761</v>
      </c>
      <c r="R6" s="71">
        <v>6645</v>
      </c>
      <c r="S6" s="71">
        <v>5544</v>
      </c>
      <c r="T6" s="71">
        <v>7262</v>
      </c>
      <c r="U6" s="71">
        <v>494</v>
      </c>
      <c r="V6" s="71">
        <v>0</v>
      </c>
      <c r="W6" s="71">
        <v>0</v>
      </c>
      <c r="X6" s="71">
        <v>3542</v>
      </c>
      <c r="Y6" s="71">
        <v>7118</v>
      </c>
      <c r="Z6" s="71">
        <v>2017</v>
      </c>
      <c r="AA6" s="71">
        <v>2721</v>
      </c>
      <c r="AB6" s="71">
        <v>2273</v>
      </c>
      <c r="AC6" s="71">
        <v>553</v>
      </c>
      <c r="AD6" s="71">
        <v>5056</v>
      </c>
      <c r="AE6" s="71">
        <v>2040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213351.14110986001</v>
      </c>
      <c r="E7" s="73" ph="1">
        <f>E6*51.53*LOOKUP(E8,密度!$A$2:$A$50,密度!$B$2:$B$50)</f>
        <v>186160.69959200002</v>
      </c>
      <c r="F7" s="73" ph="1">
        <f>F6*33.183*LOOKUP(F8,密度!$A$2:$A$50,密度!$C$2:$C$50)</f>
        <v>237782.63521439998</v>
      </c>
      <c r="G7" s="73" ph="1">
        <f xml:space="preserve"> (G6+2)*51.53*LOOKUP(G8,密度!$A$2:$A$50,密度!$B$2:$B$50)</f>
        <v>50917.462890000003</v>
      </c>
      <c r="H7" s="73" ph="1">
        <f>(H6)*51.53*LOOKUP(H8,密度!$A$2:$A$50,密度!$B$2:$B$50)</f>
        <v>211195.225771</v>
      </c>
      <c r="I7" s="73" ph="1">
        <f>I6*290.8*1.0267</f>
        <v>17627.2398144</v>
      </c>
      <c r="J7" s="73" ph="1">
        <f>J6*290.8*0.7892</f>
        <v>1604.2005264000002</v>
      </c>
      <c r="K7" s="73" ph="1">
        <f>K6*290.8*1.1126</f>
        <v>2779.2436472000004</v>
      </c>
      <c r="L7" s="73" ph="1">
        <f>L6*290.8*0.777</f>
        <v>6299.530608</v>
      </c>
      <c r="M7" s="73" ph="1">
        <f>M6*33.183*LOOKUP(M8,密度!$A$2:$A$50,密度!$D$2:$D$50)</f>
        <v>42449.956680599993</v>
      </c>
      <c r="N7" s="73" ph="1">
        <f>N6*33.183*LOOKUP(N8,密度!$A$2:$A$50,密度!$E$2:$E$50)</f>
        <v>64984.870447200003</v>
      </c>
      <c r="O7" s="73" ph="1">
        <f>O6*20.428*LOOKUP(O8,密度!$A$2:$A$50,密度!$C$2:$C$50)</f>
        <v>2375.306556</v>
      </c>
      <c r="P7" s="73" ph="1">
        <f>P6*51.53*LOOKUP(P8,密度!$A$2:$A$50,密度!$B$2:$B$50)</f>
        <v>103039.52197799999</v>
      </c>
      <c r="Q7" s="73" ph="1">
        <f>Q6*1.5*1.5*3.1416*LOOKUP(W8,密度!$A$2:$A$50,密度!$L$2:$L$50)</f>
        <v>44827.774714799991</v>
      </c>
      <c r="R7" s="73" ph="1">
        <f>R6*1.5*1.5*3.1416*LOOKUP(R8,密度!$A$2:$A$50,密度!$L$2:$L$50)</f>
        <v>43776.829404000004</v>
      </c>
      <c r="S7" s="73" ph="1">
        <f>S6*1.5*1.5*3.1416*LOOKUP(S8,密度!$A$2:$A$50,密度!$L$2:$L$50)</f>
        <v>36876.207614399995</v>
      </c>
      <c r="T7" s="73" ph="1">
        <f>T6*1.5*1.5*3.1416*LOOKUP(T8,密度!$A$2:$A$50,密度!$L$2:$L$50)</f>
        <v>48354.907154399996</v>
      </c>
      <c r="U7" s="73" ph="1">
        <f>U6*1.5*1.5*3.1416*LOOKUP(U8,密度!$A$2:$A$50,密度!$L$2:$L$50)</f>
        <v>3271.8994308000001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23684.984215199998</v>
      </c>
      <c r="Y7" s="73" ph="1">
        <f>Y6*1.5*1.5*3.1416*LOOKUP(Y8,密度!$A$2:$A$50,密度!$L$2:$L$50)</f>
        <v>47194.808522399995</v>
      </c>
      <c r="Z7" s="73" ph="1">
        <f>Z6*33.183*LOOKUP(Z8,密度!$A$2:$A$50,密度!$L$2:$L$50)</f>
        <v>62981.234451000004</v>
      </c>
      <c r="AA7" s="73" ph="1">
        <f>AA6*33.183*LOOKUP(AA8,密度!$A$2:$A$50,密度!$D$2:$D$50)</f>
        <v>92782.973026799998</v>
      </c>
      <c r="AB7" s="73" ph="1">
        <f>AB6*20.428*LOOKUP(AB8,密度!$A$2:$A$50,密度!$D$2:$D$50)</f>
        <v>48006.917411600007</v>
      </c>
      <c r="AC7" s="73" ph="1">
        <f>AC6*51.53*LOOKUP(AC8,密度!$A$2:$A$50,密度!$Q$2:$Q$50)</f>
        <v>27062.451712100003</v>
      </c>
      <c r="AD7" s="73" ph="1">
        <f>AD6*20.428*LOOKUP(AD8,密度!$A$2:$A$50,密度!$V$2:$V$50)</f>
        <v>98904.727756800014</v>
      </c>
      <c r="AE7" s="73" ph="1">
        <f>AE6*20.428</f>
        <v>41673.120000000003</v>
      </c>
    </row>
    <row r="8" spans="1:99" ph="1">
      <c r="B8" s="241" ph="1"/>
      <c r="C8" s="68" t="s" ph="1">
        <v>179</v>
      </c>
      <c r="D8" s="74">
        <v>24</v>
      </c>
      <c r="E8" s="74">
        <v>25</v>
      </c>
      <c r="F8" s="74">
        <v>24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27</v>
      </c>
      <c r="P8" s="74">
        <v>23</v>
      </c>
      <c r="Q8" s="74">
        <v>25</v>
      </c>
      <c r="R8" s="74">
        <v>30</v>
      </c>
      <c r="S8" s="74">
        <v>21</v>
      </c>
      <c r="T8" s="74">
        <v>20</v>
      </c>
      <c r="U8" s="74">
        <v>25</v>
      </c>
      <c r="V8" s="74">
        <v>27</v>
      </c>
      <c r="W8" s="74">
        <v>24</v>
      </c>
      <c r="X8" s="74">
        <v>16</v>
      </c>
      <c r="Y8" s="74">
        <v>24</v>
      </c>
      <c r="Z8" s="74">
        <v>21</v>
      </c>
      <c r="AA8" s="74">
        <v>24</v>
      </c>
      <c r="AB8" s="74">
        <v>17</v>
      </c>
      <c r="AC8" s="74">
        <v>21</v>
      </c>
      <c r="AD8" s="74">
        <v>26</v>
      </c>
      <c r="AE8" s="74">
        <v>30</v>
      </c>
    </row>
    <row r="9" spans="1:99" ht="26.4" ph="1">
      <c r="B9" s="241" ph="1">
        <v>0.66666666666666663</v>
      </c>
      <c r="C9" s="163" t="s" ph="1">
        <v>180</v>
      </c>
      <c r="D9" s="71">
        <v>6790</v>
      </c>
      <c r="E9" s="71">
        <v>4932</v>
      </c>
      <c r="F9" s="71">
        <v>6459</v>
      </c>
      <c r="G9" s="71">
        <v>3003</v>
      </c>
      <c r="H9" s="71">
        <v>5231</v>
      </c>
      <c r="I9" s="71">
        <v>10.66</v>
      </c>
      <c r="J9" s="71">
        <v>7.07</v>
      </c>
      <c r="K9" s="71">
        <v>8.61</v>
      </c>
      <c r="L9" s="71">
        <v>10.17</v>
      </c>
      <c r="M9" s="71">
        <v>1923</v>
      </c>
      <c r="N9" s="71">
        <v>2505</v>
      </c>
      <c r="O9" s="71">
        <v>103</v>
      </c>
      <c r="P9" s="71">
        <v>2168</v>
      </c>
      <c r="Q9" s="71">
        <v>6766</v>
      </c>
      <c r="R9" s="71">
        <v>6650</v>
      </c>
      <c r="S9" s="71">
        <v>5547</v>
      </c>
      <c r="T9" s="71">
        <v>7268</v>
      </c>
      <c r="U9" s="71">
        <v>2641</v>
      </c>
      <c r="V9" s="71">
        <v>4613</v>
      </c>
      <c r="W9" s="71">
        <v>0</v>
      </c>
      <c r="X9" s="71">
        <v>0</v>
      </c>
      <c r="Y9" s="71">
        <v>5825</v>
      </c>
      <c r="Z9" s="71">
        <v>484</v>
      </c>
      <c r="AA9" s="71">
        <v>2924</v>
      </c>
      <c r="AB9" s="71">
        <v>2149</v>
      </c>
      <c r="AC9" s="71">
        <v>875</v>
      </c>
      <c r="AD9" s="71">
        <v>5085</v>
      </c>
      <c r="AE9" s="71">
        <v>2342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213312.42252180001</v>
      </c>
      <c r="E10" s="73" ph="1">
        <f>E9*51.53*LOOKUP(E11,密度!$A$2:$A$50,密度!$B$2:$B$50)</f>
        <v>197903.45905199999</v>
      </c>
      <c r="F10" s="73" ph="1">
        <f>F9*33.183*LOOKUP(F11,密度!$A$2:$A$50,密度!$C$2:$C$50)</f>
        <v>237819.45507119998</v>
      </c>
      <c r="G10" s="73" ph="1">
        <f xml:space="preserve"> (G9+2)*51.53*LOOKUP(G11,密度!$A$2:$A$50,密度!$B$2:$B$50)</f>
        <v>120719.22793999998</v>
      </c>
      <c r="H10" s="73" ph="1">
        <f>(H9)*51.53*LOOKUP(H11,密度!$A$2:$A$50,密度!$B$2:$B$50)</f>
        <v>210871.648289</v>
      </c>
      <c r="I10" s="73" ph="1">
        <f>I9*290.8*1.0267</f>
        <v>3182.6960776000001</v>
      </c>
      <c r="J10" s="73" ph="1">
        <f>J9*290.8*0.7892</f>
        <v>1622.5604752000002</v>
      </c>
      <c r="K10" s="73" ph="1">
        <f>K9*290.8*1.1126</f>
        <v>2785.7145288000002</v>
      </c>
      <c r="L10" s="73" ph="1">
        <f>L9*290.8*0.777</f>
        <v>2297.927772</v>
      </c>
      <c r="M10" s="73" ph="1">
        <f>M9*33.183*LOOKUP(M11,密度!$A$2:$A$50,密度!$D$2:$D$50)</f>
        <v>65457.230452200005</v>
      </c>
      <c r="N10" s="73" ph="1">
        <f>N9*33.183*LOOKUP(N11,密度!$A$2:$A$50,密度!$E$2:$E$50)</f>
        <v>65010.822871499993</v>
      </c>
      <c r="O10" s="73" ph="1">
        <f>O9*20.428*LOOKUP(O11,密度!$A$2:$A$50,密度!$C$2:$C$50)</f>
        <v>2323.1191444000006</v>
      </c>
      <c r="P10" s="73" ph="1">
        <f>P9*51.53*LOOKUP(P11,密度!$A$2:$A$50,密度!$B$2:$B$50)</f>
        <v>86904.685416000008</v>
      </c>
      <c r="Q10" s="73" ph="1">
        <f>Q9*1.5*1.5*3.1416*LOOKUP(W11,密度!$A$2:$A$50,密度!$L$2:$L$50)</f>
        <v>44334.8388252</v>
      </c>
      <c r="R10" s="73" ph="1">
        <f>R9*1.5*1.5*3.1416*LOOKUP(R11,密度!$A$2:$A$50,密度!$L$2:$L$50)</f>
        <v>43762.762890000005</v>
      </c>
      <c r="S10" s="73" ph="1">
        <f>S9*1.5*1.5*3.1416*LOOKUP(S11,密度!$A$2:$A$50,密度!$L$2:$L$50)</f>
        <v>36856.952747999996</v>
      </c>
      <c r="T10" s="73" ph="1">
        <f>T9*1.5*1.5*3.1416*LOOKUP(T11,密度!$A$2:$A$50,密度!$L$2:$L$50)</f>
        <v>48292.109711999998</v>
      </c>
      <c r="U10" s="73" ph="1">
        <f>U9*1.5*1.5*3.1416*LOOKUP(U11,密度!$A$2:$A$50,密度!$L$2:$L$50)</f>
        <v>17492.077726199997</v>
      </c>
      <c r="V10" s="73" ph="1">
        <f>V9*1.5*1.5*3.1416*LOOKUP(V11,密度!$A$2:$A$50,密度!$L$2:$L$50)</f>
        <v>30487.967433000002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38580.595515000001</v>
      </c>
      <c r="Z10" s="73" ph="1">
        <f>Z9*33.183*LOOKUP(Z11,密度!$A$2:$A$50,密度!$L$2:$L$50)</f>
        <v>15112.998251999999</v>
      </c>
      <c r="AA10" s="73" ph="1">
        <f>AA9*33.183*LOOKUP(AA11,密度!$A$2:$A$50,密度!$D$2:$D$50)</f>
        <v>99617.715356400004</v>
      </c>
      <c r="AB10" s="73" ph="1">
        <f>AB9*20.428*LOOKUP(AB11,密度!$A$2:$A$50,密度!$D$2:$D$50)</f>
        <v>45352.854453200001</v>
      </c>
      <c r="AC10" s="73" ph="1">
        <f>AC9*51.53*LOOKUP(AC11,密度!$A$2:$A$50,密度!$Q$2:$Q$50)</f>
        <v>42720.237962500003</v>
      </c>
      <c r="AD10" s="73" ph="1">
        <f>AD9*20.428*LOOKUP(AD11,密度!$A$2:$A$50,密度!$V$2:$V$50)</f>
        <v>99472.021487999998</v>
      </c>
      <c r="AE10" s="73" ph="1">
        <f>AE9*20.428</f>
        <v>47842.376000000004</v>
      </c>
    </row>
    <row r="11" spans="1:99" ph="1">
      <c r="A11" s="64" t="s" ph="1">
        <v>162</v>
      </c>
      <c r="B11" s="241" ph="1"/>
      <c r="C11" s="163" t="s" ph="1">
        <v>179</v>
      </c>
      <c r="D11" s="74">
        <v>25</v>
      </c>
      <c r="E11" s="74">
        <v>26</v>
      </c>
      <c r="F11" s="74">
        <v>24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31</v>
      </c>
      <c r="P11" s="74">
        <v>27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35</v>
      </c>
      <c r="X11" s="74">
        <v>23</v>
      </c>
      <c r="Y11" s="74">
        <v>25</v>
      </c>
      <c r="Z11" s="74">
        <v>21</v>
      </c>
      <c r="AA11" s="74">
        <v>25</v>
      </c>
      <c r="AB11" s="74">
        <v>18</v>
      </c>
      <c r="AC11" s="74">
        <v>24</v>
      </c>
      <c r="AD11" s="74">
        <v>26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77" t="s" ph="1">
        <v>642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637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636</v>
      </c>
      <c r="AC14" s="77" t="s" ph="1">
        <v>638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5965</v>
      </c>
      <c r="E15" s="78">
        <v>3069</v>
      </c>
      <c r="F15" s="78">
        <v>4232</v>
      </c>
      <c r="G15" s="78">
        <v>4176</v>
      </c>
      <c r="H15" s="78">
        <v>0</v>
      </c>
      <c r="I15" s="78">
        <v>1617</v>
      </c>
      <c r="J15" s="78">
        <v>736</v>
      </c>
      <c r="K15" s="78">
        <v>4682</v>
      </c>
      <c r="L15" s="78">
        <v>3966</v>
      </c>
      <c r="M15" s="78">
        <v>6233</v>
      </c>
      <c r="N15" s="78">
        <v>379</v>
      </c>
      <c r="O15" s="78">
        <v>6398</v>
      </c>
      <c r="P15" s="78">
        <v>6942</v>
      </c>
      <c r="Q15" s="78">
        <v>1612</v>
      </c>
      <c r="R15" s="78">
        <v>1835</v>
      </c>
      <c r="S15" s="78">
        <v>6193</v>
      </c>
      <c r="T15" s="78">
        <v>2415</v>
      </c>
      <c r="U15" s="78">
        <v>5903</v>
      </c>
      <c r="V15" s="78">
        <v>4942</v>
      </c>
      <c r="W15" s="71">
        <v>5045</v>
      </c>
      <c r="X15" s="78">
        <v>851</v>
      </c>
      <c r="Y15" s="106">
        <v>-2365</v>
      </c>
      <c r="Z15" s="78">
        <v>0</v>
      </c>
      <c r="AA15" s="78">
        <v>9</v>
      </c>
      <c r="AB15" s="78" ph="1">
        <v>1095</v>
      </c>
      <c r="AC15" s="78" ph="1">
        <v>2144</v>
      </c>
      <c r="AD15" s="78">
        <v>84.1</v>
      </c>
      <c r="AE15" s="78">
        <v>54.42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39507.854463000003</v>
      </c>
      <c r="E16" s="73" ph="1">
        <f>E15*7.0686*LOOKUP(E17,密度!$A$2:$A$50,密度!$L$2:$L$50)</f>
        <v>20326.840795800003</v>
      </c>
      <c r="F16" s="73" ph="1">
        <f>F15*9.0746*LOOKUP(F17,密度!$A$2:$A$50,密度!$L$2:$L$50)</f>
        <v>35753.851403200009</v>
      </c>
      <c r="G16" s="73" ph="1">
        <f>G15*9.0746*LOOKUP(G17,密度!$A$2:$A$50,密度!$B$2:$B$50)</f>
        <v>29577.460852799999</v>
      </c>
      <c r="H16" s="73" ph="1">
        <f>H15*9.0746*LOOKUP(H17,密度!$A$2:$A$50,密度!$L$2:$L$50)</f>
        <v>0</v>
      </c>
      <c r="I16" s="73" ph="1">
        <f>I15*9.0746*LOOKUP(I17,密度!$A$2:$A$50,密度!$U$2:$U$50)</f>
        <v>15055.142533200002</v>
      </c>
      <c r="J16" s="73" ph="1">
        <f>J15*9.0746*LOOKUP(J17,密度!$A$2:$A$50,密度!$L$2:$L$50)</f>
        <v>6258.1345472000003</v>
      </c>
      <c r="K16" s="73" ph="1">
        <f>K15*9.0746*LOOKUP(K17,密度!$A$2:$A$50,密度!$C$2:$C$50)</f>
        <v>47016.420949520005</v>
      </c>
      <c r="L16" s="73" ph="1">
        <f>L15*9.0746*LOOKUP(L17,密度!$A$2:$A$50,密度!$E$2:$E$50)</f>
        <v>28187.261171520004</v>
      </c>
      <c r="M16" s="73" ph="1">
        <f>M15*9.0746*LOOKUP(M17,密度!$A$2:$A$50,密度!$M$2:$M$50)</f>
        <v>49440.828291379999</v>
      </c>
      <c r="N16" s="73" ph="1">
        <f>N15*9.0746*LOOKUP(N17,密度!$A$2:$A$50,密度!$M$2:$M$50)</f>
        <v>3019.6820452000002</v>
      </c>
      <c r="O16" s="73" ph="1">
        <f>O15*9.0746*LOOKUP(O17,密度!$A$2:$A$50,密度!$G$2:$G$50)</f>
        <v>55748.531026160003</v>
      </c>
      <c r="P16" s="73" ph="1">
        <f ca="1">P15*9.0746*LOOKUP(P17,密度!$A$2:$A$51,密度!$Q$2:$Q$50)</f>
        <v>59640.712993368004</v>
      </c>
      <c r="Q16" s="73" ph="1">
        <f>Q15*9.0746*LOOKUP(Q17,密度!$A$2:$A$50,密度!$Q$2:$Q$50)</f>
        <v>13849.154328048</v>
      </c>
      <c r="R16" s="73" ph="1">
        <f>MAX(R15*9.0746*LOOKUP(R17,密度!$A$2:$A$50,密度!$B$2:$B$50),0)</f>
        <v>12966.827521699999</v>
      </c>
      <c r="S16" s="73" ph="1">
        <f>S15*9.0746*LOOKUP(S17,密度!$A$2:$A$50,密度!$Q$2:$Q$50)</f>
        <v>53246.864445566003</v>
      </c>
      <c r="T16" s="73" ph="1">
        <f>T15*9.0746*LOOKUP(T17,密度!$A$2:$A$50,密度!$O$2:$O$50)</f>
        <v>20293.437234000001</v>
      </c>
      <c r="U16" s="73" ph="1">
        <f>U15*9.0746*LOOKUP(U17,密度!$A$2:$A$50,密度!$H$2:$H$50)</f>
        <v>49105.202395459994</v>
      </c>
      <c r="V16" s="73" ph="1">
        <f>MAX(5600*LOOKUP(V17,密度!$A$2:$A$50,密度!$Q$2:$Q$50)+V15*9.0476*LOOKUP(V17,密度!$A$2:$A$50,密度!$Q$2:$Q$50),0)</f>
        <v>47562.111280543999</v>
      </c>
      <c r="W16" s="73" ph="1">
        <f>MAX(5600*LOOKUP(W17,密度!$A$2:$A$50,密度!$Q$2:$Q$50)+W15*9.0476*LOOKUP(W17,密度!$A$2:$A$50,密度!$Q$2:$Q$50),0)</f>
        <v>48443.057635439996</v>
      </c>
      <c r="X16" s="73" ph="1">
        <f>MAX(5600*LOOKUP(X17,密度!$A$2:$A$50,密度!$I$2:$I$50)+X15*9.0476*LOOKUP(X17,密度!$A$2:$A$50,密度!$I$2:$I$50),0)</f>
        <v>13844.787411599998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63.818031960000006</v>
      </c>
      <c r="AB16" s="73" ph="1">
        <f>AB15*9.0746*LOOKUP(AB17,密度!$A$2:$A$50,密度!$L$2:$L$50)</f>
        <v>9310.6757190000008</v>
      </c>
      <c r="AC16" s="73" ph="1">
        <f>AC15*9.0746*LOOKUP(AC17,密度!$A$2:$A$50,密度!$L$2:$L$50)</f>
        <v>18269.129913599998</v>
      </c>
      <c r="AD16" s="73" ph="1">
        <f>AD15*268.68*LOOKUP(AD17,密度!$A$2:$A$50,密度!B2:B50)+IF(AD15&lt;=0,0,1566*LOOKUP(AD17,密度!$A$2:$A$50,密度!B2:B50))</f>
        <v>18836.685844799995</v>
      </c>
      <c r="AE16" s="73" ph="1">
        <f>AE15*268.68*LOOKUP(AE17,密度!$A$2:$A$50,密度!B2:B50)+IF(AE15&lt;=0,0,1566*LOOKUP(AE17,密度!$A$2:$A$50,密度!B2:B50))</f>
        <v>12619.826141760001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25</v>
      </c>
      <c r="E17" s="74">
        <v>25</v>
      </c>
      <c r="F17" s="74">
        <v>31</v>
      </c>
      <c r="G17" s="74">
        <v>24</v>
      </c>
      <c r="H17" s="74">
        <v>20</v>
      </c>
      <c r="I17" s="74">
        <v>24</v>
      </c>
      <c r="J17" s="74">
        <v>25</v>
      </c>
      <c r="K17" s="74">
        <v>28</v>
      </c>
      <c r="L17" s="74">
        <v>25</v>
      </c>
      <c r="M17" s="74">
        <v>26</v>
      </c>
      <c r="N17" s="74">
        <v>22</v>
      </c>
      <c r="O17" s="74">
        <v>25</v>
      </c>
      <c r="P17" s="74">
        <v>25</v>
      </c>
      <c r="Q17" s="74">
        <v>25</v>
      </c>
      <c r="R17" s="74">
        <v>26</v>
      </c>
      <c r="S17" s="74">
        <v>24</v>
      </c>
      <c r="T17" s="74">
        <v>25</v>
      </c>
      <c r="U17" s="74">
        <v>23</v>
      </c>
      <c r="V17" s="74">
        <v>27</v>
      </c>
      <c r="W17" s="74">
        <v>27</v>
      </c>
      <c r="X17" s="74">
        <v>26</v>
      </c>
      <c r="Y17" s="108">
        <v>26</v>
      </c>
      <c r="Z17" s="74">
        <v>25</v>
      </c>
      <c r="AA17" s="74">
        <v>23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5974</v>
      </c>
      <c r="E18" s="71">
        <v>2479</v>
      </c>
      <c r="F18" s="71">
        <v>1927</v>
      </c>
      <c r="G18" s="71">
        <v>4222</v>
      </c>
      <c r="H18" s="71">
        <v>0</v>
      </c>
      <c r="I18" s="71">
        <v>1618</v>
      </c>
      <c r="J18" s="71">
        <v>736</v>
      </c>
      <c r="K18" s="71">
        <v>4783</v>
      </c>
      <c r="L18" s="71">
        <v>3971</v>
      </c>
      <c r="M18" s="71">
        <v>6498</v>
      </c>
      <c r="N18" s="71">
        <v>1269</v>
      </c>
      <c r="O18" s="71">
        <v>6405</v>
      </c>
      <c r="P18" s="71">
        <v>6952</v>
      </c>
      <c r="Q18" s="71">
        <v>1613</v>
      </c>
      <c r="R18" s="71">
        <v>417</v>
      </c>
      <c r="S18" s="71">
        <v>6198</v>
      </c>
      <c r="T18" s="71">
        <v>2415</v>
      </c>
      <c r="U18" s="71">
        <v>5906</v>
      </c>
      <c r="V18" s="71">
        <v>4942</v>
      </c>
      <c r="W18" s="71">
        <v>5044</v>
      </c>
      <c r="X18" s="71">
        <v>850</v>
      </c>
      <c r="Y18" s="109">
        <v>-2304</v>
      </c>
      <c r="Z18" s="71">
        <v>0</v>
      </c>
      <c r="AA18" s="71">
        <v>9</v>
      </c>
      <c r="AB18" s="71">
        <v>1095</v>
      </c>
      <c r="AC18" s="71">
        <v>2146</v>
      </c>
      <c r="AD18" s="71">
        <v>0</v>
      </c>
      <c r="AE18" s="71">
        <v>84.68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39440.780517600004</v>
      </c>
      <c r="E19" s="73" ph="1">
        <f>E18*7.0686*LOOKUP(E20,密度!$A$2:$A$50,密度!$L$2:$L$50)</f>
        <v>16366.5374796</v>
      </c>
      <c r="F19" s="73" ph="1">
        <f>F18*9.0746*LOOKUP(F20,密度!$A$2:$A$50,密度!$L$2:$L$50)</f>
        <v>16297.6549144</v>
      </c>
      <c r="G19" s="73" ph="1">
        <f>G18*9.0746*LOOKUP(G20,密度!$A$2:$A$50,密度!$B$2:$B$50)</f>
        <v>29868.784551519995</v>
      </c>
      <c r="H19" s="73" ph="1">
        <f>H18*9.0746*LOOKUP(H20,密度!$A$2:$A$50,密度!$L$2:$L$50)</f>
        <v>0</v>
      </c>
      <c r="I19" s="73" ph="1">
        <f>I18*9.0746*LOOKUP(I20,密度!$A$2:$A$50,密度!$U$2:$U$50)</f>
        <v>15035.087667200001</v>
      </c>
      <c r="J19" s="73" ph="1">
        <f>J18*9.0746*LOOKUP(J20,密度!$A$2:$A$50,密度!$L$2:$L$50)</f>
        <v>6244.7767360000007</v>
      </c>
      <c r="K19" s="73" ph="1">
        <f>K18*9.0746*LOOKUP(K20,密度!$A$2:$A$50,密度!$C$2:$C$50)</f>
        <v>48030.658137880004</v>
      </c>
      <c r="L19" s="73" ph="1">
        <f>L18*9.0746*LOOKUP(L20,密度!$A$2:$A$50,密度!$E$2:$E$50)</f>
        <v>28183.158544860005</v>
      </c>
      <c r="M19" s="73" ph="1">
        <f>M18*9.0746*LOOKUP(M20,密度!$A$2:$A$50,密度!$M$2:$M$50)</f>
        <v>51419.006697600002</v>
      </c>
      <c r="N19" s="73" ph="1">
        <f>N18*9.0746*LOOKUP(N20,密度!$A$2:$A$50,密度!$M$2:$M$50)</f>
        <v>10065.84487434</v>
      </c>
      <c r="O19" s="73" ph="1">
        <f>O18*9.0746*LOOKUP(O20,密度!$A$2:$A$50,密度!$G$2:$G$50)</f>
        <v>55739.777667000002</v>
      </c>
      <c r="P19" s="73" ph="1">
        <f ca="1">P18*9.0746*LOOKUP(P20,密度!$A$2:$A$51,密度!$Q$2:$Q$50)</f>
        <v>59592.882228704002</v>
      </c>
      <c r="Q19" s="73" ph="1">
        <f>Q18*9.0746*LOOKUP(Q20,密度!$A$2:$A$50,密度!$Q$2:$Q$50)</f>
        <v>13826.714475675999</v>
      </c>
      <c r="R19" s="73" ph="1">
        <f>MAX(R18*9.0746*LOOKUP(R20,密度!$A$2:$A$50,密度!$B$2:$B$50),0)</f>
        <v>2917.16901138</v>
      </c>
      <c r="S19" s="73" ph="1">
        <f>S18*9.0746*LOOKUP(S20,密度!$A$2:$A$50,密度!$Q$2:$Q$50)</f>
        <v>53208.862107924004</v>
      </c>
      <c r="T19" s="73" ph="1">
        <f>T18*9.0746*LOOKUP(T20,密度!$A$2:$A$50,密度!$O$2:$O$50)</f>
        <v>20205.776598</v>
      </c>
      <c r="U19" s="73" ph="1">
        <f>U18*9.0746*LOOKUP(U20,密度!$A$2:$A$50,密度!$H$2:$H$50)</f>
        <v>49076.56386532</v>
      </c>
      <c r="V19" s="73" ph="1">
        <f>MAX(5600*LOOKUP(V20,密度!$A$2:$A$50,密度!$Q$2:$Q$50)+V18*9.0476*LOOKUP(V20,密度!$A$2:$A$50,密度!$Q$2:$Q$50),0)</f>
        <v>47526.892013103999</v>
      </c>
      <c r="W19" s="73" ph="1">
        <f>MAX(5600*LOOKUP(W20,密度!$A$2:$A$50,密度!$Q$2:$Q$50)+W18*9.0476*LOOKUP(W20,密度!$A$2:$A$50,密度!$Q$2:$Q$50),0)</f>
        <v>48363.286586991999</v>
      </c>
      <c r="X19" s="73" ph="1">
        <f>MAX(5600*LOOKUP(X20,密度!$A$2:$A$50,密度!$I$2:$I$50)+X18*9.0476*LOOKUP(X20,密度!$A$2:$A$50,密度!$I$2:$I$50),0)</f>
        <v>13807.458893999998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63.532182060000004</v>
      </c>
      <c r="AB19" s="73" ph="1">
        <f>AB18*9.0746*LOOKUP(AB20,密度!$A$2:$A$50,密度!$L$2:$L$50)</f>
        <v>9260.9922839999999</v>
      </c>
      <c r="AC19" s="73" ph="1">
        <f>AC18*9.0746*LOOKUP(AC20,密度!$A$2:$A$50,密度!$L$2:$L$50)</f>
        <v>18247.2238292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18894.9480048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28</v>
      </c>
      <c r="E20" s="81">
        <v>28</v>
      </c>
      <c r="F20" s="81">
        <v>30</v>
      </c>
      <c r="G20" s="81">
        <v>25</v>
      </c>
      <c r="H20" s="81">
        <v>21</v>
      </c>
      <c r="I20" s="81">
        <v>26</v>
      </c>
      <c r="J20" s="81">
        <v>27</v>
      </c>
      <c r="K20" s="81">
        <v>28</v>
      </c>
      <c r="L20" s="81">
        <v>26</v>
      </c>
      <c r="M20" s="81">
        <v>28</v>
      </c>
      <c r="N20" s="81">
        <v>26</v>
      </c>
      <c r="O20" s="81">
        <v>26</v>
      </c>
      <c r="P20" s="81">
        <v>28</v>
      </c>
      <c r="Q20" s="81">
        <v>28</v>
      </c>
      <c r="R20" s="81">
        <v>35</v>
      </c>
      <c r="S20" s="81">
        <v>26</v>
      </c>
      <c r="T20" s="81">
        <v>30</v>
      </c>
      <c r="U20" s="81">
        <v>24</v>
      </c>
      <c r="V20" s="81">
        <v>28</v>
      </c>
      <c r="W20" s="81">
        <v>29</v>
      </c>
      <c r="X20" s="81">
        <v>28</v>
      </c>
      <c r="Y20" s="110">
        <v>28</v>
      </c>
      <c r="Z20" s="81">
        <v>32</v>
      </c>
      <c r="AA20" s="81">
        <v>27</v>
      </c>
      <c r="AB20" s="81">
        <v>30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32" t="s" ph="1">
        <v>646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78.73</v>
      </c>
      <c r="E24" s="71">
        <v>46.06</v>
      </c>
      <c r="F24" s="71">
        <v>1554</v>
      </c>
      <c r="G24" s="71">
        <v>1969</v>
      </c>
      <c r="H24" s="71">
        <v>2192</v>
      </c>
      <c r="I24" s="71">
        <v>2896</v>
      </c>
      <c r="J24" s="71">
        <v>4834</v>
      </c>
      <c r="K24" s="71">
        <v>3834</v>
      </c>
      <c r="L24" s="71">
        <v>5582</v>
      </c>
      <c r="M24" s="71">
        <v>5106</v>
      </c>
      <c r="N24" s="71">
        <v>5504</v>
      </c>
      <c r="O24" s="71">
        <v>5578</v>
      </c>
      <c r="P24" s="71">
        <v>382</v>
      </c>
      <c r="Q24" s="90">
        <v>1920</v>
      </c>
      <c r="R24" s="71">
        <v>218</v>
      </c>
      <c r="S24" s="71">
        <v>2318</v>
      </c>
      <c r="T24" s="71">
        <v>279</v>
      </c>
      <c r="U24" s="71">
        <v>4295</v>
      </c>
      <c r="V24" s="71">
        <v>11751</v>
      </c>
      <c r="W24" s="71">
        <v>8286</v>
      </c>
      <c r="X24" s="71">
        <v>3299</v>
      </c>
      <c r="Y24" s="71">
        <v>5140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21509.153064936003</v>
      </c>
      <c r="E25" s="91" ph="1">
        <f>E24*268.68*LOOKUP(E26,密度!$A$2:$A$50,密度!$C$2:$C$50)+IF(E24&lt;=0,0,1566*LOOKUP(E26,密度!$A$2:$A$50,密度!$C$2:$C$50))</f>
        <v>15459.61934712</v>
      </c>
      <c r="F25" s="91" ph="1">
        <f>F24*11.702*LOOKUP(F26,密度!$A$2:$A$50,密度!$Q$2:$Q$50)</f>
        <v>17242.929765600002</v>
      </c>
      <c r="G25" s="91" ph="1">
        <f>G24*18.322*LOOKUP(G26,密度!$A$2:$A$50,密度!$B$2:$B$50)</f>
        <v>28157.332048999997</v>
      </c>
      <c r="H25" s="91" ph="1">
        <f>H24*18.322*LOOKUP(H26,密度!$A$2:$A$50,密度!$B$2:$B$50)</f>
        <v>31310.157990399999</v>
      </c>
      <c r="I25" s="91" ph="1">
        <f>I24*18.322*LOOKUP(I26,密度!$A$2:$A$50,密度!$Q$2:$Q$50)</f>
        <v>50311.977478399996</v>
      </c>
      <c r="J25" s="91" ph="1">
        <f>J24*18.322*LOOKUP(J26,密度!$A$2:$A$50,密度!$Q$2:$Q$50)</f>
        <v>83916.042173559996</v>
      </c>
      <c r="K25" s="91" ph="1">
        <f>K24*18.322*LOOKUP(K26,密度!$A$2:$A$50,密度!$Q$2:$Q$50)</f>
        <v>66556.496833559999</v>
      </c>
      <c r="L25" s="91" ph="1">
        <f>L24*18.322*LOOKUP(L26,密度!$A$2:$A$50,密度!$Q$2:$Q$50)</f>
        <v>96975.641672800004</v>
      </c>
      <c r="M25" s="91" ph="1">
        <f>M24*18.322*LOOKUP(M26,密度!$A$2:$A$50,密度!$Q$2:$Q$50)</f>
        <v>88706.131562399998</v>
      </c>
      <c r="N25" s="91" ph="1">
        <f>N24*18.322*LOOKUP(N26,密度!$A$2:$A$50,密度!$Q$2:$Q$50)</f>
        <v>95710.30529792</v>
      </c>
      <c r="O25" s="91" ph="1">
        <f>O24*18.322*LOOKUP(O26,密度!$A$2:$A$50,密度!$C$2:$C$50)</f>
        <v>113483.0088064</v>
      </c>
      <c r="P25" s="91" ph="1">
        <f>P24*11.702*LOOKUP(P26,密度!$A$2:$A$50,密度!$B$2:$B$50)</f>
        <v>3488.9630019999995</v>
      </c>
      <c r="Q25" s="92" ph="1">
        <f>Q24*18.322*LOOKUP(Q26,密度!$A$2:$A$50,密度!$B$2:$B$50)</f>
        <v>27456.616319999997</v>
      </c>
      <c r="R25" s="91" ph="1">
        <f>R24*35.891*LOOKUP(R26,密度!$A$2:$A$50,密度!$C$2:$C$50)</f>
        <v>8676.2975181999991</v>
      </c>
      <c r="S25" s="91" ph="1">
        <f>S24*35.891*LOOKUP(S26,密度!$A$2:$A$50,密度!$B$2:$B$50)</f>
        <v>65008.837113199988</v>
      </c>
      <c r="T25" s="91" ph="1">
        <f>T24*35.891*LOOKUP(T26,密度!$A$2:$A$50,密度!$Q$2:$Q$50)</f>
        <v>9487.575169830001</v>
      </c>
      <c r="U25" s="91" ph="1">
        <f>U24*35.891</f>
        <v>154151.845</v>
      </c>
      <c r="V25" s="91" ph="1">
        <f>V24*47.051*LOOKUP(V26,密度!$A$2:$A$50,密度!$B$2:$B$50)</f>
        <v>432033.16960139998</v>
      </c>
      <c r="W25" s="91" ph="1">
        <f>W24*47.051*LOOKUP(W26,密度!$A$2:$A$50,密度!$B$2:$B$50)</f>
        <v>303938.43124559999</v>
      </c>
      <c r="X25" s="91" ph="1">
        <f>X24*47.051*LOOKUP(X26,密度!$A$2:$A$50,密度!$I$2:$I$50)</f>
        <v>161787.10783270001</v>
      </c>
      <c r="Y25" s="91" ph="1">
        <f>Y24*47.051*LOOKUP(Y26,密度!$A$2:$A$50,密度!$L$2:$L$50)</f>
        <v>226847.92731999999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25</v>
      </c>
      <c r="I26" s="74">
        <v>23</v>
      </c>
      <c r="J26" s="74">
        <v>24</v>
      </c>
      <c r="K26" s="74">
        <v>24</v>
      </c>
      <c r="L26" s="74">
        <v>23</v>
      </c>
      <c r="M26" s="74">
        <v>23</v>
      </c>
      <c r="N26" s="74">
        <v>22</v>
      </c>
      <c r="O26" s="74">
        <v>23</v>
      </c>
      <c r="P26" s="74">
        <v>24</v>
      </c>
      <c r="Q26" s="93">
        <v>24</v>
      </c>
      <c r="R26" s="74">
        <v>25</v>
      </c>
      <c r="S26" s="74">
        <v>23</v>
      </c>
      <c r="T26" s="74">
        <v>24</v>
      </c>
      <c r="U26" s="74">
        <v>24</v>
      </c>
      <c r="V26" s="74">
        <v>23</v>
      </c>
      <c r="W26" s="74">
        <v>25</v>
      </c>
      <c r="X26" s="74">
        <v>25</v>
      </c>
      <c r="Y26" s="74">
        <v>24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78.83</v>
      </c>
      <c r="E27" s="71">
        <v>46.06</v>
      </c>
      <c r="F27" s="71">
        <v>1554</v>
      </c>
      <c r="G27" s="71">
        <v>1470</v>
      </c>
      <c r="H27" s="71">
        <v>2149</v>
      </c>
      <c r="I27" s="71">
        <v>2895</v>
      </c>
      <c r="J27" s="71">
        <v>4839</v>
      </c>
      <c r="K27" s="71">
        <v>3834</v>
      </c>
      <c r="L27" s="71">
        <v>5589</v>
      </c>
      <c r="M27" s="71">
        <v>5107</v>
      </c>
      <c r="N27" s="71">
        <v>5503</v>
      </c>
      <c r="O27" s="71">
        <v>5576</v>
      </c>
      <c r="P27" s="71">
        <v>2438</v>
      </c>
      <c r="Q27" s="90">
        <v>402</v>
      </c>
      <c r="R27" s="71">
        <v>216</v>
      </c>
      <c r="S27" s="71">
        <v>3568</v>
      </c>
      <c r="T27" s="71">
        <v>277</v>
      </c>
      <c r="U27" s="71">
        <v>4800</v>
      </c>
      <c r="V27" s="71">
        <v>11755</v>
      </c>
      <c r="W27" s="71">
        <v>8014</v>
      </c>
      <c r="X27" s="71">
        <v>3298</v>
      </c>
      <c r="Y27" s="71">
        <v>5856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21534.590075256001</v>
      </c>
      <c r="E28" s="91" ph="1">
        <f>E27*268.68*LOOKUP(E29,密度!$A$2:$A$50,密度!$C$2:$C$50)+IF(E27&lt;=0,0,1566*LOOKUP(E29,密度!$A$2:$A$50,密度!$C$2:$C$50))</f>
        <v>15459.61934712</v>
      </c>
      <c r="F28" s="91" ph="1">
        <f>F27*11.702*LOOKUP(F29,密度!$A$2:$A$50,密度!$Q$2:$Q$50)</f>
        <v>17216.37979992</v>
      </c>
      <c r="G28" s="91" ph="1">
        <f>G27*18.322*LOOKUP(G29,密度!$A$2:$A$50,密度!$B$2:$B$50)</f>
        <v>21021.471869999998</v>
      </c>
      <c r="H28" s="91" ph="1">
        <f>H27*18.322*LOOKUP(H29,密度!$A$2:$A$50,密度!$B$2:$B$50)</f>
        <v>30695.953248799993</v>
      </c>
      <c r="I28" s="91" ph="1">
        <f>I27*18.322*LOOKUP(I29,密度!$A$2:$A$50,密度!$Q$2:$Q$50)</f>
        <v>50294.604557999999</v>
      </c>
      <c r="J28" s="91" ph="1">
        <f>J27*18.322*LOOKUP(J29,密度!$A$2:$A$50,密度!$Q$2:$Q$50)</f>
        <v>83938.117984919998</v>
      </c>
      <c r="K28" s="91" ph="1">
        <f>K27*18.322*LOOKUP(K29,密度!$A$2:$A$50,密度!$Q$2:$Q$50)</f>
        <v>66607.776813599994</v>
      </c>
      <c r="L28" s="91" ph="1">
        <f>L27*18.322*LOOKUP(L29,密度!$A$2:$A$50,密度!$Q$2:$Q$50)</f>
        <v>97022.498905259999</v>
      </c>
      <c r="M28" s="91" ph="1">
        <f>M27*18.322*LOOKUP(M29,密度!$A$2:$A$50,密度!$Q$2:$Q$50)</f>
        <v>88655.198051380008</v>
      </c>
      <c r="N28" s="91" ph="1">
        <f>N27*18.322*LOOKUP(N29,密度!$A$2:$A$50,密度!$Q$2:$Q$50)</f>
        <v>95692.916070940002</v>
      </c>
      <c r="O28" s="91" ph="1">
        <f>O27*18.322*LOOKUP(O29,密度!$A$2:$A$50,密度!$C$2:$C$50)</f>
        <v>113513.8337392</v>
      </c>
      <c r="P28" s="91" ph="1">
        <f>P27*11.702*LOOKUP(P29,密度!$A$2:$A$50,密度!$B$2:$B$50)</f>
        <v>22267.256017999996</v>
      </c>
      <c r="Q28" s="92" ph="1">
        <f>Q27*18.322*LOOKUP(Q29,密度!$A$2:$A$50,密度!$B$2:$B$50)</f>
        <v>5742.1001423999996</v>
      </c>
      <c r="R28" s="91" ph="1">
        <f>R27*35.891*LOOKUP(R29,密度!$A$2:$A$50,密度!$C$2:$C$50)</f>
        <v>8602.125177599999</v>
      </c>
      <c r="S28" s="91" ph="1">
        <f>S27*35.891*LOOKUP(S29,密度!$A$2:$A$50,密度!$B$2:$B$50)</f>
        <v>99950.118183999992</v>
      </c>
      <c r="T28" s="91" ph="1">
        <f>T27*35.891*LOOKUP(T29,密度!$A$2:$A$50,密度!$Q$2:$Q$50)</f>
        <v>9412.3063591800001</v>
      </c>
      <c r="U28" s="91" ph="1">
        <f>U27*35.891</f>
        <v>172276.8</v>
      </c>
      <c r="V28" s="91" ph="1">
        <f>V27*47.051*LOOKUP(V29,密度!$A$2:$A$50,密度!$B$2:$B$50)</f>
        <v>432180.23220700002</v>
      </c>
      <c r="W28" s="91" ph="1">
        <f>W27*47.051*LOOKUP(W29,密度!$A$2:$A$50,密度!$B$2:$B$50)</f>
        <v>294300.57027700002</v>
      </c>
      <c r="X28" s="91" ph="1">
        <f>X27*47.051*LOOKUP(X29,密度!$A$2:$A$50,密度!$I$2:$I$50)</f>
        <v>161738.06657540001</v>
      </c>
      <c r="Y28" s="91" ph="1">
        <f>Y27*47.051*LOOKUP(Y29,密度!$A$2:$A$50,密度!$L$2:$L$50)</f>
        <v>258172.22467200004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144970.56980960001</v>
      </c>
      <c r="E33" s="190" ph="1">
        <f>M10+I10</f>
        <v>68639.92652980001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16" ph="1">
        <v>0</v>
      </c>
      <c r="H33" s="190" ph="1">
        <f>N19</f>
        <v>10065.84487434</v>
      </c>
      <c r="I33" s="194" ph="1">
        <v>0</v>
      </c>
      <c r="J33" s="198" ph="1">
        <f>F10+O28</f>
        <v>351333.28881039994</v>
      </c>
      <c r="K33" s="190" ph="1">
        <f>O10+K10+E28+R28</f>
        <v>29170.57819792</v>
      </c>
      <c r="L33" s="200" ph="1">
        <f>BE27</f>
        <v>7100</v>
      </c>
      <c r="M33" s="198" ph="1">
        <f>G10+H10+W28+S28+V28+E10</f>
        <v>1355925.2559490001</v>
      </c>
      <c r="N33" s="190" ph="1">
        <f>L10+P10++G28+H28</f>
        <v>140920.03830679998</v>
      </c>
      <c r="O33" s="194" ph="1">
        <f>BE17</f>
        <v>2270</v>
      </c>
      <c r="P33" s="198" ph="1">
        <f>L19</f>
        <v>28183.158544860005</v>
      </c>
      <c r="Q33" s="190" ph="1">
        <f>J10+N10</f>
        <v>66633.383346699993</v>
      </c>
      <c r="R33" s="194" ph="1">
        <f>BE23</f>
        <v>890</v>
      </c>
      <c r="S33" s="198" ph="1">
        <f>E10+X28</f>
        <v>359641.52562740003</v>
      </c>
      <c r="T33" s="190" ph="1">
        <f>X19</f>
        <v>13807.458893999998</v>
      </c>
      <c r="U33" s="179" ph="1">
        <f>BE21</f>
        <v>730</v>
      </c>
      <c r="V33" s="192" ph="1">
        <f ca="1">P19+Q19+S19+M28+N28+J28</f>
        <v>394914.69091954402</v>
      </c>
      <c r="W33" s="192" ph="1">
        <f>D28+F28+V19+T28</f>
        <v>95690.168247459995</v>
      </c>
      <c r="X33" s="194" ph="1">
        <f>BE29+BE31</f>
        <v>10200</v>
      </c>
      <c r="Y33" s="196" ph="1">
        <f>+Q10+R10+S10+T10+U10+V10+W10+X10+Y10</f>
        <v>259807.30484939998</v>
      </c>
      <c r="Z33" s="177" ph="1">
        <f>D10+T19+U19+Y28+Z10</f>
        <v>555879.98590911995</v>
      </c>
      <c r="AA33" s="179" ph="1">
        <f>BE19</f>
        <v>1440</v>
      </c>
      <c r="AB33" s="181" ph="1">
        <f>I19</f>
        <v>15035.087667200001</v>
      </c>
      <c r="AC33" s="183" ph="1">
        <f>AD10</f>
        <v>99472.021487999998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633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7" priority="98">
      <formula>ABS(D$7-D$10)&gt;=1000</formula>
    </cfRule>
  </conditionalFormatting>
  <conditionalFormatting sqref="E4 E6:E11">
    <cfRule type="expression" dxfId="126" priority="97">
      <formula>ABS(E$7-E$10)&gt;=1000</formula>
    </cfRule>
  </conditionalFormatting>
  <conditionalFormatting sqref="F4:F11">
    <cfRule type="expression" dxfId="125" priority="96">
      <formula>ABS(F$7-F$10)&gt;=1000</formula>
    </cfRule>
  </conditionalFormatting>
  <conditionalFormatting sqref="G4:G11">
    <cfRule type="expression" dxfId="124" priority="95">
      <formula>ABS(G$7-G$10)&gt;=1000</formula>
    </cfRule>
  </conditionalFormatting>
  <conditionalFormatting sqref="H4:H11">
    <cfRule type="expression" dxfId="123" priority="94">
      <formula>ABS(H$7-H$10)&gt;=1000</formula>
    </cfRule>
  </conditionalFormatting>
  <conditionalFormatting sqref="I4:I11">
    <cfRule type="expression" dxfId="122" priority="93">
      <formula>ABS(I$7-I$10)&gt;=1000</formula>
    </cfRule>
  </conditionalFormatting>
  <conditionalFormatting sqref="J4:J11">
    <cfRule type="expression" dxfId="121" priority="92">
      <formula>ABS(J$7-J$10)&gt;=1000</formula>
    </cfRule>
  </conditionalFormatting>
  <conditionalFormatting sqref="K4:K11">
    <cfRule type="expression" dxfId="120" priority="91">
      <formula>ABS(K$7-K$10)&gt;=1000</formula>
    </cfRule>
  </conditionalFormatting>
  <conditionalFormatting sqref="L4:L11">
    <cfRule type="expression" dxfId="119" priority="90">
      <formula>ABS(L$7-L$10)&gt;=1000</formula>
    </cfRule>
  </conditionalFormatting>
  <conditionalFormatting sqref="M4 M6:M11">
    <cfRule type="expression" dxfId="118" priority="89">
      <formula>ABS(M$7-M$10)&gt;=1000</formula>
    </cfRule>
  </conditionalFormatting>
  <conditionalFormatting sqref="N4 N6:N11">
    <cfRule type="expression" dxfId="117" priority="88">
      <formula>ABS(N$7-N$10)&gt;=1000</formula>
    </cfRule>
  </conditionalFormatting>
  <conditionalFormatting sqref="O4 O6:O11">
    <cfRule type="expression" dxfId="116" priority="87">
      <formula>ABS(O$7-O$10)&gt;=1000</formula>
    </cfRule>
  </conditionalFormatting>
  <conditionalFormatting sqref="P4 P6:P11">
    <cfRule type="expression" dxfId="115" priority="86">
      <formula>ABS(P$7-P$10)&gt;=1000</formula>
    </cfRule>
  </conditionalFormatting>
  <conditionalFormatting sqref="Q4:Q11">
    <cfRule type="expression" dxfId="114" priority="85">
      <formula>ABS(Q$7-Q$10)&gt;=1000</formula>
    </cfRule>
  </conditionalFormatting>
  <conditionalFormatting sqref="R4:R11">
    <cfRule type="expression" dxfId="113" priority="84">
      <formula>ABS(R$7-R$10)&gt;=1000</formula>
    </cfRule>
  </conditionalFormatting>
  <conditionalFormatting sqref="S4:S11">
    <cfRule type="expression" dxfId="112" priority="83">
      <formula>ABS(S$7-S$10)&gt;=1000</formula>
    </cfRule>
  </conditionalFormatting>
  <conditionalFormatting sqref="T4:T9 T11">
    <cfRule type="expression" dxfId="111" priority="82">
      <formula>ABS(T$7-T$10)&gt;=1000</formula>
    </cfRule>
  </conditionalFormatting>
  <conditionalFormatting sqref="U4:U9 U11">
    <cfRule type="expression" dxfId="110" priority="81">
      <formula>ABS(U$7-U$10)&gt;=1000</formula>
    </cfRule>
  </conditionalFormatting>
  <conditionalFormatting sqref="V4:V9 V11">
    <cfRule type="expression" dxfId="109" priority="80">
      <formula>ABS(V$7-V$10)&gt;=1000</formula>
    </cfRule>
  </conditionalFormatting>
  <conditionalFormatting sqref="W4:W9 W11">
    <cfRule type="expression" dxfId="108" priority="79">
      <formula>ABS(W$7-W$10)&gt;=1000</formula>
    </cfRule>
  </conditionalFormatting>
  <conditionalFormatting sqref="X4:X9 X11">
    <cfRule type="expression" dxfId="107" priority="78">
      <formula>ABS(X$7-X$10)&gt;=1000</formula>
    </cfRule>
  </conditionalFormatting>
  <conditionalFormatting sqref="Y4:Y9 Y11">
    <cfRule type="expression" dxfId="106" priority="77">
      <formula>ABS(Y$7-Y$10)&gt;=1000</formula>
    </cfRule>
  </conditionalFormatting>
  <conditionalFormatting sqref="Z4:Z11">
    <cfRule type="expression" dxfId="105" priority="76">
      <formula>ABS(Z$7-Z$10)&gt;=1000</formula>
    </cfRule>
  </conditionalFormatting>
  <conditionalFormatting sqref="AA4:AA11">
    <cfRule type="expression" dxfId="104" priority="75">
      <formula>ABS(AA$7-AA$10)&gt;=1000</formula>
    </cfRule>
  </conditionalFormatting>
  <conditionalFormatting sqref="AB4:AB11">
    <cfRule type="expression" dxfId="103" priority="74">
      <formula>ABS(AB$7-AB$10)&gt;=1000</formula>
    </cfRule>
  </conditionalFormatting>
  <conditionalFormatting sqref="AC4 AC6:AC11">
    <cfRule type="expression" dxfId="102" priority="73">
      <formula>ABS(AC$7-AC$10)&gt;=1000</formula>
    </cfRule>
  </conditionalFormatting>
  <conditionalFormatting sqref="AD4:AD11">
    <cfRule type="expression" dxfId="101" priority="72">
      <formula>ABS(AD$7-AD$10)&gt;=1000</formula>
    </cfRule>
  </conditionalFormatting>
  <conditionalFormatting sqref="AE4 AE6:AE11">
    <cfRule type="expression" dxfId="100" priority="71">
      <formula>ABS(AE$7-AE$10)&gt;=1000</formula>
    </cfRule>
  </conditionalFormatting>
  <conditionalFormatting sqref="D13:D20">
    <cfRule type="expression" dxfId="99" priority="70">
      <formula>ABS(D$16-D$19)&gt;=1000</formula>
    </cfRule>
  </conditionalFormatting>
  <conditionalFormatting sqref="E13:E20">
    <cfRule type="expression" dxfId="98" priority="69">
      <formula>ABS(E$16-E$19)&gt;=1000</formula>
    </cfRule>
  </conditionalFormatting>
  <conditionalFormatting sqref="F13 F15:F20">
    <cfRule type="expression" dxfId="97" priority="68">
      <formula>ABS(F$16-F$19)&gt;=1000</formula>
    </cfRule>
  </conditionalFormatting>
  <conditionalFormatting sqref="G13:G20">
    <cfRule type="expression" dxfId="96" priority="67">
      <formula>ABS(G$16-G$19)&gt;=1000</formula>
    </cfRule>
  </conditionalFormatting>
  <conditionalFormatting sqref="H13:H20">
    <cfRule type="expression" dxfId="95" priority="66">
      <formula>ABS(H$16-H$19)&gt;=1000</formula>
    </cfRule>
  </conditionalFormatting>
  <conditionalFormatting sqref="I13:I20">
    <cfRule type="expression" dxfId="94" priority="65">
      <formula>ABS(I$16-I$19)&gt;=1000</formula>
    </cfRule>
  </conditionalFormatting>
  <conditionalFormatting sqref="J13:J20">
    <cfRule type="expression" dxfId="93" priority="64">
      <formula>ABS(J$16-J$19)&gt;=1000</formula>
    </cfRule>
  </conditionalFormatting>
  <conditionalFormatting sqref="L13:L20">
    <cfRule type="expression" dxfId="92" priority="63">
      <formula>ABS(L$16-L$19)&gt;=1000</formula>
    </cfRule>
  </conditionalFormatting>
  <conditionalFormatting sqref="M13 M15 M17:M18 M20">
    <cfRule type="expression" dxfId="91" priority="62">
      <formula>ABS(M$16-M$19)&gt;=1000</formula>
    </cfRule>
  </conditionalFormatting>
  <conditionalFormatting sqref="N13:N20">
    <cfRule type="expression" dxfId="90" priority="61">
      <formula>ABS(N$16-N$19)&gt;=1000</formula>
    </cfRule>
  </conditionalFormatting>
  <conditionalFormatting sqref="O13:O20">
    <cfRule type="expression" dxfId="89" priority="60">
      <formula>ABS(O$16-O$19)&gt;=1000</formula>
    </cfRule>
  </conditionalFormatting>
  <conditionalFormatting sqref="P13:P20">
    <cfRule type="expression" dxfId="88" priority="59">
      <formula>ABS(P$16-P$19)&gt;=1000</formula>
    </cfRule>
  </conditionalFormatting>
  <conditionalFormatting sqref="Q13 Q15:Q20">
    <cfRule type="expression" dxfId="87" priority="58">
      <formula>ABS(Q$16-Q$19)&gt;=1000</formula>
    </cfRule>
  </conditionalFormatting>
  <conditionalFormatting sqref="R13:R20">
    <cfRule type="expression" dxfId="86" priority="57">
      <formula>ABS(R$16-R$19)&gt;=1000</formula>
    </cfRule>
  </conditionalFormatting>
  <conditionalFormatting sqref="S13:S20">
    <cfRule type="expression" dxfId="85" priority="56">
      <formula>ABS(S$16-S$19)&gt;=1000</formula>
    </cfRule>
  </conditionalFormatting>
  <conditionalFormatting sqref="T13:T20">
    <cfRule type="expression" dxfId="84" priority="55">
      <formula>ABS(T$16-T$19)&gt;=1000</formula>
    </cfRule>
  </conditionalFormatting>
  <conditionalFormatting sqref="U13:U20">
    <cfRule type="expression" dxfId="83" priority="54">
      <formula>ABS(U$16-U$19)&gt;=1000</formula>
    </cfRule>
  </conditionalFormatting>
  <conditionalFormatting sqref="V13:V20">
    <cfRule type="expression" dxfId="82" priority="53">
      <formula>ABS(V$16-V$19)&gt;=1000</formula>
    </cfRule>
  </conditionalFormatting>
  <conditionalFormatting sqref="W13 W20 W15:W18">
    <cfRule type="expression" dxfId="81" priority="52">
      <formula>ABS(W$16-W$19)&gt;=1000</formula>
    </cfRule>
  </conditionalFormatting>
  <conditionalFormatting sqref="X13 X15:X20 Y19">
    <cfRule type="expression" dxfId="80" priority="51">
      <formula>ABS(X$16-X$19)&gt;=1000</formula>
    </cfRule>
  </conditionalFormatting>
  <conditionalFormatting sqref="Y13 Y15:Y18 Y20">
    <cfRule type="expression" dxfId="79" priority="50">
      <formula>ABS(Y$16-Y$19)&gt;=1000</formula>
    </cfRule>
  </conditionalFormatting>
  <conditionalFormatting sqref="Z13:Z20">
    <cfRule type="expression" dxfId="78" priority="49">
      <formula>ABS(Z$16-Z$19)&gt;=1000</formula>
    </cfRule>
  </conditionalFormatting>
  <conditionalFormatting sqref="AA13:AA20">
    <cfRule type="expression" dxfId="77" priority="48">
      <formula>ABS(AA$16-AA$19)&gt;=1000</formula>
    </cfRule>
  </conditionalFormatting>
  <conditionalFormatting sqref="AB13 AB15:AB20">
    <cfRule type="expression" dxfId="76" priority="47">
      <formula>ABS(AB$16-AB$19)&gt;=1000</formula>
    </cfRule>
  </conditionalFormatting>
  <conditionalFormatting sqref="AC13 AC15:AC20">
    <cfRule type="expression" dxfId="75" priority="46">
      <formula>ABS(AC$16-AC$19)&gt;=1000</formula>
    </cfRule>
  </conditionalFormatting>
  <conditionalFormatting sqref="AD13:AD20">
    <cfRule type="expression" dxfId="74" priority="45">
      <formula>ABS(AD$16-AD$19)&gt;=1000</formula>
    </cfRule>
  </conditionalFormatting>
  <conditionalFormatting sqref="AE13:AE20">
    <cfRule type="expression" dxfId="73" priority="44">
      <formula>ABS(AE$16-AE$19)&gt;=1000</formula>
    </cfRule>
  </conditionalFormatting>
  <conditionalFormatting sqref="D22:D29">
    <cfRule type="expression" dxfId="72" priority="43">
      <formula>ABS(D$25-D$28)&gt;=1000</formula>
    </cfRule>
  </conditionalFormatting>
  <conditionalFormatting sqref="E22:E29">
    <cfRule type="expression" dxfId="71" priority="42">
      <formula>ABS(E$25-E$28)&gt;=1000</formula>
    </cfRule>
  </conditionalFormatting>
  <conditionalFormatting sqref="F22:F29">
    <cfRule type="expression" dxfId="70" priority="41">
      <formula>ABS(F$25-F$28)&gt;=1000</formula>
    </cfRule>
  </conditionalFormatting>
  <conditionalFormatting sqref="G22:G29">
    <cfRule type="expression" dxfId="69" priority="40">
      <formula>ABS(G$25-G$28)&gt;=1000</formula>
    </cfRule>
  </conditionalFormatting>
  <conditionalFormatting sqref="H22:H29">
    <cfRule type="expression" dxfId="68" priority="39">
      <formula>ABS(H$25-H$28)&gt;=1000</formula>
    </cfRule>
  </conditionalFormatting>
  <conditionalFormatting sqref="I22 I24:I29">
    <cfRule type="expression" dxfId="67" priority="38">
      <formula>ABS(I$25-I$28)&gt;=1000</formula>
    </cfRule>
  </conditionalFormatting>
  <conditionalFormatting sqref="J22:J29 K22">
    <cfRule type="expression" dxfId="66" priority="37">
      <formula>ABS(J$25-J$28)&gt;=1000</formula>
    </cfRule>
  </conditionalFormatting>
  <conditionalFormatting sqref="K23:K29 L25 L28">
    <cfRule type="expression" dxfId="65" priority="36">
      <formula>ABS(K$25-K$28)&gt;=1000</formula>
    </cfRule>
  </conditionalFormatting>
  <conditionalFormatting sqref="L22 L26:L27 L29 L24">
    <cfRule type="expression" dxfId="64" priority="35">
      <formula>ABS(L$25-L$28)&gt;=1000</formula>
    </cfRule>
  </conditionalFormatting>
  <conditionalFormatting sqref="M22:M29">
    <cfRule type="expression" dxfId="63" priority="34">
      <formula>ABS(M$25-M$28)&gt;=1000</formula>
    </cfRule>
  </conditionalFormatting>
  <conditionalFormatting sqref="N22:N29">
    <cfRule type="expression" dxfId="62" priority="33">
      <formula>ABS(N$25-N$28)&gt;=1000</formula>
    </cfRule>
  </conditionalFormatting>
  <conditionalFormatting sqref="O22:O29">
    <cfRule type="expression" dxfId="61" priority="32">
      <formula>ABS(O$25-O$28)&gt;=1000</formula>
    </cfRule>
  </conditionalFormatting>
  <conditionalFormatting sqref="P22:P29">
    <cfRule type="expression" dxfId="60" priority="31">
      <formula>ABS(P$25-P$28)&gt;=1000</formula>
    </cfRule>
  </conditionalFormatting>
  <conditionalFormatting sqref="Q22:Q29">
    <cfRule type="expression" dxfId="59" priority="30">
      <formula>ABS(Q$25-Q$28)&gt;=1000</formula>
    </cfRule>
  </conditionalFormatting>
  <conditionalFormatting sqref="R22:R29">
    <cfRule type="expression" dxfId="58" priority="29">
      <formula>ABS(R$25-R$28)&gt;=1000</formula>
    </cfRule>
  </conditionalFormatting>
  <conditionalFormatting sqref="S22:S29">
    <cfRule type="expression" dxfId="57" priority="28">
      <formula>ABS(S$25-S$28)&gt;=1000</formula>
    </cfRule>
  </conditionalFormatting>
  <conditionalFormatting sqref="T22:T29">
    <cfRule type="expression" dxfId="56" priority="27">
      <formula>ABS(T$25-T$28)&gt;=1000</formula>
    </cfRule>
  </conditionalFormatting>
  <conditionalFormatting sqref="U22:U29">
    <cfRule type="expression" dxfId="55" priority="26">
      <formula>ABS(U$25-U$28)&gt;=1000</formula>
    </cfRule>
  </conditionalFormatting>
  <conditionalFormatting sqref="V22:V29">
    <cfRule type="expression" dxfId="54" priority="25">
      <formula>ABS(V$25-V$28)&gt;=1000</formula>
    </cfRule>
  </conditionalFormatting>
  <conditionalFormatting sqref="W22:W29">
    <cfRule type="expression" dxfId="53" priority="24">
      <formula>ABS(W$25-W$28)&gt;=1000</formula>
    </cfRule>
  </conditionalFormatting>
  <conditionalFormatting sqref="X22:X29">
    <cfRule type="expression" dxfId="52" priority="23">
      <formula>ABS(X$25-X$28)&gt;=1000</formula>
    </cfRule>
  </conditionalFormatting>
  <conditionalFormatting sqref="Y22:Y29">
    <cfRule type="expression" dxfId="51" priority="22">
      <formula>ABS(Y$25-Y$28)&gt;=1000</formula>
    </cfRule>
  </conditionalFormatting>
  <conditionalFormatting sqref="I23">
    <cfRule type="expression" dxfId="50" priority="21">
      <formula>ABS(I$25-I$28)&gt;=1000</formula>
    </cfRule>
  </conditionalFormatting>
  <conditionalFormatting sqref="Q14">
    <cfRule type="expression" dxfId="49" priority="20">
      <formula>ABS(Q$16-Q$19)&gt;=1000</formula>
    </cfRule>
  </conditionalFormatting>
  <conditionalFormatting sqref="W14">
    <cfRule type="expression" dxfId="48" priority="19">
      <formula>ABS(W$16-W$19)&gt;=1000</formula>
    </cfRule>
  </conditionalFormatting>
  <conditionalFormatting sqref="Y14">
    <cfRule type="expression" dxfId="47" priority="18">
      <formula>ABS(Y$16-Y$19)&gt;=1000</formula>
    </cfRule>
  </conditionalFormatting>
  <conditionalFormatting sqref="X14">
    <cfRule type="expression" dxfId="46" priority="17">
      <formula>ABS(X$16-X$19)&gt;=1000</formula>
    </cfRule>
  </conditionalFormatting>
  <conditionalFormatting sqref="T10:Y10">
    <cfRule type="expression" dxfId="45" priority="16">
      <formula>ABS(T$7-T$10)&gt;=1000</formula>
    </cfRule>
  </conditionalFormatting>
  <conditionalFormatting sqref="W19">
    <cfRule type="expression" dxfId="44" priority="15">
      <formula>ABS(W$16-W$19)&gt;=1000</formula>
    </cfRule>
  </conditionalFormatting>
  <conditionalFormatting sqref="AC5">
    <cfRule type="expression" dxfId="43" priority="14">
      <formula>ABS(AC$7-AC$10)&gt;=1000</formula>
    </cfRule>
  </conditionalFormatting>
  <conditionalFormatting sqref="M14">
    <cfRule type="expression" dxfId="42" priority="13">
      <formula>ABS(M$16-M$19)&gt;=1000</formula>
    </cfRule>
  </conditionalFormatting>
  <conditionalFormatting sqref="M16">
    <cfRule type="expression" dxfId="41" priority="12">
      <formula>ABS(M$16-M$19)&gt;=1000</formula>
    </cfRule>
  </conditionalFormatting>
  <conditionalFormatting sqref="M19">
    <cfRule type="expression" dxfId="40" priority="11">
      <formula>ABS(M$16-M$19)&gt;=1000</formula>
    </cfRule>
  </conditionalFormatting>
  <conditionalFormatting sqref="K13:K20">
    <cfRule type="expression" dxfId="39" priority="10">
      <formula>ABS(K$16-K$19)&gt;=1000</formula>
    </cfRule>
  </conditionalFormatting>
  <conditionalFormatting sqref="E5">
    <cfRule type="expression" dxfId="38" priority="9">
      <formula>ABS(E$7-E$10)&gt;=1000</formula>
    </cfRule>
  </conditionalFormatting>
  <conditionalFormatting sqref="AB14:AC14">
    <cfRule type="expression" dxfId="37" priority="8">
      <formula>ABS(AB$16-AB$19)&gt;=1000</formula>
    </cfRule>
  </conditionalFormatting>
  <conditionalFormatting sqref="M5">
    <cfRule type="expression" dxfId="36" priority="7">
      <formula>ABS(M$7-M$10)&gt;=1000</formula>
    </cfRule>
  </conditionalFormatting>
  <conditionalFormatting sqref="N5">
    <cfRule type="expression" dxfId="35" priority="6">
      <formula>ABS(N$7-N$10)&gt;=1000</formula>
    </cfRule>
  </conditionalFormatting>
  <conditionalFormatting sqref="O5">
    <cfRule type="expression" dxfId="34" priority="5">
      <formula>ABS(O$7-O$10)&gt;=1000</formula>
    </cfRule>
  </conditionalFormatting>
  <conditionalFormatting sqref="P5">
    <cfRule type="expression" dxfId="33" priority="4">
      <formula>ABS(P$7-P$10)&gt;=1000</formula>
    </cfRule>
  </conditionalFormatting>
  <conditionalFormatting sqref="L23">
    <cfRule type="expression" dxfId="32" priority="3">
      <formula>ABS(L$25-L$28)&gt;=1000</formula>
    </cfRule>
  </conditionalFormatting>
  <conditionalFormatting sqref="F14">
    <cfRule type="expression" dxfId="31" priority="2">
      <formula>ABS(F$16-F$19)&gt;=1000</formula>
    </cfRule>
  </conditionalFormatting>
  <conditionalFormatting sqref="AE5">
    <cfRule type="expression" dxfId="3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9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23</vt:i4>
      </vt:variant>
    </vt:vector>
  </HeadingPairs>
  <TitlesOfParts>
    <vt:vector size="46" baseType="lpstr">
      <vt:lpstr>新增</vt:lpstr>
      <vt:lpstr>密度</vt:lpstr>
      <vt:lpstr>9.30</vt:lpstr>
      <vt:lpstr>10.1</vt:lpstr>
      <vt:lpstr>10.2</vt:lpstr>
      <vt:lpstr>10.3</vt:lpstr>
      <vt:lpstr>10.7</vt:lpstr>
      <vt:lpstr>10.8</vt:lpstr>
      <vt:lpstr>10.9</vt:lpstr>
      <vt:lpstr>10.13</vt:lpstr>
      <vt:lpstr>10.14</vt:lpstr>
      <vt:lpstr>10.15</vt:lpstr>
      <vt:lpstr>10.16</vt:lpstr>
      <vt:lpstr>10.17</vt:lpstr>
      <vt:lpstr>10.20</vt:lpstr>
      <vt:lpstr>10.21</vt:lpstr>
      <vt:lpstr>10.22</vt:lpstr>
      <vt:lpstr>10.23</vt:lpstr>
      <vt:lpstr>10.27</vt:lpstr>
      <vt:lpstr>10.28</vt:lpstr>
      <vt:lpstr>10.29</vt:lpstr>
      <vt:lpstr>10.30</vt:lpstr>
      <vt:lpstr>10.31</vt:lpstr>
      <vt:lpstr>'10.1'!Print_Area</vt:lpstr>
      <vt:lpstr>'10.13'!Print_Area</vt:lpstr>
      <vt:lpstr>'10.14'!Print_Area</vt:lpstr>
      <vt:lpstr>'10.15'!Print_Area</vt:lpstr>
      <vt:lpstr>'10.16'!Print_Area</vt:lpstr>
      <vt:lpstr>'10.17'!Print_Area</vt:lpstr>
      <vt:lpstr>'10.2'!Print_Area</vt:lpstr>
      <vt:lpstr>'10.20'!Print_Area</vt:lpstr>
      <vt:lpstr>'10.21'!Print_Area</vt:lpstr>
      <vt:lpstr>'10.22'!Print_Area</vt:lpstr>
      <vt:lpstr>'10.23'!Print_Area</vt:lpstr>
      <vt:lpstr>'10.27'!Print_Area</vt:lpstr>
      <vt:lpstr>'10.28'!Print_Area</vt:lpstr>
      <vt:lpstr>'10.29'!Print_Area</vt:lpstr>
      <vt:lpstr>'10.3'!Print_Area</vt:lpstr>
      <vt:lpstr>'10.30'!Print_Area</vt:lpstr>
      <vt:lpstr>'10.31'!Print_Area</vt:lpstr>
      <vt:lpstr>'10.7'!Print_Area</vt:lpstr>
      <vt:lpstr>'10.8'!Print_Area</vt:lpstr>
      <vt:lpstr>'10.9'!Print_Area</vt:lpstr>
      <vt:lpstr>'9.30'!Print_Area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2025-10-31T07:03:07Z</cp:lastPrinted>
  <dcterms:created xsi:type="dcterms:W3CDTF">2006-09-16T00:00:00Z</dcterms:created>
  <dcterms:modified xsi:type="dcterms:W3CDTF">2025-10-31T07:44:46Z</dcterms:modified>
</cp:coreProperties>
</file>