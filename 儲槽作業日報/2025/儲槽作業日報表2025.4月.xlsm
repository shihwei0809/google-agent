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儲槽作業日報\儲槽作業日報\2025\"/>
    </mc:Choice>
  </mc:AlternateContent>
  <bookViews>
    <workbookView xWindow="0" yWindow="0" windowWidth="2160" windowHeight="0" firstSheet="6" activeTab="22"/>
  </bookViews>
  <sheets>
    <sheet name="新增" sheetId="1727" r:id="rId1"/>
    <sheet name="密度" sheetId="13" r:id="rId2"/>
    <sheet name="3.31" sheetId="1856" r:id="rId3"/>
    <sheet name="4.1" sheetId="1857" r:id="rId4"/>
    <sheet name="4.2" sheetId="1858" r:id="rId5"/>
    <sheet name="4.7" sheetId="1859" r:id="rId6"/>
    <sheet name="4.8" sheetId="1860" r:id="rId7"/>
    <sheet name="4.9" sheetId="1861" r:id="rId8"/>
    <sheet name="4.10" sheetId="1862" r:id="rId9"/>
    <sheet name="4.11" sheetId="1863" r:id="rId10"/>
    <sheet name="4.14" sheetId="1864" r:id="rId11"/>
    <sheet name="4.15" sheetId="1865" r:id="rId12"/>
    <sheet name="4.16" sheetId="1866" r:id="rId13"/>
    <sheet name="4.17" sheetId="1867" r:id="rId14"/>
    <sheet name="4.18" sheetId="1868" r:id="rId15"/>
    <sheet name="4.21" sheetId="1869" r:id="rId16"/>
    <sheet name="4.22" sheetId="1870" r:id="rId17"/>
    <sheet name="4.23" sheetId="1871" r:id="rId18"/>
    <sheet name="4.24" sheetId="1872" r:id="rId19"/>
    <sheet name="4.25" sheetId="1873" r:id="rId20"/>
    <sheet name="4.28" sheetId="1874" r:id="rId21"/>
    <sheet name="4.29" sheetId="1875" r:id="rId22"/>
    <sheet name="4.30" sheetId="1876" r:id="rId23"/>
  </sheets>
  <definedNames>
    <definedName name="_xlnm.Print_Area" localSheetId="2">'3.31'!$B$1:$AE$36</definedName>
    <definedName name="_xlnm.Print_Area" localSheetId="3">'4.1'!$B$1:$AE$36</definedName>
    <definedName name="_xlnm.Print_Area" localSheetId="8">'4.10'!$B$1:$AE$36</definedName>
    <definedName name="_xlnm.Print_Area" localSheetId="9">'4.11'!$B$1:$AE$36</definedName>
    <definedName name="_xlnm.Print_Area" localSheetId="10">'4.14'!$B$1:$AE$36</definedName>
    <definedName name="_xlnm.Print_Area" localSheetId="11">'4.15'!$B$1:$AE$36</definedName>
    <definedName name="_xlnm.Print_Area" localSheetId="12">'4.16'!$B$1:$AE$36</definedName>
    <definedName name="_xlnm.Print_Area" localSheetId="13">'4.17'!$B$1:$AE$36</definedName>
    <definedName name="_xlnm.Print_Area" localSheetId="14">'4.18'!$B$1:$AE$36</definedName>
    <definedName name="_xlnm.Print_Area" localSheetId="4">'4.2'!$B$1:$AE$36</definedName>
    <definedName name="_xlnm.Print_Area" localSheetId="15">'4.21'!$B$1:$AE$36</definedName>
    <definedName name="_xlnm.Print_Area" localSheetId="16">'4.22'!$B$1:$AE$36</definedName>
    <definedName name="_xlnm.Print_Area" localSheetId="17">'4.23'!$B$1:$AE$36</definedName>
    <definedName name="_xlnm.Print_Area" localSheetId="18">'4.24'!$B$1:$AE$36</definedName>
    <definedName name="_xlnm.Print_Area" localSheetId="19">'4.25'!$B$1:$AE$36</definedName>
    <definedName name="_xlnm.Print_Area" localSheetId="20">'4.28'!$B$1:$AE$36</definedName>
    <definedName name="_xlnm.Print_Area" localSheetId="21">'4.29'!$B$1:$AE$36</definedName>
    <definedName name="_xlnm.Print_Area" localSheetId="22">'4.30'!$B$1:$AE$36</definedName>
    <definedName name="_xlnm.Print_Area" localSheetId="5">'4.7'!$B$1:$AE$36</definedName>
    <definedName name="_xlnm.Print_Area" localSheetId="6">'4.8'!$B$1:$AE$36</definedName>
    <definedName name="_xlnm.Print_Area" localSheetId="7">'4.9'!$B$1:$AE$36</definedName>
    <definedName name="_xlnm.Print_Area" localSheetId="1">密度!$A$1:$W$51</definedName>
    <definedName name="_xlnm.Print_Area" localSheetId="0">新增!$A$1:$M$45</definedName>
    <definedName name="Z_512059F6_F0DC_4056_8FD0_37088AB81F9E_.wvu.PrintArea" localSheetId="2" hidden="1">'3.31'!$B$3:$AE$36</definedName>
    <definedName name="Z_512059F6_F0DC_4056_8FD0_37088AB81F9E_.wvu.PrintArea" localSheetId="3" hidden="1">'4.1'!$B$3:$AE$36</definedName>
    <definedName name="Z_512059F6_F0DC_4056_8FD0_37088AB81F9E_.wvu.PrintArea" localSheetId="8" hidden="1">'4.10'!$B$3:$AE$36</definedName>
    <definedName name="Z_512059F6_F0DC_4056_8FD0_37088AB81F9E_.wvu.PrintArea" localSheetId="9" hidden="1">'4.11'!$B$3:$AE$36</definedName>
    <definedName name="Z_512059F6_F0DC_4056_8FD0_37088AB81F9E_.wvu.PrintArea" localSheetId="10" hidden="1">'4.14'!$B$3:$AE$36</definedName>
    <definedName name="Z_512059F6_F0DC_4056_8FD0_37088AB81F9E_.wvu.PrintArea" localSheetId="11" hidden="1">'4.15'!$B$3:$AE$36</definedName>
    <definedName name="Z_512059F6_F0DC_4056_8FD0_37088AB81F9E_.wvu.PrintArea" localSheetId="12" hidden="1">'4.16'!$B$3:$AE$36</definedName>
    <definedName name="Z_512059F6_F0DC_4056_8FD0_37088AB81F9E_.wvu.PrintArea" localSheetId="13" hidden="1">'4.17'!$B$3:$AE$36</definedName>
    <definedName name="Z_512059F6_F0DC_4056_8FD0_37088AB81F9E_.wvu.PrintArea" localSheetId="14" hidden="1">'4.18'!$B$3:$AE$36</definedName>
    <definedName name="Z_512059F6_F0DC_4056_8FD0_37088AB81F9E_.wvu.PrintArea" localSheetId="4" hidden="1">'4.2'!$B$3:$AE$36</definedName>
    <definedName name="Z_512059F6_F0DC_4056_8FD0_37088AB81F9E_.wvu.PrintArea" localSheetId="15" hidden="1">'4.21'!$B$3:$AE$36</definedName>
    <definedName name="Z_512059F6_F0DC_4056_8FD0_37088AB81F9E_.wvu.PrintArea" localSheetId="16" hidden="1">'4.22'!$B$3:$AE$36</definedName>
    <definedName name="Z_512059F6_F0DC_4056_8FD0_37088AB81F9E_.wvu.PrintArea" localSheetId="17" hidden="1">'4.23'!$B$3:$AE$36</definedName>
    <definedName name="Z_512059F6_F0DC_4056_8FD0_37088AB81F9E_.wvu.PrintArea" localSheetId="18" hidden="1">'4.24'!$B$3:$AE$36</definedName>
    <definedName name="Z_512059F6_F0DC_4056_8FD0_37088AB81F9E_.wvu.PrintArea" localSheetId="19" hidden="1">'4.25'!$B$3:$AE$36</definedName>
    <definedName name="Z_512059F6_F0DC_4056_8FD0_37088AB81F9E_.wvu.PrintArea" localSheetId="20" hidden="1">'4.28'!$B$3:$AE$36</definedName>
    <definedName name="Z_512059F6_F0DC_4056_8FD0_37088AB81F9E_.wvu.PrintArea" localSheetId="21" hidden="1">'4.29'!$B$3:$AE$36</definedName>
    <definedName name="Z_512059F6_F0DC_4056_8FD0_37088AB81F9E_.wvu.PrintArea" localSheetId="22" hidden="1">'4.30'!$B$3:$AE$36</definedName>
    <definedName name="Z_512059F6_F0DC_4056_8FD0_37088AB81F9E_.wvu.PrintArea" localSheetId="5" hidden="1">'4.7'!$B$3:$AE$36</definedName>
    <definedName name="Z_512059F6_F0DC_4056_8FD0_37088AB81F9E_.wvu.PrintArea" localSheetId="6" hidden="1">'4.8'!$B$3:$AE$36</definedName>
    <definedName name="Z_512059F6_F0DC_4056_8FD0_37088AB81F9E_.wvu.PrintArea" localSheetId="7" hidden="1">'4.9'!$B$3:$AE$36</definedName>
    <definedName name="Z_68643476_8805_447E_8170_A582EA1D0343_.wvu.PrintArea" localSheetId="2" hidden="1">'3.31'!$B$3:$AE$36</definedName>
    <definedName name="Z_68643476_8805_447E_8170_A582EA1D0343_.wvu.PrintArea" localSheetId="3" hidden="1">'4.1'!$B$3:$AE$36</definedName>
    <definedName name="Z_68643476_8805_447E_8170_A582EA1D0343_.wvu.PrintArea" localSheetId="8" hidden="1">'4.10'!$B$3:$AE$36</definedName>
    <definedName name="Z_68643476_8805_447E_8170_A582EA1D0343_.wvu.PrintArea" localSheetId="9" hidden="1">'4.11'!$B$3:$AE$36</definedName>
    <definedName name="Z_68643476_8805_447E_8170_A582EA1D0343_.wvu.PrintArea" localSheetId="10" hidden="1">'4.14'!$B$3:$AE$36</definedName>
    <definedName name="Z_68643476_8805_447E_8170_A582EA1D0343_.wvu.PrintArea" localSheetId="11" hidden="1">'4.15'!$B$3:$AE$36</definedName>
    <definedName name="Z_68643476_8805_447E_8170_A582EA1D0343_.wvu.PrintArea" localSheetId="12" hidden="1">'4.16'!$B$3:$AE$36</definedName>
    <definedName name="Z_68643476_8805_447E_8170_A582EA1D0343_.wvu.PrintArea" localSheetId="13" hidden="1">'4.17'!$B$3:$AE$36</definedName>
    <definedName name="Z_68643476_8805_447E_8170_A582EA1D0343_.wvu.PrintArea" localSheetId="14" hidden="1">'4.18'!$B$3:$AE$36</definedName>
    <definedName name="Z_68643476_8805_447E_8170_A582EA1D0343_.wvu.PrintArea" localSheetId="4" hidden="1">'4.2'!$B$3:$AE$36</definedName>
    <definedName name="Z_68643476_8805_447E_8170_A582EA1D0343_.wvu.PrintArea" localSheetId="15" hidden="1">'4.21'!$B$3:$AE$36</definedName>
    <definedName name="Z_68643476_8805_447E_8170_A582EA1D0343_.wvu.PrintArea" localSheetId="16" hidden="1">'4.22'!$B$3:$AE$36</definedName>
    <definedName name="Z_68643476_8805_447E_8170_A582EA1D0343_.wvu.PrintArea" localSheetId="17" hidden="1">'4.23'!$B$3:$AE$36</definedName>
    <definedName name="Z_68643476_8805_447E_8170_A582EA1D0343_.wvu.PrintArea" localSheetId="18" hidden="1">'4.24'!$B$3:$AE$36</definedName>
    <definedName name="Z_68643476_8805_447E_8170_A582EA1D0343_.wvu.PrintArea" localSheetId="19" hidden="1">'4.25'!$B$3:$AE$36</definedName>
    <definedName name="Z_68643476_8805_447E_8170_A582EA1D0343_.wvu.PrintArea" localSheetId="20" hidden="1">'4.28'!$B$3:$AE$36</definedName>
    <definedName name="Z_68643476_8805_447E_8170_A582EA1D0343_.wvu.PrintArea" localSheetId="21" hidden="1">'4.29'!$B$3:$AE$36</definedName>
    <definedName name="Z_68643476_8805_447E_8170_A582EA1D0343_.wvu.PrintArea" localSheetId="22" hidden="1">'4.30'!$B$3:$AE$36</definedName>
    <definedName name="Z_68643476_8805_447E_8170_A582EA1D0343_.wvu.PrintArea" localSheetId="5" hidden="1">'4.7'!$B$3:$AE$36</definedName>
    <definedName name="Z_68643476_8805_447E_8170_A582EA1D0343_.wvu.PrintArea" localSheetId="6" hidden="1">'4.8'!$B$3:$AE$36</definedName>
    <definedName name="Z_68643476_8805_447E_8170_A582EA1D0343_.wvu.PrintArea" localSheetId="7" hidden="1">'4.9'!$B$3:$AE$36</definedName>
    <definedName name="Z_8E5926ED_4EBD_4129_B8FF_799CC47580D7_.wvu.PrintArea" localSheetId="2" hidden="1">'3.31'!$B$3:$AE$36</definedName>
    <definedName name="Z_8E5926ED_4EBD_4129_B8FF_799CC47580D7_.wvu.PrintArea" localSheetId="3" hidden="1">'4.1'!$B$3:$AE$36</definedName>
    <definedName name="Z_8E5926ED_4EBD_4129_B8FF_799CC47580D7_.wvu.PrintArea" localSheetId="8" hidden="1">'4.10'!$B$3:$AE$36</definedName>
    <definedName name="Z_8E5926ED_4EBD_4129_B8FF_799CC47580D7_.wvu.PrintArea" localSheetId="9" hidden="1">'4.11'!$B$3:$AE$36</definedName>
    <definedName name="Z_8E5926ED_4EBD_4129_B8FF_799CC47580D7_.wvu.PrintArea" localSheetId="10" hidden="1">'4.14'!$B$3:$AE$36</definedName>
    <definedName name="Z_8E5926ED_4EBD_4129_B8FF_799CC47580D7_.wvu.PrintArea" localSheetId="11" hidden="1">'4.15'!$B$3:$AE$36</definedName>
    <definedName name="Z_8E5926ED_4EBD_4129_B8FF_799CC47580D7_.wvu.PrintArea" localSheetId="12" hidden="1">'4.16'!$B$3:$AE$36</definedName>
    <definedName name="Z_8E5926ED_4EBD_4129_B8FF_799CC47580D7_.wvu.PrintArea" localSheetId="13" hidden="1">'4.17'!$B$3:$AE$36</definedName>
    <definedName name="Z_8E5926ED_4EBD_4129_B8FF_799CC47580D7_.wvu.PrintArea" localSheetId="14" hidden="1">'4.18'!$B$3:$AE$36</definedName>
    <definedName name="Z_8E5926ED_4EBD_4129_B8FF_799CC47580D7_.wvu.PrintArea" localSheetId="4" hidden="1">'4.2'!$B$3:$AE$36</definedName>
    <definedName name="Z_8E5926ED_4EBD_4129_B8FF_799CC47580D7_.wvu.PrintArea" localSheetId="15" hidden="1">'4.21'!$B$3:$AE$36</definedName>
    <definedName name="Z_8E5926ED_4EBD_4129_B8FF_799CC47580D7_.wvu.PrintArea" localSheetId="16" hidden="1">'4.22'!$B$3:$AE$36</definedName>
    <definedName name="Z_8E5926ED_4EBD_4129_B8FF_799CC47580D7_.wvu.PrintArea" localSheetId="17" hidden="1">'4.23'!$B$3:$AE$36</definedName>
    <definedName name="Z_8E5926ED_4EBD_4129_B8FF_799CC47580D7_.wvu.PrintArea" localSheetId="18" hidden="1">'4.24'!$B$3:$AE$36</definedName>
    <definedName name="Z_8E5926ED_4EBD_4129_B8FF_799CC47580D7_.wvu.PrintArea" localSheetId="19" hidden="1">'4.25'!$B$3:$AE$36</definedName>
    <definedName name="Z_8E5926ED_4EBD_4129_B8FF_799CC47580D7_.wvu.PrintArea" localSheetId="20" hidden="1">'4.28'!$B$3:$AE$36</definedName>
    <definedName name="Z_8E5926ED_4EBD_4129_B8FF_799CC47580D7_.wvu.PrintArea" localSheetId="21" hidden="1">'4.29'!$B$3:$AE$36</definedName>
    <definedName name="Z_8E5926ED_4EBD_4129_B8FF_799CC47580D7_.wvu.PrintArea" localSheetId="22" hidden="1">'4.30'!$B$3:$AE$36</definedName>
    <definedName name="Z_8E5926ED_4EBD_4129_B8FF_799CC47580D7_.wvu.PrintArea" localSheetId="5" hidden="1">'4.7'!$B$3:$AE$36</definedName>
    <definedName name="Z_8E5926ED_4EBD_4129_B8FF_799CC47580D7_.wvu.PrintArea" localSheetId="6" hidden="1">'4.8'!$B$3:$AE$36</definedName>
    <definedName name="Z_8E5926ED_4EBD_4129_B8FF_799CC47580D7_.wvu.PrintArea" localSheetId="7" hidden="1">'4.9'!$B$3:$AE$36</definedName>
    <definedName name="Z_8FA8B620_C56C_11DB_A857_00055D5FD5FF_.wvu.PrintArea" localSheetId="2" hidden="1">'3.31'!$B$3:$AE$36</definedName>
    <definedName name="Z_8FA8B620_C56C_11DB_A857_00055D5FD5FF_.wvu.PrintArea" localSheetId="3" hidden="1">'4.1'!$B$3:$AE$36</definedName>
    <definedName name="Z_8FA8B620_C56C_11DB_A857_00055D5FD5FF_.wvu.PrintArea" localSheetId="8" hidden="1">'4.10'!$B$3:$AE$36</definedName>
    <definedName name="Z_8FA8B620_C56C_11DB_A857_00055D5FD5FF_.wvu.PrintArea" localSheetId="9" hidden="1">'4.11'!$B$3:$AE$36</definedName>
    <definedName name="Z_8FA8B620_C56C_11DB_A857_00055D5FD5FF_.wvu.PrintArea" localSheetId="10" hidden="1">'4.14'!$B$3:$AE$36</definedName>
    <definedName name="Z_8FA8B620_C56C_11DB_A857_00055D5FD5FF_.wvu.PrintArea" localSheetId="11" hidden="1">'4.15'!$B$3:$AE$36</definedName>
    <definedName name="Z_8FA8B620_C56C_11DB_A857_00055D5FD5FF_.wvu.PrintArea" localSheetId="12" hidden="1">'4.16'!$B$3:$AE$36</definedName>
    <definedName name="Z_8FA8B620_C56C_11DB_A857_00055D5FD5FF_.wvu.PrintArea" localSheetId="13" hidden="1">'4.17'!$B$3:$AE$36</definedName>
    <definedName name="Z_8FA8B620_C56C_11DB_A857_00055D5FD5FF_.wvu.PrintArea" localSheetId="14" hidden="1">'4.18'!$B$3:$AE$36</definedName>
    <definedName name="Z_8FA8B620_C56C_11DB_A857_00055D5FD5FF_.wvu.PrintArea" localSheetId="4" hidden="1">'4.2'!$B$3:$AE$36</definedName>
    <definedName name="Z_8FA8B620_C56C_11DB_A857_00055D5FD5FF_.wvu.PrintArea" localSheetId="15" hidden="1">'4.21'!$B$3:$AE$36</definedName>
    <definedName name="Z_8FA8B620_C56C_11DB_A857_00055D5FD5FF_.wvu.PrintArea" localSheetId="16" hidden="1">'4.22'!$B$3:$AE$36</definedName>
    <definedName name="Z_8FA8B620_C56C_11DB_A857_00055D5FD5FF_.wvu.PrintArea" localSheetId="17" hidden="1">'4.23'!$B$3:$AE$36</definedName>
    <definedName name="Z_8FA8B620_C56C_11DB_A857_00055D5FD5FF_.wvu.PrintArea" localSheetId="18" hidden="1">'4.24'!$B$3:$AE$36</definedName>
    <definedName name="Z_8FA8B620_C56C_11DB_A857_00055D5FD5FF_.wvu.PrintArea" localSheetId="19" hidden="1">'4.25'!$B$3:$AE$36</definedName>
    <definedName name="Z_8FA8B620_C56C_11DB_A857_00055D5FD5FF_.wvu.PrintArea" localSheetId="20" hidden="1">'4.28'!$B$3:$AE$36</definedName>
    <definedName name="Z_8FA8B620_C56C_11DB_A857_00055D5FD5FF_.wvu.PrintArea" localSheetId="21" hidden="1">'4.29'!$B$3:$AE$36</definedName>
    <definedName name="Z_8FA8B620_C56C_11DB_A857_00055D5FD5FF_.wvu.PrintArea" localSheetId="22" hidden="1">'4.30'!$B$3:$AE$36</definedName>
    <definedName name="Z_8FA8B620_C56C_11DB_A857_00055D5FD5FF_.wvu.PrintArea" localSheetId="5" hidden="1">'4.7'!$B$3:$AE$36</definedName>
    <definedName name="Z_8FA8B620_C56C_11DB_A857_00055D5FD5FF_.wvu.PrintArea" localSheetId="6" hidden="1">'4.8'!$B$3:$AE$36</definedName>
    <definedName name="Z_8FA8B620_C56C_11DB_A857_00055D5FD5FF_.wvu.PrintArea" localSheetId="7" hidden="1">'4.9'!$B$3:$AE$36</definedName>
    <definedName name="Z_A3DB5619_047E_4CE2_8C39_700CFD25F2CB_.wvu.PrintArea" localSheetId="2" hidden="1">'3.31'!$B$3:$AE$36</definedName>
    <definedName name="Z_A3DB5619_047E_4CE2_8C39_700CFD25F2CB_.wvu.PrintArea" localSheetId="3" hidden="1">'4.1'!$B$3:$AE$36</definedName>
    <definedName name="Z_A3DB5619_047E_4CE2_8C39_700CFD25F2CB_.wvu.PrintArea" localSheetId="8" hidden="1">'4.10'!$B$3:$AE$36</definedName>
    <definedName name="Z_A3DB5619_047E_4CE2_8C39_700CFD25F2CB_.wvu.PrintArea" localSheetId="9" hidden="1">'4.11'!$B$3:$AE$36</definedName>
    <definedName name="Z_A3DB5619_047E_4CE2_8C39_700CFD25F2CB_.wvu.PrintArea" localSheetId="10" hidden="1">'4.14'!$B$3:$AE$36</definedName>
    <definedName name="Z_A3DB5619_047E_4CE2_8C39_700CFD25F2CB_.wvu.PrintArea" localSheetId="11" hidden="1">'4.15'!$B$3:$AE$36</definedName>
    <definedName name="Z_A3DB5619_047E_4CE2_8C39_700CFD25F2CB_.wvu.PrintArea" localSheetId="12" hidden="1">'4.16'!$B$3:$AE$36</definedName>
    <definedName name="Z_A3DB5619_047E_4CE2_8C39_700CFD25F2CB_.wvu.PrintArea" localSheetId="13" hidden="1">'4.17'!$B$3:$AE$36</definedName>
    <definedName name="Z_A3DB5619_047E_4CE2_8C39_700CFD25F2CB_.wvu.PrintArea" localSheetId="14" hidden="1">'4.18'!$B$3:$AE$36</definedName>
    <definedName name="Z_A3DB5619_047E_4CE2_8C39_700CFD25F2CB_.wvu.PrintArea" localSheetId="4" hidden="1">'4.2'!$B$3:$AE$36</definedName>
    <definedName name="Z_A3DB5619_047E_4CE2_8C39_700CFD25F2CB_.wvu.PrintArea" localSheetId="15" hidden="1">'4.21'!$B$3:$AE$36</definedName>
    <definedName name="Z_A3DB5619_047E_4CE2_8C39_700CFD25F2CB_.wvu.PrintArea" localSheetId="16" hidden="1">'4.22'!$B$3:$AE$36</definedName>
    <definedName name="Z_A3DB5619_047E_4CE2_8C39_700CFD25F2CB_.wvu.PrintArea" localSheetId="17" hidden="1">'4.23'!$B$3:$AE$36</definedName>
    <definedName name="Z_A3DB5619_047E_4CE2_8C39_700CFD25F2CB_.wvu.PrintArea" localSheetId="18" hidden="1">'4.24'!$B$3:$AE$36</definedName>
    <definedName name="Z_A3DB5619_047E_4CE2_8C39_700CFD25F2CB_.wvu.PrintArea" localSheetId="19" hidden="1">'4.25'!$B$3:$AE$36</definedName>
    <definedName name="Z_A3DB5619_047E_4CE2_8C39_700CFD25F2CB_.wvu.PrintArea" localSheetId="20" hidden="1">'4.28'!$B$3:$AE$36</definedName>
    <definedName name="Z_A3DB5619_047E_4CE2_8C39_700CFD25F2CB_.wvu.PrintArea" localSheetId="21" hidden="1">'4.29'!$B$3:$AE$36</definedName>
    <definedName name="Z_A3DB5619_047E_4CE2_8C39_700CFD25F2CB_.wvu.PrintArea" localSheetId="22" hidden="1">'4.30'!$B$3:$AE$36</definedName>
    <definedName name="Z_A3DB5619_047E_4CE2_8C39_700CFD25F2CB_.wvu.PrintArea" localSheetId="5" hidden="1">'4.7'!$B$3:$AE$36</definedName>
    <definedName name="Z_A3DB5619_047E_4CE2_8C39_700CFD25F2CB_.wvu.PrintArea" localSheetId="6" hidden="1">'4.8'!$B$3:$AE$36</definedName>
    <definedName name="Z_A3DB5619_047E_4CE2_8C39_700CFD25F2CB_.wvu.PrintArea" localSheetId="7" hidden="1">'4.9'!$B$3:$AE$36</definedName>
    <definedName name="Z_D903F940_B812_11DB_B168_0010B575B8B2_.wvu.PrintArea" localSheetId="2" hidden="1">'3.31'!$B$3:$AE$36</definedName>
    <definedName name="Z_D903F940_B812_11DB_B168_0010B575B8B2_.wvu.PrintArea" localSheetId="3" hidden="1">'4.1'!$B$3:$AE$36</definedName>
    <definedName name="Z_D903F940_B812_11DB_B168_0010B575B8B2_.wvu.PrintArea" localSheetId="8" hidden="1">'4.10'!$B$3:$AE$36</definedName>
    <definedName name="Z_D903F940_B812_11DB_B168_0010B575B8B2_.wvu.PrintArea" localSheetId="9" hidden="1">'4.11'!$B$3:$AE$36</definedName>
    <definedName name="Z_D903F940_B812_11DB_B168_0010B575B8B2_.wvu.PrintArea" localSheetId="10" hidden="1">'4.14'!$B$3:$AE$36</definedName>
    <definedName name="Z_D903F940_B812_11DB_B168_0010B575B8B2_.wvu.PrintArea" localSheetId="11" hidden="1">'4.15'!$B$3:$AE$36</definedName>
    <definedName name="Z_D903F940_B812_11DB_B168_0010B575B8B2_.wvu.PrintArea" localSheetId="12" hidden="1">'4.16'!$B$3:$AE$36</definedName>
    <definedName name="Z_D903F940_B812_11DB_B168_0010B575B8B2_.wvu.PrintArea" localSheetId="13" hidden="1">'4.17'!$B$3:$AE$36</definedName>
    <definedName name="Z_D903F940_B812_11DB_B168_0010B575B8B2_.wvu.PrintArea" localSheetId="14" hidden="1">'4.18'!$B$3:$AE$36</definedName>
    <definedName name="Z_D903F940_B812_11DB_B168_0010B575B8B2_.wvu.PrintArea" localSheetId="4" hidden="1">'4.2'!$B$3:$AE$36</definedName>
    <definedName name="Z_D903F940_B812_11DB_B168_0010B575B8B2_.wvu.PrintArea" localSheetId="15" hidden="1">'4.21'!$B$3:$AE$36</definedName>
    <definedName name="Z_D903F940_B812_11DB_B168_0010B575B8B2_.wvu.PrintArea" localSheetId="16" hidden="1">'4.22'!$B$3:$AE$36</definedName>
    <definedName name="Z_D903F940_B812_11DB_B168_0010B575B8B2_.wvu.PrintArea" localSheetId="17" hidden="1">'4.23'!$B$3:$AE$36</definedName>
    <definedName name="Z_D903F940_B812_11DB_B168_0010B575B8B2_.wvu.PrintArea" localSheetId="18" hidden="1">'4.24'!$B$3:$AE$36</definedName>
    <definedName name="Z_D903F940_B812_11DB_B168_0010B575B8B2_.wvu.PrintArea" localSheetId="19" hidden="1">'4.25'!$B$3:$AE$36</definedName>
    <definedName name="Z_D903F940_B812_11DB_B168_0010B575B8B2_.wvu.PrintArea" localSheetId="20" hidden="1">'4.28'!$B$3:$AE$36</definedName>
    <definedName name="Z_D903F940_B812_11DB_B168_0010B575B8B2_.wvu.PrintArea" localSheetId="21" hidden="1">'4.29'!$B$3:$AE$36</definedName>
    <definedName name="Z_D903F940_B812_11DB_B168_0010B575B8B2_.wvu.PrintArea" localSheetId="22" hidden="1">'4.30'!$B$3:$AE$36</definedName>
    <definedName name="Z_D903F940_B812_11DB_B168_0010B575B8B2_.wvu.PrintArea" localSheetId="5" hidden="1">'4.7'!$B$3:$AE$36</definedName>
    <definedName name="Z_D903F940_B812_11DB_B168_0010B575B8B2_.wvu.PrintArea" localSheetId="6" hidden="1">'4.8'!$B$3:$AE$36</definedName>
    <definedName name="Z_D903F940_B812_11DB_B168_0010B575B8B2_.wvu.PrintArea" localSheetId="7" hidden="1">'4.9'!$B$3:$AE$36</definedName>
    <definedName name="取樣回收每月庫存表" localSheetId="2" hidden="1">'3.31'!#REF!</definedName>
    <definedName name="取樣回收每月庫存表" localSheetId="3" hidden="1">'4.1'!#REF!</definedName>
    <definedName name="取樣回收每月庫存表" localSheetId="8" hidden="1">'4.10'!#REF!</definedName>
    <definedName name="取樣回收每月庫存表" localSheetId="9" hidden="1">'4.11'!#REF!</definedName>
    <definedName name="取樣回收每月庫存表" localSheetId="10" hidden="1">'4.14'!#REF!</definedName>
    <definedName name="取樣回收每月庫存表" localSheetId="11" hidden="1">'4.15'!#REF!</definedName>
    <definedName name="取樣回收每月庫存表" localSheetId="12" hidden="1">'4.16'!#REF!</definedName>
    <definedName name="取樣回收每月庫存表" localSheetId="13" hidden="1">'4.17'!#REF!</definedName>
    <definedName name="取樣回收每月庫存表" localSheetId="14" hidden="1">'4.18'!#REF!</definedName>
    <definedName name="取樣回收每月庫存表" localSheetId="4" hidden="1">'4.2'!#REF!</definedName>
    <definedName name="取樣回收每月庫存表" localSheetId="15" hidden="1">'4.21'!#REF!</definedName>
    <definedName name="取樣回收每月庫存表" localSheetId="16" hidden="1">'4.22'!#REF!</definedName>
    <definedName name="取樣回收每月庫存表" localSheetId="17" hidden="1">'4.23'!#REF!</definedName>
    <definedName name="取樣回收每月庫存表" localSheetId="18" hidden="1">'4.24'!#REF!</definedName>
    <definedName name="取樣回收每月庫存表" localSheetId="19" hidden="1">'4.25'!#REF!</definedName>
    <definedName name="取樣回收每月庫存表" localSheetId="20" hidden="1">'4.28'!#REF!</definedName>
    <definedName name="取樣回收每月庫存表" localSheetId="21" hidden="1">'4.29'!#REF!</definedName>
    <definedName name="取樣回收每月庫存表" localSheetId="22" hidden="1">'4.30'!#REF!</definedName>
    <definedName name="取樣回收每月庫存表" localSheetId="5" hidden="1">'4.7'!#REF!</definedName>
    <definedName name="取樣回收每月庫存表" localSheetId="6" hidden="1">'4.8'!#REF!</definedName>
    <definedName name="取樣回收每月庫存表" localSheetId="7" hidden="1">'4.9'!#REF!</definedName>
    <definedName name="取樣回收每月庫存表_0620更新" localSheetId="2" hidden="1">'3.31'!$AG$13:$BH$189</definedName>
    <definedName name="取樣回收每月庫存表_0620更新" localSheetId="3" hidden="1">'4.1'!$AG$13:$BH$189</definedName>
    <definedName name="取樣回收每月庫存表_0620更新" localSheetId="8" hidden="1">'4.10'!$AG$13:$BH$189</definedName>
    <definedName name="取樣回收每月庫存表_0620更新" localSheetId="9" hidden="1">'4.11'!$AG$13:$BH$189</definedName>
    <definedName name="取樣回收每月庫存表_0620更新" localSheetId="10" hidden="1">'4.14'!$AG$13:$BH$189</definedName>
    <definedName name="取樣回收每月庫存表_0620更新" localSheetId="11" hidden="1">'4.15'!$AG$13:$BH$189</definedName>
    <definedName name="取樣回收每月庫存表_0620更新" localSheetId="12" hidden="1">'4.16'!$AG$13:$BH$189</definedName>
    <definedName name="取樣回收每月庫存表_0620更新" localSheetId="13" hidden="1">'4.17'!$AG$13:$BH$189</definedName>
    <definedName name="取樣回收每月庫存表_0620更新" localSheetId="14" hidden="1">'4.18'!$AG$13:$BH$189</definedName>
    <definedName name="取樣回收每月庫存表_0620更新" localSheetId="4" hidden="1">'4.2'!$AG$13:$BH$189</definedName>
    <definedName name="取樣回收每月庫存表_0620更新" localSheetId="15" hidden="1">'4.21'!$AG$13:$BH$189</definedName>
    <definedName name="取樣回收每月庫存表_0620更新" localSheetId="16" hidden="1">'4.22'!$AG$13:$BH$189</definedName>
    <definedName name="取樣回收每月庫存表_0620更新" localSheetId="17" hidden="1">'4.23'!$AG$13:$BH$189</definedName>
    <definedName name="取樣回收每月庫存表_0620更新" localSheetId="18" hidden="1">'4.24'!$AG$13:$BH$189</definedName>
    <definedName name="取樣回收每月庫存表_0620更新" localSheetId="19" hidden="1">'4.25'!$AG$13:$BH$189</definedName>
    <definedName name="取樣回收每月庫存表_0620更新" localSheetId="20" hidden="1">'4.28'!$AG$13:$BH$189</definedName>
    <definedName name="取樣回收每月庫存表_0620更新" localSheetId="21" hidden="1">'4.29'!$AG$13:$BH$189</definedName>
    <definedName name="取樣回收每月庫存表_0620更新" localSheetId="22" hidden="1">'4.30'!$AG$13:$BH$189</definedName>
    <definedName name="取樣回收每月庫存表_0620更新" localSheetId="5" hidden="1">'4.7'!$AG$13:$BH$189</definedName>
    <definedName name="取樣回收每月庫存表_0620更新" localSheetId="6" hidden="1">'4.8'!$AG$13:$BH$189</definedName>
    <definedName name="取樣回收每月庫存表_0620更新" localSheetId="7" hidden="1">'4.9'!$AG$13:$BH$189</definedName>
    <definedName name="複本_14_取樣回收每月庫存表" localSheetId="2" hidden="1">'3.31'!#REF!</definedName>
    <definedName name="複本_14_取樣回收每月庫存表" localSheetId="3" hidden="1">'4.1'!#REF!</definedName>
    <definedName name="複本_14_取樣回收每月庫存表" localSheetId="8" hidden="1">'4.10'!#REF!</definedName>
    <definedName name="複本_14_取樣回收每月庫存表" localSheetId="9" hidden="1">'4.11'!#REF!</definedName>
    <definedName name="複本_14_取樣回收每月庫存表" localSheetId="10" hidden="1">'4.14'!#REF!</definedName>
    <definedName name="複本_14_取樣回收每月庫存表" localSheetId="11" hidden="1">'4.15'!#REF!</definedName>
    <definedName name="複本_14_取樣回收每月庫存表" localSheetId="12" hidden="1">'4.16'!#REF!</definedName>
    <definedName name="複本_14_取樣回收每月庫存表" localSheetId="13" hidden="1">'4.17'!#REF!</definedName>
    <definedName name="複本_14_取樣回收每月庫存表" localSheetId="14" hidden="1">'4.18'!#REF!</definedName>
    <definedName name="複本_14_取樣回收每月庫存表" localSheetId="4" hidden="1">'4.2'!#REF!</definedName>
    <definedName name="複本_14_取樣回收每月庫存表" localSheetId="15" hidden="1">'4.21'!#REF!</definedName>
    <definedName name="複本_14_取樣回收每月庫存表" localSheetId="16" hidden="1">'4.22'!#REF!</definedName>
    <definedName name="複本_14_取樣回收每月庫存表" localSheetId="17" hidden="1">'4.23'!#REF!</definedName>
    <definedName name="複本_14_取樣回收每月庫存表" localSheetId="18" hidden="1">'4.24'!#REF!</definedName>
    <definedName name="複本_14_取樣回收每月庫存表" localSheetId="19" hidden="1">'4.25'!#REF!</definedName>
    <definedName name="複本_14_取樣回收每月庫存表" localSheetId="20" hidden="1">'4.28'!#REF!</definedName>
    <definedName name="複本_14_取樣回收每月庫存表" localSheetId="21" hidden="1">'4.29'!#REF!</definedName>
    <definedName name="複本_14_取樣回收每月庫存表" localSheetId="22" hidden="1">'4.30'!#REF!</definedName>
    <definedName name="複本_14_取樣回收每月庫存表" localSheetId="5" hidden="1">'4.7'!#REF!</definedName>
    <definedName name="複本_14_取樣回收每月庫存表" localSheetId="6" hidden="1">'4.8'!#REF!</definedName>
    <definedName name="複本_14_取樣回收每月庫存表" localSheetId="7" hidden="1">'4.9'!#REF!</definedName>
  </definedNames>
  <calcPr calcId="162913"/>
</workbook>
</file>

<file path=xl/calcChain.xml><?xml version="1.0" encoding="utf-8"?>
<calcChain xmlns="http://schemas.openxmlformats.org/spreadsheetml/2006/main">
  <c r="AA33" i="1876" l="1"/>
  <c r="X33" i="1876"/>
  <c r="U33" i="1876"/>
  <c r="R33" i="1876"/>
  <c r="P33" i="1876"/>
  <c r="O33" i="1876"/>
  <c r="L33" i="1876"/>
  <c r="F33" i="1876"/>
  <c r="Y28" i="1876"/>
  <c r="X28" i="1876"/>
  <c r="W28" i="1876"/>
  <c r="V28" i="1876"/>
  <c r="U28" i="1876"/>
  <c r="T28" i="1876"/>
  <c r="S28" i="1876"/>
  <c r="R28" i="1876"/>
  <c r="Q28" i="1876"/>
  <c r="P28" i="1876"/>
  <c r="O28" i="1876"/>
  <c r="N28" i="1876"/>
  <c r="M28" i="1876"/>
  <c r="L28" i="1876"/>
  <c r="K28" i="1876"/>
  <c r="J28" i="1876"/>
  <c r="I28" i="1876"/>
  <c r="H28" i="1876"/>
  <c r="G28" i="1876"/>
  <c r="F28" i="1876"/>
  <c r="E28" i="1876"/>
  <c r="D28" i="1876"/>
  <c r="Y25" i="1876"/>
  <c r="X25" i="1876"/>
  <c r="W25" i="1876"/>
  <c r="V25" i="1876"/>
  <c r="U25" i="1876"/>
  <c r="T25" i="1876"/>
  <c r="S25" i="1876"/>
  <c r="R25" i="1876"/>
  <c r="Q25" i="1876"/>
  <c r="P25" i="1876"/>
  <c r="O25" i="1876"/>
  <c r="N25" i="1876"/>
  <c r="M25" i="1876"/>
  <c r="L25" i="1876"/>
  <c r="K25" i="1876"/>
  <c r="J25" i="1876"/>
  <c r="I25" i="1876"/>
  <c r="H25" i="1876"/>
  <c r="G25" i="1876"/>
  <c r="F25" i="1876"/>
  <c r="E25" i="1876"/>
  <c r="D25" i="1876"/>
  <c r="AE19" i="1876"/>
  <c r="AD19" i="1876"/>
  <c r="AC19" i="1876"/>
  <c r="AB19" i="1876"/>
  <c r="AA19" i="1876"/>
  <c r="Z19" i="1876"/>
  <c r="Y19" i="1876"/>
  <c r="X19" i="1876"/>
  <c r="T33" i="1876" s="1"/>
  <c r="W19" i="1876"/>
  <c r="V19" i="1876"/>
  <c r="U19" i="1876"/>
  <c r="T19" i="1876"/>
  <c r="S19" i="1876"/>
  <c r="R19" i="1876"/>
  <c r="Q19" i="1876"/>
  <c r="P19" i="1876"/>
  <c r="O19" i="1876"/>
  <c r="N19" i="1876"/>
  <c r="H33" i="1876" s="1"/>
  <c r="M19" i="1876"/>
  <c r="L19" i="1876"/>
  <c r="K19" i="1876"/>
  <c r="J19" i="1876"/>
  <c r="I19" i="1876"/>
  <c r="AB33" i="1876" s="1"/>
  <c r="H19" i="1876"/>
  <c r="G19" i="1876"/>
  <c r="F19" i="1876"/>
  <c r="E19" i="1876"/>
  <c r="D19" i="1876"/>
  <c r="AE16" i="1876"/>
  <c r="AD16" i="1876"/>
  <c r="AC16" i="1876"/>
  <c r="AB16" i="1876"/>
  <c r="AA16" i="1876"/>
  <c r="Z16" i="1876"/>
  <c r="Y16" i="1876"/>
  <c r="X16" i="1876"/>
  <c r="W16" i="1876"/>
  <c r="V16" i="1876"/>
  <c r="U16" i="1876"/>
  <c r="T16" i="1876"/>
  <c r="S16" i="1876"/>
  <c r="R16" i="1876"/>
  <c r="Q16" i="1876"/>
  <c r="P16" i="1876"/>
  <c r="O16" i="1876"/>
  <c r="N16" i="1876"/>
  <c r="M16" i="1876"/>
  <c r="L16" i="1876"/>
  <c r="K16" i="1876"/>
  <c r="J16" i="1876"/>
  <c r="I16" i="1876"/>
  <c r="H16" i="1876"/>
  <c r="G16" i="1876"/>
  <c r="F16" i="1876"/>
  <c r="E16" i="1876"/>
  <c r="D16" i="1876"/>
  <c r="AE10" i="1876"/>
  <c r="AD10" i="1876"/>
  <c r="AC33" i="1876" s="1"/>
  <c r="AC10" i="1876"/>
  <c r="AB10" i="1876"/>
  <c r="AA10" i="1876"/>
  <c r="Z10" i="1876"/>
  <c r="Y10" i="1876"/>
  <c r="X10" i="1876"/>
  <c r="W10" i="1876"/>
  <c r="V10" i="1876"/>
  <c r="U10" i="1876"/>
  <c r="T10" i="1876"/>
  <c r="S10" i="1876"/>
  <c r="R10" i="1876"/>
  <c r="Q10" i="1876"/>
  <c r="P10" i="1876"/>
  <c r="O10" i="1876"/>
  <c r="N10" i="1876"/>
  <c r="M10" i="1876"/>
  <c r="E33" i="1876" s="1"/>
  <c r="L10" i="1876"/>
  <c r="K10" i="1876"/>
  <c r="J10" i="1876"/>
  <c r="I10" i="1876"/>
  <c r="H10" i="1876"/>
  <c r="G10" i="1876"/>
  <c r="F10" i="1876"/>
  <c r="J33" i="1876" s="1"/>
  <c r="E10" i="1876"/>
  <c r="S33" i="1876" s="1"/>
  <c r="D10" i="1876"/>
  <c r="AE7" i="1876"/>
  <c r="AD7" i="1876"/>
  <c r="AC7" i="1876"/>
  <c r="AB7" i="1876"/>
  <c r="AA7" i="1876"/>
  <c r="Z7" i="1876"/>
  <c r="Y7" i="1876"/>
  <c r="X7" i="1876"/>
  <c r="W7" i="1876"/>
  <c r="V7" i="1876"/>
  <c r="U7" i="1876"/>
  <c r="T7" i="1876"/>
  <c r="S7" i="1876"/>
  <c r="R7" i="1876"/>
  <c r="Q7" i="1876"/>
  <c r="P7" i="1876"/>
  <c r="O7" i="1876"/>
  <c r="N7" i="1876"/>
  <c r="M7" i="1876"/>
  <c r="L7" i="1876"/>
  <c r="K7" i="1876"/>
  <c r="J7" i="1876"/>
  <c r="I7" i="1876"/>
  <c r="H7" i="1876"/>
  <c r="G7" i="1876"/>
  <c r="F7" i="1876"/>
  <c r="E7" i="1876"/>
  <c r="D7" i="1876"/>
  <c r="V33" i="1876" l="1"/>
  <c r="K33" i="1876"/>
  <c r="W33" i="1876"/>
  <c r="D33" i="1876"/>
  <c r="Z33" i="1876"/>
  <c r="Y33" i="1876"/>
  <c r="N33" i="1876"/>
  <c r="Q33" i="1876"/>
  <c r="M33" i="1876"/>
  <c r="AA33" i="1875"/>
  <c r="X33" i="1875"/>
  <c r="U33" i="1875"/>
  <c r="R33" i="1875"/>
  <c r="O33" i="1875"/>
  <c r="L33" i="1875"/>
  <c r="F33" i="1875"/>
  <c r="Y28" i="1875"/>
  <c r="X28" i="1875"/>
  <c r="W28" i="1875"/>
  <c r="V28" i="1875"/>
  <c r="U28" i="1875"/>
  <c r="T28" i="1875"/>
  <c r="S28" i="1875"/>
  <c r="R28" i="1875"/>
  <c r="Q28" i="1875"/>
  <c r="P28" i="1875"/>
  <c r="O28" i="1875"/>
  <c r="N28" i="1875"/>
  <c r="M28" i="1875"/>
  <c r="L28" i="1875"/>
  <c r="K28" i="1875"/>
  <c r="J28" i="1875"/>
  <c r="I28" i="1875"/>
  <c r="H28" i="1875"/>
  <c r="G28" i="1875"/>
  <c r="F28" i="1875"/>
  <c r="E28" i="1875"/>
  <c r="D28" i="1875"/>
  <c r="Y25" i="1875"/>
  <c r="X25" i="1875"/>
  <c r="W25" i="1875"/>
  <c r="V25" i="1875"/>
  <c r="U25" i="1875"/>
  <c r="T25" i="1875"/>
  <c r="S25" i="1875"/>
  <c r="R25" i="1875"/>
  <c r="Q25" i="1875"/>
  <c r="P25" i="1875"/>
  <c r="O25" i="1875"/>
  <c r="N25" i="1875"/>
  <c r="M25" i="1875"/>
  <c r="L25" i="1875"/>
  <c r="K25" i="1875"/>
  <c r="J25" i="1875"/>
  <c r="I25" i="1875"/>
  <c r="H25" i="1875"/>
  <c r="G25" i="1875"/>
  <c r="F25" i="1875"/>
  <c r="E25" i="1875"/>
  <c r="D25" i="1875"/>
  <c r="AE19" i="1875"/>
  <c r="AD19" i="1875"/>
  <c r="AC19" i="1875"/>
  <c r="AB19" i="1875"/>
  <c r="AA19" i="1875"/>
  <c r="Z19" i="1875"/>
  <c r="Y19" i="1875"/>
  <c r="X19" i="1875"/>
  <c r="T33" i="1875" s="1"/>
  <c r="W19" i="1875"/>
  <c r="V19" i="1875"/>
  <c r="U19" i="1875"/>
  <c r="T19" i="1875"/>
  <c r="S19" i="1875"/>
  <c r="R19" i="1875"/>
  <c r="Q19" i="1875"/>
  <c r="P19" i="1875"/>
  <c r="O19" i="1875"/>
  <c r="N19" i="1875"/>
  <c r="H33" i="1875" s="1"/>
  <c r="M19" i="1875"/>
  <c r="L19" i="1875"/>
  <c r="P33" i="1875" s="1"/>
  <c r="K19" i="1875"/>
  <c r="J19" i="1875"/>
  <c r="I19" i="1875"/>
  <c r="AB33" i="1875" s="1"/>
  <c r="H19" i="1875"/>
  <c r="G19" i="1875"/>
  <c r="F19" i="1875"/>
  <c r="E19" i="1875"/>
  <c r="D19" i="1875"/>
  <c r="AE16" i="1875"/>
  <c r="AD16" i="1875"/>
  <c r="AC16" i="1875"/>
  <c r="AB16" i="1875"/>
  <c r="AA16" i="1875"/>
  <c r="Z16" i="1875"/>
  <c r="Y16" i="1875"/>
  <c r="X16" i="1875"/>
  <c r="W16" i="1875"/>
  <c r="V16" i="1875"/>
  <c r="U16" i="1875"/>
  <c r="T16" i="1875"/>
  <c r="S16" i="1875"/>
  <c r="R16" i="1875"/>
  <c r="Q16" i="1875"/>
  <c r="P16" i="1875"/>
  <c r="O16" i="1875"/>
  <c r="N16" i="1875"/>
  <c r="M16" i="1875"/>
  <c r="L16" i="1875"/>
  <c r="K16" i="1875"/>
  <c r="J16" i="1875"/>
  <c r="I16" i="1875"/>
  <c r="H16" i="1875"/>
  <c r="G16" i="1875"/>
  <c r="F16" i="1875"/>
  <c r="E16" i="1875"/>
  <c r="D16" i="1875"/>
  <c r="AE10" i="1875"/>
  <c r="AD10" i="1875"/>
  <c r="AC33" i="1875" s="1"/>
  <c r="AC10" i="1875"/>
  <c r="AB10" i="1875"/>
  <c r="AA10" i="1875"/>
  <c r="Z10" i="1875"/>
  <c r="Y10" i="1875"/>
  <c r="X10" i="1875"/>
  <c r="W10" i="1875"/>
  <c r="V10" i="1875"/>
  <c r="U10" i="1875"/>
  <c r="T10" i="1875"/>
  <c r="S10" i="1875"/>
  <c r="R10" i="1875"/>
  <c r="Q10" i="1875"/>
  <c r="P10" i="1875"/>
  <c r="O10" i="1875"/>
  <c r="N10" i="1875"/>
  <c r="M10" i="1875"/>
  <c r="E33" i="1875" s="1"/>
  <c r="L10" i="1875"/>
  <c r="K10" i="1875"/>
  <c r="J10" i="1875"/>
  <c r="I10" i="1875"/>
  <c r="H10" i="1875"/>
  <c r="G10" i="1875"/>
  <c r="F10" i="1875"/>
  <c r="J33" i="1875" s="1"/>
  <c r="E10" i="1875"/>
  <c r="S33" i="1875" s="1"/>
  <c r="D10" i="1875"/>
  <c r="AE7" i="1875"/>
  <c r="AD7" i="1875"/>
  <c r="AC7" i="1875"/>
  <c r="AB7" i="1875"/>
  <c r="AA7" i="1875"/>
  <c r="Z7" i="1875"/>
  <c r="Y7" i="1875"/>
  <c r="X7" i="1875"/>
  <c r="W7" i="1875"/>
  <c r="V7" i="1875"/>
  <c r="U7" i="1875"/>
  <c r="T7" i="1875"/>
  <c r="S7" i="1875"/>
  <c r="R7" i="1875"/>
  <c r="Q7" i="1875"/>
  <c r="P7" i="1875"/>
  <c r="O7" i="1875"/>
  <c r="N7" i="1875"/>
  <c r="M7" i="1875"/>
  <c r="L7" i="1875"/>
  <c r="K7" i="1875"/>
  <c r="J7" i="1875"/>
  <c r="I7" i="1875"/>
  <c r="H7" i="1875"/>
  <c r="G7" i="1875"/>
  <c r="F7" i="1875"/>
  <c r="E7" i="1875"/>
  <c r="D7" i="1875"/>
  <c r="K33" i="1875" l="1"/>
  <c r="W33" i="1875"/>
  <c r="D33" i="1875"/>
  <c r="Z33" i="1875"/>
  <c r="Y33" i="1875"/>
  <c r="N33" i="1875"/>
  <c r="Q33" i="1875"/>
  <c r="M33" i="1875"/>
  <c r="V33" i="1875"/>
  <c r="AA33" i="1874"/>
  <c r="X33" i="1874"/>
  <c r="U33" i="1874"/>
  <c r="R33" i="1874"/>
  <c r="O33" i="1874"/>
  <c r="L33" i="1874"/>
  <c r="F33" i="1874"/>
  <c r="Y28" i="1874"/>
  <c r="X28" i="1874"/>
  <c r="W28" i="1874"/>
  <c r="V28" i="1874"/>
  <c r="U28" i="1874"/>
  <c r="T28" i="1874"/>
  <c r="S28" i="1874"/>
  <c r="R28" i="1874"/>
  <c r="Q28" i="1874"/>
  <c r="P28" i="1874"/>
  <c r="O28" i="1874"/>
  <c r="N28" i="1874"/>
  <c r="M28" i="1874"/>
  <c r="L28" i="1874"/>
  <c r="K28" i="1874"/>
  <c r="J28" i="1874"/>
  <c r="I28" i="1874"/>
  <c r="H28" i="1874"/>
  <c r="G28" i="1874"/>
  <c r="F28" i="1874"/>
  <c r="E28" i="1874"/>
  <c r="D28" i="1874"/>
  <c r="Y25" i="1874"/>
  <c r="X25" i="1874"/>
  <c r="W25" i="1874"/>
  <c r="V25" i="1874"/>
  <c r="U25" i="1874"/>
  <c r="T25" i="1874"/>
  <c r="S25" i="1874"/>
  <c r="R25" i="1874"/>
  <c r="Q25" i="1874"/>
  <c r="P25" i="1874"/>
  <c r="O25" i="1874"/>
  <c r="N25" i="1874"/>
  <c r="M25" i="1874"/>
  <c r="L25" i="1874"/>
  <c r="K25" i="1874"/>
  <c r="J25" i="1874"/>
  <c r="I25" i="1874"/>
  <c r="H25" i="1874"/>
  <c r="G25" i="1874"/>
  <c r="F25" i="1874"/>
  <c r="E25" i="1874"/>
  <c r="D25" i="1874"/>
  <c r="AE19" i="1874"/>
  <c r="AD19" i="1874"/>
  <c r="AC19" i="1874"/>
  <c r="AB19" i="1874"/>
  <c r="AA19" i="1874"/>
  <c r="Z19" i="1874"/>
  <c r="Y19" i="1874"/>
  <c r="X19" i="1874"/>
  <c r="T33" i="1874" s="1"/>
  <c r="W19" i="1874"/>
  <c r="V19" i="1874"/>
  <c r="U19" i="1874"/>
  <c r="T19" i="1874"/>
  <c r="S19" i="1874"/>
  <c r="R19" i="1874"/>
  <c r="Q19" i="1874"/>
  <c r="P19" i="1874"/>
  <c r="O19" i="1874"/>
  <c r="N19" i="1874"/>
  <c r="H33" i="1874" s="1"/>
  <c r="M19" i="1874"/>
  <c r="L19" i="1874"/>
  <c r="P33" i="1874" s="1"/>
  <c r="K19" i="1874"/>
  <c r="J19" i="1874"/>
  <c r="I19" i="1874"/>
  <c r="AB33" i="1874" s="1"/>
  <c r="H19" i="1874"/>
  <c r="G19" i="1874"/>
  <c r="F19" i="1874"/>
  <c r="E19" i="1874"/>
  <c r="D19" i="1874"/>
  <c r="AE16" i="1874"/>
  <c r="AD16" i="1874"/>
  <c r="AC16" i="1874"/>
  <c r="AB16" i="1874"/>
  <c r="AA16" i="1874"/>
  <c r="Z16" i="1874"/>
  <c r="Y16" i="1874"/>
  <c r="X16" i="1874"/>
  <c r="W16" i="1874"/>
  <c r="V16" i="1874"/>
  <c r="U16" i="1874"/>
  <c r="T16" i="1874"/>
  <c r="S16" i="1874"/>
  <c r="R16" i="1874"/>
  <c r="Q16" i="1874"/>
  <c r="P16" i="1874"/>
  <c r="O16" i="1874"/>
  <c r="N16" i="1874"/>
  <c r="M16" i="1874"/>
  <c r="L16" i="1874"/>
  <c r="K16" i="1874"/>
  <c r="J16" i="1874"/>
  <c r="I16" i="1874"/>
  <c r="H16" i="1874"/>
  <c r="G16" i="1874"/>
  <c r="F16" i="1874"/>
  <c r="E16" i="1874"/>
  <c r="D16" i="1874"/>
  <c r="AE10" i="1874"/>
  <c r="AD10" i="1874"/>
  <c r="AC33" i="1874" s="1"/>
  <c r="AC10" i="1874"/>
  <c r="AB10" i="1874"/>
  <c r="D33" i="1874" s="1"/>
  <c r="AA10" i="1874"/>
  <c r="Z10" i="1874"/>
  <c r="Y10" i="1874"/>
  <c r="X10" i="1874"/>
  <c r="W10" i="1874"/>
  <c r="V10" i="1874"/>
  <c r="U10" i="1874"/>
  <c r="T10" i="1874"/>
  <c r="S10" i="1874"/>
  <c r="R10" i="1874"/>
  <c r="Q10" i="1874"/>
  <c r="P10" i="1874"/>
  <c r="O10" i="1874"/>
  <c r="N10" i="1874"/>
  <c r="M10" i="1874"/>
  <c r="E33" i="1874" s="1"/>
  <c r="L10" i="1874"/>
  <c r="N33" i="1874" s="1"/>
  <c r="K10" i="1874"/>
  <c r="J10" i="1874"/>
  <c r="I10" i="1874"/>
  <c r="H10" i="1874"/>
  <c r="G10" i="1874"/>
  <c r="F10" i="1874"/>
  <c r="J33" i="1874" s="1"/>
  <c r="E10" i="1874"/>
  <c r="S33" i="1874" s="1"/>
  <c r="D10" i="1874"/>
  <c r="AE7" i="1874"/>
  <c r="AD7" i="1874"/>
  <c r="AC7" i="1874"/>
  <c r="AB7" i="1874"/>
  <c r="AA7" i="1874"/>
  <c r="Z7" i="1874"/>
  <c r="Y7" i="1874"/>
  <c r="X7" i="1874"/>
  <c r="W7" i="1874"/>
  <c r="V7" i="1874"/>
  <c r="U7" i="1874"/>
  <c r="T7" i="1874"/>
  <c r="S7" i="1874"/>
  <c r="R7" i="1874"/>
  <c r="Q7" i="1874"/>
  <c r="P7" i="1874"/>
  <c r="O7" i="1874"/>
  <c r="N7" i="1874"/>
  <c r="M7" i="1874"/>
  <c r="L7" i="1874"/>
  <c r="K7" i="1874"/>
  <c r="J7" i="1874"/>
  <c r="I7" i="1874"/>
  <c r="H7" i="1874"/>
  <c r="G7" i="1874"/>
  <c r="F7" i="1874"/>
  <c r="E7" i="1874"/>
  <c r="D7" i="1874"/>
  <c r="K33" i="1874" l="1"/>
  <c r="W33" i="1874"/>
  <c r="Z33" i="1874"/>
  <c r="Y33" i="1874"/>
  <c r="Q33" i="1874"/>
  <c r="M33" i="1874"/>
  <c r="V33" i="1874"/>
  <c r="AA33" i="1873"/>
  <c r="X33" i="1873"/>
  <c r="U33" i="1873"/>
  <c r="R33" i="1873"/>
  <c r="O33" i="1873"/>
  <c r="L33" i="1873"/>
  <c r="F33" i="1873"/>
  <c r="Y28" i="1873"/>
  <c r="X28" i="1873"/>
  <c r="W28" i="1873"/>
  <c r="V28" i="1873"/>
  <c r="U28" i="1873"/>
  <c r="T28" i="1873"/>
  <c r="S28" i="1873"/>
  <c r="R28" i="1873"/>
  <c r="Q28" i="1873"/>
  <c r="P28" i="1873"/>
  <c r="O28" i="1873"/>
  <c r="N28" i="1873"/>
  <c r="M28" i="1873"/>
  <c r="L28" i="1873"/>
  <c r="K28" i="1873"/>
  <c r="J28" i="1873"/>
  <c r="I28" i="1873"/>
  <c r="H28" i="1873"/>
  <c r="G28" i="1873"/>
  <c r="F28" i="1873"/>
  <c r="E28" i="1873"/>
  <c r="D28" i="1873"/>
  <c r="Y25" i="1873"/>
  <c r="X25" i="1873"/>
  <c r="W25" i="1873"/>
  <c r="V25" i="1873"/>
  <c r="U25" i="1873"/>
  <c r="T25" i="1873"/>
  <c r="S25" i="1873"/>
  <c r="R25" i="1873"/>
  <c r="Q25" i="1873"/>
  <c r="P25" i="1873"/>
  <c r="O25" i="1873"/>
  <c r="N25" i="1873"/>
  <c r="M25" i="1873"/>
  <c r="L25" i="1873"/>
  <c r="K25" i="1873"/>
  <c r="J25" i="1873"/>
  <c r="I25" i="1873"/>
  <c r="H25" i="1873"/>
  <c r="G25" i="1873"/>
  <c r="F25" i="1873"/>
  <c r="E25" i="1873"/>
  <c r="D25" i="1873"/>
  <c r="AE19" i="1873"/>
  <c r="AD19" i="1873"/>
  <c r="AC19" i="1873"/>
  <c r="AB19" i="1873"/>
  <c r="AA19" i="1873"/>
  <c r="Z19" i="1873"/>
  <c r="Y19" i="1873"/>
  <c r="X19" i="1873"/>
  <c r="T33" i="1873" s="1"/>
  <c r="W19" i="1873"/>
  <c r="V19" i="1873"/>
  <c r="U19" i="1873"/>
  <c r="T19" i="1873"/>
  <c r="S19" i="1873"/>
  <c r="R19" i="1873"/>
  <c r="Q19" i="1873"/>
  <c r="P19" i="1873"/>
  <c r="O19" i="1873"/>
  <c r="N19" i="1873"/>
  <c r="H33" i="1873" s="1"/>
  <c r="M19" i="1873"/>
  <c r="L19" i="1873"/>
  <c r="P33" i="1873" s="1"/>
  <c r="K19" i="1873"/>
  <c r="J19" i="1873"/>
  <c r="I19" i="1873"/>
  <c r="AB33" i="1873" s="1"/>
  <c r="H19" i="1873"/>
  <c r="G19" i="1873"/>
  <c r="F19" i="1873"/>
  <c r="E19" i="1873"/>
  <c r="D19" i="1873"/>
  <c r="AE16" i="1873"/>
  <c r="AD16" i="1873"/>
  <c r="AC16" i="1873"/>
  <c r="AB16" i="1873"/>
  <c r="AA16" i="1873"/>
  <c r="Z16" i="1873"/>
  <c r="Y16" i="1873"/>
  <c r="X16" i="1873"/>
  <c r="W16" i="1873"/>
  <c r="V16" i="1873"/>
  <c r="U16" i="1873"/>
  <c r="T16" i="1873"/>
  <c r="S16" i="1873"/>
  <c r="R16" i="1873"/>
  <c r="Q16" i="1873"/>
  <c r="P16" i="1873"/>
  <c r="O16" i="1873"/>
  <c r="N16" i="1873"/>
  <c r="M16" i="1873"/>
  <c r="L16" i="1873"/>
  <c r="K16" i="1873"/>
  <c r="J16" i="1873"/>
  <c r="I16" i="1873"/>
  <c r="H16" i="1873"/>
  <c r="G16" i="1873"/>
  <c r="F16" i="1873"/>
  <c r="E16" i="1873"/>
  <c r="D16" i="1873"/>
  <c r="AE10" i="1873"/>
  <c r="AD10" i="1873"/>
  <c r="AC33" i="1873" s="1"/>
  <c r="AC10" i="1873"/>
  <c r="AB10" i="1873"/>
  <c r="AA10" i="1873"/>
  <c r="Z10" i="1873"/>
  <c r="Y10" i="1873"/>
  <c r="X10" i="1873"/>
  <c r="W10" i="1873"/>
  <c r="V10" i="1873"/>
  <c r="U10" i="1873"/>
  <c r="T10" i="1873"/>
  <c r="S10" i="1873"/>
  <c r="R10" i="1873"/>
  <c r="Q10" i="1873"/>
  <c r="P10" i="1873"/>
  <c r="O10" i="1873"/>
  <c r="N10" i="1873"/>
  <c r="M10" i="1873"/>
  <c r="E33" i="1873" s="1"/>
  <c r="L10" i="1873"/>
  <c r="N33" i="1873" s="1"/>
  <c r="K10" i="1873"/>
  <c r="J10" i="1873"/>
  <c r="I10" i="1873"/>
  <c r="H10" i="1873"/>
  <c r="G10" i="1873"/>
  <c r="F10" i="1873"/>
  <c r="J33" i="1873" s="1"/>
  <c r="E10" i="1873"/>
  <c r="S33" i="1873" s="1"/>
  <c r="D10" i="1873"/>
  <c r="AE7" i="1873"/>
  <c r="AD7" i="1873"/>
  <c r="AC7" i="1873"/>
  <c r="AB7" i="1873"/>
  <c r="AA7" i="1873"/>
  <c r="Z7" i="1873"/>
  <c r="Y7" i="1873"/>
  <c r="X7" i="1873"/>
  <c r="W7" i="1873"/>
  <c r="V7" i="1873"/>
  <c r="U7" i="1873"/>
  <c r="T7" i="1873"/>
  <c r="S7" i="1873"/>
  <c r="R7" i="1873"/>
  <c r="Q7" i="1873"/>
  <c r="P7" i="1873"/>
  <c r="O7" i="1873"/>
  <c r="N7" i="1873"/>
  <c r="M7" i="1873"/>
  <c r="L7" i="1873"/>
  <c r="K7" i="1873"/>
  <c r="J7" i="1873"/>
  <c r="I7" i="1873"/>
  <c r="H7" i="1873"/>
  <c r="G7" i="1873"/>
  <c r="F7" i="1873"/>
  <c r="E7" i="1873"/>
  <c r="D7" i="1873"/>
  <c r="K33" i="1873" l="1"/>
  <c r="W33" i="1873"/>
  <c r="Z33" i="1873"/>
  <c r="D33" i="1873"/>
  <c r="Y33" i="1873"/>
  <c r="Q33" i="1873"/>
  <c r="M33" i="1873"/>
  <c r="V33" i="1873"/>
  <c r="AA33" i="1872"/>
  <c r="X33" i="1872"/>
  <c r="U33" i="1872"/>
  <c r="R33" i="1872"/>
  <c r="O33" i="1872"/>
  <c r="L33" i="1872"/>
  <c r="F33" i="1872"/>
  <c r="Y28" i="1872"/>
  <c r="X28" i="1872"/>
  <c r="W28" i="1872"/>
  <c r="V28" i="1872"/>
  <c r="U28" i="1872"/>
  <c r="T28" i="1872"/>
  <c r="S28" i="1872"/>
  <c r="R28" i="1872"/>
  <c r="Q28" i="1872"/>
  <c r="P28" i="1872"/>
  <c r="O28" i="1872"/>
  <c r="N28" i="1872"/>
  <c r="M28" i="1872"/>
  <c r="L28" i="1872"/>
  <c r="K28" i="1872"/>
  <c r="J28" i="1872"/>
  <c r="I28" i="1872"/>
  <c r="H28" i="1872"/>
  <c r="G28" i="1872"/>
  <c r="F28" i="1872"/>
  <c r="E28" i="1872"/>
  <c r="D28" i="1872"/>
  <c r="Y25" i="1872"/>
  <c r="X25" i="1872"/>
  <c r="W25" i="1872"/>
  <c r="V25" i="1872"/>
  <c r="U25" i="1872"/>
  <c r="T25" i="1872"/>
  <c r="S25" i="1872"/>
  <c r="R25" i="1872"/>
  <c r="Q25" i="1872"/>
  <c r="P25" i="1872"/>
  <c r="O25" i="1872"/>
  <c r="N25" i="1872"/>
  <c r="M25" i="1872"/>
  <c r="L25" i="1872"/>
  <c r="K25" i="1872"/>
  <c r="J25" i="1872"/>
  <c r="I25" i="1872"/>
  <c r="H25" i="1872"/>
  <c r="G25" i="1872"/>
  <c r="F25" i="1872"/>
  <c r="E25" i="1872"/>
  <c r="D25" i="1872"/>
  <c r="AE19" i="1872"/>
  <c r="AD19" i="1872"/>
  <c r="AC19" i="1872"/>
  <c r="AB19" i="1872"/>
  <c r="AA19" i="1872"/>
  <c r="Z19" i="1872"/>
  <c r="Y19" i="1872"/>
  <c r="X19" i="1872"/>
  <c r="T33" i="1872" s="1"/>
  <c r="W19" i="1872"/>
  <c r="V19" i="1872"/>
  <c r="U19" i="1872"/>
  <c r="T19" i="1872"/>
  <c r="S19" i="1872"/>
  <c r="R19" i="1872"/>
  <c r="Q19" i="1872"/>
  <c r="P19" i="1872"/>
  <c r="O19" i="1872"/>
  <c r="N19" i="1872"/>
  <c r="H33" i="1872" s="1"/>
  <c r="M19" i="1872"/>
  <c r="L19" i="1872"/>
  <c r="P33" i="1872" s="1"/>
  <c r="K19" i="1872"/>
  <c r="J19" i="1872"/>
  <c r="I19" i="1872"/>
  <c r="AB33" i="1872" s="1"/>
  <c r="H19" i="1872"/>
  <c r="G19" i="1872"/>
  <c r="F19" i="1872"/>
  <c r="E19" i="1872"/>
  <c r="D19" i="1872"/>
  <c r="AE16" i="1872"/>
  <c r="AD16" i="1872"/>
  <c r="AC16" i="1872"/>
  <c r="AB16" i="1872"/>
  <c r="AA16" i="1872"/>
  <c r="Z16" i="1872"/>
  <c r="Y16" i="1872"/>
  <c r="X16" i="1872"/>
  <c r="W16" i="1872"/>
  <c r="V16" i="1872"/>
  <c r="U16" i="1872"/>
  <c r="T16" i="1872"/>
  <c r="S16" i="1872"/>
  <c r="R16" i="1872"/>
  <c r="Q16" i="1872"/>
  <c r="P16" i="1872"/>
  <c r="O16" i="1872"/>
  <c r="N16" i="1872"/>
  <c r="M16" i="1872"/>
  <c r="L16" i="1872"/>
  <c r="K16" i="1872"/>
  <c r="J16" i="1872"/>
  <c r="I16" i="1872"/>
  <c r="H16" i="1872"/>
  <c r="G16" i="1872"/>
  <c r="F16" i="1872"/>
  <c r="E16" i="1872"/>
  <c r="D16" i="1872"/>
  <c r="AE10" i="1872"/>
  <c r="AD10" i="1872"/>
  <c r="AC33" i="1872" s="1"/>
  <c r="AC10" i="1872"/>
  <c r="AB10" i="1872"/>
  <c r="AA10" i="1872"/>
  <c r="Z10" i="1872"/>
  <c r="Y10" i="1872"/>
  <c r="X10" i="1872"/>
  <c r="W10" i="1872"/>
  <c r="V10" i="1872"/>
  <c r="U10" i="1872"/>
  <c r="T10" i="1872"/>
  <c r="S10" i="1872"/>
  <c r="R10" i="1872"/>
  <c r="Q10" i="1872"/>
  <c r="P10" i="1872"/>
  <c r="O10" i="1872"/>
  <c r="N10" i="1872"/>
  <c r="M10" i="1872"/>
  <c r="E33" i="1872" s="1"/>
  <c r="L10" i="1872"/>
  <c r="K10" i="1872"/>
  <c r="J10" i="1872"/>
  <c r="I10" i="1872"/>
  <c r="H10" i="1872"/>
  <c r="G10" i="1872"/>
  <c r="F10" i="1872"/>
  <c r="J33" i="1872" s="1"/>
  <c r="E10" i="1872"/>
  <c r="S33" i="1872" s="1"/>
  <c r="D10" i="1872"/>
  <c r="AE7" i="1872"/>
  <c r="AD7" i="1872"/>
  <c r="AC7" i="1872"/>
  <c r="AB7" i="1872"/>
  <c r="AA7" i="1872"/>
  <c r="Z7" i="1872"/>
  <c r="Y7" i="1872"/>
  <c r="X7" i="1872"/>
  <c r="W7" i="1872"/>
  <c r="V7" i="1872"/>
  <c r="U7" i="1872"/>
  <c r="T7" i="1872"/>
  <c r="S7" i="1872"/>
  <c r="R7" i="1872"/>
  <c r="Q7" i="1872"/>
  <c r="P7" i="1872"/>
  <c r="O7" i="1872"/>
  <c r="N7" i="1872"/>
  <c r="M7" i="1872"/>
  <c r="L7" i="1872"/>
  <c r="K7" i="1872"/>
  <c r="J7" i="1872"/>
  <c r="I7" i="1872"/>
  <c r="H7" i="1872"/>
  <c r="G7" i="1872"/>
  <c r="F7" i="1872"/>
  <c r="E7" i="1872"/>
  <c r="D7" i="1872"/>
  <c r="K33" i="1872" l="1"/>
  <c r="W33" i="1872"/>
  <c r="D33" i="1872"/>
  <c r="Z33" i="1872"/>
  <c r="Y33" i="1872"/>
  <c r="N33" i="1872"/>
  <c r="Q33" i="1872"/>
  <c r="M33" i="1872"/>
  <c r="V33" i="1872"/>
  <c r="AA33" i="1871"/>
  <c r="X33" i="1871"/>
  <c r="U33" i="1871"/>
  <c r="R33" i="1871"/>
  <c r="O33" i="1871"/>
  <c r="L33" i="1871"/>
  <c r="F33" i="1871"/>
  <c r="Y28" i="1871"/>
  <c r="X28" i="1871"/>
  <c r="W28" i="1871"/>
  <c r="V28" i="1871"/>
  <c r="U28" i="1871"/>
  <c r="T28" i="1871"/>
  <c r="S28" i="1871"/>
  <c r="R28" i="1871"/>
  <c r="Q28" i="1871"/>
  <c r="P28" i="1871"/>
  <c r="O28" i="1871"/>
  <c r="N28" i="1871"/>
  <c r="M28" i="1871"/>
  <c r="L28" i="1871"/>
  <c r="K28" i="1871"/>
  <c r="J28" i="1871"/>
  <c r="I28" i="1871"/>
  <c r="H28" i="1871"/>
  <c r="G28" i="1871"/>
  <c r="F28" i="1871"/>
  <c r="E28" i="1871"/>
  <c r="D28" i="1871"/>
  <c r="Y25" i="1871"/>
  <c r="X25" i="1871"/>
  <c r="W25" i="1871"/>
  <c r="V25" i="1871"/>
  <c r="U25" i="1871"/>
  <c r="T25" i="1871"/>
  <c r="S25" i="1871"/>
  <c r="R25" i="1871"/>
  <c r="Q25" i="1871"/>
  <c r="P25" i="1871"/>
  <c r="O25" i="1871"/>
  <c r="N25" i="1871"/>
  <c r="M25" i="1871"/>
  <c r="L25" i="1871"/>
  <c r="K25" i="1871"/>
  <c r="J25" i="1871"/>
  <c r="I25" i="1871"/>
  <c r="H25" i="1871"/>
  <c r="G25" i="1871"/>
  <c r="F25" i="1871"/>
  <c r="E25" i="1871"/>
  <c r="D25" i="1871"/>
  <c r="AE19" i="1871"/>
  <c r="AD19" i="1871"/>
  <c r="AC19" i="1871"/>
  <c r="AB19" i="1871"/>
  <c r="AA19" i="1871"/>
  <c r="Z19" i="1871"/>
  <c r="Y19" i="1871"/>
  <c r="X19" i="1871"/>
  <c r="T33" i="1871" s="1"/>
  <c r="W19" i="1871"/>
  <c r="V19" i="1871"/>
  <c r="U19" i="1871"/>
  <c r="T19" i="1871"/>
  <c r="S19" i="1871"/>
  <c r="R19" i="1871"/>
  <c r="Q19" i="1871"/>
  <c r="P19" i="1871"/>
  <c r="O19" i="1871"/>
  <c r="N19" i="1871"/>
  <c r="H33" i="1871" s="1"/>
  <c r="M19" i="1871"/>
  <c r="L19" i="1871"/>
  <c r="P33" i="1871" s="1"/>
  <c r="K19" i="1871"/>
  <c r="J19" i="1871"/>
  <c r="I19" i="1871"/>
  <c r="AB33" i="1871" s="1"/>
  <c r="H19" i="1871"/>
  <c r="G19" i="1871"/>
  <c r="F19" i="1871"/>
  <c r="E19" i="1871"/>
  <c r="D19" i="1871"/>
  <c r="AE16" i="1871"/>
  <c r="AD16" i="1871"/>
  <c r="AC16" i="1871"/>
  <c r="AB16" i="1871"/>
  <c r="AA16" i="1871"/>
  <c r="Z16" i="1871"/>
  <c r="Y16" i="1871"/>
  <c r="X16" i="1871"/>
  <c r="W16" i="1871"/>
  <c r="V16" i="1871"/>
  <c r="U16" i="1871"/>
  <c r="T16" i="1871"/>
  <c r="S16" i="1871"/>
  <c r="R16" i="1871"/>
  <c r="Q16" i="1871"/>
  <c r="P16" i="1871"/>
  <c r="O16" i="1871"/>
  <c r="N16" i="1871"/>
  <c r="M16" i="1871"/>
  <c r="L16" i="1871"/>
  <c r="K16" i="1871"/>
  <c r="J16" i="1871"/>
  <c r="I16" i="1871"/>
  <c r="H16" i="1871"/>
  <c r="G16" i="1871"/>
  <c r="F16" i="1871"/>
  <c r="E16" i="1871"/>
  <c r="D16" i="1871"/>
  <c r="AE10" i="1871"/>
  <c r="AD10" i="1871"/>
  <c r="AC33" i="1871" s="1"/>
  <c r="AC10" i="1871"/>
  <c r="AB10" i="1871"/>
  <c r="AA10" i="1871"/>
  <c r="Z10" i="1871"/>
  <c r="Y10" i="1871"/>
  <c r="X10" i="1871"/>
  <c r="W10" i="1871"/>
  <c r="V10" i="1871"/>
  <c r="U10" i="1871"/>
  <c r="T10" i="1871"/>
  <c r="S10" i="1871"/>
  <c r="R10" i="1871"/>
  <c r="Q10" i="1871"/>
  <c r="P10" i="1871"/>
  <c r="O10" i="1871"/>
  <c r="N10" i="1871"/>
  <c r="Q33" i="1871" s="1"/>
  <c r="M10" i="1871"/>
  <c r="E33" i="1871" s="1"/>
  <c r="L10" i="1871"/>
  <c r="N33" i="1871" s="1"/>
  <c r="K10" i="1871"/>
  <c r="J10" i="1871"/>
  <c r="I10" i="1871"/>
  <c r="H10" i="1871"/>
  <c r="G10" i="1871"/>
  <c r="F10" i="1871"/>
  <c r="J33" i="1871" s="1"/>
  <c r="E10" i="1871"/>
  <c r="S33" i="1871" s="1"/>
  <c r="D10" i="1871"/>
  <c r="AE7" i="1871"/>
  <c r="AD7" i="1871"/>
  <c r="AC7" i="1871"/>
  <c r="AB7" i="1871"/>
  <c r="AA7" i="1871"/>
  <c r="Z7" i="1871"/>
  <c r="Y7" i="1871"/>
  <c r="X7" i="1871"/>
  <c r="W7" i="1871"/>
  <c r="V7" i="1871"/>
  <c r="U7" i="1871"/>
  <c r="T7" i="1871"/>
  <c r="S7" i="1871"/>
  <c r="R7" i="1871"/>
  <c r="Q7" i="1871"/>
  <c r="P7" i="1871"/>
  <c r="O7" i="1871"/>
  <c r="N7" i="1871"/>
  <c r="M7" i="1871"/>
  <c r="L7" i="1871"/>
  <c r="K7" i="1871"/>
  <c r="J7" i="1871"/>
  <c r="I7" i="1871"/>
  <c r="H7" i="1871"/>
  <c r="G7" i="1871"/>
  <c r="F7" i="1871"/>
  <c r="E7" i="1871"/>
  <c r="D7" i="1871"/>
  <c r="K33" i="1871" l="1"/>
  <c r="W33" i="1871"/>
  <c r="Z33" i="1871"/>
  <c r="Y33" i="1871"/>
  <c r="M33" i="1871"/>
  <c r="D33" i="1871"/>
  <c r="V33" i="1871"/>
  <c r="AA33" i="1870"/>
  <c r="X33" i="1870"/>
  <c r="U33" i="1870"/>
  <c r="R33" i="1870"/>
  <c r="O33" i="1870"/>
  <c r="L33" i="1870"/>
  <c r="F33" i="1870"/>
  <c r="Y28" i="1870"/>
  <c r="X28" i="1870"/>
  <c r="W28" i="1870"/>
  <c r="V28" i="1870"/>
  <c r="U28" i="1870"/>
  <c r="T28" i="1870"/>
  <c r="S28" i="1870"/>
  <c r="R28" i="1870"/>
  <c r="Q28" i="1870"/>
  <c r="P28" i="1870"/>
  <c r="O28" i="1870"/>
  <c r="N28" i="1870"/>
  <c r="M28" i="1870"/>
  <c r="L28" i="1870"/>
  <c r="K28" i="1870"/>
  <c r="J28" i="1870"/>
  <c r="I28" i="1870"/>
  <c r="H28" i="1870"/>
  <c r="G28" i="1870"/>
  <c r="F28" i="1870"/>
  <c r="E28" i="1870"/>
  <c r="D28" i="1870"/>
  <c r="Y25" i="1870"/>
  <c r="X25" i="1870"/>
  <c r="W25" i="1870"/>
  <c r="V25" i="1870"/>
  <c r="U25" i="1870"/>
  <c r="T25" i="1870"/>
  <c r="S25" i="1870"/>
  <c r="R25" i="1870"/>
  <c r="Q25" i="1870"/>
  <c r="P25" i="1870"/>
  <c r="O25" i="1870"/>
  <c r="N25" i="1870"/>
  <c r="M25" i="1870"/>
  <c r="L25" i="1870"/>
  <c r="K25" i="1870"/>
  <c r="J25" i="1870"/>
  <c r="I25" i="1870"/>
  <c r="H25" i="1870"/>
  <c r="G25" i="1870"/>
  <c r="F25" i="1870"/>
  <c r="E25" i="1870"/>
  <c r="D25" i="1870"/>
  <c r="AE19" i="1870"/>
  <c r="AD19" i="1870"/>
  <c r="AC19" i="1870"/>
  <c r="AB19" i="1870"/>
  <c r="AA19" i="1870"/>
  <c r="Z19" i="1870"/>
  <c r="Y19" i="1870"/>
  <c r="X19" i="1870"/>
  <c r="T33" i="1870" s="1"/>
  <c r="W19" i="1870"/>
  <c r="V19" i="1870"/>
  <c r="U19" i="1870"/>
  <c r="T19" i="1870"/>
  <c r="S19" i="1870"/>
  <c r="R19" i="1870"/>
  <c r="Q19" i="1870"/>
  <c r="P19" i="1870"/>
  <c r="O19" i="1870"/>
  <c r="N19" i="1870"/>
  <c r="H33" i="1870" s="1"/>
  <c r="M19" i="1870"/>
  <c r="L19" i="1870"/>
  <c r="P33" i="1870" s="1"/>
  <c r="K19" i="1870"/>
  <c r="J19" i="1870"/>
  <c r="I19" i="1870"/>
  <c r="AB33" i="1870" s="1"/>
  <c r="H19" i="1870"/>
  <c r="G19" i="1870"/>
  <c r="F19" i="1870"/>
  <c r="E19" i="1870"/>
  <c r="D19" i="1870"/>
  <c r="AE16" i="1870"/>
  <c r="AD16" i="1870"/>
  <c r="AC16" i="1870"/>
  <c r="AB16" i="1870"/>
  <c r="AA16" i="1870"/>
  <c r="Z16" i="1870"/>
  <c r="Y16" i="1870"/>
  <c r="X16" i="1870"/>
  <c r="W16" i="1870"/>
  <c r="V16" i="1870"/>
  <c r="U16" i="1870"/>
  <c r="T16" i="1870"/>
  <c r="S16" i="1870"/>
  <c r="R16" i="1870"/>
  <c r="Q16" i="1870"/>
  <c r="P16" i="1870"/>
  <c r="O16" i="1870"/>
  <c r="N16" i="1870"/>
  <c r="M16" i="1870"/>
  <c r="L16" i="1870"/>
  <c r="K16" i="1870"/>
  <c r="J16" i="1870"/>
  <c r="I16" i="1870"/>
  <c r="H16" i="1870"/>
  <c r="G16" i="1870"/>
  <c r="F16" i="1870"/>
  <c r="E16" i="1870"/>
  <c r="D16" i="1870"/>
  <c r="AE10" i="1870"/>
  <c r="AD10" i="1870"/>
  <c r="AC33" i="1870" s="1"/>
  <c r="AC10" i="1870"/>
  <c r="AB10" i="1870"/>
  <c r="AA10" i="1870"/>
  <c r="Z10" i="1870"/>
  <c r="Y10" i="1870"/>
  <c r="X10" i="1870"/>
  <c r="W10" i="1870"/>
  <c r="V10" i="1870"/>
  <c r="U10" i="1870"/>
  <c r="T10" i="1870"/>
  <c r="S10" i="1870"/>
  <c r="R10" i="1870"/>
  <c r="Q10" i="1870"/>
  <c r="P10" i="1870"/>
  <c r="O10" i="1870"/>
  <c r="N10" i="1870"/>
  <c r="M10" i="1870"/>
  <c r="E33" i="1870" s="1"/>
  <c r="L10" i="1870"/>
  <c r="K10" i="1870"/>
  <c r="J10" i="1870"/>
  <c r="I10" i="1870"/>
  <c r="H10" i="1870"/>
  <c r="G10" i="1870"/>
  <c r="F10" i="1870"/>
  <c r="E10" i="1870"/>
  <c r="S33" i="1870" s="1"/>
  <c r="D10" i="1870"/>
  <c r="AE7" i="1870"/>
  <c r="AD7" i="1870"/>
  <c r="AC7" i="1870"/>
  <c r="AB7" i="1870"/>
  <c r="AA7" i="1870"/>
  <c r="Z7" i="1870"/>
  <c r="Y7" i="1870"/>
  <c r="X7" i="1870"/>
  <c r="W7" i="1870"/>
  <c r="V7" i="1870"/>
  <c r="U7" i="1870"/>
  <c r="T7" i="1870"/>
  <c r="S7" i="1870"/>
  <c r="R7" i="1870"/>
  <c r="Q7" i="1870"/>
  <c r="P7" i="1870"/>
  <c r="O7" i="1870"/>
  <c r="N7" i="1870"/>
  <c r="M7" i="1870"/>
  <c r="L7" i="1870"/>
  <c r="K7" i="1870"/>
  <c r="J7" i="1870"/>
  <c r="I7" i="1870"/>
  <c r="H7" i="1870"/>
  <c r="G7" i="1870"/>
  <c r="F7" i="1870"/>
  <c r="E7" i="1870"/>
  <c r="D7" i="1870"/>
  <c r="J33" i="1870" l="1"/>
  <c r="K33" i="1870"/>
  <c r="W33" i="1870"/>
  <c r="D33" i="1870"/>
  <c r="Z33" i="1870"/>
  <c r="Y33" i="1870"/>
  <c r="N33" i="1870"/>
  <c r="Q33" i="1870"/>
  <c r="M33" i="1870"/>
  <c r="V33" i="1870"/>
  <c r="AA33" i="1869"/>
  <c r="X33" i="1869"/>
  <c r="U33" i="1869"/>
  <c r="R33" i="1869"/>
  <c r="O33" i="1869"/>
  <c r="L33" i="1869"/>
  <c r="F33" i="1869"/>
  <c r="Y28" i="1869"/>
  <c r="X28" i="1869"/>
  <c r="W28" i="1869"/>
  <c r="V28" i="1869"/>
  <c r="U28" i="1869"/>
  <c r="T28" i="1869"/>
  <c r="S28" i="1869"/>
  <c r="R28" i="1869"/>
  <c r="Q28" i="1869"/>
  <c r="P28" i="1869"/>
  <c r="O28" i="1869"/>
  <c r="N28" i="1869"/>
  <c r="M28" i="1869"/>
  <c r="L28" i="1869"/>
  <c r="K28" i="1869"/>
  <c r="J28" i="1869"/>
  <c r="I28" i="1869"/>
  <c r="H28" i="1869"/>
  <c r="G28" i="1869"/>
  <c r="F28" i="1869"/>
  <c r="E28" i="1869"/>
  <c r="D28" i="1869"/>
  <c r="Y25" i="1869"/>
  <c r="X25" i="1869"/>
  <c r="W25" i="1869"/>
  <c r="V25" i="1869"/>
  <c r="U25" i="1869"/>
  <c r="T25" i="1869"/>
  <c r="S25" i="1869"/>
  <c r="R25" i="1869"/>
  <c r="Q25" i="1869"/>
  <c r="P25" i="1869"/>
  <c r="O25" i="1869"/>
  <c r="N25" i="1869"/>
  <c r="M25" i="1869"/>
  <c r="L25" i="1869"/>
  <c r="K25" i="1869"/>
  <c r="J25" i="1869"/>
  <c r="I25" i="1869"/>
  <c r="H25" i="1869"/>
  <c r="G25" i="1869"/>
  <c r="F25" i="1869"/>
  <c r="E25" i="1869"/>
  <c r="D25" i="1869"/>
  <c r="AE19" i="1869"/>
  <c r="AD19" i="1869"/>
  <c r="AC19" i="1869"/>
  <c r="AB19" i="1869"/>
  <c r="AA19" i="1869"/>
  <c r="Z19" i="1869"/>
  <c r="Y19" i="1869"/>
  <c r="X19" i="1869"/>
  <c r="T33" i="1869" s="1"/>
  <c r="W19" i="1869"/>
  <c r="V19" i="1869"/>
  <c r="U19" i="1869"/>
  <c r="T19" i="1869"/>
  <c r="S19" i="1869"/>
  <c r="R19" i="1869"/>
  <c r="Q19" i="1869"/>
  <c r="P19" i="1869"/>
  <c r="O19" i="1869"/>
  <c r="N19" i="1869"/>
  <c r="H33" i="1869" s="1"/>
  <c r="M19" i="1869"/>
  <c r="L19" i="1869"/>
  <c r="P33" i="1869" s="1"/>
  <c r="K19" i="1869"/>
  <c r="J19" i="1869"/>
  <c r="I19" i="1869"/>
  <c r="AB33" i="1869" s="1"/>
  <c r="H19" i="1869"/>
  <c r="G19" i="1869"/>
  <c r="F19" i="1869"/>
  <c r="E19" i="1869"/>
  <c r="D19" i="1869"/>
  <c r="AE16" i="1869"/>
  <c r="AD16" i="1869"/>
  <c r="AC16" i="1869"/>
  <c r="AB16" i="1869"/>
  <c r="AA16" i="1869"/>
  <c r="Z16" i="1869"/>
  <c r="Y16" i="1869"/>
  <c r="X16" i="1869"/>
  <c r="W16" i="1869"/>
  <c r="V16" i="1869"/>
  <c r="U16" i="1869"/>
  <c r="T16" i="1869"/>
  <c r="S16" i="1869"/>
  <c r="R16" i="1869"/>
  <c r="Q16" i="1869"/>
  <c r="P16" i="1869"/>
  <c r="O16" i="1869"/>
  <c r="N16" i="1869"/>
  <c r="M16" i="1869"/>
  <c r="L16" i="1869"/>
  <c r="K16" i="1869"/>
  <c r="J16" i="1869"/>
  <c r="I16" i="1869"/>
  <c r="H16" i="1869"/>
  <c r="G16" i="1869"/>
  <c r="F16" i="1869"/>
  <c r="E16" i="1869"/>
  <c r="D16" i="1869"/>
  <c r="AE10" i="1869"/>
  <c r="AD10" i="1869"/>
  <c r="AC33" i="1869" s="1"/>
  <c r="AC10" i="1869"/>
  <c r="AB10" i="1869"/>
  <c r="AA10" i="1869"/>
  <c r="Z10" i="1869"/>
  <c r="Y10" i="1869"/>
  <c r="X10" i="1869"/>
  <c r="W10" i="1869"/>
  <c r="V10" i="1869"/>
  <c r="U10" i="1869"/>
  <c r="T10" i="1869"/>
  <c r="S10" i="1869"/>
  <c r="R10" i="1869"/>
  <c r="Q10" i="1869"/>
  <c r="P10" i="1869"/>
  <c r="O10" i="1869"/>
  <c r="N10" i="1869"/>
  <c r="M10" i="1869"/>
  <c r="E33" i="1869" s="1"/>
  <c r="L10" i="1869"/>
  <c r="K10" i="1869"/>
  <c r="J10" i="1869"/>
  <c r="I10" i="1869"/>
  <c r="H10" i="1869"/>
  <c r="G10" i="1869"/>
  <c r="F10" i="1869"/>
  <c r="E10" i="1869"/>
  <c r="D10" i="1869"/>
  <c r="AE7" i="1869"/>
  <c r="AD7" i="1869"/>
  <c r="AC7" i="1869"/>
  <c r="AB7" i="1869"/>
  <c r="AA7" i="1869"/>
  <c r="Z7" i="1869"/>
  <c r="Y7" i="1869"/>
  <c r="X7" i="1869"/>
  <c r="W7" i="1869"/>
  <c r="V7" i="1869"/>
  <c r="U7" i="1869"/>
  <c r="T7" i="1869"/>
  <c r="S7" i="1869"/>
  <c r="R7" i="1869"/>
  <c r="Q7" i="1869"/>
  <c r="P7" i="1869"/>
  <c r="O7" i="1869"/>
  <c r="N7" i="1869"/>
  <c r="M7" i="1869"/>
  <c r="L7" i="1869"/>
  <c r="K7" i="1869"/>
  <c r="J7" i="1869"/>
  <c r="I7" i="1869"/>
  <c r="H7" i="1869"/>
  <c r="G7" i="1869"/>
  <c r="F7" i="1869"/>
  <c r="E7" i="1869"/>
  <c r="D7" i="1869"/>
  <c r="S33" i="1869" l="1"/>
  <c r="J33" i="1869"/>
  <c r="K33" i="1869"/>
  <c r="W33" i="1869"/>
  <c r="D33" i="1869"/>
  <c r="Z33" i="1869"/>
  <c r="Y33" i="1869"/>
  <c r="N33" i="1869"/>
  <c r="Q33" i="1869"/>
  <c r="M33" i="1869"/>
  <c r="V33" i="1869"/>
  <c r="AA33" i="1868"/>
  <c r="X33" i="1868"/>
  <c r="U33" i="1868"/>
  <c r="R33" i="1868"/>
  <c r="O33" i="1868"/>
  <c r="L33" i="1868"/>
  <c r="F33" i="1868"/>
  <c r="Y28" i="1868"/>
  <c r="X28" i="1868"/>
  <c r="W28" i="1868"/>
  <c r="V28" i="1868"/>
  <c r="U28" i="1868"/>
  <c r="T28" i="1868"/>
  <c r="S28" i="1868"/>
  <c r="R28" i="1868"/>
  <c r="Q28" i="1868"/>
  <c r="P28" i="1868"/>
  <c r="O28" i="1868"/>
  <c r="N28" i="1868"/>
  <c r="M28" i="1868"/>
  <c r="L28" i="1868"/>
  <c r="K28" i="1868"/>
  <c r="J28" i="1868"/>
  <c r="I28" i="1868"/>
  <c r="H28" i="1868"/>
  <c r="G28" i="1868"/>
  <c r="F28" i="1868"/>
  <c r="E28" i="1868"/>
  <c r="D28" i="1868"/>
  <c r="Y25" i="1868"/>
  <c r="X25" i="1868"/>
  <c r="W25" i="1868"/>
  <c r="V25" i="1868"/>
  <c r="U25" i="1868"/>
  <c r="T25" i="1868"/>
  <c r="S25" i="1868"/>
  <c r="R25" i="1868"/>
  <c r="Q25" i="1868"/>
  <c r="P25" i="1868"/>
  <c r="O25" i="1868"/>
  <c r="N25" i="1868"/>
  <c r="M25" i="1868"/>
  <c r="L25" i="1868"/>
  <c r="K25" i="1868"/>
  <c r="J25" i="1868"/>
  <c r="I25" i="1868"/>
  <c r="H25" i="1868"/>
  <c r="G25" i="1868"/>
  <c r="F25" i="1868"/>
  <c r="E25" i="1868"/>
  <c r="D25" i="1868"/>
  <c r="AE19" i="1868"/>
  <c r="AD19" i="1868"/>
  <c r="AC19" i="1868"/>
  <c r="AB19" i="1868"/>
  <c r="AA19" i="1868"/>
  <c r="Z19" i="1868"/>
  <c r="Y19" i="1868"/>
  <c r="X19" i="1868"/>
  <c r="T33" i="1868" s="1"/>
  <c r="W19" i="1868"/>
  <c r="V19" i="1868"/>
  <c r="U19" i="1868"/>
  <c r="T19" i="1868"/>
  <c r="S19" i="1868"/>
  <c r="R19" i="1868"/>
  <c r="Q19" i="1868"/>
  <c r="P19" i="1868"/>
  <c r="O19" i="1868"/>
  <c r="N19" i="1868"/>
  <c r="H33" i="1868" s="1"/>
  <c r="M19" i="1868"/>
  <c r="L19" i="1868"/>
  <c r="P33" i="1868" s="1"/>
  <c r="K19" i="1868"/>
  <c r="J19" i="1868"/>
  <c r="I19" i="1868"/>
  <c r="AB33" i="1868" s="1"/>
  <c r="H19" i="1868"/>
  <c r="G19" i="1868"/>
  <c r="F19" i="1868"/>
  <c r="E19" i="1868"/>
  <c r="D19" i="1868"/>
  <c r="AE16" i="1868"/>
  <c r="AD16" i="1868"/>
  <c r="AC16" i="1868"/>
  <c r="AB16" i="1868"/>
  <c r="AA16" i="1868"/>
  <c r="Z16" i="1868"/>
  <c r="Y16" i="1868"/>
  <c r="X16" i="1868"/>
  <c r="W16" i="1868"/>
  <c r="V16" i="1868"/>
  <c r="U16" i="1868"/>
  <c r="T16" i="1868"/>
  <c r="S16" i="1868"/>
  <c r="R16" i="1868"/>
  <c r="Q16" i="1868"/>
  <c r="P16" i="1868"/>
  <c r="O16" i="1868"/>
  <c r="N16" i="1868"/>
  <c r="M16" i="1868"/>
  <c r="L16" i="1868"/>
  <c r="K16" i="1868"/>
  <c r="J16" i="1868"/>
  <c r="I16" i="1868"/>
  <c r="H16" i="1868"/>
  <c r="G16" i="1868"/>
  <c r="F16" i="1868"/>
  <c r="E16" i="1868"/>
  <c r="D16" i="1868"/>
  <c r="AE10" i="1868"/>
  <c r="AD10" i="1868"/>
  <c r="AC33" i="1868" s="1"/>
  <c r="AC10" i="1868"/>
  <c r="AB10" i="1868"/>
  <c r="AA10" i="1868"/>
  <c r="Z10" i="1868"/>
  <c r="Y10" i="1868"/>
  <c r="X10" i="1868"/>
  <c r="W10" i="1868"/>
  <c r="V10" i="1868"/>
  <c r="U10" i="1868"/>
  <c r="T10" i="1868"/>
  <c r="S10" i="1868"/>
  <c r="R10" i="1868"/>
  <c r="Q10" i="1868"/>
  <c r="P10" i="1868"/>
  <c r="O10" i="1868"/>
  <c r="N10" i="1868"/>
  <c r="Q33" i="1868" s="1"/>
  <c r="M10" i="1868"/>
  <c r="E33" i="1868" s="1"/>
  <c r="L10" i="1868"/>
  <c r="N33" i="1868" s="1"/>
  <c r="K10" i="1868"/>
  <c r="J10" i="1868"/>
  <c r="I10" i="1868"/>
  <c r="H10" i="1868"/>
  <c r="G10" i="1868"/>
  <c r="F10" i="1868"/>
  <c r="J33" i="1868" s="1"/>
  <c r="E10" i="1868"/>
  <c r="S33" i="1868" s="1"/>
  <c r="D10" i="1868"/>
  <c r="AE7" i="1868"/>
  <c r="AD7" i="1868"/>
  <c r="AC7" i="1868"/>
  <c r="AB7" i="1868"/>
  <c r="AA7" i="1868"/>
  <c r="Z7" i="1868"/>
  <c r="Y7" i="1868"/>
  <c r="X7" i="1868"/>
  <c r="W7" i="1868"/>
  <c r="V7" i="1868"/>
  <c r="U7" i="1868"/>
  <c r="T7" i="1868"/>
  <c r="S7" i="1868"/>
  <c r="R7" i="1868"/>
  <c r="Q7" i="1868"/>
  <c r="P7" i="1868"/>
  <c r="O7" i="1868"/>
  <c r="N7" i="1868"/>
  <c r="M7" i="1868"/>
  <c r="L7" i="1868"/>
  <c r="K7" i="1868"/>
  <c r="J7" i="1868"/>
  <c r="I7" i="1868"/>
  <c r="H7" i="1868"/>
  <c r="G7" i="1868"/>
  <c r="F7" i="1868"/>
  <c r="E7" i="1868"/>
  <c r="D7" i="1868"/>
  <c r="K33" i="1868" l="1"/>
  <c r="W33" i="1868"/>
  <c r="D33" i="1868"/>
  <c r="Z33" i="1868"/>
  <c r="Y33" i="1868"/>
  <c r="M33" i="1868"/>
  <c r="V33" i="1868"/>
  <c r="AA33" i="1867"/>
  <c r="X33" i="1867"/>
  <c r="U33" i="1867"/>
  <c r="R33" i="1867"/>
  <c r="O33" i="1867"/>
  <c r="L33" i="1867"/>
  <c r="F33" i="1867"/>
  <c r="Y28" i="1867"/>
  <c r="X28" i="1867"/>
  <c r="W28" i="1867"/>
  <c r="V28" i="1867"/>
  <c r="U28" i="1867"/>
  <c r="T28" i="1867"/>
  <c r="S28" i="1867"/>
  <c r="R28" i="1867"/>
  <c r="Q28" i="1867"/>
  <c r="P28" i="1867"/>
  <c r="O28" i="1867"/>
  <c r="N28" i="1867"/>
  <c r="M28" i="1867"/>
  <c r="L28" i="1867"/>
  <c r="K28" i="1867"/>
  <c r="J28" i="1867"/>
  <c r="I28" i="1867"/>
  <c r="H28" i="1867"/>
  <c r="G28" i="1867"/>
  <c r="F28" i="1867"/>
  <c r="E28" i="1867"/>
  <c r="D28" i="1867"/>
  <c r="Y25" i="1867"/>
  <c r="X25" i="1867"/>
  <c r="W25" i="1867"/>
  <c r="V25" i="1867"/>
  <c r="U25" i="1867"/>
  <c r="T25" i="1867"/>
  <c r="S25" i="1867"/>
  <c r="R25" i="1867"/>
  <c r="Q25" i="1867"/>
  <c r="P25" i="1867"/>
  <c r="O25" i="1867"/>
  <c r="N25" i="1867"/>
  <c r="M25" i="1867"/>
  <c r="L25" i="1867"/>
  <c r="K25" i="1867"/>
  <c r="J25" i="1867"/>
  <c r="I25" i="1867"/>
  <c r="H25" i="1867"/>
  <c r="G25" i="1867"/>
  <c r="F25" i="1867"/>
  <c r="E25" i="1867"/>
  <c r="D25" i="1867"/>
  <c r="AE19" i="1867"/>
  <c r="AD19" i="1867"/>
  <c r="AC19" i="1867"/>
  <c r="AB19" i="1867"/>
  <c r="AA19" i="1867"/>
  <c r="Z19" i="1867"/>
  <c r="Y19" i="1867"/>
  <c r="X19" i="1867"/>
  <c r="T33" i="1867" s="1"/>
  <c r="W19" i="1867"/>
  <c r="V19" i="1867"/>
  <c r="U19" i="1867"/>
  <c r="T19" i="1867"/>
  <c r="S19" i="1867"/>
  <c r="R19" i="1867"/>
  <c r="Q19" i="1867"/>
  <c r="P19" i="1867"/>
  <c r="O19" i="1867"/>
  <c r="N19" i="1867"/>
  <c r="H33" i="1867" s="1"/>
  <c r="M19" i="1867"/>
  <c r="L19" i="1867"/>
  <c r="P33" i="1867" s="1"/>
  <c r="K19" i="1867"/>
  <c r="J19" i="1867"/>
  <c r="I19" i="1867"/>
  <c r="AB33" i="1867" s="1"/>
  <c r="H19" i="1867"/>
  <c r="G19" i="1867"/>
  <c r="F19" i="1867"/>
  <c r="E19" i="1867"/>
  <c r="D19" i="1867"/>
  <c r="AE16" i="1867"/>
  <c r="AD16" i="1867"/>
  <c r="AC16" i="1867"/>
  <c r="AB16" i="1867"/>
  <c r="AA16" i="1867"/>
  <c r="Z16" i="1867"/>
  <c r="Y16" i="1867"/>
  <c r="X16" i="1867"/>
  <c r="W16" i="1867"/>
  <c r="V16" i="1867"/>
  <c r="U16" i="1867"/>
  <c r="T16" i="1867"/>
  <c r="S16" i="1867"/>
  <c r="R16" i="1867"/>
  <c r="Q16" i="1867"/>
  <c r="P16" i="1867"/>
  <c r="O16" i="1867"/>
  <c r="N16" i="1867"/>
  <c r="M16" i="1867"/>
  <c r="L16" i="1867"/>
  <c r="K16" i="1867"/>
  <c r="J16" i="1867"/>
  <c r="I16" i="1867"/>
  <c r="H16" i="1867"/>
  <c r="G16" i="1867"/>
  <c r="F16" i="1867"/>
  <c r="E16" i="1867"/>
  <c r="D16" i="1867"/>
  <c r="AE10" i="1867"/>
  <c r="AD10" i="1867"/>
  <c r="AC33" i="1867" s="1"/>
  <c r="AC10" i="1867"/>
  <c r="AB10" i="1867"/>
  <c r="AA10" i="1867"/>
  <c r="Z10" i="1867"/>
  <c r="Y10" i="1867"/>
  <c r="X10" i="1867"/>
  <c r="W10" i="1867"/>
  <c r="V10" i="1867"/>
  <c r="U10" i="1867"/>
  <c r="T10" i="1867"/>
  <c r="S10" i="1867"/>
  <c r="R10" i="1867"/>
  <c r="Q10" i="1867"/>
  <c r="P10" i="1867"/>
  <c r="O10" i="1867"/>
  <c r="N10" i="1867"/>
  <c r="M10" i="1867"/>
  <c r="E33" i="1867" s="1"/>
  <c r="L10" i="1867"/>
  <c r="K10" i="1867"/>
  <c r="J10" i="1867"/>
  <c r="I10" i="1867"/>
  <c r="H10" i="1867"/>
  <c r="G10" i="1867"/>
  <c r="F10" i="1867"/>
  <c r="J33" i="1867" s="1"/>
  <c r="E10" i="1867"/>
  <c r="S33" i="1867" s="1"/>
  <c r="D10" i="1867"/>
  <c r="AE7" i="1867"/>
  <c r="AD7" i="1867"/>
  <c r="AC7" i="1867"/>
  <c r="AB7" i="1867"/>
  <c r="AA7" i="1867"/>
  <c r="Z7" i="1867"/>
  <c r="Y7" i="1867"/>
  <c r="X7" i="1867"/>
  <c r="W7" i="1867"/>
  <c r="V7" i="1867"/>
  <c r="U7" i="1867"/>
  <c r="T7" i="1867"/>
  <c r="S7" i="1867"/>
  <c r="R7" i="1867"/>
  <c r="Q7" i="1867"/>
  <c r="P7" i="1867"/>
  <c r="O7" i="1867"/>
  <c r="N7" i="1867"/>
  <c r="M7" i="1867"/>
  <c r="L7" i="1867"/>
  <c r="K7" i="1867"/>
  <c r="J7" i="1867"/>
  <c r="I7" i="1867"/>
  <c r="H7" i="1867"/>
  <c r="G7" i="1867"/>
  <c r="F7" i="1867"/>
  <c r="E7" i="1867"/>
  <c r="D7" i="1867"/>
  <c r="K33" i="1867" l="1"/>
  <c r="W33" i="1867"/>
  <c r="D33" i="1867"/>
  <c r="Z33" i="1867"/>
  <c r="Y33" i="1867"/>
  <c r="N33" i="1867"/>
  <c r="Q33" i="1867"/>
  <c r="M33" i="1867"/>
  <c r="V33" i="1867"/>
  <c r="AA33" i="1866"/>
  <c r="X33" i="1866"/>
  <c r="U33" i="1866"/>
  <c r="R33" i="1866"/>
  <c r="O33" i="1866"/>
  <c r="L33" i="1866"/>
  <c r="F33" i="1866"/>
  <c r="Y28" i="1866"/>
  <c r="X28" i="1866"/>
  <c r="W28" i="1866"/>
  <c r="V28" i="1866"/>
  <c r="U28" i="1866"/>
  <c r="T28" i="1866"/>
  <c r="S28" i="1866"/>
  <c r="R28" i="1866"/>
  <c r="Q28" i="1866"/>
  <c r="P28" i="1866"/>
  <c r="O28" i="1866"/>
  <c r="N28" i="1866"/>
  <c r="M28" i="1866"/>
  <c r="L28" i="1866"/>
  <c r="K28" i="1866"/>
  <c r="J28" i="1866"/>
  <c r="I28" i="1866"/>
  <c r="H28" i="1866"/>
  <c r="G28" i="1866"/>
  <c r="F28" i="1866"/>
  <c r="E28" i="1866"/>
  <c r="D28" i="1866"/>
  <c r="Y25" i="1866"/>
  <c r="X25" i="1866"/>
  <c r="W25" i="1866"/>
  <c r="V25" i="1866"/>
  <c r="U25" i="1866"/>
  <c r="T25" i="1866"/>
  <c r="S25" i="1866"/>
  <c r="R25" i="1866"/>
  <c r="Q25" i="1866"/>
  <c r="P25" i="1866"/>
  <c r="O25" i="1866"/>
  <c r="N25" i="1866"/>
  <c r="M25" i="1866"/>
  <c r="L25" i="1866"/>
  <c r="K25" i="1866"/>
  <c r="J25" i="1866"/>
  <c r="I25" i="1866"/>
  <c r="H25" i="1866"/>
  <c r="G25" i="1866"/>
  <c r="F25" i="1866"/>
  <c r="E25" i="1866"/>
  <c r="D25" i="1866"/>
  <c r="AE19" i="1866"/>
  <c r="AD19" i="1866"/>
  <c r="AC19" i="1866"/>
  <c r="AB19" i="1866"/>
  <c r="AA19" i="1866"/>
  <c r="Z19" i="1866"/>
  <c r="Y19" i="1866"/>
  <c r="X19" i="1866"/>
  <c r="T33" i="1866" s="1"/>
  <c r="W19" i="1866"/>
  <c r="V19" i="1866"/>
  <c r="U19" i="1866"/>
  <c r="T19" i="1866"/>
  <c r="S19" i="1866"/>
  <c r="R19" i="1866"/>
  <c r="Q19" i="1866"/>
  <c r="P19" i="1866"/>
  <c r="O19" i="1866"/>
  <c r="N19" i="1866"/>
  <c r="H33" i="1866" s="1"/>
  <c r="M19" i="1866"/>
  <c r="L19" i="1866"/>
  <c r="P33" i="1866" s="1"/>
  <c r="K19" i="1866"/>
  <c r="J19" i="1866"/>
  <c r="I19" i="1866"/>
  <c r="AB33" i="1866" s="1"/>
  <c r="H19" i="1866"/>
  <c r="G19" i="1866"/>
  <c r="F19" i="1866"/>
  <c r="E19" i="1866"/>
  <c r="D19" i="1866"/>
  <c r="AE16" i="1866"/>
  <c r="AD16" i="1866"/>
  <c r="AC16" i="1866"/>
  <c r="AB16" i="1866"/>
  <c r="AA16" i="1866"/>
  <c r="Z16" i="1866"/>
  <c r="Y16" i="1866"/>
  <c r="X16" i="1866"/>
  <c r="W16" i="1866"/>
  <c r="V16" i="1866"/>
  <c r="U16" i="1866"/>
  <c r="T16" i="1866"/>
  <c r="S16" i="1866"/>
  <c r="R16" i="1866"/>
  <c r="Q16" i="1866"/>
  <c r="P16" i="1866"/>
  <c r="O16" i="1866"/>
  <c r="N16" i="1866"/>
  <c r="M16" i="1866"/>
  <c r="L16" i="1866"/>
  <c r="K16" i="1866"/>
  <c r="J16" i="1866"/>
  <c r="I16" i="1866"/>
  <c r="H16" i="1866"/>
  <c r="G16" i="1866"/>
  <c r="F16" i="1866"/>
  <c r="E16" i="1866"/>
  <c r="D16" i="1866"/>
  <c r="AE10" i="1866"/>
  <c r="AD10" i="1866"/>
  <c r="AC33" i="1866" s="1"/>
  <c r="AC10" i="1866"/>
  <c r="AB10" i="1866"/>
  <c r="AA10" i="1866"/>
  <c r="Z10" i="1866"/>
  <c r="Y10" i="1866"/>
  <c r="X10" i="1866"/>
  <c r="W10" i="1866"/>
  <c r="V10" i="1866"/>
  <c r="U10" i="1866"/>
  <c r="T10" i="1866"/>
  <c r="S10" i="1866"/>
  <c r="R10" i="1866"/>
  <c r="Q10" i="1866"/>
  <c r="P10" i="1866"/>
  <c r="O10" i="1866"/>
  <c r="N10" i="1866"/>
  <c r="M10" i="1866"/>
  <c r="E33" i="1866" s="1"/>
  <c r="L10" i="1866"/>
  <c r="N33" i="1866" s="1"/>
  <c r="K10" i="1866"/>
  <c r="J10" i="1866"/>
  <c r="I10" i="1866"/>
  <c r="H10" i="1866"/>
  <c r="G10" i="1866"/>
  <c r="F10" i="1866"/>
  <c r="J33" i="1866" s="1"/>
  <c r="E10" i="1866"/>
  <c r="S33" i="1866" s="1"/>
  <c r="D10" i="1866"/>
  <c r="AE7" i="1866"/>
  <c r="AD7" i="1866"/>
  <c r="AC7" i="1866"/>
  <c r="AB7" i="1866"/>
  <c r="AA7" i="1866"/>
  <c r="Z7" i="1866"/>
  <c r="Y7" i="1866"/>
  <c r="X7" i="1866"/>
  <c r="W7" i="1866"/>
  <c r="V7" i="1866"/>
  <c r="U7" i="1866"/>
  <c r="T7" i="1866"/>
  <c r="S7" i="1866"/>
  <c r="R7" i="1866"/>
  <c r="Q7" i="1866"/>
  <c r="P7" i="1866"/>
  <c r="O7" i="1866"/>
  <c r="N7" i="1866"/>
  <c r="M7" i="1866"/>
  <c r="L7" i="1866"/>
  <c r="K7" i="1866"/>
  <c r="J7" i="1866"/>
  <c r="I7" i="1866"/>
  <c r="H7" i="1866"/>
  <c r="G7" i="1866"/>
  <c r="F7" i="1866"/>
  <c r="E7" i="1866"/>
  <c r="D7" i="1866"/>
  <c r="W33" i="1866" l="1"/>
  <c r="Z33" i="1866"/>
  <c r="V33" i="1866"/>
  <c r="D33" i="1866"/>
  <c r="Y33" i="1866"/>
  <c r="Q33" i="1866"/>
  <c r="K33" i="1866"/>
  <c r="M33" i="1866"/>
  <c r="AA33" i="1865"/>
  <c r="X33" i="1865"/>
  <c r="U33" i="1865"/>
  <c r="R33" i="1865"/>
  <c r="O33" i="1865"/>
  <c r="L33" i="1865"/>
  <c r="F33" i="1865"/>
  <c r="Y28" i="1865"/>
  <c r="X28" i="1865"/>
  <c r="W28" i="1865"/>
  <c r="V28" i="1865"/>
  <c r="U28" i="1865"/>
  <c r="T28" i="1865"/>
  <c r="S28" i="1865"/>
  <c r="R28" i="1865"/>
  <c r="Q28" i="1865"/>
  <c r="P28" i="1865"/>
  <c r="O28" i="1865"/>
  <c r="N28" i="1865"/>
  <c r="M28" i="1865"/>
  <c r="L28" i="1865"/>
  <c r="K28" i="1865"/>
  <c r="J28" i="1865"/>
  <c r="I28" i="1865"/>
  <c r="H28" i="1865"/>
  <c r="G28" i="1865"/>
  <c r="F28" i="1865"/>
  <c r="E28" i="1865"/>
  <c r="D28" i="1865"/>
  <c r="Y25" i="1865"/>
  <c r="X25" i="1865"/>
  <c r="W25" i="1865"/>
  <c r="V25" i="1865"/>
  <c r="U25" i="1865"/>
  <c r="T25" i="1865"/>
  <c r="S25" i="1865"/>
  <c r="R25" i="1865"/>
  <c r="Q25" i="1865"/>
  <c r="P25" i="1865"/>
  <c r="O25" i="1865"/>
  <c r="N25" i="1865"/>
  <c r="M25" i="1865"/>
  <c r="L25" i="1865"/>
  <c r="K25" i="1865"/>
  <c r="J25" i="1865"/>
  <c r="I25" i="1865"/>
  <c r="H25" i="1865"/>
  <c r="G25" i="1865"/>
  <c r="F25" i="1865"/>
  <c r="E25" i="1865"/>
  <c r="D25" i="1865"/>
  <c r="AE19" i="1865"/>
  <c r="AD19" i="1865"/>
  <c r="AC19" i="1865"/>
  <c r="AB19" i="1865"/>
  <c r="AA19" i="1865"/>
  <c r="Z19" i="1865"/>
  <c r="Y19" i="1865"/>
  <c r="X19" i="1865"/>
  <c r="T33" i="1865" s="1"/>
  <c r="W19" i="1865"/>
  <c r="V19" i="1865"/>
  <c r="U19" i="1865"/>
  <c r="T19" i="1865"/>
  <c r="S19" i="1865"/>
  <c r="R19" i="1865"/>
  <c r="Q19" i="1865"/>
  <c r="P19" i="1865"/>
  <c r="O19" i="1865"/>
  <c r="N19" i="1865"/>
  <c r="H33" i="1865" s="1"/>
  <c r="M19" i="1865"/>
  <c r="L19" i="1865"/>
  <c r="P33" i="1865" s="1"/>
  <c r="K19" i="1865"/>
  <c r="J19" i="1865"/>
  <c r="I19" i="1865"/>
  <c r="AB33" i="1865" s="1"/>
  <c r="H19" i="1865"/>
  <c r="G19" i="1865"/>
  <c r="F19" i="1865"/>
  <c r="E19" i="1865"/>
  <c r="D19" i="1865"/>
  <c r="AE16" i="1865"/>
  <c r="AD16" i="1865"/>
  <c r="AC16" i="1865"/>
  <c r="AB16" i="1865"/>
  <c r="AA16" i="1865"/>
  <c r="Z16" i="1865"/>
  <c r="Y16" i="1865"/>
  <c r="X16" i="1865"/>
  <c r="W16" i="1865"/>
  <c r="V16" i="1865"/>
  <c r="U16" i="1865"/>
  <c r="T16" i="1865"/>
  <c r="S16" i="1865"/>
  <c r="R16" i="1865"/>
  <c r="Q16" i="1865"/>
  <c r="P16" i="1865"/>
  <c r="O16" i="1865"/>
  <c r="N16" i="1865"/>
  <c r="M16" i="1865"/>
  <c r="L16" i="1865"/>
  <c r="K16" i="1865"/>
  <c r="J16" i="1865"/>
  <c r="I16" i="1865"/>
  <c r="H16" i="1865"/>
  <c r="G16" i="1865"/>
  <c r="F16" i="1865"/>
  <c r="E16" i="1865"/>
  <c r="D16" i="1865"/>
  <c r="AE10" i="1865"/>
  <c r="AD10" i="1865"/>
  <c r="AC33" i="1865" s="1"/>
  <c r="AC10" i="1865"/>
  <c r="AB10" i="1865"/>
  <c r="AA10" i="1865"/>
  <c r="Z10" i="1865"/>
  <c r="Y10" i="1865"/>
  <c r="X10" i="1865"/>
  <c r="W10" i="1865"/>
  <c r="V10" i="1865"/>
  <c r="U10" i="1865"/>
  <c r="T10" i="1865"/>
  <c r="S10" i="1865"/>
  <c r="R10" i="1865"/>
  <c r="Q10" i="1865"/>
  <c r="P10" i="1865"/>
  <c r="O10" i="1865"/>
  <c r="N10" i="1865"/>
  <c r="M10" i="1865"/>
  <c r="L10" i="1865"/>
  <c r="K10" i="1865"/>
  <c r="J10" i="1865"/>
  <c r="I10" i="1865"/>
  <c r="H10" i="1865"/>
  <c r="G10" i="1865"/>
  <c r="F10" i="1865"/>
  <c r="J33" i="1865" s="1"/>
  <c r="E10" i="1865"/>
  <c r="S33" i="1865" s="1"/>
  <c r="D10" i="1865"/>
  <c r="AE7" i="1865"/>
  <c r="AD7" i="1865"/>
  <c r="AC7" i="1865"/>
  <c r="AB7" i="1865"/>
  <c r="AA7" i="1865"/>
  <c r="Z7" i="1865"/>
  <c r="Y7" i="1865"/>
  <c r="X7" i="1865"/>
  <c r="W7" i="1865"/>
  <c r="V7" i="1865"/>
  <c r="U7" i="1865"/>
  <c r="T7" i="1865"/>
  <c r="S7" i="1865"/>
  <c r="R7" i="1865"/>
  <c r="Q7" i="1865"/>
  <c r="P7" i="1865"/>
  <c r="O7" i="1865"/>
  <c r="N7" i="1865"/>
  <c r="M7" i="1865"/>
  <c r="L7" i="1865"/>
  <c r="K7" i="1865"/>
  <c r="J7" i="1865"/>
  <c r="I7" i="1865"/>
  <c r="H7" i="1865"/>
  <c r="G7" i="1865"/>
  <c r="F7" i="1865"/>
  <c r="E7" i="1865"/>
  <c r="D7" i="1865"/>
  <c r="K33" i="1865" l="1"/>
  <c r="W33" i="1865"/>
  <c r="D33" i="1865"/>
  <c r="Z33" i="1865"/>
  <c r="Y33" i="1865"/>
  <c r="N33" i="1865"/>
  <c r="Q33" i="1865"/>
  <c r="E33" i="1865"/>
  <c r="M33" i="1865"/>
  <c r="V33" i="1865"/>
  <c r="AA33" i="1864"/>
  <c r="X33" i="1864"/>
  <c r="U33" i="1864"/>
  <c r="R33" i="1864"/>
  <c r="O33" i="1864"/>
  <c r="L33" i="1864"/>
  <c r="F33" i="1864"/>
  <c r="Y28" i="1864"/>
  <c r="X28" i="1864"/>
  <c r="W28" i="1864"/>
  <c r="V28" i="1864"/>
  <c r="U28" i="1864"/>
  <c r="T28" i="1864"/>
  <c r="S28" i="1864"/>
  <c r="R28" i="1864"/>
  <c r="Q28" i="1864"/>
  <c r="P28" i="1864"/>
  <c r="O28" i="1864"/>
  <c r="N28" i="1864"/>
  <c r="M28" i="1864"/>
  <c r="L28" i="1864"/>
  <c r="K28" i="1864"/>
  <c r="J28" i="1864"/>
  <c r="I28" i="1864"/>
  <c r="H28" i="1864"/>
  <c r="G28" i="1864"/>
  <c r="F28" i="1864"/>
  <c r="E28" i="1864"/>
  <c r="D28" i="1864"/>
  <c r="Y25" i="1864"/>
  <c r="X25" i="1864"/>
  <c r="W25" i="1864"/>
  <c r="V25" i="1864"/>
  <c r="U25" i="1864"/>
  <c r="T25" i="1864"/>
  <c r="S25" i="1864"/>
  <c r="R25" i="1864"/>
  <c r="Q25" i="1864"/>
  <c r="P25" i="1864"/>
  <c r="O25" i="1864"/>
  <c r="N25" i="1864"/>
  <c r="M25" i="1864"/>
  <c r="L25" i="1864"/>
  <c r="K25" i="1864"/>
  <c r="J25" i="1864"/>
  <c r="I25" i="1864"/>
  <c r="H25" i="1864"/>
  <c r="G25" i="1864"/>
  <c r="F25" i="1864"/>
  <c r="E25" i="1864"/>
  <c r="D25" i="1864"/>
  <c r="AE19" i="1864"/>
  <c r="AD19" i="1864"/>
  <c r="AC19" i="1864"/>
  <c r="AB19" i="1864"/>
  <c r="AA19" i="1864"/>
  <c r="Z19" i="1864"/>
  <c r="Y19" i="1864"/>
  <c r="X19" i="1864"/>
  <c r="T33" i="1864" s="1"/>
  <c r="W19" i="1864"/>
  <c r="V19" i="1864"/>
  <c r="U19" i="1864"/>
  <c r="T19" i="1864"/>
  <c r="S19" i="1864"/>
  <c r="R19" i="1864"/>
  <c r="Q19" i="1864"/>
  <c r="P19" i="1864"/>
  <c r="O19" i="1864"/>
  <c r="N19" i="1864"/>
  <c r="H33" i="1864" s="1"/>
  <c r="M19" i="1864"/>
  <c r="L19" i="1864"/>
  <c r="P33" i="1864" s="1"/>
  <c r="K19" i="1864"/>
  <c r="J19" i="1864"/>
  <c r="I19" i="1864"/>
  <c r="AB33" i="1864" s="1"/>
  <c r="H19" i="1864"/>
  <c r="G19" i="1864"/>
  <c r="F19" i="1864"/>
  <c r="E19" i="1864"/>
  <c r="D19" i="1864"/>
  <c r="AE16" i="1864"/>
  <c r="AD16" i="1864"/>
  <c r="AC16" i="1864"/>
  <c r="AB16" i="1864"/>
  <c r="AA16" i="1864"/>
  <c r="Z16" i="1864"/>
  <c r="Y16" i="1864"/>
  <c r="X16" i="1864"/>
  <c r="W16" i="1864"/>
  <c r="V16" i="1864"/>
  <c r="U16" i="1864"/>
  <c r="T16" i="1864"/>
  <c r="S16" i="1864"/>
  <c r="R16" i="1864"/>
  <c r="Q16" i="1864"/>
  <c r="P16" i="1864"/>
  <c r="O16" i="1864"/>
  <c r="N16" i="1864"/>
  <c r="M16" i="1864"/>
  <c r="L16" i="1864"/>
  <c r="K16" i="1864"/>
  <c r="J16" i="1864"/>
  <c r="I16" i="1864"/>
  <c r="H16" i="1864"/>
  <c r="G16" i="1864"/>
  <c r="F16" i="1864"/>
  <c r="E16" i="1864"/>
  <c r="D16" i="1864"/>
  <c r="AE10" i="1864"/>
  <c r="AD10" i="1864"/>
  <c r="AC33" i="1864" s="1"/>
  <c r="AC10" i="1864"/>
  <c r="AB10" i="1864"/>
  <c r="AA10" i="1864"/>
  <c r="Z10" i="1864"/>
  <c r="Y10" i="1864"/>
  <c r="X10" i="1864"/>
  <c r="W10" i="1864"/>
  <c r="V10" i="1864"/>
  <c r="U10" i="1864"/>
  <c r="T10" i="1864"/>
  <c r="S10" i="1864"/>
  <c r="R10" i="1864"/>
  <c r="Q10" i="1864"/>
  <c r="P10" i="1864"/>
  <c r="O10" i="1864"/>
  <c r="N10" i="1864"/>
  <c r="M10" i="1864"/>
  <c r="E33" i="1864" s="1"/>
  <c r="L10" i="1864"/>
  <c r="N33" i="1864" s="1"/>
  <c r="K10" i="1864"/>
  <c r="J10" i="1864"/>
  <c r="I10" i="1864"/>
  <c r="H10" i="1864"/>
  <c r="G10" i="1864"/>
  <c r="F10" i="1864"/>
  <c r="J33" i="1864" s="1"/>
  <c r="E10" i="1864"/>
  <c r="S33" i="1864" s="1"/>
  <c r="D10" i="1864"/>
  <c r="AE7" i="1864"/>
  <c r="AD7" i="1864"/>
  <c r="AC7" i="1864"/>
  <c r="AB7" i="1864"/>
  <c r="AA7" i="1864"/>
  <c r="Z7" i="1864"/>
  <c r="Y7" i="1864"/>
  <c r="X7" i="1864"/>
  <c r="W7" i="1864"/>
  <c r="V7" i="1864"/>
  <c r="U7" i="1864"/>
  <c r="T7" i="1864"/>
  <c r="S7" i="1864"/>
  <c r="R7" i="1864"/>
  <c r="Q7" i="1864"/>
  <c r="P7" i="1864"/>
  <c r="O7" i="1864"/>
  <c r="N7" i="1864"/>
  <c r="M7" i="1864"/>
  <c r="L7" i="1864"/>
  <c r="K7" i="1864"/>
  <c r="J7" i="1864"/>
  <c r="I7" i="1864"/>
  <c r="H7" i="1864"/>
  <c r="G7" i="1864"/>
  <c r="F7" i="1864"/>
  <c r="E7" i="1864"/>
  <c r="D7" i="1864"/>
  <c r="W33" i="1864" l="1"/>
  <c r="Z33" i="1864"/>
  <c r="D33" i="1864"/>
  <c r="Y33" i="1864"/>
  <c r="Q33" i="1864"/>
  <c r="K33" i="1864"/>
  <c r="M33" i="1864"/>
  <c r="V33" i="1864"/>
  <c r="AA33" i="1863"/>
  <c r="X33" i="1863"/>
  <c r="U33" i="1863"/>
  <c r="R33" i="1863"/>
  <c r="O33" i="1863"/>
  <c r="L33" i="1863"/>
  <c r="F33" i="1863"/>
  <c r="Y28" i="1863"/>
  <c r="X28" i="1863"/>
  <c r="W28" i="1863"/>
  <c r="V28" i="1863"/>
  <c r="U28" i="1863"/>
  <c r="T28" i="1863"/>
  <c r="S28" i="1863"/>
  <c r="R28" i="1863"/>
  <c r="Q28" i="1863"/>
  <c r="P28" i="1863"/>
  <c r="O28" i="1863"/>
  <c r="N28" i="1863"/>
  <c r="M28" i="1863"/>
  <c r="L28" i="1863"/>
  <c r="K28" i="1863"/>
  <c r="J28" i="1863"/>
  <c r="I28" i="1863"/>
  <c r="H28" i="1863"/>
  <c r="G28" i="1863"/>
  <c r="F28" i="1863"/>
  <c r="E28" i="1863"/>
  <c r="D28" i="1863"/>
  <c r="Y25" i="1863"/>
  <c r="X25" i="1863"/>
  <c r="W25" i="1863"/>
  <c r="V25" i="1863"/>
  <c r="U25" i="1863"/>
  <c r="T25" i="1863"/>
  <c r="S25" i="1863"/>
  <c r="R25" i="1863"/>
  <c r="Q25" i="1863"/>
  <c r="P25" i="1863"/>
  <c r="O25" i="1863"/>
  <c r="N25" i="1863"/>
  <c r="M25" i="1863"/>
  <c r="L25" i="1863"/>
  <c r="K25" i="1863"/>
  <c r="J25" i="1863"/>
  <c r="I25" i="1863"/>
  <c r="H25" i="1863"/>
  <c r="G25" i="1863"/>
  <c r="F25" i="1863"/>
  <c r="E25" i="1863"/>
  <c r="D25" i="1863"/>
  <c r="AE19" i="1863"/>
  <c r="AD19" i="1863"/>
  <c r="AC19" i="1863"/>
  <c r="AB19" i="1863"/>
  <c r="AA19" i="1863"/>
  <c r="Z19" i="1863"/>
  <c r="Y19" i="1863"/>
  <c r="X19" i="1863"/>
  <c r="T33" i="1863" s="1"/>
  <c r="W19" i="1863"/>
  <c r="V19" i="1863"/>
  <c r="U19" i="1863"/>
  <c r="T19" i="1863"/>
  <c r="S19" i="1863"/>
  <c r="R19" i="1863"/>
  <c r="Q19" i="1863"/>
  <c r="P19" i="1863"/>
  <c r="O19" i="1863"/>
  <c r="N19" i="1863"/>
  <c r="H33" i="1863" s="1"/>
  <c r="M19" i="1863"/>
  <c r="L19" i="1863"/>
  <c r="P33" i="1863" s="1"/>
  <c r="K19" i="1863"/>
  <c r="J19" i="1863"/>
  <c r="I19" i="1863"/>
  <c r="AB33" i="1863" s="1"/>
  <c r="H19" i="1863"/>
  <c r="G19" i="1863"/>
  <c r="F19" i="1863"/>
  <c r="E19" i="1863"/>
  <c r="D19" i="1863"/>
  <c r="AE16" i="1863"/>
  <c r="AD16" i="1863"/>
  <c r="AC16" i="1863"/>
  <c r="AB16" i="1863"/>
  <c r="AA16" i="1863"/>
  <c r="Z16" i="1863"/>
  <c r="Y16" i="1863"/>
  <c r="X16" i="1863"/>
  <c r="W16" i="1863"/>
  <c r="V16" i="1863"/>
  <c r="U16" i="1863"/>
  <c r="T16" i="1863"/>
  <c r="S16" i="1863"/>
  <c r="R16" i="1863"/>
  <c r="Q16" i="1863"/>
  <c r="P16" i="1863"/>
  <c r="O16" i="1863"/>
  <c r="N16" i="1863"/>
  <c r="M16" i="1863"/>
  <c r="L16" i="1863"/>
  <c r="K16" i="1863"/>
  <c r="J16" i="1863"/>
  <c r="I16" i="1863"/>
  <c r="H16" i="1863"/>
  <c r="G16" i="1863"/>
  <c r="F16" i="1863"/>
  <c r="E16" i="1863"/>
  <c r="D16" i="1863"/>
  <c r="AE10" i="1863"/>
  <c r="AD10" i="1863"/>
  <c r="AC33" i="1863" s="1"/>
  <c r="AC10" i="1863"/>
  <c r="AB10" i="1863"/>
  <c r="D33" i="1863" s="1"/>
  <c r="AA10" i="1863"/>
  <c r="Z10" i="1863"/>
  <c r="Y10" i="1863"/>
  <c r="X10" i="1863"/>
  <c r="W10" i="1863"/>
  <c r="V10" i="1863"/>
  <c r="U10" i="1863"/>
  <c r="T10" i="1863"/>
  <c r="S10" i="1863"/>
  <c r="R10" i="1863"/>
  <c r="Q10" i="1863"/>
  <c r="P10" i="1863"/>
  <c r="O10" i="1863"/>
  <c r="N10" i="1863"/>
  <c r="Q33" i="1863" s="1"/>
  <c r="M10" i="1863"/>
  <c r="E33" i="1863" s="1"/>
  <c r="L10" i="1863"/>
  <c r="N33" i="1863" s="1"/>
  <c r="K10" i="1863"/>
  <c r="J10" i="1863"/>
  <c r="I10" i="1863"/>
  <c r="H10" i="1863"/>
  <c r="G10" i="1863"/>
  <c r="F10" i="1863"/>
  <c r="J33" i="1863" s="1"/>
  <c r="E10" i="1863"/>
  <c r="S33" i="1863" s="1"/>
  <c r="D10" i="1863"/>
  <c r="AE7" i="1863"/>
  <c r="AD7" i="1863"/>
  <c r="AC7" i="1863"/>
  <c r="AB7" i="1863"/>
  <c r="AA7" i="1863"/>
  <c r="Z7" i="1863"/>
  <c r="Y7" i="1863"/>
  <c r="X7" i="1863"/>
  <c r="W7" i="1863"/>
  <c r="V7" i="1863"/>
  <c r="U7" i="1863"/>
  <c r="T7" i="1863"/>
  <c r="S7" i="1863"/>
  <c r="R7" i="1863"/>
  <c r="Q7" i="1863"/>
  <c r="P7" i="1863"/>
  <c r="O7" i="1863"/>
  <c r="N7" i="1863"/>
  <c r="M7" i="1863"/>
  <c r="L7" i="1863"/>
  <c r="K7" i="1863"/>
  <c r="J7" i="1863"/>
  <c r="I7" i="1863"/>
  <c r="H7" i="1863"/>
  <c r="G7" i="1863"/>
  <c r="F7" i="1863"/>
  <c r="E7" i="1863"/>
  <c r="D7" i="1863"/>
  <c r="K33" i="1863" l="1"/>
  <c r="W33" i="1863"/>
  <c r="Z33" i="1863"/>
  <c r="Y33" i="1863"/>
  <c r="M33" i="1863"/>
  <c r="V33" i="1863"/>
  <c r="AA33" i="1862"/>
  <c r="X33" i="1862"/>
  <c r="U33" i="1862"/>
  <c r="R33" i="1862"/>
  <c r="P33" i="1862"/>
  <c r="O33" i="1862"/>
  <c r="L33" i="1862"/>
  <c r="F33" i="1862"/>
  <c r="Y28" i="1862"/>
  <c r="X28" i="1862"/>
  <c r="W28" i="1862"/>
  <c r="V28" i="1862"/>
  <c r="U28" i="1862"/>
  <c r="T28" i="1862"/>
  <c r="S28" i="1862"/>
  <c r="R28" i="1862"/>
  <c r="Q28" i="1862"/>
  <c r="P28" i="1862"/>
  <c r="O28" i="1862"/>
  <c r="N28" i="1862"/>
  <c r="M28" i="1862"/>
  <c r="L28" i="1862"/>
  <c r="K28" i="1862"/>
  <c r="J28" i="1862"/>
  <c r="I28" i="1862"/>
  <c r="H28" i="1862"/>
  <c r="G28" i="1862"/>
  <c r="F28" i="1862"/>
  <c r="E28" i="1862"/>
  <c r="D28" i="1862"/>
  <c r="Y25" i="1862"/>
  <c r="X25" i="1862"/>
  <c r="W25" i="1862"/>
  <c r="V25" i="1862"/>
  <c r="U25" i="1862"/>
  <c r="T25" i="1862"/>
  <c r="S25" i="1862"/>
  <c r="R25" i="1862"/>
  <c r="Q25" i="1862"/>
  <c r="P25" i="1862"/>
  <c r="O25" i="1862"/>
  <c r="N25" i="1862"/>
  <c r="M25" i="1862"/>
  <c r="L25" i="1862"/>
  <c r="K25" i="1862"/>
  <c r="J25" i="1862"/>
  <c r="I25" i="1862"/>
  <c r="H25" i="1862"/>
  <c r="G25" i="1862"/>
  <c r="F25" i="1862"/>
  <c r="E25" i="1862"/>
  <c r="D25" i="1862"/>
  <c r="AE19" i="1862"/>
  <c r="AD19" i="1862"/>
  <c r="AC19" i="1862"/>
  <c r="AB19" i="1862"/>
  <c r="AA19" i="1862"/>
  <c r="Z19" i="1862"/>
  <c r="Y19" i="1862"/>
  <c r="X19" i="1862"/>
  <c r="T33" i="1862" s="1"/>
  <c r="W19" i="1862"/>
  <c r="V19" i="1862"/>
  <c r="U19" i="1862"/>
  <c r="T19" i="1862"/>
  <c r="S19" i="1862"/>
  <c r="R19" i="1862"/>
  <c r="Q19" i="1862"/>
  <c r="P19" i="1862"/>
  <c r="O19" i="1862"/>
  <c r="N19" i="1862"/>
  <c r="H33" i="1862" s="1"/>
  <c r="M19" i="1862"/>
  <c r="L19" i="1862"/>
  <c r="K19" i="1862"/>
  <c r="J19" i="1862"/>
  <c r="I19" i="1862"/>
  <c r="AB33" i="1862" s="1"/>
  <c r="H19" i="1862"/>
  <c r="G19" i="1862"/>
  <c r="F19" i="1862"/>
  <c r="E19" i="1862"/>
  <c r="D19" i="1862"/>
  <c r="AE16" i="1862"/>
  <c r="AD16" i="1862"/>
  <c r="AC16" i="1862"/>
  <c r="AB16" i="1862"/>
  <c r="AA16" i="1862"/>
  <c r="Z16" i="1862"/>
  <c r="Y16" i="1862"/>
  <c r="X16" i="1862"/>
  <c r="W16" i="1862"/>
  <c r="V16" i="1862"/>
  <c r="U16" i="1862"/>
  <c r="T16" i="1862"/>
  <c r="S16" i="1862"/>
  <c r="R16" i="1862"/>
  <c r="Q16" i="1862"/>
  <c r="P16" i="1862"/>
  <c r="O16" i="1862"/>
  <c r="N16" i="1862"/>
  <c r="M16" i="1862"/>
  <c r="L16" i="1862"/>
  <c r="K16" i="1862"/>
  <c r="J16" i="1862"/>
  <c r="I16" i="1862"/>
  <c r="H16" i="1862"/>
  <c r="G16" i="1862"/>
  <c r="F16" i="1862"/>
  <c r="E16" i="1862"/>
  <c r="D16" i="1862"/>
  <c r="AE10" i="1862"/>
  <c r="AD10" i="1862"/>
  <c r="AC33" i="1862" s="1"/>
  <c r="AC10" i="1862"/>
  <c r="AB10" i="1862"/>
  <c r="AA10" i="1862"/>
  <c r="Z10" i="1862"/>
  <c r="Y10" i="1862"/>
  <c r="X10" i="1862"/>
  <c r="W10" i="1862"/>
  <c r="V10" i="1862"/>
  <c r="U10" i="1862"/>
  <c r="T10" i="1862"/>
  <c r="S10" i="1862"/>
  <c r="R10" i="1862"/>
  <c r="Q10" i="1862"/>
  <c r="P10" i="1862"/>
  <c r="O10" i="1862"/>
  <c r="N10" i="1862"/>
  <c r="M10" i="1862"/>
  <c r="L10" i="1862"/>
  <c r="K10" i="1862"/>
  <c r="J10" i="1862"/>
  <c r="I10" i="1862"/>
  <c r="H10" i="1862"/>
  <c r="G10" i="1862"/>
  <c r="F10" i="1862"/>
  <c r="J33" i="1862" s="1"/>
  <c r="E10" i="1862"/>
  <c r="S33" i="1862" s="1"/>
  <c r="D10" i="1862"/>
  <c r="AE7" i="1862"/>
  <c r="AD7" i="1862"/>
  <c r="AC7" i="1862"/>
  <c r="AB7" i="1862"/>
  <c r="AA7" i="1862"/>
  <c r="Z7" i="1862"/>
  <c r="Y7" i="1862"/>
  <c r="X7" i="1862"/>
  <c r="W7" i="1862"/>
  <c r="V7" i="1862"/>
  <c r="U7" i="1862"/>
  <c r="T7" i="1862"/>
  <c r="S7" i="1862"/>
  <c r="R7" i="1862"/>
  <c r="Q7" i="1862"/>
  <c r="P7" i="1862"/>
  <c r="O7" i="1862"/>
  <c r="N7" i="1862"/>
  <c r="M7" i="1862"/>
  <c r="L7" i="1862"/>
  <c r="K7" i="1862"/>
  <c r="J7" i="1862"/>
  <c r="I7" i="1862"/>
  <c r="H7" i="1862"/>
  <c r="G7" i="1862"/>
  <c r="F7" i="1862"/>
  <c r="E7" i="1862"/>
  <c r="D7" i="1862"/>
  <c r="V33" i="1862" l="1"/>
  <c r="K33" i="1862"/>
  <c r="W33" i="1862"/>
  <c r="D33" i="1862"/>
  <c r="Z33" i="1862"/>
  <c r="Y33" i="1862"/>
  <c r="N33" i="1862"/>
  <c r="Q33" i="1862"/>
  <c r="E33" i="1862"/>
  <c r="M33" i="1862"/>
  <c r="AA33" i="1861"/>
  <c r="X33" i="1861"/>
  <c r="U33" i="1861"/>
  <c r="R33" i="1861"/>
  <c r="O33" i="1861"/>
  <c r="L33" i="1861"/>
  <c r="F33" i="1861"/>
  <c r="Y28" i="1861"/>
  <c r="X28" i="1861"/>
  <c r="W28" i="1861"/>
  <c r="V28" i="1861"/>
  <c r="U28" i="1861"/>
  <c r="T28" i="1861"/>
  <c r="S28" i="1861"/>
  <c r="R28" i="1861"/>
  <c r="Q28" i="1861"/>
  <c r="P28" i="1861"/>
  <c r="O28" i="1861"/>
  <c r="N28" i="1861"/>
  <c r="M28" i="1861"/>
  <c r="L28" i="1861"/>
  <c r="K28" i="1861"/>
  <c r="J28" i="1861"/>
  <c r="I28" i="1861"/>
  <c r="H28" i="1861"/>
  <c r="G28" i="1861"/>
  <c r="F28" i="1861"/>
  <c r="E28" i="1861"/>
  <c r="D28" i="1861"/>
  <c r="Y25" i="1861"/>
  <c r="X25" i="1861"/>
  <c r="W25" i="1861"/>
  <c r="V25" i="1861"/>
  <c r="U25" i="1861"/>
  <c r="T25" i="1861"/>
  <c r="S25" i="1861"/>
  <c r="R25" i="1861"/>
  <c r="Q25" i="1861"/>
  <c r="P25" i="1861"/>
  <c r="O25" i="1861"/>
  <c r="N25" i="1861"/>
  <c r="M25" i="1861"/>
  <c r="L25" i="1861"/>
  <c r="K25" i="1861"/>
  <c r="J25" i="1861"/>
  <c r="I25" i="1861"/>
  <c r="H25" i="1861"/>
  <c r="G25" i="1861"/>
  <c r="F25" i="1861"/>
  <c r="E25" i="1861"/>
  <c r="D25" i="1861"/>
  <c r="AE19" i="1861"/>
  <c r="AD19" i="1861"/>
  <c r="AC19" i="1861"/>
  <c r="AB19" i="1861"/>
  <c r="AA19" i="1861"/>
  <c r="Z19" i="1861"/>
  <c r="Y19" i="1861"/>
  <c r="X19" i="1861"/>
  <c r="T33" i="1861" s="1"/>
  <c r="W19" i="1861"/>
  <c r="V19" i="1861"/>
  <c r="U19" i="1861"/>
  <c r="T19" i="1861"/>
  <c r="S19" i="1861"/>
  <c r="R19" i="1861"/>
  <c r="Q19" i="1861"/>
  <c r="P19" i="1861"/>
  <c r="O19" i="1861"/>
  <c r="N19" i="1861"/>
  <c r="H33" i="1861" s="1"/>
  <c r="M19" i="1861"/>
  <c r="L19" i="1861"/>
  <c r="P33" i="1861" s="1"/>
  <c r="K19" i="1861"/>
  <c r="J19" i="1861"/>
  <c r="I19" i="1861"/>
  <c r="AB33" i="1861" s="1"/>
  <c r="H19" i="1861"/>
  <c r="G19" i="1861"/>
  <c r="F19" i="1861"/>
  <c r="E19" i="1861"/>
  <c r="D19" i="1861"/>
  <c r="AE16" i="1861"/>
  <c r="AD16" i="1861"/>
  <c r="AC16" i="1861"/>
  <c r="AB16" i="1861"/>
  <c r="AA16" i="1861"/>
  <c r="Z16" i="1861"/>
  <c r="Y16" i="1861"/>
  <c r="X16" i="1861"/>
  <c r="W16" i="1861"/>
  <c r="V16" i="1861"/>
  <c r="U16" i="1861"/>
  <c r="T16" i="1861"/>
  <c r="S16" i="1861"/>
  <c r="R16" i="1861"/>
  <c r="Q16" i="1861"/>
  <c r="P16" i="1861"/>
  <c r="O16" i="1861"/>
  <c r="N16" i="1861"/>
  <c r="M16" i="1861"/>
  <c r="L16" i="1861"/>
  <c r="K16" i="1861"/>
  <c r="J16" i="1861"/>
  <c r="I16" i="1861"/>
  <c r="H16" i="1861"/>
  <c r="G16" i="1861"/>
  <c r="F16" i="1861"/>
  <c r="E16" i="1861"/>
  <c r="D16" i="1861"/>
  <c r="AE10" i="1861"/>
  <c r="AD10" i="1861"/>
  <c r="AC33" i="1861" s="1"/>
  <c r="AC10" i="1861"/>
  <c r="AB10" i="1861"/>
  <c r="D33" i="1861" s="1"/>
  <c r="AA10" i="1861"/>
  <c r="Z10" i="1861"/>
  <c r="Y10" i="1861"/>
  <c r="X10" i="1861"/>
  <c r="W10" i="1861"/>
  <c r="V10" i="1861"/>
  <c r="U10" i="1861"/>
  <c r="T10" i="1861"/>
  <c r="S10" i="1861"/>
  <c r="R10" i="1861"/>
  <c r="Q10" i="1861"/>
  <c r="P10" i="1861"/>
  <c r="O10" i="1861"/>
  <c r="N10" i="1861"/>
  <c r="M10" i="1861"/>
  <c r="E33" i="1861" s="1"/>
  <c r="L10" i="1861"/>
  <c r="N33" i="1861" s="1"/>
  <c r="K10" i="1861"/>
  <c r="J10" i="1861"/>
  <c r="I10" i="1861"/>
  <c r="H10" i="1861"/>
  <c r="G10" i="1861"/>
  <c r="F10" i="1861"/>
  <c r="J33" i="1861" s="1"/>
  <c r="E10" i="1861"/>
  <c r="S33" i="1861" s="1"/>
  <c r="D10" i="1861"/>
  <c r="AE7" i="1861"/>
  <c r="AD7" i="1861"/>
  <c r="AC7" i="1861"/>
  <c r="AB7" i="1861"/>
  <c r="AA7" i="1861"/>
  <c r="Z7" i="1861"/>
  <c r="Y7" i="1861"/>
  <c r="X7" i="1861"/>
  <c r="W7" i="1861"/>
  <c r="V7" i="1861"/>
  <c r="U7" i="1861"/>
  <c r="T7" i="1861"/>
  <c r="S7" i="1861"/>
  <c r="R7" i="1861"/>
  <c r="Q7" i="1861"/>
  <c r="P7" i="1861"/>
  <c r="O7" i="1861"/>
  <c r="N7" i="1861"/>
  <c r="M7" i="1861"/>
  <c r="L7" i="1861"/>
  <c r="K7" i="1861"/>
  <c r="J7" i="1861"/>
  <c r="I7" i="1861"/>
  <c r="H7" i="1861"/>
  <c r="G7" i="1861"/>
  <c r="F7" i="1861"/>
  <c r="E7" i="1861"/>
  <c r="D7" i="1861"/>
  <c r="K33" i="1861" l="1"/>
  <c r="W33" i="1861"/>
  <c r="Z33" i="1861"/>
  <c r="Y33" i="1861"/>
  <c r="Q33" i="1861"/>
  <c r="M33" i="1861"/>
  <c r="V33" i="1861"/>
  <c r="AC33" i="1860"/>
  <c r="AB33" i="1860"/>
  <c r="AA33" i="1860"/>
  <c r="Z33" i="1860"/>
  <c r="Y33" i="1860"/>
  <c r="X33" i="1860"/>
  <c r="W33" i="1860"/>
  <c r="U33" i="1860"/>
  <c r="T33" i="1860"/>
  <c r="S33" i="1860"/>
  <c r="R33" i="1860"/>
  <c r="Q33" i="1860"/>
  <c r="P33" i="1860"/>
  <c r="O33" i="1860"/>
  <c r="N33" i="1860"/>
  <c r="M33" i="1860"/>
  <c r="L33" i="1860"/>
  <c r="K33" i="1860"/>
  <c r="J33" i="1860"/>
  <c r="H33" i="1860"/>
  <c r="F33" i="1860"/>
  <c r="E33" i="1860"/>
  <c r="D33" i="1860"/>
  <c r="Y28" i="1860"/>
  <c r="X28" i="1860"/>
  <c r="W28" i="1860"/>
  <c r="V28" i="1860"/>
  <c r="U28" i="1860"/>
  <c r="T28" i="1860"/>
  <c r="S28" i="1860"/>
  <c r="R28" i="1860"/>
  <c r="Q28" i="1860"/>
  <c r="P28" i="1860"/>
  <c r="O28" i="1860"/>
  <c r="N28" i="1860"/>
  <c r="M28" i="1860"/>
  <c r="L28" i="1860"/>
  <c r="K28" i="1860"/>
  <c r="J28" i="1860"/>
  <c r="I28" i="1860"/>
  <c r="H28" i="1860"/>
  <c r="G28" i="1860"/>
  <c r="F28" i="1860"/>
  <c r="E28" i="1860"/>
  <c r="D28" i="1860"/>
  <c r="Y25" i="1860"/>
  <c r="X25" i="1860"/>
  <c r="W25" i="1860"/>
  <c r="V25" i="1860"/>
  <c r="U25" i="1860"/>
  <c r="T25" i="1860"/>
  <c r="S25" i="1860"/>
  <c r="R25" i="1860"/>
  <c r="Q25" i="1860"/>
  <c r="P25" i="1860"/>
  <c r="O25" i="1860"/>
  <c r="N25" i="1860"/>
  <c r="M25" i="1860"/>
  <c r="L25" i="1860"/>
  <c r="K25" i="1860"/>
  <c r="J25" i="1860"/>
  <c r="I25" i="1860"/>
  <c r="H25" i="1860"/>
  <c r="G25" i="1860"/>
  <c r="F25" i="1860"/>
  <c r="E25" i="1860"/>
  <c r="D25" i="1860"/>
  <c r="AE19" i="1860"/>
  <c r="AD19" i="1860"/>
  <c r="AC19" i="1860"/>
  <c r="AB19" i="1860"/>
  <c r="AA19" i="1860"/>
  <c r="Z19" i="1860"/>
  <c r="Y19" i="1860"/>
  <c r="X19" i="1860"/>
  <c r="W19" i="1860"/>
  <c r="V19" i="1860"/>
  <c r="U19" i="1860"/>
  <c r="T19" i="1860"/>
  <c r="S19" i="1860"/>
  <c r="R19" i="1860"/>
  <c r="Q19" i="1860"/>
  <c r="P19" i="1860"/>
  <c r="V33" i="1860" s="1"/>
  <c r="O19" i="1860"/>
  <c r="N19" i="1860"/>
  <c r="M19" i="1860"/>
  <c r="L19" i="1860"/>
  <c r="K19" i="1860"/>
  <c r="J19" i="1860"/>
  <c r="I19" i="1860"/>
  <c r="H19" i="1860"/>
  <c r="G19" i="1860"/>
  <c r="F19" i="1860"/>
  <c r="E19" i="1860"/>
  <c r="D19" i="1860"/>
  <c r="AE16" i="1860"/>
  <c r="AD16" i="1860"/>
  <c r="AC16" i="1860"/>
  <c r="AB16" i="1860"/>
  <c r="AA16" i="1860"/>
  <c r="Z16" i="1860"/>
  <c r="Y16" i="1860"/>
  <c r="X16" i="1860"/>
  <c r="W16" i="1860"/>
  <c r="V16" i="1860"/>
  <c r="U16" i="1860"/>
  <c r="T16" i="1860"/>
  <c r="S16" i="1860"/>
  <c r="R16" i="1860"/>
  <c r="Q16" i="1860"/>
  <c r="P16" i="1860"/>
  <c r="O16" i="1860"/>
  <c r="N16" i="1860"/>
  <c r="M16" i="1860"/>
  <c r="L16" i="1860"/>
  <c r="K16" i="1860"/>
  <c r="J16" i="1860"/>
  <c r="I16" i="1860"/>
  <c r="H16" i="1860"/>
  <c r="G16" i="1860"/>
  <c r="F16" i="1860"/>
  <c r="E16" i="1860"/>
  <c r="D16" i="1860"/>
  <c r="AE10" i="1860"/>
  <c r="AD10" i="1860"/>
  <c r="AC10" i="1860"/>
  <c r="AB10" i="1860"/>
  <c r="AA10" i="1860"/>
  <c r="Z10" i="1860"/>
  <c r="Y10" i="1860"/>
  <c r="X10" i="1860"/>
  <c r="W10" i="1860"/>
  <c r="V10" i="1860"/>
  <c r="U10" i="1860"/>
  <c r="T10" i="1860"/>
  <c r="S10" i="1860"/>
  <c r="R10" i="1860"/>
  <c r="Q10" i="1860"/>
  <c r="P10" i="1860"/>
  <c r="O10" i="1860"/>
  <c r="N10" i="1860"/>
  <c r="M10" i="1860"/>
  <c r="L10" i="1860"/>
  <c r="K10" i="1860"/>
  <c r="J10" i="1860"/>
  <c r="I10" i="1860"/>
  <c r="H10" i="1860"/>
  <c r="G10" i="1860"/>
  <c r="F10" i="1860"/>
  <c r="E10" i="1860"/>
  <c r="D10" i="1860"/>
  <c r="AE7" i="1860"/>
  <c r="AD7" i="1860"/>
  <c r="AC7" i="1860"/>
  <c r="AB7" i="1860"/>
  <c r="AA7" i="1860"/>
  <c r="Z7" i="1860"/>
  <c r="Y7" i="1860"/>
  <c r="X7" i="1860"/>
  <c r="W7" i="1860"/>
  <c r="V7" i="1860"/>
  <c r="U7" i="1860"/>
  <c r="T7" i="1860"/>
  <c r="S7" i="1860"/>
  <c r="R7" i="1860"/>
  <c r="Q7" i="1860"/>
  <c r="P7" i="1860"/>
  <c r="O7" i="1860"/>
  <c r="N7" i="1860"/>
  <c r="M7" i="1860"/>
  <c r="L7" i="1860"/>
  <c r="K7" i="1860"/>
  <c r="J7" i="1860"/>
  <c r="I7" i="1860"/>
  <c r="H7" i="1860"/>
  <c r="G7" i="1860"/>
  <c r="F7" i="1860"/>
  <c r="E7" i="1860"/>
  <c r="D7" i="1860"/>
  <c r="AC33" i="1859"/>
  <c r="AB33" i="1859"/>
  <c r="AA33" i="1859"/>
  <c r="Z33" i="1859"/>
  <c r="Y33" i="1859"/>
  <c r="X33" i="1859"/>
  <c r="W33" i="1859"/>
  <c r="U33" i="1859"/>
  <c r="T33" i="1859"/>
  <c r="S33" i="1859"/>
  <c r="R33" i="1859"/>
  <c r="Q33" i="1859"/>
  <c r="P33" i="1859"/>
  <c r="O33" i="1859"/>
  <c r="N33" i="1859"/>
  <c r="M33" i="1859"/>
  <c r="L33" i="1859"/>
  <c r="K33" i="1859"/>
  <c r="J33" i="1859"/>
  <c r="H33" i="1859"/>
  <c r="F33" i="1859"/>
  <c r="E33" i="1859"/>
  <c r="D33" i="1859"/>
  <c r="Y28" i="1859"/>
  <c r="X28" i="1859"/>
  <c r="W28" i="1859"/>
  <c r="V28" i="1859"/>
  <c r="U28" i="1859"/>
  <c r="T28" i="1859"/>
  <c r="S28" i="1859"/>
  <c r="R28" i="1859"/>
  <c r="Q28" i="1859"/>
  <c r="P28" i="1859"/>
  <c r="O28" i="1859"/>
  <c r="N28" i="1859"/>
  <c r="M28" i="1859"/>
  <c r="L28" i="1859"/>
  <c r="K28" i="1859"/>
  <c r="J28" i="1859"/>
  <c r="I28" i="1859"/>
  <c r="H28" i="1859"/>
  <c r="G28" i="1859"/>
  <c r="F28" i="1859"/>
  <c r="E28" i="1859"/>
  <c r="D28" i="1859"/>
  <c r="Y25" i="1859"/>
  <c r="X25" i="1859"/>
  <c r="W25" i="1859"/>
  <c r="V25" i="1859"/>
  <c r="U25" i="1859"/>
  <c r="T25" i="1859"/>
  <c r="S25" i="1859"/>
  <c r="R25" i="1859"/>
  <c r="Q25" i="1859"/>
  <c r="P25" i="1859"/>
  <c r="O25" i="1859"/>
  <c r="N25" i="1859"/>
  <c r="M25" i="1859"/>
  <c r="L25" i="1859"/>
  <c r="K25" i="1859"/>
  <c r="J25" i="1859"/>
  <c r="I25" i="1859"/>
  <c r="H25" i="1859"/>
  <c r="G25" i="1859"/>
  <c r="F25" i="1859"/>
  <c r="E25" i="1859"/>
  <c r="D25" i="1859"/>
  <c r="AE19" i="1859"/>
  <c r="AD19" i="1859"/>
  <c r="AC19" i="1859"/>
  <c r="AB19" i="1859"/>
  <c r="AA19" i="1859"/>
  <c r="Z19" i="1859"/>
  <c r="Y19" i="1859"/>
  <c r="X19" i="1859"/>
  <c r="W19" i="1859"/>
  <c r="V19" i="1859"/>
  <c r="U19" i="1859"/>
  <c r="T19" i="1859"/>
  <c r="S19" i="1859"/>
  <c r="R19" i="1859"/>
  <c r="Q19" i="1859"/>
  <c r="P19" i="1859"/>
  <c r="V33" i="1859" s="1"/>
  <c r="O19" i="1859"/>
  <c r="N19" i="1859"/>
  <c r="M19" i="1859"/>
  <c r="L19" i="1859"/>
  <c r="K19" i="1859"/>
  <c r="J19" i="1859"/>
  <c r="I19" i="1859"/>
  <c r="H19" i="1859"/>
  <c r="G19" i="1859"/>
  <c r="F19" i="1859"/>
  <c r="E19" i="1859"/>
  <c r="D19" i="1859"/>
  <c r="AE16" i="1859"/>
  <c r="AD16" i="1859"/>
  <c r="AC16" i="1859"/>
  <c r="AB16" i="1859"/>
  <c r="AA16" i="1859"/>
  <c r="Z16" i="1859"/>
  <c r="Y16" i="1859"/>
  <c r="X16" i="1859"/>
  <c r="W16" i="1859"/>
  <c r="V16" i="1859"/>
  <c r="U16" i="1859"/>
  <c r="T16" i="1859"/>
  <c r="S16" i="1859"/>
  <c r="R16" i="1859"/>
  <c r="Q16" i="1859"/>
  <c r="P16" i="1859"/>
  <c r="O16" i="1859"/>
  <c r="N16" i="1859"/>
  <c r="M16" i="1859"/>
  <c r="L16" i="1859"/>
  <c r="K16" i="1859"/>
  <c r="J16" i="1859"/>
  <c r="I16" i="1859"/>
  <c r="H16" i="1859"/>
  <c r="G16" i="1859"/>
  <c r="F16" i="1859"/>
  <c r="E16" i="1859"/>
  <c r="D16" i="1859"/>
  <c r="AE10" i="1859"/>
  <c r="AD10" i="1859"/>
  <c r="AC10" i="1859"/>
  <c r="AB10" i="1859"/>
  <c r="AA10" i="1859"/>
  <c r="Z10" i="1859"/>
  <c r="Y10" i="1859"/>
  <c r="X10" i="1859"/>
  <c r="W10" i="1859"/>
  <c r="V10" i="1859"/>
  <c r="U10" i="1859"/>
  <c r="T10" i="1859"/>
  <c r="S10" i="1859"/>
  <c r="R10" i="1859"/>
  <c r="Q10" i="1859"/>
  <c r="P10" i="1859"/>
  <c r="O10" i="1859"/>
  <c r="N10" i="1859"/>
  <c r="M10" i="1859"/>
  <c r="L10" i="1859"/>
  <c r="K10" i="1859"/>
  <c r="J10" i="1859"/>
  <c r="I10" i="1859"/>
  <c r="H10" i="1859"/>
  <c r="G10" i="1859"/>
  <c r="F10" i="1859"/>
  <c r="E10" i="1859"/>
  <c r="D10" i="1859"/>
  <c r="AE7" i="1859"/>
  <c r="AD7" i="1859"/>
  <c r="AC7" i="1859"/>
  <c r="AB7" i="1859"/>
  <c r="AA7" i="1859"/>
  <c r="Z7" i="1859"/>
  <c r="Y7" i="1859"/>
  <c r="X7" i="1859"/>
  <c r="W7" i="1859"/>
  <c r="V7" i="1859"/>
  <c r="U7" i="1859"/>
  <c r="T7" i="1859"/>
  <c r="S7" i="1859"/>
  <c r="R7" i="1859"/>
  <c r="Q7" i="1859"/>
  <c r="P7" i="1859"/>
  <c r="O7" i="1859"/>
  <c r="N7" i="1859"/>
  <c r="M7" i="1859"/>
  <c r="L7" i="1859"/>
  <c r="K7" i="1859"/>
  <c r="J7" i="1859"/>
  <c r="I7" i="1859"/>
  <c r="H7" i="1859"/>
  <c r="G7" i="1859"/>
  <c r="F7" i="1859"/>
  <c r="E7" i="1859"/>
  <c r="D7" i="1859"/>
  <c r="AC33" i="1858"/>
  <c r="AB33" i="1858"/>
  <c r="AA33" i="1858"/>
  <c r="Z33" i="1858"/>
  <c r="Y33" i="1858"/>
  <c r="X33" i="1858"/>
  <c r="W33" i="1858"/>
  <c r="U33" i="1858"/>
  <c r="T33" i="1858"/>
  <c r="S33" i="1858"/>
  <c r="R33" i="1858"/>
  <c r="Q33" i="1858"/>
  <c r="P33" i="1858"/>
  <c r="O33" i="1858"/>
  <c r="N33" i="1858"/>
  <c r="M33" i="1858"/>
  <c r="L33" i="1858"/>
  <c r="K33" i="1858"/>
  <c r="J33" i="1858"/>
  <c r="H33" i="1858"/>
  <c r="F33" i="1858"/>
  <c r="E33" i="1858"/>
  <c r="D33" i="1858"/>
  <c r="Y28" i="1858"/>
  <c r="X28" i="1858"/>
  <c r="W28" i="1858"/>
  <c r="V28" i="1858"/>
  <c r="U28" i="1858"/>
  <c r="T28" i="1858"/>
  <c r="S28" i="1858"/>
  <c r="R28" i="1858"/>
  <c r="Q28" i="1858"/>
  <c r="P28" i="1858"/>
  <c r="O28" i="1858"/>
  <c r="N28" i="1858"/>
  <c r="M28" i="1858"/>
  <c r="L28" i="1858"/>
  <c r="K28" i="1858"/>
  <c r="J28" i="1858"/>
  <c r="I28" i="1858"/>
  <c r="H28" i="1858"/>
  <c r="G28" i="1858"/>
  <c r="F28" i="1858"/>
  <c r="E28" i="1858"/>
  <c r="D28" i="1858"/>
  <c r="Y25" i="1858"/>
  <c r="X25" i="1858"/>
  <c r="W25" i="1858"/>
  <c r="V25" i="1858"/>
  <c r="U25" i="1858"/>
  <c r="T25" i="1858"/>
  <c r="S25" i="1858"/>
  <c r="R25" i="1858"/>
  <c r="Q25" i="1858"/>
  <c r="P25" i="1858"/>
  <c r="O25" i="1858"/>
  <c r="N25" i="1858"/>
  <c r="M25" i="1858"/>
  <c r="L25" i="1858"/>
  <c r="K25" i="1858"/>
  <c r="J25" i="1858"/>
  <c r="I25" i="1858"/>
  <c r="H25" i="1858"/>
  <c r="G25" i="1858"/>
  <c r="F25" i="1858"/>
  <c r="E25" i="1858"/>
  <c r="D25" i="1858"/>
  <c r="AE19" i="1858"/>
  <c r="AD19" i="1858"/>
  <c r="AC19" i="1858"/>
  <c r="AB19" i="1858"/>
  <c r="AA19" i="1858"/>
  <c r="Z19" i="1858"/>
  <c r="Y19" i="1858"/>
  <c r="X19" i="1858"/>
  <c r="W19" i="1858"/>
  <c r="V19" i="1858"/>
  <c r="U19" i="1858"/>
  <c r="T19" i="1858"/>
  <c r="S19" i="1858"/>
  <c r="R19" i="1858"/>
  <c r="Q19" i="1858"/>
  <c r="P19" i="1858"/>
  <c r="V33" i="1858" s="1"/>
  <c r="O19" i="1858"/>
  <c r="N19" i="1858"/>
  <c r="M19" i="1858"/>
  <c r="L19" i="1858"/>
  <c r="K19" i="1858"/>
  <c r="J19" i="1858"/>
  <c r="I19" i="1858"/>
  <c r="H19" i="1858"/>
  <c r="G19" i="1858"/>
  <c r="F19" i="1858"/>
  <c r="E19" i="1858"/>
  <c r="D19" i="1858"/>
  <c r="AE16" i="1858"/>
  <c r="AD16" i="1858"/>
  <c r="AC16" i="1858"/>
  <c r="AB16" i="1858"/>
  <c r="AA16" i="1858"/>
  <c r="Z16" i="1858"/>
  <c r="Y16" i="1858"/>
  <c r="X16" i="1858"/>
  <c r="W16" i="1858"/>
  <c r="V16" i="1858"/>
  <c r="U16" i="1858"/>
  <c r="T16" i="1858"/>
  <c r="S16" i="1858"/>
  <c r="R16" i="1858"/>
  <c r="Q16" i="1858"/>
  <c r="P16" i="1858"/>
  <c r="O16" i="1858"/>
  <c r="N16" i="1858"/>
  <c r="M16" i="1858"/>
  <c r="L16" i="1858"/>
  <c r="K16" i="1858"/>
  <c r="J16" i="1858"/>
  <c r="I16" i="1858"/>
  <c r="H16" i="1858"/>
  <c r="G16" i="1858"/>
  <c r="F16" i="1858"/>
  <c r="E16" i="1858"/>
  <c r="D16" i="1858"/>
  <c r="AE10" i="1858"/>
  <c r="AD10" i="1858"/>
  <c r="AC10" i="1858"/>
  <c r="AB10" i="1858"/>
  <c r="AA10" i="1858"/>
  <c r="Z10" i="1858"/>
  <c r="Y10" i="1858"/>
  <c r="X10" i="1858"/>
  <c r="W10" i="1858"/>
  <c r="V10" i="1858"/>
  <c r="U10" i="1858"/>
  <c r="T10" i="1858"/>
  <c r="S10" i="1858"/>
  <c r="R10" i="1858"/>
  <c r="Q10" i="1858"/>
  <c r="P10" i="1858"/>
  <c r="O10" i="1858"/>
  <c r="N10" i="1858"/>
  <c r="M10" i="1858"/>
  <c r="L10" i="1858"/>
  <c r="K10" i="1858"/>
  <c r="J10" i="1858"/>
  <c r="I10" i="1858"/>
  <c r="H10" i="1858"/>
  <c r="G10" i="1858"/>
  <c r="F10" i="1858"/>
  <c r="E10" i="1858"/>
  <c r="D10" i="1858"/>
  <c r="AE7" i="1858"/>
  <c r="AD7" i="1858"/>
  <c r="AC7" i="1858"/>
  <c r="AB7" i="1858"/>
  <c r="AA7" i="1858"/>
  <c r="Z7" i="1858"/>
  <c r="Y7" i="1858"/>
  <c r="X7" i="1858"/>
  <c r="W7" i="1858"/>
  <c r="V7" i="1858"/>
  <c r="U7" i="1858"/>
  <c r="T7" i="1858"/>
  <c r="S7" i="1858"/>
  <c r="R7" i="1858"/>
  <c r="Q7" i="1858"/>
  <c r="P7" i="1858"/>
  <c r="O7" i="1858"/>
  <c r="N7" i="1858"/>
  <c r="M7" i="1858"/>
  <c r="L7" i="1858"/>
  <c r="K7" i="1858"/>
  <c r="J7" i="1858"/>
  <c r="I7" i="1858"/>
  <c r="H7" i="1858"/>
  <c r="G7" i="1858"/>
  <c r="F7" i="1858"/>
  <c r="E7" i="1858"/>
  <c r="D7" i="1858"/>
  <c r="AC33" i="1857"/>
  <c r="AB33" i="1857"/>
  <c r="AA33" i="1857"/>
  <c r="Z33" i="1857"/>
  <c r="Y33" i="1857"/>
  <c r="X33" i="1857"/>
  <c r="W33" i="1857"/>
  <c r="U33" i="1857"/>
  <c r="T33" i="1857"/>
  <c r="S33" i="1857"/>
  <c r="R33" i="1857"/>
  <c r="Q33" i="1857"/>
  <c r="P33" i="1857"/>
  <c r="O33" i="1857"/>
  <c r="N33" i="1857"/>
  <c r="M33" i="1857"/>
  <c r="L33" i="1857"/>
  <c r="K33" i="1857"/>
  <c r="J33" i="1857"/>
  <c r="H33" i="1857"/>
  <c r="F33" i="1857"/>
  <c r="E33" i="1857"/>
  <c r="D33" i="1857"/>
  <c r="Y28" i="1857"/>
  <c r="X28" i="1857"/>
  <c r="W28" i="1857"/>
  <c r="V28" i="1857"/>
  <c r="U28" i="1857"/>
  <c r="T28" i="1857"/>
  <c r="S28" i="1857"/>
  <c r="R28" i="1857"/>
  <c r="Q28" i="1857"/>
  <c r="P28" i="1857"/>
  <c r="O28" i="1857"/>
  <c r="N28" i="1857"/>
  <c r="M28" i="1857"/>
  <c r="L28" i="1857"/>
  <c r="K28" i="1857"/>
  <c r="J28" i="1857"/>
  <c r="I28" i="1857"/>
  <c r="H28" i="1857"/>
  <c r="G28" i="1857"/>
  <c r="F28" i="1857"/>
  <c r="E28" i="1857"/>
  <c r="D28" i="1857"/>
  <c r="Y25" i="1857"/>
  <c r="X25" i="1857"/>
  <c r="W25" i="1857"/>
  <c r="V25" i="1857"/>
  <c r="U25" i="1857"/>
  <c r="T25" i="1857"/>
  <c r="S25" i="1857"/>
  <c r="R25" i="1857"/>
  <c r="Q25" i="1857"/>
  <c r="P25" i="1857"/>
  <c r="O25" i="1857"/>
  <c r="N25" i="1857"/>
  <c r="M25" i="1857"/>
  <c r="L25" i="1857"/>
  <c r="K25" i="1857"/>
  <c r="J25" i="1857"/>
  <c r="I25" i="1857"/>
  <c r="H25" i="1857"/>
  <c r="G25" i="1857"/>
  <c r="F25" i="1857"/>
  <c r="E25" i="1857"/>
  <c r="D25" i="1857"/>
  <c r="AE19" i="1857"/>
  <c r="AD19" i="1857"/>
  <c r="AC19" i="1857"/>
  <c r="AB19" i="1857"/>
  <c r="AA19" i="1857"/>
  <c r="Z19" i="1857"/>
  <c r="Y19" i="1857"/>
  <c r="X19" i="1857"/>
  <c r="W19" i="1857"/>
  <c r="V19" i="1857"/>
  <c r="U19" i="1857"/>
  <c r="T19" i="1857"/>
  <c r="S19" i="1857"/>
  <c r="R19" i="1857"/>
  <c r="Q19" i="1857"/>
  <c r="P19" i="1857"/>
  <c r="V33" i="1857" s="1"/>
  <c r="O19" i="1857"/>
  <c r="N19" i="1857"/>
  <c r="M19" i="1857"/>
  <c r="L19" i="1857"/>
  <c r="K19" i="1857"/>
  <c r="J19" i="1857"/>
  <c r="I19" i="1857"/>
  <c r="H19" i="1857"/>
  <c r="G19" i="1857"/>
  <c r="F19" i="1857"/>
  <c r="E19" i="1857"/>
  <c r="D19" i="1857"/>
  <c r="AE16" i="1857"/>
  <c r="AD16" i="1857"/>
  <c r="AC16" i="1857"/>
  <c r="AB16" i="1857"/>
  <c r="AA16" i="1857"/>
  <c r="Z16" i="1857"/>
  <c r="Y16" i="1857"/>
  <c r="X16" i="1857"/>
  <c r="W16" i="1857"/>
  <c r="V16" i="1857"/>
  <c r="U16" i="1857"/>
  <c r="T16" i="1857"/>
  <c r="S16" i="1857"/>
  <c r="R16" i="1857"/>
  <c r="Q16" i="1857"/>
  <c r="P16" i="1857"/>
  <c r="O16" i="1857"/>
  <c r="N16" i="1857"/>
  <c r="M16" i="1857"/>
  <c r="L16" i="1857"/>
  <c r="K16" i="1857"/>
  <c r="J16" i="1857"/>
  <c r="I16" i="1857"/>
  <c r="H16" i="1857"/>
  <c r="G16" i="1857"/>
  <c r="F16" i="1857"/>
  <c r="E16" i="1857"/>
  <c r="D16" i="1857"/>
  <c r="AE10" i="1857"/>
  <c r="AD10" i="1857"/>
  <c r="AC10" i="1857"/>
  <c r="AB10" i="1857"/>
  <c r="AA10" i="1857"/>
  <c r="Z10" i="1857"/>
  <c r="Y10" i="1857"/>
  <c r="X10" i="1857"/>
  <c r="W10" i="1857"/>
  <c r="V10" i="1857"/>
  <c r="U10" i="1857"/>
  <c r="T10" i="1857"/>
  <c r="S10" i="1857"/>
  <c r="R10" i="1857"/>
  <c r="Q10" i="1857"/>
  <c r="P10" i="1857"/>
  <c r="O10" i="1857"/>
  <c r="N10" i="1857"/>
  <c r="M10" i="1857"/>
  <c r="L10" i="1857"/>
  <c r="K10" i="1857"/>
  <c r="J10" i="1857"/>
  <c r="I10" i="1857"/>
  <c r="H10" i="1857"/>
  <c r="G10" i="1857"/>
  <c r="F10" i="1857"/>
  <c r="E10" i="1857"/>
  <c r="D10" i="1857"/>
  <c r="AE7" i="1857"/>
  <c r="AD7" i="1857"/>
  <c r="AC7" i="1857"/>
  <c r="AB7" i="1857"/>
  <c r="AA7" i="1857"/>
  <c r="Z7" i="1857"/>
  <c r="Y7" i="1857"/>
  <c r="X7" i="1857"/>
  <c r="W7" i="1857"/>
  <c r="V7" i="1857"/>
  <c r="U7" i="1857"/>
  <c r="T7" i="1857"/>
  <c r="S7" i="1857"/>
  <c r="R7" i="1857"/>
  <c r="Q7" i="1857"/>
  <c r="P7" i="1857"/>
  <c r="O7" i="1857"/>
  <c r="N7" i="1857"/>
  <c r="M7" i="1857"/>
  <c r="L7" i="1857"/>
  <c r="K7" i="1857"/>
  <c r="J7" i="1857"/>
  <c r="I7" i="1857"/>
  <c r="H7" i="1857"/>
  <c r="G7" i="1857"/>
  <c r="F7" i="1857"/>
  <c r="E7" i="1857"/>
  <c r="D7" i="1857"/>
  <c r="AC33" i="1856"/>
  <c r="AB33" i="1856"/>
  <c r="AA33" i="1856"/>
  <c r="Z33" i="1856"/>
  <c r="Y33" i="1856"/>
  <c r="X33" i="1856"/>
  <c r="W33" i="1856"/>
  <c r="U33" i="1856"/>
  <c r="T33" i="1856"/>
  <c r="S33" i="1856"/>
  <c r="R33" i="1856"/>
  <c r="Q33" i="1856"/>
  <c r="P33" i="1856"/>
  <c r="O33" i="1856"/>
  <c r="N33" i="1856"/>
  <c r="M33" i="1856"/>
  <c r="L33" i="1856"/>
  <c r="K33" i="1856"/>
  <c r="J33" i="1856"/>
  <c r="H33" i="1856"/>
  <c r="F33" i="1856"/>
  <c r="E33" i="1856"/>
  <c r="D33" i="1856"/>
  <c r="Y28" i="1856"/>
  <c r="X28" i="1856"/>
  <c r="W28" i="1856"/>
  <c r="V28" i="1856"/>
  <c r="U28" i="1856"/>
  <c r="T28" i="1856"/>
  <c r="S28" i="1856"/>
  <c r="R28" i="1856"/>
  <c r="Q28" i="1856"/>
  <c r="P28" i="1856"/>
  <c r="O28" i="1856"/>
  <c r="N28" i="1856"/>
  <c r="M28" i="1856"/>
  <c r="L28" i="1856"/>
  <c r="K28" i="1856"/>
  <c r="J28" i="1856"/>
  <c r="I28" i="1856"/>
  <c r="H28" i="1856"/>
  <c r="G28" i="1856"/>
  <c r="F28" i="1856"/>
  <c r="E28" i="1856"/>
  <c r="D28" i="1856"/>
  <c r="Y25" i="1856"/>
  <c r="X25" i="1856"/>
  <c r="W25" i="1856"/>
  <c r="V25" i="1856"/>
  <c r="U25" i="1856"/>
  <c r="T25" i="1856"/>
  <c r="S25" i="1856"/>
  <c r="R25" i="1856"/>
  <c r="Q25" i="1856"/>
  <c r="P25" i="1856"/>
  <c r="O25" i="1856"/>
  <c r="N25" i="1856"/>
  <c r="M25" i="1856"/>
  <c r="L25" i="1856"/>
  <c r="K25" i="1856"/>
  <c r="J25" i="1856"/>
  <c r="I25" i="1856"/>
  <c r="H25" i="1856"/>
  <c r="G25" i="1856"/>
  <c r="F25" i="1856"/>
  <c r="E25" i="1856"/>
  <c r="D25" i="1856"/>
  <c r="AE19" i="1856"/>
  <c r="AD19" i="1856"/>
  <c r="AC19" i="1856"/>
  <c r="AB19" i="1856"/>
  <c r="AA19" i="1856"/>
  <c r="Z19" i="1856"/>
  <c r="Y19" i="1856"/>
  <c r="X19" i="1856"/>
  <c r="W19" i="1856"/>
  <c r="V19" i="1856"/>
  <c r="U19" i="1856"/>
  <c r="T19" i="1856"/>
  <c r="S19" i="1856"/>
  <c r="R19" i="1856"/>
  <c r="Q19" i="1856"/>
  <c r="P19" i="1856"/>
  <c r="V33" i="1856" s="1"/>
  <c r="O19" i="1856"/>
  <c r="N19" i="1856"/>
  <c r="M19" i="1856"/>
  <c r="L19" i="1856"/>
  <c r="K19" i="1856"/>
  <c r="J19" i="1856"/>
  <c r="I19" i="1856"/>
  <c r="H19" i="1856"/>
  <c r="G19" i="1856"/>
  <c r="F19" i="1856"/>
  <c r="E19" i="1856"/>
  <c r="D19" i="1856"/>
  <c r="AE16" i="1856"/>
  <c r="AD16" i="1856"/>
  <c r="AC16" i="1856"/>
  <c r="AB16" i="1856"/>
  <c r="AA16" i="1856"/>
  <c r="Z16" i="1856"/>
  <c r="Y16" i="1856"/>
  <c r="X16" i="1856"/>
  <c r="W16" i="1856"/>
  <c r="V16" i="1856"/>
  <c r="U16" i="1856"/>
  <c r="T16" i="1856"/>
  <c r="S16" i="1856"/>
  <c r="R16" i="1856"/>
  <c r="Q16" i="1856"/>
  <c r="P16" i="1856"/>
  <c r="O16" i="1856"/>
  <c r="N16" i="1856"/>
  <c r="M16" i="1856"/>
  <c r="L16" i="1856"/>
  <c r="K16" i="1856"/>
  <c r="J16" i="1856"/>
  <c r="I16" i="1856"/>
  <c r="H16" i="1856"/>
  <c r="G16" i="1856"/>
  <c r="F16" i="1856"/>
  <c r="E16" i="1856"/>
  <c r="D16" i="1856"/>
  <c r="AE10" i="1856"/>
  <c r="AD10" i="1856"/>
  <c r="AC10" i="1856"/>
  <c r="AB10" i="1856"/>
  <c r="AA10" i="1856"/>
  <c r="Z10" i="1856"/>
  <c r="Y10" i="1856"/>
  <c r="X10" i="1856"/>
  <c r="W10" i="1856"/>
  <c r="V10" i="1856"/>
  <c r="U10" i="1856"/>
  <c r="T10" i="1856"/>
  <c r="S10" i="1856"/>
  <c r="R10" i="1856"/>
  <c r="Q10" i="1856"/>
  <c r="P10" i="1856"/>
  <c r="O10" i="1856"/>
  <c r="N10" i="1856"/>
  <c r="M10" i="1856"/>
  <c r="L10" i="1856"/>
  <c r="K10" i="1856"/>
  <c r="J10" i="1856"/>
  <c r="I10" i="1856"/>
  <c r="H10" i="1856"/>
  <c r="G10" i="1856"/>
  <c r="F10" i="1856"/>
  <c r="E10" i="1856"/>
  <c r="D10" i="1856"/>
  <c r="AE7" i="1856"/>
  <c r="AD7" i="1856"/>
  <c r="AC7" i="1856"/>
  <c r="AB7" i="1856"/>
  <c r="AA7" i="1856"/>
  <c r="Z7" i="1856"/>
  <c r="Y7" i="1856"/>
  <c r="X7" i="1856"/>
  <c r="W7" i="1856"/>
  <c r="V7" i="1856"/>
  <c r="U7" i="1856"/>
  <c r="T7" i="1856"/>
  <c r="S7" i="1856"/>
  <c r="R7" i="1856"/>
  <c r="Q7" i="1856"/>
  <c r="P7" i="1856"/>
  <c r="O7" i="1856"/>
  <c r="N7" i="1856"/>
  <c r="M7" i="1856"/>
  <c r="L7" i="1856"/>
  <c r="K7" i="1856"/>
  <c r="J7" i="1856"/>
  <c r="I7" i="1856"/>
  <c r="H7" i="1856"/>
  <c r="G7" i="1856"/>
  <c r="F7" i="1856"/>
  <c r="E7" i="1856"/>
  <c r="D7" i="1856"/>
  <c r="S51" i="13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<sst xmlns="http://schemas.openxmlformats.org/spreadsheetml/2006/main" count="29216" uniqueCount="648">
  <si>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</si>
  <si>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</si>
  <si>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</si>
  <si>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</si>
  <si>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</si>
  <si>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</si>
  <si>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</si>
  <si>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</si>
  <si>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</si>
  <si>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</si>
  <si>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</si>
  <si>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</si>
  <si>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</si>
  <si>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</si>
  <si>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</si>
  <si>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</si>
  <si>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</si>
  <si>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</si>
  <si>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</si>
  <si>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</si>
  <si>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</si>
  <si>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</si>
  <si>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</si>
  <si>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</si>
  <si>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</si>
  <si>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</si>
  <si>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</si>
  <si>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</si>
  <si>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</si>
  <si>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</si>
  <si>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</si>
  <si>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</si>
  <si>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</si>
  <si>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</si>
  <si>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</si>
  <si>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</si>
  <si>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</si>
  <si>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</si>
  <si>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</si>
  <si>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</si>
  <si>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</si>
  <si>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</si>
  <si>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</si>
  <si>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</si>
  <si>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</si>
  <si>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</si>
  <si>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</si>
  <si>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</si>
  <si>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</si>
  <si>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</si>
  <si>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</si>
  <si>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</si>
  <si>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</si>
  <si>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</si>
  <si>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</si>
  <si>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</si>
  <si>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</si>
  <si>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</si>
  <si>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</si>
  <si>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</si>
  <si>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</si>
  <si>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</si>
  <si>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</si>
  <si>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</si>
  <si>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</si>
  <si>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</si>
  <si>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</si>
  <si>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</si>
  <si>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</si>
  <si>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</si>
  <si>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</si>
  <si>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</si>
  <si>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</si>
  <si>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</si>
  <si>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</si>
  <si>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</si>
  <si>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</si>
  <si>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</si>
  <si>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</si>
  <si>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</si>
  <si>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</si>
  <si>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</si>
  <si>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</si>
  <si>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</si>
  <si>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</si>
  <si>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</si>
  <si>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</si>
  <si>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</si>
  <si>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</si>
  <si>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</si>
  <si>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</si>
  <si>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</si>
  <si>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</si>
  <si>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</si>
  <si>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</si>
  <si>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</si>
  <si>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</si>
  <si>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</si>
  <si>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</si>
  <si>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</si>
  <si>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</si>
  <si>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</si>
  <si>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</si>
  <si>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</si>
  <si>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</si>
  <si>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</si>
  <si>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</si>
  <si>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</si>
  <si>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</si>
  <si>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槽號</t>
    <phoneticPr fontId="2" type="noConversion"/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</si>
  <si>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</si>
  <si>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</si>
  <si>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</si>
  <si>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</si>
  <si>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</si>
  <si>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</si>
  <si>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</si>
  <si>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</si>
  <si>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</si>
  <si>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</si>
  <si>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</si>
  <si>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</si>
  <si>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</si>
  <si>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</si>
  <si>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</si>
  <si>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</si>
  <si>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</si>
  <si>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</si>
  <si>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</si>
  <si>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</si>
  <si>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</si>
  <si>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</si>
  <si>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</si>
  <si>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</si>
  <si>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</si>
  <si>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</si>
  <si>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</si>
  <si>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</si>
  <si>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</si>
  <si>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</si>
  <si>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</si>
  <si>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</si>
  <si>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</si>
  <si>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</si>
  <si>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</si>
  <si>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</si>
  <si>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</si>
  <si>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</si>
  <si>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</si>
  <si>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</si>
  <si>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</si>
  <si>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</si>
  <si>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</si>
  <si>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</si>
  <si>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</si>
  <si>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</si>
  <si>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</si>
  <si>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</si>
  <si>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</si>
  <si>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</si>
  <si>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</si>
  <si>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</si>
  <si>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</si>
  <si>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</si>
  <si>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</si>
  <si>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</si>
  <si>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</si>
  <si>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</si>
  <si>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</si>
  <si>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</si>
  <si>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</si>
  <si>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</si>
  <si>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</si>
  <si>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</si>
  <si>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</si>
  <si>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</si>
  <si>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</si>
  <si>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</si>
  <si>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</si>
  <si>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</si>
  <si>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</si>
  <si>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</si>
  <si>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</si>
  <si>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</si>
  <si>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</si>
  <si>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</si>
  <si>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</si>
  <si>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</si>
  <si>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溫度</t>
    <phoneticPr fontId="2" type="noConversion"/>
  </si>
  <si>
    <t>液位</t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</si>
  <si>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</si>
  <si>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</si>
  <si>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</si>
  <si>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</si>
  <si>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</si>
  <si>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</si>
  <si>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</si>
  <si>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</si>
  <si>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</si>
  <si>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</si>
  <si>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</si>
  <si>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</si>
  <si>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</si>
  <si>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</si>
  <si>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</si>
  <si>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</si>
  <si>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</si>
  <si>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</si>
  <si>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</si>
  <si>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</si>
  <si>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</si>
  <si>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</si>
  <si>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</si>
  <si>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</si>
  <si>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</si>
  <si>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</si>
  <si>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</si>
  <si>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</si>
  <si>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</si>
  <si>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</si>
  <si>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</si>
  <si>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</si>
  <si>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</si>
  <si>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</si>
  <si>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</si>
  <si>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</si>
  <si>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</si>
  <si>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</si>
  <si>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</si>
  <si>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</si>
  <si>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</si>
  <si>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</si>
  <si>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</si>
  <si>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</si>
  <si>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</si>
  <si>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</si>
  <si>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</si>
  <si>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</si>
  <si>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</si>
  <si>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</si>
  <si>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</si>
  <si>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</si>
  <si>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</si>
  <si>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</si>
  <si>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</si>
  <si>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</si>
  <si>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</si>
  <si>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</si>
  <si>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</si>
  <si>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</si>
  <si>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</si>
  <si>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</si>
  <si>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</si>
  <si>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</si>
  <si>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</si>
  <si>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</si>
  <si>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</si>
  <si>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</si>
  <si>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</si>
  <si>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</si>
  <si>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</si>
  <si>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</si>
  <si>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</si>
  <si>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</si>
  <si>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</si>
  <si>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</si>
  <si>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</si>
  <si>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</si>
  <si>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</si>
  <si>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</si>
  <si>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</si>
  <si>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</si>
  <si>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</si>
  <si>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</si>
  <si>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</si>
  <si>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</si>
  <si>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</si>
  <si>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</si>
  <si>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</si>
  <si>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</si>
  <si>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</si>
  <si>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</si>
  <si>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</si>
  <si>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</si>
  <si>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</si>
  <si>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</si>
  <si>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</si>
  <si>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</si>
  <si>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</si>
  <si>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</si>
  <si>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</si>
  <si>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</si>
  <si>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</si>
  <si>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</si>
  <si>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</si>
  <si>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</si>
  <si>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</si>
  <si>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</si>
  <si>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</si>
  <si>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</si>
  <si>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</si>
  <si>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</si>
  <si>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</si>
  <si>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</si>
  <si>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</si>
  <si>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</si>
  <si>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</si>
  <si>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</si>
  <si>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</si>
  <si>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</si>
  <si>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</si>
  <si>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</si>
  <si>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</si>
  <si>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</si>
  <si>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</si>
  <si>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</si>
  <si>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</si>
  <si>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</si>
  <si>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</si>
  <si>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</si>
  <si>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</si>
  <si>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</si>
  <si>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</si>
  <si>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</si>
  <si>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</si>
  <si>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</si>
  <si>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</si>
  <si>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</si>
  <si>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</si>
  <si>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</si>
  <si>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</si>
  <si>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</si>
  <si>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</si>
  <si>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</si>
  <si>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</si>
  <si>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</si>
  <si>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</si>
  <si>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</si>
  <si>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</si>
  <si>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</si>
  <si>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</si>
  <si>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</si>
  <si>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</si>
  <si>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</si>
  <si>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</si>
  <si>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</si>
  <si>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</si>
  <si>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</si>
  <si>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</si>
  <si>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</si>
  <si>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</si>
  <si>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</si>
  <si>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</si>
  <si>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</si>
  <si>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</si>
  <si>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</si>
  <si>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</si>
  <si>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</si>
  <si>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</si>
  <si>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</si>
  <si>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</si>
  <si>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</si>
  <si>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</si>
  <si>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</si>
  <si>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</si>
  <si>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</si>
  <si>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</si>
  <si>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</si>
  <si>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</si>
  <si>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</si>
  <si>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</si>
  <si>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</si>
  <si>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</si>
  <si>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</si>
  <si>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</si>
  <si>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</si>
  <si>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</si>
  <si>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</si>
  <si>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</si>
  <si>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</si>
  <si>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</si>
  <si>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</si>
  <si>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</si>
  <si>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</si>
  <si>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</si>
  <si>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</si>
  <si>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</si>
  <si>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</si>
  <si>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</si>
  <si>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</si>
  <si>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</si>
  <si>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</si>
  <si>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</si>
  <si>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</si>
  <si>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</si>
  <si>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</si>
  <si>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</si>
  <si>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</si>
  <si>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</si>
  <si>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</si>
  <si>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</si>
  <si>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</si>
  <si>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</si>
  <si>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</si>
  <si>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</si>
  <si>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</si>
  <si>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</si>
  <si>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</si>
  <si>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</si>
  <si>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</si>
  <si>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</si>
  <si>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</si>
  <si>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</si>
  <si>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</si>
  <si>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</si>
  <si>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</si>
  <si>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</si>
  <si>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</si>
  <si>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</si>
  <si>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</si>
  <si>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</si>
  <si>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</si>
  <si>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</si>
  <si>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</si>
  <si>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</si>
  <si>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</si>
  <si>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</si>
  <si>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</si>
  <si>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</si>
  <si>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</si>
  <si>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</si>
  <si>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</si>
  <si>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</si>
  <si>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</si>
  <si>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</si>
  <si>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</si>
  <si>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</si>
  <si>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</si>
  <si>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</si>
  <si>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</si>
  <si>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</si>
  <si>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</si>
  <si>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</si>
  <si>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</si>
  <si>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</si>
  <si>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</si>
  <si>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</si>
  <si>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</si>
  <si>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</si>
  <si>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</si>
  <si>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</si>
  <si>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</si>
  <si>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</si>
  <si>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</si>
  <si>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</si>
  <si>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</si>
  <si>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</si>
  <si>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</si>
  <si>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</si>
  <si>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</si>
  <si>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</si>
  <si>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</si>
  <si>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</si>
  <si>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</si>
  <si>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</si>
  <si>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</si>
  <si>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</si>
  <si>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</si>
  <si>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</si>
  <si>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</si>
  <si>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</si>
  <si>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</si>
  <si>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</si>
  <si>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</si>
  <si>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</si>
  <si>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</si>
  <si>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</si>
  <si>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</si>
  <si>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</si>
  <si>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</si>
  <si>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</si>
  <si>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</si>
  <si>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</si>
  <si>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</si>
  <si>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</si>
  <si>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</si>
  <si>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</si>
  <si>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</si>
  <si>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</si>
  <si>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</si>
  <si>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</si>
  <si>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</si>
  <si>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</si>
  <si>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</si>
  <si>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</si>
  <si>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</si>
  <si>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</si>
  <si>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</si>
  <si>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</si>
  <si>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</si>
  <si>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</si>
  <si>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</si>
  <si>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</si>
  <si>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</si>
  <si>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</si>
  <si>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</si>
  <si>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</si>
  <si>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</si>
  <si>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</si>
  <si>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</si>
  <si>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</si>
  <si>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</si>
  <si>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</si>
  <si>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</si>
  <si>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</si>
  <si>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</si>
  <si>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</si>
  <si>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</si>
  <si>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</si>
  <si>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</si>
  <si>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</si>
  <si>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</si>
  <si>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</si>
  <si>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</si>
  <si>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</si>
  <si>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</si>
  <si>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</si>
  <si>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</si>
  <si>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</si>
  <si>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</si>
  <si>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</si>
  <si>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</si>
  <si>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</si>
  <si>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</si>
  <si>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</si>
  <si>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</si>
  <si>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</si>
  <si>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</si>
  <si>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</si>
  <si>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</si>
  <si>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</si>
  <si>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</si>
  <si>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</si>
  <si>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</si>
  <si>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</si>
  <si>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</si>
  <si>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</si>
  <si>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</si>
  <si>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</si>
  <si>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</si>
  <si>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</si>
  <si>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</si>
  <si>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</si>
  <si>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</si>
  <si>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</si>
  <si>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</si>
  <si>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</si>
  <si>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</si>
  <si>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</si>
  <si>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</si>
  <si>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</si>
  <si>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</si>
  <si>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</si>
  <si>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</si>
  <si>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</si>
  <si>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</si>
  <si>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</si>
  <si>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</si>
  <si>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</si>
  <si>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</si>
  <si>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</si>
  <si>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</si>
  <si>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</si>
  <si>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</si>
  <si>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</si>
  <si>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</si>
  <si>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</si>
  <si>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</si>
  <si>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</si>
  <si>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</si>
  <si>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</si>
  <si>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</si>
  <si>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</si>
  <si>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</si>
  <si>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</si>
  <si>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</si>
  <si>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</si>
  <si>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</si>
  <si>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</si>
  <si>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</si>
  <si>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</si>
  <si>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</si>
  <si>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</si>
  <si>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</si>
  <si>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</si>
  <si>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</si>
  <si>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</si>
  <si>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</si>
  <si>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</si>
  <si>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</si>
  <si>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</si>
  <si>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</si>
  <si>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</si>
  <si>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</si>
  <si>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</si>
  <si>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</si>
  <si>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</si>
  <si>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</si>
  <si>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EBR-P4</t>
    <phoneticPr fontId="3" type="noConversion"/>
  </si>
  <si>
    <r>
      <t>EBR</t>
    </r>
    <r>
      <rPr>
        <sz val="7"/>
        <color theme="1"/>
        <rFont val="微軟正黑體"/>
        <family val="2"/>
        <charset val="136"/>
      </rPr>
      <t>廢溶劑</t>
    </r>
    <phoneticPr fontId="3" type="noConversion"/>
  </si>
  <si>
    <t>PMUPS</t>
    <phoneticPr fontId="3" type="noConversion"/>
  </si>
  <si>
    <t>待處理廢水</t>
    <phoneticPr fontId="2" type="noConversion"/>
  </si>
  <si>
    <t>待處理廢水</t>
    <phoneticPr fontId="3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</si>
  <si>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</si>
  <si>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</si>
  <si>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</si>
  <si>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</si>
  <si>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</si>
  <si>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</si>
  <si>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</si>
  <si>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</si>
  <si>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</si>
  <si>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</si>
  <si>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</si>
  <si>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</si>
  <si>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</si>
  <si>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</si>
  <si>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</si>
  <si>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</si>
  <si>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</si>
  <si>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</si>
  <si>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</si>
  <si>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</si>
  <si>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</si>
  <si>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</si>
  <si>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</si>
  <si>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</si>
  <si>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CPN-P1</t>
    <phoneticPr fontId="2" type="noConversion"/>
  </si>
  <si>
    <t>IPA-1</t>
  </si>
  <si>
    <t>IPA</t>
    <phoneticPr fontId="2" type="noConversion"/>
  </si>
  <si>
    <t>EBR-P1</t>
    <phoneticPr fontId="2" type="noConversion"/>
  </si>
  <si>
    <t>張立杰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</si>
  <si>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 16
蒸氣壓力 ______ (最低氣溫低於16度開啟)</t>
    <phoneticPr fontId="3" type="noConversion"/>
  </si>
  <si>
    <t>C50110-INV-01(01)</t>
    <phoneticPr fontId="3" type="noConversion"/>
  </si>
  <si>
    <t>IPA-1</t>
    <phoneticPr fontId="3" type="noConversion"/>
  </si>
  <si>
    <t>蔡承易</t>
    <phoneticPr fontId="2" type="noConversion"/>
  </si>
  <si>
    <t>許原暢</t>
    <phoneticPr fontId="2" type="noConversion"/>
  </si>
  <si>
    <t xml:space="preserve"> 蔡承易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</si>
</sst>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_);[Red]\(0\)"/>
    <numFmt numFmtId="177" formatCode="0_ "/>
    <numFmt numFmtId="178" formatCode="_(* #,##0.00_);_(* \(#,##0.00\);_(* &quot;-&quot;??_);_(@_)"/>
    <numFmt numFmtId="179" formatCode="_(&quot;$&quot;* #,##0.00_);_(&quot;$&quot;* \(#,##0.00\);_(&quot;$&quot;* &quot;-&quot;??_);_(@_)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7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8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53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7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6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6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6" fontId="20" fillId="2" borderId="11" xfId="1" applyNumberFormat="1" applyFont="1" applyFill="1" applyBorder="1" applyAlignment="1">
      <alignment horizontal="center" vertical="center" wrapText="1"/>
    </xf>
    <xf numFmtId="177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7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7" fontId="20" fillId="2" borderId="2" xfId="1" applyNumberFormat="1" applyFont="1" applyFill="1" applyBorder="1" applyAlignment="1">
      <alignment horizontal="center" vertical="center" wrapText="1"/>
    </xf>
    <xf numFmtId="177" fontId="20" fillId="2" borderId="4" xfId="1" applyNumberFormat="1" applyFont="1" applyFill="1" applyBorder="1" applyAlignment="1">
      <alignment horizontal="center" vertical="center" wrapText="1"/>
    </xf>
    <xf numFmtId="176" fontId="20" fillId="2" borderId="13" xfId="3" applyNumberFormat="1" applyFont="1" applyFill="1" applyBorder="1" applyAlignment="1">
      <alignment horizontal="center" vertical="center"/>
    </xf>
    <xf numFmtId="176" fontId="20" fillId="2" borderId="15" xfId="3" applyNumberFormat="1" applyFont="1" applyFill="1" applyBorder="1" applyAlignment="1">
      <alignment horizontal="center" vertical="center"/>
    </xf>
    <xf numFmtId="176" fontId="20" fillId="2" borderId="14" xfId="3" applyNumberFormat="1" applyFont="1" applyFill="1" applyBorder="1" applyAlignment="1">
      <alignment horizontal="center" vertical="center"/>
    </xf>
    <xf numFmtId="176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7" fontId="20" fillId="2" borderId="14" xfId="1" applyNumberFormat="1" applyFont="1" applyFill="1" applyBorder="1" applyAlignment="1">
      <alignment horizontal="center" vertical="center" wrapText="1"/>
    </xf>
    <xf numFmtId="177" fontId="20" fillId="2" borderId="16" xfId="1" applyNumberFormat="1" applyFont="1" applyFill="1" applyBorder="1" applyAlignment="1">
      <alignment horizontal="center" vertical="center" wrapText="1"/>
    </xf>
    <xf numFmtId="177" fontId="20" fillId="2" borderId="13" xfId="1" applyNumberFormat="1" applyFont="1" applyFill="1" applyBorder="1" applyAlignment="1">
      <alignment horizontal="center" vertical="center" wrapText="1"/>
    </xf>
    <xf numFmtId="177" fontId="20" fillId="2" borderId="15" xfId="1" applyNumberFormat="1" applyFont="1" applyFill="1" applyBorder="1" applyAlignment="1">
      <alignment horizontal="center" vertical="center" wrapText="1"/>
    </xf>
    <xf numFmtId="177" fontId="20" fillId="2" borderId="13" xfId="4" applyNumberFormat="1" applyFont="1" applyFill="1" applyBorder="1" applyAlignment="1">
      <alignment horizontal="center" vertical="center" wrapText="1"/>
    </xf>
    <xf numFmtId="177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6" fontId="14" fillId="2" borderId="0" xfId="1" applyNumberFormat="1" applyFont="1" applyFill="1" applyAlignment="1">
      <alignment horizontal="center" vertical="center"/>
    </xf>
    <xf numFmtId="177" fontId="20" fillId="2" borderId="2" xfId="1" applyNumberFormat="1" applyFont="1" applyFill="1" applyBorder="1" applyAlignment="1">
      <alignment horizontal="center" vertical="center"/>
    </xf>
    <xf numFmtId="177" fontId="20" fillId="2" borderId="4" xfId="1" applyNumberFormat="1" applyFont="1" applyFill="1" applyBorder="1" applyAlignment="1">
      <alignment horizontal="center" vertical="center"/>
    </xf>
    <xf numFmtId="177" fontId="20" fillId="2" borderId="13" xfId="1" applyNumberFormat="1" applyFont="1" applyFill="1" applyBorder="1" applyAlignment="1">
      <alignment horizontal="center" vertical="center"/>
    </xf>
    <xf numFmtId="177" fontId="20" fillId="2" borderId="15" xfId="1" applyNumberFormat="1" applyFont="1" applyFill="1" applyBorder="1" applyAlignment="1">
      <alignment horizontal="center" vertical="center"/>
    </xf>
    <xf numFmtId="177" fontId="20" fillId="2" borderId="14" xfId="1" applyNumberFormat="1" applyFont="1" applyFill="1" applyBorder="1" applyAlignment="1">
      <alignment horizontal="center" vertical="center"/>
    </xf>
    <xf numFmtId="177" fontId="20" fillId="2" borderId="16" xfId="1" applyNumberFormat="1" applyFont="1" applyFill="1" applyBorder="1" applyAlignment="1">
      <alignment horizontal="center" vertical="center"/>
    </xf>
    <xf numFmtId="176" fontId="20" fillId="2" borderId="2" xfId="1" applyNumberFormat="1" applyFont="1" applyFill="1" applyBorder="1" applyAlignment="1">
      <alignment horizontal="center" vertical="center"/>
    </xf>
    <xf numFmtId="176" fontId="20" fillId="2" borderId="4" xfId="1" applyNumberFormat="1" applyFont="1" applyFill="1" applyBorder="1" applyAlignment="1">
      <alignment horizontal="center" vertical="center"/>
    </xf>
    <xf numFmtId="177" fontId="20" fillId="2" borderId="37" xfId="1" applyNumberFormat="1" applyFont="1" applyFill="1" applyBorder="1" applyAlignment="1">
      <alignment horizontal="center" vertical="center"/>
    </xf>
    <xf numFmtId="177" fontId="20" fillId="2" borderId="61" xfId="1" applyNumberFormat="1" applyFont="1" applyFill="1" applyBorder="1" applyAlignment="1">
      <alignment horizontal="center" vertical="center"/>
    </xf>
    <xf numFmtId="177" fontId="20" fillId="2" borderId="40" xfId="1" applyNumberFormat="1" applyFont="1" applyFill="1" applyBorder="1" applyAlignment="1">
      <alignment horizontal="center" vertical="center"/>
    </xf>
    <xf numFmtId="177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6" fontId="20" fillId="2" borderId="2" xfId="1" applyNumberFormat="1" applyFont="1" applyFill="1" applyBorder="1" applyAlignment="1">
      <alignment horizontal="center" vertical="center" wrapText="1"/>
    </xf>
    <xf numFmtId="176" fontId="20" fillId="2" borderId="4" xfId="1" applyNumberFormat="1" applyFont="1" applyFill="1" applyBorder="1" applyAlignment="1">
      <alignment horizontal="center" vertical="center" wrapText="1"/>
    </xf>
    <xf numFmtId="176" fontId="20" fillId="2" borderId="14" xfId="1" applyNumberFormat="1" applyFont="1" applyFill="1" applyBorder="1" applyAlignment="1">
      <alignment horizontal="center" vertical="center"/>
    </xf>
    <xf numFmtId="176" fontId="20" fillId="2" borderId="16" xfId="1" applyNumberFormat="1" applyFont="1" applyFill="1" applyBorder="1" applyAlignment="1">
      <alignment horizontal="center" vertical="center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6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</xdr:colOff>
          <xdr:row>15</xdr:row>
          <xdr:rowOff>198120</xdr:rowOff>
        </xdr:from>
        <xdr:to>
          <xdr:col>15</xdr:col>
          <xdr:colOff>518160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25</xdr:row>
          <xdr:rowOff>60960</xdr:rowOff>
        </xdr:from>
        <xdr:to>
          <xdr:col>15</xdr:col>
          <xdr:colOff>541020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274320</xdr:rowOff>
        </xdr:from>
        <xdr:to>
          <xdr:col>32</xdr:col>
          <xdr:colOff>327660</xdr:colOff>
          <xdr:row>3</xdr:row>
          <xdr:rowOff>22860</xdr:rowOff>
        </xdr:to>
        <xdr:sp macro="" textlink="">
          <xdr:nvSpPr>
            <xdr:cNvPr id="2447361" name="Button 1" hidden="1">
              <a:extLst>
                <a:ext uri="{63B3BB69-23CF-44E3-9099-C40C66FF867C}">
                  <a14:compatExt spid="_x0000_s244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274320</xdr:rowOff>
        </xdr:from>
        <xdr:to>
          <xdr:col>32</xdr:col>
          <xdr:colOff>327660</xdr:colOff>
          <xdr:row>3</xdr:row>
          <xdr:rowOff>22860</xdr:rowOff>
        </xdr:to>
        <xdr:sp macro="" textlink="">
          <xdr:nvSpPr>
            <xdr:cNvPr id="2449409" name="Button 1" hidden="1">
              <a:extLst>
                <a:ext uri="{63B3BB69-23CF-44E3-9099-C40C66FF867C}">
                  <a14:compatExt spid="_x0000_s244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274320</xdr:rowOff>
        </xdr:from>
        <xdr:to>
          <xdr:col>32</xdr:col>
          <xdr:colOff>327660</xdr:colOff>
          <xdr:row>3</xdr:row>
          <xdr:rowOff>22860</xdr:rowOff>
        </xdr:to>
        <xdr:sp macro="" textlink="">
          <xdr:nvSpPr>
            <xdr:cNvPr id="2450433" name="Button 1" hidden="1">
              <a:extLst>
                <a:ext uri="{63B3BB69-23CF-44E3-9099-C40C66FF867C}">
                  <a14:compatExt spid="_x0000_s245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274320</xdr:rowOff>
        </xdr:from>
        <xdr:to>
          <xdr:col>32</xdr:col>
          <xdr:colOff>327660</xdr:colOff>
          <xdr:row>3</xdr:row>
          <xdr:rowOff>22860</xdr:rowOff>
        </xdr:to>
        <xdr:sp macro="" textlink="">
          <xdr:nvSpPr>
            <xdr:cNvPr id="2451457" name="Button 1" hidden="1">
              <a:extLst>
                <a:ext uri="{63B3BB69-23CF-44E3-9099-C40C66FF867C}">
                  <a14:compatExt spid="_x0000_s245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274320</xdr:rowOff>
        </xdr:from>
        <xdr:to>
          <xdr:col>32</xdr:col>
          <xdr:colOff>327660</xdr:colOff>
          <xdr:row>3</xdr:row>
          <xdr:rowOff>22860</xdr:rowOff>
        </xdr:to>
        <xdr:sp macro="" textlink="">
          <xdr:nvSpPr>
            <xdr:cNvPr id="2452481" name="Button 1" hidden="1">
              <a:extLst>
                <a:ext uri="{63B3BB69-23CF-44E3-9099-C40C66FF867C}">
                  <a14:compatExt spid="_x0000_s245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53505" name="Button 1" hidden="1">
              <a:extLst>
                <a:ext uri="{63B3BB69-23CF-44E3-9099-C40C66FF867C}">
                  <a14:compatExt spid="_x0000_s245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55553" name="Button 1" hidden="1">
              <a:extLst>
                <a:ext uri="{63B3BB69-23CF-44E3-9099-C40C66FF867C}">
                  <a14:compatExt spid="_x0000_s245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57601" name="Button 1" hidden="1">
              <a:extLst>
                <a:ext uri="{63B3BB69-23CF-44E3-9099-C40C66FF867C}">
                  <a14:compatExt spid="_x0000_s245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58625" name="Button 1" hidden="1">
              <a:extLst>
                <a:ext uri="{63B3BB69-23CF-44E3-9099-C40C66FF867C}">
                  <a14:compatExt spid="_x0000_s245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0673" name="Button 1" hidden="1">
              <a:extLst>
                <a:ext uri="{63B3BB69-23CF-44E3-9099-C40C66FF867C}">
                  <a14:compatExt spid="_x0000_s246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1697" name="Button 1" hidden="1">
              <a:extLst>
                <a:ext uri="{63B3BB69-23CF-44E3-9099-C40C66FF867C}">
                  <a14:compatExt spid="_x0000_s246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2721" name="Button 1" hidden="1">
              <a:extLst>
                <a:ext uri="{63B3BB69-23CF-44E3-9099-C40C66FF867C}">
                  <a14:compatExt spid="_x0000_s246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3745" name="Button 1" hidden="1">
              <a:extLst>
                <a:ext uri="{63B3BB69-23CF-44E3-9099-C40C66FF867C}">
                  <a14:compatExt spid="_x0000_s246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4769" name="Button 1" hidden="1">
              <a:extLst>
                <a:ext uri="{63B3BB69-23CF-44E3-9099-C40C66FF867C}">
                  <a14:compatExt spid="_x0000_s246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5793" name="Button 1" hidden="1">
              <a:extLst>
                <a:ext uri="{63B3BB69-23CF-44E3-9099-C40C66FF867C}">
                  <a14:compatExt spid="_x0000_s246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7841" name="Button 1" hidden="1">
              <a:extLst>
                <a:ext uri="{63B3BB69-23CF-44E3-9099-C40C66FF867C}">
                  <a14:compatExt spid="_x0000_s246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69889" name="Button 1" hidden="1">
              <a:extLst>
                <a:ext uri="{63B3BB69-23CF-44E3-9099-C40C66FF867C}">
                  <a14:compatExt spid="_x0000_s246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70913" name="Button 1" hidden="1">
              <a:extLst>
                <a:ext uri="{63B3BB69-23CF-44E3-9099-C40C66FF867C}">
                  <a14:compatExt spid="_x0000_s247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72961" name="Button 1" hidden="1">
              <a:extLst>
                <a:ext uri="{63B3BB69-23CF-44E3-9099-C40C66FF867C}">
                  <a14:compatExt spid="_x0000_s247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73985" name="Button 1" hidden="1">
              <a:extLst>
                <a:ext uri="{63B3BB69-23CF-44E3-9099-C40C66FF867C}">
                  <a14:compatExt spid="_x0000_s247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475009" name="Button 1" hidden="1">
              <a:extLst>
                <a:ext uri="{63B3BB69-23CF-44E3-9099-C40C66FF867C}">
                  <a14:compatExt spid="_x0000_s247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549" dataDxfId="2548" headerRowCellStyle="一般 2" dataCellStyle="一般 2">
  <autoFilter ref="AG13:BH189"/>
  <tableColumns count="28">
    <tableColumn id="1" uniqueName="1" name="請直接以10進位，謝謝" queryTableFieldId="1" dataDxfId="2547" dataCellStyle="一般 2"/>
    <tableColumn id="2" uniqueName="2" name="F2" queryTableFieldId="2" dataDxfId="2546" dataCellStyle="一般 2"/>
    <tableColumn id="3" uniqueName="3" name="F3" queryTableFieldId="3" dataDxfId="2545" dataCellStyle="一般 2"/>
    <tableColumn id="4" uniqueName="4" name="F4" queryTableFieldId="4" dataDxfId="2544" dataCellStyle="一般 2"/>
    <tableColumn id="5" uniqueName="5" name="F5" queryTableFieldId="5" dataDxfId="2543" dataCellStyle="一般 2"/>
    <tableColumn id="6" uniqueName="6" name="F6" queryTableFieldId="6" dataDxfId="2542" dataCellStyle="一般 2"/>
    <tableColumn id="7" uniqueName="7" name="F7" queryTableFieldId="7" dataDxfId="2541" dataCellStyle="一般 2"/>
    <tableColumn id="8" uniqueName="8" name="F8" queryTableFieldId="8" dataDxfId="2540" dataCellStyle="一般 2"/>
    <tableColumn id="9" uniqueName="9" name="F9" queryTableFieldId="9" dataDxfId="2539" dataCellStyle="一般 2"/>
    <tableColumn id="10" uniqueName="10" name="F10" queryTableFieldId="10" dataDxfId="2538" dataCellStyle="一般 2"/>
    <tableColumn id="11" uniqueName="11" name="F11" queryTableFieldId="11" dataDxfId="2537" dataCellStyle="一般 2"/>
    <tableColumn id="12" uniqueName="12" name="F12" queryTableFieldId="12" dataDxfId="2536" dataCellStyle="一般 2"/>
    <tableColumn id="13" uniqueName="13" name="F13" queryTableFieldId="13" dataDxfId="2535" dataCellStyle="一般 2"/>
    <tableColumn id="14" uniqueName="14" name="F14" queryTableFieldId="14" dataDxfId="2534" dataCellStyle="一般 2"/>
    <tableColumn id="15" uniqueName="15" name="F15" queryTableFieldId="15" dataDxfId="2533" dataCellStyle="一般 2"/>
    <tableColumn id="16" uniqueName="16" name="F16" queryTableFieldId="16" dataDxfId="2532" dataCellStyle="一般 2"/>
    <tableColumn id="17" uniqueName="17" name="F17" queryTableFieldId="17" dataDxfId="2531" dataCellStyle="一般 2"/>
    <tableColumn id="18" uniqueName="18" name="F18" queryTableFieldId="18" dataDxfId="2530" dataCellStyle="一般 2"/>
    <tableColumn id="19" uniqueName="19" name="F19" queryTableFieldId="19" dataDxfId="2529" dataCellStyle="一般 2"/>
    <tableColumn id="20" uniqueName="20" name="F20" queryTableFieldId="20" dataDxfId="2528" dataCellStyle="一般 2"/>
    <tableColumn id="21" uniqueName="21" name="F21" queryTableFieldId="21" dataDxfId="2527" dataCellStyle="一般 2"/>
    <tableColumn id="22" uniqueName="22" name="2024/6/24 14:52" queryTableFieldId="22" dataDxfId="2526" dataCellStyle="一般 2"/>
    <tableColumn id="23" uniqueName="23" name="F23" queryTableFieldId="23" dataDxfId="2525" dataCellStyle="一般 2"/>
    <tableColumn id="24" uniqueName="24" name="F24" queryTableFieldId="24" dataDxfId="2524" dataCellStyle="一般 2"/>
    <tableColumn id="25" uniqueName="25" name="F25" queryTableFieldId="25" dataDxfId="2523" dataCellStyle="一般 2"/>
    <tableColumn id="26" uniqueName="26" name="F26" queryTableFieldId="26" dataDxfId="2522" dataCellStyle="一般 2"/>
    <tableColumn id="27" uniqueName="27" name="F27" queryTableFieldId="27" dataDxfId="2521" dataCellStyle="一般 2"/>
    <tableColumn id="28" uniqueName="28" name="F28" queryTableFieldId="28" dataDxfId="252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423" dataDxfId="2422" headerRowCellStyle="一般 2" dataCellStyle="一般 2">
  <autoFilter ref="AG13:BH189"/>
  <tableColumns count="28">
    <tableColumn id="1" uniqueName="1" name="請直接以10進位，謝謝" queryTableFieldId="1" dataDxfId="2421" dataCellStyle="一般 2"/>
    <tableColumn id="2" uniqueName="2" name="F2" queryTableFieldId="2" dataDxfId="2420" dataCellStyle="一般 2"/>
    <tableColumn id="3" uniqueName="3" name="F3" queryTableFieldId="3" dataDxfId="2419" dataCellStyle="一般 2"/>
    <tableColumn id="4" uniqueName="4" name="F4" queryTableFieldId="4" dataDxfId="2418" dataCellStyle="一般 2"/>
    <tableColumn id="5" uniqueName="5" name="F5" queryTableFieldId="5" dataDxfId="2417" dataCellStyle="一般 2"/>
    <tableColumn id="6" uniqueName="6" name="F6" queryTableFieldId="6" dataDxfId="2416" dataCellStyle="一般 2"/>
    <tableColumn id="7" uniqueName="7" name="F7" queryTableFieldId="7" dataDxfId="2415" dataCellStyle="一般 2"/>
    <tableColumn id="8" uniqueName="8" name="F8" queryTableFieldId="8" dataDxfId="2414" dataCellStyle="一般 2"/>
    <tableColumn id="9" uniqueName="9" name="F9" queryTableFieldId="9" dataDxfId="2413" dataCellStyle="一般 2"/>
    <tableColumn id="10" uniqueName="10" name="F10" queryTableFieldId="10" dataDxfId="2412" dataCellStyle="一般 2"/>
    <tableColumn id="11" uniqueName="11" name="F11" queryTableFieldId="11" dataDxfId="2411" dataCellStyle="一般 2"/>
    <tableColumn id="12" uniqueName="12" name="F12" queryTableFieldId="12" dataDxfId="2410" dataCellStyle="一般 2"/>
    <tableColumn id="13" uniqueName="13" name="F13" queryTableFieldId="13" dataDxfId="2409" dataCellStyle="一般 2"/>
    <tableColumn id="14" uniqueName="14" name="F14" queryTableFieldId="14" dataDxfId="2408" dataCellStyle="一般 2"/>
    <tableColumn id="15" uniqueName="15" name="F15" queryTableFieldId="15" dataDxfId="2407" dataCellStyle="一般 2"/>
    <tableColumn id="16" uniqueName="16" name="F16" queryTableFieldId="16" dataDxfId="2406" dataCellStyle="一般 2"/>
    <tableColumn id="17" uniqueName="17" name="F17" queryTableFieldId="17" dataDxfId="2405" dataCellStyle="一般 2"/>
    <tableColumn id="18" uniqueName="18" name="F18" queryTableFieldId="18" dataDxfId="2404" dataCellStyle="一般 2"/>
    <tableColumn id="19" uniqueName="19" name="F19" queryTableFieldId="19" dataDxfId="2403" dataCellStyle="一般 2"/>
    <tableColumn id="20" uniqueName="20" name="F20" queryTableFieldId="20" dataDxfId="2402" dataCellStyle="一般 2"/>
    <tableColumn id="21" uniqueName="21" name="F21" queryTableFieldId="21" dataDxfId="2401" dataCellStyle="一般 2"/>
    <tableColumn id="22" uniqueName="22" name="2024/6/24 14:52" queryTableFieldId="22" dataDxfId="2400" dataCellStyle="一般 2"/>
    <tableColumn id="23" uniqueName="23" name="F23" queryTableFieldId="23" dataDxfId="2399" dataCellStyle="一般 2"/>
    <tableColumn id="24" uniqueName="24" name="F24" queryTableFieldId="24" dataDxfId="2398" dataCellStyle="一般 2"/>
    <tableColumn id="25" uniqueName="25" name="F25" queryTableFieldId="25" dataDxfId="2397" dataCellStyle="一般 2"/>
    <tableColumn id="26" uniqueName="26" name="F26" queryTableFieldId="26" dataDxfId="2396" dataCellStyle="一般 2"/>
    <tableColumn id="27" uniqueName="27" name="F27" queryTableFieldId="27" dataDxfId="2395" dataCellStyle="一般 2"/>
    <tableColumn id="28" uniqueName="28" name="F28" queryTableFieldId="28" dataDxfId="2394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297" dataDxfId="2296" headerRowCellStyle="一般 2" dataCellStyle="一般 2">
  <autoFilter ref="AG13:BH189"/>
  <tableColumns count="28">
    <tableColumn id="1" uniqueName="1" name="請直接以10進位，謝謝" queryTableFieldId="1" dataDxfId="2295" dataCellStyle="一般 2"/>
    <tableColumn id="2" uniqueName="2" name="F2" queryTableFieldId="2" dataDxfId="2294" dataCellStyle="一般 2"/>
    <tableColumn id="3" uniqueName="3" name="F3" queryTableFieldId="3" dataDxfId="2293" dataCellStyle="一般 2"/>
    <tableColumn id="4" uniqueName="4" name="F4" queryTableFieldId="4" dataDxfId="2292" dataCellStyle="一般 2"/>
    <tableColumn id="5" uniqueName="5" name="F5" queryTableFieldId="5" dataDxfId="2291" dataCellStyle="一般 2"/>
    <tableColumn id="6" uniqueName="6" name="F6" queryTableFieldId="6" dataDxfId="2290" dataCellStyle="一般 2"/>
    <tableColumn id="7" uniqueName="7" name="F7" queryTableFieldId="7" dataDxfId="2289" dataCellStyle="一般 2"/>
    <tableColumn id="8" uniqueName="8" name="F8" queryTableFieldId="8" dataDxfId="2288" dataCellStyle="一般 2"/>
    <tableColumn id="9" uniqueName="9" name="F9" queryTableFieldId="9" dataDxfId="2287" dataCellStyle="一般 2"/>
    <tableColumn id="10" uniqueName="10" name="F10" queryTableFieldId="10" dataDxfId="2286" dataCellStyle="一般 2"/>
    <tableColumn id="11" uniqueName="11" name="F11" queryTableFieldId="11" dataDxfId="2285" dataCellStyle="一般 2"/>
    <tableColumn id="12" uniqueName="12" name="F12" queryTableFieldId="12" dataDxfId="2284" dataCellStyle="一般 2"/>
    <tableColumn id="13" uniqueName="13" name="F13" queryTableFieldId="13" dataDxfId="2283" dataCellStyle="一般 2"/>
    <tableColumn id="14" uniqueName="14" name="F14" queryTableFieldId="14" dataDxfId="2282" dataCellStyle="一般 2"/>
    <tableColumn id="15" uniqueName="15" name="F15" queryTableFieldId="15" dataDxfId="2281" dataCellStyle="一般 2"/>
    <tableColumn id="16" uniqueName="16" name="F16" queryTableFieldId="16" dataDxfId="2280" dataCellStyle="一般 2"/>
    <tableColumn id="17" uniqueName="17" name="F17" queryTableFieldId="17" dataDxfId="2279" dataCellStyle="一般 2"/>
    <tableColumn id="18" uniqueName="18" name="F18" queryTableFieldId="18" dataDxfId="2278" dataCellStyle="一般 2"/>
    <tableColumn id="19" uniqueName="19" name="F19" queryTableFieldId="19" dataDxfId="2277" dataCellStyle="一般 2"/>
    <tableColumn id="20" uniqueName="20" name="F20" queryTableFieldId="20" dataDxfId="2276" dataCellStyle="一般 2"/>
    <tableColumn id="21" uniqueName="21" name="F21" queryTableFieldId="21" dataDxfId="2275" dataCellStyle="一般 2"/>
    <tableColumn id="22" uniqueName="22" name="2024/6/24 14:52" queryTableFieldId="22" dataDxfId="2274" dataCellStyle="一般 2"/>
    <tableColumn id="23" uniqueName="23" name="F23" queryTableFieldId="23" dataDxfId="2273" dataCellStyle="一般 2"/>
    <tableColumn id="24" uniqueName="24" name="F24" queryTableFieldId="24" dataDxfId="2272" dataCellStyle="一般 2"/>
    <tableColumn id="25" uniqueName="25" name="F25" queryTableFieldId="25" dataDxfId="2271" dataCellStyle="一般 2"/>
    <tableColumn id="26" uniqueName="26" name="F26" queryTableFieldId="26" dataDxfId="2270" dataCellStyle="一般 2"/>
    <tableColumn id="27" uniqueName="27" name="F27" queryTableFieldId="27" dataDxfId="2269" dataCellStyle="一般 2"/>
    <tableColumn id="28" uniqueName="28" name="F28" queryTableFieldId="28" dataDxfId="2268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171" dataDxfId="2170" headerRowCellStyle="一般 2" dataCellStyle="一般 2">
  <autoFilter ref="AG13:BH189"/>
  <tableColumns count="28">
    <tableColumn id="1" uniqueName="1" name="請直接以10進位，謝謝" queryTableFieldId="1" dataDxfId="2169" dataCellStyle="一般 2"/>
    <tableColumn id="2" uniqueName="2" name="F2" queryTableFieldId="2" dataDxfId="2168" dataCellStyle="一般 2"/>
    <tableColumn id="3" uniqueName="3" name="F3" queryTableFieldId="3" dataDxfId="2167" dataCellStyle="一般 2"/>
    <tableColumn id="4" uniqueName="4" name="F4" queryTableFieldId="4" dataDxfId="2166" dataCellStyle="一般 2"/>
    <tableColumn id="5" uniqueName="5" name="F5" queryTableFieldId="5" dataDxfId="2165" dataCellStyle="一般 2"/>
    <tableColumn id="6" uniqueName="6" name="F6" queryTableFieldId="6" dataDxfId="2164" dataCellStyle="一般 2"/>
    <tableColumn id="7" uniqueName="7" name="F7" queryTableFieldId="7" dataDxfId="2163" dataCellStyle="一般 2"/>
    <tableColumn id="8" uniqueName="8" name="F8" queryTableFieldId="8" dataDxfId="2162" dataCellStyle="一般 2"/>
    <tableColumn id="9" uniqueName="9" name="F9" queryTableFieldId="9" dataDxfId="2161" dataCellStyle="一般 2"/>
    <tableColumn id="10" uniqueName="10" name="F10" queryTableFieldId="10" dataDxfId="2160" dataCellStyle="一般 2"/>
    <tableColumn id="11" uniqueName="11" name="F11" queryTableFieldId="11" dataDxfId="2159" dataCellStyle="一般 2"/>
    <tableColumn id="12" uniqueName="12" name="F12" queryTableFieldId="12" dataDxfId="2158" dataCellStyle="一般 2"/>
    <tableColumn id="13" uniqueName="13" name="F13" queryTableFieldId="13" dataDxfId="2157" dataCellStyle="一般 2"/>
    <tableColumn id="14" uniqueName="14" name="F14" queryTableFieldId="14" dataDxfId="2156" dataCellStyle="一般 2"/>
    <tableColumn id="15" uniqueName="15" name="F15" queryTableFieldId="15" dataDxfId="2155" dataCellStyle="一般 2"/>
    <tableColumn id="16" uniqueName="16" name="F16" queryTableFieldId="16" dataDxfId="2154" dataCellStyle="一般 2"/>
    <tableColumn id="17" uniqueName="17" name="F17" queryTableFieldId="17" dataDxfId="2153" dataCellStyle="一般 2"/>
    <tableColumn id="18" uniqueName="18" name="F18" queryTableFieldId="18" dataDxfId="2152" dataCellStyle="一般 2"/>
    <tableColumn id="19" uniqueName="19" name="F19" queryTableFieldId="19" dataDxfId="2151" dataCellStyle="一般 2"/>
    <tableColumn id="20" uniqueName="20" name="F20" queryTableFieldId="20" dataDxfId="2150" dataCellStyle="一般 2"/>
    <tableColumn id="21" uniqueName="21" name="F21" queryTableFieldId="21" dataDxfId="2149" dataCellStyle="一般 2"/>
    <tableColumn id="22" uniqueName="22" name="2024/6/24 14:52" queryTableFieldId="22" dataDxfId="2148" dataCellStyle="一般 2"/>
    <tableColumn id="23" uniqueName="23" name="F23" queryTableFieldId="23" dataDxfId="2147" dataCellStyle="一般 2"/>
    <tableColumn id="24" uniqueName="24" name="F24" queryTableFieldId="24" dataDxfId="2146" dataCellStyle="一般 2"/>
    <tableColumn id="25" uniqueName="25" name="F25" queryTableFieldId="25" dataDxfId="2145" dataCellStyle="一般 2"/>
    <tableColumn id="26" uniqueName="26" name="F26" queryTableFieldId="26" dataDxfId="2144" dataCellStyle="一般 2"/>
    <tableColumn id="27" uniqueName="27" name="F27" queryTableFieldId="27" dataDxfId="2143" dataCellStyle="一般 2"/>
    <tableColumn id="28" uniqueName="28" name="F28" queryTableFieldId="28" dataDxfId="2142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045" dataDxfId="2044" headerRowCellStyle="一般 2" dataCellStyle="一般 2">
  <autoFilter ref="AG13:BH189"/>
  <tableColumns count="28">
    <tableColumn id="1" uniqueName="1" name="請直接以10進位，謝謝" queryTableFieldId="1" dataDxfId="2043" dataCellStyle="一般 2"/>
    <tableColumn id="2" uniqueName="2" name="F2" queryTableFieldId="2" dataDxfId="2042" dataCellStyle="一般 2"/>
    <tableColumn id="3" uniqueName="3" name="F3" queryTableFieldId="3" dataDxfId="2041" dataCellStyle="一般 2"/>
    <tableColumn id="4" uniqueName="4" name="F4" queryTableFieldId="4" dataDxfId="2040" dataCellStyle="一般 2"/>
    <tableColumn id="5" uniqueName="5" name="F5" queryTableFieldId="5" dataDxfId="2039" dataCellStyle="一般 2"/>
    <tableColumn id="6" uniqueName="6" name="F6" queryTableFieldId="6" dataDxfId="2038" dataCellStyle="一般 2"/>
    <tableColumn id="7" uniqueName="7" name="F7" queryTableFieldId="7" dataDxfId="2037" dataCellStyle="一般 2"/>
    <tableColumn id="8" uniqueName="8" name="F8" queryTableFieldId="8" dataDxfId="2036" dataCellStyle="一般 2"/>
    <tableColumn id="9" uniqueName="9" name="F9" queryTableFieldId="9" dataDxfId="2035" dataCellStyle="一般 2"/>
    <tableColumn id="10" uniqueName="10" name="F10" queryTableFieldId="10" dataDxfId="2034" dataCellStyle="一般 2"/>
    <tableColumn id="11" uniqueName="11" name="F11" queryTableFieldId="11" dataDxfId="2033" dataCellStyle="一般 2"/>
    <tableColumn id="12" uniqueName="12" name="F12" queryTableFieldId="12" dataDxfId="2032" dataCellStyle="一般 2"/>
    <tableColumn id="13" uniqueName="13" name="F13" queryTableFieldId="13" dataDxfId="2031" dataCellStyle="一般 2"/>
    <tableColumn id="14" uniqueName="14" name="F14" queryTableFieldId="14" dataDxfId="2030" dataCellStyle="一般 2"/>
    <tableColumn id="15" uniqueName="15" name="F15" queryTableFieldId="15" dataDxfId="2029" dataCellStyle="一般 2"/>
    <tableColumn id="16" uniqueName="16" name="F16" queryTableFieldId="16" dataDxfId="2028" dataCellStyle="一般 2"/>
    <tableColumn id="17" uniqueName="17" name="F17" queryTableFieldId="17" dataDxfId="2027" dataCellStyle="一般 2"/>
    <tableColumn id="18" uniqueName="18" name="F18" queryTableFieldId="18" dataDxfId="2026" dataCellStyle="一般 2"/>
    <tableColumn id="19" uniqueName="19" name="F19" queryTableFieldId="19" dataDxfId="2025" dataCellStyle="一般 2"/>
    <tableColumn id="20" uniqueName="20" name="F20" queryTableFieldId="20" dataDxfId="2024" dataCellStyle="一般 2"/>
    <tableColumn id="21" uniqueName="21" name="F21" queryTableFieldId="21" dataDxfId="2023" dataCellStyle="一般 2"/>
    <tableColumn id="22" uniqueName="22" name="2024/6/24 14:52" queryTableFieldId="22" dataDxfId="2022" dataCellStyle="一般 2"/>
    <tableColumn id="23" uniqueName="23" name="F23" queryTableFieldId="23" dataDxfId="2021" dataCellStyle="一般 2"/>
    <tableColumn id="24" uniqueName="24" name="F24" queryTableFieldId="24" dataDxfId="2020" dataCellStyle="一般 2"/>
    <tableColumn id="25" uniqueName="25" name="F25" queryTableFieldId="25" dataDxfId="2019" dataCellStyle="一般 2"/>
    <tableColumn id="26" uniqueName="26" name="F26" queryTableFieldId="26" dataDxfId="2018" dataCellStyle="一般 2"/>
    <tableColumn id="27" uniqueName="27" name="F27" queryTableFieldId="27" dataDxfId="2017" dataCellStyle="一般 2"/>
    <tableColumn id="28" uniqueName="28" name="F28" queryTableFieldId="28" dataDxfId="2016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1919" dataDxfId="1918" headerRowCellStyle="一般 2" dataCellStyle="一般 2">
  <autoFilter ref="AG13:BH189"/>
  <tableColumns count="28">
    <tableColumn id="1" uniqueName="1" name="請直接以10進位，謝謝" queryTableFieldId="1" dataDxfId="1917" dataCellStyle="一般 2"/>
    <tableColumn id="2" uniqueName="2" name="F2" queryTableFieldId="2" dataDxfId="1916" dataCellStyle="一般 2"/>
    <tableColumn id="3" uniqueName="3" name="F3" queryTableFieldId="3" dataDxfId="1915" dataCellStyle="一般 2"/>
    <tableColumn id="4" uniqueName="4" name="F4" queryTableFieldId="4" dataDxfId="1914" dataCellStyle="一般 2"/>
    <tableColumn id="5" uniqueName="5" name="F5" queryTableFieldId="5" dataDxfId="1913" dataCellStyle="一般 2"/>
    <tableColumn id="6" uniqueName="6" name="F6" queryTableFieldId="6" dataDxfId="1912" dataCellStyle="一般 2"/>
    <tableColumn id="7" uniqueName="7" name="F7" queryTableFieldId="7" dataDxfId="1911" dataCellStyle="一般 2"/>
    <tableColumn id="8" uniqueName="8" name="F8" queryTableFieldId="8" dataDxfId="1910" dataCellStyle="一般 2"/>
    <tableColumn id="9" uniqueName="9" name="F9" queryTableFieldId="9" dataDxfId="1909" dataCellStyle="一般 2"/>
    <tableColumn id="10" uniqueName="10" name="F10" queryTableFieldId="10" dataDxfId="1908" dataCellStyle="一般 2"/>
    <tableColumn id="11" uniqueName="11" name="F11" queryTableFieldId="11" dataDxfId="1907" dataCellStyle="一般 2"/>
    <tableColumn id="12" uniqueName="12" name="F12" queryTableFieldId="12" dataDxfId="1906" dataCellStyle="一般 2"/>
    <tableColumn id="13" uniqueName="13" name="F13" queryTableFieldId="13" dataDxfId="1905" dataCellStyle="一般 2"/>
    <tableColumn id="14" uniqueName="14" name="F14" queryTableFieldId="14" dataDxfId="1904" dataCellStyle="一般 2"/>
    <tableColumn id="15" uniqueName="15" name="F15" queryTableFieldId="15" dataDxfId="1903" dataCellStyle="一般 2"/>
    <tableColumn id="16" uniqueName="16" name="F16" queryTableFieldId="16" dataDxfId="1902" dataCellStyle="一般 2"/>
    <tableColumn id="17" uniqueName="17" name="F17" queryTableFieldId="17" dataDxfId="1901" dataCellStyle="一般 2"/>
    <tableColumn id="18" uniqueName="18" name="F18" queryTableFieldId="18" dataDxfId="1900" dataCellStyle="一般 2"/>
    <tableColumn id="19" uniqueName="19" name="F19" queryTableFieldId="19" dataDxfId="1899" dataCellStyle="一般 2"/>
    <tableColumn id="20" uniqueName="20" name="F20" queryTableFieldId="20" dataDxfId="1898" dataCellStyle="一般 2"/>
    <tableColumn id="21" uniqueName="21" name="F21" queryTableFieldId="21" dataDxfId="1897" dataCellStyle="一般 2"/>
    <tableColumn id="22" uniqueName="22" name="2024/6/24 14:52" queryTableFieldId="22" dataDxfId="1896" dataCellStyle="一般 2"/>
    <tableColumn id="23" uniqueName="23" name="F23" queryTableFieldId="23" dataDxfId="1895" dataCellStyle="一般 2"/>
    <tableColumn id="24" uniqueName="24" name="F24" queryTableFieldId="24" dataDxfId="1894" dataCellStyle="一般 2"/>
    <tableColumn id="25" uniqueName="25" name="F25" queryTableFieldId="25" dataDxfId="1893" dataCellStyle="一般 2"/>
    <tableColumn id="26" uniqueName="26" name="F26" queryTableFieldId="26" dataDxfId="1892" dataCellStyle="一般 2"/>
    <tableColumn id="27" uniqueName="27" name="F27" queryTableFieldId="27" dataDxfId="1891" dataCellStyle="一般 2"/>
    <tableColumn id="28" uniqueName="28" name="F28" queryTableFieldId="28" dataDxfId="189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1793" dataDxfId="1792" headerRowCellStyle="一般 2" dataCellStyle="一般 2">
  <autoFilter ref="AG13:BH189"/>
  <tableColumns count="28">
    <tableColumn id="1" uniqueName="1" name="請直接以10進位，謝謝" queryTableFieldId="1" dataDxfId="1791" dataCellStyle="一般 2"/>
    <tableColumn id="2" uniqueName="2" name="F2" queryTableFieldId="2" dataDxfId="1790" dataCellStyle="一般 2"/>
    <tableColumn id="3" uniqueName="3" name="F3" queryTableFieldId="3" dataDxfId="1789" dataCellStyle="一般 2"/>
    <tableColumn id="4" uniqueName="4" name="F4" queryTableFieldId="4" dataDxfId="1788" dataCellStyle="一般 2"/>
    <tableColumn id="5" uniqueName="5" name="F5" queryTableFieldId="5" dataDxfId="1787" dataCellStyle="一般 2"/>
    <tableColumn id="6" uniqueName="6" name="F6" queryTableFieldId="6" dataDxfId="1786" dataCellStyle="一般 2"/>
    <tableColumn id="7" uniqueName="7" name="F7" queryTableFieldId="7" dataDxfId="1785" dataCellStyle="一般 2"/>
    <tableColumn id="8" uniqueName="8" name="F8" queryTableFieldId="8" dataDxfId="1784" dataCellStyle="一般 2"/>
    <tableColumn id="9" uniqueName="9" name="F9" queryTableFieldId="9" dataDxfId="1783" dataCellStyle="一般 2"/>
    <tableColumn id="10" uniqueName="10" name="F10" queryTableFieldId="10" dataDxfId="1782" dataCellStyle="一般 2"/>
    <tableColumn id="11" uniqueName="11" name="F11" queryTableFieldId="11" dataDxfId="1781" dataCellStyle="一般 2"/>
    <tableColumn id="12" uniqueName="12" name="F12" queryTableFieldId="12" dataDxfId="1780" dataCellStyle="一般 2"/>
    <tableColumn id="13" uniqueName="13" name="F13" queryTableFieldId="13" dataDxfId="1779" dataCellStyle="一般 2"/>
    <tableColumn id="14" uniqueName="14" name="F14" queryTableFieldId="14" dataDxfId="1778" dataCellStyle="一般 2"/>
    <tableColumn id="15" uniqueName="15" name="F15" queryTableFieldId="15" dataDxfId="1777" dataCellStyle="一般 2"/>
    <tableColumn id="16" uniqueName="16" name="F16" queryTableFieldId="16" dataDxfId="1776" dataCellStyle="一般 2"/>
    <tableColumn id="17" uniqueName="17" name="F17" queryTableFieldId="17" dataDxfId="1775" dataCellStyle="一般 2"/>
    <tableColumn id="18" uniqueName="18" name="F18" queryTableFieldId="18" dataDxfId="1774" dataCellStyle="一般 2"/>
    <tableColumn id="19" uniqueName="19" name="F19" queryTableFieldId="19" dataDxfId="1773" dataCellStyle="一般 2"/>
    <tableColumn id="20" uniqueName="20" name="F20" queryTableFieldId="20" dataDxfId="1772" dataCellStyle="一般 2"/>
    <tableColumn id="21" uniqueName="21" name="F21" queryTableFieldId="21" dataDxfId="1771" dataCellStyle="一般 2"/>
    <tableColumn id="22" uniqueName="22" name="2024/6/24 14:52" queryTableFieldId="22" dataDxfId="1770" dataCellStyle="一般 2"/>
    <tableColumn id="23" uniqueName="23" name="F23" queryTableFieldId="23" dataDxfId="1769" dataCellStyle="一般 2"/>
    <tableColumn id="24" uniqueName="24" name="F24" queryTableFieldId="24" dataDxfId="1768" dataCellStyle="一般 2"/>
    <tableColumn id="25" uniqueName="25" name="F25" queryTableFieldId="25" dataDxfId="1767" dataCellStyle="一般 2"/>
    <tableColumn id="26" uniqueName="26" name="F26" queryTableFieldId="26" dataDxfId="1766" dataCellStyle="一般 2"/>
    <tableColumn id="27" uniqueName="27" name="F27" queryTableFieldId="27" dataDxfId="1765" dataCellStyle="一般 2"/>
    <tableColumn id="28" uniqueName="28" name="F28" queryTableFieldId="28" dataDxfId="1764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1667" dataDxfId="1666" headerRowCellStyle="一般 2" dataCellStyle="一般 2">
  <autoFilter ref="AG13:BH189"/>
  <tableColumns count="28">
    <tableColumn id="1" uniqueName="1" name="請直接以10進位，謝謝" queryTableFieldId="1" dataDxfId="1665" dataCellStyle="一般 2"/>
    <tableColumn id="2" uniqueName="2" name="F2" queryTableFieldId="2" dataDxfId="1664" dataCellStyle="一般 2"/>
    <tableColumn id="3" uniqueName="3" name="F3" queryTableFieldId="3" dataDxfId="1663" dataCellStyle="一般 2"/>
    <tableColumn id="4" uniqueName="4" name="F4" queryTableFieldId="4" dataDxfId="1662" dataCellStyle="一般 2"/>
    <tableColumn id="5" uniqueName="5" name="F5" queryTableFieldId="5" dataDxfId="1661" dataCellStyle="一般 2"/>
    <tableColumn id="6" uniqueName="6" name="F6" queryTableFieldId="6" dataDxfId="1660" dataCellStyle="一般 2"/>
    <tableColumn id="7" uniqueName="7" name="F7" queryTableFieldId="7" dataDxfId="1659" dataCellStyle="一般 2"/>
    <tableColumn id="8" uniqueName="8" name="F8" queryTableFieldId="8" dataDxfId="1658" dataCellStyle="一般 2"/>
    <tableColumn id="9" uniqueName="9" name="F9" queryTableFieldId="9" dataDxfId="1657" dataCellStyle="一般 2"/>
    <tableColumn id="10" uniqueName="10" name="F10" queryTableFieldId="10" dataDxfId="1656" dataCellStyle="一般 2"/>
    <tableColumn id="11" uniqueName="11" name="F11" queryTableFieldId="11" dataDxfId="1655" dataCellStyle="一般 2"/>
    <tableColumn id="12" uniqueName="12" name="F12" queryTableFieldId="12" dataDxfId="1654" dataCellStyle="一般 2"/>
    <tableColumn id="13" uniqueName="13" name="F13" queryTableFieldId="13" dataDxfId="1653" dataCellStyle="一般 2"/>
    <tableColumn id="14" uniqueName="14" name="F14" queryTableFieldId="14" dataDxfId="1652" dataCellStyle="一般 2"/>
    <tableColumn id="15" uniqueName="15" name="F15" queryTableFieldId="15" dataDxfId="1651" dataCellStyle="一般 2"/>
    <tableColumn id="16" uniqueName="16" name="F16" queryTableFieldId="16" dataDxfId="1650" dataCellStyle="一般 2"/>
    <tableColumn id="17" uniqueName="17" name="F17" queryTableFieldId="17" dataDxfId="1649" dataCellStyle="一般 2"/>
    <tableColumn id="18" uniqueName="18" name="F18" queryTableFieldId="18" dataDxfId="1648" dataCellStyle="一般 2"/>
    <tableColumn id="19" uniqueName="19" name="F19" queryTableFieldId="19" dataDxfId="1647" dataCellStyle="一般 2"/>
    <tableColumn id="20" uniqueName="20" name="F20" queryTableFieldId="20" dataDxfId="1646" dataCellStyle="一般 2"/>
    <tableColumn id="21" uniqueName="21" name="F21" queryTableFieldId="21" dataDxfId="1645" dataCellStyle="一般 2"/>
    <tableColumn id="22" uniqueName="22" name="2024/6/24 14:52" queryTableFieldId="22" dataDxfId="1644" dataCellStyle="一般 2"/>
    <tableColumn id="23" uniqueName="23" name="F23" queryTableFieldId="23" dataDxfId="1643" dataCellStyle="一般 2"/>
    <tableColumn id="24" uniqueName="24" name="F24" queryTableFieldId="24" dataDxfId="1642" dataCellStyle="一般 2"/>
    <tableColumn id="25" uniqueName="25" name="F25" queryTableFieldId="25" dataDxfId="1641" dataCellStyle="一般 2"/>
    <tableColumn id="26" uniqueName="26" name="F26" queryTableFieldId="26" dataDxfId="1640" dataCellStyle="一般 2"/>
    <tableColumn id="27" uniqueName="27" name="F27" queryTableFieldId="27" dataDxfId="1639" dataCellStyle="一般 2"/>
    <tableColumn id="28" uniqueName="28" name="F28" queryTableFieldId="28" dataDxfId="1638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541" dataDxfId="1540" headerRowCellStyle="一般 2" dataCellStyle="一般 2">
  <autoFilter ref="AG13:BH189"/>
  <tableColumns count="28">
    <tableColumn id="1" uniqueName="1" name="請直接以10進位，謝謝" queryTableFieldId="1" dataDxfId="1539" dataCellStyle="一般 2"/>
    <tableColumn id="2" uniqueName="2" name="F2" queryTableFieldId="2" dataDxfId="1538" dataCellStyle="一般 2"/>
    <tableColumn id="3" uniqueName="3" name="F3" queryTableFieldId="3" dataDxfId="1537" dataCellStyle="一般 2"/>
    <tableColumn id="4" uniqueName="4" name="F4" queryTableFieldId="4" dataDxfId="1536" dataCellStyle="一般 2"/>
    <tableColumn id="5" uniqueName="5" name="F5" queryTableFieldId="5" dataDxfId="1535" dataCellStyle="一般 2"/>
    <tableColumn id="6" uniqueName="6" name="F6" queryTableFieldId="6" dataDxfId="1534" dataCellStyle="一般 2"/>
    <tableColumn id="7" uniqueName="7" name="F7" queryTableFieldId="7" dataDxfId="1533" dataCellStyle="一般 2"/>
    <tableColumn id="8" uniqueName="8" name="F8" queryTableFieldId="8" dataDxfId="1532" dataCellStyle="一般 2"/>
    <tableColumn id="9" uniqueName="9" name="F9" queryTableFieldId="9" dataDxfId="1531" dataCellStyle="一般 2"/>
    <tableColumn id="10" uniqueName="10" name="F10" queryTableFieldId="10" dataDxfId="1530" dataCellStyle="一般 2"/>
    <tableColumn id="11" uniqueName="11" name="F11" queryTableFieldId="11" dataDxfId="1529" dataCellStyle="一般 2"/>
    <tableColumn id="12" uniqueName="12" name="F12" queryTableFieldId="12" dataDxfId="1528" dataCellStyle="一般 2"/>
    <tableColumn id="13" uniqueName="13" name="F13" queryTableFieldId="13" dataDxfId="1527" dataCellStyle="一般 2"/>
    <tableColumn id="14" uniqueName="14" name="F14" queryTableFieldId="14" dataDxfId="1526" dataCellStyle="一般 2"/>
    <tableColumn id="15" uniqueName="15" name="F15" queryTableFieldId="15" dataDxfId="1525" dataCellStyle="一般 2"/>
    <tableColumn id="16" uniqueName="16" name="F16" queryTableFieldId="16" dataDxfId="1524" dataCellStyle="一般 2"/>
    <tableColumn id="17" uniqueName="17" name="F17" queryTableFieldId="17" dataDxfId="1523" dataCellStyle="一般 2"/>
    <tableColumn id="18" uniqueName="18" name="F18" queryTableFieldId="18" dataDxfId="1522" dataCellStyle="一般 2"/>
    <tableColumn id="19" uniqueName="19" name="F19" queryTableFieldId="19" dataDxfId="1521" dataCellStyle="一般 2"/>
    <tableColumn id="20" uniqueName="20" name="F20" queryTableFieldId="20" dataDxfId="1520" dataCellStyle="一般 2"/>
    <tableColumn id="21" uniqueName="21" name="F21" queryTableFieldId="21" dataDxfId="1519" dataCellStyle="一般 2"/>
    <tableColumn id="22" uniqueName="22" name="2024/6/24 14:52" queryTableFieldId="22" dataDxfId="1518" dataCellStyle="一般 2"/>
    <tableColumn id="23" uniqueName="23" name="F23" queryTableFieldId="23" dataDxfId="1517" dataCellStyle="一般 2"/>
    <tableColumn id="24" uniqueName="24" name="F24" queryTableFieldId="24" dataDxfId="1516" dataCellStyle="一般 2"/>
    <tableColumn id="25" uniqueName="25" name="F25" queryTableFieldId="25" dataDxfId="1515" dataCellStyle="一般 2"/>
    <tableColumn id="26" uniqueName="26" name="F26" queryTableFieldId="26" dataDxfId="1514" dataCellStyle="一般 2"/>
    <tableColumn id="27" uniqueName="27" name="F27" queryTableFieldId="27" dataDxfId="1513" dataCellStyle="一般 2"/>
    <tableColumn id="28" uniqueName="28" name="F28" queryTableFieldId="28" dataDxfId="1512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415" dataDxfId="1414" headerRowCellStyle="一般 2" dataCellStyle="一般 2">
  <autoFilter ref="AG13:BH189"/>
  <tableColumns count="28">
    <tableColumn id="1" uniqueName="1" name="請直接以10進位，謝謝" queryTableFieldId="1" dataDxfId="1413" dataCellStyle="一般 2"/>
    <tableColumn id="2" uniqueName="2" name="F2" queryTableFieldId="2" dataDxfId="1412" dataCellStyle="一般 2"/>
    <tableColumn id="3" uniqueName="3" name="F3" queryTableFieldId="3" dataDxfId="1411" dataCellStyle="一般 2"/>
    <tableColumn id="4" uniqueName="4" name="F4" queryTableFieldId="4" dataDxfId="1410" dataCellStyle="一般 2"/>
    <tableColumn id="5" uniqueName="5" name="F5" queryTableFieldId="5" dataDxfId="1409" dataCellStyle="一般 2"/>
    <tableColumn id="6" uniqueName="6" name="F6" queryTableFieldId="6" dataDxfId="1408" dataCellStyle="一般 2"/>
    <tableColumn id="7" uniqueName="7" name="F7" queryTableFieldId="7" dataDxfId="1407" dataCellStyle="一般 2"/>
    <tableColumn id="8" uniqueName="8" name="F8" queryTableFieldId="8" dataDxfId="1406" dataCellStyle="一般 2"/>
    <tableColumn id="9" uniqueName="9" name="F9" queryTableFieldId="9" dataDxfId="1405" dataCellStyle="一般 2"/>
    <tableColumn id="10" uniqueName="10" name="F10" queryTableFieldId="10" dataDxfId="1404" dataCellStyle="一般 2"/>
    <tableColumn id="11" uniqueName="11" name="F11" queryTableFieldId="11" dataDxfId="1403" dataCellStyle="一般 2"/>
    <tableColumn id="12" uniqueName="12" name="F12" queryTableFieldId="12" dataDxfId="1402" dataCellStyle="一般 2"/>
    <tableColumn id="13" uniqueName="13" name="F13" queryTableFieldId="13" dataDxfId="1401" dataCellStyle="一般 2"/>
    <tableColumn id="14" uniqueName="14" name="F14" queryTableFieldId="14" dataDxfId="1400" dataCellStyle="一般 2"/>
    <tableColumn id="15" uniqueName="15" name="F15" queryTableFieldId="15" dataDxfId="1399" dataCellStyle="一般 2"/>
    <tableColumn id="16" uniqueName="16" name="F16" queryTableFieldId="16" dataDxfId="1398" dataCellStyle="一般 2"/>
    <tableColumn id="17" uniqueName="17" name="F17" queryTableFieldId="17" dataDxfId="1397" dataCellStyle="一般 2"/>
    <tableColumn id="18" uniqueName="18" name="F18" queryTableFieldId="18" dataDxfId="1396" dataCellStyle="一般 2"/>
    <tableColumn id="19" uniqueName="19" name="F19" queryTableFieldId="19" dataDxfId="1395" dataCellStyle="一般 2"/>
    <tableColumn id="20" uniqueName="20" name="F20" queryTableFieldId="20" dataDxfId="1394" dataCellStyle="一般 2"/>
    <tableColumn id="21" uniqueName="21" name="F21" queryTableFieldId="21" dataDxfId="1393" dataCellStyle="一般 2"/>
    <tableColumn id="22" uniqueName="22" name="2024/6/24 14:52" queryTableFieldId="22" dataDxfId="1392" dataCellStyle="一般 2"/>
    <tableColumn id="23" uniqueName="23" name="F23" queryTableFieldId="23" dataDxfId="1391" dataCellStyle="一般 2"/>
    <tableColumn id="24" uniqueName="24" name="F24" queryTableFieldId="24" dataDxfId="1390" dataCellStyle="一般 2"/>
    <tableColumn id="25" uniqueName="25" name="F25" queryTableFieldId="25" dataDxfId="1389" dataCellStyle="一般 2"/>
    <tableColumn id="26" uniqueName="26" name="F26" queryTableFieldId="26" dataDxfId="1388" dataCellStyle="一般 2"/>
    <tableColumn id="27" uniqueName="27" name="F27" queryTableFieldId="27" dataDxfId="1387" dataCellStyle="一般 2"/>
    <tableColumn id="28" uniqueName="28" name="F28" queryTableFieldId="28" dataDxfId="1386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289" dataDxfId="1288" headerRowCellStyle="一般 2" dataCellStyle="一般 2">
  <autoFilter ref="AG13:BH189"/>
  <tableColumns count="28">
    <tableColumn id="1" uniqueName="1" name="請直接以10進位，謝謝" queryTableFieldId="1" dataDxfId="1287" dataCellStyle="一般 2"/>
    <tableColumn id="2" uniqueName="2" name="F2" queryTableFieldId="2" dataDxfId="1286" dataCellStyle="一般 2"/>
    <tableColumn id="3" uniqueName="3" name="F3" queryTableFieldId="3" dataDxfId="1285" dataCellStyle="一般 2"/>
    <tableColumn id="4" uniqueName="4" name="F4" queryTableFieldId="4" dataDxfId="1284" dataCellStyle="一般 2"/>
    <tableColumn id="5" uniqueName="5" name="F5" queryTableFieldId="5" dataDxfId="1283" dataCellStyle="一般 2"/>
    <tableColumn id="6" uniqueName="6" name="F6" queryTableFieldId="6" dataDxfId="1282" dataCellStyle="一般 2"/>
    <tableColumn id="7" uniqueName="7" name="F7" queryTableFieldId="7" dataDxfId="1281" dataCellStyle="一般 2"/>
    <tableColumn id="8" uniqueName="8" name="F8" queryTableFieldId="8" dataDxfId="1280" dataCellStyle="一般 2"/>
    <tableColumn id="9" uniqueName="9" name="F9" queryTableFieldId="9" dataDxfId="1279" dataCellStyle="一般 2"/>
    <tableColumn id="10" uniqueName="10" name="F10" queryTableFieldId="10" dataDxfId="1278" dataCellStyle="一般 2"/>
    <tableColumn id="11" uniqueName="11" name="F11" queryTableFieldId="11" dataDxfId="1277" dataCellStyle="一般 2"/>
    <tableColumn id="12" uniqueName="12" name="F12" queryTableFieldId="12" dataDxfId="1276" dataCellStyle="一般 2"/>
    <tableColumn id="13" uniqueName="13" name="F13" queryTableFieldId="13" dataDxfId="1275" dataCellStyle="一般 2"/>
    <tableColumn id="14" uniqueName="14" name="F14" queryTableFieldId="14" dataDxfId="1274" dataCellStyle="一般 2"/>
    <tableColumn id="15" uniqueName="15" name="F15" queryTableFieldId="15" dataDxfId="1273" dataCellStyle="一般 2"/>
    <tableColumn id="16" uniqueName="16" name="F16" queryTableFieldId="16" dataDxfId="1272" dataCellStyle="一般 2"/>
    <tableColumn id="17" uniqueName="17" name="F17" queryTableFieldId="17" dataDxfId="1271" dataCellStyle="一般 2"/>
    <tableColumn id="18" uniqueName="18" name="F18" queryTableFieldId="18" dataDxfId="1270" dataCellStyle="一般 2"/>
    <tableColumn id="19" uniqueName="19" name="F19" queryTableFieldId="19" dataDxfId="1269" dataCellStyle="一般 2"/>
    <tableColumn id="20" uniqueName="20" name="F20" queryTableFieldId="20" dataDxfId="1268" dataCellStyle="一般 2"/>
    <tableColumn id="21" uniqueName="21" name="F21" queryTableFieldId="21" dataDxfId="1267" dataCellStyle="一般 2"/>
    <tableColumn id="22" uniqueName="22" name="2024/6/24 14:52" queryTableFieldId="22" dataDxfId="1266" dataCellStyle="一般 2"/>
    <tableColumn id="23" uniqueName="23" name="F23" queryTableFieldId="23" dataDxfId="1265" dataCellStyle="一般 2"/>
    <tableColumn id="24" uniqueName="24" name="F24" queryTableFieldId="24" dataDxfId="1264" dataCellStyle="一般 2"/>
    <tableColumn id="25" uniqueName="25" name="F25" queryTableFieldId="25" dataDxfId="1263" dataCellStyle="一般 2"/>
    <tableColumn id="26" uniqueName="26" name="F26" queryTableFieldId="26" dataDxfId="1262" dataCellStyle="一般 2"/>
    <tableColumn id="27" uniqueName="27" name="F27" queryTableFieldId="27" dataDxfId="1261" dataCellStyle="一般 2"/>
    <tableColumn id="28" uniqueName="28" name="F28" queryTableFieldId="28" dataDxfId="126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163" dataDxfId="1162" headerRowCellStyle="一般 2" dataCellStyle="一般 2">
  <autoFilter ref="AG13:BH189"/>
  <tableColumns count="28">
    <tableColumn id="1" uniqueName="1" name="請直接以10進位，謝謝" queryTableFieldId="1" dataDxfId="1161" dataCellStyle="一般 2"/>
    <tableColumn id="2" uniqueName="2" name="F2" queryTableFieldId="2" dataDxfId="1160" dataCellStyle="一般 2"/>
    <tableColumn id="3" uniqueName="3" name="F3" queryTableFieldId="3" dataDxfId="1159" dataCellStyle="一般 2"/>
    <tableColumn id="4" uniqueName="4" name="F4" queryTableFieldId="4" dataDxfId="1158" dataCellStyle="一般 2"/>
    <tableColumn id="5" uniqueName="5" name="F5" queryTableFieldId="5" dataDxfId="1157" dataCellStyle="一般 2"/>
    <tableColumn id="6" uniqueName="6" name="F6" queryTableFieldId="6" dataDxfId="1156" dataCellStyle="一般 2"/>
    <tableColumn id="7" uniqueName="7" name="F7" queryTableFieldId="7" dataDxfId="1155" dataCellStyle="一般 2"/>
    <tableColumn id="8" uniqueName="8" name="F8" queryTableFieldId="8" dataDxfId="1154" dataCellStyle="一般 2"/>
    <tableColumn id="9" uniqueName="9" name="F9" queryTableFieldId="9" dataDxfId="1153" dataCellStyle="一般 2"/>
    <tableColumn id="10" uniqueName="10" name="F10" queryTableFieldId="10" dataDxfId="1152" dataCellStyle="一般 2"/>
    <tableColumn id="11" uniqueName="11" name="F11" queryTableFieldId="11" dataDxfId="1151" dataCellStyle="一般 2"/>
    <tableColumn id="12" uniqueName="12" name="F12" queryTableFieldId="12" dataDxfId="1150" dataCellStyle="一般 2"/>
    <tableColumn id="13" uniqueName="13" name="F13" queryTableFieldId="13" dataDxfId="1149" dataCellStyle="一般 2"/>
    <tableColumn id="14" uniqueName="14" name="F14" queryTableFieldId="14" dataDxfId="1148" dataCellStyle="一般 2"/>
    <tableColumn id="15" uniqueName="15" name="F15" queryTableFieldId="15" dataDxfId="1147" dataCellStyle="一般 2"/>
    <tableColumn id="16" uniqueName="16" name="F16" queryTableFieldId="16" dataDxfId="1146" dataCellStyle="一般 2"/>
    <tableColumn id="17" uniqueName="17" name="F17" queryTableFieldId="17" dataDxfId="1145" dataCellStyle="一般 2"/>
    <tableColumn id="18" uniqueName="18" name="F18" queryTableFieldId="18" dataDxfId="1144" dataCellStyle="一般 2"/>
    <tableColumn id="19" uniqueName="19" name="F19" queryTableFieldId="19" dataDxfId="1143" dataCellStyle="一般 2"/>
    <tableColumn id="20" uniqueName="20" name="F20" queryTableFieldId="20" dataDxfId="1142" dataCellStyle="一般 2"/>
    <tableColumn id="21" uniqueName="21" name="F21" queryTableFieldId="21" dataDxfId="1141" dataCellStyle="一般 2"/>
    <tableColumn id="22" uniqueName="22" name="2024/6/24 14:52" queryTableFieldId="22" dataDxfId="1140" dataCellStyle="一般 2"/>
    <tableColumn id="23" uniqueName="23" name="F23" queryTableFieldId="23" dataDxfId="1139" dataCellStyle="一般 2"/>
    <tableColumn id="24" uniqueName="24" name="F24" queryTableFieldId="24" dataDxfId="1138" dataCellStyle="一般 2"/>
    <tableColumn id="25" uniqueName="25" name="F25" queryTableFieldId="25" dataDxfId="1137" dataCellStyle="一般 2"/>
    <tableColumn id="26" uniqueName="26" name="F26" queryTableFieldId="26" dataDxfId="1136" dataCellStyle="一般 2"/>
    <tableColumn id="27" uniqueName="27" name="F27" queryTableFieldId="27" dataDxfId="1135" dataCellStyle="一般 2"/>
    <tableColumn id="28" uniqueName="28" name="F28" queryTableFieldId="28" dataDxfId="1134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037" dataDxfId="1036" headerRowCellStyle="一般 2" dataCellStyle="一般 2">
  <autoFilter ref="AG13:BH189"/>
  <tableColumns count="28">
    <tableColumn id="1" uniqueName="1" name="請直接以10進位，謝謝" queryTableFieldId="1" dataDxfId="1035" dataCellStyle="一般 2"/>
    <tableColumn id="2" uniqueName="2" name="F2" queryTableFieldId="2" dataDxfId="1034" dataCellStyle="一般 2"/>
    <tableColumn id="3" uniqueName="3" name="F3" queryTableFieldId="3" dataDxfId="1033" dataCellStyle="一般 2"/>
    <tableColumn id="4" uniqueName="4" name="F4" queryTableFieldId="4" dataDxfId="1032" dataCellStyle="一般 2"/>
    <tableColumn id="5" uniqueName="5" name="F5" queryTableFieldId="5" dataDxfId="1031" dataCellStyle="一般 2"/>
    <tableColumn id="6" uniqueName="6" name="F6" queryTableFieldId="6" dataDxfId="1030" dataCellStyle="一般 2"/>
    <tableColumn id="7" uniqueName="7" name="F7" queryTableFieldId="7" dataDxfId="1029" dataCellStyle="一般 2"/>
    <tableColumn id="8" uniqueName="8" name="F8" queryTableFieldId="8" dataDxfId="1028" dataCellStyle="一般 2"/>
    <tableColumn id="9" uniqueName="9" name="F9" queryTableFieldId="9" dataDxfId="1027" dataCellStyle="一般 2"/>
    <tableColumn id="10" uniqueName="10" name="F10" queryTableFieldId="10" dataDxfId="1026" dataCellStyle="一般 2"/>
    <tableColumn id="11" uniqueName="11" name="F11" queryTableFieldId="11" dataDxfId="1025" dataCellStyle="一般 2"/>
    <tableColumn id="12" uniqueName="12" name="F12" queryTableFieldId="12" dataDxfId="1024" dataCellStyle="一般 2"/>
    <tableColumn id="13" uniqueName="13" name="F13" queryTableFieldId="13" dataDxfId="1023" dataCellStyle="一般 2"/>
    <tableColumn id="14" uniqueName="14" name="F14" queryTableFieldId="14" dataDxfId="1022" dataCellStyle="一般 2"/>
    <tableColumn id="15" uniqueName="15" name="F15" queryTableFieldId="15" dataDxfId="1021" dataCellStyle="一般 2"/>
    <tableColumn id="16" uniqueName="16" name="F16" queryTableFieldId="16" dataDxfId="1020" dataCellStyle="一般 2"/>
    <tableColumn id="17" uniqueName="17" name="F17" queryTableFieldId="17" dataDxfId="1019" dataCellStyle="一般 2"/>
    <tableColumn id="18" uniqueName="18" name="F18" queryTableFieldId="18" dataDxfId="1018" dataCellStyle="一般 2"/>
    <tableColumn id="19" uniqueName="19" name="F19" queryTableFieldId="19" dataDxfId="1017" dataCellStyle="一般 2"/>
    <tableColumn id="20" uniqueName="20" name="F20" queryTableFieldId="20" dataDxfId="1016" dataCellStyle="一般 2"/>
    <tableColumn id="21" uniqueName="21" name="F21" queryTableFieldId="21" dataDxfId="1015" dataCellStyle="一般 2"/>
    <tableColumn id="22" uniqueName="22" name="2024/6/24 14:52" queryTableFieldId="22" dataDxfId="1014" dataCellStyle="一般 2"/>
    <tableColumn id="23" uniqueName="23" name="F23" queryTableFieldId="23" dataDxfId="1013" dataCellStyle="一般 2"/>
    <tableColumn id="24" uniqueName="24" name="F24" queryTableFieldId="24" dataDxfId="1012" dataCellStyle="一般 2"/>
    <tableColumn id="25" uniqueName="25" name="F25" queryTableFieldId="25" dataDxfId="1011" dataCellStyle="一般 2"/>
    <tableColumn id="26" uniqueName="26" name="F26" queryTableFieldId="26" dataDxfId="1010" dataCellStyle="一般 2"/>
    <tableColumn id="27" uniqueName="27" name="F27" queryTableFieldId="27" dataDxfId="1009" dataCellStyle="一般 2"/>
    <tableColumn id="28" uniqueName="28" name="F28" queryTableFieldId="28" dataDxfId="1008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911" dataDxfId="910" headerRowCellStyle="一般 2" dataCellStyle="一般 2">
  <autoFilter ref="AG13:BH189"/>
  <tableColumns count="28">
    <tableColumn id="1" uniqueName="1" name="請直接以10進位，謝謝" queryTableFieldId="1" dataDxfId="909" dataCellStyle="一般 2"/>
    <tableColumn id="2" uniqueName="2" name="F2" queryTableFieldId="2" dataDxfId="908" dataCellStyle="一般 2"/>
    <tableColumn id="3" uniqueName="3" name="F3" queryTableFieldId="3" dataDxfId="907" dataCellStyle="一般 2"/>
    <tableColumn id="4" uniqueName="4" name="F4" queryTableFieldId="4" dataDxfId="906" dataCellStyle="一般 2"/>
    <tableColumn id="5" uniqueName="5" name="F5" queryTableFieldId="5" dataDxfId="905" dataCellStyle="一般 2"/>
    <tableColumn id="6" uniqueName="6" name="F6" queryTableFieldId="6" dataDxfId="904" dataCellStyle="一般 2"/>
    <tableColumn id="7" uniqueName="7" name="F7" queryTableFieldId="7" dataDxfId="903" dataCellStyle="一般 2"/>
    <tableColumn id="8" uniqueName="8" name="F8" queryTableFieldId="8" dataDxfId="902" dataCellStyle="一般 2"/>
    <tableColumn id="9" uniqueName="9" name="F9" queryTableFieldId="9" dataDxfId="901" dataCellStyle="一般 2"/>
    <tableColumn id="10" uniqueName="10" name="F10" queryTableFieldId="10" dataDxfId="900" dataCellStyle="一般 2"/>
    <tableColumn id="11" uniqueName="11" name="F11" queryTableFieldId="11" dataDxfId="899" dataCellStyle="一般 2"/>
    <tableColumn id="12" uniqueName="12" name="F12" queryTableFieldId="12" dataDxfId="898" dataCellStyle="一般 2"/>
    <tableColumn id="13" uniqueName="13" name="F13" queryTableFieldId="13" dataDxfId="897" dataCellStyle="一般 2"/>
    <tableColumn id="14" uniqueName="14" name="F14" queryTableFieldId="14" dataDxfId="896" dataCellStyle="一般 2"/>
    <tableColumn id="15" uniqueName="15" name="F15" queryTableFieldId="15" dataDxfId="895" dataCellStyle="一般 2"/>
    <tableColumn id="16" uniqueName="16" name="F16" queryTableFieldId="16" dataDxfId="894" dataCellStyle="一般 2"/>
    <tableColumn id="17" uniqueName="17" name="F17" queryTableFieldId="17" dataDxfId="893" dataCellStyle="一般 2"/>
    <tableColumn id="18" uniqueName="18" name="F18" queryTableFieldId="18" dataDxfId="892" dataCellStyle="一般 2"/>
    <tableColumn id="19" uniqueName="19" name="F19" queryTableFieldId="19" dataDxfId="891" dataCellStyle="一般 2"/>
    <tableColumn id="20" uniqueName="20" name="F20" queryTableFieldId="20" dataDxfId="890" dataCellStyle="一般 2"/>
    <tableColumn id="21" uniqueName="21" name="F21" queryTableFieldId="21" dataDxfId="889" dataCellStyle="一般 2"/>
    <tableColumn id="22" uniqueName="22" name="2024/6/24 14:52" queryTableFieldId="22" dataDxfId="888" dataCellStyle="一般 2"/>
    <tableColumn id="23" uniqueName="23" name="F23" queryTableFieldId="23" dataDxfId="887" dataCellStyle="一般 2"/>
    <tableColumn id="24" uniqueName="24" name="F24" queryTableFieldId="24" dataDxfId="886" dataCellStyle="一般 2"/>
    <tableColumn id="25" uniqueName="25" name="F25" queryTableFieldId="25" dataDxfId="885" dataCellStyle="一般 2"/>
    <tableColumn id="26" uniqueName="26" name="F26" queryTableFieldId="26" dataDxfId="884" dataCellStyle="一般 2"/>
    <tableColumn id="27" uniqueName="27" name="F27" queryTableFieldId="27" dataDxfId="883" dataCellStyle="一般 2"/>
    <tableColumn id="28" uniqueName="28" name="F28" queryTableFieldId="28" dataDxfId="882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785" dataDxfId="784" headerRowCellStyle="一般 2" dataCellStyle="一般 2">
  <autoFilter ref="AG13:BH189"/>
  <tableColumns count="28">
    <tableColumn id="1" uniqueName="1" name="請直接以10進位，謝謝" queryTableFieldId="1" dataDxfId="783" dataCellStyle="一般 2"/>
    <tableColumn id="2" uniqueName="2" name="F2" queryTableFieldId="2" dataDxfId="782" dataCellStyle="一般 2"/>
    <tableColumn id="3" uniqueName="3" name="F3" queryTableFieldId="3" dataDxfId="781" dataCellStyle="一般 2"/>
    <tableColumn id="4" uniqueName="4" name="F4" queryTableFieldId="4" dataDxfId="780" dataCellStyle="一般 2"/>
    <tableColumn id="5" uniqueName="5" name="F5" queryTableFieldId="5" dataDxfId="779" dataCellStyle="一般 2"/>
    <tableColumn id="6" uniqueName="6" name="F6" queryTableFieldId="6" dataDxfId="778" dataCellStyle="一般 2"/>
    <tableColumn id="7" uniqueName="7" name="F7" queryTableFieldId="7" dataDxfId="777" dataCellStyle="一般 2"/>
    <tableColumn id="8" uniqueName="8" name="F8" queryTableFieldId="8" dataDxfId="776" dataCellStyle="一般 2"/>
    <tableColumn id="9" uniqueName="9" name="F9" queryTableFieldId="9" dataDxfId="775" dataCellStyle="一般 2"/>
    <tableColumn id="10" uniqueName="10" name="F10" queryTableFieldId="10" dataDxfId="774" dataCellStyle="一般 2"/>
    <tableColumn id="11" uniqueName="11" name="F11" queryTableFieldId="11" dataDxfId="773" dataCellStyle="一般 2"/>
    <tableColumn id="12" uniqueName="12" name="F12" queryTableFieldId="12" dataDxfId="772" dataCellStyle="一般 2"/>
    <tableColumn id="13" uniqueName="13" name="F13" queryTableFieldId="13" dataDxfId="771" dataCellStyle="一般 2"/>
    <tableColumn id="14" uniqueName="14" name="F14" queryTableFieldId="14" dataDxfId="770" dataCellStyle="一般 2"/>
    <tableColumn id="15" uniqueName="15" name="F15" queryTableFieldId="15" dataDxfId="769" dataCellStyle="一般 2"/>
    <tableColumn id="16" uniqueName="16" name="F16" queryTableFieldId="16" dataDxfId="768" dataCellStyle="一般 2"/>
    <tableColumn id="17" uniqueName="17" name="F17" queryTableFieldId="17" dataDxfId="767" dataCellStyle="一般 2"/>
    <tableColumn id="18" uniqueName="18" name="F18" queryTableFieldId="18" dataDxfId="766" dataCellStyle="一般 2"/>
    <tableColumn id="19" uniqueName="19" name="F19" queryTableFieldId="19" dataDxfId="765" dataCellStyle="一般 2"/>
    <tableColumn id="20" uniqueName="20" name="F20" queryTableFieldId="20" dataDxfId="764" dataCellStyle="一般 2"/>
    <tableColumn id="21" uniqueName="21" name="F21" queryTableFieldId="21" dataDxfId="763" dataCellStyle="一般 2"/>
    <tableColumn id="22" uniqueName="22" name="2024/6/24 14:52" queryTableFieldId="22" dataDxfId="762" dataCellStyle="一般 2"/>
    <tableColumn id="23" uniqueName="23" name="F23" queryTableFieldId="23" dataDxfId="761" dataCellStyle="一般 2"/>
    <tableColumn id="24" uniqueName="24" name="F24" queryTableFieldId="24" dataDxfId="760" dataCellStyle="一般 2"/>
    <tableColumn id="25" uniqueName="25" name="F25" queryTableFieldId="25" dataDxfId="759" dataCellStyle="一般 2"/>
    <tableColumn id="26" uniqueName="26" name="F26" queryTableFieldId="26" dataDxfId="758" dataCellStyle="一般 2"/>
    <tableColumn id="27" uniqueName="27" name="F27" queryTableFieldId="27" dataDxfId="757" dataCellStyle="一般 2"/>
    <tableColumn id="28" uniqueName="28" name="F28" queryTableFieldId="28" dataDxfId="756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659" dataDxfId="658" headerRowCellStyle="一般 2" dataCellStyle="一般 2">
  <autoFilter ref="AG13:BH189"/>
  <tableColumns count="28">
    <tableColumn id="1" uniqueName="1" name="請直接以10進位，謝謝" queryTableFieldId="1" dataDxfId="657" dataCellStyle="一般 2"/>
    <tableColumn id="2" uniqueName="2" name="F2" queryTableFieldId="2" dataDxfId="656" dataCellStyle="一般 2"/>
    <tableColumn id="3" uniqueName="3" name="F3" queryTableFieldId="3" dataDxfId="655" dataCellStyle="一般 2"/>
    <tableColumn id="4" uniqueName="4" name="F4" queryTableFieldId="4" dataDxfId="654" dataCellStyle="一般 2"/>
    <tableColumn id="5" uniqueName="5" name="F5" queryTableFieldId="5" dataDxfId="653" dataCellStyle="一般 2"/>
    <tableColumn id="6" uniqueName="6" name="F6" queryTableFieldId="6" dataDxfId="652" dataCellStyle="一般 2"/>
    <tableColumn id="7" uniqueName="7" name="F7" queryTableFieldId="7" dataDxfId="651" dataCellStyle="一般 2"/>
    <tableColumn id="8" uniqueName="8" name="F8" queryTableFieldId="8" dataDxfId="650" dataCellStyle="一般 2"/>
    <tableColumn id="9" uniqueName="9" name="F9" queryTableFieldId="9" dataDxfId="649" dataCellStyle="一般 2"/>
    <tableColumn id="10" uniqueName="10" name="F10" queryTableFieldId="10" dataDxfId="648" dataCellStyle="一般 2"/>
    <tableColumn id="11" uniqueName="11" name="F11" queryTableFieldId="11" dataDxfId="647" dataCellStyle="一般 2"/>
    <tableColumn id="12" uniqueName="12" name="F12" queryTableFieldId="12" dataDxfId="646" dataCellStyle="一般 2"/>
    <tableColumn id="13" uniqueName="13" name="F13" queryTableFieldId="13" dataDxfId="645" dataCellStyle="一般 2"/>
    <tableColumn id="14" uniqueName="14" name="F14" queryTableFieldId="14" dataDxfId="644" dataCellStyle="一般 2"/>
    <tableColumn id="15" uniqueName="15" name="F15" queryTableFieldId="15" dataDxfId="643" dataCellStyle="一般 2"/>
    <tableColumn id="16" uniqueName="16" name="F16" queryTableFieldId="16" dataDxfId="642" dataCellStyle="一般 2"/>
    <tableColumn id="17" uniqueName="17" name="F17" queryTableFieldId="17" dataDxfId="641" dataCellStyle="一般 2"/>
    <tableColumn id="18" uniqueName="18" name="F18" queryTableFieldId="18" dataDxfId="640" dataCellStyle="一般 2"/>
    <tableColumn id="19" uniqueName="19" name="F19" queryTableFieldId="19" dataDxfId="639" dataCellStyle="一般 2"/>
    <tableColumn id="20" uniqueName="20" name="F20" queryTableFieldId="20" dataDxfId="638" dataCellStyle="一般 2"/>
    <tableColumn id="21" uniqueName="21" name="F21" queryTableFieldId="21" dataDxfId="637" dataCellStyle="一般 2"/>
    <tableColumn id="22" uniqueName="22" name="2024/6/24 14:52" queryTableFieldId="22" dataDxfId="636" dataCellStyle="一般 2"/>
    <tableColumn id="23" uniqueName="23" name="F23" queryTableFieldId="23" dataDxfId="635" dataCellStyle="一般 2"/>
    <tableColumn id="24" uniqueName="24" name="F24" queryTableFieldId="24" dataDxfId="634" dataCellStyle="一般 2"/>
    <tableColumn id="25" uniqueName="25" name="F25" queryTableFieldId="25" dataDxfId="633" dataCellStyle="一般 2"/>
    <tableColumn id="26" uniqueName="26" name="F26" queryTableFieldId="26" dataDxfId="632" dataCellStyle="一般 2"/>
    <tableColumn id="27" uniqueName="27" name="F27" queryTableFieldId="27" dataDxfId="631" dataCellStyle="一般 2"/>
    <tableColumn id="28" uniqueName="28" name="F28" queryTableFieldId="28" dataDxfId="63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533" dataDxfId="532" headerRowCellStyle="一般 2" dataCellStyle="一般 2">
  <autoFilter ref="AG13:BH189"/>
  <tableColumns count="28">
    <tableColumn id="1" uniqueName="1" name="請直接以10進位，謝謝" queryTableFieldId="1" dataDxfId="531" dataCellStyle="一般 2"/>
    <tableColumn id="2" uniqueName="2" name="F2" queryTableFieldId="2" dataDxfId="530" dataCellStyle="一般 2"/>
    <tableColumn id="3" uniqueName="3" name="F3" queryTableFieldId="3" dataDxfId="529" dataCellStyle="一般 2"/>
    <tableColumn id="4" uniqueName="4" name="F4" queryTableFieldId="4" dataDxfId="528" dataCellStyle="一般 2"/>
    <tableColumn id="5" uniqueName="5" name="F5" queryTableFieldId="5" dataDxfId="527" dataCellStyle="一般 2"/>
    <tableColumn id="6" uniqueName="6" name="F6" queryTableFieldId="6" dataDxfId="526" dataCellStyle="一般 2"/>
    <tableColumn id="7" uniqueName="7" name="F7" queryTableFieldId="7" dataDxfId="525" dataCellStyle="一般 2"/>
    <tableColumn id="8" uniqueName="8" name="F8" queryTableFieldId="8" dataDxfId="524" dataCellStyle="一般 2"/>
    <tableColumn id="9" uniqueName="9" name="F9" queryTableFieldId="9" dataDxfId="523" dataCellStyle="一般 2"/>
    <tableColumn id="10" uniqueName="10" name="F10" queryTableFieldId="10" dataDxfId="522" dataCellStyle="一般 2"/>
    <tableColumn id="11" uniqueName="11" name="F11" queryTableFieldId="11" dataDxfId="521" dataCellStyle="一般 2"/>
    <tableColumn id="12" uniqueName="12" name="F12" queryTableFieldId="12" dataDxfId="520" dataCellStyle="一般 2"/>
    <tableColumn id="13" uniqueName="13" name="F13" queryTableFieldId="13" dataDxfId="519" dataCellStyle="一般 2"/>
    <tableColumn id="14" uniqueName="14" name="F14" queryTableFieldId="14" dataDxfId="518" dataCellStyle="一般 2"/>
    <tableColumn id="15" uniqueName="15" name="F15" queryTableFieldId="15" dataDxfId="517" dataCellStyle="一般 2"/>
    <tableColumn id="16" uniqueName="16" name="F16" queryTableFieldId="16" dataDxfId="516" dataCellStyle="一般 2"/>
    <tableColumn id="17" uniqueName="17" name="F17" queryTableFieldId="17" dataDxfId="515" dataCellStyle="一般 2"/>
    <tableColumn id="18" uniqueName="18" name="F18" queryTableFieldId="18" dataDxfId="514" dataCellStyle="一般 2"/>
    <tableColumn id="19" uniqueName="19" name="F19" queryTableFieldId="19" dataDxfId="513" dataCellStyle="一般 2"/>
    <tableColumn id="20" uniqueName="20" name="F20" queryTableFieldId="20" dataDxfId="512" dataCellStyle="一般 2"/>
    <tableColumn id="21" uniqueName="21" name="F21" queryTableFieldId="21" dataDxfId="511" dataCellStyle="一般 2"/>
    <tableColumn id="22" uniqueName="22" name="2024/6/24 14:52" queryTableFieldId="22" dataDxfId="510" dataCellStyle="一般 2"/>
    <tableColumn id="23" uniqueName="23" name="F23" queryTableFieldId="23" dataDxfId="509" dataCellStyle="一般 2"/>
    <tableColumn id="24" uniqueName="24" name="F24" queryTableFieldId="24" dataDxfId="508" dataCellStyle="一般 2"/>
    <tableColumn id="25" uniqueName="25" name="F25" queryTableFieldId="25" dataDxfId="507" dataCellStyle="一般 2"/>
    <tableColumn id="26" uniqueName="26" name="F26" queryTableFieldId="26" dataDxfId="506" dataCellStyle="一般 2"/>
    <tableColumn id="27" uniqueName="27" name="F27" queryTableFieldId="27" dataDxfId="505" dataCellStyle="一般 2"/>
    <tableColumn id="28" uniqueName="28" name="F28" queryTableFieldId="28" dataDxfId="504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407" dataDxfId="406" headerRowCellStyle="一般 2" dataCellStyle="一般 2">
  <autoFilter ref="AG13:BH189"/>
  <tableColumns count="28">
    <tableColumn id="1" uniqueName="1" name="請直接以10進位，謝謝" queryTableFieldId="1" dataDxfId="405" dataCellStyle="一般 2"/>
    <tableColumn id="2" uniqueName="2" name="F2" queryTableFieldId="2" dataDxfId="404" dataCellStyle="一般 2"/>
    <tableColumn id="3" uniqueName="3" name="F3" queryTableFieldId="3" dataDxfId="403" dataCellStyle="一般 2"/>
    <tableColumn id="4" uniqueName="4" name="F4" queryTableFieldId="4" dataDxfId="402" dataCellStyle="一般 2"/>
    <tableColumn id="5" uniqueName="5" name="F5" queryTableFieldId="5" dataDxfId="401" dataCellStyle="一般 2"/>
    <tableColumn id="6" uniqueName="6" name="F6" queryTableFieldId="6" dataDxfId="400" dataCellStyle="一般 2"/>
    <tableColumn id="7" uniqueName="7" name="F7" queryTableFieldId="7" dataDxfId="399" dataCellStyle="一般 2"/>
    <tableColumn id="8" uniqueName="8" name="F8" queryTableFieldId="8" dataDxfId="398" dataCellStyle="一般 2"/>
    <tableColumn id="9" uniqueName="9" name="F9" queryTableFieldId="9" dataDxfId="397" dataCellStyle="一般 2"/>
    <tableColumn id="10" uniqueName="10" name="F10" queryTableFieldId="10" dataDxfId="396" dataCellStyle="一般 2"/>
    <tableColumn id="11" uniqueName="11" name="F11" queryTableFieldId="11" dataDxfId="395" dataCellStyle="一般 2"/>
    <tableColumn id="12" uniqueName="12" name="F12" queryTableFieldId="12" dataDxfId="394" dataCellStyle="一般 2"/>
    <tableColumn id="13" uniqueName="13" name="F13" queryTableFieldId="13" dataDxfId="393" dataCellStyle="一般 2"/>
    <tableColumn id="14" uniqueName="14" name="F14" queryTableFieldId="14" dataDxfId="392" dataCellStyle="一般 2"/>
    <tableColumn id="15" uniqueName="15" name="F15" queryTableFieldId="15" dataDxfId="391" dataCellStyle="一般 2"/>
    <tableColumn id="16" uniqueName="16" name="F16" queryTableFieldId="16" dataDxfId="390" dataCellStyle="一般 2"/>
    <tableColumn id="17" uniqueName="17" name="F17" queryTableFieldId="17" dataDxfId="389" dataCellStyle="一般 2"/>
    <tableColumn id="18" uniqueName="18" name="F18" queryTableFieldId="18" dataDxfId="388" dataCellStyle="一般 2"/>
    <tableColumn id="19" uniqueName="19" name="F19" queryTableFieldId="19" dataDxfId="387" dataCellStyle="一般 2"/>
    <tableColumn id="20" uniqueName="20" name="F20" queryTableFieldId="20" dataDxfId="386" dataCellStyle="一般 2"/>
    <tableColumn id="21" uniqueName="21" name="F21" queryTableFieldId="21" dataDxfId="385" dataCellStyle="一般 2"/>
    <tableColumn id="22" uniqueName="22" name="2024/6/24 14:52" queryTableFieldId="22" dataDxfId="384" dataCellStyle="一般 2"/>
    <tableColumn id="23" uniqueName="23" name="F23" queryTableFieldId="23" dataDxfId="383" dataCellStyle="一般 2"/>
    <tableColumn id="24" uniqueName="24" name="F24" queryTableFieldId="24" dataDxfId="382" dataCellStyle="一般 2"/>
    <tableColumn id="25" uniqueName="25" name="F25" queryTableFieldId="25" dataDxfId="381" dataCellStyle="一般 2"/>
    <tableColumn id="26" uniqueName="26" name="F26" queryTableFieldId="26" dataDxfId="380" dataCellStyle="一般 2"/>
    <tableColumn id="27" uniqueName="27" name="F27" queryTableFieldId="27" dataDxfId="379" dataCellStyle="一般 2"/>
    <tableColumn id="28" uniqueName="28" name="F28" queryTableFieldId="28" dataDxfId="378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281" dataDxfId="280" headerRowCellStyle="一般 2" dataCellStyle="一般 2">
  <autoFilter ref="AG13:BH189"/>
  <tableColumns count="28">
    <tableColumn id="1" uniqueName="1" name="請直接以10進位，謝謝" queryTableFieldId="1" dataDxfId="279" dataCellStyle="一般 2"/>
    <tableColumn id="2" uniqueName="2" name="F2" queryTableFieldId="2" dataDxfId="278" dataCellStyle="一般 2"/>
    <tableColumn id="3" uniqueName="3" name="F3" queryTableFieldId="3" dataDxfId="277" dataCellStyle="一般 2"/>
    <tableColumn id="4" uniqueName="4" name="F4" queryTableFieldId="4" dataDxfId="276" dataCellStyle="一般 2"/>
    <tableColumn id="5" uniqueName="5" name="F5" queryTableFieldId="5" dataDxfId="275" dataCellStyle="一般 2"/>
    <tableColumn id="6" uniqueName="6" name="F6" queryTableFieldId="6" dataDxfId="274" dataCellStyle="一般 2"/>
    <tableColumn id="7" uniqueName="7" name="F7" queryTableFieldId="7" dataDxfId="273" dataCellStyle="一般 2"/>
    <tableColumn id="8" uniqueName="8" name="F8" queryTableFieldId="8" dataDxfId="272" dataCellStyle="一般 2"/>
    <tableColumn id="9" uniqueName="9" name="F9" queryTableFieldId="9" dataDxfId="271" dataCellStyle="一般 2"/>
    <tableColumn id="10" uniqueName="10" name="F10" queryTableFieldId="10" dataDxfId="270" dataCellStyle="一般 2"/>
    <tableColumn id="11" uniqueName="11" name="F11" queryTableFieldId="11" dataDxfId="269" dataCellStyle="一般 2"/>
    <tableColumn id="12" uniqueName="12" name="F12" queryTableFieldId="12" dataDxfId="268" dataCellStyle="一般 2"/>
    <tableColumn id="13" uniqueName="13" name="F13" queryTableFieldId="13" dataDxfId="267" dataCellStyle="一般 2"/>
    <tableColumn id="14" uniqueName="14" name="F14" queryTableFieldId="14" dataDxfId="266" dataCellStyle="一般 2"/>
    <tableColumn id="15" uniqueName="15" name="F15" queryTableFieldId="15" dataDxfId="265" dataCellStyle="一般 2"/>
    <tableColumn id="16" uniqueName="16" name="F16" queryTableFieldId="16" dataDxfId="264" dataCellStyle="一般 2"/>
    <tableColumn id="17" uniqueName="17" name="F17" queryTableFieldId="17" dataDxfId="263" dataCellStyle="一般 2"/>
    <tableColumn id="18" uniqueName="18" name="F18" queryTableFieldId="18" dataDxfId="262" dataCellStyle="一般 2"/>
    <tableColumn id="19" uniqueName="19" name="F19" queryTableFieldId="19" dataDxfId="261" dataCellStyle="一般 2"/>
    <tableColumn id="20" uniqueName="20" name="F20" queryTableFieldId="20" dataDxfId="260" dataCellStyle="一般 2"/>
    <tableColumn id="21" uniqueName="21" name="F21" queryTableFieldId="21" dataDxfId="259" dataCellStyle="一般 2"/>
    <tableColumn id="22" uniqueName="22" name="2024/6/24 14:52" queryTableFieldId="22" dataDxfId="258" dataCellStyle="一般 2"/>
    <tableColumn id="23" uniqueName="23" name="F23" queryTableFieldId="23" dataDxfId="257" dataCellStyle="一般 2"/>
    <tableColumn id="24" uniqueName="24" name="F24" queryTableFieldId="24" dataDxfId="256" dataCellStyle="一般 2"/>
    <tableColumn id="25" uniqueName="25" name="F25" queryTableFieldId="25" dataDxfId="255" dataCellStyle="一般 2"/>
    <tableColumn id="26" uniqueName="26" name="F26" queryTableFieldId="26" dataDxfId="254" dataCellStyle="一般 2"/>
    <tableColumn id="27" uniqueName="27" name="F27" queryTableFieldId="27" dataDxfId="253" dataCellStyle="一般 2"/>
    <tableColumn id="28" uniqueName="28" name="F28" queryTableFieldId="28" dataDxfId="252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155" dataDxfId="154" headerRowCellStyle="一般 2" dataCellStyle="一般 2">
  <autoFilter ref="AG13:BH189"/>
  <tableColumns count="28">
    <tableColumn id="1" uniqueName="1" name="請直接以10進位，謝謝" queryTableFieldId="1" dataDxfId="153" dataCellStyle="一般 2"/>
    <tableColumn id="2" uniqueName="2" name="F2" queryTableFieldId="2" dataDxfId="152" dataCellStyle="一般 2"/>
    <tableColumn id="3" uniqueName="3" name="F3" queryTableFieldId="3" dataDxfId="151" dataCellStyle="一般 2"/>
    <tableColumn id="4" uniqueName="4" name="F4" queryTableFieldId="4" dataDxfId="150" dataCellStyle="一般 2"/>
    <tableColumn id="5" uniqueName="5" name="F5" queryTableFieldId="5" dataDxfId="149" dataCellStyle="一般 2"/>
    <tableColumn id="6" uniqueName="6" name="F6" queryTableFieldId="6" dataDxfId="148" dataCellStyle="一般 2"/>
    <tableColumn id="7" uniqueName="7" name="F7" queryTableFieldId="7" dataDxfId="147" dataCellStyle="一般 2"/>
    <tableColumn id="8" uniqueName="8" name="F8" queryTableFieldId="8" dataDxfId="146" dataCellStyle="一般 2"/>
    <tableColumn id="9" uniqueName="9" name="F9" queryTableFieldId="9" dataDxfId="145" dataCellStyle="一般 2"/>
    <tableColumn id="10" uniqueName="10" name="F10" queryTableFieldId="10" dataDxfId="144" dataCellStyle="一般 2"/>
    <tableColumn id="11" uniqueName="11" name="F11" queryTableFieldId="11" dataDxfId="143" dataCellStyle="一般 2"/>
    <tableColumn id="12" uniqueName="12" name="F12" queryTableFieldId="12" dataDxfId="142" dataCellStyle="一般 2"/>
    <tableColumn id="13" uniqueName="13" name="F13" queryTableFieldId="13" dataDxfId="141" dataCellStyle="一般 2"/>
    <tableColumn id="14" uniqueName="14" name="F14" queryTableFieldId="14" dataDxfId="140" dataCellStyle="一般 2"/>
    <tableColumn id="15" uniqueName="15" name="F15" queryTableFieldId="15" dataDxfId="139" dataCellStyle="一般 2"/>
    <tableColumn id="16" uniqueName="16" name="F16" queryTableFieldId="16" dataDxfId="138" dataCellStyle="一般 2"/>
    <tableColumn id="17" uniqueName="17" name="F17" queryTableFieldId="17" dataDxfId="137" dataCellStyle="一般 2"/>
    <tableColumn id="18" uniqueName="18" name="F18" queryTableFieldId="18" dataDxfId="136" dataCellStyle="一般 2"/>
    <tableColumn id="19" uniqueName="19" name="F19" queryTableFieldId="19" dataDxfId="135" dataCellStyle="一般 2"/>
    <tableColumn id="20" uniqueName="20" name="F20" queryTableFieldId="20" dataDxfId="134" dataCellStyle="一般 2"/>
    <tableColumn id="21" uniqueName="21" name="F21" queryTableFieldId="21" dataDxfId="133" dataCellStyle="一般 2"/>
    <tableColumn id="22" uniqueName="22" name="2024/6/24 14:52" queryTableFieldId="22" dataDxfId="132" dataCellStyle="一般 2"/>
    <tableColumn id="23" uniqueName="23" name="F23" queryTableFieldId="23" dataDxfId="131" dataCellStyle="一般 2"/>
    <tableColumn id="24" uniqueName="24" name="F24" queryTableFieldId="24" dataDxfId="130" dataCellStyle="一般 2"/>
    <tableColumn id="25" uniqueName="25" name="F25" queryTableFieldId="25" dataDxfId="129" dataCellStyle="一般 2"/>
    <tableColumn id="26" uniqueName="26" name="F26" queryTableFieldId="26" dataDxfId="128" dataCellStyle="一般 2"/>
    <tableColumn id="27" uniqueName="27" name="F27" queryTableFieldId="27" dataDxfId="127" dataCellStyle="一般 2"/>
    <tableColumn id="28" uniqueName="28" name="F28" queryTableFieldId="28" dataDxfId="126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5" zoomScale="80" zoomScaleNormal="100" zoomScaleSheetLayoutView="80" workbookViewId="0">
      <selection activeCell="L44" sqref="L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75" t="s">
        <v>173</v>
      </c>
      <c r="B1" s="175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174</v>
      </c>
      <c r="Q1" s="55"/>
      <c r="R1" s="55"/>
      <c r="S1" s="55"/>
    </row>
    <row r="2" spans="1:24" s="59" customFormat="1" ht="25.65" customHeight="1" thickTop="1" thickBot="1">
      <c r="A2" s="114" t="s">
        <v>109</v>
      </c>
      <c r="B2" s="115" t="s">
        <v>32</v>
      </c>
      <c r="C2" s="116" t="s">
        <v>33</v>
      </c>
      <c r="D2" s="114" t="s">
        <v>31</v>
      </c>
      <c r="E2" s="115" t="s">
        <v>32</v>
      </c>
      <c r="F2" s="116" t="s">
        <v>188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189</v>
      </c>
      <c r="L2" s="117">
        <v>20</v>
      </c>
      <c r="M2" s="118" t="s">
        <v>175</v>
      </c>
      <c r="N2" s="56"/>
      <c r="O2" s="56"/>
      <c r="P2" s="57" t="s">
        <v>140</v>
      </c>
      <c r="Q2" s="58" t="s">
        <v>141</v>
      </c>
      <c r="S2" s="60" t="s">
        <v>142</v>
      </c>
      <c r="U2" s="137" t="s">
        <v>143</v>
      </c>
      <c r="V2" s="136">
        <v>0.01</v>
      </c>
      <c r="W2" s="137" t="s">
        <v>155</v>
      </c>
      <c r="X2" s="61" t="s">
        <v>146</v>
      </c>
    </row>
    <row r="3" spans="1:24" s="53" customFormat="1" ht="22.2" customHeight="1" thickTop="1">
      <c r="A3" s="119">
        <v>601</v>
      </c>
      <c r="B3" s="120">
        <v>4177</v>
      </c>
      <c r="C3" s="121">
        <v>24</v>
      </c>
      <c r="D3" s="122" t="s">
        <v>76</v>
      </c>
      <c r="E3" s="120">
        <v>0</v>
      </c>
      <c r="F3" s="121">
        <v>14</v>
      </c>
      <c r="G3" s="119">
        <v>661</v>
      </c>
      <c r="H3" s="120">
        <v>6930</v>
      </c>
      <c r="I3" s="123">
        <v>25</v>
      </c>
      <c r="J3" s="119">
        <v>681</v>
      </c>
      <c r="K3" s="120">
        <v>1971</v>
      </c>
      <c r="L3" s="124">
        <v>22</v>
      </c>
      <c r="M3" s="176" t="s">
        <v>572</v>
      </c>
      <c r="N3" s="137" t="s">
        <v>143</v>
      </c>
      <c r="O3" s="137" t="s">
        <v>144</v>
      </c>
      <c r="P3" s="137" t="s">
        <v>145</v>
      </c>
      <c r="Q3" s="61" t="s">
        <v>146</v>
      </c>
      <c r="S3" s="53">
        <v>5900</v>
      </c>
      <c r="U3" s="137" t="s">
        <v>147</v>
      </c>
      <c r="V3" s="136">
        <v>0.01</v>
      </c>
      <c r="W3" s="137" t="s">
        <v>156</v>
      </c>
      <c r="X3" s="61" t="s">
        <v>149</v>
      </c>
    </row>
    <row r="4" spans="1:24" s="53" customFormat="1" ht="22.2" customHeight="1">
      <c r="A4" s="119">
        <v>602</v>
      </c>
      <c r="B4" s="120">
        <v>4260</v>
      </c>
      <c r="C4" s="121">
        <v>22</v>
      </c>
      <c r="D4" s="122" t="s">
        <v>77</v>
      </c>
      <c r="E4" s="120">
        <v>0</v>
      </c>
      <c r="F4" s="121">
        <v>23</v>
      </c>
      <c r="G4" s="119">
        <v>662</v>
      </c>
      <c r="H4" s="120">
        <v>32</v>
      </c>
      <c r="I4" s="123">
        <v>22</v>
      </c>
      <c r="J4" s="119">
        <v>682</v>
      </c>
      <c r="K4" s="120">
        <v>2019</v>
      </c>
      <c r="L4" s="133">
        <v>22</v>
      </c>
      <c r="M4" s="177"/>
      <c r="N4" s="137" t="s">
        <v>147</v>
      </c>
      <c r="O4" s="137" t="s">
        <v>144</v>
      </c>
      <c r="P4" s="137" t="s">
        <v>148</v>
      </c>
      <c r="Q4" s="61" t="s">
        <v>149</v>
      </c>
      <c r="S4" s="53">
        <v>5600</v>
      </c>
      <c r="U4" s="62">
        <v>680690</v>
      </c>
      <c r="V4" s="136">
        <v>0.01</v>
      </c>
      <c r="W4" s="137" t="s">
        <v>157</v>
      </c>
      <c r="X4" s="61" t="s">
        <v>149</v>
      </c>
    </row>
    <row r="5" spans="1:24" s="53" customFormat="1" ht="22.2" customHeight="1">
      <c r="A5" s="119">
        <v>603</v>
      </c>
      <c r="B5" s="120">
        <v>4632</v>
      </c>
      <c r="C5" s="121">
        <v>24</v>
      </c>
      <c r="D5" s="122">
        <v>631</v>
      </c>
      <c r="E5" s="120">
        <v>634</v>
      </c>
      <c r="F5" s="121">
        <v>24</v>
      </c>
      <c r="G5" s="119">
        <v>663</v>
      </c>
      <c r="H5" s="120">
        <v>3506</v>
      </c>
      <c r="I5" s="123">
        <v>25</v>
      </c>
      <c r="J5" s="119">
        <v>683</v>
      </c>
      <c r="K5" s="120">
        <v>3791</v>
      </c>
      <c r="L5" s="133">
        <v>23</v>
      </c>
      <c r="M5" s="177"/>
      <c r="N5" s="62">
        <v>680690</v>
      </c>
      <c r="O5" s="137" t="s">
        <v>144</v>
      </c>
      <c r="P5" s="137" t="s">
        <v>150</v>
      </c>
      <c r="Q5" s="61" t="s">
        <v>149</v>
      </c>
      <c r="S5" s="53">
        <v>4100</v>
      </c>
      <c r="U5" s="137" t="s">
        <v>151</v>
      </c>
      <c r="V5" s="136">
        <v>0.01</v>
      </c>
      <c r="W5" s="137" t="s">
        <v>158</v>
      </c>
      <c r="X5" s="61" t="s">
        <v>149</v>
      </c>
    </row>
    <row r="6" spans="1:24" s="53" customFormat="1" ht="22.2" customHeight="1">
      <c r="A6" s="119" t="s">
        <v>78</v>
      </c>
      <c r="B6" s="125">
        <v>2158</v>
      </c>
      <c r="C6" s="126">
        <v>23</v>
      </c>
      <c r="D6" s="127">
        <v>632</v>
      </c>
      <c r="E6" s="125">
        <v>2166</v>
      </c>
      <c r="F6" s="126">
        <v>24</v>
      </c>
      <c r="G6" s="127">
        <v>664</v>
      </c>
      <c r="H6" s="125">
        <v>6854</v>
      </c>
      <c r="I6" s="124">
        <v>25</v>
      </c>
      <c r="J6" s="127">
        <v>684</v>
      </c>
      <c r="K6" s="125">
        <v>4687</v>
      </c>
      <c r="L6" s="133">
        <v>22</v>
      </c>
      <c r="M6" s="177"/>
      <c r="N6" s="137" t="s">
        <v>151</v>
      </c>
      <c r="O6" s="137" t="s">
        <v>144</v>
      </c>
      <c r="P6" s="137" t="s">
        <v>152</v>
      </c>
      <c r="Q6" s="61" t="s">
        <v>149</v>
      </c>
      <c r="S6" s="53">
        <v>7000</v>
      </c>
      <c r="U6" s="137" t="s">
        <v>153</v>
      </c>
      <c r="V6" s="136">
        <v>0.01</v>
      </c>
      <c r="W6" s="137" t="s">
        <v>159</v>
      </c>
      <c r="X6" s="61" t="s">
        <v>149</v>
      </c>
    </row>
    <row r="7" spans="1:24" s="53" customFormat="1" ht="22.2" customHeight="1">
      <c r="A7" s="119" t="s">
        <v>79</v>
      </c>
      <c r="B7" s="125">
        <v>8077</v>
      </c>
      <c r="C7" s="126">
        <v>19</v>
      </c>
      <c r="D7" s="127">
        <v>633</v>
      </c>
      <c r="E7" s="125">
        <v>3519</v>
      </c>
      <c r="F7" s="126">
        <v>14</v>
      </c>
      <c r="G7" s="127">
        <v>665</v>
      </c>
      <c r="H7" s="125">
        <v>2101</v>
      </c>
      <c r="I7" s="124">
        <v>23</v>
      </c>
      <c r="J7" s="127">
        <v>685</v>
      </c>
      <c r="K7" s="125">
        <v>28</v>
      </c>
      <c r="L7" s="133">
        <v>24</v>
      </c>
      <c r="M7" s="177"/>
      <c r="N7" s="137" t="s">
        <v>153</v>
      </c>
      <c r="O7" s="137" t="s">
        <v>144</v>
      </c>
      <c r="P7" s="137" t="s">
        <v>154</v>
      </c>
      <c r="Q7" s="61" t="s">
        <v>149</v>
      </c>
      <c r="S7" s="53">
        <v>11590</v>
      </c>
      <c r="X7" s="55"/>
    </row>
    <row r="8" spans="1:24" s="53" customFormat="1" ht="22.2" customHeight="1">
      <c r="A8" s="119">
        <v>611</v>
      </c>
      <c r="B8" s="125">
        <v>5.1100000000000003</v>
      </c>
      <c r="C8" s="134">
        <v>25</v>
      </c>
      <c r="D8" s="127">
        <v>634</v>
      </c>
      <c r="E8" s="125">
        <v>5875</v>
      </c>
      <c r="F8" s="126">
        <v>21</v>
      </c>
      <c r="G8" s="127">
        <v>666</v>
      </c>
      <c r="H8" s="125">
        <v>4845</v>
      </c>
      <c r="I8" s="124">
        <v>24</v>
      </c>
      <c r="J8" s="127">
        <v>686</v>
      </c>
      <c r="K8" s="125">
        <v>0</v>
      </c>
      <c r="L8" s="133">
        <v>24</v>
      </c>
      <c r="M8" s="177"/>
      <c r="N8" s="137" t="s">
        <v>164</v>
      </c>
      <c r="O8" s="137" t="s">
        <v>144</v>
      </c>
      <c r="P8" s="137" t="s">
        <v>165</v>
      </c>
      <c r="Q8" s="61" t="s">
        <v>149</v>
      </c>
      <c r="S8" s="53">
        <v>9200</v>
      </c>
    </row>
    <row r="9" spans="1:24" s="53" customFormat="1" ht="22.2" customHeight="1">
      <c r="A9" s="119">
        <v>612</v>
      </c>
      <c r="B9" s="125">
        <v>7.86</v>
      </c>
      <c r="C9" s="134">
        <v>25</v>
      </c>
      <c r="D9" s="127">
        <v>641</v>
      </c>
      <c r="E9" s="125">
        <v>3824</v>
      </c>
      <c r="F9" s="126">
        <v>27</v>
      </c>
      <c r="G9" s="127">
        <v>667</v>
      </c>
      <c r="H9" s="125">
        <v>5446</v>
      </c>
      <c r="I9" s="124">
        <v>27</v>
      </c>
      <c r="J9" s="127">
        <v>687</v>
      </c>
      <c r="K9" s="125">
        <v>4085</v>
      </c>
      <c r="L9" s="133">
        <v>23</v>
      </c>
      <c r="M9" s="177"/>
      <c r="N9" s="137" t="s">
        <v>166</v>
      </c>
      <c r="O9" s="137" t="s">
        <v>144</v>
      </c>
      <c r="P9" s="137" t="s">
        <v>167</v>
      </c>
      <c r="Q9" s="61" t="s">
        <v>149</v>
      </c>
      <c r="S9" s="53">
        <v>6800</v>
      </c>
    </row>
    <row r="10" spans="1:24" s="53" customFormat="1" ht="22.2" customHeight="1">
      <c r="A10" s="119">
        <v>613</v>
      </c>
      <c r="B10" s="125">
        <v>7.42</v>
      </c>
      <c r="C10" s="134">
        <v>25</v>
      </c>
      <c r="D10" s="127">
        <v>642</v>
      </c>
      <c r="E10" s="125">
        <v>4361</v>
      </c>
      <c r="F10" s="126">
        <v>28</v>
      </c>
      <c r="G10" s="127">
        <v>668</v>
      </c>
      <c r="H10" s="125">
        <v>3762</v>
      </c>
      <c r="I10" s="124">
        <v>24</v>
      </c>
      <c r="J10" s="127">
        <v>688</v>
      </c>
      <c r="K10" s="125">
        <v>5373</v>
      </c>
      <c r="L10" s="133">
        <v>22</v>
      </c>
      <c r="M10" s="177"/>
      <c r="N10" s="137" t="s">
        <v>168</v>
      </c>
      <c r="O10" s="136" t="s">
        <v>144</v>
      </c>
      <c r="P10" s="137" t="s">
        <v>169</v>
      </c>
      <c r="Q10" s="61" t="s">
        <v>149</v>
      </c>
      <c r="S10" s="53">
        <v>5500</v>
      </c>
    </row>
    <row r="11" spans="1:24" s="53" customFormat="1" ht="22.2" customHeight="1">
      <c r="A11" s="119">
        <v>614</v>
      </c>
      <c r="B11" s="125">
        <v>35.1</v>
      </c>
      <c r="C11" s="134">
        <v>25</v>
      </c>
      <c r="D11" s="127">
        <v>643</v>
      </c>
      <c r="E11" s="125">
        <v>882</v>
      </c>
      <c r="F11" s="126">
        <v>24</v>
      </c>
      <c r="G11" s="127">
        <v>669</v>
      </c>
      <c r="H11" s="125">
        <v>151</v>
      </c>
      <c r="I11" s="124">
        <v>22</v>
      </c>
      <c r="J11" s="127">
        <v>689</v>
      </c>
      <c r="K11" s="125">
        <v>5</v>
      </c>
      <c r="L11" s="133">
        <v>24</v>
      </c>
      <c r="M11" s="177"/>
      <c r="N11" s="137" t="s">
        <v>170</v>
      </c>
      <c r="O11" s="136" t="s">
        <v>144</v>
      </c>
      <c r="P11" s="137">
        <v>9.0746000000000002</v>
      </c>
      <c r="Q11" s="61" t="s">
        <v>149</v>
      </c>
      <c r="S11" s="53">
        <v>7100</v>
      </c>
    </row>
    <row r="12" spans="1:24" s="53" customFormat="1" ht="22.2" customHeight="1">
      <c r="A12" s="119">
        <v>621</v>
      </c>
      <c r="B12" s="125">
        <v>1382</v>
      </c>
      <c r="C12" s="126">
        <v>26</v>
      </c>
      <c r="D12" s="127">
        <v>645</v>
      </c>
      <c r="E12" s="125">
        <v>5257</v>
      </c>
      <c r="F12" s="126">
        <v>24</v>
      </c>
      <c r="G12" s="127">
        <v>670</v>
      </c>
      <c r="H12" s="125">
        <v>-9906</v>
      </c>
      <c r="I12" s="124">
        <v>22</v>
      </c>
      <c r="J12" s="127">
        <v>690</v>
      </c>
      <c r="K12" s="125">
        <v>838</v>
      </c>
      <c r="L12" s="124">
        <v>22</v>
      </c>
      <c r="M12" s="177"/>
      <c r="N12" s="62" t="s">
        <v>171</v>
      </c>
      <c r="O12" s="136" t="s">
        <v>144</v>
      </c>
      <c r="P12" s="137">
        <v>9.0746000000000002</v>
      </c>
      <c r="Q12" s="61" t="s">
        <v>149</v>
      </c>
      <c r="S12" s="53">
        <v>5500</v>
      </c>
    </row>
    <row r="13" spans="1:24" s="53" customFormat="1" ht="22.2" customHeight="1">
      <c r="A13" s="119">
        <v>622</v>
      </c>
      <c r="B13" s="125">
        <v>6733</v>
      </c>
      <c r="C13" s="126">
        <v>24</v>
      </c>
      <c r="D13" s="127">
        <v>651</v>
      </c>
      <c r="E13" s="125">
        <v>2903</v>
      </c>
      <c r="F13" s="126">
        <v>28</v>
      </c>
      <c r="G13" s="127">
        <v>671</v>
      </c>
      <c r="H13" s="125">
        <v>0</v>
      </c>
      <c r="I13" s="124">
        <v>22</v>
      </c>
      <c r="J13" s="127">
        <v>691</v>
      </c>
      <c r="K13" s="125">
        <v>1297</v>
      </c>
      <c r="L13" s="133">
        <v>24</v>
      </c>
      <c r="M13" s="177"/>
      <c r="N13" s="179" t="s">
        <v>172</v>
      </c>
      <c r="O13" s="180" t="s">
        <v>144</v>
      </c>
      <c r="P13" s="181">
        <v>7.0686</v>
      </c>
      <c r="Q13" s="182" t="s">
        <v>149</v>
      </c>
      <c r="S13" s="174">
        <v>7000</v>
      </c>
    </row>
    <row r="14" spans="1:24" s="53" customFormat="1" ht="22.2" customHeight="1">
      <c r="A14" s="119">
        <v>623</v>
      </c>
      <c r="B14" s="125">
        <v>2498</v>
      </c>
      <c r="C14" s="126">
        <v>28</v>
      </c>
      <c r="D14" s="127">
        <v>652</v>
      </c>
      <c r="E14" s="125">
        <v>3722</v>
      </c>
      <c r="F14" s="126">
        <v>24</v>
      </c>
      <c r="G14" s="127">
        <v>672</v>
      </c>
      <c r="H14" s="125">
        <v>4226</v>
      </c>
      <c r="I14" s="124">
        <v>22</v>
      </c>
      <c r="J14" s="127">
        <v>692</v>
      </c>
      <c r="K14" s="125">
        <v>4071</v>
      </c>
      <c r="L14" s="133">
        <v>23</v>
      </c>
      <c r="M14" s="177"/>
      <c r="N14" s="179"/>
      <c r="O14" s="180"/>
      <c r="P14" s="181"/>
      <c r="Q14" s="182"/>
      <c r="S14" s="174"/>
    </row>
    <row r="15" spans="1:24" s="53" customFormat="1" ht="22.2" customHeight="1">
      <c r="A15" s="122">
        <v>624</v>
      </c>
      <c r="B15" s="125">
        <v>822</v>
      </c>
      <c r="C15" s="126">
        <v>20</v>
      </c>
      <c r="D15" s="128">
        <v>653</v>
      </c>
      <c r="E15" s="125">
        <v>4520</v>
      </c>
      <c r="F15" s="126">
        <v>22</v>
      </c>
      <c r="G15" s="127">
        <v>673</v>
      </c>
      <c r="H15" s="125">
        <v>6907</v>
      </c>
      <c r="I15" s="124">
        <v>23</v>
      </c>
      <c r="J15" s="127">
        <v>693</v>
      </c>
      <c r="K15" s="125">
        <v>2983</v>
      </c>
      <c r="L15" s="133">
        <v>24</v>
      </c>
      <c r="M15" s="177"/>
      <c r="N15" s="179"/>
      <c r="O15" s="180"/>
      <c r="P15" s="181"/>
      <c r="Q15" s="182"/>
      <c r="R15" s="55"/>
      <c r="S15" s="174"/>
    </row>
    <row r="16" spans="1:24" s="53" customFormat="1" ht="22.2" customHeight="1">
      <c r="A16" s="122" t="s">
        <v>80</v>
      </c>
      <c r="B16" s="125">
        <v>0</v>
      </c>
      <c r="C16" s="126">
        <v>21</v>
      </c>
      <c r="D16" s="127">
        <v>654</v>
      </c>
      <c r="E16" s="125">
        <v>3179</v>
      </c>
      <c r="F16" s="126">
        <v>24</v>
      </c>
      <c r="G16" s="127">
        <v>674</v>
      </c>
      <c r="H16" s="125">
        <v>986</v>
      </c>
      <c r="I16" s="124">
        <v>20</v>
      </c>
      <c r="J16" s="127">
        <v>694</v>
      </c>
      <c r="K16" s="125">
        <v>1757</v>
      </c>
      <c r="L16" s="133">
        <v>24</v>
      </c>
      <c r="M16" s="177"/>
      <c r="Q16" s="55"/>
      <c r="R16" s="55"/>
      <c r="S16" s="55"/>
    </row>
    <row r="17" spans="1:19" s="53" customFormat="1" ht="22.2" customHeight="1">
      <c r="A17" s="122" t="s">
        <v>26</v>
      </c>
      <c r="B17" s="125">
        <v>0</v>
      </c>
      <c r="C17" s="126">
        <v>29</v>
      </c>
      <c r="D17" s="128">
        <v>655</v>
      </c>
      <c r="E17" s="125">
        <v>129</v>
      </c>
      <c r="F17" s="126">
        <v>24</v>
      </c>
      <c r="G17" s="127">
        <v>675</v>
      </c>
      <c r="H17" s="125">
        <v>82.33</v>
      </c>
      <c r="I17" s="133">
        <v>25</v>
      </c>
      <c r="J17" s="127">
        <v>695</v>
      </c>
      <c r="K17" s="125">
        <v>5188</v>
      </c>
      <c r="L17" s="133">
        <v>24</v>
      </c>
      <c r="M17" s="177"/>
      <c r="Q17" s="55"/>
      <c r="R17" s="55"/>
      <c r="S17" s="55"/>
    </row>
    <row r="18" spans="1:19" s="53" customFormat="1" ht="22.2" customHeight="1">
      <c r="A18" s="122" t="s">
        <v>27</v>
      </c>
      <c r="B18" s="125">
        <v>0</v>
      </c>
      <c r="C18" s="126">
        <v>19</v>
      </c>
      <c r="D18" s="127">
        <v>656</v>
      </c>
      <c r="E18" s="125">
        <v>710</v>
      </c>
      <c r="F18" s="126">
        <v>25</v>
      </c>
      <c r="G18" s="127">
        <v>676</v>
      </c>
      <c r="H18" s="125">
        <v>5.32</v>
      </c>
      <c r="I18" s="133">
        <v>25</v>
      </c>
      <c r="J18" s="127">
        <v>696</v>
      </c>
      <c r="K18" s="125">
        <v>9647</v>
      </c>
      <c r="L18" s="133">
        <v>23</v>
      </c>
      <c r="M18" s="177"/>
      <c r="Q18" s="55"/>
      <c r="R18" s="55"/>
      <c r="S18" s="55"/>
    </row>
    <row r="19" spans="1:19" s="53" customFormat="1" ht="22.2" customHeight="1">
      <c r="A19" s="122" t="s">
        <v>28</v>
      </c>
      <c r="B19" s="125">
        <v>7138</v>
      </c>
      <c r="C19" s="126">
        <v>19</v>
      </c>
      <c r="D19" s="127">
        <v>657</v>
      </c>
      <c r="E19" s="125">
        <v>4370</v>
      </c>
      <c r="F19" s="126">
        <v>25</v>
      </c>
      <c r="G19" s="127">
        <v>677</v>
      </c>
      <c r="H19" s="125">
        <v>3.33</v>
      </c>
      <c r="I19" s="133">
        <v>25</v>
      </c>
      <c r="J19" s="127">
        <v>697</v>
      </c>
      <c r="K19" s="125">
        <v>8332</v>
      </c>
      <c r="L19" s="133">
        <v>24</v>
      </c>
      <c r="M19" s="177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22</v>
      </c>
      <c r="D20" s="128">
        <v>658</v>
      </c>
      <c r="E20" s="125">
        <v>4328</v>
      </c>
      <c r="F20" s="126">
        <v>25</v>
      </c>
      <c r="G20" s="127">
        <v>678</v>
      </c>
      <c r="H20" s="125">
        <v>95.4</v>
      </c>
      <c r="I20" s="133">
        <v>25</v>
      </c>
      <c r="J20" s="127">
        <v>698</v>
      </c>
      <c r="K20" s="125">
        <v>2740</v>
      </c>
      <c r="L20" s="133">
        <v>37</v>
      </c>
      <c r="M20" s="177"/>
      <c r="Q20" s="55"/>
      <c r="R20" s="55"/>
      <c r="S20" s="55"/>
    </row>
    <row r="21" spans="1:19" s="53" customFormat="1" ht="22.2" customHeight="1">
      <c r="A21" s="122" t="s">
        <v>30</v>
      </c>
      <c r="B21" s="125">
        <v>6370</v>
      </c>
      <c r="C21" s="126">
        <v>28</v>
      </c>
      <c r="D21" s="127">
        <v>659</v>
      </c>
      <c r="E21" s="125">
        <v>16</v>
      </c>
      <c r="F21" s="126">
        <v>21</v>
      </c>
      <c r="G21" s="127">
        <v>680</v>
      </c>
      <c r="H21" s="125">
        <v>0</v>
      </c>
      <c r="I21" s="133">
        <v>22</v>
      </c>
      <c r="J21" s="127">
        <v>699</v>
      </c>
      <c r="K21" s="125">
        <v>3377</v>
      </c>
      <c r="L21" s="133">
        <v>25</v>
      </c>
      <c r="M21" s="177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23</v>
      </c>
      <c r="D22" s="131">
        <v>660</v>
      </c>
      <c r="E22" s="130">
        <v>0</v>
      </c>
      <c r="F22" s="132">
        <v>24</v>
      </c>
      <c r="G22" s="131"/>
      <c r="H22" s="130"/>
      <c r="I22" s="132"/>
      <c r="J22" s="131"/>
      <c r="K22" s="130"/>
      <c r="L22" s="132"/>
      <c r="M22" s="178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5"/>
      <c r="B24" s="175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176</v>
      </c>
    </row>
    <row r="25" spans="1:19" ht="20.100000000000001" customHeight="1" thickTop="1" thickBot="1">
      <c r="A25" s="114"/>
      <c r="B25" s="115" t="s">
        <v>160</v>
      </c>
      <c r="C25" s="116" t="s">
        <v>33</v>
      </c>
      <c r="D25" s="114" t="s">
        <v>31</v>
      </c>
      <c r="E25" s="115" t="s">
        <v>160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175</v>
      </c>
    </row>
    <row r="26" spans="1:19" ht="21.75" customHeight="1" thickTop="1">
      <c r="A26" s="119">
        <v>601</v>
      </c>
      <c r="B26" s="120">
        <v>4179</v>
      </c>
      <c r="C26" s="121">
        <v>27</v>
      </c>
      <c r="D26" s="122" t="s">
        <v>76</v>
      </c>
      <c r="E26" s="120">
        <v>0</v>
      </c>
      <c r="F26" s="121">
        <v>20</v>
      </c>
      <c r="G26" s="119">
        <v>661</v>
      </c>
      <c r="H26" s="120">
        <v>6943</v>
      </c>
      <c r="I26" s="123">
        <v>25</v>
      </c>
      <c r="J26" s="119">
        <v>681</v>
      </c>
      <c r="K26" s="120">
        <v>1331</v>
      </c>
      <c r="L26" s="124">
        <v>24</v>
      </c>
      <c r="M26" s="176"/>
    </row>
    <row r="27" spans="1:19" ht="21.75" customHeight="1">
      <c r="A27" s="119">
        <v>602</v>
      </c>
      <c r="B27" s="120">
        <v>4250</v>
      </c>
      <c r="C27" s="121">
        <v>27</v>
      </c>
      <c r="D27" s="122" t="s">
        <v>77</v>
      </c>
      <c r="E27" s="120">
        <v>0</v>
      </c>
      <c r="F27" s="121">
        <v>28</v>
      </c>
      <c r="G27" s="119">
        <v>662</v>
      </c>
      <c r="H27" s="120">
        <v>28</v>
      </c>
      <c r="I27" s="123">
        <v>28</v>
      </c>
      <c r="J27" s="119">
        <v>682</v>
      </c>
      <c r="K27" s="120">
        <v>2191</v>
      </c>
      <c r="L27" s="133">
        <v>25</v>
      </c>
      <c r="M27" s="177"/>
    </row>
    <row r="28" spans="1:19" ht="21.75" customHeight="1">
      <c r="A28" s="119">
        <v>603</v>
      </c>
      <c r="B28" s="120">
        <v>4633</v>
      </c>
      <c r="C28" s="121">
        <v>25</v>
      </c>
      <c r="D28" s="122">
        <v>631</v>
      </c>
      <c r="E28" s="120">
        <v>3282</v>
      </c>
      <c r="F28" s="121">
        <v>25</v>
      </c>
      <c r="G28" s="119">
        <v>663</v>
      </c>
      <c r="H28" s="120">
        <v>3510</v>
      </c>
      <c r="I28" s="123">
        <v>26</v>
      </c>
      <c r="J28" s="119">
        <v>683</v>
      </c>
      <c r="K28" s="120">
        <v>3793</v>
      </c>
      <c r="L28" s="133">
        <v>27</v>
      </c>
      <c r="M28" s="177"/>
    </row>
    <row r="29" spans="1:19" ht="21.75" customHeight="1">
      <c r="A29" s="119" t="s">
        <v>78</v>
      </c>
      <c r="B29" s="125">
        <v>4450</v>
      </c>
      <c r="C29" s="126">
        <v>26</v>
      </c>
      <c r="D29" s="127">
        <v>632</v>
      </c>
      <c r="E29" s="125">
        <v>2170</v>
      </c>
      <c r="F29" s="126">
        <v>32</v>
      </c>
      <c r="G29" s="127">
        <v>664</v>
      </c>
      <c r="H29" s="125">
        <v>6866</v>
      </c>
      <c r="I29" s="124">
        <v>26</v>
      </c>
      <c r="J29" s="127">
        <v>684</v>
      </c>
      <c r="K29" s="125">
        <v>4681</v>
      </c>
      <c r="L29" s="133">
        <v>25</v>
      </c>
      <c r="M29" s="177"/>
    </row>
    <row r="30" spans="1:19" ht="21.75" customHeight="1">
      <c r="A30" s="119" t="s">
        <v>79</v>
      </c>
      <c r="B30" s="125">
        <v>8092</v>
      </c>
      <c r="C30" s="126">
        <v>26</v>
      </c>
      <c r="D30" s="127">
        <v>633</v>
      </c>
      <c r="E30" s="125">
        <v>3522</v>
      </c>
      <c r="F30" s="126">
        <v>17</v>
      </c>
      <c r="G30" s="127">
        <v>665</v>
      </c>
      <c r="H30" s="125">
        <v>2102</v>
      </c>
      <c r="I30" s="124">
        <v>26</v>
      </c>
      <c r="J30" s="127">
        <v>685</v>
      </c>
      <c r="K30" s="125">
        <v>0</v>
      </c>
      <c r="L30" s="133">
        <v>24</v>
      </c>
      <c r="M30" s="177"/>
    </row>
    <row r="31" spans="1:19" ht="21.75" customHeight="1">
      <c r="A31" s="119">
        <v>611</v>
      </c>
      <c r="B31" s="125">
        <v>0</v>
      </c>
      <c r="C31" s="134">
        <v>25</v>
      </c>
      <c r="D31" s="127">
        <v>634</v>
      </c>
      <c r="E31" s="125">
        <v>5879</v>
      </c>
      <c r="F31" s="126">
        <v>24</v>
      </c>
      <c r="G31" s="127">
        <v>666</v>
      </c>
      <c r="H31" s="125">
        <v>4850</v>
      </c>
      <c r="I31" s="124">
        <v>26</v>
      </c>
      <c r="J31" s="127">
        <v>686</v>
      </c>
      <c r="K31" s="125">
        <v>0</v>
      </c>
      <c r="L31" s="133">
        <v>27</v>
      </c>
      <c r="M31" s="177"/>
    </row>
    <row r="32" spans="1:19" ht="21.75" customHeight="1">
      <c r="A32" s="119">
        <v>612</v>
      </c>
      <c r="B32" s="125">
        <v>7.85</v>
      </c>
      <c r="C32" s="134">
        <v>25</v>
      </c>
      <c r="D32" s="127">
        <v>641</v>
      </c>
      <c r="E32" s="125">
        <v>4429</v>
      </c>
      <c r="F32" s="126">
        <v>36</v>
      </c>
      <c r="G32" s="127">
        <v>667</v>
      </c>
      <c r="H32" s="125">
        <v>5449</v>
      </c>
      <c r="I32" s="124">
        <v>26</v>
      </c>
      <c r="J32" s="127">
        <v>687</v>
      </c>
      <c r="K32" s="125">
        <v>3381</v>
      </c>
      <c r="L32" s="133">
        <v>24</v>
      </c>
      <c r="M32" s="177"/>
    </row>
    <row r="33" spans="1:13" ht="21.75" customHeight="1">
      <c r="A33" s="119">
        <v>613</v>
      </c>
      <c r="B33" s="125">
        <v>7.46</v>
      </c>
      <c r="C33" s="134">
        <v>25</v>
      </c>
      <c r="D33" s="127">
        <v>642</v>
      </c>
      <c r="E33" s="125">
        <v>4528</v>
      </c>
      <c r="F33" s="126">
        <v>30</v>
      </c>
      <c r="G33" s="127">
        <v>668</v>
      </c>
      <c r="H33" s="125">
        <v>3761</v>
      </c>
      <c r="I33" s="124">
        <v>26</v>
      </c>
      <c r="J33" s="127">
        <v>688</v>
      </c>
      <c r="K33" s="125">
        <v>5374</v>
      </c>
      <c r="L33" s="133">
        <v>24</v>
      </c>
      <c r="M33" s="177"/>
    </row>
    <row r="34" spans="1:13" ht="21.75" customHeight="1">
      <c r="A34" s="119">
        <v>614</v>
      </c>
      <c r="B34" s="125">
        <v>13.39</v>
      </c>
      <c r="C34" s="134">
        <v>25</v>
      </c>
      <c r="D34" s="127">
        <v>643</v>
      </c>
      <c r="E34" s="125">
        <v>1846</v>
      </c>
      <c r="F34" s="126">
        <v>28</v>
      </c>
      <c r="G34" s="127">
        <v>669</v>
      </c>
      <c r="H34" s="125">
        <v>150</v>
      </c>
      <c r="I34" s="124">
        <v>25</v>
      </c>
      <c r="J34" s="127">
        <v>689</v>
      </c>
      <c r="K34" s="125">
        <v>0</v>
      </c>
      <c r="L34" s="133">
        <v>27</v>
      </c>
      <c r="M34" s="177"/>
    </row>
    <row r="35" spans="1:13" ht="21.75" customHeight="1">
      <c r="A35" s="119">
        <v>621</v>
      </c>
      <c r="B35" s="125">
        <v>1382</v>
      </c>
      <c r="C35" s="126">
        <v>28</v>
      </c>
      <c r="D35" s="127">
        <v>645</v>
      </c>
      <c r="E35" s="125">
        <v>5267</v>
      </c>
      <c r="F35" s="126">
        <v>28</v>
      </c>
      <c r="G35" s="127">
        <v>670</v>
      </c>
      <c r="H35" s="125">
        <v>-9907</v>
      </c>
      <c r="I35" s="124">
        <v>25</v>
      </c>
      <c r="J35" s="127">
        <v>690</v>
      </c>
      <c r="K35" s="125">
        <v>835</v>
      </c>
      <c r="L35" s="124">
        <v>24</v>
      </c>
      <c r="M35" s="177"/>
    </row>
    <row r="36" spans="1:13" ht="21.75" customHeight="1">
      <c r="A36" s="119">
        <v>622</v>
      </c>
      <c r="B36" s="125">
        <v>6474</v>
      </c>
      <c r="C36" s="126">
        <v>27</v>
      </c>
      <c r="D36" s="127">
        <v>651</v>
      </c>
      <c r="E36" s="125">
        <v>2998</v>
      </c>
      <c r="F36" s="126">
        <v>30</v>
      </c>
      <c r="G36" s="127">
        <v>671</v>
      </c>
      <c r="H36" s="125">
        <v>0</v>
      </c>
      <c r="I36" s="124">
        <v>30</v>
      </c>
      <c r="J36" s="127">
        <v>691</v>
      </c>
      <c r="K36" s="125">
        <v>1680</v>
      </c>
      <c r="L36" s="133">
        <v>25</v>
      </c>
      <c r="M36" s="177"/>
    </row>
    <row r="37" spans="1:13" ht="21.75" customHeight="1">
      <c r="A37" s="119">
        <v>623</v>
      </c>
      <c r="B37" s="125">
        <v>1578</v>
      </c>
      <c r="C37" s="126">
        <v>32</v>
      </c>
      <c r="D37" s="127">
        <v>652</v>
      </c>
      <c r="E37" s="125">
        <v>3747</v>
      </c>
      <c r="F37" s="126">
        <v>25</v>
      </c>
      <c r="G37" s="127">
        <v>672</v>
      </c>
      <c r="H37" s="125">
        <v>4231</v>
      </c>
      <c r="I37" s="124">
        <v>23</v>
      </c>
      <c r="J37" s="127">
        <v>692</v>
      </c>
      <c r="K37" s="125">
        <v>4069</v>
      </c>
      <c r="L37" s="133">
        <v>24</v>
      </c>
      <c r="M37" s="177"/>
    </row>
    <row r="38" spans="1:13" ht="21.75" customHeight="1">
      <c r="A38" s="122">
        <v>624</v>
      </c>
      <c r="B38" s="125">
        <v>973</v>
      </c>
      <c r="C38" s="126">
        <v>25</v>
      </c>
      <c r="D38" s="128">
        <v>653</v>
      </c>
      <c r="E38" s="125">
        <v>4525</v>
      </c>
      <c r="F38" s="126">
        <v>22</v>
      </c>
      <c r="G38" s="127">
        <v>673</v>
      </c>
      <c r="H38" s="125">
        <v>6921</v>
      </c>
      <c r="I38" s="124">
        <v>26</v>
      </c>
      <c r="J38" s="127">
        <v>693</v>
      </c>
      <c r="K38" s="125">
        <v>2980</v>
      </c>
      <c r="L38" s="133">
        <v>27</v>
      </c>
      <c r="M38" s="177"/>
    </row>
    <row r="39" spans="1:13" ht="21.75" customHeight="1">
      <c r="A39" s="122" t="s">
        <v>80</v>
      </c>
      <c r="B39" s="125">
        <v>0</v>
      </c>
      <c r="C39" s="126">
        <v>29</v>
      </c>
      <c r="D39" s="127">
        <v>654</v>
      </c>
      <c r="E39" s="125">
        <v>2554</v>
      </c>
      <c r="F39" s="126">
        <v>28</v>
      </c>
      <c r="G39" s="127">
        <v>674</v>
      </c>
      <c r="H39" s="125">
        <v>990</v>
      </c>
      <c r="I39" s="124">
        <v>26</v>
      </c>
      <c r="J39" s="127">
        <v>694</v>
      </c>
      <c r="K39" s="125">
        <v>1756</v>
      </c>
      <c r="L39" s="133">
        <v>26</v>
      </c>
      <c r="M39" s="177"/>
    </row>
    <row r="40" spans="1:13" ht="21.75" customHeight="1">
      <c r="A40" s="122" t="s">
        <v>26</v>
      </c>
      <c r="B40" s="125">
        <v>0</v>
      </c>
      <c r="C40" s="126">
        <v>33</v>
      </c>
      <c r="D40" s="128">
        <v>655</v>
      </c>
      <c r="E40" s="125">
        <v>144</v>
      </c>
      <c r="F40" s="126">
        <v>29</v>
      </c>
      <c r="G40" s="127">
        <v>675</v>
      </c>
      <c r="H40" s="125">
        <v>5.22</v>
      </c>
      <c r="I40" s="133">
        <v>25</v>
      </c>
      <c r="J40" s="127">
        <v>695</v>
      </c>
      <c r="K40" s="125">
        <v>5236</v>
      </c>
      <c r="L40" s="133">
        <v>25</v>
      </c>
      <c r="M40" s="177"/>
    </row>
    <row r="41" spans="1:13" ht="21.75" customHeight="1">
      <c r="A41" s="122" t="s">
        <v>27</v>
      </c>
      <c r="B41" s="125">
        <v>0</v>
      </c>
      <c r="C41" s="126">
        <v>20</v>
      </c>
      <c r="D41" s="127">
        <v>656</v>
      </c>
      <c r="E41" s="125">
        <v>710</v>
      </c>
      <c r="F41" s="126">
        <v>29</v>
      </c>
      <c r="G41" s="127">
        <v>676</v>
      </c>
      <c r="H41" s="125">
        <v>50.52</v>
      </c>
      <c r="I41" s="133">
        <v>25</v>
      </c>
      <c r="J41" s="127">
        <v>696</v>
      </c>
      <c r="K41" s="125">
        <v>9650</v>
      </c>
      <c r="L41" s="133">
        <v>23</v>
      </c>
      <c r="M41" s="177"/>
    </row>
    <row r="42" spans="1:13" ht="21.75" customHeight="1">
      <c r="A42" s="122" t="s">
        <v>28</v>
      </c>
      <c r="B42" s="125">
        <v>5075</v>
      </c>
      <c r="C42" s="126">
        <v>21</v>
      </c>
      <c r="D42" s="127">
        <v>657</v>
      </c>
      <c r="E42" s="125">
        <v>4382</v>
      </c>
      <c r="F42" s="126">
        <v>26</v>
      </c>
      <c r="G42" s="127">
        <v>677</v>
      </c>
      <c r="H42" s="125">
        <v>3.27</v>
      </c>
      <c r="I42" s="133">
        <v>25</v>
      </c>
      <c r="J42" s="127">
        <v>697</v>
      </c>
      <c r="K42" s="125">
        <v>8333</v>
      </c>
      <c r="L42" s="133">
        <v>24</v>
      </c>
      <c r="M42" s="177"/>
    </row>
    <row r="43" spans="1:13" ht="21.75" customHeight="1">
      <c r="A43" s="122" t="s">
        <v>29</v>
      </c>
      <c r="B43" s="125">
        <v>6378</v>
      </c>
      <c r="C43" s="126">
        <v>25</v>
      </c>
      <c r="D43" s="128">
        <v>658</v>
      </c>
      <c r="E43" s="125">
        <v>4338</v>
      </c>
      <c r="F43" s="126">
        <v>29</v>
      </c>
      <c r="G43" s="127">
        <v>678</v>
      </c>
      <c r="H43" s="125">
        <v>95.48</v>
      </c>
      <c r="I43" s="133">
        <v>25</v>
      </c>
      <c r="J43" s="127">
        <v>698</v>
      </c>
      <c r="K43" s="125">
        <v>2739</v>
      </c>
      <c r="L43" s="133">
        <v>36</v>
      </c>
      <c r="M43" s="177"/>
    </row>
    <row r="44" spans="1:13" ht="21.75" customHeight="1">
      <c r="A44" s="122" t="s">
        <v>30</v>
      </c>
      <c r="B44" s="125">
        <v>4640</v>
      </c>
      <c r="C44" s="126">
        <v>28</v>
      </c>
      <c r="D44" s="127">
        <v>659</v>
      </c>
      <c r="E44" s="125">
        <v>0</v>
      </c>
      <c r="F44" s="126">
        <v>26</v>
      </c>
      <c r="G44" s="127">
        <v>680</v>
      </c>
      <c r="H44" s="125">
        <v>0</v>
      </c>
      <c r="I44" s="133">
        <v>24</v>
      </c>
      <c r="J44" s="127">
        <v>699</v>
      </c>
      <c r="K44" s="125">
        <v>3477</v>
      </c>
      <c r="L44" s="133">
        <v>25</v>
      </c>
      <c r="M44" s="177"/>
    </row>
    <row r="45" spans="1:13" ht="21.75" customHeight="1" thickBot="1">
      <c r="A45" s="129" t="s">
        <v>81</v>
      </c>
      <c r="B45" s="130">
        <v>2445</v>
      </c>
      <c r="C45" s="130">
        <v>25</v>
      </c>
      <c r="D45" s="131">
        <v>660</v>
      </c>
      <c r="E45" s="130">
        <v>46</v>
      </c>
      <c r="F45" s="132">
        <v>29</v>
      </c>
      <c r="G45" s="131"/>
      <c r="H45" s="130"/>
      <c r="I45" s="132"/>
      <c r="J45" s="131"/>
      <c r="K45" s="130"/>
      <c r="L45" s="132"/>
      <c r="M45" s="178"/>
    </row>
    <row r="46" spans="1:13" ht="16.2" thickTop="1"/>
  </sheetData>
  <sheetProtection selectLockedCells="1"/>
  <mergeCells count="9">
    <mergeCell ref="S13:S15"/>
    <mergeCell ref="A24:B24"/>
    <mergeCell ref="M26:M45"/>
    <mergeCell ref="A1:B1"/>
    <mergeCell ref="M3:M22"/>
    <mergeCell ref="N13:N15"/>
    <mergeCell ref="O13:O15"/>
    <mergeCell ref="P13:P15"/>
    <mergeCell ref="Q13:Q15"/>
  </mergeCells>
  <phoneticPr fontId="2" type="noConversion"/>
  <dataValidations count="8">
    <dataValidation type="custom" errorStyle="warning" allowBlank="1" showInputMessage="1" showErrorMessage="1" error="***你在睡喔,醒醒好嗎" sqref="B6:B7 B4 B15 B38 E8 B29:B30 B27 E31">
      <formula1>B4&lt;=9100</formula1>
    </dataValidation>
    <dataValidation type="custom" errorStyle="warning" allowBlank="1" showInputMessage="1" showErrorMessage="1" error="***你在睡喔,醒醒好嗎" sqref="B8:B11 B31:B34 H17:H20 H40:H43">
      <formula1>B8&lt;=100</formula1>
    </dataValidation>
    <dataValidation type="custom" errorStyle="warning" allowBlank="1" showInputMessage="1" showErrorMessage="1" error="***你在睡喔,醒醒好嗎" sqref="B16:B22 H3:H16 E20:E22 E3:E4 B39:B45 H26:H39 E43:E45 E26:E27">
      <formula1>B3&lt;=7400</formula1>
    </dataValidation>
    <dataValidation type="custom" errorStyle="warning" allowBlank="1" showInputMessage="1" showErrorMessage="1" error="***你在睡喔,醒醒好嗎" sqref="E14:E19 E37:E42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26 B12:B13 B3 K14:K17 B5 B28 B35:B36 E28:E29 K37:K40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3:K11 E9:E13 K13 B37 E30 K26:K34 E32:E36 K36">
      <formula1>B3&lt;=5600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53340</xdr:colOff>
                <xdr:row>15</xdr:row>
                <xdr:rowOff>198120</xdr:rowOff>
              </from>
              <to>
                <xdr:col>15</xdr:col>
                <xdr:colOff>518160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15240</xdr:colOff>
                <xdr:row>25</xdr:row>
                <xdr:rowOff>60960</xdr:rowOff>
              </from>
              <to>
                <xdr:col>15</xdr:col>
                <xdr:colOff>541020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4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N9" sqref="N9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1.0659000000000001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1.0648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1.0637000000000001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1.0603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1.0528999999999999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1.0556000000000001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1.0516000000000001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1.0506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1.0494000000000001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1.0483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1.0469999999999999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1.0454000000000001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1.0448999999999999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1.0437000000000001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1.0409999999999999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1.0388999999999999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1.0377000000000001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1.0366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1.0355099999999999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1.0344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1.03329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1.0321800000000001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1.0310699999999999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1.02996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1.0287999999999999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1.0277000000000001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1.0265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1.0254000000000001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1.0265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1.0277000000000001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1.0287999999999999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1.0310999999999999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1.0322199999999999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1.0333600000000001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1.0345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1.0356399999999999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1.03678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6.8" thickTop="1">
      <c r="B52" s="49"/>
      <c r="C52" s="49"/>
      <c r="D52" s="49"/>
      <c r="E52" s="49"/>
      <c r="F52" s="49"/>
      <c r="G52" s="49"/>
      <c r="H52" s="49"/>
      <c r="I52" s="49"/>
      <c r="J52" s="49"/>
      <c r="U52" s="8"/>
    </row>
    <row r="53" spans="1:24">
      <c r="U53" s="8"/>
    </row>
    <row r="54" spans="1:24">
      <c r="U54" s="8"/>
    </row>
    <row r="55" spans="1:24">
      <c r="U55" s="8"/>
    </row>
    <row r="56" spans="1:24">
      <c r="U56" s="8"/>
    </row>
    <row r="57" spans="1:24">
      <c r="U57" s="8"/>
    </row>
    <row r="58" spans="1:24">
      <c r="U58" s="8"/>
    </row>
    <row r="59" spans="1:24">
      <c r="U59" s="8"/>
    </row>
    <row r="60" spans="1:24">
      <c r="U60" s="8"/>
    </row>
    <row r="61" spans="1:24">
      <c r="U61" s="8"/>
    </row>
    <row r="62" spans="1:24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  <row r="94" spans="21:21">
      <c r="U94" s="8"/>
    </row>
  </sheetData>
  <phoneticPr fontId="2" type="noConversion"/>
  <pageMargins left="0.42" right="0.2" top="0.36" bottom="0.43" header="0.5" footer="0.5"/>
  <pageSetup paperSize="9" scale="48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5">
    <pageSetUpPr fitToPage="1"/>
  </sheetPr>
  <dimension ref="A1:CU223"/>
  <sheetViews>
    <sheetView view="pageBreakPreview" topLeftCell="A4" zoomScale="70" zoomScaleNormal="100" zoomScaleSheetLayoutView="70" workbookViewId="0">
      <selection activeCell="D4" sqref="D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45747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3" t="s" ph="1">
        <v>178</v>
      </c>
      <c r="D6" s="71">
        <v>4981</v>
      </c>
      <c r="E6" s="71">
        <v>4246</v>
      </c>
      <c r="F6" s="71">
        <v>3216</v>
      </c>
      <c r="G6" s="71">
        <v>8158</v>
      </c>
      <c r="H6" s="71">
        <v>9106</v>
      </c>
      <c r="I6" s="71">
        <v>16.03</v>
      </c>
      <c r="J6" s="71">
        <v>7.76</v>
      </c>
      <c r="K6" s="71">
        <v>7.11</v>
      </c>
      <c r="L6" s="71">
        <v>39.6</v>
      </c>
      <c r="M6" s="71">
        <v>2723</v>
      </c>
      <c r="N6" s="71">
        <v>2829</v>
      </c>
      <c r="O6" s="71">
        <v>73</v>
      </c>
      <c r="P6" s="71">
        <v>4014</v>
      </c>
      <c r="Q6" s="71">
        <v>6619</v>
      </c>
      <c r="R6" s="71">
        <v>7118</v>
      </c>
      <c r="S6" s="71">
        <v>5152</v>
      </c>
      <c r="T6" s="71">
        <v>7100</v>
      </c>
      <c r="U6" s="71">
        <v>2489</v>
      </c>
      <c r="V6" s="71">
        <v>0</v>
      </c>
      <c r="W6" s="71">
        <v>0</v>
      </c>
      <c r="X6" s="71">
        <v>497</v>
      </c>
      <c r="Y6" s="71">
        <v>2219</v>
      </c>
      <c r="Z6" s="71">
        <v>4821</v>
      </c>
      <c r="AA6" s="71">
        <v>1570</v>
      </c>
      <c r="AB6" s="71">
        <v>843</v>
      </c>
      <c r="AC6" s="71">
        <v>4362</v>
      </c>
      <c r="AD6" s="71">
        <v>1335</v>
      </c>
      <c r="AE6" s="71">
        <v>1960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157352.51874122999</v>
      </c>
      <c r="E7" s="73" ph="1">
        <f>E6*51.53*LOOKUP(E8,密度!$A$2:$A$50,密度!$B$2:$B$50)</f>
        <v>172411.54744000002</v>
      </c>
      <c r="F7" s="73" ph="1">
        <f>F6*33.183*LOOKUP(F8,密度!$A$2:$A$50,密度!$C$2:$C$50)</f>
        <v>119010.2720256</v>
      </c>
      <c r="G7" s="73" ph="1">
        <f xml:space="preserve"> (G6+2)*51.53*LOOKUP(G8,密度!$A$2:$A$50,密度!$B$2:$B$50)</f>
        <v>330669.24672</v>
      </c>
      <c r="H7" s="73" ph="1">
        <f>(H6)*51.53*LOOKUP(H8,密度!$A$2:$A$50,密度!$B$2:$B$50)</f>
        <v>369004.18635199999</v>
      </c>
      <c r="I7" s="73" ph="1">
        <f>I6*290.8*1.0267</f>
        <v>4785.9866908000004</v>
      </c>
      <c r="J7" s="73" ph="1">
        <f>J6*290.8*0.7892</f>
        <v>1780.9150336000002</v>
      </c>
      <c r="K7" s="73" ph="1">
        <f>K6*290.8*1.1126</f>
        <v>2300.3984088000002</v>
      </c>
      <c r="L7" s="73" ph="1">
        <f>L6*290.8*0.777</f>
        <v>8947.6833600000009</v>
      </c>
      <c r="M7" s="73" ph="1">
        <f>M6*33.183*LOOKUP(M8,密度!$A$2:$A$50,密度!$D$2:$D$50)</f>
        <v>93574.029200400008</v>
      </c>
      <c r="N7" s="73" ph="1">
        <f>N6*33.183*LOOKUP(N8,密度!$A$2:$A$50,密度!$E$2:$E$50)</f>
        <v>74395.705297499997</v>
      </c>
      <c r="O7" s="73" ph="1">
        <f>O6*20.428*LOOKUP(O8,密度!$A$2:$A$50,密度!$C$2:$C$50)</f>
        <v>1660.0528208000001</v>
      </c>
      <c r="P7" s="73" ph="1">
        <f>P6*51.53*LOOKUP(P8,密度!$A$2:$A$50,密度!$B$2:$B$50)</f>
        <v>163177.19623800003</v>
      </c>
      <c r="Q7" s="73" ph="1">
        <f>Q6*1.5*1.5*3.1416*LOOKUP(W8,密度!$A$2:$A$50,密度!$L$2:$L$50)</f>
        <v>44354.136103199999</v>
      </c>
      <c r="R7" s="73" ph="1">
        <f>R6*1.5*1.5*3.1416*LOOKUP(R8,密度!$A$2:$A$50,密度!$L$2:$L$50)</f>
        <v>47345.751406799995</v>
      </c>
      <c r="S7" s="73" ph="1">
        <f>S6*1.5*1.5*3.1416*LOOKUP(S8,密度!$A$2:$A$50,密度!$L$2:$L$50)</f>
        <v>34669.390694399997</v>
      </c>
      <c r="T7" s="73" ph="1">
        <f>T6*1.5*1.5*3.1416*LOOKUP(T8,密度!$A$2:$A$50,密度!$L$2:$L$50)</f>
        <v>47677.706999999995</v>
      </c>
      <c r="U7" s="73" ph="1">
        <f>U6*1.5*1.5*3.1416*LOOKUP(U8,密度!$A$2:$A$50,密度!$L$2:$L$50)</f>
        <v>16626.089402999998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3355.0049609999996</v>
      </c>
      <c r="Y7" s="73" ph="1">
        <f>Y6*1.5*1.5*3.1416*LOOKUP(Y8,密度!$A$2:$A$50,密度!$L$2:$L$50)</f>
        <v>14853.906559799998</v>
      </c>
      <c r="Z7" s="73" ph="1">
        <f>Z6*33.183*LOOKUP(Z8,密度!$A$2:$A$50,密度!$L$2:$L$50)</f>
        <v>151816.50560699997</v>
      </c>
      <c r="AA7" s="73" ph="1">
        <f>AA6*33.183*LOOKUP(AA8,密度!$A$2:$A$50,密度!$D$2:$D$50)</f>
        <v>53951.974236000002</v>
      </c>
      <c r="AB7" s="73" ph="1">
        <f>AB6*20.428*LOOKUP(AB8,密度!$A$2:$A$50,密度!$D$2:$D$50)</f>
        <v>17971.631054400001</v>
      </c>
      <c r="AC7" s="73" ph="1">
        <f>AC6*51.53*LOOKUP(AC8,密度!$A$2:$A$50,密度!$Q$2:$Q$50)</f>
        <v>214555.64032440004</v>
      </c>
      <c r="AD7" s="73" ph="1">
        <f>AD6*20.428*LOOKUP(AD8,密度!$A$2:$A$50,密度!$V$2:$V$50)</f>
        <v>26289.61032</v>
      </c>
      <c r="AE7" s="73" ph="1">
        <f>AE6*20.428</f>
        <v>40038.880000000005</v>
      </c>
    </row>
    <row r="8" spans="1:99" ph="1">
      <c r="B8" s="195" ph="1"/>
      <c r="C8" s="68" t="s" ph="1">
        <v>180</v>
      </c>
      <c r="D8" s="74">
        <v>18</v>
      </c>
      <c r="E8" s="74">
        <v>15</v>
      </c>
      <c r="F8" s="74">
        <v>16</v>
      </c>
      <c r="G8" s="74">
        <v>17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19</v>
      </c>
      <c r="P8" s="74">
        <v>14</v>
      </c>
      <c r="Q8" s="74">
        <v>14</v>
      </c>
      <c r="R8" s="74">
        <v>21</v>
      </c>
      <c r="S8" s="74">
        <v>10</v>
      </c>
      <c r="T8" s="74">
        <v>12</v>
      </c>
      <c r="U8" s="74">
        <v>17</v>
      </c>
      <c r="V8" s="74">
        <v>18</v>
      </c>
      <c r="W8" s="74">
        <v>14</v>
      </c>
      <c r="X8" s="74">
        <v>7</v>
      </c>
      <c r="Y8" s="74">
        <v>15</v>
      </c>
      <c r="Z8" s="74">
        <v>13</v>
      </c>
      <c r="AA8" s="74">
        <v>15</v>
      </c>
      <c r="AB8" s="74">
        <v>6</v>
      </c>
      <c r="AC8" s="74">
        <v>13</v>
      </c>
      <c r="AD8" s="74">
        <v>15</v>
      </c>
      <c r="AE8" s="74">
        <v>18</v>
      </c>
    </row>
    <row r="9" spans="1:99" ht="26.4" ph="1">
      <c r="B9" s="195" ph="1">
        <v>0.66666666666666663</v>
      </c>
      <c r="C9" s="143" t="s" ph="1">
        <v>181</v>
      </c>
      <c r="D9" s="71">
        <v>5246</v>
      </c>
      <c r="E9" s="71">
        <v>4243</v>
      </c>
      <c r="F9" s="71">
        <v>3215</v>
      </c>
      <c r="G9" s="71">
        <v>7889</v>
      </c>
      <c r="H9" s="71">
        <v>8864</v>
      </c>
      <c r="I9" s="71">
        <v>16.02</v>
      </c>
      <c r="J9" s="71">
        <v>7.76</v>
      </c>
      <c r="K9" s="71">
        <v>7.08</v>
      </c>
      <c r="L9" s="71">
        <v>38.57</v>
      </c>
      <c r="M9" s="71">
        <v>2723</v>
      </c>
      <c r="N9" s="71">
        <v>2828</v>
      </c>
      <c r="O9" s="71">
        <v>74</v>
      </c>
      <c r="P9" s="71">
        <v>3894</v>
      </c>
      <c r="Q9" s="71">
        <v>6042</v>
      </c>
      <c r="R9" s="71">
        <v>7118</v>
      </c>
      <c r="S9" s="71">
        <v>5153</v>
      </c>
      <c r="T9" s="71">
        <v>7100</v>
      </c>
      <c r="U9" s="71">
        <v>7030</v>
      </c>
      <c r="V9" s="71">
        <v>3135</v>
      </c>
      <c r="W9" s="71">
        <v>0</v>
      </c>
      <c r="X9" s="71">
        <v>0</v>
      </c>
      <c r="Y9" s="71">
        <v>0</v>
      </c>
      <c r="Z9" s="71">
        <v>3305</v>
      </c>
      <c r="AA9" s="71">
        <v>1568</v>
      </c>
      <c r="AB9" s="71">
        <v>842</v>
      </c>
      <c r="AC9" s="71">
        <v>4360</v>
      </c>
      <c r="AD9" s="71">
        <v>1334</v>
      </c>
      <c r="AE9" s="71">
        <v>1835</v>
      </c>
    </row>
    <row r="10" spans="1:99" s="72" customFormat="1" ht="22.2" ph="1">
      <c r="B10" s="195" ph="1"/>
      <c r="C10" s="143" t="s" ph="1">
        <v>179</v>
      </c>
      <c r="D10" s="73" ph="1">
        <f>D9*33.183*LOOKUP(D11,密度!$A$2:$A$50,密度!$Q$2:$Q$50)</f>
        <v>165724.01391618</v>
      </c>
      <c r="E10" s="73" ph="1">
        <f>E9*51.53*LOOKUP(E11,密度!$A$2:$A$50,密度!$B$2:$B$50)</f>
        <v>172114.81708800001</v>
      </c>
      <c r="F10" s="73" ph="1">
        <f>F9*33.183*LOOKUP(F11,密度!$A$2:$A$50,密度!$C$2:$C$50)</f>
        <v>118973.266344</v>
      </c>
      <c r="G10" s="73" ph="1">
        <f xml:space="preserve"> (G9+2)*51.53*LOOKUP(G11,密度!$A$2:$A$50,密度!$B$2:$B$50)</f>
        <v>319768.508072</v>
      </c>
      <c r="H10" s="73" ph="1">
        <f>(H9)*51.53*LOOKUP(H11,密度!$A$2:$A$50,密度!$B$2:$B$50)</f>
        <v>359197.57388799998</v>
      </c>
      <c r="I10" s="73" ph="1">
        <f>I9*290.8*1.0267</f>
        <v>4783.0010471999994</v>
      </c>
      <c r="J10" s="73" ph="1">
        <f>J9*290.8*0.7892</f>
        <v>1780.9150336000002</v>
      </c>
      <c r="K10" s="73" ph="1">
        <f>K9*290.8*1.1126</f>
        <v>2290.6920863999999</v>
      </c>
      <c r="L10" s="73" ph="1">
        <f>L9*290.8*0.777</f>
        <v>8714.9532120000003</v>
      </c>
      <c r="M10" s="73" ph="1">
        <f>M9*33.183*LOOKUP(M11,密度!$A$2:$A$50,密度!$D$2:$D$50)</f>
        <v>93420.421775099996</v>
      </c>
      <c r="N10" s="73" ph="1">
        <f>N9*33.183*LOOKUP(N11,密度!$A$2:$A$50,密度!$E$2:$E$50)</f>
        <v>74266.1820936</v>
      </c>
      <c r="O10" s="73" ph="1">
        <f>O9*20.428*LOOKUP(O11,密度!$A$2:$A$50,密度!$C$2:$C$50)</f>
        <v>1681.8862672</v>
      </c>
      <c r="P10" s="73" ph="1">
        <f>P9*51.53*LOOKUP(P11,密度!$A$2:$A$50,密度!$B$2:$B$50)</f>
        <v>157957.83590400001</v>
      </c>
      <c r="Q10" s="73" ph="1">
        <f>Q9*1.5*1.5*3.1416*LOOKUP(W11,密度!$A$2:$A$50,密度!$L$2:$L$50)</f>
        <v>40359.514733999997</v>
      </c>
      <c r="R10" s="73" ph="1">
        <f>R9*1.5*1.5*3.1416*LOOKUP(R11,密度!$A$2:$A$50,密度!$L$2:$L$50)</f>
        <v>47295.437111999992</v>
      </c>
      <c r="S10" s="73" ph="1">
        <f>S9*1.5*1.5*3.1416*LOOKUP(S11,密度!$A$2:$A$50,密度!$L$2:$L$50)</f>
        <v>34603.271009999997</v>
      </c>
      <c r="T10" s="73" ph="1">
        <f>T9*1.5*1.5*3.1416*LOOKUP(T11,密度!$A$2:$A$50,密度!$L$2:$L$50)</f>
        <v>47677.706999999995</v>
      </c>
      <c r="U10" s="73" ph="1">
        <f>U9*1.5*1.5*3.1416*LOOKUP(U11,密度!$A$2:$A$50,密度!$L$2:$L$50)</f>
        <v>46959.183810000002</v>
      </c>
      <c r="V10" s="73" ph="1">
        <f>V9*1.5*1.5*3.1416*LOOKUP(V11,密度!$A$2:$A$50,密度!$L$2:$L$50)</f>
        <v>20830.457339999997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103966.98462</v>
      </c>
      <c r="AA10" s="73" ph="1">
        <f>AA9*33.183*LOOKUP(AA11,密度!$A$2:$A$50,密度!$D$2:$D$50)</f>
        <v>53841.620851200001</v>
      </c>
      <c r="AB10" s="73" ph="1">
        <f>AB9*20.428*LOOKUP(AB11,密度!$A$2:$A$50,密度!$D$2:$D$50)</f>
        <v>17919.3517168</v>
      </c>
      <c r="AC10" s="73" ph="1">
        <f>AC9*51.53*LOOKUP(AC11,密度!$A$2:$A$50,密度!$Q$2:$Q$50)</f>
        <v>214457.26543200001</v>
      </c>
      <c r="AD10" s="73" ph="1">
        <f>AD9*20.428*LOOKUP(AD11,密度!$A$2:$A$50,密度!$V$2:$V$50)</f>
        <v>26269.917728</v>
      </c>
      <c r="AE10" s="73" ph="1">
        <f>AE9*20.428</f>
        <v>37485.380000000005</v>
      </c>
    </row>
    <row r="11" spans="1:99" ph="1">
      <c r="A11" s="64" t="s" ph="1">
        <v>163</v>
      </c>
      <c r="B11" s="195" ph="1"/>
      <c r="C11" s="143" t="s" ph="1">
        <v>180</v>
      </c>
      <c r="D11" s="74">
        <v>18</v>
      </c>
      <c r="E11" s="74">
        <v>16</v>
      </c>
      <c r="F11" s="74">
        <v>16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20</v>
      </c>
      <c r="P11" s="74">
        <v>16</v>
      </c>
      <c r="Q11" s="74">
        <v>15</v>
      </c>
      <c r="R11" s="74">
        <v>22</v>
      </c>
      <c r="S11" s="74">
        <v>12</v>
      </c>
      <c r="T11" s="74">
        <v>12</v>
      </c>
      <c r="U11" s="74">
        <v>17</v>
      </c>
      <c r="V11" s="74">
        <v>22</v>
      </c>
      <c r="W11" s="74">
        <v>17</v>
      </c>
      <c r="X11" s="74">
        <v>8</v>
      </c>
      <c r="Y11" s="74">
        <v>16</v>
      </c>
      <c r="Z11" s="74">
        <v>14</v>
      </c>
      <c r="AA11" s="74">
        <v>16</v>
      </c>
      <c r="AB11" s="74">
        <v>8</v>
      </c>
      <c r="AC11" s="74">
        <v>14</v>
      </c>
      <c r="AD11" s="74">
        <v>12</v>
      </c>
      <c r="AE11" s="74">
        <v>19</v>
      </c>
    </row>
    <row r="12" spans="1:99" ht="9.9" customHeight="1" ph="1"/>
    <row r="13" spans="1:99" s="72" customFormat="1" ht="29.25" customHeight="1" ph="1">
      <c r="B13" s="203" t="s" ph="1">
        <v>37</v>
      </c>
      <c r="C13" s="14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3" t="s" ph="1">
        <v>178</v>
      </c>
      <c r="D15" s="78">
        <v>5163</v>
      </c>
      <c r="E15" s="78">
        <v>1075</v>
      </c>
      <c r="F15" s="78">
        <v>3310</v>
      </c>
      <c r="G15" s="78">
        <v>4121</v>
      </c>
      <c r="H15" s="78">
        <v>4487</v>
      </c>
      <c r="I15" s="78">
        <v>3</v>
      </c>
      <c r="J15" s="78">
        <v>1210</v>
      </c>
      <c r="K15" s="78">
        <v>1894</v>
      </c>
      <c r="L15" s="78">
        <v>5597</v>
      </c>
      <c r="M15" s="78">
        <v>3148</v>
      </c>
      <c r="N15" s="78">
        <v>1625</v>
      </c>
      <c r="O15" s="78">
        <v>6041</v>
      </c>
      <c r="P15" s="78">
        <v>6879</v>
      </c>
      <c r="Q15" s="78">
        <v>2880</v>
      </c>
      <c r="R15" s="78">
        <v>3483</v>
      </c>
      <c r="S15" s="78">
        <v>6805</v>
      </c>
      <c r="T15" s="78">
        <v>1091</v>
      </c>
      <c r="U15" s="78">
        <v>6290</v>
      </c>
      <c r="V15" s="78">
        <v>1090</v>
      </c>
      <c r="W15" s="71">
        <v>-596</v>
      </c>
      <c r="X15" s="78">
        <v>291</v>
      </c>
      <c r="Y15" s="106">
        <v>-9900</v>
      </c>
      <c r="Z15" s="78">
        <v>0</v>
      </c>
      <c r="AA15" s="78">
        <v>4213</v>
      </c>
      <c r="AB15" s="78" ph="1">
        <v>6847</v>
      </c>
      <c r="AC15" s="78" ph="1">
        <v>6495</v>
      </c>
      <c r="AD15" s="78">
        <v>7.59</v>
      </c>
      <c r="AE15" s="78">
        <v>84.62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3" t="s" ph="1">
        <v>179</v>
      </c>
      <c r="D16" s="73" ph="1">
        <f>D15*7.0686*LOOKUP(D17,密度!$A$2:$A$50,密度!$L$2:$L$50)</f>
        <v>34560.9371646</v>
      </c>
      <c r="E16" s="73" ph="1">
        <f>E15*7.0686*LOOKUP(E17,密度!$A$2:$A$50,密度!$L$2:$L$50)</f>
        <v>7196.0115149999992</v>
      </c>
      <c r="F16" s="73" ph="1">
        <f>F15*9.0746*LOOKUP(F17,密度!$A$2:$A$50,密度!$L$2:$L$50)</f>
        <v>28384.895069999999</v>
      </c>
      <c r="G16" s="73" ph="1">
        <f>G15*9.0746*LOOKUP(G17,密度!$A$2:$A$50,密度!$B$2:$B$50)</f>
        <v>29468.3841608</v>
      </c>
      <c r="H16" s="73" ph="1">
        <f>H15*9.0746*LOOKUP(H17,密度!$A$2:$A$50,密度!$L$2:$L$50)</f>
        <v>38600.408229599998</v>
      </c>
      <c r="I16" s="73" ph="1">
        <f>I15*9.0746*LOOKUP(I17,密度!$A$2:$A$50,密度!$U$2:$U$50)</f>
        <v>27.986066400000002</v>
      </c>
      <c r="J16" s="73" ph="1">
        <f>J15*9.0746*LOOKUP(J17,密度!$A$2:$A$50,密度!$L$2:$L$50)</f>
        <v>10409.292168</v>
      </c>
      <c r="K16" s="73" ph="1">
        <f>K15*9.0746*LOOKUP(K17,密度!$A$2:$A$50,密度!$C$2:$C$50)</f>
        <v>19177.580859919999</v>
      </c>
      <c r="L16" s="73" ph="1">
        <f>L15*9.0746*LOOKUP(L17,密度!$A$2:$A$50,密度!$E$2:$E$50)</f>
        <v>40363.239118140002</v>
      </c>
      <c r="M16" s="73" ph="1">
        <f>M15*9.0746*LOOKUP(M17,密度!$A$2:$A$50,密度!$M$2:$M$50)</f>
        <v>25147.38995624</v>
      </c>
      <c r="N16" s="73" ph="1">
        <f>N15*9.0746*LOOKUP(N17,密度!$A$2:$A$50,密度!$M$2:$M$50)</f>
        <v>12981.1018675</v>
      </c>
      <c r="O16" s="73" ph="1">
        <f>O15*9.0746*LOOKUP(O17,密度!$A$2:$A$50,密度!$G$2:$G$50)</f>
        <v>53240.852432319996</v>
      </c>
      <c r="P16" s="73" ph="1">
        <f ca="1">P15*9.0746*LOOKUP(P17,密度!$A$2:$A$51,密度!$Q$2:$Q$50)</f>
        <v>59586.370477236</v>
      </c>
      <c r="Q16" s="73" ph="1">
        <f>Q15*9.0746*LOOKUP(Q17,密度!$A$2:$A$50,密度!$Q$2:$Q$50)</f>
        <v>24946.757809920004</v>
      </c>
      <c r="R16" s="73" ph="1">
        <f>MAX(R15*9.0746*LOOKUP(R17,密度!$A$2:$A$50,密度!$B$2:$B$50),0)</f>
        <v>24934.629607020001</v>
      </c>
      <c r="S16" s="73" ph="1">
        <f>S15*9.0746*LOOKUP(S17,密度!$A$2:$A$50,密度!$Q$2:$Q$50)</f>
        <v>58945.377394620002</v>
      </c>
      <c r="T16" s="73" ph="1">
        <f>T15*9.0746*LOOKUP(T17,密度!$A$2:$A$50,密度!$O$2:$O$50)</f>
        <v>9246.9629524000011</v>
      </c>
      <c r="U16" s="73" ph="1">
        <f>U15*9.0746*LOOKUP(U17,密度!$A$2:$A$50,密度!$H$2:$H$50)</f>
        <v>52781.167679800004</v>
      </c>
      <c r="V16" s="73" ph="1">
        <f>MAX(5600*LOOKUP(V17,密度!$A$2:$A$50,密度!$Q$2:$Q$50)+V15*9.0476*LOOKUP(V17,密度!$A$2:$A$50,密度!$Q$2:$Q$50),0)</f>
        <v>14758.986753360001</v>
      </c>
      <c r="W16" s="73" ph="1">
        <f>MAX(5600*LOOKUP(W17,密度!$A$2:$A$50,密度!$Q$2:$Q$50)+W15*9.0476*LOOKUP(W17,密度!$A$2:$A$50,密度!$Q$2:$Q$50),0)</f>
        <v>198.19152201600082</v>
      </c>
      <c r="X16" s="73" ph="1">
        <f>MAX(5600*LOOKUP(X17,密度!$A$2:$A$50,密度!$I$2:$I$50)+X15*9.0476*LOOKUP(X17,密度!$A$2:$A$50,密度!$I$2:$I$50),0)</f>
        <v>8649.4338909599992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30160.664523219999</v>
      </c>
      <c r="AB16" s="73" ph="1">
        <f>AB15*9.0746*LOOKUP(AB17,密度!$A$2:$A$50,密度!$L$2:$L$50)</f>
        <v>58778.561745200001</v>
      </c>
      <c r="AC16" s="73" ph="1">
        <f>AC15*9.0746*LOOKUP(AC17,密度!$A$2:$A$50,密度!$L$2:$L$50)</f>
        <v>55874.671596</v>
      </c>
      <c r="AD16" s="73" ph="1">
        <f>AD15*268.68*LOOKUP(AD17,密度!$A$2:$A$50,密度!B2:B50)+IF(AD15&lt;=0,0,1566*LOOKUP(AD17,密度!$A$2:$A$50,密度!B2:B50))</f>
        <v>2810.6772235199996</v>
      </c>
      <c r="AE16" s="73" ph="1">
        <f>AE15*268.68*LOOKUP(AE17,密度!$A$2:$A$50,密度!B2:B50)+IF(AE15&lt;=0,0,1566*LOOKUP(AE17,密度!$A$2:$A$50,密度!B2:B50))</f>
        <v>18945.606567359999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15</v>
      </c>
      <c r="E17" s="74">
        <v>15</v>
      </c>
      <c r="F17" s="74">
        <v>17</v>
      </c>
      <c r="G17" s="74">
        <v>15</v>
      </c>
      <c r="H17" s="74">
        <v>14</v>
      </c>
      <c r="I17" s="74">
        <v>14</v>
      </c>
      <c r="J17" s="74">
        <v>14</v>
      </c>
      <c r="K17" s="74">
        <v>15</v>
      </c>
      <c r="L17" s="74">
        <v>15</v>
      </c>
      <c r="M17" s="74">
        <v>15</v>
      </c>
      <c r="N17" s="74">
        <v>14</v>
      </c>
      <c r="O17" s="74">
        <v>15</v>
      </c>
      <c r="P17" s="74">
        <v>14</v>
      </c>
      <c r="Q17" s="74">
        <v>15</v>
      </c>
      <c r="R17" s="74">
        <v>14</v>
      </c>
      <c r="S17" s="74">
        <v>15</v>
      </c>
      <c r="T17" s="74">
        <v>14</v>
      </c>
      <c r="U17" s="74">
        <v>15</v>
      </c>
      <c r="V17" s="74">
        <v>15</v>
      </c>
      <c r="W17" s="74">
        <v>15</v>
      </c>
      <c r="X17" s="74">
        <v>18</v>
      </c>
      <c r="Y17" s="108">
        <v>18</v>
      </c>
      <c r="Z17" s="74">
        <v>15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5163</v>
      </c>
      <c r="E18" s="71">
        <v>2008</v>
      </c>
      <c r="F18" s="71">
        <v>3391</v>
      </c>
      <c r="G18" s="71">
        <v>4141</v>
      </c>
      <c r="H18" s="71">
        <v>4486</v>
      </c>
      <c r="I18" s="71">
        <v>2</v>
      </c>
      <c r="J18" s="71">
        <v>1223</v>
      </c>
      <c r="K18" s="71">
        <v>1894</v>
      </c>
      <c r="L18" s="71">
        <v>5595</v>
      </c>
      <c r="M18" s="71">
        <v>190</v>
      </c>
      <c r="N18" s="71">
        <v>1624</v>
      </c>
      <c r="O18" s="71">
        <v>6481</v>
      </c>
      <c r="P18" s="71">
        <v>6879</v>
      </c>
      <c r="Q18" s="71">
        <v>2881</v>
      </c>
      <c r="R18" s="71">
        <v>3486</v>
      </c>
      <c r="S18" s="71">
        <v>6806</v>
      </c>
      <c r="T18" s="71">
        <v>1092</v>
      </c>
      <c r="U18" s="71">
        <v>6288</v>
      </c>
      <c r="V18" s="71">
        <v>1089</v>
      </c>
      <c r="W18" s="71">
        <v>-596</v>
      </c>
      <c r="X18" s="71">
        <v>291</v>
      </c>
      <c r="Y18" s="109">
        <v>-9900</v>
      </c>
      <c r="Z18" s="71">
        <v>0</v>
      </c>
      <c r="AA18" s="71">
        <v>4214</v>
      </c>
      <c r="AB18" s="71">
        <v>6847</v>
      </c>
      <c r="AC18" s="71">
        <v>6496</v>
      </c>
      <c r="AD18" s="71">
        <v>41.45</v>
      </c>
      <c r="AE18" s="71">
        <v>84.13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3" t="s" ph="1">
        <v>179</v>
      </c>
      <c r="D19" s="73" ph="1">
        <f>D18*7.0686*LOOKUP(D20,密度!$A$2:$A$50,密度!$L$2:$L$50)</f>
        <v>34451.451619199994</v>
      </c>
      <c r="E19" s="73" ph="1">
        <f>E18*7.0686*LOOKUP(E20,密度!$A$2:$A$50,密度!$L$2:$L$50)</f>
        <v>13398.8988672</v>
      </c>
      <c r="F19" s="73" ph="1">
        <f>F18*9.0746*LOOKUP(F20,密度!$A$2:$A$50,密度!$L$2:$L$50)</f>
        <v>29079.510327</v>
      </c>
      <c r="G19" s="73" ph="1">
        <f>G18*9.0746*LOOKUP(G20,密度!$A$2:$A$50,密度!$B$2:$B$50)</f>
        <v>29551.275187040002</v>
      </c>
      <c r="H19" s="73" ph="1">
        <f>H18*9.0746*LOOKUP(H20,密度!$A$2:$A$50,密度!$L$2:$L$50)</f>
        <v>38632.514164399996</v>
      </c>
      <c r="I19" s="73" ph="1">
        <f>I18*9.0746*LOOKUP(I20,密度!$A$2:$A$50,密度!$U$2:$U$50)</f>
        <v>18.6573776</v>
      </c>
      <c r="J19" s="73" ph="1">
        <f>J18*9.0746*LOOKUP(J20,密度!$A$2:$A$50,密度!$L$2:$L$50)</f>
        <v>10487.832831</v>
      </c>
      <c r="K19" s="73" ph="1">
        <f>K18*9.0746*LOOKUP(K20,密度!$A$2:$A$50,密度!$C$2:$C$50)</f>
        <v>19155.237379800004</v>
      </c>
      <c r="L19" s="73" ph="1">
        <f>L18*9.0746*LOOKUP(L20,密度!$A$2:$A$50,密度!$E$2:$E$50)</f>
        <v>40237.116697500001</v>
      </c>
      <c r="M19" s="73" ph="1">
        <f>M18*9.0746*LOOKUP(M20,密度!$A$2:$A$50,密度!$M$2:$M$50)</f>
        <v>1517.7903721999999</v>
      </c>
      <c r="N19" s="73" ph="1">
        <f>N18*9.0746*LOOKUP(N20,密度!$A$2:$A$50,密度!$M$2:$M$50)</f>
        <v>12973.113497120001</v>
      </c>
      <c r="O19" s="73" ph="1">
        <f>O18*9.0746*LOOKUP(O20,密度!$A$2:$A$50,密度!$G$2:$G$50)</f>
        <v>56989.295639399999</v>
      </c>
      <c r="P19" s="73" ph="1">
        <f ca="1">P18*9.0746*LOOKUP(P20,密度!$A$2:$A$51,密度!$Q$2:$Q$50)</f>
        <v>59477.752415520001</v>
      </c>
      <c r="Q19" s="73" ph="1">
        <f>Q18*9.0746*LOOKUP(Q20,密度!$A$2:$A$50,密度!$Q$2:$Q$50)</f>
        <v>24889.275754426002</v>
      </c>
      <c r="R19" s="73" ph="1">
        <f>MAX(R18*9.0746*LOOKUP(R20,密度!$A$2:$A$50,密度!$B$2:$B$50),0)</f>
        <v>24877.021323839999</v>
      </c>
      <c r="S19" s="73" ph="1">
        <f>S18*9.0746*LOOKUP(S20,密度!$A$2:$A$50,密度!$Q$2:$Q$50)</f>
        <v>58797.782292475997</v>
      </c>
      <c r="T19" s="73" ph="1">
        <f>T18*9.0746*LOOKUP(T20,密度!$A$2:$A$50,密度!$O$2:$O$50)</f>
        <v>9255.4386288000005</v>
      </c>
      <c r="U19" s="73" ph="1">
        <f>U18*9.0746*LOOKUP(U20,密度!$A$2:$A$50,密度!$H$2:$H$50)</f>
        <v>52593.201860159999</v>
      </c>
      <c r="V19" s="73" ph="1">
        <f>MAX(5600*LOOKUP(V20,密度!$A$2:$A$50,密度!$Q$2:$Q$50)+V18*9.0476*LOOKUP(V20,密度!$A$2:$A$50,密度!$Q$2:$Q$50),0)</f>
        <v>14723.462521919999</v>
      </c>
      <c r="W19" s="73" ph="1">
        <f>MAX(5600*LOOKUP(W20,密度!$A$2:$A$50,密度!$Q$2:$Q$50)+W18*9.0476*LOOKUP(W20,密度!$A$2:$A$50,密度!$Q$2:$Q$50),0)</f>
        <v>197.83024512000156</v>
      </c>
      <c r="X19" s="73" ph="1">
        <f>MAX(5600*LOOKUP(X20,密度!$A$2:$A$50,密度!$I$2:$I$50)+X18*9.0476*LOOKUP(X20,密度!$A$2:$A$50,密度!$I$2:$I$50),0)</f>
        <v>8649.4338909599992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30167.823475159999</v>
      </c>
      <c r="AB19" s="73" ph="1">
        <f>AB18*9.0746*LOOKUP(AB20,密度!$A$2:$A$50,密度!$L$2:$L$50)</f>
        <v>58716.427959000001</v>
      </c>
      <c r="AC19" s="73" ph="1">
        <f>AC18*9.0746*LOOKUP(AC20,密度!$A$2:$A$50,密度!$L$2:$L$50)</f>
        <v>55883.274316800002</v>
      </c>
      <c r="AD19" s="73" ph="1">
        <f>AD18*268.68*LOOKUP(AD20,密度!$A$2:$A$50,密度!B5:B53)+IF(AD18&lt;=0,0,1566*LOOKUP(AD20,密度!$A$2:$A$50,密度!B5:B53))</f>
        <v>9870.064722000001</v>
      </c>
      <c r="AE19" s="73" ph="1">
        <f>AE18*268.68*LOOKUP(AE20,密度!$A$2:$A$50,密度!B5:B53)+IF(AE18&lt;=0,0,1566*LOOKUP(AE20,密度!$A$2:$A$50,密度!B5:B53))</f>
        <v>18780.127606800001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18</v>
      </c>
      <c r="E20" s="81">
        <v>18</v>
      </c>
      <c r="F20" s="81">
        <v>17</v>
      </c>
      <c r="G20" s="81">
        <v>17</v>
      </c>
      <c r="H20" s="81">
        <v>13</v>
      </c>
      <c r="I20" s="81">
        <v>16</v>
      </c>
      <c r="J20" s="81">
        <v>17</v>
      </c>
      <c r="K20" s="81">
        <v>17</v>
      </c>
      <c r="L20" s="81">
        <v>17</v>
      </c>
      <c r="M20" s="81">
        <v>17</v>
      </c>
      <c r="N20" s="81">
        <v>15</v>
      </c>
      <c r="O20" s="81">
        <v>17</v>
      </c>
      <c r="P20" s="81">
        <v>17</v>
      </c>
      <c r="Q20" s="81">
        <v>18</v>
      </c>
      <c r="R20" s="81">
        <v>17</v>
      </c>
      <c r="S20" s="81">
        <v>18</v>
      </c>
      <c r="T20" s="81">
        <v>17</v>
      </c>
      <c r="U20" s="81">
        <v>18</v>
      </c>
      <c r="V20" s="81">
        <v>17</v>
      </c>
      <c r="W20" s="81">
        <v>17</v>
      </c>
      <c r="X20" s="81">
        <v>18</v>
      </c>
      <c r="Y20" s="110">
        <v>18</v>
      </c>
      <c r="Z20" s="81">
        <v>18</v>
      </c>
      <c r="AA20" s="81">
        <v>14</v>
      </c>
      <c r="AB20" s="81">
        <v>17</v>
      </c>
      <c r="AC20" s="81">
        <v>14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3" t="s" ph="1">
        <v>178</v>
      </c>
      <c r="D24" s="71">
        <v>3.27</v>
      </c>
      <c r="E24" s="71">
        <v>95.1</v>
      </c>
      <c r="F24" s="71">
        <v>0</v>
      </c>
      <c r="G24" s="71">
        <v>3186</v>
      </c>
      <c r="H24" s="71">
        <v>3415</v>
      </c>
      <c r="I24" s="71">
        <v>4546</v>
      </c>
      <c r="J24" s="71">
        <v>4918</v>
      </c>
      <c r="K24" s="71">
        <v>90</v>
      </c>
      <c r="L24" s="71">
        <v>4958</v>
      </c>
      <c r="M24" s="71">
        <v>5390</v>
      </c>
      <c r="N24" s="71">
        <v>5342</v>
      </c>
      <c r="O24" s="71">
        <v>3516</v>
      </c>
      <c r="P24" s="71">
        <v>833</v>
      </c>
      <c r="Q24" s="90">
        <v>3277</v>
      </c>
      <c r="R24" s="71">
        <v>6344</v>
      </c>
      <c r="S24" s="71">
        <v>67</v>
      </c>
      <c r="T24" s="71">
        <v>1748</v>
      </c>
      <c r="U24" s="71">
        <v>5271</v>
      </c>
      <c r="V24" s="71">
        <v>9616</v>
      </c>
      <c r="W24" s="71">
        <v>5461</v>
      </c>
      <c r="X24" s="71">
        <v>6843</v>
      </c>
      <c r="Y24" s="71">
        <v>3216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2314.385077464</v>
      </c>
      <c r="E25" s="91" ph="1">
        <f>E24*268.68*LOOKUP(E26,密度!$A$2:$A$50,密度!$C$2:$C$50)+IF(E24&lt;=0,0,1566*LOOKUP(E26,密度!$A$2:$A$50,密度!$C$2:$C$50))</f>
        <v>30070.560265200002</v>
      </c>
      <c r="F25" s="91" ph="1">
        <f>F24*11.702*LOOKUP(F26,密度!$A$2:$A$50,密度!$Q$2:$Q$50)</f>
        <v>0</v>
      </c>
      <c r="G25" s="91" ph="1">
        <f>G24*18.322*LOOKUP(G26,密度!$A$2:$A$50,密度!$B$2:$B$50)</f>
        <v>45905.228668800002</v>
      </c>
      <c r="H25" s="91" ph="1">
        <f>H24*18.322*LOOKUP(H26,密度!$A$2:$A$50,密度!$B$2:$B$50)</f>
        <v>49204.757031999994</v>
      </c>
      <c r="I25" s="91" ph="1">
        <f>I24*18.322*LOOKUP(I26,密度!$A$2:$A$50,密度!$Q$2:$Q$50)</f>
        <v>79294.637942119996</v>
      </c>
      <c r="J25" s="91" ph="1">
        <f>J24*18.322*LOOKUP(J26,密度!$A$2:$A$50,密度!$Q$2:$Q$50)</f>
        <v>85783.33246795999</v>
      </c>
      <c r="K25" s="91" ph="1">
        <f>K24*18.322*LOOKUP(K26,密度!$A$2:$A$50,密度!$Q$2:$Q$50)</f>
        <v>1569.8454498000001</v>
      </c>
      <c r="L25" s="91" ph="1">
        <f>L24*18.322*LOOKUP(L26,密度!$A$2:$A$50,密度!$Q$2:$Q$50)</f>
        <v>86481.041556759999</v>
      </c>
      <c r="M25" s="91" ph="1">
        <f>M24*18.322*LOOKUP(M26,密度!$A$2:$A$50,密度!$Q$2:$Q$50)</f>
        <v>94094.316623999999</v>
      </c>
      <c r="N25" s="91" ph="1">
        <f>N24*18.322*LOOKUP(N26,密度!$A$2:$A$50,密度!$Q$2:$Q$50)</f>
        <v>93179.048809240005</v>
      </c>
      <c r="O25" s="91" ph="1">
        <f>O24*18.322*LOOKUP(O26,密度!$A$2:$A$50,密度!$C$2:$C$50)</f>
        <v>71796.259403999997</v>
      </c>
      <c r="P25" s="91" ph="1">
        <f>P24*11.702*LOOKUP(P26,密度!$A$2:$A$50,密度!$B$2:$B$50)</f>
        <v>7665.6431823999992</v>
      </c>
      <c r="Q25" s="92" ph="1">
        <f>Q24*18.322*LOOKUP(Q26,密度!$A$2:$A$50,密度!$B$2:$B$50)</f>
        <v>47174.366125799992</v>
      </c>
      <c r="R25" s="91" ph="1">
        <f>R24*35.891*LOOKUP(R26,密度!$A$2:$A$50,密度!$C$2:$C$50)</f>
        <v>253626.68020559996</v>
      </c>
      <c r="S25" s="91" ph="1">
        <f>S24*35.891*LOOKUP(S26,密度!$A$2:$A$50,密度!$B$2:$B$50)</f>
        <v>1891.0537207999996</v>
      </c>
      <c r="T25" s="91" ph="1">
        <f>T24*35.891*LOOKUP(T26,密度!$A$2:$A$50,密度!$Q$2:$Q$50)</f>
        <v>59726.696910679995</v>
      </c>
      <c r="U25" s="91" ph="1">
        <f>U24*35.891</f>
        <v>189181.46099999998</v>
      </c>
      <c r="V25" s="91" ph="1">
        <f>V24*47.051*LOOKUP(V26,密度!$A$2:$A$50,密度!$B$2:$B$50)</f>
        <v>355800.71594240004</v>
      </c>
      <c r="W25" s="91" ph="1">
        <f>W24*47.051*LOOKUP(W26,密度!$A$2:$A$50,密度!$B$2:$B$50)</f>
        <v>201882.08799269999</v>
      </c>
      <c r="X25" s="91" ph="1">
        <f>X24*47.051*LOOKUP(X26,密度!$A$2:$A$50,密度!$I$2:$I$50)</f>
        <v>330502.19781450002</v>
      </c>
      <c r="Y25" s="91" ph="1">
        <f>Y24*47.051*LOOKUP(Y26,密度!$A$2:$A$50,密度!$L$2:$L$50)</f>
        <v>142993.63511999999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17</v>
      </c>
      <c r="G26" s="74">
        <v>17</v>
      </c>
      <c r="H26" s="74">
        <v>17</v>
      </c>
      <c r="I26" s="74">
        <v>18</v>
      </c>
      <c r="J26" s="74">
        <v>18</v>
      </c>
      <c r="K26" s="74">
        <v>18</v>
      </c>
      <c r="L26" s="74">
        <v>18</v>
      </c>
      <c r="M26" s="74">
        <v>17</v>
      </c>
      <c r="N26" s="74">
        <v>18</v>
      </c>
      <c r="O26" s="74">
        <v>17</v>
      </c>
      <c r="P26" s="74">
        <v>17</v>
      </c>
      <c r="Q26" s="93">
        <v>18</v>
      </c>
      <c r="R26" s="74">
        <v>18</v>
      </c>
      <c r="S26" s="74">
        <v>17</v>
      </c>
      <c r="T26" s="74">
        <v>18</v>
      </c>
      <c r="U26" s="74">
        <v>18</v>
      </c>
      <c r="V26" s="74">
        <v>17</v>
      </c>
      <c r="W26" s="74">
        <v>18</v>
      </c>
      <c r="X26" s="74">
        <v>41</v>
      </c>
      <c r="Y26" s="74">
        <v>17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3" t="s" ph="1">
        <v>181</v>
      </c>
      <c r="D27" s="71">
        <v>3.26</v>
      </c>
      <c r="E27" s="71">
        <v>95.08</v>
      </c>
      <c r="F27" s="71">
        <v>0</v>
      </c>
      <c r="G27" s="71">
        <v>2731</v>
      </c>
      <c r="H27" s="71">
        <v>3258</v>
      </c>
      <c r="I27" s="71">
        <v>4546</v>
      </c>
      <c r="J27" s="71">
        <v>4916</v>
      </c>
      <c r="K27" s="71">
        <v>88</v>
      </c>
      <c r="L27" s="71">
        <v>4285</v>
      </c>
      <c r="M27" s="71">
        <v>5389</v>
      </c>
      <c r="N27" s="71">
        <v>5340</v>
      </c>
      <c r="O27" s="71">
        <v>3514</v>
      </c>
      <c r="P27" s="71">
        <v>832</v>
      </c>
      <c r="Q27" s="90">
        <v>3970</v>
      </c>
      <c r="R27" s="71">
        <v>6341</v>
      </c>
      <c r="S27" s="71">
        <v>64</v>
      </c>
      <c r="T27" s="71">
        <v>1747</v>
      </c>
      <c r="U27" s="71">
        <v>5500</v>
      </c>
      <c r="V27" s="71">
        <v>9614</v>
      </c>
      <c r="W27" s="71">
        <v>6927</v>
      </c>
      <c r="X27" s="71">
        <v>6361</v>
      </c>
      <c r="Y27" s="71">
        <v>3686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3" t="s" ph="1">
        <v>179</v>
      </c>
      <c r="D28" s="91" ph="1">
        <f>D27*268.68*LOOKUP(D29,密度!$A$2:$A$50,密度!$Q$2:$Q$50)+IF(D27&lt;=0,0,1566*LOOKUP(D29,密度!$A$2:$A$50,密度!$Q$2:$Q$50))</f>
        <v>2311.8413764319998</v>
      </c>
      <c r="E28" s="91" ph="1">
        <f>E27*268.68*LOOKUP(E29,密度!$A$2:$A$50,密度!$C$2:$C$50)+IF(E27&lt;=0,0,1566*LOOKUP(E29,密度!$A$2:$A$50,密度!$C$2:$C$50))</f>
        <v>30064.601480160003</v>
      </c>
      <c r="F28" s="91" ph="1">
        <f>F27*11.702*LOOKUP(F29,密度!$A$2:$A$50,密度!$Q$2:$Q$50)</f>
        <v>0</v>
      </c>
      <c r="G28" s="91" ph="1">
        <f>G27*18.322*LOOKUP(G29,密度!$A$2:$A$50,密度!$B$2:$B$50)</f>
        <v>39349.3972048</v>
      </c>
      <c r="H28" s="91" ph="1">
        <f>H27*18.322*LOOKUP(H29,密度!$A$2:$A$50,密度!$B$2:$B$50)</f>
        <v>46942.634966400001</v>
      </c>
      <c r="I28" s="91" ph="1">
        <f>I27*18.322*LOOKUP(I29,密度!$A$2:$A$50,密度!$Q$2:$Q$50)</f>
        <v>79360.438473599992</v>
      </c>
      <c r="J28" s="91" ph="1">
        <f>J27*18.322*LOOKUP(J29,密度!$A$2:$A$50,密度!$Q$2:$Q$50)</f>
        <v>85748.447013519995</v>
      </c>
      <c r="K28" s="91" ph="1">
        <f>K27*18.322*LOOKUP(K29,密度!$A$2:$A$50,密度!$Q$2:$Q$50)</f>
        <v>1534.95999536</v>
      </c>
      <c r="L28" s="91" ph="1">
        <f>L27*18.322*LOOKUP(L29,密度!$A$2:$A$50,密度!$Q$2:$Q$50)</f>
        <v>74804.108855999992</v>
      </c>
      <c r="M28" s="91" ph="1">
        <f>M27*18.322*LOOKUP(M29,密度!$A$2:$A$50,密度!$Q$2:$Q$50)</f>
        <v>94076.859422399997</v>
      </c>
      <c r="N28" s="91" ph="1">
        <f>N27*18.322*LOOKUP(N29,密度!$A$2:$A$50,密度!$Q$2:$Q$50)</f>
        <v>93144.163354799995</v>
      </c>
      <c r="O28" s="91" ph="1">
        <f>O27*18.322*LOOKUP(O29,密度!$A$2:$A$50,密度!$C$2:$C$50)</f>
        <v>71755.419666000002</v>
      </c>
      <c r="P28" s="91" ph="1">
        <f>P27*11.702*LOOKUP(P29,密度!$A$2:$A$50,密度!$B$2:$B$50)</f>
        <v>7656.4407295999999</v>
      </c>
      <c r="Q28" s="92" ph="1">
        <f>Q27*18.322*LOOKUP(Q29,密度!$A$2:$A$50,密度!$B$2:$B$50)</f>
        <v>57150.513737999994</v>
      </c>
      <c r="R28" s="91" ph="1">
        <f>R27*35.891*LOOKUP(R29,密度!$A$2:$A$50,密度!$C$2:$C$50)</f>
        <v>253643.2941495</v>
      </c>
      <c r="S28" s="91" ph="1">
        <f>S27*35.891*LOOKUP(S29,密度!$A$2:$A$50,密度!$B$2:$B$50)</f>
        <v>1804.7717567999998</v>
      </c>
      <c r="T28" s="91" ph="1">
        <f>T27*35.891*LOOKUP(T29,密度!$A$2:$A$50,密度!$Q$2:$Q$50)</f>
        <v>59742.062565599997</v>
      </c>
      <c r="U28" s="91" ph="1">
        <f>U27*35.891</f>
        <v>197400.5</v>
      </c>
      <c r="V28" s="91" ph="1">
        <f>V27*47.051*LOOKUP(V29,密度!$A$2:$A$50,密度!$B$2:$B$50)</f>
        <v>355410.07030979998</v>
      </c>
      <c r="W28" s="91" ph="1">
        <f>W27*47.051*LOOKUP(W29,密度!$A$2:$A$50,密度!$B$2:$B$50)</f>
        <v>256077.13303889998</v>
      </c>
      <c r="X28" s="91" ph="1">
        <f>X27*47.051*LOOKUP(X29,密度!$A$2:$A$50,密度!$I$2:$I$50)</f>
        <v>309958.15688804002</v>
      </c>
      <c r="Y28" s="91" ph="1">
        <f>Y27*47.051*LOOKUP(Y29,密度!$A$2:$A$50,密度!$L$2:$L$50)</f>
        <v>163717.90678399999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3" t="s" ph="1">
        <v>180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17</v>
      </c>
      <c r="J29" s="74">
        <v>18</v>
      </c>
      <c r="K29" s="74">
        <v>18</v>
      </c>
      <c r="L29" s="74">
        <v>17</v>
      </c>
      <c r="M29" s="74">
        <v>17</v>
      </c>
      <c r="N29" s="74">
        <v>18</v>
      </c>
      <c r="O29" s="74">
        <v>17</v>
      </c>
      <c r="P29" s="74">
        <v>17</v>
      </c>
      <c r="Q29" s="93">
        <v>18</v>
      </c>
      <c r="R29" s="74">
        <v>17</v>
      </c>
      <c r="S29" s="74">
        <v>18</v>
      </c>
      <c r="T29" s="74">
        <v>17</v>
      </c>
      <c r="U29" s="74">
        <v>18</v>
      </c>
      <c r="V29" s="74">
        <v>18</v>
      </c>
      <c r="W29" s="74">
        <v>18</v>
      </c>
      <c r="X29" s="74">
        <v>49</v>
      </c>
      <c r="Y29" s="74">
        <v>18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3" t="s" ph="1">
        <v>5</v>
      </c>
      <c r="F32" s="142" t="s" ph="1">
        <v>43</v>
      </c>
      <c r="G32" s="97" t="s" ph="1">
        <v>4</v>
      </c>
      <c r="H32" s="143" t="s" ph="1">
        <v>5</v>
      </c>
      <c r="I32" s="142" t="s" ph="1">
        <v>43</v>
      </c>
      <c r="J32" s="97" t="s" ph="1">
        <v>4</v>
      </c>
      <c r="K32" s="143" t="s" ph="1">
        <v>5</v>
      </c>
      <c r="L32" s="142" t="s" ph="1">
        <v>43</v>
      </c>
      <c r="M32" s="97" t="s" ph="1">
        <v>4</v>
      </c>
      <c r="N32" s="143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3" t="s" ph="1">
        <v>5</v>
      </c>
      <c r="U32" s="99" t="s" ph="1">
        <v>43</v>
      </c>
      <c r="V32" s="97" t="s" ph="1">
        <v>4</v>
      </c>
      <c r="W32" s="143" t="s" ph="1">
        <v>5</v>
      </c>
      <c r="X32" s="99" t="s" ph="1">
        <v>43</v>
      </c>
      <c r="Y32" s="100" t="s" ph="1">
        <v>4</v>
      </c>
      <c r="Z32" s="143" t="s" ph="1">
        <v>5</v>
      </c>
      <c r="AA32" s="142" t="s" ph="1">
        <v>43</v>
      </c>
      <c r="AB32" s="97" t="s" ph="1">
        <v>85</v>
      </c>
      <c r="AC32" s="143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71760.972567999997</v>
      </c>
      <c r="E33" s="217" ph="1">
        <f>M10+I10</f>
        <v>98203.422822299995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21" ph="1">
        <v>0</v>
      </c>
      <c r="H33" s="217" ph="1">
        <f>N19</f>
        <v>12973.113497120001</v>
      </c>
      <c r="I33" s="230" ph="1">
        <v>0</v>
      </c>
      <c r="J33" s="228" ph="1">
        <f>F10+O28</f>
        <v>190728.68601</v>
      </c>
      <c r="K33" s="217" ph="1">
        <f>O10+K10+E28+R28</f>
        <v>287680.47398325999</v>
      </c>
      <c r="L33" s="232" ph="1">
        <f>BE27</f>
        <v>7100</v>
      </c>
      <c r="M33" s="228" ph="1">
        <f>G10+H10+W28+S28+V28+E10</f>
        <v>1464372.8741535</v>
      </c>
      <c r="N33" s="217" ph="1">
        <f>L10+P10++G28+H28</f>
        <v>252964.82128719997</v>
      </c>
      <c r="O33" s="230" ph="1">
        <f>BE17</f>
        <v>2270</v>
      </c>
      <c r="P33" s="228" ph="1">
        <f>L19</f>
        <v>40237.116697500001</v>
      </c>
      <c r="Q33" s="217" ph="1">
        <f>J10+N10</f>
        <v>76047.097127200002</v>
      </c>
      <c r="R33" s="230" ph="1">
        <f>BE23</f>
        <v>890</v>
      </c>
      <c r="S33" s="228" ph="1">
        <f>E10+X28</f>
        <v>482072.97397604003</v>
      </c>
      <c r="T33" s="217" ph="1">
        <f>X19</f>
        <v>8649.4338909599992</v>
      </c>
      <c r="U33" s="238" ph="1">
        <f>BE21</f>
        <v>730</v>
      </c>
      <c r="V33" s="249" ph="1">
        <f ca="1">P19+Q19+S19+M28+N28+J28</f>
        <v>416134.28025314194</v>
      </c>
      <c r="W33" s="249" ph="1">
        <f>D28+F28+V19+T28</f>
        <v>76777.366463951999</v>
      </c>
      <c r="X33" s="230" ph="1">
        <f>BE29+BE31</f>
        <v>10200</v>
      </c>
      <c r="Y33" s="251" ph="1">
        <f>+Q10+R10+S10+T10+U10+V10+W10+X10+Y10</f>
        <v>237725.57100599995</v>
      </c>
      <c r="Z33" s="236" ph="1">
        <f>D10+T19+U19+Y28+Z10</f>
        <v>495257.54580914002</v>
      </c>
      <c r="AA33" s="238" ph="1">
        <f>BE19</f>
        <v>1440</v>
      </c>
      <c r="AB33" s="240" ph="1">
        <f>I19</f>
        <v>18.6573776</v>
      </c>
      <c r="AC33" s="242" ph="1">
        <f>AD10</f>
        <v>26269.917728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1" t="s" ph="1">
        <v>186</v>
      </c>
      <c r="AA36" s="141" ph="1"/>
      <c r="AB36" s="235" t="s" ph="1">
        <v>641</v>
      </c>
      <c r="AC36" s="235" ph="1"/>
      <c r="AD36" s="235" ph="1"/>
      <c r="AE36" s="235" ph="1"/>
      <c r="BA36" s="64" ph="1">
        <v>2270</v>
      </c>
    </row>
    <row r="37" spans="1:57" s="14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1" t="s" ph="1">
        <v>345</v>
      </c>
      <c r="AI37" s="141" t="s" ph="1">
        <v>212</v>
      </c>
      <c r="AJ37" s="141" t="s" ph="1">
        <v>213</v>
      </c>
      <c r="AK37" s="141" t="s" ph="1">
        <v>214</v>
      </c>
      <c r="AM37" s="141" t="s" ph="1">
        <v>213</v>
      </c>
      <c r="AN37" s="141" t="s" ph="1">
        <v>214</v>
      </c>
      <c r="AO37" s="141" t="s" ph="1">
        <v>215</v>
      </c>
      <c r="AP37" s="141" t="s" ph="1">
        <v>213</v>
      </c>
      <c r="AQ37" s="141" t="s" ph="1">
        <v>214</v>
      </c>
      <c r="AR37" s="141" t="s" ph="1">
        <v>215</v>
      </c>
      <c r="AS37" s="141" t="s" ph="1">
        <v>213</v>
      </c>
      <c r="AT37" s="141" t="s" ph="1">
        <v>214</v>
      </c>
      <c r="AU37" s="141" t="s" ph="1">
        <v>215</v>
      </c>
      <c r="AV37" s="141" t="s" ph="1">
        <v>213</v>
      </c>
      <c r="AW37" s="141" t="s" ph="1">
        <v>214</v>
      </c>
      <c r="AX37" s="141" t="s" ph="1">
        <v>215</v>
      </c>
      <c r="AY37" s="141" t="s" ph="1">
        <v>214</v>
      </c>
      <c r="AZ37" s="141" t="s" ph="1">
        <v>216</v>
      </c>
      <c r="BD37" s="141" t="s" ph="1">
        <v>308</v>
      </c>
      <c r="BE37" s="14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45" priority="96">
      <formula>ABS(D$7-D$10)&gt;=1000</formula>
    </cfRule>
  </conditionalFormatting>
  <conditionalFormatting sqref="E4 E6:E11">
    <cfRule type="expression" dxfId="2644" priority="95">
      <formula>ABS(E$7-E$10)&gt;=1000</formula>
    </cfRule>
  </conditionalFormatting>
  <conditionalFormatting sqref="F4:F11">
    <cfRule type="expression" dxfId="2643" priority="94">
      <formula>ABS(F$7-F$10)&gt;=1000</formula>
    </cfRule>
  </conditionalFormatting>
  <conditionalFormatting sqref="G4:G11">
    <cfRule type="expression" dxfId="2642" priority="93">
      <formula>ABS(G$7-G$10)&gt;=1000</formula>
    </cfRule>
  </conditionalFormatting>
  <conditionalFormatting sqref="H4:H11">
    <cfRule type="expression" dxfId="2641" priority="92">
      <formula>ABS(H$7-H$10)&gt;=1000</formula>
    </cfRule>
  </conditionalFormatting>
  <conditionalFormatting sqref="I4:I11">
    <cfRule type="expression" dxfId="2640" priority="91">
      <formula>ABS(I$7-I$10)&gt;=1000</formula>
    </cfRule>
  </conditionalFormatting>
  <conditionalFormatting sqref="J4:J11">
    <cfRule type="expression" dxfId="2639" priority="90">
      <formula>ABS(J$7-J$10)&gt;=1000</formula>
    </cfRule>
  </conditionalFormatting>
  <conditionalFormatting sqref="K4:K11">
    <cfRule type="expression" dxfId="2638" priority="89">
      <formula>ABS(K$7-K$10)&gt;=1000</formula>
    </cfRule>
  </conditionalFormatting>
  <conditionalFormatting sqref="L4:L11">
    <cfRule type="expression" dxfId="2637" priority="88">
      <formula>ABS(L$7-L$10)&gt;=1000</formula>
    </cfRule>
  </conditionalFormatting>
  <conditionalFormatting sqref="M4 M6:M11">
    <cfRule type="expression" dxfId="2636" priority="87">
      <formula>ABS(M$7-M$10)&gt;=1000</formula>
    </cfRule>
  </conditionalFormatting>
  <conditionalFormatting sqref="N4 N6:N11">
    <cfRule type="expression" dxfId="2635" priority="86">
      <formula>ABS(N$7-N$10)&gt;=1000</formula>
    </cfRule>
  </conditionalFormatting>
  <conditionalFormatting sqref="O4 O6:O11">
    <cfRule type="expression" dxfId="2634" priority="85">
      <formula>ABS(O$7-O$10)&gt;=1000</formula>
    </cfRule>
  </conditionalFormatting>
  <conditionalFormatting sqref="P4 P6:P11">
    <cfRule type="expression" dxfId="2633" priority="84">
      <formula>ABS(P$7-P$10)&gt;=1000</formula>
    </cfRule>
  </conditionalFormatting>
  <conditionalFormatting sqref="Q4:Q11">
    <cfRule type="expression" dxfId="2632" priority="83">
      <formula>ABS(Q$7-Q$10)&gt;=1000</formula>
    </cfRule>
  </conditionalFormatting>
  <conditionalFormatting sqref="R4:R11">
    <cfRule type="expression" dxfId="2631" priority="82">
      <formula>ABS(R$7-R$10)&gt;=1000</formula>
    </cfRule>
  </conditionalFormatting>
  <conditionalFormatting sqref="S4:S11">
    <cfRule type="expression" dxfId="2630" priority="81">
      <formula>ABS(S$7-S$10)&gt;=1000</formula>
    </cfRule>
  </conditionalFormatting>
  <conditionalFormatting sqref="T4:T9 T11">
    <cfRule type="expression" dxfId="2629" priority="80">
      <formula>ABS(T$7-T$10)&gt;=1000</formula>
    </cfRule>
  </conditionalFormatting>
  <conditionalFormatting sqref="U4:U9 U11">
    <cfRule type="expression" dxfId="2628" priority="79">
      <formula>ABS(U$7-U$10)&gt;=1000</formula>
    </cfRule>
  </conditionalFormatting>
  <conditionalFormatting sqref="V4:V9 V11">
    <cfRule type="expression" dxfId="2627" priority="78">
      <formula>ABS(V$7-V$10)&gt;=1000</formula>
    </cfRule>
  </conditionalFormatting>
  <conditionalFormatting sqref="W4:W9 W11">
    <cfRule type="expression" dxfId="2626" priority="77">
      <formula>ABS(W$7-W$10)&gt;=1000</formula>
    </cfRule>
  </conditionalFormatting>
  <conditionalFormatting sqref="X4:X9 X11">
    <cfRule type="expression" dxfId="2625" priority="76">
      <formula>ABS(X$7-X$10)&gt;=1000</formula>
    </cfRule>
  </conditionalFormatting>
  <conditionalFormatting sqref="Y4:Y9 Y11">
    <cfRule type="expression" dxfId="2624" priority="75">
      <formula>ABS(Y$7-Y$10)&gt;=1000</formula>
    </cfRule>
  </conditionalFormatting>
  <conditionalFormatting sqref="Z4:Z11">
    <cfRule type="expression" dxfId="2623" priority="74">
      <formula>ABS(Z$7-Z$10)&gt;=1000</formula>
    </cfRule>
  </conditionalFormatting>
  <conditionalFormatting sqref="AA4:AA11">
    <cfRule type="expression" dxfId="2622" priority="73">
      <formula>ABS(AA$7-AA$10)&gt;=1000</formula>
    </cfRule>
  </conditionalFormatting>
  <conditionalFormatting sqref="AB4:AB11">
    <cfRule type="expression" dxfId="2621" priority="72">
      <formula>ABS(AB$7-AB$10)&gt;=1000</formula>
    </cfRule>
  </conditionalFormatting>
  <conditionalFormatting sqref="AC4 AC6:AC11">
    <cfRule type="expression" dxfId="2620" priority="71">
      <formula>ABS(AC$7-AC$10)&gt;=1000</formula>
    </cfRule>
  </conditionalFormatting>
  <conditionalFormatting sqref="AD4:AD11">
    <cfRule type="expression" dxfId="2619" priority="70">
      <formula>ABS(AD$7-AD$10)&gt;=1000</formula>
    </cfRule>
  </conditionalFormatting>
  <conditionalFormatting sqref="AE4:AE11">
    <cfRule type="expression" dxfId="2618" priority="69">
      <formula>ABS(AE$7-AE$10)&gt;=1000</formula>
    </cfRule>
  </conditionalFormatting>
  <conditionalFormatting sqref="D13:D20">
    <cfRule type="expression" dxfId="2617" priority="68">
      <formula>ABS(D$16-D$19)&gt;=1000</formula>
    </cfRule>
  </conditionalFormatting>
  <conditionalFormatting sqref="E13:E20">
    <cfRule type="expression" dxfId="2616" priority="67">
      <formula>ABS(E$16-E$19)&gt;=1000</formula>
    </cfRule>
  </conditionalFormatting>
  <conditionalFormatting sqref="F13 F15:F20">
    <cfRule type="expression" dxfId="2615" priority="66">
      <formula>ABS(F$16-F$19)&gt;=1000</formula>
    </cfRule>
  </conditionalFormatting>
  <conditionalFormatting sqref="G13:G20">
    <cfRule type="expression" dxfId="2614" priority="65">
      <formula>ABS(G$16-G$19)&gt;=1000</formula>
    </cfRule>
  </conditionalFormatting>
  <conditionalFormatting sqref="H13:H20">
    <cfRule type="expression" dxfId="2613" priority="64">
      <formula>ABS(H$16-H$19)&gt;=1000</formula>
    </cfRule>
  </conditionalFormatting>
  <conditionalFormatting sqref="I13:I20">
    <cfRule type="expression" dxfId="2612" priority="63">
      <formula>ABS(I$16-I$19)&gt;=1000</formula>
    </cfRule>
  </conditionalFormatting>
  <conditionalFormatting sqref="J13:J20">
    <cfRule type="expression" dxfId="2611" priority="62">
      <formula>ABS(J$16-J$19)&gt;=1000</formula>
    </cfRule>
  </conditionalFormatting>
  <conditionalFormatting sqref="L13:L20">
    <cfRule type="expression" dxfId="2610" priority="61">
      <formula>ABS(L$16-L$19)&gt;=1000</formula>
    </cfRule>
  </conditionalFormatting>
  <conditionalFormatting sqref="M13 M15 M17:M18 M20">
    <cfRule type="expression" dxfId="2609" priority="60">
      <formula>ABS(M$16-M$19)&gt;=1000</formula>
    </cfRule>
  </conditionalFormatting>
  <conditionalFormatting sqref="N13:N20">
    <cfRule type="expression" dxfId="2608" priority="59">
      <formula>ABS(N$16-N$19)&gt;=1000</formula>
    </cfRule>
  </conditionalFormatting>
  <conditionalFormatting sqref="O13:O20">
    <cfRule type="expression" dxfId="2607" priority="58">
      <formula>ABS(O$16-O$19)&gt;=1000</formula>
    </cfRule>
  </conditionalFormatting>
  <conditionalFormatting sqref="P13:P20">
    <cfRule type="expression" dxfId="2606" priority="57">
      <formula>ABS(P$16-P$19)&gt;=1000</formula>
    </cfRule>
  </conditionalFormatting>
  <conditionalFormatting sqref="Q13 Q15:Q20">
    <cfRule type="expression" dxfId="2605" priority="56">
      <formula>ABS(Q$16-Q$19)&gt;=1000</formula>
    </cfRule>
  </conditionalFormatting>
  <conditionalFormatting sqref="R13:R20">
    <cfRule type="expression" dxfId="2604" priority="55">
      <formula>ABS(R$16-R$19)&gt;=1000</formula>
    </cfRule>
  </conditionalFormatting>
  <conditionalFormatting sqref="S13:S20">
    <cfRule type="expression" dxfId="2603" priority="54">
      <formula>ABS(S$16-S$19)&gt;=1000</formula>
    </cfRule>
  </conditionalFormatting>
  <conditionalFormatting sqref="T13:T20">
    <cfRule type="expression" dxfId="2602" priority="53">
      <formula>ABS(T$16-T$19)&gt;=1000</formula>
    </cfRule>
  </conditionalFormatting>
  <conditionalFormatting sqref="U13:U20">
    <cfRule type="expression" dxfId="2601" priority="52">
      <formula>ABS(U$16-U$19)&gt;=1000</formula>
    </cfRule>
  </conditionalFormatting>
  <conditionalFormatting sqref="V13:V20">
    <cfRule type="expression" dxfId="2600" priority="51">
      <formula>ABS(V$16-V$19)&gt;=1000</formula>
    </cfRule>
  </conditionalFormatting>
  <conditionalFormatting sqref="W13 W20 W15:W18">
    <cfRule type="expression" dxfId="2599" priority="50">
      <formula>ABS(W$16-W$19)&gt;=1000</formula>
    </cfRule>
  </conditionalFormatting>
  <conditionalFormatting sqref="X13 X15:X20 Y19">
    <cfRule type="expression" dxfId="2598" priority="49">
      <formula>ABS(X$16-X$19)&gt;=1000</formula>
    </cfRule>
  </conditionalFormatting>
  <conditionalFormatting sqref="Y13 Y15:Y18 Y20">
    <cfRule type="expression" dxfId="2597" priority="48">
      <formula>ABS(Y$16-Y$19)&gt;=1000</formula>
    </cfRule>
  </conditionalFormatting>
  <conditionalFormatting sqref="Z13:Z20">
    <cfRule type="expression" dxfId="2596" priority="47">
      <formula>ABS(Z$16-Z$19)&gt;=1000</formula>
    </cfRule>
  </conditionalFormatting>
  <conditionalFormatting sqref="AA13:AA20">
    <cfRule type="expression" dxfId="2595" priority="46">
      <formula>ABS(AA$16-AA$19)&gt;=1000</formula>
    </cfRule>
  </conditionalFormatting>
  <conditionalFormatting sqref="AB13 AB15:AB20">
    <cfRule type="expression" dxfId="2594" priority="45">
      <formula>ABS(AB$16-AB$19)&gt;=1000</formula>
    </cfRule>
  </conditionalFormatting>
  <conditionalFormatting sqref="AC13 AC15:AC20">
    <cfRule type="expression" dxfId="2593" priority="44">
      <formula>ABS(AC$16-AC$19)&gt;=1000</formula>
    </cfRule>
  </conditionalFormatting>
  <conditionalFormatting sqref="AD13:AD20">
    <cfRule type="expression" dxfId="2592" priority="43">
      <formula>ABS(AD$16-AD$19)&gt;=1000</formula>
    </cfRule>
  </conditionalFormatting>
  <conditionalFormatting sqref="AE13:AE20">
    <cfRule type="expression" dxfId="2591" priority="42">
      <formula>ABS(AE$16-AE$19)&gt;=1000</formula>
    </cfRule>
  </conditionalFormatting>
  <conditionalFormatting sqref="D22:D29">
    <cfRule type="expression" dxfId="2590" priority="41">
      <formula>ABS(D$25-D$28)&gt;=1000</formula>
    </cfRule>
  </conditionalFormatting>
  <conditionalFormatting sqref="E22:E29">
    <cfRule type="expression" dxfId="2589" priority="40">
      <formula>ABS(E$25-E$28)&gt;=1000</formula>
    </cfRule>
  </conditionalFormatting>
  <conditionalFormatting sqref="F22:F29">
    <cfRule type="expression" dxfId="2588" priority="39">
      <formula>ABS(F$25-F$28)&gt;=1000</formula>
    </cfRule>
  </conditionalFormatting>
  <conditionalFormatting sqref="G22:G29">
    <cfRule type="expression" dxfId="2587" priority="38">
      <formula>ABS(G$25-G$28)&gt;=1000</formula>
    </cfRule>
  </conditionalFormatting>
  <conditionalFormatting sqref="H22:H29">
    <cfRule type="expression" dxfId="2586" priority="37">
      <formula>ABS(H$25-H$28)&gt;=1000</formula>
    </cfRule>
  </conditionalFormatting>
  <conditionalFormatting sqref="I22 I24:I29">
    <cfRule type="expression" dxfId="2585" priority="36">
      <formula>ABS(I$25-I$28)&gt;=1000</formula>
    </cfRule>
  </conditionalFormatting>
  <conditionalFormatting sqref="J22:J29 K22">
    <cfRule type="expression" dxfId="2584" priority="35">
      <formula>ABS(J$25-J$28)&gt;=1000</formula>
    </cfRule>
  </conditionalFormatting>
  <conditionalFormatting sqref="K23:K29 L25 L28">
    <cfRule type="expression" dxfId="2583" priority="34">
      <formula>ABS(K$25-K$28)&gt;=1000</formula>
    </cfRule>
  </conditionalFormatting>
  <conditionalFormatting sqref="L22:L24 L26:L27 L29">
    <cfRule type="expression" dxfId="2582" priority="33">
      <formula>ABS(L$25-L$28)&gt;=1000</formula>
    </cfRule>
  </conditionalFormatting>
  <conditionalFormatting sqref="M22:M29">
    <cfRule type="expression" dxfId="2581" priority="32">
      <formula>ABS(M$25-M$28)&gt;=1000</formula>
    </cfRule>
  </conditionalFormatting>
  <conditionalFormatting sqref="N22:N29">
    <cfRule type="expression" dxfId="2580" priority="31">
      <formula>ABS(N$25-N$28)&gt;=1000</formula>
    </cfRule>
  </conditionalFormatting>
  <conditionalFormatting sqref="O22:O29">
    <cfRule type="expression" dxfId="2579" priority="30">
      <formula>ABS(O$25-O$28)&gt;=1000</formula>
    </cfRule>
  </conditionalFormatting>
  <conditionalFormatting sqref="P22:P29">
    <cfRule type="expression" dxfId="2578" priority="29">
      <formula>ABS(P$25-P$28)&gt;=1000</formula>
    </cfRule>
  </conditionalFormatting>
  <conditionalFormatting sqref="Q22:Q29">
    <cfRule type="expression" dxfId="2577" priority="28">
      <formula>ABS(Q$25-Q$28)&gt;=1000</formula>
    </cfRule>
  </conditionalFormatting>
  <conditionalFormatting sqref="R22:R29">
    <cfRule type="expression" dxfId="2576" priority="27">
      <formula>ABS(R$25-R$28)&gt;=1000</formula>
    </cfRule>
  </conditionalFormatting>
  <conditionalFormatting sqref="S22:S29">
    <cfRule type="expression" dxfId="2575" priority="26">
      <formula>ABS(S$25-S$28)&gt;=1000</formula>
    </cfRule>
  </conditionalFormatting>
  <conditionalFormatting sqref="T22:T29">
    <cfRule type="expression" dxfId="2574" priority="25">
      <formula>ABS(T$25-T$28)&gt;=1000</formula>
    </cfRule>
  </conditionalFormatting>
  <conditionalFormatting sqref="U22:U29">
    <cfRule type="expression" dxfId="2573" priority="24">
      <formula>ABS(U$25-U$28)&gt;=1000</formula>
    </cfRule>
  </conditionalFormatting>
  <conditionalFormatting sqref="V22:V29">
    <cfRule type="expression" dxfId="2572" priority="23">
      <formula>ABS(V$25-V$28)&gt;=1000</formula>
    </cfRule>
  </conditionalFormatting>
  <conditionalFormatting sqref="W22:W29">
    <cfRule type="expression" dxfId="2571" priority="22">
      <formula>ABS(W$25-W$28)&gt;=1000</formula>
    </cfRule>
  </conditionalFormatting>
  <conditionalFormatting sqref="X22:X29">
    <cfRule type="expression" dxfId="2570" priority="21">
      <formula>ABS(X$25-X$28)&gt;=1000</formula>
    </cfRule>
  </conditionalFormatting>
  <conditionalFormatting sqref="Y22:Y29">
    <cfRule type="expression" dxfId="2569" priority="20">
      <formula>ABS(Y$25-Y$28)&gt;=1000</formula>
    </cfRule>
  </conditionalFormatting>
  <conditionalFormatting sqref="I23">
    <cfRule type="expression" dxfId="2568" priority="19">
      <formula>ABS(I$25-I$28)&gt;=1000</formula>
    </cfRule>
  </conditionalFormatting>
  <conditionalFormatting sqref="F14">
    <cfRule type="expression" dxfId="2567" priority="18">
      <formula>ABS(F$16-F$19)&gt;=1000</formula>
    </cfRule>
  </conditionalFormatting>
  <conditionalFormatting sqref="Q14">
    <cfRule type="expression" dxfId="2566" priority="17">
      <formula>ABS(Q$16-Q$19)&gt;=1000</formula>
    </cfRule>
  </conditionalFormatting>
  <conditionalFormatting sqref="W14">
    <cfRule type="expression" dxfId="2565" priority="16">
      <formula>ABS(W$16-W$19)&gt;=1000</formula>
    </cfRule>
  </conditionalFormatting>
  <conditionalFormatting sqref="Y14">
    <cfRule type="expression" dxfId="2564" priority="15">
      <formula>ABS(Y$16-Y$19)&gt;=1000</formula>
    </cfRule>
  </conditionalFormatting>
  <conditionalFormatting sqref="X14">
    <cfRule type="expression" dxfId="2563" priority="14">
      <formula>ABS(X$16-X$19)&gt;=1000</formula>
    </cfRule>
  </conditionalFormatting>
  <conditionalFormatting sqref="T10:Y10">
    <cfRule type="expression" dxfId="2562" priority="13">
      <formula>ABS(T$7-T$10)&gt;=1000</formula>
    </cfRule>
  </conditionalFormatting>
  <conditionalFormatting sqref="W19">
    <cfRule type="expression" dxfId="2561" priority="12">
      <formula>ABS(W$16-W$19)&gt;=1000</formula>
    </cfRule>
  </conditionalFormatting>
  <conditionalFormatting sqref="AC5">
    <cfRule type="expression" dxfId="2560" priority="11">
      <formula>ABS(AC$7-AC$10)&gt;=1000</formula>
    </cfRule>
  </conditionalFormatting>
  <conditionalFormatting sqref="M14">
    <cfRule type="expression" dxfId="2559" priority="10">
      <formula>ABS(M$16-M$19)&gt;=1000</formula>
    </cfRule>
  </conditionalFormatting>
  <conditionalFormatting sqref="M16">
    <cfRule type="expression" dxfId="2558" priority="9">
      <formula>ABS(M$16-M$19)&gt;=1000</formula>
    </cfRule>
  </conditionalFormatting>
  <conditionalFormatting sqref="M19">
    <cfRule type="expression" dxfId="2557" priority="8">
      <formula>ABS(M$16-M$19)&gt;=1000</formula>
    </cfRule>
  </conditionalFormatting>
  <conditionalFormatting sqref="K13:K20">
    <cfRule type="expression" dxfId="2556" priority="7">
      <formula>ABS(K$16-K$19)&gt;=1000</formula>
    </cfRule>
  </conditionalFormatting>
  <conditionalFormatting sqref="E5">
    <cfRule type="expression" dxfId="2555" priority="6">
      <formula>ABS(E$7-E$10)&gt;=1000</formula>
    </cfRule>
  </conditionalFormatting>
  <conditionalFormatting sqref="AB14:AC14">
    <cfRule type="expression" dxfId="2554" priority="5">
      <formula>ABS(AB$16-AB$19)&gt;=1000</formula>
    </cfRule>
  </conditionalFormatting>
  <conditionalFormatting sqref="M5">
    <cfRule type="expression" dxfId="2553" priority="4">
      <formula>ABS(M$7-M$10)&gt;=1000</formula>
    </cfRule>
  </conditionalFormatting>
  <conditionalFormatting sqref="N5">
    <cfRule type="expression" dxfId="2552" priority="3">
      <formula>ABS(N$7-N$10)&gt;=1000</formula>
    </cfRule>
  </conditionalFormatting>
  <conditionalFormatting sqref="O5">
    <cfRule type="expression" dxfId="2551" priority="2">
      <formula>ABS(O$7-O$10)&gt;=1000</formula>
    </cfRule>
  </conditionalFormatting>
  <conditionalFormatting sqref="P5">
    <cfRule type="expression" dxfId="255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274320</xdr:rowOff>
                  </from>
                  <to>
                    <xdr:col>32</xdr:col>
                    <xdr:colOff>327660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6">
    <pageSetUpPr fitToPage="1"/>
  </sheetPr>
  <dimension ref="A1:CU223"/>
  <sheetViews>
    <sheetView view="pageBreakPreview" zoomScale="85" zoomScaleNormal="100" zoomScaleSheetLayoutView="85" workbookViewId="0">
      <selection activeCell="Y14" sqref="Y14:Y1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45748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4" t="s" ph="1">
        <v>178</v>
      </c>
      <c r="D6" s="71">
        <v>5419</v>
      </c>
      <c r="E6" s="71">
        <v>4241</v>
      </c>
      <c r="F6" s="71">
        <v>3214</v>
      </c>
      <c r="G6" s="71">
        <v>7358</v>
      </c>
      <c r="H6" s="71">
        <v>8858</v>
      </c>
      <c r="I6" s="71">
        <v>16.02</v>
      </c>
      <c r="J6" s="71">
        <v>7.76</v>
      </c>
      <c r="K6" s="71">
        <v>7.21</v>
      </c>
      <c r="L6" s="71">
        <v>40.42</v>
      </c>
      <c r="M6" s="71">
        <v>2720</v>
      </c>
      <c r="N6" s="71">
        <v>2825</v>
      </c>
      <c r="O6" s="71">
        <v>73</v>
      </c>
      <c r="P6" s="71">
        <v>4285</v>
      </c>
      <c r="Q6" s="71">
        <v>945</v>
      </c>
      <c r="R6" s="71">
        <v>7114</v>
      </c>
      <c r="S6" s="71">
        <v>5150</v>
      </c>
      <c r="T6" s="71">
        <v>7097</v>
      </c>
      <c r="U6" s="71">
        <v>7023</v>
      </c>
      <c r="V6" s="71">
        <v>3135</v>
      </c>
      <c r="W6" s="71">
        <v>0</v>
      </c>
      <c r="X6" s="71">
        <v>0</v>
      </c>
      <c r="Y6" s="71">
        <v>0</v>
      </c>
      <c r="Z6" s="71">
        <v>3302</v>
      </c>
      <c r="AA6" s="71">
        <v>1567</v>
      </c>
      <c r="AB6" s="71">
        <v>842</v>
      </c>
      <c r="AC6" s="71">
        <v>4358</v>
      </c>
      <c r="AD6" s="71">
        <v>1333</v>
      </c>
      <c r="AE6" s="71">
        <v>1838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171189.17869077</v>
      </c>
      <c r="E7" s="73" ph="1">
        <f>E6*51.53*LOOKUP(E8,密度!$A$2:$A$50,密度!$B$2:$B$50)</f>
        <v>172208.51924000002</v>
      </c>
      <c r="F7" s="73" ph="1">
        <f>F6*33.183*LOOKUP(F8,密度!$A$2:$A$50,密度!$C$2:$C$50)</f>
        <v>119000.25075959999</v>
      </c>
      <c r="G7" s="73" ph="1">
        <f xml:space="preserve"> (G6+2)*51.53*LOOKUP(G8,密度!$A$2:$A$50,密度!$B$2:$B$50)</f>
        <v>298554.10175999999</v>
      </c>
      <c r="H7" s="73" ph="1">
        <f>(H6)*51.53*LOOKUP(H8,密度!$A$2:$A$50,密度!$B$2:$B$50)</f>
        <v>361236.69843599998</v>
      </c>
      <c r="I7" s="73" ph="1">
        <f>I6*290.8*1.0267</f>
        <v>4783.0010471999994</v>
      </c>
      <c r="J7" s="73" ph="1">
        <f>J6*290.8*0.7892</f>
        <v>1780.9150336000002</v>
      </c>
      <c r="K7" s="73" ph="1">
        <f>K6*290.8*1.1126</f>
        <v>2332.7528168000003</v>
      </c>
      <c r="L7" s="73" ph="1">
        <f>L6*290.8*0.777</f>
        <v>9132.9636719999999</v>
      </c>
      <c r="M7" s="73" ph="1">
        <f>M6*33.183*LOOKUP(M8,密度!$A$2:$A$50,密度!$D$2:$D$50)</f>
        <v>93398.730047999983</v>
      </c>
      <c r="N7" s="73" ph="1">
        <f>N6*33.183*LOOKUP(N8,密度!$A$2:$A$50,密度!$E$2:$E$50)</f>
        <v>74187.399015000003</v>
      </c>
      <c r="O7" s="73" ph="1">
        <f>O6*20.428*LOOKUP(O8,密度!$A$2:$A$50,密度!$C$2:$C$50)</f>
        <v>1660.0528208000001</v>
      </c>
      <c r="P7" s="73" ph="1">
        <f>P6*51.53*LOOKUP(P8,密度!$A$2:$A$50,密度!$B$2:$B$50)</f>
        <v>173995.16740000003</v>
      </c>
      <c r="Q7" s="73" ph="1">
        <f>Q6*1.5*1.5*3.1416*LOOKUP(W8,密度!$A$2:$A$50,密度!$L$2:$L$50)</f>
        <v>6319.1163420000003</v>
      </c>
      <c r="R7" s="73" ph="1">
        <f>R6*1.5*1.5*3.1416*LOOKUP(R8,密度!$A$2:$A$50,密度!$L$2:$L$50)</f>
        <v>47419.717237199999</v>
      </c>
      <c r="S7" s="73" ph="1">
        <f>S6*1.5*1.5*3.1416*LOOKUP(S8,密度!$A$2:$A$50,密度!$L$2:$L$50)</f>
        <v>34655.932079999999</v>
      </c>
      <c r="T7" s="73" ph="1">
        <f>T6*1.5*1.5*3.1416*LOOKUP(T8,密度!$A$2:$A$50,密度!$L$2:$L$50)</f>
        <v>47456.898073199998</v>
      </c>
      <c r="U7" s="73" ph="1">
        <f>U6*1.5*1.5*3.1416*LOOKUP(U8,密度!$A$2:$A$50,密度!$L$2:$L$50)</f>
        <v>46912.425020999995</v>
      </c>
      <c r="V7" s="73" ph="1">
        <f>V6*1.5*1.5*3.1416*LOOKUP(V8,密度!$A$2:$A$50,密度!$L$2:$L$50)</f>
        <v>20830.457339999997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104091.7527</v>
      </c>
      <c r="AA7" s="73" ph="1">
        <f>AA6*33.183*LOOKUP(AA8,密度!$A$2:$A$50,密度!$D$2:$D$50)</f>
        <v>53848.881291600002</v>
      </c>
      <c r="AB7" s="73" ph="1">
        <f>AB6*20.428*LOOKUP(AB8,密度!$A$2:$A$50,密度!$D$2:$D$50)</f>
        <v>17965.792732000002</v>
      </c>
      <c r="AC7" s="73" ph="1">
        <f>AC6*51.53*LOOKUP(AC8,密度!$A$2:$A$50,密度!$Q$2:$Q$50)</f>
        <v>214358.89053959999</v>
      </c>
      <c r="AD7" s="73" ph="1">
        <f>AD6*20.428*LOOKUP(AD8,密度!$A$2:$A$50,密度!$V$2:$V$50)</f>
        <v>26250.225136000001</v>
      </c>
      <c r="AE7" s="73" ph="1">
        <f>AE6*20.428</f>
        <v>37546.664000000004</v>
      </c>
    </row>
    <row r="8" spans="1:99" ph="1">
      <c r="B8" s="195" ph="1"/>
      <c r="C8" s="68" t="s" ph="1">
        <v>180</v>
      </c>
      <c r="D8" s="74">
        <v>18</v>
      </c>
      <c r="E8" s="74">
        <v>15</v>
      </c>
      <c r="F8" s="74">
        <v>15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19</v>
      </c>
      <c r="P8" s="74">
        <v>15</v>
      </c>
      <c r="Q8" s="74">
        <v>15</v>
      </c>
      <c r="R8" s="74">
        <v>19</v>
      </c>
      <c r="S8" s="74">
        <v>10</v>
      </c>
      <c r="T8" s="74">
        <v>16</v>
      </c>
      <c r="U8" s="74">
        <v>17</v>
      </c>
      <c r="V8" s="74">
        <v>22</v>
      </c>
      <c r="W8" s="74">
        <v>16</v>
      </c>
      <c r="X8" s="74">
        <v>8</v>
      </c>
      <c r="Y8" s="74">
        <v>10</v>
      </c>
      <c r="Z8" s="74">
        <v>12</v>
      </c>
      <c r="AA8" s="74">
        <v>15</v>
      </c>
      <c r="AB8" s="74">
        <v>5</v>
      </c>
      <c r="AC8" s="74">
        <v>12</v>
      </c>
      <c r="AD8" s="74">
        <v>9</v>
      </c>
      <c r="AE8" s="74">
        <v>18</v>
      </c>
    </row>
    <row r="9" spans="1:99" ht="26.4" ph="1">
      <c r="B9" s="195" ph="1">
        <v>0.66666666666666663</v>
      </c>
      <c r="C9" s="144" t="s" ph="1">
        <v>181</v>
      </c>
      <c r="D9" s="71">
        <v>4772</v>
      </c>
      <c r="E9" s="71">
        <v>4238</v>
      </c>
      <c r="F9" s="71">
        <v>3213</v>
      </c>
      <c r="G9" s="71">
        <v>7116</v>
      </c>
      <c r="H9" s="71">
        <v>8858</v>
      </c>
      <c r="I9" s="71">
        <v>16.010000000000002</v>
      </c>
      <c r="J9" s="71">
        <v>7.8</v>
      </c>
      <c r="K9" s="71">
        <v>7.21</v>
      </c>
      <c r="L9" s="71">
        <v>32.92</v>
      </c>
      <c r="M9" s="71">
        <v>2719</v>
      </c>
      <c r="N9" s="71">
        <v>2606</v>
      </c>
      <c r="O9" s="71">
        <v>72</v>
      </c>
      <c r="P9" s="71">
        <v>4064</v>
      </c>
      <c r="Q9" s="71">
        <v>0</v>
      </c>
      <c r="R9" s="71">
        <v>3562</v>
      </c>
      <c r="S9" s="71">
        <v>5153</v>
      </c>
      <c r="T9" s="71">
        <v>7101</v>
      </c>
      <c r="U9" s="71">
        <v>7025</v>
      </c>
      <c r="V9" s="71">
        <v>5288</v>
      </c>
      <c r="W9" s="71">
        <v>2398</v>
      </c>
      <c r="X9" s="71">
        <v>0</v>
      </c>
      <c r="Y9" s="71">
        <v>0</v>
      </c>
      <c r="Z9" s="71">
        <v>1023</v>
      </c>
      <c r="AA9" s="71">
        <v>1564</v>
      </c>
      <c r="AB9" s="71">
        <v>685</v>
      </c>
      <c r="AC9" s="71">
        <v>4354</v>
      </c>
      <c r="AD9" s="71">
        <v>1332</v>
      </c>
      <c r="AE9" s="71">
        <v>1818</v>
      </c>
    </row>
    <row r="10" spans="1:99" s="72" customFormat="1" ht="22.2" ph="1">
      <c r="B10" s="195" ph="1"/>
      <c r="C10" s="144" t="s" ph="1">
        <v>179</v>
      </c>
      <c r="D10" s="73" ph="1">
        <f>D9*33.183*LOOKUP(D11,密度!$A$2:$A$50,密度!$Q$2:$Q$50)</f>
        <v>150750.09424476002</v>
      </c>
      <c r="E10" s="73" ph="1">
        <f>E9*51.53*LOOKUP(E11,密度!$A$2:$A$50,密度!$B$2:$B$50)</f>
        <v>171911.99500800003</v>
      </c>
      <c r="F10" s="73" ph="1">
        <f>F9*33.183*LOOKUP(F11,密度!$A$2:$A$50,密度!$C$2:$C$50)</f>
        <v>118824.62309550001</v>
      </c>
      <c r="G10" s="73" ph="1">
        <f xml:space="preserve"> (G9+2)*51.53*LOOKUP(G11,密度!$A$2:$A$50,密度!$B$2:$B$50)</f>
        <v>288187.32727799995</v>
      </c>
      <c r="H10" s="73" ph="1">
        <f>(H9)*51.53*LOOKUP(H11,密度!$A$2:$A$50,密度!$B$2:$B$50)</f>
        <v>360460.72877799999</v>
      </c>
      <c r="I10" s="73" ph="1">
        <f>I9*290.8*1.0267</f>
        <v>4780.0154036000004</v>
      </c>
      <c r="J10" s="73" ph="1">
        <f>J9*290.8*0.7892</f>
        <v>1790.0950080000002</v>
      </c>
      <c r="K10" s="73" ph="1">
        <f>K9*290.8*1.1126</f>
        <v>2332.7528168000003</v>
      </c>
      <c r="L10" s="73" ph="1">
        <f>L9*290.8*0.777</f>
        <v>7438.3266720000001</v>
      </c>
      <c r="M10" s="73" ph="1">
        <f>M9*33.183*LOOKUP(M11,密度!$A$2:$A$50,密度!$D$2:$D$50)</f>
        <v>93211.010498699994</v>
      </c>
      <c r="N10" s="73" ph="1">
        <f>N9*33.183*LOOKUP(N11,密度!$A$2:$A$50,密度!$E$2:$E$50)</f>
        <v>68436.234277199997</v>
      </c>
      <c r="O10" s="73" ph="1">
        <f>O9*20.428*LOOKUP(O11,密度!$A$2:$A$50,密度!$C$2:$C$50)</f>
        <v>1630.9878624</v>
      </c>
      <c r="P10" s="73" ph="1">
        <f>P9*51.53*LOOKUP(P11,密度!$A$2:$A$50,密度!$B$2:$B$50)</f>
        <v>164686.25228800002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23667.652008000001</v>
      </c>
      <c r="S10" s="73" ph="1">
        <f>S9*1.5*1.5*3.1416*LOOKUP(S11,密度!$A$2:$A$50,密度!$L$2:$L$50)</f>
        <v>34566.846514199999</v>
      </c>
      <c r="T10" s="73" ph="1">
        <f>T9*1.5*1.5*3.1416*LOOKUP(T11,密度!$A$2:$A$50,密度!$L$2:$L$50)</f>
        <v>47684.422169999991</v>
      </c>
      <c r="U10" s="73" ph="1">
        <f>U9*1.5*1.5*3.1416*LOOKUP(U11,密度!$A$2:$A$50,密度!$L$2:$L$50)</f>
        <v>46826.470844999996</v>
      </c>
      <c r="V10" s="73" ph="1">
        <f>V9*1.5*1.5*3.1416*LOOKUP(V11,密度!$A$2:$A$50,密度!$L$2:$L$50)</f>
        <v>35098.6526352</v>
      </c>
      <c r="W10" s="73" ph="1">
        <f>W9*1.5*1.5*3.1416*LOOKUP(W11,密度!$A$2:$A$50,密度!$L$2:$L$50)</f>
        <v>16018.225145999997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32181.006132000002</v>
      </c>
      <c r="AA10" s="73" ph="1">
        <f>AA9*33.183*LOOKUP(AA11,密度!$A$2:$A$50,密度!$D$2:$D$50)</f>
        <v>53616.042817199996</v>
      </c>
      <c r="AB10" s="73" ph="1">
        <f>AB9*20.428*LOOKUP(AB11,密度!$A$2:$A$50,密度!$D$2:$D$50)</f>
        <v>14552.907200000001</v>
      </c>
      <c r="AC10" s="73" ph="1">
        <f>AC9*51.53*LOOKUP(AC11,密度!$A$2:$A$50,密度!$Q$2:$Q$50)</f>
        <v>213951.24083200001</v>
      </c>
      <c r="AD10" s="73" ph="1">
        <f>AD9*20.428*LOOKUP(AD11,密度!$A$2:$A$50,密度!$V$2:$V$50)</f>
        <v>26230.532544000002</v>
      </c>
      <c r="AE10" s="73" ph="1">
        <f>AE9*20.428</f>
        <v>37138.103999999999</v>
      </c>
    </row>
    <row r="11" spans="1:99" ph="1">
      <c r="A11" s="64" t="s" ph="1">
        <v>163</v>
      </c>
      <c r="B11" s="195" ph="1"/>
      <c r="C11" s="144" t="s" ph="1">
        <v>180</v>
      </c>
      <c r="D11" s="74">
        <v>18</v>
      </c>
      <c r="E11" s="74">
        <v>16</v>
      </c>
      <c r="F11" s="74">
        <v>17</v>
      </c>
      <c r="G11" s="74">
        <v>18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25</v>
      </c>
      <c r="P11" s="74">
        <v>17</v>
      </c>
      <c r="Q11" s="74">
        <v>20</v>
      </c>
      <c r="R11" s="74">
        <v>22</v>
      </c>
      <c r="S11" s="74">
        <v>13</v>
      </c>
      <c r="T11" s="74">
        <v>12</v>
      </c>
      <c r="U11" s="74">
        <v>19</v>
      </c>
      <c r="V11" s="74">
        <v>23</v>
      </c>
      <c r="W11" s="74">
        <v>17</v>
      </c>
      <c r="X11" s="74">
        <v>8</v>
      </c>
      <c r="Y11" s="74">
        <v>19</v>
      </c>
      <c r="Z11" s="74">
        <v>14</v>
      </c>
      <c r="AA11" s="74">
        <v>18</v>
      </c>
      <c r="AB11" s="74">
        <v>10</v>
      </c>
      <c r="AC11" s="74">
        <v>16</v>
      </c>
      <c r="AD11" s="74">
        <v>16</v>
      </c>
      <c r="AE11" s="74">
        <v>18</v>
      </c>
    </row>
    <row r="12" spans="1:99" ht="9.9" customHeight="1" ph="1"/>
    <row r="13" spans="1:99" s="72" customFormat="1" ht="29.25" customHeight="1" ph="1">
      <c r="B13" s="203" t="s" ph="1">
        <v>37</v>
      </c>
      <c r="C13" s="14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4" t="s" ph="1">
        <v>178</v>
      </c>
      <c r="D15" s="78">
        <v>5158</v>
      </c>
      <c r="E15" s="78">
        <v>2007</v>
      </c>
      <c r="F15" s="78">
        <v>3537</v>
      </c>
      <c r="G15" s="78">
        <v>4188</v>
      </c>
      <c r="H15" s="78">
        <v>4483</v>
      </c>
      <c r="I15" s="78">
        <v>2</v>
      </c>
      <c r="J15" s="78">
        <v>1125</v>
      </c>
      <c r="K15" s="78">
        <v>1893</v>
      </c>
      <c r="L15" s="78">
        <v>5588</v>
      </c>
      <c r="M15" s="78">
        <v>190</v>
      </c>
      <c r="N15" s="78">
        <v>1624</v>
      </c>
      <c r="O15" s="78">
        <v>6481</v>
      </c>
      <c r="P15" s="78">
        <v>6874</v>
      </c>
      <c r="Q15" s="78">
        <v>2879</v>
      </c>
      <c r="R15" s="78">
        <v>3482</v>
      </c>
      <c r="S15" s="78">
        <v>6801</v>
      </c>
      <c r="T15" s="78">
        <v>1091</v>
      </c>
      <c r="U15" s="78">
        <v>6283</v>
      </c>
      <c r="V15" s="78">
        <v>1088</v>
      </c>
      <c r="W15" s="71">
        <v>-596</v>
      </c>
      <c r="X15" s="78">
        <v>291</v>
      </c>
      <c r="Y15" s="106">
        <v>-9900</v>
      </c>
      <c r="Z15" s="78">
        <v>0</v>
      </c>
      <c r="AA15" s="78">
        <v>4212</v>
      </c>
      <c r="AB15" s="78" ph="1">
        <v>6843</v>
      </c>
      <c r="AC15" s="78" ph="1">
        <v>6491</v>
      </c>
      <c r="AD15" s="78">
        <v>84.62</v>
      </c>
      <c r="AE15" s="78">
        <v>30.82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4" t="s" ph="1">
        <v>179</v>
      </c>
      <c r="D16" s="73" ph="1">
        <f>D15*7.0686*LOOKUP(D17,密度!$A$2:$A$50,密度!$L$2:$L$50)</f>
        <v>34491.007504799993</v>
      </c>
      <c r="E16" s="73" ph="1">
        <f>E15*7.0686*LOOKUP(E17,密度!$A$2:$A$50,密度!$L$2:$L$50)</f>
        <v>13420.5994692</v>
      </c>
      <c r="F16" s="73" ph="1">
        <f>F15*9.0746*LOOKUP(F17,密度!$A$2:$A$50,密度!$L$2:$L$50)</f>
        <v>30363.629749199998</v>
      </c>
      <c r="G16" s="73" ph="1">
        <f>G15*9.0746*LOOKUP(G17,密度!$A$2:$A$50,密度!$B$2:$B$50)</f>
        <v>29947.4867424</v>
      </c>
      <c r="H16" s="73" ph="1">
        <f>H15*9.0746*LOOKUP(H17,密度!$A$2:$A$50,密度!$L$2:$L$50)</f>
        <v>38565.9973464</v>
      </c>
      <c r="I16" s="73" ph="1">
        <f>I15*9.0746*LOOKUP(I17,密度!$A$2:$A$50,密度!$U$2:$U$50)</f>
        <v>18.6573776</v>
      </c>
      <c r="J16" s="73" ph="1">
        <f>J15*9.0746*LOOKUP(J17,密度!$A$2:$A$50,密度!$L$2:$L$50)</f>
        <v>9657.6430500000006</v>
      </c>
      <c r="K16" s="73" ph="1">
        <f>K15*9.0746*LOOKUP(K17,密度!$A$2:$A$50,密度!$C$2:$C$50)</f>
        <v>19157.148490560001</v>
      </c>
      <c r="L16" s="73" ph="1">
        <f>L15*9.0746*LOOKUP(L17,密度!$A$2:$A$50,密度!$E$2:$E$50)</f>
        <v>40298.334856560003</v>
      </c>
      <c r="M16" s="73" ph="1">
        <f>M15*9.0746*LOOKUP(M17,密度!$A$2:$A$50,密度!$M$2:$M$50)</f>
        <v>1517.7903721999999</v>
      </c>
      <c r="N16" s="73" ph="1">
        <f>N15*9.0746*LOOKUP(N17,密度!$A$2:$A$50,密度!$M$2:$M$50)</f>
        <v>12973.113497120001</v>
      </c>
      <c r="O16" s="73" ph="1">
        <f>O15*9.0746*LOOKUP(O17,密度!$A$2:$A$50,密度!$G$2:$G$50)</f>
        <v>57048.108121999998</v>
      </c>
      <c r="P16" s="73" ph="1">
        <f ca="1">P15*9.0746*LOOKUP(P17,密度!$A$2:$A$51,密度!$Q$2:$Q$50)</f>
        <v>59484.424061439997</v>
      </c>
      <c r="Q16" s="73" ph="1">
        <f>Q15*9.0746*LOOKUP(Q17,密度!$A$2:$A$50,密度!$Q$2:$Q$50)</f>
        <v>24938.095741236004</v>
      </c>
      <c r="R16" s="73" ph="1">
        <f>MAX(R15*9.0746*LOOKUP(R17,密度!$A$2:$A$50,密度!$B$2:$B$50),0)</f>
        <v>24848.476262079999</v>
      </c>
      <c r="S16" s="73" ph="1">
        <f>S15*9.0746*LOOKUP(S17,密度!$A$2:$A$50,密度!$Q$2:$Q$50)</f>
        <v>58910.729119884003</v>
      </c>
      <c r="T16" s="73" ph="1">
        <f>T15*9.0746*LOOKUP(T17,密度!$A$2:$A$50,密度!$O$2:$O$50)</f>
        <v>9246.9629524000011</v>
      </c>
      <c r="U16" s="73" ph="1">
        <f>U15*9.0746*LOOKUP(U17,密度!$A$2:$A$50,密度!$H$2:$H$50)</f>
        <v>52665.412989659999</v>
      </c>
      <c r="V16" s="73" ph="1">
        <f>MAX(5600*LOOKUP(V17,密度!$A$2:$A$50,密度!$Q$2:$Q$50)+V15*9.0476*LOOKUP(V17,密度!$A$2:$A$50,密度!$Q$2:$Q$50),0)</f>
        <v>14714.841968639999</v>
      </c>
      <c r="W16" s="73" ph="1">
        <f>MAX(5600*LOOKUP(W17,密度!$A$2:$A$50,密度!$Q$2:$Q$50)+W15*9.0476*LOOKUP(W17,密度!$A$2:$A$50,密度!$Q$2:$Q$50),0)</f>
        <v>197.83024512000156</v>
      </c>
      <c r="X16" s="73" ph="1">
        <f>MAX(5600*LOOKUP(X17,密度!$A$2:$A$50,密度!$I$2:$I$50)+X15*9.0476*LOOKUP(X17,密度!$A$2:$A$50,密度!$I$2:$I$50),0)</f>
        <v>8657.6667425600008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30184.083343439997</v>
      </c>
      <c r="AB16" s="73" ph="1">
        <f>AB15*9.0746*LOOKUP(AB17,密度!$A$2:$A$50,密度!$L$2:$L$50)</f>
        <v>58744.223458799999</v>
      </c>
      <c r="AC16" s="73" ph="1">
        <f>AC15*9.0746*LOOKUP(AC17,密度!$A$2:$A$50,密度!$L$2:$L$50)</f>
        <v>55899.163941400002</v>
      </c>
      <c r="AD16" s="73" ph="1">
        <f>AD15*268.68*LOOKUP(AD17,密度!$A$2:$A$50,密度!B2:B50)+IF(AD15&lt;=0,0,1566*LOOKUP(AD17,密度!$A$2:$A$50,密度!B2:B50))</f>
        <v>18945.606567359999</v>
      </c>
      <c r="AE16" s="73" ph="1">
        <f>AE15*268.68*LOOKUP(AE17,密度!$A$2:$A$50,密度!B2:B50)+IF(AE15&lt;=0,0,1566*LOOKUP(AE17,密度!$A$2:$A$50,密度!B2:B50))</f>
        <v>7676.50104096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16</v>
      </c>
      <c r="E17" s="74">
        <v>16</v>
      </c>
      <c r="F17" s="74">
        <v>16</v>
      </c>
      <c r="G17" s="74">
        <v>15</v>
      </c>
      <c r="H17" s="74">
        <v>14</v>
      </c>
      <c r="I17" s="74">
        <v>14</v>
      </c>
      <c r="J17" s="74">
        <v>16</v>
      </c>
      <c r="K17" s="74">
        <v>16</v>
      </c>
      <c r="L17" s="74">
        <v>15</v>
      </c>
      <c r="M17" s="74">
        <v>15</v>
      </c>
      <c r="N17" s="74">
        <v>14</v>
      </c>
      <c r="O17" s="74">
        <v>16</v>
      </c>
      <c r="P17" s="74">
        <v>16</v>
      </c>
      <c r="Q17" s="74">
        <v>6</v>
      </c>
      <c r="R17" s="74">
        <v>17</v>
      </c>
      <c r="S17" s="74">
        <v>15</v>
      </c>
      <c r="T17" s="74">
        <v>15</v>
      </c>
      <c r="U17" s="74">
        <v>16</v>
      </c>
      <c r="V17" s="74">
        <v>17</v>
      </c>
      <c r="W17" s="74">
        <v>17</v>
      </c>
      <c r="X17" s="74">
        <v>17</v>
      </c>
      <c r="Y17" s="108">
        <v>16</v>
      </c>
      <c r="Z17" s="74">
        <v>16</v>
      </c>
      <c r="AA17" s="74">
        <v>13</v>
      </c>
      <c r="AB17" s="74">
        <v>16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5165</v>
      </c>
      <c r="E18" s="71">
        <v>280</v>
      </c>
      <c r="F18" s="71">
        <v>3538</v>
      </c>
      <c r="G18" s="71">
        <v>4208</v>
      </c>
      <c r="H18" s="71">
        <v>4484</v>
      </c>
      <c r="I18" s="71">
        <v>2</v>
      </c>
      <c r="J18" s="71">
        <v>1309</v>
      </c>
      <c r="K18" s="71">
        <v>1893</v>
      </c>
      <c r="L18" s="71">
        <v>5597</v>
      </c>
      <c r="M18" s="71">
        <v>189</v>
      </c>
      <c r="N18" s="71">
        <v>2616</v>
      </c>
      <c r="O18" s="71">
        <v>7075</v>
      </c>
      <c r="P18" s="71">
        <v>6881</v>
      </c>
      <c r="Q18" s="71">
        <v>3220</v>
      </c>
      <c r="R18" s="71">
        <v>3484</v>
      </c>
      <c r="S18" s="71">
        <v>6804</v>
      </c>
      <c r="T18" s="71">
        <v>6446</v>
      </c>
      <c r="U18" s="71">
        <v>2416</v>
      </c>
      <c r="V18" s="71">
        <v>3038</v>
      </c>
      <c r="W18" s="71">
        <v>-596</v>
      </c>
      <c r="X18" s="71">
        <v>289</v>
      </c>
      <c r="Y18" s="109">
        <v>-9902</v>
      </c>
      <c r="Z18" s="71">
        <v>0</v>
      </c>
      <c r="AA18" s="71">
        <v>4213</v>
      </c>
      <c r="AB18" s="71">
        <v>6849</v>
      </c>
      <c r="AC18" s="71">
        <v>6497</v>
      </c>
      <c r="AD18" s="71">
        <v>5.52</v>
      </c>
      <c r="AE18" s="71">
        <v>63.51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4" t="s" ph="1">
        <v>179</v>
      </c>
      <c r="D19" s="73" ph="1">
        <f>D18*7.0686*LOOKUP(D20,密度!$A$2:$A$50,密度!$L$2:$L$50)</f>
        <v>34391.778498</v>
      </c>
      <c r="E19" s="73" ph="1">
        <f>E18*7.0686*LOOKUP(E20,密度!$A$2:$A$50,密度!$L$2:$L$50)</f>
        <v>1864.4139359999999</v>
      </c>
      <c r="F19" s="73" ph="1">
        <f>F18*9.0746*LOOKUP(F20,密度!$A$2:$A$50,密度!$L$2:$L$50)</f>
        <v>30275.896516399996</v>
      </c>
      <c r="G19" s="73" ph="1">
        <f>G18*9.0746*LOOKUP(G20,密度!$A$2:$A$50,密度!$B$2:$B$50)</f>
        <v>30029.404971519998</v>
      </c>
      <c r="H19" s="73" ph="1">
        <f>H18*9.0746*LOOKUP(H20,密度!$A$2:$A$50,密度!$L$2:$L$50)</f>
        <v>38533.909560799999</v>
      </c>
      <c r="I19" s="73" ph="1">
        <f>I18*9.0746*LOOKUP(I20,密度!$A$2:$A$50,密度!$U$2:$U$50)</f>
        <v>18.6573776</v>
      </c>
      <c r="J19" s="73" ph="1">
        <f>J18*9.0746*LOOKUP(J20,密度!$A$2:$A$50,密度!$L$2:$L$50)</f>
        <v>11189.689618799999</v>
      </c>
      <c r="K19" s="73" ph="1">
        <f>K18*9.0746*LOOKUP(K20,密度!$A$2:$A$50,密度!$C$2:$C$50)</f>
        <v>19122.792054960002</v>
      </c>
      <c r="L19" s="73" ph="1">
        <f>L18*9.0746*LOOKUP(L20,密度!$A$2:$A$50,密度!$E$2:$E$50)</f>
        <v>40251.499938499997</v>
      </c>
      <c r="M19" s="73" ph="1">
        <f>M18*9.0746*LOOKUP(M20,密度!$A$2:$A$50,密度!$M$2:$M$50)</f>
        <v>1509.80200182</v>
      </c>
      <c r="N19" s="73" ph="1">
        <f>N18*9.0746*LOOKUP(N20,密度!$A$2:$A$50,密度!$M$2:$M$50)</f>
        <v>20897.57691408</v>
      </c>
      <c r="O19" s="73" ph="1">
        <f>O18*9.0746*LOOKUP(O20,密度!$A$2:$A$50,密度!$G$2:$G$50)</f>
        <v>62084.102764999996</v>
      </c>
      <c r="P19" s="73" ph="1">
        <f ca="1">P18*9.0746*LOOKUP(P20,密度!$A$2:$A$51,密度!$Q$2:$Q$50)</f>
        <v>59445.715538426004</v>
      </c>
      <c r="Q19" s="73" ph="1">
        <f>Q18*9.0746*LOOKUP(Q20,密度!$A$2:$A$50,密度!$Q$2:$Q$50)</f>
        <v>27795.14226076</v>
      </c>
      <c r="R19" s="73" ph="1">
        <f>MAX(R18*9.0746*LOOKUP(R20,密度!$A$2:$A$50,密度!$B$2:$B$50),0)</f>
        <v>24815.32493336</v>
      </c>
      <c r="S19" s="73" ph="1">
        <f>S18*9.0746*LOOKUP(S20,密度!$A$2:$A$50,密度!$Q$2:$Q$50)</f>
        <v>58829.281499519995</v>
      </c>
      <c r="T19" s="73" ph="1">
        <f>T18*9.0746*LOOKUP(T20,密度!$A$2:$A$50,密度!$O$2:$O$50)</f>
        <v>54400.230587999999</v>
      </c>
      <c r="U19" s="73" ph="1">
        <f>U18*9.0746*LOOKUP(U20,密度!$A$2:$A$50,密度!$H$2:$H$50)</f>
        <v>20185.641875519999</v>
      </c>
      <c r="V19" s="73" ph="1">
        <f>MAX(5600*LOOKUP(V20,密度!$A$2:$A$50,密度!$Q$2:$Q$50)+V18*9.0476*LOOKUP(V20,密度!$A$2:$A$50,密度!$Q$2:$Q$50),0)</f>
        <v>31444.851271344</v>
      </c>
      <c r="W19" s="73" ph="1">
        <f>MAX(5600*LOOKUP(W20,密度!$A$2:$A$50,密度!$Q$2:$Q$50)+W18*9.0476*LOOKUP(W20,密度!$A$2:$A$50,密度!$Q$2:$Q$50),0)</f>
        <v>197.50426539200089</v>
      </c>
      <c r="X19" s="73" ph="1">
        <f>MAX(5600*LOOKUP(X20,密度!$A$2:$A$50,密度!$I$2:$I$50)+X18*9.0476*LOOKUP(X20,密度!$A$2:$A$50,密度!$I$2:$I$50),0)</f>
        <v>8620.5653661600008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30126.256362399999</v>
      </c>
      <c r="AB19" s="73" ph="1">
        <f>AB18*9.0746*LOOKUP(AB20,密度!$A$2:$A$50,密度!$L$2:$L$50)</f>
        <v>58795.730888400001</v>
      </c>
      <c r="AC19" s="73" ph="1">
        <f>AC18*9.0746*LOOKUP(AC20,密度!$A$2:$A$50,密度!$L$2:$L$50)</f>
        <v>55832.919361399996</v>
      </c>
      <c r="AD19" s="73" ph="1">
        <f>AD18*268.68*LOOKUP(AD20,密度!$A$2:$A$50,密度!B5:B53)+IF(AD18&lt;=0,0,1566*LOOKUP(AD20,密度!$A$2:$A$50,密度!B5:B53))</f>
        <v>2369.1612672000001</v>
      </c>
      <c r="AE19" s="73" ph="1">
        <f>AE18*268.68*LOOKUP(AE20,密度!$A$2:$A$50,密度!B5:B53)+IF(AE18&lt;=0,0,1566*LOOKUP(AE20,密度!$A$2:$A$50,密度!B5:B53))</f>
        <v>14475.406503599999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20</v>
      </c>
      <c r="E20" s="81">
        <v>20</v>
      </c>
      <c r="F20" s="81">
        <v>19</v>
      </c>
      <c r="G20" s="81">
        <v>17</v>
      </c>
      <c r="H20" s="81">
        <v>15</v>
      </c>
      <c r="I20" s="81">
        <v>20</v>
      </c>
      <c r="J20" s="81">
        <v>20</v>
      </c>
      <c r="K20" s="81">
        <v>19</v>
      </c>
      <c r="L20" s="81">
        <v>17</v>
      </c>
      <c r="M20" s="81">
        <v>20</v>
      </c>
      <c r="N20" s="81">
        <v>16</v>
      </c>
      <c r="O20" s="81">
        <v>19</v>
      </c>
      <c r="P20" s="81">
        <v>18</v>
      </c>
      <c r="Q20" s="81">
        <v>19</v>
      </c>
      <c r="R20" s="81">
        <v>19</v>
      </c>
      <c r="S20" s="81">
        <v>17</v>
      </c>
      <c r="T20" s="81">
        <v>21</v>
      </c>
      <c r="U20" s="81">
        <v>19</v>
      </c>
      <c r="V20" s="81">
        <v>20</v>
      </c>
      <c r="W20" s="81">
        <v>19</v>
      </c>
      <c r="X20" s="81">
        <v>19</v>
      </c>
      <c r="Y20" s="110">
        <v>18</v>
      </c>
      <c r="Z20" s="81">
        <v>19</v>
      </c>
      <c r="AA20" s="81">
        <v>15</v>
      </c>
      <c r="AB20" s="81">
        <v>16</v>
      </c>
      <c r="AC20" s="81">
        <v>15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4" t="s" ph="1">
        <v>178</v>
      </c>
      <c r="D24" s="71">
        <v>3.31</v>
      </c>
      <c r="E24" s="71">
        <v>95.12</v>
      </c>
      <c r="F24" s="71">
        <v>0</v>
      </c>
      <c r="G24" s="71">
        <v>3409</v>
      </c>
      <c r="H24" s="71">
        <v>2914</v>
      </c>
      <c r="I24" s="71">
        <v>4543</v>
      </c>
      <c r="J24" s="71">
        <v>4914</v>
      </c>
      <c r="K24" s="71">
        <v>89</v>
      </c>
      <c r="L24" s="71">
        <v>3558</v>
      </c>
      <c r="M24" s="71">
        <v>5383</v>
      </c>
      <c r="N24" s="71">
        <v>5337</v>
      </c>
      <c r="O24" s="71">
        <v>3513</v>
      </c>
      <c r="P24" s="71">
        <v>834</v>
      </c>
      <c r="Q24" s="90">
        <v>2357</v>
      </c>
      <c r="R24" s="71">
        <v>6340</v>
      </c>
      <c r="S24" s="71">
        <v>66</v>
      </c>
      <c r="T24" s="71">
        <v>1746</v>
      </c>
      <c r="U24" s="71">
        <v>5666</v>
      </c>
      <c r="V24" s="71">
        <v>7292</v>
      </c>
      <c r="W24" s="71">
        <v>9607</v>
      </c>
      <c r="X24" s="71">
        <v>6374</v>
      </c>
      <c r="Y24" s="71">
        <v>4363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2324.5598815920002</v>
      </c>
      <c r="E25" s="91" ph="1">
        <f>E24*268.68*LOOKUP(E26,密度!$A$2:$A$50,密度!$C$2:$C$50)+IF(E24&lt;=0,0,1566*LOOKUP(E26,密度!$A$2:$A$50,密度!$C$2:$C$50))</f>
        <v>30076.519050240004</v>
      </c>
      <c r="F25" s="91" ph="1">
        <f>F24*11.702*LOOKUP(F26,密度!$A$2:$A$50,密度!$Q$2:$Q$50)</f>
        <v>0</v>
      </c>
      <c r="G25" s="91" ph="1">
        <f>G24*18.322*LOOKUP(G26,密度!$A$2:$A$50,密度!$B$2:$B$50)</f>
        <v>49168.274265599997</v>
      </c>
      <c r="H25" s="91" ph="1">
        <f>H24*18.322*LOOKUP(H26,密度!$A$2:$A$50,密度!$B$2:$B$50)</f>
        <v>42028.850457599998</v>
      </c>
      <c r="I25" s="91" ph="1">
        <f>I24*18.322*LOOKUP(I26,密度!$A$2:$A$50,密度!$Q$2:$Q$50)</f>
        <v>79308.066868799986</v>
      </c>
      <c r="J25" s="91" ph="1">
        <f>J24*18.322*LOOKUP(J26,密度!$A$2:$A$50,密度!$Q$2:$Q$50)</f>
        <v>85784.688662399989</v>
      </c>
      <c r="K25" s="91" ph="1">
        <f>K24*18.322*LOOKUP(K26,密度!$A$2:$A$50,密度!$Q$2:$Q$50)</f>
        <v>1554.9954687999998</v>
      </c>
      <c r="L25" s="91" ph="1">
        <f>L24*18.322*LOOKUP(L26,密度!$A$2:$A$50,密度!$Q$2:$Q$50)</f>
        <v>62112.723292800001</v>
      </c>
      <c r="M25" s="91" ph="1">
        <f>M24*18.322*LOOKUP(M26,密度!$A$2:$A$50,密度!$Q$2:$Q$50)</f>
        <v>93972.1162128</v>
      </c>
      <c r="N25" s="91" ph="1">
        <f>N24*18.322*LOOKUP(N26,密度!$A$2:$A$50,密度!$Q$2:$Q$50)</f>
        <v>93247.312550399991</v>
      </c>
      <c r="O25" s="91" ph="1">
        <f>O24*18.322*LOOKUP(O26,密度!$A$2:$A$50,密度!$C$2:$C$50)</f>
        <v>71780.055427199986</v>
      </c>
      <c r="P25" s="91" ph="1">
        <f>P24*11.702*LOOKUP(P26,密度!$A$2:$A$50,密度!$B$2:$B$50)</f>
        <v>7674.8456352000003</v>
      </c>
      <c r="Q25" s="92" ph="1">
        <f>Q24*18.322*LOOKUP(Q26,密度!$A$2:$A$50,密度!$B$2:$B$50)</f>
        <v>33960.647825599997</v>
      </c>
      <c r="R25" s="91" ph="1">
        <f>R24*35.891*LOOKUP(R26,密度!$A$2:$A$50,密度!$C$2:$C$50)</f>
        <v>253603.29363</v>
      </c>
      <c r="S25" s="91" ph="1">
        <f>S24*35.891*LOOKUP(S26,密度!$A$2:$A$50,密度!$B$2:$B$50)</f>
        <v>1862.8290383999999</v>
      </c>
      <c r="T25" s="91" ph="1">
        <f>T24*35.891*LOOKUP(T26,密度!$A$2:$A$50,密度!$Q$2:$Q$50)</f>
        <v>59658.359728859999</v>
      </c>
      <c r="U25" s="91" ph="1">
        <f>U24*35.891</f>
        <v>203358.40599999999</v>
      </c>
      <c r="V25" s="91" ph="1">
        <f>V24*47.051*LOOKUP(V26,密度!$A$2:$A$50,密度!$B$2:$B$50)</f>
        <v>269570.44234439998</v>
      </c>
      <c r="W25" s="91" ph="1">
        <f>W24*47.051*LOOKUP(W26,密度!$A$2:$A$50,密度!$B$2:$B$50)</f>
        <v>355151.29451489996</v>
      </c>
      <c r="X25" s="91" ph="1">
        <f>X24*47.051*LOOKUP(X26,密度!$A$2:$A$50,密度!$I$2:$I$50)</f>
        <v>310591.61955736001</v>
      </c>
      <c r="Y25" s="91" ph="1">
        <f>Y24*47.051*LOOKUP(Y26,密度!$A$2:$A$50,密度!$L$2:$L$50)</f>
        <v>193787.636272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17</v>
      </c>
      <c r="G26" s="74">
        <v>16</v>
      </c>
      <c r="H26" s="74">
        <v>16</v>
      </c>
      <c r="I26" s="74">
        <v>17</v>
      </c>
      <c r="J26" s="74">
        <v>17</v>
      </c>
      <c r="K26" s="74">
        <v>16</v>
      </c>
      <c r="L26" s="74">
        <v>17</v>
      </c>
      <c r="M26" s="74">
        <v>17</v>
      </c>
      <c r="N26" s="74">
        <v>16</v>
      </c>
      <c r="O26" s="74">
        <v>16</v>
      </c>
      <c r="P26" s="74">
        <v>17</v>
      </c>
      <c r="Q26" s="93">
        <v>17</v>
      </c>
      <c r="R26" s="74">
        <v>17</v>
      </c>
      <c r="S26" s="74">
        <v>17</v>
      </c>
      <c r="T26" s="74">
        <v>18</v>
      </c>
      <c r="U26" s="74">
        <v>18</v>
      </c>
      <c r="V26" s="74">
        <v>18</v>
      </c>
      <c r="W26" s="74">
        <v>18</v>
      </c>
      <c r="X26" s="74">
        <v>52</v>
      </c>
      <c r="Y26" s="74">
        <v>18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4" t="s" ph="1">
        <v>181</v>
      </c>
      <c r="D27" s="71">
        <v>3.33</v>
      </c>
      <c r="E27" s="71">
        <v>95.1</v>
      </c>
      <c r="F27" s="71">
        <v>0</v>
      </c>
      <c r="G27" s="71">
        <v>2938</v>
      </c>
      <c r="H27" s="71">
        <v>3590</v>
      </c>
      <c r="I27" s="71">
        <v>4543</v>
      </c>
      <c r="J27" s="71">
        <v>4916</v>
      </c>
      <c r="K27" s="71">
        <v>88</v>
      </c>
      <c r="L27" s="71">
        <v>3558</v>
      </c>
      <c r="M27" s="71">
        <v>5385</v>
      </c>
      <c r="N27" s="71">
        <v>5336</v>
      </c>
      <c r="O27" s="71">
        <v>3511</v>
      </c>
      <c r="P27" s="71">
        <v>830</v>
      </c>
      <c r="Q27" s="90">
        <v>2539</v>
      </c>
      <c r="R27" s="71">
        <v>6338</v>
      </c>
      <c r="S27" s="71">
        <v>224</v>
      </c>
      <c r="T27" s="71">
        <v>1744</v>
      </c>
      <c r="U27" s="71">
        <v>5696</v>
      </c>
      <c r="V27" s="71">
        <v>9604</v>
      </c>
      <c r="W27" s="71">
        <v>8719</v>
      </c>
      <c r="X27" s="71">
        <v>5996</v>
      </c>
      <c r="Y27" s="71">
        <v>5045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4" t="s" ph="1">
        <v>179</v>
      </c>
      <c r="D28" s="91" ph="1">
        <f>D27*268.68*LOOKUP(D29,密度!$A$2:$A$50,密度!$Q$2:$Q$50)+IF(D27&lt;=0,0,1566*LOOKUP(D29,密度!$A$2:$A$50,密度!$Q$2:$Q$50))</f>
        <v>2329.6472836560001</v>
      </c>
      <c r="E28" s="91" ph="1">
        <f>E27*268.68*LOOKUP(E29,密度!$A$2:$A$50,密度!$C$2:$C$50)+IF(E27&lt;=0,0,1566*LOOKUP(E29,密度!$A$2:$A$50,密度!$C$2:$C$50))</f>
        <v>30070.560265200002</v>
      </c>
      <c r="F28" s="91" ph="1">
        <f>F27*11.702*LOOKUP(F29,密度!$A$2:$A$50,密度!$Q$2:$Q$50)</f>
        <v>0</v>
      </c>
      <c r="G28" s="91" ph="1">
        <f>G27*18.322*LOOKUP(G29,密度!$A$2:$A$50,密度!$B$2:$B$50)</f>
        <v>42331.940310400001</v>
      </c>
      <c r="H28" s="91" ph="1">
        <f>H27*18.322*LOOKUP(H29,密度!$A$2:$A$50,密度!$B$2:$B$50)</f>
        <v>51726.230671999998</v>
      </c>
      <c r="I28" s="91" ph="1">
        <f>I27*18.322*LOOKUP(I29,密度!$A$2:$A$50,密度!$Q$2:$Q$50)</f>
        <v>79308.066868799986</v>
      </c>
      <c r="J28" s="91" ph="1">
        <f>J27*18.322*LOOKUP(J29,密度!$A$2:$A$50,密度!$Q$2:$Q$50)</f>
        <v>85819.603065599993</v>
      </c>
      <c r="K28" s="91" ph="1">
        <f>K27*18.322*LOOKUP(K29,密度!$A$2:$A$50,密度!$Q$2:$Q$50)</f>
        <v>1536.2337408000001</v>
      </c>
      <c r="L28" s="91" ph="1">
        <f>L27*18.322*LOOKUP(L29,密度!$A$2:$A$50,密度!$Q$2:$Q$50)</f>
        <v>62061.22344876</v>
      </c>
      <c r="M28" s="91" ph="1">
        <f>M27*18.322*LOOKUP(M29,密度!$A$2:$A$50,密度!$Q$2:$Q$50)</f>
        <v>93929.086079700006</v>
      </c>
      <c r="N28" s="91" ph="1">
        <f>N27*18.322*LOOKUP(N29,密度!$A$2:$A$50,密度!$Q$2:$Q$50)</f>
        <v>93151.627737599993</v>
      </c>
      <c r="O28" s="91" ph="1">
        <f>O27*18.322*LOOKUP(O29,密度!$A$2:$A$50,密度!$C$2:$C$50)</f>
        <v>71694.160059000002</v>
      </c>
      <c r="P28" s="91" ph="1">
        <f>P27*11.702*LOOKUP(P29,密度!$A$2:$A$50,密度!$B$2:$B$50)</f>
        <v>7631.236961999999</v>
      </c>
      <c r="Q28" s="92" ph="1">
        <f>Q27*18.322*LOOKUP(Q29,密度!$A$2:$A$50,密度!$B$2:$B$50)</f>
        <v>36582.980411199998</v>
      </c>
      <c r="R28" s="91" ph="1">
        <f>R27*35.891*LOOKUP(R29,密度!$A$2:$A$50,密度!$C$2:$C$50)</f>
        <v>253523.292591</v>
      </c>
      <c r="S28" s="91" ph="1">
        <f>S27*35.891*LOOKUP(S29,密度!$A$2:$A$50,密度!$B$2:$B$50)</f>
        <v>6322.3288575999995</v>
      </c>
      <c r="T28" s="91" ph="1">
        <f>T27*35.891*LOOKUP(T29,密度!$A$2:$A$50,密度!$Q$2:$Q$50)</f>
        <v>59639.471731199992</v>
      </c>
      <c r="U28" s="91" ph="1">
        <f>U27*35.891</f>
        <v>204435.136</v>
      </c>
      <c r="V28" s="91" ph="1">
        <f>V27*47.051*LOOKUP(V29,密度!$A$2:$A$50,密度!$B$2:$B$50)</f>
        <v>355040.39060280001</v>
      </c>
      <c r="W28" s="91" ph="1">
        <f>W27*47.051*LOOKUP(W29,密度!$A$2:$A$50,密度!$B$2:$B$50)</f>
        <v>322323.73653329996</v>
      </c>
      <c r="X28" s="91" ph="1">
        <f>X27*47.051*LOOKUP(X29,密度!$A$2:$A$50,密度!$I$2:$I$50)</f>
        <v>292172.47424944001</v>
      </c>
      <c r="Y28" s="91" ph="1">
        <f>Y27*47.051*LOOKUP(Y29,密度!$A$2:$A$50,密度!$L$2:$L$50)</f>
        <v>223842.074185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4" t="s" ph="1">
        <v>180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17</v>
      </c>
      <c r="J29" s="74">
        <v>17</v>
      </c>
      <c r="K29" s="74">
        <v>17</v>
      </c>
      <c r="L29" s="74">
        <v>18</v>
      </c>
      <c r="M29" s="74">
        <v>18</v>
      </c>
      <c r="N29" s="74">
        <v>17</v>
      </c>
      <c r="O29" s="74">
        <v>17</v>
      </c>
      <c r="P29" s="74">
        <v>18</v>
      </c>
      <c r="Q29" s="93">
        <v>17</v>
      </c>
      <c r="R29" s="74">
        <v>17</v>
      </c>
      <c r="S29" s="74">
        <v>17</v>
      </c>
      <c r="T29" s="74">
        <v>17</v>
      </c>
      <c r="U29" s="74">
        <v>18</v>
      </c>
      <c r="V29" s="74">
        <v>18</v>
      </c>
      <c r="W29" s="74">
        <v>18</v>
      </c>
      <c r="X29" s="74">
        <v>53</v>
      </c>
      <c r="Y29" s="74">
        <v>19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68168.950017199997</v>
      </c>
      <c r="E33" s="217" ph="1">
        <f>M10+I10</f>
        <v>97991.025902299996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21" ph="1">
        <v>0</v>
      </c>
      <c r="H33" s="217" ph="1">
        <f>N19</f>
        <v>20897.57691408</v>
      </c>
      <c r="I33" s="230" ph="1">
        <v>0</v>
      </c>
      <c r="J33" s="228" ph="1">
        <f>F10+O28</f>
        <v>190518.78315450001</v>
      </c>
      <c r="K33" s="217" ph="1">
        <f>O10+K10+E28+R28</f>
        <v>287557.5935354</v>
      </c>
      <c r="L33" s="232" ph="1">
        <f>BE27</f>
        <v>7100</v>
      </c>
      <c r="M33" s="228" ph="1">
        <f>G10+H10+W28+S28+V28+E10</f>
        <v>1504246.5070576998</v>
      </c>
      <c r="N33" s="217" ph="1">
        <f>L10+P10++G28+H28</f>
        <v>266182.74994240003</v>
      </c>
      <c r="O33" s="230" ph="1">
        <f>BE17</f>
        <v>2270</v>
      </c>
      <c r="P33" s="228" ph="1">
        <f>L19</f>
        <v>40251.499938499997</v>
      </c>
      <c r="Q33" s="217" ph="1">
        <f>J10+N10</f>
        <v>70226.329285200001</v>
      </c>
      <c r="R33" s="230" ph="1">
        <f>BE23</f>
        <v>890</v>
      </c>
      <c r="S33" s="228" ph="1">
        <f>E10+X28</f>
        <v>464084.46925744007</v>
      </c>
      <c r="T33" s="217" ph="1">
        <f>X19</f>
        <v>8620.5653661600008</v>
      </c>
      <c r="U33" s="238" ph="1">
        <f>BE21</f>
        <v>730</v>
      </c>
      <c r="V33" s="249" ph="1">
        <f ca="1">P19+Q19+S19+M28+N28+J28</f>
        <v>418970.45618160599</v>
      </c>
      <c r="W33" s="249" ph="1">
        <f>D28+F28+V19+T28</f>
        <v>93413.970286199998</v>
      </c>
      <c r="X33" s="230" ph="1">
        <f>BE29+BE31</f>
        <v>10200</v>
      </c>
      <c r="Y33" s="251" ph="1">
        <f>+Q10+R10+S10+T10+U10+V10+W10+X10+Y10</f>
        <v>203862.26931840001</v>
      </c>
      <c r="Z33" s="236" ph="1">
        <f>D10+T19+U19+Y28+Z10</f>
        <v>481359.04702528007</v>
      </c>
      <c r="AA33" s="238" ph="1">
        <f>BE19</f>
        <v>1440</v>
      </c>
      <c r="AB33" s="240" ph="1">
        <f>I19</f>
        <v>18.6573776</v>
      </c>
      <c r="AC33" s="242" ph="1">
        <f>AD10</f>
        <v>26230.532544000002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6" t="s" ph="1">
        <v>186</v>
      </c>
      <c r="AA36" s="146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345</v>
      </c>
      <c r="AI37" s="146" t="s" ph="1">
        <v>212</v>
      </c>
      <c r="AJ37" s="146" t="s" ph="1">
        <v>213</v>
      </c>
      <c r="AK37" s="146" t="s" ph="1">
        <v>214</v>
      </c>
      <c r="AM37" s="146" t="s" ph="1">
        <v>213</v>
      </c>
      <c r="AN37" s="146" t="s" ph="1">
        <v>214</v>
      </c>
      <c r="AO37" s="146" t="s" ph="1">
        <v>215</v>
      </c>
      <c r="AP37" s="146" t="s" ph="1">
        <v>213</v>
      </c>
      <c r="AQ37" s="146" t="s" ph="1">
        <v>214</v>
      </c>
      <c r="AR37" s="146" t="s" ph="1">
        <v>215</v>
      </c>
      <c r="AS37" s="146" t="s" ph="1">
        <v>213</v>
      </c>
      <c r="AT37" s="146" t="s" ph="1">
        <v>214</v>
      </c>
      <c r="AU37" s="146" t="s" ph="1">
        <v>215</v>
      </c>
      <c r="AV37" s="146" t="s" ph="1">
        <v>213</v>
      </c>
      <c r="AW37" s="146" t="s" ph="1">
        <v>214</v>
      </c>
      <c r="AX37" s="146" t="s" ph="1">
        <v>215</v>
      </c>
      <c r="AY37" s="146" t="s" ph="1">
        <v>214</v>
      </c>
      <c r="AZ37" s="146" t="s" ph="1">
        <v>216</v>
      </c>
      <c r="BD37" s="146" t="s" ph="1">
        <v>308</v>
      </c>
      <c r="BE37" s="14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19" priority="96">
      <formula>ABS(D$7-D$10)&gt;=1000</formula>
    </cfRule>
  </conditionalFormatting>
  <conditionalFormatting sqref="E4 E6:E11">
    <cfRule type="expression" dxfId="2518" priority="95">
      <formula>ABS(E$7-E$10)&gt;=1000</formula>
    </cfRule>
  </conditionalFormatting>
  <conditionalFormatting sqref="F4:F11">
    <cfRule type="expression" dxfId="2517" priority="94">
      <formula>ABS(F$7-F$10)&gt;=1000</formula>
    </cfRule>
  </conditionalFormatting>
  <conditionalFormatting sqref="G4:G11">
    <cfRule type="expression" dxfId="2516" priority="93">
      <formula>ABS(G$7-G$10)&gt;=1000</formula>
    </cfRule>
  </conditionalFormatting>
  <conditionalFormatting sqref="H4:H11">
    <cfRule type="expression" dxfId="2515" priority="92">
      <formula>ABS(H$7-H$10)&gt;=1000</formula>
    </cfRule>
  </conditionalFormatting>
  <conditionalFormatting sqref="I4:I11">
    <cfRule type="expression" dxfId="2514" priority="91">
      <formula>ABS(I$7-I$10)&gt;=1000</formula>
    </cfRule>
  </conditionalFormatting>
  <conditionalFormatting sqref="J4:J11">
    <cfRule type="expression" dxfId="2513" priority="90">
      <formula>ABS(J$7-J$10)&gt;=1000</formula>
    </cfRule>
  </conditionalFormatting>
  <conditionalFormatting sqref="K4:K11">
    <cfRule type="expression" dxfId="2512" priority="89">
      <formula>ABS(K$7-K$10)&gt;=1000</formula>
    </cfRule>
  </conditionalFormatting>
  <conditionalFormatting sqref="L4:L11">
    <cfRule type="expression" dxfId="2511" priority="88">
      <formula>ABS(L$7-L$10)&gt;=1000</formula>
    </cfRule>
  </conditionalFormatting>
  <conditionalFormatting sqref="M4 M6:M11">
    <cfRule type="expression" dxfId="2510" priority="87">
      <formula>ABS(M$7-M$10)&gt;=1000</formula>
    </cfRule>
  </conditionalFormatting>
  <conditionalFormatting sqref="N4 N6:N11">
    <cfRule type="expression" dxfId="2509" priority="86">
      <formula>ABS(N$7-N$10)&gt;=1000</formula>
    </cfRule>
  </conditionalFormatting>
  <conditionalFormatting sqref="O4 O6:O11">
    <cfRule type="expression" dxfId="2508" priority="85">
      <formula>ABS(O$7-O$10)&gt;=1000</formula>
    </cfRule>
  </conditionalFormatting>
  <conditionalFormatting sqref="P4 P6:P11">
    <cfRule type="expression" dxfId="2507" priority="84">
      <formula>ABS(P$7-P$10)&gt;=1000</formula>
    </cfRule>
  </conditionalFormatting>
  <conditionalFormatting sqref="Q4:Q11">
    <cfRule type="expression" dxfId="2506" priority="83">
      <formula>ABS(Q$7-Q$10)&gt;=1000</formula>
    </cfRule>
  </conditionalFormatting>
  <conditionalFormatting sqref="R4:R11">
    <cfRule type="expression" dxfId="2505" priority="82">
      <formula>ABS(R$7-R$10)&gt;=1000</formula>
    </cfRule>
  </conditionalFormatting>
  <conditionalFormatting sqref="S4:S11">
    <cfRule type="expression" dxfId="2504" priority="81">
      <formula>ABS(S$7-S$10)&gt;=1000</formula>
    </cfRule>
  </conditionalFormatting>
  <conditionalFormatting sqref="T4:T9 T11">
    <cfRule type="expression" dxfId="2503" priority="80">
      <formula>ABS(T$7-T$10)&gt;=1000</formula>
    </cfRule>
  </conditionalFormatting>
  <conditionalFormatting sqref="U4:U9 U11">
    <cfRule type="expression" dxfId="2502" priority="79">
      <formula>ABS(U$7-U$10)&gt;=1000</formula>
    </cfRule>
  </conditionalFormatting>
  <conditionalFormatting sqref="V4:V9 V11">
    <cfRule type="expression" dxfId="2501" priority="78">
      <formula>ABS(V$7-V$10)&gt;=1000</formula>
    </cfRule>
  </conditionalFormatting>
  <conditionalFormatting sqref="W4:W9 W11">
    <cfRule type="expression" dxfId="2500" priority="77">
      <formula>ABS(W$7-W$10)&gt;=1000</formula>
    </cfRule>
  </conditionalFormatting>
  <conditionalFormatting sqref="X4:X9 X11">
    <cfRule type="expression" dxfId="2499" priority="76">
      <formula>ABS(X$7-X$10)&gt;=1000</formula>
    </cfRule>
  </conditionalFormatting>
  <conditionalFormatting sqref="Y4:Y9 Y11">
    <cfRule type="expression" dxfId="2498" priority="75">
      <formula>ABS(Y$7-Y$10)&gt;=1000</formula>
    </cfRule>
  </conditionalFormatting>
  <conditionalFormatting sqref="Z4:Z11">
    <cfRule type="expression" dxfId="2497" priority="74">
      <formula>ABS(Z$7-Z$10)&gt;=1000</formula>
    </cfRule>
  </conditionalFormatting>
  <conditionalFormatting sqref="AA4:AA11">
    <cfRule type="expression" dxfId="2496" priority="73">
      <formula>ABS(AA$7-AA$10)&gt;=1000</formula>
    </cfRule>
  </conditionalFormatting>
  <conditionalFormatting sqref="AB4:AB11">
    <cfRule type="expression" dxfId="2495" priority="72">
      <formula>ABS(AB$7-AB$10)&gt;=1000</formula>
    </cfRule>
  </conditionalFormatting>
  <conditionalFormatting sqref="AC4 AC6:AC11">
    <cfRule type="expression" dxfId="2494" priority="71">
      <formula>ABS(AC$7-AC$10)&gt;=1000</formula>
    </cfRule>
  </conditionalFormatting>
  <conditionalFormatting sqref="AD4:AD11">
    <cfRule type="expression" dxfId="2493" priority="70">
      <formula>ABS(AD$7-AD$10)&gt;=1000</formula>
    </cfRule>
  </conditionalFormatting>
  <conditionalFormatting sqref="AE4:AE11">
    <cfRule type="expression" dxfId="2492" priority="69">
      <formula>ABS(AE$7-AE$10)&gt;=1000</formula>
    </cfRule>
  </conditionalFormatting>
  <conditionalFormatting sqref="D13:D20">
    <cfRule type="expression" dxfId="2491" priority="68">
      <formula>ABS(D$16-D$19)&gt;=1000</formula>
    </cfRule>
  </conditionalFormatting>
  <conditionalFormatting sqref="E13:E20">
    <cfRule type="expression" dxfId="2490" priority="67">
      <formula>ABS(E$16-E$19)&gt;=1000</formula>
    </cfRule>
  </conditionalFormatting>
  <conditionalFormatting sqref="F13 F15:F20">
    <cfRule type="expression" dxfId="2489" priority="66">
      <formula>ABS(F$16-F$19)&gt;=1000</formula>
    </cfRule>
  </conditionalFormatting>
  <conditionalFormatting sqref="G13:G20">
    <cfRule type="expression" dxfId="2488" priority="65">
      <formula>ABS(G$16-G$19)&gt;=1000</formula>
    </cfRule>
  </conditionalFormatting>
  <conditionalFormatting sqref="H13:H20">
    <cfRule type="expression" dxfId="2487" priority="64">
      <formula>ABS(H$16-H$19)&gt;=1000</formula>
    </cfRule>
  </conditionalFormatting>
  <conditionalFormatting sqref="I13:I20">
    <cfRule type="expression" dxfId="2486" priority="63">
      <formula>ABS(I$16-I$19)&gt;=1000</formula>
    </cfRule>
  </conditionalFormatting>
  <conditionalFormatting sqref="J13:J20">
    <cfRule type="expression" dxfId="2485" priority="62">
      <formula>ABS(J$16-J$19)&gt;=1000</formula>
    </cfRule>
  </conditionalFormatting>
  <conditionalFormatting sqref="L13:L20">
    <cfRule type="expression" dxfId="2484" priority="61">
      <formula>ABS(L$16-L$19)&gt;=1000</formula>
    </cfRule>
  </conditionalFormatting>
  <conditionalFormatting sqref="M13 M15 M17:M18 M20">
    <cfRule type="expression" dxfId="2483" priority="60">
      <formula>ABS(M$16-M$19)&gt;=1000</formula>
    </cfRule>
  </conditionalFormatting>
  <conditionalFormatting sqref="N13:N20">
    <cfRule type="expression" dxfId="2482" priority="59">
      <formula>ABS(N$16-N$19)&gt;=1000</formula>
    </cfRule>
  </conditionalFormatting>
  <conditionalFormatting sqref="O13:O20">
    <cfRule type="expression" dxfId="2481" priority="58">
      <formula>ABS(O$16-O$19)&gt;=1000</formula>
    </cfRule>
  </conditionalFormatting>
  <conditionalFormatting sqref="P13:P20">
    <cfRule type="expression" dxfId="2480" priority="57">
      <formula>ABS(P$16-P$19)&gt;=1000</formula>
    </cfRule>
  </conditionalFormatting>
  <conditionalFormatting sqref="Q13 Q15:Q20">
    <cfRule type="expression" dxfId="2479" priority="56">
      <formula>ABS(Q$16-Q$19)&gt;=1000</formula>
    </cfRule>
  </conditionalFormatting>
  <conditionalFormatting sqref="R13:R20">
    <cfRule type="expression" dxfId="2478" priority="55">
      <formula>ABS(R$16-R$19)&gt;=1000</formula>
    </cfRule>
  </conditionalFormatting>
  <conditionalFormatting sqref="S13:S20">
    <cfRule type="expression" dxfId="2477" priority="54">
      <formula>ABS(S$16-S$19)&gt;=1000</formula>
    </cfRule>
  </conditionalFormatting>
  <conditionalFormatting sqref="T13:T20">
    <cfRule type="expression" dxfId="2476" priority="53">
      <formula>ABS(T$16-T$19)&gt;=1000</formula>
    </cfRule>
  </conditionalFormatting>
  <conditionalFormatting sqref="U13:U20">
    <cfRule type="expression" dxfId="2475" priority="52">
      <formula>ABS(U$16-U$19)&gt;=1000</formula>
    </cfRule>
  </conditionalFormatting>
  <conditionalFormatting sqref="V13:V20">
    <cfRule type="expression" dxfId="2474" priority="51">
      <formula>ABS(V$16-V$19)&gt;=1000</formula>
    </cfRule>
  </conditionalFormatting>
  <conditionalFormatting sqref="W13 W20 W15:W18">
    <cfRule type="expression" dxfId="2473" priority="50">
      <formula>ABS(W$16-W$19)&gt;=1000</formula>
    </cfRule>
  </conditionalFormatting>
  <conditionalFormatting sqref="X13 X15:X20 Y19">
    <cfRule type="expression" dxfId="2472" priority="49">
      <formula>ABS(X$16-X$19)&gt;=1000</formula>
    </cfRule>
  </conditionalFormatting>
  <conditionalFormatting sqref="Y13 Y15:Y18 Y20">
    <cfRule type="expression" dxfId="2471" priority="48">
      <formula>ABS(Y$16-Y$19)&gt;=1000</formula>
    </cfRule>
  </conditionalFormatting>
  <conditionalFormatting sqref="Z13:Z20">
    <cfRule type="expression" dxfId="2470" priority="47">
      <formula>ABS(Z$16-Z$19)&gt;=1000</formula>
    </cfRule>
  </conditionalFormatting>
  <conditionalFormatting sqref="AA13:AA20">
    <cfRule type="expression" dxfId="2469" priority="46">
      <formula>ABS(AA$16-AA$19)&gt;=1000</formula>
    </cfRule>
  </conditionalFormatting>
  <conditionalFormatting sqref="AB13 AB15:AB20">
    <cfRule type="expression" dxfId="2468" priority="45">
      <formula>ABS(AB$16-AB$19)&gt;=1000</formula>
    </cfRule>
  </conditionalFormatting>
  <conditionalFormatting sqref="AC13 AC15:AC20">
    <cfRule type="expression" dxfId="2467" priority="44">
      <formula>ABS(AC$16-AC$19)&gt;=1000</formula>
    </cfRule>
  </conditionalFormatting>
  <conditionalFormatting sqref="AD13:AD20">
    <cfRule type="expression" dxfId="2466" priority="43">
      <formula>ABS(AD$16-AD$19)&gt;=1000</formula>
    </cfRule>
  </conditionalFormatting>
  <conditionalFormatting sqref="AE13:AE20">
    <cfRule type="expression" dxfId="2465" priority="42">
      <formula>ABS(AE$16-AE$19)&gt;=1000</formula>
    </cfRule>
  </conditionalFormatting>
  <conditionalFormatting sqref="D22:D29">
    <cfRule type="expression" dxfId="2464" priority="41">
      <formula>ABS(D$25-D$28)&gt;=1000</formula>
    </cfRule>
  </conditionalFormatting>
  <conditionalFormatting sqref="E22:E29">
    <cfRule type="expression" dxfId="2463" priority="40">
      <formula>ABS(E$25-E$28)&gt;=1000</formula>
    </cfRule>
  </conditionalFormatting>
  <conditionalFormatting sqref="F22:F29">
    <cfRule type="expression" dxfId="2462" priority="39">
      <formula>ABS(F$25-F$28)&gt;=1000</formula>
    </cfRule>
  </conditionalFormatting>
  <conditionalFormatting sqref="G22:G29">
    <cfRule type="expression" dxfId="2461" priority="38">
      <formula>ABS(G$25-G$28)&gt;=1000</formula>
    </cfRule>
  </conditionalFormatting>
  <conditionalFormatting sqref="H22:H29">
    <cfRule type="expression" dxfId="2460" priority="37">
      <formula>ABS(H$25-H$28)&gt;=1000</formula>
    </cfRule>
  </conditionalFormatting>
  <conditionalFormatting sqref="I22 I24:I29">
    <cfRule type="expression" dxfId="2459" priority="36">
      <formula>ABS(I$25-I$28)&gt;=1000</formula>
    </cfRule>
  </conditionalFormatting>
  <conditionalFormatting sqref="J22:J29 K22">
    <cfRule type="expression" dxfId="2458" priority="35">
      <formula>ABS(J$25-J$28)&gt;=1000</formula>
    </cfRule>
  </conditionalFormatting>
  <conditionalFormatting sqref="K23:K29 L25 L28">
    <cfRule type="expression" dxfId="2457" priority="34">
      <formula>ABS(K$25-K$28)&gt;=1000</formula>
    </cfRule>
  </conditionalFormatting>
  <conditionalFormatting sqref="L22:L24 L26:L27 L29">
    <cfRule type="expression" dxfId="2456" priority="33">
      <formula>ABS(L$25-L$28)&gt;=1000</formula>
    </cfRule>
  </conditionalFormatting>
  <conditionalFormatting sqref="M22:M29">
    <cfRule type="expression" dxfId="2455" priority="32">
      <formula>ABS(M$25-M$28)&gt;=1000</formula>
    </cfRule>
  </conditionalFormatting>
  <conditionalFormatting sqref="N22:N29">
    <cfRule type="expression" dxfId="2454" priority="31">
      <formula>ABS(N$25-N$28)&gt;=1000</formula>
    </cfRule>
  </conditionalFormatting>
  <conditionalFormatting sqref="O22:O29">
    <cfRule type="expression" dxfId="2453" priority="30">
      <formula>ABS(O$25-O$28)&gt;=1000</formula>
    </cfRule>
  </conditionalFormatting>
  <conditionalFormatting sqref="P22:P29">
    <cfRule type="expression" dxfId="2452" priority="29">
      <formula>ABS(P$25-P$28)&gt;=1000</formula>
    </cfRule>
  </conditionalFormatting>
  <conditionalFormatting sqref="Q22:Q29">
    <cfRule type="expression" dxfId="2451" priority="28">
      <formula>ABS(Q$25-Q$28)&gt;=1000</formula>
    </cfRule>
  </conditionalFormatting>
  <conditionalFormatting sqref="R22:R29">
    <cfRule type="expression" dxfId="2450" priority="27">
      <formula>ABS(R$25-R$28)&gt;=1000</formula>
    </cfRule>
  </conditionalFormatting>
  <conditionalFormatting sqref="S22:S29">
    <cfRule type="expression" dxfId="2449" priority="26">
      <formula>ABS(S$25-S$28)&gt;=1000</formula>
    </cfRule>
  </conditionalFormatting>
  <conditionalFormatting sqref="T22:T29">
    <cfRule type="expression" dxfId="2448" priority="25">
      <formula>ABS(T$25-T$28)&gt;=1000</formula>
    </cfRule>
  </conditionalFormatting>
  <conditionalFormatting sqref="U22:U29">
    <cfRule type="expression" dxfId="2447" priority="24">
      <formula>ABS(U$25-U$28)&gt;=1000</formula>
    </cfRule>
  </conditionalFormatting>
  <conditionalFormatting sqref="V22:V29">
    <cfRule type="expression" dxfId="2446" priority="23">
      <formula>ABS(V$25-V$28)&gt;=1000</formula>
    </cfRule>
  </conditionalFormatting>
  <conditionalFormatting sqref="W22:W29">
    <cfRule type="expression" dxfId="2445" priority="22">
      <formula>ABS(W$25-W$28)&gt;=1000</formula>
    </cfRule>
  </conditionalFormatting>
  <conditionalFormatting sqref="X22:X29">
    <cfRule type="expression" dxfId="2444" priority="21">
      <formula>ABS(X$25-X$28)&gt;=1000</formula>
    </cfRule>
  </conditionalFormatting>
  <conditionalFormatting sqref="Y22:Y29">
    <cfRule type="expression" dxfId="2443" priority="20">
      <formula>ABS(Y$25-Y$28)&gt;=1000</formula>
    </cfRule>
  </conditionalFormatting>
  <conditionalFormatting sqref="I23">
    <cfRule type="expression" dxfId="2442" priority="19">
      <formula>ABS(I$25-I$28)&gt;=1000</formula>
    </cfRule>
  </conditionalFormatting>
  <conditionalFormatting sqref="F14">
    <cfRule type="expression" dxfId="2441" priority="18">
      <formula>ABS(F$16-F$19)&gt;=1000</formula>
    </cfRule>
  </conditionalFormatting>
  <conditionalFormatting sqref="Q14">
    <cfRule type="expression" dxfId="2440" priority="17">
      <formula>ABS(Q$16-Q$19)&gt;=1000</formula>
    </cfRule>
  </conditionalFormatting>
  <conditionalFormatting sqref="W14">
    <cfRule type="expression" dxfId="2439" priority="16">
      <formula>ABS(W$16-W$19)&gt;=1000</formula>
    </cfRule>
  </conditionalFormatting>
  <conditionalFormatting sqref="Y14">
    <cfRule type="expression" dxfId="2438" priority="15">
      <formula>ABS(Y$16-Y$19)&gt;=1000</formula>
    </cfRule>
  </conditionalFormatting>
  <conditionalFormatting sqref="X14">
    <cfRule type="expression" dxfId="2437" priority="14">
      <formula>ABS(X$16-X$19)&gt;=1000</formula>
    </cfRule>
  </conditionalFormatting>
  <conditionalFormatting sqref="T10:Y10">
    <cfRule type="expression" dxfId="2436" priority="13">
      <formula>ABS(T$7-T$10)&gt;=1000</formula>
    </cfRule>
  </conditionalFormatting>
  <conditionalFormatting sqref="W19">
    <cfRule type="expression" dxfId="2435" priority="12">
      <formula>ABS(W$16-W$19)&gt;=1000</formula>
    </cfRule>
  </conditionalFormatting>
  <conditionalFormatting sqref="AC5">
    <cfRule type="expression" dxfId="2434" priority="11">
      <formula>ABS(AC$7-AC$10)&gt;=1000</formula>
    </cfRule>
  </conditionalFormatting>
  <conditionalFormatting sqref="M14">
    <cfRule type="expression" dxfId="2433" priority="10">
      <formula>ABS(M$16-M$19)&gt;=1000</formula>
    </cfRule>
  </conditionalFormatting>
  <conditionalFormatting sqref="M16">
    <cfRule type="expression" dxfId="2432" priority="9">
      <formula>ABS(M$16-M$19)&gt;=1000</formula>
    </cfRule>
  </conditionalFormatting>
  <conditionalFormatting sqref="M19">
    <cfRule type="expression" dxfId="2431" priority="8">
      <formula>ABS(M$16-M$19)&gt;=1000</formula>
    </cfRule>
  </conditionalFormatting>
  <conditionalFormatting sqref="K13:K20">
    <cfRule type="expression" dxfId="2430" priority="7">
      <formula>ABS(K$16-K$19)&gt;=1000</formula>
    </cfRule>
  </conditionalFormatting>
  <conditionalFormatting sqref="E5">
    <cfRule type="expression" dxfId="2429" priority="6">
      <formula>ABS(E$7-E$10)&gt;=1000</formula>
    </cfRule>
  </conditionalFormatting>
  <conditionalFormatting sqref="AB14:AC14">
    <cfRule type="expression" dxfId="2428" priority="5">
      <formula>ABS(AB$16-AB$19)&gt;=1000</formula>
    </cfRule>
  </conditionalFormatting>
  <conditionalFormatting sqref="M5">
    <cfRule type="expression" dxfId="2427" priority="4">
      <formula>ABS(M$7-M$10)&gt;=1000</formula>
    </cfRule>
  </conditionalFormatting>
  <conditionalFormatting sqref="N5">
    <cfRule type="expression" dxfId="2426" priority="3">
      <formula>ABS(N$7-N$10)&gt;=1000</formula>
    </cfRule>
  </conditionalFormatting>
  <conditionalFormatting sqref="O5">
    <cfRule type="expression" dxfId="2425" priority="2">
      <formula>ABS(O$7-O$10)&gt;=1000</formula>
    </cfRule>
  </conditionalFormatting>
  <conditionalFormatting sqref="P5">
    <cfRule type="expression" dxfId="242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94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274320</xdr:rowOff>
                  </from>
                  <to>
                    <xdr:col>32</xdr:col>
                    <xdr:colOff>327660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7">
    <pageSetUpPr fitToPage="1"/>
  </sheetPr>
  <dimension ref="A1:CU223"/>
  <sheetViews>
    <sheetView view="pageBreakPreview" topLeftCell="D1" zoomScale="70" zoomScaleNormal="100" zoomScaleSheetLayoutView="70" workbookViewId="0">
      <selection activeCell="W9" sqref="W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45749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4" t="s" ph="1">
        <v>178</v>
      </c>
      <c r="D6" s="71">
        <v>3323</v>
      </c>
      <c r="E6" s="71">
        <v>4239</v>
      </c>
      <c r="F6" s="71">
        <v>3214</v>
      </c>
      <c r="G6" s="71">
        <v>6597</v>
      </c>
      <c r="H6" s="71">
        <v>8847</v>
      </c>
      <c r="I6" s="71">
        <v>16.010000000000002</v>
      </c>
      <c r="J6" s="71">
        <v>7.83</v>
      </c>
      <c r="K6" s="71">
        <v>7.11</v>
      </c>
      <c r="L6" s="71">
        <v>39.42</v>
      </c>
      <c r="M6" s="71">
        <v>2719</v>
      </c>
      <c r="N6" s="71">
        <v>2603</v>
      </c>
      <c r="O6" s="71">
        <v>74</v>
      </c>
      <c r="P6" s="71">
        <v>4670</v>
      </c>
      <c r="Q6" s="71">
        <v>0</v>
      </c>
      <c r="R6" s="71">
        <v>0</v>
      </c>
      <c r="S6" s="71">
        <v>4058</v>
      </c>
      <c r="T6" s="71">
        <v>7099</v>
      </c>
      <c r="U6" s="71">
        <v>7022</v>
      </c>
      <c r="V6" s="71">
        <v>5284</v>
      </c>
      <c r="W6" s="71">
        <v>2392</v>
      </c>
      <c r="X6" s="71">
        <v>0</v>
      </c>
      <c r="Y6" s="71">
        <v>0</v>
      </c>
      <c r="Z6" s="71">
        <v>1024</v>
      </c>
      <c r="AA6" s="71">
        <v>1568</v>
      </c>
      <c r="AB6" s="71">
        <v>687</v>
      </c>
      <c r="AC6" s="71">
        <v>4358</v>
      </c>
      <c r="AD6" s="71">
        <v>1333</v>
      </c>
      <c r="AE6" s="71">
        <v>1716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105062.50145519999</v>
      </c>
      <c r="E7" s="73" ph="1">
        <f>E6*51.53*LOOKUP(E8,密度!$A$2:$A$50,密度!$B$2:$B$50)</f>
        <v>172127.30796000001</v>
      </c>
      <c r="F7" s="73" ph="1">
        <f>F6*33.183*LOOKUP(F8,密度!$A$2:$A$50,密度!$C$2:$C$50)</f>
        <v>118936.26066239999</v>
      </c>
      <c r="G7" s="73" ph="1">
        <f xml:space="preserve"> (G6+2)*51.53*LOOKUP(G8,密度!$A$2:$A$50,密度!$B$2:$B$50)</f>
        <v>267684.58118400001</v>
      </c>
      <c r="H7" s="73" ph="1">
        <f>(H6)*51.53*LOOKUP(H8,密度!$A$2:$A$50,密度!$B$2:$B$50)</f>
        <v>360788.10917400004</v>
      </c>
      <c r="I7" s="73" ph="1">
        <f>I6*290.8*1.0267</f>
        <v>4780.0154036000004</v>
      </c>
      <c r="J7" s="73" ph="1">
        <f>J6*290.8*0.7892</f>
        <v>1796.9799888</v>
      </c>
      <c r="K7" s="73" ph="1">
        <f>K6*290.8*1.1126</f>
        <v>2300.3984088000002</v>
      </c>
      <c r="L7" s="73" ph="1">
        <f>L6*290.8*0.777</f>
        <v>8907.0120720000014</v>
      </c>
      <c r="M7" s="73" ph="1">
        <f>M6*33.183*LOOKUP(M8,密度!$A$2:$A$50,密度!$D$2:$D$50)</f>
        <v>93364.392279599997</v>
      </c>
      <c r="N7" s="73" ph="1">
        <f>N6*33.183*LOOKUP(N8,密度!$A$2:$A$50,密度!$E$2:$E$50)</f>
        <v>68357.4511986</v>
      </c>
      <c r="O7" s="73" ph="1">
        <f>O6*20.428*LOOKUP(O8,密度!$A$2:$A$50,密度!$C$2:$C$50)</f>
        <v>1681.8862672</v>
      </c>
      <c r="P7" s="73" ph="1">
        <f>P6*51.53*LOOKUP(P8,密度!$A$2:$A$50,密度!$B$2:$B$50)</f>
        <v>189844.91939000002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26992.000450799998</v>
      </c>
      <c r="T7" s="73" ph="1">
        <f>T6*1.5*1.5*3.1416*LOOKUP(T8,密度!$A$2:$A$50,密度!$L$2:$L$50)</f>
        <v>47771.3518128</v>
      </c>
      <c r="U7" s="73" ph="1">
        <f>U6*1.5*1.5*3.1416*LOOKUP(U8,密度!$A$2:$A$50,密度!$L$2:$L$50)</f>
        <v>47203.559449199995</v>
      </c>
      <c r="V7" s="73" ph="1">
        <f>V6*1.5*1.5*3.1416*LOOKUP(V8,密度!$A$2:$A$50,密度!$L$2:$L$50)</f>
        <v>35333.556350400002</v>
      </c>
      <c r="W7" s="73" ph="1">
        <f>W6*1.5*1.5*3.1416*LOOKUP(W8,密度!$A$2:$A$50,密度!$L$2:$L$50)</f>
        <v>15978.146183999997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32280.422399999999</v>
      </c>
      <c r="AA7" s="73" ph="1">
        <f>AA6*33.183*LOOKUP(AA8,密度!$A$2:$A$50,密度!$D$2:$D$50)</f>
        <v>53930.073456000006</v>
      </c>
      <c r="AB7" s="73" ph="1">
        <f>AB6*20.428*LOOKUP(AB8,密度!$A$2:$A$50,密度!$D$2:$D$50)</f>
        <v>14645.919969600001</v>
      </c>
      <c r="AC7" s="73" ph="1">
        <f>AC6*51.53*LOOKUP(AC8,密度!$A$2:$A$50,密度!$Q$2:$Q$50)</f>
        <v>214358.89053959999</v>
      </c>
      <c r="AD7" s="73" ph="1">
        <f>AD6*20.428*LOOKUP(AD8,密度!$A$2:$A$50,密度!$V$2:$V$50)</f>
        <v>26250.225136000001</v>
      </c>
      <c r="AE7" s="73" ph="1">
        <f>AE6*20.428</f>
        <v>35054.448000000004</v>
      </c>
    </row>
    <row r="8" spans="1:99" ph="1">
      <c r="B8" s="195" ph="1"/>
      <c r="C8" s="68" t="s" ph="1">
        <v>180</v>
      </c>
      <c r="D8" s="74">
        <v>17</v>
      </c>
      <c r="E8" s="74">
        <v>15</v>
      </c>
      <c r="F8" s="74">
        <v>16</v>
      </c>
      <c r="G8" s="74">
        <v>16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20</v>
      </c>
      <c r="P8" s="74">
        <v>14</v>
      </c>
      <c r="Q8" s="74">
        <v>14</v>
      </c>
      <c r="R8" s="74">
        <v>21</v>
      </c>
      <c r="S8" s="74">
        <v>21</v>
      </c>
      <c r="T8" s="74">
        <v>10</v>
      </c>
      <c r="U8" s="74">
        <v>11</v>
      </c>
      <c r="V8" s="74">
        <v>16</v>
      </c>
      <c r="W8" s="74">
        <v>17</v>
      </c>
      <c r="X8" s="74">
        <v>7</v>
      </c>
      <c r="Y8" s="74">
        <v>15</v>
      </c>
      <c r="Z8" s="74">
        <v>12</v>
      </c>
      <c r="AA8" s="74">
        <v>14</v>
      </c>
      <c r="AB8" s="74">
        <v>6</v>
      </c>
      <c r="AC8" s="74">
        <v>14</v>
      </c>
      <c r="AD8" s="74">
        <v>9</v>
      </c>
      <c r="AE8" s="74">
        <v>17</v>
      </c>
    </row>
    <row r="9" spans="1:99" ht="26.4" ph="1">
      <c r="B9" s="195" ph="1">
        <v>0.66666666666666663</v>
      </c>
      <c r="C9" s="144" t="s" ph="1">
        <v>181</v>
      </c>
      <c r="D9" s="71">
        <v>2823</v>
      </c>
      <c r="E9" s="71">
        <v>4234</v>
      </c>
      <c r="F9" s="71">
        <v>3213</v>
      </c>
      <c r="G9" s="71">
        <v>6324</v>
      </c>
      <c r="H9" s="71">
        <v>8516</v>
      </c>
      <c r="I9" s="71">
        <v>15.97</v>
      </c>
      <c r="J9" s="71">
        <v>7.76</v>
      </c>
      <c r="K9" s="71">
        <v>7.16</v>
      </c>
      <c r="L9" s="71">
        <v>42.13</v>
      </c>
      <c r="M9" s="71">
        <v>2720</v>
      </c>
      <c r="N9" s="71">
        <v>2559</v>
      </c>
      <c r="O9" s="71">
        <v>73</v>
      </c>
      <c r="P9" s="71">
        <v>4486</v>
      </c>
      <c r="Q9" s="71">
        <v>0</v>
      </c>
      <c r="R9" s="71">
        <v>0</v>
      </c>
      <c r="S9" s="71">
        <v>1421</v>
      </c>
      <c r="T9" s="71">
        <v>7100</v>
      </c>
      <c r="U9" s="71">
        <v>7028</v>
      </c>
      <c r="V9" s="71">
        <v>5289</v>
      </c>
      <c r="W9" s="71">
        <v>4650</v>
      </c>
      <c r="X9" s="71">
        <v>2235</v>
      </c>
      <c r="Y9" s="71">
        <v>0</v>
      </c>
      <c r="Z9" s="71">
        <v>2072</v>
      </c>
      <c r="AA9" s="71">
        <v>1564</v>
      </c>
      <c r="AB9" s="71">
        <v>2415</v>
      </c>
      <c r="AC9" s="71">
        <v>4352</v>
      </c>
      <c r="AD9" s="71">
        <v>1331</v>
      </c>
      <c r="AE9" s="71">
        <v>1705</v>
      </c>
    </row>
    <row r="10" spans="1:99" s="72" customFormat="1" ht="22.2" ph="1">
      <c r="B10" s="195" ph="1"/>
      <c r="C10" s="144" t="s" ph="1">
        <v>179</v>
      </c>
      <c r="D10" s="73" ph="1">
        <f>D9*33.183*LOOKUP(D11,密度!$A$2:$A$50,密度!$Q$2:$Q$50)</f>
        <v>89107.049549069998</v>
      </c>
      <c r="E10" s="73" ph="1">
        <f>E9*51.53*LOOKUP(E11,密度!$A$2:$A$50,密度!$B$2:$B$50)</f>
        <v>171073.38548200001</v>
      </c>
      <c r="F10" s="73" ph="1">
        <f>F9*33.183*LOOKUP(F11,密度!$A$2:$A$50,密度!$C$2:$C$50)</f>
        <v>118824.62309550001</v>
      </c>
      <c r="G10" s="73" ph="1">
        <f xml:space="preserve"> (G9+2)*51.53*LOOKUP(G11,密度!$A$2:$A$50,密度!$B$2:$B$50)</f>
        <v>256349.71259200003</v>
      </c>
      <c r="H10" s="73" ph="1">
        <f>(H9)*51.53*LOOKUP(H11,密度!$A$2:$A$50,密度!$B$2:$B$50)</f>
        <v>345095.50307199999</v>
      </c>
      <c r="I10" s="73" ph="1">
        <f>I9*290.8*1.0267</f>
        <v>4768.0728291999994</v>
      </c>
      <c r="J10" s="73" ph="1">
        <f>J9*290.8*0.7892</f>
        <v>1780.9150336000002</v>
      </c>
      <c r="K10" s="73" ph="1">
        <f>K9*290.8*1.1126</f>
        <v>2316.5756128000003</v>
      </c>
      <c r="L10" s="73" ph="1">
        <f>L9*290.8*0.777</f>
        <v>9519.3409080000001</v>
      </c>
      <c r="M10" s="73" ph="1">
        <f>M9*33.183*LOOKUP(M11,密度!$A$2:$A$50,密度!$D$2:$D$50)</f>
        <v>93164.059871999998</v>
      </c>
      <c r="N10" s="73" ph="1">
        <f>N9*33.183*LOOKUP(N11,密度!$A$2:$A$50,密度!$E$2:$E$50)</f>
        <v>67108.559219100003</v>
      </c>
      <c r="O10" s="73" ph="1">
        <f>O9*20.428*LOOKUP(O11,密度!$A$2:$A$50,密度!$C$2:$C$50)</f>
        <v>1647.9737444000002</v>
      </c>
      <c r="P10" s="73" ph="1">
        <f>P9*51.53*LOOKUP(P11,密度!$A$2:$A$50,密度!$B$2:$B$50)</f>
        <v>181255.36307800002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9522.1676087999986</v>
      </c>
      <c r="T10" s="73" ph="1">
        <f>T9*1.5*1.5*3.1416*LOOKUP(T11,密度!$A$2:$A$50,密度!$L$2:$L$50)</f>
        <v>47627.519939999998</v>
      </c>
      <c r="U10" s="73" ph="1">
        <f>U9*1.5*1.5*3.1416*LOOKUP(U11,密度!$A$2:$A$50,密度!$L$2:$L$50)</f>
        <v>46846.467914399997</v>
      </c>
      <c r="V10" s="73" ph="1">
        <f>V9*1.5*1.5*3.1416*LOOKUP(V11,密度!$A$2:$A$50,密度!$L$2:$L$50)</f>
        <v>35142.675876000001</v>
      </c>
      <c r="W10" s="73" ph="1">
        <f>W9*1.5*1.5*3.1416*LOOKUP(W11,密度!$A$2:$A$50,密度!$L$2:$L$50)</f>
        <v>31028.326559999998</v>
      </c>
      <c r="X10" s="73" ph="1">
        <f>X9*1.5*1.5*3.1416*LOOKUP(X11,密度!$A$2:$A$50,密度!$L$2:$L$50)</f>
        <v>15024.203270999998</v>
      </c>
      <c r="Y10" s="73" ph="1">
        <f>Y9*1.5*1.5*3.1416*LOOKUP(Y11,密度!$A$2:$A$50,密度!$L$2:$L$50)</f>
        <v>0</v>
      </c>
      <c r="Z10" s="73" ph="1">
        <f>Z9*33.183*LOOKUP(Z11,密度!$A$2:$A$50,密度!$L$2:$L$50)</f>
        <v>65179.906848000006</v>
      </c>
      <c r="AA10" s="73" ph="1">
        <f>AA9*33.183*LOOKUP(AA11,密度!$A$2:$A$50,密度!$D$2:$D$50)</f>
        <v>53527.815856800007</v>
      </c>
      <c r="AB10" s="73" ph="1">
        <f>AB9*20.428*LOOKUP(AB11,密度!$A$2:$A$50,密度!$D$2:$D$50)</f>
        <v>51306.964800000002</v>
      </c>
      <c r="AC10" s="73" ph="1">
        <f>AC9*51.53*LOOKUP(AC11,密度!$A$2:$A$50,密度!$Q$2:$Q$50)</f>
        <v>213496.39170559999</v>
      </c>
      <c r="AD10" s="73" ph="1">
        <f>AD9*20.428*LOOKUP(AD11,密度!$A$2:$A$50,密度!$V$2:$V$50)</f>
        <v>26210.839952000002</v>
      </c>
      <c r="AE10" s="73" ph="1">
        <f>AE9*20.428</f>
        <v>34829.74</v>
      </c>
    </row>
    <row r="11" spans="1:99" ph="1">
      <c r="A11" s="64" t="s" ph="1">
        <v>163</v>
      </c>
      <c r="B11" s="195" ph="1"/>
      <c r="C11" s="144" t="s" ph="1">
        <v>180</v>
      </c>
      <c r="D11" s="74">
        <v>19</v>
      </c>
      <c r="E11" s="74">
        <v>20</v>
      </c>
      <c r="F11" s="74">
        <v>17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30</v>
      </c>
      <c r="P11" s="74">
        <v>20</v>
      </c>
      <c r="Q11" s="74">
        <v>20</v>
      </c>
      <c r="R11" s="74">
        <v>22</v>
      </c>
      <c r="S11" s="74">
        <v>14</v>
      </c>
      <c r="T11" s="74">
        <v>13</v>
      </c>
      <c r="U11" s="74">
        <v>19</v>
      </c>
      <c r="V11" s="74">
        <v>22</v>
      </c>
      <c r="W11" s="74">
        <v>18</v>
      </c>
      <c r="X11" s="74">
        <v>11</v>
      </c>
      <c r="Y11" s="74">
        <v>20</v>
      </c>
      <c r="Z11" s="74">
        <v>14</v>
      </c>
      <c r="AA11" s="74">
        <v>20</v>
      </c>
      <c r="AB11" s="74">
        <v>10</v>
      </c>
      <c r="AC11" s="74">
        <v>18</v>
      </c>
      <c r="AD11" s="74">
        <v>20</v>
      </c>
      <c r="AE11" s="74">
        <v>20</v>
      </c>
    </row>
    <row r="12" spans="1:99" ht="9.9" customHeight="1" ph="1"/>
    <row r="13" spans="1:99" s="72" customFormat="1" ht="29.25" customHeight="1" ph="1">
      <c r="B13" s="203" t="s" ph="1">
        <v>37</v>
      </c>
      <c r="C13" s="14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4" t="s" ph="1">
        <v>178</v>
      </c>
      <c r="D15" s="78">
        <v>5162</v>
      </c>
      <c r="E15" s="78">
        <v>281</v>
      </c>
      <c r="F15" s="78">
        <v>3537</v>
      </c>
      <c r="G15" s="78">
        <v>4250</v>
      </c>
      <c r="H15" s="78">
        <v>4483</v>
      </c>
      <c r="I15" s="78">
        <v>3</v>
      </c>
      <c r="J15" s="78">
        <v>1479</v>
      </c>
      <c r="K15" s="78">
        <v>1893</v>
      </c>
      <c r="L15" s="78">
        <v>5593</v>
      </c>
      <c r="M15" s="78">
        <v>190</v>
      </c>
      <c r="N15" s="78">
        <v>2616</v>
      </c>
      <c r="O15" s="78">
        <v>7070</v>
      </c>
      <c r="P15" s="78">
        <v>6879</v>
      </c>
      <c r="Q15" s="78">
        <v>6793</v>
      </c>
      <c r="R15" s="78">
        <v>3482</v>
      </c>
      <c r="S15" s="78">
        <v>6803</v>
      </c>
      <c r="T15" s="78">
        <v>6543</v>
      </c>
      <c r="U15" s="78">
        <v>2417</v>
      </c>
      <c r="V15" s="78">
        <v>1088</v>
      </c>
      <c r="W15" s="71">
        <v>453</v>
      </c>
      <c r="X15" s="78">
        <v>290</v>
      </c>
      <c r="Y15" s="106">
        <v>-9900</v>
      </c>
      <c r="Z15" s="78">
        <v>0</v>
      </c>
      <c r="AA15" s="78">
        <v>4210</v>
      </c>
      <c r="AB15" s="78" ph="1">
        <v>6846</v>
      </c>
      <c r="AC15" s="78" ph="1">
        <v>6495</v>
      </c>
      <c r="AD15" s="78">
        <v>50.12</v>
      </c>
      <c r="AE15" s="78">
        <v>5.54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4" t="s" ph="1">
        <v>179</v>
      </c>
      <c r="D16" s="73" ph="1">
        <f>D15*7.0686*LOOKUP(D17,密度!$A$2:$A$50,密度!$L$2:$L$50)</f>
        <v>34517.755087199999</v>
      </c>
      <c r="E16" s="73" ph="1">
        <f>E15*7.0686*LOOKUP(E17,密度!$A$2:$A$50,密度!$L$2:$L$50)</f>
        <v>1879.0176635999999</v>
      </c>
      <c r="F16" s="73" ph="1">
        <f>F15*9.0746*LOOKUP(F17,密度!$A$2:$A$50,密度!$L$2:$L$50)</f>
        <v>30235.242308399997</v>
      </c>
      <c r="G16" s="73" ph="1">
        <f>G15*9.0746*LOOKUP(G17,密度!$A$2:$A$50,密度!$B$2:$B$50)</f>
        <v>30329.128120000001</v>
      </c>
      <c r="H16" s="73" ph="1">
        <f>H15*9.0746*LOOKUP(H17,密度!$A$2:$A$50,密度!$L$2:$L$50)</f>
        <v>38565.9973464</v>
      </c>
      <c r="I16" s="73" ph="1">
        <f>I15*9.0746*LOOKUP(I17,密度!$A$2:$A$50,密度!$U$2:$U$50)</f>
        <v>27.986066400000002</v>
      </c>
      <c r="J16" s="73" ph="1">
        <f>J15*9.0746*LOOKUP(J17,密度!$A$2:$A$50,密度!$L$2:$L$50)</f>
        <v>12696.581396399999</v>
      </c>
      <c r="K16" s="73" ph="1">
        <f>K15*9.0746*LOOKUP(K17,密度!$A$2:$A$50,密度!$C$2:$C$50)</f>
        <v>19145.123738100003</v>
      </c>
      <c r="L16" s="73" ph="1">
        <f>L15*9.0746*LOOKUP(L17,密度!$A$2:$A$50,密度!$E$2:$E$50)</f>
        <v>40334.392779660004</v>
      </c>
      <c r="M16" s="73" ph="1">
        <f>M15*9.0746*LOOKUP(M17,密度!$A$2:$A$50,密度!$M$2:$M$50)</f>
        <v>1517.7903721999999</v>
      </c>
      <c r="N16" s="73" ph="1">
        <f>N15*9.0746*LOOKUP(N17,密度!$A$2:$A$50,密度!$M$2:$M$50)</f>
        <v>20897.57691408</v>
      </c>
      <c r="O16" s="73" ph="1">
        <f>O15*9.0746*LOOKUP(O17,密度!$A$2:$A$50,密度!$G$2:$G$50)</f>
        <v>62104.384495999999</v>
      </c>
      <c r="P16" s="73" ph="1">
        <f ca="1">P15*9.0746*LOOKUP(P17,密度!$A$2:$A$51,密度!$Q$2:$Q$50)</f>
        <v>59586.370477236</v>
      </c>
      <c r="Q16" s="73" ph="1">
        <f>Q15*9.0746*LOOKUP(Q17,密度!$A$2:$A$50,密度!$Q$2:$Q$50)</f>
        <v>58685.473863177998</v>
      </c>
      <c r="R16" s="73" ph="1">
        <f>MAX(R15*9.0746*LOOKUP(R17,密度!$A$2:$A$50,密度!$B$2:$B$50),0)</f>
        <v>24848.476262079999</v>
      </c>
      <c r="S16" s="73" ph="1">
        <f>S15*9.0746*LOOKUP(S17,密度!$A$2:$A$50,密度!$Q$2:$Q$50)</f>
        <v>58928.053257252002</v>
      </c>
      <c r="T16" s="73" ph="1">
        <f>T15*9.0746*LOOKUP(T17,密度!$A$2:$A$50,密度!$O$2:$O$50)</f>
        <v>55456.350685199999</v>
      </c>
      <c r="U16" s="73" ph="1">
        <f>U15*9.0746*LOOKUP(U17,密度!$A$2:$A$50,密度!$H$2:$H$50)</f>
        <v>20281.730092539998</v>
      </c>
      <c r="V16" s="73" ph="1">
        <f>MAX(5600*LOOKUP(V17,密度!$A$2:$A$50,密度!$Q$2:$Q$50)+V15*9.0476*LOOKUP(V17,密度!$A$2:$A$50,密度!$Q$2:$Q$50),0)</f>
        <v>14714.841968639999</v>
      </c>
      <c r="W16" s="73" ph="1">
        <f>MAX(5600*LOOKUP(W17,密度!$A$2:$A$50,密度!$Q$2:$Q$50)+W15*9.0476*LOOKUP(W17,密度!$A$2:$A$50,密度!$Q$2:$Q$50),0)</f>
        <v>9233.1287712279991</v>
      </c>
      <c r="X16" s="73" ph="1">
        <f>MAX(5600*LOOKUP(X17,密度!$A$2:$A$50,密度!$I$2:$I$50)+X15*9.0476*LOOKUP(X17,密度!$A$2:$A$50,密度!$I$2:$I$50),0)</f>
        <v>8654.7313295999993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30139.187667400001</v>
      </c>
      <c r="AB16" s="73" ph="1">
        <f>AB15*9.0746*LOOKUP(AB17,密度!$A$2:$A$50,密度!$L$2:$L$50)</f>
        <v>58769.977173599997</v>
      </c>
      <c r="AC16" s="73" ph="1">
        <f>AC15*9.0746*LOOKUP(AC17,密度!$A$2:$A$50,密度!$L$2:$L$50)</f>
        <v>55874.671596</v>
      </c>
      <c r="AD16" s="73" ph="1">
        <f>AD15*268.68*LOOKUP(AD17,密度!$A$2:$A$50,密度!B2:B50)+IF(AD15&lt;=0,0,1566*LOOKUP(AD17,密度!$A$2:$A$50,密度!B2:B50))</f>
        <v>11719.135551359999</v>
      </c>
      <c r="AE16" s="73" ph="1">
        <f>AE15*268.68*LOOKUP(AE17,密度!$A$2:$A$50,密度!B2:B50)+IF(AE15&lt;=0,0,1566*LOOKUP(AE17,密度!$A$2:$A$50,密度!B2:B50))</f>
        <v>2381.2782211200001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16</v>
      </c>
      <c r="E17" s="74">
        <v>16</v>
      </c>
      <c r="F17" s="74">
        <v>20</v>
      </c>
      <c r="G17" s="74">
        <v>17</v>
      </c>
      <c r="H17" s="74">
        <v>14</v>
      </c>
      <c r="I17" s="74">
        <v>15</v>
      </c>
      <c r="J17" s="74">
        <v>16</v>
      </c>
      <c r="K17" s="74">
        <v>17</v>
      </c>
      <c r="L17" s="74">
        <v>15</v>
      </c>
      <c r="M17" s="74">
        <v>15</v>
      </c>
      <c r="N17" s="74">
        <v>15</v>
      </c>
      <c r="O17" s="74">
        <v>18</v>
      </c>
      <c r="P17" s="74">
        <v>14</v>
      </c>
      <c r="Q17" s="74">
        <v>18</v>
      </c>
      <c r="R17" s="74">
        <v>17</v>
      </c>
      <c r="S17" s="74">
        <v>15</v>
      </c>
      <c r="T17" s="74">
        <v>15</v>
      </c>
      <c r="U17" s="74">
        <v>15</v>
      </c>
      <c r="V17" s="74">
        <v>17</v>
      </c>
      <c r="W17" s="74">
        <v>18</v>
      </c>
      <c r="X17" s="74">
        <v>16</v>
      </c>
      <c r="Y17" s="108">
        <v>16</v>
      </c>
      <c r="Z17" s="74">
        <v>15</v>
      </c>
      <c r="AA17" s="74">
        <v>14</v>
      </c>
      <c r="AB17" s="74">
        <v>16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5172</v>
      </c>
      <c r="E18" s="71">
        <v>1013</v>
      </c>
      <c r="F18" s="71">
        <v>3538</v>
      </c>
      <c r="G18" s="71">
        <v>4280</v>
      </c>
      <c r="H18" s="71">
        <v>4487</v>
      </c>
      <c r="I18" s="71">
        <v>3</v>
      </c>
      <c r="J18" s="71">
        <v>1708</v>
      </c>
      <c r="K18" s="71">
        <v>1893</v>
      </c>
      <c r="L18" s="71">
        <v>3657</v>
      </c>
      <c r="M18" s="71">
        <v>1346</v>
      </c>
      <c r="N18" s="71">
        <v>2974</v>
      </c>
      <c r="O18" s="71">
        <v>7078</v>
      </c>
      <c r="P18" s="71">
        <v>6889</v>
      </c>
      <c r="Q18" s="71">
        <v>5312</v>
      </c>
      <c r="R18" s="71">
        <v>3487</v>
      </c>
      <c r="S18" s="71">
        <v>6810</v>
      </c>
      <c r="T18" s="71">
        <v>4942</v>
      </c>
      <c r="U18" s="71">
        <v>2418</v>
      </c>
      <c r="V18" s="71">
        <v>1088</v>
      </c>
      <c r="W18" s="71">
        <v>1944</v>
      </c>
      <c r="X18" s="71">
        <v>289</v>
      </c>
      <c r="Y18" s="109">
        <v>-9903</v>
      </c>
      <c r="Z18" s="71">
        <v>0</v>
      </c>
      <c r="AA18" s="71">
        <v>4213</v>
      </c>
      <c r="AB18" s="71">
        <v>6854</v>
      </c>
      <c r="AC18" s="71">
        <v>6502</v>
      </c>
      <c r="AD18" s="71">
        <v>84.47</v>
      </c>
      <c r="AE18" s="71">
        <v>5.44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4" t="s" ph="1">
        <v>179</v>
      </c>
      <c r="D19" s="73" ph="1">
        <f>D18*7.0686*LOOKUP(D20,密度!$A$2:$A$50,密度!$L$2:$L$50)</f>
        <v>34438.388846399997</v>
      </c>
      <c r="E19" s="73" ph="1">
        <f>E18*7.0686*LOOKUP(E20,密度!$A$2:$A$50,密度!$L$2:$L$50)</f>
        <v>6745.1832755999994</v>
      </c>
      <c r="F19" s="73" ph="1">
        <f>F18*9.0746*LOOKUP(F20,密度!$A$2:$A$50,密度!$L$2:$L$50)</f>
        <v>30179.578711999999</v>
      </c>
      <c r="G19" s="73" ph="1">
        <f>G18*9.0746*LOOKUP(G20,密度!$A$2:$A$50,密度!$B$2:$B$50)</f>
        <v>30484.9571512</v>
      </c>
      <c r="H19" s="73" ph="1">
        <f>H18*9.0746*LOOKUP(H20,密度!$A$2:$A$50,密度!$L$2:$L$50)</f>
        <v>38559.6904994</v>
      </c>
      <c r="I19" s="73" ph="1">
        <f>I18*9.0746*LOOKUP(I20,密度!$A$2:$A$50,密度!$U$2:$U$50)</f>
        <v>27.986066400000002</v>
      </c>
      <c r="J19" s="73" ph="1">
        <f>J18*9.0746*LOOKUP(J20,密度!$A$2:$A$50,密度!$L$2:$L$50)</f>
        <v>14584.951208799999</v>
      </c>
      <c r="K19" s="73" ph="1">
        <f>K18*9.0746*LOOKUP(K20,密度!$A$2:$A$50,密度!$C$2:$C$50)</f>
        <v>19112.485124280003</v>
      </c>
      <c r="L19" s="73" ph="1">
        <f>L18*9.0746*LOOKUP(L20,密度!$A$2:$A$50,密度!$E$2:$E$50)</f>
        <v>26226.74738166</v>
      </c>
      <c r="M19" s="73" ph="1">
        <f>M18*9.0746*LOOKUP(M20,密度!$A$2:$A$50,密度!$M$2:$M$50)</f>
        <v>10752.34653148</v>
      </c>
      <c r="N19" s="73" ph="1">
        <f>N18*9.0746*LOOKUP(N20,密度!$A$2:$A$50,密度!$M$2:$M$50)</f>
        <v>23757.413510120001</v>
      </c>
      <c r="O19" s="73" ph="1">
        <f>O18*9.0746*LOOKUP(O20,密度!$A$2:$A$50,密度!$G$2:$G$50)</f>
        <v>62039.775158919998</v>
      </c>
      <c r="P19" s="73" ph="1">
        <f ca="1">P18*9.0746*LOOKUP(P20,密度!$A$2:$A$51,密度!$Q$2:$Q$50)</f>
        <v>59466.066780861998</v>
      </c>
      <c r="Q19" s="73" ph="1">
        <f>Q18*9.0746*LOOKUP(Q20,密度!$A$2:$A$50,密度!$Q$2:$Q$50)</f>
        <v>45812.379064576002</v>
      </c>
      <c r="R19" s="73" ph="1">
        <f>MAX(R18*9.0746*LOOKUP(R20,密度!$A$2:$A$50,密度!$B$2:$B$50),0)</f>
        <v>24811.378389820002</v>
      </c>
      <c r="S19" s="73" ph="1">
        <f>S18*9.0746*LOOKUP(S20,密度!$A$2:$A$50,密度!$Q$2:$Q$50)</f>
        <v>58832.338732260003</v>
      </c>
      <c r="T19" s="73" ph="1">
        <f>T18*9.0746*LOOKUP(T20,密度!$A$2:$A$50,密度!$O$2:$O$50)</f>
        <v>41886.792768800005</v>
      </c>
      <c r="U19" s="73" ph="1">
        <f>U18*9.0746*LOOKUP(U20,密度!$A$2:$A$50,密度!$H$2:$H$50)</f>
        <v>20246.236609559997</v>
      </c>
      <c r="V19" s="73" ph="1">
        <f>MAX(5600*LOOKUP(V20,密度!$A$2:$A$50,密度!$Q$2:$Q$50)+V18*9.0476*LOOKUP(V20,密度!$A$2:$A$50,密度!$Q$2:$Q$50),0)</f>
        <v>14677.467999744</v>
      </c>
      <c r="W19" s="73" ph="1">
        <f>MAX(5600*LOOKUP(W20,密度!$A$2:$A$50,密度!$Q$2:$Q$50)+W18*9.0476*LOOKUP(W20,密度!$A$2:$A$50,密度!$Q$2:$Q$50),0)</f>
        <v>22037.919323071997</v>
      </c>
      <c r="X19" s="73" ph="1">
        <f>MAX(5600*LOOKUP(X20,密度!$A$2:$A$50,密度!$I$2:$I$50)+X18*9.0476*LOOKUP(X20,密度!$A$2:$A$50,密度!$I$2:$I$50),0)</f>
        <v>8620.5653661600008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30095.671330559999</v>
      </c>
      <c r="AB19" s="73" ph="1">
        <f>AB18*9.0746*LOOKUP(AB20,密度!$A$2:$A$50,密度!$L$2:$L$50)</f>
        <v>58652.061821199997</v>
      </c>
      <c r="AC19" s="73" ph="1">
        <f>AC18*9.0746*LOOKUP(AC20,密度!$A$2:$A$50,密度!$L$2:$L$50)</f>
        <v>55816.884543200002</v>
      </c>
      <c r="AD19" s="73" ph="1">
        <f>AD18*268.68*LOOKUP(AD20,密度!$A$2:$A$50,密度!B5:B53)+IF(AD18&lt;=0,0,1566*LOOKUP(AD20,密度!$A$2:$A$50,密度!B5:B53))</f>
        <v>18851.1074892</v>
      </c>
      <c r="AE19" s="73" ph="1">
        <f>AE18*268.68*LOOKUP(AE20,密度!$A$2:$A$50,密度!B5:B53)+IF(AE18&lt;=0,0,1566*LOOKUP(AE20,密度!$A$2:$A$50,密度!B5:B53))</f>
        <v>2352.4601184000003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20</v>
      </c>
      <c r="E20" s="81">
        <v>20</v>
      </c>
      <c r="F20" s="81">
        <v>22</v>
      </c>
      <c r="G20" s="81">
        <v>19</v>
      </c>
      <c r="H20" s="81">
        <v>15</v>
      </c>
      <c r="I20" s="81">
        <v>20</v>
      </c>
      <c r="J20" s="81">
        <v>21</v>
      </c>
      <c r="K20" s="81">
        <v>20</v>
      </c>
      <c r="L20" s="81">
        <v>19</v>
      </c>
      <c r="M20" s="81">
        <v>19</v>
      </c>
      <c r="N20" s="81">
        <v>18</v>
      </c>
      <c r="O20" s="81">
        <v>20</v>
      </c>
      <c r="P20" s="81">
        <v>19</v>
      </c>
      <c r="Q20" s="81">
        <v>20</v>
      </c>
      <c r="R20" s="81">
        <v>20</v>
      </c>
      <c r="S20" s="81">
        <v>18</v>
      </c>
      <c r="T20" s="81">
        <v>18</v>
      </c>
      <c r="U20" s="81">
        <v>17</v>
      </c>
      <c r="V20" s="81">
        <v>20</v>
      </c>
      <c r="W20" s="81">
        <v>20</v>
      </c>
      <c r="X20" s="81">
        <v>19</v>
      </c>
      <c r="Y20" s="110">
        <v>19</v>
      </c>
      <c r="Z20" s="81">
        <v>18</v>
      </c>
      <c r="AA20" s="81">
        <v>16</v>
      </c>
      <c r="AB20" s="81">
        <v>19</v>
      </c>
      <c r="AC20" s="81">
        <v>16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4" t="s" ph="1">
        <v>178</v>
      </c>
      <c r="D24" s="71">
        <v>3.31</v>
      </c>
      <c r="E24" s="71">
        <v>95.1</v>
      </c>
      <c r="F24" s="71">
        <v>0</v>
      </c>
      <c r="G24" s="71">
        <v>3678</v>
      </c>
      <c r="H24" s="71">
        <v>3518</v>
      </c>
      <c r="I24" s="71">
        <v>4544</v>
      </c>
      <c r="J24" s="71">
        <v>4916</v>
      </c>
      <c r="K24" s="71">
        <v>90.6</v>
      </c>
      <c r="L24" s="71">
        <v>3559</v>
      </c>
      <c r="M24" s="71">
        <v>5384</v>
      </c>
      <c r="N24" s="71">
        <v>5336</v>
      </c>
      <c r="O24" s="71">
        <v>3513</v>
      </c>
      <c r="P24" s="71">
        <v>833</v>
      </c>
      <c r="Q24" s="90">
        <v>952</v>
      </c>
      <c r="R24" s="71">
        <v>6339</v>
      </c>
      <c r="S24" s="71">
        <v>227</v>
      </c>
      <c r="T24" s="71">
        <v>1746</v>
      </c>
      <c r="U24" s="71">
        <v>5871</v>
      </c>
      <c r="V24" s="71">
        <v>9602</v>
      </c>
      <c r="W24" s="71">
        <v>8720</v>
      </c>
      <c r="X24" s="71">
        <v>5515</v>
      </c>
      <c r="Y24" s="71">
        <v>5766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2324.5598815920002</v>
      </c>
      <c r="E25" s="91" ph="1">
        <f>E24*268.68*LOOKUP(E26,密度!$A$2:$A$50,密度!$C$2:$C$50)+IF(E24&lt;=0,0,1566*LOOKUP(E26,密度!$A$2:$A$50,密度!$C$2:$C$50))</f>
        <v>30070.560265200002</v>
      </c>
      <c r="F25" s="91" ph="1">
        <f>F24*11.702*LOOKUP(F26,密度!$A$2:$A$50,密度!$Q$2:$Q$50)</f>
        <v>0</v>
      </c>
      <c r="G25" s="91" ph="1">
        <f>G24*18.322*LOOKUP(G26,密度!$A$2:$A$50,密度!$B$2:$B$50)</f>
        <v>53048.082355199993</v>
      </c>
      <c r="H25" s="91" ph="1">
        <f>H24*18.322*LOOKUP(H26,密度!$A$2:$A$50,密度!$B$2:$B$50)</f>
        <v>50688.824374399992</v>
      </c>
      <c r="I25" s="91" ph="1">
        <f>I24*18.322*LOOKUP(I26,密度!$A$2:$A$50,密度!$Q$2:$Q$50)</f>
        <v>79325.524070399988</v>
      </c>
      <c r="J25" s="91" ph="1">
        <f>J24*18.322*LOOKUP(J26,密度!$A$2:$A$50,密度!$Q$2:$Q$50)</f>
        <v>85891.659827199997</v>
      </c>
      <c r="K25" s="91" ph="1">
        <f>K24*18.322*LOOKUP(K26,密度!$A$2:$A$50,密度!$Q$2:$Q$50)</f>
        <v>1580.3110861319999</v>
      </c>
      <c r="L25" s="91" ph="1">
        <f>L24*18.322*LOOKUP(L26,密度!$A$2:$A$50,密度!$Q$2:$Q$50)</f>
        <v>62130.180494399996</v>
      </c>
      <c r="M25" s="91" ph="1">
        <f>M24*18.322*LOOKUP(M26,密度!$A$2:$A$50,密度!$Q$2:$Q$50)</f>
        <v>93911.643352480009</v>
      </c>
      <c r="N25" s="91" ph="1">
        <f>N24*18.322*LOOKUP(N26,密度!$A$2:$A$50,密度!$Q$2:$Q$50)</f>
        <v>93074.392445919992</v>
      </c>
      <c r="O25" s="91" ph="1">
        <f>O24*18.322*LOOKUP(O26,密度!$A$2:$A$50,密度!$C$2:$C$50)</f>
        <v>71696.380685399985</v>
      </c>
      <c r="P25" s="91" ph="1">
        <f>P24*11.702*LOOKUP(P26,密度!$A$2:$A$50,密度!$B$2:$B$50)</f>
        <v>7665.6431823999992</v>
      </c>
      <c r="Q25" s="92" ph="1">
        <f>Q24*18.322*LOOKUP(Q26,密度!$A$2:$A$50,密度!$B$2:$B$50)</f>
        <v>13730.770636799998</v>
      </c>
      <c r="R25" s="91" ph="1">
        <f>R24*35.891*LOOKUP(R26,密度!$A$2:$A$50,密度!$C$2:$C$50)</f>
        <v>253563.2931105</v>
      </c>
      <c r="S25" s="91" ph="1">
        <f>S24*35.891*LOOKUP(S26,密度!$A$2:$A$50,密度!$B$2:$B$50)</f>
        <v>6413.5207104000001</v>
      </c>
      <c r="T25" s="91" ph="1">
        <f>T24*35.891*LOOKUP(T26,密度!$A$2:$A$50,密度!$Q$2:$Q$50)</f>
        <v>59757.998169599996</v>
      </c>
      <c r="U25" s="91" ph="1">
        <f>U24*35.891</f>
        <v>210716.06099999999</v>
      </c>
      <c r="V25" s="91" ph="1">
        <f>V24*47.051*LOOKUP(V26,密度!$A$2:$A$50,密度!$B$2:$B$50)</f>
        <v>355282.70325279998</v>
      </c>
      <c r="W25" s="91" ph="1">
        <f>W24*47.051*LOOKUP(W26,密度!$A$2:$A$50,密度!$B$2:$B$50)</f>
        <v>322647.90380800003</v>
      </c>
      <c r="X25" s="91" ph="1">
        <f>X24*47.051*LOOKUP(X26,密度!$A$2:$A$50,密度!$I$2:$I$50)</f>
        <v>268734.3554846</v>
      </c>
      <c r="Y25" s="91" ph="1">
        <f>Y24*47.051*LOOKUP(Y26,密度!$A$2:$A$50,密度!$L$2:$L$50)</f>
        <v>256103.48630399999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16</v>
      </c>
      <c r="G26" s="74">
        <v>16</v>
      </c>
      <c r="H26" s="74">
        <v>17</v>
      </c>
      <c r="I26" s="74">
        <v>17</v>
      </c>
      <c r="J26" s="74">
        <v>16</v>
      </c>
      <c r="K26" s="74">
        <v>18</v>
      </c>
      <c r="L26" s="74">
        <v>17</v>
      </c>
      <c r="M26" s="74">
        <v>18</v>
      </c>
      <c r="N26" s="74">
        <v>18</v>
      </c>
      <c r="O26" s="74">
        <v>18</v>
      </c>
      <c r="P26" s="74">
        <v>17</v>
      </c>
      <c r="Q26" s="93">
        <v>16</v>
      </c>
      <c r="R26" s="74">
        <v>17</v>
      </c>
      <c r="S26" s="74">
        <v>16</v>
      </c>
      <c r="T26" s="74">
        <v>16</v>
      </c>
      <c r="U26" s="74">
        <v>16</v>
      </c>
      <c r="V26" s="74">
        <v>17</v>
      </c>
      <c r="W26" s="74">
        <v>17</v>
      </c>
      <c r="X26" s="74">
        <v>54</v>
      </c>
      <c r="Y26" s="74">
        <v>18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4" t="s" ph="1">
        <v>181</v>
      </c>
      <c r="D27" s="71">
        <v>3.25</v>
      </c>
      <c r="E27" s="71">
        <v>95.11</v>
      </c>
      <c r="F27" s="71">
        <v>0</v>
      </c>
      <c r="G27" s="71">
        <v>3008</v>
      </c>
      <c r="H27" s="71">
        <v>2337</v>
      </c>
      <c r="I27" s="71">
        <v>3637</v>
      </c>
      <c r="J27" s="71">
        <v>4919</v>
      </c>
      <c r="K27" s="71">
        <v>86</v>
      </c>
      <c r="L27" s="71">
        <v>3571</v>
      </c>
      <c r="M27" s="71">
        <v>5388</v>
      </c>
      <c r="N27" s="71">
        <v>5337</v>
      </c>
      <c r="O27" s="71">
        <v>3511</v>
      </c>
      <c r="P27" s="71">
        <v>830</v>
      </c>
      <c r="Q27" s="90">
        <v>2270</v>
      </c>
      <c r="R27" s="71">
        <v>6336</v>
      </c>
      <c r="S27" s="71">
        <v>224</v>
      </c>
      <c r="T27" s="71">
        <v>1745</v>
      </c>
      <c r="U27" s="71">
        <v>5076</v>
      </c>
      <c r="V27" s="71">
        <v>9604</v>
      </c>
      <c r="W27" s="71">
        <v>8719</v>
      </c>
      <c r="X27" s="71">
        <v>5521</v>
      </c>
      <c r="Y27" s="71">
        <v>4720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4" t="s" ph="1">
        <v>179</v>
      </c>
      <c r="D28" s="91" ph="1">
        <f>D27*268.68*LOOKUP(D29,密度!$A$2:$A$50,密度!$Q$2:$Q$50)+IF(D27&lt;=0,0,1566*LOOKUP(D29,密度!$A$2:$A$50,密度!$Q$2:$Q$50))</f>
        <v>2309.2976754000001</v>
      </c>
      <c r="E28" s="91" ph="1">
        <f>E27*268.68*LOOKUP(E29,密度!$A$2:$A$50,密度!$C$2:$C$50)+IF(E27&lt;=0,0,1566*LOOKUP(E29,密度!$A$2:$A$50,密度!$C$2:$C$50))</f>
        <v>30073.539657720001</v>
      </c>
      <c r="F28" s="91" ph="1">
        <f>F27*11.702*LOOKUP(F29,密度!$A$2:$A$50,密度!$Q$2:$Q$50)</f>
        <v>0</v>
      </c>
      <c r="G28" s="91" ph="1">
        <f>G27*18.322*LOOKUP(G29,密度!$A$2:$A$50,密度!$B$2:$B$50)</f>
        <v>43340.529766400003</v>
      </c>
      <c r="H28" s="91" ph="1">
        <f>H27*18.322*LOOKUP(H29,密度!$A$2:$A$50,密度!$B$2:$B$50)</f>
        <v>33672.479409599997</v>
      </c>
      <c r="I28" s="91" ph="1">
        <f>I27*18.322*LOOKUP(I29,密度!$A$2:$A$50,密度!$Q$2:$Q$50)</f>
        <v>63491.8422192</v>
      </c>
      <c r="J28" s="91" ph="1">
        <f>J27*18.322*LOOKUP(J29,密度!$A$2:$A$50,密度!$Q$2:$Q$50)</f>
        <v>85871.974670399984</v>
      </c>
      <c r="K28" s="91" ph="1">
        <f>K27*18.322*LOOKUP(K29,密度!$A$2:$A$50,密度!$Q$2:$Q$50)</f>
        <v>1501.3193375999999</v>
      </c>
      <c r="L28" s="91" ph="1">
        <f>L27*18.322*LOOKUP(L29,密度!$A$2:$A$50,密度!$Q$2:$Q$50)</f>
        <v>62287.978902619994</v>
      </c>
      <c r="M28" s="91" ph="1">
        <f>M27*18.322*LOOKUP(M29,密度!$A$2:$A$50,密度!$Q$2:$Q$50)</f>
        <v>93981.414261359998</v>
      </c>
      <c r="N28" s="91" ph="1">
        <f>N27*18.322*LOOKUP(N29,密度!$A$2:$A$50,密度!$Q$2:$Q$50)</f>
        <v>93169.084939199995</v>
      </c>
      <c r="O28" s="91" ph="1">
        <f>O27*18.322*LOOKUP(O29,密度!$A$2:$A$50,密度!$C$2:$C$50)</f>
        <v>71694.160059000002</v>
      </c>
      <c r="P28" s="91" ph="1">
        <f>P27*11.702*LOOKUP(P29,密度!$A$2:$A$50,密度!$B$2:$B$50)</f>
        <v>7631.236961999999</v>
      </c>
      <c r="Q28" s="92" ph="1">
        <f>Q27*18.322*LOOKUP(Q29,密度!$A$2:$A$50,密度!$B$2:$B$50)</f>
        <v>32707.115215999995</v>
      </c>
      <c r="R28" s="91" ph="1">
        <f>R27*35.891*LOOKUP(R29,密度!$A$2:$A$50,密度!$C$2:$C$50)</f>
        <v>253443.29155200001</v>
      </c>
      <c r="S28" s="91" ph="1">
        <f>S27*35.891*LOOKUP(S29,密度!$A$2:$A$50,密度!$B$2:$B$50)</f>
        <v>6322.3288575999995</v>
      </c>
      <c r="T28" s="91" ph="1">
        <f>T27*35.891*LOOKUP(T29,密度!$A$2:$A$50,密度!$Q$2:$Q$50)</f>
        <v>59673.668675999994</v>
      </c>
      <c r="U28" s="91" ph="1">
        <f>U27*35.891</f>
        <v>182182.71599999999</v>
      </c>
      <c r="V28" s="91" ph="1">
        <f>V27*47.051*LOOKUP(V29,密度!$A$2:$A$50,密度!$B$2:$B$50)</f>
        <v>355040.39060280001</v>
      </c>
      <c r="W28" s="91" ph="1">
        <f>W27*47.051*LOOKUP(W29,密度!$A$2:$A$50,密度!$B$2:$B$50)</f>
        <v>322323.73653329996</v>
      </c>
      <c r="X28" s="91" ph="1">
        <f>X27*47.051*LOOKUP(X29,密度!$A$2:$A$50,密度!$I$2:$I$50)</f>
        <v>269026.72287043999</v>
      </c>
      <c r="Y28" s="91" ph="1">
        <f>Y27*47.051*LOOKUP(Y29,密度!$A$2:$A$50,密度!$L$2:$L$50)</f>
        <v>209422.11895999999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4" t="s" ph="1">
        <v>180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17</v>
      </c>
      <c r="J29" s="74">
        <v>17</v>
      </c>
      <c r="K29" s="74">
        <v>17</v>
      </c>
      <c r="L29" s="74">
        <v>18</v>
      </c>
      <c r="M29" s="74">
        <v>18</v>
      </c>
      <c r="N29" s="74">
        <v>17</v>
      </c>
      <c r="O29" s="74">
        <v>17</v>
      </c>
      <c r="P29" s="74">
        <v>18</v>
      </c>
      <c r="Q29" s="93">
        <v>17</v>
      </c>
      <c r="R29" s="74">
        <v>17</v>
      </c>
      <c r="S29" s="74">
        <v>17</v>
      </c>
      <c r="T29" s="74">
        <v>17</v>
      </c>
      <c r="U29" s="74">
        <v>18</v>
      </c>
      <c r="V29" s="74">
        <v>18</v>
      </c>
      <c r="W29" s="74">
        <v>18</v>
      </c>
      <c r="X29" s="74">
        <v>53</v>
      </c>
      <c r="Y29" s="74">
        <v>19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104834.78065680001</v>
      </c>
      <c r="E33" s="217" ph="1">
        <f>M10+I10</f>
        <v>97932.132701199997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21" ph="1">
        <v>0</v>
      </c>
      <c r="H33" s="217" ph="1">
        <f>N19</f>
        <v>23757.413510120001</v>
      </c>
      <c r="I33" s="230" ph="1">
        <v>0</v>
      </c>
      <c r="J33" s="228" ph="1">
        <f>F10+O28</f>
        <v>190518.78315450001</v>
      </c>
      <c r="K33" s="217" ph="1">
        <f>O10+K10+E28+R28</f>
        <v>287481.38056692004</v>
      </c>
      <c r="L33" s="232" ph="1">
        <f>BE27</f>
        <v>7100</v>
      </c>
      <c r="M33" s="228" ph="1">
        <f>G10+H10+W28+S28+V28+E10</f>
        <v>1456205.0571397</v>
      </c>
      <c r="N33" s="217" ph="1">
        <f>L10+P10++G28+H28</f>
        <v>267787.71316200006</v>
      </c>
      <c r="O33" s="230" ph="1">
        <f>BE17</f>
        <v>2270</v>
      </c>
      <c r="P33" s="228" ph="1">
        <f>L19</f>
        <v>26226.74738166</v>
      </c>
      <c r="Q33" s="217" ph="1">
        <f>J10+N10</f>
        <v>68889.474252700005</v>
      </c>
      <c r="R33" s="230" ph="1">
        <f>BE23</f>
        <v>890</v>
      </c>
      <c r="S33" s="228" ph="1">
        <f>E10+X28</f>
        <v>440100.10835244</v>
      </c>
      <c r="T33" s="217" ph="1">
        <f>X19</f>
        <v>8620.5653661600008</v>
      </c>
      <c r="U33" s="238" ph="1">
        <f>BE21</f>
        <v>730</v>
      </c>
      <c r="V33" s="249" ph="1">
        <f ca="1">P19+Q19+S19+M28+N28+J28</f>
        <v>437133.25844865799</v>
      </c>
      <c r="W33" s="249" ph="1">
        <f>D28+F28+V19+T28</f>
        <v>76660.434351143995</v>
      </c>
      <c r="X33" s="230" ph="1">
        <f>BE29+BE31</f>
        <v>10200</v>
      </c>
      <c r="Y33" s="251" ph="1">
        <f>+Q10+R10+S10+T10+U10+V10+W10+X10+Y10</f>
        <v>185191.36117019999</v>
      </c>
      <c r="Z33" s="236" ph="1">
        <f>D10+T19+U19+Y28+Z10</f>
        <v>425842.10473542998</v>
      </c>
      <c r="AA33" s="238" ph="1">
        <f>BE19</f>
        <v>1440</v>
      </c>
      <c r="AB33" s="240" ph="1">
        <f>I19</f>
        <v>27.986066400000002</v>
      </c>
      <c r="AC33" s="242" ph="1">
        <f>AD10</f>
        <v>26210.839952000002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6" t="s" ph="1">
        <v>186</v>
      </c>
      <c r="AA36" s="146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345</v>
      </c>
      <c r="AI37" s="146" t="s" ph="1">
        <v>212</v>
      </c>
      <c r="AJ37" s="146" t="s" ph="1">
        <v>213</v>
      </c>
      <c r="AK37" s="146" t="s" ph="1">
        <v>214</v>
      </c>
      <c r="AM37" s="146" t="s" ph="1">
        <v>213</v>
      </c>
      <c r="AN37" s="146" t="s" ph="1">
        <v>214</v>
      </c>
      <c r="AO37" s="146" t="s" ph="1">
        <v>215</v>
      </c>
      <c r="AP37" s="146" t="s" ph="1">
        <v>213</v>
      </c>
      <c r="AQ37" s="146" t="s" ph="1">
        <v>214</v>
      </c>
      <c r="AR37" s="146" t="s" ph="1">
        <v>215</v>
      </c>
      <c r="AS37" s="146" t="s" ph="1">
        <v>213</v>
      </c>
      <c r="AT37" s="146" t="s" ph="1">
        <v>214</v>
      </c>
      <c r="AU37" s="146" t="s" ph="1">
        <v>215</v>
      </c>
      <c r="AV37" s="146" t="s" ph="1">
        <v>213</v>
      </c>
      <c r="AW37" s="146" t="s" ph="1">
        <v>214</v>
      </c>
      <c r="AX37" s="146" t="s" ph="1">
        <v>215</v>
      </c>
      <c r="AY37" s="146" t="s" ph="1">
        <v>214</v>
      </c>
      <c r="AZ37" s="146" t="s" ph="1">
        <v>216</v>
      </c>
      <c r="BD37" s="146" t="s" ph="1">
        <v>308</v>
      </c>
      <c r="BE37" s="14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393" priority="96">
      <formula>ABS(D$7-D$10)&gt;=1000</formula>
    </cfRule>
  </conditionalFormatting>
  <conditionalFormatting sqref="E4 E6:E11">
    <cfRule type="expression" dxfId="2392" priority="95">
      <formula>ABS(E$7-E$10)&gt;=1000</formula>
    </cfRule>
  </conditionalFormatting>
  <conditionalFormatting sqref="F4:F11">
    <cfRule type="expression" dxfId="2391" priority="94">
      <formula>ABS(F$7-F$10)&gt;=1000</formula>
    </cfRule>
  </conditionalFormatting>
  <conditionalFormatting sqref="G4:G11">
    <cfRule type="expression" dxfId="2390" priority="93">
      <formula>ABS(G$7-G$10)&gt;=1000</formula>
    </cfRule>
  </conditionalFormatting>
  <conditionalFormatting sqref="H4:H11">
    <cfRule type="expression" dxfId="2389" priority="92">
      <formula>ABS(H$7-H$10)&gt;=1000</formula>
    </cfRule>
  </conditionalFormatting>
  <conditionalFormatting sqref="I4:I11">
    <cfRule type="expression" dxfId="2388" priority="91">
      <formula>ABS(I$7-I$10)&gt;=1000</formula>
    </cfRule>
  </conditionalFormatting>
  <conditionalFormatting sqref="J4:J11">
    <cfRule type="expression" dxfId="2387" priority="90">
      <formula>ABS(J$7-J$10)&gt;=1000</formula>
    </cfRule>
  </conditionalFormatting>
  <conditionalFormatting sqref="K4:K11">
    <cfRule type="expression" dxfId="2386" priority="89">
      <formula>ABS(K$7-K$10)&gt;=1000</formula>
    </cfRule>
  </conditionalFormatting>
  <conditionalFormatting sqref="L4:L11">
    <cfRule type="expression" dxfId="2385" priority="88">
      <formula>ABS(L$7-L$10)&gt;=1000</formula>
    </cfRule>
  </conditionalFormatting>
  <conditionalFormatting sqref="M4 M6:M11">
    <cfRule type="expression" dxfId="2384" priority="87">
      <formula>ABS(M$7-M$10)&gt;=1000</formula>
    </cfRule>
  </conditionalFormatting>
  <conditionalFormatting sqref="N4 N6:N11">
    <cfRule type="expression" dxfId="2383" priority="86">
      <formula>ABS(N$7-N$10)&gt;=1000</formula>
    </cfRule>
  </conditionalFormatting>
  <conditionalFormatting sqref="O4 O6:O11">
    <cfRule type="expression" dxfId="2382" priority="85">
      <formula>ABS(O$7-O$10)&gt;=1000</formula>
    </cfRule>
  </conditionalFormatting>
  <conditionalFormatting sqref="P4 P6:P11">
    <cfRule type="expression" dxfId="2381" priority="84">
      <formula>ABS(P$7-P$10)&gt;=1000</formula>
    </cfRule>
  </conditionalFormatting>
  <conditionalFormatting sqref="Q4:Q11">
    <cfRule type="expression" dxfId="2380" priority="83">
      <formula>ABS(Q$7-Q$10)&gt;=1000</formula>
    </cfRule>
  </conditionalFormatting>
  <conditionalFormatting sqref="R4:R11">
    <cfRule type="expression" dxfId="2379" priority="82">
      <formula>ABS(R$7-R$10)&gt;=1000</formula>
    </cfRule>
  </conditionalFormatting>
  <conditionalFormatting sqref="S4:S11">
    <cfRule type="expression" dxfId="2378" priority="81">
      <formula>ABS(S$7-S$10)&gt;=1000</formula>
    </cfRule>
  </conditionalFormatting>
  <conditionalFormatting sqref="T4:T9 T11">
    <cfRule type="expression" dxfId="2377" priority="80">
      <formula>ABS(T$7-T$10)&gt;=1000</formula>
    </cfRule>
  </conditionalFormatting>
  <conditionalFormatting sqref="U4:U9 U11">
    <cfRule type="expression" dxfId="2376" priority="79">
      <formula>ABS(U$7-U$10)&gt;=1000</formula>
    </cfRule>
  </conditionalFormatting>
  <conditionalFormatting sqref="V4:V9 V11">
    <cfRule type="expression" dxfId="2375" priority="78">
      <formula>ABS(V$7-V$10)&gt;=1000</formula>
    </cfRule>
  </conditionalFormatting>
  <conditionalFormatting sqref="W4:W9 W11">
    <cfRule type="expression" dxfId="2374" priority="77">
      <formula>ABS(W$7-W$10)&gt;=1000</formula>
    </cfRule>
  </conditionalFormatting>
  <conditionalFormatting sqref="X4:X9 X11">
    <cfRule type="expression" dxfId="2373" priority="76">
      <formula>ABS(X$7-X$10)&gt;=1000</formula>
    </cfRule>
  </conditionalFormatting>
  <conditionalFormatting sqref="Y4:Y9 Y11">
    <cfRule type="expression" dxfId="2372" priority="75">
      <formula>ABS(Y$7-Y$10)&gt;=1000</formula>
    </cfRule>
  </conditionalFormatting>
  <conditionalFormatting sqref="Z4:Z11">
    <cfRule type="expression" dxfId="2371" priority="74">
      <formula>ABS(Z$7-Z$10)&gt;=1000</formula>
    </cfRule>
  </conditionalFormatting>
  <conditionalFormatting sqref="AA4:AA11">
    <cfRule type="expression" dxfId="2370" priority="73">
      <formula>ABS(AA$7-AA$10)&gt;=1000</formula>
    </cfRule>
  </conditionalFormatting>
  <conditionalFormatting sqref="AB4:AB11">
    <cfRule type="expression" dxfId="2369" priority="72">
      <formula>ABS(AB$7-AB$10)&gt;=1000</formula>
    </cfRule>
  </conditionalFormatting>
  <conditionalFormatting sqref="AC4 AC6:AC11">
    <cfRule type="expression" dxfId="2368" priority="71">
      <formula>ABS(AC$7-AC$10)&gt;=1000</formula>
    </cfRule>
  </conditionalFormatting>
  <conditionalFormatting sqref="AD4:AD11">
    <cfRule type="expression" dxfId="2367" priority="70">
      <formula>ABS(AD$7-AD$10)&gt;=1000</formula>
    </cfRule>
  </conditionalFormatting>
  <conditionalFormatting sqref="AE4:AE11">
    <cfRule type="expression" dxfId="2366" priority="69">
      <formula>ABS(AE$7-AE$10)&gt;=1000</formula>
    </cfRule>
  </conditionalFormatting>
  <conditionalFormatting sqref="D13:D20">
    <cfRule type="expression" dxfId="2365" priority="68">
      <formula>ABS(D$16-D$19)&gt;=1000</formula>
    </cfRule>
  </conditionalFormatting>
  <conditionalFormatting sqref="E13:E20">
    <cfRule type="expression" dxfId="2364" priority="67">
      <formula>ABS(E$16-E$19)&gt;=1000</formula>
    </cfRule>
  </conditionalFormatting>
  <conditionalFormatting sqref="F13 F15:F20">
    <cfRule type="expression" dxfId="2363" priority="66">
      <formula>ABS(F$16-F$19)&gt;=1000</formula>
    </cfRule>
  </conditionalFormatting>
  <conditionalFormatting sqref="G13:G20">
    <cfRule type="expression" dxfId="2362" priority="65">
      <formula>ABS(G$16-G$19)&gt;=1000</formula>
    </cfRule>
  </conditionalFormatting>
  <conditionalFormatting sqref="H13:H20">
    <cfRule type="expression" dxfId="2361" priority="64">
      <formula>ABS(H$16-H$19)&gt;=1000</formula>
    </cfRule>
  </conditionalFormatting>
  <conditionalFormatting sqref="I13:I20">
    <cfRule type="expression" dxfId="2360" priority="63">
      <formula>ABS(I$16-I$19)&gt;=1000</formula>
    </cfRule>
  </conditionalFormatting>
  <conditionalFormatting sqref="J13:J20">
    <cfRule type="expression" dxfId="2359" priority="62">
      <formula>ABS(J$16-J$19)&gt;=1000</formula>
    </cfRule>
  </conditionalFormatting>
  <conditionalFormatting sqref="L13:L20">
    <cfRule type="expression" dxfId="2358" priority="61">
      <formula>ABS(L$16-L$19)&gt;=1000</formula>
    </cfRule>
  </conditionalFormatting>
  <conditionalFormatting sqref="M13 M15 M17:M18 M20">
    <cfRule type="expression" dxfId="2357" priority="60">
      <formula>ABS(M$16-M$19)&gt;=1000</formula>
    </cfRule>
  </conditionalFormatting>
  <conditionalFormatting sqref="N13:N20">
    <cfRule type="expression" dxfId="2356" priority="59">
      <formula>ABS(N$16-N$19)&gt;=1000</formula>
    </cfRule>
  </conditionalFormatting>
  <conditionalFormatting sqref="O13:O20">
    <cfRule type="expression" dxfId="2355" priority="58">
      <formula>ABS(O$16-O$19)&gt;=1000</formula>
    </cfRule>
  </conditionalFormatting>
  <conditionalFormatting sqref="P13:P20">
    <cfRule type="expression" dxfId="2354" priority="57">
      <formula>ABS(P$16-P$19)&gt;=1000</formula>
    </cfRule>
  </conditionalFormatting>
  <conditionalFormatting sqref="Q13 Q15:Q20">
    <cfRule type="expression" dxfId="2353" priority="56">
      <formula>ABS(Q$16-Q$19)&gt;=1000</formula>
    </cfRule>
  </conditionalFormatting>
  <conditionalFormatting sqref="R13:R20">
    <cfRule type="expression" dxfId="2352" priority="55">
      <formula>ABS(R$16-R$19)&gt;=1000</formula>
    </cfRule>
  </conditionalFormatting>
  <conditionalFormatting sqref="S13:S20">
    <cfRule type="expression" dxfId="2351" priority="54">
      <formula>ABS(S$16-S$19)&gt;=1000</formula>
    </cfRule>
  </conditionalFormatting>
  <conditionalFormatting sqref="T13:T20">
    <cfRule type="expression" dxfId="2350" priority="53">
      <formula>ABS(T$16-T$19)&gt;=1000</formula>
    </cfRule>
  </conditionalFormatting>
  <conditionalFormatting sqref="U13:U20">
    <cfRule type="expression" dxfId="2349" priority="52">
      <formula>ABS(U$16-U$19)&gt;=1000</formula>
    </cfRule>
  </conditionalFormatting>
  <conditionalFormatting sqref="V13:V20">
    <cfRule type="expression" dxfId="2348" priority="51">
      <formula>ABS(V$16-V$19)&gt;=1000</formula>
    </cfRule>
  </conditionalFormatting>
  <conditionalFormatting sqref="W13 W20 W15:W18">
    <cfRule type="expression" dxfId="2347" priority="50">
      <formula>ABS(W$16-W$19)&gt;=1000</formula>
    </cfRule>
  </conditionalFormatting>
  <conditionalFormatting sqref="X13 X15:X20 Y19">
    <cfRule type="expression" dxfId="2346" priority="49">
      <formula>ABS(X$16-X$19)&gt;=1000</formula>
    </cfRule>
  </conditionalFormatting>
  <conditionalFormatting sqref="Y13 Y15:Y18 Y20">
    <cfRule type="expression" dxfId="2345" priority="48">
      <formula>ABS(Y$16-Y$19)&gt;=1000</formula>
    </cfRule>
  </conditionalFormatting>
  <conditionalFormatting sqref="Z13:Z20">
    <cfRule type="expression" dxfId="2344" priority="47">
      <formula>ABS(Z$16-Z$19)&gt;=1000</formula>
    </cfRule>
  </conditionalFormatting>
  <conditionalFormatting sqref="AA13:AA20">
    <cfRule type="expression" dxfId="2343" priority="46">
      <formula>ABS(AA$16-AA$19)&gt;=1000</formula>
    </cfRule>
  </conditionalFormatting>
  <conditionalFormatting sqref="AB13 AB15:AB20">
    <cfRule type="expression" dxfId="2342" priority="45">
      <formula>ABS(AB$16-AB$19)&gt;=1000</formula>
    </cfRule>
  </conditionalFormatting>
  <conditionalFormatting sqref="AC13 AC15:AC20">
    <cfRule type="expression" dxfId="2341" priority="44">
      <formula>ABS(AC$16-AC$19)&gt;=1000</formula>
    </cfRule>
  </conditionalFormatting>
  <conditionalFormatting sqref="AD13:AD20">
    <cfRule type="expression" dxfId="2340" priority="43">
      <formula>ABS(AD$16-AD$19)&gt;=1000</formula>
    </cfRule>
  </conditionalFormatting>
  <conditionalFormatting sqref="AE13:AE20">
    <cfRule type="expression" dxfId="2339" priority="42">
      <formula>ABS(AE$16-AE$19)&gt;=1000</formula>
    </cfRule>
  </conditionalFormatting>
  <conditionalFormatting sqref="D22:D29">
    <cfRule type="expression" dxfId="2338" priority="41">
      <formula>ABS(D$25-D$28)&gt;=1000</formula>
    </cfRule>
  </conditionalFormatting>
  <conditionalFormatting sqref="E22:E29">
    <cfRule type="expression" dxfId="2337" priority="40">
      <formula>ABS(E$25-E$28)&gt;=1000</formula>
    </cfRule>
  </conditionalFormatting>
  <conditionalFormatting sqref="F22:F29">
    <cfRule type="expression" dxfId="2336" priority="39">
      <formula>ABS(F$25-F$28)&gt;=1000</formula>
    </cfRule>
  </conditionalFormatting>
  <conditionalFormatting sqref="G22:G29">
    <cfRule type="expression" dxfId="2335" priority="38">
      <formula>ABS(G$25-G$28)&gt;=1000</formula>
    </cfRule>
  </conditionalFormatting>
  <conditionalFormatting sqref="H22:H29">
    <cfRule type="expression" dxfId="2334" priority="37">
      <formula>ABS(H$25-H$28)&gt;=1000</formula>
    </cfRule>
  </conditionalFormatting>
  <conditionalFormatting sqref="I22 I24:I29">
    <cfRule type="expression" dxfId="2333" priority="36">
      <formula>ABS(I$25-I$28)&gt;=1000</formula>
    </cfRule>
  </conditionalFormatting>
  <conditionalFormatting sqref="J22:J29 K22">
    <cfRule type="expression" dxfId="2332" priority="35">
      <formula>ABS(J$25-J$28)&gt;=1000</formula>
    </cfRule>
  </conditionalFormatting>
  <conditionalFormatting sqref="K23:K29 L25 L28">
    <cfRule type="expression" dxfId="2331" priority="34">
      <formula>ABS(K$25-K$28)&gt;=1000</formula>
    </cfRule>
  </conditionalFormatting>
  <conditionalFormatting sqref="L22:L24 L26:L27 L29">
    <cfRule type="expression" dxfId="2330" priority="33">
      <formula>ABS(L$25-L$28)&gt;=1000</formula>
    </cfRule>
  </conditionalFormatting>
  <conditionalFormatting sqref="M22:M29">
    <cfRule type="expression" dxfId="2329" priority="32">
      <formula>ABS(M$25-M$28)&gt;=1000</formula>
    </cfRule>
  </conditionalFormatting>
  <conditionalFormatting sqref="N22:N29">
    <cfRule type="expression" dxfId="2328" priority="31">
      <formula>ABS(N$25-N$28)&gt;=1000</formula>
    </cfRule>
  </conditionalFormatting>
  <conditionalFormatting sqref="O22:O29">
    <cfRule type="expression" dxfId="2327" priority="30">
      <formula>ABS(O$25-O$28)&gt;=1000</formula>
    </cfRule>
  </conditionalFormatting>
  <conditionalFormatting sqref="P22:P29">
    <cfRule type="expression" dxfId="2326" priority="29">
      <formula>ABS(P$25-P$28)&gt;=1000</formula>
    </cfRule>
  </conditionalFormatting>
  <conditionalFormatting sqref="Q22:Q29">
    <cfRule type="expression" dxfId="2325" priority="28">
      <formula>ABS(Q$25-Q$28)&gt;=1000</formula>
    </cfRule>
  </conditionalFormatting>
  <conditionalFormatting sqref="R22:R29">
    <cfRule type="expression" dxfId="2324" priority="27">
      <formula>ABS(R$25-R$28)&gt;=1000</formula>
    </cfRule>
  </conditionalFormatting>
  <conditionalFormatting sqref="S22:S29">
    <cfRule type="expression" dxfId="2323" priority="26">
      <formula>ABS(S$25-S$28)&gt;=1000</formula>
    </cfRule>
  </conditionalFormatting>
  <conditionalFormatting sqref="T22:T29">
    <cfRule type="expression" dxfId="2322" priority="25">
      <formula>ABS(T$25-T$28)&gt;=1000</formula>
    </cfRule>
  </conditionalFormatting>
  <conditionalFormatting sqref="U22:U29">
    <cfRule type="expression" dxfId="2321" priority="24">
      <formula>ABS(U$25-U$28)&gt;=1000</formula>
    </cfRule>
  </conditionalFormatting>
  <conditionalFormatting sqref="V22:V29">
    <cfRule type="expression" dxfId="2320" priority="23">
      <formula>ABS(V$25-V$28)&gt;=1000</formula>
    </cfRule>
  </conditionalFormatting>
  <conditionalFormatting sqref="W22:W29">
    <cfRule type="expression" dxfId="2319" priority="22">
      <formula>ABS(W$25-W$28)&gt;=1000</formula>
    </cfRule>
  </conditionalFormatting>
  <conditionalFormatting sqref="X22:X29">
    <cfRule type="expression" dxfId="2318" priority="21">
      <formula>ABS(X$25-X$28)&gt;=1000</formula>
    </cfRule>
  </conditionalFormatting>
  <conditionalFormatting sqref="Y22:Y29">
    <cfRule type="expression" dxfId="2317" priority="20">
      <formula>ABS(Y$25-Y$28)&gt;=1000</formula>
    </cfRule>
  </conditionalFormatting>
  <conditionalFormatting sqref="I23">
    <cfRule type="expression" dxfId="2316" priority="19">
      <formula>ABS(I$25-I$28)&gt;=1000</formula>
    </cfRule>
  </conditionalFormatting>
  <conditionalFormatting sqref="F14">
    <cfRule type="expression" dxfId="2315" priority="18">
      <formula>ABS(F$16-F$19)&gt;=1000</formula>
    </cfRule>
  </conditionalFormatting>
  <conditionalFormatting sqref="Q14">
    <cfRule type="expression" dxfId="2314" priority="17">
      <formula>ABS(Q$16-Q$19)&gt;=1000</formula>
    </cfRule>
  </conditionalFormatting>
  <conditionalFormatting sqref="W14">
    <cfRule type="expression" dxfId="2313" priority="16">
      <formula>ABS(W$16-W$19)&gt;=1000</formula>
    </cfRule>
  </conditionalFormatting>
  <conditionalFormatting sqref="Y14">
    <cfRule type="expression" dxfId="2312" priority="15">
      <formula>ABS(Y$16-Y$19)&gt;=1000</formula>
    </cfRule>
  </conditionalFormatting>
  <conditionalFormatting sqref="X14">
    <cfRule type="expression" dxfId="2311" priority="14">
      <formula>ABS(X$16-X$19)&gt;=1000</formula>
    </cfRule>
  </conditionalFormatting>
  <conditionalFormatting sqref="T10:Y10">
    <cfRule type="expression" dxfId="2310" priority="13">
      <formula>ABS(T$7-T$10)&gt;=1000</formula>
    </cfRule>
  </conditionalFormatting>
  <conditionalFormatting sqref="W19">
    <cfRule type="expression" dxfId="2309" priority="12">
      <formula>ABS(W$16-W$19)&gt;=1000</formula>
    </cfRule>
  </conditionalFormatting>
  <conditionalFormatting sqref="AC5">
    <cfRule type="expression" dxfId="2308" priority="11">
      <formula>ABS(AC$7-AC$10)&gt;=1000</formula>
    </cfRule>
  </conditionalFormatting>
  <conditionalFormatting sqref="M14">
    <cfRule type="expression" dxfId="2307" priority="10">
      <formula>ABS(M$16-M$19)&gt;=1000</formula>
    </cfRule>
  </conditionalFormatting>
  <conditionalFormatting sqref="M16">
    <cfRule type="expression" dxfId="2306" priority="9">
      <formula>ABS(M$16-M$19)&gt;=1000</formula>
    </cfRule>
  </conditionalFormatting>
  <conditionalFormatting sqref="M19">
    <cfRule type="expression" dxfId="2305" priority="8">
      <formula>ABS(M$16-M$19)&gt;=1000</formula>
    </cfRule>
  </conditionalFormatting>
  <conditionalFormatting sqref="K13:K20">
    <cfRule type="expression" dxfId="2304" priority="7">
      <formula>ABS(K$16-K$19)&gt;=1000</formula>
    </cfRule>
  </conditionalFormatting>
  <conditionalFormatting sqref="E5">
    <cfRule type="expression" dxfId="2303" priority="6">
      <formula>ABS(E$7-E$10)&gt;=1000</formula>
    </cfRule>
  </conditionalFormatting>
  <conditionalFormatting sqref="AB14:AC14">
    <cfRule type="expression" dxfId="2302" priority="5">
      <formula>ABS(AB$16-AB$19)&gt;=1000</formula>
    </cfRule>
  </conditionalFormatting>
  <conditionalFormatting sqref="M5">
    <cfRule type="expression" dxfId="2301" priority="4">
      <formula>ABS(M$7-M$10)&gt;=1000</formula>
    </cfRule>
  </conditionalFormatting>
  <conditionalFormatting sqref="N5">
    <cfRule type="expression" dxfId="2300" priority="3">
      <formula>ABS(N$7-N$10)&gt;=1000</formula>
    </cfRule>
  </conditionalFormatting>
  <conditionalFormatting sqref="O5">
    <cfRule type="expression" dxfId="2299" priority="2">
      <formula>ABS(O$7-O$10)&gt;=1000</formula>
    </cfRule>
  </conditionalFormatting>
  <conditionalFormatting sqref="P5">
    <cfRule type="expression" dxfId="229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04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274320</xdr:rowOff>
                  </from>
                  <to>
                    <xdr:col>32</xdr:col>
                    <xdr:colOff>327660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8">
    <pageSetUpPr fitToPage="1"/>
  </sheetPr>
  <dimension ref="A1:CU223"/>
  <sheetViews>
    <sheetView view="pageBreakPreview" topLeftCell="A18" zoomScale="85" zoomScaleNormal="100" zoomScaleSheetLayoutView="85" workbookViewId="0">
      <selection activeCell="L23" sqref="L23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45754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4" t="s" ph="1">
        <v>178</v>
      </c>
      <c r="D6" s="71">
        <v>3582</v>
      </c>
      <c r="E6" s="71">
        <v>4243</v>
      </c>
      <c r="F6" s="71">
        <v>3215</v>
      </c>
      <c r="G6" s="71">
        <v>2642</v>
      </c>
      <c r="H6" s="71">
        <v>6277</v>
      </c>
      <c r="I6" s="71">
        <v>16.010000000000002</v>
      </c>
      <c r="J6" s="71">
        <v>7.73</v>
      </c>
      <c r="K6" s="71">
        <v>7.21</v>
      </c>
      <c r="L6" s="71">
        <v>41.32</v>
      </c>
      <c r="M6" s="71">
        <v>2726</v>
      </c>
      <c r="N6" s="71">
        <v>2565</v>
      </c>
      <c r="O6" s="71">
        <v>74</v>
      </c>
      <c r="P6" s="71">
        <v>6755</v>
      </c>
      <c r="Q6" s="71">
        <v>7000</v>
      </c>
      <c r="R6" s="71">
        <v>4822</v>
      </c>
      <c r="S6" s="71">
        <v>0</v>
      </c>
      <c r="T6" s="71">
        <v>6276</v>
      </c>
      <c r="U6" s="71">
        <v>0</v>
      </c>
      <c r="V6" s="71">
        <v>0</v>
      </c>
      <c r="W6" s="71">
        <v>3376</v>
      </c>
      <c r="X6" s="71">
        <v>7077</v>
      </c>
      <c r="Y6" s="71">
        <v>7226</v>
      </c>
      <c r="Z6" s="71">
        <v>2417</v>
      </c>
      <c r="AA6" s="71">
        <v>1568</v>
      </c>
      <c r="AB6" s="71">
        <v>2421</v>
      </c>
      <c r="AC6" s="71">
        <v>4681</v>
      </c>
      <c r="AD6" s="71">
        <v>1335</v>
      </c>
      <c r="AE6" s="71">
        <v>1137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112963.59807228</v>
      </c>
      <c r="E7" s="73" ph="1">
        <f>E6*51.53*LOOKUP(E8,密度!$A$2:$A$50,密度!$B$2:$B$50)</f>
        <v>170846.69470600001</v>
      </c>
      <c r="F7" s="73" ph="1">
        <f>F6*33.183*LOOKUP(F8,密度!$A$2:$A$50,密度!$C$2:$C$50)</f>
        <v>118834.57799549999</v>
      </c>
      <c r="G7" s="73" ph="1">
        <f xml:space="preserve"> (G6+2)*51.53*LOOKUP(G8,密度!$A$2:$A$50,密度!$B$2:$B$50)</f>
        <v>106938.95166800001</v>
      </c>
      <c r="H7" s="73" ph="1">
        <f>(H6)*51.53*LOOKUP(H8,密度!$A$2:$A$50,密度!$B$2:$B$50)</f>
        <v>254881.60228000002</v>
      </c>
      <c r="I7" s="73" ph="1">
        <f>I6*290.8*1.0267</f>
        <v>4780.0154036000004</v>
      </c>
      <c r="J7" s="73" ph="1">
        <f>J6*290.8*0.7892</f>
        <v>1774.0300528</v>
      </c>
      <c r="K7" s="73" ph="1">
        <f>K6*290.8*1.1126</f>
        <v>2332.7528168000003</v>
      </c>
      <c r="L7" s="73" ph="1">
        <f>L6*290.8*0.777</f>
        <v>9336.3201119999994</v>
      </c>
      <c r="M7" s="73" ph="1">
        <f>M6*33.183*LOOKUP(M8,密度!$A$2:$A$50,密度!$D$2:$D$50)</f>
        <v>93215.792168999993</v>
      </c>
      <c r="N7" s="73" ph="1">
        <f>N6*33.183*LOOKUP(N8,密度!$A$2:$A$50,密度!$E$2:$E$50)</f>
        <v>67070.143260000012</v>
      </c>
      <c r="O7" s="73" ph="1">
        <f>O6*20.428*LOOKUP(O8,密度!$A$2:$A$50,密度!$C$2:$C$50)</f>
        <v>1677.3512512</v>
      </c>
      <c r="P7" s="73" ph="1">
        <f>P6*51.53*LOOKUP(P8,密度!$A$2:$A$50,密度!$B$2:$B$50)</f>
        <v>272933.56611500005</v>
      </c>
      <c r="Q7" s="73" ph="1">
        <f>Q6*1.5*1.5*3.1416*LOOKUP(W8,密度!$A$2:$A$50,密度!$L$2:$L$50)</f>
        <v>46610.348399999995</v>
      </c>
      <c r="R7" s="73" ph="1">
        <f>R6*1.5*1.5*3.1416*LOOKUP(R8,密度!$A$2:$A$50,密度!$L$2:$L$50)</f>
        <v>31903.3626912</v>
      </c>
      <c r="S7" s="73" ph="1">
        <f>S6*1.5*1.5*3.1416*LOOKUP(S8,密度!$A$2:$A$50,密度!$L$2:$L$50)</f>
        <v>0</v>
      </c>
      <c r="T7" s="73" ph="1">
        <f>T6*1.5*1.5*3.1416*LOOKUP(T8,密度!$A$2:$A$50,密度!$L$2:$L$50)</f>
        <v>41966.956785599999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22479.505171199999</v>
      </c>
      <c r="X7" s="73" ph="1">
        <f>X6*1.5*1.5*3.1416*LOOKUP(X8,密度!$A$2:$A$50,密度!$L$2:$L$50)</f>
        <v>47523.258089999996</v>
      </c>
      <c r="Y7" s="73" ph="1">
        <f>Y6*1.5*1.5*3.1416*LOOKUP(Y8,密度!$A$2:$A$50,密度!$L$2:$L$50)</f>
        <v>48166.274494799996</v>
      </c>
      <c r="Z7" s="73" ph="1">
        <f>Z6*33.183*LOOKUP(Z8,密度!$A$2:$A$50,密度!$L$2:$L$50)</f>
        <v>75872.332205999992</v>
      </c>
      <c r="AA7" s="73" ph="1">
        <f>AA6*33.183*LOOKUP(AA8,密度!$A$2:$A$50,密度!$D$2:$D$50)</f>
        <v>53664.715641600007</v>
      </c>
      <c r="AB7" s="73" ph="1">
        <f>AB6*20.428*LOOKUP(AB8,密度!$A$2:$A$50,密度!$D$2:$D$50)</f>
        <v>51434.435520000006</v>
      </c>
      <c r="AC7" s="73" ph="1">
        <f>AC6*51.53*LOOKUP(AC8,密度!$A$2:$A$50,密度!$Q$2:$Q$50)</f>
        <v>229826.72690399998</v>
      </c>
      <c r="AD7" s="73" ph="1">
        <f>AD6*20.428*LOOKUP(AD8,密度!$A$2:$A$50,密度!$V$2:$V$50)</f>
        <v>26289.61032</v>
      </c>
      <c r="AE7" s="73" ph="1">
        <f>AE6*20.428</f>
        <v>23226.636000000002</v>
      </c>
    </row>
    <row r="8" spans="1:99" ph="1">
      <c r="B8" s="195" ph="1"/>
      <c r="C8" s="68" t="s" ph="1">
        <v>180</v>
      </c>
      <c r="D8" s="74">
        <v>20</v>
      </c>
      <c r="E8" s="74">
        <v>23</v>
      </c>
      <c r="F8" s="74">
        <v>18</v>
      </c>
      <c r="G8" s="74">
        <v>19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21</v>
      </c>
      <c r="O8" s="74">
        <v>24</v>
      </c>
      <c r="P8" s="74">
        <v>20</v>
      </c>
      <c r="Q8" s="74">
        <v>19</v>
      </c>
      <c r="R8" s="74">
        <v>26</v>
      </c>
      <c r="S8" s="74">
        <v>14</v>
      </c>
      <c r="T8" s="74">
        <v>16</v>
      </c>
      <c r="U8" s="74">
        <v>21</v>
      </c>
      <c r="V8" s="74">
        <v>26</v>
      </c>
      <c r="W8" s="74">
        <v>20</v>
      </c>
      <c r="X8" s="74">
        <v>12</v>
      </c>
      <c r="Y8" s="74">
        <v>19</v>
      </c>
      <c r="Z8" s="74">
        <v>16</v>
      </c>
      <c r="AA8" s="74">
        <v>20</v>
      </c>
      <c r="AB8" s="74">
        <v>10</v>
      </c>
      <c r="AC8" s="74">
        <v>17</v>
      </c>
      <c r="AD8" s="74">
        <v>18</v>
      </c>
      <c r="AE8" s="74">
        <v>24</v>
      </c>
    </row>
    <row r="9" spans="1:99" ht="26.4" ph="1">
      <c r="B9" s="195" ph="1">
        <v>0.66666666666666663</v>
      </c>
      <c r="C9" s="144" t="s" ph="1">
        <v>181</v>
      </c>
      <c r="D9" s="71">
        <v>3854</v>
      </c>
      <c r="E9" s="71">
        <v>4241</v>
      </c>
      <c r="F9" s="71">
        <v>3216</v>
      </c>
      <c r="G9" s="71">
        <v>2388</v>
      </c>
      <c r="H9" s="71">
        <v>5982</v>
      </c>
      <c r="I9" s="71">
        <v>16</v>
      </c>
      <c r="J9" s="71">
        <v>7.82</v>
      </c>
      <c r="K9" s="71">
        <v>7.3</v>
      </c>
      <c r="L9" s="71">
        <v>34.1</v>
      </c>
      <c r="M9" s="71">
        <v>2726</v>
      </c>
      <c r="N9" s="71">
        <v>2568</v>
      </c>
      <c r="O9" s="71">
        <v>72</v>
      </c>
      <c r="P9" s="71">
        <v>6567</v>
      </c>
      <c r="Q9" s="71">
        <v>7010</v>
      </c>
      <c r="R9" s="71">
        <v>7128</v>
      </c>
      <c r="S9" s="71">
        <v>370</v>
      </c>
      <c r="T9" s="71">
        <v>7144</v>
      </c>
      <c r="U9" s="71">
        <v>2332</v>
      </c>
      <c r="V9" s="71">
        <v>0</v>
      </c>
      <c r="W9" s="71">
        <v>0</v>
      </c>
      <c r="X9" s="71">
        <v>6774</v>
      </c>
      <c r="Y9" s="71">
        <v>7239</v>
      </c>
      <c r="Z9" s="71">
        <v>3257</v>
      </c>
      <c r="AA9" s="71">
        <v>1570</v>
      </c>
      <c r="AB9" s="71">
        <v>2423</v>
      </c>
      <c r="AC9" s="71">
        <v>4819</v>
      </c>
      <c r="AD9" s="71">
        <v>1334</v>
      </c>
      <c r="AE9" s="71">
        <v>1529</v>
      </c>
    </row>
    <row r="10" spans="1:99" s="72" customFormat="1" ht="22.2" ph="1">
      <c r="B10" s="195" ph="1"/>
      <c r="C10" s="144" t="s" ph="1">
        <v>179</v>
      </c>
      <c r="D10" s="73" ph="1">
        <f>D9*33.183*LOOKUP(D11,密度!$A$2:$A$50,密度!$Q$2:$Q$50)</f>
        <v>120985.20539046002</v>
      </c>
      <c r="E10" s="73" ph="1">
        <f>E9*51.53*LOOKUP(E11,密度!$A$2:$A$50,密度!$B$2:$B$50)</f>
        <v>170372.79390799999</v>
      </c>
      <c r="F10" s="73" ph="1">
        <f>F9*33.183*LOOKUP(F11,密度!$A$2:$A$50,密度!$C$2:$C$50)</f>
        <v>118658.10748320002</v>
      </c>
      <c r="G10" s="73" ph="1">
        <f xml:space="preserve"> (G9+2)*51.53*LOOKUP(G11,密度!$A$2:$A$50,密度!$B$2:$B$50)</f>
        <v>95902.122289999985</v>
      </c>
      <c r="H10" s="73" ph="1">
        <f>(H9)*51.53*LOOKUP(H11,密度!$A$2:$A$50,密度!$B$2:$B$50)</f>
        <v>239789.58863400001</v>
      </c>
      <c r="I10" s="73" ph="1">
        <f>I9*290.8*1.0267</f>
        <v>4777.0297600000004</v>
      </c>
      <c r="J10" s="73" ph="1">
        <f>J9*290.8*0.7892</f>
        <v>1794.6849952</v>
      </c>
      <c r="K10" s="73" ph="1">
        <f>K9*290.8*1.1126</f>
        <v>2361.8717840000004</v>
      </c>
      <c r="L10" s="73" ph="1">
        <f>L9*290.8*0.777</f>
        <v>7704.9495600000009</v>
      </c>
      <c r="M10" s="73" ph="1">
        <f>M9*33.183*LOOKUP(M11,密度!$A$2:$A$50,密度!$D$2:$D$50)</f>
        <v>92790.6449364</v>
      </c>
      <c r="N10" s="73" ph="1">
        <f>N9*33.183*LOOKUP(N11,密度!$A$2:$A$50,密度!$E$2:$E$50)</f>
        <v>67046.331139200003</v>
      </c>
      <c r="O10" s="73" ph="1">
        <f>O9*20.428*LOOKUP(O11,密度!$A$2:$A$50,密度!$C$2:$C$50)</f>
        <v>1611.5730911999999</v>
      </c>
      <c r="P10" s="73" ph="1">
        <f>P9*51.53*LOOKUP(P11,密度!$A$2:$A$50,密度!$B$2:$B$50)</f>
        <v>263510.14103699999</v>
      </c>
      <c r="Q10" s="73" ph="1">
        <f>Q9*1.5*1.5*3.1416*LOOKUP(W11,密度!$A$2:$A$50,密度!$L$2:$L$50)</f>
        <v>45884.120435999997</v>
      </c>
      <c r="R10" s="73" ph="1">
        <f>R9*1.5*1.5*3.1416*LOOKUP(R11,密度!$A$2:$A$50,密度!$L$2:$L$50)</f>
        <v>47009.187086400001</v>
      </c>
      <c r="S10" s="73" ph="1">
        <f>S9*1.5*1.5*3.1416*LOOKUP(S11,密度!$A$2:$A$50,密度!$L$2:$L$50)</f>
        <v>2458.4590800000001</v>
      </c>
      <c r="T10" s="73" ph="1">
        <f>T9*1.5*1.5*3.1416*LOOKUP(T11,密度!$A$2:$A$50,密度!$L$2:$L$50)</f>
        <v>47670.186009599995</v>
      </c>
      <c r="U10" s="73" ph="1">
        <f>U9*1.5*1.5*3.1416*LOOKUP(U11,密度!$A$2:$A$50,密度!$L$2:$L$50)</f>
        <v>15461.9687376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45344.913490799998</v>
      </c>
      <c r="Y10" s="73" ph="1">
        <f>Y9*1.5*1.5*3.1416*LOOKUP(Y11,密度!$A$2:$A$50,密度!$L$2:$L$50)</f>
        <v>48099.419675999998</v>
      </c>
      <c r="Z10" s="73" ph="1">
        <f>Z9*33.183*LOOKUP(Z11,密度!$A$2:$A$50,密度!$L$2:$L$50)</f>
        <v>101592.40914</v>
      </c>
      <c r="AA10" s="73" ph="1">
        <f>AA9*33.183*LOOKUP(AA11,密度!$A$2:$A$50,密度!$D$2:$D$50)</f>
        <v>53441.420597999997</v>
      </c>
      <c r="AB10" s="73" ph="1">
        <f>AB9*20.428*LOOKUP(AB11,密度!$A$2:$A$50,密度!$D$2:$D$50)</f>
        <v>51303.686106000001</v>
      </c>
      <c r="AC10" s="73" ph="1">
        <f>AC9*51.53*LOOKUP(AC11,密度!$A$2:$A$50,密度!$Q$2:$Q$50)</f>
        <v>234921.07391210002</v>
      </c>
      <c r="AD10" s="73" ph="1">
        <f>AD9*20.428*LOOKUP(AD11,密度!$A$2:$A$50,密度!$V$2:$V$50)</f>
        <v>26095.5116352</v>
      </c>
      <c r="AE10" s="73" ph="1">
        <f>AE9*20.428</f>
        <v>31234.412</v>
      </c>
    </row>
    <row r="11" spans="1:99" ph="1">
      <c r="A11" s="64" t="s" ph="1">
        <v>163</v>
      </c>
      <c r="B11" s="195" ph="1"/>
      <c r="C11" s="144" t="s" ph="1">
        <v>180</v>
      </c>
      <c r="D11" s="74">
        <v>26</v>
      </c>
      <c r="E11" s="74">
        <v>25</v>
      </c>
      <c r="F11" s="74">
        <v>21</v>
      </c>
      <c r="G11" s="74">
        <v>26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22</v>
      </c>
      <c r="O11" s="74">
        <v>39</v>
      </c>
      <c r="P11" s="74">
        <v>26</v>
      </c>
      <c r="Q11" s="74">
        <v>21</v>
      </c>
      <c r="R11" s="74">
        <v>29</v>
      </c>
      <c r="S11" s="74">
        <v>22</v>
      </c>
      <c r="T11" s="74">
        <v>18</v>
      </c>
      <c r="U11" s="74">
        <v>24</v>
      </c>
      <c r="V11" s="74">
        <v>22</v>
      </c>
      <c r="W11" s="74">
        <v>36</v>
      </c>
      <c r="X11" s="74">
        <v>15</v>
      </c>
      <c r="Y11" s="74">
        <v>22</v>
      </c>
      <c r="Z11" s="74">
        <v>22</v>
      </c>
      <c r="AA11" s="74">
        <v>26</v>
      </c>
      <c r="AB11" s="74">
        <v>14</v>
      </c>
      <c r="AC11" s="74">
        <v>26</v>
      </c>
      <c r="AD11" s="74">
        <v>26</v>
      </c>
      <c r="AE11" s="74">
        <v>27</v>
      </c>
    </row>
    <row r="12" spans="1:99" ht="9.9" customHeight="1" ph="1"/>
    <row r="13" spans="1:99" s="72" customFormat="1" ht="29.25" customHeight="1" ph="1">
      <c r="B13" s="203" t="s" ph="1">
        <v>37</v>
      </c>
      <c r="C13" s="14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4" t="s" ph="1">
        <v>178</v>
      </c>
      <c r="D15" s="78">
        <v>5186</v>
      </c>
      <c r="E15" s="78">
        <v>2865</v>
      </c>
      <c r="F15" s="78">
        <v>3783</v>
      </c>
      <c r="G15" s="78">
        <v>4576</v>
      </c>
      <c r="H15" s="78">
        <v>4499</v>
      </c>
      <c r="I15" s="78">
        <v>4</v>
      </c>
      <c r="J15" s="78">
        <v>1341</v>
      </c>
      <c r="K15" s="78">
        <v>1896</v>
      </c>
      <c r="L15" s="78">
        <v>3660</v>
      </c>
      <c r="M15" s="78">
        <v>4254</v>
      </c>
      <c r="N15" s="78">
        <v>1230</v>
      </c>
      <c r="O15" s="78">
        <v>7099</v>
      </c>
      <c r="P15" s="78">
        <v>6909</v>
      </c>
      <c r="Q15" s="78">
        <v>5310</v>
      </c>
      <c r="R15" s="78">
        <v>3497</v>
      </c>
      <c r="S15" s="78">
        <v>6834</v>
      </c>
      <c r="T15" s="78">
        <v>3244</v>
      </c>
      <c r="U15" s="78">
        <v>4176</v>
      </c>
      <c r="V15" s="78">
        <v>1105</v>
      </c>
      <c r="W15" s="71">
        <v>3791</v>
      </c>
      <c r="X15" s="78">
        <v>289</v>
      </c>
      <c r="Y15" s="106">
        <v>-9003</v>
      </c>
      <c r="Z15" s="78">
        <v>0</v>
      </c>
      <c r="AA15" s="78">
        <v>4224</v>
      </c>
      <c r="AB15" s="78" ph="1">
        <v>6879</v>
      </c>
      <c r="AC15" s="78" ph="1">
        <v>6526</v>
      </c>
      <c r="AD15" s="78">
        <v>84.62</v>
      </c>
      <c r="AE15" s="78">
        <v>14.1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4" t="s" ph="1">
        <v>179</v>
      </c>
      <c r="D16" s="73" ph="1">
        <f>D15*7.0686*LOOKUP(D17,密度!$A$2:$A$50,密度!$L$2:$L$50)</f>
        <v>34531.609543199993</v>
      </c>
      <c r="E16" s="73" ph="1">
        <f>E15*7.0686*LOOKUP(E17,密度!$A$2:$A$50,密度!$L$2:$L$50)</f>
        <v>19076.949737999999</v>
      </c>
      <c r="F16" s="73" ph="1">
        <f>F15*9.0746*LOOKUP(F17,密度!$A$2:$A$50,密度!$L$2:$L$50)</f>
        <v>32269.459091999997</v>
      </c>
      <c r="G16" s="73" ph="1">
        <f>G15*9.0746*LOOKUP(G17,密度!$A$2:$A$50,密度!$B$2:$B$50)</f>
        <v>32560.042303359998</v>
      </c>
      <c r="H16" s="73" ph="1">
        <f>H15*9.0746*LOOKUP(H17,密度!$A$2:$A$50,密度!$L$2:$L$50)</f>
        <v>38458.681126800002</v>
      </c>
      <c r="I16" s="73" ph="1">
        <f>I15*9.0746*LOOKUP(I17,密度!$A$2:$A$50,密度!$U$2:$U$50)</f>
        <v>37.3147552</v>
      </c>
      <c r="J16" s="73" ph="1">
        <f>J15*9.0746*LOOKUP(J17,密度!$A$2:$A$50,密度!$L$2:$L$50)</f>
        <v>11438.896283999999</v>
      </c>
      <c r="K16" s="73" ph="1">
        <f>K15*9.0746*LOOKUP(K17,密度!$A$2:$A$50,密度!$C$2:$C$50)</f>
        <v>19130.730515040003</v>
      </c>
      <c r="L16" s="73" ph="1">
        <f>L15*9.0746*LOOKUP(L17,密度!$A$2:$A$50,密度!$E$2:$E$50)</f>
        <v>26211.728011200001</v>
      </c>
      <c r="M16" s="73" ph="1">
        <f>M15*9.0746*LOOKUP(M17,密度!$A$2:$A$50,密度!$M$2:$M$50)</f>
        <v>33936.20357844</v>
      </c>
      <c r="N16" s="73" ph="1">
        <f>N15*9.0746*LOOKUP(N17,密度!$A$2:$A$50,密度!$M$2:$M$50)</f>
        <v>9825.6955674000001</v>
      </c>
      <c r="O16" s="73" ph="1">
        <f>O15*9.0746*LOOKUP(O17,密度!$A$2:$A$50,密度!$G$2:$G$50)</f>
        <v>62159.422852460004</v>
      </c>
      <c r="P16" s="73" ph="1">
        <f ca="1">P15*9.0746*LOOKUP(P17,密度!$A$2:$A$51,密度!$Q$2:$Q$50)</f>
        <v>59585.415466332008</v>
      </c>
      <c r="Q16" s="73" ph="1">
        <f>Q15*9.0746*LOOKUP(Q17,密度!$A$2:$A$50,密度!$Q$2:$Q$50)</f>
        <v>45795.130427880002</v>
      </c>
      <c r="R16" s="73" ph="1">
        <f>MAX(R15*9.0746*LOOKUP(R17,密度!$A$2:$A$50,密度!$B$2:$B$50),0)</f>
        <v>24853.971839840004</v>
      </c>
      <c r="S16" s="73" ph="1">
        <f>S15*9.0746*LOOKUP(S17,密度!$A$2:$A$50,密度!$Q$2:$Q$50)</f>
        <v>58938.591590232005</v>
      </c>
      <c r="T16" s="73" ph="1">
        <f>T15*9.0746*LOOKUP(T17,密度!$A$2:$A$50,密度!$O$2:$O$50)</f>
        <v>27377.342232000003</v>
      </c>
      <c r="U16" s="73" ph="1">
        <f>U15*9.0746*LOOKUP(U17,密度!$A$2:$A$50,密度!$H$2:$H$50)</f>
        <v>34852.518573120004</v>
      </c>
      <c r="V16" s="73" ph="1">
        <f>MAX(5600*LOOKUP(V17,密度!$A$2:$A$50,密度!$Q$2:$Q$50)+V15*9.0476*LOOKUP(V17,密度!$A$2:$A$50,密度!$Q$2:$Q$50),0)</f>
        <v>14812.882844619999</v>
      </c>
      <c r="W16" s="73" ph="1">
        <f>MAX(5600*LOOKUP(W17,密度!$A$2:$A$50,密度!$Q$2:$Q$50)+W15*9.0476*LOOKUP(W17,密度!$A$2:$A$50,密度!$Q$2:$Q$50),0)</f>
        <v>37892.110190004001</v>
      </c>
      <c r="X16" s="73" ph="1">
        <f>MAX(5600*LOOKUP(X17,密度!$A$2:$A$50,密度!$I$2:$I$50)+X15*9.0476*LOOKUP(X17,密度!$A$2:$A$50,密度!$I$2:$I$50),0)</f>
        <v>8611.5291341200009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30116.753441279998</v>
      </c>
      <c r="AB16" s="73" ph="1">
        <f>AB15*9.0746*LOOKUP(AB17,密度!$A$2:$A$50,密度!$L$2:$L$50)</f>
        <v>58803.571342799994</v>
      </c>
      <c r="AC16" s="73" ph="1">
        <f>AC15*9.0746*LOOKUP(AC17,密度!$A$2:$A$50,密度!$L$2:$L$50)</f>
        <v>55904.472582399998</v>
      </c>
      <c r="AD16" s="73" ph="1">
        <f>AD15*268.68*LOOKUP(AD17,密度!$A$2:$A$50,密度!B2:B50)+IF(AD15&lt;=0,0,1566*LOOKUP(AD17,密度!$A$2:$A$50,密度!B2:B50))</f>
        <v>18945.606567359999</v>
      </c>
      <c r="AE16" s="73" ph="1">
        <f>AE15*268.68*LOOKUP(AE17,密度!$A$2:$A$50,密度!B2:B50)+IF(AE15&lt;=0,0,1566*LOOKUP(AE17,密度!$A$2:$A$50,密度!B2:B50))</f>
        <v>4174.2808847999995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20</v>
      </c>
      <c r="E17" s="74">
        <v>20</v>
      </c>
      <c r="F17" s="74">
        <v>22</v>
      </c>
      <c r="G17" s="74">
        <v>20</v>
      </c>
      <c r="H17" s="74">
        <v>20</v>
      </c>
      <c r="I17" s="74">
        <v>19</v>
      </c>
      <c r="J17" s="74">
        <v>22</v>
      </c>
      <c r="K17" s="74">
        <v>21</v>
      </c>
      <c r="L17" s="74">
        <v>20</v>
      </c>
      <c r="M17" s="74">
        <v>21</v>
      </c>
      <c r="N17" s="74">
        <v>18</v>
      </c>
      <c r="O17" s="74">
        <v>21</v>
      </c>
      <c r="P17" s="74">
        <v>20</v>
      </c>
      <c r="Q17" s="74">
        <v>20</v>
      </c>
      <c r="R17" s="74">
        <v>21</v>
      </c>
      <c r="S17" s="74">
        <v>20</v>
      </c>
      <c r="T17" s="74">
        <v>20</v>
      </c>
      <c r="U17" s="74">
        <v>20</v>
      </c>
      <c r="V17" s="74">
        <v>21</v>
      </c>
      <c r="W17" s="74">
        <v>21</v>
      </c>
      <c r="X17" s="74">
        <v>20</v>
      </c>
      <c r="Y17" s="108">
        <v>20</v>
      </c>
      <c r="Z17" s="74">
        <v>20</v>
      </c>
      <c r="AA17" s="74">
        <v>18</v>
      </c>
      <c r="AB17" s="74">
        <v>20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5197</v>
      </c>
      <c r="E18" s="71">
        <v>273</v>
      </c>
      <c r="F18" s="71">
        <v>3846</v>
      </c>
      <c r="G18" s="71">
        <v>1227</v>
      </c>
      <c r="H18" s="71">
        <v>4505</v>
      </c>
      <c r="I18" s="71">
        <v>1</v>
      </c>
      <c r="J18" s="71">
        <v>1725</v>
      </c>
      <c r="K18" s="71">
        <v>1896</v>
      </c>
      <c r="L18" s="71">
        <v>3669</v>
      </c>
      <c r="M18" s="71">
        <v>1280</v>
      </c>
      <c r="N18" s="71">
        <v>2443</v>
      </c>
      <c r="O18" s="71">
        <v>7110</v>
      </c>
      <c r="P18" s="71">
        <v>6921</v>
      </c>
      <c r="Q18" s="71">
        <v>3514</v>
      </c>
      <c r="R18" s="71">
        <v>3502</v>
      </c>
      <c r="S18" s="71">
        <v>6843</v>
      </c>
      <c r="T18" s="71">
        <v>2663</v>
      </c>
      <c r="U18" s="71">
        <v>5970</v>
      </c>
      <c r="V18" s="71">
        <v>1102</v>
      </c>
      <c r="W18" s="71">
        <v>3789</v>
      </c>
      <c r="X18" s="71">
        <v>143</v>
      </c>
      <c r="Y18" s="109">
        <v>-9907</v>
      </c>
      <c r="Z18" s="71">
        <v>0</v>
      </c>
      <c r="AA18" s="71">
        <v>4230</v>
      </c>
      <c r="AB18" s="71">
        <v>6890</v>
      </c>
      <c r="AC18" s="71">
        <v>6539</v>
      </c>
      <c r="AD18" s="71">
        <v>83.9</v>
      </c>
      <c r="AE18" s="71">
        <v>50.31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4" t="s" ph="1">
        <v>179</v>
      </c>
      <c r="D19" s="73" ph="1">
        <f>D18*7.0686*LOOKUP(D20,密度!$A$2:$A$50,密度!$L$2:$L$50)</f>
        <v>34457.912319599993</v>
      </c>
      <c r="E19" s="73" ph="1">
        <f>E18*7.0686*LOOKUP(E20,密度!$A$2:$A$50,密度!$L$2:$L$50)</f>
        <v>1810.0846763999998</v>
      </c>
      <c r="F19" s="73" ph="1">
        <f>F18*9.0746*LOOKUP(F20,密度!$A$2:$A$50,密度!$L$2:$L$50)</f>
        <v>32562.5505228</v>
      </c>
      <c r="G19" s="73" ph="1">
        <f>G18*9.0746*LOOKUP(G20,密度!$A$2:$A$50,密度!$B$2:$B$50)</f>
        <v>8651.5330733999999</v>
      </c>
      <c r="H19" s="73" ph="1">
        <f>H18*9.0746*LOOKUP(H20,密度!$A$2:$A$50,密度!$L$2:$L$50)</f>
        <v>38469.089693000002</v>
      </c>
      <c r="I19" s="73" ph="1">
        <f>I18*9.0746*LOOKUP(I20,密度!$A$2:$A$50,密度!$U$2:$U$50)</f>
        <v>9.2742412000000005</v>
      </c>
      <c r="J19" s="73" ph="1">
        <f>J18*9.0746*LOOKUP(J20,密度!$A$2:$A$50,密度!$L$2:$L$50)</f>
        <v>14620.541790000001</v>
      </c>
      <c r="K19" s="73" ph="1">
        <f>K18*9.0746*LOOKUP(K20,密度!$A$2:$A$50,密度!$C$2:$C$50)</f>
        <v>19091.157999359999</v>
      </c>
      <c r="L19" s="73" ph="1">
        <f>L18*9.0746*LOOKUP(L20,密度!$A$2:$A$50,密度!$E$2:$E$50)</f>
        <v>26196.275782320001</v>
      </c>
      <c r="M19" s="73" ph="1">
        <f>M18*9.0746*LOOKUP(M20,密度!$A$2:$A$50,密度!$M$2:$M$50)</f>
        <v>10092.349058560001</v>
      </c>
      <c r="N19" s="73" ph="1">
        <f>N18*9.0746*LOOKUP(N20,密度!$A$2:$A$50,密度!$M$2:$M$50)</f>
        <v>19464.599568400001</v>
      </c>
      <c r="O19" s="73" ph="1">
        <f>O18*9.0746*LOOKUP(O20,密度!$A$2:$A$50,密度!$G$2:$G$50)</f>
        <v>62017.014247200008</v>
      </c>
      <c r="P19" s="73" ph="1">
        <f ca="1">P18*9.0746*LOOKUP(P20,密度!$A$2:$A$51,密度!$Q$2:$Q$50)</f>
        <v>59506.143844302009</v>
      </c>
      <c r="Q19" s="73" ph="1">
        <f>Q18*9.0746*LOOKUP(Q20,密度!$A$2:$A$50,密度!$Q$2:$Q$50)</f>
        <v>30264.718968596</v>
      </c>
      <c r="R19" s="73" ph="1">
        <f>MAX(R18*9.0746*LOOKUP(R20,密度!$A$2:$A$50,密度!$B$2:$B$50),0)</f>
        <v>24775.102676319999</v>
      </c>
      <c r="S19" s="73" ph="1">
        <f>S18*9.0746*LOOKUP(S20,密度!$A$2:$A$50,密度!$Q$2:$Q$50)</f>
        <v>58835.506765866005</v>
      </c>
      <c r="T19" s="73" ph="1">
        <f>T18*9.0746*LOOKUP(T20,密度!$A$2:$A$50,密度!$O$2:$O$50)</f>
        <v>22474.063614000002</v>
      </c>
      <c r="U19" s="73" ph="1">
        <f>U18*9.0746*LOOKUP(U20,密度!$A$2:$A$50,密度!$H$2:$H$50)</f>
        <v>49608.378983399998</v>
      </c>
      <c r="V19" s="73" ph="1">
        <f>MAX(5600*LOOKUP(V20,密度!$A$2:$A$50,密度!$Q$2:$Q$50)+V18*9.0476*LOOKUP(V20,密度!$A$2:$A$50,密度!$Q$2:$Q$50),0)</f>
        <v>14719.062709663998</v>
      </c>
      <c r="W19" s="73" ph="1">
        <f>MAX(5600*LOOKUP(W20,密度!$A$2:$A$50,密度!$Q$2:$Q$50)+W18*9.0476*LOOKUP(W20,密度!$A$2:$A$50,密度!$Q$2:$Q$50),0)</f>
        <v>37564.249593159999</v>
      </c>
      <c r="X19" s="73" ph="1">
        <f>MAX(5600*LOOKUP(X20,密度!$A$2:$A$50,密度!$I$2:$I$50)+X18*9.0476*LOOKUP(X20,密度!$A$2:$A$50,密度!$I$2:$I$50),0)</f>
        <v>7161.9758845199995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30098.116027800002</v>
      </c>
      <c r="AB19" s="73" ph="1">
        <f>AB18*9.0746*LOOKUP(AB20,密度!$A$2:$A$50,密度!$L$2:$L$50)</f>
        <v>58772.554359999995</v>
      </c>
      <c r="AC19" s="73" ph="1">
        <f>AC18*9.0746*LOOKUP(AC20,密度!$A$2:$A$50,密度!$L$2:$L$50)</f>
        <v>55778.480835999995</v>
      </c>
      <c r="AD19" s="73" ph="1">
        <f>AD18*268.68*LOOKUP(AD20,密度!$A$2:$A$50,密度!B5:B53)+IF(AD18&lt;=0,0,1566*LOOKUP(AD20,密度!$A$2:$A$50,密度!B5:B53))</f>
        <v>18732.111804</v>
      </c>
      <c r="AE19" s="73" ph="1">
        <f>AE18*268.68*LOOKUP(AE20,密度!$A$2:$A$50,密度!B5:B53)+IF(AE18&lt;=0,0,1566*LOOKUP(AE20,密度!$A$2:$A$50,密度!B5:B53))</f>
        <v>11719.716951599999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24</v>
      </c>
      <c r="E20" s="81">
        <v>24</v>
      </c>
      <c r="F20" s="81">
        <v>29</v>
      </c>
      <c r="G20" s="81">
        <v>28</v>
      </c>
      <c r="H20" s="81">
        <v>21</v>
      </c>
      <c r="I20" s="81">
        <v>28</v>
      </c>
      <c r="J20" s="81">
        <v>28</v>
      </c>
      <c r="K20" s="81">
        <v>24</v>
      </c>
      <c r="L20" s="81">
        <v>22</v>
      </c>
      <c r="M20" s="81">
        <v>31</v>
      </c>
      <c r="N20" s="81">
        <v>22</v>
      </c>
      <c r="O20" s="81">
        <v>24</v>
      </c>
      <c r="P20" s="81">
        <v>24</v>
      </c>
      <c r="Q20" s="81">
        <v>22</v>
      </c>
      <c r="R20" s="81">
        <v>25</v>
      </c>
      <c r="S20" s="81">
        <v>24</v>
      </c>
      <c r="T20" s="81">
        <v>24</v>
      </c>
      <c r="U20" s="81">
        <v>24</v>
      </c>
      <c r="V20" s="81">
        <v>27</v>
      </c>
      <c r="W20" s="81">
        <v>32</v>
      </c>
      <c r="X20" s="81">
        <v>28</v>
      </c>
      <c r="Y20" s="110">
        <v>28</v>
      </c>
      <c r="Z20" s="81">
        <v>32</v>
      </c>
      <c r="AA20" s="81">
        <v>20</v>
      </c>
      <c r="AB20" s="81">
        <v>22</v>
      </c>
      <c r="AC20" s="81">
        <v>22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4" t="s" ph="1">
        <v>178</v>
      </c>
      <c r="D24" s="71">
        <v>3.22</v>
      </c>
      <c r="E24" s="71">
        <v>95.31</v>
      </c>
      <c r="F24" s="71">
        <v>0</v>
      </c>
      <c r="G24" s="71">
        <v>2817</v>
      </c>
      <c r="H24" s="71">
        <v>2012</v>
      </c>
      <c r="I24" s="71">
        <v>5548</v>
      </c>
      <c r="J24" s="71">
        <v>4932</v>
      </c>
      <c r="K24" s="71">
        <v>85</v>
      </c>
      <c r="L24" s="71">
        <v>0</v>
      </c>
      <c r="M24" s="71">
        <v>5401</v>
      </c>
      <c r="N24" s="71">
        <v>5351</v>
      </c>
      <c r="O24" s="71">
        <v>3517</v>
      </c>
      <c r="P24" s="71">
        <v>835</v>
      </c>
      <c r="Q24" s="90">
        <v>1898</v>
      </c>
      <c r="R24" s="71">
        <v>6323</v>
      </c>
      <c r="S24" s="71">
        <v>227</v>
      </c>
      <c r="T24" s="71">
        <v>1751</v>
      </c>
      <c r="U24" s="71">
        <v>4995</v>
      </c>
      <c r="V24" s="71">
        <v>9619</v>
      </c>
      <c r="W24" s="71">
        <v>8740</v>
      </c>
      <c r="X24" s="71">
        <v>5047</v>
      </c>
      <c r="Y24" s="71">
        <v>7999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2301.6665723040001</v>
      </c>
      <c r="E25" s="91" ph="1">
        <f>E24*268.68*LOOKUP(E26,密度!$A$2:$A$50,密度!$C$2:$C$50)+IF(E24&lt;=0,0,1566*LOOKUP(E26,密度!$A$2:$A$50,密度!$C$2:$C$50))</f>
        <v>30133.127508120004</v>
      </c>
      <c r="F25" s="91" ph="1">
        <f>F24*11.702*LOOKUP(F26,密度!$A$2:$A$50,密度!$Q$2:$Q$50)</f>
        <v>0</v>
      </c>
      <c r="G25" s="91" ph="1">
        <f>G24*18.322*LOOKUP(G26,密度!$A$2:$A$50,密度!$B$2:$B$50)</f>
        <v>40376.907790199999</v>
      </c>
      <c r="H25" s="91" ph="1">
        <f>H24*18.322*LOOKUP(H26,密度!$A$2:$A$50,密度!$B$2:$B$50)</f>
        <v>28871.778284800002</v>
      </c>
      <c r="I25" s="91" ph="1">
        <f>I24*18.322*LOOKUP(I26,密度!$A$2:$A$50,密度!$Q$2:$Q$50)</f>
        <v>96536.421558639995</v>
      </c>
      <c r="J25" s="91" ph="1">
        <f>J24*18.322*LOOKUP(J26,密度!$A$2:$A$50,密度!$Q$2:$Q$50)</f>
        <v>85817.885927759999</v>
      </c>
      <c r="K25" s="91" ph="1">
        <f>K24*18.322*LOOKUP(K26,密度!$A$2:$A$50,密度!$Q$2:$Q$50)</f>
        <v>1480.0933005999998</v>
      </c>
      <c r="L25" s="91" ph="1">
        <f>L24*18.322*LOOKUP(L26,密度!$A$2:$A$50,密度!$Q$2:$Q$50)</f>
        <v>0</v>
      </c>
      <c r="M25" s="91" ph="1">
        <f>M24*18.322*LOOKUP(M26,密度!$A$2:$A$50,密度!$Q$2:$Q$50)</f>
        <v>94046.869606359993</v>
      </c>
      <c r="N25" s="91" ph="1">
        <f>N24*18.322*LOOKUP(N26,密度!$A$2:$A$50,密度!$Q$2:$Q$50)</f>
        <v>93108.578183179998</v>
      </c>
      <c r="O25" s="91" ph="1">
        <f>O24*18.322*LOOKUP(O26,密度!$A$2:$A$50,密度!$C$2:$C$50)</f>
        <v>71694.246172400002</v>
      </c>
      <c r="P25" s="91" ph="1">
        <f>P24*11.702*LOOKUP(P26,密度!$A$2:$A$50,密度!$B$2:$B$50)</f>
        <v>7661.5743970000003</v>
      </c>
      <c r="Q25" s="92" ph="1">
        <f>Q24*18.322*LOOKUP(Q26,密度!$A$2:$A$50,密度!$B$2:$B$50)</f>
        <v>27267.199819599999</v>
      </c>
      <c r="R25" s="91" ph="1">
        <f>R24*35.891*LOOKUP(R26,密度!$A$2:$A$50,密度!$C$2:$C$50)</f>
        <v>252333.24393669999</v>
      </c>
      <c r="S25" s="91" ph="1">
        <f>S24*35.891*LOOKUP(S26,密度!$A$2:$A$50,密度!$B$2:$B$50)</f>
        <v>6373.5991510999993</v>
      </c>
      <c r="T25" s="91" ph="1">
        <f>T24*35.891*LOOKUP(T26,密度!$A$2:$A$50,密度!$Q$2:$Q$50)</f>
        <v>59683.401956289999</v>
      </c>
      <c r="U25" s="91" ph="1">
        <f>U24*35.891</f>
        <v>179275.54499999998</v>
      </c>
      <c r="V25" s="91" ph="1">
        <f>V24*47.051*LOOKUP(V26,密度!$A$2:$A$50,密度!$B$2:$B$50)</f>
        <v>354463.45124080003</v>
      </c>
      <c r="W25" s="91" ph="1">
        <f>W24*47.051*LOOKUP(W26,密度!$A$2:$A$50,密度!$B$2:$B$50)</f>
        <v>322442.10273400001</v>
      </c>
      <c r="X25" s="91" ph="1">
        <f>X24*47.051*LOOKUP(X26,密度!$A$2:$A$50,密度!$I$2:$I$50)</f>
        <v>245929.69938907996</v>
      </c>
      <c r="Y25" s="91" ph="1">
        <f>Y24*47.051*LOOKUP(Y26,密度!$A$2:$A$50,密度!$L$2:$L$50)</f>
        <v>353779.29206000001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22</v>
      </c>
      <c r="H26" s="74">
        <v>21</v>
      </c>
      <c r="I26" s="74">
        <v>21</v>
      </c>
      <c r="J26" s="74">
        <v>21</v>
      </c>
      <c r="K26" s="74">
        <v>20</v>
      </c>
      <c r="L26" s="74">
        <v>20</v>
      </c>
      <c r="M26" s="74">
        <v>20</v>
      </c>
      <c r="N26" s="74">
        <v>21</v>
      </c>
      <c r="O26" s="74">
        <v>20</v>
      </c>
      <c r="P26" s="74">
        <v>20</v>
      </c>
      <c r="Q26" s="93">
        <v>20</v>
      </c>
      <c r="R26" s="74">
        <v>21</v>
      </c>
      <c r="S26" s="74">
        <v>22</v>
      </c>
      <c r="T26" s="74">
        <v>21</v>
      </c>
      <c r="U26" s="74">
        <v>21</v>
      </c>
      <c r="V26" s="74">
        <v>21</v>
      </c>
      <c r="W26" s="74">
        <v>20</v>
      </c>
      <c r="X26" s="74">
        <v>57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4" t="s" ph="1">
        <v>181</v>
      </c>
      <c r="D27" s="71">
        <v>3.21</v>
      </c>
      <c r="E27" s="71">
        <v>95.32</v>
      </c>
      <c r="F27" s="71">
        <v>0</v>
      </c>
      <c r="G27" s="71">
        <v>2353</v>
      </c>
      <c r="H27" s="71">
        <v>1958</v>
      </c>
      <c r="I27" s="71">
        <v>5553</v>
      </c>
      <c r="J27" s="71">
        <v>4933</v>
      </c>
      <c r="K27" s="71">
        <v>80</v>
      </c>
      <c r="L27" s="71">
        <v>0</v>
      </c>
      <c r="M27" s="71">
        <v>5402</v>
      </c>
      <c r="N27" s="71">
        <v>5352</v>
      </c>
      <c r="O27" s="71">
        <v>3512</v>
      </c>
      <c r="P27" s="71">
        <v>833</v>
      </c>
      <c r="Q27" s="90">
        <v>2445</v>
      </c>
      <c r="R27" s="71">
        <v>5813</v>
      </c>
      <c r="S27" s="71">
        <v>222</v>
      </c>
      <c r="T27" s="71">
        <v>1749</v>
      </c>
      <c r="U27" s="71">
        <v>4746</v>
      </c>
      <c r="V27" s="71">
        <v>9623</v>
      </c>
      <c r="W27" s="71">
        <v>8741</v>
      </c>
      <c r="X27" s="71">
        <v>5046</v>
      </c>
      <c r="Y27" s="71">
        <v>6936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4" t="s" ph="1">
        <v>179</v>
      </c>
      <c r="D28" s="91" ph="1">
        <f>D27*268.68*LOOKUP(D29,密度!$A$2:$A$50,密度!$Q$2:$Q$50)+IF(D27&lt;=0,0,1566*LOOKUP(D29,密度!$A$2:$A$50,密度!$Q$2:$Q$50))</f>
        <v>2299.1228712719999</v>
      </c>
      <c r="E28" s="91" ph="1">
        <f>E27*268.68*LOOKUP(E29,密度!$A$2:$A$50,密度!$C$2:$C$50)+IF(E27&lt;=0,0,1566*LOOKUP(E29,密度!$A$2:$A$50,密度!$C$2:$C$50))</f>
        <v>30136.106900640003</v>
      </c>
      <c r="F28" s="91" ph="1">
        <f>F27*11.702*LOOKUP(F29,密度!$A$2:$A$50,密度!$Q$2:$Q$50)</f>
        <v>0</v>
      </c>
      <c r="G28" s="91" ph="1">
        <f>G27*18.322*LOOKUP(G29,密度!$A$2:$A$50,密度!$B$2:$B$50)</f>
        <v>33726.256311799996</v>
      </c>
      <c r="H28" s="91" ph="1">
        <f>H27*18.322*LOOKUP(H29,密度!$A$2:$A$50,密度!$B$2:$B$50)</f>
        <v>28064.602574799996</v>
      </c>
      <c r="I28" s="91" ph="1">
        <f>I27*18.322*LOOKUP(I29,密度!$A$2:$A$50,密度!$Q$2:$Q$50)</f>
        <v>96562.377419939992</v>
      </c>
      <c r="J28" s="91" ph="1">
        <f>J27*18.322*LOOKUP(J29,密度!$A$2:$A$50,密度!$Q$2:$Q$50)</f>
        <v>85781.056692339989</v>
      </c>
      <c r="K28" s="91" ph="1">
        <f>K27*18.322*LOOKUP(K29,密度!$A$2:$A$50,密度!$Q$2:$Q$50)</f>
        <v>1391.1381584000001</v>
      </c>
      <c r="L28" s="91" ph="1">
        <f>L27*18.322*LOOKUP(L29,密度!$A$2:$A$50,密度!$Q$2:$Q$50)</f>
        <v>0</v>
      </c>
      <c r="M28" s="91" ph="1">
        <f>M27*18.322*LOOKUP(M29,密度!$A$2:$A$50,密度!$Q$2:$Q$50)</f>
        <v>93995.989412359995</v>
      </c>
      <c r="N28" s="91" ph="1">
        <f>N27*18.322*LOOKUP(N29,密度!$A$2:$A$50,密度!$Q$2:$Q$50)</f>
        <v>93125.978403360001</v>
      </c>
      <c r="O28" s="91" ph="1">
        <f>O27*18.322*LOOKUP(O29,密度!$A$2:$A$50,密度!$C$2:$C$50)</f>
        <v>71547.278081600001</v>
      </c>
      <c r="P28" s="91" ph="1">
        <f>P27*11.702*LOOKUP(P29,密度!$A$2:$A$50,密度!$B$2:$B$50)</f>
        <v>7625.6773417999993</v>
      </c>
      <c r="Q28" s="92" ph="1">
        <f>Q27*18.322*LOOKUP(Q29,密度!$A$2:$A$50,密度!$B$2:$B$50)</f>
        <v>35085.237527999998</v>
      </c>
      <c r="R28" s="91" ph="1">
        <f>R27*35.891*LOOKUP(R29,密度!$A$2:$A$50,密度!$C$2:$C$50)</f>
        <v>231980.57045770003</v>
      </c>
      <c r="S28" s="91" ph="1">
        <f>S27*35.891*LOOKUP(S29,密度!$A$2:$A$50,密度!$B$2:$B$50)</f>
        <v>6233.2115045999999</v>
      </c>
      <c r="T28" s="91" ph="1">
        <f>T27*35.891*LOOKUP(T29,密度!$A$2:$A$50,密度!$Q$2:$Q$50)</f>
        <v>59577.56729331</v>
      </c>
      <c r="U28" s="91" ph="1">
        <f>U27*35.891</f>
        <v>170338.68599999999</v>
      </c>
      <c r="V28" s="91" ph="1">
        <f>V27*47.051*LOOKUP(V29,密度!$A$2:$A$50,密度!$B$2:$B$50)</f>
        <v>354610.85261360003</v>
      </c>
      <c r="W28" s="91" ph="1">
        <f>W27*47.051*LOOKUP(W29,密度!$A$2:$A$50,密度!$B$2:$B$50)</f>
        <v>322108.8499112</v>
      </c>
      <c r="X28" s="91" ph="1">
        <f>X27*47.051*LOOKUP(X29,密度!$A$2:$A$50,密度!$I$2:$I$50)</f>
        <v>245880.97149144</v>
      </c>
      <c r="Y28" s="91" ph="1">
        <f>Y27*47.051*LOOKUP(Y29,密度!$A$2:$A$50,密度!$L$2:$L$50)</f>
        <v>306438.64610399998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4" t="s" ph="1">
        <v>180</v>
      </c>
      <c r="D29" s="74">
        <v>25</v>
      </c>
      <c r="E29" s="74">
        <v>25</v>
      </c>
      <c r="F29" s="74">
        <v>22</v>
      </c>
      <c r="G29" s="74">
        <v>22</v>
      </c>
      <c r="H29" s="74">
        <v>22</v>
      </c>
      <c r="I29" s="74">
        <v>22</v>
      </c>
      <c r="J29" s="74">
        <v>22</v>
      </c>
      <c r="K29" s="74">
        <v>22</v>
      </c>
      <c r="L29" s="74">
        <v>22</v>
      </c>
      <c r="M29" s="74">
        <v>21</v>
      </c>
      <c r="N29" s="74">
        <v>21</v>
      </c>
      <c r="O29" s="74">
        <v>21</v>
      </c>
      <c r="P29" s="74">
        <v>22</v>
      </c>
      <c r="Q29" s="93">
        <v>21</v>
      </c>
      <c r="R29" s="74">
        <v>21</v>
      </c>
      <c r="S29" s="74">
        <v>22</v>
      </c>
      <c r="T29" s="74">
        <v>22</v>
      </c>
      <c r="U29" s="74">
        <v>22</v>
      </c>
      <c r="V29" s="74">
        <v>21</v>
      </c>
      <c r="W29" s="74">
        <v>21</v>
      </c>
      <c r="X29" s="74">
        <v>57</v>
      </c>
      <c r="Y29" s="74">
        <v>23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104745.10670400001</v>
      </c>
      <c r="E33" s="217" ph="1">
        <f>M10+I10</f>
        <v>97567.674696400005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21" ph="1">
        <v>0</v>
      </c>
      <c r="H33" s="217" ph="1">
        <f>N19</f>
        <v>19464.599568400001</v>
      </c>
      <c r="I33" s="230" ph="1">
        <v>0</v>
      </c>
      <c r="J33" s="228" ph="1">
        <f>F10+O28</f>
        <v>190205.3855648</v>
      </c>
      <c r="K33" s="217" ph="1">
        <f>O10+K10+E28+R28</f>
        <v>266090.12223354005</v>
      </c>
      <c r="L33" s="232" ph="1">
        <f>BE27</f>
        <v>7100</v>
      </c>
      <c r="M33" s="228" ph="1">
        <f>G10+H10+W28+S28+V28+E10</f>
        <v>1189017.4188614001</v>
      </c>
      <c r="N33" s="217" ph="1">
        <f>L10+P10++G28+H28</f>
        <v>333005.94948359998</v>
      </c>
      <c r="O33" s="230" ph="1">
        <f>BE17</f>
        <v>2270</v>
      </c>
      <c r="P33" s="228" ph="1">
        <f>L19</f>
        <v>26196.275782320001</v>
      </c>
      <c r="Q33" s="217" ph="1">
        <f>J10+N10</f>
        <v>68841.016134400008</v>
      </c>
      <c r="R33" s="230" ph="1">
        <f>BE23</f>
        <v>890</v>
      </c>
      <c r="S33" s="228" ph="1">
        <f>E10+X28</f>
        <v>416253.76539943996</v>
      </c>
      <c r="T33" s="217" ph="1">
        <f>X19</f>
        <v>7161.9758845199995</v>
      </c>
      <c r="U33" s="238" ph="1">
        <f>BE21</f>
        <v>730</v>
      </c>
      <c r="V33" s="249" ph="1">
        <f ca="1">P19+Q19+S19+M28+N28+J28</f>
        <v>421509.39408682403</v>
      </c>
      <c r="W33" s="249" ph="1">
        <f>D28+F28+V19+T28</f>
        <v>76595.752874245998</v>
      </c>
      <c r="X33" s="230" ph="1">
        <f>BE29+BE31</f>
        <v>10200</v>
      </c>
      <c r="Y33" s="251" ph="1">
        <f>+Q10+R10+S10+T10+U10+V10+W10+X10+Y10</f>
        <v>251928.25451639996</v>
      </c>
      <c r="Z33" s="236" ph="1">
        <f>D10+T19+U19+Y28+Z10</f>
        <v>601098.70323185995</v>
      </c>
      <c r="AA33" s="238" ph="1">
        <f>BE19</f>
        <v>1440</v>
      </c>
      <c r="AB33" s="240" ph="1">
        <f>I19</f>
        <v>9.2742412000000005</v>
      </c>
      <c r="AC33" s="242" ph="1">
        <f>AD10</f>
        <v>26095.5116352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6" t="s" ph="1">
        <v>186</v>
      </c>
      <c r="AA36" s="146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345</v>
      </c>
      <c r="AI37" s="146" t="s" ph="1">
        <v>212</v>
      </c>
      <c r="AJ37" s="146" t="s" ph="1">
        <v>213</v>
      </c>
      <c r="AK37" s="146" t="s" ph="1">
        <v>214</v>
      </c>
      <c r="AM37" s="146" t="s" ph="1">
        <v>213</v>
      </c>
      <c r="AN37" s="146" t="s" ph="1">
        <v>214</v>
      </c>
      <c r="AO37" s="146" t="s" ph="1">
        <v>215</v>
      </c>
      <c r="AP37" s="146" t="s" ph="1">
        <v>213</v>
      </c>
      <c r="AQ37" s="146" t="s" ph="1">
        <v>214</v>
      </c>
      <c r="AR37" s="146" t="s" ph="1">
        <v>215</v>
      </c>
      <c r="AS37" s="146" t="s" ph="1">
        <v>213</v>
      </c>
      <c r="AT37" s="146" t="s" ph="1">
        <v>214</v>
      </c>
      <c r="AU37" s="146" t="s" ph="1">
        <v>215</v>
      </c>
      <c r="AV37" s="146" t="s" ph="1">
        <v>213</v>
      </c>
      <c r="AW37" s="146" t="s" ph="1">
        <v>214</v>
      </c>
      <c r="AX37" s="146" t="s" ph="1">
        <v>215</v>
      </c>
      <c r="AY37" s="146" t="s" ph="1">
        <v>214</v>
      </c>
      <c r="AZ37" s="146" t="s" ph="1">
        <v>216</v>
      </c>
      <c r="BD37" s="146" t="s" ph="1">
        <v>308</v>
      </c>
      <c r="BE37" s="14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67" priority="96">
      <formula>ABS(D$7-D$10)&gt;=1000</formula>
    </cfRule>
  </conditionalFormatting>
  <conditionalFormatting sqref="E4 E6:E11">
    <cfRule type="expression" dxfId="2266" priority="95">
      <formula>ABS(E$7-E$10)&gt;=1000</formula>
    </cfRule>
  </conditionalFormatting>
  <conditionalFormatting sqref="F4:F11">
    <cfRule type="expression" dxfId="2265" priority="94">
      <formula>ABS(F$7-F$10)&gt;=1000</formula>
    </cfRule>
  </conditionalFormatting>
  <conditionalFormatting sqref="G4:G11">
    <cfRule type="expression" dxfId="2264" priority="93">
      <formula>ABS(G$7-G$10)&gt;=1000</formula>
    </cfRule>
  </conditionalFormatting>
  <conditionalFormatting sqref="H4:H11">
    <cfRule type="expression" dxfId="2263" priority="92">
      <formula>ABS(H$7-H$10)&gt;=1000</formula>
    </cfRule>
  </conditionalFormatting>
  <conditionalFormatting sqref="I4:I11">
    <cfRule type="expression" dxfId="2262" priority="91">
      <formula>ABS(I$7-I$10)&gt;=1000</formula>
    </cfRule>
  </conditionalFormatting>
  <conditionalFormatting sqref="J4:J11">
    <cfRule type="expression" dxfId="2261" priority="90">
      <formula>ABS(J$7-J$10)&gt;=1000</formula>
    </cfRule>
  </conditionalFormatting>
  <conditionalFormatting sqref="K4:K11">
    <cfRule type="expression" dxfId="2260" priority="89">
      <formula>ABS(K$7-K$10)&gt;=1000</formula>
    </cfRule>
  </conditionalFormatting>
  <conditionalFormatting sqref="L4:L11">
    <cfRule type="expression" dxfId="2259" priority="88">
      <formula>ABS(L$7-L$10)&gt;=1000</formula>
    </cfRule>
  </conditionalFormatting>
  <conditionalFormatting sqref="M4 M6:M11">
    <cfRule type="expression" dxfId="2258" priority="87">
      <formula>ABS(M$7-M$10)&gt;=1000</formula>
    </cfRule>
  </conditionalFormatting>
  <conditionalFormatting sqref="N4 N6:N11">
    <cfRule type="expression" dxfId="2257" priority="86">
      <formula>ABS(N$7-N$10)&gt;=1000</formula>
    </cfRule>
  </conditionalFormatting>
  <conditionalFormatting sqref="O4 O6:O11">
    <cfRule type="expression" dxfId="2256" priority="85">
      <formula>ABS(O$7-O$10)&gt;=1000</formula>
    </cfRule>
  </conditionalFormatting>
  <conditionalFormatting sqref="P4 P6:P11">
    <cfRule type="expression" dxfId="2255" priority="84">
      <formula>ABS(P$7-P$10)&gt;=1000</formula>
    </cfRule>
  </conditionalFormatting>
  <conditionalFormatting sqref="Q4:Q11">
    <cfRule type="expression" dxfId="2254" priority="83">
      <formula>ABS(Q$7-Q$10)&gt;=1000</formula>
    </cfRule>
  </conditionalFormatting>
  <conditionalFormatting sqref="R4:R11">
    <cfRule type="expression" dxfId="2253" priority="82">
      <formula>ABS(R$7-R$10)&gt;=1000</formula>
    </cfRule>
  </conditionalFormatting>
  <conditionalFormatting sqref="S4:S11">
    <cfRule type="expression" dxfId="2252" priority="81">
      <formula>ABS(S$7-S$10)&gt;=1000</formula>
    </cfRule>
  </conditionalFormatting>
  <conditionalFormatting sqref="T4:T9 T11">
    <cfRule type="expression" dxfId="2251" priority="80">
      <formula>ABS(T$7-T$10)&gt;=1000</formula>
    </cfRule>
  </conditionalFormatting>
  <conditionalFormatting sqref="U4:U9 U11">
    <cfRule type="expression" dxfId="2250" priority="79">
      <formula>ABS(U$7-U$10)&gt;=1000</formula>
    </cfRule>
  </conditionalFormatting>
  <conditionalFormatting sqref="V4:V9 V11">
    <cfRule type="expression" dxfId="2249" priority="78">
      <formula>ABS(V$7-V$10)&gt;=1000</formula>
    </cfRule>
  </conditionalFormatting>
  <conditionalFormatting sqref="W4:W9 W11">
    <cfRule type="expression" dxfId="2248" priority="77">
      <formula>ABS(W$7-W$10)&gt;=1000</formula>
    </cfRule>
  </conditionalFormatting>
  <conditionalFormatting sqref="X4:X9 X11">
    <cfRule type="expression" dxfId="2247" priority="76">
      <formula>ABS(X$7-X$10)&gt;=1000</formula>
    </cfRule>
  </conditionalFormatting>
  <conditionalFormatting sqref="Y4:Y9 Y11">
    <cfRule type="expression" dxfId="2246" priority="75">
      <formula>ABS(Y$7-Y$10)&gt;=1000</formula>
    </cfRule>
  </conditionalFormatting>
  <conditionalFormatting sqref="Z4:Z11">
    <cfRule type="expression" dxfId="2245" priority="74">
      <formula>ABS(Z$7-Z$10)&gt;=1000</formula>
    </cfRule>
  </conditionalFormatting>
  <conditionalFormatting sqref="AA4:AA11">
    <cfRule type="expression" dxfId="2244" priority="73">
      <formula>ABS(AA$7-AA$10)&gt;=1000</formula>
    </cfRule>
  </conditionalFormatting>
  <conditionalFormatting sqref="AB4:AB11">
    <cfRule type="expression" dxfId="2243" priority="72">
      <formula>ABS(AB$7-AB$10)&gt;=1000</formula>
    </cfRule>
  </conditionalFormatting>
  <conditionalFormatting sqref="AC4 AC6:AC11">
    <cfRule type="expression" dxfId="2242" priority="71">
      <formula>ABS(AC$7-AC$10)&gt;=1000</formula>
    </cfRule>
  </conditionalFormatting>
  <conditionalFormatting sqref="AD4:AD11">
    <cfRule type="expression" dxfId="2241" priority="70">
      <formula>ABS(AD$7-AD$10)&gt;=1000</formula>
    </cfRule>
  </conditionalFormatting>
  <conditionalFormatting sqref="AE4:AE11">
    <cfRule type="expression" dxfId="2240" priority="69">
      <formula>ABS(AE$7-AE$10)&gt;=1000</formula>
    </cfRule>
  </conditionalFormatting>
  <conditionalFormatting sqref="D13:D20">
    <cfRule type="expression" dxfId="2239" priority="68">
      <formula>ABS(D$16-D$19)&gt;=1000</formula>
    </cfRule>
  </conditionalFormatting>
  <conditionalFormatting sqref="E13:E20">
    <cfRule type="expression" dxfId="2238" priority="67">
      <formula>ABS(E$16-E$19)&gt;=1000</formula>
    </cfRule>
  </conditionalFormatting>
  <conditionalFormatting sqref="F13 F15:F20">
    <cfRule type="expression" dxfId="2237" priority="66">
      <formula>ABS(F$16-F$19)&gt;=1000</formula>
    </cfRule>
  </conditionalFormatting>
  <conditionalFormatting sqref="G13:G20">
    <cfRule type="expression" dxfId="2236" priority="65">
      <formula>ABS(G$16-G$19)&gt;=1000</formula>
    </cfRule>
  </conditionalFormatting>
  <conditionalFormatting sqref="H13:H20">
    <cfRule type="expression" dxfId="2235" priority="64">
      <formula>ABS(H$16-H$19)&gt;=1000</formula>
    </cfRule>
  </conditionalFormatting>
  <conditionalFormatting sqref="I13:I20">
    <cfRule type="expression" dxfId="2234" priority="63">
      <formula>ABS(I$16-I$19)&gt;=1000</formula>
    </cfRule>
  </conditionalFormatting>
  <conditionalFormatting sqref="J13:J20">
    <cfRule type="expression" dxfId="2233" priority="62">
      <formula>ABS(J$16-J$19)&gt;=1000</formula>
    </cfRule>
  </conditionalFormatting>
  <conditionalFormatting sqref="L13:L20">
    <cfRule type="expression" dxfId="2232" priority="61">
      <formula>ABS(L$16-L$19)&gt;=1000</formula>
    </cfRule>
  </conditionalFormatting>
  <conditionalFormatting sqref="M13 M15 M17:M18 M20">
    <cfRule type="expression" dxfId="2231" priority="60">
      <formula>ABS(M$16-M$19)&gt;=1000</formula>
    </cfRule>
  </conditionalFormatting>
  <conditionalFormatting sqref="N13:N20">
    <cfRule type="expression" dxfId="2230" priority="59">
      <formula>ABS(N$16-N$19)&gt;=1000</formula>
    </cfRule>
  </conditionalFormatting>
  <conditionalFormatting sqref="O13:O20">
    <cfRule type="expression" dxfId="2229" priority="58">
      <formula>ABS(O$16-O$19)&gt;=1000</formula>
    </cfRule>
  </conditionalFormatting>
  <conditionalFormatting sqref="P13:P20">
    <cfRule type="expression" dxfId="2228" priority="57">
      <formula>ABS(P$16-P$19)&gt;=1000</formula>
    </cfRule>
  </conditionalFormatting>
  <conditionalFormatting sqref="Q13 Q15:Q20">
    <cfRule type="expression" dxfId="2227" priority="56">
      <formula>ABS(Q$16-Q$19)&gt;=1000</formula>
    </cfRule>
  </conditionalFormatting>
  <conditionalFormatting sqref="R13:R20">
    <cfRule type="expression" dxfId="2226" priority="55">
      <formula>ABS(R$16-R$19)&gt;=1000</formula>
    </cfRule>
  </conditionalFormatting>
  <conditionalFormatting sqref="S13:S20">
    <cfRule type="expression" dxfId="2225" priority="54">
      <formula>ABS(S$16-S$19)&gt;=1000</formula>
    </cfRule>
  </conditionalFormatting>
  <conditionalFormatting sqref="T13:T20">
    <cfRule type="expression" dxfId="2224" priority="53">
      <formula>ABS(T$16-T$19)&gt;=1000</formula>
    </cfRule>
  </conditionalFormatting>
  <conditionalFormatting sqref="U13:U20">
    <cfRule type="expression" dxfId="2223" priority="52">
      <formula>ABS(U$16-U$19)&gt;=1000</formula>
    </cfRule>
  </conditionalFormatting>
  <conditionalFormatting sqref="V13:V20">
    <cfRule type="expression" dxfId="2222" priority="51">
      <formula>ABS(V$16-V$19)&gt;=1000</formula>
    </cfRule>
  </conditionalFormatting>
  <conditionalFormatting sqref="W13 W20 W15:W18">
    <cfRule type="expression" dxfId="2221" priority="50">
      <formula>ABS(W$16-W$19)&gt;=1000</formula>
    </cfRule>
  </conditionalFormatting>
  <conditionalFormatting sqref="X13 X15:X20 Y19">
    <cfRule type="expression" dxfId="2220" priority="49">
      <formula>ABS(X$16-X$19)&gt;=1000</formula>
    </cfRule>
  </conditionalFormatting>
  <conditionalFormatting sqref="Y13 Y15:Y18 Y20">
    <cfRule type="expression" dxfId="2219" priority="48">
      <formula>ABS(Y$16-Y$19)&gt;=1000</formula>
    </cfRule>
  </conditionalFormatting>
  <conditionalFormatting sqref="Z13:Z20">
    <cfRule type="expression" dxfId="2218" priority="47">
      <formula>ABS(Z$16-Z$19)&gt;=1000</formula>
    </cfRule>
  </conditionalFormatting>
  <conditionalFormatting sqref="AA13:AA20">
    <cfRule type="expression" dxfId="2217" priority="46">
      <formula>ABS(AA$16-AA$19)&gt;=1000</formula>
    </cfRule>
  </conditionalFormatting>
  <conditionalFormatting sqref="AB13 AB15:AB20">
    <cfRule type="expression" dxfId="2216" priority="45">
      <formula>ABS(AB$16-AB$19)&gt;=1000</formula>
    </cfRule>
  </conditionalFormatting>
  <conditionalFormatting sqref="AC13 AC15:AC20">
    <cfRule type="expression" dxfId="2215" priority="44">
      <formula>ABS(AC$16-AC$19)&gt;=1000</formula>
    </cfRule>
  </conditionalFormatting>
  <conditionalFormatting sqref="AD13:AD20">
    <cfRule type="expression" dxfId="2214" priority="43">
      <formula>ABS(AD$16-AD$19)&gt;=1000</formula>
    </cfRule>
  </conditionalFormatting>
  <conditionalFormatting sqref="AE13:AE20">
    <cfRule type="expression" dxfId="2213" priority="42">
      <formula>ABS(AE$16-AE$19)&gt;=1000</formula>
    </cfRule>
  </conditionalFormatting>
  <conditionalFormatting sqref="D22:D29">
    <cfRule type="expression" dxfId="2212" priority="41">
      <formula>ABS(D$25-D$28)&gt;=1000</formula>
    </cfRule>
  </conditionalFormatting>
  <conditionalFormatting sqref="E22:E29">
    <cfRule type="expression" dxfId="2211" priority="40">
      <formula>ABS(E$25-E$28)&gt;=1000</formula>
    </cfRule>
  </conditionalFormatting>
  <conditionalFormatting sqref="F22:F29">
    <cfRule type="expression" dxfId="2210" priority="39">
      <formula>ABS(F$25-F$28)&gt;=1000</formula>
    </cfRule>
  </conditionalFormatting>
  <conditionalFormatting sqref="G22:G29">
    <cfRule type="expression" dxfId="2209" priority="38">
      <formula>ABS(G$25-G$28)&gt;=1000</formula>
    </cfRule>
  </conditionalFormatting>
  <conditionalFormatting sqref="H22:H29">
    <cfRule type="expression" dxfId="2208" priority="37">
      <formula>ABS(H$25-H$28)&gt;=1000</formula>
    </cfRule>
  </conditionalFormatting>
  <conditionalFormatting sqref="I22 I24:I29">
    <cfRule type="expression" dxfId="2207" priority="36">
      <formula>ABS(I$25-I$28)&gt;=1000</formula>
    </cfRule>
  </conditionalFormatting>
  <conditionalFormatting sqref="J22:J29 K22">
    <cfRule type="expression" dxfId="2206" priority="35">
      <formula>ABS(J$25-J$28)&gt;=1000</formula>
    </cfRule>
  </conditionalFormatting>
  <conditionalFormatting sqref="K23:K29 L25 L28">
    <cfRule type="expression" dxfId="2205" priority="34">
      <formula>ABS(K$25-K$28)&gt;=1000</formula>
    </cfRule>
  </conditionalFormatting>
  <conditionalFormatting sqref="L22:L24 L26:L27 L29">
    <cfRule type="expression" dxfId="2204" priority="33">
      <formula>ABS(L$25-L$28)&gt;=1000</formula>
    </cfRule>
  </conditionalFormatting>
  <conditionalFormatting sqref="M22:M29">
    <cfRule type="expression" dxfId="2203" priority="32">
      <formula>ABS(M$25-M$28)&gt;=1000</formula>
    </cfRule>
  </conditionalFormatting>
  <conditionalFormatting sqref="N22:N29">
    <cfRule type="expression" dxfId="2202" priority="31">
      <formula>ABS(N$25-N$28)&gt;=1000</formula>
    </cfRule>
  </conditionalFormatting>
  <conditionalFormatting sqref="O22:O29">
    <cfRule type="expression" dxfId="2201" priority="30">
      <formula>ABS(O$25-O$28)&gt;=1000</formula>
    </cfRule>
  </conditionalFormatting>
  <conditionalFormatting sqref="P22:P29">
    <cfRule type="expression" dxfId="2200" priority="29">
      <formula>ABS(P$25-P$28)&gt;=1000</formula>
    </cfRule>
  </conditionalFormatting>
  <conditionalFormatting sqref="Q22:Q29">
    <cfRule type="expression" dxfId="2199" priority="28">
      <formula>ABS(Q$25-Q$28)&gt;=1000</formula>
    </cfRule>
  </conditionalFormatting>
  <conditionalFormatting sqref="R22:R29">
    <cfRule type="expression" dxfId="2198" priority="27">
      <formula>ABS(R$25-R$28)&gt;=1000</formula>
    </cfRule>
  </conditionalFormatting>
  <conditionalFormatting sqref="S22:S29">
    <cfRule type="expression" dxfId="2197" priority="26">
      <formula>ABS(S$25-S$28)&gt;=1000</formula>
    </cfRule>
  </conditionalFormatting>
  <conditionalFormatting sqref="T22:T29">
    <cfRule type="expression" dxfId="2196" priority="25">
      <formula>ABS(T$25-T$28)&gt;=1000</formula>
    </cfRule>
  </conditionalFormatting>
  <conditionalFormatting sqref="U22:U29">
    <cfRule type="expression" dxfId="2195" priority="24">
      <formula>ABS(U$25-U$28)&gt;=1000</formula>
    </cfRule>
  </conditionalFormatting>
  <conditionalFormatting sqref="V22:V29">
    <cfRule type="expression" dxfId="2194" priority="23">
      <formula>ABS(V$25-V$28)&gt;=1000</formula>
    </cfRule>
  </conditionalFormatting>
  <conditionalFormatting sqref="W22:W29">
    <cfRule type="expression" dxfId="2193" priority="22">
      <formula>ABS(W$25-W$28)&gt;=1000</formula>
    </cfRule>
  </conditionalFormatting>
  <conditionalFormatting sqref="X22:X29">
    <cfRule type="expression" dxfId="2192" priority="21">
      <formula>ABS(X$25-X$28)&gt;=1000</formula>
    </cfRule>
  </conditionalFormatting>
  <conditionalFormatting sqref="Y22:Y29">
    <cfRule type="expression" dxfId="2191" priority="20">
      <formula>ABS(Y$25-Y$28)&gt;=1000</formula>
    </cfRule>
  </conditionalFormatting>
  <conditionalFormatting sqref="I23">
    <cfRule type="expression" dxfId="2190" priority="19">
      <formula>ABS(I$25-I$28)&gt;=1000</formula>
    </cfRule>
  </conditionalFormatting>
  <conditionalFormatting sqref="F14">
    <cfRule type="expression" dxfId="2189" priority="18">
      <formula>ABS(F$16-F$19)&gt;=1000</formula>
    </cfRule>
  </conditionalFormatting>
  <conditionalFormatting sqref="Q14">
    <cfRule type="expression" dxfId="2188" priority="17">
      <formula>ABS(Q$16-Q$19)&gt;=1000</formula>
    </cfRule>
  </conditionalFormatting>
  <conditionalFormatting sqref="W14">
    <cfRule type="expression" dxfId="2187" priority="16">
      <formula>ABS(W$16-W$19)&gt;=1000</formula>
    </cfRule>
  </conditionalFormatting>
  <conditionalFormatting sqref="Y14">
    <cfRule type="expression" dxfId="2186" priority="15">
      <formula>ABS(Y$16-Y$19)&gt;=1000</formula>
    </cfRule>
  </conditionalFormatting>
  <conditionalFormatting sqref="X14">
    <cfRule type="expression" dxfId="2185" priority="14">
      <formula>ABS(X$16-X$19)&gt;=1000</formula>
    </cfRule>
  </conditionalFormatting>
  <conditionalFormatting sqref="T10:Y10">
    <cfRule type="expression" dxfId="2184" priority="13">
      <formula>ABS(T$7-T$10)&gt;=1000</formula>
    </cfRule>
  </conditionalFormatting>
  <conditionalFormatting sqref="W19">
    <cfRule type="expression" dxfId="2183" priority="12">
      <formula>ABS(W$16-W$19)&gt;=1000</formula>
    </cfRule>
  </conditionalFormatting>
  <conditionalFormatting sqref="AC5">
    <cfRule type="expression" dxfId="2182" priority="11">
      <formula>ABS(AC$7-AC$10)&gt;=1000</formula>
    </cfRule>
  </conditionalFormatting>
  <conditionalFormatting sqref="M14">
    <cfRule type="expression" dxfId="2181" priority="10">
      <formula>ABS(M$16-M$19)&gt;=1000</formula>
    </cfRule>
  </conditionalFormatting>
  <conditionalFormatting sqref="M16">
    <cfRule type="expression" dxfId="2180" priority="9">
      <formula>ABS(M$16-M$19)&gt;=1000</formula>
    </cfRule>
  </conditionalFormatting>
  <conditionalFormatting sqref="M19">
    <cfRule type="expression" dxfId="2179" priority="8">
      <formula>ABS(M$16-M$19)&gt;=1000</formula>
    </cfRule>
  </conditionalFormatting>
  <conditionalFormatting sqref="K13:K20">
    <cfRule type="expression" dxfId="2178" priority="7">
      <formula>ABS(K$16-K$19)&gt;=1000</formula>
    </cfRule>
  </conditionalFormatting>
  <conditionalFormatting sqref="E5">
    <cfRule type="expression" dxfId="2177" priority="6">
      <formula>ABS(E$7-E$10)&gt;=1000</formula>
    </cfRule>
  </conditionalFormatting>
  <conditionalFormatting sqref="AB14:AC14">
    <cfRule type="expression" dxfId="2176" priority="5">
      <formula>ABS(AB$16-AB$19)&gt;=1000</formula>
    </cfRule>
  </conditionalFormatting>
  <conditionalFormatting sqref="M5">
    <cfRule type="expression" dxfId="2175" priority="4">
      <formula>ABS(M$7-M$10)&gt;=1000</formula>
    </cfRule>
  </conditionalFormatting>
  <conditionalFormatting sqref="N5">
    <cfRule type="expression" dxfId="2174" priority="3">
      <formula>ABS(N$7-N$10)&gt;=1000</formula>
    </cfRule>
  </conditionalFormatting>
  <conditionalFormatting sqref="O5">
    <cfRule type="expression" dxfId="2173" priority="2">
      <formula>ABS(O$7-O$10)&gt;=1000</formula>
    </cfRule>
  </conditionalFormatting>
  <conditionalFormatting sqref="P5">
    <cfRule type="expression" dxfId="217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14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274320</xdr:rowOff>
                  </from>
                  <to>
                    <xdr:col>32</xdr:col>
                    <xdr:colOff>327660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09">
    <pageSetUpPr fitToPage="1"/>
  </sheetPr>
  <dimension ref="A1:CU223"/>
  <sheetViews>
    <sheetView view="pageBreakPreview" topLeftCell="A13" zoomScale="85" zoomScaleNormal="100" zoomScaleSheetLayoutView="85" workbookViewId="0">
      <selection activeCell="U27" sqref="U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45755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4" t="s" ph="1">
        <v>178</v>
      </c>
      <c r="D6" s="71">
        <v>4181</v>
      </c>
      <c r="E6" s="71">
        <v>4246</v>
      </c>
      <c r="F6" s="71">
        <v>3215</v>
      </c>
      <c r="G6" s="71">
        <v>1832</v>
      </c>
      <c r="H6" s="71">
        <v>5334</v>
      </c>
      <c r="I6" s="71">
        <v>16.11</v>
      </c>
      <c r="J6" s="71">
        <v>7.72</v>
      </c>
      <c r="K6" s="71">
        <v>7.21</v>
      </c>
      <c r="L6" s="71">
        <v>43.2</v>
      </c>
      <c r="M6" s="71">
        <v>2729</v>
      </c>
      <c r="N6" s="71">
        <v>2569</v>
      </c>
      <c r="O6" s="71">
        <v>73</v>
      </c>
      <c r="P6" s="71">
        <v>6893</v>
      </c>
      <c r="Q6" s="71">
        <v>7011</v>
      </c>
      <c r="R6" s="71">
        <v>7129</v>
      </c>
      <c r="S6" s="71">
        <v>371</v>
      </c>
      <c r="T6" s="71">
        <v>7146</v>
      </c>
      <c r="U6" s="71">
        <v>2337</v>
      </c>
      <c r="V6" s="71">
        <v>0</v>
      </c>
      <c r="W6" s="71">
        <v>0</v>
      </c>
      <c r="X6" s="71">
        <v>1485</v>
      </c>
      <c r="Y6" s="71">
        <v>7239</v>
      </c>
      <c r="Z6" s="71">
        <v>4347</v>
      </c>
      <c r="AA6" s="71">
        <v>1571</v>
      </c>
      <c r="AB6" s="71">
        <v>2425</v>
      </c>
      <c r="AC6" s="71">
        <v>4643</v>
      </c>
      <c r="AD6" s="71">
        <v>1337</v>
      </c>
      <c r="AE6" s="71">
        <v>1517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131348.93056901998</v>
      </c>
      <c r="E7" s="73" ph="1">
        <f>E6*51.53*LOOKUP(E8,密度!$A$2:$A$50,密度!$B$2:$B$50)</f>
        <v>171558.24155800001</v>
      </c>
      <c r="F7" s="73" ph="1">
        <f>F6*33.183*LOOKUP(F8,密度!$A$2:$A$50,密度!$C$2:$C$50)</f>
        <v>118695.889647</v>
      </c>
      <c r="G7" s="73" ph="1">
        <f xml:space="preserve"> (G6+2)*51.53*LOOKUP(G8,密度!$A$2:$A$50,密度!$B$2:$B$50)</f>
        <v>74102.170282000006</v>
      </c>
      <c r="H7" s="73" ph="1">
        <f>(H6)*51.53*LOOKUP(H8,密度!$A$2:$A$50,密度!$B$2:$B$50)</f>
        <v>216370.59494400001</v>
      </c>
      <c r="I7" s="73" ph="1">
        <f>I6*290.8*1.0267</f>
        <v>4809.8718396000004</v>
      </c>
      <c r="J7" s="73" ph="1">
        <f>J6*290.8*0.7892</f>
        <v>1771.7350592</v>
      </c>
      <c r="K7" s="73" ph="1">
        <f>K6*290.8*1.1126</f>
        <v>2332.7528168000003</v>
      </c>
      <c r="L7" s="73" ph="1">
        <f>L6*290.8*0.777</f>
        <v>9761.109120000001</v>
      </c>
      <c r="M7" s="73" ph="1">
        <f>M6*33.183*LOOKUP(M8,密度!$A$2:$A$50,密度!$D$2:$D$50)</f>
        <v>93227.821006500017</v>
      </c>
      <c r="N7" s="73" ph="1">
        <f>N6*33.183*LOOKUP(N8,密度!$A$2:$A$50,密度!$E$2:$E$50)</f>
        <v>66970.142971199995</v>
      </c>
      <c r="O7" s="73" ph="1">
        <f>O6*20.428*LOOKUP(O8,密度!$A$2:$A$50,密度!$C$2:$C$50)</f>
        <v>1653.6404716000002</v>
      </c>
      <c r="P7" s="73" ph="1">
        <f>P6*51.53*LOOKUP(P8,密度!$A$2:$A$50,密度!$B$2:$B$50)</f>
        <v>277870.05766699999</v>
      </c>
      <c r="Q7" s="73" ph="1">
        <f>Q6*1.5*1.5*3.1416*LOOKUP(W8,密度!$A$2:$A$50,密度!$L$2:$L$50)</f>
        <v>46584.477323999992</v>
      </c>
      <c r="R7" s="73" ph="1">
        <f>R6*1.5*1.5*3.1416*LOOKUP(R8,密度!$A$2:$A$50,密度!$L$2:$L$50)</f>
        <v>47066.1741396</v>
      </c>
      <c r="S7" s="73" ph="1">
        <f>S6*1.5*1.5*3.1416*LOOKUP(S8,密度!$A$2:$A$50,密度!$L$2:$L$50)</f>
        <v>2483.4607182</v>
      </c>
      <c r="T7" s="73" ph="1">
        <f>T6*1.5*1.5*3.1416*LOOKUP(T8,密度!$A$2:$A$50,密度!$L$2:$L$50)</f>
        <v>47734.043741999994</v>
      </c>
      <c r="U7" s="73" ph="1">
        <f>U6*1.5*1.5*3.1416*LOOKUP(U8,密度!$A$2:$A$50,密度!$L$2:$L$50)</f>
        <v>15528.159108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9940.5368369999978</v>
      </c>
      <c r="Y7" s="73" ph="1">
        <f>Y6*1.5*1.5*3.1416*LOOKUP(Y8,密度!$A$2:$A$50,密度!$L$2:$L$50)</f>
        <v>48201.758866799995</v>
      </c>
      <c r="Z7" s="73" ph="1">
        <f>Z6*33.183*LOOKUP(Z8,密度!$A$2:$A$50,密度!$L$2:$L$50)</f>
        <v>135880.20394199999</v>
      </c>
      <c r="AA7" s="73" ph="1">
        <f>AA6*33.183*LOOKUP(AA8,密度!$A$2:$A$50,密度!$D$2:$D$50)</f>
        <v>53668.34254350001</v>
      </c>
      <c r="AB7" s="73" ph="1">
        <f>AB6*20.428*LOOKUP(AB8,密度!$A$2:$A$50,密度!$D$2:$D$50)</f>
        <v>51435.201570000005</v>
      </c>
      <c r="AC7" s="73" ph="1">
        <f>AC6*51.53*LOOKUP(AC8,密度!$A$2:$A$50,密度!$Q$2:$Q$50)</f>
        <v>227382.0169402</v>
      </c>
      <c r="AD7" s="73" ph="1">
        <f>AD6*20.428*LOOKUP(AD8,密度!$A$2:$A$50,密度!$V$2:$V$50)</f>
        <v>26328.995503999999</v>
      </c>
      <c r="AE7" s="73" ph="1">
        <f>AE6*20.428</f>
        <v>30989.276000000002</v>
      </c>
    </row>
    <row r="8" spans="1:99" ph="1">
      <c r="B8" s="195" ph="1"/>
      <c r="C8" s="68" t="s" ph="1">
        <v>180</v>
      </c>
      <c r="D8" s="74">
        <v>25</v>
      </c>
      <c r="E8" s="74">
        <v>20</v>
      </c>
      <c r="F8" s="74">
        <v>20</v>
      </c>
      <c r="G8" s="74">
        <v>20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25</v>
      </c>
      <c r="P8" s="74">
        <v>22</v>
      </c>
      <c r="Q8" s="74">
        <v>20</v>
      </c>
      <c r="R8" s="74">
        <v>28</v>
      </c>
      <c r="S8" s="74">
        <v>15</v>
      </c>
      <c r="T8" s="74">
        <v>17</v>
      </c>
      <c r="U8" s="74">
        <v>22</v>
      </c>
      <c r="V8" s="74">
        <v>28</v>
      </c>
      <c r="W8" s="74">
        <v>22</v>
      </c>
      <c r="X8" s="74">
        <v>15</v>
      </c>
      <c r="Y8" s="74">
        <v>20</v>
      </c>
      <c r="Z8" s="74">
        <v>20</v>
      </c>
      <c r="AA8" s="74">
        <v>22</v>
      </c>
      <c r="AB8" s="74">
        <v>12</v>
      </c>
      <c r="AC8" s="74">
        <v>20</v>
      </c>
      <c r="AD8" s="74">
        <v>20</v>
      </c>
      <c r="AE8" s="74">
        <v>24</v>
      </c>
    </row>
    <row r="9" spans="1:99" ht="26.4" ph="1">
      <c r="B9" s="195" ph="1">
        <v>0.66666666666666663</v>
      </c>
      <c r="C9" s="144" t="s" ph="1">
        <v>181</v>
      </c>
      <c r="D9" s="71">
        <v>4180</v>
      </c>
      <c r="E9" s="71">
        <v>4246</v>
      </c>
      <c r="F9" s="71">
        <v>3217</v>
      </c>
      <c r="G9" s="71">
        <v>1904</v>
      </c>
      <c r="H9" s="71">
        <v>5046</v>
      </c>
      <c r="I9" s="71">
        <v>16.010000000000002</v>
      </c>
      <c r="J9" s="71">
        <v>7.72</v>
      </c>
      <c r="K9" s="71">
        <v>7.21</v>
      </c>
      <c r="L9" s="71">
        <v>37.5</v>
      </c>
      <c r="M9" s="71">
        <v>2729</v>
      </c>
      <c r="N9" s="71">
        <v>2572</v>
      </c>
      <c r="O9" s="71">
        <v>73</v>
      </c>
      <c r="P9" s="71">
        <v>6866</v>
      </c>
      <c r="Q9" s="71">
        <v>7019</v>
      </c>
      <c r="R9" s="71">
        <v>7136</v>
      </c>
      <c r="S9" s="71">
        <v>5053</v>
      </c>
      <c r="T9" s="71">
        <v>7152</v>
      </c>
      <c r="U9" s="71">
        <v>7017</v>
      </c>
      <c r="V9" s="71">
        <v>842</v>
      </c>
      <c r="W9" s="71">
        <v>0</v>
      </c>
      <c r="X9" s="71">
        <v>0</v>
      </c>
      <c r="Y9" s="71">
        <v>4993</v>
      </c>
      <c r="Z9" s="71">
        <v>5124</v>
      </c>
      <c r="AA9" s="71">
        <v>1571</v>
      </c>
      <c r="AB9" s="71">
        <v>2425</v>
      </c>
      <c r="AC9" s="71">
        <v>4675</v>
      </c>
      <c r="AD9" s="71">
        <v>1335</v>
      </c>
      <c r="AE9" s="71">
        <v>1349</v>
      </c>
    </row>
    <row r="10" spans="1:99" s="72" customFormat="1" ht="22.2" ph="1">
      <c r="B10" s="195" ph="1"/>
      <c r="C10" s="144" t="s" ph="1">
        <v>179</v>
      </c>
      <c r="D10" s="73" ph="1">
        <f>D9*33.183*LOOKUP(D11,密度!$A$2:$A$50,密度!$Q$2:$Q$50)</f>
        <v>131317.5148956</v>
      </c>
      <c r="E10" s="73" ph="1">
        <f>E9*51.53*LOOKUP(E11,密度!$A$2:$A$50,密度!$B$2:$B$50)</f>
        <v>170573.657848</v>
      </c>
      <c r="F10" s="73" ph="1">
        <f>F9*33.183*LOOKUP(F11,密度!$A$2:$A$50,密度!$C$2:$C$50)</f>
        <v>118609.6038921</v>
      </c>
      <c r="G10" s="73" ph="1">
        <f xml:space="preserve"> (G9+2)*51.53*LOOKUP(G11,密度!$A$2:$A$50,密度!$B$2:$B$50)</f>
        <v>76480.939366000006</v>
      </c>
      <c r="H10" s="73" ph="1">
        <f>(H9)*51.53*LOOKUP(H11,密度!$A$2:$A$50,密度!$B$2:$B$50)</f>
        <v>202477.86990599998</v>
      </c>
      <c r="I10" s="73" ph="1">
        <f>I9*290.8*1.0267</f>
        <v>4780.0154036000004</v>
      </c>
      <c r="J10" s="73" ph="1">
        <f>J9*290.8*0.7892</f>
        <v>1771.7350592</v>
      </c>
      <c r="K10" s="73" ph="1">
        <f>K9*290.8*1.1126</f>
        <v>2332.7528168000003</v>
      </c>
      <c r="L10" s="73" ph="1">
        <f>L9*290.8*0.777</f>
        <v>8473.1849999999995</v>
      </c>
      <c r="M10" s="73" ph="1">
        <f>M9*33.183*LOOKUP(M11,密度!$A$2:$A$50,密度!$D$2:$D$50)</f>
        <v>92974.263066900006</v>
      </c>
      <c r="N10" s="73" ph="1">
        <f>N9*33.183*LOOKUP(N11,密度!$A$2:$A$50,密度!$E$2:$E$50)</f>
        <v>67150.764676800012</v>
      </c>
      <c r="O10" s="73" ph="1">
        <f>O9*20.428*LOOKUP(O11,密度!$A$2:$A$50,密度!$C$2:$C$50)</f>
        <v>1635.4472948000002</v>
      </c>
      <c r="P10" s="73" ph="1">
        <f>P9*51.53*LOOKUP(P11,密度!$A$2:$A$50,密度!$B$2:$B$50)</f>
        <v>275826.36240799999</v>
      </c>
      <c r="Q10" s="73" ph="1">
        <f>Q9*1.5*1.5*3.1416*LOOKUP(W11,密度!$A$2:$A$50,密度!$L$2:$L$50)</f>
        <v>45943.030148400001</v>
      </c>
      <c r="R10" s="73" ph="1">
        <f>R9*1.5*1.5*3.1416*LOOKUP(R11,密度!$A$2:$A$50,密度!$L$2:$L$50)</f>
        <v>47011.505587200001</v>
      </c>
      <c r="S10" s="73" ph="1">
        <f>S9*1.5*1.5*3.1416*LOOKUP(S11,密度!$A$2:$A$50,密度!$L$2:$L$50)</f>
        <v>33753.165830999998</v>
      </c>
      <c r="T10" s="73" ph="1">
        <f>T9*1.5*1.5*3.1416*LOOKUP(T11,密度!$A$2:$A$50,密度!$L$2:$L$50)</f>
        <v>47622.458822399996</v>
      </c>
      <c r="U10" s="73" ph="1">
        <f>U9*1.5*1.5*3.1416*LOOKUP(U11,密度!$A$2:$A$50,密度!$L$2:$L$50)</f>
        <v>46574.743861799994</v>
      </c>
      <c r="V10" s="73" ph="1">
        <f>V9*1.5*1.5*3.1416*LOOKUP(V11,密度!$A$2:$A$50,密度!$L$2:$L$50)</f>
        <v>5558.9449608000004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33175.908611999999</v>
      </c>
      <c r="Z10" s="73" ph="1">
        <f>Z9*33.183*LOOKUP(Z11,密度!$A$2:$A$50,密度!$L$2:$L$50)</f>
        <v>159827.91047999999</v>
      </c>
      <c r="AA10" s="73" ph="1">
        <f>AA9*33.183*LOOKUP(AA11,密度!$A$2:$A$50,密度!$D$2:$D$50)</f>
        <v>53569.294606800009</v>
      </c>
      <c r="AB10" s="73" ph="1">
        <f>AB9*20.428*LOOKUP(AB11,密度!$A$2:$A$50,密度!$D$2:$D$50)</f>
        <v>51093.390060000005</v>
      </c>
      <c r="AC10" s="73" ph="1">
        <f>AC9*51.53*LOOKUP(AC11,密度!$A$2:$A$50,密度!$Q$2:$Q$50)</f>
        <v>228638.39099749998</v>
      </c>
      <c r="AD10" s="73" ph="1">
        <f>AD9*20.428*LOOKUP(AD11,密度!$A$2:$A$50,密度!$V$2:$V$50)</f>
        <v>26115.073488000002</v>
      </c>
      <c r="AE10" s="73" ph="1">
        <f>AE9*20.428</f>
        <v>27557.371999999999</v>
      </c>
    </row>
    <row r="11" spans="1:99" ph="1">
      <c r="A11" s="64" t="s" ph="1">
        <v>163</v>
      </c>
      <c r="B11" s="195" ph="1"/>
      <c r="C11" s="144" t="s" ph="1">
        <v>180</v>
      </c>
      <c r="D11" s="74">
        <v>25</v>
      </c>
      <c r="E11" s="74">
        <v>25</v>
      </c>
      <c r="F11" s="74">
        <v>22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22</v>
      </c>
      <c r="O11" s="74">
        <v>38</v>
      </c>
      <c r="P11" s="74">
        <v>25</v>
      </c>
      <c r="Q11" s="74">
        <v>22</v>
      </c>
      <c r="R11" s="74">
        <v>30</v>
      </c>
      <c r="S11" s="74">
        <v>17</v>
      </c>
      <c r="T11" s="74">
        <v>20</v>
      </c>
      <c r="U11" s="74">
        <v>23</v>
      </c>
      <c r="V11" s="74">
        <v>28</v>
      </c>
      <c r="W11" s="74">
        <v>36</v>
      </c>
      <c r="X11" s="74">
        <v>22</v>
      </c>
      <c r="Y11" s="74">
        <v>22</v>
      </c>
      <c r="Z11" s="74">
        <v>22</v>
      </c>
      <c r="AA11" s="74">
        <v>24</v>
      </c>
      <c r="AB11" s="74">
        <v>20</v>
      </c>
      <c r="AC11" s="74">
        <v>22</v>
      </c>
      <c r="AD11" s="74">
        <v>26</v>
      </c>
      <c r="AE11" s="74">
        <v>25</v>
      </c>
    </row>
    <row r="12" spans="1:99" ht="9.9" customHeight="1" ph="1"/>
    <row r="13" spans="1:99" s="72" customFormat="1" ht="29.25" customHeight="1" ph="1">
      <c r="B13" s="203" t="s" ph="1">
        <v>37</v>
      </c>
      <c r="C13" s="144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4" t="s" ph="1">
        <v>178</v>
      </c>
      <c r="D15" s="78">
        <v>5197</v>
      </c>
      <c r="E15" s="78">
        <v>63</v>
      </c>
      <c r="F15" s="78">
        <v>3962</v>
      </c>
      <c r="G15" s="78">
        <v>1285</v>
      </c>
      <c r="H15" s="78">
        <v>4507</v>
      </c>
      <c r="I15" s="78">
        <v>4</v>
      </c>
      <c r="J15" s="78">
        <v>2280</v>
      </c>
      <c r="K15" s="78">
        <v>1898</v>
      </c>
      <c r="L15" s="78">
        <v>3668</v>
      </c>
      <c r="M15" s="78">
        <v>1281</v>
      </c>
      <c r="N15" s="78">
        <v>2446</v>
      </c>
      <c r="O15" s="78">
        <v>7111</v>
      </c>
      <c r="P15" s="78">
        <v>6921</v>
      </c>
      <c r="Q15" s="78">
        <v>3519</v>
      </c>
      <c r="R15" s="78">
        <v>3502</v>
      </c>
      <c r="S15" s="78">
        <v>6843</v>
      </c>
      <c r="T15" s="78">
        <v>2665</v>
      </c>
      <c r="U15" s="78">
        <v>5968</v>
      </c>
      <c r="V15" s="78">
        <v>1104</v>
      </c>
      <c r="W15" s="71">
        <v>3788</v>
      </c>
      <c r="X15" s="78">
        <v>155</v>
      </c>
      <c r="Y15" s="106">
        <v>-9905</v>
      </c>
      <c r="Z15" s="78">
        <v>0</v>
      </c>
      <c r="AA15" s="78">
        <v>4231</v>
      </c>
      <c r="AB15" s="78" ph="1">
        <v>6893</v>
      </c>
      <c r="AC15" s="78" ph="1">
        <v>6540</v>
      </c>
      <c r="AD15" s="78">
        <v>43.74</v>
      </c>
      <c r="AE15" s="78">
        <v>5.52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4" t="s" ph="1">
        <v>179</v>
      </c>
      <c r="D16" s="73" ph="1">
        <f>D15*7.0686*LOOKUP(D17,密度!$A$2:$A$50,密度!$L$2:$L$50)</f>
        <v>34531.383347999996</v>
      </c>
      <c r="E16" s="73" ph="1">
        <f>E15*7.0686*LOOKUP(E17,密度!$A$2:$A$50,密度!$L$2:$L$50)</f>
        <v>418.60249199999998</v>
      </c>
      <c r="F16" s="73" ph="1">
        <f>F15*9.0746*LOOKUP(F17,密度!$A$2:$A$50,密度!$L$2:$L$50)</f>
        <v>33724.444157599995</v>
      </c>
      <c r="G16" s="73" ph="1">
        <f>G15*9.0746*LOOKUP(G17,密度!$A$2:$A$50,密度!$B$2:$B$50)</f>
        <v>9143.2811101000007</v>
      </c>
      <c r="H16" s="73" ph="1">
        <f>H15*9.0746*LOOKUP(H17,密度!$A$2:$A$50,密度!$L$2:$L$50)</f>
        <v>38527.067312400002</v>
      </c>
      <c r="I16" s="73" ph="1">
        <f>I15*9.0746*LOOKUP(I17,密度!$A$2:$A$50,密度!$U$2:$U$50)</f>
        <v>37.3147552</v>
      </c>
      <c r="J16" s="73" ph="1">
        <f>J15*9.0746*LOOKUP(J17,密度!$A$2:$A$50,密度!$L$2:$L$50)</f>
        <v>19407.302543999998</v>
      </c>
      <c r="K16" s="73" ph="1">
        <f>K15*9.0746*LOOKUP(K17,密度!$A$2:$A$50,密度!$C$2:$C$50)</f>
        <v>19111.296351680001</v>
      </c>
      <c r="L16" s="73" ph="1">
        <f>L15*9.0746*LOOKUP(L17,密度!$A$2:$A$50,密度!$E$2:$E$50)</f>
        <v>26189.13588704</v>
      </c>
      <c r="M16" s="73" ph="1">
        <f>M15*9.0746*LOOKUP(M17,密度!$A$2:$A$50,密度!$M$2:$M$50)</f>
        <v>10206.3659628</v>
      </c>
      <c r="N16" s="73" ph="1">
        <f>N15*9.0746*LOOKUP(N17,密度!$A$2:$A$50,密度!$M$2:$M$50)</f>
        <v>19539.55394948</v>
      </c>
      <c r="O16" s="73" ph="1">
        <f>O15*9.0746*LOOKUP(O17,密度!$A$2:$A$50,密度!$G$2:$G$50)</f>
        <v>62193.513402280005</v>
      </c>
      <c r="P16" s="73" ph="1">
        <f ca="1">P15*9.0746*LOOKUP(P17,密度!$A$2:$A$51,密度!$Q$2:$Q$50)</f>
        <v>59607.888440994</v>
      </c>
      <c r="Q16" s="73" ph="1">
        <f>Q15*9.0746*LOOKUP(Q17,密度!$A$2:$A$50,密度!$Q$2:$Q$50)</f>
        <v>30307.782029165999</v>
      </c>
      <c r="R16" s="73" ph="1">
        <f>MAX(R15*9.0746*LOOKUP(R17,密度!$A$2:$A$50,密度!$B$2:$B$50),0)</f>
        <v>24860.906649160002</v>
      </c>
      <c r="S16" s="73" ph="1">
        <f>S15*9.0746*LOOKUP(S17,密度!$A$2:$A$50,密度!$Q$2:$Q$50)</f>
        <v>58936.104696102004</v>
      </c>
      <c r="T16" s="73" ph="1">
        <f>T15*9.0746*LOOKUP(T17,密度!$A$2:$A$50,密度!$O$2:$O$50)</f>
        <v>22490.942370000001</v>
      </c>
      <c r="U16" s="73" ph="1">
        <f>U15*9.0746*LOOKUP(U17,密度!$A$2:$A$50,密度!$H$2:$H$50)</f>
        <v>49705.489907839998</v>
      </c>
      <c r="V16" s="73" ph="1">
        <f>MAX(5600*LOOKUP(V17,密度!$A$2:$A$50,密度!$Q$2:$Q$50)+V15*9.0476*LOOKUP(V17,密度!$A$2:$A$50,密度!$Q$2:$Q$50),0)</f>
        <v>14758.304205695998</v>
      </c>
      <c r="W16" s="73" ph="1">
        <f>MAX(5600*LOOKUP(W17,密度!$A$2:$A$50,密度!$Q$2:$Q$50)+W15*9.0476*LOOKUP(W17,密度!$A$2:$A$50,密度!$Q$2:$Q$50),0)</f>
        <v>37664.180338655999</v>
      </c>
      <c r="X16" s="73" ph="1">
        <f>MAX(5600*LOOKUP(X17,密度!$A$2:$A$50,密度!$I$2:$I$50)+X15*9.0476*LOOKUP(X17,密度!$A$2:$A$50,密度!$I$2:$I$50),0)</f>
        <v>7340.5928574000009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30166.662833820003</v>
      </c>
      <c r="AB16" s="73" ph="1">
        <f>AB15*9.0746*LOOKUP(AB17,密度!$A$2:$A$50,密度!$L$2:$L$50)</f>
        <v>58798.144731999993</v>
      </c>
      <c r="AC16" s="73" ph="1">
        <f>AC15*9.0746*LOOKUP(AC17,密度!$A$2:$A$50,密度!$L$2:$L$50)</f>
        <v>55905.706727999997</v>
      </c>
      <c r="AD16" s="73" ph="1">
        <f>AD15*268.68*LOOKUP(AD17,密度!$A$2:$A$50,密度!B2:B50)+IF(AD15&lt;=0,0,1566*LOOKUP(AD17,密度!$A$2:$A$50,密度!B2:B50))</f>
        <v>10382.76207072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22</v>
      </c>
      <c r="E17" s="74">
        <v>22</v>
      </c>
      <c r="F17" s="74">
        <v>24</v>
      </c>
      <c r="G17" s="74">
        <v>20</v>
      </c>
      <c r="H17" s="74">
        <v>20</v>
      </c>
      <c r="I17" s="74">
        <v>20</v>
      </c>
      <c r="J17" s="74">
        <v>24</v>
      </c>
      <c r="K17" s="74">
        <v>24</v>
      </c>
      <c r="L17" s="74">
        <v>22</v>
      </c>
      <c r="M17" s="74">
        <v>22</v>
      </c>
      <c r="N17" s="74">
        <v>20</v>
      </c>
      <c r="O17" s="74">
        <v>22</v>
      </c>
      <c r="P17" s="74">
        <v>22</v>
      </c>
      <c r="Q17" s="74">
        <v>22</v>
      </c>
      <c r="R17" s="74">
        <v>22</v>
      </c>
      <c r="S17" s="74">
        <v>22</v>
      </c>
      <c r="T17" s="74">
        <v>22</v>
      </c>
      <c r="U17" s="74">
        <v>22</v>
      </c>
      <c r="V17" s="74">
        <v>25</v>
      </c>
      <c r="W17" s="74">
        <v>28</v>
      </c>
      <c r="X17" s="74">
        <v>20</v>
      </c>
      <c r="Y17" s="108">
        <v>20</v>
      </c>
      <c r="Z17" s="74">
        <v>22</v>
      </c>
      <c r="AA17" s="74">
        <v>18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5205</v>
      </c>
      <c r="E18" s="71">
        <v>1042</v>
      </c>
      <c r="F18" s="71">
        <v>3964</v>
      </c>
      <c r="G18" s="71">
        <v>1308</v>
      </c>
      <c r="H18" s="71">
        <v>4511</v>
      </c>
      <c r="I18" s="71">
        <v>3</v>
      </c>
      <c r="J18" s="71">
        <v>2281</v>
      </c>
      <c r="K18" s="71">
        <v>1898</v>
      </c>
      <c r="L18" s="71">
        <v>3675</v>
      </c>
      <c r="M18" s="71">
        <v>1282</v>
      </c>
      <c r="N18" s="71">
        <v>3656</v>
      </c>
      <c r="O18" s="71">
        <v>7120</v>
      </c>
      <c r="P18" s="71">
        <v>6930</v>
      </c>
      <c r="Q18" s="71">
        <v>3516</v>
      </c>
      <c r="R18" s="71">
        <v>3505</v>
      </c>
      <c r="S18" s="71">
        <v>6852</v>
      </c>
      <c r="T18" s="71">
        <v>1856</v>
      </c>
      <c r="U18" s="71">
        <v>5972</v>
      </c>
      <c r="V18" s="71">
        <v>1103</v>
      </c>
      <c r="W18" s="71">
        <v>3787</v>
      </c>
      <c r="X18" s="71">
        <v>155</v>
      </c>
      <c r="Y18" s="109">
        <v>-9906</v>
      </c>
      <c r="Z18" s="71">
        <v>0</v>
      </c>
      <c r="AA18" s="71">
        <v>4236</v>
      </c>
      <c r="AB18" s="71">
        <v>6902</v>
      </c>
      <c r="AC18" s="71">
        <v>6548</v>
      </c>
      <c r="AD18" s="71">
        <v>76.92</v>
      </c>
      <c r="AE18" s="71">
        <v>5.42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4" t="s" ph="1">
        <v>179</v>
      </c>
      <c r="D19" s="73" ph="1">
        <f>D18*7.0686*LOOKUP(D20,密度!$A$2:$A$50,密度!$L$2:$L$50)</f>
        <v>34510.955093999997</v>
      </c>
      <c r="E19" s="73" ph="1">
        <f>E18*7.0686*LOOKUP(E20,密度!$A$2:$A$50,密度!$L$2:$L$50)</f>
        <v>6908.8213655999998</v>
      </c>
      <c r="F19" s="73" ph="1">
        <f>F18*9.0746*LOOKUP(F20,密度!$A$2:$A$50,密度!$L$2:$L$50)</f>
        <v>33597.581249600007</v>
      </c>
      <c r="G19" s="73" ph="1">
        <f>G18*9.0746*LOOKUP(G20,密度!$A$2:$A$50,密度!$B$2:$B$50)</f>
        <v>9253.5220732800008</v>
      </c>
      <c r="H19" s="73" ph="1">
        <f>H18*9.0746*LOOKUP(H20,密度!$A$2:$A$50,密度!$L$2:$L$50)</f>
        <v>38479.389364000002</v>
      </c>
      <c r="I19" s="73" ph="1">
        <f>I18*9.0746*LOOKUP(I20,密度!$A$2:$A$50,密度!$U$2:$U$50)</f>
        <v>27.8227236</v>
      </c>
      <c r="J19" s="73" ph="1">
        <f>J18*9.0746*LOOKUP(J20,密度!$A$2:$A$50,密度!$L$2:$L$50)</f>
        <v>19333.017868400002</v>
      </c>
      <c r="K19" s="73" ph="1">
        <f>K18*9.0746*LOOKUP(K20,密度!$A$2:$A$50,密度!$C$2:$C$50)</f>
        <v>19111.296351680001</v>
      </c>
      <c r="L19" s="73" ph="1">
        <f>L18*9.0746*LOOKUP(L20,密度!$A$2:$A$50,密度!$E$2:$E$50)</f>
        <v>26119.058195999998</v>
      </c>
      <c r="M19" s="73" ph="1">
        <f>M18*9.0746*LOOKUP(M20,密度!$A$2:$A$50,密度!$M$2:$M$50)</f>
        <v>10120.101000280001</v>
      </c>
      <c r="N19" s="73" ph="1">
        <f>N18*9.0746*LOOKUP(N20,密度!$A$2:$A$50,密度!$M$2:$M$50)</f>
        <v>29129.175612800002</v>
      </c>
      <c r="O19" s="73" ph="1">
        <f>O18*9.0746*LOOKUP(O20,密度!$A$2:$A$50,密度!$G$2:$G$50)</f>
        <v>62104.239302400005</v>
      </c>
      <c r="P19" s="73" ph="1">
        <f ca="1">P18*9.0746*LOOKUP(P20,密度!$A$2:$A$51,密度!$Q$2:$Q$50)</f>
        <v>59583.525045660004</v>
      </c>
      <c r="Q19" s="73" ph="1">
        <f>Q18*9.0746*LOOKUP(Q20,密度!$A$2:$A$50,密度!$Q$2:$Q$50)</f>
        <v>30230.255997192002</v>
      </c>
      <c r="R19" s="73" ph="1">
        <f>MAX(R18*9.0746*LOOKUP(R20,密度!$A$2:$A$50,密度!$B$2:$B$50),0)</f>
        <v>24796.326350800002</v>
      </c>
      <c r="S19" s="73" ph="1">
        <f>S18*9.0746*LOOKUP(S20,密度!$A$2:$A$50,密度!$Q$2:$Q$50)</f>
        <v>58912.887967224007</v>
      </c>
      <c r="T19" s="73" ph="1">
        <f>T18*9.0746*LOOKUP(T20,密度!$A$2:$A$50,密度!$O$2:$O$50)</f>
        <v>15596.115737600003</v>
      </c>
      <c r="U19" s="73" ph="1">
        <f>U18*9.0746*LOOKUP(U20,密度!$A$2:$A$50,密度!$H$2:$H$50)</f>
        <v>49624.998205839998</v>
      </c>
      <c r="V19" s="73" ph="1">
        <f>MAX(5600*LOOKUP(V20,密度!$A$2:$A$50,密度!$Q$2:$Q$50)+V18*9.0476*LOOKUP(V20,密度!$A$2:$A$50,密度!$Q$2:$Q$50),0)</f>
        <v>14716.709934936</v>
      </c>
      <c r="W19" s="73" ph="1">
        <f>MAX(5600*LOOKUP(W20,密度!$A$2:$A$50,密度!$Q$2:$Q$50)+W18*9.0476*LOOKUP(W20,密度!$A$2:$A$50,密度!$Q$2:$Q$50),0)</f>
        <v>37604.210187795994</v>
      </c>
      <c r="X19" s="73" ph="1">
        <f>MAX(5600*LOOKUP(X20,密度!$A$2:$A$50,密度!$I$2:$I$50)+X18*9.0476*LOOKUP(X20,密度!$A$2:$A$50,密度!$I$2:$I$50),0)</f>
        <v>7320.2859612000011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30071.616380880005</v>
      </c>
      <c r="AB19" s="73" ph="1">
        <f>AB18*9.0746*LOOKUP(AB20,密度!$A$2:$A$50,密度!$L$2:$L$50)</f>
        <v>58874.915848000004</v>
      </c>
      <c r="AC19" s="73" ph="1">
        <f>AC18*9.0746*LOOKUP(AC20,密度!$A$2:$A$50,密度!$L$2:$L$50)</f>
        <v>55855.251951999999</v>
      </c>
      <c r="AD19" s="73" ph="1">
        <f>AD18*268.68*LOOKUP(AD20,密度!$A$2:$A$50,密度!B5:B53)+IF(AD18&lt;=0,0,1566*LOOKUP(AD20,密度!$A$2:$A$50,密度!B5:B53))</f>
        <v>17274.9365712</v>
      </c>
      <c r="AE19" s="73" ph="1">
        <f>AE18*268.68*LOOKUP(AE20,密度!$A$2:$A$50,密度!B5:B53)+IF(AE18&lt;=0,0,1566*LOOKUP(AE20,密度!$A$2:$A$50,密度!B5:B53))</f>
        <v>2348.2848311999996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24</v>
      </c>
      <c r="E20" s="81">
        <v>24</v>
      </c>
      <c r="F20" s="81">
        <v>28</v>
      </c>
      <c r="G20" s="81">
        <v>25</v>
      </c>
      <c r="H20" s="81">
        <v>22</v>
      </c>
      <c r="I20" s="81">
        <v>28</v>
      </c>
      <c r="J20" s="81">
        <v>28</v>
      </c>
      <c r="K20" s="81">
        <v>24</v>
      </c>
      <c r="L20" s="81">
        <v>25</v>
      </c>
      <c r="M20" s="81">
        <v>30</v>
      </c>
      <c r="N20" s="81">
        <v>22</v>
      </c>
      <c r="O20" s="81">
        <v>24</v>
      </c>
      <c r="P20" s="81">
        <v>24</v>
      </c>
      <c r="Q20" s="81">
        <v>24</v>
      </c>
      <c r="R20" s="81">
        <v>25</v>
      </c>
      <c r="S20" s="81">
        <v>24</v>
      </c>
      <c r="T20" s="81">
        <v>25</v>
      </c>
      <c r="U20" s="81">
        <v>24</v>
      </c>
      <c r="V20" s="81">
        <v>28</v>
      </c>
      <c r="W20" s="81">
        <v>30</v>
      </c>
      <c r="X20" s="81">
        <v>22</v>
      </c>
      <c r="Y20" s="110">
        <v>22</v>
      </c>
      <c r="Z20" s="81">
        <v>29</v>
      </c>
      <c r="AA20" s="81">
        <v>22</v>
      </c>
      <c r="AB20" s="81">
        <v>22</v>
      </c>
      <c r="AC20" s="81">
        <v>22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4" t="s" ph="1">
        <v>178</v>
      </c>
      <c r="D24" s="71">
        <v>3.21</v>
      </c>
      <c r="E24" s="71">
        <v>95.4</v>
      </c>
      <c r="F24" s="71">
        <v>0</v>
      </c>
      <c r="G24" s="71">
        <v>2988</v>
      </c>
      <c r="H24" s="71">
        <v>2703</v>
      </c>
      <c r="I24" s="71">
        <v>5556</v>
      </c>
      <c r="J24" s="71">
        <v>4939</v>
      </c>
      <c r="K24" s="71">
        <v>85</v>
      </c>
      <c r="L24" s="71">
        <v>0</v>
      </c>
      <c r="M24" s="71">
        <v>5408</v>
      </c>
      <c r="N24" s="71">
        <v>5359</v>
      </c>
      <c r="O24" s="71">
        <v>3518</v>
      </c>
      <c r="P24" s="71">
        <v>837</v>
      </c>
      <c r="Q24" s="90">
        <v>3000</v>
      </c>
      <c r="R24" s="71">
        <v>5819</v>
      </c>
      <c r="S24" s="71">
        <v>227</v>
      </c>
      <c r="T24" s="71">
        <v>1752</v>
      </c>
      <c r="U24" s="71">
        <v>4946</v>
      </c>
      <c r="V24" s="71">
        <v>9628</v>
      </c>
      <c r="W24" s="71">
        <v>8749</v>
      </c>
      <c r="X24" s="71">
        <v>5042</v>
      </c>
      <c r="Y24" s="71">
        <v>6940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2299.1228712719999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42827.9021928</v>
      </c>
      <c r="H25" s="91" ph="1">
        <f>H24*18.322*LOOKUP(H26,密度!$A$2:$A$50,密度!$B$2:$B$50)</f>
        <v>38832.055380599995</v>
      </c>
      <c r="I25" s="91" ph="1">
        <f>I24*18.322*LOOKUP(I26,密度!$A$2:$A$50,密度!$Q$2:$Q$50)</f>
        <v>96614.545100879986</v>
      </c>
      <c r="J25" s="91" ph="1">
        <f>J24*18.322*LOOKUP(J26,密度!$A$2:$A$50,密度!$Q$2:$Q$50)</f>
        <v>85939.687469019991</v>
      </c>
      <c r="K25" s="91" ph="1">
        <f>K24*18.322*LOOKUP(K26,密度!$A$2:$A$50,密度!$Q$2:$Q$50)</f>
        <v>1478.0842932999999</v>
      </c>
      <c r="L25" s="91" ph="1">
        <f>L24*18.322*LOOKUP(L26,密度!$A$2:$A$50,密度!$Q$2:$Q$50)</f>
        <v>0</v>
      </c>
      <c r="M25" s="91" ph="1">
        <f>M24*18.322*LOOKUP(M26,密度!$A$2:$A$50,密度!$Q$2:$Q$50)</f>
        <v>94040.939507839983</v>
      </c>
      <c r="N25" s="91" ph="1">
        <f>N24*18.322*LOOKUP(N26,密度!$A$2:$A$50,密度!$Q$2:$Q$50)</f>
        <v>93247.779944620008</v>
      </c>
      <c r="O25" s="91" ph="1">
        <f>O24*18.322*LOOKUP(O26,密度!$A$2:$A$50,密度!$C$2:$C$50)</f>
        <v>71669.511472400001</v>
      </c>
      <c r="P25" s="91" ph="1">
        <f>P24*11.702*LOOKUP(P26,密度!$A$2:$A$50,密度!$B$2:$B$50)</f>
        <v>7662.2952402000001</v>
      </c>
      <c r="Q25" s="92" ph="1">
        <f>Q24*18.322*LOOKUP(Q26,密度!$A$2:$A$50,密度!$B$2:$B$50)</f>
        <v>43049.371200000001</v>
      </c>
      <c r="R25" s="91" ph="1">
        <f>R24*35.891*LOOKUP(R26,密度!$A$2:$A$50,密度!$C$2:$C$50)</f>
        <v>232052.9338919</v>
      </c>
      <c r="S25" s="91" ph="1">
        <f>S24*35.891*LOOKUP(S26,密度!$A$2:$A$50,密度!$B$2:$B$50)</f>
        <v>6373.5991510999993</v>
      </c>
      <c r="T25" s="91" ph="1">
        <f>T24*35.891*LOOKUP(T26,密度!$A$2:$A$50,密度!$Q$2:$Q$50)</f>
        <v>59717.48728008</v>
      </c>
      <c r="U25" s="91" ph="1">
        <f>U24*35.891</f>
        <v>177516.886</v>
      </c>
      <c r="V25" s="91" ph="1">
        <f>V24*47.051*LOOKUP(V26,密度!$A$2:$A$50,密度!$B$2:$B$50)</f>
        <v>353979.69167919998</v>
      </c>
      <c r="W25" s="91" ph="1">
        <f>W24*47.051*LOOKUP(W26,密度!$A$2:$A$50,密度!$B$2:$B$50)</f>
        <v>322033.16837770003</v>
      </c>
      <c r="X25" s="91" ph="1">
        <f>X24*47.051*LOOKUP(X26,密度!$A$2:$A$50,密度!$I$2:$I$50)</f>
        <v>245686.05990088001</v>
      </c>
      <c r="Y25" s="91" ph="1">
        <f>Y24*47.051*LOOKUP(Y26,密度!$A$2:$A$50,密度!$L$2:$L$50)</f>
        <v>306288.83571999997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22</v>
      </c>
      <c r="G26" s="74">
        <v>22</v>
      </c>
      <c r="H26" s="74">
        <v>20</v>
      </c>
      <c r="I26" s="74">
        <v>22</v>
      </c>
      <c r="J26" s="74">
        <v>21</v>
      </c>
      <c r="K26" s="74">
        <v>22</v>
      </c>
      <c r="L26" s="74">
        <v>22</v>
      </c>
      <c r="M26" s="74">
        <v>22</v>
      </c>
      <c r="N26" s="74">
        <v>21</v>
      </c>
      <c r="O26" s="74">
        <v>21</v>
      </c>
      <c r="P26" s="74">
        <v>22</v>
      </c>
      <c r="Q26" s="93">
        <v>21</v>
      </c>
      <c r="R26" s="74">
        <v>22</v>
      </c>
      <c r="S26" s="74">
        <v>22</v>
      </c>
      <c r="T26" s="74">
        <v>21</v>
      </c>
      <c r="U26" s="74">
        <v>22</v>
      </c>
      <c r="V26" s="74">
        <v>23</v>
      </c>
      <c r="W26" s="74">
        <v>22</v>
      </c>
      <c r="X26" s="74">
        <v>55</v>
      </c>
      <c r="Y26" s="74">
        <v>24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4" t="s" ph="1">
        <v>181</v>
      </c>
      <c r="D27" s="71">
        <v>3.22</v>
      </c>
      <c r="E27" s="71">
        <v>95.52</v>
      </c>
      <c r="F27" s="71">
        <v>0</v>
      </c>
      <c r="G27" s="71">
        <v>2464</v>
      </c>
      <c r="H27" s="71">
        <v>2305</v>
      </c>
      <c r="I27" s="71">
        <v>4671</v>
      </c>
      <c r="J27" s="71">
        <v>4941</v>
      </c>
      <c r="K27" s="71">
        <v>82</v>
      </c>
      <c r="L27" s="71">
        <v>0</v>
      </c>
      <c r="M27" s="71">
        <v>5411</v>
      </c>
      <c r="N27" s="71">
        <v>5360</v>
      </c>
      <c r="O27" s="71">
        <v>3516</v>
      </c>
      <c r="P27" s="71">
        <v>834</v>
      </c>
      <c r="Q27" s="90">
        <v>3346</v>
      </c>
      <c r="R27" s="71">
        <v>2308</v>
      </c>
      <c r="S27" s="71">
        <v>223</v>
      </c>
      <c r="T27" s="71">
        <v>1751</v>
      </c>
      <c r="U27" s="71">
        <v>5042</v>
      </c>
      <c r="V27" s="71">
        <v>9633</v>
      </c>
      <c r="W27" s="71">
        <v>8753</v>
      </c>
      <c r="X27" s="71">
        <v>5042</v>
      </c>
      <c r="Y27" s="71">
        <v>5064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4" t="s" ph="1">
        <v>179</v>
      </c>
      <c r="D28" s="91" ph="1">
        <f>D27*268.68*LOOKUP(D29,密度!$A$2:$A$50,密度!$Q$2:$Q$50)+IF(D27&lt;=0,0,1566*LOOKUP(D29,密度!$A$2:$A$50,密度!$Q$2:$Q$50))</f>
        <v>2301.6665723040001</v>
      </c>
      <c r="E28" s="91" ph="1">
        <f>E27*268.68*LOOKUP(E29,密度!$A$2:$A$50,密度!$C$2:$C$50)+IF(E27&lt;=0,0,1566*LOOKUP(E29,密度!$A$2:$A$50,密度!$C$2:$C$50))</f>
        <v>30195.694751040002</v>
      </c>
      <c r="F28" s="91" ph="1">
        <f>F27*11.702*LOOKUP(F29,密度!$A$2:$A$50,密度!$Q$2:$Q$50)</f>
        <v>0</v>
      </c>
      <c r="G28" s="91" ph="1">
        <f>G27*18.322*LOOKUP(G29,密度!$A$2:$A$50,密度!$B$2:$B$50)</f>
        <v>35357.883545599994</v>
      </c>
      <c r="H28" s="91" ph="1">
        <f>H27*18.322*LOOKUP(H29,密度!$A$2:$A$50,密度!$B$2:$B$50)</f>
        <v>33038.257882999998</v>
      </c>
      <c r="I28" s="91" ph="1">
        <f>I27*18.322*LOOKUP(I29,密度!$A$2:$A$50,密度!$Q$2:$Q$50)</f>
        <v>81225.079223579989</v>
      </c>
      <c r="J28" s="91" ph="1">
        <f>J27*18.322*LOOKUP(J29,密度!$A$2:$A$50,密度!$Q$2:$Q$50)</f>
        <v>85920.170508179988</v>
      </c>
      <c r="K28" s="91" ph="1">
        <f>K27*18.322*LOOKUP(K29,密度!$A$2:$A$50,密度!$Q$2:$Q$50)</f>
        <v>1426.81805476</v>
      </c>
      <c r="L28" s="91" ph="1">
        <f>L27*18.322*LOOKUP(L29,密度!$A$2:$A$50,密度!$Q$2:$Q$50)</f>
        <v>0</v>
      </c>
      <c r="M28" s="91" ph="1">
        <f>M27*18.322*LOOKUP(M29,密度!$A$2:$A$50,密度!$Q$2:$Q$50)</f>
        <v>94093.107188779992</v>
      </c>
      <c r="N28" s="91" ph="1">
        <f>N27*18.322*LOOKUP(N29,密度!$A$2:$A$50,密度!$Q$2:$Q$50)</f>
        <v>93265.180164799996</v>
      </c>
      <c r="O28" s="91" ph="1">
        <f>O27*18.322*LOOKUP(O29,密度!$A$2:$A$50,密度!$C$2:$C$50)</f>
        <v>71628.767008800001</v>
      </c>
      <c r="P28" s="91" ph="1">
        <f>P27*11.702*LOOKUP(P29,密度!$A$2:$A$50,密度!$B$2:$B$50)</f>
        <v>7643.6153376000011</v>
      </c>
      <c r="Q28" s="92" ph="1">
        <f>Q27*18.322*LOOKUP(Q29,密度!$A$2:$A$50,密度!$B$2:$B$50)</f>
        <v>47959.223807599999</v>
      </c>
      <c r="R28" s="91" ph="1">
        <f>R27*35.891*LOOKUP(R29,密度!$A$2:$A$50,密度!$C$2:$C$50)</f>
        <v>92105.824293200014</v>
      </c>
      <c r="S28" s="91" ph="1">
        <f>S27*35.891*LOOKUP(S29,密度!$A$2:$A$50,密度!$B$2:$B$50)</f>
        <v>6261.2890338999996</v>
      </c>
      <c r="T28" s="91" ph="1">
        <f>T27*35.891*LOOKUP(T29,密度!$A$2:$A$50,密度!$Q$2:$Q$50)</f>
        <v>59645.694871689993</v>
      </c>
      <c r="U28" s="91" ph="1">
        <f>U27*35.891</f>
        <v>180962.42199999999</v>
      </c>
      <c r="V28" s="91" ph="1">
        <f>V27*47.051*LOOKUP(V29,密度!$A$2:$A$50,密度!$B$2:$B$50)</f>
        <v>354979.35604560003</v>
      </c>
      <c r="W28" s="91" ph="1">
        <f>W27*47.051*LOOKUP(W29,密度!$A$2:$A$50,密度!$B$2:$B$50)</f>
        <v>322180.40036689996</v>
      </c>
      <c r="X28" s="91" ph="1">
        <f>X27*47.051*LOOKUP(X29,密度!$A$2:$A$50,密度!$I$2:$I$50)</f>
        <v>245686.05990088001</v>
      </c>
      <c r="Y28" s="91" ph="1">
        <f>Y27*47.051*LOOKUP(Y29,密度!$A$2:$A$50,密度!$L$2:$L$50)</f>
        <v>223732.02189599999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4" t="s" ph="1">
        <v>180</v>
      </c>
      <c r="D29" s="74">
        <v>25</v>
      </c>
      <c r="E29" s="74">
        <v>25</v>
      </c>
      <c r="F29" s="74">
        <v>24</v>
      </c>
      <c r="G29" s="74">
        <v>21</v>
      </c>
      <c r="H29" s="74">
        <v>22</v>
      </c>
      <c r="I29" s="74">
        <v>22</v>
      </c>
      <c r="J29" s="74">
        <v>22</v>
      </c>
      <c r="K29" s="74">
        <v>21</v>
      </c>
      <c r="L29" s="74">
        <v>21</v>
      </c>
      <c r="M29" s="74">
        <v>22</v>
      </c>
      <c r="N29" s="74">
        <v>21</v>
      </c>
      <c r="O29" s="74">
        <v>21</v>
      </c>
      <c r="P29" s="74">
        <v>21</v>
      </c>
      <c r="Q29" s="93">
        <v>22</v>
      </c>
      <c r="R29" s="74">
        <v>21</v>
      </c>
      <c r="S29" s="74">
        <v>22</v>
      </c>
      <c r="T29" s="74">
        <v>22</v>
      </c>
      <c r="U29" s="74">
        <v>22</v>
      </c>
      <c r="V29" s="74">
        <v>21</v>
      </c>
      <c r="W29" s="74">
        <v>22</v>
      </c>
      <c r="X29" s="74">
        <v>56</v>
      </c>
      <c r="Y29" s="74">
        <v>23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104662.68466680002</v>
      </c>
      <c r="E33" s="217" ph="1">
        <f>M10+I10</f>
        <v>97754.278470500009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21" ph="1">
        <v>0</v>
      </c>
      <c r="H33" s="217" ph="1">
        <f>N19</f>
        <v>29129.175612800002</v>
      </c>
      <c r="I33" s="230" ph="1">
        <v>0</v>
      </c>
      <c r="J33" s="228" ph="1">
        <f>F10+O28</f>
        <v>190238.37090089999</v>
      </c>
      <c r="K33" s="217" ph="1">
        <f>O10+K10+E28+R28</f>
        <v>126269.71915584002</v>
      </c>
      <c r="L33" s="232" ph="1">
        <f>BE27</f>
        <v>7100</v>
      </c>
      <c r="M33" s="228" ph="1">
        <f>G10+H10+W28+S28+V28+E10</f>
        <v>1132953.5125664</v>
      </c>
      <c r="N33" s="217" ph="1">
        <f>L10+P10++G28+H28</f>
        <v>352695.68883659999</v>
      </c>
      <c r="O33" s="230" ph="1">
        <f>BE17</f>
        <v>2270</v>
      </c>
      <c r="P33" s="228" ph="1">
        <f>L19</f>
        <v>26119.058195999998</v>
      </c>
      <c r="Q33" s="217" ph="1">
        <f>J10+N10</f>
        <v>68922.499736000012</v>
      </c>
      <c r="R33" s="230" ph="1">
        <f>BE23</f>
        <v>890</v>
      </c>
      <c r="S33" s="228" ph="1">
        <f>E10+X28</f>
        <v>416259.71774888004</v>
      </c>
      <c r="T33" s="217" ph="1">
        <f>X19</f>
        <v>7320.2859612000011</v>
      </c>
      <c r="U33" s="238" ph="1">
        <f>BE21</f>
        <v>730</v>
      </c>
      <c r="V33" s="249" ph="1">
        <f ca="1">P19+Q19+S19+M28+N28+J28</f>
        <v>422005.12687183596</v>
      </c>
      <c r="W33" s="249" ph="1">
        <f>D28+F28+V19+T28</f>
        <v>76664.071378929992</v>
      </c>
      <c r="X33" s="230" ph="1">
        <f>BE29+BE31</f>
        <v>10200</v>
      </c>
      <c r="Y33" s="251" ph="1">
        <f>+Q10+R10+S10+T10+U10+V10+W10+X10+Y10</f>
        <v>259639.7578236</v>
      </c>
      <c r="Z33" s="236" ph="1">
        <f>D10+T19+U19+Y28+Z10</f>
        <v>580098.56121503992</v>
      </c>
      <c r="AA33" s="238" ph="1">
        <f>BE19</f>
        <v>1440</v>
      </c>
      <c r="AB33" s="240" ph="1">
        <f>I19</f>
        <v>27.8227236</v>
      </c>
      <c r="AC33" s="242" ph="1">
        <f>AD10</f>
        <v>26115.073488000002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6" t="s" ph="1">
        <v>186</v>
      </c>
      <c r="AA36" s="146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345</v>
      </c>
      <c r="AI37" s="146" t="s" ph="1">
        <v>212</v>
      </c>
      <c r="AJ37" s="146" t="s" ph="1">
        <v>213</v>
      </c>
      <c r="AK37" s="146" t="s" ph="1">
        <v>214</v>
      </c>
      <c r="AM37" s="146" t="s" ph="1">
        <v>213</v>
      </c>
      <c r="AN37" s="146" t="s" ph="1">
        <v>214</v>
      </c>
      <c r="AO37" s="146" t="s" ph="1">
        <v>215</v>
      </c>
      <c r="AP37" s="146" t="s" ph="1">
        <v>213</v>
      </c>
      <c r="AQ37" s="146" t="s" ph="1">
        <v>214</v>
      </c>
      <c r="AR37" s="146" t="s" ph="1">
        <v>215</v>
      </c>
      <c r="AS37" s="146" t="s" ph="1">
        <v>213</v>
      </c>
      <c r="AT37" s="146" t="s" ph="1">
        <v>214</v>
      </c>
      <c r="AU37" s="146" t="s" ph="1">
        <v>215</v>
      </c>
      <c r="AV37" s="146" t="s" ph="1">
        <v>213</v>
      </c>
      <c r="AW37" s="146" t="s" ph="1">
        <v>214</v>
      </c>
      <c r="AX37" s="146" t="s" ph="1">
        <v>215</v>
      </c>
      <c r="AY37" s="146" t="s" ph="1">
        <v>214</v>
      </c>
      <c r="AZ37" s="146" t="s" ph="1">
        <v>216</v>
      </c>
      <c r="BD37" s="146" t="s" ph="1">
        <v>308</v>
      </c>
      <c r="BE37" s="14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41" priority="96">
      <formula>ABS(D$7-D$10)&gt;=1000</formula>
    </cfRule>
  </conditionalFormatting>
  <conditionalFormatting sqref="E4 E6:E11">
    <cfRule type="expression" dxfId="2140" priority="95">
      <formula>ABS(E$7-E$10)&gt;=1000</formula>
    </cfRule>
  </conditionalFormatting>
  <conditionalFormatting sqref="F4:F11">
    <cfRule type="expression" dxfId="2139" priority="94">
      <formula>ABS(F$7-F$10)&gt;=1000</formula>
    </cfRule>
  </conditionalFormatting>
  <conditionalFormatting sqref="G4:G11">
    <cfRule type="expression" dxfId="2138" priority="93">
      <formula>ABS(G$7-G$10)&gt;=1000</formula>
    </cfRule>
  </conditionalFormatting>
  <conditionalFormatting sqref="H4:H11">
    <cfRule type="expression" dxfId="2137" priority="92">
      <formula>ABS(H$7-H$10)&gt;=1000</formula>
    </cfRule>
  </conditionalFormatting>
  <conditionalFormatting sqref="I4:I11">
    <cfRule type="expression" dxfId="2136" priority="91">
      <formula>ABS(I$7-I$10)&gt;=1000</formula>
    </cfRule>
  </conditionalFormatting>
  <conditionalFormatting sqref="J4:J11">
    <cfRule type="expression" dxfId="2135" priority="90">
      <formula>ABS(J$7-J$10)&gt;=1000</formula>
    </cfRule>
  </conditionalFormatting>
  <conditionalFormatting sqref="K4:K11">
    <cfRule type="expression" dxfId="2134" priority="89">
      <formula>ABS(K$7-K$10)&gt;=1000</formula>
    </cfRule>
  </conditionalFormatting>
  <conditionalFormatting sqref="L4:L11">
    <cfRule type="expression" dxfId="2133" priority="88">
      <formula>ABS(L$7-L$10)&gt;=1000</formula>
    </cfRule>
  </conditionalFormatting>
  <conditionalFormatting sqref="M4 M6:M11">
    <cfRule type="expression" dxfId="2132" priority="87">
      <formula>ABS(M$7-M$10)&gt;=1000</formula>
    </cfRule>
  </conditionalFormatting>
  <conditionalFormatting sqref="N4 N6:N11">
    <cfRule type="expression" dxfId="2131" priority="86">
      <formula>ABS(N$7-N$10)&gt;=1000</formula>
    </cfRule>
  </conditionalFormatting>
  <conditionalFormatting sqref="O4 O6:O11">
    <cfRule type="expression" dxfId="2130" priority="85">
      <formula>ABS(O$7-O$10)&gt;=1000</formula>
    </cfRule>
  </conditionalFormatting>
  <conditionalFormatting sqref="P4 P6:P11">
    <cfRule type="expression" dxfId="2129" priority="84">
      <formula>ABS(P$7-P$10)&gt;=1000</formula>
    </cfRule>
  </conditionalFormatting>
  <conditionalFormatting sqref="Q4:Q11">
    <cfRule type="expression" dxfId="2128" priority="83">
      <formula>ABS(Q$7-Q$10)&gt;=1000</formula>
    </cfRule>
  </conditionalFormatting>
  <conditionalFormatting sqref="R4:R11">
    <cfRule type="expression" dxfId="2127" priority="82">
      <formula>ABS(R$7-R$10)&gt;=1000</formula>
    </cfRule>
  </conditionalFormatting>
  <conditionalFormatting sqref="S4:S11">
    <cfRule type="expression" dxfId="2126" priority="81">
      <formula>ABS(S$7-S$10)&gt;=1000</formula>
    </cfRule>
  </conditionalFormatting>
  <conditionalFormatting sqref="T4:T9 T11">
    <cfRule type="expression" dxfId="2125" priority="80">
      <formula>ABS(T$7-T$10)&gt;=1000</formula>
    </cfRule>
  </conditionalFormatting>
  <conditionalFormatting sqref="U4:U9 U11">
    <cfRule type="expression" dxfId="2124" priority="79">
      <formula>ABS(U$7-U$10)&gt;=1000</formula>
    </cfRule>
  </conditionalFormatting>
  <conditionalFormatting sqref="V4:V9 V11">
    <cfRule type="expression" dxfId="2123" priority="78">
      <formula>ABS(V$7-V$10)&gt;=1000</formula>
    </cfRule>
  </conditionalFormatting>
  <conditionalFormatting sqref="W4:W9 W11">
    <cfRule type="expression" dxfId="2122" priority="77">
      <formula>ABS(W$7-W$10)&gt;=1000</formula>
    </cfRule>
  </conditionalFormatting>
  <conditionalFormatting sqref="X4:X9 X11">
    <cfRule type="expression" dxfId="2121" priority="76">
      <formula>ABS(X$7-X$10)&gt;=1000</formula>
    </cfRule>
  </conditionalFormatting>
  <conditionalFormatting sqref="Y4:Y9 Y11">
    <cfRule type="expression" dxfId="2120" priority="75">
      <formula>ABS(Y$7-Y$10)&gt;=1000</formula>
    </cfRule>
  </conditionalFormatting>
  <conditionalFormatting sqref="Z4:Z11">
    <cfRule type="expression" dxfId="2119" priority="74">
      <formula>ABS(Z$7-Z$10)&gt;=1000</formula>
    </cfRule>
  </conditionalFormatting>
  <conditionalFormatting sqref="AA4:AA11">
    <cfRule type="expression" dxfId="2118" priority="73">
      <formula>ABS(AA$7-AA$10)&gt;=1000</formula>
    </cfRule>
  </conditionalFormatting>
  <conditionalFormatting sqref="AB4:AB11">
    <cfRule type="expression" dxfId="2117" priority="72">
      <formula>ABS(AB$7-AB$10)&gt;=1000</formula>
    </cfRule>
  </conditionalFormatting>
  <conditionalFormatting sqref="AC4 AC6:AC11">
    <cfRule type="expression" dxfId="2116" priority="71">
      <formula>ABS(AC$7-AC$10)&gt;=1000</formula>
    </cfRule>
  </conditionalFormatting>
  <conditionalFormatting sqref="AD4:AD11">
    <cfRule type="expression" dxfId="2115" priority="70">
      <formula>ABS(AD$7-AD$10)&gt;=1000</formula>
    </cfRule>
  </conditionalFormatting>
  <conditionalFormatting sqref="AE4:AE11">
    <cfRule type="expression" dxfId="2114" priority="69">
      <formula>ABS(AE$7-AE$10)&gt;=1000</formula>
    </cfRule>
  </conditionalFormatting>
  <conditionalFormatting sqref="D13:D20">
    <cfRule type="expression" dxfId="2113" priority="68">
      <formula>ABS(D$16-D$19)&gt;=1000</formula>
    </cfRule>
  </conditionalFormatting>
  <conditionalFormatting sqref="E13:E20">
    <cfRule type="expression" dxfId="2112" priority="67">
      <formula>ABS(E$16-E$19)&gt;=1000</formula>
    </cfRule>
  </conditionalFormatting>
  <conditionalFormatting sqref="F13 F15:F20">
    <cfRule type="expression" dxfId="2111" priority="66">
      <formula>ABS(F$16-F$19)&gt;=1000</formula>
    </cfRule>
  </conditionalFormatting>
  <conditionalFormatting sqref="G13:G20">
    <cfRule type="expression" dxfId="2110" priority="65">
      <formula>ABS(G$16-G$19)&gt;=1000</formula>
    </cfRule>
  </conditionalFormatting>
  <conditionalFormatting sqref="H13:H20">
    <cfRule type="expression" dxfId="2109" priority="64">
      <formula>ABS(H$16-H$19)&gt;=1000</formula>
    </cfRule>
  </conditionalFormatting>
  <conditionalFormatting sqref="I13:I20">
    <cfRule type="expression" dxfId="2108" priority="63">
      <formula>ABS(I$16-I$19)&gt;=1000</formula>
    </cfRule>
  </conditionalFormatting>
  <conditionalFormatting sqref="J13:J20">
    <cfRule type="expression" dxfId="2107" priority="62">
      <formula>ABS(J$16-J$19)&gt;=1000</formula>
    </cfRule>
  </conditionalFormatting>
  <conditionalFormatting sqref="L13:L20">
    <cfRule type="expression" dxfId="2106" priority="61">
      <formula>ABS(L$16-L$19)&gt;=1000</formula>
    </cfRule>
  </conditionalFormatting>
  <conditionalFormatting sqref="M13 M15 M17:M18 M20">
    <cfRule type="expression" dxfId="2105" priority="60">
      <formula>ABS(M$16-M$19)&gt;=1000</formula>
    </cfRule>
  </conditionalFormatting>
  <conditionalFormatting sqref="N13:N20">
    <cfRule type="expression" dxfId="2104" priority="59">
      <formula>ABS(N$16-N$19)&gt;=1000</formula>
    </cfRule>
  </conditionalFormatting>
  <conditionalFormatting sqref="O13:O20">
    <cfRule type="expression" dxfId="2103" priority="58">
      <formula>ABS(O$16-O$19)&gt;=1000</formula>
    </cfRule>
  </conditionalFormatting>
  <conditionalFormatting sqref="P13:P20">
    <cfRule type="expression" dxfId="2102" priority="57">
      <formula>ABS(P$16-P$19)&gt;=1000</formula>
    </cfRule>
  </conditionalFormatting>
  <conditionalFormatting sqref="Q13 Q15:Q20">
    <cfRule type="expression" dxfId="2101" priority="56">
      <formula>ABS(Q$16-Q$19)&gt;=1000</formula>
    </cfRule>
  </conditionalFormatting>
  <conditionalFormatting sqref="R13:R20">
    <cfRule type="expression" dxfId="2100" priority="55">
      <formula>ABS(R$16-R$19)&gt;=1000</formula>
    </cfRule>
  </conditionalFormatting>
  <conditionalFormatting sqref="S13:S20">
    <cfRule type="expression" dxfId="2099" priority="54">
      <formula>ABS(S$16-S$19)&gt;=1000</formula>
    </cfRule>
  </conditionalFormatting>
  <conditionalFormatting sqref="T13:T20">
    <cfRule type="expression" dxfId="2098" priority="53">
      <formula>ABS(T$16-T$19)&gt;=1000</formula>
    </cfRule>
  </conditionalFormatting>
  <conditionalFormatting sqref="U13:U20">
    <cfRule type="expression" dxfId="2097" priority="52">
      <formula>ABS(U$16-U$19)&gt;=1000</formula>
    </cfRule>
  </conditionalFormatting>
  <conditionalFormatting sqref="V13:V20">
    <cfRule type="expression" dxfId="2096" priority="51">
      <formula>ABS(V$16-V$19)&gt;=1000</formula>
    </cfRule>
  </conditionalFormatting>
  <conditionalFormatting sqref="W13 W20 W15:W18">
    <cfRule type="expression" dxfId="2095" priority="50">
      <formula>ABS(W$16-W$19)&gt;=1000</formula>
    </cfRule>
  </conditionalFormatting>
  <conditionalFormatting sqref="X13 X15:X20 Y19">
    <cfRule type="expression" dxfId="2094" priority="49">
      <formula>ABS(X$16-X$19)&gt;=1000</formula>
    </cfRule>
  </conditionalFormatting>
  <conditionalFormatting sqref="Y13 Y15:Y18 Y20">
    <cfRule type="expression" dxfId="2093" priority="48">
      <formula>ABS(Y$16-Y$19)&gt;=1000</formula>
    </cfRule>
  </conditionalFormatting>
  <conditionalFormatting sqref="Z13:Z20">
    <cfRule type="expression" dxfId="2092" priority="47">
      <formula>ABS(Z$16-Z$19)&gt;=1000</formula>
    </cfRule>
  </conditionalFormatting>
  <conditionalFormatting sqref="AA13:AA20">
    <cfRule type="expression" dxfId="2091" priority="46">
      <formula>ABS(AA$16-AA$19)&gt;=1000</formula>
    </cfRule>
  </conditionalFormatting>
  <conditionalFormatting sqref="AB13 AB15:AB20">
    <cfRule type="expression" dxfId="2090" priority="45">
      <formula>ABS(AB$16-AB$19)&gt;=1000</formula>
    </cfRule>
  </conditionalFormatting>
  <conditionalFormatting sqref="AC13 AC15:AC20">
    <cfRule type="expression" dxfId="2089" priority="44">
      <formula>ABS(AC$16-AC$19)&gt;=1000</formula>
    </cfRule>
  </conditionalFormatting>
  <conditionalFormatting sqref="AD13:AD20">
    <cfRule type="expression" dxfId="2088" priority="43">
      <formula>ABS(AD$16-AD$19)&gt;=1000</formula>
    </cfRule>
  </conditionalFormatting>
  <conditionalFormatting sqref="AE13:AE20">
    <cfRule type="expression" dxfId="2087" priority="42">
      <formula>ABS(AE$16-AE$19)&gt;=1000</formula>
    </cfRule>
  </conditionalFormatting>
  <conditionalFormatting sqref="D22:D29">
    <cfRule type="expression" dxfId="2086" priority="41">
      <formula>ABS(D$25-D$28)&gt;=1000</formula>
    </cfRule>
  </conditionalFormatting>
  <conditionalFormatting sqref="E22:E29">
    <cfRule type="expression" dxfId="2085" priority="40">
      <formula>ABS(E$25-E$28)&gt;=1000</formula>
    </cfRule>
  </conditionalFormatting>
  <conditionalFormatting sqref="F22:F29">
    <cfRule type="expression" dxfId="2084" priority="39">
      <formula>ABS(F$25-F$28)&gt;=1000</formula>
    </cfRule>
  </conditionalFormatting>
  <conditionalFormatting sqref="G22:G29">
    <cfRule type="expression" dxfId="2083" priority="38">
      <formula>ABS(G$25-G$28)&gt;=1000</formula>
    </cfRule>
  </conditionalFormatting>
  <conditionalFormatting sqref="H22:H29">
    <cfRule type="expression" dxfId="2082" priority="37">
      <formula>ABS(H$25-H$28)&gt;=1000</formula>
    </cfRule>
  </conditionalFormatting>
  <conditionalFormatting sqref="I22 I24:I29">
    <cfRule type="expression" dxfId="2081" priority="36">
      <formula>ABS(I$25-I$28)&gt;=1000</formula>
    </cfRule>
  </conditionalFormatting>
  <conditionalFormatting sqref="J22:J29 K22">
    <cfRule type="expression" dxfId="2080" priority="35">
      <formula>ABS(J$25-J$28)&gt;=1000</formula>
    </cfRule>
  </conditionalFormatting>
  <conditionalFormatting sqref="K23:K29 L25 L28">
    <cfRule type="expression" dxfId="2079" priority="34">
      <formula>ABS(K$25-K$28)&gt;=1000</formula>
    </cfRule>
  </conditionalFormatting>
  <conditionalFormatting sqref="L22:L24 L26:L27 L29">
    <cfRule type="expression" dxfId="2078" priority="33">
      <formula>ABS(L$25-L$28)&gt;=1000</formula>
    </cfRule>
  </conditionalFormatting>
  <conditionalFormatting sqref="M22:M29">
    <cfRule type="expression" dxfId="2077" priority="32">
      <formula>ABS(M$25-M$28)&gt;=1000</formula>
    </cfRule>
  </conditionalFormatting>
  <conditionalFormatting sqref="N22:N29">
    <cfRule type="expression" dxfId="2076" priority="31">
      <formula>ABS(N$25-N$28)&gt;=1000</formula>
    </cfRule>
  </conditionalFormatting>
  <conditionalFormatting sqref="O22:O29">
    <cfRule type="expression" dxfId="2075" priority="30">
      <formula>ABS(O$25-O$28)&gt;=1000</formula>
    </cfRule>
  </conditionalFormatting>
  <conditionalFormatting sqref="P22:P29">
    <cfRule type="expression" dxfId="2074" priority="29">
      <formula>ABS(P$25-P$28)&gt;=1000</formula>
    </cfRule>
  </conditionalFormatting>
  <conditionalFormatting sqref="Q22:Q29">
    <cfRule type="expression" dxfId="2073" priority="28">
      <formula>ABS(Q$25-Q$28)&gt;=1000</formula>
    </cfRule>
  </conditionalFormatting>
  <conditionalFormatting sqref="R22:R29">
    <cfRule type="expression" dxfId="2072" priority="27">
      <formula>ABS(R$25-R$28)&gt;=1000</formula>
    </cfRule>
  </conditionalFormatting>
  <conditionalFormatting sqref="S22:S29">
    <cfRule type="expression" dxfId="2071" priority="26">
      <formula>ABS(S$25-S$28)&gt;=1000</formula>
    </cfRule>
  </conditionalFormatting>
  <conditionalFormatting sqref="T22:T29">
    <cfRule type="expression" dxfId="2070" priority="25">
      <formula>ABS(T$25-T$28)&gt;=1000</formula>
    </cfRule>
  </conditionalFormatting>
  <conditionalFormatting sqref="U22:U29">
    <cfRule type="expression" dxfId="2069" priority="24">
      <formula>ABS(U$25-U$28)&gt;=1000</formula>
    </cfRule>
  </conditionalFormatting>
  <conditionalFormatting sqref="V22:V29">
    <cfRule type="expression" dxfId="2068" priority="23">
      <formula>ABS(V$25-V$28)&gt;=1000</formula>
    </cfRule>
  </conditionalFormatting>
  <conditionalFormatting sqref="W22:W29">
    <cfRule type="expression" dxfId="2067" priority="22">
      <formula>ABS(W$25-W$28)&gt;=1000</formula>
    </cfRule>
  </conditionalFormatting>
  <conditionalFormatting sqref="X22:X29">
    <cfRule type="expression" dxfId="2066" priority="21">
      <formula>ABS(X$25-X$28)&gt;=1000</formula>
    </cfRule>
  </conditionalFormatting>
  <conditionalFormatting sqref="Y22:Y29">
    <cfRule type="expression" dxfId="2065" priority="20">
      <formula>ABS(Y$25-Y$28)&gt;=1000</formula>
    </cfRule>
  </conditionalFormatting>
  <conditionalFormatting sqref="I23">
    <cfRule type="expression" dxfId="2064" priority="19">
      <formula>ABS(I$25-I$28)&gt;=1000</formula>
    </cfRule>
  </conditionalFormatting>
  <conditionalFormatting sqref="F14">
    <cfRule type="expression" dxfId="2063" priority="18">
      <formula>ABS(F$16-F$19)&gt;=1000</formula>
    </cfRule>
  </conditionalFormatting>
  <conditionalFormatting sqref="Q14">
    <cfRule type="expression" dxfId="2062" priority="17">
      <formula>ABS(Q$16-Q$19)&gt;=1000</formula>
    </cfRule>
  </conditionalFormatting>
  <conditionalFormatting sqref="W14">
    <cfRule type="expression" dxfId="2061" priority="16">
      <formula>ABS(W$16-W$19)&gt;=1000</formula>
    </cfRule>
  </conditionalFormatting>
  <conditionalFormatting sqref="Y14">
    <cfRule type="expression" dxfId="2060" priority="15">
      <formula>ABS(Y$16-Y$19)&gt;=1000</formula>
    </cfRule>
  </conditionalFormatting>
  <conditionalFormatting sqref="X14">
    <cfRule type="expression" dxfId="2059" priority="14">
      <formula>ABS(X$16-X$19)&gt;=1000</formula>
    </cfRule>
  </conditionalFormatting>
  <conditionalFormatting sqref="T10:Y10">
    <cfRule type="expression" dxfId="2058" priority="13">
      <formula>ABS(T$7-T$10)&gt;=1000</formula>
    </cfRule>
  </conditionalFormatting>
  <conditionalFormatting sqref="W19">
    <cfRule type="expression" dxfId="2057" priority="12">
      <formula>ABS(W$16-W$19)&gt;=1000</formula>
    </cfRule>
  </conditionalFormatting>
  <conditionalFormatting sqref="AC5">
    <cfRule type="expression" dxfId="2056" priority="11">
      <formula>ABS(AC$7-AC$10)&gt;=1000</formula>
    </cfRule>
  </conditionalFormatting>
  <conditionalFormatting sqref="M14">
    <cfRule type="expression" dxfId="2055" priority="10">
      <formula>ABS(M$16-M$19)&gt;=1000</formula>
    </cfRule>
  </conditionalFormatting>
  <conditionalFormatting sqref="M16">
    <cfRule type="expression" dxfId="2054" priority="9">
      <formula>ABS(M$16-M$19)&gt;=1000</formula>
    </cfRule>
  </conditionalFormatting>
  <conditionalFormatting sqref="M19">
    <cfRule type="expression" dxfId="2053" priority="8">
      <formula>ABS(M$16-M$19)&gt;=1000</formula>
    </cfRule>
  </conditionalFormatting>
  <conditionalFormatting sqref="K13:K20">
    <cfRule type="expression" dxfId="2052" priority="7">
      <formula>ABS(K$16-K$19)&gt;=1000</formula>
    </cfRule>
  </conditionalFormatting>
  <conditionalFormatting sqref="E5">
    <cfRule type="expression" dxfId="2051" priority="6">
      <formula>ABS(E$7-E$10)&gt;=1000</formula>
    </cfRule>
  </conditionalFormatting>
  <conditionalFormatting sqref="AB14:AC14">
    <cfRule type="expression" dxfId="2050" priority="5">
      <formula>ABS(AB$16-AB$19)&gt;=1000</formula>
    </cfRule>
  </conditionalFormatting>
  <conditionalFormatting sqref="M5">
    <cfRule type="expression" dxfId="2049" priority="4">
      <formula>ABS(M$7-M$10)&gt;=1000</formula>
    </cfRule>
  </conditionalFormatting>
  <conditionalFormatting sqref="N5">
    <cfRule type="expression" dxfId="2048" priority="3">
      <formula>ABS(N$7-N$10)&gt;=1000</formula>
    </cfRule>
  </conditionalFormatting>
  <conditionalFormatting sqref="O5">
    <cfRule type="expression" dxfId="2047" priority="2">
      <formula>ABS(O$7-O$10)&gt;=1000</formula>
    </cfRule>
  </conditionalFormatting>
  <conditionalFormatting sqref="P5">
    <cfRule type="expression" dxfId="204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24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274320</xdr:rowOff>
                  </from>
                  <to>
                    <xdr:col>32</xdr:col>
                    <xdr:colOff>327660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0">
    <pageSetUpPr fitToPage="1"/>
  </sheetPr>
  <dimension ref="A1:CU223"/>
  <sheetViews>
    <sheetView view="pageBreakPreview" topLeftCell="A19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45756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47" t="s" ph="1">
        <v>178</v>
      </c>
      <c r="D6" s="71">
        <v>4180</v>
      </c>
      <c r="E6" s="71">
        <v>4249</v>
      </c>
      <c r="F6" s="71">
        <v>3216</v>
      </c>
      <c r="G6" s="71">
        <v>1904</v>
      </c>
      <c r="H6" s="71">
        <v>4406</v>
      </c>
      <c r="I6" s="71">
        <v>16</v>
      </c>
      <c r="J6" s="71">
        <v>7.72</v>
      </c>
      <c r="K6" s="71">
        <v>7.2</v>
      </c>
      <c r="L6" s="71">
        <v>46.61</v>
      </c>
      <c r="M6" s="71">
        <v>2731</v>
      </c>
      <c r="N6" s="71">
        <v>2351</v>
      </c>
      <c r="O6" s="71">
        <v>74</v>
      </c>
      <c r="P6" s="71">
        <v>7572</v>
      </c>
      <c r="Q6" s="71">
        <v>7018</v>
      </c>
      <c r="R6" s="71">
        <v>7136</v>
      </c>
      <c r="S6" s="71">
        <v>5202</v>
      </c>
      <c r="T6" s="71">
        <v>7152</v>
      </c>
      <c r="U6" s="71">
        <v>7017</v>
      </c>
      <c r="V6" s="71">
        <v>840</v>
      </c>
      <c r="W6" s="71">
        <v>0</v>
      </c>
      <c r="X6" s="71">
        <v>0</v>
      </c>
      <c r="Y6" s="71">
        <v>0</v>
      </c>
      <c r="Z6" s="71">
        <v>6199</v>
      </c>
      <c r="AA6" s="71">
        <v>1571</v>
      </c>
      <c r="AB6" s="71">
        <v>2427</v>
      </c>
      <c r="AC6" s="71">
        <v>4676</v>
      </c>
      <c r="AD6" s="71">
        <v>1338</v>
      </c>
      <c r="AE6" s="71">
        <v>1163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131418.76950180001</v>
      </c>
      <c r="E7" s="73" ph="1">
        <f>E6*51.53*LOOKUP(E8,密度!$A$2:$A$50,密度!$B$2:$B$50)</f>
        <v>171679.45557700002</v>
      </c>
      <c r="F7" s="73" ph="1">
        <f>F6*33.183*LOOKUP(F8,密度!$A$2:$A$50,密度!$C$2:$C$50)</f>
        <v>118732.8090528</v>
      </c>
      <c r="G7" s="73" ph="1">
        <f xml:space="preserve"> (G6+2)*51.53*LOOKUP(G8,密度!$A$2:$A$50,密度!$B$2:$B$50)</f>
        <v>77011.306738000014</v>
      </c>
      <c r="H7" s="73" ph="1">
        <f>(H6)*51.53*LOOKUP(H8,密度!$A$2:$A$50,密度!$B$2:$B$50)</f>
        <v>178726.816896</v>
      </c>
      <c r="I7" s="73" ph="1">
        <f>I6*290.8*1.0267</f>
        <v>4777.0297600000004</v>
      </c>
      <c r="J7" s="73" ph="1">
        <f>J6*290.8*0.7892</f>
        <v>1771.7350592</v>
      </c>
      <c r="K7" s="73" ph="1">
        <f>K6*290.8*1.1126</f>
        <v>2329.5173760000002</v>
      </c>
      <c r="L7" s="73" ph="1">
        <f>L6*290.8*0.777</f>
        <v>10531.604076</v>
      </c>
      <c r="M7" s="73" ph="1">
        <f>M6*33.183*LOOKUP(M8,密度!$A$2:$A$50,密度!$D$2:$D$50)</f>
        <v>93296.144803500007</v>
      </c>
      <c r="N7" s="73" ph="1">
        <f>N6*33.183*LOOKUP(N8,密度!$A$2:$A$50,密度!$E$2:$E$50)</f>
        <v>61287.195844799993</v>
      </c>
      <c r="O7" s="73" ph="1">
        <f>O6*20.428*LOOKUP(O8,密度!$A$2:$A$50,密度!$C$2:$C$50)</f>
        <v>1676.2930808000001</v>
      </c>
      <c r="P7" s="73" ph="1">
        <f>P6*51.53*LOOKUP(P8,密度!$A$2:$A$50,密度!$B$2:$B$50)</f>
        <v>304890.68402400002</v>
      </c>
      <c r="Q7" s="73" ph="1">
        <f>Q6*1.5*1.5*3.1416*LOOKUP(W8,密度!$A$2:$A$50,密度!$L$2:$L$50)</f>
        <v>46630.988711999998</v>
      </c>
      <c r="R7" s="73" ph="1">
        <f>R6*1.5*1.5*3.1416*LOOKUP(R8,密度!$A$2:$A$50,密度!$L$2:$L$50)</f>
        <v>47112.388646400002</v>
      </c>
      <c r="S7" s="73" ph="1">
        <f>S6*1.5*1.5*3.1416*LOOKUP(S8,密度!$A$2:$A$50,密度!$L$2:$L$50)</f>
        <v>34785.2309112</v>
      </c>
      <c r="T7" s="73" ph="1">
        <f>T6*1.5*1.5*3.1416*LOOKUP(T8,密度!$A$2:$A$50,密度!$L$2:$L$50)</f>
        <v>47723.568076800002</v>
      </c>
      <c r="U7" s="73" ph="1">
        <f>U6*1.5*1.5*3.1416*LOOKUP(U8,密度!$A$2:$A$50,密度!$L$2:$L$50)</f>
        <v>46574.743861799994</v>
      </c>
      <c r="V7" s="73" ph="1">
        <f>V6*1.5*1.5*3.1416*LOOKUP(V8,密度!$A$2:$A$50,密度!$L$2:$L$50)</f>
        <v>5545.7408160000005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193359.33197999999</v>
      </c>
      <c r="AA7" s="73" ph="1">
        <f>AA6*33.183*LOOKUP(AA8,密度!$A$2:$A$50,密度!$D$2:$D$50)</f>
        <v>53668.34254350001</v>
      </c>
      <c r="AB7" s="73" ph="1">
        <f>AB6*20.428*LOOKUP(AB8,密度!$A$2:$A$50,密度!$D$2:$D$50)</f>
        <v>51433.001474400007</v>
      </c>
      <c r="AC7" s="73" ph="1">
        <f>AC6*51.53*LOOKUP(AC8,密度!$A$2:$A$50,密度!$Q$2:$Q$50)</f>
        <v>229202.93976440001</v>
      </c>
      <c r="AD7" s="73" ph="1">
        <f>AD6*20.428*LOOKUP(AD8,密度!$A$2:$A$50,密度!$V$2:$V$50)</f>
        <v>26348.688095999998</v>
      </c>
      <c r="AE7" s="73" ph="1">
        <f>AE6*20.428</f>
        <v>23757.763999999999</v>
      </c>
    </row>
    <row r="8" spans="1:99" ph="1">
      <c r="B8" s="195" ph="1"/>
      <c r="C8" s="68" t="s" ph="1">
        <v>180</v>
      </c>
      <c r="D8" s="74">
        <v>24</v>
      </c>
      <c r="E8" s="74">
        <v>20</v>
      </c>
      <c r="F8" s="74">
        <v>20</v>
      </c>
      <c r="G8" s="74">
        <v>20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25</v>
      </c>
      <c r="P8" s="74">
        <v>23</v>
      </c>
      <c r="Q8" s="74">
        <v>20</v>
      </c>
      <c r="R8" s="74">
        <v>28</v>
      </c>
      <c r="S8" s="74">
        <v>16</v>
      </c>
      <c r="T8" s="74">
        <v>18</v>
      </c>
      <c r="U8" s="74">
        <v>23</v>
      </c>
      <c r="V8" s="74">
        <v>28</v>
      </c>
      <c r="W8" s="74">
        <v>22</v>
      </c>
      <c r="X8" s="74">
        <v>14</v>
      </c>
      <c r="Y8" s="74">
        <v>22</v>
      </c>
      <c r="Z8" s="74">
        <v>22</v>
      </c>
      <c r="AA8" s="74">
        <v>22</v>
      </c>
      <c r="AB8" s="74">
        <v>13</v>
      </c>
      <c r="AC8" s="74">
        <v>19</v>
      </c>
      <c r="AD8" s="74">
        <v>20</v>
      </c>
      <c r="AE8" s="74">
        <v>29</v>
      </c>
    </row>
    <row r="9" spans="1:99" ht="26.4" ph="1">
      <c r="B9" s="195" ph="1">
        <v>0.66666666666666663</v>
      </c>
      <c r="C9" s="147" t="s" ph="1">
        <v>181</v>
      </c>
      <c r="D9" s="71">
        <v>4180</v>
      </c>
      <c r="E9" s="71">
        <v>4248</v>
      </c>
      <c r="F9" s="71">
        <v>3219</v>
      </c>
      <c r="G9" s="71">
        <v>2955</v>
      </c>
      <c r="H9" s="71">
        <v>4118</v>
      </c>
      <c r="I9" s="71">
        <v>16.010000000000002</v>
      </c>
      <c r="J9" s="71">
        <v>7.72</v>
      </c>
      <c r="K9" s="71">
        <v>7.31</v>
      </c>
      <c r="L9" s="71">
        <v>36.03</v>
      </c>
      <c r="M9" s="71">
        <v>2616</v>
      </c>
      <c r="N9" s="71">
        <v>2353</v>
      </c>
      <c r="O9" s="71">
        <v>73</v>
      </c>
      <c r="P9" s="71">
        <v>2783</v>
      </c>
      <c r="Q9" s="71">
        <v>4319</v>
      </c>
      <c r="R9" s="71">
        <v>7143</v>
      </c>
      <c r="S9" s="71">
        <v>6708</v>
      </c>
      <c r="T9" s="71">
        <v>7159</v>
      </c>
      <c r="U9" s="71">
        <v>7024</v>
      </c>
      <c r="V9" s="71">
        <v>6993</v>
      </c>
      <c r="W9" s="71">
        <v>0</v>
      </c>
      <c r="X9" s="71">
        <v>0</v>
      </c>
      <c r="Y9" s="71">
        <v>3159</v>
      </c>
      <c r="Z9" s="71">
        <v>5474</v>
      </c>
      <c r="AA9" s="71">
        <v>1573</v>
      </c>
      <c r="AB9" s="71">
        <v>2427</v>
      </c>
      <c r="AC9" s="71">
        <v>4677</v>
      </c>
      <c r="AD9" s="71">
        <v>1337</v>
      </c>
      <c r="AE9" s="71">
        <v>1660</v>
      </c>
    </row>
    <row r="10" spans="1:99" s="72" customFormat="1" ht="22.2" ph="1">
      <c r="B10" s="195" ph="1"/>
      <c r="C10" s="147" t="s" ph="1">
        <v>179</v>
      </c>
      <c r="D10" s="73" ph="1">
        <f>D9*33.183*LOOKUP(D11,密度!$A$2:$A$50,密度!$Q$2:$Q$50)</f>
        <v>131317.5148956</v>
      </c>
      <c r="E10" s="73" ph="1">
        <f>E9*51.53*LOOKUP(E11,密度!$A$2:$A$50,密度!$B$2:$B$50)</f>
        <v>170084.86488000001</v>
      </c>
      <c r="F10" s="73" ph="1">
        <f>F9*33.183*LOOKUP(F11,密度!$A$2:$A$50,密度!$C$2:$C$50)</f>
        <v>118683.34315470001</v>
      </c>
      <c r="G10" s="73" ph="1">
        <f xml:space="preserve"> (G9+2)*51.53*LOOKUP(G11,密度!$A$2:$A$50,密度!$B$2:$B$50)</f>
        <v>118790.93411599999</v>
      </c>
      <c r="H10" s="73" ph="1">
        <f>(H9)*51.53*LOOKUP(H11,密度!$A$2:$A$50,密度!$B$2:$B$50)</f>
        <v>164879.81958000001</v>
      </c>
      <c r="I10" s="73" ph="1">
        <f>I9*290.8*1.0267</f>
        <v>4780.0154036000004</v>
      </c>
      <c r="J10" s="73" ph="1">
        <f>J9*290.8*0.7892</f>
        <v>1771.7350592</v>
      </c>
      <c r="K10" s="73" ph="1">
        <f>K9*290.8*1.1126</f>
        <v>2365.1072248</v>
      </c>
      <c r="L10" s="73" ph="1">
        <f>L9*290.8*0.777</f>
        <v>8141.036148000001</v>
      </c>
      <c r="M10" s="73" ph="1">
        <f>M9*33.183*LOOKUP(M11,密度!$A$2:$A$50,密度!$D$2:$D$50)</f>
        <v>88959.534854400001</v>
      </c>
      <c r="N10" s="73" ph="1">
        <f>N9*33.183*LOOKUP(N11,密度!$A$2:$A$50,密度!$E$2:$E$50)</f>
        <v>61151.941936800002</v>
      </c>
      <c r="O10" s="73" ph="1">
        <f>O9*20.428*LOOKUP(O11,密度!$A$2:$A$50,密度!$C$2:$C$50)</f>
        <v>1632.3156824000002</v>
      </c>
      <c r="P10" s="73" ph="1">
        <f>P9*51.53*LOOKUP(P11,密度!$A$2:$A$50,密度!$B$2:$B$50)</f>
        <v>111428.00822999999</v>
      </c>
      <c r="Q10" s="73" ph="1">
        <f>Q9*1.5*1.5*3.1416*LOOKUP(W11,密度!$A$2:$A$50,密度!$L$2:$L$50)</f>
        <v>28147.9992948</v>
      </c>
      <c r="R10" s="73" ph="1">
        <f>R9*1.5*1.5*3.1416*LOOKUP(R11,密度!$A$2:$A$50,密度!$L$2:$L$50)</f>
        <v>47057.621133600005</v>
      </c>
      <c r="S10" s="73" ph="1">
        <f>S9*1.5*1.5*3.1416*LOOKUP(S11,密度!$A$2:$A$50,密度!$L$2:$L$50)</f>
        <v>44760.8633472</v>
      </c>
      <c r="T10" s="73" ph="1">
        <f>T9*1.5*1.5*3.1416*LOOKUP(T11,密度!$A$2:$A$50,密度!$L$2:$L$50)</f>
        <v>47669.069170800001</v>
      </c>
      <c r="U10" s="73" ph="1">
        <f>U9*1.5*1.5*3.1416*LOOKUP(U11,密度!$A$2:$A$50,密度!$L$2:$L$50)</f>
        <v>46571.555923200001</v>
      </c>
      <c r="V10" s="73" ph="1">
        <f>V9*1.5*1.5*3.1416*LOOKUP(V11,密度!$A$2:$A$50,密度!$L$2:$L$50)</f>
        <v>46168.2922932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20945.265541199999</v>
      </c>
      <c r="Z10" s="73" ph="1">
        <f>Z9*33.183*LOOKUP(Z11,密度!$A$2:$A$50,密度!$L$2:$L$50)</f>
        <v>170018.54251200001</v>
      </c>
      <c r="AA10" s="73" ph="1">
        <f>AA9*33.183*LOOKUP(AA11,密度!$A$2:$A$50,密度!$D$2:$D$50)</f>
        <v>53392.16707109999</v>
      </c>
      <c r="AB10" s="73" ph="1">
        <f>AB9*20.428*LOOKUP(AB11,密度!$A$2:$A$50,密度!$D$2:$D$50)</f>
        <v>51517.285359599999</v>
      </c>
      <c r="AC10" s="73" ph="1">
        <f>AC9*51.53*LOOKUP(AC11,密度!$A$2:$A$50,密度!$Q$2:$Q$50)</f>
        <v>228169.84055940001</v>
      </c>
      <c r="AD10" s="73" ph="1">
        <f>AD9*20.428*LOOKUP(AD11,密度!$A$2:$A$50,密度!$V$2:$V$50)</f>
        <v>26154.197193600001</v>
      </c>
      <c r="AE10" s="73" ph="1">
        <f>AE9*20.428</f>
        <v>33910.480000000003</v>
      </c>
    </row>
    <row r="11" spans="1:99" ph="1">
      <c r="A11" s="64" t="s" ph="1">
        <v>163</v>
      </c>
      <c r="B11" s="195" ph="1"/>
      <c r="C11" s="147" t="s" ph="1">
        <v>180</v>
      </c>
      <c r="D11" s="74">
        <v>25</v>
      </c>
      <c r="E11" s="74">
        <v>28</v>
      </c>
      <c r="F11" s="74">
        <v>22</v>
      </c>
      <c r="G11" s="74">
        <v>25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25</v>
      </c>
      <c r="O11" s="74">
        <v>40</v>
      </c>
      <c r="P11" s="74">
        <v>28</v>
      </c>
      <c r="Q11" s="74">
        <v>24</v>
      </c>
      <c r="R11" s="74">
        <v>30</v>
      </c>
      <c r="S11" s="74">
        <v>18</v>
      </c>
      <c r="T11" s="74">
        <v>20</v>
      </c>
      <c r="U11" s="74">
        <v>24</v>
      </c>
      <c r="V11" s="74">
        <v>28</v>
      </c>
      <c r="W11" s="74">
        <v>40</v>
      </c>
      <c r="X11" s="74">
        <v>26</v>
      </c>
      <c r="Y11" s="74">
        <v>24</v>
      </c>
      <c r="Z11" s="74">
        <v>26</v>
      </c>
      <c r="AA11" s="74">
        <v>29</v>
      </c>
      <c r="AB11" s="74">
        <v>11</v>
      </c>
      <c r="AC11" s="74">
        <v>25</v>
      </c>
      <c r="AD11" s="74">
        <v>27</v>
      </c>
      <c r="AE11" s="74">
        <v>35</v>
      </c>
    </row>
    <row r="12" spans="1:99" ht="9.9" customHeight="1" ph="1"/>
    <row r="13" spans="1:99" s="72" customFormat="1" ht="29.25" customHeight="1" ph="1">
      <c r="B13" s="203" t="s" ph="1">
        <v>37</v>
      </c>
      <c r="C13" s="14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47" t="s" ph="1">
        <v>178</v>
      </c>
      <c r="D15" s="78">
        <v>5202</v>
      </c>
      <c r="E15" s="78">
        <v>1042</v>
      </c>
      <c r="F15" s="78">
        <v>3965</v>
      </c>
      <c r="G15" s="78">
        <v>1367</v>
      </c>
      <c r="H15" s="78">
        <v>4511</v>
      </c>
      <c r="I15" s="78">
        <v>3</v>
      </c>
      <c r="J15" s="78">
        <v>2279</v>
      </c>
      <c r="K15" s="78">
        <v>1899</v>
      </c>
      <c r="L15" s="78">
        <v>3674</v>
      </c>
      <c r="M15" s="78">
        <v>1282</v>
      </c>
      <c r="N15" s="78">
        <v>3657</v>
      </c>
      <c r="O15" s="78">
        <v>7119</v>
      </c>
      <c r="P15" s="78">
        <v>6923</v>
      </c>
      <c r="Q15" s="78">
        <v>3522</v>
      </c>
      <c r="R15" s="78">
        <v>3505</v>
      </c>
      <c r="S15" s="78">
        <v>6850</v>
      </c>
      <c r="T15" s="78">
        <v>954</v>
      </c>
      <c r="U15" s="78">
        <v>5971</v>
      </c>
      <c r="V15" s="78">
        <v>1103</v>
      </c>
      <c r="W15" s="71">
        <v>3786</v>
      </c>
      <c r="X15" s="78">
        <v>155</v>
      </c>
      <c r="Y15" s="106">
        <v>-9905</v>
      </c>
      <c r="Z15" s="78">
        <v>0</v>
      </c>
      <c r="AA15" s="78">
        <v>4235</v>
      </c>
      <c r="AB15" s="78" ph="1">
        <v>6901</v>
      </c>
      <c r="AC15" s="78" ph="1">
        <v>6547</v>
      </c>
      <c r="AD15" s="78">
        <v>5.62</v>
      </c>
      <c r="AE15" s="78">
        <v>72.510000000000005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47" t="s" ph="1">
        <v>179</v>
      </c>
      <c r="D16" s="73" ph="1">
        <f>D15*7.0686*LOOKUP(D17,密度!$A$2:$A$50,密度!$L$2:$L$50)</f>
        <v>34564.605767999994</v>
      </c>
      <c r="E16" s="73" ph="1">
        <f>E15*7.0686*LOOKUP(E17,密度!$A$2:$A$50,密度!$L$2:$L$50)</f>
        <v>6923.5523279999998</v>
      </c>
      <c r="F16" s="73" ph="1">
        <f>F15*9.0746*LOOKUP(F17,密度!$A$2:$A$50,密度!$L$2:$L$50)</f>
        <v>33893.903237999999</v>
      </c>
      <c r="G16" s="73" ph="1">
        <f>G15*9.0746*LOOKUP(G17,密度!$A$2:$A$50,密度!$B$2:$B$50)</f>
        <v>9704.4144458600003</v>
      </c>
      <c r="H16" s="73" ph="1">
        <f>H15*9.0746*LOOKUP(H17,密度!$A$2:$A$50,密度!$L$2:$L$50)</f>
        <v>38602.195925799999</v>
      </c>
      <c r="I16" s="73" ph="1">
        <f>I15*9.0746*LOOKUP(I17,密度!$A$2:$A$50,密度!$U$2:$U$50)</f>
        <v>27.986066400000002</v>
      </c>
      <c r="J16" s="73" ph="1">
        <f>J15*9.0746*LOOKUP(J17,密度!$A$2:$A$50,密度!$L$2:$L$50)</f>
        <v>19398.790569199999</v>
      </c>
      <c r="K16" s="73" ph="1">
        <f>K15*9.0746*LOOKUP(K17,密度!$A$2:$A$50,密度!$C$2:$C$50)</f>
        <v>19147.214525940002</v>
      </c>
      <c r="L16" s="73" ph="1">
        <f>L15*9.0746*LOOKUP(L17,密度!$A$2:$A$50,密度!$E$2:$E$50)</f>
        <v>26151.959065759998</v>
      </c>
      <c r="M16" s="73" ph="1">
        <f>M15*9.0746*LOOKUP(M17,密度!$A$2:$A$50,密度!$M$2:$M$50)</f>
        <v>10202.699824400001</v>
      </c>
      <c r="N16" s="73" ph="1">
        <f>N15*9.0746*LOOKUP(N17,密度!$A$2:$A$50,密度!$M$2:$M$50)</f>
        <v>29213.470479659998</v>
      </c>
      <c r="O16" s="73" ph="1">
        <f>O15*9.0746*LOOKUP(O17,密度!$A$2:$A$50,密度!$G$2:$G$50)</f>
        <v>62399.146560660003</v>
      </c>
      <c r="P16" s="73" ph="1">
        <f ca="1">P15*9.0746*LOOKUP(P17,密度!$A$2:$A$51,密度!$Q$2:$Q$50)</f>
        <v>59569.200789560004</v>
      </c>
      <c r="Q16" s="73" ph="1">
        <f>Q15*9.0746*LOOKUP(Q17,密度!$A$2:$A$50,密度!$Q$2:$Q$50)</f>
        <v>30333.619865508001</v>
      </c>
      <c r="R16" s="73" ph="1">
        <f>MAX(R15*9.0746*LOOKUP(R17,密度!$A$2:$A$50,密度!$B$2:$B$50),0)</f>
        <v>24796.326350800002</v>
      </c>
      <c r="S16" s="73" ph="1">
        <f>S15*9.0746*LOOKUP(S17,密度!$A$2:$A$50,密度!$Q$2:$Q$50)</f>
        <v>58996.392980900004</v>
      </c>
      <c r="T16" s="73" ph="1">
        <f>T15*9.0746*LOOKUP(T17,密度!$A$2:$A$50,密度!$O$2:$O$50)</f>
        <v>8051.1666120000009</v>
      </c>
      <c r="U16" s="73" ph="1">
        <f>U15*9.0746*LOOKUP(U17,密度!$A$2:$A$50,密度!$H$2:$H$50)</f>
        <v>49730.475911479996</v>
      </c>
      <c r="V16" s="73" ph="1">
        <f>MAX(5600*LOOKUP(V17,密度!$A$2:$A$50,密度!$Q$2:$Q$50)+V15*9.0476*LOOKUP(V17,密度!$A$2:$A$50,密度!$Q$2:$Q$50),0)</f>
        <v>14772.48455496</v>
      </c>
      <c r="W16" s="73" ph="1">
        <f>MAX(5600*LOOKUP(W17,密度!$A$2:$A$50,密度!$Q$2:$Q$50)+W15*9.0476*LOOKUP(W17,密度!$A$2:$A$50,密度!$Q$2:$Q$50),0)</f>
        <v>37674.985200351999</v>
      </c>
      <c r="X16" s="73" ph="1">
        <f>MAX(5600*LOOKUP(X17,密度!$A$2:$A$50,密度!$I$2:$I$50)+X15*9.0476*LOOKUP(X17,密度!$A$2:$A$50,密度!$I$2:$I$50),0)</f>
        <v>7320.2859612000011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30164.437741900005</v>
      </c>
      <c r="AB16" s="73" ph="1">
        <f>AB15*9.0746*LOOKUP(AB17,密度!$A$2:$A$50,密度!$L$2:$L$50)</f>
        <v>58803.761909400004</v>
      </c>
      <c r="AC16" s="73" ph="1">
        <f>AC15*9.0746*LOOKUP(AC17,密度!$A$2:$A$50,密度!$L$2:$L$50)</f>
        <v>55965.544640400003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16409.01050928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22</v>
      </c>
      <c r="E17" s="74">
        <v>22</v>
      </c>
      <c r="F17" s="74">
        <v>20</v>
      </c>
      <c r="G17" s="74">
        <v>22</v>
      </c>
      <c r="H17" s="74">
        <v>19</v>
      </c>
      <c r="I17" s="74">
        <v>20</v>
      </c>
      <c r="J17" s="74">
        <v>24</v>
      </c>
      <c r="K17" s="74">
        <v>22</v>
      </c>
      <c r="L17" s="74">
        <v>24</v>
      </c>
      <c r="M17" s="74">
        <v>23</v>
      </c>
      <c r="N17" s="74">
        <v>20</v>
      </c>
      <c r="O17" s="74">
        <v>20</v>
      </c>
      <c r="P17" s="74">
        <v>23</v>
      </c>
      <c r="Q17" s="74">
        <v>22</v>
      </c>
      <c r="R17" s="74">
        <v>25</v>
      </c>
      <c r="S17" s="74">
        <v>22</v>
      </c>
      <c r="T17" s="74">
        <v>21</v>
      </c>
      <c r="U17" s="74">
        <v>22</v>
      </c>
      <c r="V17" s="74">
        <v>23</v>
      </c>
      <c r="W17" s="74">
        <v>27</v>
      </c>
      <c r="X17" s="74">
        <v>22</v>
      </c>
      <c r="Y17" s="108">
        <v>22</v>
      </c>
      <c r="Z17" s="74">
        <v>22</v>
      </c>
      <c r="AA17" s="74">
        <v>19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5211</v>
      </c>
      <c r="E18" s="71">
        <v>1043</v>
      </c>
      <c r="F18" s="71">
        <v>1815</v>
      </c>
      <c r="G18" s="71">
        <v>1387</v>
      </c>
      <c r="H18" s="71">
        <v>4516</v>
      </c>
      <c r="I18" s="71">
        <v>0</v>
      </c>
      <c r="J18" s="71">
        <v>2281</v>
      </c>
      <c r="K18" s="71">
        <v>1899</v>
      </c>
      <c r="L18" s="71">
        <v>1786</v>
      </c>
      <c r="M18" s="71">
        <v>1281</v>
      </c>
      <c r="N18" s="71">
        <v>5330</v>
      </c>
      <c r="O18" s="71">
        <v>7128</v>
      </c>
      <c r="P18" s="71">
        <v>6938</v>
      </c>
      <c r="Q18" s="71">
        <v>3517</v>
      </c>
      <c r="R18" s="71">
        <v>3509</v>
      </c>
      <c r="S18" s="71">
        <v>6861</v>
      </c>
      <c r="T18" s="71">
        <v>6674</v>
      </c>
      <c r="U18" s="71">
        <v>1913</v>
      </c>
      <c r="V18" s="71">
        <v>1102</v>
      </c>
      <c r="W18" s="71">
        <v>3784</v>
      </c>
      <c r="X18" s="71">
        <v>155</v>
      </c>
      <c r="Y18" s="109">
        <v>-9907</v>
      </c>
      <c r="Z18" s="71">
        <v>0</v>
      </c>
      <c r="AA18" s="71">
        <v>4239</v>
      </c>
      <c r="AB18" s="71">
        <v>6911</v>
      </c>
      <c r="AC18" s="71">
        <v>5300</v>
      </c>
      <c r="AD18" s="71">
        <v>26.12</v>
      </c>
      <c r="AE18" s="71">
        <v>84.71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47" t="s" ph="1">
        <v>179</v>
      </c>
      <c r="D19" s="73" ph="1">
        <f>D18*7.0686*LOOKUP(D20,密度!$A$2:$A$50,密度!$L$2:$L$50)</f>
        <v>34477.0682256</v>
      </c>
      <c r="E19" s="73" ph="1">
        <f>E18*7.0686*LOOKUP(E20,密度!$A$2:$A$50,密度!$L$2:$L$50)</f>
        <v>6900.7066128000006</v>
      </c>
      <c r="F19" s="73" ph="1">
        <f>F18*9.0746*LOOKUP(F20,密度!$A$2:$A$50,密度!$L$2:$L$50)</f>
        <v>15350.411868000003</v>
      </c>
      <c r="G19" s="73" ph="1">
        <f>G18*9.0746*LOOKUP(G20,密度!$A$2:$A$50,密度!$B$2:$B$50)</f>
        <v>9812.4121679199998</v>
      </c>
      <c r="H19" s="73" ph="1">
        <f>H18*9.0746*LOOKUP(H20,密度!$A$2:$A$50,密度!$L$2:$L$50)</f>
        <v>38481.059090399998</v>
      </c>
      <c r="I19" s="73" ph="1">
        <f>I18*9.0746*LOOKUP(I20,密度!$A$2:$A$50,密度!$U$2:$U$50)</f>
        <v>0</v>
      </c>
      <c r="J19" s="73" ph="1">
        <f>J18*9.0746*LOOKUP(J20,密度!$A$2:$A$50,密度!$L$2:$L$50)</f>
        <v>19312.3187058</v>
      </c>
      <c r="K19" s="73" ph="1">
        <f>K18*9.0746*LOOKUP(K20,密度!$A$2:$A$50,密度!$C$2:$C$50)</f>
        <v>19083.453663960001</v>
      </c>
      <c r="L19" s="73" ph="1">
        <f>L18*9.0746*LOOKUP(L20,密度!$A$2:$A$50,密度!$E$2:$E$50)</f>
        <v>12657.851003600001</v>
      </c>
      <c r="M19" s="73" ph="1">
        <f>M18*9.0746*LOOKUP(M20,密度!$A$2:$A$50,密度!$M$2:$M$50)</f>
        <v>10136.618587200001</v>
      </c>
      <c r="N19" s="73" ph="1">
        <f>N18*9.0746*LOOKUP(N20,密度!$A$2:$A$50,密度!$M$2:$M$50)</f>
        <v>42326.502511800005</v>
      </c>
      <c r="O19" s="73" ph="1">
        <f>O18*9.0746*LOOKUP(O20,密度!$A$2:$A$50,密度!$G$2:$G$50)</f>
        <v>62109.335597760008</v>
      </c>
      <c r="P19" s="73" ph="1">
        <f ca="1">P18*9.0746*LOOKUP(P20,密度!$A$2:$A$51,密度!$Q$2:$Q$50)</f>
        <v>59472.873547576004</v>
      </c>
      <c r="Q19" s="73" ph="1">
        <f>Q18*9.0746*LOOKUP(Q20,密度!$A$2:$A$50,密度!$Q$2:$Q$50)</f>
        <v>30192.895778246002</v>
      </c>
      <c r="R19" s="73" ph="1">
        <f>MAX(R18*9.0746*LOOKUP(R20,密度!$A$2:$A$50,密度!$B$2:$B$50),0)</f>
        <v>24741.833377800001</v>
      </c>
      <c r="S19" s="73" ph="1">
        <f>S18*9.0746*LOOKUP(S20,密度!$A$2:$A$50,密度!$Q$2:$Q$50)</f>
        <v>58812.825801372004</v>
      </c>
      <c r="T19" s="73" ph="1">
        <f>T18*9.0746*LOOKUP(T20,密度!$A$2:$A$50,密度!$O$2:$O$50)</f>
        <v>56082.153250400006</v>
      </c>
      <c r="U19" s="73" ph="1">
        <f>U18*9.0746*LOOKUP(U20,密度!$A$2:$A$50,密度!$H$2:$H$50)</f>
        <v>15865.03878622</v>
      </c>
      <c r="V19" s="73" ph="1">
        <f>MAX(5600*LOOKUP(V20,密度!$A$2:$A$50,密度!$Q$2:$Q$50)+V18*9.0476*LOOKUP(V20,密度!$A$2:$A$50,密度!$Q$2:$Q$50),0)</f>
        <v>14708.163391023998</v>
      </c>
      <c r="W19" s="73" ph="1">
        <f>MAX(5600*LOOKUP(W20,密度!$A$2:$A$50,密度!$Q$2:$Q$50)+W18*9.0476*LOOKUP(W20,密度!$A$2:$A$50,密度!$Q$2:$Q$50),0)</f>
        <v>37578.605570271997</v>
      </c>
      <c r="X19" s="73" ph="1">
        <f>MAX(5600*LOOKUP(X20,密度!$A$2:$A$50,密度!$I$2:$I$50)+X18*9.0476*LOOKUP(X20,密度!$A$2:$A$50,密度!$I$2:$I$50),0)</f>
        <v>7316.7847721999997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30023.672546700003</v>
      </c>
      <c r="AB19" s="73" ph="1">
        <f>AB18*9.0746*LOOKUP(AB20,密度!$A$2:$A$50,密度!$L$2:$L$50)</f>
        <v>58763.543282200008</v>
      </c>
      <c r="AC19" s="73" ph="1">
        <f>AC18*9.0746*LOOKUP(AC20,密度!$A$2:$A$50,密度!$L$2:$L$50)</f>
        <v>45065.371060000005</v>
      </c>
      <c r="AD19" s="73" ph="1">
        <f>AD18*268.68*LOOKUP(AD20,密度!$A$2:$A$50,密度!B5:B53)+IF(AD18&lt;=0,0,1566*LOOKUP(AD20,密度!$A$2:$A$50,密度!B5:B53))</f>
        <v>6669.7070832000009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26</v>
      </c>
      <c r="E20" s="81">
        <v>26</v>
      </c>
      <c r="F20" s="81">
        <v>30</v>
      </c>
      <c r="G20" s="81">
        <v>25</v>
      </c>
      <c r="H20" s="81">
        <v>23</v>
      </c>
      <c r="I20" s="81">
        <v>30</v>
      </c>
      <c r="J20" s="81">
        <v>29</v>
      </c>
      <c r="K20" s="81">
        <v>27</v>
      </c>
      <c r="L20" s="81">
        <v>27</v>
      </c>
      <c r="M20" s="81">
        <v>28</v>
      </c>
      <c r="N20" s="81">
        <v>25</v>
      </c>
      <c r="O20" s="81">
        <v>25</v>
      </c>
      <c r="P20" s="81">
        <v>28</v>
      </c>
      <c r="Q20" s="81">
        <v>26</v>
      </c>
      <c r="R20" s="81">
        <v>28</v>
      </c>
      <c r="S20" s="81">
        <v>28</v>
      </c>
      <c r="T20" s="81">
        <v>26</v>
      </c>
      <c r="U20" s="81">
        <v>26</v>
      </c>
      <c r="V20" s="81">
        <v>28</v>
      </c>
      <c r="W20" s="81">
        <v>30</v>
      </c>
      <c r="X20" s="81">
        <v>23</v>
      </c>
      <c r="Y20" s="110">
        <v>23</v>
      </c>
      <c r="Z20" s="81">
        <v>35</v>
      </c>
      <c r="AA20" s="81">
        <v>24</v>
      </c>
      <c r="AB20" s="81">
        <v>25</v>
      </c>
      <c r="AC20" s="81">
        <v>25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47" t="s" ph="1">
        <v>178</v>
      </c>
      <c r="D24" s="71">
        <v>3.2</v>
      </c>
      <c r="E24" s="71">
        <v>95.51</v>
      </c>
      <c r="F24" s="71">
        <v>0</v>
      </c>
      <c r="G24" s="71">
        <v>3114</v>
      </c>
      <c r="H24" s="71">
        <v>2209</v>
      </c>
      <c r="I24" s="71">
        <v>4670</v>
      </c>
      <c r="J24" s="71">
        <v>4944</v>
      </c>
      <c r="K24" s="71">
        <v>85</v>
      </c>
      <c r="L24" s="71">
        <v>0</v>
      </c>
      <c r="M24" s="71">
        <v>5412</v>
      </c>
      <c r="N24" s="71">
        <v>5364</v>
      </c>
      <c r="O24" s="71">
        <v>3520</v>
      </c>
      <c r="P24" s="71">
        <v>838</v>
      </c>
      <c r="Q24" s="90">
        <v>3664</v>
      </c>
      <c r="R24" s="71">
        <v>5262</v>
      </c>
      <c r="S24" s="71">
        <v>226</v>
      </c>
      <c r="T24" s="71">
        <v>1754</v>
      </c>
      <c r="U24" s="71">
        <v>5160</v>
      </c>
      <c r="V24" s="71">
        <v>9636</v>
      </c>
      <c r="W24" s="71">
        <v>8758</v>
      </c>
      <c r="X24" s="71">
        <v>5037</v>
      </c>
      <c r="Y24" s="71">
        <v>4819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2296.5791702400002</v>
      </c>
      <c r="E25" s="91" ph="1">
        <f>E24*268.68*LOOKUP(E26,密度!$A$2:$A$50,密度!$C$2:$C$50)+IF(E24&lt;=0,0,1566*LOOKUP(E26,密度!$A$2:$A$50,密度!$C$2:$C$50))</f>
        <v>30192.715358520003</v>
      </c>
      <c r="F25" s="91" ph="1">
        <f>F24*11.702*LOOKUP(F26,密度!$A$2:$A$50,密度!$Q$2:$Q$50)</f>
        <v>0</v>
      </c>
      <c r="G25" s="91" ph="1">
        <f>G24*18.322*LOOKUP(G26,密度!$A$2:$A$50,密度!$B$2:$B$50)</f>
        <v>44633.898068399998</v>
      </c>
      <c r="H25" s="91" ph="1">
        <f>H24*18.322*LOOKUP(H26,密度!$A$2:$A$50,密度!$B$2:$B$50)</f>
        <v>31698.686993599997</v>
      </c>
      <c r="I25" s="91" ph="1">
        <f>I24*18.322*LOOKUP(I26,密度!$A$2:$A$50,密度!$Q$2:$Q$50)</f>
        <v>81207.689996599991</v>
      </c>
      <c r="J25" s="91" ph="1">
        <f>J24*18.322*LOOKUP(J26,密度!$A$2:$A$50,密度!$Q$2:$Q$50)</f>
        <v>85972.338189119997</v>
      </c>
      <c r="K25" s="91" ph="1">
        <f>K24*18.322*LOOKUP(K26,密度!$A$2:$A$50,密度!$Q$2:$Q$50)</f>
        <v>1478.0842932999999</v>
      </c>
      <c r="L25" s="91" ph="1">
        <f>L24*18.322*LOOKUP(L26,密度!$A$2:$A$50,密度!$Q$2:$Q$50)</f>
        <v>0</v>
      </c>
      <c r="M25" s="91" ph="1">
        <f>M24*18.322*LOOKUP(M26,密度!$A$2:$A$50,密度!$Q$2:$Q$50)</f>
        <v>94110.49641575999</v>
      </c>
      <c r="N25" s="91" ph="1">
        <f>N24*18.322*LOOKUP(N26,密度!$A$2:$A$50,密度!$Q$2:$Q$50)</f>
        <v>93275.813520719996</v>
      </c>
      <c r="O25" s="91" ph="1">
        <f>O24*18.322*LOOKUP(O26,密度!$A$2:$A$50,密度!$C$2:$C$50)</f>
        <v>71710.255936000001</v>
      </c>
      <c r="P25" s="91" ph="1">
        <f>P24*11.702*LOOKUP(P26,密度!$A$2:$A$50,密度!$B$2:$B$50)</f>
        <v>7680.2753632000004</v>
      </c>
      <c r="Q25" s="92" ph="1">
        <f>Q24*18.322*LOOKUP(Q26,密度!$A$2:$A$50,密度!$B$2:$B$50)</f>
        <v>52577.632025599996</v>
      </c>
      <c r="R25" s="91" ph="1">
        <f>R24*35.891*LOOKUP(R26,密度!$A$2:$A$50,密度!$C$2:$C$50)</f>
        <v>209991.70165979999</v>
      </c>
      <c r="S25" s="91" ph="1">
        <f>S24*35.891*LOOKUP(S26,密度!$A$2:$A$50,密度!$B$2:$B$50)</f>
        <v>6345.5216217999996</v>
      </c>
      <c r="T25" s="91" ph="1">
        <f>T24*35.891*LOOKUP(T26,密度!$A$2:$A$50,密度!$Q$2:$Q$50)</f>
        <v>59785.657927660002</v>
      </c>
      <c r="U25" s="91" ph="1">
        <f>U24*35.891</f>
        <v>185197.56</v>
      </c>
      <c r="V25" s="91" ph="1">
        <f>V24*47.051*LOOKUP(V26,密度!$A$2:$A$50,密度!$B$2:$B$50)</f>
        <v>354681.86198280001</v>
      </c>
      <c r="W25" s="91" ph="1">
        <f>W24*47.051*LOOKUP(W26,密度!$A$2:$A$50,密度!$B$2:$B$50)</f>
        <v>322735.30574560002</v>
      </c>
      <c r="X25" s="91" ph="1">
        <f>X24*47.051*LOOKUP(X26,密度!$A$2:$A$50,密度!$I$2:$I$50)</f>
        <v>245442.42041267999</v>
      </c>
      <c r="Y25" s="91" ph="1">
        <f>Y24*47.051*LOOKUP(Y26,密度!$A$2:$A$50,密度!$L$2:$L$50)</f>
        <v>213134.44285999998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21</v>
      </c>
      <c r="G26" s="74">
        <v>22</v>
      </c>
      <c r="H26" s="74">
        <v>21</v>
      </c>
      <c r="I26" s="74">
        <v>22</v>
      </c>
      <c r="J26" s="74">
        <v>22</v>
      </c>
      <c r="K26" s="74">
        <v>22</v>
      </c>
      <c r="L26" s="74">
        <v>21</v>
      </c>
      <c r="M26" s="74">
        <v>22</v>
      </c>
      <c r="N26" s="74">
        <v>22</v>
      </c>
      <c r="O26" s="74">
        <v>21</v>
      </c>
      <c r="P26" s="74">
        <v>21</v>
      </c>
      <c r="Q26" s="93">
        <v>21</v>
      </c>
      <c r="R26" s="74">
        <v>21</v>
      </c>
      <c r="S26" s="74">
        <v>22</v>
      </c>
      <c r="T26" s="74">
        <v>21</v>
      </c>
      <c r="U26" s="74">
        <v>22</v>
      </c>
      <c r="V26" s="74">
        <v>22</v>
      </c>
      <c r="W26" s="74">
        <v>21</v>
      </c>
      <c r="X26" s="74">
        <v>56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47" t="s" ph="1">
        <v>181</v>
      </c>
      <c r="D27" s="71">
        <v>3.11</v>
      </c>
      <c r="E27" s="71">
        <v>95.5</v>
      </c>
      <c r="F27" s="71">
        <v>0</v>
      </c>
      <c r="G27" s="71">
        <v>2616</v>
      </c>
      <c r="H27" s="71">
        <v>1836</v>
      </c>
      <c r="I27" s="71">
        <v>4671</v>
      </c>
      <c r="J27" s="71">
        <v>4945</v>
      </c>
      <c r="K27" s="71">
        <v>80</v>
      </c>
      <c r="L27" s="71">
        <v>0</v>
      </c>
      <c r="M27" s="71">
        <v>5414</v>
      </c>
      <c r="N27" s="71">
        <v>5362</v>
      </c>
      <c r="O27" s="71">
        <v>3516</v>
      </c>
      <c r="P27" s="71">
        <v>835</v>
      </c>
      <c r="Q27" s="90">
        <v>4335</v>
      </c>
      <c r="R27" s="71">
        <v>5258</v>
      </c>
      <c r="S27" s="71">
        <v>222</v>
      </c>
      <c r="T27" s="71">
        <v>1752</v>
      </c>
      <c r="U27" s="71">
        <v>5055</v>
      </c>
      <c r="V27" s="71">
        <v>9640</v>
      </c>
      <c r="W27" s="71">
        <v>8758</v>
      </c>
      <c r="X27" s="71">
        <v>4166</v>
      </c>
      <c r="Y27" s="71">
        <v>4555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47" t="s" ph="1">
        <v>179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30189.735966000004</v>
      </c>
      <c r="F28" s="91" ph="1">
        <f>F27*11.702*LOOKUP(F29,密度!$A$2:$A$50,密度!$Q$2:$Q$50)</f>
        <v>0</v>
      </c>
      <c r="G28" s="91" ph="1">
        <f>G27*18.322*LOOKUP(G29,密度!$A$2:$A$50,密度!$B$2:$B$50)</f>
        <v>37495.914369599996</v>
      </c>
      <c r="H28" s="91" ph="1">
        <f>H27*18.322*LOOKUP(H29,密度!$A$2:$A$50,密度!$B$2:$B$50)</f>
        <v>26315.939901599995</v>
      </c>
      <c r="I28" s="91" ph="1">
        <f>I27*18.322*LOOKUP(I29,密度!$A$2:$A$50,密度!$Q$2:$Q$50)</f>
        <v>81225.079223579989</v>
      </c>
      <c r="J28" s="91" ph="1">
        <f>J27*18.322*LOOKUP(J29,密度!$A$2:$A$50,密度!$Q$2:$Q$50)</f>
        <v>85909.091377999997</v>
      </c>
      <c r="K28" s="91" ph="1">
        <f>K27*18.322*LOOKUP(K29,密度!$A$2:$A$50,密度!$Q$2:$Q$50)</f>
        <v>1391.1381584000001</v>
      </c>
      <c r="L28" s="91" ph="1">
        <f>L27*18.322*LOOKUP(L29,密度!$A$2:$A$50,密度!$Q$2:$Q$50)</f>
        <v>0</v>
      </c>
      <c r="M28" s="91" ph="1">
        <f>M27*18.322*LOOKUP(M29,密度!$A$2:$A$50,密度!$Q$2:$Q$50)</f>
        <v>94204.792054519989</v>
      </c>
      <c r="N28" s="91" ph="1">
        <f>N27*18.322*LOOKUP(N29,密度!$A$2:$A$50,密度!$Q$2:$Q$50)</f>
        <v>93241.03506676</v>
      </c>
      <c r="O28" s="91" ph="1">
        <f>O27*18.322*LOOKUP(O29,密度!$A$2:$A$50,密度!$C$2:$C$50)</f>
        <v>71628.767008800001</v>
      </c>
      <c r="P28" s="91" ph="1">
        <f>P27*11.702*LOOKUP(P29,密度!$A$2:$A$50,密度!$B$2:$B$50)</f>
        <v>7643.9862910000002</v>
      </c>
      <c r="Q28" s="92" ph="1">
        <f>Q27*18.322*LOOKUP(Q29,密度!$A$2:$A$50,密度!$B$2:$B$50)</f>
        <v>62134.858100999998</v>
      </c>
      <c r="R28" s="91" ph="1">
        <f>R27*35.891*LOOKUP(R29,密度!$A$2:$A$50,密度!$C$2:$C$50)</f>
        <v>209681.10094579999</v>
      </c>
      <c r="S28" s="91" ph="1">
        <f>S27*35.891*LOOKUP(S29,密度!$A$2:$A$50,密度!$B$2:$B$50)</f>
        <v>6233.2115045999999</v>
      </c>
      <c r="T28" s="91" ph="1">
        <f>T27*35.891*LOOKUP(T29,密度!$A$2:$A$50,密度!$Q$2:$Q$50)</f>
        <v>59679.758660879997</v>
      </c>
      <c r="U28" s="91" ph="1">
        <f>U27*35.891</f>
        <v>181429.005</v>
      </c>
      <c r="V28" s="91" ph="1">
        <f>V27*47.051*LOOKUP(V29,密度!$A$2:$A$50,密度!$B$2:$B$50)</f>
        <v>354829.093972</v>
      </c>
      <c r="W28" s="91" ph="1">
        <f>W27*47.051*LOOKUP(W29,密度!$A$2:$A$50,密度!$B$2:$B$50)</f>
        <v>322364.44035340002</v>
      </c>
      <c r="X28" s="91" ph="1">
        <f>X27*47.051*LOOKUP(X29,密度!$A$2:$A$50,密度!$I$2:$I$50)</f>
        <v>203000.42156823998</v>
      </c>
      <c r="Y28" s="91" ph="1">
        <f>Y27*47.051*LOOKUP(Y29,密度!$A$2:$A$50,密度!$L$2:$L$50)</f>
        <v>201458.26670000001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47" t="s" ph="1">
        <v>180</v>
      </c>
      <c r="D29" s="74">
        <v>25</v>
      </c>
      <c r="E29" s="74">
        <v>25</v>
      </c>
      <c r="F29" s="74">
        <v>22</v>
      </c>
      <c r="G29" s="74">
        <v>22</v>
      </c>
      <c r="H29" s="74">
        <v>22</v>
      </c>
      <c r="I29" s="74">
        <v>22</v>
      </c>
      <c r="J29" s="74">
        <v>23</v>
      </c>
      <c r="K29" s="74">
        <v>22</v>
      </c>
      <c r="L29" s="74">
        <v>22</v>
      </c>
      <c r="M29" s="74">
        <v>21</v>
      </c>
      <c r="N29" s="74">
        <v>22</v>
      </c>
      <c r="O29" s="74">
        <v>21</v>
      </c>
      <c r="P29" s="74">
        <v>22</v>
      </c>
      <c r="Q29" s="93">
        <v>22</v>
      </c>
      <c r="R29" s="74">
        <v>22</v>
      </c>
      <c r="S29" s="74">
        <v>22</v>
      </c>
      <c r="T29" s="74">
        <v>22</v>
      </c>
      <c r="U29" s="74">
        <v>22</v>
      </c>
      <c r="V29" s="74">
        <v>22</v>
      </c>
      <c r="W29" s="74">
        <v>22</v>
      </c>
      <c r="X29" s="74">
        <v>57</v>
      </c>
      <c r="Y29" s="74">
        <v>22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104909.45243069998</v>
      </c>
      <c r="E33" s="217" ph="1">
        <f>M10+I10</f>
        <v>93739.550258000003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21" ph="1">
        <v>0</v>
      </c>
      <c r="H33" s="217" ph="1">
        <f>N19</f>
        <v>42326.502511800005</v>
      </c>
      <c r="I33" s="230" ph="1">
        <v>0</v>
      </c>
      <c r="J33" s="228" ph="1">
        <f>F10+O28</f>
        <v>190312.11016350001</v>
      </c>
      <c r="K33" s="217" ph="1">
        <f>O10+K10+E28+R28</f>
        <v>243868.259819</v>
      </c>
      <c r="L33" s="232" ph="1">
        <f>BE27</f>
        <v>7100</v>
      </c>
      <c r="M33" s="228" ph="1">
        <f>G10+H10+W28+S28+V28+E10</f>
        <v>1137182.3644060001</v>
      </c>
      <c r="N33" s="217" ph="1">
        <f>L10+P10++G28+H28</f>
        <v>183380.89864919998</v>
      </c>
      <c r="O33" s="230" ph="1">
        <f>BE17</f>
        <v>2270</v>
      </c>
      <c r="P33" s="228" ph="1">
        <f>L19</f>
        <v>12657.851003600001</v>
      </c>
      <c r="Q33" s="217" ph="1">
        <f>J10+N10</f>
        <v>62923.676996000002</v>
      </c>
      <c r="R33" s="230" ph="1">
        <f>BE23</f>
        <v>890</v>
      </c>
      <c r="S33" s="228" ph="1">
        <f>E10+X28</f>
        <v>373085.28644823999</v>
      </c>
      <c r="T33" s="217" ph="1">
        <f>X19</f>
        <v>7316.7847721999997</v>
      </c>
      <c r="U33" s="238" ph="1">
        <f>BE21</f>
        <v>730</v>
      </c>
      <c r="V33" s="249" ph="1">
        <f ca="1">P19+Q19+S19+M28+N28+J28</f>
        <v>421833.51362647396</v>
      </c>
      <c r="W33" s="249" ph="1">
        <f>D28+F28+V19+T28</f>
        <v>76661.607912855994</v>
      </c>
      <c r="X33" s="230" ph="1">
        <f>BE29+BE31</f>
        <v>10200</v>
      </c>
      <c r="Y33" s="251" ph="1">
        <f>+Q10+R10+S10+T10+U10+V10+W10+X10+Y10</f>
        <v>281320.66670400003</v>
      </c>
      <c r="Z33" s="236" ph="1">
        <f>D10+T19+U19+Y28+Z10</f>
        <v>574741.51614422002</v>
      </c>
      <c r="AA33" s="238" ph="1">
        <f>BE19</f>
        <v>1440</v>
      </c>
      <c r="AB33" s="240" ph="1">
        <f>I19</f>
        <v>0</v>
      </c>
      <c r="AC33" s="242" ph="1">
        <f>AD10</f>
        <v>26154.197193600001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49" t="s" ph="1">
        <v>186</v>
      </c>
      <c r="AA36" s="149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345</v>
      </c>
      <c r="AI37" s="149" t="s" ph="1">
        <v>212</v>
      </c>
      <c r="AJ37" s="149" t="s" ph="1">
        <v>213</v>
      </c>
      <c r="AK37" s="149" t="s" ph="1">
        <v>214</v>
      </c>
      <c r="AM37" s="149" t="s" ph="1">
        <v>213</v>
      </c>
      <c r="AN37" s="149" t="s" ph="1">
        <v>214</v>
      </c>
      <c r="AO37" s="149" t="s" ph="1">
        <v>215</v>
      </c>
      <c r="AP37" s="149" t="s" ph="1">
        <v>213</v>
      </c>
      <c r="AQ37" s="149" t="s" ph="1">
        <v>214</v>
      </c>
      <c r="AR37" s="149" t="s" ph="1">
        <v>215</v>
      </c>
      <c r="AS37" s="149" t="s" ph="1">
        <v>213</v>
      </c>
      <c r="AT37" s="149" t="s" ph="1">
        <v>214</v>
      </c>
      <c r="AU37" s="149" t="s" ph="1">
        <v>215</v>
      </c>
      <c r="AV37" s="149" t="s" ph="1">
        <v>213</v>
      </c>
      <c r="AW37" s="149" t="s" ph="1">
        <v>214</v>
      </c>
      <c r="AX37" s="149" t="s" ph="1">
        <v>215</v>
      </c>
      <c r="AY37" s="149" t="s" ph="1">
        <v>214</v>
      </c>
      <c r="AZ37" s="149" t="s" ph="1">
        <v>216</v>
      </c>
      <c r="BD37" s="149" t="s" ph="1">
        <v>308</v>
      </c>
      <c r="BE37" s="149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15" priority="96">
      <formula>ABS(D$7-D$10)&gt;=1000</formula>
    </cfRule>
  </conditionalFormatting>
  <conditionalFormatting sqref="E4 E6:E11">
    <cfRule type="expression" dxfId="2014" priority="95">
      <formula>ABS(E$7-E$10)&gt;=1000</formula>
    </cfRule>
  </conditionalFormatting>
  <conditionalFormatting sqref="F4:F11">
    <cfRule type="expression" dxfId="2013" priority="94">
      <formula>ABS(F$7-F$10)&gt;=1000</formula>
    </cfRule>
  </conditionalFormatting>
  <conditionalFormatting sqref="G4:G11">
    <cfRule type="expression" dxfId="2012" priority="93">
      <formula>ABS(G$7-G$10)&gt;=1000</formula>
    </cfRule>
  </conditionalFormatting>
  <conditionalFormatting sqref="H4:H11">
    <cfRule type="expression" dxfId="2011" priority="92">
      <formula>ABS(H$7-H$10)&gt;=1000</formula>
    </cfRule>
  </conditionalFormatting>
  <conditionalFormatting sqref="I4:I11">
    <cfRule type="expression" dxfId="2010" priority="91">
      <formula>ABS(I$7-I$10)&gt;=1000</formula>
    </cfRule>
  </conditionalFormatting>
  <conditionalFormatting sqref="J4:J11">
    <cfRule type="expression" dxfId="2009" priority="90">
      <formula>ABS(J$7-J$10)&gt;=1000</formula>
    </cfRule>
  </conditionalFormatting>
  <conditionalFormatting sqref="K4:K11">
    <cfRule type="expression" dxfId="2008" priority="89">
      <formula>ABS(K$7-K$10)&gt;=1000</formula>
    </cfRule>
  </conditionalFormatting>
  <conditionalFormatting sqref="L4:L11">
    <cfRule type="expression" dxfId="2007" priority="88">
      <formula>ABS(L$7-L$10)&gt;=1000</formula>
    </cfRule>
  </conditionalFormatting>
  <conditionalFormatting sqref="M4 M6:M11">
    <cfRule type="expression" dxfId="2006" priority="87">
      <formula>ABS(M$7-M$10)&gt;=1000</formula>
    </cfRule>
  </conditionalFormatting>
  <conditionalFormatting sqref="N4 N6:N11">
    <cfRule type="expression" dxfId="2005" priority="86">
      <formula>ABS(N$7-N$10)&gt;=1000</formula>
    </cfRule>
  </conditionalFormatting>
  <conditionalFormatting sqref="O4 O6:O11">
    <cfRule type="expression" dxfId="2004" priority="85">
      <formula>ABS(O$7-O$10)&gt;=1000</formula>
    </cfRule>
  </conditionalFormatting>
  <conditionalFormatting sqref="P4 P6:P11">
    <cfRule type="expression" dxfId="2003" priority="84">
      <formula>ABS(P$7-P$10)&gt;=1000</formula>
    </cfRule>
  </conditionalFormatting>
  <conditionalFormatting sqref="Q4:Q11">
    <cfRule type="expression" dxfId="2002" priority="83">
      <formula>ABS(Q$7-Q$10)&gt;=1000</formula>
    </cfRule>
  </conditionalFormatting>
  <conditionalFormatting sqref="R4:R11">
    <cfRule type="expression" dxfId="2001" priority="82">
      <formula>ABS(R$7-R$10)&gt;=1000</formula>
    </cfRule>
  </conditionalFormatting>
  <conditionalFormatting sqref="S4:S11">
    <cfRule type="expression" dxfId="2000" priority="81">
      <formula>ABS(S$7-S$10)&gt;=1000</formula>
    </cfRule>
  </conditionalFormatting>
  <conditionalFormatting sqref="T4:T9 T11">
    <cfRule type="expression" dxfId="1999" priority="80">
      <formula>ABS(T$7-T$10)&gt;=1000</formula>
    </cfRule>
  </conditionalFormatting>
  <conditionalFormatting sqref="U4:U9 U11">
    <cfRule type="expression" dxfId="1998" priority="79">
      <formula>ABS(U$7-U$10)&gt;=1000</formula>
    </cfRule>
  </conditionalFormatting>
  <conditionalFormatting sqref="V4:V9 V11">
    <cfRule type="expression" dxfId="1997" priority="78">
      <formula>ABS(V$7-V$10)&gt;=1000</formula>
    </cfRule>
  </conditionalFormatting>
  <conditionalFormatting sqref="W4:W9 W11">
    <cfRule type="expression" dxfId="1996" priority="77">
      <formula>ABS(W$7-W$10)&gt;=1000</formula>
    </cfRule>
  </conditionalFormatting>
  <conditionalFormatting sqref="X4:X9 X11">
    <cfRule type="expression" dxfId="1995" priority="76">
      <formula>ABS(X$7-X$10)&gt;=1000</formula>
    </cfRule>
  </conditionalFormatting>
  <conditionalFormatting sqref="Y4:Y9 Y11">
    <cfRule type="expression" dxfId="1994" priority="75">
      <formula>ABS(Y$7-Y$10)&gt;=1000</formula>
    </cfRule>
  </conditionalFormatting>
  <conditionalFormatting sqref="Z4:Z11">
    <cfRule type="expression" dxfId="1993" priority="74">
      <formula>ABS(Z$7-Z$10)&gt;=1000</formula>
    </cfRule>
  </conditionalFormatting>
  <conditionalFormatting sqref="AA4:AA11">
    <cfRule type="expression" dxfId="1992" priority="73">
      <formula>ABS(AA$7-AA$10)&gt;=1000</formula>
    </cfRule>
  </conditionalFormatting>
  <conditionalFormatting sqref="AB4:AB11">
    <cfRule type="expression" dxfId="1991" priority="72">
      <formula>ABS(AB$7-AB$10)&gt;=1000</formula>
    </cfRule>
  </conditionalFormatting>
  <conditionalFormatting sqref="AC4 AC6:AC11">
    <cfRule type="expression" dxfId="1990" priority="71">
      <formula>ABS(AC$7-AC$10)&gt;=1000</formula>
    </cfRule>
  </conditionalFormatting>
  <conditionalFormatting sqref="AD4:AD11">
    <cfRule type="expression" dxfId="1989" priority="70">
      <formula>ABS(AD$7-AD$10)&gt;=1000</formula>
    </cfRule>
  </conditionalFormatting>
  <conditionalFormatting sqref="AE4:AE11">
    <cfRule type="expression" dxfId="1988" priority="69">
      <formula>ABS(AE$7-AE$10)&gt;=1000</formula>
    </cfRule>
  </conditionalFormatting>
  <conditionalFormatting sqref="D13:D20">
    <cfRule type="expression" dxfId="1987" priority="68">
      <formula>ABS(D$16-D$19)&gt;=1000</formula>
    </cfRule>
  </conditionalFormatting>
  <conditionalFormatting sqref="E13:E20">
    <cfRule type="expression" dxfId="1986" priority="67">
      <formula>ABS(E$16-E$19)&gt;=1000</formula>
    </cfRule>
  </conditionalFormatting>
  <conditionalFormatting sqref="F13 F15:F20">
    <cfRule type="expression" dxfId="1985" priority="66">
      <formula>ABS(F$16-F$19)&gt;=1000</formula>
    </cfRule>
  </conditionalFormatting>
  <conditionalFormatting sqref="G13:G20">
    <cfRule type="expression" dxfId="1984" priority="65">
      <formula>ABS(G$16-G$19)&gt;=1000</formula>
    </cfRule>
  </conditionalFormatting>
  <conditionalFormatting sqref="H13:H20">
    <cfRule type="expression" dxfId="1983" priority="64">
      <formula>ABS(H$16-H$19)&gt;=1000</formula>
    </cfRule>
  </conditionalFormatting>
  <conditionalFormatting sqref="I13:I20">
    <cfRule type="expression" dxfId="1982" priority="63">
      <formula>ABS(I$16-I$19)&gt;=1000</formula>
    </cfRule>
  </conditionalFormatting>
  <conditionalFormatting sqref="J13:J20">
    <cfRule type="expression" dxfId="1981" priority="62">
      <formula>ABS(J$16-J$19)&gt;=1000</formula>
    </cfRule>
  </conditionalFormatting>
  <conditionalFormatting sqref="L13:L20">
    <cfRule type="expression" dxfId="1980" priority="61">
      <formula>ABS(L$16-L$19)&gt;=1000</formula>
    </cfRule>
  </conditionalFormatting>
  <conditionalFormatting sqref="M13 M15 M17:M18 M20">
    <cfRule type="expression" dxfId="1979" priority="60">
      <formula>ABS(M$16-M$19)&gt;=1000</formula>
    </cfRule>
  </conditionalFormatting>
  <conditionalFormatting sqref="N13:N20">
    <cfRule type="expression" dxfId="1978" priority="59">
      <formula>ABS(N$16-N$19)&gt;=1000</formula>
    </cfRule>
  </conditionalFormatting>
  <conditionalFormatting sqref="O13:O20">
    <cfRule type="expression" dxfId="1977" priority="58">
      <formula>ABS(O$16-O$19)&gt;=1000</formula>
    </cfRule>
  </conditionalFormatting>
  <conditionalFormatting sqref="P13:P20">
    <cfRule type="expression" dxfId="1976" priority="57">
      <formula>ABS(P$16-P$19)&gt;=1000</formula>
    </cfRule>
  </conditionalFormatting>
  <conditionalFormatting sqref="Q13 Q15:Q20">
    <cfRule type="expression" dxfId="1975" priority="56">
      <formula>ABS(Q$16-Q$19)&gt;=1000</formula>
    </cfRule>
  </conditionalFormatting>
  <conditionalFormatting sqref="R13:R20">
    <cfRule type="expression" dxfId="1974" priority="55">
      <formula>ABS(R$16-R$19)&gt;=1000</formula>
    </cfRule>
  </conditionalFormatting>
  <conditionalFormatting sqref="S13:S20">
    <cfRule type="expression" dxfId="1973" priority="54">
      <formula>ABS(S$16-S$19)&gt;=1000</formula>
    </cfRule>
  </conditionalFormatting>
  <conditionalFormatting sqref="T13:T20">
    <cfRule type="expression" dxfId="1972" priority="53">
      <formula>ABS(T$16-T$19)&gt;=1000</formula>
    </cfRule>
  </conditionalFormatting>
  <conditionalFormatting sqref="U13:U20">
    <cfRule type="expression" dxfId="1971" priority="52">
      <formula>ABS(U$16-U$19)&gt;=1000</formula>
    </cfRule>
  </conditionalFormatting>
  <conditionalFormatting sqref="V13:V20">
    <cfRule type="expression" dxfId="1970" priority="51">
      <formula>ABS(V$16-V$19)&gt;=1000</formula>
    </cfRule>
  </conditionalFormatting>
  <conditionalFormatting sqref="W13 W20 W15:W18">
    <cfRule type="expression" dxfId="1969" priority="50">
      <formula>ABS(W$16-W$19)&gt;=1000</formula>
    </cfRule>
  </conditionalFormatting>
  <conditionalFormatting sqref="X13 X15:X20 Y19">
    <cfRule type="expression" dxfId="1968" priority="49">
      <formula>ABS(X$16-X$19)&gt;=1000</formula>
    </cfRule>
  </conditionalFormatting>
  <conditionalFormatting sqref="Y13 Y15:Y18 Y20">
    <cfRule type="expression" dxfId="1967" priority="48">
      <formula>ABS(Y$16-Y$19)&gt;=1000</formula>
    </cfRule>
  </conditionalFormatting>
  <conditionalFormatting sqref="Z13:Z20">
    <cfRule type="expression" dxfId="1966" priority="47">
      <formula>ABS(Z$16-Z$19)&gt;=1000</formula>
    </cfRule>
  </conditionalFormatting>
  <conditionalFormatting sqref="AA13:AA20">
    <cfRule type="expression" dxfId="1965" priority="46">
      <formula>ABS(AA$16-AA$19)&gt;=1000</formula>
    </cfRule>
  </conditionalFormatting>
  <conditionalFormatting sqref="AB13 AB15:AB20">
    <cfRule type="expression" dxfId="1964" priority="45">
      <formula>ABS(AB$16-AB$19)&gt;=1000</formula>
    </cfRule>
  </conditionalFormatting>
  <conditionalFormatting sqref="AC13 AC15:AC20">
    <cfRule type="expression" dxfId="1963" priority="44">
      <formula>ABS(AC$16-AC$19)&gt;=1000</formula>
    </cfRule>
  </conditionalFormatting>
  <conditionalFormatting sqref="AD13:AD20">
    <cfRule type="expression" dxfId="1962" priority="43">
      <formula>ABS(AD$16-AD$19)&gt;=1000</formula>
    </cfRule>
  </conditionalFormatting>
  <conditionalFormatting sqref="AE13:AE20">
    <cfRule type="expression" dxfId="1961" priority="42">
      <formula>ABS(AE$16-AE$19)&gt;=1000</formula>
    </cfRule>
  </conditionalFormatting>
  <conditionalFormatting sqref="D22:D29">
    <cfRule type="expression" dxfId="1960" priority="41">
      <formula>ABS(D$25-D$28)&gt;=1000</formula>
    </cfRule>
  </conditionalFormatting>
  <conditionalFormatting sqref="E22:E29">
    <cfRule type="expression" dxfId="1959" priority="40">
      <formula>ABS(E$25-E$28)&gt;=1000</formula>
    </cfRule>
  </conditionalFormatting>
  <conditionalFormatting sqref="F22:F29">
    <cfRule type="expression" dxfId="1958" priority="39">
      <formula>ABS(F$25-F$28)&gt;=1000</formula>
    </cfRule>
  </conditionalFormatting>
  <conditionalFormatting sqref="G22:G29">
    <cfRule type="expression" dxfId="1957" priority="38">
      <formula>ABS(G$25-G$28)&gt;=1000</formula>
    </cfRule>
  </conditionalFormatting>
  <conditionalFormatting sqref="H22:H29">
    <cfRule type="expression" dxfId="1956" priority="37">
      <formula>ABS(H$25-H$28)&gt;=1000</formula>
    </cfRule>
  </conditionalFormatting>
  <conditionalFormatting sqref="I22 I24:I29">
    <cfRule type="expression" dxfId="1955" priority="36">
      <formula>ABS(I$25-I$28)&gt;=1000</formula>
    </cfRule>
  </conditionalFormatting>
  <conditionalFormatting sqref="J22:J29 K22">
    <cfRule type="expression" dxfId="1954" priority="35">
      <formula>ABS(J$25-J$28)&gt;=1000</formula>
    </cfRule>
  </conditionalFormatting>
  <conditionalFormatting sqref="K23:K29 L25 L28">
    <cfRule type="expression" dxfId="1953" priority="34">
      <formula>ABS(K$25-K$28)&gt;=1000</formula>
    </cfRule>
  </conditionalFormatting>
  <conditionalFormatting sqref="L22:L24 L26:L27 L29">
    <cfRule type="expression" dxfId="1952" priority="33">
      <formula>ABS(L$25-L$28)&gt;=1000</formula>
    </cfRule>
  </conditionalFormatting>
  <conditionalFormatting sqref="M22:M29">
    <cfRule type="expression" dxfId="1951" priority="32">
      <formula>ABS(M$25-M$28)&gt;=1000</formula>
    </cfRule>
  </conditionalFormatting>
  <conditionalFormatting sqref="N22:N29">
    <cfRule type="expression" dxfId="1950" priority="31">
      <formula>ABS(N$25-N$28)&gt;=1000</formula>
    </cfRule>
  </conditionalFormatting>
  <conditionalFormatting sqref="O22:O29">
    <cfRule type="expression" dxfId="1949" priority="30">
      <formula>ABS(O$25-O$28)&gt;=1000</formula>
    </cfRule>
  </conditionalFormatting>
  <conditionalFormatting sqref="P22:P29">
    <cfRule type="expression" dxfId="1948" priority="29">
      <formula>ABS(P$25-P$28)&gt;=1000</formula>
    </cfRule>
  </conditionalFormatting>
  <conditionalFormatting sqref="Q22:Q29">
    <cfRule type="expression" dxfId="1947" priority="28">
      <formula>ABS(Q$25-Q$28)&gt;=1000</formula>
    </cfRule>
  </conditionalFormatting>
  <conditionalFormatting sqref="R22:R29">
    <cfRule type="expression" dxfId="1946" priority="27">
      <formula>ABS(R$25-R$28)&gt;=1000</formula>
    </cfRule>
  </conditionalFormatting>
  <conditionalFormatting sqref="S22:S29">
    <cfRule type="expression" dxfId="1945" priority="26">
      <formula>ABS(S$25-S$28)&gt;=1000</formula>
    </cfRule>
  </conditionalFormatting>
  <conditionalFormatting sqref="T22:T29">
    <cfRule type="expression" dxfId="1944" priority="25">
      <formula>ABS(T$25-T$28)&gt;=1000</formula>
    </cfRule>
  </conditionalFormatting>
  <conditionalFormatting sqref="U22:U29">
    <cfRule type="expression" dxfId="1943" priority="24">
      <formula>ABS(U$25-U$28)&gt;=1000</formula>
    </cfRule>
  </conditionalFormatting>
  <conditionalFormatting sqref="V22:V29">
    <cfRule type="expression" dxfId="1942" priority="23">
      <formula>ABS(V$25-V$28)&gt;=1000</formula>
    </cfRule>
  </conditionalFormatting>
  <conditionalFormatting sqref="W22:W29">
    <cfRule type="expression" dxfId="1941" priority="22">
      <formula>ABS(W$25-W$28)&gt;=1000</formula>
    </cfRule>
  </conditionalFormatting>
  <conditionalFormatting sqref="X22:X29">
    <cfRule type="expression" dxfId="1940" priority="21">
      <formula>ABS(X$25-X$28)&gt;=1000</formula>
    </cfRule>
  </conditionalFormatting>
  <conditionalFormatting sqref="Y22:Y29">
    <cfRule type="expression" dxfId="1939" priority="20">
      <formula>ABS(Y$25-Y$28)&gt;=1000</formula>
    </cfRule>
  </conditionalFormatting>
  <conditionalFormatting sqref="I23">
    <cfRule type="expression" dxfId="1938" priority="19">
      <formula>ABS(I$25-I$28)&gt;=1000</formula>
    </cfRule>
  </conditionalFormatting>
  <conditionalFormatting sqref="F14">
    <cfRule type="expression" dxfId="1937" priority="18">
      <formula>ABS(F$16-F$19)&gt;=1000</formula>
    </cfRule>
  </conditionalFormatting>
  <conditionalFormatting sqref="Q14">
    <cfRule type="expression" dxfId="1936" priority="17">
      <formula>ABS(Q$16-Q$19)&gt;=1000</formula>
    </cfRule>
  </conditionalFormatting>
  <conditionalFormatting sqref="W14">
    <cfRule type="expression" dxfId="1935" priority="16">
      <formula>ABS(W$16-W$19)&gt;=1000</formula>
    </cfRule>
  </conditionalFormatting>
  <conditionalFormatting sqref="Y14">
    <cfRule type="expression" dxfId="1934" priority="15">
      <formula>ABS(Y$16-Y$19)&gt;=1000</formula>
    </cfRule>
  </conditionalFormatting>
  <conditionalFormatting sqref="X14">
    <cfRule type="expression" dxfId="1933" priority="14">
      <formula>ABS(X$16-X$19)&gt;=1000</formula>
    </cfRule>
  </conditionalFormatting>
  <conditionalFormatting sqref="T10:Y10">
    <cfRule type="expression" dxfId="1932" priority="13">
      <formula>ABS(T$7-T$10)&gt;=1000</formula>
    </cfRule>
  </conditionalFormatting>
  <conditionalFormatting sqref="W19">
    <cfRule type="expression" dxfId="1931" priority="12">
      <formula>ABS(W$16-W$19)&gt;=1000</formula>
    </cfRule>
  </conditionalFormatting>
  <conditionalFormatting sqref="AC5">
    <cfRule type="expression" dxfId="1930" priority="11">
      <formula>ABS(AC$7-AC$10)&gt;=1000</formula>
    </cfRule>
  </conditionalFormatting>
  <conditionalFormatting sqref="M14">
    <cfRule type="expression" dxfId="1929" priority="10">
      <formula>ABS(M$16-M$19)&gt;=1000</formula>
    </cfRule>
  </conditionalFormatting>
  <conditionalFormatting sqref="M16">
    <cfRule type="expression" dxfId="1928" priority="9">
      <formula>ABS(M$16-M$19)&gt;=1000</formula>
    </cfRule>
  </conditionalFormatting>
  <conditionalFormatting sqref="M19">
    <cfRule type="expression" dxfId="1927" priority="8">
      <formula>ABS(M$16-M$19)&gt;=1000</formula>
    </cfRule>
  </conditionalFormatting>
  <conditionalFormatting sqref="K13:K20">
    <cfRule type="expression" dxfId="1926" priority="7">
      <formula>ABS(K$16-K$19)&gt;=1000</formula>
    </cfRule>
  </conditionalFormatting>
  <conditionalFormatting sqref="E5">
    <cfRule type="expression" dxfId="1925" priority="6">
      <formula>ABS(E$7-E$10)&gt;=1000</formula>
    </cfRule>
  </conditionalFormatting>
  <conditionalFormatting sqref="AB14:AC14">
    <cfRule type="expression" dxfId="1924" priority="5">
      <formula>ABS(AB$16-AB$19)&gt;=1000</formula>
    </cfRule>
  </conditionalFormatting>
  <conditionalFormatting sqref="M5">
    <cfRule type="expression" dxfId="1923" priority="4">
      <formula>ABS(M$7-M$10)&gt;=1000</formula>
    </cfRule>
  </conditionalFormatting>
  <conditionalFormatting sqref="N5">
    <cfRule type="expression" dxfId="1922" priority="3">
      <formula>ABS(N$7-N$10)&gt;=1000</formula>
    </cfRule>
  </conditionalFormatting>
  <conditionalFormatting sqref="O5">
    <cfRule type="expression" dxfId="1921" priority="2">
      <formula>ABS(O$7-O$10)&gt;=1000</formula>
    </cfRule>
  </conditionalFormatting>
  <conditionalFormatting sqref="P5">
    <cfRule type="expression" dxfId="192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35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1">
    <pageSetUpPr fitToPage="1"/>
  </sheetPr>
  <dimension ref="A1:CU223"/>
  <sheetViews>
    <sheetView view="pageBreakPreview" topLeftCell="A4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45757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0" t="s" ph="1">
        <v>178</v>
      </c>
      <c r="D6" s="71">
        <v>4183</v>
      </c>
      <c r="E6" s="71">
        <v>4243</v>
      </c>
      <c r="F6" s="71">
        <v>3217</v>
      </c>
      <c r="G6" s="71">
        <v>2857</v>
      </c>
      <c r="H6" s="71">
        <v>4114</v>
      </c>
      <c r="I6" s="71">
        <v>16.059999999999999</v>
      </c>
      <c r="J6" s="71">
        <v>7.7</v>
      </c>
      <c r="K6" s="71">
        <v>7.39</v>
      </c>
      <c r="L6" s="71">
        <v>42.63</v>
      </c>
      <c r="M6" s="71">
        <v>2619</v>
      </c>
      <c r="N6" s="71">
        <v>2353</v>
      </c>
      <c r="O6" s="71">
        <v>74</v>
      </c>
      <c r="P6" s="71">
        <v>7707</v>
      </c>
      <c r="Q6" s="71">
        <v>0</v>
      </c>
      <c r="R6" s="71">
        <v>7144</v>
      </c>
      <c r="S6" s="71">
        <v>6708</v>
      </c>
      <c r="T6" s="71">
        <v>7160</v>
      </c>
      <c r="U6" s="71">
        <v>7024</v>
      </c>
      <c r="V6" s="71">
        <v>6995</v>
      </c>
      <c r="W6" s="71">
        <v>0</v>
      </c>
      <c r="X6" s="71">
        <v>0</v>
      </c>
      <c r="Y6" s="71">
        <v>1106</v>
      </c>
      <c r="Z6" s="71">
        <v>5457</v>
      </c>
      <c r="AA6" s="71">
        <v>1573</v>
      </c>
      <c r="AB6" s="71">
        <v>2429</v>
      </c>
      <c r="AC6" s="71">
        <v>4679</v>
      </c>
      <c r="AD6" s="71">
        <v>1338</v>
      </c>
      <c r="AE6" s="71">
        <v>1980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131411.76191586</v>
      </c>
      <c r="E7" s="73" ph="1">
        <f>E6*51.53*LOOKUP(E8,密度!$A$2:$A$50,密度!$B$2:$B$50)</f>
        <v>171437.027539</v>
      </c>
      <c r="F7" s="73" ph="1">
        <f>F6*33.183*LOOKUP(F8,密度!$A$2:$A$50,密度!$C$2:$C$50)</f>
        <v>118534.87909440001</v>
      </c>
      <c r="G7" s="73" ph="1">
        <f xml:space="preserve"> (G6+2)*51.53*LOOKUP(G8,密度!$A$2:$A$50,密度!$B$2:$B$50)</f>
        <v>115752.67893899999</v>
      </c>
      <c r="H7" s="73" ph="1">
        <f>(H6)*51.53*LOOKUP(H8,密度!$A$2:$A$50,密度!$B$2:$B$50)</f>
        <v>166564.01579400001</v>
      </c>
      <c r="I7" s="73" ph="1">
        <f>I6*290.8*1.0267</f>
        <v>4794.9436215999995</v>
      </c>
      <c r="J7" s="73" ph="1">
        <f>J6*290.8*0.7892</f>
        <v>1767.1450720000003</v>
      </c>
      <c r="K7" s="73" ph="1">
        <f>K6*290.8*1.1126</f>
        <v>2390.9907512000004</v>
      </c>
      <c r="L7" s="73" ph="1">
        <f>L6*290.8*0.777</f>
        <v>9632.3167080000021</v>
      </c>
      <c r="M7" s="73" ph="1">
        <f>M6*33.183*LOOKUP(M8,密度!$A$2:$A$50,密度!$D$2:$D$50)</f>
        <v>89391.796522199991</v>
      </c>
      <c r="N7" s="73" ph="1">
        <f>N6*33.183*LOOKUP(N8,密度!$A$2:$A$50,密度!$E$2:$E$50)</f>
        <v>61245.637455600001</v>
      </c>
      <c r="O7" s="73" ph="1">
        <f>O6*20.428*LOOKUP(O8,密度!$A$2:$A$50,密度!$C$2:$C$50)</f>
        <v>1679.6187591999999</v>
      </c>
      <c r="P7" s="73" ph="1">
        <f>P6*51.53*LOOKUP(P8,密度!$A$2:$A$50,密度!$B$2:$B$50)</f>
        <v>310326.53219400003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47165.205225600002</v>
      </c>
      <c r="S7" s="73" ph="1">
        <f>S6*1.5*1.5*3.1416*LOOKUP(S8,密度!$A$2:$A$50,密度!$L$2:$L$50)</f>
        <v>44855.695684799997</v>
      </c>
      <c r="T7" s="73" ph="1">
        <f>T6*1.5*1.5*3.1416*LOOKUP(T8,密度!$A$2:$A$50,密度!$L$2:$L$50)</f>
        <v>47776.950143999995</v>
      </c>
      <c r="U7" s="73" ph="1">
        <f>U6*1.5*1.5*3.1416*LOOKUP(U8,密度!$A$2:$A$50,密度!$L$2:$L$50)</f>
        <v>46621.205769599997</v>
      </c>
      <c r="V7" s="73" ph="1">
        <f>V6*1.5*1.5*3.1416*LOOKUP(V8,密度!$A$2:$A$50,密度!$L$2:$L$50)</f>
        <v>46181.496438000002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7340.981432399999</v>
      </c>
      <c r="Z7" s="73" ph="1">
        <f>Z6*33.183*LOOKUP(Z8,密度!$A$2:$A$50,密度!$L$2:$L$50)</f>
        <v>170395.93277099999</v>
      </c>
      <c r="AA7" s="73" ph="1">
        <f>AA6*33.183*LOOKUP(AA8,密度!$A$2:$A$50,密度!$D$2:$D$50)</f>
        <v>53392.16707109999</v>
      </c>
      <c r="AB7" s="73" ph="1">
        <f>AB6*20.428*LOOKUP(AB8,密度!$A$2:$A$50,密度!$D$2:$D$50)</f>
        <v>51430.727837999999</v>
      </c>
      <c r="AC7" s="73" ph="1">
        <f>AC6*51.53*LOOKUP(AC8,密度!$A$2:$A$50,密度!$Q$2:$Q$50)</f>
        <v>229349.9904101</v>
      </c>
      <c r="AD7" s="73" ph="1">
        <f>AD6*20.428*LOOKUP(AD8,密度!$A$2:$A$50,密度!$V$2:$V$50)</f>
        <v>26261.2235712</v>
      </c>
      <c r="AE7" s="73" ph="1">
        <f>AE6*20.428</f>
        <v>40447.440000000002</v>
      </c>
    </row>
    <row r="8" spans="1:99" ph="1">
      <c r="B8" s="195" ph="1"/>
      <c r="C8" s="68" t="s" ph="1">
        <v>180</v>
      </c>
      <c r="D8" s="74">
        <v>25</v>
      </c>
      <c r="E8" s="74">
        <v>20</v>
      </c>
      <c r="F8" s="74">
        <v>23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24</v>
      </c>
      <c r="O8" s="74">
        <v>22</v>
      </c>
      <c r="P8" s="74">
        <v>23</v>
      </c>
      <c r="Q8" s="74">
        <v>20</v>
      </c>
      <c r="R8" s="74">
        <v>28</v>
      </c>
      <c r="S8" s="74">
        <v>16</v>
      </c>
      <c r="T8" s="74">
        <v>18</v>
      </c>
      <c r="U8" s="74">
        <v>23</v>
      </c>
      <c r="V8" s="74">
        <v>28</v>
      </c>
      <c r="W8" s="74">
        <v>24</v>
      </c>
      <c r="X8" s="74">
        <v>15</v>
      </c>
      <c r="Y8" s="74">
        <v>23</v>
      </c>
      <c r="Z8" s="74">
        <v>21</v>
      </c>
      <c r="AA8" s="74">
        <v>29</v>
      </c>
      <c r="AB8" s="74">
        <v>14</v>
      </c>
      <c r="AC8" s="74">
        <v>19</v>
      </c>
      <c r="AD8" s="74">
        <v>22</v>
      </c>
      <c r="AE8" s="74">
        <v>33</v>
      </c>
    </row>
    <row r="9" spans="1:99" ht="26.4" ph="1">
      <c r="B9" s="195" ph="1">
        <v>0.66666666666666663</v>
      </c>
      <c r="C9" s="150" t="s" ph="1">
        <v>181</v>
      </c>
      <c r="D9" s="71">
        <v>4180</v>
      </c>
      <c r="E9" s="71">
        <v>4243</v>
      </c>
      <c r="F9" s="71">
        <v>3219</v>
      </c>
      <c r="G9" s="71">
        <v>3036</v>
      </c>
      <c r="H9" s="71">
        <v>4116</v>
      </c>
      <c r="I9" s="71">
        <v>16.010000000000002</v>
      </c>
      <c r="J9" s="71">
        <v>7.7</v>
      </c>
      <c r="K9" s="71">
        <v>7.36</v>
      </c>
      <c r="L9" s="71">
        <v>30.74</v>
      </c>
      <c r="M9" s="71">
        <v>2618</v>
      </c>
      <c r="N9" s="71">
        <v>2352</v>
      </c>
      <c r="O9" s="71">
        <v>73</v>
      </c>
      <c r="P9" s="71">
        <v>7464</v>
      </c>
      <c r="Q9" s="71">
        <v>0</v>
      </c>
      <c r="R9" s="71">
        <v>4496</v>
      </c>
      <c r="S9" s="71">
        <v>6711</v>
      </c>
      <c r="T9" s="71">
        <v>7164</v>
      </c>
      <c r="U9" s="71">
        <v>7027</v>
      </c>
      <c r="V9" s="71">
        <v>7000</v>
      </c>
      <c r="W9" s="71">
        <v>2631</v>
      </c>
      <c r="X9" s="71">
        <v>2180</v>
      </c>
      <c r="Y9" s="71">
        <v>0</v>
      </c>
      <c r="Z9" s="71">
        <v>2428</v>
      </c>
      <c r="AA9" s="71">
        <v>1573</v>
      </c>
      <c r="AB9" s="71">
        <v>2272</v>
      </c>
      <c r="AC9" s="71">
        <v>5011</v>
      </c>
      <c r="AD9" s="71">
        <v>1338</v>
      </c>
      <c r="AE9" s="71">
        <v>1789</v>
      </c>
    </row>
    <row r="10" spans="1:99" s="72" customFormat="1" ht="22.2" ph="1">
      <c r="B10" s="195" ph="1"/>
      <c r="C10" s="150" t="s" ph="1">
        <v>179</v>
      </c>
      <c r="D10" s="73" ph="1">
        <f>D9*33.183*LOOKUP(D11,密度!$A$2:$A$50,密度!$Q$2:$Q$50)</f>
        <v>131317.5148956</v>
      </c>
      <c r="E10" s="73" ph="1">
        <f>E9*51.53*LOOKUP(E11,密度!$A$2:$A$50,密度!$B$2:$B$50)</f>
        <v>170453.13948399998</v>
      </c>
      <c r="F10" s="73" ph="1">
        <f>F9*33.183*LOOKUP(F11,密度!$A$2:$A$50,密度!$C$2:$C$50)</f>
        <v>118608.57190080002</v>
      </c>
      <c r="G10" s="73" ph="1">
        <f xml:space="preserve"> (G9+2)*51.53*LOOKUP(G11,密度!$A$2:$A$50,密度!$B$2:$B$50)</f>
        <v>122185.82327000001</v>
      </c>
      <c r="H10" s="73" ph="1">
        <f>(H9)*51.53*LOOKUP(H11,密度!$A$2:$A$50,密度!$B$2:$B$50)</f>
        <v>165542.08314</v>
      </c>
      <c r="I10" s="73" ph="1">
        <f>I9*290.8*1.0267</f>
        <v>4780.0154036000004</v>
      </c>
      <c r="J10" s="73" ph="1">
        <f>J9*290.8*0.7892</f>
        <v>1767.1450720000003</v>
      </c>
      <c r="K10" s="73" ph="1">
        <f>K9*290.8*1.1126</f>
        <v>2381.2844288000001</v>
      </c>
      <c r="L10" s="73" ph="1">
        <f>L9*290.8*0.777</f>
        <v>6945.7521839999999</v>
      </c>
      <c r="M10" s="73" ph="1">
        <f>M9*33.183*LOOKUP(M11,密度!$A$2:$A$50,密度!$D$2:$D$50)</f>
        <v>89027.546731199996</v>
      </c>
      <c r="N10" s="73" ph="1">
        <f>N9*33.183*LOOKUP(N11,密度!$A$2:$A$50,密度!$E$2:$E$50)</f>
        <v>61125.953011199999</v>
      </c>
      <c r="O10" s="73" ph="1">
        <f>O9*20.428*LOOKUP(O11,密度!$A$2:$A$50,密度!$C$2:$C$50)</f>
        <v>1637.0876632000004</v>
      </c>
      <c r="P10" s="73" ph="1">
        <f>P9*51.53*LOOKUP(P11,密度!$A$2:$A$50,密度!$B$2:$B$50)</f>
        <v>298849.67784000002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29619.356659199999</v>
      </c>
      <c r="S10" s="73" ph="1">
        <f>S9*1.5*1.5*3.1416*LOOKUP(S11,密度!$A$2:$A$50,密度!$L$2:$L$50)</f>
        <v>44780.881622400004</v>
      </c>
      <c r="T10" s="73" ph="1">
        <f>T9*1.5*1.5*3.1416*LOOKUP(T11,密度!$A$2:$A$50,密度!$L$2:$L$50)</f>
        <v>47702.362276799999</v>
      </c>
      <c r="U10" s="73" ph="1">
        <f>U9*1.5*1.5*3.1416*LOOKUP(U11,密度!$A$2:$A$50,密度!$L$2:$L$50)</f>
        <v>46591.446963599992</v>
      </c>
      <c r="V10" s="73" ph="1">
        <f>V9*1.5*1.5*3.1416*LOOKUP(V11,密度!$A$2:$A$50,密度!$L$2:$L$50)</f>
        <v>46214.506800000003</v>
      </c>
      <c r="W10" s="73" ph="1">
        <f>W9*1.5*1.5*3.1416*LOOKUP(W11,密度!$A$2:$A$50,密度!$L$2:$L$50)</f>
        <v>17444.442430799998</v>
      </c>
      <c r="X10" s="73" ph="1">
        <f>X9*1.5*1.5*3.1416*LOOKUP(X11,密度!$A$2:$A$50,密度!$L$2:$L$50)</f>
        <v>14531.203763999998</v>
      </c>
      <c r="Y10" s="73" ph="1">
        <f>Y9*1.5*1.5*3.1416*LOOKUP(Y11,密度!$A$2:$A$50,密度!$L$2:$L$50)</f>
        <v>0</v>
      </c>
      <c r="Z10" s="73" ph="1">
        <f>Z9*33.183*LOOKUP(Z11,密度!$A$2:$A$50,密度!$L$2:$L$50)</f>
        <v>75492.519587999996</v>
      </c>
      <c r="AA10" s="73" ph="1">
        <f>AA9*33.183*LOOKUP(AA11,密度!$A$2:$A$50,密度!$D$2:$D$50)</f>
        <v>53392.16707109999</v>
      </c>
      <c r="AB10" s="73" ph="1">
        <f>AB9*20.428*LOOKUP(AB11,密度!$A$2:$A$50,密度!$D$2:$D$50)</f>
        <v>48064.698009600012</v>
      </c>
      <c r="AC10" s="73" ph="1">
        <f>AC9*51.53*LOOKUP(AC11,密度!$A$2:$A$50,密度!$Q$2:$Q$50)</f>
        <v>244464.20163420003</v>
      </c>
      <c r="AD10" s="73" ph="1">
        <f>AD9*20.428*LOOKUP(AD11,密度!$A$2:$A$50,密度!$V$2:$V$50)</f>
        <v>26173.759046400002</v>
      </c>
      <c r="AE10" s="73" ph="1">
        <f>AE9*20.428</f>
        <v>36545.692000000003</v>
      </c>
    </row>
    <row r="11" spans="1:99" ph="1">
      <c r="A11" s="64" t="s" ph="1">
        <v>163</v>
      </c>
      <c r="B11" s="195" ph="1"/>
      <c r="C11" s="150" t="s" ph="1">
        <v>180</v>
      </c>
      <c r="D11" s="74">
        <v>25</v>
      </c>
      <c r="E11" s="74">
        <v>25</v>
      </c>
      <c r="F11" s="74">
        <v>23</v>
      </c>
      <c r="G11" s="74">
        <v>24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25</v>
      </c>
      <c r="O11" s="74">
        <v>37</v>
      </c>
      <c r="P11" s="74">
        <v>28</v>
      </c>
      <c r="Q11" s="74">
        <v>24</v>
      </c>
      <c r="R11" s="74">
        <v>30</v>
      </c>
      <c r="S11" s="74">
        <v>18</v>
      </c>
      <c r="T11" s="74">
        <v>20</v>
      </c>
      <c r="U11" s="74">
        <v>24</v>
      </c>
      <c r="V11" s="74">
        <v>28</v>
      </c>
      <c r="W11" s="74">
        <v>24</v>
      </c>
      <c r="X11" s="74">
        <v>19</v>
      </c>
      <c r="Y11" s="74">
        <v>29</v>
      </c>
      <c r="Z11" s="74">
        <v>25</v>
      </c>
      <c r="AA11" s="74">
        <v>29</v>
      </c>
      <c r="AB11" s="74">
        <v>15</v>
      </c>
      <c r="AC11" s="74">
        <v>25</v>
      </c>
      <c r="AD11" s="74">
        <v>26</v>
      </c>
      <c r="AE11" s="74">
        <v>35</v>
      </c>
    </row>
    <row r="12" spans="1:99" ht="9.9" customHeight="1" ph="1"/>
    <row r="13" spans="1:99" s="72" customFormat="1" ht="29.25" customHeight="1" ph="1">
      <c r="B13" s="203" t="s" ph="1">
        <v>37</v>
      </c>
      <c r="C13" s="150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0" t="s" ph="1">
        <v>178</v>
      </c>
      <c r="D15" s="78">
        <v>5209</v>
      </c>
      <c r="E15" s="78">
        <v>1044</v>
      </c>
      <c r="F15" s="78">
        <v>1816</v>
      </c>
      <c r="G15" s="78">
        <v>1448</v>
      </c>
      <c r="H15" s="78">
        <v>4517</v>
      </c>
      <c r="I15" s="78">
        <v>0</v>
      </c>
      <c r="J15" s="78">
        <v>2280</v>
      </c>
      <c r="K15" s="78">
        <v>1900</v>
      </c>
      <c r="L15" s="78">
        <v>1780</v>
      </c>
      <c r="M15" s="78">
        <v>3276</v>
      </c>
      <c r="N15" s="78">
        <v>3316</v>
      </c>
      <c r="O15" s="78">
        <v>7128</v>
      </c>
      <c r="P15" s="78">
        <v>6937</v>
      </c>
      <c r="Q15" s="78">
        <v>3527</v>
      </c>
      <c r="R15" s="78">
        <v>3510</v>
      </c>
      <c r="S15" s="78">
        <v>6859</v>
      </c>
      <c r="T15" s="78">
        <v>6679</v>
      </c>
      <c r="U15" s="78">
        <v>1919</v>
      </c>
      <c r="V15" s="78">
        <v>1101</v>
      </c>
      <c r="W15" s="71">
        <v>3785</v>
      </c>
      <c r="X15" s="78">
        <v>155</v>
      </c>
      <c r="Y15" s="106">
        <v>-9907</v>
      </c>
      <c r="Z15" s="78">
        <v>0</v>
      </c>
      <c r="AA15" s="78">
        <v>4240</v>
      </c>
      <c r="AB15" s="78" ph="1">
        <v>6911</v>
      </c>
      <c r="AC15" s="78" ph="1">
        <v>3749</v>
      </c>
      <c r="AD15" s="78">
        <v>84.57</v>
      </c>
      <c r="AE15" s="78">
        <v>14.9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0" t="s" ph="1">
        <v>179</v>
      </c>
      <c r="D16" s="73" ph="1">
        <f>D15*7.0686*LOOKUP(D17,密度!$A$2:$A$50,密度!$L$2:$L$50)</f>
        <v>34500.656143799999</v>
      </c>
      <c r="E16" s="73" ph="1">
        <f>E15*7.0686*LOOKUP(E17,密度!$A$2:$A$50,密度!$L$2:$L$50)</f>
        <v>6914.7024408000007</v>
      </c>
      <c r="F16" s="73" ph="1">
        <f>F15*9.0746*LOOKUP(F17,密度!$A$2:$A$50,密度!$L$2:$L$50)</f>
        <v>15441.266763200001</v>
      </c>
      <c r="G16" s="73" ph="1">
        <f>G15*9.0746*LOOKUP(G17,密度!$A$2:$A$50,密度!$B$2:$B$50)</f>
        <v>10267.61225312</v>
      </c>
      <c r="H16" s="73" ph="1">
        <f>H15*9.0746*LOOKUP(H17,密度!$A$2:$A$50,密度!$L$2:$L$50)</f>
        <v>38612.550044399999</v>
      </c>
      <c r="I16" s="73" ph="1">
        <f>I15*9.0746*LOOKUP(I17,密度!$A$2:$A$50,密度!$U$2:$U$50)</f>
        <v>0</v>
      </c>
      <c r="J16" s="73" ph="1">
        <f>J15*9.0746*LOOKUP(J17,密度!$A$2:$A$50,密度!$L$2:$L$50)</f>
        <v>19386.612456000003</v>
      </c>
      <c r="K16" s="73" ph="1">
        <f>K15*9.0746*LOOKUP(K17,密度!$A$2:$A$50,密度!$C$2:$C$50)</f>
        <v>19171.090706000003</v>
      </c>
      <c r="L16" s="73" ph="1">
        <f>L15*9.0746*LOOKUP(L17,密度!$A$2:$A$50,密度!$E$2:$E$50)</f>
        <v>12670.2469072</v>
      </c>
      <c r="M16" s="73" ph="1">
        <f>M15*9.0746*LOOKUP(M17,密度!$A$2:$A$50,密度!$M$2:$M$50)</f>
        <v>26039.096450640001</v>
      </c>
      <c r="N16" s="73" ph="1">
        <f>N15*9.0746*LOOKUP(N17,密度!$A$2:$A$50,密度!$M$2:$M$50)</f>
        <v>26453.326531759998</v>
      </c>
      <c r="O16" s="73" ph="1">
        <f>O15*9.0746*LOOKUP(O17,密度!$A$2:$A$50,密度!$G$2:$G$50)</f>
        <v>62109.335597760008</v>
      </c>
      <c r="P16" s="73" ph="1">
        <f ca="1">P15*9.0746*LOOKUP(P17,密度!$A$2:$A$51,密度!$Q$2:$Q$50)</f>
        <v>59643.710424494006</v>
      </c>
      <c r="Q16" s="73" ph="1">
        <f>Q15*9.0746*LOOKUP(Q17,密度!$A$2:$A$50,密度!$Q$2:$Q$50)</f>
        <v>30301.468557708002</v>
      </c>
      <c r="R16" s="73" ph="1">
        <f>MAX(R15*9.0746*LOOKUP(R17,密度!$A$2:$A$50,密度!$B$2:$B$50),0)</f>
        <v>24860.365803000001</v>
      </c>
      <c r="S16" s="73" ph="1">
        <f>S15*9.0746*LOOKUP(S17,密度!$A$2:$A$50,密度!$Q$2:$Q$50)</f>
        <v>58973.073346058001</v>
      </c>
      <c r="T16" s="73" ph="1">
        <f>T15*9.0746*LOOKUP(T17,密度!$A$2:$A$50,密度!$O$2:$O$50)</f>
        <v>56366.605662000002</v>
      </c>
      <c r="U16" s="73" ph="1">
        <f>U15*9.0746*LOOKUP(U17,密度!$A$2:$A$50,密度!$H$2:$H$50)</f>
        <v>15982.713661719999</v>
      </c>
      <c r="V16" s="73" ph="1">
        <f>MAX(5600*LOOKUP(V17,密度!$A$2:$A$50,密度!$Q$2:$Q$50)+V15*9.0476*LOOKUP(V17,密度!$A$2:$A$50,密度!$Q$2:$Q$50),0)</f>
        <v>14699.616847112</v>
      </c>
      <c r="W16" s="73" ph="1">
        <f>MAX(5600*LOOKUP(W17,密度!$A$2:$A$50,密度!$Q$2:$Q$50)+W15*9.0476*LOOKUP(W17,密度!$A$2:$A$50,密度!$Q$2:$Q$50),0)</f>
        <v>37638.540706920001</v>
      </c>
      <c r="X16" s="73" ph="1">
        <f>MAX(5600*LOOKUP(X17,密度!$A$2:$A$50,密度!$I$2:$I$50)+X15*9.0476*LOOKUP(X17,密度!$A$2:$A$50,密度!$I$2:$I$50),0)</f>
        <v>7320.2859612000011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30134.641292800003</v>
      </c>
      <c r="AB16" s="73" ph="1">
        <f>AB15*9.0746*LOOKUP(AB17,密度!$A$2:$A$50,密度!$L$2:$L$50)</f>
        <v>58826.257842799998</v>
      </c>
      <c r="AC16" s="73" ph="1">
        <f>AC15*9.0746*LOOKUP(AC17,密度!$A$2:$A$50,密度!$L$2:$L$50)</f>
        <v>31945.414200599997</v>
      </c>
      <c r="AD16" s="73" ph="1">
        <f>AD15*268.68*LOOKUP(AD17,密度!$A$2:$A$50,密度!B2:B50)+IF(AD15&lt;=0,0,1566*LOOKUP(AD17,密度!$A$2:$A$50,密度!B2:B50))</f>
        <v>18935.133420959995</v>
      </c>
      <c r="AE16" s="73" ph="1">
        <f>AE15*268.68*LOOKUP(AE17,密度!$A$2:$A$50,密度!B2:B50)+IF(AE15&lt;=0,0,1566*LOOKUP(AE17,密度!$A$2:$A$50,密度!B2:B50))</f>
        <v>4341.8512271999998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25</v>
      </c>
      <c r="E17" s="74">
        <v>25</v>
      </c>
      <c r="F17" s="74">
        <v>25</v>
      </c>
      <c r="G17" s="74">
        <v>23</v>
      </c>
      <c r="H17" s="74">
        <v>20</v>
      </c>
      <c r="I17" s="74">
        <v>21</v>
      </c>
      <c r="J17" s="74">
        <v>25</v>
      </c>
      <c r="K17" s="74">
        <v>21</v>
      </c>
      <c r="L17" s="74">
        <v>24</v>
      </c>
      <c r="M17" s="74">
        <v>24</v>
      </c>
      <c r="N17" s="74">
        <v>21</v>
      </c>
      <c r="O17" s="74">
        <v>25</v>
      </c>
      <c r="P17" s="74">
        <v>24</v>
      </c>
      <c r="Q17" s="74">
        <v>25</v>
      </c>
      <c r="R17" s="74">
        <v>24</v>
      </c>
      <c r="S17" s="74">
        <v>24</v>
      </c>
      <c r="T17" s="74">
        <v>23</v>
      </c>
      <c r="U17" s="74">
        <v>22</v>
      </c>
      <c r="V17" s="74">
        <v>28</v>
      </c>
      <c r="W17" s="74">
        <v>28</v>
      </c>
      <c r="X17" s="74">
        <v>22</v>
      </c>
      <c r="Y17" s="108">
        <v>22</v>
      </c>
      <c r="Z17" s="74">
        <v>23</v>
      </c>
      <c r="AA17" s="74">
        <v>21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2892</v>
      </c>
      <c r="E18" s="71">
        <v>1975</v>
      </c>
      <c r="F18" s="71">
        <v>1815</v>
      </c>
      <c r="G18" s="71">
        <v>1568</v>
      </c>
      <c r="H18" s="71">
        <v>4519</v>
      </c>
      <c r="I18" s="71">
        <v>0</v>
      </c>
      <c r="J18" s="71">
        <v>2280</v>
      </c>
      <c r="K18" s="71">
        <v>1899</v>
      </c>
      <c r="L18" s="71">
        <v>1781</v>
      </c>
      <c r="M18" s="71">
        <v>5484</v>
      </c>
      <c r="N18" s="71">
        <v>1133</v>
      </c>
      <c r="O18" s="71">
        <v>7132</v>
      </c>
      <c r="P18" s="71">
        <v>6940</v>
      </c>
      <c r="Q18" s="71">
        <v>1787</v>
      </c>
      <c r="R18" s="71">
        <v>3511</v>
      </c>
      <c r="S18" s="71">
        <v>6863</v>
      </c>
      <c r="T18" s="71">
        <v>6683</v>
      </c>
      <c r="U18" s="71">
        <v>3692</v>
      </c>
      <c r="V18" s="71">
        <v>1100</v>
      </c>
      <c r="W18" s="71">
        <v>3784</v>
      </c>
      <c r="X18" s="71">
        <v>152</v>
      </c>
      <c r="Y18" s="109">
        <v>-9907</v>
      </c>
      <c r="Z18" s="71">
        <v>0</v>
      </c>
      <c r="AA18" s="71">
        <v>4242</v>
      </c>
      <c r="AB18" s="71">
        <v>6915</v>
      </c>
      <c r="AC18" s="71">
        <v>989</v>
      </c>
      <c r="AD18" s="71">
        <v>5.55</v>
      </c>
      <c r="AE18" s="71">
        <v>49.33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0" t="s" ph="1">
        <v>179</v>
      </c>
      <c r="D19" s="73" ph="1">
        <f>D18*7.0686*LOOKUP(D20,密度!$A$2:$A$50,密度!$L$2:$L$50)</f>
        <v>19134.0781632</v>
      </c>
      <c r="E19" s="73" ph="1">
        <f>E18*7.0686*LOOKUP(E20,密度!$A$2:$A$50,密度!$L$2:$L$50)</f>
        <v>13067.013960000002</v>
      </c>
      <c r="F19" s="73" ph="1">
        <f>F18*9.0746*LOOKUP(F20,密度!$A$2:$A$50,密度!$L$2:$L$50)</f>
        <v>15366.882267000003</v>
      </c>
      <c r="G19" s="73" ph="1">
        <f>G18*9.0746*LOOKUP(G20,密度!$A$2:$A$50,密度!$B$2:$B$50)</f>
        <v>11080.101119359999</v>
      </c>
      <c r="H19" s="73" ph="1">
        <f>H18*9.0746*LOOKUP(H20,密度!$A$2:$A$50,密度!$L$2:$L$50)</f>
        <v>38629.646590800003</v>
      </c>
      <c r="I19" s="73" ph="1">
        <f>I18*9.0746*LOOKUP(I20,密度!$A$2:$A$50,密度!$U$2:$U$50)</f>
        <v>0</v>
      </c>
      <c r="J19" s="73" ph="1">
        <f>J18*9.0746*LOOKUP(J20,密度!$A$2:$A$50,密度!$L$2:$L$50)</f>
        <v>19510.752983999999</v>
      </c>
      <c r="K19" s="73" ph="1">
        <f>K18*9.0746*LOOKUP(K20,密度!$A$2:$A$50,密度!$C$2:$C$50)</f>
        <v>19095.516529740002</v>
      </c>
      <c r="L19" s="73" ph="1">
        <f>L18*9.0746*LOOKUP(L20,密度!$A$2:$A$50,密度!$E$2:$E$50)</f>
        <v>12640.192739460001</v>
      </c>
      <c r="M19" s="73" ph="1">
        <f>M18*9.0746*LOOKUP(M20,密度!$A$2:$A$50,密度!$M$2:$M$50)</f>
        <v>43345.407674400005</v>
      </c>
      <c r="N19" s="73" ph="1">
        <f>N18*9.0746*LOOKUP(N20,密度!$A$2:$A$50,密度!$M$2:$M$50)</f>
        <v>8997.3597271800008</v>
      </c>
      <c r="O19" s="73" ph="1">
        <f>O18*9.0746*LOOKUP(O20,密度!$A$2:$A$50,密度!$G$2:$G$50)</f>
        <v>62144.189321440004</v>
      </c>
      <c r="P19" s="73" ph="1">
        <f ca="1">P18*9.0746*LOOKUP(P20,密度!$A$2:$A$51,密度!$Q$2:$Q$50)</f>
        <v>59578.816235720005</v>
      </c>
      <c r="Q19" s="73" ph="1">
        <f>Q18*9.0746*LOOKUP(Q20,密度!$A$2:$A$50,密度!$Q$2:$Q$50)</f>
        <v>15341.115938506</v>
      </c>
      <c r="R19" s="73" ph="1">
        <f>MAX(R18*9.0746*LOOKUP(R20,密度!$A$2:$A$50,密度!$B$2:$B$50),0)</f>
        <v>24784.610134740004</v>
      </c>
      <c r="S19" s="73" ph="1">
        <f>S18*9.0746*LOOKUP(S20,密度!$A$2:$A$50,密度!$Q$2:$Q$50)</f>
        <v>58962.001335852001</v>
      </c>
      <c r="T19" s="73" ph="1">
        <f>T18*9.0746*LOOKUP(T20,密度!$A$2:$A$50,密度!$O$2:$O$50)</f>
        <v>56157.780966800005</v>
      </c>
      <c r="U19" s="73" ph="1">
        <f>U18*9.0746*LOOKUP(U20,密度!$A$2:$A$50,密度!$H$2:$H$50)</f>
        <v>30618.778462480001</v>
      </c>
      <c r="V19" s="73" ph="1">
        <f>MAX(5600*LOOKUP(V20,密度!$A$2:$A$50,密度!$Q$2:$Q$50)+V18*9.0476*LOOKUP(V20,密度!$A$2:$A$50,密度!$Q$2:$Q$50),0)</f>
        <v>14712.999130799999</v>
      </c>
      <c r="W19" s="73" ph="1">
        <f>MAX(5600*LOOKUP(W20,密度!$A$2:$A$50,密度!$Q$2:$Q$50)+W18*9.0476*LOOKUP(W20,密度!$A$2:$A$50,密度!$Q$2:$Q$50),0)</f>
        <v>37686.163089952002</v>
      </c>
      <c r="X19" s="73" ph="1">
        <f>MAX(5600*LOOKUP(X20,密度!$A$2:$A$50,密度!$I$2:$I$50)+X18*9.0476*LOOKUP(X20,密度!$A$2:$A$50,密度!$I$2:$I$50),0)</f>
        <v>7288.423260479999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30114.210738360001</v>
      </c>
      <c r="AB19" s="73" ph="1">
        <f>AB18*9.0746*LOOKUP(AB20,密度!$A$2:$A$50,密度!$L$2:$L$50)</f>
        <v>58734.804024000005</v>
      </c>
      <c r="AC19" s="73" ph="1">
        <f>AC18*9.0746*LOOKUP(AC20,密度!$A$2:$A$50,密度!$L$2:$L$50)</f>
        <v>8382.4439595999993</v>
      </c>
      <c r="AD19" s="73" ph="1">
        <f>AD18*268.68*LOOKUP(AD20,密度!$A$2:$A$50,密度!B5:B53)+IF(AD18&lt;=0,0,1566*LOOKUP(AD20,密度!$A$2:$A$50,密度!B5:B53))</f>
        <v>2375.4241979999997</v>
      </c>
      <c r="AE19" s="73" ph="1">
        <f>AE18*268.68*LOOKUP(AE20,密度!$A$2:$A$50,密度!B5:B53)+IF(AE18&lt;=0,0,1566*LOOKUP(AE20,密度!$A$2:$A$50,密度!B5:B53))</f>
        <v>11515.1278788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26</v>
      </c>
      <c r="E20" s="81">
        <v>26</v>
      </c>
      <c r="F20" s="81">
        <v>29</v>
      </c>
      <c r="G20" s="81">
        <v>26</v>
      </c>
      <c r="H20" s="81">
        <v>20</v>
      </c>
      <c r="I20" s="81">
        <v>31</v>
      </c>
      <c r="J20" s="81">
        <v>19</v>
      </c>
      <c r="K20" s="81">
        <v>26</v>
      </c>
      <c r="L20" s="81">
        <v>26</v>
      </c>
      <c r="M20" s="81">
        <v>29</v>
      </c>
      <c r="N20" s="81">
        <v>25</v>
      </c>
      <c r="O20" s="81">
        <v>25</v>
      </c>
      <c r="P20" s="81">
        <v>26</v>
      </c>
      <c r="Q20" s="81">
        <v>26</v>
      </c>
      <c r="R20" s="81">
        <v>27</v>
      </c>
      <c r="S20" s="81">
        <v>25</v>
      </c>
      <c r="T20" s="81">
        <v>25</v>
      </c>
      <c r="U20" s="81">
        <v>26</v>
      </c>
      <c r="V20" s="81">
        <v>26</v>
      </c>
      <c r="W20" s="81">
        <v>26</v>
      </c>
      <c r="X20" s="81">
        <v>23</v>
      </c>
      <c r="Y20" s="110">
        <v>23</v>
      </c>
      <c r="Z20" s="81">
        <v>32</v>
      </c>
      <c r="AA20" s="81">
        <v>22</v>
      </c>
      <c r="AB20" s="81">
        <v>26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0" t="s" ph="1">
        <v>178</v>
      </c>
      <c r="D24" s="71">
        <v>3.09</v>
      </c>
      <c r="E24" s="71">
        <v>95.54</v>
      </c>
      <c r="F24" s="71">
        <v>0</v>
      </c>
      <c r="G24" s="71">
        <v>3354</v>
      </c>
      <c r="H24" s="71">
        <v>1747</v>
      </c>
      <c r="I24" s="71">
        <v>4675</v>
      </c>
      <c r="J24" s="71">
        <v>4949</v>
      </c>
      <c r="K24" s="71">
        <v>85.5</v>
      </c>
      <c r="L24" s="71">
        <v>0</v>
      </c>
      <c r="M24" s="71">
        <v>5419</v>
      </c>
      <c r="N24" s="71">
        <v>5368</v>
      </c>
      <c r="O24" s="71">
        <v>3521</v>
      </c>
      <c r="P24" s="71">
        <v>839</v>
      </c>
      <c r="Q24" s="90">
        <v>2637</v>
      </c>
      <c r="R24" s="71">
        <v>5264</v>
      </c>
      <c r="S24" s="71">
        <v>226</v>
      </c>
      <c r="T24" s="71">
        <v>1755</v>
      </c>
      <c r="U24" s="71">
        <v>5059</v>
      </c>
      <c r="V24" s="71">
        <v>9646</v>
      </c>
      <c r="W24" s="71">
        <v>8764</v>
      </c>
      <c r="X24" s="71">
        <v>4163</v>
      </c>
      <c r="Y24" s="71">
        <v>5461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2268.5984588880001</v>
      </c>
      <c r="E25" s="91" ph="1">
        <f>E24*268.68*LOOKUP(E26,密度!$A$2:$A$50,密度!$C$2:$C$50)+IF(E24&lt;=0,0,1566*LOOKUP(E26,密度!$A$2:$A$50,密度!$C$2:$C$50))</f>
        <v>30201.653536080004</v>
      </c>
      <c r="F25" s="91" ph="1">
        <f>F24*11.702*LOOKUP(F26,密度!$A$2:$A$50,密度!$Q$2:$Q$50)</f>
        <v>0</v>
      </c>
      <c r="G25" s="91" ph="1">
        <f>G24*18.322*LOOKUP(G26,密度!$A$2:$A$50,密度!$B$2:$B$50)</f>
        <v>48073.890212399994</v>
      </c>
      <c r="H25" s="91" ph="1">
        <f>H24*18.322*LOOKUP(H26,密度!$A$2:$A$50,密度!$B$2:$B$50)</f>
        <v>25069.083828800001</v>
      </c>
      <c r="I25" s="91" ph="1">
        <f>I24*18.322*LOOKUP(I26,密度!$A$2:$A$50,密度!$Q$2:$Q$50)</f>
        <v>81294.636131499996</v>
      </c>
      <c r="J25" s="91" ph="1">
        <f>J24*18.322*LOOKUP(J26,密度!$A$2:$A$50,密度!$Q$2:$Q$50)</f>
        <v>86059.284324019987</v>
      </c>
      <c r="K25" s="91" ph="1">
        <f>K24*18.322*LOOKUP(K26,密度!$A$2:$A$50,密度!$Q$2:$Q$50)</f>
        <v>1486.7789067899998</v>
      </c>
      <c r="L25" s="91" ph="1">
        <f>L24*18.322*LOOKUP(L26,密度!$A$2:$A$50,密度!$Q$2:$Q$50)</f>
        <v>0</v>
      </c>
      <c r="M25" s="91" ph="1">
        <f>M24*18.322*LOOKUP(M26,密度!$A$2:$A$50,密度!$Q$2:$Q$50)</f>
        <v>94232.221004619991</v>
      </c>
      <c r="N25" s="91" ph="1">
        <f>N24*18.322*LOOKUP(N26,密度!$A$2:$A$50,密度!$Q$2:$Q$50)</f>
        <v>93345.370428640003</v>
      </c>
      <c r="O25" s="91" ph="1">
        <f>O24*18.322*LOOKUP(O26,密度!$A$2:$A$50,密度!$C$2:$C$50)</f>
        <v>71730.628167800009</v>
      </c>
      <c r="P25" s="91" ph="1">
        <f>P24*11.702*LOOKUP(P26,密度!$A$2:$A$50,密度!$B$2:$B$50)</f>
        <v>7689.440369599999</v>
      </c>
      <c r="Q25" s="92" ph="1">
        <f>Q24*18.322*LOOKUP(Q26,密度!$A$2:$A$50,密度!$B$2:$B$50)</f>
        <v>37840.397284800005</v>
      </c>
      <c r="R25" s="91" ph="1">
        <f>R24*35.891*LOOKUP(R26,密度!$A$2:$A$50,密度!$C$2:$C$50)</f>
        <v>210071.51606560001</v>
      </c>
      <c r="S25" s="91" ph="1">
        <f>S24*35.891*LOOKUP(S26,密度!$A$2:$A$50,密度!$B$2:$B$50)</f>
        <v>6345.5216217999996</v>
      </c>
      <c r="T25" s="91" ph="1">
        <f>T24*35.891*LOOKUP(T26,密度!$A$2:$A$50,密度!$Q$2:$Q$50)</f>
        <v>59819.743251449996</v>
      </c>
      <c r="U25" s="91" ph="1">
        <f>U24*35.891</f>
        <v>181572.56899999999</v>
      </c>
      <c r="V25" s="91" ph="1">
        <f>V24*47.051*LOOKUP(V26,密度!$A$2:$A$50,密度!$B$2:$B$50)</f>
        <v>355049.94195579999</v>
      </c>
      <c r="W25" s="91" ph="1">
        <f>W24*47.051*LOOKUP(W26,密度!$A$2:$A$50,密度!$B$2:$B$50)</f>
        <v>322956.40780480002</v>
      </c>
      <c r="X25" s="91" ph="1">
        <f>X24*47.051*LOOKUP(X26,密度!$A$2:$A$50,密度!$I$2:$I$50)</f>
        <v>202854.23787531996</v>
      </c>
      <c r="Y25" s="91" ph="1">
        <f>Y24*47.051*LOOKUP(Y26,密度!$A$2:$A$50,密度!$L$2:$L$50)</f>
        <v>241528.78034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21</v>
      </c>
      <c r="G26" s="74">
        <v>22</v>
      </c>
      <c r="H26" s="74">
        <v>21</v>
      </c>
      <c r="I26" s="74">
        <v>22</v>
      </c>
      <c r="J26" s="74">
        <v>22</v>
      </c>
      <c r="K26" s="74">
        <v>22</v>
      </c>
      <c r="L26" s="74">
        <v>21</v>
      </c>
      <c r="M26" s="74">
        <v>22</v>
      </c>
      <c r="N26" s="74">
        <v>22</v>
      </c>
      <c r="O26" s="74">
        <v>21</v>
      </c>
      <c r="P26" s="74">
        <v>21</v>
      </c>
      <c r="Q26" s="93">
        <v>21</v>
      </c>
      <c r="R26" s="74">
        <v>21</v>
      </c>
      <c r="S26" s="74">
        <v>22</v>
      </c>
      <c r="T26" s="74">
        <v>21</v>
      </c>
      <c r="U26" s="74">
        <v>22</v>
      </c>
      <c r="V26" s="74">
        <v>22</v>
      </c>
      <c r="W26" s="74">
        <v>21</v>
      </c>
      <c r="X26" s="74">
        <v>56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0" t="s" ph="1">
        <v>181</v>
      </c>
      <c r="D27" s="71">
        <v>3.07</v>
      </c>
      <c r="E27" s="71">
        <v>95.51</v>
      </c>
      <c r="F27" s="71">
        <v>0</v>
      </c>
      <c r="G27" s="71">
        <v>2868</v>
      </c>
      <c r="H27" s="71">
        <v>2424</v>
      </c>
      <c r="I27" s="71">
        <v>4674</v>
      </c>
      <c r="J27" s="71">
        <v>4949</v>
      </c>
      <c r="K27" s="71">
        <v>81.400000000000006</v>
      </c>
      <c r="L27" s="71">
        <v>0</v>
      </c>
      <c r="M27" s="71">
        <v>5418</v>
      </c>
      <c r="N27" s="71">
        <v>5367</v>
      </c>
      <c r="O27" s="71">
        <v>3518</v>
      </c>
      <c r="P27" s="71">
        <v>835</v>
      </c>
      <c r="Q27" s="90">
        <v>2449</v>
      </c>
      <c r="R27" s="71">
        <v>5261</v>
      </c>
      <c r="S27" s="71">
        <v>223</v>
      </c>
      <c r="T27" s="71">
        <v>1754</v>
      </c>
      <c r="U27" s="71">
        <v>4947</v>
      </c>
      <c r="V27" s="71">
        <v>9646</v>
      </c>
      <c r="W27" s="71">
        <v>8765</v>
      </c>
      <c r="X27" s="71">
        <v>4748</v>
      </c>
      <c r="Y27" s="71">
        <v>6007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0" t="s" ph="1">
        <v>179</v>
      </c>
      <c r="D28" s="91" ph="1">
        <f>D27*268.68*LOOKUP(D29,密度!$A$2:$A$50,密度!$Q$2:$Q$50)+IF(D27&lt;=0,0,1566*LOOKUP(D29,密度!$A$2:$A$50,密度!$Q$2:$Q$50))</f>
        <v>2263.5110568239998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0</v>
      </c>
      <c r="G28" s="91" ph="1">
        <f>G27*18.322*LOOKUP(G29,密度!$A$2:$A$50,密度!$B$2:$B$50)</f>
        <v>41060.613374399996</v>
      </c>
      <c r="H28" s="91" ph="1">
        <f>H27*18.322*LOOKUP(H29,密度!$A$2:$A$50,密度!$B$2:$B$50)</f>
        <v>34743.920654399997</v>
      </c>
      <c r="I28" s="91" ph="1">
        <f>I27*18.322*LOOKUP(I29,密度!$A$2:$A$50,密度!$Q$2:$Q$50)</f>
        <v>81201.029949599993</v>
      </c>
      <c r="J28" s="91" ph="1">
        <f>J27*18.322*LOOKUP(J29,密度!$A$2:$A$50,密度!$Q$2:$Q$50)</f>
        <v>86059.284324019987</v>
      </c>
      <c r="K28" s="91" ph="1">
        <f>K27*18.322*LOOKUP(K29,密度!$A$2:$A$50,密度!$Q$2:$Q$50)</f>
        <v>1415.483076172</v>
      </c>
      <c r="L28" s="91" ph="1">
        <f>L27*18.322*LOOKUP(L29,密度!$A$2:$A$50,密度!$Q$2:$Q$50)</f>
        <v>0</v>
      </c>
      <c r="M28" s="91" ph="1">
        <f>M27*18.322*LOOKUP(M29,密度!$A$2:$A$50,密度!$Q$2:$Q$50)</f>
        <v>94214.831777639993</v>
      </c>
      <c r="N28" s="91" ph="1">
        <f>N27*18.322*LOOKUP(N29,密度!$A$2:$A$50,密度!$Q$2:$Q$50)</f>
        <v>93240.463786799999</v>
      </c>
      <c r="O28" s="91" ph="1">
        <f>O27*18.322*LOOKUP(O29,密度!$A$2:$A$50,密度!$C$2:$C$50)</f>
        <v>71669.511472400001</v>
      </c>
      <c r="P28" s="91" ph="1">
        <f>P27*11.702*LOOKUP(P29,密度!$A$2:$A$50,密度!$B$2:$B$50)</f>
        <v>7643.9862910000002</v>
      </c>
      <c r="Q28" s="92" ph="1">
        <f>Q27*18.322*LOOKUP(Q29,密度!$A$2:$A$50,密度!$B$2:$B$50)</f>
        <v>35061.869649200002</v>
      </c>
      <c r="R28" s="91" ph="1">
        <f>R27*35.891*LOOKUP(R29,密度!$A$2:$A$50,密度!$C$2:$C$50)</f>
        <v>209668.5606304</v>
      </c>
      <c r="S28" s="91" ph="1">
        <f>S27*35.891*LOOKUP(S29,密度!$A$2:$A$50,密度!$B$2:$B$50)</f>
        <v>6261.2890338999996</v>
      </c>
      <c r="T28" s="91" ph="1">
        <f>T27*35.891*LOOKUP(T29,密度!$A$2:$A$50,密度!$Q$2:$Q$50)</f>
        <v>59691.858234799998</v>
      </c>
      <c r="U28" s="91" ph="1">
        <f>U27*35.891</f>
        <v>177552.777</v>
      </c>
      <c r="V28" s="91" ph="1">
        <f>V27*47.051*LOOKUP(V29,密度!$A$2:$A$50,密度!$B$2:$B$50)</f>
        <v>355049.94195579999</v>
      </c>
      <c r="W28" s="91" ph="1">
        <f>W27*47.051*LOOKUP(W29,密度!$A$2:$A$50,密度!$B$2:$B$50)</f>
        <v>322622.09633450001</v>
      </c>
      <c r="X28" s="91" ph="1">
        <f>X27*47.051*LOOKUP(X29,密度!$A$2:$A$50,密度!$I$2:$I$50)</f>
        <v>231360.05799472</v>
      </c>
      <c r="Y28" s="91" ph="1">
        <f>Y27*47.051*LOOKUP(Y29,密度!$A$2:$A$50,密度!$L$2:$L$50)</f>
        <v>265394.60022299999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0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22</v>
      </c>
      <c r="L29" s="74">
        <v>22</v>
      </c>
      <c r="M29" s="74">
        <v>22</v>
      </c>
      <c r="N29" s="74">
        <v>23</v>
      </c>
      <c r="O29" s="74">
        <v>21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57</v>
      </c>
      <c r="Y29" s="74">
        <v>23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101456.86508069999</v>
      </c>
      <c r="E33" s="217" ph="1">
        <f>M10+I10</f>
        <v>93807.562134799999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21" ph="1">
        <v>0</v>
      </c>
      <c r="H33" s="217" ph="1">
        <f>N19</f>
        <v>8997.3597271800008</v>
      </c>
      <c r="I33" s="230" ph="1">
        <v>0</v>
      </c>
      <c r="J33" s="228" ph="1">
        <f>F10+O28</f>
        <v>190278.08337320003</v>
      </c>
      <c r="K33" s="217" ph="1">
        <f>O10+K10+E28+R28</f>
        <v>243879.64808091999</v>
      </c>
      <c r="L33" s="232" ph="1">
        <f>BE27</f>
        <v>7100</v>
      </c>
      <c r="M33" s="228" ph="1">
        <f>G10+H10+W28+S28+V28+E10</f>
        <v>1142114.3732181999</v>
      </c>
      <c r="N33" s="217" ph="1">
        <f>L10+P10++G28+H28</f>
        <v>381599.96405280003</v>
      </c>
      <c r="O33" s="230" ph="1">
        <f>BE17</f>
        <v>2270</v>
      </c>
      <c r="P33" s="228" ph="1">
        <f>L19</f>
        <v>12640.192739460001</v>
      </c>
      <c r="Q33" s="217" ph="1">
        <f>J10+N10</f>
        <v>62893.098083199999</v>
      </c>
      <c r="R33" s="230" ph="1">
        <f>BE23</f>
        <v>890</v>
      </c>
      <c r="S33" s="228" ph="1">
        <f>E10+X28</f>
        <v>401813.19747871999</v>
      </c>
      <c r="T33" s="217" ph="1">
        <f>X19</f>
        <v>7288.423260479999</v>
      </c>
      <c r="U33" s="238" ph="1">
        <f>BE21</f>
        <v>730</v>
      </c>
      <c r="V33" s="249" ph="1">
        <f ca="1">P19+Q19+S19+M28+N28+J28</f>
        <v>407396.51339853794</v>
      </c>
      <c r="W33" s="249" ph="1">
        <f>D28+F28+V19+T28</f>
        <v>76668.368422423999</v>
      </c>
      <c r="X33" s="230" ph="1">
        <f>BE29+BE31</f>
        <v>10200</v>
      </c>
      <c r="Y33" s="251" ph="1">
        <f>+Q10+R10+S10+T10+U10+V10+W10+X10+Y10</f>
        <v>246884.20051680002</v>
      </c>
      <c r="Z33" s="236" ph="1">
        <f>D10+T19+U19+Y28+Z10</f>
        <v>558981.19413587998</v>
      </c>
      <c r="AA33" s="238" ph="1">
        <f>BE19</f>
        <v>1440</v>
      </c>
      <c r="AB33" s="240" ph="1">
        <f>I19</f>
        <v>0</v>
      </c>
      <c r="AC33" s="242" ph="1">
        <f>AD10</f>
        <v>26173.759046400002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52" t="s" ph="1">
        <v>186</v>
      </c>
      <c r="AA36" s="152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345</v>
      </c>
      <c r="AI37" s="152" t="s" ph="1">
        <v>212</v>
      </c>
      <c r="AJ37" s="152" t="s" ph="1">
        <v>213</v>
      </c>
      <c r="AK37" s="152" t="s" ph="1">
        <v>214</v>
      </c>
      <c r="AM37" s="152" t="s" ph="1">
        <v>213</v>
      </c>
      <c r="AN37" s="152" t="s" ph="1">
        <v>214</v>
      </c>
      <c r="AO37" s="152" t="s" ph="1">
        <v>215</v>
      </c>
      <c r="AP37" s="152" t="s" ph="1">
        <v>213</v>
      </c>
      <c r="AQ37" s="152" t="s" ph="1">
        <v>214</v>
      </c>
      <c r="AR37" s="152" t="s" ph="1">
        <v>215</v>
      </c>
      <c r="AS37" s="152" t="s" ph="1">
        <v>213</v>
      </c>
      <c r="AT37" s="152" t="s" ph="1">
        <v>214</v>
      </c>
      <c r="AU37" s="152" t="s" ph="1">
        <v>215</v>
      </c>
      <c r="AV37" s="152" t="s" ph="1">
        <v>213</v>
      </c>
      <c r="AW37" s="152" t="s" ph="1">
        <v>214</v>
      </c>
      <c r="AX37" s="152" t="s" ph="1">
        <v>215</v>
      </c>
      <c r="AY37" s="152" t="s" ph="1">
        <v>214</v>
      </c>
      <c r="AZ37" s="152" t="s" ph="1">
        <v>216</v>
      </c>
      <c r="BD37" s="152" t="s" ph="1">
        <v>308</v>
      </c>
      <c r="BE37" s="152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89" priority="96">
      <formula>ABS(D$7-D$10)&gt;=1000</formula>
    </cfRule>
  </conditionalFormatting>
  <conditionalFormatting sqref="E4 E6:E11">
    <cfRule type="expression" dxfId="1888" priority="95">
      <formula>ABS(E$7-E$10)&gt;=1000</formula>
    </cfRule>
  </conditionalFormatting>
  <conditionalFormatting sqref="F4:F11">
    <cfRule type="expression" dxfId="1887" priority="94">
      <formula>ABS(F$7-F$10)&gt;=1000</formula>
    </cfRule>
  </conditionalFormatting>
  <conditionalFormatting sqref="G4:G11">
    <cfRule type="expression" dxfId="1886" priority="93">
      <formula>ABS(G$7-G$10)&gt;=1000</formula>
    </cfRule>
  </conditionalFormatting>
  <conditionalFormatting sqref="H4:H11">
    <cfRule type="expression" dxfId="1885" priority="92">
      <formula>ABS(H$7-H$10)&gt;=1000</formula>
    </cfRule>
  </conditionalFormatting>
  <conditionalFormatting sqref="I4:I11">
    <cfRule type="expression" dxfId="1884" priority="91">
      <formula>ABS(I$7-I$10)&gt;=1000</formula>
    </cfRule>
  </conditionalFormatting>
  <conditionalFormatting sqref="J4:J11">
    <cfRule type="expression" dxfId="1883" priority="90">
      <formula>ABS(J$7-J$10)&gt;=1000</formula>
    </cfRule>
  </conditionalFormatting>
  <conditionalFormatting sqref="K4:K11">
    <cfRule type="expression" dxfId="1882" priority="89">
      <formula>ABS(K$7-K$10)&gt;=1000</formula>
    </cfRule>
  </conditionalFormatting>
  <conditionalFormatting sqref="L4:L11">
    <cfRule type="expression" dxfId="1881" priority="88">
      <formula>ABS(L$7-L$10)&gt;=1000</formula>
    </cfRule>
  </conditionalFormatting>
  <conditionalFormatting sqref="M4 M6:M11">
    <cfRule type="expression" dxfId="1880" priority="87">
      <formula>ABS(M$7-M$10)&gt;=1000</formula>
    </cfRule>
  </conditionalFormatting>
  <conditionalFormatting sqref="N4 N6:N11">
    <cfRule type="expression" dxfId="1879" priority="86">
      <formula>ABS(N$7-N$10)&gt;=1000</formula>
    </cfRule>
  </conditionalFormatting>
  <conditionalFormatting sqref="O4 O6:O11">
    <cfRule type="expression" dxfId="1878" priority="85">
      <formula>ABS(O$7-O$10)&gt;=1000</formula>
    </cfRule>
  </conditionalFormatting>
  <conditionalFormatting sqref="P4 P6:P11">
    <cfRule type="expression" dxfId="1877" priority="84">
      <formula>ABS(P$7-P$10)&gt;=1000</formula>
    </cfRule>
  </conditionalFormatting>
  <conditionalFormatting sqref="Q4:Q11">
    <cfRule type="expression" dxfId="1876" priority="83">
      <formula>ABS(Q$7-Q$10)&gt;=1000</formula>
    </cfRule>
  </conditionalFormatting>
  <conditionalFormatting sqref="R4:R11">
    <cfRule type="expression" dxfId="1875" priority="82">
      <formula>ABS(R$7-R$10)&gt;=1000</formula>
    </cfRule>
  </conditionalFormatting>
  <conditionalFormatting sqref="S4:S11">
    <cfRule type="expression" dxfId="1874" priority="81">
      <formula>ABS(S$7-S$10)&gt;=1000</formula>
    </cfRule>
  </conditionalFormatting>
  <conditionalFormatting sqref="T4:T9 T11">
    <cfRule type="expression" dxfId="1873" priority="80">
      <formula>ABS(T$7-T$10)&gt;=1000</formula>
    </cfRule>
  </conditionalFormatting>
  <conditionalFormatting sqref="U4:U9 U11">
    <cfRule type="expression" dxfId="1872" priority="79">
      <formula>ABS(U$7-U$10)&gt;=1000</formula>
    </cfRule>
  </conditionalFormatting>
  <conditionalFormatting sqref="V4:V9 V11">
    <cfRule type="expression" dxfId="1871" priority="78">
      <formula>ABS(V$7-V$10)&gt;=1000</formula>
    </cfRule>
  </conditionalFormatting>
  <conditionalFormatting sqref="W4:W9 W11">
    <cfRule type="expression" dxfId="1870" priority="77">
      <formula>ABS(W$7-W$10)&gt;=1000</formula>
    </cfRule>
  </conditionalFormatting>
  <conditionalFormatting sqref="X4:X9 X11">
    <cfRule type="expression" dxfId="1869" priority="76">
      <formula>ABS(X$7-X$10)&gt;=1000</formula>
    </cfRule>
  </conditionalFormatting>
  <conditionalFormatting sqref="Y4:Y9 Y11">
    <cfRule type="expression" dxfId="1868" priority="75">
      <formula>ABS(Y$7-Y$10)&gt;=1000</formula>
    </cfRule>
  </conditionalFormatting>
  <conditionalFormatting sqref="Z4:Z11">
    <cfRule type="expression" dxfId="1867" priority="74">
      <formula>ABS(Z$7-Z$10)&gt;=1000</formula>
    </cfRule>
  </conditionalFormatting>
  <conditionalFormatting sqref="AA4:AA11">
    <cfRule type="expression" dxfId="1866" priority="73">
      <formula>ABS(AA$7-AA$10)&gt;=1000</formula>
    </cfRule>
  </conditionalFormatting>
  <conditionalFormatting sqref="AB4:AB11">
    <cfRule type="expression" dxfId="1865" priority="72">
      <formula>ABS(AB$7-AB$10)&gt;=1000</formula>
    </cfRule>
  </conditionalFormatting>
  <conditionalFormatting sqref="AC4 AC6:AC11">
    <cfRule type="expression" dxfId="1864" priority="71">
      <formula>ABS(AC$7-AC$10)&gt;=1000</formula>
    </cfRule>
  </conditionalFormatting>
  <conditionalFormatting sqref="AD4:AD11">
    <cfRule type="expression" dxfId="1863" priority="70">
      <formula>ABS(AD$7-AD$10)&gt;=1000</formula>
    </cfRule>
  </conditionalFormatting>
  <conditionalFormatting sqref="AE4:AE11">
    <cfRule type="expression" dxfId="1862" priority="69">
      <formula>ABS(AE$7-AE$10)&gt;=1000</formula>
    </cfRule>
  </conditionalFormatting>
  <conditionalFormatting sqref="D13:D20">
    <cfRule type="expression" dxfId="1861" priority="68">
      <formula>ABS(D$16-D$19)&gt;=1000</formula>
    </cfRule>
  </conditionalFormatting>
  <conditionalFormatting sqref="E13:E20">
    <cfRule type="expression" dxfId="1860" priority="67">
      <formula>ABS(E$16-E$19)&gt;=1000</formula>
    </cfRule>
  </conditionalFormatting>
  <conditionalFormatting sqref="F13 F15:F20">
    <cfRule type="expression" dxfId="1859" priority="66">
      <formula>ABS(F$16-F$19)&gt;=1000</formula>
    </cfRule>
  </conditionalFormatting>
  <conditionalFormatting sqref="G13:G20">
    <cfRule type="expression" dxfId="1858" priority="65">
      <formula>ABS(G$16-G$19)&gt;=1000</formula>
    </cfRule>
  </conditionalFormatting>
  <conditionalFormatting sqref="H13:H20">
    <cfRule type="expression" dxfId="1857" priority="64">
      <formula>ABS(H$16-H$19)&gt;=1000</formula>
    </cfRule>
  </conditionalFormatting>
  <conditionalFormatting sqref="I13:I20">
    <cfRule type="expression" dxfId="1856" priority="63">
      <formula>ABS(I$16-I$19)&gt;=1000</formula>
    </cfRule>
  </conditionalFormatting>
  <conditionalFormatting sqref="J13:J20">
    <cfRule type="expression" dxfId="1855" priority="62">
      <formula>ABS(J$16-J$19)&gt;=1000</formula>
    </cfRule>
  </conditionalFormatting>
  <conditionalFormatting sqref="L13:L20">
    <cfRule type="expression" dxfId="1854" priority="61">
      <formula>ABS(L$16-L$19)&gt;=1000</formula>
    </cfRule>
  </conditionalFormatting>
  <conditionalFormatting sqref="M13 M15 M17:M18 M20">
    <cfRule type="expression" dxfId="1853" priority="60">
      <formula>ABS(M$16-M$19)&gt;=1000</formula>
    </cfRule>
  </conditionalFormatting>
  <conditionalFormatting sqref="N13:N20">
    <cfRule type="expression" dxfId="1852" priority="59">
      <formula>ABS(N$16-N$19)&gt;=1000</formula>
    </cfRule>
  </conditionalFormatting>
  <conditionalFormatting sqref="O13:O20">
    <cfRule type="expression" dxfId="1851" priority="58">
      <formula>ABS(O$16-O$19)&gt;=1000</formula>
    </cfRule>
  </conditionalFormatting>
  <conditionalFormatting sqref="P13:P20">
    <cfRule type="expression" dxfId="1850" priority="57">
      <formula>ABS(P$16-P$19)&gt;=1000</formula>
    </cfRule>
  </conditionalFormatting>
  <conditionalFormatting sqref="Q13 Q15:Q20">
    <cfRule type="expression" dxfId="1849" priority="56">
      <formula>ABS(Q$16-Q$19)&gt;=1000</formula>
    </cfRule>
  </conditionalFormatting>
  <conditionalFormatting sqref="R13:R20">
    <cfRule type="expression" dxfId="1848" priority="55">
      <formula>ABS(R$16-R$19)&gt;=1000</formula>
    </cfRule>
  </conditionalFormatting>
  <conditionalFormatting sqref="S13:S20">
    <cfRule type="expression" dxfId="1847" priority="54">
      <formula>ABS(S$16-S$19)&gt;=1000</formula>
    </cfRule>
  </conditionalFormatting>
  <conditionalFormatting sqref="T13:T20">
    <cfRule type="expression" dxfId="1846" priority="53">
      <formula>ABS(T$16-T$19)&gt;=1000</formula>
    </cfRule>
  </conditionalFormatting>
  <conditionalFormatting sqref="U13:U20">
    <cfRule type="expression" dxfId="1845" priority="52">
      <formula>ABS(U$16-U$19)&gt;=1000</formula>
    </cfRule>
  </conditionalFormatting>
  <conditionalFormatting sqref="V13:V20">
    <cfRule type="expression" dxfId="1844" priority="51">
      <formula>ABS(V$16-V$19)&gt;=1000</formula>
    </cfRule>
  </conditionalFormatting>
  <conditionalFormatting sqref="W13 W20 W15:W18">
    <cfRule type="expression" dxfId="1843" priority="50">
      <formula>ABS(W$16-W$19)&gt;=1000</formula>
    </cfRule>
  </conditionalFormatting>
  <conditionalFormatting sqref="X13 X15:X20 Y19">
    <cfRule type="expression" dxfId="1842" priority="49">
      <formula>ABS(X$16-X$19)&gt;=1000</formula>
    </cfRule>
  </conditionalFormatting>
  <conditionalFormatting sqref="Y13 Y15:Y18 Y20">
    <cfRule type="expression" dxfId="1841" priority="48">
      <formula>ABS(Y$16-Y$19)&gt;=1000</formula>
    </cfRule>
  </conditionalFormatting>
  <conditionalFormatting sqref="Z13:Z20">
    <cfRule type="expression" dxfId="1840" priority="47">
      <formula>ABS(Z$16-Z$19)&gt;=1000</formula>
    </cfRule>
  </conditionalFormatting>
  <conditionalFormatting sqref="AA13:AA20">
    <cfRule type="expression" dxfId="1839" priority="46">
      <formula>ABS(AA$16-AA$19)&gt;=1000</formula>
    </cfRule>
  </conditionalFormatting>
  <conditionalFormatting sqref="AB13 AB15:AB20">
    <cfRule type="expression" dxfId="1838" priority="45">
      <formula>ABS(AB$16-AB$19)&gt;=1000</formula>
    </cfRule>
  </conditionalFormatting>
  <conditionalFormatting sqref="AC13 AC15:AC20">
    <cfRule type="expression" dxfId="1837" priority="44">
      <formula>ABS(AC$16-AC$19)&gt;=1000</formula>
    </cfRule>
  </conditionalFormatting>
  <conditionalFormatting sqref="AD13:AD20">
    <cfRule type="expression" dxfId="1836" priority="43">
      <formula>ABS(AD$16-AD$19)&gt;=1000</formula>
    </cfRule>
  </conditionalFormatting>
  <conditionalFormatting sqref="AE13:AE20">
    <cfRule type="expression" dxfId="1835" priority="42">
      <formula>ABS(AE$16-AE$19)&gt;=1000</formula>
    </cfRule>
  </conditionalFormatting>
  <conditionalFormatting sqref="D22:D29">
    <cfRule type="expression" dxfId="1834" priority="41">
      <formula>ABS(D$25-D$28)&gt;=1000</formula>
    </cfRule>
  </conditionalFormatting>
  <conditionalFormatting sqref="E22:E29">
    <cfRule type="expression" dxfId="1833" priority="40">
      <formula>ABS(E$25-E$28)&gt;=1000</formula>
    </cfRule>
  </conditionalFormatting>
  <conditionalFormatting sqref="F22:F29">
    <cfRule type="expression" dxfId="1832" priority="39">
      <formula>ABS(F$25-F$28)&gt;=1000</formula>
    </cfRule>
  </conditionalFormatting>
  <conditionalFormatting sqref="G22:G29">
    <cfRule type="expression" dxfId="1831" priority="38">
      <formula>ABS(G$25-G$28)&gt;=1000</formula>
    </cfRule>
  </conditionalFormatting>
  <conditionalFormatting sqref="H22:H29">
    <cfRule type="expression" dxfId="1830" priority="37">
      <formula>ABS(H$25-H$28)&gt;=1000</formula>
    </cfRule>
  </conditionalFormatting>
  <conditionalFormatting sqref="I22 I24:I29">
    <cfRule type="expression" dxfId="1829" priority="36">
      <formula>ABS(I$25-I$28)&gt;=1000</formula>
    </cfRule>
  </conditionalFormatting>
  <conditionalFormatting sqref="J22:J29 K22">
    <cfRule type="expression" dxfId="1828" priority="35">
      <formula>ABS(J$25-J$28)&gt;=1000</formula>
    </cfRule>
  </conditionalFormatting>
  <conditionalFormatting sqref="K23:K29 L25 L28">
    <cfRule type="expression" dxfId="1827" priority="34">
      <formula>ABS(K$25-K$28)&gt;=1000</formula>
    </cfRule>
  </conditionalFormatting>
  <conditionalFormatting sqref="L22:L24 L26:L27 L29">
    <cfRule type="expression" dxfId="1826" priority="33">
      <formula>ABS(L$25-L$28)&gt;=1000</formula>
    </cfRule>
  </conditionalFormatting>
  <conditionalFormatting sqref="M22:M29">
    <cfRule type="expression" dxfId="1825" priority="32">
      <formula>ABS(M$25-M$28)&gt;=1000</formula>
    </cfRule>
  </conditionalFormatting>
  <conditionalFormatting sqref="N22:N29">
    <cfRule type="expression" dxfId="1824" priority="31">
      <formula>ABS(N$25-N$28)&gt;=1000</formula>
    </cfRule>
  </conditionalFormatting>
  <conditionalFormatting sqref="O22:O29">
    <cfRule type="expression" dxfId="1823" priority="30">
      <formula>ABS(O$25-O$28)&gt;=1000</formula>
    </cfRule>
  </conditionalFormatting>
  <conditionalFormatting sqref="P22:P29">
    <cfRule type="expression" dxfId="1822" priority="29">
      <formula>ABS(P$25-P$28)&gt;=1000</formula>
    </cfRule>
  </conditionalFormatting>
  <conditionalFormatting sqref="Q22:Q29">
    <cfRule type="expression" dxfId="1821" priority="28">
      <formula>ABS(Q$25-Q$28)&gt;=1000</formula>
    </cfRule>
  </conditionalFormatting>
  <conditionalFormatting sqref="R22:R29">
    <cfRule type="expression" dxfId="1820" priority="27">
      <formula>ABS(R$25-R$28)&gt;=1000</formula>
    </cfRule>
  </conditionalFormatting>
  <conditionalFormatting sqref="S22:S29">
    <cfRule type="expression" dxfId="1819" priority="26">
      <formula>ABS(S$25-S$28)&gt;=1000</formula>
    </cfRule>
  </conditionalFormatting>
  <conditionalFormatting sqref="T22:T29">
    <cfRule type="expression" dxfId="1818" priority="25">
      <formula>ABS(T$25-T$28)&gt;=1000</formula>
    </cfRule>
  </conditionalFormatting>
  <conditionalFormatting sqref="U22:U29">
    <cfRule type="expression" dxfId="1817" priority="24">
      <formula>ABS(U$25-U$28)&gt;=1000</formula>
    </cfRule>
  </conditionalFormatting>
  <conditionalFormatting sqref="V22:V29">
    <cfRule type="expression" dxfId="1816" priority="23">
      <formula>ABS(V$25-V$28)&gt;=1000</formula>
    </cfRule>
  </conditionalFormatting>
  <conditionalFormatting sqref="W22:W29">
    <cfRule type="expression" dxfId="1815" priority="22">
      <formula>ABS(W$25-W$28)&gt;=1000</formula>
    </cfRule>
  </conditionalFormatting>
  <conditionalFormatting sqref="X22:X29">
    <cfRule type="expression" dxfId="1814" priority="21">
      <formula>ABS(X$25-X$28)&gt;=1000</formula>
    </cfRule>
  </conditionalFormatting>
  <conditionalFormatting sqref="Y22:Y29">
    <cfRule type="expression" dxfId="1813" priority="20">
      <formula>ABS(Y$25-Y$28)&gt;=1000</formula>
    </cfRule>
  </conditionalFormatting>
  <conditionalFormatting sqref="I23">
    <cfRule type="expression" dxfId="1812" priority="19">
      <formula>ABS(I$25-I$28)&gt;=1000</formula>
    </cfRule>
  </conditionalFormatting>
  <conditionalFormatting sqref="F14">
    <cfRule type="expression" dxfId="1811" priority="18">
      <formula>ABS(F$16-F$19)&gt;=1000</formula>
    </cfRule>
  </conditionalFormatting>
  <conditionalFormatting sqref="Q14">
    <cfRule type="expression" dxfId="1810" priority="17">
      <formula>ABS(Q$16-Q$19)&gt;=1000</formula>
    </cfRule>
  </conditionalFormatting>
  <conditionalFormatting sqref="W14">
    <cfRule type="expression" dxfId="1809" priority="16">
      <formula>ABS(W$16-W$19)&gt;=1000</formula>
    </cfRule>
  </conditionalFormatting>
  <conditionalFormatting sqref="Y14">
    <cfRule type="expression" dxfId="1808" priority="15">
      <formula>ABS(Y$16-Y$19)&gt;=1000</formula>
    </cfRule>
  </conditionalFormatting>
  <conditionalFormatting sqref="X14">
    <cfRule type="expression" dxfId="1807" priority="14">
      <formula>ABS(X$16-X$19)&gt;=1000</formula>
    </cfRule>
  </conditionalFormatting>
  <conditionalFormatting sqref="T10:Y10">
    <cfRule type="expression" dxfId="1806" priority="13">
      <formula>ABS(T$7-T$10)&gt;=1000</formula>
    </cfRule>
  </conditionalFormatting>
  <conditionalFormatting sqref="W19">
    <cfRule type="expression" dxfId="1805" priority="12">
      <formula>ABS(W$16-W$19)&gt;=1000</formula>
    </cfRule>
  </conditionalFormatting>
  <conditionalFormatting sqref="AC5">
    <cfRule type="expression" dxfId="1804" priority="11">
      <formula>ABS(AC$7-AC$10)&gt;=1000</formula>
    </cfRule>
  </conditionalFormatting>
  <conditionalFormatting sqref="M14">
    <cfRule type="expression" dxfId="1803" priority="10">
      <formula>ABS(M$16-M$19)&gt;=1000</formula>
    </cfRule>
  </conditionalFormatting>
  <conditionalFormatting sqref="M16">
    <cfRule type="expression" dxfId="1802" priority="9">
      <formula>ABS(M$16-M$19)&gt;=1000</formula>
    </cfRule>
  </conditionalFormatting>
  <conditionalFormatting sqref="M19">
    <cfRule type="expression" dxfId="1801" priority="8">
      <formula>ABS(M$16-M$19)&gt;=1000</formula>
    </cfRule>
  </conditionalFormatting>
  <conditionalFormatting sqref="K13:K20">
    <cfRule type="expression" dxfId="1800" priority="7">
      <formula>ABS(K$16-K$19)&gt;=1000</formula>
    </cfRule>
  </conditionalFormatting>
  <conditionalFormatting sqref="E5">
    <cfRule type="expression" dxfId="1799" priority="6">
      <formula>ABS(E$7-E$10)&gt;=1000</formula>
    </cfRule>
  </conditionalFormatting>
  <conditionalFormatting sqref="AB14:AC14">
    <cfRule type="expression" dxfId="1798" priority="5">
      <formula>ABS(AB$16-AB$19)&gt;=1000</formula>
    </cfRule>
  </conditionalFormatting>
  <conditionalFormatting sqref="M5">
    <cfRule type="expression" dxfId="1797" priority="4">
      <formula>ABS(M$7-M$10)&gt;=1000</formula>
    </cfRule>
  </conditionalFormatting>
  <conditionalFormatting sqref="N5">
    <cfRule type="expression" dxfId="1796" priority="3">
      <formula>ABS(N$7-N$10)&gt;=1000</formula>
    </cfRule>
  </conditionalFormatting>
  <conditionalFormatting sqref="O5">
    <cfRule type="expression" dxfId="1795" priority="2">
      <formula>ABS(O$7-O$10)&gt;=1000</formula>
    </cfRule>
  </conditionalFormatting>
  <conditionalFormatting sqref="P5">
    <cfRule type="expression" dxfId="179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55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2">
    <pageSetUpPr fitToPage="1"/>
  </sheetPr>
  <dimension ref="A1:CU223"/>
  <sheetViews>
    <sheetView view="pageBreakPreview" topLeftCell="A4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45758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5" t="s" ph="1">
        <v>178</v>
      </c>
      <c r="D6" s="71">
        <v>4181</v>
      </c>
      <c r="E6" s="71">
        <v>4245</v>
      </c>
      <c r="F6" s="71">
        <v>3219</v>
      </c>
      <c r="G6" s="71">
        <v>2548</v>
      </c>
      <c r="H6" s="71">
        <v>4105</v>
      </c>
      <c r="I6" s="71">
        <v>16.07</v>
      </c>
      <c r="J6" s="71">
        <v>7.72</v>
      </c>
      <c r="K6" s="71">
        <v>7.27</v>
      </c>
      <c r="L6" s="71">
        <v>40.98</v>
      </c>
      <c r="M6" s="71">
        <v>2619</v>
      </c>
      <c r="N6" s="71">
        <v>2185</v>
      </c>
      <c r="O6" s="71">
        <v>75</v>
      </c>
      <c r="P6" s="71">
        <v>7659</v>
      </c>
      <c r="Q6" s="71">
        <v>0</v>
      </c>
      <c r="R6" s="71">
        <v>0</v>
      </c>
      <c r="S6" s="71">
        <v>5347</v>
      </c>
      <c r="T6" s="71">
        <v>7162</v>
      </c>
      <c r="U6" s="71">
        <v>7025</v>
      </c>
      <c r="V6" s="71">
        <v>6998</v>
      </c>
      <c r="W6" s="71">
        <v>2632</v>
      </c>
      <c r="X6" s="71">
        <v>2181</v>
      </c>
      <c r="Y6" s="71">
        <v>0</v>
      </c>
      <c r="Z6" s="71">
        <v>2406</v>
      </c>
      <c r="AA6" s="71">
        <v>1573</v>
      </c>
      <c r="AB6" s="71">
        <v>2272</v>
      </c>
      <c r="AC6" s="71">
        <v>5051</v>
      </c>
      <c r="AD6" s="71">
        <v>1338</v>
      </c>
      <c r="AE6" s="71">
        <v>1793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131348.93056901998</v>
      </c>
      <c r="E7" s="73" ph="1">
        <f>E6*51.53*LOOKUP(E8,密度!$A$2:$A$50,密度!$B$2:$B$50)</f>
        <v>171320.96652000002</v>
      </c>
      <c r="F7" s="73" ph="1">
        <f>F6*33.183*LOOKUP(F8,密度!$A$2:$A$50,密度!$C$2:$C$50)</f>
        <v>118768.79601630002</v>
      </c>
      <c r="G7" s="73" ph="1">
        <f xml:space="preserve"> (G6+2)*51.53*LOOKUP(G8,密度!$A$2:$A$50,密度!$B$2:$B$50)</f>
        <v>103242.15854999999</v>
      </c>
      <c r="H7" s="73" ph="1">
        <f>(H6)*51.53*LOOKUP(H8,密度!$A$2:$A$50,密度!$B$2:$B$50)</f>
        <v>166199.63170499998</v>
      </c>
      <c r="I7" s="73" ph="1">
        <f>I6*290.8*1.0267</f>
        <v>4797.9292651999995</v>
      </c>
      <c r="J7" s="73" ph="1">
        <f>J6*290.8*0.7892</f>
        <v>1771.7350592</v>
      </c>
      <c r="K7" s="73" ph="1">
        <f>K6*290.8*1.1126</f>
        <v>2352.1654616000001</v>
      </c>
      <c r="L7" s="73" ph="1">
        <f>L6*290.8*0.777</f>
        <v>9259.4965680000005</v>
      </c>
      <c r="M7" s="73" ph="1">
        <f>M6*33.183*LOOKUP(M8,密度!$A$2:$A$50,密度!$D$2:$D$50)</f>
        <v>89391.796522199991</v>
      </c>
      <c r="N7" s="73" ph="1">
        <f>N6*33.183*LOOKUP(N8,密度!$A$2:$A$50,密度!$E$2:$E$50)</f>
        <v>56959.814087999992</v>
      </c>
      <c r="O7" s="73" ph="1">
        <f>O6*20.428*LOOKUP(O8,密度!$A$2:$A$50,密度!$C$2:$C$50)</f>
        <v>1698.9456900000002</v>
      </c>
      <c r="P7" s="73" ph="1">
        <f>P6*51.53*LOOKUP(P8,密度!$A$2:$A$50,密度!$B$2:$B$50)</f>
        <v>308393.78617799998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35754.830773199996</v>
      </c>
      <c r="T7" s="73" ph="1">
        <f>T6*1.5*1.5*3.1416*LOOKUP(T8,密度!$A$2:$A$50,密度!$L$2:$L$50)</f>
        <v>47739.670347599997</v>
      </c>
      <c r="U7" s="73" ph="1">
        <f>U6*1.5*1.5*3.1416*LOOKUP(U8,密度!$A$2:$A$50,密度!$L$2:$L$50)</f>
        <v>46627.843184999998</v>
      </c>
      <c r="V7" s="73" ph="1">
        <f>V6*1.5*1.5*3.1416*LOOKUP(V8,密度!$A$2:$A$50,密度!$L$2:$L$50)</f>
        <v>46201.302655200001</v>
      </c>
      <c r="W7" s="73" ph="1">
        <f>W6*1.5*1.5*3.1416*LOOKUP(W8,密度!$A$2:$A$50,密度!$L$2:$L$50)</f>
        <v>17469.677332799998</v>
      </c>
      <c r="X7" s="73" ph="1">
        <f>X6*1.5*1.5*3.1416*LOOKUP(X8,密度!$A$2:$A$50,密度!$L$2:$L$50)</f>
        <v>14599.535920199998</v>
      </c>
      <c r="Y7" s="73" ph="1">
        <f>Y6*1.5*1.5*3.1416*LOOKUP(Y8,密度!$A$2:$A$50,密度!$L$2:$L$50)</f>
        <v>0</v>
      </c>
      <c r="Z7" s="73" ph="1">
        <f>Z6*33.183*LOOKUP(Z8,密度!$A$2:$A$50,密度!$L$2:$L$50)</f>
        <v>75127.838417999985</v>
      </c>
      <c r="AA7" s="73" ph="1">
        <f>AA6*33.183*LOOKUP(AA8,密度!$A$2:$A$50,密度!$D$2:$D$50)</f>
        <v>53392.16707109999</v>
      </c>
      <c r="AB7" s="73" ph="1">
        <f>AB6*20.428*LOOKUP(AB8,密度!$A$2:$A$50,密度!$D$2:$D$50)</f>
        <v>48106.469184000001</v>
      </c>
      <c r="AC7" s="73" ph="1">
        <f>AC6*51.53*LOOKUP(AC8,密度!$A$2:$A$50,密度!$Q$2:$Q$50)</f>
        <v>247584.27047690001</v>
      </c>
      <c r="AD7" s="73" ph="1">
        <f>AD6*20.428*LOOKUP(AD8,密度!$A$2:$A$50,密度!$V$2:$V$50)</f>
        <v>26348.688095999998</v>
      </c>
      <c r="AE7" s="73" ph="1">
        <f>AE6*20.428</f>
        <v>36627.404000000002</v>
      </c>
    </row>
    <row r="8" spans="1:99" ph="1">
      <c r="B8" s="195" ph="1"/>
      <c r="C8" s="68" t="s" ph="1">
        <v>180</v>
      </c>
      <c r="D8" s="74">
        <v>25</v>
      </c>
      <c r="E8" s="74">
        <v>21</v>
      </c>
      <c r="F8" s="74">
        <v>21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23</v>
      </c>
      <c r="O8" s="74">
        <v>25</v>
      </c>
      <c r="P8" s="74">
        <v>23</v>
      </c>
      <c r="Q8" s="74">
        <v>20</v>
      </c>
      <c r="R8" s="74">
        <v>28</v>
      </c>
      <c r="S8" s="74">
        <v>16</v>
      </c>
      <c r="T8" s="74">
        <v>19</v>
      </c>
      <c r="U8" s="74">
        <v>23</v>
      </c>
      <c r="V8" s="74">
        <v>28</v>
      </c>
      <c r="W8" s="74">
        <v>23</v>
      </c>
      <c r="X8" s="74">
        <v>15</v>
      </c>
      <c r="Y8" s="74">
        <v>22</v>
      </c>
      <c r="Z8" s="74">
        <v>21</v>
      </c>
      <c r="AA8" s="74">
        <v>29</v>
      </c>
      <c r="AB8" s="74">
        <v>14</v>
      </c>
      <c r="AC8" s="74">
        <v>19</v>
      </c>
      <c r="AD8" s="74">
        <v>20</v>
      </c>
      <c r="AE8" s="74">
        <v>31</v>
      </c>
    </row>
    <row r="9" spans="1:99" ht="26.4" ph="1">
      <c r="B9" s="195" ph="1">
        <v>0.66666666666666663</v>
      </c>
      <c r="C9" s="155" t="s" ph="1">
        <v>181</v>
      </c>
      <c r="D9" s="71">
        <v>4181</v>
      </c>
      <c r="E9" s="71">
        <v>4245</v>
      </c>
      <c r="F9" s="71">
        <v>3455</v>
      </c>
      <c r="G9" s="71">
        <v>4846</v>
      </c>
      <c r="H9" s="71">
        <v>3810</v>
      </c>
      <c r="I9" s="71">
        <v>16.03</v>
      </c>
      <c r="J9" s="71">
        <v>7.74</v>
      </c>
      <c r="K9" s="71">
        <v>7.46</v>
      </c>
      <c r="L9" s="71">
        <v>41.34</v>
      </c>
      <c r="M9" s="71">
        <v>2619</v>
      </c>
      <c r="N9" s="71">
        <v>2012</v>
      </c>
      <c r="O9" s="71">
        <v>74</v>
      </c>
      <c r="P9" s="71">
        <v>7322</v>
      </c>
      <c r="Q9" s="71">
        <v>0</v>
      </c>
      <c r="R9" s="71">
        <v>0</v>
      </c>
      <c r="S9" s="71">
        <v>1235</v>
      </c>
      <c r="T9" s="71">
        <v>7170</v>
      </c>
      <c r="U9" s="71">
        <v>7033</v>
      </c>
      <c r="V9" s="71">
        <v>7009</v>
      </c>
      <c r="W9" s="71">
        <v>3055</v>
      </c>
      <c r="X9" s="71">
        <v>6746</v>
      </c>
      <c r="Y9" s="71">
        <v>0</v>
      </c>
      <c r="Z9" s="71">
        <v>148</v>
      </c>
      <c r="AA9" s="71">
        <v>1575</v>
      </c>
      <c r="AB9" s="71">
        <v>2079</v>
      </c>
      <c r="AC9" s="71">
        <v>5472</v>
      </c>
      <c r="AD9" s="71">
        <v>1338</v>
      </c>
      <c r="AE9" s="71">
        <v>1794</v>
      </c>
    </row>
    <row r="10" spans="1:99" s="72" customFormat="1" ht="22.2" ph="1">
      <c r="B10" s="195" ph="1"/>
      <c r="C10" s="155" t="s" ph="1">
        <v>179</v>
      </c>
      <c r="D10" s="73" ph="1">
        <f>D9*33.183*LOOKUP(D11,密度!$A$2:$A$50,密度!$Q$2:$Q$50)</f>
        <v>131151.92243435999</v>
      </c>
      <c r="E10" s="73" ph="1">
        <f>E9*51.53*LOOKUP(E11,密度!$A$2:$A$50,密度!$B$2:$B$50)</f>
        <v>169964.74845000001</v>
      </c>
      <c r="F10" s="73" ph="1">
        <f>F9*33.183*LOOKUP(F11,密度!$A$2:$A$50,密度!$C$2:$C$50)</f>
        <v>127212.60524399999</v>
      </c>
      <c r="G10" s="73" ph="1">
        <f xml:space="preserve"> (G9+2)*51.53*LOOKUP(G11,密度!$A$2:$A$50,密度!$B$2:$B$50)</f>
        <v>194108.15088</v>
      </c>
      <c r="H10" s="73" ph="1">
        <f>(H9)*51.53*LOOKUP(H11,密度!$A$2:$A$50,密度!$B$2:$B$50)</f>
        <v>152547.86610000001</v>
      </c>
      <c r="I10" s="73" ph="1">
        <f>I9*290.8*1.0267</f>
        <v>4785.9866908000004</v>
      </c>
      <c r="J10" s="73" ph="1">
        <f>J9*290.8*0.7892</f>
        <v>1776.3250464000002</v>
      </c>
      <c r="K10" s="73" ph="1">
        <f>K9*290.8*1.1126</f>
        <v>2413.6388367999998</v>
      </c>
      <c r="L10" s="73" ph="1">
        <f>L9*290.8*0.777</f>
        <v>9340.8391440000014</v>
      </c>
      <c r="M10" s="73" ph="1">
        <f>M9*33.183*LOOKUP(M11,密度!$A$2:$A$50,密度!$D$2:$D$50)</f>
        <v>88983.337020300009</v>
      </c>
      <c r="N10" s="73" ph="1">
        <f>N9*33.183*LOOKUP(N11,密度!$A$2:$A$50,密度!$E$2:$E$50)</f>
        <v>52216.2776916</v>
      </c>
      <c r="O10" s="73" ph="1">
        <f>O9*20.428*LOOKUP(O11,密度!$A$2:$A$50,密度!$C$2:$C$50)</f>
        <v>1656.3390103999998</v>
      </c>
      <c r="P10" s="73" ph="1">
        <f>P9*51.53*LOOKUP(P11,密度!$A$2:$A$50,密度!$B$2:$B$50)</f>
        <v>293164.16682000004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8214.6674609999991</v>
      </c>
      <c r="T10" s="73" ph="1">
        <f>T9*1.5*1.5*3.1416*LOOKUP(T11,密度!$A$2:$A$50,密度!$L$2:$L$50)</f>
        <v>47691.632141999995</v>
      </c>
      <c r="U10" s="73" ph="1">
        <f>U9*1.5*1.5*3.1416*LOOKUP(U11,密度!$A$2:$A$50,密度!$L$2:$L$50)</f>
        <v>46631.229044399995</v>
      </c>
      <c r="V10" s="73" ph="1">
        <f>V9*1.5*1.5*3.1416*LOOKUP(V11,密度!$A$2:$A$50,密度!$L$2:$L$50)</f>
        <v>46273.9254516</v>
      </c>
      <c r="W10" s="73" ph="1">
        <f>W9*1.5*1.5*3.1416*LOOKUP(W11,密度!$A$2:$A$50,密度!$L$2:$L$50)</f>
        <v>20234.114901000001</v>
      </c>
      <c r="X10" s="73" ph="1">
        <f>X9*1.5*1.5*3.1416*LOOKUP(X11,密度!$A$2:$A$50,密度!$L$2:$L$50)</f>
        <v>45014.428166400001</v>
      </c>
      <c r="Y10" s="73" ph="1">
        <f>Y9*1.5*1.5*3.1416*LOOKUP(Y11,密度!$A$2:$A$50,密度!$L$2:$L$50)</f>
        <v>0</v>
      </c>
      <c r="Z10" s="73" ph="1">
        <f>Z9*33.183*LOOKUP(Z11,密度!$A$2:$A$50,密度!$L$2:$L$50)</f>
        <v>4601.685708</v>
      </c>
      <c r="AA10" s="73" ph="1">
        <f>AA9*33.183*LOOKUP(AA11,密度!$A$2:$A$50,密度!$D$2:$D$50)</f>
        <v>53460.052852499997</v>
      </c>
      <c r="AB10" s="73" ph="1">
        <f>AB9*20.428*LOOKUP(AB11,密度!$A$2:$A$50,密度!$D$2:$D$50)</f>
        <v>43909.5386268</v>
      </c>
      <c r="AC10" s="73" ph="1">
        <f>AC9*51.53*LOOKUP(AC11,密度!$A$2:$A$50,密度!$Q$2:$Q$50)</f>
        <v>266954.32275840006</v>
      </c>
      <c r="AD10" s="73" ph="1">
        <f>AD9*20.428*LOOKUP(AD11,密度!$A$2:$A$50,密度!$V$2:$V$50)</f>
        <v>26173.759046400002</v>
      </c>
      <c r="AE10" s="73" ph="1">
        <f>AE9*20.428</f>
        <v>36647.832000000002</v>
      </c>
    </row>
    <row r="11" spans="1:99" ph="1">
      <c r="A11" s="64" t="s" ph="1">
        <v>163</v>
      </c>
      <c r="B11" s="195" ph="1"/>
      <c r="C11" s="155" t="s" ph="1">
        <v>180</v>
      </c>
      <c r="D11" s="74">
        <v>27</v>
      </c>
      <c r="E11" s="74">
        <v>28</v>
      </c>
      <c r="F11" s="74">
        <v>24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26</v>
      </c>
      <c r="O11" s="74">
        <v>39</v>
      </c>
      <c r="P11" s="74">
        <v>28</v>
      </c>
      <c r="Q11" s="74">
        <v>24</v>
      </c>
      <c r="R11" s="74">
        <v>33</v>
      </c>
      <c r="S11" s="74">
        <v>21</v>
      </c>
      <c r="T11" s="74">
        <v>21</v>
      </c>
      <c r="U11" s="74">
        <v>24</v>
      </c>
      <c r="V11" s="74">
        <v>28</v>
      </c>
      <c r="W11" s="74">
        <v>25</v>
      </c>
      <c r="X11" s="74">
        <v>18</v>
      </c>
      <c r="Y11" s="74">
        <v>30</v>
      </c>
      <c r="Z11" s="74">
        <v>25</v>
      </c>
      <c r="AA11" s="74">
        <v>29</v>
      </c>
      <c r="AB11" s="74">
        <v>17</v>
      </c>
      <c r="AC11" s="74">
        <v>25</v>
      </c>
      <c r="AD11" s="74">
        <v>28</v>
      </c>
      <c r="AE11" s="74">
        <v>33</v>
      </c>
    </row>
    <row r="12" spans="1:99" ht="9.9" customHeight="1" ph="1"/>
    <row r="13" spans="1:99" s="72" customFormat="1" ht="29.25" customHeight="1" ph="1">
      <c r="B13" s="203" t="s" ph="1">
        <v>37</v>
      </c>
      <c r="C13" s="155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5" t="s" ph="1">
        <v>178</v>
      </c>
      <c r="D15" s="78">
        <v>2571</v>
      </c>
      <c r="E15" s="78">
        <v>1975</v>
      </c>
      <c r="F15" s="78">
        <v>1816</v>
      </c>
      <c r="G15" s="78">
        <v>1620</v>
      </c>
      <c r="H15" s="78">
        <v>4517</v>
      </c>
      <c r="I15" s="78">
        <v>0</v>
      </c>
      <c r="J15" s="78">
        <v>2278</v>
      </c>
      <c r="K15" s="78">
        <v>1900</v>
      </c>
      <c r="L15" s="78">
        <v>1776</v>
      </c>
      <c r="M15" s="78">
        <v>6602</v>
      </c>
      <c r="N15" s="78">
        <v>10</v>
      </c>
      <c r="O15" s="78">
        <v>7129</v>
      </c>
      <c r="P15" s="78">
        <v>6937</v>
      </c>
      <c r="Q15" s="78">
        <v>1786</v>
      </c>
      <c r="R15" s="78">
        <v>3509</v>
      </c>
      <c r="S15" s="78">
        <v>6860</v>
      </c>
      <c r="T15" s="78">
        <v>6683</v>
      </c>
      <c r="U15" s="78">
        <v>3692</v>
      </c>
      <c r="V15" s="78">
        <v>1101</v>
      </c>
      <c r="W15" s="71">
        <v>3783</v>
      </c>
      <c r="X15" s="78">
        <v>152</v>
      </c>
      <c r="Y15" s="106">
        <v>-9906</v>
      </c>
      <c r="Z15" s="78">
        <v>0</v>
      </c>
      <c r="AA15" s="78">
        <v>4241</v>
      </c>
      <c r="AB15" s="78" ph="1">
        <v>6912</v>
      </c>
      <c r="AC15" s="78" ph="1">
        <v>989</v>
      </c>
      <c r="AD15" s="78">
        <v>39.67</v>
      </c>
      <c r="AE15" s="78">
        <v>12.38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5" t="s" ph="1">
        <v>179</v>
      </c>
      <c r="D16" s="73" ph="1">
        <f>D15*7.0686*LOOKUP(D17,密度!$A$2:$A$50,密度!$L$2:$L$50)</f>
        <v>17028.4482522</v>
      </c>
      <c r="E16" s="73" ph="1">
        <f>E15*7.0686*LOOKUP(E17,密度!$A$2:$A$50,密度!$L$2:$L$50)</f>
        <v>13080.974445000002</v>
      </c>
      <c r="F16" s="73" ph="1">
        <f>F15*9.0746*LOOKUP(F17,密度!$A$2:$A$50,密度!$L$2:$L$50)</f>
        <v>15441.266763200001</v>
      </c>
      <c r="G16" s="73" ph="1">
        <f>G15*9.0746*LOOKUP(G17,密度!$A$2:$A$50,密度!$B$2:$B$50)</f>
        <v>11487.2457528</v>
      </c>
      <c r="H16" s="73" ph="1">
        <f>H15*9.0746*LOOKUP(H17,密度!$A$2:$A$50,密度!$L$2:$L$50)</f>
        <v>38612.550044399999</v>
      </c>
      <c r="I16" s="73" ph="1">
        <f>I15*9.0746*LOOKUP(I17,密度!$A$2:$A$50,密度!$U$2:$U$50)</f>
        <v>0</v>
      </c>
      <c r="J16" s="73" ph="1">
        <f>J15*9.0746*LOOKUP(J17,密度!$A$2:$A$50,密度!$L$2:$L$50)</f>
        <v>19369.606655600001</v>
      </c>
      <c r="K16" s="73" ph="1">
        <f>K15*9.0746*LOOKUP(K17,密度!$A$2:$A$50,密度!$C$2:$C$50)</f>
        <v>19145.228096000003</v>
      </c>
      <c r="L16" s="73" ph="1">
        <f>L15*9.0746*LOOKUP(L17,密度!$A$2:$A$50,密度!$E$2:$E$50)</f>
        <v>12641.774442240001</v>
      </c>
      <c r="M16" s="73" ph="1">
        <f>M15*9.0746*LOOKUP(M17,密度!$A$2:$A$50,密度!$M$2:$M$50)</f>
        <v>52475.615008280001</v>
      </c>
      <c r="N16" s="73" ph="1">
        <f>N15*9.0746*LOOKUP(N17,密度!$A$2:$A$50,密度!$M$2:$M$50)</f>
        <v>79.883703800000006</v>
      </c>
      <c r="O16" s="73" ph="1">
        <f>O15*9.0746*LOOKUP(O17,密度!$A$2:$A$50,密度!$G$2:$G$50)</f>
        <v>62118.049028680005</v>
      </c>
      <c r="P16" s="73" ph="1">
        <f ca="1">P15*9.0746*LOOKUP(P17,密度!$A$2:$A$51,密度!$Q$2:$Q$50)</f>
        <v>59597.756559348003</v>
      </c>
      <c r="Q16" s="73" ph="1">
        <f>Q15*9.0746*LOOKUP(Q17,密度!$A$2:$A$50,密度!$Q$2:$Q$50)</f>
        <v>15344.038231944</v>
      </c>
      <c r="R16" s="73" ph="1">
        <f>MAX(R15*9.0746*LOOKUP(R17,密度!$A$2:$A$50,密度!$B$2:$B$50),0)</f>
        <v>24824.62458344</v>
      </c>
      <c r="S16" s="73" ph="1">
        <f>S15*9.0746*LOOKUP(S17,密度!$A$2:$A$50,密度!$Q$2:$Q$50)</f>
        <v>58981.671257320006</v>
      </c>
      <c r="T16" s="73" ph="1">
        <f>T15*9.0746*LOOKUP(T17,密度!$A$2:$A$50,密度!$O$2:$O$50)</f>
        <v>56400.363174000006</v>
      </c>
      <c r="U16" s="73" ph="1">
        <f>U15*9.0746*LOOKUP(U17,密度!$A$2:$A$50,密度!$H$2:$H$50)</f>
        <v>30749.441812959994</v>
      </c>
      <c r="V16" s="73" ph="1">
        <f>MAX(5600*LOOKUP(V17,密度!$A$2:$A$50,密度!$Q$2:$Q$50)+V15*9.0476*LOOKUP(V17,密度!$A$2:$A$50,密度!$Q$2:$Q$50),0)</f>
        <v>14769.176339083999</v>
      </c>
      <c r="W16" s="73" ph="1">
        <f>MAX(5600*LOOKUP(W17,密度!$A$2:$A$50,密度!$Q$2:$Q$50)+W15*9.0476*LOOKUP(W17,密度!$A$2:$A$50,密度!$Q$2:$Q$50),0)</f>
        <v>37799.474625571995</v>
      </c>
      <c r="X16" s="73" ph="1">
        <f>MAX(5600*LOOKUP(X17,密度!$A$2:$A$50,密度!$I$2:$I$50)+X15*9.0476*LOOKUP(X17,密度!$A$2:$A$50,密度!$I$2:$I$50),0)</f>
        <v>7291.9108780800007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30141.748519520002</v>
      </c>
      <c r="AB16" s="73" ph="1">
        <f>AB15*9.0746*LOOKUP(AB17,密度!$A$2:$A$50,密度!$L$2:$L$50)</f>
        <v>58772.046182400009</v>
      </c>
      <c r="AC16" s="73" ph="1">
        <f>AC15*9.0746*LOOKUP(AC17,密度!$A$2:$A$50,密度!$L$2:$L$50)</f>
        <v>8454.2421947999992</v>
      </c>
      <c r="AD16" s="73" ph="1">
        <f>AD15*268.68*LOOKUP(AD17,密度!$A$2:$A$50,密度!B2:B50)+IF(AD15&lt;=0,0,1566*LOOKUP(AD17,密度!$A$2:$A$50,密度!B2:B50))</f>
        <v>9530.2479537600011</v>
      </c>
      <c r="AE16" s="73" ph="1">
        <f>AE15*268.68*LOOKUP(AE17,密度!$A$2:$A$50,密度!B2:B50)+IF(AE15&lt;=0,0,1566*LOOKUP(AE17,密度!$A$2:$A$50,密度!B2:B50))</f>
        <v>3814.0046486399997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25</v>
      </c>
      <c r="E17" s="74">
        <v>25</v>
      </c>
      <c r="F17" s="74">
        <v>25</v>
      </c>
      <c r="G17" s="74">
        <v>23</v>
      </c>
      <c r="H17" s="74">
        <v>20</v>
      </c>
      <c r="I17" s="74">
        <v>20</v>
      </c>
      <c r="J17" s="74">
        <v>25</v>
      </c>
      <c r="K17" s="74">
        <v>23</v>
      </c>
      <c r="L17" s="74">
        <v>24</v>
      </c>
      <c r="M17" s="74">
        <v>24</v>
      </c>
      <c r="N17" s="74">
        <v>20</v>
      </c>
      <c r="O17" s="74">
        <v>25</v>
      </c>
      <c r="P17" s="74">
        <v>25</v>
      </c>
      <c r="Q17" s="74">
        <v>25</v>
      </c>
      <c r="R17" s="74">
        <v>25</v>
      </c>
      <c r="S17" s="74">
        <v>24</v>
      </c>
      <c r="T17" s="74">
        <v>23</v>
      </c>
      <c r="U17" s="74">
        <v>22</v>
      </c>
      <c r="V17" s="74">
        <v>22</v>
      </c>
      <c r="W17" s="74">
        <v>22</v>
      </c>
      <c r="X17" s="74">
        <v>22</v>
      </c>
      <c r="Y17" s="108">
        <v>22</v>
      </c>
      <c r="Z17" s="74">
        <v>22</v>
      </c>
      <c r="AA17" s="74">
        <v>21</v>
      </c>
      <c r="AB17" s="74">
        <v>25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1516</v>
      </c>
      <c r="F18" s="71">
        <v>1816</v>
      </c>
      <c r="G18" s="71">
        <v>2475</v>
      </c>
      <c r="H18" s="71">
        <v>4523</v>
      </c>
      <c r="I18" s="71">
        <v>0</v>
      </c>
      <c r="J18" s="71">
        <v>2282</v>
      </c>
      <c r="K18" s="71">
        <v>1900</v>
      </c>
      <c r="L18" s="71">
        <v>1780</v>
      </c>
      <c r="M18" s="71">
        <v>6618</v>
      </c>
      <c r="N18" s="71">
        <v>1736</v>
      </c>
      <c r="O18" s="71">
        <v>7139</v>
      </c>
      <c r="P18" s="71">
        <v>6949</v>
      </c>
      <c r="Q18" s="71">
        <v>1788</v>
      </c>
      <c r="R18" s="71">
        <v>3515</v>
      </c>
      <c r="S18" s="71">
        <v>6871</v>
      </c>
      <c r="T18" s="71">
        <v>6693</v>
      </c>
      <c r="U18" s="71">
        <v>3694</v>
      </c>
      <c r="V18" s="71">
        <v>1101</v>
      </c>
      <c r="W18" s="71">
        <v>3782</v>
      </c>
      <c r="X18" s="71">
        <v>152</v>
      </c>
      <c r="Y18" s="109">
        <v>-9907</v>
      </c>
      <c r="Z18" s="71">
        <v>0</v>
      </c>
      <c r="AA18" s="71">
        <v>4245</v>
      </c>
      <c r="AB18" s="71">
        <v>6925</v>
      </c>
      <c r="AC18" s="71">
        <v>990</v>
      </c>
      <c r="AD18" s="71">
        <v>71.290000000000006</v>
      </c>
      <c r="AE18" s="71">
        <v>12.3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5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10019.457756000002</v>
      </c>
      <c r="F19" s="73" ph="1">
        <f>F18*9.0746*LOOKUP(F20,密度!$A$2:$A$50,密度!$L$2:$L$50)</f>
        <v>15358.869395200001</v>
      </c>
      <c r="G19" s="73" ph="1">
        <f>G18*9.0746*LOOKUP(G20,密度!$A$2:$A$50,密度!$B$2:$B$50)</f>
        <v>17509.531446000001</v>
      </c>
      <c r="H19" s="73" ph="1">
        <f>H18*9.0746*LOOKUP(H20,密度!$A$2:$A$50,密度!$L$2:$L$50)</f>
        <v>38622.7952678</v>
      </c>
      <c r="I19" s="73" ph="1">
        <f>I18*9.0746*LOOKUP(I20,密度!$A$2:$A$50,密度!$U$2:$U$50)</f>
        <v>0</v>
      </c>
      <c r="J19" s="73" ph="1">
        <f>J18*9.0746*LOOKUP(J20,密度!$A$2:$A$50,密度!$L$2:$L$50)</f>
        <v>19320.785307599999</v>
      </c>
      <c r="K19" s="73" ph="1">
        <f>K18*9.0746*LOOKUP(K20,密度!$A$2:$A$50,密度!$C$2:$C$50)</f>
        <v>19093.502876000002</v>
      </c>
      <c r="L19" s="73" ph="1">
        <f>L18*9.0746*LOOKUP(L20,密度!$A$2:$A$50,密度!$E$2:$E$50)</f>
        <v>12633.0954948</v>
      </c>
      <c r="M19" s="73" ph="1">
        <f>M18*9.0746*LOOKUP(M20,密度!$A$2:$A$50,密度!$M$2:$M$50)</f>
        <v>52308.517138800002</v>
      </c>
      <c r="N19" s="73" ph="1">
        <f>N18*9.0746*LOOKUP(N20,密度!$A$2:$A$50,密度!$M$2:$M$50)</f>
        <v>13798.495555040001</v>
      </c>
      <c r="O19" s="73" ph="1">
        <f>O18*9.0746*LOOKUP(O20,密度!$A$2:$A$50,密度!$G$2:$G$50)</f>
        <v>62127.4430546</v>
      </c>
      <c r="P19" s="73" ph="1">
        <f ca="1">P18*9.0746*LOOKUP(P20,密度!$A$2:$A$51,密度!$Q$2:$Q$50)</f>
        <v>59656.079830262002</v>
      </c>
      <c r="Q19" s="73" ph="1">
        <f>Q18*9.0746*LOOKUP(Q20,密度!$A$2:$A$50,密度!$Q$2:$Q$50)</f>
        <v>15338.180759136001</v>
      </c>
      <c r="R19" s="73" ph="1">
        <f>MAX(R18*9.0746*LOOKUP(R20,密度!$A$2:$A$50,密度!$B$2:$B$50),0)</f>
        <v>24838.364435299998</v>
      </c>
      <c r="S19" s="73" ph="1">
        <f>S18*9.0746*LOOKUP(S20,密度!$A$2:$A$50,密度!$Q$2:$Q$50)</f>
        <v>58942.192391512006</v>
      </c>
      <c r="T19" s="73" ph="1">
        <f>T18*9.0746*LOOKUP(T20,密度!$A$2:$A$50,密度!$O$2:$O$50)</f>
        <v>56241.811762800004</v>
      </c>
      <c r="U19" s="73" ph="1">
        <f>U18*9.0746*LOOKUP(U20,密度!$A$2:$A$50,密度!$H$2:$H$50)</f>
        <v>30662.182274279996</v>
      </c>
      <c r="V19" s="73" ph="1">
        <f>MAX(5600*LOOKUP(V20,密度!$A$2:$A$50,密度!$Q$2:$Q$50)+V18*9.0476*LOOKUP(V20,密度!$A$2:$A$50,密度!$Q$2:$Q$50),0)</f>
        <v>14699.616847112</v>
      </c>
      <c r="W19" s="73" ph="1">
        <f>MAX(5600*LOOKUP(W20,密度!$A$2:$A$50,密度!$Q$2:$Q$50)+W18*9.0476*LOOKUP(W20,密度!$A$2:$A$50,密度!$Q$2:$Q$50),0)</f>
        <v>37612.901075183996</v>
      </c>
      <c r="X19" s="73" ph="1">
        <f>MAX(5600*LOOKUP(X20,密度!$A$2:$A$50,密度!$I$2:$I$50)+X18*9.0476*LOOKUP(X20,密度!$A$2:$A$50,密度!$I$2:$I$50),0)</f>
        <v>7288.423260479999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30100.838407800002</v>
      </c>
      <c r="AB19" s="73" ph="1">
        <f>AB18*9.0746*LOOKUP(AB20,密度!$A$2:$A$50,密度!$L$2:$L$50)</f>
        <v>58819.742280000006</v>
      </c>
      <c r="AC19" s="73" ph="1">
        <f>AC18*9.0746*LOOKUP(AC20,密度!$A$2:$A$50,密度!$L$2:$L$50)</f>
        <v>8390.9196360000005</v>
      </c>
      <c r="AD19" s="73" ph="1">
        <f>AD18*268.68*LOOKUP(AD20,密度!$A$2:$A$50,密度!B5:B53)+IF(AD18&lt;=0,0,1566*LOOKUP(AD20,密度!$A$2:$A$50,密度!B5:B53))</f>
        <v>16099.593224400001</v>
      </c>
      <c r="AE19" s="73" ph="1">
        <f>AE18*268.68*LOOKUP(AE20,密度!$A$2:$A$50,密度!B5:B53)+IF(AE18&lt;=0,0,1566*LOOKUP(AE20,密度!$A$2:$A$50,密度!B5:B53))</f>
        <v>3784.5836280000003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27</v>
      </c>
      <c r="E20" s="81">
        <v>27</v>
      </c>
      <c r="F20" s="81">
        <v>30</v>
      </c>
      <c r="G20" s="81">
        <v>25</v>
      </c>
      <c r="H20" s="81">
        <v>21</v>
      </c>
      <c r="I20" s="81">
        <v>30</v>
      </c>
      <c r="J20" s="81">
        <v>29</v>
      </c>
      <c r="K20" s="81">
        <v>27</v>
      </c>
      <c r="L20" s="81">
        <v>26</v>
      </c>
      <c r="M20" s="81">
        <v>29</v>
      </c>
      <c r="N20" s="81">
        <v>24</v>
      </c>
      <c r="O20" s="81">
        <v>26</v>
      </c>
      <c r="P20" s="81">
        <v>26</v>
      </c>
      <c r="Q20" s="81">
        <v>27</v>
      </c>
      <c r="R20" s="81">
        <v>26</v>
      </c>
      <c r="S20" s="81">
        <v>27</v>
      </c>
      <c r="T20" s="81">
        <v>25</v>
      </c>
      <c r="U20" s="81">
        <v>25</v>
      </c>
      <c r="V20" s="81">
        <v>28</v>
      </c>
      <c r="W20" s="81">
        <v>28</v>
      </c>
      <c r="X20" s="81">
        <v>23</v>
      </c>
      <c r="Y20" s="110">
        <v>23</v>
      </c>
      <c r="Z20" s="81">
        <v>32</v>
      </c>
      <c r="AA20" s="81">
        <v>23</v>
      </c>
      <c r="AB20" s="81">
        <v>26</v>
      </c>
      <c r="AC20" s="81">
        <v>28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5" t="s" ph="1">
        <v>178</v>
      </c>
      <c r="D24" s="71">
        <v>3.09</v>
      </c>
      <c r="E24" s="71">
        <v>95.55</v>
      </c>
      <c r="F24" s="71">
        <v>0</v>
      </c>
      <c r="G24" s="71">
        <v>3907</v>
      </c>
      <c r="H24" s="71">
        <v>2427</v>
      </c>
      <c r="I24" s="71">
        <v>4675</v>
      </c>
      <c r="J24" s="71">
        <v>4951</v>
      </c>
      <c r="K24" s="71">
        <v>85.4</v>
      </c>
      <c r="L24" s="71">
        <v>0</v>
      </c>
      <c r="M24" s="71">
        <v>5421</v>
      </c>
      <c r="N24" s="71">
        <v>5370</v>
      </c>
      <c r="O24" s="71">
        <v>3523</v>
      </c>
      <c r="P24" s="71">
        <v>838</v>
      </c>
      <c r="Q24" s="90">
        <v>724</v>
      </c>
      <c r="R24" s="71">
        <v>5264</v>
      </c>
      <c r="S24" s="71">
        <v>227</v>
      </c>
      <c r="T24" s="71">
        <v>1756</v>
      </c>
      <c r="U24" s="71">
        <v>4989</v>
      </c>
      <c r="V24" s="71">
        <v>9650</v>
      </c>
      <c r="W24" s="71">
        <v>8770</v>
      </c>
      <c r="X24" s="71">
        <v>4762</v>
      </c>
      <c r="Y24" s="71">
        <v>6923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2268.5984588880001</v>
      </c>
      <c r="E25" s="91" ph="1">
        <f>E24*268.68*LOOKUP(E26,密度!$A$2:$A$50,密度!$C$2:$C$50)+IF(E24&lt;=0,0,1566*LOOKUP(E26,密度!$A$2:$A$50,密度!$C$2:$C$50))</f>
        <v>30204.6329286</v>
      </c>
      <c r="F25" s="91" ph="1">
        <f>F24*11.702*LOOKUP(F26,密度!$A$2:$A$50,密度!$Q$2:$Q$50)</f>
        <v>0</v>
      </c>
      <c r="G25" s="91" ph="1">
        <f>G24*18.322*LOOKUP(G26,密度!$A$2:$A$50,密度!$B$2:$B$50)</f>
        <v>56064.631092800002</v>
      </c>
      <c r="H25" s="91" ph="1">
        <f>H24*18.322*LOOKUP(H26,密度!$A$2:$A$50,密度!$B$2:$B$50)</f>
        <v>34786.920556199999</v>
      </c>
      <c r="I25" s="91" ph="1">
        <f>I24*18.322*LOOKUP(I26,密度!$A$2:$A$50,密度!$Q$2:$Q$50)</f>
        <v>81346.029341499991</v>
      </c>
      <c r="J25" s="91" ph="1">
        <f>J24*18.322*LOOKUP(J26,密度!$A$2:$A$50,密度!$Q$2:$Q$50)</f>
        <v>86094.062777979998</v>
      </c>
      <c r="K25" s="91" ph="1">
        <f>K24*18.322*LOOKUP(K26,密度!$A$2:$A$50,密度!$Q$2:$Q$50)</f>
        <v>1485.0399840920002</v>
      </c>
      <c r="L25" s="91" ph="1">
        <f>L24*18.322*LOOKUP(L26,密度!$A$2:$A$50,密度!$Q$2:$Q$50)</f>
        <v>0</v>
      </c>
      <c r="M25" s="91" ph="1">
        <f>M24*18.322*LOOKUP(M26,密度!$A$2:$A$50,密度!$Q$2:$Q$50)</f>
        <v>94266.999458579987</v>
      </c>
      <c r="N25" s="91" ph="1">
        <f>N24*18.322*LOOKUP(N26,密度!$A$2:$A$50,密度!$Q$2:$Q$50)</f>
        <v>93380.148882599999</v>
      </c>
      <c r="O25" s="91" ph="1">
        <f>O24*18.322*LOOKUP(O26,密度!$A$2:$A$50,密度!$C$2:$C$50)</f>
        <v>71771.372631400009</v>
      </c>
      <c r="P25" s="91" ph="1">
        <f>P24*11.702*LOOKUP(P26,密度!$A$2:$A$50,密度!$B$2:$B$50)</f>
        <v>7680.2753632000004</v>
      </c>
      <c r="Q25" s="92" ph="1">
        <f>Q24*18.322*LOOKUP(Q26,密度!$A$2:$A$50,密度!$B$2:$B$50)</f>
        <v>10389.248249599999</v>
      </c>
      <c r="R25" s="91" ph="1">
        <f>R24*35.891*LOOKUP(R26,密度!$A$2:$A$50,密度!$C$2:$C$50)</f>
        <v>210071.51606560001</v>
      </c>
      <c r="S25" s="91" ph="1">
        <f>S24*35.891*LOOKUP(S26,密度!$A$2:$A$50,密度!$B$2:$B$50)</f>
        <v>6373.5991510999993</v>
      </c>
      <c r="T25" s="91" ph="1">
        <f>T24*35.891*LOOKUP(T26,密度!$A$2:$A$50,密度!$Q$2:$Q$50)</f>
        <v>59853.828575239997</v>
      </c>
      <c r="U25" s="91" ph="1">
        <f>U24*35.891</f>
        <v>179060.19899999999</v>
      </c>
      <c r="V25" s="91" ph="1">
        <f>V24*47.051*LOOKUP(V26,密度!$A$2:$A$50,密度!$B$2:$B$50)</f>
        <v>355197.17394499999</v>
      </c>
      <c r="W25" s="91" ph="1">
        <f>W24*47.051*LOOKUP(W26,密度!$A$2:$A$50,密度!$B$2:$B$50)</f>
        <v>323177.50986400002</v>
      </c>
      <c r="X25" s="91" ph="1">
        <f>X24*47.051*LOOKUP(X26,密度!$A$2:$A$50,密度!$I$2:$I$50)</f>
        <v>232042.24856168</v>
      </c>
      <c r="Y25" s="91" ph="1">
        <f>Y24*47.051*LOOKUP(Y26,密度!$A$2:$A$50,密度!$L$2:$L$50)</f>
        <v>306190.02862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21</v>
      </c>
      <c r="J26" s="74">
        <v>22</v>
      </c>
      <c r="K26" s="74">
        <v>22</v>
      </c>
      <c r="L26" s="74">
        <v>21</v>
      </c>
      <c r="M26" s="74">
        <v>22</v>
      </c>
      <c r="N26" s="74">
        <v>22</v>
      </c>
      <c r="O26" s="74">
        <v>21</v>
      </c>
      <c r="P26" s="74">
        <v>21</v>
      </c>
      <c r="Q26" s="93">
        <v>21</v>
      </c>
      <c r="R26" s="74">
        <v>21</v>
      </c>
      <c r="S26" s="74">
        <v>22</v>
      </c>
      <c r="T26" s="74">
        <v>21</v>
      </c>
      <c r="U26" s="74">
        <v>22</v>
      </c>
      <c r="V26" s="74">
        <v>22</v>
      </c>
      <c r="W26" s="74">
        <v>21</v>
      </c>
      <c r="X26" s="74">
        <v>56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5" t="s" ph="1">
        <v>181</v>
      </c>
      <c r="D27" s="71">
        <v>3.06</v>
      </c>
      <c r="E27" s="71">
        <v>95.57</v>
      </c>
      <c r="F27" s="71">
        <v>0</v>
      </c>
      <c r="G27" s="71">
        <v>3372</v>
      </c>
      <c r="H27" s="71">
        <v>1949</v>
      </c>
      <c r="I27" s="71">
        <v>4676</v>
      </c>
      <c r="J27" s="71">
        <v>4954</v>
      </c>
      <c r="K27" s="71">
        <v>81.8</v>
      </c>
      <c r="L27" s="71">
        <v>0</v>
      </c>
      <c r="M27" s="71">
        <v>5425</v>
      </c>
      <c r="N27" s="71">
        <v>5371</v>
      </c>
      <c r="O27" s="71">
        <v>2667</v>
      </c>
      <c r="P27" s="71">
        <v>836</v>
      </c>
      <c r="Q27" s="90">
        <v>1653</v>
      </c>
      <c r="R27" s="71">
        <v>5262</v>
      </c>
      <c r="S27" s="71">
        <v>223</v>
      </c>
      <c r="T27" s="71">
        <v>1754</v>
      </c>
      <c r="U27" s="71">
        <v>4633</v>
      </c>
      <c r="V27" s="71">
        <v>9655</v>
      </c>
      <c r="W27" s="71">
        <v>8772</v>
      </c>
      <c r="X27" s="71">
        <v>5357</v>
      </c>
      <c r="Y27" s="71">
        <v>7568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5" t="s" ph="1">
        <v>179</v>
      </c>
      <c r="D28" s="91" ph="1">
        <f>D27*268.68*LOOKUP(D29,密度!$A$2:$A$50,密度!$Q$2:$Q$50)+IF(D27&lt;=0,0,1566*LOOKUP(D29,密度!$A$2:$A$50,密度!$Q$2:$Q$50))</f>
        <v>2260.967355792</v>
      </c>
      <c r="E28" s="91" ph="1">
        <f>E27*268.68*LOOKUP(E29,密度!$A$2:$A$50,密度!$C$2:$C$50)+IF(E27&lt;=0,0,1566*LOOKUP(E29,密度!$A$2:$A$50,密度!$C$2:$C$50))</f>
        <v>30210.591713639998</v>
      </c>
      <c r="F28" s="91" ph="1">
        <f>F27*11.702*LOOKUP(F29,密度!$A$2:$A$50,密度!$Q$2:$Q$50)</f>
        <v>0</v>
      </c>
      <c r="G28" s="91" ph="1">
        <f>G27*18.322*LOOKUP(G29,密度!$A$2:$A$50,密度!$B$2:$B$50)</f>
        <v>48276.286017599996</v>
      </c>
      <c r="H28" s="91" ph="1">
        <f>H27*18.322*LOOKUP(H29,密度!$A$2:$A$50,密度!$B$2:$B$50)</f>
        <v>27935.602869400002</v>
      </c>
      <c r="I28" s="91" ph="1">
        <f>I27*18.322*LOOKUP(I29,密度!$A$2:$A$50,密度!$Q$2:$Q$50)</f>
        <v>81235.775790400003</v>
      </c>
      <c r="J28" s="91" ph="1">
        <f>J27*18.322*LOOKUP(J29,密度!$A$2:$A$50,密度!$Q$2:$Q$50)</f>
        <v>86146.230458919992</v>
      </c>
      <c r="K28" s="91" ph="1">
        <f>K27*18.322*LOOKUP(K29,密度!$A$2:$A$50,密度!$Q$2:$Q$50)</f>
        <v>1421.10488872</v>
      </c>
      <c r="L28" s="91" ph="1">
        <f>L27*18.322*LOOKUP(L29,密度!$A$2:$A$50,密度!$Q$2:$Q$50)</f>
        <v>0</v>
      </c>
      <c r="M28" s="91" ph="1">
        <f>M27*18.322*LOOKUP(M29,密度!$A$2:$A$50,密度!$Q$2:$Q$50)</f>
        <v>94336.556366499994</v>
      </c>
      <c r="N28" s="91" ph="1">
        <f>N27*18.322*LOOKUP(N29,密度!$A$2:$A$50,密度!$Q$2:$Q$50)</f>
        <v>93397.538109579997</v>
      </c>
      <c r="O28" s="91" ph="1">
        <f>O27*18.322*LOOKUP(O29,密度!$A$2:$A$50,密度!$C$2:$C$50)</f>
        <v>54332.742210600001</v>
      </c>
      <c r="P28" s="91" ph="1">
        <f>P27*11.702*LOOKUP(P29,密度!$A$2:$A$50,密度!$B$2:$B$50)</f>
        <v>7653.1407655999992</v>
      </c>
      <c r="Q28" s="92" ph="1">
        <f>Q27*18.322*LOOKUP(Q29,密度!$A$2:$A$50,密度!$B$2:$B$50)</f>
        <v>23665.688252399999</v>
      </c>
      <c r="R28" s="91" ph="1">
        <f>R27*35.891*LOOKUP(R29,密度!$A$2:$A$50,密度!$C$2:$C$50)</f>
        <v>209840.61490619997</v>
      </c>
      <c r="S28" s="91" ph="1">
        <f>S27*35.891*LOOKUP(S29,密度!$A$2:$A$50,密度!$B$2:$B$50)</f>
        <v>6254.0857101999991</v>
      </c>
      <c r="T28" s="91" ph="1">
        <f>T27*35.891*LOOKUP(T29,密度!$A$2:$A$50,密度!$Q$2:$Q$50)</f>
        <v>59747.886239259999</v>
      </c>
      <c r="U28" s="91" ph="1">
        <f>U27*35.891</f>
        <v>166283.003</v>
      </c>
      <c r="V28" s="91" ph="1">
        <f>V27*47.051*LOOKUP(V29,密度!$A$2:$A$50,密度!$B$2:$B$50)</f>
        <v>355381.21393150004</v>
      </c>
      <c r="W28" s="91" ph="1">
        <f>W27*47.051*LOOKUP(W29,密度!$A$2:$A$50,密度!$B$2:$B$50)</f>
        <v>322508.29408080003</v>
      </c>
      <c r="X28" s="91" ph="1">
        <f>X27*47.051*LOOKUP(X29,密度!$A$2:$A$50,密度!$I$2:$I$50)</f>
        <v>259034.05313390004</v>
      </c>
      <c r="Y28" s="91" ph="1">
        <f>Y27*47.051*LOOKUP(Y29,密度!$A$2:$A$50,密度!$L$2:$L$50)</f>
        <v>332580.558112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5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23</v>
      </c>
      <c r="L29" s="74">
        <v>23</v>
      </c>
      <c r="M29" s="74">
        <v>22</v>
      </c>
      <c r="N29" s="74">
        <v>22</v>
      </c>
      <c r="O29" s="74">
        <v>21</v>
      </c>
      <c r="P29" s="74">
        <v>22</v>
      </c>
      <c r="Q29" s="93">
        <v>23</v>
      </c>
      <c r="R29" s="74">
        <v>22</v>
      </c>
      <c r="S29" s="74">
        <v>23</v>
      </c>
      <c r="T29" s="74">
        <v>22</v>
      </c>
      <c r="U29" s="74">
        <v>23</v>
      </c>
      <c r="V29" s="74">
        <v>22</v>
      </c>
      <c r="W29" s="74">
        <v>23</v>
      </c>
      <c r="X29" s="74">
        <v>38</v>
      </c>
      <c r="Y29" s="74">
        <v>28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97369.591479299997</v>
      </c>
      <c r="E33" s="217" ph="1">
        <f>M10+I10</f>
        <v>93769.323711100005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21" ph="1">
        <v>0</v>
      </c>
      <c r="H33" s="217" ph="1">
        <f>N19</f>
        <v>13798.495555040001</v>
      </c>
      <c r="I33" s="230" ph="1">
        <v>0</v>
      </c>
      <c r="J33" s="228" ph="1">
        <f>F10+O28</f>
        <v>181545.34745459998</v>
      </c>
      <c r="K33" s="217" ph="1">
        <f>O10+K10+E28+R28</f>
        <v>244121.18446703997</v>
      </c>
      <c r="L33" s="232" ph="1">
        <f>BE27</f>
        <v>7100</v>
      </c>
      <c r="M33" s="228" ph="1">
        <f>G10+H10+W28+S28+V28+E10</f>
        <v>1200764.3591525001</v>
      </c>
      <c r="N33" s="217" ph="1">
        <f>L10+P10++G28+H28</f>
        <v>378716.89485100005</v>
      </c>
      <c r="O33" s="230" ph="1">
        <f>BE17</f>
        <v>2270</v>
      </c>
      <c r="P33" s="228" ph="1">
        <f>L19</f>
        <v>12633.0954948</v>
      </c>
      <c r="Q33" s="217" ph="1">
        <f>J10+N10</f>
        <v>53992.602738000001</v>
      </c>
      <c r="R33" s="230" ph="1">
        <f>BE23</f>
        <v>890</v>
      </c>
      <c r="S33" s="228" ph="1">
        <f>E10+X28</f>
        <v>428998.80158390006</v>
      </c>
      <c r="T33" s="217" ph="1">
        <f>X19</f>
        <v>7288.423260479999</v>
      </c>
      <c r="U33" s="238" ph="1">
        <f>BE21</f>
        <v>730</v>
      </c>
      <c r="V33" s="249" ph="1">
        <f ca="1">P19+Q19+S19+M28+N28+J28</f>
        <v>407816.77791591</v>
      </c>
      <c r="W33" s="249" ph="1">
        <f>D28+F28+V19+T28</f>
        <v>76708.470442163991</v>
      </c>
      <c r="X33" s="230" ph="1">
        <f>BE29+BE31</f>
        <v>10200</v>
      </c>
      <c r="Y33" s="251" ph="1">
        <f>+Q10+R10+S10+T10+U10+V10+W10+X10+Y10</f>
        <v>214059.99716639999</v>
      </c>
      <c r="Z33" s="236" ph="1">
        <f>D10+T19+U19+Y28+Z10</f>
        <v>555238.16029143997</v>
      </c>
      <c r="AA33" s="238" ph="1">
        <f>BE19</f>
        <v>1440</v>
      </c>
      <c r="AB33" s="240" ph="1">
        <f>I19</f>
        <v>0</v>
      </c>
      <c r="AC33" s="242" ph="1">
        <f>AD10</f>
        <v>26173.759046400002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53" t="s" ph="1">
        <v>186</v>
      </c>
      <c r="AA36" s="153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345</v>
      </c>
      <c r="AI37" s="153" t="s" ph="1">
        <v>212</v>
      </c>
      <c r="AJ37" s="153" t="s" ph="1">
        <v>213</v>
      </c>
      <c r="AK37" s="153" t="s" ph="1">
        <v>214</v>
      </c>
      <c r="AM37" s="153" t="s" ph="1">
        <v>213</v>
      </c>
      <c r="AN37" s="153" t="s" ph="1">
        <v>214</v>
      </c>
      <c r="AO37" s="153" t="s" ph="1">
        <v>215</v>
      </c>
      <c r="AP37" s="153" t="s" ph="1">
        <v>213</v>
      </c>
      <c r="AQ37" s="153" t="s" ph="1">
        <v>214</v>
      </c>
      <c r="AR37" s="153" t="s" ph="1">
        <v>215</v>
      </c>
      <c r="AS37" s="153" t="s" ph="1">
        <v>213</v>
      </c>
      <c r="AT37" s="153" t="s" ph="1">
        <v>214</v>
      </c>
      <c r="AU37" s="153" t="s" ph="1">
        <v>215</v>
      </c>
      <c r="AV37" s="153" t="s" ph="1">
        <v>213</v>
      </c>
      <c r="AW37" s="153" t="s" ph="1">
        <v>214</v>
      </c>
      <c r="AX37" s="153" t="s" ph="1">
        <v>215</v>
      </c>
      <c r="AY37" s="153" t="s" ph="1">
        <v>214</v>
      </c>
      <c r="AZ37" s="153" t="s" ph="1">
        <v>216</v>
      </c>
      <c r="BD37" s="153" t="s" ph="1">
        <v>308</v>
      </c>
      <c r="BE37" s="153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63" priority="96">
      <formula>ABS(D$7-D$10)&gt;=1000</formula>
    </cfRule>
  </conditionalFormatting>
  <conditionalFormatting sqref="E4 E6:E11">
    <cfRule type="expression" dxfId="1762" priority="95">
      <formula>ABS(E$7-E$10)&gt;=1000</formula>
    </cfRule>
  </conditionalFormatting>
  <conditionalFormatting sqref="F4:F11">
    <cfRule type="expression" dxfId="1761" priority="94">
      <formula>ABS(F$7-F$10)&gt;=1000</formula>
    </cfRule>
  </conditionalFormatting>
  <conditionalFormatting sqref="G4:G11">
    <cfRule type="expression" dxfId="1760" priority="93">
      <formula>ABS(G$7-G$10)&gt;=1000</formula>
    </cfRule>
  </conditionalFormatting>
  <conditionalFormatting sqref="H4:H11">
    <cfRule type="expression" dxfId="1759" priority="92">
      <formula>ABS(H$7-H$10)&gt;=1000</formula>
    </cfRule>
  </conditionalFormatting>
  <conditionalFormatting sqref="I4:I11">
    <cfRule type="expression" dxfId="1758" priority="91">
      <formula>ABS(I$7-I$10)&gt;=1000</formula>
    </cfRule>
  </conditionalFormatting>
  <conditionalFormatting sqref="J4:J11">
    <cfRule type="expression" dxfId="1757" priority="90">
      <formula>ABS(J$7-J$10)&gt;=1000</formula>
    </cfRule>
  </conditionalFormatting>
  <conditionalFormatting sqref="K4:K11">
    <cfRule type="expression" dxfId="1756" priority="89">
      <formula>ABS(K$7-K$10)&gt;=1000</formula>
    </cfRule>
  </conditionalFormatting>
  <conditionalFormatting sqref="L4:L11">
    <cfRule type="expression" dxfId="1755" priority="88">
      <formula>ABS(L$7-L$10)&gt;=1000</formula>
    </cfRule>
  </conditionalFormatting>
  <conditionalFormatting sqref="M4 M6:M11">
    <cfRule type="expression" dxfId="1754" priority="87">
      <formula>ABS(M$7-M$10)&gt;=1000</formula>
    </cfRule>
  </conditionalFormatting>
  <conditionalFormatting sqref="N4 N6:N11">
    <cfRule type="expression" dxfId="1753" priority="86">
      <formula>ABS(N$7-N$10)&gt;=1000</formula>
    </cfRule>
  </conditionalFormatting>
  <conditionalFormatting sqref="O4 O6:O11">
    <cfRule type="expression" dxfId="1752" priority="85">
      <formula>ABS(O$7-O$10)&gt;=1000</formula>
    </cfRule>
  </conditionalFormatting>
  <conditionalFormatting sqref="P4 P6:P11">
    <cfRule type="expression" dxfId="1751" priority="84">
      <formula>ABS(P$7-P$10)&gt;=1000</formula>
    </cfRule>
  </conditionalFormatting>
  <conditionalFormatting sqref="Q4:Q11">
    <cfRule type="expression" dxfId="1750" priority="83">
      <formula>ABS(Q$7-Q$10)&gt;=1000</formula>
    </cfRule>
  </conditionalFormatting>
  <conditionalFormatting sqref="R4:R11">
    <cfRule type="expression" dxfId="1749" priority="82">
      <formula>ABS(R$7-R$10)&gt;=1000</formula>
    </cfRule>
  </conditionalFormatting>
  <conditionalFormatting sqref="S4:S11">
    <cfRule type="expression" dxfId="1748" priority="81">
      <formula>ABS(S$7-S$10)&gt;=1000</formula>
    </cfRule>
  </conditionalFormatting>
  <conditionalFormatting sqref="T4:T9 T11">
    <cfRule type="expression" dxfId="1747" priority="80">
      <formula>ABS(T$7-T$10)&gt;=1000</formula>
    </cfRule>
  </conditionalFormatting>
  <conditionalFormatting sqref="U4:U9 U11">
    <cfRule type="expression" dxfId="1746" priority="79">
      <formula>ABS(U$7-U$10)&gt;=1000</formula>
    </cfRule>
  </conditionalFormatting>
  <conditionalFormatting sqref="V4:V9 V11">
    <cfRule type="expression" dxfId="1745" priority="78">
      <formula>ABS(V$7-V$10)&gt;=1000</formula>
    </cfRule>
  </conditionalFormatting>
  <conditionalFormatting sqref="W4:W9 W11">
    <cfRule type="expression" dxfId="1744" priority="77">
      <formula>ABS(W$7-W$10)&gt;=1000</formula>
    </cfRule>
  </conditionalFormatting>
  <conditionalFormatting sqref="X4:X9 X11">
    <cfRule type="expression" dxfId="1743" priority="76">
      <formula>ABS(X$7-X$10)&gt;=1000</formula>
    </cfRule>
  </conditionalFormatting>
  <conditionalFormatting sqref="Y4:Y9 Y11">
    <cfRule type="expression" dxfId="1742" priority="75">
      <formula>ABS(Y$7-Y$10)&gt;=1000</formula>
    </cfRule>
  </conditionalFormatting>
  <conditionalFormatting sqref="Z4:Z11">
    <cfRule type="expression" dxfId="1741" priority="74">
      <formula>ABS(Z$7-Z$10)&gt;=1000</formula>
    </cfRule>
  </conditionalFormatting>
  <conditionalFormatting sqref="AA4:AA11">
    <cfRule type="expression" dxfId="1740" priority="73">
      <formula>ABS(AA$7-AA$10)&gt;=1000</formula>
    </cfRule>
  </conditionalFormatting>
  <conditionalFormatting sqref="AB4:AB11">
    <cfRule type="expression" dxfId="1739" priority="72">
      <formula>ABS(AB$7-AB$10)&gt;=1000</formula>
    </cfRule>
  </conditionalFormatting>
  <conditionalFormatting sqref="AC4 AC6:AC11">
    <cfRule type="expression" dxfId="1738" priority="71">
      <formula>ABS(AC$7-AC$10)&gt;=1000</formula>
    </cfRule>
  </conditionalFormatting>
  <conditionalFormatting sqref="AD4:AD11">
    <cfRule type="expression" dxfId="1737" priority="70">
      <formula>ABS(AD$7-AD$10)&gt;=1000</formula>
    </cfRule>
  </conditionalFormatting>
  <conditionalFormatting sqref="AE4:AE11">
    <cfRule type="expression" dxfId="1736" priority="69">
      <formula>ABS(AE$7-AE$10)&gt;=1000</formula>
    </cfRule>
  </conditionalFormatting>
  <conditionalFormatting sqref="D13:D20">
    <cfRule type="expression" dxfId="1735" priority="68">
      <formula>ABS(D$16-D$19)&gt;=1000</formula>
    </cfRule>
  </conditionalFormatting>
  <conditionalFormatting sqref="E13:E20">
    <cfRule type="expression" dxfId="1734" priority="67">
      <formula>ABS(E$16-E$19)&gt;=1000</formula>
    </cfRule>
  </conditionalFormatting>
  <conditionalFormatting sqref="F13 F15:F20">
    <cfRule type="expression" dxfId="1733" priority="66">
      <formula>ABS(F$16-F$19)&gt;=1000</formula>
    </cfRule>
  </conditionalFormatting>
  <conditionalFormatting sqref="G13:G20">
    <cfRule type="expression" dxfId="1732" priority="65">
      <formula>ABS(G$16-G$19)&gt;=1000</formula>
    </cfRule>
  </conditionalFormatting>
  <conditionalFormatting sqref="H13:H20">
    <cfRule type="expression" dxfId="1731" priority="64">
      <formula>ABS(H$16-H$19)&gt;=1000</formula>
    </cfRule>
  </conditionalFormatting>
  <conditionalFormatting sqref="I13:I20">
    <cfRule type="expression" dxfId="1730" priority="63">
      <formula>ABS(I$16-I$19)&gt;=1000</formula>
    </cfRule>
  </conditionalFormatting>
  <conditionalFormatting sqref="J13:J20">
    <cfRule type="expression" dxfId="1729" priority="62">
      <formula>ABS(J$16-J$19)&gt;=1000</formula>
    </cfRule>
  </conditionalFormatting>
  <conditionalFormatting sqref="L13:L20">
    <cfRule type="expression" dxfId="1728" priority="61">
      <formula>ABS(L$16-L$19)&gt;=1000</formula>
    </cfRule>
  </conditionalFormatting>
  <conditionalFormatting sqref="M13 M15 M17:M18 M20">
    <cfRule type="expression" dxfId="1727" priority="60">
      <formula>ABS(M$16-M$19)&gt;=1000</formula>
    </cfRule>
  </conditionalFormatting>
  <conditionalFormatting sqref="N13:N20">
    <cfRule type="expression" dxfId="1726" priority="59">
      <formula>ABS(N$16-N$19)&gt;=1000</formula>
    </cfRule>
  </conditionalFormatting>
  <conditionalFormatting sqref="O13:O20">
    <cfRule type="expression" dxfId="1725" priority="58">
      <formula>ABS(O$16-O$19)&gt;=1000</formula>
    </cfRule>
  </conditionalFormatting>
  <conditionalFormatting sqref="P13:P20">
    <cfRule type="expression" dxfId="1724" priority="57">
      <formula>ABS(P$16-P$19)&gt;=1000</formula>
    </cfRule>
  </conditionalFormatting>
  <conditionalFormatting sqref="Q13 Q15:Q20">
    <cfRule type="expression" dxfId="1723" priority="56">
      <formula>ABS(Q$16-Q$19)&gt;=1000</formula>
    </cfRule>
  </conditionalFormatting>
  <conditionalFormatting sqref="R13:R20">
    <cfRule type="expression" dxfId="1722" priority="55">
      <formula>ABS(R$16-R$19)&gt;=1000</formula>
    </cfRule>
  </conditionalFormatting>
  <conditionalFormatting sqref="S13:S20">
    <cfRule type="expression" dxfId="1721" priority="54">
      <formula>ABS(S$16-S$19)&gt;=1000</formula>
    </cfRule>
  </conditionalFormatting>
  <conditionalFormatting sqref="T13:T20">
    <cfRule type="expression" dxfId="1720" priority="53">
      <formula>ABS(T$16-T$19)&gt;=1000</formula>
    </cfRule>
  </conditionalFormatting>
  <conditionalFormatting sqref="U13:U20">
    <cfRule type="expression" dxfId="1719" priority="52">
      <formula>ABS(U$16-U$19)&gt;=1000</formula>
    </cfRule>
  </conditionalFormatting>
  <conditionalFormatting sqref="V13:V20">
    <cfRule type="expression" dxfId="1718" priority="51">
      <formula>ABS(V$16-V$19)&gt;=1000</formula>
    </cfRule>
  </conditionalFormatting>
  <conditionalFormatting sqref="W13 W20 W15:W18">
    <cfRule type="expression" dxfId="1717" priority="50">
      <formula>ABS(W$16-W$19)&gt;=1000</formula>
    </cfRule>
  </conditionalFormatting>
  <conditionalFormatting sqref="X13 X15:X20 Y19">
    <cfRule type="expression" dxfId="1716" priority="49">
      <formula>ABS(X$16-X$19)&gt;=1000</formula>
    </cfRule>
  </conditionalFormatting>
  <conditionalFormatting sqref="Y13 Y15:Y18 Y20">
    <cfRule type="expression" dxfId="1715" priority="48">
      <formula>ABS(Y$16-Y$19)&gt;=1000</formula>
    </cfRule>
  </conditionalFormatting>
  <conditionalFormatting sqref="Z13:Z20">
    <cfRule type="expression" dxfId="1714" priority="47">
      <formula>ABS(Z$16-Z$19)&gt;=1000</formula>
    </cfRule>
  </conditionalFormatting>
  <conditionalFormatting sqref="AA13:AA20">
    <cfRule type="expression" dxfId="1713" priority="46">
      <formula>ABS(AA$16-AA$19)&gt;=1000</formula>
    </cfRule>
  </conditionalFormatting>
  <conditionalFormatting sqref="AB13 AB15:AB20">
    <cfRule type="expression" dxfId="1712" priority="45">
      <formula>ABS(AB$16-AB$19)&gt;=1000</formula>
    </cfRule>
  </conditionalFormatting>
  <conditionalFormatting sqref="AC13 AC15:AC20">
    <cfRule type="expression" dxfId="1711" priority="44">
      <formula>ABS(AC$16-AC$19)&gt;=1000</formula>
    </cfRule>
  </conditionalFormatting>
  <conditionalFormatting sqref="AD13:AD20">
    <cfRule type="expression" dxfId="1710" priority="43">
      <formula>ABS(AD$16-AD$19)&gt;=1000</formula>
    </cfRule>
  </conditionalFormatting>
  <conditionalFormatting sqref="AE13:AE20">
    <cfRule type="expression" dxfId="1709" priority="42">
      <formula>ABS(AE$16-AE$19)&gt;=1000</formula>
    </cfRule>
  </conditionalFormatting>
  <conditionalFormatting sqref="D22:D29">
    <cfRule type="expression" dxfId="1708" priority="41">
      <formula>ABS(D$25-D$28)&gt;=1000</formula>
    </cfRule>
  </conditionalFormatting>
  <conditionalFormatting sqref="E22:E29">
    <cfRule type="expression" dxfId="1707" priority="40">
      <formula>ABS(E$25-E$28)&gt;=1000</formula>
    </cfRule>
  </conditionalFormatting>
  <conditionalFormatting sqref="F22:F29">
    <cfRule type="expression" dxfId="1706" priority="39">
      <formula>ABS(F$25-F$28)&gt;=1000</formula>
    </cfRule>
  </conditionalFormatting>
  <conditionalFormatting sqref="G22:G29">
    <cfRule type="expression" dxfId="1705" priority="38">
      <formula>ABS(G$25-G$28)&gt;=1000</formula>
    </cfRule>
  </conditionalFormatting>
  <conditionalFormatting sqref="H22:H29">
    <cfRule type="expression" dxfId="1704" priority="37">
      <formula>ABS(H$25-H$28)&gt;=1000</formula>
    </cfRule>
  </conditionalFormatting>
  <conditionalFormatting sqref="I22 I24:I29">
    <cfRule type="expression" dxfId="1703" priority="36">
      <formula>ABS(I$25-I$28)&gt;=1000</formula>
    </cfRule>
  </conditionalFormatting>
  <conditionalFormatting sqref="J22:J29 K22">
    <cfRule type="expression" dxfId="1702" priority="35">
      <formula>ABS(J$25-J$28)&gt;=1000</formula>
    </cfRule>
  </conditionalFormatting>
  <conditionalFormatting sqref="K23:K29 L25 L28">
    <cfRule type="expression" dxfId="1701" priority="34">
      <formula>ABS(K$25-K$28)&gt;=1000</formula>
    </cfRule>
  </conditionalFormatting>
  <conditionalFormatting sqref="L22:L24 L26:L27 L29">
    <cfRule type="expression" dxfId="1700" priority="33">
      <formula>ABS(L$25-L$28)&gt;=1000</formula>
    </cfRule>
  </conditionalFormatting>
  <conditionalFormatting sqref="M22:M29">
    <cfRule type="expression" dxfId="1699" priority="32">
      <formula>ABS(M$25-M$28)&gt;=1000</formula>
    </cfRule>
  </conditionalFormatting>
  <conditionalFormatting sqref="N22:N29">
    <cfRule type="expression" dxfId="1698" priority="31">
      <formula>ABS(N$25-N$28)&gt;=1000</formula>
    </cfRule>
  </conditionalFormatting>
  <conditionalFormatting sqref="O22:O29">
    <cfRule type="expression" dxfId="1697" priority="30">
      <formula>ABS(O$25-O$28)&gt;=1000</formula>
    </cfRule>
  </conditionalFormatting>
  <conditionalFormatting sqref="P22:P29">
    <cfRule type="expression" dxfId="1696" priority="29">
      <formula>ABS(P$25-P$28)&gt;=1000</formula>
    </cfRule>
  </conditionalFormatting>
  <conditionalFormatting sqref="Q22:Q29">
    <cfRule type="expression" dxfId="1695" priority="28">
      <formula>ABS(Q$25-Q$28)&gt;=1000</formula>
    </cfRule>
  </conditionalFormatting>
  <conditionalFormatting sqref="R22:R29">
    <cfRule type="expression" dxfId="1694" priority="27">
      <formula>ABS(R$25-R$28)&gt;=1000</formula>
    </cfRule>
  </conditionalFormatting>
  <conditionalFormatting sqref="S22:S29">
    <cfRule type="expression" dxfId="1693" priority="26">
      <formula>ABS(S$25-S$28)&gt;=1000</formula>
    </cfRule>
  </conditionalFormatting>
  <conditionalFormatting sqref="T22:T29">
    <cfRule type="expression" dxfId="1692" priority="25">
      <formula>ABS(T$25-T$28)&gt;=1000</formula>
    </cfRule>
  </conditionalFormatting>
  <conditionalFormatting sqref="U22:U29">
    <cfRule type="expression" dxfId="1691" priority="24">
      <formula>ABS(U$25-U$28)&gt;=1000</formula>
    </cfRule>
  </conditionalFormatting>
  <conditionalFormatting sqref="V22:V29">
    <cfRule type="expression" dxfId="1690" priority="23">
      <formula>ABS(V$25-V$28)&gt;=1000</formula>
    </cfRule>
  </conditionalFormatting>
  <conditionalFormatting sqref="W22:W29">
    <cfRule type="expression" dxfId="1689" priority="22">
      <formula>ABS(W$25-W$28)&gt;=1000</formula>
    </cfRule>
  </conditionalFormatting>
  <conditionalFormatting sqref="X22:X29">
    <cfRule type="expression" dxfId="1688" priority="21">
      <formula>ABS(X$25-X$28)&gt;=1000</formula>
    </cfRule>
  </conditionalFormatting>
  <conditionalFormatting sqref="Y22:Y29">
    <cfRule type="expression" dxfId="1687" priority="20">
      <formula>ABS(Y$25-Y$28)&gt;=1000</formula>
    </cfRule>
  </conditionalFormatting>
  <conditionalFormatting sqref="I23">
    <cfRule type="expression" dxfId="1686" priority="19">
      <formula>ABS(I$25-I$28)&gt;=1000</formula>
    </cfRule>
  </conditionalFormatting>
  <conditionalFormatting sqref="F14">
    <cfRule type="expression" dxfId="1685" priority="18">
      <formula>ABS(F$16-F$19)&gt;=1000</formula>
    </cfRule>
  </conditionalFormatting>
  <conditionalFormatting sqref="Q14">
    <cfRule type="expression" dxfId="1684" priority="17">
      <formula>ABS(Q$16-Q$19)&gt;=1000</formula>
    </cfRule>
  </conditionalFormatting>
  <conditionalFormatting sqref="W14">
    <cfRule type="expression" dxfId="1683" priority="16">
      <formula>ABS(W$16-W$19)&gt;=1000</formula>
    </cfRule>
  </conditionalFormatting>
  <conditionalFormatting sqref="Y14">
    <cfRule type="expression" dxfId="1682" priority="15">
      <formula>ABS(Y$16-Y$19)&gt;=1000</formula>
    </cfRule>
  </conditionalFormatting>
  <conditionalFormatting sqref="X14">
    <cfRule type="expression" dxfId="1681" priority="14">
      <formula>ABS(X$16-X$19)&gt;=1000</formula>
    </cfRule>
  </conditionalFormatting>
  <conditionalFormatting sqref="T10:Y10">
    <cfRule type="expression" dxfId="1680" priority="13">
      <formula>ABS(T$7-T$10)&gt;=1000</formula>
    </cfRule>
  </conditionalFormatting>
  <conditionalFormatting sqref="W19">
    <cfRule type="expression" dxfId="1679" priority="12">
      <formula>ABS(W$16-W$19)&gt;=1000</formula>
    </cfRule>
  </conditionalFormatting>
  <conditionalFormatting sqref="AC5">
    <cfRule type="expression" dxfId="1678" priority="11">
      <formula>ABS(AC$7-AC$10)&gt;=1000</formula>
    </cfRule>
  </conditionalFormatting>
  <conditionalFormatting sqref="M14">
    <cfRule type="expression" dxfId="1677" priority="10">
      <formula>ABS(M$16-M$19)&gt;=1000</formula>
    </cfRule>
  </conditionalFormatting>
  <conditionalFormatting sqref="M16">
    <cfRule type="expression" dxfId="1676" priority="9">
      <formula>ABS(M$16-M$19)&gt;=1000</formula>
    </cfRule>
  </conditionalFormatting>
  <conditionalFormatting sqref="M19">
    <cfRule type="expression" dxfId="1675" priority="8">
      <formula>ABS(M$16-M$19)&gt;=1000</formula>
    </cfRule>
  </conditionalFormatting>
  <conditionalFormatting sqref="K13:K20">
    <cfRule type="expression" dxfId="1674" priority="7">
      <formula>ABS(K$16-K$19)&gt;=1000</formula>
    </cfRule>
  </conditionalFormatting>
  <conditionalFormatting sqref="E5">
    <cfRule type="expression" dxfId="1673" priority="6">
      <formula>ABS(E$7-E$10)&gt;=1000</formula>
    </cfRule>
  </conditionalFormatting>
  <conditionalFormatting sqref="AB14:AC14">
    <cfRule type="expression" dxfId="1672" priority="5">
      <formula>ABS(AB$16-AB$19)&gt;=1000</formula>
    </cfRule>
  </conditionalFormatting>
  <conditionalFormatting sqref="M5">
    <cfRule type="expression" dxfId="1671" priority="4">
      <formula>ABS(M$7-M$10)&gt;=1000</formula>
    </cfRule>
  </conditionalFormatting>
  <conditionalFormatting sqref="N5">
    <cfRule type="expression" dxfId="1670" priority="3">
      <formula>ABS(N$7-N$10)&gt;=1000</formula>
    </cfRule>
  </conditionalFormatting>
  <conditionalFormatting sqref="O5">
    <cfRule type="expression" dxfId="1669" priority="2">
      <formula>ABS(O$7-O$10)&gt;=1000</formula>
    </cfRule>
  </conditionalFormatting>
  <conditionalFormatting sqref="P5">
    <cfRule type="expression" dxfId="166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3">
    <pageSetUpPr fitToPage="1"/>
  </sheetPr>
  <dimension ref="A1:CU223"/>
  <sheetViews>
    <sheetView view="pageBreakPreview" topLeftCell="A10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45761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8" t="s" ph="1">
        <v>178</v>
      </c>
      <c r="D6" s="71">
        <v>4172</v>
      </c>
      <c r="E6" s="71">
        <v>4255</v>
      </c>
      <c r="F6" s="71">
        <v>3455</v>
      </c>
      <c r="G6" s="71">
        <v>2949</v>
      </c>
      <c r="H6" s="71">
        <v>1486</v>
      </c>
      <c r="I6" s="71">
        <v>16.100000000000001</v>
      </c>
      <c r="J6" s="71">
        <v>7.72</v>
      </c>
      <c r="K6" s="71">
        <v>49.62</v>
      </c>
      <c r="L6" s="71">
        <v>39.72</v>
      </c>
      <c r="M6" s="71">
        <v>2617</v>
      </c>
      <c r="N6" s="71">
        <v>2006</v>
      </c>
      <c r="O6" s="71">
        <v>1183</v>
      </c>
      <c r="P6" s="71">
        <v>8607</v>
      </c>
      <c r="Q6" s="71">
        <v>2810</v>
      </c>
      <c r="R6" s="71">
        <v>2611</v>
      </c>
      <c r="S6" s="71">
        <v>0</v>
      </c>
      <c r="T6" s="71">
        <v>5418</v>
      </c>
      <c r="U6" s="71">
        <v>7010</v>
      </c>
      <c r="V6" s="71">
        <v>6982</v>
      </c>
      <c r="W6" s="71">
        <v>6973</v>
      </c>
      <c r="X6" s="71">
        <v>6726</v>
      </c>
      <c r="Y6" s="71">
        <v>5843</v>
      </c>
      <c r="Z6" s="71">
        <v>2878</v>
      </c>
      <c r="AA6" s="71">
        <v>1574</v>
      </c>
      <c r="AB6" s="71">
        <v>2074</v>
      </c>
      <c r="AC6" s="71">
        <v>5635</v>
      </c>
      <c r="AD6" s="71">
        <v>1338</v>
      </c>
      <c r="AE6" s="71">
        <v>1622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131391.52227684</v>
      </c>
      <c r="E7" s="73" ph="1">
        <f>E6*51.53*LOOKUP(E8,密度!$A$2:$A$50,密度!$B$2:$B$50)</f>
        <v>171921.883615</v>
      </c>
      <c r="F7" s="73" ph="1">
        <f>F6*33.183*LOOKUP(F8,密度!$A$2:$A$50,密度!$C$2:$C$50)</f>
        <v>127556.547039</v>
      </c>
      <c r="G7" s="73" ph="1">
        <f xml:space="preserve"> (G6+2)*51.53*LOOKUP(G8,密度!$A$2:$A$50,密度!$B$2:$B$50)</f>
        <v>119234.190023</v>
      </c>
      <c r="H7" s="73" ph="1">
        <f>(H6)*51.53*LOOKUP(H8,密度!$A$2:$A$50,密度!$B$2:$B$50)</f>
        <v>60339.981040000006</v>
      </c>
      <c r="I7" s="73" ph="1">
        <f>I6*290.8*1.0267</f>
        <v>4806.8861960000004</v>
      </c>
      <c r="J7" s="73" ph="1">
        <f>J6*290.8*0.7892</f>
        <v>1771.7350592</v>
      </c>
      <c r="K7" s="73" ph="1">
        <f>K6*290.8*1.1126</f>
        <v>16054.257249599999</v>
      </c>
      <c r="L7" s="73" ph="1">
        <f>L6*290.8*0.777</f>
        <v>8974.7975520000018</v>
      </c>
      <c r="M7" s="73" ph="1">
        <f>M6*33.183*LOOKUP(M8,密度!$A$2:$A$50,密度!$D$2:$D$50)</f>
        <v>89323.53245459999</v>
      </c>
      <c r="N7" s="73" ph="1">
        <f>N6*33.183*LOOKUP(N8,密度!$A$2:$A$50,密度!$E$2:$E$50)</f>
        <v>52373.419106400004</v>
      </c>
      <c r="O7" s="73" ph="1">
        <f>O6*20.428*LOOKUP(O8,密度!$A$2:$A$50,密度!$C$2:$C$50)</f>
        <v>26870.535655600004</v>
      </c>
      <c r="P7" s="73" ph="1">
        <f>P6*51.53*LOOKUP(P8,密度!$A$2:$A$50,密度!$B$2:$B$50)</f>
        <v>347763.02051100001</v>
      </c>
      <c r="Q7" s="73" ph="1">
        <f>Q6*1.5*1.5*3.1416*LOOKUP(W8,密度!$A$2:$A$50,密度!$L$2:$L$50)</f>
        <v>18671.000039999999</v>
      </c>
      <c r="R7" s="73" ph="1">
        <f>R6*1.5*1.5*3.1416*LOOKUP(R8,密度!$A$2:$A$50,密度!$L$2:$L$50)</f>
        <v>17274.923265600002</v>
      </c>
      <c r="S7" s="73" ph="1">
        <f>S6*1.5*1.5*3.1416*LOOKUP(S8,密度!$A$2:$A$50,密度!$L$2:$L$50)</f>
        <v>0</v>
      </c>
      <c r="T7" s="73" ph="1">
        <f>T6*1.5*1.5*3.1416*LOOKUP(T8,密度!$A$2:$A$50,密度!$L$2:$L$50)</f>
        <v>36191.302685999995</v>
      </c>
      <c r="U7" s="73" ph="1">
        <f>U6*1.5*1.5*3.1416*LOOKUP(U8,密度!$A$2:$A$50,密度!$L$2:$L$50)</f>
        <v>46627.383725999993</v>
      </c>
      <c r="V7" s="73" ph="1">
        <f>V6*1.5*1.5*3.1416*LOOKUP(V8,密度!$A$2:$A$50,密度!$L$2:$L$50)</f>
        <v>46194.375427200001</v>
      </c>
      <c r="W7" s="73" ph="1">
        <f>W6*1.5*1.5*3.1416*LOOKUP(W8,密度!$A$2:$A$50,密度!$L$2:$L$50)</f>
        <v>46331.986931999993</v>
      </c>
      <c r="X7" s="73" ph="1">
        <f>X6*1.5*1.5*3.1416*LOOKUP(X8,密度!$A$2:$A$50,密度!$L$2:$L$50)</f>
        <v>45166.233419999997</v>
      </c>
      <c r="Y7" s="73" ph="1">
        <f>Y6*1.5*1.5*3.1416*LOOKUP(Y8,密度!$A$2:$A$50,密度!$L$2:$L$50)</f>
        <v>38906.323671599996</v>
      </c>
      <c r="Z7" s="73" ph="1">
        <f>Z6*33.183*LOOKUP(Z8,密度!$A$2:$A$50,密度!$L$2:$L$50)</f>
        <v>90152.636255999998</v>
      </c>
      <c r="AA7" s="73" ph="1">
        <f>AA6*33.183*LOOKUP(AA8,密度!$A$2:$A$50,密度!$D$2:$D$50)</f>
        <v>53870.065318800007</v>
      </c>
      <c r="AB7" s="73" ph="1">
        <f>AB6*20.428*LOOKUP(AB8,密度!$A$2:$A$50,密度!$D$2:$D$50)</f>
        <v>44024.247975199993</v>
      </c>
      <c r="AC7" s="73" ph="1">
        <f>AC6*51.53*LOOKUP(AC8,密度!$A$2:$A$50,密度!$Q$2:$Q$50)</f>
        <v>276666.01283999998</v>
      </c>
      <c r="AD7" s="73" ph="1">
        <f>AD6*20.428*LOOKUP(AD8,密度!$A$2:$A$50,密度!$V$2:$V$50)</f>
        <v>26348.688095999998</v>
      </c>
      <c r="AE7" s="73" ph="1">
        <f>AE6*20.428</f>
        <v>33134.216</v>
      </c>
    </row>
    <row r="8" spans="1:99" ph="1">
      <c r="B8" s="195" ph="1"/>
      <c r="C8" s="68" t="s" ph="1">
        <v>180</v>
      </c>
      <c r="D8" s="74">
        <v>22</v>
      </c>
      <c r="E8" s="74">
        <v>20</v>
      </c>
      <c r="F8" s="74">
        <v>20</v>
      </c>
      <c r="G8" s="74">
        <v>20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22</v>
      </c>
      <c r="O8" s="74">
        <v>21</v>
      </c>
      <c r="P8" s="74">
        <v>20</v>
      </c>
      <c r="Q8" s="74">
        <v>18</v>
      </c>
      <c r="R8" s="74">
        <v>26</v>
      </c>
      <c r="S8" s="74">
        <v>13</v>
      </c>
      <c r="T8" s="74">
        <v>17</v>
      </c>
      <c r="U8" s="74">
        <v>21</v>
      </c>
      <c r="V8" s="74">
        <v>26</v>
      </c>
      <c r="W8" s="74">
        <v>22</v>
      </c>
      <c r="X8" s="74">
        <v>12</v>
      </c>
      <c r="Y8" s="74">
        <v>20</v>
      </c>
      <c r="Z8" s="74">
        <v>18</v>
      </c>
      <c r="AA8" s="74">
        <v>20</v>
      </c>
      <c r="AB8" s="74">
        <v>11</v>
      </c>
      <c r="AC8" s="74">
        <v>17</v>
      </c>
      <c r="AD8" s="74">
        <v>18</v>
      </c>
      <c r="AE8" s="74">
        <v>24</v>
      </c>
    </row>
    <row r="9" spans="1:99" ht="26.4" ph="1">
      <c r="B9" s="195" ph="1">
        <v>0.66666666666666663</v>
      </c>
      <c r="C9" s="158" t="s" ph="1">
        <v>181</v>
      </c>
      <c r="D9" s="71">
        <v>4172</v>
      </c>
      <c r="E9" s="71">
        <v>4253</v>
      </c>
      <c r="F9" s="71">
        <v>3455</v>
      </c>
      <c r="G9" s="71">
        <v>3562</v>
      </c>
      <c r="H9" s="71">
        <v>1197</v>
      </c>
      <c r="I9" s="71">
        <v>16.010000000000002</v>
      </c>
      <c r="J9" s="71">
        <v>7.72</v>
      </c>
      <c r="K9" s="71">
        <v>20.21</v>
      </c>
      <c r="L9" s="71">
        <v>34.01</v>
      </c>
      <c r="M9" s="71">
        <v>2616</v>
      </c>
      <c r="N9" s="71">
        <v>1983</v>
      </c>
      <c r="O9" s="71">
        <v>1059</v>
      </c>
      <c r="P9" s="71">
        <v>8488</v>
      </c>
      <c r="Q9" s="71">
        <v>4999</v>
      </c>
      <c r="R9" s="71">
        <v>4744</v>
      </c>
      <c r="S9" s="71">
        <v>0</v>
      </c>
      <c r="T9" s="71">
        <v>780</v>
      </c>
      <c r="U9" s="71">
        <v>7017</v>
      </c>
      <c r="V9" s="71">
        <v>6993</v>
      </c>
      <c r="W9" s="71">
        <v>6984</v>
      </c>
      <c r="X9" s="71">
        <v>6733</v>
      </c>
      <c r="Y9" s="71">
        <v>5853</v>
      </c>
      <c r="Z9" s="71">
        <v>3894</v>
      </c>
      <c r="AA9" s="71">
        <v>1573</v>
      </c>
      <c r="AB9" s="71">
        <v>2075</v>
      </c>
      <c r="AC9" s="71">
        <v>5875</v>
      </c>
      <c r="AD9" s="71">
        <v>1335</v>
      </c>
      <c r="AE9" s="71">
        <v>1689</v>
      </c>
    </row>
    <row r="10" spans="1:99" s="72" customFormat="1" ht="22.2" ph="1">
      <c r="B10" s="195" ph="1"/>
      <c r="C10" s="158" t="s" ph="1">
        <v>179</v>
      </c>
      <c r="D10" s="73" ph="1">
        <f>D9*33.183*LOOKUP(D11,密度!$A$2:$A$50,密度!$Q$2:$Q$50)</f>
        <v>131167.25032572</v>
      </c>
      <c r="E10" s="73" ph="1">
        <f>E9*51.53*LOOKUP(E11,密度!$A$2:$A$50,密度!$B$2:$B$50)</f>
        <v>170285.05893</v>
      </c>
      <c r="F10" s="73" ph="1">
        <f>F9*33.183*LOOKUP(F11,密度!$A$2:$A$50,密度!$C$2:$C$50)</f>
        <v>127212.60524399999</v>
      </c>
      <c r="G10" s="73" ph="1">
        <f xml:space="preserve"> (G9+2)*51.53*LOOKUP(G11,密度!$A$2:$A$50,密度!$B$2:$B$50)</f>
        <v>143010.528804</v>
      </c>
      <c r="H10" s="73" ph="1">
        <f>(H9)*51.53*LOOKUP(H11,密度!$A$2:$A$50,密度!$B$2:$B$50)</f>
        <v>47926.455570000006</v>
      </c>
      <c r="I10" s="73" ph="1">
        <f>I9*290.8*1.0267</f>
        <v>4780.0154036000004</v>
      </c>
      <c r="J10" s="73" ph="1">
        <f>J9*290.8*0.7892</f>
        <v>1771.7350592</v>
      </c>
      <c r="K10" s="73" ph="1">
        <f>K9*290.8*1.1126</f>
        <v>6538.8258568000001</v>
      </c>
      <c r="L10" s="73" ph="1">
        <f>L9*290.8*0.777</f>
        <v>7684.6139160000002</v>
      </c>
      <c r="M10" s="73" ph="1">
        <f>M9*33.183*LOOKUP(M11,密度!$A$2:$A$50,密度!$D$2:$D$50)</f>
        <v>88959.534854400001</v>
      </c>
      <c r="N10" s="73" ph="1">
        <f>N9*33.183*LOOKUP(N11,密度!$A$2:$A$50,密度!$E$2:$E$50)</f>
        <v>51615.001731599994</v>
      </c>
      <c r="O10" s="73" ph="1">
        <f>O9*20.428*LOOKUP(O11,密度!$A$2:$A$50,密度!$C$2:$C$50)</f>
        <v>23770.617297600002</v>
      </c>
      <c r="P10" s="73" ph="1">
        <f>P9*51.53*LOOKUP(P11,密度!$A$2:$A$50,密度!$B$2:$B$50)</f>
        <v>339849.41928000003</v>
      </c>
      <c r="Q10" s="73" ph="1">
        <f>Q9*1.5*1.5*3.1416*LOOKUP(W11,密度!$A$2:$A$50,密度!$L$2:$L$50)</f>
        <v>33145.1036532</v>
      </c>
      <c r="R10" s="73" ph="1">
        <f>R9*1.5*1.5*3.1416*LOOKUP(R11,密度!$A$2:$A$50,密度!$L$2:$L$50)</f>
        <v>31286.6980272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5160.6434879999997</v>
      </c>
      <c r="U10" s="73" ph="1">
        <f>U9*1.5*1.5*3.1416*LOOKUP(U11,密度!$A$2:$A$50,密度!$L$2:$L$50)</f>
        <v>46624.344227999994</v>
      </c>
      <c r="V10" s="73" ph="1">
        <f>V9*1.5*1.5*3.1416*LOOKUP(V11,密度!$A$2:$A$50,密度!$L$2:$L$50)</f>
        <v>46168.2922932</v>
      </c>
      <c r="W10" s="73" ph="1">
        <f>W9*1.5*1.5*3.1416*LOOKUP(W11,密度!$A$2:$A$50,密度!$L$2:$L$50)</f>
        <v>46306.342051199994</v>
      </c>
      <c r="X10" s="73" ph="1">
        <f>X9*1.5*1.5*3.1416*LOOKUP(X11,密度!$A$2:$A$50,密度!$L$2:$L$50)</f>
        <v>44975.275190999993</v>
      </c>
      <c r="Y10" s="73" ph="1">
        <f>Y9*1.5*1.5*3.1416*LOOKUP(Y11,密度!$A$2:$A$50,密度!$L$2:$L$50)</f>
        <v>38890.164852000002</v>
      </c>
      <c r="Z10" s="73" ph="1">
        <f>Z9*33.183*LOOKUP(Z11,密度!$A$2:$A$50,密度!$L$2:$L$50)</f>
        <v>121461.72588</v>
      </c>
      <c r="AA10" s="73" ph="1">
        <f>AA9*33.183*LOOKUP(AA11,密度!$A$2:$A$50,密度!$D$2:$D$50)</f>
        <v>53637.492308400004</v>
      </c>
      <c r="AB10" s="73" ph="1">
        <f>AB9*20.428*LOOKUP(AB11,密度!$A$2:$A$50,密度!$D$2:$D$50)</f>
        <v>43863.205879999994</v>
      </c>
      <c r="AC10" s="73" ph="1">
        <f>AC9*51.53*LOOKUP(AC11,密度!$A$2:$A$50,密度!$Q$2:$Q$50)</f>
        <v>287326.32023750001</v>
      </c>
      <c r="AD10" s="73" ph="1">
        <f>AD9*20.428*LOOKUP(AD11,密度!$A$2:$A$50,密度!$V$2:$V$50)</f>
        <v>26115.073488000002</v>
      </c>
      <c r="AE10" s="73" ph="1">
        <f>AE9*20.428</f>
        <v>34502.892</v>
      </c>
    </row>
    <row r="11" spans="1:99" ph="1">
      <c r="A11" s="64" t="s" ph="1">
        <v>163</v>
      </c>
      <c r="B11" s="195" ph="1"/>
      <c r="C11" s="158" t="s" ph="1">
        <v>180</v>
      </c>
      <c r="D11" s="74">
        <v>24</v>
      </c>
      <c r="E11" s="74">
        <v>28</v>
      </c>
      <c r="F11" s="74">
        <v>24</v>
      </c>
      <c r="G11" s="74">
        <v>26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24</v>
      </c>
      <c r="O11" s="74">
        <v>36</v>
      </c>
      <c r="P11" s="74">
        <v>28</v>
      </c>
      <c r="Q11" s="74">
        <v>20</v>
      </c>
      <c r="R11" s="74">
        <v>29</v>
      </c>
      <c r="S11" s="74">
        <v>21</v>
      </c>
      <c r="T11" s="74">
        <v>26</v>
      </c>
      <c r="U11" s="74">
        <v>22</v>
      </c>
      <c r="V11" s="74">
        <v>28</v>
      </c>
      <c r="W11" s="74">
        <v>24</v>
      </c>
      <c r="X11" s="74">
        <v>17</v>
      </c>
      <c r="Y11" s="74">
        <v>22</v>
      </c>
      <c r="Z11" s="74">
        <v>22</v>
      </c>
      <c r="AA11" s="74">
        <v>24</v>
      </c>
      <c r="AB11" s="74">
        <v>16</v>
      </c>
      <c r="AC11" s="74">
        <v>22</v>
      </c>
      <c r="AD11" s="74">
        <v>27</v>
      </c>
      <c r="AE11" s="74">
        <v>28</v>
      </c>
    </row>
    <row r="12" spans="1:99" ht="9.9" customHeight="1" ph="1"/>
    <row r="13" spans="1:99" s="72" customFormat="1" ht="29.25" customHeight="1" ph="1">
      <c r="B13" s="203" t="s" ph="1">
        <v>37</v>
      </c>
      <c r="C13" s="15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8" t="s" ph="1">
        <v>178</v>
      </c>
      <c r="D15" s="78">
        <v>0</v>
      </c>
      <c r="E15" s="78">
        <v>958</v>
      </c>
      <c r="F15" s="78">
        <v>1813</v>
      </c>
      <c r="G15" s="78">
        <v>2640</v>
      </c>
      <c r="H15" s="78">
        <v>4510</v>
      </c>
      <c r="I15" s="78">
        <v>0</v>
      </c>
      <c r="J15" s="78">
        <v>0</v>
      </c>
      <c r="K15" s="78">
        <v>1976</v>
      </c>
      <c r="L15" s="78">
        <v>1770</v>
      </c>
      <c r="M15" s="78">
        <v>6580</v>
      </c>
      <c r="N15" s="78">
        <v>3271</v>
      </c>
      <c r="O15" s="78">
        <v>0</v>
      </c>
      <c r="P15" s="78">
        <v>6915</v>
      </c>
      <c r="Q15" s="78">
        <v>1781</v>
      </c>
      <c r="R15" s="78">
        <v>3501</v>
      </c>
      <c r="S15" s="78">
        <v>6839</v>
      </c>
      <c r="T15" s="78">
        <v>5807</v>
      </c>
      <c r="U15" s="78">
        <v>5442</v>
      </c>
      <c r="V15" s="78">
        <v>1100</v>
      </c>
      <c r="W15" s="71">
        <v>3778</v>
      </c>
      <c r="X15" s="78">
        <v>153</v>
      </c>
      <c r="Y15" s="106">
        <v>-9901</v>
      </c>
      <c r="Z15" s="78">
        <v>0</v>
      </c>
      <c r="AA15" s="78">
        <v>4228</v>
      </c>
      <c r="AB15" s="78" ph="1">
        <v>6889</v>
      </c>
      <c r="AC15" s="78" ph="1">
        <v>984</v>
      </c>
      <c r="AD15" s="78">
        <v>22.01</v>
      </c>
      <c r="AE15" s="78">
        <v>84.72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8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6378.9591095999995</v>
      </c>
      <c r="F16" s="73" ph="1">
        <f>F15*9.0746*LOOKUP(F17,密度!$A$2:$A$50,密度!$L$2:$L$50)</f>
        <v>15498.019311600001</v>
      </c>
      <c r="G16" s="73" ph="1">
        <f>G15*9.0746*LOOKUP(G17,密度!$A$2:$A$50,密度!$B$2:$B$50)</f>
        <v>18784.6397904</v>
      </c>
      <c r="H16" s="73" ph="1">
        <f>H15*9.0746*LOOKUP(H17,密度!$A$2:$A$50,密度!$L$2:$L$50)</f>
        <v>38634.565024000003</v>
      </c>
      <c r="I16" s="73" ph="1">
        <f>I15*9.0746*LOOKUP(I17,密度!$A$2:$A$50,密度!$U$2:$U$50)</f>
        <v>0</v>
      </c>
      <c r="J16" s="73" ph="1">
        <f>J15*9.0746*LOOKUP(J17,密度!$A$2:$A$50,密度!$L$2:$L$50)</f>
        <v>0</v>
      </c>
      <c r="K16" s="73" ph="1">
        <f>K15*9.0746*LOOKUP(K17,密度!$A$2:$A$50,密度!$C$2:$C$50)</f>
        <v>19950.486320960001</v>
      </c>
      <c r="L16" s="73" ph="1">
        <f>L15*9.0746*LOOKUP(L17,密度!$A$2:$A$50,密度!$E$2:$E$50)</f>
        <v>12676.163546400001</v>
      </c>
      <c r="M16" s="73" ph="1">
        <f>M15*9.0746*LOOKUP(M17,密度!$A$2:$A$50,密度!$M$2:$M$50)</f>
        <v>52426.142103999999</v>
      </c>
      <c r="N16" s="73" ph="1">
        <f>N15*9.0746*LOOKUP(N17,密度!$A$2:$A$50,密度!$M$2:$M$50)</f>
        <v>26129.95951298</v>
      </c>
      <c r="O16" s="73" ph="1">
        <f>O15*9.0746*LOOKUP(O17,密度!$A$2:$A$50,密度!$G$2:$G$50)</f>
        <v>0</v>
      </c>
      <c r="P16" s="73" ph="1">
        <f ca="1">P15*9.0746*LOOKUP(P17,密度!$A$2:$A$51,密度!$Q$2:$Q$50)</f>
        <v>59637.161376420001</v>
      </c>
      <c r="Q16" s="73" ph="1">
        <f>Q15*9.0746*LOOKUP(Q17,密度!$A$2:$A$50,密度!$Q$2:$Q$50)</f>
        <v>15359.910977788</v>
      </c>
      <c r="R16" s="73" ph="1">
        <f>MAX(R15*9.0746*LOOKUP(R17,密度!$A$2:$A$50,密度!$B$2:$B$50),0)</f>
        <v>24910.993903860002</v>
      </c>
      <c r="S16" s="73" ph="1">
        <f>S15*9.0746*LOOKUP(S17,密度!$A$2:$A$50,密度!$Q$2:$Q$50)</f>
        <v>58981.713181972002</v>
      </c>
      <c r="T16" s="73" ph="1">
        <f>T15*9.0746*LOOKUP(T17,密度!$A$2:$A$50,密度!$O$2:$O$50)</f>
        <v>49007.468046000002</v>
      </c>
      <c r="U16" s="73" ph="1">
        <f>U15*9.0746*LOOKUP(U17,密度!$A$2:$A$50,密度!$H$2:$H$50)</f>
        <v>45418.440152039999</v>
      </c>
      <c r="V16" s="73" ph="1">
        <f>MAX(5600*LOOKUP(V17,密度!$A$2:$A$50,密度!$Q$2:$Q$50)+V15*9.0476*LOOKUP(V17,密度!$A$2:$A$50,密度!$Q$2:$Q$50),0)</f>
        <v>14780.651896799998</v>
      </c>
      <c r="W16" s="73" ph="1">
        <f>MAX(5600*LOOKUP(W17,密度!$A$2:$A$50,密度!$Q$2:$Q$50)+W15*9.0476*LOOKUP(W17,密度!$A$2:$A$50,密度!$Q$2:$Q$50),0)</f>
        <v>37756.539692151993</v>
      </c>
      <c r="X16" s="73" ph="1">
        <f>MAX(5600*LOOKUP(X17,密度!$A$2:$A$50,密度!$I$2:$I$50)+X15*9.0476*LOOKUP(X17,密度!$A$2:$A$50,密度!$I$2:$I$50),0)</f>
        <v>7312.5440915999998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30083.885240079999</v>
      </c>
      <c r="AB16" s="73" ph="1">
        <f>AB15*9.0746*LOOKUP(AB17,密度!$A$2:$A$50,密度!$L$2:$L$50)</f>
        <v>58889.054074799998</v>
      </c>
      <c r="AC16" s="73" ph="1">
        <f>AC15*9.0746*LOOKUP(AC17,密度!$A$2:$A$50,密度!$L$2:$L$50)</f>
        <v>8402.5714223999985</v>
      </c>
      <c r="AD16" s="73" ph="1">
        <f>AD15*268.68*LOOKUP(AD17,密度!$A$2:$A$50,密度!B2:B50)+IF(AD15&lt;=0,0,1566*LOOKUP(AD17,密度!$A$2:$A$50,密度!B2:B50))</f>
        <v>5831.1326452800004</v>
      </c>
      <c r="AE16" s="73" ph="1">
        <f>AE15*268.68*LOOKUP(AE17,密度!$A$2:$A$50,密度!B2:B50)+IF(AE15&lt;=0,0,1566*LOOKUP(AE17,密度!$A$2:$A$50,密度!B2:B50))</f>
        <v>18966.552860159998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20</v>
      </c>
      <c r="E17" s="74">
        <v>20</v>
      </c>
      <c r="F17" s="74">
        <v>20</v>
      </c>
      <c r="G17" s="74">
        <v>20</v>
      </c>
      <c r="H17" s="74">
        <v>18</v>
      </c>
      <c r="I17" s="74">
        <v>17</v>
      </c>
      <c r="J17" s="74">
        <v>18</v>
      </c>
      <c r="K17" s="74">
        <v>20</v>
      </c>
      <c r="L17" s="74">
        <v>20</v>
      </c>
      <c r="M17" s="74">
        <v>22</v>
      </c>
      <c r="N17" s="74">
        <v>19</v>
      </c>
      <c r="O17" s="74">
        <v>21</v>
      </c>
      <c r="P17" s="74">
        <v>20</v>
      </c>
      <c r="Q17" s="74">
        <v>20</v>
      </c>
      <c r="R17" s="74">
        <v>20</v>
      </c>
      <c r="S17" s="74">
        <v>20</v>
      </c>
      <c r="T17" s="74">
        <v>20</v>
      </c>
      <c r="U17" s="74">
        <v>20</v>
      </c>
      <c r="V17" s="74">
        <v>20</v>
      </c>
      <c r="W17" s="74">
        <v>22</v>
      </c>
      <c r="X17" s="74">
        <v>21</v>
      </c>
      <c r="Y17" s="108">
        <v>21</v>
      </c>
      <c r="Z17" s="74">
        <v>17</v>
      </c>
      <c r="AA17" s="74">
        <v>20</v>
      </c>
      <c r="AB17" s="74">
        <v>20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47</v>
      </c>
      <c r="F18" s="71">
        <v>1814</v>
      </c>
      <c r="G18" s="71">
        <v>2666</v>
      </c>
      <c r="H18" s="71">
        <v>4515</v>
      </c>
      <c r="I18" s="71">
        <v>0</v>
      </c>
      <c r="J18" s="71">
        <v>0</v>
      </c>
      <c r="K18" s="71">
        <v>1977</v>
      </c>
      <c r="L18" s="71">
        <v>1773</v>
      </c>
      <c r="M18" s="71">
        <v>3620</v>
      </c>
      <c r="N18" s="71">
        <v>5835</v>
      </c>
      <c r="O18" s="71">
        <v>0</v>
      </c>
      <c r="P18" s="71">
        <v>6926</v>
      </c>
      <c r="Q18" s="71">
        <v>1781</v>
      </c>
      <c r="R18" s="71">
        <v>3505</v>
      </c>
      <c r="S18" s="71">
        <v>6852</v>
      </c>
      <c r="T18" s="71">
        <v>5812</v>
      </c>
      <c r="U18" s="71">
        <v>5445</v>
      </c>
      <c r="V18" s="71">
        <v>1099</v>
      </c>
      <c r="W18" s="71">
        <v>3776</v>
      </c>
      <c r="X18" s="71">
        <v>151</v>
      </c>
      <c r="Y18" s="109">
        <v>-9905</v>
      </c>
      <c r="Z18" s="71">
        <v>0</v>
      </c>
      <c r="AA18" s="71">
        <v>4229</v>
      </c>
      <c r="AB18" s="71">
        <v>6904</v>
      </c>
      <c r="AC18" s="71">
        <v>986</v>
      </c>
      <c r="AD18" s="71">
        <v>52.31</v>
      </c>
      <c r="AE18" s="71">
        <v>84.51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8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311.2940754</v>
      </c>
      <c r="F19" s="73" ph="1">
        <f>F18*9.0746*LOOKUP(F20,密度!$A$2:$A$50,密度!$L$2:$L$50)</f>
        <v>15374.876989600001</v>
      </c>
      <c r="G19" s="73" ph="1">
        <f>G18*9.0746*LOOKUP(G20,密度!$A$2:$A$50,密度!$B$2:$B$50)</f>
        <v>18882.545649799999</v>
      </c>
      <c r="H19" s="73" ph="1">
        <f>H18*9.0746*LOOKUP(H20,密度!$A$2:$A$50,密度!$L$2:$L$50)</f>
        <v>38513.509859999998</v>
      </c>
      <c r="I19" s="73" ph="1">
        <f>I18*9.0746*LOOKUP(I20,密度!$A$2:$A$50,密度!$U$2:$U$50)</f>
        <v>0</v>
      </c>
      <c r="J19" s="73" ph="1">
        <f>J18*9.0746*LOOKUP(J20,密度!$A$2:$A$50,密度!$L$2:$L$50)</f>
        <v>0</v>
      </c>
      <c r="K19" s="73" ph="1">
        <f>K18*9.0746*LOOKUP(K20,密度!$A$2:$A$50,密度!$C$2:$C$50)</f>
        <v>19894.202929380001</v>
      </c>
      <c r="L19" s="73" ph="1">
        <f>L18*9.0746*LOOKUP(L20,密度!$A$2:$A$50,密度!$E$2:$E$50)</f>
        <v>12620.420093520001</v>
      </c>
      <c r="M19" s="73" ph="1">
        <f>M18*9.0746*LOOKUP(M20,密度!$A$2:$A$50,密度!$M$2:$M$50)</f>
        <v>28714.230453200002</v>
      </c>
      <c r="N19" s="73" ph="1">
        <f>N18*9.0746*LOOKUP(N20,密度!$A$2:$A$50,密度!$M$2:$M$50)</f>
        <v>46490.355498000004</v>
      </c>
      <c r="O19" s="73" ph="1">
        <f>O18*9.0746*LOOKUP(O20,密度!$A$2:$A$50,密度!$G$2:$G$50)</f>
        <v>0</v>
      </c>
      <c r="P19" s="73" ph="1">
        <f ca="1">P18*9.0746*LOOKUP(P20,密度!$A$2:$A$51,密度!$Q$2:$Q$50)</f>
        <v>59503.252404504005</v>
      </c>
      <c r="Q19" s="73" ph="1">
        <f>Q18*9.0746*LOOKUP(Q20,密度!$A$2:$A$50,密度!$Q$2:$Q$50)</f>
        <v>15312.879957622001</v>
      </c>
      <c r="R19" s="73" ph="1">
        <f>MAX(R18*9.0746*LOOKUP(R20,密度!$A$2:$A$50,密度!$B$2:$B$50),0)</f>
        <v>24796.326350800002</v>
      </c>
      <c r="S19" s="73" ph="1">
        <f>S18*9.0746*LOOKUP(S20,密度!$A$2:$A$50,密度!$Q$2:$Q$50)</f>
        <v>58867.497181008002</v>
      </c>
      <c r="T19" s="73" ph="1">
        <f>T18*9.0746*LOOKUP(T20,密度!$A$2:$A$50,密度!$O$2:$O$50)</f>
        <v>48838.698635200002</v>
      </c>
      <c r="U19" s="73" ph="1">
        <f>U18*9.0746*LOOKUP(U20,密度!$A$2:$A$50,密度!$H$2:$H$50)</f>
        <v>45245.8330929</v>
      </c>
      <c r="V19" s="73" ph="1">
        <f>MAX(5600*LOOKUP(V20,密度!$A$2:$A$50,密度!$Q$2:$Q$50)+V18*9.0476*LOOKUP(V20,密度!$A$2:$A$50,密度!$Q$2:$Q$50),0)</f>
        <v>14693.404077968</v>
      </c>
      <c r="W19" s="73" ph="1">
        <f>MAX(5600*LOOKUP(W20,密度!$A$2:$A$50,密度!$Q$2:$Q$50)+W18*9.0476*LOOKUP(W20,密度!$A$2:$A$50,密度!$Q$2:$Q$50),0)</f>
        <v>37589.456428032005</v>
      </c>
      <c r="X19" s="73" ph="1">
        <f>MAX(5600*LOOKUP(X20,密度!$A$2:$A$50,密度!$I$2:$I$50)+X18*9.0476*LOOKUP(X20,密度!$A$2:$A$50,密度!$I$2:$I$50),0)</f>
        <v>7293.5984171999999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30056.461798879998</v>
      </c>
      <c r="AB19" s="73" ph="1">
        <f>AB18*9.0746*LOOKUP(AB20,密度!$A$2:$A$50,密度!$L$2:$L$50)</f>
        <v>58891.976095999999</v>
      </c>
      <c r="AC19" s="73" ph="1">
        <f>AC18*9.0746*LOOKUP(AC20,密度!$A$2:$A$50,密度!$L$2:$L$50)</f>
        <v>8374.9120416000005</v>
      </c>
      <c r="AD19" s="73" ph="1">
        <f>AD18*268.68*LOOKUP(AD20,密度!$A$2:$A$50,密度!B5:B53)+IF(AD18&lt;=0,0,1566*LOOKUP(AD20,密度!$A$2:$A$50,密度!B5:B53))</f>
        <v>12137.2456716</v>
      </c>
      <c r="AE19" s="73" ph="1">
        <f>AE18*268.68*LOOKUP(AE20,密度!$A$2:$A$50,密度!B5:B53)+IF(AE18&lt;=0,0,1566*LOOKUP(AE20,密度!$A$2:$A$50,密度!B5:B53))</f>
        <v>18859.458063600003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25</v>
      </c>
      <c r="E20" s="81">
        <v>25</v>
      </c>
      <c r="F20" s="81">
        <v>28</v>
      </c>
      <c r="G20" s="81">
        <v>24</v>
      </c>
      <c r="H20" s="81">
        <v>22</v>
      </c>
      <c r="I20" s="81">
        <v>30</v>
      </c>
      <c r="J20" s="81">
        <v>30</v>
      </c>
      <c r="K20" s="81">
        <v>25</v>
      </c>
      <c r="L20" s="81">
        <v>24</v>
      </c>
      <c r="M20" s="81">
        <v>26</v>
      </c>
      <c r="N20" s="81">
        <v>22</v>
      </c>
      <c r="O20" s="81">
        <v>23</v>
      </c>
      <c r="P20" s="81">
        <v>25</v>
      </c>
      <c r="Q20" s="81">
        <v>24</v>
      </c>
      <c r="R20" s="81">
        <v>25</v>
      </c>
      <c r="S20" s="81">
        <v>25</v>
      </c>
      <c r="T20" s="81">
        <v>25</v>
      </c>
      <c r="U20" s="81">
        <v>24</v>
      </c>
      <c r="V20" s="81">
        <v>27</v>
      </c>
      <c r="W20" s="81">
        <v>27</v>
      </c>
      <c r="X20" s="81">
        <v>21</v>
      </c>
      <c r="Y20" s="110">
        <v>21</v>
      </c>
      <c r="Z20" s="81">
        <v>31</v>
      </c>
      <c r="AA20" s="81">
        <v>21</v>
      </c>
      <c r="AB20" s="81">
        <v>22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8" t="s" ph="1">
        <v>178</v>
      </c>
      <c r="D24" s="71">
        <v>3.33</v>
      </c>
      <c r="E24" s="71">
        <v>95.3</v>
      </c>
      <c r="F24" s="71">
        <v>0</v>
      </c>
      <c r="G24" s="71">
        <v>2727</v>
      </c>
      <c r="H24" s="71">
        <v>3374</v>
      </c>
      <c r="I24" s="71">
        <v>4665</v>
      </c>
      <c r="J24" s="71">
        <v>4942</v>
      </c>
      <c r="K24" s="71">
        <v>85</v>
      </c>
      <c r="L24" s="71">
        <v>0</v>
      </c>
      <c r="M24" s="71">
        <v>5414</v>
      </c>
      <c r="N24" s="71">
        <v>5365</v>
      </c>
      <c r="O24" s="71">
        <v>705</v>
      </c>
      <c r="P24" s="71">
        <v>836</v>
      </c>
      <c r="Q24" s="90">
        <v>3054</v>
      </c>
      <c r="R24" s="71">
        <v>5265</v>
      </c>
      <c r="S24" s="71">
        <v>228</v>
      </c>
      <c r="T24" s="71">
        <v>1755</v>
      </c>
      <c r="U24" s="71">
        <v>5526</v>
      </c>
      <c r="V24" s="71">
        <v>9643</v>
      </c>
      <c r="W24" s="71">
        <v>8768</v>
      </c>
      <c r="X24" s="71">
        <v>5350</v>
      </c>
      <c r="Y24" s="71">
        <v>7710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30130.148115600001</v>
      </c>
      <c r="F25" s="91" ph="1">
        <f>F24*11.702*LOOKUP(F26,密度!$A$2:$A$50,密度!$Q$2:$Q$50)</f>
        <v>0</v>
      </c>
      <c r="G25" s="91" ph="1">
        <f>G24*18.322*LOOKUP(G26,密度!$A$2:$A$50,密度!$B$2:$B$50)</f>
        <v>39176.8461054</v>
      </c>
      <c r="H25" s="91" ph="1">
        <f>H24*18.322*LOOKUP(H26,密度!$A$2:$A$50,密度!$B$2:$B$50)</f>
        <v>48471.829394799999</v>
      </c>
      <c r="I25" s="91" ph="1">
        <f>I24*18.322*LOOKUP(I26,密度!$A$2:$A$50,密度!$Q$2:$Q$50)</f>
        <v>81172.027139699989</v>
      </c>
      <c r="J25" s="91" ph="1">
        <f>J24*18.322*LOOKUP(J26,密度!$A$2:$A$50,密度!$Q$2:$Q$50)</f>
        <v>86054.365783119996</v>
      </c>
      <c r="K25" s="91" ph="1">
        <f>K24*18.322*LOOKUP(K26,密度!$A$2:$A$50,密度!$Q$2:$Q$50)</f>
        <v>1480.0933005999998</v>
      </c>
      <c r="L25" s="91" ph="1">
        <f>L24*18.322*LOOKUP(L26,密度!$A$2:$A$50,密度!$Q$2:$Q$50)</f>
        <v>0</v>
      </c>
      <c r="M25" s="91" ph="1">
        <f>M24*18.322*LOOKUP(M26,密度!$A$2:$A$50,密度!$Q$2:$Q$50)</f>
        <v>94273.236817039986</v>
      </c>
      <c r="N25" s="91" ph="1">
        <f>N24*18.322*LOOKUP(N26,密度!$A$2:$A$50,密度!$Q$2:$Q$50)</f>
        <v>93352.181265699997</v>
      </c>
      <c r="O25" s="91" ph="1">
        <f>O24*18.322*LOOKUP(O26,密度!$A$2:$A$50,密度!$C$2:$C$50)</f>
        <v>14362.423419000002</v>
      </c>
      <c r="P25" s="91" ph="1">
        <f>P24*11.702*LOOKUP(P26,密度!$A$2:$A$50,密度!$B$2:$B$50)</f>
        <v>7661.9453503999994</v>
      </c>
      <c r="Q25" s="92" ph="1">
        <f>Q24*18.322*LOOKUP(Q26,密度!$A$2:$A$50,密度!$B$2:$B$50)</f>
        <v>43874.619730799997</v>
      </c>
      <c r="R25" s="91" ph="1">
        <f>R24*35.891*LOOKUP(R26,密度!$A$2:$A$50,密度!$C$2:$C$50)</f>
        <v>210243.69954899998</v>
      </c>
      <c r="S25" s="91" ph="1">
        <f>S24*35.891*LOOKUP(S26,密度!$A$2:$A$50,密度!$B$2:$B$50)</f>
        <v>6416.4063467999995</v>
      </c>
      <c r="T25" s="91" ph="1">
        <f>T24*35.891*LOOKUP(T26,密度!$A$2:$A$50,密度!$Q$2:$Q$50)</f>
        <v>59863.205457899996</v>
      </c>
      <c r="U25" s="91" ph="1">
        <f>U24*35.891</f>
        <v>198333.666</v>
      </c>
      <c r="V25" s="91" ph="1">
        <f>V24*47.051*LOOKUP(V26,密度!$A$2:$A$50,密度!$B$2:$B$50)</f>
        <v>355347.85947760002</v>
      </c>
      <c r="W25" s="91" ph="1">
        <f>W24*47.051*LOOKUP(W26,密度!$A$2:$A$50,密度!$B$2:$B$50)</f>
        <v>323475.09802879998</v>
      </c>
      <c r="X25" s="91" ph="1">
        <f>X24*47.051*LOOKUP(X26,密度!$A$2:$A$50,密度!$I$2:$I$50)</f>
        <v>260694.25237399997</v>
      </c>
      <c r="Y25" s="91" ph="1">
        <f>Y24*47.051*LOOKUP(Y26,密度!$A$2:$A$50,密度!$L$2:$L$50)</f>
        <v>341722.94381999999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20</v>
      </c>
      <c r="H26" s="74">
        <v>20</v>
      </c>
      <c r="I26" s="74">
        <v>21</v>
      </c>
      <c r="J26" s="74">
        <v>20</v>
      </c>
      <c r="K26" s="74">
        <v>20</v>
      </c>
      <c r="L26" s="74">
        <v>21</v>
      </c>
      <c r="M26" s="74">
        <v>20</v>
      </c>
      <c r="N26" s="74">
        <v>21</v>
      </c>
      <c r="O26" s="74">
        <v>21</v>
      </c>
      <c r="P26" s="74">
        <v>21</v>
      </c>
      <c r="Q26" s="93">
        <v>20</v>
      </c>
      <c r="R26" s="74">
        <v>20</v>
      </c>
      <c r="S26" s="74">
        <v>20</v>
      </c>
      <c r="T26" s="74">
        <v>20</v>
      </c>
      <c r="U26" s="74">
        <v>20</v>
      </c>
      <c r="V26" s="74">
        <v>21</v>
      </c>
      <c r="W26" s="74">
        <v>20</v>
      </c>
      <c r="X26" s="74">
        <v>54</v>
      </c>
      <c r="Y26" s="74">
        <v>20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8" t="s" ph="1">
        <v>181</v>
      </c>
      <c r="D27" s="71">
        <v>3.2</v>
      </c>
      <c r="E27" s="71">
        <v>95.33</v>
      </c>
      <c r="F27" s="71">
        <v>0</v>
      </c>
      <c r="G27" s="71">
        <v>2107</v>
      </c>
      <c r="H27" s="71">
        <v>2811</v>
      </c>
      <c r="I27" s="71">
        <v>4663</v>
      </c>
      <c r="J27" s="71">
        <v>4943</v>
      </c>
      <c r="K27" s="71">
        <v>80</v>
      </c>
      <c r="L27" s="71">
        <v>0</v>
      </c>
      <c r="M27" s="71">
        <v>5416</v>
      </c>
      <c r="N27" s="71">
        <v>5363</v>
      </c>
      <c r="O27" s="71">
        <v>272</v>
      </c>
      <c r="P27" s="71">
        <v>834</v>
      </c>
      <c r="Q27" s="90">
        <v>3897</v>
      </c>
      <c r="R27" s="71">
        <v>5262</v>
      </c>
      <c r="S27" s="71">
        <v>223</v>
      </c>
      <c r="T27" s="71">
        <v>1753</v>
      </c>
      <c r="U27" s="71">
        <v>5108</v>
      </c>
      <c r="V27" s="71">
        <v>9644</v>
      </c>
      <c r="W27" s="71">
        <v>8320</v>
      </c>
      <c r="X27" s="71">
        <v>5347</v>
      </c>
      <c r="Y27" s="71">
        <v>6112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8" t="s" ph="1">
        <v>179</v>
      </c>
      <c r="D28" s="91" ph="1">
        <f>D27*268.68*LOOKUP(D29,密度!$A$2:$A$50,密度!$Q$2:$Q$50)+IF(D27&lt;=0,0,1566*LOOKUP(D29,密度!$A$2:$A$50,密度!$Q$2:$Q$50))</f>
        <v>2296.5791702400002</v>
      </c>
      <c r="E28" s="91" ph="1">
        <f>E27*268.68*LOOKUP(E29,密度!$A$2:$A$50,密度!$C$2:$C$50)+IF(E27&lt;=0,0,1566*LOOKUP(E29,密度!$A$2:$A$50,密度!$C$2:$C$50))</f>
        <v>30139.086293160002</v>
      </c>
      <c r="F28" s="91" ph="1">
        <f>F27*11.702*LOOKUP(F29,密度!$A$2:$A$50,密度!$Q$2:$Q$50)</f>
        <v>0</v>
      </c>
      <c r="G28" s="91" ph="1">
        <f>G27*18.322*LOOKUP(G29,密度!$A$2:$A$50,密度!$B$2:$B$50)</f>
        <v>30165.520355599998</v>
      </c>
      <c r="H28" s="91" ph="1">
        <f>H27*18.322*LOOKUP(H29,密度!$A$2:$A$50,密度!$B$2:$B$50)</f>
        <v>40290.907986600003</v>
      </c>
      <c r="I28" s="91" ph="1">
        <f>I27*18.322*LOOKUP(I29,密度!$A$2:$A$50,密度!$Q$2:$Q$50)</f>
        <v>81009.927825199993</v>
      </c>
      <c r="J28" s="91" ph="1">
        <f>J27*18.322*LOOKUP(J29,密度!$A$2:$A$50,密度!$Q$2:$Q$50)</f>
        <v>85954.948962139999</v>
      </c>
      <c r="K28" s="91" ph="1">
        <f>K27*18.322*LOOKUP(K29,密度!$A$2:$A$50,密度!$Q$2:$Q$50)</f>
        <v>1391.1381584000001</v>
      </c>
      <c r="L28" s="91" ph="1">
        <f>L27*18.322*LOOKUP(L29,密度!$A$2:$A$50,密度!$Q$2:$Q$50)</f>
        <v>0</v>
      </c>
      <c r="M28" s="91" ph="1">
        <f>M27*18.322*LOOKUP(M29,密度!$A$2:$A$50,密度!$Q$2:$Q$50)</f>
        <v>94180.053323679997</v>
      </c>
      <c r="N28" s="91" ph="1">
        <f>N27*18.322*LOOKUP(N29,密度!$A$2:$A$50,密度!$Q$2:$Q$50)</f>
        <v>93170.97210520001</v>
      </c>
      <c r="O28" s="91" ph="1">
        <f>O27*18.322*LOOKUP(O29,密度!$A$2:$A$50,密度!$C$2:$C$50)</f>
        <v>5537.2601823999994</v>
      </c>
      <c r="P28" s="91" ph="1">
        <f>P27*11.702*LOOKUP(P29,密度!$A$2:$A$50,密度!$B$2:$B$50)</f>
        <v>7634.8318164000002</v>
      </c>
      <c r="Q28" s="92" ph="1">
        <f>Q27*18.322*LOOKUP(Q29,密度!$A$2:$A$50,密度!$B$2:$B$50)</f>
        <v>55792.611687600001</v>
      </c>
      <c r="R28" s="91" ph="1">
        <f>R27*35.891*LOOKUP(R29,密度!$A$2:$A$50,密度!$C$2:$C$50)</f>
        <v>209708.41399679999</v>
      </c>
      <c r="S28" s="91" ph="1">
        <f>S27*35.891*LOOKUP(S29,密度!$A$2:$A$50,密度!$B$2:$B$50)</f>
        <v>6261.2890338999996</v>
      </c>
      <c r="T28" s="91" ph="1">
        <f>T27*35.891*LOOKUP(T29,密度!$A$2:$A$50,密度!$Q$2:$Q$50)</f>
        <v>59657.826388599999</v>
      </c>
      <c r="U28" s="91" ph="1">
        <f>U27*35.891</f>
        <v>183331.228</v>
      </c>
      <c r="V28" s="91" ph="1">
        <f>V27*47.051*LOOKUP(V29,密度!$A$2:$A$50,密度!$B$2:$B$50)</f>
        <v>354976.32596120005</v>
      </c>
      <c r="W28" s="91" ph="1">
        <f>W27*47.051*LOOKUP(W29,密度!$A$2:$A$50,密度!$B$2:$B$50)</f>
        <v>306242.53753600002</v>
      </c>
      <c r="X28" s="91" ph="1">
        <f>X27*47.051*LOOKUP(X29,密度!$A$2:$A$50,密度!$I$2:$I$50)</f>
        <v>260548.06868107998</v>
      </c>
      <c r="Y28" s="91" ph="1">
        <f>Y27*47.051*LOOKUP(Y29,密度!$A$2:$A$50,密度!$L$2:$L$50)</f>
        <v>270321.16927999997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8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22</v>
      </c>
      <c r="L29" s="74">
        <v>22</v>
      </c>
      <c r="M29" s="74">
        <v>22</v>
      </c>
      <c r="N29" s="74">
        <v>23</v>
      </c>
      <c r="O29" s="74">
        <v>22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57</v>
      </c>
      <c r="Y29" s="74">
        <v>22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8" t="s" ph="1">
        <v>5</v>
      </c>
      <c r="F32" s="157" t="s" ph="1">
        <v>43</v>
      </c>
      <c r="G32" s="97" t="s" ph="1">
        <v>4</v>
      </c>
      <c r="H32" s="158" t="s" ph="1">
        <v>5</v>
      </c>
      <c r="I32" s="157" t="s" ph="1">
        <v>43</v>
      </c>
      <c r="J32" s="97" t="s" ph="1">
        <v>4</v>
      </c>
      <c r="K32" s="158" t="s" ph="1">
        <v>5</v>
      </c>
      <c r="L32" s="157" t="s" ph="1">
        <v>43</v>
      </c>
      <c r="M32" s="97" t="s" ph="1">
        <v>4</v>
      </c>
      <c r="N32" s="158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8" t="s" ph="1">
        <v>5</v>
      </c>
      <c r="U32" s="99" t="s" ph="1">
        <v>43</v>
      </c>
      <c r="V32" s="97" t="s" ph="1">
        <v>4</v>
      </c>
      <c r="W32" s="158" t="s" ph="1">
        <v>5</v>
      </c>
      <c r="X32" s="99" t="s" ph="1">
        <v>43</v>
      </c>
      <c r="Y32" s="100" t="s" ph="1">
        <v>4</v>
      </c>
      <c r="Z32" s="158" t="s" ph="1">
        <v>5</v>
      </c>
      <c r="AA32" s="157" t="s" ph="1">
        <v>43</v>
      </c>
      <c r="AB32" s="97" t="s" ph="1">
        <v>85</v>
      </c>
      <c r="AC32" s="158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97500.698188399998</v>
      </c>
      <c r="E33" s="217" ph="1">
        <f>M10+I10</f>
        <v>93739.550258000003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21" ph="1">
        <v>0</v>
      </c>
      <c r="H33" s="217" ph="1">
        <f>N19</f>
        <v>46490.355498000004</v>
      </c>
      <c r="I33" s="230" ph="1">
        <v>0</v>
      </c>
      <c r="J33" s="228" ph="1">
        <f>F10+O28</f>
        <v>132749.86542639998</v>
      </c>
      <c r="K33" s="217" ph="1">
        <f>O10+K10+E28+R28</f>
        <v>270156.94344435999</v>
      </c>
      <c r="L33" s="232" ph="1">
        <f>BE27</f>
        <v>7100</v>
      </c>
      <c r="M33" s="228" ph="1">
        <f>G10+H10+W28+S28+V28+E10</f>
        <v>1028702.1958351</v>
      </c>
      <c r="N33" s="217" ph="1">
        <f>L10+P10++G28+H28</f>
        <v>417990.46153820003</v>
      </c>
      <c r="O33" s="230" ph="1">
        <f>BE17</f>
        <v>2270</v>
      </c>
      <c r="P33" s="228" ph="1">
        <f>L19</f>
        <v>12620.420093520001</v>
      </c>
      <c r="Q33" s="217" ph="1">
        <f>J10+N10</f>
        <v>53386.736790799994</v>
      </c>
      <c r="R33" s="230" ph="1">
        <f>BE23</f>
        <v>890</v>
      </c>
      <c r="S33" s="228" ph="1">
        <f>E10+X28</f>
        <v>430833.12761107995</v>
      </c>
      <c r="T33" s="217" ph="1">
        <f>X19</f>
        <v>7293.5984171999999</v>
      </c>
      <c r="U33" s="238" ph="1">
        <f>BE21</f>
        <v>730</v>
      </c>
      <c r="V33" s="249" ph="1">
        <f ca="1">P19+Q19+S19+M28+N28+J28</f>
        <v>406989.60393415403</v>
      </c>
      <c r="W33" s="249" ph="1">
        <f>D28+F28+V19+T28</f>
        <v>76647.809636808001</v>
      </c>
      <c r="X33" s="230" ph="1">
        <f>BE29+BE31</f>
        <v>10200</v>
      </c>
      <c r="Y33" s="251" ph="1">
        <f>+Q10+R10+S10+T10+U10+V10+W10+X10+Y10</f>
        <v>292556.86378379998</v>
      </c>
      <c r="Z33" s="236" ph="1">
        <f>D10+T19+U19+Y28+Z10</f>
        <v>617034.67721382005</v>
      </c>
      <c r="AA33" s="238" ph="1">
        <f>BE19</f>
        <v>1440</v>
      </c>
      <c r="AB33" s="240" ph="1">
        <f>I19</f>
        <v>0</v>
      </c>
      <c r="AC33" s="242" ph="1">
        <f>AD10</f>
        <v>26115.073488000002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56" t="s" ph="1">
        <v>186</v>
      </c>
      <c r="AA36" s="156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345</v>
      </c>
      <c r="AI37" s="156" t="s" ph="1">
        <v>212</v>
      </c>
      <c r="AJ37" s="156" t="s" ph="1">
        <v>213</v>
      </c>
      <c r="AK37" s="156" t="s" ph="1">
        <v>214</v>
      </c>
      <c r="AM37" s="156" t="s" ph="1">
        <v>213</v>
      </c>
      <c r="AN37" s="156" t="s" ph="1">
        <v>214</v>
      </c>
      <c r="AO37" s="156" t="s" ph="1">
        <v>215</v>
      </c>
      <c r="AP37" s="156" t="s" ph="1">
        <v>213</v>
      </c>
      <c r="AQ37" s="156" t="s" ph="1">
        <v>214</v>
      </c>
      <c r="AR37" s="156" t="s" ph="1">
        <v>215</v>
      </c>
      <c r="AS37" s="156" t="s" ph="1">
        <v>213</v>
      </c>
      <c r="AT37" s="156" t="s" ph="1">
        <v>214</v>
      </c>
      <c r="AU37" s="156" t="s" ph="1">
        <v>215</v>
      </c>
      <c r="AV37" s="156" t="s" ph="1">
        <v>213</v>
      </c>
      <c r="AW37" s="156" t="s" ph="1">
        <v>214</v>
      </c>
      <c r="AX37" s="156" t="s" ph="1">
        <v>215</v>
      </c>
      <c r="AY37" s="156" t="s" ph="1">
        <v>214</v>
      </c>
      <c r="AZ37" s="156" t="s" ph="1">
        <v>216</v>
      </c>
      <c r="BD37" s="156" t="s" ph="1">
        <v>308</v>
      </c>
      <c r="BE37" s="156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37" priority="96">
      <formula>ABS(D$7-D$10)&gt;=1000</formula>
    </cfRule>
  </conditionalFormatting>
  <conditionalFormatting sqref="E4 E6:E11">
    <cfRule type="expression" dxfId="1636" priority="95">
      <formula>ABS(E$7-E$10)&gt;=1000</formula>
    </cfRule>
  </conditionalFormatting>
  <conditionalFormatting sqref="F4:F11">
    <cfRule type="expression" dxfId="1635" priority="94">
      <formula>ABS(F$7-F$10)&gt;=1000</formula>
    </cfRule>
  </conditionalFormatting>
  <conditionalFormatting sqref="G4:G11">
    <cfRule type="expression" dxfId="1634" priority="93">
      <formula>ABS(G$7-G$10)&gt;=1000</formula>
    </cfRule>
  </conditionalFormatting>
  <conditionalFormatting sqref="H4:H11">
    <cfRule type="expression" dxfId="1633" priority="92">
      <formula>ABS(H$7-H$10)&gt;=1000</formula>
    </cfRule>
  </conditionalFormatting>
  <conditionalFormatting sqref="I4:I11">
    <cfRule type="expression" dxfId="1632" priority="91">
      <formula>ABS(I$7-I$10)&gt;=1000</formula>
    </cfRule>
  </conditionalFormatting>
  <conditionalFormatting sqref="J4:J11">
    <cfRule type="expression" dxfId="1631" priority="90">
      <formula>ABS(J$7-J$10)&gt;=1000</formula>
    </cfRule>
  </conditionalFormatting>
  <conditionalFormatting sqref="K4:K11">
    <cfRule type="expression" dxfId="1630" priority="89">
      <formula>ABS(K$7-K$10)&gt;=1000</formula>
    </cfRule>
  </conditionalFormatting>
  <conditionalFormatting sqref="L4:L11">
    <cfRule type="expression" dxfId="1629" priority="88">
      <formula>ABS(L$7-L$10)&gt;=1000</formula>
    </cfRule>
  </conditionalFormatting>
  <conditionalFormatting sqref="M4 M6:M11">
    <cfRule type="expression" dxfId="1628" priority="87">
      <formula>ABS(M$7-M$10)&gt;=1000</formula>
    </cfRule>
  </conditionalFormatting>
  <conditionalFormatting sqref="N4 N6:N11">
    <cfRule type="expression" dxfId="1627" priority="86">
      <formula>ABS(N$7-N$10)&gt;=1000</formula>
    </cfRule>
  </conditionalFormatting>
  <conditionalFormatting sqref="O4 O6:O11">
    <cfRule type="expression" dxfId="1626" priority="85">
      <formula>ABS(O$7-O$10)&gt;=1000</formula>
    </cfRule>
  </conditionalFormatting>
  <conditionalFormatting sqref="P4 P6:P11">
    <cfRule type="expression" dxfId="1625" priority="84">
      <formula>ABS(P$7-P$10)&gt;=1000</formula>
    </cfRule>
  </conditionalFormatting>
  <conditionalFormatting sqref="Q4:Q11">
    <cfRule type="expression" dxfId="1624" priority="83">
      <formula>ABS(Q$7-Q$10)&gt;=1000</formula>
    </cfRule>
  </conditionalFormatting>
  <conditionalFormatting sqref="R4:R11">
    <cfRule type="expression" dxfId="1623" priority="82">
      <formula>ABS(R$7-R$10)&gt;=1000</formula>
    </cfRule>
  </conditionalFormatting>
  <conditionalFormatting sqref="S4:S11">
    <cfRule type="expression" dxfId="1622" priority="81">
      <formula>ABS(S$7-S$10)&gt;=1000</formula>
    </cfRule>
  </conditionalFormatting>
  <conditionalFormatting sqref="T4:T9 T11">
    <cfRule type="expression" dxfId="1621" priority="80">
      <formula>ABS(T$7-T$10)&gt;=1000</formula>
    </cfRule>
  </conditionalFormatting>
  <conditionalFormatting sqref="U4:U9 U11">
    <cfRule type="expression" dxfId="1620" priority="79">
      <formula>ABS(U$7-U$10)&gt;=1000</formula>
    </cfRule>
  </conditionalFormatting>
  <conditionalFormatting sqref="V4:V9 V11">
    <cfRule type="expression" dxfId="1619" priority="78">
      <formula>ABS(V$7-V$10)&gt;=1000</formula>
    </cfRule>
  </conditionalFormatting>
  <conditionalFormatting sqref="W4:W9 W11">
    <cfRule type="expression" dxfId="1618" priority="77">
      <formula>ABS(W$7-W$10)&gt;=1000</formula>
    </cfRule>
  </conditionalFormatting>
  <conditionalFormatting sqref="X4:X9 X11">
    <cfRule type="expression" dxfId="1617" priority="76">
      <formula>ABS(X$7-X$10)&gt;=1000</formula>
    </cfRule>
  </conditionalFormatting>
  <conditionalFormatting sqref="Y4:Y9 Y11">
    <cfRule type="expression" dxfId="1616" priority="75">
      <formula>ABS(Y$7-Y$10)&gt;=1000</formula>
    </cfRule>
  </conditionalFormatting>
  <conditionalFormatting sqref="Z4:Z11">
    <cfRule type="expression" dxfId="1615" priority="74">
      <formula>ABS(Z$7-Z$10)&gt;=1000</formula>
    </cfRule>
  </conditionalFormatting>
  <conditionalFormatting sqref="AA4:AA11">
    <cfRule type="expression" dxfId="1614" priority="73">
      <formula>ABS(AA$7-AA$10)&gt;=1000</formula>
    </cfRule>
  </conditionalFormatting>
  <conditionalFormatting sqref="AB4:AB11">
    <cfRule type="expression" dxfId="1613" priority="72">
      <formula>ABS(AB$7-AB$10)&gt;=1000</formula>
    </cfRule>
  </conditionalFormatting>
  <conditionalFormatting sqref="AC4 AC6:AC11">
    <cfRule type="expression" dxfId="1612" priority="71">
      <formula>ABS(AC$7-AC$10)&gt;=1000</formula>
    </cfRule>
  </conditionalFormatting>
  <conditionalFormatting sqref="AD4:AD11">
    <cfRule type="expression" dxfId="1611" priority="70">
      <formula>ABS(AD$7-AD$10)&gt;=1000</formula>
    </cfRule>
  </conditionalFormatting>
  <conditionalFormatting sqref="AE4:AE11">
    <cfRule type="expression" dxfId="1610" priority="69">
      <formula>ABS(AE$7-AE$10)&gt;=1000</formula>
    </cfRule>
  </conditionalFormatting>
  <conditionalFormatting sqref="D13:D20">
    <cfRule type="expression" dxfId="1609" priority="68">
      <formula>ABS(D$16-D$19)&gt;=1000</formula>
    </cfRule>
  </conditionalFormatting>
  <conditionalFormatting sqref="E13:E20">
    <cfRule type="expression" dxfId="1608" priority="67">
      <formula>ABS(E$16-E$19)&gt;=1000</formula>
    </cfRule>
  </conditionalFormatting>
  <conditionalFormatting sqref="F13 F15:F20">
    <cfRule type="expression" dxfId="1607" priority="66">
      <formula>ABS(F$16-F$19)&gt;=1000</formula>
    </cfRule>
  </conditionalFormatting>
  <conditionalFormatting sqref="G13:G20">
    <cfRule type="expression" dxfId="1606" priority="65">
      <formula>ABS(G$16-G$19)&gt;=1000</formula>
    </cfRule>
  </conditionalFormatting>
  <conditionalFormatting sqref="H13:H20">
    <cfRule type="expression" dxfId="1605" priority="64">
      <formula>ABS(H$16-H$19)&gt;=1000</formula>
    </cfRule>
  </conditionalFormatting>
  <conditionalFormatting sqref="I13:I20">
    <cfRule type="expression" dxfId="1604" priority="63">
      <formula>ABS(I$16-I$19)&gt;=1000</formula>
    </cfRule>
  </conditionalFormatting>
  <conditionalFormatting sqref="J13:J20">
    <cfRule type="expression" dxfId="1603" priority="62">
      <formula>ABS(J$16-J$19)&gt;=1000</formula>
    </cfRule>
  </conditionalFormatting>
  <conditionalFormatting sqref="L13:L20">
    <cfRule type="expression" dxfId="1602" priority="61">
      <formula>ABS(L$16-L$19)&gt;=1000</formula>
    </cfRule>
  </conditionalFormatting>
  <conditionalFormatting sqref="M13 M15 M17:M18 M20">
    <cfRule type="expression" dxfId="1601" priority="60">
      <formula>ABS(M$16-M$19)&gt;=1000</formula>
    </cfRule>
  </conditionalFormatting>
  <conditionalFormatting sqref="N13:N20">
    <cfRule type="expression" dxfId="1600" priority="59">
      <formula>ABS(N$16-N$19)&gt;=1000</formula>
    </cfRule>
  </conditionalFormatting>
  <conditionalFormatting sqref="O13:O20">
    <cfRule type="expression" dxfId="1599" priority="58">
      <formula>ABS(O$16-O$19)&gt;=1000</formula>
    </cfRule>
  </conditionalFormatting>
  <conditionalFormatting sqref="P13:P20">
    <cfRule type="expression" dxfId="1598" priority="57">
      <formula>ABS(P$16-P$19)&gt;=1000</formula>
    </cfRule>
  </conditionalFormatting>
  <conditionalFormatting sqref="Q13 Q15:Q20">
    <cfRule type="expression" dxfId="1597" priority="56">
      <formula>ABS(Q$16-Q$19)&gt;=1000</formula>
    </cfRule>
  </conditionalFormatting>
  <conditionalFormatting sqref="R13:R20">
    <cfRule type="expression" dxfId="1596" priority="55">
      <formula>ABS(R$16-R$19)&gt;=1000</formula>
    </cfRule>
  </conditionalFormatting>
  <conditionalFormatting sqref="S13:S20">
    <cfRule type="expression" dxfId="1595" priority="54">
      <formula>ABS(S$16-S$19)&gt;=1000</formula>
    </cfRule>
  </conditionalFormatting>
  <conditionalFormatting sqref="T13:T20">
    <cfRule type="expression" dxfId="1594" priority="53">
      <formula>ABS(T$16-T$19)&gt;=1000</formula>
    </cfRule>
  </conditionalFormatting>
  <conditionalFormatting sqref="U13:U20">
    <cfRule type="expression" dxfId="1593" priority="52">
      <formula>ABS(U$16-U$19)&gt;=1000</formula>
    </cfRule>
  </conditionalFormatting>
  <conditionalFormatting sqref="V13:V20">
    <cfRule type="expression" dxfId="1592" priority="51">
      <formula>ABS(V$16-V$19)&gt;=1000</formula>
    </cfRule>
  </conditionalFormatting>
  <conditionalFormatting sqref="W13 W20 W15:W18">
    <cfRule type="expression" dxfId="1591" priority="50">
      <formula>ABS(W$16-W$19)&gt;=1000</formula>
    </cfRule>
  </conditionalFormatting>
  <conditionalFormatting sqref="X13 X15:X20 Y19">
    <cfRule type="expression" dxfId="1590" priority="49">
      <formula>ABS(X$16-X$19)&gt;=1000</formula>
    </cfRule>
  </conditionalFormatting>
  <conditionalFormatting sqref="Y13 Y15:Y18 Y20">
    <cfRule type="expression" dxfId="1589" priority="48">
      <formula>ABS(Y$16-Y$19)&gt;=1000</formula>
    </cfRule>
  </conditionalFormatting>
  <conditionalFormatting sqref="Z13:Z20">
    <cfRule type="expression" dxfId="1588" priority="47">
      <formula>ABS(Z$16-Z$19)&gt;=1000</formula>
    </cfRule>
  </conditionalFormatting>
  <conditionalFormatting sqref="AA13:AA20">
    <cfRule type="expression" dxfId="1587" priority="46">
      <formula>ABS(AA$16-AA$19)&gt;=1000</formula>
    </cfRule>
  </conditionalFormatting>
  <conditionalFormatting sqref="AB13 AB15:AB20">
    <cfRule type="expression" dxfId="1586" priority="45">
      <formula>ABS(AB$16-AB$19)&gt;=1000</formula>
    </cfRule>
  </conditionalFormatting>
  <conditionalFormatting sqref="AC13 AC15:AC20">
    <cfRule type="expression" dxfId="1585" priority="44">
      <formula>ABS(AC$16-AC$19)&gt;=1000</formula>
    </cfRule>
  </conditionalFormatting>
  <conditionalFormatting sqref="AD13:AD20">
    <cfRule type="expression" dxfId="1584" priority="43">
      <formula>ABS(AD$16-AD$19)&gt;=1000</formula>
    </cfRule>
  </conditionalFormatting>
  <conditionalFormatting sqref="AE13:AE20">
    <cfRule type="expression" dxfId="1583" priority="42">
      <formula>ABS(AE$16-AE$19)&gt;=1000</formula>
    </cfRule>
  </conditionalFormatting>
  <conditionalFormatting sqref="D22:D29">
    <cfRule type="expression" dxfId="1582" priority="41">
      <formula>ABS(D$25-D$28)&gt;=1000</formula>
    </cfRule>
  </conditionalFormatting>
  <conditionalFormatting sqref="E22:E29">
    <cfRule type="expression" dxfId="1581" priority="40">
      <formula>ABS(E$25-E$28)&gt;=1000</formula>
    </cfRule>
  </conditionalFormatting>
  <conditionalFormatting sqref="F22:F29">
    <cfRule type="expression" dxfId="1580" priority="39">
      <formula>ABS(F$25-F$28)&gt;=1000</formula>
    </cfRule>
  </conditionalFormatting>
  <conditionalFormatting sqref="G22:G29">
    <cfRule type="expression" dxfId="1579" priority="38">
      <formula>ABS(G$25-G$28)&gt;=1000</formula>
    </cfRule>
  </conditionalFormatting>
  <conditionalFormatting sqref="H22:H29">
    <cfRule type="expression" dxfId="1578" priority="37">
      <formula>ABS(H$25-H$28)&gt;=1000</formula>
    </cfRule>
  </conditionalFormatting>
  <conditionalFormatting sqref="I22 I24:I29">
    <cfRule type="expression" dxfId="1577" priority="36">
      <formula>ABS(I$25-I$28)&gt;=1000</formula>
    </cfRule>
  </conditionalFormatting>
  <conditionalFormatting sqref="J22:J29 K22">
    <cfRule type="expression" dxfId="1576" priority="35">
      <formula>ABS(J$25-J$28)&gt;=1000</formula>
    </cfRule>
  </conditionalFormatting>
  <conditionalFormatting sqref="K23:K29 L25 L28">
    <cfRule type="expression" dxfId="1575" priority="34">
      <formula>ABS(K$25-K$28)&gt;=1000</formula>
    </cfRule>
  </conditionalFormatting>
  <conditionalFormatting sqref="L22:L24 L26:L27 L29">
    <cfRule type="expression" dxfId="1574" priority="33">
      <formula>ABS(L$25-L$28)&gt;=1000</formula>
    </cfRule>
  </conditionalFormatting>
  <conditionalFormatting sqref="M22:M29">
    <cfRule type="expression" dxfId="1573" priority="32">
      <formula>ABS(M$25-M$28)&gt;=1000</formula>
    </cfRule>
  </conditionalFormatting>
  <conditionalFormatting sqref="N22:N29">
    <cfRule type="expression" dxfId="1572" priority="31">
      <formula>ABS(N$25-N$28)&gt;=1000</formula>
    </cfRule>
  </conditionalFormatting>
  <conditionalFormatting sqref="O22:O29">
    <cfRule type="expression" dxfId="1571" priority="30">
      <formula>ABS(O$25-O$28)&gt;=1000</formula>
    </cfRule>
  </conditionalFormatting>
  <conditionalFormatting sqref="P22:P29">
    <cfRule type="expression" dxfId="1570" priority="29">
      <formula>ABS(P$25-P$28)&gt;=1000</formula>
    </cfRule>
  </conditionalFormatting>
  <conditionalFormatting sqref="Q22:Q29">
    <cfRule type="expression" dxfId="1569" priority="28">
      <formula>ABS(Q$25-Q$28)&gt;=1000</formula>
    </cfRule>
  </conditionalFormatting>
  <conditionalFormatting sqref="R22:R29">
    <cfRule type="expression" dxfId="1568" priority="27">
      <formula>ABS(R$25-R$28)&gt;=1000</formula>
    </cfRule>
  </conditionalFormatting>
  <conditionalFormatting sqref="S22:S29">
    <cfRule type="expression" dxfId="1567" priority="26">
      <formula>ABS(S$25-S$28)&gt;=1000</formula>
    </cfRule>
  </conditionalFormatting>
  <conditionalFormatting sqref="T22:T29">
    <cfRule type="expression" dxfId="1566" priority="25">
      <formula>ABS(T$25-T$28)&gt;=1000</formula>
    </cfRule>
  </conditionalFormatting>
  <conditionalFormatting sqref="U22:U29">
    <cfRule type="expression" dxfId="1565" priority="24">
      <formula>ABS(U$25-U$28)&gt;=1000</formula>
    </cfRule>
  </conditionalFormatting>
  <conditionalFormatting sqref="V22:V29">
    <cfRule type="expression" dxfId="1564" priority="23">
      <formula>ABS(V$25-V$28)&gt;=1000</formula>
    </cfRule>
  </conditionalFormatting>
  <conditionalFormatting sqref="W22:W29">
    <cfRule type="expression" dxfId="1563" priority="22">
      <formula>ABS(W$25-W$28)&gt;=1000</formula>
    </cfRule>
  </conditionalFormatting>
  <conditionalFormatting sqref="X22:X29">
    <cfRule type="expression" dxfId="1562" priority="21">
      <formula>ABS(X$25-X$28)&gt;=1000</formula>
    </cfRule>
  </conditionalFormatting>
  <conditionalFormatting sqref="Y22:Y29">
    <cfRule type="expression" dxfId="1561" priority="20">
      <formula>ABS(Y$25-Y$28)&gt;=1000</formula>
    </cfRule>
  </conditionalFormatting>
  <conditionalFormatting sqref="I23">
    <cfRule type="expression" dxfId="1560" priority="19">
      <formula>ABS(I$25-I$28)&gt;=1000</formula>
    </cfRule>
  </conditionalFormatting>
  <conditionalFormatting sqref="F14">
    <cfRule type="expression" dxfId="1559" priority="18">
      <formula>ABS(F$16-F$19)&gt;=1000</formula>
    </cfRule>
  </conditionalFormatting>
  <conditionalFormatting sqref="Q14">
    <cfRule type="expression" dxfId="1558" priority="17">
      <formula>ABS(Q$16-Q$19)&gt;=1000</formula>
    </cfRule>
  </conditionalFormatting>
  <conditionalFormatting sqref="W14">
    <cfRule type="expression" dxfId="1557" priority="16">
      <formula>ABS(W$16-W$19)&gt;=1000</formula>
    </cfRule>
  </conditionalFormatting>
  <conditionalFormatting sqref="Y14">
    <cfRule type="expression" dxfId="1556" priority="15">
      <formula>ABS(Y$16-Y$19)&gt;=1000</formula>
    </cfRule>
  </conditionalFormatting>
  <conditionalFormatting sqref="X14">
    <cfRule type="expression" dxfId="1555" priority="14">
      <formula>ABS(X$16-X$19)&gt;=1000</formula>
    </cfRule>
  </conditionalFormatting>
  <conditionalFormatting sqref="T10:Y10">
    <cfRule type="expression" dxfId="1554" priority="13">
      <formula>ABS(T$7-T$10)&gt;=1000</formula>
    </cfRule>
  </conditionalFormatting>
  <conditionalFormatting sqref="W19">
    <cfRule type="expression" dxfId="1553" priority="12">
      <formula>ABS(W$16-W$19)&gt;=1000</formula>
    </cfRule>
  </conditionalFormatting>
  <conditionalFormatting sqref="AC5">
    <cfRule type="expression" dxfId="1552" priority="11">
      <formula>ABS(AC$7-AC$10)&gt;=1000</formula>
    </cfRule>
  </conditionalFormatting>
  <conditionalFormatting sqref="M14">
    <cfRule type="expression" dxfId="1551" priority="10">
      <formula>ABS(M$16-M$19)&gt;=1000</formula>
    </cfRule>
  </conditionalFormatting>
  <conditionalFormatting sqref="M16">
    <cfRule type="expression" dxfId="1550" priority="9">
      <formula>ABS(M$16-M$19)&gt;=1000</formula>
    </cfRule>
  </conditionalFormatting>
  <conditionalFormatting sqref="M19">
    <cfRule type="expression" dxfId="1549" priority="8">
      <formula>ABS(M$16-M$19)&gt;=1000</formula>
    </cfRule>
  </conditionalFormatting>
  <conditionalFormatting sqref="K13:K20">
    <cfRule type="expression" dxfId="1548" priority="7">
      <formula>ABS(K$16-K$19)&gt;=1000</formula>
    </cfRule>
  </conditionalFormatting>
  <conditionalFormatting sqref="E5">
    <cfRule type="expression" dxfId="1547" priority="6">
      <formula>ABS(E$7-E$10)&gt;=1000</formula>
    </cfRule>
  </conditionalFormatting>
  <conditionalFormatting sqref="AB14:AC14">
    <cfRule type="expression" dxfId="1546" priority="5">
      <formula>ABS(AB$16-AB$19)&gt;=1000</formula>
    </cfRule>
  </conditionalFormatting>
  <conditionalFormatting sqref="M5">
    <cfRule type="expression" dxfId="1545" priority="4">
      <formula>ABS(M$7-M$10)&gt;=1000</formula>
    </cfRule>
  </conditionalFormatting>
  <conditionalFormatting sqref="N5">
    <cfRule type="expression" dxfId="1544" priority="3">
      <formula>ABS(N$7-N$10)&gt;=1000</formula>
    </cfRule>
  </conditionalFormatting>
  <conditionalFormatting sqref="O5">
    <cfRule type="expression" dxfId="1543" priority="2">
      <formula>ABS(O$7-O$10)&gt;=1000</formula>
    </cfRule>
  </conditionalFormatting>
  <conditionalFormatting sqref="P5">
    <cfRule type="expression" dxfId="154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6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4">
    <pageSetUpPr fitToPage="1"/>
  </sheetPr>
  <dimension ref="A1:CU223"/>
  <sheetViews>
    <sheetView view="pageBreakPreview" topLeftCell="A10" zoomScale="80" zoomScaleNormal="100" zoomScaleSheetLayoutView="80" workbookViewId="0">
      <selection activeCell="X24" sqref="X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45762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9" t="s" ph="1">
        <v>178</v>
      </c>
      <c r="D6" s="71">
        <v>4172</v>
      </c>
      <c r="E6" s="71">
        <v>4257</v>
      </c>
      <c r="F6" s="71">
        <v>3078</v>
      </c>
      <c r="G6" s="71">
        <v>3174</v>
      </c>
      <c r="H6" s="71">
        <v>1199</v>
      </c>
      <c r="I6" s="71">
        <v>16.100000000000001</v>
      </c>
      <c r="J6" s="71">
        <v>7.72</v>
      </c>
      <c r="K6" s="71">
        <v>49.31</v>
      </c>
      <c r="L6" s="71">
        <v>49.52</v>
      </c>
      <c r="M6" s="71">
        <v>2618</v>
      </c>
      <c r="N6" s="71">
        <v>1982</v>
      </c>
      <c r="O6" s="71">
        <v>1487</v>
      </c>
      <c r="P6" s="71">
        <v>8879</v>
      </c>
      <c r="Q6" s="71">
        <v>4998</v>
      </c>
      <c r="R6" s="71">
        <v>4741</v>
      </c>
      <c r="S6" s="71">
        <v>0</v>
      </c>
      <c r="T6" s="71">
        <v>0</v>
      </c>
      <c r="U6" s="71">
        <v>1245</v>
      </c>
      <c r="V6" s="71">
        <v>6987</v>
      </c>
      <c r="W6" s="71">
        <v>6978</v>
      </c>
      <c r="X6" s="71">
        <v>6728</v>
      </c>
      <c r="Y6" s="71">
        <v>5849</v>
      </c>
      <c r="Z6" s="71">
        <v>5324</v>
      </c>
      <c r="AA6" s="71">
        <v>1573</v>
      </c>
      <c r="AB6" s="71">
        <v>2077</v>
      </c>
      <c r="AC6" s="71">
        <v>5873</v>
      </c>
      <c r="AD6" s="71">
        <v>1337</v>
      </c>
      <c r="AE6" s="71">
        <v>1561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131391.52227684</v>
      </c>
      <c r="E7" s="73" ph="1">
        <f>E6*51.53*LOOKUP(E8,密度!$A$2:$A$50,密度!$B$2:$B$50)</f>
        <v>172178.183529</v>
      </c>
      <c r="F7" s="73" ph="1">
        <f>F6*33.183*LOOKUP(F8,密度!$A$2:$A$50,密度!$C$2:$C$50)</f>
        <v>113637.9310524</v>
      </c>
      <c r="G7" s="73" ph="1">
        <f xml:space="preserve"> (G6+2)*51.53*LOOKUP(G8,密度!$A$2:$A$50,密度!$B$2:$B$50)</f>
        <v>128325.241448</v>
      </c>
      <c r="H7" s="73" ph="1">
        <f>(H6)*51.53*LOOKUP(H8,密度!$A$2:$A$50,密度!$B$2:$B$50)</f>
        <v>48686.162360000002</v>
      </c>
      <c r="I7" s="73" ph="1">
        <f>I6*290.8*1.0267</f>
        <v>4806.8861960000004</v>
      </c>
      <c r="J7" s="73" ph="1">
        <f>J6*290.8*0.7892</f>
        <v>1771.7350592</v>
      </c>
      <c r="K7" s="73" ph="1">
        <f>K6*290.8*1.1126</f>
        <v>15953.958584800002</v>
      </c>
      <c r="L7" s="73" ph="1">
        <f>L6*290.8*0.777</f>
        <v>11189.123232000002</v>
      </c>
      <c r="M7" s="73" ph="1">
        <f>M6*33.183*LOOKUP(M8,密度!$A$2:$A$50,密度!$D$2:$D$50)</f>
        <v>89522.723366999999</v>
      </c>
      <c r="N7" s="73" ph="1">
        <f>N6*33.183*LOOKUP(N8,密度!$A$2:$A$50,密度!$E$2:$E$50)</f>
        <v>51667.895433600002</v>
      </c>
      <c r="O7" s="73" ph="1">
        <f>O6*20.428*LOOKUP(O8,密度!$A$2:$A$50,密度!$C$2:$C$50)</f>
        <v>33593.300572400003</v>
      </c>
      <c r="P7" s="73" ph="1">
        <f>P6*51.53*LOOKUP(P8,密度!$A$2:$A$50,密度!$B$2:$B$50)</f>
        <v>358753.09156700002</v>
      </c>
      <c r="Q7" s="73" ph="1">
        <f>Q6*1.5*1.5*3.1416*LOOKUP(W8,密度!$A$2:$A$50,密度!$L$2:$L$50)</f>
        <v>33209.131031999998</v>
      </c>
      <c r="R7" s="73" ph="1">
        <f>R6*1.5*1.5*3.1416*LOOKUP(R8,密度!$A$2:$A$50,密度!$L$2:$L$50)</f>
        <v>31333.937481000004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8272.3825799999995</v>
      </c>
      <c r="V7" s="73" ph="1">
        <f>V6*1.5*1.5*3.1416*LOOKUP(V8,密度!$A$2:$A$50,密度!$L$2:$L$50)</f>
        <v>46178.068167000005</v>
      </c>
      <c r="W7" s="73" ph="1">
        <f>W6*1.5*1.5*3.1416*LOOKUP(W8,密度!$A$2:$A$50,密度!$L$2:$L$50)</f>
        <v>46365.209351999991</v>
      </c>
      <c r="X7" s="73" ph="1">
        <f>X6*1.5*1.5*3.1416*LOOKUP(X8,密度!$A$2:$A$50,密度!$L$2:$L$50)</f>
        <v>45084.548678400002</v>
      </c>
      <c r="Y7" s="73" ph="1">
        <f>Y6*1.5*1.5*3.1416*LOOKUP(Y8,密度!$A$2:$A$50,密度!$L$2:$L$50)</f>
        <v>38946.275398799997</v>
      </c>
      <c r="Z7" s="73" ph="1">
        <f>Z6*33.183*LOOKUP(Z8,密度!$A$2:$A$50,密度!$L$2:$L$50)</f>
        <v>166419.64706399999</v>
      </c>
      <c r="AA7" s="73" ph="1">
        <f>AA6*33.183*LOOKUP(AA8,密度!$A$2:$A$50,密度!$D$2:$D$50)</f>
        <v>53736.6663405</v>
      </c>
      <c r="AB7" s="73" ph="1">
        <f>AB6*20.428*LOOKUP(AB8,密度!$A$2:$A$50,密度!$D$2:$D$50)</f>
        <v>44053.985014799997</v>
      </c>
      <c r="AC7" s="73" ph="1">
        <f>AC6*51.53*LOOKUP(AC8,密度!$A$2:$A$50,密度!$Q$2:$Q$50)</f>
        <v>287410.08843609999</v>
      </c>
      <c r="AD7" s="73" ph="1">
        <f>AD6*20.428*LOOKUP(AD8,密度!$A$2:$A$50,密度!$V$2:$V$50)</f>
        <v>26328.995503999999</v>
      </c>
      <c r="AE7" s="73" ph="1">
        <f>AE6*20.428</f>
        <v>31888.108</v>
      </c>
    </row>
    <row r="8" spans="1:99" ph="1">
      <c r="B8" s="195" ph="1"/>
      <c r="C8" s="68" t="s" ph="1">
        <v>180</v>
      </c>
      <c r="D8" s="74">
        <v>22</v>
      </c>
      <c r="E8" s="74">
        <v>19</v>
      </c>
      <c r="F8" s="74">
        <v>20</v>
      </c>
      <c r="G8" s="74">
        <v>20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23</v>
      </c>
      <c r="O8" s="74">
        <v>29</v>
      </c>
      <c r="P8" s="74">
        <v>20</v>
      </c>
      <c r="Q8" s="74">
        <v>19</v>
      </c>
      <c r="R8" s="74">
        <v>27</v>
      </c>
      <c r="S8" s="74">
        <v>14</v>
      </c>
      <c r="T8" s="74">
        <v>15</v>
      </c>
      <c r="U8" s="74">
        <v>22</v>
      </c>
      <c r="V8" s="74">
        <v>27</v>
      </c>
      <c r="W8" s="74">
        <v>22</v>
      </c>
      <c r="X8" s="74">
        <v>14</v>
      </c>
      <c r="Y8" s="74">
        <v>20</v>
      </c>
      <c r="Z8" s="74">
        <v>20</v>
      </c>
      <c r="AA8" s="74">
        <v>22</v>
      </c>
      <c r="AB8" s="74">
        <v>12</v>
      </c>
      <c r="AC8" s="74">
        <v>21</v>
      </c>
      <c r="AD8" s="74">
        <v>19</v>
      </c>
      <c r="AE8" s="74">
        <v>24</v>
      </c>
    </row>
    <row r="9" spans="1:99" ht="26.4" ph="1">
      <c r="B9" s="195" ph="1">
        <v>0.66666666666666663</v>
      </c>
      <c r="C9" s="159" t="s" ph="1">
        <v>181</v>
      </c>
      <c r="D9" s="71">
        <v>4175</v>
      </c>
      <c r="E9" s="71">
        <v>4243</v>
      </c>
      <c r="F9" s="71">
        <v>2809</v>
      </c>
      <c r="G9" s="71">
        <v>4562</v>
      </c>
      <c r="H9" s="71">
        <v>1197</v>
      </c>
      <c r="I9" s="71">
        <v>15.99</v>
      </c>
      <c r="J9" s="71">
        <v>7.75</v>
      </c>
      <c r="K9" s="71">
        <v>25.07</v>
      </c>
      <c r="L9" s="71">
        <v>48.58</v>
      </c>
      <c r="M9" s="71">
        <v>2512</v>
      </c>
      <c r="N9" s="71">
        <v>1749</v>
      </c>
      <c r="O9" s="71">
        <v>1266</v>
      </c>
      <c r="P9" s="71">
        <v>8616</v>
      </c>
      <c r="Q9" s="71">
        <v>7144</v>
      </c>
      <c r="R9" s="71">
        <v>7119</v>
      </c>
      <c r="S9" s="71">
        <v>5418</v>
      </c>
      <c r="T9" s="71">
        <v>0</v>
      </c>
      <c r="U9" s="71">
        <v>0</v>
      </c>
      <c r="V9" s="71">
        <v>3167</v>
      </c>
      <c r="W9" s="71">
        <v>6990</v>
      </c>
      <c r="X9" s="71">
        <v>6737</v>
      </c>
      <c r="Y9" s="71">
        <v>5860</v>
      </c>
      <c r="Z9" s="71">
        <v>6374</v>
      </c>
      <c r="AA9" s="71">
        <v>1573</v>
      </c>
      <c r="AB9" s="71">
        <v>3021</v>
      </c>
      <c r="AC9" s="71">
        <v>5875</v>
      </c>
      <c r="AD9" s="71">
        <v>1335</v>
      </c>
      <c r="AE9" s="71">
        <v>1574</v>
      </c>
    </row>
    <row r="10" spans="1:99" s="72" customFormat="1" ht="22.2" ph="1">
      <c r="B10" s="195" ph="1"/>
      <c r="C10" s="159" t="s" ph="1">
        <v>179</v>
      </c>
      <c r="D10" s="73" ph="1">
        <f>D9*33.183*LOOKUP(D11,密度!$A$2:$A$50,密度!$Q$2:$Q$50)</f>
        <v>131160.43652849999</v>
      </c>
      <c r="E10" s="73" ph="1">
        <f>E9*51.53*LOOKUP(E11,密度!$A$2:$A$50,密度!$B$2:$B$50)</f>
        <v>170081.44844100002</v>
      </c>
      <c r="F10" s="73" ph="1">
        <f>F9*33.183*LOOKUP(F11,密度!$A$2:$A$50,密度!$C$2:$C$50)</f>
        <v>103426.9777512</v>
      </c>
      <c r="G10" s="73" ph="1">
        <f xml:space="preserve"> (G9+2)*51.53*LOOKUP(G11,密度!$A$2:$A$50,密度!$B$2:$B$50)</f>
        <v>182948.79346800002</v>
      </c>
      <c r="H10" s="73" ph="1">
        <f>(H9)*51.53*LOOKUP(H11,密度!$A$2:$A$50,密度!$B$2:$B$50)</f>
        <v>47981.968839000008</v>
      </c>
      <c r="I10" s="73" ph="1">
        <f>I9*290.8*1.0267</f>
        <v>4774.0441163999994</v>
      </c>
      <c r="J10" s="73" ph="1">
        <f>J9*290.8*0.7892</f>
        <v>1778.6200400000002</v>
      </c>
      <c r="K10" s="73" ph="1">
        <f>K9*290.8*1.1126</f>
        <v>8111.2500856000006</v>
      </c>
      <c r="L10" s="73" ph="1">
        <f>L9*290.8*0.777</f>
        <v>10976.728728</v>
      </c>
      <c r="M10" s="73" ph="1">
        <f>M9*33.183*LOOKUP(M11,密度!$A$2:$A$50,密度!$D$2:$D$50)</f>
        <v>85506.272956800007</v>
      </c>
      <c r="N10" s="73" ph="1">
        <f>N9*33.183*LOOKUP(N11,密度!$A$2:$A$50,密度!$E$2:$E$50)</f>
        <v>45524.275354800004</v>
      </c>
      <c r="O10" s="73" ph="1">
        <f>O9*20.428*LOOKUP(O11,密度!$A$2:$A$50,密度!$C$2:$C$50)</f>
        <v>28445.446615200006</v>
      </c>
      <c r="P10" s="73" ph="1">
        <f>P9*51.53*LOOKUP(P11,密度!$A$2:$A$50,密度!$B$2:$B$50)</f>
        <v>346128.74140799994</v>
      </c>
      <c r="Q10" s="73" ph="1">
        <f>Q9*1.5*1.5*3.1416*LOOKUP(W11,密度!$A$2:$A$50,密度!$L$2:$L$50)</f>
        <v>47367.197539199995</v>
      </c>
      <c r="R10" s="73" ph="1">
        <f>R9*1.5*1.5*3.1416*LOOKUP(R11,密度!$A$2:$A$50,密度!$L$2:$L$50)</f>
        <v>46949.832052200007</v>
      </c>
      <c r="S10" s="73" ph="1">
        <f>S9*1.5*1.5*3.1416*LOOKUP(S11,密度!$A$2:$A$50,密度!$L$2:$L$50)</f>
        <v>36191.302685999995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20908.763290800001</v>
      </c>
      <c r="W10" s="73" ph="1">
        <f>W9*1.5*1.5*3.1416*LOOKUP(W11,密度!$A$2:$A$50,密度!$L$2:$L$50)</f>
        <v>46346.12413199999</v>
      </c>
      <c r="X10" s="73" ph="1">
        <f>X9*1.5*1.5*3.1416*LOOKUP(X11,密度!$A$2:$A$50,密度!$L$2:$L$50)</f>
        <v>45001.994498999993</v>
      </c>
      <c r="Y10" s="73" ph="1">
        <f>Y9*1.5*1.5*3.1416*LOOKUP(Y11,密度!$A$2:$A$50,密度!$L$2:$L$50)</f>
        <v>38895.254243999996</v>
      </c>
      <c r="Z10" s="73" ph="1">
        <f>Z9*33.183*LOOKUP(Z11,密度!$A$2:$A$50,密度!$L$2:$L$50)</f>
        <v>198183.41015400001</v>
      </c>
      <c r="AA10" s="73" ph="1">
        <f>AA9*33.183*LOOKUP(AA11,密度!$A$2:$A$50,密度!$D$2:$D$50)</f>
        <v>53637.492308400004</v>
      </c>
      <c r="AB10" s="73" ph="1">
        <f>AB9*20.428*LOOKUP(AB11,密度!$A$2:$A$50,密度!$D$2:$D$50)</f>
        <v>63909.970372800009</v>
      </c>
      <c r="AC10" s="73" ph="1">
        <f>AC9*51.53*LOOKUP(AC11,密度!$A$2:$A$50,密度!$Q$2:$Q$50)</f>
        <v>287326.32023750001</v>
      </c>
      <c r="AD10" s="73" ph="1">
        <f>AD9*20.428*LOOKUP(AD11,密度!$A$2:$A$50,密度!$V$2:$V$50)</f>
        <v>26115.073488000002</v>
      </c>
      <c r="AE10" s="73" ph="1">
        <f>AE9*20.428</f>
        <v>32153.672000000002</v>
      </c>
    </row>
    <row r="11" spans="1:99" ph="1">
      <c r="A11" s="64" t="s" ph="1">
        <v>163</v>
      </c>
      <c r="B11" s="195" ph="1"/>
      <c r="C11" s="159" t="s" ph="1">
        <v>180</v>
      </c>
      <c r="D11" s="74">
        <v>25</v>
      </c>
      <c r="E11" s="74">
        <v>27</v>
      </c>
      <c r="F11" s="74">
        <v>24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24</v>
      </c>
      <c r="O11" s="74">
        <v>35</v>
      </c>
      <c r="P11" s="74">
        <v>25</v>
      </c>
      <c r="Q11" s="74">
        <v>20</v>
      </c>
      <c r="R11" s="74">
        <v>29</v>
      </c>
      <c r="S11" s="74">
        <v>17</v>
      </c>
      <c r="T11" s="74">
        <v>28</v>
      </c>
      <c r="U11" s="74">
        <v>27</v>
      </c>
      <c r="V11" s="74">
        <v>28</v>
      </c>
      <c r="W11" s="74">
        <v>24</v>
      </c>
      <c r="X11" s="74">
        <v>17</v>
      </c>
      <c r="Y11" s="74">
        <v>23</v>
      </c>
      <c r="Z11" s="74">
        <v>25</v>
      </c>
      <c r="AA11" s="74">
        <v>24</v>
      </c>
      <c r="AB11" s="74">
        <v>15</v>
      </c>
      <c r="AC11" s="74">
        <v>22</v>
      </c>
      <c r="AD11" s="74">
        <v>28</v>
      </c>
      <c r="AE11" s="74">
        <v>26</v>
      </c>
    </row>
    <row r="12" spans="1:99" ht="9.9" customHeight="1" ph="1"/>
    <row r="13" spans="1:99" s="72" customFormat="1" ht="29.25" customHeight="1" ph="1">
      <c r="B13" s="20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9" t="s" ph="1">
        <v>178</v>
      </c>
      <c r="D15" s="78">
        <v>0</v>
      </c>
      <c r="E15" s="78">
        <v>48</v>
      </c>
      <c r="F15" s="78">
        <v>1813</v>
      </c>
      <c r="G15" s="78">
        <v>2709</v>
      </c>
      <c r="H15" s="78">
        <v>4512</v>
      </c>
      <c r="I15" s="78">
        <v>0</v>
      </c>
      <c r="J15" s="78">
        <v>0</v>
      </c>
      <c r="K15" s="78">
        <v>1983</v>
      </c>
      <c r="L15" s="78">
        <v>1771</v>
      </c>
      <c r="M15" s="78">
        <v>6409</v>
      </c>
      <c r="N15" s="78">
        <v>3083</v>
      </c>
      <c r="O15" s="78">
        <v>0</v>
      </c>
      <c r="P15" s="78">
        <v>6919</v>
      </c>
      <c r="Q15" s="78">
        <v>1781</v>
      </c>
      <c r="R15" s="78">
        <v>3502</v>
      </c>
      <c r="S15" s="78">
        <v>6844</v>
      </c>
      <c r="T15" s="78">
        <v>5809</v>
      </c>
      <c r="U15" s="78">
        <v>5442</v>
      </c>
      <c r="V15" s="78">
        <v>1099</v>
      </c>
      <c r="W15" s="71">
        <v>3775</v>
      </c>
      <c r="X15" s="78">
        <v>152</v>
      </c>
      <c r="Y15" s="106">
        <v>-9904</v>
      </c>
      <c r="Z15" s="78">
        <v>0</v>
      </c>
      <c r="AA15" s="78">
        <v>4227</v>
      </c>
      <c r="AB15" s="78" ph="1">
        <v>6896</v>
      </c>
      <c r="AC15" s="78" ph="1">
        <v>987</v>
      </c>
      <c r="AD15" s="78">
        <v>8.52</v>
      </c>
      <c r="AE15" s="78">
        <v>43.3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9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319.27452479999999</v>
      </c>
      <c r="F16" s="73" ph="1">
        <f>F15*9.0746*LOOKUP(F17,密度!$A$2:$A$50,密度!$L$2:$L$50)</f>
        <v>15448.662562200001</v>
      </c>
      <c r="G16" s="73" ph="1">
        <f>G15*9.0746*LOOKUP(G17,密度!$A$2:$A$50,密度!$B$2:$B$50)</f>
        <v>19275.60196674</v>
      </c>
      <c r="H16" s="73" ph="1">
        <f>H15*9.0746*LOOKUP(H17,密度!$A$2:$A$50,密度!$L$2:$L$50)</f>
        <v>38569.808678400004</v>
      </c>
      <c r="I16" s="73" ph="1">
        <f>I15*9.0746*LOOKUP(I17,密度!$A$2:$A$50,密度!$U$2:$U$50)</f>
        <v>0</v>
      </c>
      <c r="J16" s="73" ph="1">
        <f>J15*9.0746*LOOKUP(J17,密度!$A$2:$A$50,密度!$L$2:$L$50)</f>
        <v>0</v>
      </c>
      <c r="K16" s="73" ph="1">
        <f>K15*9.0746*LOOKUP(K17,密度!$A$2:$A$50,密度!$C$2:$C$50)</f>
        <v>20021.161120680004</v>
      </c>
      <c r="L16" s="73" ph="1">
        <f>L15*9.0746*LOOKUP(L17,密度!$A$2:$A$50,密度!$E$2:$E$50)</f>
        <v>12683.32522072</v>
      </c>
      <c r="M16" s="73" ph="1">
        <f>M15*9.0746*LOOKUP(M17,密度!$A$2:$A$50,密度!$M$2:$M$50)</f>
        <v>51005.540697800003</v>
      </c>
      <c r="N16" s="73" ph="1">
        <f>N15*9.0746*LOOKUP(N17,密度!$A$2:$A$50,密度!$M$2:$M$50)</f>
        <v>24628.14588154</v>
      </c>
      <c r="O16" s="73" ph="1">
        <f>O15*9.0746*LOOKUP(O17,密度!$A$2:$A$50,密度!$G$2:$G$50)</f>
        <v>0</v>
      </c>
      <c r="P16" s="73" ph="1">
        <f ca="1">P15*9.0746*LOOKUP(P17,密度!$A$2:$A$51,密度!$Q$2:$Q$50)</f>
        <v>59628.335511206009</v>
      </c>
      <c r="Q16" s="73" ph="1">
        <f>Q15*9.0746*LOOKUP(Q17,密度!$A$2:$A$50,密度!$Q$2:$Q$50)</f>
        <v>15348.759292594001</v>
      </c>
      <c r="R16" s="73" ph="1">
        <f>MAX(R15*9.0746*LOOKUP(R17,密度!$A$2:$A$50,密度!$B$2:$B$50),0)</f>
        <v>24889.507973440002</v>
      </c>
      <c r="S16" s="73" ph="1">
        <f>S15*9.0746*LOOKUP(S17,密度!$A$2:$A$50,密度!$Q$2:$Q$50)</f>
        <v>58981.981245656003</v>
      </c>
      <c r="T16" s="73" ph="1">
        <f>T15*9.0746*LOOKUP(T17,密度!$A$2:$A$50,密度!$O$2:$O$50)</f>
        <v>49024.346802</v>
      </c>
      <c r="U16" s="73" ph="1">
        <f>U15*9.0746*LOOKUP(U17,密度!$A$2:$A$50,密度!$H$2:$H$50)</f>
        <v>45418.440152039999</v>
      </c>
      <c r="V16" s="73" ph="1">
        <f>MAX(5600*LOOKUP(V17,密度!$A$2:$A$50,密度!$Q$2:$Q$50)+V15*9.0476*LOOKUP(V17,密度!$A$2:$A$50,密度!$Q$2:$Q$50),0)</f>
        <v>14761.328353156001</v>
      </c>
      <c r="W16" s="73" ph="1">
        <f>MAX(5600*LOOKUP(W17,密度!$A$2:$A$50,密度!$Q$2:$Q$50)+W15*9.0476*LOOKUP(W17,密度!$A$2:$A$50,密度!$Q$2:$Q$50),0)</f>
        <v>37666.376134299993</v>
      </c>
      <c r="X16" s="73" ph="1">
        <f>MAX(5600*LOOKUP(X17,密度!$A$2:$A$50,密度!$I$2:$I$50)+X15*9.0476*LOOKUP(X17,密度!$A$2:$A$50,密度!$I$2:$I$50),0)</f>
        <v>7319.8118188799999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30107.45651358</v>
      </c>
      <c r="AB16" s="73" ph="1">
        <f>AB15*9.0746*LOOKUP(AB17,密度!$A$2:$A$50,密度!$L$2:$L$50)</f>
        <v>58823.735103999992</v>
      </c>
      <c r="AC16" s="73" ph="1">
        <f>AC15*9.0746*LOOKUP(AC17,密度!$A$2:$A$50,密度!$L$2:$L$50)</f>
        <v>8464.015539</v>
      </c>
      <c r="AD16" s="73" ph="1">
        <f>AD15*268.68*LOOKUP(AD17,密度!$A$2:$A$50,密度!B2:B50)+IF(AD15&lt;=0,0,1566*LOOKUP(AD17,密度!$A$2:$A$50,密度!B2:B50))</f>
        <v>3005.47774656</v>
      </c>
      <c r="AE16" s="73" ph="1">
        <f>AE15*268.68*LOOKUP(AE17,密度!$A$2:$A$50,密度!B2:B50)+IF(AE15&lt;=0,0,1566*LOOKUP(AE17,密度!$A$2:$A$50,密度!B2:B50))</f>
        <v>10290.5983824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21</v>
      </c>
      <c r="E17" s="74">
        <v>21</v>
      </c>
      <c r="F17" s="74">
        <v>23</v>
      </c>
      <c r="G17" s="74">
        <v>20</v>
      </c>
      <c r="H17" s="74">
        <v>20</v>
      </c>
      <c r="I17" s="74">
        <v>18</v>
      </c>
      <c r="J17" s="74">
        <v>20</v>
      </c>
      <c r="K17" s="74">
        <v>20</v>
      </c>
      <c r="L17" s="74">
        <v>20</v>
      </c>
      <c r="M17" s="74">
        <v>23</v>
      </c>
      <c r="N17" s="74">
        <v>20</v>
      </c>
      <c r="O17" s="74">
        <v>20</v>
      </c>
      <c r="P17" s="74">
        <v>21</v>
      </c>
      <c r="Q17" s="74">
        <v>21</v>
      </c>
      <c r="R17" s="74">
        <v>21</v>
      </c>
      <c r="S17" s="74">
        <v>21</v>
      </c>
      <c r="T17" s="74">
        <v>20</v>
      </c>
      <c r="U17" s="74">
        <v>20</v>
      </c>
      <c r="V17" s="74">
        <v>21</v>
      </c>
      <c r="W17" s="74">
        <v>24</v>
      </c>
      <c r="X17" s="74">
        <v>19</v>
      </c>
      <c r="Y17" s="108">
        <v>19</v>
      </c>
      <c r="Z17" s="74">
        <v>19</v>
      </c>
      <c r="AA17" s="74">
        <v>19</v>
      </c>
      <c r="AB17" s="74">
        <v>22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47</v>
      </c>
      <c r="F18" s="71">
        <v>1814</v>
      </c>
      <c r="G18" s="71">
        <v>2750</v>
      </c>
      <c r="H18" s="71">
        <v>4518</v>
      </c>
      <c r="I18" s="71">
        <v>1561</v>
      </c>
      <c r="J18" s="71">
        <v>0</v>
      </c>
      <c r="K18" s="71">
        <v>1996</v>
      </c>
      <c r="L18" s="71">
        <v>1775</v>
      </c>
      <c r="M18" s="71">
        <v>5551</v>
      </c>
      <c r="N18" s="71">
        <v>1996</v>
      </c>
      <c r="O18" s="71">
        <v>0</v>
      </c>
      <c r="P18" s="71">
        <v>6933</v>
      </c>
      <c r="Q18" s="71">
        <v>32</v>
      </c>
      <c r="R18" s="71">
        <v>3508</v>
      </c>
      <c r="S18" s="71">
        <v>6857</v>
      </c>
      <c r="T18" s="71">
        <v>4951</v>
      </c>
      <c r="U18" s="71">
        <v>5447</v>
      </c>
      <c r="V18" s="71">
        <v>1100</v>
      </c>
      <c r="W18" s="71">
        <v>3775</v>
      </c>
      <c r="X18" s="71">
        <v>151</v>
      </c>
      <c r="Y18" s="109">
        <v>-9906</v>
      </c>
      <c r="Z18" s="71">
        <v>0</v>
      </c>
      <c r="AA18" s="71">
        <v>4232</v>
      </c>
      <c r="AB18" s="71">
        <v>6909</v>
      </c>
      <c r="AC18" s="71">
        <v>989</v>
      </c>
      <c r="AD18" s="71">
        <v>8.4700000000000006</v>
      </c>
      <c r="AE18" s="71">
        <v>84.31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9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310.62962700000003</v>
      </c>
      <c r="F19" s="73" ph="1">
        <f>F18*9.0746*LOOKUP(F20,密度!$A$2:$A$50,密度!$L$2:$L$50)</f>
        <v>15391.338314000002</v>
      </c>
      <c r="G19" s="73" ph="1">
        <f>G18*9.0746*LOOKUP(G20,密度!$A$2:$A$50,密度!$B$2:$B$50)</f>
        <v>19477.494575000001</v>
      </c>
      <c r="H19" s="73" ph="1">
        <f>H18*9.0746*LOOKUP(H20,密度!$A$2:$A$50,密度!$L$2:$L$50)</f>
        <v>39359.081087999999</v>
      </c>
      <c r="I19" s="73" ph="1">
        <f>I18*9.0746*LOOKUP(I20,密度!$A$2:$A$50,密度!$U$2:$U$50)</f>
        <v>14491.255963799998</v>
      </c>
      <c r="J19" s="73" ph="1">
        <f>J18*9.0746*LOOKUP(J20,密度!$A$2:$A$50,密度!$L$2:$L$50)</f>
        <v>0</v>
      </c>
      <c r="K19" s="73" ph="1">
        <f>K18*9.0746*LOOKUP(K20,密度!$A$2:$A$50,密度!$C$2:$C$50)</f>
        <v>20058.227231839999</v>
      </c>
      <c r="L19" s="73" ph="1">
        <f>L18*9.0746*LOOKUP(L20,密度!$A$2:$A$50,密度!$E$2:$E$50)</f>
        <v>12634.656326</v>
      </c>
      <c r="M19" s="73" ph="1">
        <f>M18*9.0746*LOOKUP(M20,密度!$A$2:$A$50,密度!$M$2:$M$50)</f>
        <v>44031.130730860001</v>
      </c>
      <c r="N19" s="73" ph="1">
        <f>N18*9.0746*LOOKUP(N20,密度!$A$2:$A$50,密度!$M$2:$M$50)</f>
        <v>15885.0147032</v>
      </c>
      <c r="O19" s="73" ph="1">
        <f>O18*9.0746*LOOKUP(O20,密度!$A$2:$A$50,密度!$G$2:$G$50)</f>
        <v>0</v>
      </c>
      <c r="P19" s="73" ph="1">
        <f ca="1">P18*9.0746*LOOKUP(P20,密度!$A$2:$A$51,密度!$Q$2:$Q$50)</f>
        <v>59563.391412132005</v>
      </c>
      <c r="Q19" s="73" ph="1">
        <f>Q18*9.0746*LOOKUP(Q20,密度!$A$2:$A$50,密度!$Q$2:$Q$50)</f>
        <v>274.50882790400004</v>
      </c>
      <c r="R19" s="73" ph="1">
        <f>MAX(R18*9.0746*LOOKUP(R20,密度!$A$2:$A$50,密度!$B$2:$B$50),0)</f>
        <v>24788.899698159999</v>
      </c>
      <c r="S19" s="73" ph="1">
        <f>S18*9.0746*LOOKUP(S20,密度!$A$2:$A$50,密度!$Q$2:$Q$50)</f>
        <v>58910.453615028004</v>
      </c>
      <c r="T19" s="73" ph="1">
        <f>T18*9.0746*LOOKUP(T20,密度!$A$2:$A$50,密度!$O$2:$O$50)</f>
        <v>41603.647099600006</v>
      </c>
      <c r="U19" s="73" ph="1">
        <f>U18*9.0746*LOOKUP(U20,密度!$A$2:$A$50,密度!$H$2:$H$50)</f>
        <v>45311.881661539999</v>
      </c>
      <c r="V19" s="73" ph="1">
        <f>MAX(5600*LOOKUP(V20,密度!$A$2:$A$50,密度!$Q$2:$Q$50)+V18*9.0476*LOOKUP(V20,密度!$A$2:$A$50,密度!$Q$2:$Q$50),0)</f>
        <v>14701.956955199999</v>
      </c>
      <c r="W19" s="73" ph="1">
        <f>MAX(5600*LOOKUP(W20,密度!$A$2:$A$50,密度!$Q$2:$Q$50)+W18*9.0476*LOOKUP(W20,密度!$A$2:$A$50,密度!$Q$2:$Q$50),0)</f>
        <v>37580.903550799994</v>
      </c>
      <c r="X19" s="73" ph="1">
        <f>MAX(5600*LOOKUP(X20,密度!$A$2:$A$50,密度!$I$2:$I$50)+X18*9.0476*LOOKUP(X20,密度!$A$2:$A$50,密度!$I$2:$I$50),0)</f>
        <v>7293.5984171999999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30043.220142560003</v>
      </c>
      <c r="AB19" s="73" ph="1">
        <f>AB18*9.0746*LOOKUP(AB20,密度!$A$2:$A$50,密度!$L$2:$L$50)</f>
        <v>58809.233893199998</v>
      </c>
      <c r="AC19" s="73" ph="1">
        <f>AC18*9.0746*LOOKUP(AC20,密度!$A$2:$A$50,密度!$L$2:$L$50)</f>
        <v>8409.3682977999997</v>
      </c>
      <c r="AD19" s="73" ph="1">
        <f>AD18*268.68*LOOKUP(AD20,密度!$A$2:$A$50,密度!B5:B53)+IF(AD18&lt;=0,0,1566*LOOKUP(AD20,密度!$A$2:$A$50,密度!B5:B53))</f>
        <v>2985.0161292000003</v>
      </c>
      <c r="AE19" s="73" ph="1">
        <f>AE18*268.68*LOOKUP(AE20,密度!$A$2:$A$50,密度!B5:B53)+IF(AE18&lt;=0,0,1566*LOOKUP(AE20,密度!$A$2:$A$50,密度!B5:B53))</f>
        <v>18817.705191600002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27</v>
      </c>
      <c r="E20" s="81">
        <v>27</v>
      </c>
      <c r="F20" s="81">
        <v>27</v>
      </c>
      <c r="G20" s="81">
        <v>24</v>
      </c>
      <c r="H20" s="81">
        <v>2</v>
      </c>
      <c r="I20" s="81">
        <v>27</v>
      </c>
      <c r="J20" s="81">
        <v>28</v>
      </c>
      <c r="K20" s="81">
        <v>27</v>
      </c>
      <c r="L20" s="81">
        <v>24</v>
      </c>
      <c r="M20" s="81">
        <v>26</v>
      </c>
      <c r="N20" s="81">
        <v>23</v>
      </c>
      <c r="O20" s="81">
        <v>27</v>
      </c>
      <c r="P20" s="81">
        <v>25</v>
      </c>
      <c r="Q20" s="81">
        <v>27</v>
      </c>
      <c r="R20" s="81">
        <v>26</v>
      </c>
      <c r="S20" s="81">
        <v>25</v>
      </c>
      <c r="T20" s="81">
        <v>25</v>
      </c>
      <c r="U20" s="81">
        <v>23</v>
      </c>
      <c r="V20" s="81">
        <v>27</v>
      </c>
      <c r="W20" s="81">
        <v>27</v>
      </c>
      <c r="X20" s="81">
        <v>21</v>
      </c>
      <c r="Y20" s="110">
        <v>21</v>
      </c>
      <c r="Z20" s="81">
        <v>28</v>
      </c>
      <c r="AA20" s="81">
        <v>22</v>
      </c>
      <c r="AB20" s="81">
        <v>24</v>
      </c>
      <c r="AC20" s="81">
        <v>25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9" t="s" ph="1">
        <v>178</v>
      </c>
      <c r="D24" s="71">
        <v>3.32</v>
      </c>
      <c r="E24" s="71">
        <v>95.4</v>
      </c>
      <c r="F24" s="71">
        <v>0</v>
      </c>
      <c r="G24" s="71">
        <v>2845</v>
      </c>
      <c r="H24" s="71">
        <v>3914</v>
      </c>
      <c r="I24" s="71">
        <v>4664</v>
      </c>
      <c r="J24" s="71">
        <v>4944</v>
      </c>
      <c r="K24" s="71">
        <v>85</v>
      </c>
      <c r="L24" s="71">
        <v>0</v>
      </c>
      <c r="M24" s="71">
        <v>5417</v>
      </c>
      <c r="N24" s="71">
        <v>5365</v>
      </c>
      <c r="O24" s="71">
        <v>3</v>
      </c>
      <c r="P24" s="71">
        <v>837</v>
      </c>
      <c r="Q24" s="90">
        <v>2670</v>
      </c>
      <c r="R24" s="71">
        <v>5265</v>
      </c>
      <c r="S24" s="71">
        <v>228</v>
      </c>
      <c r="T24" s="71">
        <v>1754</v>
      </c>
      <c r="U24" s="71">
        <v>5309</v>
      </c>
      <c r="V24" s="71">
        <v>9642</v>
      </c>
      <c r="W24" s="71">
        <v>8319</v>
      </c>
      <c r="X24" s="71">
        <v>5944</v>
      </c>
      <c r="Y24" s="71">
        <v>6109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2327.103582624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40778.240206999995</v>
      </c>
      <c r="H25" s="91" ph="1">
        <f>H24*18.322*LOOKUP(H26,密度!$A$2:$A$50,密度!$B$2:$B$50)</f>
        <v>56165.079625599996</v>
      </c>
      <c r="I25" s="91" ph="1">
        <f>I24*18.322*LOOKUP(I26,密度!$A$2:$A$50,密度!$Q$2:$Q$50)</f>
        <v>81103.354634719988</v>
      </c>
      <c r="J25" s="91" ph="1">
        <f>J24*18.322*LOOKUP(J26,密度!$A$2:$A$50,密度!$Q$2:$Q$50)</f>
        <v>85972.338189119997</v>
      </c>
      <c r="K25" s="91" ph="1">
        <f>K24*18.322*LOOKUP(K26,密度!$A$2:$A$50,密度!$Q$2:$Q$50)</f>
        <v>1479.0187152999999</v>
      </c>
      <c r="L25" s="91" ph="1">
        <f>L24*18.322*LOOKUP(L26,密度!$A$2:$A$50,密度!$Q$2:$Q$50)</f>
        <v>0</v>
      </c>
      <c r="M25" s="91" ph="1">
        <f>M24*18.322*LOOKUP(M26,密度!$A$2:$A$50,密度!$Q$2:$Q$50)</f>
        <v>94197.442550659995</v>
      </c>
      <c r="N25" s="91" ph="1">
        <f>N24*18.322*LOOKUP(N26,密度!$A$2:$A$50,密度!$Q$2:$Q$50)</f>
        <v>93293.202747699994</v>
      </c>
      <c r="O25" s="91" ph="1">
        <f>O24*18.322*LOOKUP(O26,密度!$A$2:$A$50,密度!$C$2:$C$50)</f>
        <v>61.072722599999992</v>
      </c>
      <c r="P25" s="91" ph="1">
        <f>P24*11.702*LOOKUP(P26,密度!$A$2:$A$50,密度!$B$2:$B$50)</f>
        <v>7671.1103568000008</v>
      </c>
      <c r="Q25" s="92" ph="1">
        <f>Q24*18.322*LOOKUP(Q26,密度!$A$2:$A$50,密度!$B$2:$B$50)</f>
        <v>38269.912601999997</v>
      </c>
      <c r="R25" s="91" ph="1">
        <f>R24*35.891*LOOKUP(R26,密度!$A$2:$A$50,密度!$C$2:$C$50)</f>
        <v>210111.42326850002</v>
      </c>
      <c r="S25" s="91" ph="1">
        <f>S24*35.891*LOOKUP(S26,密度!$A$2:$A$50,密度!$B$2:$B$50)</f>
        <v>6409.0415135999992</v>
      </c>
      <c r="T25" s="91" ph="1">
        <f>T24*35.891*LOOKUP(T26,密度!$A$2:$A$50,密度!$Q$2:$Q$50)</f>
        <v>59785.657927660002</v>
      </c>
      <c r="U25" s="91" ph="1">
        <f>U24*35.891</f>
        <v>190545.31899999999</v>
      </c>
      <c r="V25" s="91" ph="1">
        <f>V24*47.051*LOOKUP(V26,密度!$A$2:$A$50,密度!$B$2:$B$50)</f>
        <v>354902.7099666</v>
      </c>
      <c r="W25" s="91" ph="1">
        <f>W24*47.051*LOOKUP(W26,密度!$A$2:$A$50,密度!$B$2:$B$50)</f>
        <v>306205.72953870002</v>
      </c>
      <c r="X25" s="91" ph="1">
        <f>X24*47.051*LOOKUP(X26,密度!$A$2:$A$50,密度!$I$2:$I$50)</f>
        <v>289638.62357216002</v>
      </c>
      <c r="Y25" s="91" ph="1">
        <f>Y24*47.051*LOOKUP(Y26,密度!$A$2:$A$50,密度!$L$2:$L$50)</f>
        <v>270188.48546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22</v>
      </c>
      <c r="H26" s="74">
        <v>21</v>
      </c>
      <c r="I26" s="74">
        <v>22</v>
      </c>
      <c r="J26" s="74">
        <v>22</v>
      </c>
      <c r="K26" s="74">
        <v>21</v>
      </c>
      <c r="L26" s="74">
        <v>21</v>
      </c>
      <c r="M26" s="74">
        <v>22</v>
      </c>
      <c r="N26" s="74">
        <v>22</v>
      </c>
      <c r="O26" s="74">
        <v>22</v>
      </c>
      <c r="P26" s="74">
        <v>21</v>
      </c>
      <c r="Q26" s="93">
        <v>22</v>
      </c>
      <c r="R26" s="74">
        <v>21</v>
      </c>
      <c r="S26" s="74">
        <v>21</v>
      </c>
      <c r="T26" s="74">
        <v>21</v>
      </c>
      <c r="U26" s="74">
        <v>22</v>
      </c>
      <c r="V26" s="74">
        <v>22</v>
      </c>
      <c r="W26" s="74">
        <v>22</v>
      </c>
      <c r="X26" s="74">
        <v>55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9" t="s" ph="1">
        <v>181</v>
      </c>
      <c r="D27" s="71">
        <v>3.29</v>
      </c>
      <c r="E27" s="71">
        <v>95.42</v>
      </c>
      <c r="F27" s="71">
        <v>0</v>
      </c>
      <c r="G27" s="71">
        <v>2353</v>
      </c>
      <c r="H27" s="71">
        <v>3457</v>
      </c>
      <c r="I27" s="71">
        <v>4664</v>
      </c>
      <c r="J27" s="71">
        <v>4947</v>
      </c>
      <c r="K27" s="71">
        <v>82</v>
      </c>
      <c r="L27" s="71">
        <v>0</v>
      </c>
      <c r="M27" s="71">
        <v>5420</v>
      </c>
      <c r="N27" s="71">
        <v>5367</v>
      </c>
      <c r="O27" s="71">
        <v>0</v>
      </c>
      <c r="P27" s="71">
        <v>835</v>
      </c>
      <c r="Q27" s="90">
        <v>2144</v>
      </c>
      <c r="R27" s="71">
        <v>5263</v>
      </c>
      <c r="S27" s="71">
        <v>223</v>
      </c>
      <c r="T27" s="71">
        <v>1753</v>
      </c>
      <c r="U27" s="71">
        <v>5262</v>
      </c>
      <c r="V27" s="71">
        <v>9646</v>
      </c>
      <c r="W27" s="71">
        <v>8320</v>
      </c>
      <c r="X27" s="71">
        <v>6189</v>
      </c>
      <c r="Y27" s="71">
        <v>4504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9" t="s" ph="1">
        <v>179</v>
      </c>
      <c r="D28" s="91" ph="1">
        <f>D27*268.68*LOOKUP(D29,密度!$A$2:$A$50,密度!$Q$2:$Q$50)+IF(D27&lt;=0,0,1566*LOOKUP(D29,密度!$A$2:$A$50,密度!$Q$2:$Q$50))</f>
        <v>2319.4724795279999</v>
      </c>
      <c r="E28" s="91" ph="1">
        <f>E27*268.68*LOOKUP(E29,密度!$A$2:$A$50,密度!$C$2:$C$50)+IF(E27&lt;=0,0,1566*LOOKUP(E29,密度!$A$2:$A$50,密度!$C$2:$C$50))</f>
        <v>30165.900825840003</v>
      </c>
      <c r="F28" s="91" ph="1">
        <f>F27*11.702*LOOKUP(F29,密度!$A$2:$A$50,密度!$Q$2:$Q$50)</f>
        <v>0</v>
      </c>
      <c r="G28" s="91" ph="1">
        <f>G27*18.322*LOOKUP(G29,密度!$A$2:$A$50,密度!$B$2:$B$50)</f>
        <v>33687.455812399996</v>
      </c>
      <c r="H28" s="91" ph="1">
        <f>H27*18.322*LOOKUP(H29,密度!$A$2:$A$50,密度!$B$2:$B$50)</f>
        <v>49550.220174199996</v>
      </c>
      <c r="I28" s="91" ph="1">
        <f>I27*18.322*LOOKUP(I29,密度!$A$2:$A$50,密度!$Q$2:$Q$50)</f>
        <v>81027.30074559999</v>
      </c>
      <c r="J28" s="91" ph="1">
        <f>J27*18.322*LOOKUP(J29,密度!$A$2:$A$50,密度!$Q$2:$Q$50)</f>
        <v>86024.505870059991</v>
      </c>
      <c r="K28" s="91" ph="1">
        <f>K27*18.322*LOOKUP(K29,密度!$A$2:$A$50,密度!$Q$2:$Q$50)</f>
        <v>1425.91661236</v>
      </c>
      <c r="L28" s="91" ph="1">
        <f>L27*18.322*LOOKUP(L29,密度!$A$2:$A$50,密度!$Q$2:$Q$50)</f>
        <v>0</v>
      </c>
      <c r="M28" s="91" ph="1">
        <f>M27*18.322*LOOKUP(M29,密度!$A$2:$A$50,密度!$Q$2:$Q$50)</f>
        <v>94249.610231599989</v>
      </c>
      <c r="N28" s="91" ph="1">
        <f>N27*18.322*LOOKUP(N29,密度!$A$2:$A$50,密度!$Q$2:$Q$50)</f>
        <v>93240.463786799999</v>
      </c>
      <c r="O28" s="91" ph="1">
        <f>O27*18.322*LOOKUP(O29,密度!$A$2:$A$50,密度!$C$2:$C$50)</f>
        <v>0</v>
      </c>
      <c r="P28" s="91" ph="1">
        <f>P27*11.702*LOOKUP(P29,密度!$A$2:$A$50,密度!$B$2:$B$50)</f>
        <v>7643.9862910000002</v>
      </c>
      <c r="Q28" s="92" ph="1">
        <f>Q27*18.322*LOOKUP(Q29,密度!$A$2:$A$50,密度!$B$2:$B$50)</f>
        <v>30695.242355199996</v>
      </c>
      <c r="R28" s="91" ph="1">
        <f>R27*35.891*LOOKUP(R29,密度!$A$2:$A$50,密度!$C$2:$C$50)</f>
        <v>209748.26736319999</v>
      </c>
      <c r="S28" s="91" ph="1">
        <f>S27*35.891*LOOKUP(S29,密度!$A$2:$A$50,密度!$B$2:$B$50)</f>
        <v>6261.2890338999996</v>
      </c>
      <c r="T28" s="91" ph="1">
        <f>T27*35.891*LOOKUP(T29,密度!$A$2:$A$50,密度!$Q$2:$Q$50)</f>
        <v>59657.826388599999</v>
      </c>
      <c r="U28" s="91" ph="1">
        <f>U27*35.891</f>
        <v>188858.44199999998</v>
      </c>
      <c r="V28" s="91" ph="1">
        <f>V27*47.051*LOOKUP(V29,密度!$A$2:$A$50,密度!$B$2:$B$50)</f>
        <v>355049.94195579999</v>
      </c>
      <c r="W28" s="91" ph="1">
        <f>W27*47.051*LOOKUP(W29,密度!$A$2:$A$50,密度!$B$2:$B$50)</f>
        <v>306242.53753600002</v>
      </c>
      <c r="X28" s="91" ph="1">
        <f>X27*47.051*LOOKUP(X29,密度!$A$2:$A$50,密度!$I$2:$I$50)</f>
        <v>301576.95849395997</v>
      </c>
      <c r="Y28" s="91" ph="1">
        <f>Y27*47.051*LOOKUP(Y29,密度!$A$2:$A$50,密度!$L$2:$L$50)</f>
        <v>199202.64176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9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22</v>
      </c>
      <c r="L29" s="74">
        <v>22</v>
      </c>
      <c r="M29" s="74">
        <v>22</v>
      </c>
      <c r="N29" s="74">
        <v>23</v>
      </c>
      <c r="O29" s="74">
        <v>22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57</v>
      </c>
      <c r="Y29" s="74">
        <v>22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117547.46268120001</v>
      </c>
      <c r="E33" s="217" ph="1">
        <f>M10+I10</f>
        <v>90280.3170732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21" ph="1">
        <v>0</v>
      </c>
      <c r="H33" s="217" ph="1">
        <f>N19</f>
        <v>15885.0147032</v>
      </c>
      <c r="I33" s="230" ph="1">
        <v>0</v>
      </c>
      <c r="J33" s="228" ph="1">
        <f>F10+O28</f>
        <v>103426.9777512</v>
      </c>
      <c r="K33" s="217" ph="1">
        <f>O10+K10+E28+R28</f>
        <v>276470.86488984001</v>
      </c>
      <c r="L33" s="232" ph="1">
        <f>BE27</f>
        <v>7100</v>
      </c>
      <c r="M33" s="228" ph="1">
        <f>G10+H10+W28+S28+V28+E10</f>
        <v>1068565.9792736999</v>
      </c>
      <c r="N33" s="217" ph="1">
        <f>L10+P10++G28+H28</f>
        <v>440343.14612259995</v>
      </c>
      <c r="O33" s="230" ph="1">
        <f>BE17</f>
        <v>2270</v>
      </c>
      <c r="P33" s="228" ph="1">
        <f>L19</f>
        <v>12634.656326</v>
      </c>
      <c r="Q33" s="217" ph="1">
        <f>J10+N10</f>
        <v>47302.895394800005</v>
      </c>
      <c r="R33" s="230" ph="1">
        <f>BE23</f>
        <v>890</v>
      </c>
      <c r="S33" s="228" ph="1">
        <f>E10+X28</f>
        <v>471658.40693495999</v>
      </c>
      <c r="T33" s="217" ph="1">
        <f>X19</f>
        <v>7293.5984171999999</v>
      </c>
      <c r="U33" s="238" ph="1">
        <f>BE21</f>
        <v>730</v>
      </c>
      <c r="V33" s="249" ph="1">
        <f ca="1">P19+Q19+S19+M28+N28+J28</f>
        <v>392262.93374352402</v>
      </c>
      <c r="W33" s="249" ph="1">
        <f>D28+F28+V19+T28</f>
        <v>76679.255823328</v>
      </c>
      <c r="X33" s="230" ph="1">
        <f>BE29+BE31</f>
        <v>10200</v>
      </c>
      <c r="Y33" s="251" ph="1">
        <f>+Q10+R10+S10+T10+U10+V10+W10+X10+Y10</f>
        <v>281660.46844319999</v>
      </c>
      <c r="Z33" s="236" ph="1">
        <f>D10+T19+U19+Y28+Z10</f>
        <v>615462.01720364008</v>
      </c>
      <c r="AA33" s="238" ph="1">
        <f>BE19</f>
        <v>1440</v>
      </c>
      <c r="AB33" s="240" ph="1">
        <f>I19</f>
        <v>14491.255963799998</v>
      </c>
      <c r="AC33" s="242" ph="1">
        <f>AD10</f>
        <v>26115.073488000002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1" t="s" ph="1">
        <v>186</v>
      </c>
      <c r="AA36" s="161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11" priority="96">
      <formula>ABS(D$7-D$10)&gt;=1000</formula>
    </cfRule>
  </conditionalFormatting>
  <conditionalFormatting sqref="E4 E6:E11">
    <cfRule type="expression" dxfId="1510" priority="95">
      <formula>ABS(E$7-E$10)&gt;=1000</formula>
    </cfRule>
  </conditionalFormatting>
  <conditionalFormatting sqref="F4:F11">
    <cfRule type="expression" dxfId="1509" priority="94">
      <formula>ABS(F$7-F$10)&gt;=1000</formula>
    </cfRule>
  </conditionalFormatting>
  <conditionalFormatting sqref="G4:G11">
    <cfRule type="expression" dxfId="1508" priority="93">
      <formula>ABS(G$7-G$10)&gt;=1000</formula>
    </cfRule>
  </conditionalFormatting>
  <conditionalFormatting sqref="H4:H11">
    <cfRule type="expression" dxfId="1507" priority="92">
      <formula>ABS(H$7-H$10)&gt;=1000</formula>
    </cfRule>
  </conditionalFormatting>
  <conditionalFormatting sqref="I4:I11">
    <cfRule type="expression" dxfId="1506" priority="91">
      <formula>ABS(I$7-I$10)&gt;=1000</formula>
    </cfRule>
  </conditionalFormatting>
  <conditionalFormatting sqref="J4:J11">
    <cfRule type="expression" dxfId="1505" priority="90">
      <formula>ABS(J$7-J$10)&gt;=1000</formula>
    </cfRule>
  </conditionalFormatting>
  <conditionalFormatting sqref="K4:K11">
    <cfRule type="expression" dxfId="1504" priority="89">
      <formula>ABS(K$7-K$10)&gt;=1000</formula>
    </cfRule>
  </conditionalFormatting>
  <conditionalFormatting sqref="L4:L11">
    <cfRule type="expression" dxfId="1503" priority="88">
      <formula>ABS(L$7-L$10)&gt;=1000</formula>
    </cfRule>
  </conditionalFormatting>
  <conditionalFormatting sqref="M4 M6:M11">
    <cfRule type="expression" dxfId="1502" priority="87">
      <formula>ABS(M$7-M$10)&gt;=1000</formula>
    </cfRule>
  </conditionalFormatting>
  <conditionalFormatting sqref="N4 N6:N11">
    <cfRule type="expression" dxfId="1501" priority="86">
      <formula>ABS(N$7-N$10)&gt;=1000</formula>
    </cfRule>
  </conditionalFormatting>
  <conditionalFormatting sqref="O4 O6:O11">
    <cfRule type="expression" dxfId="1500" priority="85">
      <formula>ABS(O$7-O$10)&gt;=1000</formula>
    </cfRule>
  </conditionalFormatting>
  <conditionalFormatting sqref="P4 P6:P11">
    <cfRule type="expression" dxfId="1499" priority="84">
      <formula>ABS(P$7-P$10)&gt;=1000</formula>
    </cfRule>
  </conditionalFormatting>
  <conditionalFormatting sqref="Q4:Q11">
    <cfRule type="expression" dxfId="1498" priority="83">
      <formula>ABS(Q$7-Q$10)&gt;=1000</formula>
    </cfRule>
  </conditionalFormatting>
  <conditionalFormatting sqref="R4:R11">
    <cfRule type="expression" dxfId="1497" priority="82">
      <formula>ABS(R$7-R$10)&gt;=1000</formula>
    </cfRule>
  </conditionalFormatting>
  <conditionalFormatting sqref="S4:S11">
    <cfRule type="expression" dxfId="1496" priority="81">
      <formula>ABS(S$7-S$10)&gt;=1000</formula>
    </cfRule>
  </conditionalFormatting>
  <conditionalFormatting sqref="T4:T9 T11">
    <cfRule type="expression" dxfId="1495" priority="80">
      <formula>ABS(T$7-T$10)&gt;=1000</formula>
    </cfRule>
  </conditionalFormatting>
  <conditionalFormatting sqref="U4:U9 U11">
    <cfRule type="expression" dxfId="1494" priority="79">
      <formula>ABS(U$7-U$10)&gt;=1000</formula>
    </cfRule>
  </conditionalFormatting>
  <conditionalFormatting sqref="V4:V9 V11">
    <cfRule type="expression" dxfId="1493" priority="78">
      <formula>ABS(V$7-V$10)&gt;=1000</formula>
    </cfRule>
  </conditionalFormatting>
  <conditionalFormatting sqref="W4:W9 W11">
    <cfRule type="expression" dxfId="1492" priority="77">
      <formula>ABS(W$7-W$10)&gt;=1000</formula>
    </cfRule>
  </conditionalFormatting>
  <conditionalFormatting sqref="X4:X9 X11">
    <cfRule type="expression" dxfId="1491" priority="76">
      <formula>ABS(X$7-X$10)&gt;=1000</formula>
    </cfRule>
  </conditionalFormatting>
  <conditionalFormatting sqref="Y4:Y9 Y11">
    <cfRule type="expression" dxfId="1490" priority="75">
      <formula>ABS(Y$7-Y$10)&gt;=1000</formula>
    </cfRule>
  </conditionalFormatting>
  <conditionalFormatting sqref="Z4:Z11">
    <cfRule type="expression" dxfId="1489" priority="74">
      <formula>ABS(Z$7-Z$10)&gt;=1000</formula>
    </cfRule>
  </conditionalFormatting>
  <conditionalFormatting sqref="AA4:AA11">
    <cfRule type="expression" dxfId="1488" priority="73">
      <formula>ABS(AA$7-AA$10)&gt;=1000</formula>
    </cfRule>
  </conditionalFormatting>
  <conditionalFormatting sqref="AB4:AB11">
    <cfRule type="expression" dxfId="1487" priority="72">
      <formula>ABS(AB$7-AB$10)&gt;=1000</formula>
    </cfRule>
  </conditionalFormatting>
  <conditionalFormatting sqref="AC4 AC6:AC11">
    <cfRule type="expression" dxfId="1486" priority="71">
      <formula>ABS(AC$7-AC$10)&gt;=1000</formula>
    </cfRule>
  </conditionalFormatting>
  <conditionalFormatting sqref="AD4:AD11">
    <cfRule type="expression" dxfId="1485" priority="70">
      <formula>ABS(AD$7-AD$10)&gt;=1000</formula>
    </cfRule>
  </conditionalFormatting>
  <conditionalFormatting sqref="AE4:AE11">
    <cfRule type="expression" dxfId="1484" priority="69">
      <formula>ABS(AE$7-AE$10)&gt;=1000</formula>
    </cfRule>
  </conditionalFormatting>
  <conditionalFormatting sqref="D13:D20">
    <cfRule type="expression" dxfId="1483" priority="68">
      <formula>ABS(D$16-D$19)&gt;=1000</formula>
    </cfRule>
  </conditionalFormatting>
  <conditionalFormatting sqref="E13:E20">
    <cfRule type="expression" dxfId="1482" priority="67">
      <formula>ABS(E$16-E$19)&gt;=1000</formula>
    </cfRule>
  </conditionalFormatting>
  <conditionalFormatting sqref="F13 F15:F20">
    <cfRule type="expression" dxfId="1481" priority="66">
      <formula>ABS(F$16-F$19)&gt;=1000</formula>
    </cfRule>
  </conditionalFormatting>
  <conditionalFormatting sqref="G13:G20">
    <cfRule type="expression" dxfId="1480" priority="65">
      <formula>ABS(G$16-G$19)&gt;=1000</formula>
    </cfRule>
  </conditionalFormatting>
  <conditionalFormatting sqref="H13:H20">
    <cfRule type="expression" dxfId="1479" priority="64">
      <formula>ABS(H$16-H$19)&gt;=1000</formula>
    </cfRule>
  </conditionalFormatting>
  <conditionalFormatting sqref="I13:I20">
    <cfRule type="expression" dxfId="1478" priority="63">
      <formula>ABS(I$16-I$19)&gt;=1000</formula>
    </cfRule>
  </conditionalFormatting>
  <conditionalFormatting sqref="J13:J20">
    <cfRule type="expression" dxfId="1477" priority="62">
      <formula>ABS(J$16-J$19)&gt;=1000</formula>
    </cfRule>
  </conditionalFormatting>
  <conditionalFormatting sqref="L13:L20">
    <cfRule type="expression" dxfId="1476" priority="61">
      <formula>ABS(L$16-L$19)&gt;=1000</formula>
    </cfRule>
  </conditionalFormatting>
  <conditionalFormatting sqref="M13 M15 M17:M18 M20">
    <cfRule type="expression" dxfId="1475" priority="60">
      <formula>ABS(M$16-M$19)&gt;=1000</formula>
    </cfRule>
  </conditionalFormatting>
  <conditionalFormatting sqref="N13:N20">
    <cfRule type="expression" dxfId="1474" priority="59">
      <formula>ABS(N$16-N$19)&gt;=1000</formula>
    </cfRule>
  </conditionalFormatting>
  <conditionalFormatting sqref="O13:O20">
    <cfRule type="expression" dxfId="1473" priority="58">
      <formula>ABS(O$16-O$19)&gt;=1000</formula>
    </cfRule>
  </conditionalFormatting>
  <conditionalFormatting sqref="P13:P20">
    <cfRule type="expression" dxfId="1472" priority="57">
      <formula>ABS(P$16-P$19)&gt;=1000</formula>
    </cfRule>
  </conditionalFormatting>
  <conditionalFormatting sqref="Q13 Q15:Q20">
    <cfRule type="expression" dxfId="1471" priority="56">
      <formula>ABS(Q$16-Q$19)&gt;=1000</formula>
    </cfRule>
  </conditionalFormatting>
  <conditionalFormatting sqref="R13:R20">
    <cfRule type="expression" dxfId="1470" priority="55">
      <formula>ABS(R$16-R$19)&gt;=1000</formula>
    </cfRule>
  </conditionalFormatting>
  <conditionalFormatting sqref="S13:S20">
    <cfRule type="expression" dxfId="1469" priority="54">
      <formula>ABS(S$16-S$19)&gt;=1000</formula>
    </cfRule>
  </conditionalFormatting>
  <conditionalFormatting sqref="T13:T20">
    <cfRule type="expression" dxfId="1468" priority="53">
      <formula>ABS(T$16-T$19)&gt;=1000</formula>
    </cfRule>
  </conditionalFormatting>
  <conditionalFormatting sqref="U13:U20">
    <cfRule type="expression" dxfId="1467" priority="52">
      <formula>ABS(U$16-U$19)&gt;=1000</formula>
    </cfRule>
  </conditionalFormatting>
  <conditionalFormatting sqref="V13:V20">
    <cfRule type="expression" dxfId="1466" priority="51">
      <formula>ABS(V$16-V$19)&gt;=1000</formula>
    </cfRule>
  </conditionalFormatting>
  <conditionalFormatting sqref="W13 W20 W15:W18">
    <cfRule type="expression" dxfId="1465" priority="50">
      <formula>ABS(W$16-W$19)&gt;=1000</formula>
    </cfRule>
  </conditionalFormatting>
  <conditionalFormatting sqref="X13 X15:X20 Y19">
    <cfRule type="expression" dxfId="1464" priority="49">
      <formula>ABS(X$16-X$19)&gt;=1000</formula>
    </cfRule>
  </conditionalFormatting>
  <conditionalFormatting sqref="Y13 Y15:Y18 Y20">
    <cfRule type="expression" dxfId="1463" priority="48">
      <formula>ABS(Y$16-Y$19)&gt;=1000</formula>
    </cfRule>
  </conditionalFormatting>
  <conditionalFormatting sqref="Z13:Z20">
    <cfRule type="expression" dxfId="1462" priority="47">
      <formula>ABS(Z$16-Z$19)&gt;=1000</formula>
    </cfRule>
  </conditionalFormatting>
  <conditionalFormatting sqref="AA13:AA20">
    <cfRule type="expression" dxfId="1461" priority="46">
      <formula>ABS(AA$16-AA$19)&gt;=1000</formula>
    </cfRule>
  </conditionalFormatting>
  <conditionalFormatting sqref="AB13 AB15:AB20">
    <cfRule type="expression" dxfId="1460" priority="45">
      <formula>ABS(AB$16-AB$19)&gt;=1000</formula>
    </cfRule>
  </conditionalFormatting>
  <conditionalFormatting sqref="AC13 AC15:AC20">
    <cfRule type="expression" dxfId="1459" priority="44">
      <formula>ABS(AC$16-AC$19)&gt;=1000</formula>
    </cfRule>
  </conditionalFormatting>
  <conditionalFormatting sqref="AD13:AD20">
    <cfRule type="expression" dxfId="1458" priority="43">
      <formula>ABS(AD$16-AD$19)&gt;=1000</formula>
    </cfRule>
  </conditionalFormatting>
  <conditionalFormatting sqref="AE13:AE20">
    <cfRule type="expression" dxfId="1457" priority="42">
      <formula>ABS(AE$16-AE$19)&gt;=1000</formula>
    </cfRule>
  </conditionalFormatting>
  <conditionalFormatting sqref="D22:D29">
    <cfRule type="expression" dxfId="1456" priority="41">
      <formula>ABS(D$25-D$28)&gt;=1000</formula>
    </cfRule>
  </conditionalFormatting>
  <conditionalFormatting sqref="E22:E29">
    <cfRule type="expression" dxfId="1455" priority="40">
      <formula>ABS(E$25-E$28)&gt;=1000</formula>
    </cfRule>
  </conditionalFormatting>
  <conditionalFormatting sqref="F22:F29">
    <cfRule type="expression" dxfId="1454" priority="39">
      <formula>ABS(F$25-F$28)&gt;=1000</formula>
    </cfRule>
  </conditionalFormatting>
  <conditionalFormatting sqref="G22:G29">
    <cfRule type="expression" dxfId="1453" priority="38">
      <formula>ABS(G$25-G$28)&gt;=1000</formula>
    </cfRule>
  </conditionalFormatting>
  <conditionalFormatting sqref="H22:H29">
    <cfRule type="expression" dxfId="1452" priority="37">
      <formula>ABS(H$25-H$28)&gt;=1000</formula>
    </cfRule>
  </conditionalFormatting>
  <conditionalFormatting sqref="I22 I24:I29">
    <cfRule type="expression" dxfId="1451" priority="36">
      <formula>ABS(I$25-I$28)&gt;=1000</formula>
    </cfRule>
  </conditionalFormatting>
  <conditionalFormatting sqref="J22:J29 K22">
    <cfRule type="expression" dxfId="1450" priority="35">
      <formula>ABS(J$25-J$28)&gt;=1000</formula>
    </cfRule>
  </conditionalFormatting>
  <conditionalFormatting sqref="K23:K29 L25 L28">
    <cfRule type="expression" dxfId="1449" priority="34">
      <formula>ABS(K$25-K$28)&gt;=1000</formula>
    </cfRule>
  </conditionalFormatting>
  <conditionalFormatting sqref="L22:L24 L26:L27 L29">
    <cfRule type="expression" dxfId="1448" priority="33">
      <formula>ABS(L$25-L$28)&gt;=1000</formula>
    </cfRule>
  </conditionalFormatting>
  <conditionalFormatting sqref="M22:M29">
    <cfRule type="expression" dxfId="1447" priority="32">
      <formula>ABS(M$25-M$28)&gt;=1000</formula>
    </cfRule>
  </conditionalFormatting>
  <conditionalFormatting sqref="N22:N29">
    <cfRule type="expression" dxfId="1446" priority="31">
      <formula>ABS(N$25-N$28)&gt;=1000</formula>
    </cfRule>
  </conditionalFormatting>
  <conditionalFormatting sqref="O22:O29">
    <cfRule type="expression" dxfId="1445" priority="30">
      <formula>ABS(O$25-O$28)&gt;=1000</formula>
    </cfRule>
  </conditionalFormatting>
  <conditionalFormatting sqref="P22:P29">
    <cfRule type="expression" dxfId="1444" priority="29">
      <formula>ABS(P$25-P$28)&gt;=1000</formula>
    </cfRule>
  </conditionalFormatting>
  <conditionalFormatting sqref="Q22:Q29">
    <cfRule type="expression" dxfId="1443" priority="28">
      <formula>ABS(Q$25-Q$28)&gt;=1000</formula>
    </cfRule>
  </conditionalFormatting>
  <conditionalFormatting sqref="R22:R29">
    <cfRule type="expression" dxfId="1442" priority="27">
      <formula>ABS(R$25-R$28)&gt;=1000</formula>
    </cfRule>
  </conditionalFormatting>
  <conditionalFormatting sqref="S22:S29">
    <cfRule type="expression" dxfId="1441" priority="26">
      <formula>ABS(S$25-S$28)&gt;=1000</formula>
    </cfRule>
  </conditionalFormatting>
  <conditionalFormatting sqref="T22:T29">
    <cfRule type="expression" dxfId="1440" priority="25">
      <formula>ABS(T$25-T$28)&gt;=1000</formula>
    </cfRule>
  </conditionalFormatting>
  <conditionalFormatting sqref="U22:U29">
    <cfRule type="expression" dxfId="1439" priority="24">
      <formula>ABS(U$25-U$28)&gt;=1000</formula>
    </cfRule>
  </conditionalFormatting>
  <conditionalFormatting sqref="V22:V29">
    <cfRule type="expression" dxfId="1438" priority="23">
      <formula>ABS(V$25-V$28)&gt;=1000</formula>
    </cfRule>
  </conditionalFormatting>
  <conditionalFormatting sqref="W22:W29">
    <cfRule type="expression" dxfId="1437" priority="22">
      <formula>ABS(W$25-W$28)&gt;=1000</formula>
    </cfRule>
  </conditionalFormatting>
  <conditionalFormatting sqref="X22:X29">
    <cfRule type="expression" dxfId="1436" priority="21">
      <formula>ABS(X$25-X$28)&gt;=1000</formula>
    </cfRule>
  </conditionalFormatting>
  <conditionalFormatting sqref="Y22:Y29">
    <cfRule type="expression" dxfId="1435" priority="20">
      <formula>ABS(Y$25-Y$28)&gt;=1000</formula>
    </cfRule>
  </conditionalFormatting>
  <conditionalFormatting sqref="I23">
    <cfRule type="expression" dxfId="1434" priority="19">
      <formula>ABS(I$25-I$28)&gt;=1000</formula>
    </cfRule>
  </conditionalFormatting>
  <conditionalFormatting sqref="F14">
    <cfRule type="expression" dxfId="1433" priority="18">
      <formula>ABS(F$16-F$19)&gt;=1000</formula>
    </cfRule>
  </conditionalFormatting>
  <conditionalFormatting sqref="Q14">
    <cfRule type="expression" dxfId="1432" priority="17">
      <formula>ABS(Q$16-Q$19)&gt;=1000</formula>
    </cfRule>
  </conditionalFormatting>
  <conditionalFormatting sqref="W14">
    <cfRule type="expression" dxfId="1431" priority="16">
      <formula>ABS(W$16-W$19)&gt;=1000</formula>
    </cfRule>
  </conditionalFormatting>
  <conditionalFormatting sqref="Y14">
    <cfRule type="expression" dxfId="1430" priority="15">
      <formula>ABS(Y$16-Y$19)&gt;=1000</formula>
    </cfRule>
  </conditionalFormatting>
  <conditionalFormatting sqref="X14">
    <cfRule type="expression" dxfId="1429" priority="14">
      <formula>ABS(X$16-X$19)&gt;=1000</formula>
    </cfRule>
  </conditionalFormatting>
  <conditionalFormatting sqref="T10:Y10">
    <cfRule type="expression" dxfId="1428" priority="13">
      <formula>ABS(T$7-T$10)&gt;=1000</formula>
    </cfRule>
  </conditionalFormatting>
  <conditionalFormatting sqref="W19">
    <cfRule type="expression" dxfId="1427" priority="12">
      <formula>ABS(W$16-W$19)&gt;=1000</formula>
    </cfRule>
  </conditionalFormatting>
  <conditionalFormatting sqref="AC5">
    <cfRule type="expression" dxfId="1426" priority="11">
      <formula>ABS(AC$7-AC$10)&gt;=1000</formula>
    </cfRule>
  </conditionalFormatting>
  <conditionalFormatting sqref="M14">
    <cfRule type="expression" dxfId="1425" priority="10">
      <formula>ABS(M$16-M$19)&gt;=1000</formula>
    </cfRule>
  </conditionalFormatting>
  <conditionalFormatting sqref="M16">
    <cfRule type="expression" dxfId="1424" priority="9">
      <formula>ABS(M$16-M$19)&gt;=1000</formula>
    </cfRule>
  </conditionalFormatting>
  <conditionalFormatting sqref="M19">
    <cfRule type="expression" dxfId="1423" priority="8">
      <formula>ABS(M$16-M$19)&gt;=1000</formula>
    </cfRule>
  </conditionalFormatting>
  <conditionalFormatting sqref="K13:K20">
    <cfRule type="expression" dxfId="1422" priority="7">
      <formula>ABS(K$16-K$19)&gt;=1000</formula>
    </cfRule>
  </conditionalFormatting>
  <conditionalFormatting sqref="E5">
    <cfRule type="expression" dxfId="1421" priority="6">
      <formula>ABS(E$7-E$10)&gt;=1000</formula>
    </cfRule>
  </conditionalFormatting>
  <conditionalFormatting sqref="AB14:AC14">
    <cfRule type="expression" dxfId="1420" priority="5">
      <formula>ABS(AB$16-AB$19)&gt;=1000</formula>
    </cfRule>
  </conditionalFormatting>
  <conditionalFormatting sqref="M5">
    <cfRule type="expression" dxfId="1419" priority="4">
      <formula>ABS(M$7-M$10)&gt;=1000</formula>
    </cfRule>
  </conditionalFormatting>
  <conditionalFormatting sqref="N5">
    <cfRule type="expression" dxfId="1418" priority="3">
      <formula>ABS(N$7-N$10)&gt;=1000</formula>
    </cfRule>
  </conditionalFormatting>
  <conditionalFormatting sqref="O5">
    <cfRule type="expression" dxfId="1417" priority="2">
      <formula>ABS(O$7-O$10)&gt;=1000</formula>
    </cfRule>
  </conditionalFormatting>
  <conditionalFormatting sqref="P5">
    <cfRule type="expression" dxfId="141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0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5">
    <pageSetUpPr fitToPage="1"/>
  </sheetPr>
  <dimension ref="A1:CU223"/>
  <sheetViews>
    <sheetView view="pageBreakPreview" zoomScale="80" zoomScaleNormal="100" zoomScaleSheetLayoutView="80" workbookViewId="0">
      <selection activeCell="X24" sqref="X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45763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9" t="s" ph="1">
        <v>178</v>
      </c>
      <c r="D6" s="71">
        <v>4175</v>
      </c>
      <c r="E6" s="71">
        <v>4247</v>
      </c>
      <c r="F6" s="71">
        <v>2296</v>
      </c>
      <c r="G6" s="71">
        <v>4131</v>
      </c>
      <c r="H6" s="71">
        <v>1258</v>
      </c>
      <c r="I6" s="71">
        <v>16.05</v>
      </c>
      <c r="J6" s="71">
        <v>7.73</v>
      </c>
      <c r="K6" s="71">
        <v>50.88</v>
      </c>
      <c r="L6" s="71">
        <v>87.3</v>
      </c>
      <c r="M6" s="71">
        <v>2512</v>
      </c>
      <c r="N6" s="71">
        <v>1745</v>
      </c>
      <c r="O6" s="71">
        <v>1729</v>
      </c>
      <c r="P6" s="71">
        <v>8864</v>
      </c>
      <c r="Q6" s="71">
        <v>7141</v>
      </c>
      <c r="R6" s="71">
        <v>7116</v>
      </c>
      <c r="S6" s="71">
        <v>5417</v>
      </c>
      <c r="T6" s="71">
        <v>0</v>
      </c>
      <c r="U6" s="71">
        <v>0</v>
      </c>
      <c r="V6" s="71">
        <v>0</v>
      </c>
      <c r="W6" s="71">
        <v>4939</v>
      </c>
      <c r="X6" s="71">
        <v>6733</v>
      </c>
      <c r="Y6" s="71">
        <v>5855</v>
      </c>
      <c r="Z6" s="71">
        <v>7116</v>
      </c>
      <c r="AA6" s="71">
        <v>1574</v>
      </c>
      <c r="AB6" s="71">
        <v>3021</v>
      </c>
      <c r="AC6" s="71">
        <v>5873</v>
      </c>
      <c r="AD6" s="71">
        <v>1338</v>
      </c>
      <c r="AE6" s="71">
        <v>1571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131486.00323725</v>
      </c>
      <c r="E7" s="73" ph="1">
        <f>E6*51.53*LOOKUP(E8,密度!$A$2:$A$50,密度!$B$2:$B$50)</f>
        <v>171598.64623100002</v>
      </c>
      <c r="F7" s="73" ph="1">
        <f>F6*33.183*LOOKUP(F8,密度!$A$2:$A$50,密度!$C$2:$C$50)</f>
        <v>84713.623999200019</v>
      </c>
      <c r="G7" s="73" ph="1">
        <f xml:space="preserve"> (G6+2)*51.53*LOOKUP(G8,密度!$A$2:$A$50,密度!$B$2:$B$50)</f>
        <v>166992.51350900001</v>
      </c>
      <c r="H7" s="73" ph="1">
        <f>(H6)*51.53*LOOKUP(H8,密度!$A$2:$A$50,密度!$B$2:$B$50)</f>
        <v>50829.078633999998</v>
      </c>
      <c r="I7" s="73" ph="1">
        <f>I6*290.8*1.0267</f>
        <v>4791.9579779999995</v>
      </c>
      <c r="J7" s="73" ph="1">
        <f>J6*290.8*0.7892</f>
        <v>1774.0300528</v>
      </c>
      <c r="K7" s="73" ph="1">
        <f>K6*290.8*1.1126</f>
        <v>16461.9227904</v>
      </c>
      <c r="L7" s="73" ph="1">
        <f>L6*290.8*0.777</f>
        <v>19725.574680000002</v>
      </c>
      <c r="M7" s="73" ph="1">
        <f>M6*33.183*LOOKUP(M8,密度!$A$2:$A$50,密度!$D$2:$D$50)</f>
        <v>85656.313209600004</v>
      </c>
      <c r="N7" s="73" ph="1">
        <f>N6*33.183*LOOKUP(N8,密度!$A$2:$A$50,密度!$E$2:$E$50)</f>
        <v>45420.160373999999</v>
      </c>
      <c r="O7" s="73" ph="1">
        <f>O6*20.428*LOOKUP(O8,密度!$A$2:$A$50,密度!$C$2:$C$50)</f>
        <v>39060.401270800008</v>
      </c>
      <c r="P7" s="73" ph="1">
        <f>P6*51.53*LOOKUP(P8,密度!$A$2:$A$50,密度!$B$2:$B$50)</f>
        <v>357735.93574400002</v>
      </c>
      <c r="Q7" s="73" ph="1">
        <f>Q6*1.5*1.5*3.1416*LOOKUP(W8,密度!$A$2:$A$50,密度!$L$2:$L$50)</f>
        <v>47347.306498799997</v>
      </c>
      <c r="R7" s="73" ph="1">
        <f>R6*1.5*1.5*3.1416*LOOKUP(R8,密度!$A$2:$A$50,密度!$L$2:$L$50)</f>
        <v>47080.947513600004</v>
      </c>
      <c r="S7" s="73" ph="1">
        <f>S6*1.5*1.5*3.1416*LOOKUP(S8,密度!$A$2:$A$50,密度!$L$2:$L$50)</f>
        <v>36299.4946776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32747.282845199996</v>
      </c>
      <c r="X7" s="73" ph="1">
        <f>X6*1.5*1.5*3.1416*LOOKUP(X8,密度!$A$2:$A$50,密度!$L$2:$L$50)</f>
        <v>45118.053842399997</v>
      </c>
      <c r="Y7" s="73" ph="1">
        <f>Y6*1.5*1.5*3.1416*LOOKUP(Y8,密度!$A$2:$A$50,密度!$L$2:$L$50)</f>
        <v>38944.840472999997</v>
      </c>
      <c r="Z7" s="73" ph="1">
        <f>Z6*33.183*LOOKUP(Z8,密度!$A$2:$A$50,密度!$L$2:$L$50)</f>
        <v>222434.674776</v>
      </c>
      <c r="AA7" s="73" ph="1">
        <f>AA6*33.183*LOOKUP(AA8,密度!$A$2:$A$50,密度!$D$2:$D$50)</f>
        <v>53770.828239000002</v>
      </c>
      <c r="AB7" s="73" ph="1">
        <f>AB6*20.428*LOOKUP(AB8,密度!$A$2:$A$50,密度!$D$2:$D$50)</f>
        <v>64021.053751200008</v>
      </c>
      <c r="AC7" s="73" ph="1">
        <f>AC6*51.53*LOOKUP(AC8,密度!$A$2:$A$50,密度!$Q$2:$Q$50)</f>
        <v>287410.08843609999</v>
      </c>
      <c r="AD7" s="73" ph="1">
        <f>AD6*20.428*LOOKUP(AD8,密度!$A$2:$A$50,密度!$V$2:$V$50)</f>
        <v>26348.688095999998</v>
      </c>
      <c r="AE7" s="73" ph="1">
        <f>AE6*20.428</f>
        <v>32092.388000000003</v>
      </c>
    </row>
    <row r="8" spans="1:99" ph="1">
      <c r="B8" s="195" ph="1"/>
      <c r="C8" s="68" t="s" ph="1">
        <v>180</v>
      </c>
      <c r="D8" s="74">
        <v>22</v>
      </c>
      <c r="E8" s="74">
        <v>20</v>
      </c>
      <c r="F8" s="74">
        <v>21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24</v>
      </c>
      <c r="O8" s="74">
        <v>29</v>
      </c>
      <c r="P8" s="74">
        <v>21</v>
      </c>
      <c r="Q8" s="74">
        <v>20</v>
      </c>
      <c r="R8" s="74">
        <v>26</v>
      </c>
      <c r="S8" s="74">
        <v>14</v>
      </c>
      <c r="T8" s="74">
        <v>16</v>
      </c>
      <c r="U8" s="74">
        <v>22</v>
      </c>
      <c r="V8" s="74">
        <v>27</v>
      </c>
      <c r="W8" s="74">
        <v>24</v>
      </c>
      <c r="X8" s="74">
        <v>14</v>
      </c>
      <c r="Y8" s="74">
        <v>21</v>
      </c>
      <c r="Z8" s="74">
        <v>20</v>
      </c>
      <c r="AA8" s="74">
        <v>22</v>
      </c>
      <c r="AB8" s="74">
        <v>13</v>
      </c>
      <c r="AC8" s="74">
        <v>21</v>
      </c>
      <c r="AD8" s="74">
        <v>20</v>
      </c>
      <c r="AE8" s="74">
        <v>23</v>
      </c>
    </row>
    <row r="9" spans="1:99" ht="26.4" ph="1">
      <c r="B9" s="195" ph="1">
        <v>0.66666666666666663</v>
      </c>
      <c r="C9" s="159" t="s" ph="1">
        <v>181</v>
      </c>
      <c r="D9" s="71">
        <v>4175</v>
      </c>
      <c r="E9" s="71">
        <v>4243</v>
      </c>
      <c r="F9" s="71">
        <v>2045</v>
      </c>
      <c r="G9" s="71">
        <v>4854</v>
      </c>
      <c r="H9" s="71">
        <v>1477</v>
      </c>
      <c r="I9" s="71">
        <v>16.010000000000002</v>
      </c>
      <c r="J9" s="71">
        <v>7.74</v>
      </c>
      <c r="K9" s="71">
        <v>90.9</v>
      </c>
      <c r="L9" s="71">
        <v>9.4700000000000006</v>
      </c>
      <c r="M9" s="71">
        <v>1950</v>
      </c>
      <c r="N9" s="71">
        <v>1748</v>
      </c>
      <c r="O9" s="71">
        <v>1769</v>
      </c>
      <c r="P9" s="71">
        <v>8691</v>
      </c>
      <c r="Q9" s="71">
        <v>7150</v>
      </c>
      <c r="R9" s="71">
        <v>7125</v>
      </c>
      <c r="S9" s="71">
        <v>5425</v>
      </c>
      <c r="T9" s="71">
        <v>2736</v>
      </c>
      <c r="U9" s="71">
        <v>0</v>
      </c>
      <c r="V9" s="71">
        <v>0</v>
      </c>
      <c r="W9" s="71">
        <v>0</v>
      </c>
      <c r="X9" s="71">
        <v>6568</v>
      </c>
      <c r="Y9" s="71">
        <v>5865</v>
      </c>
      <c r="Z9" s="71">
        <v>5588</v>
      </c>
      <c r="AA9" s="71">
        <v>1574</v>
      </c>
      <c r="AB9" s="71">
        <v>3975</v>
      </c>
      <c r="AC9" s="71">
        <v>5875</v>
      </c>
      <c r="AD9" s="71">
        <v>1335</v>
      </c>
      <c r="AE9" s="71">
        <v>1440</v>
      </c>
    </row>
    <row r="10" spans="1:99" s="72" customFormat="1" ht="22.2" ph="1">
      <c r="B10" s="195" ph="1"/>
      <c r="C10" s="159" t="s" ph="1">
        <v>179</v>
      </c>
      <c r="D10" s="73" ph="1">
        <f>D9*33.183*LOOKUP(D11,密度!$A$2:$A$50,密度!$Q$2:$Q$50)</f>
        <v>131160.43652849999</v>
      </c>
      <c r="E10" s="73" ph="1">
        <f>E9*51.53*LOOKUP(E11,密度!$A$2:$A$50,密度!$B$2:$B$50)</f>
        <v>169884.67083000002</v>
      </c>
      <c r="F10" s="73" ph="1">
        <f>F9*33.183*LOOKUP(F11,密度!$A$2:$A$50,密度!$C$2:$C$50)</f>
        <v>75296.607155999998</v>
      </c>
      <c r="G10" s="73" ph="1">
        <f xml:space="preserve"> (G9+2)*51.53*LOOKUP(G11,密度!$A$2:$A$50,密度!$B$2:$B$50)</f>
        <v>193777.86419199998</v>
      </c>
      <c r="H10" s="73" ph="1">
        <f>(H9)*51.53*LOOKUP(H11,密度!$A$2:$A$50,密度!$B$2:$B$50)</f>
        <v>58939.436863999996</v>
      </c>
      <c r="I10" s="73" ph="1">
        <f>I9*290.8*1.0267</f>
        <v>4780.0154036000004</v>
      </c>
      <c r="J10" s="73" ph="1">
        <f>J9*290.8*0.7892</f>
        <v>1776.3250464000002</v>
      </c>
      <c r="K10" s="73" ph="1">
        <f>K9*290.8*1.1126</f>
        <v>29410.156872000003</v>
      </c>
      <c r="L10" s="73" ph="1">
        <f>L9*290.8*0.777</f>
        <v>2139.7616520000001</v>
      </c>
      <c r="M10" s="73" ph="1">
        <f>M9*33.183*LOOKUP(M11,密度!$A$2:$A$50,密度!$D$2:$D$50)</f>
        <v>66376.286730000007</v>
      </c>
      <c r="N10" s="73" ph="1">
        <f>N9*33.183*LOOKUP(N11,密度!$A$2:$A$50,密度!$E$2:$E$50)</f>
        <v>45428.641948799996</v>
      </c>
      <c r="O10" s="73" ph="1">
        <f>O9*20.428*LOOKUP(O11,密度!$A$2:$A$50,密度!$C$2:$C$50)</f>
        <v>39671.34350960001</v>
      </c>
      <c r="P10" s="73" ph="1">
        <f>P9*51.53*LOOKUP(P11,密度!$A$2:$A$50,密度!$B$2:$B$50)</f>
        <v>348738.63800099998</v>
      </c>
      <c r="Q10" s="73" ph="1">
        <f>Q9*1.5*1.5*3.1416*LOOKUP(W11,密度!$A$2:$A$50,密度!$L$2:$L$50)</f>
        <v>46648.87227</v>
      </c>
      <c r="R10" s="73" ph="1">
        <f>R9*1.5*1.5*3.1416*LOOKUP(R11,密度!$A$2:$A$50,密度!$L$2:$L$50)</f>
        <v>46989.402075000005</v>
      </c>
      <c r="S10" s="73" ph="1">
        <f>S9*1.5*1.5*3.1416*LOOKUP(S11,密度!$A$2:$A$50,密度!$L$2:$L$50)</f>
        <v>36238.061474999995</v>
      </c>
      <c r="T10" s="73" ph="1">
        <f>T9*1.5*1.5*3.1416*LOOKUP(T11,密度!$A$2:$A$50,密度!$L$2:$L$50)</f>
        <v>18237.327292799997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43780.250606399997</v>
      </c>
      <c r="Y10" s="73" ph="1">
        <f>Y9*1.5*1.5*3.1416*LOOKUP(Y11,密度!$A$2:$A$50,密度!$L$2:$L$50)</f>
        <v>38886.983981999998</v>
      </c>
      <c r="Z10" s="73" ph="1">
        <f>Z9*33.183*LOOKUP(Z11,密度!$A$2:$A$50,密度!$L$2:$L$50)</f>
        <v>173930.15455199999</v>
      </c>
      <c r="AA10" s="73" ph="1">
        <f>AA9*33.183*LOOKUP(AA11,密度!$A$2:$A$50,密度!$D$2:$D$50)</f>
        <v>53624.584121399996</v>
      </c>
      <c r="AB10" s="73" ph="1">
        <f>AB9*20.428*LOOKUP(AB11,密度!$A$2:$A$50,密度!$D$2:$D$50)</f>
        <v>84027.105240000004</v>
      </c>
      <c r="AC10" s="73" ph="1">
        <f>AC9*51.53*LOOKUP(AC11,密度!$A$2:$A$50,密度!$Q$2:$Q$50)</f>
        <v>287326.32023750001</v>
      </c>
      <c r="AD10" s="73" ph="1">
        <f>AD9*20.428*LOOKUP(AD11,密度!$A$2:$A$50,密度!$V$2:$V$50)</f>
        <v>26115.073488000002</v>
      </c>
      <c r="AE10" s="73" ph="1">
        <f>AE9*20.428</f>
        <v>29416.32</v>
      </c>
    </row>
    <row r="11" spans="1:99" ph="1">
      <c r="A11" s="64" t="s" ph="1">
        <v>163</v>
      </c>
      <c r="B11" s="195" ph="1"/>
      <c r="C11" s="159" t="s" ph="1">
        <v>180</v>
      </c>
      <c r="D11" s="74">
        <v>25</v>
      </c>
      <c r="E11" s="74">
        <v>28</v>
      </c>
      <c r="F11" s="74">
        <v>24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25</v>
      </c>
      <c r="O11" s="74">
        <v>37</v>
      </c>
      <c r="P11" s="74">
        <v>26</v>
      </c>
      <c r="Q11" s="74">
        <v>23</v>
      </c>
      <c r="R11" s="74">
        <v>29</v>
      </c>
      <c r="S11" s="74">
        <v>17</v>
      </c>
      <c r="T11" s="74">
        <v>19</v>
      </c>
      <c r="U11" s="74">
        <v>30</v>
      </c>
      <c r="V11" s="74">
        <v>27</v>
      </c>
      <c r="W11" s="74">
        <v>39</v>
      </c>
      <c r="X11" s="74">
        <v>19</v>
      </c>
      <c r="Y11" s="74">
        <v>24</v>
      </c>
      <c r="Z11" s="74">
        <v>24</v>
      </c>
      <c r="AA11" s="74">
        <v>25</v>
      </c>
      <c r="AB11" s="74">
        <v>16</v>
      </c>
      <c r="AC11" s="74">
        <v>22</v>
      </c>
      <c r="AD11" s="74">
        <v>29</v>
      </c>
      <c r="AE11" s="74">
        <v>26</v>
      </c>
    </row>
    <row r="12" spans="1:99" ht="9.9" customHeight="1" ph="1"/>
    <row r="13" spans="1:99" s="72" customFormat="1" ht="29.25" customHeight="1" ph="1">
      <c r="B13" s="20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9" t="s" ph="1">
        <v>178</v>
      </c>
      <c r="D15" s="78">
        <v>0</v>
      </c>
      <c r="E15" s="78">
        <v>48</v>
      </c>
      <c r="F15" s="78">
        <v>1814</v>
      </c>
      <c r="G15" s="78">
        <v>2439</v>
      </c>
      <c r="H15" s="78">
        <v>4515</v>
      </c>
      <c r="I15" s="78">
        <v>1558</v>
      </c>
      <c r="J15" s="78">
        <v>0</v>
      </c>
      <c r="K15" s="78">
        <v>1996</v>
      </c>
      <c r="L15" s="78">
        <v>1771</v>
      </c>
      <c r="M15" s="78">
        <v>6947</v>
      </c>
      <c r="N15" s="78">
        <v>575</v>
      </c>
      <c r="O15" s="78">
        <v>0</v>
      </c>
      <c r="P15" s="78">
        <v>6925</v>
      </c>
      <c r="Q15" s="78">
        <v>33</v>
      </c>
      <c r="R15" s="78">
        <v>3504</v>
      </c>
      <c r="S15" s="78">
        <v>6849</v>
      </c>
      <c r="T15" s="78">
        <v>4085</v>
      </c>
      <c r="U15" s="78">
        <v>5444</v>
      </c>
      <c r="V15" s="78">
        <v>1099</v>
      </c>
      <c r="W15" s="71">
        <v>3773</v>
      </c>
      <c r="X15" s="78">
        <v>151</v>
      </c>
      <c r="Y15" s="106">
        <v>-9906</v>
      </c>
      <c r="Z15" s="78">
        <v>0</v>
      </c>
      <c r="AA15" s="78">
        <v>4229</v>
      </c>
      <c r="AB15" s="78" ph="1">
        <v>6902</v>
      </c>
      <c r="AC15" s="78" ph="1">
        <v>986</v>
      </c>
      <c r="AD15" s="78">
        <v>72.98</v>
      </c>
      <c r="AE15" s="78">
        <v>5.44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9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319.95311039999996</v>
      </c>
      <c r="F16" s="73" ph="1">
        <f>F15*9.0746*LOOKUP(F17,密度!$A$2:$A$50,密度!$L$2:$L$50)</f>
        <v>15440.7222872</v>
      </c>
      <c r="G16" s="73" ph="1">
        <f>G15*9.0746*LOOKUP(G17,密度!$A$2:$A$50,密度!$B$2:$B$50)</f>
        <v>17334.525970080002</v>
      </c>
      <c r="H16" s="73" ph="1">
        <f>H15*9.0746*LOOKUP(H17,密度!$A$2:$A$50,密度!$L$2:$L$50)</f>
        <v>38595.453498000003</v>
      </c>
      <c r="I16" s="73" ph="1">
        <f>I15*9.0746*LOOKUP(I17,密度!$A$2:$A$50,密度!$U$2:$U$50)</f>
        <v>14534.097150400001</v>
      </c>
      <c r="J16" s="73" ph="1">
        <f>J15*9.0746*LOOKUP(J17,密度!$A$2:$A$50,密度!$L$2:$L$50)</f>
        <v>0</v>
      </c>
      <c r="K16" s="73" ph="1">
        <f>K15*9.0746*LOOKUP(K17,密度!$A$2:$A$50,密度!$C$2:$C$50)</f>
        <v>20139.735289040003</v>
      </c>
      <c r="L16" s="73" ph="1">
        <f>L15*9.0746*LOOKUP(L17,密度!$A$2:$A$50,密度!$E$2:$E$50)</f>
        <v>12625.46920096</v>
      </c>
      <c r="M16" s="73" ph="1">
        <f>M15*9.0746*LOOKUP(M17,密度!$A$2:$A$50,密度!$M$2:$M$50)</f>
        <v>55217.827546580003</v>
      </c>
      <c r="N16" s="73" ph="1">
        <f>N15*9.0746*LOOKUP(N17,密度!$A$2:$A$50,密度!$M$2:$M$50)</f>
        <v>4593.3129685000004</v>
      </c>
      <c r="O16" s="73" ph="1">
        <f>O15*9.0746*LOOKUP(O17,密度!$A$2:$A$50,密度!$G$2:$G$50)</f>
        <v>0</v>
      </c>
      <c r="P16" s="73" ph="1">
        <f ca="1">P15*9.0746*LOOKUP(P17,密度!$A$2:$A$51,密度!$Q$2:$Q$50)</f>
        <v>59642.338889450002</v>
      </c>
      <c r="Q16" s="73" ph="1">
        <f>Q15*9.0746*LOOKUP(Q17,密度!$A$2:$A$50,密度!$Q$2:$Q$50)</f>
        <v>284.85704801399999</v>
      </c>
      <c r="R16" s="73" ph="1">
        <f>MAX(R15*9.0746*LOOKUP(R17,密度!$A$2:$A$50,密度!$B$2:$B$50),0)</f>
        <v>24817.8694512</v>
      </c>
      <c r="S16" s="73" ph="1">
        <f>S15*9.0746*LOOKUP(S17,密度!$A$2:$A$50,密度!$Q$2:$Q$50)</f>
        <v>58987.780368786</v>
      </c>
      <c r="T16" s="73" ph="1">
        <f>T15*9.0746*LOOKUP(T17,密度!$A$2:$A$50,密度!$O$2:$O$50)</f>
        <v>34474.859130000004</v>
      </c>
      <c r="U16" s="73" ph="1">
        <f>U15*9.0746*LOOKUP(U17,密度!$A$2:$A$50,密度!$H$2:$H$50)</f>
        <v>45435.131971279996</v>
      </c>
      <c r="V16" s="73" ph="1">
        <f>MAX(5600*LOOKUP(V17,密度!$A$2:$A$50,密度!$Q$2:$Q$50)+V15*9.0476*LOOKUP(V17,密度!$A$2:$A$50,密度!$Q$2:$Q$50),0)</f>
        <v>14726.822199627999</v>
      </c>
      <c r="W16" s="73" ph="1">
        <f>MAX(5600*LOOKUP(W17,密度!$A$2:$A$50,密度!$Q$2:$Q$50)+W15*9.0476*LOOKUP(W17,密度!$A$2:$A$50,密度!$Q$2:$Q$50),0)</f>
        <v>37649.231475155997</v>
      </c>
      <c r="X16" s="73" ph="1">
        <f>MAX(5600*LOOKUP(X17,密度!$A$2:$A$50,密度!$I$2:$I$50)+X15*9.0476*LOOKUP(X17,密度!$A$2:$A$50,密度!$I$2:$I$50),0)</f>
        <v>7310.3172674400003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30091.000633939999</v>
      </c>
      <c r="AB16" s="73" ph="1">
        <f>AB15*9.0746*LOOKUP(AB17,密度!$A$2:$A$50,密度!$L$2:$L$50)</f>
        <v>58874.915848000004</v>
      </c>
      <c r="AC16" s="73" ph="1">
        <f>AC15*9.0746*LOOKUP(AC17,密度!$A$2:$A$50,密度!$L$2:$L$50)</f>
        <v>8446.4924863999986</v>
      </c>
      <c r="AD16" s="73" ph="1">
        <f>AD15*268.68*LOOKUP(AD17,密度!$A$2:$A$50,密度!B2:B50)+IF(AD15&lt;=0,0,1566*LOOKUP(AD17,密度!$A$2:$A$50,密度!B2:B50))</f>
        <v>16507.458085439997</v>
      </c>
      <c r="AE16" s="73" ph="1">
        <f>AE15*268.68*LOOKUP(AE17,密度!$A$2:$A$50,密度!B2:B50)+IF(AE15&lt;=0,0,1566*LOOKUP(AE17,密度!$A$2:$A$50,密度!B2:B50))</f>
        <v>2360.3319283199999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19</v>
      </c>
      <c r="E17" s="74">
        <v>19</v>
      </c>
      <c r="F17" s="74">
        <v>24</v>
      </c>
      <c r="G17" s="74">
        <v>21</v>
      </c>
      <c r="H17" s="74">
        <v>20</v>
      </c>
      <c r="I17" s="74">
        <v>20</v>
      </c>
      <c r="J17" s="74">
        <v>20</v>
      </c>
      <c r="K17" s="74">
        <v>21</v>
      </c>
      <c r="L17" s="74">
        <v>23</v>
      </c>
      <c r="M17" s="74">
        <v>24</v>
      </c>
      <c r="N17" s="74">
        <v>19</v>
      </c>
      <c r="O17" s="74">
        <v>22</v>
      </c>
      <c r="P17" s="74">
        <v>22</v>
      </c>
      <c r="Q17" s="74">
        <v>19</v>
      </c>
      <c r="R17" s="74">
        <v>24</v>
      </c>
      <c r="S17" s="74">
        <v>22</v>
      </c>
      <c r="T17" s="74">
        <v>22</v>
      </c>
      <c r="U17" s="74">
        <v>20</v>
      </c>
      <c r="V17" s="74">
        <v>24</v>
      </c>
      <c r="W17" s="74">
        <v>24</v>
      </c>
      <c r="X17" s="74">
        <v>19</v>
      </c>
      <c r="Y17" s="108">
        <v>19</v>
      </c>
      <c r="Z17" s="74">
        <v>20</v>
      </c>
      <c r="AA17" s="74">
        <v>20</v>
      </c>
      <c r="AB17" s="74">
        <v>22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922</v>
      </c>
      <c r="F18" s="71">
        <v>1815</v>
      </c>
      <c r="G18" s="71">
        <v>1213</v>
      </c>
      <c r="H18" s="71">
        <v>4521</v>
      </c>
      <c r="I18" s="71">
        <v>4146</v>
      </c>
      <c r="J18" s="71">
        <v>0</v>
      </c>
      <c r="K18" s="71">
        <v>1997</v>
      </c>
      <c r="L18" s="71">
        <v>1776</v>
      </c>
      <c r="M18" s="71">
        <v>6963</v>
      </c>
      <c r="N18" s="71">
        <v>574</v>
      </c>
      <c r="O18" s="71">
        <v>52</v>
      </c>
      <c r="P18" s="71">
        <v>6937</v>
      </c>
      <c r="Q18" s="71">
        <v>24</v>
      </c>
      <c r="R18" s="71">
        <v>3509</v>
      </c>
      <c r="S18" s="71">
        <v>6860</v>
      </c>
      <c r="T18" s="71">
        <v>4090</v>
      </c>
      <c r="U18" s="71">
        <v>5449</v>
      </c>
      <c r="V18" s="71">
        <v>1097</v>
      </c>
      <c r="W18" s="71">
        <v>3773</v>
      </c>
      <c r="X18" s="71">
        <v>149</v>
      </c>
      <c r="Y18" s="109">
        <v>-9907</v>
      </c>
      <c r="Z18" s="71">
        <v>0</v>
      </c>
      <c r="AA18" s="71">
        <v>4234</v>
      </c>
      <c r="AB18" s="71">
        <v>6915</v>
      </c>
      <c r="AC18" s="71">
        <v>988</v>
      </c>
      <c r="AD18" s="71">
        <v>84.44</v>
      </c>
      <c r="AE18" s="71">
        <v>49.2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9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6080.5935036000001</v>
      </c>
      <c r="F19" s="73" ph="1">
        <f>F18*9.0746*LOOKUP(F20,密度!$A$2:$A$50,密度!$L$2:$L$50)</f>
        <v>15383.352666000003</v>
      </c>
      <c r="G19" s="73" ph="1">
        <f>G18*9.0746*LOOKUP(G20,密度!$A$2:$A$50,密度!$B$2:$B$50)</f>
        <v>8571.5323072599986</v>
      </c>
      <c r="H19" s="73" ph="1">
        <f>H18*9.0746*LOOKUP(H20,密度!$A$2:$A$50,密度!$L$2:$L$50)</f>
        <v>38564.690604000003</v>
      </c>
      <c r="I19" s="73" ph="1">
        <f>I18*9.0746*LOOKUP(I20,密度!$A$2:$A$50,密度!$U$2:$U$50)</f>
        <v>38488.627306800001</v>
      </c>
      <c r="J19" s="73" ph="1">
        <f>J18*9.0746*LOOKUP(J20,密度!$A$2:$A$50,密度!$L$2:$L$50)</f>
        <v>0</v>
      </c>
      <c r="K19" s="73" ph="1">
        <f>K18*9.0746*LOOKUP(K20,密度!$A$2:$A$50,密度!$C$2:$C$50)</f>
        <v>20095.459408180002</v>
      </c>
      <c r="L19" s="73" ph="1">
        <f>L18*9.0746*LOOKUP(L20,密度!$A$2:$A$50,密度!$E$2:$E$50)</f>
        <v>12622.43465472</v>
      </c>
      <c r="M19" s="73" ph="1">
        <f>M18*9.0746*LOOKUP(M20,密度!$A$2:$A$50,密度!$M$2:$M$50)</f>
        <v>55098.575505599998</v>
      </c>
      <c r="N19" s="73" ph="1">
        <f>N18*9.0746*LOOKUP(N20,密度!$A$2:$A$50,密度!$M$2:$M$50)</f>
        <v>4547.82109124</v>
      </c>
      <c r="O19" s="73" ph="1">
        <f>O18*9.0746*LOOKUP(O20,密度!$A$2:$A$50,密度!$G$2:$G$50)</f>
        <v>451.58839440000003</v>
      </c>
      <c r="P19" s="73" ph="1">
        <f ca="1">P18*9.0746*LOOKUP(P20,密度!$A$2:$A$51,密度!$Q$2:$Q$50)</f>
        <v>59597.756559348003</v>
      </c>
      <c r="Q19" s="73" ph="1">
        <f>Q18*9.0746*LOOKUP(Q20,密度!$A$2:$A$50,密度!$Q$2:$Q$50)</f>
        <v>205.57889227200002</v>
      </c>
      <c r="R19" s="73" ph="1">
        <f>MAX(R18*9.0746*LOOKUP(R20,密度!$A$2:$A$50,密度!$B$2:$B$50),0)</f>
        <v>24824.62458344</v>
      </c>
      <c r="S19" s="73" ph="1">
        <f>S18*9.0746*LOOKUP(S20,密度!$A$2:$A$50,密度!$Q$2:$Q$50)</f>
        <v>58936.227475440006</v>
      </c>
      <c r="T19" s="73" ph="1">
        <f>T18*9.0746*LOOKUP(T20,密度!$A$2:$A$50,密度!$O$2:$O$50)</f>
        <v>34368.595564000003</v>
      </c>
      <c r="U19" s="73" ph="1">
        <f>U18*9.0746*LOOKUP(U20,密度!$A$2:$A$50,密度!$H$2:$H$50)</f>
        <v>45279.071537780001</v>
      </c>
      <c r="V19" s="73" ph="1">
        <f>MAX(5600*LOOKUP(V20,密度!$A$2:$A$50,密度!$Q$2:$Q$50)+V18*9.0476*LOOKUP(V20,密度!$A$2:$A$50,密度!$Q$2:$Q$50),0)</f>
        <v>14676.298323504001</v>
      </c>
      <c r="W19" s="73" ph="1">
        <f>MAX(5600*LOOKUP(W20,密度!$A$2:$A$50,密度!$Q$2:$Q$50)+W18*9.0476*LOOKUP(W20,密度!$A$2:$A$50,密度!$Q$2:$Q$50),0)</f>
        <v>37563.797796336003</v>
      </c>
      <c r="X19" s="73" ph="1">
        <f>MAX(5600*LOOKUP(X20,密度!$A$2:$A$50,密度!$I$2:$I$50)+X18*9.0476*LOOKUP(X20,密度!$A$2:$A$50,密度!$I$2:$I$50),0)</f>
        <v>7274.652742799999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30057.418261720002</v>
      </c>
      <c r="AB19" s="73" ph="1">
        <f>AB18*9.0746*LOOKUP(AB20,密度!$A$2:$A$50,密度!$L$2:$L$50)</f>
        <v>58797.554883000004</v>
      </c>
      <c r="AC19" s="73" ph="1">
        <f>AC18*9.0746*LOOKUP(AC20,密度!$A$2:$A$50,密度!$L$2:$L$50)</f>
        <v>8391.8996927999997</v>
      </c>
      <c r="AD19" s="73" ph="1">
        <f>AD18*268.68*LOOKUP(AD20,密度!$A$2:$A$50,密度!B5:B53)+IF(AD18&lt;=0,0,1566*LOOKUP(AD20,密度!$A$2:$A$50,密度!B5:B53))</f>
        <v>18844.8445584</v>
      </c>
      <c r="AE19" s="73" ph="1">
        <f>AE18*268.68*LOOKUP(AE20,密度!$A$2:$A$50,密度!B5:B53)+IF(AE18&lt;=0,0,1566*LOOKUP(AE20,密度!$A$2:$A$50,密度!B5:B53))</f>
        <v>11487.988512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29</v>
      </c>
      <c r="E20" s="81">
        <v>29</v>
      </c>
      <c r="F20" s="81">
        <v>28</v>
      </c>
      <c r="G20" s="81">
        <v>26</v>
      </c>
      <c r="H20" s="81">
        <v>22</v>
      </c>
      <c r="I20" s="81">
        <v>27</v>
      </c>
      <c r="J20" s="81">
        <v>29</v>
      </c>
      <c r="K20" s="81">
        <v>25</v>
      </c>
      <c r="L20" s="81">
        <v>25</v>
      </c>
      <c r="M20" s="81">
        <v>28</v>
      </c>
      <c r="N20" s="81">
        <v>27</v>
      </c>
      <c r="O20" s="81">
        <v>28</v>
      </c>
      <c r="P20" s="81">
        <v>25</v>
      </c>
      <c r="Q20" s="81">
        <v>29</v>
      </c>
      <c r="R20" s="81">
        <v>25</v>
      </c>
      <c r="S20" s="81">
        <v>25</v>
      </c>
      <c r="T20" s="81">
        <v>25</v>
      </c>
      <c r="U20" s="81">
        <v>24</v>
      </c>
      <c r="V20" s="81">
        <v>27</v>
      </c>
      <c r="W20" s="81">
        <v>27</v>
      </c>
      <c r="X20" s="81">
        <v>21</v>
      </c>
      <c r="Y20" s="110">
        <v>21</v>
      </c>
      <c r="Z20" s="81">
        <v>30</v>
      </c>
      <c r="AA20" s="81">
        <v>22</v>
      </c>
      <c r="AB20" s="81">
        <v>25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9" t="s" ph="1">
        <v>178</v>
      </c>
      <c r="D24" s="71">
        <v>3.26</v>
      </c>
      <c r="E24" s="71">
        <v>95.42</v>
      </c>
      <c r="F24" s="71">
        <v>0</v>
      </c>
      <c r="G24" s="71">
        <v>3494</v>
      </c>
      <c r="H24" s="71">
        <v>3457</v>
      </c>
      <c r="I24" s="71">
        <v>4664</v>
      </c>
      <c r="J24" s="71">
        <v>4947</v>
      </c>
      <c r="K24" s="71">
        <v>85</v>
      </c>
      <c r="L24" s="71">
        <v>0</v>
      </c>
      <c r="M24" s="71">
        <v>5418</v>
      </c>
      <c r="N24" s="71">
        <v>5369</v>
      </c>
      <c r="O24" s="71">
        <v>3</v>
      </c>
      <c r="P24" s="71">
        <v>837</v>
      </c>
      <c r="Q24" s="90">
        <v>642</v>
      </c>
      <c r="R24" s="71">
        <v>5266</v>
      </c>
      <c r="S24" s="71">
        <v>228</v>
      </c>
      <c r="T24" s="71">
        <v>1755</v>
      </c>
      <c r="U24" s="71">
        <v>5401</v>
      </c>
      <c r="V24" s="71">
        <v>9646</v>
      </c>
      <c r="W24" s="71">
        <v>8321</v>
      </c>
      <c r="X24" s="71">
        <v>6055</v>
      </c>
      <c r="Y24" s="71">
        <v>4604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2311.8413764319998</v>
      </c>
      <c r="E25" s="91" ph="1">
        <f>E24*268.68*LOOKUP(E26,密度!$A$2:$A$50,密度!$C$2:$C$50)+IF(E24&lt;=0,0,1566*LOOKUP(E26,密度!$A$2:$A$50,密度!$C$2:$C$50))</f>
        <v>30165.900825840003</v>
      </c>
      <c r="F25" s="91" ph="1">
        <f>F24*11.702*LOOKUP(F26,密度!$A$2:$A$50,密度!$Q$2:$Q$50)</f>
        <v>0</v>
      </c>
      <c r="G25" s="91" ph="1">
        <f>G24*18.322*LOOKUP(G26,密度!$A$2:$A$50,密度!$B$2:$B$50)</f>
        <v>50138.167657600003</v>
      </c>
      <c r="H25" s="91" ph="1">
        <f>H24*18.322*LOOKUP(H26,密度!$A$2:$A$50,密度!$B$2:$B$50)</f>
        <v>49550.220174199996</v>
      </c>
      <c r="I25" s="91" ph="1">
        <f>I24*18.322*LOOKUP(I26,密度!$A$2:$A$50,密度!$Q$2:$Q$50)</f>
        <v>81103.354634719988</v>
      </c>
      <c r="J25" s="91" ph="1">
        <f>J24*18.322*LOOKUP(J26,密度!$A$2:$A$50,密度!$Q$2:$Q$50)</f>
        <v>86078.889230460001</v>
      </c>
      <c r="K25" s="91" ph="1">
        <f>K24*18.322*LOOKUP(K26,密度!$A$2:$A$50,密度!$Q$2:$Q$50)</f>
        <v>1479.0187152999999</v>
      </c>
      <c r="L25" s="91" ph="1">
        <f>L24*18.322*LOOKUP(L26,密度!$A$2:$A$50,密度!$Q$2:$Q$50)</f>
        <v>0</v>
      </c>
      <c r="M25" s="91" ph="1">
        <f>M24*18.322*LOOKUP(M26,密度!$A$2:$A$50,密度!$Q$2:$Q$50)</f>
        <v>94214.831777639993</v>
      </c>
      <c r="N25" s="91" ph="1">
        <f>N24*18.322*LOOKUP(N26,密度!$A$2:$A$50,密度!$Q$2:$Q$50)</f>
        <v>93362.759655620001</v>
      </c>
      <c r="O25" s="91" ph="1">
        <f>O24*18.322*LOOKUP(O26,密度!$A$2:$A$50,密度!$C$2:$C$50)</f>
        <v>61.072722599999992</v>
      </c>
      <c r="P25" s="91" ph="1">
        <f>P24*11.702*LOOKUP(P26,密度!$A$2:$A$50,密度!$B$2:$B$50)</f>
        <v>7671.1103568000008</v>
      </c>
      <c r="Q25" s="92" ph="1">
        <f>Q24*18.322*LOOKUP(Q26,密度!$A$2:$A$50,密度!$B$2:$B$50)</f>
        <v>9201.9789851999994</v>
      </c>
      <c r="R25" s="91" ph="1">
        <f>R24*35.891*LOOKUP(R26,密度!$A$2:$A$50,密度!$C$2:$C$50)</f>
        <v>210151.33047140003</v>
      </c>
      <c r="S25" s="91" ph="1">
        <f>S24*35.891*LOOKUP(S26,密度!$A$2:$A$50,密度!$B$2:$B$50)</f>
        <v>6409.0415135999992</v>
      </c>
      <c r="T25" s="91" ph="1">
        <f>T24*35.891*LOOKUP(T26,密度!$A$2:$A$50,密度!$Q$2:$Q$50)</f>
        <v>59819.743251449996</v>
      </c>
      <c r="U25" s="91" ph="1">
        <f>U24*35.891</f>
        <v>193847.291</v>
      </c>
      <c r="V25" s="91" ph="1">
        <f>V24*47.051*LOOKUP(V26,密度!$A$2:$A$50,密度!$B$2:$B$50)</f>
        <v>355049.94195579999</v>
      </c>
      <c r="W25" s="91" ph="1">
        <f>W24*47.051*LOOKUP(W26,密度!$A$2:$A$50,密度!$B$2:$B$50)</f>
        <v>306279.34553330002</v>
      </c>
      <c r="X25" s="91" ph="1">
        <f>X24*47.051*LOOKUP(X26,密度!$A$2:$A$50,密度!$I$2:$I$50)</f>
        <v>295047.42021019995</v>
      </c>
      <c r="Y25" s="91" ph="1">
        <f>Y24*47.051*LOOKUP(Y26,密度!$A$2:$A$50,密度!$L$2:$L$50)</f>
        <v>203625.43575999999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21</v>
      </c>
      <c r="H26" s="74">
        <v>22</v>
      </c>
      <c r="I26" s="74">
        <v>22</v>
      </c>
      <c r="J26" s="74">
        <v>21</v>
      </c>
      <c r="K26" s="74">
        <v>21</v>
      </c>
      <c r="L26" s="74">
        <v>22</v>
      </c>
      <c r="M26" s="74">
        <v>22</v>
      </c>
      <c r="N26" s="74">
        <v>22</v>
      </c>
      <c r="O26" s="74">
        <v>22</v>
      </c>
      <c r="P26" s="74">
        <v>21</v>
      </c>
      <c r="Q26" s="93">
        <v>22</v>
      </c>
      <c r="R26" s="74">
        <v>21</v>
      </c>
      <c r="S26" s="74">
        <v>21</v>
      </c>
      <c r="T26" s="74">
        <v>21</v>
      </c>
      <c r="U26" s="74">
        <v>22</v>
      </c>
      <c r="V26" s="74">
        <v>22</v>
      </c>
      <c r="W26" s="74">
        <v>22</v>
      </c>
      <c r="X26" s="74">
        <v>55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9" t="s" ph="1">
        <v>181</v>
      </c>
      <c r="D27" s="71">
        <v>3.21</v>
      </c>
      <c r="E27" s="71">
        <v>95.44</v>
      </c>
      <c r="F27" s="71">
        <v>0</v>
      </c>
      <c r="G27" s="71">
        <v>2691</v>
      </c>
      <c r="H27" s="71">
        <v>3059</v>
      </c>
      <c r="I27" s="71">
        <v>4664</v>
      </c>
      <c r="J27" s="71">
        <v>4949</v>
      </c>
      <c r="K27" s="71">
        <v>81</v>
      </c>
      <c r="L27" s="71">
        <v>0</v>
      </c>
      <c r="M27" s="71">
        <v>5419</v>
      </c>
      <c r="N27" s="71">
        <v>5368</v>
      </c>
      <c r="O27" s="71">
        <v>0</v>
      </c>
      <c r="P27" s="71">
        <v>835</v>
      </c>
      <c r="Q27" s="90">
        <v>1260</v>
      </c>
      <c r="R27" s="71">
        <v>5262</v>
      </c>
      <c r="S27" s="71">
        <v>222</v>
      </c>
      <c r="T27" s="71">
        <v>1753</v>
      </c>
      <c r="U27" s="71">
        <v>5432</v>
      </c>
      <c r="V27" s="71">
        <v>9648</v>
      </c>
      <c r="W27" s="71">
        <v>8321</v>
      </c>
      <c r="X27" s="71">
        <v>6054</v>
      </c>
      <c r="Y27" s="71">
        <v>5098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9" t="s" ph="1">
        <v>179</v>
      </c>
      <c r="D28" s="91" ph="1">
        <f>D27*268.68*LOOKUP(D29,密度!$A$2:$A$50,密度!$Q$2:$Q$50)+IF(D27&lt;=0,0,1566*LOOKUP(D29,密度!$A$2:$A$50,密度!$Q$2:$Q$50))</f>
        <v>2299.1228712719999</v>
      </c>
      <c r="E28" s="91" ph="1">
        <f>E27*268.68*LOOKUP(E29,密度!$A$2:$A$50,密度!$C$2:$C$50)+IF(E27&lt;=0,0,1566*LOOKUP(E29,密度!$A$2:$A$50,密度!$C$2:$C$50))</f>
        <v>30171.859610880001</v>
      </c>
      <c r="F28" s="91" ph="1">
        <f>F27*11.702*LOOKUP(F29,密度!$A$2:$A$50,密度!$Q$2:$Q$50)</f>
        <v>0</v>
      </c>
      <c r="G28" s="91" ph="1">
        <f>G27*18.322*LOOKUP(G29,密度!$A$2:$A$50,密度!$B$2:$B$50)</f>
        <v>38526.537862799996</v>
      </c>
      <c r="H28" s="91" ph="1">
        <f>H27*18.322*LOOKUP(H29,密度!$A$2:$A$50,密度!$B$2:$B$50)</f>
        <v>43845.566535400001</v>
      </c>
      <c r="I28" s="91" ph="1">
        <f>I27*18.322*LOOKUP(I29,密度!$A$2:$A$50,密度!$Q$2:$Q$50)</f>
        <v>81027.30074559999</v>
      </c>
      <c r="J28" s="91" ph="1">
        <f>J27*18.322*LOOKUP(J29,密度!$A$2:$A$50,密度!$Q$2:$Q$50)</f>
        <v>86059.284324019987</v>
      </c>
      <c r="K28" s="91" ph="1">
        <f>K27*18.322*LOOKUP(K29,密度!$A$2:$A$50,密度!$Q$2:$Q$50)</f>
        <v>1408.5273853799999</v>
      </c>
      <c r="L28" s="91" ph="1">
        <f>L27*18.322*LOOKUP(L29,密度!$A$2:$A$50,密度!$Q$2:$Q$50)</f>
        <v>0</v>
      </c>
      <c r="M28" s="91" ph="1">
        <f>M27*18.322*LOOKUP(M29,密度!$A$2:$A$50,密度!$Q$2:$Q$50)</f>
        <v>94232.221004619991</v>
      </c>
      <c r="N28" s="91" ph="1">
        <f>N27*18.322*LOOKUP(N29,密度!$A$2:$A$50,密度!$Q$2:$Q$50)</f>
        <v>93257.836707199996</v>
      </c>
      <c r="O28" s="91" ph="1">
        <f>O27*18.322*LOOKUP(O29,密度!$A$2:$A$50,密度!$C$2:$C$50)</f>
        <v>0</v>
      </c>
      <c r="P28" s="91" ph="1">
        <f>P27*11.702*LOOKUP(P29,密度!$A$2:$A$50,密度!$B$2:$B$50)</f>
        <v>7643.9862910000002</v>
      </c>
      <c r="Q28" s="92" ph="1">
        <f>Q27*18.322*LOOKUP(Q29,密度!$A$2:$A$50,密度!$B$2:$B$50)</f>
        <v>18039.181607999999</v>
      </c>
      <c r="R28" s="91" ph="1">
        <f>R27*35.891*LOOKUP(R29,密度!$A$2:$A$50,密度!$C$2:$C$50)</f>
        <v>209708.41399679999</v>
      </c>
      <c r="S28" s="91" ph="1">
        <f>S27*35.891*LOOKUP(S29,密度!$A$2:$A$50,密度!$B$2:$B$50)</f>
        <v>6233.2115045999999</v>
      </c>
      <c r="T28" s="91" ph="1">
        <f>T27*35.891*LOOKUP(T29,密度!$A$2:$A$50,密度!$Q$2:$Q$50)</f>
        <v>59657.826388599999</v>
      </c>
      <c r="U28" s="91" ph="1">
        <f>U27*35.891</f>
        <v>194959.91199999998</v>
      </c>
      <c r="V28" s="91" ph="1">
        <f>V27*47.051*LOOKUP(V29,密度!$A$2:$A$50,密度!$B$2:$B$50)</f>
        <v>355123.55795039999</v>
      </c>
      <c r="W28" s="91" ph="1">
        <f>W27*47.051*LOOKUP(W29,密度!$A$2:$A$50,密度!$B$2:$B$50)</f>
        <v>306279.34553330002</v>
      </c>
      <c r="X28" s="91" ph="1">
        <f>X27*47.051*LOOKUP(X29,密度!$A$2:$A$50,密度!$I$2:$I$50)</f>
        <v>294998.69231255999</v>
      </c>
      <c r="Y28" s="91" ph="1">
        <f>Y27*47.051*LOOKUP(Y29,密度!$A$2:$A$50,密度!$L$2:$L$50)</f>
        <v>225474.03812000001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9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22</v>
      </c>
      <c r="L29" s="74">
        <v>22</v>
      </c>
      <c r="M29" s="74">
        <v>22</v>
      </c>
      <c r="N29" s="74">
        <v>23</v>
      </c>
      <c r="O29" s="74">
        <v>22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57</v>
      </c>
      <c r="Y29" s="74">
        <v>22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137651.6893614</v>
      </c>
      <c r="E33" s="217" ph="1">
        <f>M10+I10</f>
        <v>71156.302133600009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21" ph="1">
        <v>0</v>
      </c>
      <c r="H33" s="217" ph="1">
        <f>N19</f>
        <v>4547.82109124</v>
      </c>
      <c r="I33" s="230" ph="1">
        <v>0</v>
      </c>
      <c r="J33" s="228" ph="1">
        <f>F10+O28</f>
        <v>75296.607155999998</v>
      </c>
      <c r="K33" s="217" ph="1">
        <f>O10+K10+E28+R28</f>
        <v>308961.77398927999</v>
      </c>
      <c r="L33" s="232" ph="1">
        <f>BE27</f>
        <v>7100</v>
      </c>
      <c r="M33" s="228" ph="1">
        <f>G10+H10+W28+S28+V28+E10</f>
        <v>1090238.0868742999</v>
      </c>
      <c r="N33" s="217" ph="1">
        <f>L10+P10++G28+H28</f>
        <v>433250.5040512</v>
      </c>
      <c r="O33" s="230" ph="1">
        <f>BE17</f>
        <v>2270</v>
      </c>
      <c r="P33" s="228" ph="1">
        <f>L19</f>
        <v>12622.43465472</v>
      </c>
      <c r="Q33" s="217" ph="1">
        <f>J10+N10</f>
        <v>47204.966995199997</v>
      </c>
      <c r="R33" s="230" ph="1">
        <f>BE23</f>
        <v>890</v>
      </c>
      <c r="S33" s="228" ph="1">
        <f>E10+X28</f>
        <v>464883.36314256</v>
      </c>
      <c r="T33" s="217" ph="1">
        <f>X19</f>
        <v>7274.652742799999</v>
      </c>
      <c r="U33" s="238" ph="1">
        <f>BE21</f>
        <v>730</v>
      </c>
      <c r="V33" s="249" ph="1">
        <f ca="1">P19+Q19+S19+M28+N28+J28</f>
        <v>392288.90496289998</v>
      </c>
      <c r="W33" s="249" ph="1">
        <f>D28+F28+V19+T28</f>
        <v>76633.247583375996</v>
      </c>
      <c r="X33" s="230" ph="1">
        <f>BE29+BE31</f>
        <v>10200</v>
      </c>
      <c r="Y33" s="251" ph="1">
        <f>+Q10+R10+S10+T10+U10+V10+W10+X10+Y10</f>
        <v>230780.89770120001</v>
      </c>
      <c r="Z33" s="236" ph="1">
        <f>D10+T19+U19+Y28+Z10</f>
        <v>610212.29630228004</v>
      </c>
      <c r="AA33" s="238" ph="1">
        <f>BE19</f>
        <v>1440</v>
      </c>
      <c r="AB33" s="240" ph="1">
        <f>I19</f>
        <v>38488.627306800001</v>
      </c>
      <c r="AC33" s="242" ph="1">
        <f>AD10</f>
        <v>26115.073488000002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1" t="s" ph="1">
        <v>186</v>
      </c>
      <c r="AA36" s="161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385" priority="96">
      <formula>ABS(D$7-D$10)&gt;=1000</formula>
    </cfRule>
  </conditionalFormatting>
  <conditionalFormatting sqref="E4 E6:E11">
    <cfRule type="expression" dxfId="1384" priority="95">
      <formula>ABS(E$7-E$10)&gt;=1000</formula>
    </cfRule>
  </conditionalFormatting>
  <conditionalFormatting sqref="F4:F11">
    <cfRule type="expression" dxfId="1383" priority="94">
      <formula>ABS(F$7-F$10)&gt;=1000</formula>
    </cfRule>
  </conditionalFormatting>
  <conditionalFormatting sqref="G4:G11">
    <cfRule type="expression" dxfId="1382" priority="93">
      <formula>ABS(G$7-G$10)&gt;=1000</formula>
    </cfRule>
  </conditionalFormatting>
  <conditionalFormatting sqref="H4:H11">
    <cfRule type="expression" dxfId="1381" priority="92">
      <formula>ABS(H$7-H$10)&gt;=1000</formula>
    </cfRule>
  </conditionalFormatting>
  <conditionalFormatting sqref="I4:I11">
    <cfRule type="expression" dxfId="1380" priority="91">
      <formula>ABS(I$7-I$10)&gt;=1000</formula>
    </cfRule>
  </conditionalFormatting>
  <conditionalFormatting sqref="J4:J11">
    <cfRule type="expression" dxfId="1379" priority="90">
      <formula>ABS(J$7-J$10)&gt;=1000</formula>
    </cfRule>
  </conditionalFormatting>
  <conditionalFormatting sqref="K4:K11">
    <cfRule type="expression" dxfId="1378" priority="89">
      <formula>ABS(K$7-K$10)&gt;=1000</formula>
    </cfRule>
  </conditionalFormatting>
  <conditionalFormatting sqref="L4:L11">
    <cfRule type="expression" dxfId="1377" priority="88">
      <formula>ABS(L$7-L$10)&gt;=1000</formula>
    </cfRule>
  </conditionalFormatting>
  <conditionalFormatting sqref="M4 M6:M11">
    <cfRule type="expression" dxfId="1376" priority="87">
      <formula>ABS(M$7-M$10)&gt;=1000</formula>
    </cfRule>
  </conditionalFormatting>
  <conditionalFormatting sqref="N4 N6:N11">
    <cfRule type="expression" dxfId="1375" priority="86">
      <formula>ABS(N$7-N$10)&gt;=1000</formula>
    </cfRule>
  </conditionalFormatting>
  <conditionalFormatting sqref="O4 O6:O11">
    <cfRule type="expression" dxfId="1374" priority="85">
      <formula>ABS(O$7-O$10)&gt;=1000</formula>
    </cfRule>
  </conditionalFormatting>
  <conditionalFormatting sqref="P4 P6:P11">
    <cfRule type="expression" dxfId="1373" priority="84">
      <formula>ABS(P$7-P$10)&gt;=1000</formula>
    </cfRule>
  </conditionalFormatting>
  <conditionalFormatting sqref="Q4:Q11">
    <cfRule type="expression" dxfId="1372" priority="83">
      <formula>ABS(Q$7-Q$10)&gt;=1000</formula>
    </cfRule>
  </conditionalFormatting>
  <conditionalFormatting sqref="R4:R11">
    <cfRule type="expression" dxfId="1371" priority="82">
      <formula>ABS(R$7-R$10)&gt;=1000</formula>
    </cfRule>
  </conditionalFormatting>
  <conditionalFormatting sqref="S4:S11">
    <cfRule type="expression" dxfId="1370" priority="81">
      <formula>ABS(S$7-S$10)&gt;=1000</formula>
    </cfRule>
  </conditionalFormatting>
  <conditionalFormatting sqref="T4:T9 T11">
    <cfRule type="expression" dxfId="1369" priority="80">
      <formula>ABS(T$7-T$10)&gt;=1000</formula>
    </cfRule>
  </conditionalFormatting>
  <conditionalFormatting sqref="U4:U9 U11">
    <cfRule type="expression" dxfId="1368" priority="79">
      <formula>ABS(U$7-U$10)&gt;=1000</formula>
    </cfRule>
  </conditionalFormatting>
  <conditionalFormatting sqref="V4:V9 V11">
    <cfRule type="expression" dxfId="1367" priority="78">
      <formula>ABS(V$7-V$10)&gt;=1000</formula>
    </cfRule>
  </conditionalFormatting>
  <conditionalFormatting sqref="W4:W9 W11">
    <cfRule type="expression" dxfId="1366" priority="77">
      <formula>ABS(W$7-W$10)&gt;=1000</formula>
    </cfRule>
  </conditionalFormatting>
  <conditionalFormatting sqref="X4:X9 X11">
    <cfRule type="expression" dxfId="1365" priority="76">
      <formula>ABS(X$7-X$10)&gt;=1000</formula>
    </cfRule>
  </conditionalFormatting>
  <conditionalFormatting sqref="Y4:Y9 Y11">
    <cfRule type="expression" dxfId="1364" priority="75">
      <formula>ABS(Y$7-Y$10)&gt;=1000</formula>
    </cfRule>
  </conditionalFormatting>
  <conditionalFormatting sqref="Z4:Z11">
    <cfRule type="expression" dxfId="1363" priority="74">
      <formula>ABS(Z$7-Z$10)&gt;=1000</formula>
    </cfRule>
  </conditionalFormatting>
  <conditionalFormatting sqref="AA4:AA11">
    <cfRule type="expression" dxfId="1362" priority="73">
      <formula>ABS(AA$7-AA$10)&gt;=1000</formula>
    </cfRule>
  </conditionalFormatting>
  <conditionalFormatting sqref="AB4:AB11">
    <cfRule type="expression" dxfId="1361" priority="72">
      <formula>ABS(AB$7-AB$10)&gt;=1000</formula>
    </cfRule>
  </conditionalFormatting>
  <conditionalFormatting sqref="AC4 AC6:AC11">
    <cfRule type="expression" dxfId="1360" priority="71">
      <formula>ABS(AC$7-AC$10)&gt;=1000</formula>
    </cfRule>
  </conditionalFormatting>
  <conditionalFormatting sqref="AD4:AD11">
    <cfRule type="expression" dxfId="1359" priority="70">
      <formula>ABS(AD$7-AD$10)&gt;=1000</formula>
    </cfRule>
  </conditionalFormatting>
  <conditionalFormatting sqref="AE4:AE11">
    <cfRule type="expression" dxfId="1358" priority="69">
      <formula>ABS(AE$7-AE$10)&gt;=1000</formula>
    </cfRule>
  </conditionalFormatting>
  <conditionalFormatting sqref="D13:D20">
    <cfRule type="expression" dxfId="1357" priority="68">
      <formula>ABS(D$16-D$19)&gt;=1000</formula>
    </cfRule>
  </conditionalFormatting>
  <conditionalFormatting sqref="E13:E20">
    <cfRule type="expression" dxfId="1356" priority="67">
      <formula>ABS(E$16-E$19)&gt;=1000</formula>
    </cfRule>
  </conditionalFormatting>
  <conditionalFormatting sqref="F13 F15:F20">
    <cfRule type="expression" dxfId="1355" priority="66">
      <formula>ABS(F$16-F$19)&gt;=1000</formula>
    </cfRule>
  </conditionalFormatting>
  <conditionalFormatting sqref="G13:G20">
    <cfRule type="expression" dxfId="1354" priority="65">
      <formula>ABS(G$16-G$19)&gt;=1000</formula>
    </cfRule>
  </conditionalFormatting>
  <conditionalFormatting sqref="H13:H20">
    <cfRule type="expression" dxfId="1353" priority="64">
      <formula>ABS(H$16-H$19)&gt;=1000</formula>
    </cfRule>
  </conditionalFormatting>
  <conditionalFormatting sqref="I13:I20">
    <cfRule type="expression" dxfId="1352" priority="63">
      <formula>ABS(I$16-I$19)&gt;=1000</formula>
    </cfRule>
  </conditionalFormatting>
  <conditionalFormatting sqref="J13:J20">
    <cfRule type="expression" dxfId="1351" priority="62">
      <formula>ABS(J$16-J$19)&gt;=1000</formula>
    </cfRule>
  </conditionalFormatting>
  <conditionalFormatting sqref="L13:L20">
    <cfRule type="expression" dxfId="1350" priority="61">
      <formula>ABS(L$16-L$19)&gt;=1000</formula>
    </cfRule>
  </conditionalFormatting>
  <conditionalFormatting sqref="M13 M15 M17:M18 M20">
    <cfRule type="expression" dxfId="1349" priority="60">
      <formula>ABS(M$16-M$19)&gt;=1000</formula>
    </cfRule>
  </conditionalFormatting>
  <conditionalFormatting sqref="N13:N20">
    <cfRule type="expression" dxfId="1348" priority="59">
      <formula>ABS(N$16-N$19)&gt;=1000</formula>
    </cfRule>
  </conditionalFormatting>
  <conditionalFormatting sqref="O13:O20">
    <cfRule type="expression" dxfId="1347" priority="58">
      <formula>ABS(O$16-O$19)&gt;=1000</formula>
    </cfRule>
  </conditionalFormatting>
  <conditionalFormatting sqref="P13:P20">
    <cfRule type="expression" dxfId="1346" priority="57">
      <formula>ABS(P$16-P$19)&gt;=1000</formula>
    </cfRule>
  </conditionalFormatting>
  <conditionalFormatting sqref="Q13 Q15:Q20">
    <cfRule type="expression" dxfId="1345" priority="56">
      <formula>ABS(Q$16-Q$19)&gt;=1000</formula>
    </cfRule>
  </conditionalFormatting>
  <conditionalFormatting sqref="R13:R20">
    <cfRule type="expression" dxfId="1344" priority="55">
      <formula>ABS(R$16-R$19)&gt;=1000</formula>
    </cfRule>
  </conditionalFormatting>
  <conditionalFormatting sqref="S13:S20">
    <cfRule type="expression" dxfId="1343" priority="54">
      <formula>ABS(S$16-S$19)&gt;=1000</formula>
    </cfRule>
  </conditionalFormatting>
  <conditionalFormatting sqref="T13:T20">
    <cfRule type="expression" dxfId="1342" priority="53">
      <formula>ABS(T$16-T$19)&gt;=1000</formula>
    </cfRule>
  </conditionalFormatting>
  <conditionalFormatting sqref="U13:U20">
    <cfRule type="expression" dxfId="1341" priority="52">
      <formula>ABS(U$16-U$19)&gt;=1000</formula>
    </cfRule>
  </conditionalFormatting>
  <conditionalFormatting sqref="V13:V20">
    <cfRule type="expression" dxfId="1340" priority="51">
      <formula>ABS(V$16-V$19)&gt;=1000</formula>
    </cfRule>
  </conditionalFormatting>
  <conditionalFormatting sqref="W13 W20 W15:W18">
    <cfRule type="expression" dxfId="1339" priority="50">
      <formula>ABS(W$16-W$19)&gt;=1000</formula>
    </cfRule>
  </conditionalFormatting>
  <conditionalFormatting sqref="X13 X15:X20 Y19">
    <cfRule type="expression" dxfId="1338" priority="49">
      <formula>ABS(X$16-X$19)&gt;=1000</formula>
    </cfRule>
  </conditionalFormatting>
  <conditionalFormatting sqref="Y13 Y15:Y18 Y20">
    <cfRule type="expression" dxfId="1337" priority="48">
      <formula>ABS(Y$16-Y$19)&gt;=1000</formula>
    </cfRule>
  </conditionalFormatting>
  <conditionalFormatting sqref="Z13:Z20">
    <cfRule type="expression" dxfId="1336" priority="47">
      <formula>ABS(Z$16-Z$19)&gt;=1000</formula>
    </cfRule>
  </conditionalFormatting>
  <conditionalFormatting sqref="AA13:AA20">
    <cfRule type="expression" dxfId="1335" priority="46">
      <formula>ABS(AA$16-AA$19)&gt;=1000</formula>
    </cfRule>
  </conditionalFormatting>
  <conditionalFormatting sqref="AB13 AB15:AB20">
    <cfRule type="expression" dxfId="1334" priority="45">
      <formula>ABS(AB$16-AB$19)&gt;=1000</formula>
    </cfRule>
  </conditionalFormatting>
  <conditionalFormatting sqref="AC13 AC15:AC20">
    <cfRule type="expression" dxfId="1333" priority="44">
      <formula>ABS(AC$16-AC$19)&gt;=1000</formula>
    </cfRule>
  </conditionalFormatting>
  <conditionalFormatting sqref="AD13:AD20">
    <cfRule type="expression" dxfId="1332" priority="43">
      <formula>ABS(AD$16-AD$19)&gt;=1000</formula>
    </cfRule>
  </conditionalFormatting>
  <conditionalFormatting sqref="AE13:AE20">
    <cfRule type="expression" dxfId="1331" priority="42">
      <formula>ABS(AE$16-AE$19)&gt;=1000</formula>
    </cfRule>
  </conditionalFormatting>
  <conditionalFormatting sqref="D22:D29">
    <cfRule type="expression" dxfId="1330" priority="41">
      <formula>ABS(D$25-D$28)&gt;=1000</formula>
    </cfRule>
  </conditionalFormatting>
  <conditionalFormatting sqref="E22:E29">
    <cfRule type="expression" dxfId="1329" priority="40">
      <formula>ABS(E$25-E$28)&gt;=1000</formula>
    </cfRule>
  </conditionalFormatting>
  <conditionalFormatting sqref="F22:F29">
    <cfRule type="expression" dxfId="1328" priority="39">
      <formula>ABS(F$25-F$28)&gt;=1000</formula>
    </cfRule>
  </conditionalFormatting>
  <conditionalFormatting sqref="G22:G29">
    <cfRule type="expression" dxfId="1327" priority="38">
      <formula>ABS(G$25-G$28)&gt;=1000</formula>
    </cfRule>
  </conditionalFormatting>
  <conditionalFormatting sqref="H22:H29">
    <cfRule type="expression" dxfId="1326" priority="37">
      <formula>ABS(H$25-H$28)&gt;=1000</formula>
    </cfRule>
  </conditionalFormatting>
  <conditionalFormatting sqref="I22 I24:I29">
    <cfRule type="expression" dxfId="1325" priority="36">
      <formula>ABS(I$25-I$28)&gt;=1000</formula>
    </cfRule>
  </conditionalFormatting>
  <conditionalFormatting sqref="J22:J29 K22">
    <cfRule type="expression" dxfId="1324" priority="35">
      <formula>ABS(J$25-J$28)&gt;=1000</formula>
    </cfRule>
  </conditionalFormatting>
  <conditionalFormatting sqref="K23:K29 L25 L28">
    <cfRule type="expression" dxfId="1323" priority="34">
      <formula>ABS(K$25-K$28)&gt;=1000</formula>
    </cfRule>
  </conditionalFormatting>
  <conditionalFormatting sqref="L22:L24 L26:L27 L29">
    <cfRule type="expression" dxfId="1322" priority="33">
      <formula>ABS(L$25-L$28)&gt;=1000</formula>
    </cfRule>
  </conditionalFormatting>
  <conditionalFormatting sqref="M22:M29">
    <cfRule type="expression" dxfId="1321" priority="32">
      <formula>ABS(M$25-M$28)&gt;=1000</formula>
    </cfRule>
  </conditionalFormatting>
  <conditionalFormatting sqref="N22:N29">
    <cfRule type="expression" dxfId="1320" priority="31">
      <formula>ABS(N$25-N$28)&gt;=1000</formula>
    </cfRule>
  </conditionalFormatting>
  <conditionalFormatting sqref="O22:O29">
    <cfRule type="expression" dxfId="1319" priority="30">
      <formula>ABS(O$25-O$28)&gt;=1000</formula>
    </cfRule>
  </conditionalFormatting>
  <conditionalFormatting sqref="P22:P29">
    <cfRule type="expression" dxfId="1318" priority="29">
      <formula>ABS(P$25-P$28)&gt;=1000</formula>
    </cfRule>
  </conditionalFormatting>
  <conditionalFormatting sqref="Q22:Q29">
    <cfRule type="expression" dxfId="1317" priority="28">
      <formula>ABS(Q$25-Q$28)&gt;=1000</formula>
    </cfRule>
  </conditionalFormatting>
  <conditionalFormatting sqref="R22:R29">
    <cfRule type="expression" dxfId="1316" priority="27">
      <formula>ABS(R$25-R$28)&gt;=1000</formula>
    </cfRule>
  </conditionalFormatting>
  <conditionalFormatting sqref="S22:S29">
    <cfRule type="expression" dxfId="1315" priority="26">
      <formula>ABS(S$25-S$28)&gt;=1000</formula>
    </cfRule>
  </conditionalFormatting>
  <conditionalFormatting sqref="T22:T29">
    <cfRule type="expression" dxfId="1314" priority="25">
      <formula>ABS(T$25-T$28)&gt;=1000</formula>
    </cfRule>
  </conditionalFormatting>
  <conditionalFormatting sqref="U22:U29">
    <cfRule type="expression" dxfId="1313" priority="24">
      <formula>ABS(U$25-U$28)&gt;=1000</formula>
    </cfRule>
  </conditionalFormatting>
  <conditionalFormatting sqref="V22:V29">
    <cfRule type="expression" dxfId="1312" priority="23">
      <formula>ABS(V$25-V$28)&gt;=1000</formula>
    </cfRule>
  </conditionalFormatting>
  <conditionalFormatting sqref="W22:W29">
    <cfRule type="expression" dxfId="1311" priority="22">
      <formula>ABS(W$25-W$28)&gt;=1000</formula>
    </cfRule>
  </conditionalFormatting>
  <conditionalFormatting sqref="X22:X29">
    <cfRule type="expression" dxfId="1310" priority="21">
      <formula>ABS(X$25-X$28)&gt;=1000</formula>
    </cfRule>
  </conditionalFormatting>
  <conditionalFormatting sqref="Y22:Y29">
    <cfRule type="expression" dxfId="1309" priority="20">
      <formula>ABS(Y$25-Y$28)&gt;=1000</formula>
    </cfRule>
  </conditionalFormatting>
  <conditionalFormatting sqref="I23">
    <cfRule type="expression" dxfId="1308" priority="19">
      <formula>ABS(I$25-I$28)&gt;=1000</formula>
    </cfRule>
  </conditionalFormatting>
  <conditionalFormatting sqref="F14">
    <cfRule type="expression" dxfId="1307" priority="18">
      <formula>ABS(F$16-F$19)&gt;=1000</formula>
    </cfRule>
  </conditionalFormatting>
  <conditionalFormatting sqref="Q14">
    <cfRule type="expression" dxfId="1306" priority="17">
      <formula>ABS(Q$16-Q$19)&gt;=1000</formula>
    </cfRule>
  </conditionalFormatting>
  <conditionalFormatting sqref="W14">
    <cfRule type="expression" dxfId="1305" priority="16">
      <formula>ABS(W$16-W$19)&gt;=1000</formula>
    </cfRule>
  </conditionalFormatting>
  <conditionalFormatting sqref="Y14">
    <cfRule type="expression" dxfId="1304" priority="15">
      <formula>ABS(Y$16-Y$19)&gt;=1000</formula>
    </cfRule>
  </conditionalFormatting>
  <conditionalFormatting sqref="X14">
    <cfRule type="expression" dxfId="1303" priority="14">
      <formula>ABS(X$16-X$19)&gt;=1000</formula>
    </cfRule>
  </conditionalFormatting>
  <conditionalFormatting sqref="T10:Y10">
    <cfRule type="expression" dxfId="1302" priority="13">
      <formula>ABS(T$7-T$10)&gt;=1000</formula>
    </cfRule>
  </conditionalFormatting>
  <conditionalFormatting sqref="W19">
    <cfRule type="expression" dxfId="1301" priority="12">
      <formula>ABS(W$16-W$19)&gt;=1000</formula>
    </cfRule>
  </conditionalFormatting>
  <conditionalFormatting sqref="AC5">
    <cfRule type="expression" dxfId="1300" priority="11">
      <formula>ABS(AC$7-AC$10)&gt;=1000</formula>
    </cfRule>
  </conditionalFormatting>
  <conditionalFormatting sqref="M14">
    <cfRule type="expression" dxfId="1299" priority="10">
      <formula>ABS(M$16-M$19)&gt;=1000</formula>
    </cfRule>
  </conditionalFormatting>
  <conditionalFormatting sqref="M16">
    <cfRule type="expression" dxfId="1298" priority="9">
      <formula>ABS(M$16-M$19)&gt;=1000</formula>
    </cfRule>
  </conditionalFormatting>
  <conditionalFormatting sqref="M19">
    <cfRule type="expression" dxfId="1297" priority="8">
      <formula>ABS(M$16-M$19)&gt;=1000</formula>
    </cfRule>
  </conditionalFormatting>
  <conditionalFormatting sqref="K13:K20">
    <cfRule type="expression" dxfId="1296" priority="7">
      <formula>ABS(K$16-K$19)&gt;=1000</formula>
    </cfRule>
  </conditionalFormatting>
  <conditionalFormatting sqref="E5">
    <cfRule type="expression" dxfId="1295" priority="6">
      <formula>ABS(E$7-E$10)&gt;=1000</formula>
    </cfRule>
  </conditionalFormatting>
  <conditionalFormatting sqref="AB14:AC14">
    <cfRule type="expression" dxfId="1294" priority="5">
      <formula>ABS(AB$16-AB$19)&gt;=1000</formula>
    </cfRule>
  </conditionalFormatting>
  <conditionalFormatting sqref="M5">
    <cfRule type="expression" dxfId="1293" priority="4">
      <formula>ABS(M$7-M$10)&gt;=1000</formula>
    </cfRule>
  </conditionalFormatting>
  <conditionalFormatting sqref="N5">
    <cfRule type="expression" dxfId="1292" priority="3">
      <formula>ABS(N$7-N$10)&gt;=1000</formula>
    </cfRule>
  </conditionalFormatting>
  <conditionalFormatting sqref="O5">
    <cfRule type="expression" dxfId="1291" priority="2">
      <formula>ABS(O$7-O$10)&gt;=1000</formula>
    </cfRule>
  </conditionalFormatting>
  <conditionalFormatting sqref="P5">
    <cfRule type="expression" dxfId="129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16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6">
    <pageSetUpPr fitToPage="1"/>
  </sheetPr>
  <dimension ref="A1:CU223"/>
  <sheetViews>
    <sheetView view="pageBreakPreview" zoomScale="80" zoomScaleNormal="100" zoomScaleSheetLayoutView="80" workbookViewId="0">
      <selection activeCell="X24" sqref="X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45764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9" t="s" ph="1">
        <v>178</v>
      </c>
      <c r="D6" s="71">
        <v>4175</v>
      </c>
      <c r="E6" s="71">
        <v>4245</v>
      </c>
      <c r="F6" s="71">
        <v>1485</v>
      </c>
      <c r="G6" s="71">
        <v>4276</v>
      </c>
      <c r="H6" s="71">
        <v>1733</v>
      </c>
      <c r="I6" s="71">
        <v>16.04</v>
      </c>
      <c r="J6" s="71">
        <v>7.71</v>
      </c>
      <c r="K6" s="71">
        <v>51.85</v>
      </c>
      <c r="L6" s="71">
        <v>58.36</v>
      </c>
      <c r="M6" s="71">
        <v>1951</v>
      </c>
      <c r="N6" s="71">
        <v>1744</v>
      </c>
      <c r="O6" s="71">
        <v>2112</v>
      </c>
      <c r="P6" s="71">
        <v>8622</v>
      </c>
      <c r="Q6" s="71">
        <v>7149</v>
      </c>
      <c r="R6" s="71">
        <v>7123</v>
      </c>
      <c r="S6" s="71">
        <v>5424</v>
      </c>
      <c r="T6" s="71">
        <v>2738</v>
      </c>
      <c r="U6" s="71">
        <v>0</v>
      </c>
      <c r="V6" s="71">
        <v>0</v>
      </c>
      <c r="W6" s="71">
        <v>0</v>
      </c>
      <c r="X6" s="71">
        <v>0</v>
      </c>
      <c r="Y6" s="71">
        <v>4519</v>
      </c>
      <c r="Z6" s="71">
        <v>5581</v>
      </c>
      <c r="AA6" s="71">
        <v>1571</v>
      </c>
      <c r="AB6" s="71">
        <v>3975</v>
      </c>
      <c r="AC6" s="71">
        <v>5873</v>
      </c>
      <c r="AD6" s="71">
        <v>1337</v>
      </c>
      <c r="AE6" s="71">
        <v>1440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131261.57001674999</v>
      </c>
      <c r="E7" s="73" ph="1">
        <f>E6*51.53*LOOKUP(E8,密度!$A$2:$A$50,密度!$B$2:$B$50)</f>
        <v>170533.48506000001</v>
      </c>
      <c r="F7" s="73" ph="1">
        <f>F6*33.183*LOOKUP(F8,密度!$A$2:$A$50,密度!$C$2:$C$50)</f>
        <v>54716.908752000003</v>
      </c>
      <c r="G7" s="73" ph="1">
        <f xml:space="preserve"> (G6+2)*51.53*LOOKUP(G8,密度!$A$2:$A$50,密度!$B$2:$B$50)</f>
        <v>172255.98867600001</v>
      </c>
      <c r="H7" s="73" ph="1">
        <f>(H6)*51.53*LOOKUP(H8,密度!$A$2:$A$50,密度!$B$2:$B$50)</f>
        <v>69780.184286000003</v>
      </c>
      <c r="I7" s="73" ph="1">
        <f>I6*290.8*1.0267</f>
        <v>4788.9723343999995</v>
      </c>
      <c r="J7" s="73" ph="1">
        <f>J6*290.8*0.7892</f>
        <v>1769.4400656000003</v>
      </c>
      <c r="K7" s="73" ph="1">
        <f>K6*290.8*1.1126</f>
        <v>16775.760548000002</v>
      </c>
      <c r="L7" s="73" ph="1">
        <f>L6*290.8*0.777</f>
        <v>13186.535376</v>
      </c>
      <c r="M7" s="73" ph="1">
        <f>M6*33.183*LOOKUP(M8,密度!$A$2:$A$50,密度!$D$2:$D$50)</f>
        <v>66468.591881100001</v>
      </c>
      <c r="N7" s="73" ph="1">
        <f>N6*33.183*LOOKUP(N8,密度!$A$2:$A$50,密度!$E$2:$E$50)</f>
        <v>45324.686246400001</v>
      </c>
      <c r="O7" s="73" ph="1">
        <f>O6*20.428*LOOKUP(O8,密度!$A$2:$A$50,密度!$C$2:$C$50)</f>
        <v>47678.363673599997</v>
      </c>
      <c r="P7" s="73" ph="1">
        <f>P6*51.53*LOOKUP(P8,密度!$A$2:$A$50,密度!$B$2:$B$50)</f>
        <v>347169.50312400004</v>
      </c>
      <c r="Q7" s="73" ph="1">
        <f>Q6*1.5*1.5*3.1416*LOOKUP(W8,密度!$A$2:$A$50,密度!$L$2:$L$50)</f>
        <v>47400.349273199994</v>
      </c>
      <c r="R7" s="73" ph="1">
        <f>R6*1.5*1.5*3.1416*LOOKUP(R8,密度!$A$2:$A$50,密度!$L$2:$L$50)</f>
        <v>47076.911343</v>
      </c>
      <c r="S7" s="73" ph="1">
        <f>S6*1.5*1.5*3.1416*LOOKUP(S8,密度!$A$2:$A$50,密度!$L$2:$L$50)</f>
        <v>36269.721734400002</v>
      </c>
      <c r="T7" s="73" ph="1">
        <f>T6*1.5*1.5*3.1416*LOOKUP(T8,密度!$A$2:$A$50,密度!$L$2:$L$50)</f>
        <v>18270.012499199998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29994.480192599996</v>
      </c>
      <c r="Z7" s="73" ph="1">
        <f>Z6*33.183*LOOKUP(Z8,密度!$A$2:$A$50,密度!$L$2:$L$50)</f>
        <v>173897.469297</v>
      </c>
      <c r="AA7" s="73" ph="1">
        <f>AA6*33.183*LOOKUP(AA8,密度!$A$2:$A$50,密度!$D$2:$D$50)</f>
        <v>53668.34254350001</v>
      </c>
      <c r="AB7" s="73" ph="1">
        <f>AB6*20.428*LOOKUP(AB8,密度!$A$2:$A$50,密度!$D$2:$D$50)</f>
        <v>84165.147450000004</v>
      </c>
      <c r="AC7" s="73" ph="1">
        <f>AC6*51.53*LOOKUP(AC8,密度!$A$2:$A$50,密度!$Q$2:$Q$50)</f>
        <v>287410.08843609999</v>
      </c>
      <c r="AD7" s="73" ph="1">
        <f>AD6*20.428*LOOKUP(AD8,密度!$A$2:$A$50,密度!$V$2:$V$50)</f>
        <v>26241.596348800002</v>
      </c>
      <c r="AE7" s="73" ph="1">
        <f>AE6*20.428</f>
        <v>29416.32</v>
      </c>
    </row>
    <row r="8" spans="1:99" ph="1">
      <c r="B8" s="195" ph="1"/>
      <c r="C8" s="68" t="s" ph="1">
        <v>180</v>
      </c>
      <c r="D8" s="74">
        <v>24</v>
      </c>
      <c r="E8" s="74">
        <v>25</v>
      </c>
      <c r="F8" s="74">
        <v>23</v>
      </c>
      <c r="G8" s="74">
        <v>23</v>
      </c>
      <c r="H8" s="74">
        <v>23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23</v>
      </c>
      <c r="Q8" s="74">
        <v>21</v>
      </c>
      <c r="R8" s="74">
        <v>27</v>
      </c>
      <c r="S8" s="74">
        <v>16</v>
      </c>
      <c r="T8" s="74">
        <v>18</v>
      </c>
      <c r="U8" s="74">
        <v>22</v>
      </c>
      <c r="V8" s="74">
        <v>28</v>
      </c>
      <c r="W8" s="74">
        <v>24</v>
      </c>
      <c r="X8" s="74">
        <v>15</v>
      </c>
      <c r="Y8" s="74">
        <v>23</v>
      </c>
      <c r="Z8" s="74">
        <v>23</v>
      </c>
      <c r="AA8" s="74">
        <v>22</v>
      </c>
      <c r="AB8" s="74">
        <v>14</v>
      </c>
      <c r="AC8" s="74">
        <v>21</v>
      </c>
      <c r="AD8" s="74">
        <v>23</v>
      </c>
      <c r="AE8" s="74">
        <v>25</v>
      </c>
    </row>
    <row r="9" spans="1:99" ht="26.4" ph="1">
      <c r="B9" s="195" ph="1">
        <v>0.66666666666666663</v>
      </c>
      <c r="C9" s="159" t="s" ph="1">
        <v>181</v>
      </c>
      <c r="D9" s="71">
        <v>4179</v>
      </c>
      <c r="E9" s="71">
        <v>4247</v>
      </c>
      <c r="F9" s="71">
        <v>2046</v>
      </c>
      <c r="G9" s="71">
        <v>5790</v>
      </c>
      <c r="H9" s="71">
        <v>1737</v>
      </c>
      <c r="I9" s="71">
        <v>16.03</v>
      </c>
      <c r="J9" s="71">
        <v>7.73</v>
      </c>
      <c r="K9" s="71">
        <v>16.62</v>
      </c>
      <c r="L9" s="71">
        <v>16.55</v>
      </c>
      <c r="M9" s="71">
        <v>1954</v>
      </c>
      <c r="N9" s="71">
        <v>1750</v>
      </c>
      <c r="O9" s="71">
        <v>2115</v>
      </c>
      <c r="P9" s="71">
        <v>8441</v>
      </c>
      <c r="Q9" s="71">
        <v>7151</v>
      </c>
      <c r="R9" s="71">
        <v>7133</v>
      </c>
      <c r="S9" s="71">
        <v>5433</v>
      </c>
      <c r="T9" s="71">
        <v>7145</v>
      </c>
      <c r="U9" s="71">
        <v>4225</v>
      </c>
      <c r="V9" s="71">
        <v>0</v>
      </c>
      <c r="W9" s="71">
        <v>0</v>
      </c>
      <c r="X9" s="71">
        <v>0</v>
      </c>
      <c r="Y9" s="71">
        <v>0</v>
      </c>
      <c r="Z9" s="71">
        <v>5581</v>
      </c>
      <c r="AA9" s="71">
        <v>2170</v>
      </c>
      <c r="AB9" s="71">
        <v>3978</v>
      </c>
      <c r="AC9" s="71">
        <v>5877</v>
      </c>
      <c r="AD9" s="71">
        <v>1337</v>
      </c>
      <c r="AE9" s="71">
        <v>1305</v>
      </c>
    </row>
    <row r="10" spans="1:99" s="72" customFormat="1" ht="22.2" ph="1">
      <c r="B10" s="195" ph="1"/>
      <c r="C10" s="159" t="s" ph="1">
        <v>179</v>
      </c>
      <c r="D10" s="73" ph="1">
        <f>D9*33.183*LOOKUP(D11,密度!$A$2:$A$50,密度!$Q$2:$Q$50)</f>
        <v>131089.18532724</v>
      </c>
      <c r="E10" s="73" ph="1">
        <f>E9*51.53*LOOKUP(E11,密度!$A$2:$A$50,密度!$B$2:$B$50)</f>
        <v>170044.82607000001</v>
      </c>
      <c r="F10" s="73" ph="1">
        <f>F9*33.183*LOOKUP(F11,密度!$A$2:$A$50,密度!$C$2:$C$50)</f>
        <v>75285.90232020001</v>
      </c>
      <c r="G10" s="73" ph="1">
        <f xml:space="preserve"> (G9+2)*51.53*LOOKUP(G11,密度!$A$2:$A$50,密度!$B$2:$B$50)</f>
        <v>232680.788096</v>
      </c>
      <c r="H10" s="73" ph="1">
        <f>(H9)*51.53*LOOKUP(H11,密度!$A$2:$A$50,密度!$B$2:$B$50)</f>
        <v>69780.132755999992</v>
      </c>
      <c r="I10" s="73" ph="1">
        <f>I9*290.8*1.0267</f>
        <v>4785.9866908000004</v>
      </c>
      <c r="J10" s="73" ph="1">
        <f>J9*290.8*0.7892</f>
        <v>1774.0300528</v>
      </c>
      <c r="K10" s="73" ph="1">
        <f>K9*290.8*1.1126</f>
        <v>5377.3026096000003</v>
      </c>
      <c r="L10" s="73" ph="1">
        <f>L9*290.8*0.777</f>
        <v>3739.4989800000008</v>
      </c>
      <c r="M10" s="73" ph="1">
        <f>M9*33.183*LOOKUP(M11,密度!$A$2:$A$50,密度!$D$2:$D$50)</f>
        <v>66447.603633599996</v>
      </c>
      <c r="N10" s="73" ph="1">
        <f>N9*33.183*LOOKUP(N11,密度!$A$2:$A$50,密度!$E$2:$E$50)</f>
        <v>45416.742525000001</v>
      </c>
      <c r="O10" s="73" ph="1">
        <f>O9*20.428*LOOKUP(O11,密度!$A$2:$A$50,密度!$C$2:$C$50)</f>
        <v>47473.895735999999</v>
      </c>
      <c r="P10" s="73" ph="1">
        <f>P9*51.53*LOOKUP(P11,密度!$A$2:$A$50,密度!$B$2:$B$50)</f>
        <v>338707.03525099996</v>
      </c>
      <c r="Q10" s="73" ph="1">
        <f>Q9*1.5*1.5*3.1416*LOOKUP(W11,密度!$A$2:$A$50,密度!$L$2:$L$50)</f>
        <v>46958.681939399998</v>
      </c>
      <c r="R10" s="73" ph="1">
        <f>R9*1.5*1.5*3.1416*LOOKUP(R11,密度!$A$2:$A$50,密度!$L$2:$L$50)</f>
        <v>47042.162105399999</v>
      </c>
      <c r="S10" s="73" ph="1">
        <f>S9*1.5*1.5*3.1416*LOOKUP(S11,密度!$A$2:$A$50,密度!$L$2:$L$50)</f>
        <v>36214.692683400004</v>
      </c>
      <c r="T10" s="73" ph="1">
        <f>T9*1.5*1.5*3.1416*LOOKUP(T11,密度!$A$2:$A$50,密度!$L$2:$L$50)</f>
        <v>47525.343326999995</v>
      </c>
      <c r="U10" s="73" ph="1">
        <f>U9*1.5*1.5*3.1416*LOOKUP(U11,密度!$A$2:$A$50,密度!$L$2:$L$50)</f>
        <v>28043.080064999998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173527.08065100003</v>
      </c>
      <c r="AA10" s="73" ph="1">
        <f>AA9*33.183*LOOKUP(AA11,密度!$A$2:$A$50,密度!$D$2:$D$50)</f>
        <v>73929.699836999993</v>
      </c>
      <c r="AB10" s="73" ph="1">
        <f>AB9*20.428*LOOKUP(AB11,密度!$A$2:$A$50,密度!$D$2:$D$50)</f>
        <v>84090.521923199994</v>
      </c>
      <c r="AC10" s="73" ph="1">
        <f>AC9*51.53*LOOKUP(AC11,密度!$A$2:$A$50,密度!$Q$2:$Q$50)</f>
        <v>287424.13345289999</v>
      </c>
      <c r="AD10" s="73" ph="1">
        <f>AD9*20.428*LOOKUP(AD11,密度!$A$2:$A$50,密度!$V$2:$V$50)</f>
        <v>26154.197193600001</v>
      </c>
      <c r="AE10" s="73" ph="1">
        <f>AE9*20.428</f>
        <v>26658.54</v>
      </c>
    </row>
    <row r="11" spans="1:99" ph="1">
      <c r="A11" s="64" t="s" ph="1">
        <v>163</v>
      </c>
      <c r="B11" s="195" ph="1"/>
      <c r="C11" s="159" t="s" ph="1">
        <v>180</v>
      </c>
      <c r="D11" s="74">
        <v>27</v>
      </c>
      <c r="E11" s="74">
        <v>28</v>
      </c>
      <c r="F11" s="74">
        <v>25</v>
      </c>
      <c r="G11" s="74">
        <v>25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26</v>
      </c>
      <c r="O11" s="74">
        <v>36</v>
      </c>
      <c r="P11" s="74">
        <v>26</v>
      </c>
      <c r="Q11" s="74">
        <v>23</v>
      </c>
      <c r="R11" s="74">
        <v>29</v>
      </c>
      <c r="S11" s="74">
        <v>19</v>
      </c>
      <c r="T11" s="74">
        <v>21</v>
      </c>
      <c r="U11" s="74">
        <v>23</v>
      </c>
      <c r="V11" s="74">
        <v>28</v>
      </c>
      <c r="W11" s="74">
        <v>33</v>
      </c>
      <c r="X11" s="74">
        <v>21</v>
      </c>
      <c r="Y11" s="74">
        <v>27</v>
      </c>
      <c r="Z11" s="74">
        <v>25</v>
      </c>
      <c r="AA11" s="74">
        <v>25</v>
      </c>
      <c r="AB11" s="74">
        <v>16</v>
      </c>
      <c r="AC11" s="74">
        <v>22</v>
      </c>
      <c r="AD11" s="74">
        <v>27</v>
      </c>
      <c r="AE11" s="74">
        <v>27</v>
      </c>
    </row>
    <row r="12" spans="1:99" ht="9.9" customHeight="1" ph="1"/>
    <row r="13" spans="1:99" s="72" customFormat="1" ht="29.25" customHeight="1" ph="1">
      <c r="B13" s="20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9" t="s" ph="1">
        <v>178</v>
      </c>
      <c r="D15" s="78">
        <v>0</v>
      </c>
      <c r="E15" s="78">
        <v>922</v>
      </c>
      <c r="F15" s="78">
        <v>1814</v>
      </c>
      <c r="G15" s="78">
        <v>418</v>
      </c>
      <c r="H15" s="78">
        <v>4518</v>
      </c>
      <c r="I15" s="78">
        <v>4141</v>
      </c>
      <c r="J15" s="78">
        <v>0</v>
      </c>
      <c r="K15" s="78">
        <v>1996</v>
      </c>
      <c r="L15" s="78">
        <v>1772</v>
      </c>
      <c r="M15" s="78">
        <v>6956</v>
      </c>
      <c r="N15" s="78">
        <v>575</v>
      </c>
      <c r="O15" s="78">
        <v>0</v>
      </c>
      <c r="P15" s="78">
        <v>6932</v>
      </c>
      <c r="Q15" s="78">
        <v>30</v>
      </c>
      <c r="R15" s="78">
        <v>3507</v>
      </c>
      <c r="S15" s="78">
        <v>6856</v>
      </c>
      <c r="T15" s="78">
        <v>4084</v>
      </c>
      <c r="U15" s="78">
        <v>5448</v>
      </c>
      <c r="V15" s="78">
        <v>1098</v>
      </c>
      <c r="W15" s="71">
        <v>3772</v>
      </c>
      <c r="X15" s="78">
        <v>149</v>
      </c>
      <c r="Y15" s="106">
        <v>-9905</v>
      </c>
      <c r="Z15" s="78">
        <v>0</v>
      </c>
      <c r="AA15" s="78">
        <v>4231</v>
      </c>
      <c r="AB15" s="78" ph="1">
        <v>6910</v>
      </c>
      <c r="AC15" s="78" ph="1">
        <v>987</v>
      </c>
      <c r="AD15" s="78">
        <v>52.05</v>
      </c>
      <c r="AE15" s="78">
        <v>5.46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9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6126.2142480000002</v>
      </c>
      <c r="F16" s="73" ph="1">
        <f>F15*9.0746*LOOKUP(F17,密度!$A$2:$A$50,密度!$L$2:$L$50)</f>
        <v>15407.799638400002</v>
      </c>
      <c r="G16" s="73" ph="1">
        <f>G15*9.0746*LOOKUP(G17,密度!$A$2:$A$50,密度!$B$2:$B$50)</f>
        <v>2960.5791753999997</v>
      </c>
      <c r="H16" s="73" ph="1">
        <f>H15*9.0746*LOOKUP(H17,密度!$A$2:$A$50,密度!$L$2:$L$50)</f>
        <v>38621.098317600001</v>
      </c>
      <c r="I16" s="73" ph="1">
        <f>I15*9.0746*LOOKUP(I17,密度!$A$2:$A$50,密度!$U$2:$U$50)</f>
        <v>38630.100320800004</v>
      </c>
      <c r="J16" s="73" ph="1">
        <f>J15*9.0746*LOOKUP(J17,密度!$A$2:$A$50,密度!$L$2:$L$50)</f>
        <v>0</v>
      </c>
      <c r="K16" s="73" ph="1">
        <f>K15*9.0746*LOOKUP(K17,密度!$A$2:$A$50,密度!$C$2:$C$50)</f>
        <v>20085.396584239999</v>
      </c>
      <c r="L16" s="73" ph="1">
        <f>L15*9.0746*LOOKUP(L17,密度!$A$2:$A$50,密度!$E$2:$E$50)</f>
        <v>12594.005747840001</v>
      </c>
      <c r="M16" s="73" ph="1">
        <f>M15*9.0746*LOOKUP(M17,密度!$A$2:$A$50,密度!$M$2:$M$50)</f>
        <v>55175.742274160002</v>
      </c>
      <c r="N16" s="73" ph="1">
        <f>N15*9.0746*LOOKUP(N17,密度!$A$2:$A$50,密度!$M$2:$M$50)</f>
        <v>4587.0514945000004</v>
      </c>
      <c r="O16" s="73" ph="1">
        <f>O15*9.0746*LOOKUP(O17,密度!$A$2:$A$50,密度!$G$2:$G$50)</f>
        <v>0</v>
      </c>
      <c r="P16" s="73" ph="1">
        <f ca="1">P15*9.0746*LOOKUP(P17,密度!$A$2:$A$51,密度!$Q$2:$Q$50)</f>
        <v>59600.720868184006</v>
      </c>
      <c r="Q16" s="73" ph="1">
        <f>Q15*9.0746*LOOKUP(Q17,密度!$A$2:$A$50,密度!$Q$2:$Q$50)</f>
        <v>258.37836341999997</v>
      </c>
      <c r="R16" s="73" ph="1">
        <f>MAX(R15*9.0746*LOOKUP(R17,密度!$A$2:$A$50,密度!$B$2:$B$50),0)</f>
        <v>24810.475467119999</v>
      </c>
      <c r="S16" s="73" ph="1">
        <f>S15*9.0746*LOOKUP(S17,密度!$A$2:$A$50,密度!$Q$2:$Q$50)</f>
        <v>58947.279612272003</v>
      </c>
      <c r="T16" s="73" ph="1">
        <f>T15*9.0746*LOOKUP(T17,密度!$A$2:$A$50,密度!$O$2:$O$50)</f>
        <v>34466.419752000002</v>
      </c>
      <c r="U16" s="73" ph="1">
        <f>U15*9.0746*LOOKUP(U17,密度!$A$2:$A$50,密度!$H$2:$H$50)</f>
        <v>45424.02103104</v>
      </c>
      <c r="V16" s="73" ph="1">
        <f>MAX(5600*LOOKUP(V17,密度!$A$2:$A$50,密度!$Q$2:$Q$50)+V15*9.0476*LOOKUP(V17,密度!$A$2:$A$50,密度!$Q$2:$Q$50),0)</f>
        <v>14718.249870055999</v>
      </c>
      <c r="W16" s="73" ph="1">
        <f>MAX(5600*LOOKUP(W17,密度!$A$2:$A$50,密度!$Q$2:$Q$50)+W15*9.0476*LOOKUP(W17,密度!$A$2:$A$50,密度!$Q$2:$Q$50),0)</f>
        <v>37640.659145583995</v>
      </c>
      <c r="X16" s="73" ph="1">
        <f>MAX(5600*LOOKUP(X17,密度!$A$2:$A$50,密度!$I$2:$I$50)+X15*9.0476*LOOKUP(X17,密度!$A$2:$A$50,密度!$I$2:$I$50),0)</f>
        <v>7291.32816456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30070.676252320005</v>
      </c>
      <c r="AB16" s="73" ph="1">
        <f>AB15*9.0746*LOOKUP(AB17,密度!$A$2:$A$50,密度!$L$2:$L$50)</f>
        <v>58817.745867999998</v>
      </c>
      <c r="AC16" s="73" ph="1">
        <f>AC15*9.0746*LOOKUP(AC17,密度!$A$2:$A$50,密度!$L$2:$L$50)</f>
        <v>8419.2323879999985</v>
      </c>
      <c r="AD16" s="73" ph="1">
        <f>AD15*268.68*LOOKUP(AD17,密度!$A$2:$A$50,密度!B2:B50)+IF(AD15&lt;=0,0,1566*LOOKUP(AD17,密度!$A$2:$A$50,密度!B2:B50))</f>
        <v>12123.3990024</v>
      </c>
      <c r="AE16" s="73" ph="1">
        <f>AE15*268.68*LOOKUP(AE17,密度!$A$2:$A$50,密度!B2:B50)+IF(AE15&lt;=0,0,1566*LOOKUP(AE17,密度!$A$2:$A$50,密度!B2:B50))</f>
        <v>2364.5211868799997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22</v>
      </c>
      <c r="E17" s="74">
        <v>22</v>
      </c>
      <c r="F17" s="74">
        <v>26</v>
      </c>
      <c r="G17" s="74">
        <v>24</v>
      </c>
      <c r="H17" s="74">
        <v>20</v>
      </c>
      <c r="I17" s="74">
        <v>21</v>
      </c>
      <c r="J17" s="74">
        <v>25</v>
      </c>
      <c r="K17" s="74">
        <v>25</v>
      </c>
      <c r="L17" s="74">
        <v>25</v>
      </c>
      <c r="M17" s="74">
        <v>26</v>
      </c>
      <c r="N17" s="74">
        <v>21</v>
      </c>
      <c r="O17" s="74">
        <v>25</v>
      </c>
      <c r="P17" s="74">
        <v>24</v>
      </c>
      <c r="Q17" s="74">
        <v>22</v>
      </c>
      <c r="R17" s="74">
        <v>25</v>
      </c>
      <c r="S17" s="74">
        <v>24</v>
      </c>
      <c r="T17" s="74">
        <v>23</v>
      </c>
      <c r="U17" s="74">
        <v>21</v>
      </c>
      <c r="V17" s="74">
        <v>24</v>
      </c>
      <c r="W17" s="74">
        <v>24</v>
      </c>
      <c r="X17" s="74">
        <v>19</v>
      </c>
      <c r="Y17" s="108">
        <v>19</v>
      </c>
      <c r="Z17" s="74">
        <v>24</v>
      </c>
      <c r="AA17" s="74">
        <v>21</v>
      </c>
      <c r="AB17" s="74">
        <v>24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925</v>
      </c>
      <c r="F18" s="71">
        <v>1816</v>
      </c>
      <c r="G18" s="71">
        <v>516</v>
      </c>
      <c r="H18" s="71">
        <v>4524</v>
      </c>
      <c r="I18" s="71">
        <v>4145</v>
      </c>
      <c r="J18" s="71">
        <v>0</v>
      </c>
      <c r="K18" s="71">
        <v>2007</v>
      </c>
      <c r="L18" s="71">
        <v>1778</v>
      </c>
      <c r="M18" s="71">
        <v>4505</v>
      </c>
      <c r="N18" s="71">
        <v>722</v>
      </c>
      <c r="O18" s="71">
        <v>43</v>
      </c>
      <c r="P18" s="71">
        <v>6945</v>
      </c>
      <c r="Q18" s="71">
        <v>27</v>
      </c>
      <c r="R18" s="71">
        <v>3512</v>
      </c>
      <c r="S18" s="71">
        <v>6868</v>
      </c>
      <c r="T18" s="71">
        <v>2676</v>
      </c>
      <c r="U18" s="71">
        <v>5454</v>
      </c>
      <c r="V18" s="71">
        <v>1098</v>
      </c>
      <c r="W18" s="71">
        <v>3773</v>
      </c>
      <c r="X18" s="71">
        <v>150</v>
      </c>
      <c r="Y18" s="109">
        <v>-9908</v>
      </c>
      <c r="Z18" s="71">
        <v>0</v>
      </c>
      <c r="AA18" s="71">
        <v>4238</v>
      </c>
      <c r="AB18" s="71">
        <v>6923</v>
      </c>
      <c r="AC18" s="71">
        <v>990</v>
      </c>
      <c r="AD18" s="71">
        <v>78.599999999999994</v>
      </c>
      <c r="AE18" s="71">
        <v>5.38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9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6106.9169700000002</v>
      </c>
      <c r="F19" s="73" ph="1">
        <f>F18*9.0746*LOOKUP(F20,密度!$A$2:$A$50,密度!$L$2:$L$50)</f>
        <v>15375.348868800002</v>
      </c>
      <c r="G19" s="73" ph="1">
        <f>G18*9.0746*LOOKUP(G20,密度!$A$2:$A$50,密度!$B$2:$B$50)</f>
        <v>3642.5117714399998</v>
      </c>
      <c r="H19" s="73" ph="1">
        <f>H18*9.0746*LOOKUP(H20,密度!$A$2:$A$50,密度!$L$2:$L$50)</f>
        <v>38549.2274856</v>
      </c>
      <c r="I19" s="73" ph="1">
        <f>I18*9.0746*LOOKUP(I20,密度!$A$2:$A$50,密度!$U$2:$U$50)</f>
        <v>38404.115556999997</v>
      </c>
      <c r="J19" s="73" ph="1">
        <f>J18*9.0746*LOOKUP(J20,密度!$A$2:$A$50,密度!$L$2:$L$50)</f>
        <v>0</v>
      </c>
      <c r="K19" s="73" ph="1">
        <f>K18*9.0746*LOOKUP(K20,密度!$A$2:$A$50,密度!$C$2:$C$50)</f>
        <v>20181.517469820003</v>
      </c>
      <c r="L19" s="73" ph="1">
        <f>L18*9.0746*LOOKUP(L20,密度!$A$2:$A$50,密度!$E$2:$E$50)</f>
        <v>12618.90100548</v>
      </c>
      <c r="M19" s="73" ph="1">
        <f>M18*9.0746*LOOKUP(M20,密度!$A$2:$A$50,密度!$M$2:$M$50)</f>
        <v>35607.414583000005</v>
      </c>
      <c r="N19" s="73" ph="1">
        <f>N18*9.0746*LOOKUP(N20,密度!$A$2:$A$50,密度!$M$2:$M$50)</f>
        <v>5726.9818749200003</v>
      </c>
      <c r="O19" s="73" ph="1">
        <f>O18*9.0746*LOOKUP(O20,密度!$A$2:$A$50,密度!$G$2:$G$50)</f>
        <v>373.4288646</v>
      </c>
      <c r="P19" s="73" ph="1">
        <f ca="1">P18*9.0746*LOOKUP(P20,密度!$A$2:$A$51,密度!$Q$2:$Q$50)</f>
        <v>59621.740454910003</v>
      </c>
      <c r="Q19" s="73" ph="1">
        <f>Q18*9.0746*LOOKUP(Q20,密度!$A$2:$A$50,密度!$Q$2:$Q$50)</f>
        <v>231.44531360400001</v>
      </c>
      <c r="R19" s="73" ph="1">
        <f>MAX(R18*9.0746*LOOKUP(R20,密度!$A$2:$A$50,密度!$B$2:$B$50),0)</f>
        <v>24791.669266080004</v>
      </c>
      <c r="S19" s="73" ph="1">
        <f>S18*9.0746*LOOKUP(S20,密度!$A$2:$A$50,密度!$Q$2:$Q$50)</f>
        <v>58960.707479384</v>
      </c>
      <c r="T19" s="73" ph="1">
        <f>T18*9.0746*LOOKUP(T20,密度!$A$2:$A$50,密度!$O$2:$O$50)</f>
        <v>22486.6410096</v>
      </c>
      <c r="U19" s="73" ph="1">
        <f>U18*9.0746*LOOKUP(U20,密度!$A$2:$A$50,密度!$H$2:$H$50)</f>
        <v>45271.126725479997</v>
      </c>
      <c r="V19" s="73" ph="1">
        <f>MAX(5600*LOOKUP(V20,密度!$A$2:$A$50,密度!$Q$2:$Q$50)+V18*9.0476*LOOKUP(V20,密度!$A$2:$A$50,密度!$Q$2:$Q$50),0)</f>
        <v>14684.851200736</v>
      </c>
      <c r="W19" s="73" ph="1">
        <f>MAX(5600*LOOKUP(W20,密度!$A$2:$A$50,密度!$Q$2:$Q$50)+W18*9.0476*LOOKUP(W20,密度!$A$2:$A$50,密度!$Q$2:$Q$50),0)</f>
        <v>37563.797796336003</v>
      </c>
      <c r="X19" s="73" ph="1">
        <f>MAX(5600*LOOKUP(X20,密度!$A$2:$A$50,密度!$I$2:$I$50)+X18*9.0476*LOOKUP(X20,密度!$A$2:$A$50,密度!$I$2:$I$50),0)</f>
        <v>7284.1255799999999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30051.202160720004</v>
      </c>
      <c r="AB19" s="73" ph="1">
        <f>AB18*9.0746*LOOKUP(AB20,密度!$A$2:$A$50,密度!$L$2:$L$50)</f>
        <v>58865.578084600005</v>
      </c>
      <c r="AC19" s="73" ph="1">
        <f>AC18*9.0746*LOOKUP(AC20,密度!$A$2:$A$50,密度!$L$2:$L$50)</f>
        <v>8408.8873440000007</v>
      </c>
      <c r="AD19" s="73" ph="1">
        <f>AD18*268.68*LOOKUP(AD20,密度!$A$2:$A$50,密度!B5:B53)+IF(AD18&lt;=0,0,1566*LOOKUP(AD20,密度!$A$2:$A$50,密度!B5:B53))</f>
        <v>17625.660695999999</v>
      </c>
      <c r="AE19" s="73" ph="1">
        <f>AE18*268.68*LOOKUP(AE20,密度!$A$2:$A$50,密度!B5:B53)+IF(AE18&lt;=0,0,1566*LOOKUP(AE20,密度!$A$2:$A$50,密度!B5:B53))</f>
        <v>2339.9342568000002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28</v>
      </c>
      <c r="E20" s="81">
        <v>28</v>
      </c>
      <c r="F20" s="81">
        <v>29</v>
      </c>
      <c r="G20" s="81">
        <v>27</v>
      </c>
      <c r="H20" s="81">
        <v>23</v>
      </c>
      <c r="I20" s="81">
        <v>29</v>
      </c>
      <c r="J20" s="81">
        <v>29</v>
      </c>
      <c r="K20" s="81">
        <v>26</v>
      </c>
      <c r="L20" s="81">
        <v>26</v>
      </c>
      <c r="M20" s="81">
        <v>29</v>
      </c>
      <c r="N20" s="81">
        <v>26</v>
      </c>
      <c r="O20" s="81">
        <v>28</v>
      </c>
      <c r="P20" s="81">
        <v>26</v>
      </c>
      <c r="Q20" s="81">
        <v>28</v>
      </c>
      <c r="R20" s="81">
        <v>27</v>
      </c>
      <c r="S20" s="81">
        <v>26</v>
      </c>
      <c r="T20" s="81">
        <v>26</v>
      </c>
      <c r="U20" s="81">
        <v>25</v>
      </c>
      <c r="V20" s="81">
        <v>27</v>
      </c>
      <c r="W20" s="81">
        <v>27</v>
      </c>
      <c r="X20" s="81">
        <v>21</v>
      </c>
      <c r="Y20" s="110">
        <v>21</v>
      </c>
      <c r="Z20" s="81">
        <v>30</v>
      </c>
      <c r="AA20" s="81">
        <v>23</v>
      </c>
      <c r="AB20" s="81">
        <v>25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9" t="s" ph="1">
        <v>178</v>
      </c>
      <c r="D24" s="71">
        <v>3.18</v>
      </c>
      <c r="E24" s="71">
        <v>95.45</v>
      </c>
      <c r="F24" s="71">
        <v>0</v>
      </c>
      <c r="G24" s="71">
        <v>3736</v>
      </c>
      <c r="H24" s="71">
        <v>3922</v>
      </c>
      <c r="I24" s="71">
        <v>4665</v>
      </c>
      <c r="J24" s="71">
        <v>4948</v>
      </c>
      <c r="K24" s="71">
        <v>84</v>
      </c>
      <c r="L24" s="71">
        <v>0</v>
      </c>
      <c r="M24" s="71">
        <v>5419</v>
      </c>
      <c r="N24" s="71">
        <v>5370</v>
      </c>
      <c r="O24" s="71">
        <v>0</v>
      </c>
      <c r="P24" s="71">
        <v>837</v>
      </c>
      <c r="Q24" s="90">
        <v>1324</v>
      </c>
      <c r="R24" s="71">
        <v>5264</v>
      </c>
      <c r="S24" s="71">
        <v>226</v>
      </c>
      <c r="T24" s="71">
        <v>1755</v>
      </c>
      <c r="U24" s="71">
        <v>5602</v>
      </c>
      <c r="V24" s="71">
        <v>9648</v>
      </c>
      <c r="W24" s="71">
        <v>8323</v>
      </c>
      <c r="X24" s="71">
        <v>6053</v>
      </c>
      <c r="Y24" s="71">
        <v>6044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2291.4917681759998</v>
      </c>
      <c r="E25" s="91" ph="1">
        <f>E24*268.68*LOOKUP(E26,密度!$A$2:$A$50,密度!$C$2:$C$50)+IF(E24&lt;=0,0,1566*LOOKUP(E26,密度!$A$2:$A$50,密度!$C$2:$C$50))</f>
        <v>30174.839003400004</v>
      </c>
      <c r="F25" s="91" ph="1">
        <f>F24*11.702*LOOKUP(F26,密度!$A$2:$A$50,密度!$Q$2:$Q$50)</f>
        <v>0</v>
      </c>
      <c r="G25" s="91" ph="1">
        <f>G24*18.322*LOOKUP(G26,密度!$A$2:$A$50,密度!$B$2:$B$50)</f>
        <v>53610.816934399998</v>
      </c>
      <c r="H25" s="91" ph="1">
        <f>H24*18.322*LOOKUP(H26,密度!$A$2:$A$50,密度!$B$2:$B$50)</f>
        <v>56215.204953199995</v>
      </c>
      <c r="I25" s="91" ph="1">
        <f>I24*18.322*LOOKUP(I26,密度!$A$2:$A$50,密度!$Q$2:$Q$50)</f>
        <v>81120.743861699986</v>
      </c>
      <c r="J25" s="91" ph="1">
        <f>J24*18.322*LOOKUP(J26,密度!$A$2:$A$50,密度!$Q$2:$Q$50)</f>
        <v>86096.289450640004</v>
      </c>
      <c r="K25" s="91" ph="1">
        <f>K24*18.322*LOOKUP(K26,密度!$A$2:$A$50,密度!$Q$2:$Q$50)</f>
        <v>1461.61849512</v>
      </c>
      <c r="L25" s="91" ph="1">
        <f>L24*18.322*LOOKUP(L26,密度!$A$2:$A$50,密度!$Q$2:$Q$50)</f>
        <v>0</v>
      </c>
      <c r="M25" s="91" ph="1">
        <f>M24*18.322*LOOKUP(M26,密度!$A$2:$A$50,密度!$Q$2:$Q$50)</f>
        <v>94232.221004619991</v>
      </c>
      <c r="N25" s="91" ph="1">
        <f>N24*18.322*LOOKUP(N26,密度!$A$2:$A$50,密度!$Q$2:$Q$50)</f>
        <v>93380.148882599999</v>
      </c>
      <c r="O25" s="91" ph="1">
        <f>O24*18.322*LOOKUP(O26,密度!$A$2:$A$50,密度!$C$2:$C$50)</f>
        <v>0</v>
      </c>
      <c r="P25" s="91" ph="1">
        <f>P24*11.702*LOOKUP(P26,密度!$A$2:$A$50,密度!$B$2:$B$50)</f>
        <v>7671.1103568000008</v>
      </c>
      <c r="Q25" s="92" ph="1">
        <f>Q24*18.322*LOOKUP(Q26,密度!$A$2:$A$50,密度!$B$2:$B$50)</f>
        <v>18977.289994399998</v>
      </c>
      <c r="R25" s="91" ph="1">
        <f>R24*35.891*LOOKUP(R26,密度!$A$2:$A$50,密度!$C$2:$C$50)</f>
        <v>210071.51606560001</v>
      </c>
      <c r="S25" s="91" ph="1">
        <f>S24*35.891*LOOKUP(S26,密度!$A$2:$A$50,密度!$B$2:$B$50)</f>
        <v>6352.8218512000003</v>
      </c>
      <c r="T25" s="91" ph="1">
        <f>T24*35.891*LOOKUP(T26,密度!$A$2:$A$50,密度!$Q$2:$Q$50)</f>
        <v>59819.743251449996</v>
      </c>
      <c r="U25" s="91" ph="1">
        <f>U24*35.891</f>
        <v>201061.38199999998</v>
      </c>
      <c r="V25" s="91" ph="1">
        <f>V24*47.051*LOOKUP(V26,密度!$A$2:$A$50,密度!$B$2:$B$50)</f>
        <v>355123.55795039999</v>
      </c>
      <c r="W25" s="91" ph="1">
        <f>W24*47.051*LOOKUP(W26,密度!$A$2:$A$50,密度!$B$2:$B$50)</f>
        <v>306352.96152790001</v>
      </c>
      <c r="X25" s="91" ph="1">
        <f>X24*47.051*LOOKUP(X26,密度!$A$2:$A$50,密度!$I$2:$I$50)</f>
        <v>293964.55744254007</v>
      </c>
      <c r="Y25" s="91" ph="1">
        <f>Y24*47.051*LOOKUP(Y26,密度!$A$2:$A$50,密度!$L$2:$L$50)</f>
        <v>266744.91687199997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21</v>
      </c>
      <c r="H26" s="74">
        <v>22</v>
      </c>
      <c r="I26" s="74">
        <v>22</v>
      </c>
      <c r="J26" s="74">
        <v>21</v>
      </c>
      <c r="K26" s="74">
        <v>21</v>
      </c>
      <c r="L26" s="74">
        <v>22</v>
      </c>
      <c r="M26" s="74">
        <v>22</v>
      </c>
      <c r="N26" s="74">
        <v>22</v>
      </c>
      <c r="O26" s="74">
        <v>22</v>
      </c>
      <c r="P26" s="74">
        <v>21</v>
      </c>
      <c r="Q26" s="93">
        <v>22</v>
      </c>
      <c r="R26" s="74">
        <v>21</v>
      </c>
      <c r="S26" s="74">
        <v>21</v>
      </c>
      <c r="T26" s="74">
        <v>21</v>
      </c>
      <c r="U26" s="74">
        <v>22</v>
      </c>
      <c r="V26" s="74">
        <v>22</v>
      </c>
      <c r="W26" s="74">
        <v>22</v>
      </c>
      <c r="X26" s="74">
        <v>34</v>
      </c>
      <c r="Y26" s="74">
        <v>24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9" t="s" ph="1">
        <v>181</v>
      </c>
      <c r="D27" s="71">
        <v>3.13</v>
      </c>
      <c r="E27" s="71">
        <v>95.51</v>
      </c>
      <c r="F27" s="71">
        <v>0</v>
      </c>
      <c r="G27" s="71">
        <v>2870</v>
      </c>
      <c r="H27" s="71">
        <v>3873</v>
      </c>
      <c r="I27" s="71">
        <v>4668</v>
      </c>
      <c r="J27" s="71">
        <v>4954</v>
      </c>
      <c r="K27" s="71">
        <v>23</v>
      </c>
      <c r="L27" s="71">
        <v>0</v>
      </c>
      <c r="M27" s="71">
        <v>5425</v>
      </c>
      <c r="N27" s="71">
        <v>5372</v>
      </c>
      <c r="O27" s="71">
        <v>0</v>
      </c>
      <c r="P27" s="71">
        <v>836</v>
      </c>
      <c r="Q27" s="90">
        <v>1616</v>
      </c>
      <c r="R27" s="71">
        <v>5264</v>
      </c>
      <c r="S27" s="71">
        <v>223</v>
      </c>
      <c r="T27" s="71">
        <v>1755</v>
      </c>
      <c r="U27" s="71">
        <v>5518</v>
      </c>
      <c r="V27" s="71">
        <v>9655</v>
      </c>
      <c r="W27" s="71">
        <v>8327</v>
      </c>
      <c r="X27" s="71">
        <v>6054</v>
      </c>
      <c r="Y27" s="71">
        <v>5188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9" t="s" ph="1">
        <v>179</v>
      </c>
      <c r="D28" s="91" ph="1">
        <f>D27*268.68*LOOKUP(D29,密度!$A$2:$A$50,密度!$Q$2:$Q$50)+IF(D27&lt;=0,0,1566*LOOKUP(D29,密度!$A$2:$A$50,密度!$Q$2:$Q$50))</f>
        <v>2278.7732630159999</v>
      </c>
      <c r="E28" s="91" ph="1">
        <f>E27*268.68*LOOKUP(E29,密度!$A$2:$A$50,密度!$C$2:$C$50)+IF(E27&lt;=0,0,1566*LOOKUP(E29,密度!$A$2:$A$50,密度!$C$2:$C$50))</f>
        <v>30192.715358520003</v>
      </c>
      <c r="F28" s="91" ph="1">
        <f>F27*11.702*LOOKUP(F29,密度!$A$2:$A$50,密度!$Q$2:$Q$50)</f>
        <v>0</v>
      </c>
      <c r="G28" s="91" ph="1">
        <f>G27*18.322*LOOKUP(G29,密度!$A$2:$A$50,密度!$B$2:$B$50)</f>
        <v>41089.246996000002</v>
      </c>
      <c r="H28" s="91" ph="1">
        <f>H27*18.322*LOOKUP(H29,密度!$A$2:$A$50,密度!$B$2:$B$50)</f>
        <v>55512.873223800001</v>
      </c>
      <c r="I28" s="91" ph="1">
        <f>I27*18.322*LOOKUP(I29,密度!$A$2:$A$50,密度!$Q$2:$Q$50)</f>
        <v>81096.792427199995</v>
      </c>
      <c r="J28" s="91" ph="1">
        <f>J27*18.322*LOOKUP(J29,密度!$A$2:$A$50,密度!$Q$2:$Q$50)</f>
        <v>86146.230458919992</v>
      </c>
      <c r="K28" s="91" ph="1">
        <f>K27*18.322*LOOKUP(K29,密度!$A$2:$A$50,密度!$Q$2:$Q$50)</f>
        <v>399.95222053999998</v>
      </c>
      <c r="L28" s="91" ph="1">
        <f>L27*18.322*LOOKUP(L29,密度!$A$2:$A$50,密度!$Q$2:$Q$50)</f>
        <v>0</v>
      </c>
      <c r="M28" s="91" ph="1">
        <f>M27*18.322*LOOKUP(M29,密度!$A$2:$A$50,密度!$Q$2:$Q$50)</f>
        <v>94336.556366499994</v>
      </c>
      <c r="N28" s="91" ph="1">
        <f>N27*18.322*LOOKUP(N29,密度!$A$2:$A$50,密度!$Q$2:$Q$50)</f>
        <v>93327.328388800001</v>
      </c>
      <c r="O28" s="91" ph="1">
        <f>O27*18.322*LOOKUP(O29,密度!$A$2:$A$50,密度!$C$2:$C$50)</f>
        <v>0</v>
      </c>
      <c r="P28" s="91" ph="1">
        <f>P27*11.702*LOOKUP(P29,密度!$A$2:$A$50,密度!$B$2:$B$50)</f>
        <v>7653.1407655999992</v>
      </c>
      <c r="Q28" s="92" ph="1">
        <f>Q27*18.322*LOOKUP(Q29,密度!$A$2:$A$50,密度!$B$2:$B$50)</f>
        <v>23135.966252799997</v>
      </c>
      <c r="R28" s="91" ph="1">
        <f>R27*35.891*LOOKUP(R29,密度!$A$2:$A$50,密度!$C$2:$C$50)</f>
        <v>209788.12072959999</v>
      </c>
      <c r="S28" s="91" ph="1">
        <f>S27*35.891*LOOKUP(S29,密度!$A$2:$A$50,密度!$B$2:$B$50)</f>
        <v>6261.2890338999996</v>
      </c>
      <c r="T28" s="91" ph="1">
        <f>T27*35.891*LOOKUP(T29,密度!$A$2:$A$50,密度!$Q$2:$Q$50)</f>
        <v>59725.890080999998</v>
      </c>
      <c r="U28" s="91" ph="1">
        <f>U27*35.891</f>
        <v>198046.538</v>
      </c>
      <c r="V28" s="91" ph="1">
        <f>V27*47.051*LOOKUP(V29,密度!$A$2:$A$50,密度!$B$2:$B$50)</f>
        <v>355381.21393150004</v>
      </c>
      <c r="W28" s="91" ph="1">
        <f>W27*47.051*LOOKUP(W29,密度!$A$2:$A$50,密度!$B$2:$B$50)</f>
        <v>306500.19351710001</v>
      </c>
      <c r="X28" s="91" ph="1">
        <f>X27*47.051*LOOKUP(X29,密度!$A$2:$A$50,密度!$I$2:$I$50)</f>
        <v>292081.86155160004</v>
      </c>
      <c r="Y28" s="91" ph="1">
        <f>Y27*47.051*LOOKUP(Y29,密度!$A$2:$A$50,密度!$L$2:$L$50)</f>
        <v>229210.45213200001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9" t="s" ph="1">
        <v>180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23</v>
      </c>
      <c r="J29" s="74">
        <v>22</v>
      </c>
      <c r="K29" s="74">
        <v>22</v>
      </c>
      <c r="L29" s="74">
        <v>22</v>
      </c>
      <c r="M29" s="74">
        <v>22</v>
      </c>
      <c r="N29" s="74">
        <v>23</v>
      </c>
      <c r="O29" s="74">
        <v>22</v>
      </c>
      <c r="P29" s="74">
        <v>22</v>
      </c>
      <c r="Q29" s="93">
        <v>23</v>
      </c>
      <c r="R29" s="74">
        <v>23</v>
      </c>
      <c r="S29" s="74">
        <v>22</v>
      </c>
      <c r="T29" s="74">
        <v>23</v>
      </c>
      <c r="U29" s="74">
        <v>23</v>
      </c>
      <c r="V29" s="74">
        <v>22</v>
      </c>
      <c r="W29" s="74">
        <v>22</v>
      </c>
      <c r="X29" s="74">
        <v>40</v>
      </c>
      <c r="Y29" s="74">
        <v>23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158020.22176019999</v>
      </c>
      <c r="E33" s="217" ph="1">
        <f>M10+I10</f>
        <v>71233.590324399993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21" ph="1">
        <v>0</v>
      </c>
      <c r="H33" s="217" ph="1">
        <f>N19</f>
        <v>5726.9818749200003</v>
      </c>
      <c r="I33" s="230" ph="1">
        <v>0</v>
      </c>
      <c r="J33" s="228" ph="1">
        <f>F10+O28</f>
        <v>75285.90232020001</v>
      </c>
      <c r="K33" s="217" ph="1">
        <f>O10+K10+E28+R28</f>
        <v>292832.03443371999</v>
      </c>
      <c r="L33" s="232" ph="1">
        <f>BE27</f>
        <v>7100</v>
      </c>
      <c r="M33" s="228" ph="1">
        <f>G10+H10+W28+S28+V28+E10</f>
        <v>1140648.4434044999</v>
      </c>
      <c r="N33" s="217" ph="1">
        <f>L10+P10++G28+H28</f>
        <v>439048.65445079992</v>
      </c>
      <c r="O33" s="230" ph="1">
        <f>BE17</f>
        <v>2270</v>
      </c>
      <c r="P33" s="228" ph="1">
        <f>L19</f>
        <v>12618.90100548</v>
      </c>
      <c r="Q33" s="217" ph="1">
        <f>J10+N10</f>
        <v>47190.772577800002</v>
      </c>
      <c r="R33" s="230" ph="1">
        <f>BE23</f>
        <v>890</v>
      </c>
      <c r="S33" s="228" ph="1">
        <f>E10+X28</f>
        <v>462126.68762160005</v>
      </c>
      <c r="T33" s="217" ph="1">
        <f>X19</f>
        <v>7284.1255799999999</v>
      </c>
      <c r="U33" s="238" ph="1">
        <f>BE21</f>
        <v>730</v>
      </c>
      <c r="V33" s="249" ph="1">
        <f ca="1">P19+Q19+S19+M28+N28+J28</f>
        <v>392624.00846211798</v>
      </c>
      <c r="W33" s="249" ph="1">
        <f>D28+F28+V19+T28</f>
        <v>76689.51454475199</v>
      </c>
      <c r="X33" s="230" ph="1">
        <f>BE29+BE31</f>
        <v>10200</v>
      </c>
      <c r="Y33" s="251" ph="1">
        <f>+Q10+R10+S10+T10+U10+V10+W10+X10+Y10</f>
        <v>205783.9601202</v>
      </c>
      <c r="Z33" s="236" ph="1">
        <f>D10+T19+U19+Y28+Z10</f>
        <v>601584.48584532004</v>
      </c>
      <c r="AA33" s="238" ph="1">
        <f>BE19</f>
        <v>1440</v>
      </c>
      <c r="AB33" s="240" ph="1">
        <f>I19</f>
        <v>38404.115556999997</v>
      </c>
      <c r="AC33" s="242" ph="1">
        <f>AD10</f>
        <v>26154.197193600001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1" t="s" ph="1">
        <v>186</v>
      </c>
      <c r="AA36" s="161" ph="1"/>
      <c r="AB36" s="235" t="s" ph="1">
        <v>645</v>
      </c>
      <c r="AC36" s="235" ph="1"/>
      <c r="AD36" s="235" ph="1"/>
      <c r="AE36" s="235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59" priority="96">
      <formula>ABS(D$7-D$10)&gt;=1000</formula>
    </cfRule>
  </conditionalFormatting>
  <conditionalFormatting sqref="E4 E6:E11">
    <cfRule type="expression" dxfId="1258" priority="95">
      <formula>ABS(E$7-E$10)&gt;=1000</formula>
    </cfRule>
  </conditionalFormatting>
  <conditionalFormatting sqref="F4:F11">
    <cfRule type="expression" dxfId="1257" priority="94">
      <formula>ABS(F$7-F$10)&gt;=1000</formula>
    </cfRule>
  </conditionalFormatting>
  <conditionalFormatting sqref="G4:G11">
    <cfRule type="expression" dxfId="1256" priority="93">
      <formula>ABS(G$7-G$10)&gt;=1000</formula>
    </cfRule>
  </conditionalFormatting>
  <conditionalFormatting sqref="H4:H11">
    <cfRule type="expression" dxfId="1255" priority="92">
      <formula>ABS(H$7-H$10)&gt;=1000</formula>
    </cfRule>
  </conditionalFormatting>
  <conditionalFormatting sqref="I4:I11">
    <cfRule type="expression" dxfId="1254" priority="91">
      <formula>ABS(I$7-I$10)&gt;=1000</formula>
    </cfRule>
  </conditionalFormatting>
  <conditionalFormatting sqref="J4:J11">
    <cfRule type="expression" dxfId="1253" priority="90">
      <formula>ABS(J$7-J$10)&gt;=1000</formula>
    </cfRule>
  </conditionalFormatting>
  <conditionalFormatting sqref="K4:K11">
    <cfRule type="expression" dxfId="1252" priority="89">
      <formula>ABS(K$7-K$10)&gt;=1000</formula>
    </cfRule>
  </conditionalFormatting>
  <conditionalFormatting sqref="L4:L11">
    <cfRule type="expression" dxfId="1251" priority="88">
      <formula>ABS(L$7-L$10)&gt;=1000</formula>
    </cfRule>
  </conditionalFormatting>
  <conditionalFormatting sqref="M4 M6:M11">
    <cfRule type="expression" dxfId="1250" priority="87">
      <formula>ABS(M$7-M$10)&gt;=1000</formula>
    </cfRule>
  </conditionalFormatting>
  <conditionalFormatting sqref="N4 N6:N11">
    <cfRule type="expression" dxfId="1249" priority="86">
      <formula>ABS(N$7-N$10)&gt;=1000</formula>
    </cfRule>
  </conditionalFormatting>
  <conditionalFormatting sqref="O4 O6:O11">
    <cfRule type="expression" dxfId="1248" priority="85">
      <formula>ABS(O$7-O$10)&gt;=1000</formula>
    </cfRule>
  </conditionalFormatting>
  <conditionalFormatting sqref="P4 P6:P11">
    <cfRule type="expression" dxfId="1247" priority="84">
      <formula>ABS(P$7-P$10)&gt;=1000</formula>
    </cfRule>
  </conditionalFormatting>
  <conditionalFormatting sqref="Q4:Q11">
    <cfRule type="expression" dxfId="1246" priority="83">
      <formula>ABS(Q$7-Q$10)&gt;=1000</formula>
    </cfRule>
  </conditionalFormatting>
  <conditionalFormatting sqref="R4:R11">
    <cfRule type="expression" dxfId="1245" priority="82">
      <formula>ABS(R$7-R$10)&gt;=1000</formula>
    </cfRule>
  </conditionalFormatting>
  <conditionalFormatting sqref="S4:S11">
    <cfRule type="expression" dxfId="1244" priority="81">
      <formula>ABS(S$7-S$10)&gt;=1000</formula>
    </cfRule>
  </conditionalFormatting>
  <conditionalFormatting sqref="T4:T9 T11">
    <cfRule type="expression" dxfId="1243" priority="80">
      <formula>ABS(T$7-T$10)&gt;=1000</formula>
    </cfRule>
  </conditionalFormatting>
  <conditionalFormatting sqref="U4:U9 U11">
    <cfRule type="expression" dxfId="1242" priority="79">
      <formula>ABS(U$7-U$10)&gt;=1000</formula>
    </cfRule>
  </conditionalFormatting>
  <conditionalFormatting sqref="V4:V9 V11">
    <cfRule type="expression" dxfId="1241" priority="78">
      <formula>ABS(V$7-V$10)&gt;=1000</formula>
    </cfRule>
  </conditionalFormatting>
  <conditionalFormatting sqref="W4:W9 W11">
    <cfRule type="expression" dxfId="1240" priority="77">
      <formula>ABS(W$7-W$10)&gt;=1000</formula>
    </cfRule>
  </conditionalFormatting>
  <conditionalFormatting sqref="X4:X9 X11">
    <cfRule type="expression" dxfId="1239" priority="76">
      <formula>ABS(X$7-X$10)&gt;=1000</formula>
    </cfRule>
  </conditionalFormatting>
  <conditionalFormatting sqref="Y4:Y9 Y11">
    <cfRule type="expression" dxfId="1238" priority="75">
      <formula>ABS(Y$7-Y$10)&gt;=1000</formula>
    </cfRule>
  </conditionalFormatting>
  <conditionalFormatting sqref="Z4:Z11">
    <cfRule type="expression" dxfId="1237" priority="74">
      <formula>ABS(Z$7-Z$10)&gt;=1000</formula>
    </cfRule>
  </conditionalFormatting>
  <conditionalFormatting sqref="AA4:AA11">
    <cfRule type="expression" dxfId="1236" priority="73">
      <formula>ABS(AA$7-AA$10)&gt;=1000</formula>
    </cfRule>
  </conditionalFormatting>
  <conditionalFormatting sqref="AB4:AB11">
    <cfRule type="expression" dxfId="1235" priority="72">
      <formula>ABS(AB$7-AB$10)&gt;=1000</formula>
    </cfRule>
  </conditionalFormatting>
  <conditionalFormatting sqref="AC4 AC6:AC11">
    <cfRule type="expression" dxfId="1234" priority="71">
      <formula>ABS(AC$7-AC$10)&gt;=1000</formula>
    </cfRule>
  </conditionalFormatting>
  <conditionalFormatting sqref="AD4:AD11">
    <cfRule type="expression" dxfId="1233" priority="70">
      <formula>ABS(AD$7-AD$10)&gt;=1000</formula>
    </cfRule>
  </conditionalFormatting>
  <conditionalFormatting sqref="AE4:AE11">
    <cfRule type="expression" dxfId="1232" priority="69">
      <formula>ABS(AE$7-AE$10)&gt;=1000</formula>
    </cfRule>
  </conditionalFormatting>
  <conditionalFormatting sqref="D13:D20">
    <cfRule type="expression" dxfId="1231" priority="68">
      <formula>ABS(D$16-D$19)&gt;=1000</formula>
    </cfRule>
  </conditionalFormatting>
  <conditionalFormatting sqref="E13:E20">
    <cfRule type="expression" dxfId="1230" priority="67">
      <formula>ABS(E$16-E$19)&gt;=1000</formula>
    </cfRule>
  </conditionalFormatting>
  <conditionalFormatting sqref="F13 F15:F20">
    <cfRule type="expression" dxfId="1229" priority="66">
      <formula>ABS(F$16-F$19)&gt;=1000</formula>
    </cfRule>
  </conditionalFormatting>
  <conditionalFormatting sqref="G13:G20">
    <cfRule type="expression" dxfId="1228" priority="65">
      <formula>ABS(G$16-G$19)&gt;=1000</formula>
    </cfRule>
  </conditionalFormatting>
  <conditionalFormatting sqref="H13:H20">
    <cfRule type="expression" dxfId="1227" priority="64">
      <formula>ABS(H$16-H$19)&gt;=1000</formula>
    </cfRule>
  </conditionalFormatting>
  <conditionalFormatting sqref="I13:I20">
    <cfRule type="expression" dxfId="1226" priority="63">
      <formula>ABS(I$16-I$19)&gt;=1000</formula>
    </cfRule>
  </conditionalFormatting>
  <conditionalFormatting sqref="J13:J20">
    <cfRule type="expression" dxfId="1225" priority="62">
      <formula>ABS(J$16-J$19)&gt;=1000</formula>
    </cfRule>
  </conditionalFormatting>
  <conditionalFormatting sqref="L13:L20">
    <cfRule type="expression" dxfId="1224" priority="61">
      <formula>ABS(L$16-L$19)&gt;=1000</formula>
    </cfRule>
  </conditionalFormatting>
  <conditionalFormatting sqref="M13 M15 M17:M18 M20">
    <cfRule type="expression" dxfId="1223" priority="60">
      <formula>ABS(M$16-M$19)&gt;=1000</formula>
    </cfRule>
  </conditionalFormatting>
  <conditionalFormatting sqref="N13:N20">
    <cfRule type="expression" dxfId="1222" priority="59">
      <formula>ABS(N$16-N$19)&gt;=1000</formula>
    </cfRule>
  </conditionalFormatting>
  <conditionalFormatting sqref="O13:O20">
    <cfRule type="expression" dxfId="1221" priority="58">
      <formula>ABS(O$16-O$19)&gt;=1000</formula>
    </cfRule>
  </conditionalFormatting>
  <conditionalFormatting sqref="P13:P20">
    <cfRule type="expression" dxfId="1220" priority="57">
      <formula>ABS(P$16-P$19)&gt;=1000</formula>
    </cfRule>
  </conditionalFormatting>
  <conditionalFormatting sqref="Q13 Q15:Q20">
    <cfRule type="expression" dxfId="1219" priority="56">
      <formula>ABS(Q$16-Q$19)&gt;=1000</formula>
    </cfRule>
  </conditionalFormatting>
  <conditionalFormatting sqref="R13:R20">
    <cfRule type="expression" dxfId="1218" priority="55">
      <formula>ABS(R$16-R$19)&gt;=1000</formula>
    </cfRule>
  </conditionalFormatting>
  <conditionalFormatting sqref="S13:S20">
    <cfRule type="expression" dxfId="1217" priority="54">
      <formula>ABS(S$16-S$19)&gt;=1000</formula>
    </cfRule>
  </conditionalFormatting>
  <conditionalFormatting sqref="T13:T20">
    <cfRule type="expression" dxfId="1216" priority="53">
      <formula>ABS(T$16-T$19)&gt;=1000</formula>
    </cfRule>
  </conditionalFormatting>
  <conditionalFormatting sqref="U13:U20">
    <cfRule type="expression" dxfId="1215" priority="52">
      <formula>ABS(U$16-U$19)&gt;=1000</formula>
    </cfRule>
  </conditionalFormatting>
  <conditionalFormatting sqref="V13:V20">
    <cfRule type="expression" dxfId="1214" priority="51">
      <formula>ABS(V$16-V$19)&gt;=1000</formula>
    </cfRule>
  </conditionalFormatting>
  <conditionalFormatting sqref="W13 W20 W15:W18">
    <cfRule type="expression" dxfId="1213" priority="50">
      <formula>ABS(W$16-W$19)&gt;=1000</formula>
    </cfRule>
  </conditionalFormatting>
  <conditionalFormatting sqref="X13 X15:X20 Y19">
    <cfRule type="expression" dxfId="1212" priority="49">
      <formula>ABS(X$16-X$19)&gt;=1000</formula>
    </cfRule>
  </conditionalFormatting>
  <conditionalFormatting sqref="Y13 Y15:Y18 Y20">
    <cfRule type="expression" dxfId="1211" priority="48">
      <formula>ABS(Y$16-Y$19)&gt;=1000</formula>
    </cfRule>
  </conditionalFormatting>
  <conditionalFormatting sqref="Z13:Z20">
    <cfRule type="expression" dxfId="1210" priority="47">
      <formula>ABS(Z$16-Z$19)&gt;=1000</formula>
    </cfRule>
  </conditionalFormatting>
  <conditionalFormatting sqref="AA13:AA20">
    <cfRule type="expression" dxfId="1209" priority="46">
      <formula>ABS(AA$16-AA$19)&gt;=1000</formula>
    </cfRule>
  </conditionalFormatting>
  <conditionalFormatting sqref="AB13 AB15:AB20">
    <cfRule type="expression" dxfId="1208" priority="45">
      <formula>ABS(AB$16-AB$19)&gt;=1000</formula>
    </cfRule>
  </conditionalFormatting>
  <conditionalFormatting sqref="AC13 AC15:AC20">
    <cfRule type="expression" dxfId="1207" priority="44">
      <formula>ABS(AC$16-AC$19)&gt;=1000</formula>
    </cfRule>
  </conditionalFormatting>
  <conditionalFormatting sqref="AD13:AD20">
    <cfRule type="expression" dxfId="1206" priority="43">
      <formula>ABS(AD$16-AD$19)&gt;=1000</formula>
    </cfRule>
  </conditionalFormatting>
  <conditionalFormatting sqref="AE13:AE20">
    <cfRule type="expression" dxfId="1205" priority="42">
      <formula>ABS(AE$16-AE$19)&gt;=1000</formula>
    </cfRule>
  </conditionalFormatting>
  <conditionalFormatting sqref="D22:D29">
    <cfRule type="expression" dxfId="1204" priority="41">
      <formula>ABS(D$25-D$28)&gt;=1000</formula>
    </cfRule>
  </conditionalFormatting>
  <conditionalFormatting sqref="E22:E29">
    <cfRule type="expression" dxfId="1203" priority="40">
      <formula>ABS(E$25-E$28)&gt;=1000</formula>
    </cfRule>
  </conditionalFormatting>
  <conditionalFormatting sqref="F22:F29">
    <cfRule type="expression" dxfId="1202" priority="39">
      <formula>ABS(F$25-F$28)&gt;=1000</formula>
    </cfRule>
  </conditionalFormatting>
  <conditionalFormatting sqref="G22:G29">
    <cfRule type="expression" dxfId="1201" priority="38">
      <formula>ABS(G$25-G$28)&gt;=1000</formula>
    </cfRule>
  </conditionalFormatting>
  <conditionalFormatting sqref="H22:H29">
    <cfRule type="expression" dxfId="1200" priority="37">
      <formula>ABS(H$25-H$28)&gt;=1000</formula>
    </cfRule>
  </conditionalFormatting>
  <conditionalFormatting sqref="I22 I24:I29">
    <cfRule type="expression" dxfId="1199" priority="36">
      <formula>ABS(I$25-I$28)&gt;=1000</formula>
    </cfRule>
  </conditionalFormatting>
  <conditionalFormatting sqref="J22:J29 K22">
    <cfRule type="expression" dxfId="1198" priority="35">
      <formula>ABS(J$25-J$28)&gt;=1000</formula>
    </cfRule>
  </conditionalFormatting>
  <conditionalFormatting sqref="K23:K29 L25 L28">
    <cfRule type="expression" dxfId="1197" priority="34">
      <formula>ABS(K$25-K$28)&gt;=1000</formula>
    </cfRule>
  </conditionalFormatting>
  <conditionalFormatting sqref="L22:L24 L26:L27 L29">
    <cfRule type="expression" dxfId="1196" priority="33">
      <formula>ABS(L$25-L$28)&gt;=1000</formula>
    </cfRule>
  </conditionalFormatting>
  <conditionalFormatting sqref="M22:M29">
    <cfRule type="expression" dxfId="1195" priority="32">
      <formula>ABS(M$25-M$28)&gt;=1000</formula>
    </cfRule>
  </conditionalFormatting>
  <conditionalFormatting sqref="N22:N29">
    <cfRule type="expression" dxfId="1194" priority="31">
      <formula>ABS(N$25-N$28)&gt;=1000</formula>
    </cfRule>
  </conditionalFormatting>
  <conditionalFormatting sqref="O22:O29">
    <cfRule type="expression" dxfId="1193" priority="30">
      <formula>ABS(O$25-O$28)&gt;=1000</formula>
    </cfRule>
  </conditionalFormatting>
  <conditionalFormatting sqref="P22:P29">
    <cfRule type="expression" dxfId="1192" priority="29">
      <formula>ABS(P$25-P$28)&gt;=1000</formula>
    </cfRule>
  </conditionalFormatting>
  <conditionalFormatting sqref="Q22:Q29">
    <cfRule type="expression" dxfId="1191" priority="28">
      <formula>ABS(Q$25-Q$28)&gt;=1000</formula>
    </cfRule>
  </conditionalFormatting>
  <conditionalFormatting sqref="R22:R29">
    <cfRule type="expression" dxfId="1190" priority="27">
      <formula>ABS(R$25-R$28)&gt;=1000</formula>
    </cfRule>
  </conditionalFormatting>
  <conditionalFormatting sqref="S22:S29">
    <cfRule type="expression" dxfId="1189" priority="26">
      <formula>ABS(S$25-S$28)&gt;=1000</formula>
    </cfRule>
  </conditionalFormatting>
  <conditionalFormatting sqref="T22:T29">
    <cfRule type="expression" dxfId="1188" priority="25">
      <formula>ABS(T$25-T$28)&gt;=1000</formula>
    </cfRule>
  </conditionalFormatting>
  <conditionalFormatting sqref="U22:U29">
    <cfRule type="expression" dxfId="1187" priority="24">
      <formula>ABS(U$25-U$28)&gt;=1000</formula>
    </cfRule>
  </conditionalFormatting>
  <conditionalFormatting sqref="V22:V29">
    <cfRule type="expression" dxfId="1186" priority="23">
      <formula>ABS(V$25-V$28)&gt;=1000</formula>
    </cfRule>
  </conditionalFormatting>
  <conditionalFormatting sqref="W22:W29">
    <cfRule type="expression" dxfId="1185" priority="22">
      <formula>ABS(W$25-W$28)&gt;=1000</formula>
    </cfRule>
  </conditionalFormatting>
  <conditionalFormatting sqref="X22:X29">
    <cfRule type="expression" dxfId="1184" priority="21">
      <formula>ABS(X$25-X$28)&gt;=1000</formula>
    </cfRule>
  </conditionalFormatting>
  <conditionalFormatting sqref="Y22:Y29">
    <cfRule type="expression" dxfId="1183" priority="20">
      <formula>ABS(Y$25-Y$28)&gt;=1000</formula>
    </cfRule>
  </conditionalFormatting>
  <conditionalFormatting sqref="I23">
    <cfRule type="expression" dxfId="1182" priority="19">
      <formula>ABS(I$25-I$28)&gt;=1000</formula>
    </cfRule>
  </conditionalFormatting>
  <conditionalFormatting sqref="F14">
    <cfRule type="expression" dxfId="1181" priority="18">
      <formula>ABS(F$16-F$19)&gt;=1000</formula>
    </cfRule>
  </conditionalFormatting>
  <conditionalFormatting sqref="Q14">
    <cfRule type="expression" dxfId="1180" priority="17">
      <formula>ABS(Q$16-Q$19)&gt;=1000</formula>
    </cfRule>
  </conditionalFormatting>
  <conditionalFormatting sqref="W14">
    <cfRule type="expression" dxfId="1179" priority="16">
      <formula>ABS(W$16-W$19)&gt;=1000</formula>
    </cfRule>
  </conditionalFormatting>
  <conditionalFormatting sqref="Y14">
    <cfRule type="expression" dxfId="1178" priority="15">
      <formula>ABS(Y$16-Y$19)&gt;=1000</formula>
    </cfRule>
  </conditionalFormatting>
  <conditionalFormatting sqref="X14">
    <cfRule type="expression" dxfId="1177" priority="14">
      <formula>ABS(X$16-X$19)&gt;=1000</formula>
    </cfRule>
  </conditionalFormatting>
  <conditionalFormatting sqref="T10:Y10">
    <cfRule type="expression" dxfId="1176" priority="13">
      <formula>ABS(T$7-T$10)&gt;=1000</formula>
    </cfRule>
  </conditionalFormatting>
  <conditionalFormatting sqref="W19">
    <cfRule type="expression" dxfId="1175" priority="12">
      <formula>ABS(W$16-W$19)&gt;=1000</formula>
    </cfRule>
  </conditionalFormatting>
  <conditionalFormatting sqref="AC5">
    <cfRule type="expression" dxfId="1174" priority="11">
      <formula>ABS(AC$7-AC$10)&gt;=1000</formula>
    </cfRule>
  </conditionalFormatting>
  <conditionalFormatting sqref="M14">
    <cfRule type="expression" dxfId="1173" priority="10">
      <formula>ABS(M$16-M$19)&gt;=1000</formula>
    </cfRule>
  </conditionalFormatting>
  <conditionalFormatting sqref="M16">
    <cfRule type="expression" dxfId="1172" priority="9">
      <formula>ABS(M$16-M$19)&gt;=1000</formula>
    </cfRule>
  </conditionalFormatting>
  <conditionalFormatting sqref="M19">
    <cfRule type="expression" dxfId="1171" priority="8">
      <formula>ABS(M$16-M$19)&gt;=1000</formula>
    </cfRule>
  </conditionalFormatting>
  <conditionalFormatting sqref="K13:K20">
    <cfRule type="expression" dxfId="1170" priority="7">
      <formula>ABS(K$16-K$19)&gt;=1000</formula>
    </cfRule>
  </conditionalFormatting>
  <conditionalFormatting sqref="E5">
    <cfRule type="expression" dxfId="1169" priority="6">
      <formula>ABS(E$7-E$10)&gt;=1000</formula>
    </cfRule>
  </conditionalFormatting>
  <conditionalFormatting sqref="AB14:AC14">
    <cfRule type="expression" dxfId="1168" priority="5">
      <formula>ABS(AB$16-AB$19)&gt;=1000</formula>
    </cfRule>
  </conditionalFormatting>
  <conditionalFormatting sqref="M5">
    <cfRule type="expression" dxfId="1167" priority="4">
      <formula>ABS(M$7-M$10)&gt;=1000</formula>
    </cfRule>
  </conditionalFormatting>
  <conditionalFormatting sqref="N5">
    <cfRule type="expression" dxfId="1166" priority="3">
      <formula>ABS(N$7-N$10)&gt;=1000</formula>
    </cfRule>
  </conditionalFormatting>
  <conditionalFormatting sqref="O5">
    <cfRule type="expression" dxfId="1165" priority="2">
      <formula>ABS(O$7-O$10)&gt;=1000</formula>
    </cfRule>
  </conditionalFormatting>
  <conditionalFormatting sqref="P5">
    <cfRule type="expression" dxfId="116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27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7">
    <pageSetUpPr fitToPage="1"/>
  </sheetPr>
  <dimension ref="A1:CU223"/>
  <sheetViews>
    <sheetView view="pageBreakPreview" zoomScale="80" zoomScaleNormal="100" zoomScaleSheetLayoutView="80" workbookViewId="0">
      <selection activeCell="AB37" sqref="AB3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45765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9" t="s" ph="1">
        <v>178</v>
      </c>
      <c r="D6" s="71">
        <v>4180</v>
      </c>
      <c r="E6" s="71">
        <v>4250</v>
      </c>
      <c r="F6" s="71">
        <v>1553</v>
      </c>
      <c r="G6" s="71">
        <v>5247</v>
      </c>
      <c r="H6" s="71">
        <v>1737</v>
      </c>
      <c r="I6" s="71">
        <v>16.100000000000001</v>
      </c>
      <c r="J6" s="71">
        <v>7.7</v>
      </c>
      <c r="K6" s="71">
        <v>70.099999999999994</v>
      </c>
      <c r="L6" s="71">
        <v>61.2</v>
      </c>
      <c r="M6" s="71">
        <v>1953</v>
      </c>
      <c r="N6" s="71">
        <v>1747</v>
      </c>
      <c r="O6" s="71">
        <v>2114</v>
      </c>
      <c r="P6" s="71">
        <v>8329</v>
      </c>
      <c r="Q6" s="71">
        <v>7150</v>
      </c>
      <c r="R6" s="71">
        <v>7133</v>
      </c>
      <c r="S6" s="71">
        <v>5432</v>
      </c>
      <c r="T6" s="71">
        <v>7146</v>
      </c>
      <c r="U6" s="71">
        <v>4226</v>
      </c>
      <c r="V6" s="71">
        <v>0</v>
      </c>
      <c r="W6" s="71">
        <v>0</v>
      </c>
      <c r="X6" s="71">
        <v>0</v>
      </c>
      <c r="Y6" s="71">
        <v>0</v>
      </c>
      <c r="Z6" s="71">
        <v>5581</v>
      </c>
      <c r="AA6" s="71">
        <v>2168</v>
      </c>
      <c r="AB6" s="71">
        <v>3980</v>
      </c>
      <c r="AC6" s="71">
        <v>5879</v>
      </c>
      <c r="AD6" s="71">
        <v>1338</v>
      </c>
      <c r="AE6" s="71">
        <v>1950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131317.5148956</v>
      </c>
      <c r="E7" s="73" ph="1">
        <f>E6*51.53*LOOKUP(E8,密度!$A$2:$A$50,密度!$B$2:$B$50)</f>
        <v>170734.34899999999</v>
      </c>
      <c r="F7" s="73" ph="1">
        <f>F6*33.183*LOOKUP(F8,密度!$A$2:$A$50,密度!$C$2:$C$50)</f>
        <v>57145.1643711</v>
      </c>
      <c r="G7" s="73" ph="1">
        <f xml:space="preserve"> (G6+2)*51.53*LOOKUP(G8,密度!$A$2:$A$50,密度!$B$2:$B$50)</f>
        <v>211353.82995800002</v>
      </c>
      <c r="H7" s="73" ph="1">
        <f>(H6)*51.53*LOOKUP(H8,密度!$A$2:$A$50,密度!$B$2:$B$50)</f>
        <v>70182.917001000009</v>
      </c>
      <c r="I7" s="73" ph="1">
        <f>I6*290.8*1.0267</f>
        <v>4806.8861960000004</v>
      </c>
      <c r="J7" s="73" ph="1">
        <f>J6*290.8*0.7892</f>
        <v>1767.1450720000003</v>
      </c>
      <c r="K7" s="73" ph="1">
        <f>K6*290.8*1.1126</f>
        <v>22680.440007999998</v>
      </c>
      <c r="L7" s="73" ph="1">
        <f>L6*290.8*0.777</f>
        <v>13828.237920000003</v>
      </c>
      <c r="M7" s="73" ph="1">
        <f>M6*33.183*LOOKUP(M8,密度!$A$2:$A$50,密度!$D$2:$D$50)</f>
        <v>66536.729853299999</v>
      </c>
      <c r="N7" s="73" ph="1">
        <f>N6*33.183*LOOKUP(N8,密度!$A$2:$A$50,密度!$E$2:$E$50)</f>
        <v>45402.6530232</v>
      </c>
      <c r="O7" s="73" ph="1">
        <f>O6*20.428*LOOKUP(O8,密度!$A$2:$A$50,密度!$C$2:$C$50)</f>
        <v>47723.513639199999</v>
      </c>
      <c r="P7" s="73" ph="1">
        <f>P6*51.53*LOOKUP(P8,密度!$A$2:$A$50,密度!$B$2:$B$50)</f>
        <v>334985.425285</v>
      </c>
      <c r="Q7" s="73" ph="1">
        <f>Q6*1.5*1.5*3.1416*LOOKUP(W8,密度!$A$2:$A$50,密度!$L$2:$L$50)</f>
        <v>47356.439129999999</v>
      </c>
      <c r="R7" s="73" ph="1">
        <f>R6*1.5*1.5*3.1416*LOOKUP(R8,密度!$A$2:$A$50,密度!$L$2:$L$50)</f>
        <v>47294.263724399992</v>
      </c>
      <c r="S7" s="73" ph="1">
        <f>S6*1.5*1.5*3.1416*LOOKUP(S8,密度!$A$2:$A$50,密度!$L$2:$L$50)</f>
        <v>36246.423628799996</v>
      </c>
      <c r="T7" s="73" ph="1">
        <f>T6*1.5*1.5*3.1416*LOOKUP(T8,密度!$A$2:$A$50,密度!$L$2:$L$50)</f>
        <v>47380.458232799996</v>
      </c>
      <c r="U7" s="73" ph="1">
        <f>U6*1.5*1.5*3.1416*LOOKUP(U8,密度!$A$2:$A$50,密度!$L$2:$L$50)</f>
        <v>27989.973673199998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173897.469297</v>
      </c>
      <c r="AA7" s="73" ph="1">
        <f>AA6*33.183*LOOKUP(AA8,密度!$A$2:$A$50,密度!$D$2:$D$50)</f>
        <v>73861.561864800009</v>
      </c>
      <c r="AB7" s="73" ph="1">
        <f>AB6*20.428*LOOKUP(AB8,密度!$A$2:$A$50,密度!$D$2:$D$50)</f>
        <v>84197.842464000016</v>
      </c>
      <c r="AC7" s="73" ph="1">
        <f>AC6*51.53*LOOKUP(AC8,密度!$A$2:$A$50,密度!$Q$2:$Q$50)</f>
        <v>287703.7135903</v>
      </c>
      <c r="AD7" s="73" ph="1">
        <f>AD6*20.428*LOOKUP(AD8,密度!$A$2:$A$50,密度!$V$2:$V$50)</f>
        <v>26261.2235712</v>
      </c>
      <c r="AE7" s="73" ph="1">
        <f>AE6*20.428</f>
        <v>39834.6</v>
      </c>
    </row>
    <row r="8" spans="1:99" ph="1">
      <c r="B8" s="195" ph="1"/>
      <c r="C8" s="68" t="s" ph="1">
        <v>180</v>
      </c>
      <c r="D8" s="74">
        <v>25</v>
      </c>
      <c r="E8" s="74">
        <v>25</v>
      </c>
      <c r="F8" s="74">
        <v>25</v>
      </c>
      <c r="G8" s="74">
        <v>23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25</v>
      </c>
      <c r="O8" s="74">
        <v>30</v>
      </c>
      <c r="P8" s="74">
        <v>24</v>
      </c>
      <c r="Q8" s="74">
        <v>25</v>
      </c>
      <c r="R8" s="74">
        <v>24</v>
      </c>
      <c r="S8" s="74">
        <v>18</v>
      </c>
      <c r="T8" s="74">
        <v>24</v>
      </c>
      <c r="U8" s="74">
        <v>25</v>
      </c>
      <c r="V8" s="74">
        <v>28</v>
      </c>
      <c r="W8" s="74">
        <v>25</v>
      </c>
      <c r="X8" s="74">
        <v>25</v>
      </c>
      <c r="Y8" s="74">
        <v>25</v>
      </c>
      <c r="Z8" s="74">
        <v>23</v>
      </c>
      <c r="AA8" s="74">
        <v>25</v>
      </c>
      <c r="AB8" s="74">
        <v>15</v>
      </c>
      <c r="AC8" s="74">
        <v>21</v>
      </c>
      <c r="AD8" s="74">
        <v>22</v>
      </c>
      <c r="AE8" s="74">
        <v>35</v>
      </c>
    </row>
    <row r="9" spans="1:99" ht="26.4" ph="1">
      <c r="B9" s="195" ph="1">
        <v>0.66666666666666663</v>
      </c>
      <c r="C9" s="159" t="s" ph="1">
        <v>181</v>
      </c>
      <c r="D9" s="71">
        <v>4180</v>
      </c>
      <c r="E9" s="71">
        <v>4249</v>
      </c>
      <c r="F9" s="71">
        <v>2112</v>
      </c>
      <c r="G9" s="71">
        <v>6055</v>
      </c>
      <c r="H9" s="71">
        <v>1737</v>
      </c>
      <c r="I9" s="71">
        <v>16</v>
      </c>
      <c r="J9" s="71">
        <v>7.7</v>
      </c>
      <c r="K9" s="71">
        <v>19.2</v>
      </c>
      <c r="L9" s="71">
        <v>82.9</v>
      </c>
      <c r="M9" s="71">
        <v>1952</v>
      </c>
      <c r="N9" s="71">
        <v>1749</v>
      </c>
      <c r="O9" s="71">
        <v>3235</v>
      </c>
      <c r="P9" s="71">
        <v>7779</v>
      </c>
      <c r="Q9" s="71">
        <v>3697</v>
      </c>
      <c r="R9" s="71">
        <v>7141</v>
      </c>
      <c r="S9" s="71">
        <v>5439</v>
      </c>
      <c r="T9" s="71">
        <v>7155</v>
      </c>
      <c r="U9" s="71">
        <v>7143</v>
      </c>
      <c r="V9" s="71">
        <v>4757</v>
      </c>
      <c r="W9" s="71">
        <v>0</v>
      </c>
      <c r="X9" s="71">
        <v>0</v>
      </c>
      <c r="Y9" s="71">
        <v>0</v>
      </c>
      <c r="Z9" s="71">
        <v>4075</v>
      </c>
      <c r="AA9" s="71">
        <v>2172</v>
      </c>
      <c r="AB9" s="71">
        <v>3982</v>
      </c>
      <c r="AC9" s="71">
        <v>5882</v>
      </c>
      <c r="AD9" s="71">
        <v>1339</v>
      </c>
      <c r="AE9" s="71">
        <v>2298</v>
      </c>
    </row>
    <row r="10" spans="1:99" s="72" customFormat="1" ht="22.2" ph="1">
      <c r="B10" s="195" ph="1"/>
      <c r="C10" s="159" t="s" ph="1">
        <v>179</v>
      </c>
      <c r="D10" s="73" ph="1">
        <f>D9*33.183*LOOKUP(D11,密度!$A$2:$A$50,密度!$Q$2:$Q$50)</f>
        <v>131219.0343882</v>
      </c>
      <c r="E10" s="73" ph="1">
        <f>E9*51.53*LOOKUP(E11,密度!$A$2:$A$50,密度!$B$2:$B$50)</f>
        <v>170124.90369000001</v>
      </c>
      <c r="F10" s="73" ph="1">
        <f>F9*33.183*LOOKUP(F11,密度!$A$2:$A$50,密度!$C$2:$C$50)</f>
        <v>77609.356070399997</v>
      </c>
      <c r="G10" s="73" ph="1">
        <f xml:space="preserve"> (G9+2)*51.53*LOOKUP(G11,密度!$A$2:$A$50,密度!$B$2:$B$50)</f>
        <v>243045.67142699999</v>
      </c>
      <c r="H10" s="73" ph="1">
        <f>(H9)*51.53*LOOKUP(H11,密度!$A$2:$A$50,密度!$B$2:$B$50)</f>
        <v>69699.575906999991</v>
      </c>
      <c r="I10" s="73" ph="1">
        <f>I9*290.8*1.0267</f>
        <v>4777.0297600000004</v>
      </c>
      <c r="J10" s="73" ph="1">
        <f>J9*290.8*0.7892</f>
        <v>1767.1450720000003</v>
      </c>
      <c r="K10" s="73" ph="1">
        <f>K9*290.8*1.1126</f>
        <v>6212.0463359999994</v>
      </c>
      <c r="L10" s="73" ph="1">
        <f>L9*290.8*0.777</f>
        <v>18731.387640000004</v>
      </c>
      <c r="M10" s="73" ph="1">
        <f>M9*33.183*LOOKUP(M11,密度!$A$2:$A$50,密度!$D$2:$D$50)</f>
        <v>66198.226752000002</v>
      </c>
      <c r="N10" s="73" ph="1">
        <f>N9*33.183*LOOKUP(N11,密度!$A$2:$A$50,密度!$E$2:$E$50)</f>
        <v>45129.6232992</v>
      </c>
      <c r="O10" s="73" ph="1">
        <f>O9*20.428*LOOKUP(O11,密度!$A$2:$A$50,密度!$C$2:$C$50)</f>
        <v>72686.429542000013</v>
      </c>
      <c r="P10" s="73" ph="1">
        <f>P9*51.53*LOOKUP(P11,密度!$A$2:$A$50,密度!$B$2:$B$50)</f>
        <v>311141.221494</v>
      </c>
      <c r="Q10" s="73" ph="1">
        <f>Q9*1.5*1.5*3.1416*LOOKUP(W11,密度!$A$2:$A$50,密度!$L$2:$L$50)</f>
        <v>24146.5355208</v>
      </c>
      <c r="R10" s="73" ph="1">
        <f>R9*1.5*1.5*3.1416*LOOKUP(R11,密度!$A$2:$A$50,密度!$L$2:$L$50)</f>
        <v>47044.445263200003</v>
      </c>
      <c r="S10" s="73" ph="1">
        <f>S9*1.5*1.5*3.1416*LOOKUP(S11,密度!$A$2:$A$50,密度!$L$2:$L$50)</f>
        <v>36216.240706800003</v>
      </c>
      <c r="T10" s="73" ph="1">
        <f>T9*1.5*1.5*3.1416*LOOKUP(T11,密度!$A$2:$A$50,密度!$L$2:$L$50)</f>
        <v>47591.858852999998</v>
      </c>
      <c r="U10" s="73" ph="1">
        <f>U9*1.5*1.5*3.1416*LOOKUP(U11,密度!$A$2:$A$50,密度!$L$2:$L$50)</f>
        <v>47310.076182600002</v>
      </c>
      <c r="V10" s="73" ph="1">
        <f>V9*1.5*1.5*3.1416*LOOKUP(V11,密度!$A$2:$A$50,密度!$L$2:$L$50)</f>
        <v>31439.683736999999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126701.81932500002</v>
      </c>
      <c r="AA10" s="73" ph="1">
        <f>AA9*33.183*LOOKUP(AA11,密度!$A$2:$A$50,密度!$D$2:$D$50)</f>
        <v>73659.092471999989</v>
      </c>
      <c r="AB10" s="73" ph="1">
        <f>AB9*20.428*LOOKUP(AB11,密度!$A$2:$A$50,密度!$D$2:$D$50)</f>
        <v>84175.077500799991</v>
      </c>
      <c r="AC10" s="73" ph="1">
        <f>AC9*51.53*LOOKUP(AC11,密度!$A$2:$A$50,密度!$Q$2:$Q$50)</f>
        <v>286525.98152720003</v>
      </c>
      <c r="AD10" s="73" ph="1">
        <f>AD9*20.428*LOOKUP(AD11,密度!$A$2:$A$50,密度!$V$2:$V$50)</f>
        <v>26193.3208992</v>
      </c>
      <c r="AE10" s="73" ph="1">
        <f>AE9*20.428</f>
        <v>46943.544000000002</v>
      </c>
    </row>
    <row r="11" spans="1:99" ph="1">
      <c r="A11" s="64" t="s" ph="1">
        <v>163</v>
      </c>
      <c r="B11" s="195" ph="1"/>
      <c r="C11" s="159" t="s" ph="1">
        <v>180</v>
      </c>
      <c r="D11" s="74">
        <v>26</v>
      </c>
      <c r="E11" s="74">
        <v>28</v>
      </c>
      <c r="F11" s="74">
        <v>27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35</v>
      </c>
      <c r="P11" s="74">
        <v>29</v>
      </c>
      <c r="Q11" s="74">
        <v>25</v>
      </c>
      <c r="R11" s="74">
        <v>30</v>
      </c>
      <c r="S11" s="74">
        <v>20</v>
      </c>
      <c r="T11" s="74">
        <v>21</v>
      </c>
      <c r="U11" s="74">
        <v>25</v>
      </c>
      <c r="V11" s="74">
        <v>27</v>
      </c>
      <c r="W11" s="74">
        <v>38</v>
      </c>
      <c r="X11" s="74">
        <v>35</v>
      </c>
      <c r="Y11" s="74">
        <v>30</v>
      </c>
      <c r="Z11" s="74">
        <v>25</v>
      </c>
      <c r="AA11" s="74">
        <v>30</v>
      </c>
      <c r="AB11" s="74">
        <v>16</v>
      </c>
      <c r="AC11" s="74">
        <v>27</v>
      </c>
      <c r="AD11" s="74">
        <v>28</v>
      </c>
      <c r="AE11" s="74">
        <v>35</v>
      </c>
    </row>
    <row r="12" spans="1:99" ht="9.9" customHeight="1" ph="1"/>
    <row r="13" spans="1:99" s="72" customFormat="1" ht="29.25" customHeight="1" ph="1">
      <c r="B13" s="20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9" t="s" ph="1">
        <v>178</v>
      </c>
      <c r="D15" s="78">
        <v>0</v>
      </c>
      <c r="E15" s="78">
        <v>924</v>
      </c>
      <c r="F15" s="78">
        <v>1966</v>
      </c>
      <c r="G15" s="78">
        <v>558</v>
      </c>
      <c r="H15" s="78">
        <v>4524</v>
      </c>
      <c r="I15" s="78">
        <v>4142</v>
      </c>
      <c r="J15" s="78">
        <v>0</v>
      </c>
      <c r="K15" s="78">
        <v>2051</v>
      </c>
      <c r="L15" s="78">
        <v>1773</v>
      </c>
      <c r="M15" s="78">
        <v>5736</v>
      </c>
      <c r="N15" s="78">
        <v>0</v>
      </c>
      <c r="O15" s="78">
        <v>42</v>
      </c>
      <c r="P15" s="78">
        <v>6941</v>
      </c>
      <c r="Q15" s="78">
        <v>32</v>
      </c>
      <c r="R15" s="78">
        <v>3511</v>
      </c>
      <c r="S15" s="78">
        <v>6864</v>
      </c>
      <c r="T15" s="78">
        <v>2675</v>
      </c>
      <c r="U15" s="78">
        <v>5453</v>
      </c>
      <c r="V15" s="78">
        <v>1099</v>
      </c>
      <c r="W15" s="71">
        <v>3772</v>
      </c>
      <c r="X15" s="78">
        <v>150</v>
      </c>
      <c r="Y15" s="106">
        <v>-2365</v>
      </c>
      <c r="Z15" s="78">
        <v>0</v>
      </c>
      <c r="AA15" s="78">
        <v>4237</v>
      </c>
      <c r="AB15" s="78" ph="1">
        <v>6920</v>
      </c>
      <c r="AC15" s="78" ph="1">
        <v>990</v>
      </c>
      <c r="AD15" s="78">
        <v>11.5</v>
      </c>
      <c r="AE15" s="78">
        <v>54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9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6119.9090568000011</v>
      </c>
      <c r="F16" s="73" ph="1">
        <f>F15*9.0746*LOOKUP(F17,密度!$A$2:$A$50,密度!$L$2:$L$50)</f>
        <v>16698.861129600002</v>
      </c>
      <c r="G16" s="73" ph="1">
        <f>G15*9.0746*LOOKUP(G17,密度!$A$2:$A$50,密度!$B$2:$B$50)</f>
        <v>3952.1607174000001</v>
      </c>
      <c r="H16" s="73" ph="1">
        <f>H15*9.0746*LOOKUP(H17,密度!$A$2:$A$50,密度!$L$2:$L$50)</f>
        <v>38590.280976000002</v>
      </c>
      <c r="I16" s="73" ph="1">
        <f>I15*9.0746*LOOKUP(I17,密度!$A$2:$A$50,密度!$U$2:$U$50)</f>
        <v>38526.668030000001</v>
      </c>
      <c r="J16" s="73" ph="1">
        <f>J15*9.0746*LOOKUP(J17,密度!$A$2:$A$50,密度!$L$2:$L$50)</f>
        <v>0</v>
      </c>
      <c r="K16" s="73" ph="1">
        <f>K15*9.0746*LOOKUP(K17,密度!$A$2:$A$50,密度!$C$2:$C$50)</f>
        <v>20638.851900940001</v>
      </c>
      <c r="L16" s="73" ph="1">
        <f>L15*9.0746*LOOKUP(L17,密度!$A$2:$A$50,密度!$E$2:$E$50)</f>
        <v>12601.112974560001</v>
      </c>
      <c r="M16" s="73" ph="1">
        <f>M15*9.0746*LOOKUP(M17,密度!$A$2:$A$50,密度!$M$2:$M$50)</f>
        <v>45550.62259056</v>
      </c>
      <c r="N16" s="73" ph="1">
        <f>N15*9.0746*LOOKUP(N17,密度!$A$2:$A$50,密度!$M$2:$M$50)</f>
        <v>0</v>
      </c>
      <c r="O16" s="73" ph="1">
        <f>O15*9.0746*LOOKUP(O17,密度!$A$2:$A$50,密度!$G$2:$G$50)</f>
        <v>365.96409864000003</v>
      </c>
      <c r="P16" s="73" ph="1">
        <f ca="1">P15*9.0746*LOOKUP(P17,密度!$A$2:$A$51,密度!$Q$2:$Q$50)</f>
        <v>59632.121706564001</v>
      </c>
      <c r="Q16" s="73" ph="1">
        <f>Q15*9.0746*LOOKUP(Q17,密度!$A$2:$A$50,密度!$Q$2:$Q$50)</f>
        <v>274.92117772800003</v>
      </c>
      <c r="R16" s="73" ph="1">
        <f>MAX(R15*9.0746*LOOKUP(R17,密度!$A$2:$A$50,密度!$B$2:$B$50),0)</f>
        <v>24838.77369976</v>
      </c>
      <c r="S16" s="73" ph="1">
        <f>S15*9.0746*LOOKUP(S17,密度!$A$2:$A$50,密度!$Q$2:$Q$50)</f>
        <v>58970.592622656004</v>
      </c>
      <c r="T16" s="73" ph="1">
        <f>T15*9.0746*LOOKUP(T17,密度!$A$2:$A$50,密度!$O$2:$O$50)</f>
        <v>22478.237930000003</v>
      </c>
      <c r="U16" s="73" ph="1">
        <f>U15*9.0746*LOOKUP(U17,密度!$A$2:$A$50,密度!$H$2:$H$50)</f>
        <v>45361.793776459999</v>
      </c>
      <c r="V16" s="73" ph="1">
        <f>MAX(5600*LOOKUP(V17,密度!$A$2:$A$50,密度!$Q$2:$Q$50)+V15*9.0476*LOOKUP(V17,密度!$A$2:$A$50,密度!$Q$2:$Q$50),0)</f>
        <v>14738.16881768</v>
      </c>
      <c r="W16" s="73" ph="1">
        <f>MAX(5600*LOOKUP(W17,密度!$A$2:$A$50,密度!$Q$2:$Q$50)+W15*9.0476*LOOKUP(W17,密度!$A$2:$A$50,密度!$Q$2:$Q$50),0)</f>
        <v>37669.660255039998</v>
      </c>
      <c r="X16" s="73" ph="1">
        <f>MAX(5600*LOOKUP(X17,密度!$A$2:$A$50,密度!$I$2:$I$50)+X15*9.0476*LOOKUP(X17,密度!$A$2:$A$50,密度!$I$2:$I$50),0)</f>
        <v>7251.4270219999999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29974.902923920003</v>
      </c>
      <c r="AB16" s="73" ph="1">
        <f>AB15*9.0746*LOOKUP(AB17,密度!$A$2:$A$50,密度!$L$2:$L$50)</f>
        <v>58840.069384000009</v>
      </c>
      <c r="AC16" s="73" ph="1">
        <f>AC15*9.0746*LOOKUP(AC17,密度!$A$2:$A$50,密度!$L$2:$L$50)</f>
        <v>8417.8711980000007</v>
      </c>
      <c r="AD16" s="73" ph="1">
        <f>AD15*268.68*LOOKUP(AD17,密度!$A$2:$A$50,密度!B2:B50)+IF(AD15&lt;=0,0,1566*LOOKUP(AD17,密度!$A$2:$A$50,密度!B2:B50))</f>
        <v>3629.6772719999999</v>
      </c>
      <c r="AE16" s="73" ph="1">
        <f>AE15*268.68*LOOKUP(AE17,密度!$A$2:$A$50,密度!B2:B50)+IF(AE15&lt;=0,0,1566*LOOKUP(AE17,密度!$A$2:$A$50,密度!B2:B50))</f>
        <v>12531.851712000001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25</v>
      </c>
      <c r="E17" s="74">
        <v>25</v>
      </c>
      <c r="F17" s="74">
        <v>26</v>
      </c>
      <c r="G17" s="74">
        <v>24</v>
      </c>
      <c r="H17" s="74">
        <v>22</v>
      </c>
      <c r="I17" s="74">
        <v>25</v>
      </c>
      <c r="J17" s="74">
        <v>25</v>
      </c>
      <c r="K17" s="74">
        <v>25</v>
      </c>
      <c r="L17" s="74">
        <v>25</v>
      </c>
      <c r="M17" s="74">
        <v>25</v>
      </c>
      <c r="N17" s="74">
        <v>23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23</v>
      </c>
      <c r="V17" s="74">
        <v>23</v>
      </c>
      <c r="W17" s="74">
        <v>23</v>
      </c>
      <c r="X17" s="74">
        <v>25</v>
      </c>
      <c r="Y17" s="108">
        <v>25</v>
      </c>
      <c r="Z17" s="74">
        <v>25</v>
      </c>
      <c r="AA17" s="74">
        <v>25</v>
      </c>
      <c r="AB17" s="74">
        <v>25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1850</v>
      </c>
      <c r="F18" s="71">
        <v>1999</v>
      </c>
      <c r="G18" s="71">
        <v>588</v>
      </c>
      <c r="H18" s="71">
        <v>4528</v>
      </c>
      <c r="I18" s="71">
        <v>4145</v>
      </c>
      <c r="J18" s="71">
        <v>0</v>
      </c>
      <c r="K18" s="71">
        <v>2079</v>
      </c>
      <c r="L18" s="71">
        <v>4351</v>
      </c>
      <c r="M18" s="71">
        <v>2789</v>
      </c>
      <c r="N18" s="71">
        <v>0</v>
      </c>
      <c r="O18" s="71">
        <v>42</v>
      </c>
      <c r="P18" s="71">
        <v>6952</v>
      </c>
      <c r="Q18" s="71">
        <v>27</v>
      </c>
      <c r="R18" s="71">
        <v>3516</v>
      </c>
      <c r="S18" s="71">
        <v>6875</v>
      </c>
      <c r="T18" s="71">
        <v>2148</v>
      </c>
      <c r="U18" s="71">
        <v>5459</v>
      </c>
      <c r="V18" s="71">
        <v>897</v>
      </c>
      <c r="W18" s="71">
        <v>3772</v>
      </c>
      <c r="X18" s="71">
        <v>151</v>
      </c>
      <c r="Y18" s="109">
        <v>-9907</v>
      </c>
      <c r="Z18" s="71">
        <v>11</v>
      </c>
      <c r="AA18" s="71">
        <v>4242</v>
      </c>
      <c r="AB18" s="71">
        <v>6931</v>
      </c>
      <c r="AC18" s="71">
        <v>990</v>
      </c>
      <c r="AD18" s="71">
        <v>11.4</v>
      </c>
      <c r="AE18" s="71">
        <v>82.9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9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12187.680120000001</v>
      </c>
      <c r="F19" s="73" ph="1">
        <f>F18*9.0746*LOOKUP(F20,密度!$A$2:$A$50,密度!$L$2:$L$50)</f>
        <v>16888.456747400003</v>
      </c>
      <c r="G19" s="73" ph="1">
        <f>G18*9.0746*LOOKUP(G20,密度!$A$2:$A$50,密度!$B$2:$B$50)</f>
        <v>4136.8959794399998</v>
      </c>
      <c r="H19" s="73" ph="1">
        <f>H18*9.0746*LOOKUP(H20,密度!$A$2:$A$50,密度!$L$2:$L$50)</f>
        <v>38131.324006400006</v>
      </c>
      <c r="I19" s="73" ph="1">
        <f>I18*9.0746*LOOKUP(I20,密度!$A$2:$A$50,密度!$U$2:$U$50)</f>
        <v>38216.044472000001</v>
      </c>
      <c r="J19" s="73" ph="1">
        <f>J18*9.0746*LOOKUP(J20,密度!$A$2:$A$50,密度!$L$2:$L$50)</f>
        <v>0</v>
      </c>
      <c r="K19" s="73" ph="1">
        <f>K18*9.0746*LOOKUP(K20,密度!$A$2:$A$50,密度!$C$2:$C$50)</f>
        <v>20848.91981634</v>
      </c>
      <c r="L19" s="73" ph="1">
        <f>L18*9.0746*LOOKUP(L20,密度!$A$2:$A$50,密度!$E$2:$E$50)</f>
        <v>30745.867328019998</v>
      </c>
      <c r="M19" s="73" ph="1">
        <f>M18*9.0746*LOOKUP(M20,密度!$A$2:$A$50,密度!$M$2:$M$50)</f>
        <v>22044.1907374</v>
      </c>
      <c r="N19" s="73" ph="1">
        <f>N18*9.0746*LOOKUP(N20,密度!$A$2:$A$50,密度!$M$2:$M$50)</f>
        <v>0</v>
      </c>
      <c r="O19" s="73" ph="1">
        <f>O18*9.0746*LOOKUP(O20,密度!$A$2:$A$50,密度!$G$2:$G$50)</f>
        <v>363.86786603999997</v>
      </c>
      <c r="P19" s="73" ph="1">
        <f ca="1">P18*9.0746*LOOKUP(P20,密度!$A$2:$A$51,密度!$Q$2:$Q$50)</f>
        <v>59592.882228704002</v>
      </c>
      <c r="Q19" s="73" ph="1">
        <f>Q18*9.0746*LOOKUP(Q20,密度!$A$2:$A$50,密度!$Q$2:$Q$50)</f>
        <v>231.12924528600001</v>
      </c>
      <c r="R19" s="73" ph="1">
        <f>MAX(R18*9.0746*LOOKUP(R20,密度!$A$2:$A$50,密度!$B$2:$B$50),0)</f>
        <v>24791.190127200003</v>
      </c>
      <c r="S19" s="73" ph="1">
        <f>S18*9.0746*LOOKUP(S20,密度!$A$2:$A$50,密度!$Q$2:$Q$50)</f>
        <v>58976.505995</v>
      </c>
      <c r="T19" s="73" ph="1">
        <f>T18*9.0746*LOOKUP(T20,密度!$A$2:$A$50,密度!$O$2:$O$50)</f>
        <v>18049.814980800002</v>
      </c>
      <c r="U19" s="73" ph="1">
        <f>U18*9.0746*LOOKUP(U20,密度!$A$2:$A$50,密度!$H$2:$H$50)</f>
        <v>45312.629408579996</v>
      </c>
      <c r="V19" s="73" ph="1">
        <f>MAX(5600*LOOKUP(V20,密度!$A$2:$A$50,密度!$Q$2:$Q$50)+V18*9.0476*LOOKUP(V20,密度!$A$2:$A$50,密度!$Q$2:$Q$50),0)</f>
        <v>12938.428639676</v>
      </c>
      <c r="W19" s="73" ph="1">
        <f>MAX(5600*LOOKUP(W20,密度!$A$2:$A$50,密度!$Q$2:$Q$50)+W18*9.0476*LOOKUP(W20,密度!$A$2:$A$50,密度!$Q$2:$Q$50),0)</f>
        <v>37476.187100175994</v>
      </c>
      <c r="X19" s="73" ph="1">
        <f>MAX(5600*LOOKUP(X20,密度!$A$2:$A$50,密度!$I$2:$I$50)+X18*9.0476*LOOKUP(X20,密度!$A$2:$A$50,密度!$I$2:$I$50),0)</f>
        <v>7237.1722976399997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101.57744256000001</v>
      </c>
      <c r="AA19" s="73" ph="1">
        <f>AA18*9.0746*LOOKUP(AA20,密度!$A$2:$A$50,密度!$B$2:$B$50)</f>
        <v>30010.275714720003</v>
      </c>
      <c r="AB19" s="73" ph="1">
        <f>AB18*9.0746*LOOKUP(AB20,密度!$A$2:$A$50,密度!$L$2:$L$50)</f>
        <v>58870.705233600005</v>
      </c>
      <c r="AC19" s="73" ph="1">
        <f>AC18*9.0746*LOOKUP(AC20,密度!$A$2:$A$50,密度!$L$2:$L$50)</f>
        <v>8372.9519280000004</v>
      </c>
      <c r="AD19" s="73" ph="1">
        <f>AD18*268.68*LOOKUP(AD20,密度!$A$2:$A$50,密度!B5:B53)+IF(AD18&lt;=0,0,1566*LOOKUP(AD20,密度!$A$2:$A$50,密度!B5:B53))</f>
        <v>3596.6957039999998</v>
      </c>
      <c r="AE19" s="73" ph="1">
        <f>AE18*268.68*LOOKUP(AE20,密度!$A$2:$A$50,密度!B5:B53)+IF(AE18&lt;=0,0,1566*LOOKUP(AE20,密度!$A$2:$A$50,密度!B5:B53))</f>
        <v>18523.347444000003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30</v>
      </c>
      <c r="E20" s="81">
        <v>30</v>
      </c>
      <c r="F20" s="81">
        <v>31</v>
      </c>
      <c r="G20" s="81">
        <v>30</v>
      </c>
      <c r="H20" s="81">
        <v>34</v>
      </c>
      <c r="I20" s="81">
        <v>34</v>
      </c>
      <c r="J20" s="81">
        <v>34</v>
      </c>
      <c r="K20" s="81">
        <v>30</v>
      </c>
      <c r="L20" s="81">
        <v>29</v>
      </c>
      <c r="M20" s="81">
        <v>29</v>
      </c>
      <c r="N20" s="81">
        <v>29</v>
      </c>
      <c r="O20" s="81">
        <v>30</v>
      </c>
      <c r="P20" s="81">
        <v>28</v>
      </c>
      <c r="Q20" s="81">
        <v>30</v>
      </c>
      <c r="R20" s="81">
        <v>28</v>
      </c>
      <c r="S20" s="81">
        <v>27</v>
      </c>
      <c r="T20" s="81">
        <v>27</v>
      </c>
      <c r="U20" s="81">
        <v>25</v>
      </c>
      <c r="V20" s="81">
        <v>30</v>
      </c>
      <c r="W20" s="81">
        <v>30</v>
      </c>
      <c r="X20" s="81">
        <v>28</v>
      </c>
      <c r="Y20" s="110">
        <v>28</v>
      </c>
      <c r="Z20" s="81">
        <v>35</v>
      </c>
      <c r="AA20" s="81">
        <v>25</v>
      </c>
      <c r="AB20" s="81">
        <v>26</v>
      </c>
      <c r="AC20" s="81">
        <v>30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9" t="s" ph="1">
        <v>178</v>
      </c>
      <c r="D24" s="71">
        <v>3.1</v>
      </c>
      <c r="E24" s="71">
        <v>95.5</v>
      </c>
      <c r="F24" s="71">
        <v>0</v>
      </c>
      <c r="G24" s="71">
        <v>3914</v>
      </c>
      <c r="H24" s="71">
        <v>3874</v>
      </c>
      <c r="I24" s="71">
        <v>4669</v>
      </c>
      <c r="J24" s="71">
        <v>4955</v>
      </c>
      <c r="K24" s="71">
        <v>26</v>
      </c>
      <c r="L24" s="71">
        <v>0</v>
      </c>
      <c r="M24" s="71">
        <v>5426</v>
      </c>
      <c r="N24" s="71">
        <v>5375</v>
      </c>
      <c r="O24" s="71">
        <v>0</v>
      </c>
      <c r="P24" s="71">
        <v>840</v>
      </c>
      <c r="Q24" s="90">
        <v>1627</v>
      </c>
      <c r="R24" s="71">
        <v>5268</v>
      </c>
      <c r="S24" s="71">
        <v>226</v>
      </c>
      <c r="T24" s="71">
        <v>1757</v>
      </c>
      <c r="U24" s="71">
        <v>5666</v>
      </c>
      <c r="V24" s="71">
        <v>9657</v>
      </c>
      <c r="W24" s="71">
        <v>8330</v>
      </c>
      <c r="X24" s="71">
        <v>6051</v>
      </c>
      <c r="Y24" s="71">
        <v>5173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2271.1421599200003</v>
      </c>
      <c r="E25" s="91" ph="1">
        <f>E24*268.68*LOOKUP(E26,密度!$A$2:$A$50,密度!$C$2:$C$50)+IF(E24&lt;=0,0,1566*LOOKUP(E26,密度!$A$2:$A$50,密度!$C$2:$C$50))</f>
        <v>30189.735966000004</v>
      </c>
      <c r="F25" s="91" ph="1">
        <f>F24*11.702*LOOKUP(F26,密度!$A$2:$A$50,密度!$Q$2:$Q$50)</f>
        <v>0</v>
      </c>
      <c r="G25" s="91" ph="1">
        <f>G24*18.322*LOOKUP(G26,密度!$A$2:$A$50,密度!$B$2:$B$50)</f>
        <v>55971.456393999993</v>
      </c>
      <c r="H25" s="91" ph="1">
        <f>H24*18.322*LOOKUP(H26,密度!$A$2:$A$50,密度!$B$2:$B$50)</f>
        <v>55399.443553999998</v>
      </c>
      <c r="I25" s="91" ph="1">
        <f>I24*18.322*LOOKUP(I26,密度!$A$2:$A$50,密度!$Q$2:$Q$50)</f>
        <v>80989.269037319988</v>
      </c>
      <c r="J25" s="91" ph="1">
        <f>J24*18.322*LOOKUP(J26,密度!$A$2:$A$50,密度!$Q$2:$Q$50)</f>
        <v>85950.273737399999</v>
      </c>
      <c r="K25" s="91" ph="1">
        <f>K24*18.322*LOOKUP(K26,密度!$A$2:$A$50,密度!$Q$2:$Q$50)</f>
        <v>451.34817884</v>
      </c>
      <c r="L25" s="91" ph="1">
        <f>L24*18.322*LOOKUP(L26,密度!$A$2:$A$50,密度!$Q$2:$Q$50)</f>
        <v>0</v>
      </c>
      <c r="M25" s="91" ph="1">
        <f>M24*18.322*LOOKUP(M26,密度!$A$2:$A$50,密度!$Q$2:$Q$50)</f>
        <v>94120.319939280002</v>
      </c>
      <c r="N25" s="91" ph="1">
        <f>N24*18.322*LOOKUP(N26,密度!$A$2:$A$50,密度!$Q$2:$Q$50)</f>
        <v>93235.665255</v>
      </c>
      <c r="O25" s="91" ph="1">
        <f>O24*18.322*LOOKUP(O26,密度!$A$2:$A$50,密度!$C$2:$C$50)</f>
        <v>0</v>
      </c>
      <c r="P25" s="91" ph="1">
        <f>P24*11.702*LOOKUP(P26,密度!$A$2:$A$50,密度!$B$2:$B$50)</f>
        <v>7672.0652399999999</v>
      </c>
      <c r="Q25" s="92" ph="1">
        <f>Q24*18.322*LOOKUP(Q26,密度!$A$2:$A$50,密度!$B$2:$B$50)</f>
        <v>23266.622266999999</v>
      </c>
      <c r="R25" s="91" ph="1">
        <f>R24*35.891*LOOKUP(R26,密度!$A$2:$A$50,密度!$C$2:$C$50)</f>
        <v>209796.2751648</v>
      </c>
      <c r="S25" s="91" ph="1">
        <f>S24*35.891*LOOKUP(S26,密度!$A$2:$A$50,密度!$B$2:$B$50)</f>
        <v>6323.6209335999993</v>
      </c>
      <c r="T25" s="91" ph="1">
        <f>T24*35.891*LOOKUP(T26,密度!$A$2:$A$50,密度!$Q$2:$Q$50)</f>
        <v>59701.885462379993</v>
      </c>
      <c r="U25" s="91" ph="1">
        <f>U24*35.891</f>
        <v>203358.40599999999</v>
      </c>
      <c r="V25" s="91" ph="1">
        <f>V24*47.051*LOOKUP(V26,密度!$A$2:$A$50,密度!$B$2:$B$50)</f>
        <v>354228.02685720002</v>
      </c>
      <c r="W25" s="91" ph="1">
        <f>W24*47.051*LOOKUP(W26,密度!$A$2:$A$50,密度!$B$2:$B$50)</f>
        <v>305552.39346799999</v>
      </c>
      <c r="X25" s="91" ph="1">
        <f>X24*47.051*LOOKUP(X26,密度!$A$2:$A$50,密度!$I$2:$I$50)</f>
        <v>291937.12326540006</v>
      </c>
      <c r="Y25" s="91" ph="1">
        <f>Y24*47.051*LOOKUP(Y26,密度!$A$2:$A$50,密度!$L$2:$L$50)</f>
        <v>228060.94915100001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22</v>
      </c>
      <c r="G26" s="74">
        <v>24</v>
      </c>
      <c r="H26" s="74">
        <v>24</v>
      </c>
      <c r="I26" s="74">
        <v>25</v>
      </c>
      <c r="J26" s="74">
        <v>25</v>
      </c>
      <c r="K26" s="74">
        <v>24</v>
      </c>
      <c r="L26" s="74">
        <v>24</v>
      </c>
      <c r="M26" s="74">
        <v>25</v>
      </c>
      <c r="N26" s="74">
        <v>25</v>
      </c>
      <c r="O26" s="74">
        <v>25</v>
      </c>
      <c r="P26" s="74">
        <v>24</v>
      </c>
      <c r="Q26" s="93">
        <v>24</v>
      </c>
      <c r="R26" s="74">
        <v>24</v>
      </c>
      <c r="S26" s="74">
        <v>25</v>
      </c>
      <c r="T26" s="74">
        <v>25</v>
      </c>
      <c r="U26" s="74">
        <v>25</v>
      </c>
      <c r="V26" s="74">
        <v>25</v>
      </c>
      <c r="W26" s="74">
        <v>25</v>
      </c>
      <c r="X26" s="74">
        <v>40</v>
      </c>
      <c r="Y26" s="74">
        <v>25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9" t="s" ph="1">
        <v>181</v>
      </c>
      <c r="D27" s="71">
        <v>3.1</v>
      </c>
      <c r="E27" s="71">
        <v>95.5</v>
      </c>
      <c r="F27" s="71">
        <v>0</v>
      </c>
      <c r="G27" s="71">
        <v>3398</v>
      </c>
      <c r="H27" s="71">
        <v>3337</v>
      </c>
      <c r="I27" s="71">
        <v>4672</v>
      </c>
      <c r="J27" s="71">
        <v>4957</v>
      </c>
      <c r="K27" s="71">
        <v>23</v>
      </c>
      <c r="L27" s="71">
        <v>0</v>
      </c>
      <c r="M27" s="71">
        <v>5429</v>
      </c>
      <c r="N27" s="71">
        <v>5376</v>
      </c>
      <c r="O27" s="71">
        <v>0</v>
      </c>
      <c r="P27" s="71">
        <v>836</v>
      </c>
      <c r="Q27" s="90">
        <v>2308</v>
      </c>
      <c r="R27" s="71">
        <v>4668</v>
      </c>
      <c r="S27" s="71">
        <v>223</v>
      </c>
      <c r="T27" s="71">
        <v>1756</v>
      </c>
      <c r="U27" s="71">
        <v>5642</v>
      </c>
      <c r="V27" s="71">
        <v>9660</v>
      </c>
      <c r="W27" s="71">
        <v>8332</v>
      </c>
      <c r="X27" s="71">
        <v>6050</v>
      </c>
      <c r="Y27" s="71">
        <v>4408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9" t="s" ph="1">
        <v>179</v>
      </c>
      <c r="D28" s="91" ph="1">
        <f>D27*268.68*LOOKUP(D29,密度!$A$2:$A$50,密度!$Q$2:$Q$50)+IF(D27&lt;=0,0,1566*LOOKUP(D29,密度!$A$2:$A$50,密度!$Q$2:$Q$50))</f>
        <v>2271.1421599200003</v>
      </c>
      <c r="E28" s="91" ph="1">
        <f>E27*268.68*LOOKUP(E29,密度!$A$2:$A$50,密度!$C$2:$C$50)+IF(E27&lt;=0,0,1566*LOOKUP(E29,密度!$A$2:$A$50,密度!$C$2:$C$50))</f>
        <v>30189.735966000004</v>
      </c>
      <c r="F28" s="91" ph="1">
        <f>F27*11.702*LOOKUP(F29,密度!$A$2:$A$50,密度!$Q$2:$Q$50)</f>
        <v>0</v>
      </c>
      <c r="G28" s="91" ph="1">
        <f>G27*18.322*LOOKUP(G29,密度!$A$2:$A$50,密度!$B$2:$B$50)</f>
        <v>48536.458417599992</v>
      </c>
      <c r="H28" s="91" ph="1">
        <f>H27*18.322*LOOKUP(H29,密度!$A$2:$A$50,密度!$B$2:$B$50)</f>
        <v>47665.144714399998</v>
      </c>
      <c r="I28" s="91" ph="1">
        <f>I27*18.322*LOOKUP(I29,密度!$A$2:$A$50,密度!$Q$2:$Q$50)</f>
        <v>81041.307548159995</v>
      </c>
      <c r="J28" s="91" ph="1">
        <f>J27*18.322*LOOKUP(J29,密度!$A$2:$A$50,密度!$Q$2:$Q$50)</f>
        <v>85920.482348620004</v>
      </c>
      <c r="K28" s="91" ph="1">
        <f>K27*18.322*LOOKUP(K29,密度!$A$2:$A$50,密度!$Q$2:$Q$50)</f>
        <v>398.96191644000004</v>
      </c>
      <c r="L28" s="91" ph="1">
        <f>L27*18.322*LOOKUP(L29,密度!$A$2:$A$50,密度!$Q$2:$Q$50)</f>
        <v>0</v>
      </c>
      <c r="M28" s="91" ph="1">
        <f>M27*18.322*LOOKUP(M29,密度!$A$2:$A$50,密度!$Q$2:$Q$50)</f>
        <v>94172.358450119995</v>
      </c>
      <c r="N28" s="91" ph="1">
        <f>N27*18.322*LOOKUP(N29,密度!$A$2:$A$50,密度!$Q$2:$Q$50)</f>
        <v>93183.077084160002</v>
      </c>
      <c r="O28" s="91" ph="1">
        <f>O27*18.322*LOOKUP(O29,密度!$A$2:$A$50,密度!$C$2:$C$50)</f>
        <v>0</v>
      </c>
      <c r="P28" s="91" ph="1">
        <f>P27*11.702*LOOKUP(P29,密度!$A$2:$A$50,密度!$B$2:$B$50)</f>
        <v>7626.7270111999987</v>
      </c>
      <c r="Q28" s="92" ph="1">
        <f>Q27*18.322*LOOKUP(Q29,密度!$A$2:$A$50,密度!$B$2:$B$50)</f>
        <v>32967.0824096</v>
      </c>
      <c r="R28" s="91" ph="1">
        <f>R27*35.891*LOOKUP(R29,密度!$A$2:$A$50,密度!$C$2:$C$50)</f>
        <v>185650.17422280001</v>
      </c>
      <c r="S28" s="91" ph="1">
        <f>S27*35.891*LOOKUP(S29,密度!$A$2:$A$50,密度!$B$2:$B$50)</f>
        <v>6239.679062799999</v>
      </c>
      <c r="T28" s="91" ph="1">
        <f>T27*35.891*LOOKUP(T29,密度!$A$2:$A$50,密度!$Q$2:$Q$50)</f>
        <v>59667.906017039997</v>
      </c>
      <c r="U28" s="91" ph="1">
        <f>U27*35.891</f>
        <v>202497.022</v>
      </c>
      <c r="V28" s="91" ph="1">
        <f>V27*47.051*LOOKUP(V29,密度!$A$2:$A$50,密度!$B$2:$B$50)</f>
        <v>354338.06973600003</v>
      </c>
      <c r="W28" s="91" ph="1">
        <f>W27*47.051*LOOKUP(W29,密度!$A$2:$A$50,密度!$B$2:$B$50)</f>
        <v>305625.75538719998</v>
      </c>
      <c r="X28" s="91" ph="1">
        <f>X27*47.051*LOOKUP(X29,密度!$A$2:$A$50,密度!$I$2:$I$50)</f>
        <v>294450.80411999999</v>
      </c>
      <c r="Y28" s="91" ph="1">
        <f>Y27*47.051*LOOKUP(Y29,密度!$A$2:$A$50,密度!$L$2:$L$50)</f>
        <v>193297.55305600003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9" t="s" ph="1">
        <v>180</v>
      </c>
      <c r="D29" s="74">
        <v>25</v>
      </c>
      <c r="E29" s="74">
        <v>25</v>
      </c>
      <c r="F29" s="74">
        <v>23</v>
      </c>
      <c r="G29" s="74">
        <v>25</v>
      </c>
      <c r="H29" s="74">
        <v>25</v>
      </c>
      <c r="I29" s="74">
        <v>25</v>
      </c>
      <c r="J29" s="74">
        <v>26</v>
      </c>
      <c r="K29" s="74">
        <v>25</v>
      </c>
      <c r="L29" s="74">
        <v>25</v>
      </c>
      <c r="M29" s="74">
        <v>25</v>
      </c>
      <c r="N29" s="74">
        <v>26</v>
      </c>
      <c r="O29" s="74">
        <v>25</v>
      </c>
      <c r="P29" s="74">
        <v>25</v>
      </c>
      <c r="Q29" s="93">
        <v>25</v>
      </c>
      <c r="R29" s="74">
        <v>26</v>
      </c>
      <c r="S29" s="74">
        <v>25</v>
      </c>
      <c r="T29" s="74">
        <v>25</v>
      </c>
      <c r="U29" s="74">
        <v>25</v>
      </c>
      <c r="V29" s="74">
        <v>25</v>
      </c>
      <c r="W29" s="74">
        <v>25</v>
      </c>
      <c r="X29" s="74">
        <v>32</v>
      </c>
      <c r="Y29" s="74">
        <v>30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157935.74741535998</v>
      </c>
      <c r="E33" s="217" ph="1">
        <f>M10+I10</f>
        <v>70975.256512000007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21" ph="1">
        <v>0</v>
      </c>
      <c r="H33" s="217" ph="1">
        <f>N19</f>
        <v>0</v>
      </c>
      <c r="I33" s="230" ph="1">
        <v>0</v>
      </c>
      <c r="J33" s="228" ph="1">
        <f>F10+O28</f>
        <v>77609.356070399997</v>
      </c>
      <c r="K33" s="217" ph="1">
        <f>O10+K10+E28+R28</f>
        <v>294738.38606680004</v>
      </c>
      <c r="L33" s="232" ph="1">
        <f>BE27</f>
        <v>7100</v>
      </c>
      <c r="M33" s="228" ph="1">
        <f>G10+H10+W28+S28+V28+E10</f>
        <v>1149073.65521</v>
      </c>
      <c r="N33" s="217" ph="1">
        <f>L10+P10++G28+H28</f>
        <v>426074.21226600005</v>
      </c>
      <c r="O33" s="230" ph="1">
        <f>BE17</f>
        <v>2270</v>
      </c>
      <c r="P33" s="228" ph="1">
        <f>L19</f>
        <v>30745.867328019998</v>
      </c>
      <c r="Q33" s="217" ph="1">
        <f>J10+N10</f>
        <v>46896.7683712</v>
      </c>
      <c r="R33" s="230" ph="1">
        <f>BE23</f>
        <v>890</v>
      </c>
      <c r="S33" s="228" ph="1">
        <f>E10+X28</f>
        <v>464575.70780999999</v>
      </c>
      <c r="T33" s="217" ph="1">
        <f>X19</f>
        <v>7237.1722976399997</v>
      </c>
      <c r="U33" s="238" ph="1">
        <f>BE21</f>
        <v>730</v>
      </c>
      <c r="V33" s="249" ph="1">
        <f ca="1">P19+Q19+S19+M28+N28+J28</f>
        <v>392076.43535188999</v>
      </c>
      <c r="W33" s="249" ph="1">
        <f>D28+F28+V19+T28</f>
        <v>74877.476816636001</v>
      </c>
      <c r="X33" s="230" ph="1">
        <f>BE29+BE31</f>
        <v>10200</v>
      </c>
      <c r="Y33" s="251" ph="1">
        <f>+Q10+R10+S10+T10+U10+V10+W10+X10+Y10</f>
        <v>233748.84026339999</v>
      </c>
      <c r="Z33" s="236" ph="1">
        <f>D10+T19+U19+Y28+Z10</f>
        <v>514580.85115858004</v>
      </c>
      <c r="AA33" s="238" ph="1">
        <f>BE19</f>
        <v>1440</v>
      </c>
      <c r="AB33" s="240" ph="1">
        <f>I19</f>
        <v>38216.044472000001</v>
      </c>
      <c r="AC33" s="242" ph="1">
        <f>AD10</f>
        <v>26193.3208992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1" t="s" ph="1">
        <v>186</v>
      </c>
      <c r="AA36" s="161" ph="1"/>
      <c r="AB36" s="235" t="s" ph="1">
        <v>646</v>
      </c>
      <c r="AC36" s="235" ph="1"/>
      <c r="AD36" s="235" ph="1"/>
      <c r="AE36" s="235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33" priority="96">
      <formula>ABS(D$7-D$10)&gt;=1000</formula>
    </cfRule>
  </conditionalFormatting>
  <conditionalFormatting sqref="E4 E6:E11">
    <cfRule type="expression" dxfId="1132" priority="95">
      <formula>ABS(E$7-E$10)&gt;=1000</formula>
    </cfRule>
  </conditionalFormatting>
  <conditionalFormatting sqref="F4:F11">
    <cfRule type="expression" dxfId="1131" priority="94">
      <formula>ABS(F$7-F$10)&gt;=1000</formula>
    </cfRule>
  </conditionalFormatting>
  <conditionalFormatting sqref="G4:G11">
    <cfRule type="expression" dxfId="1130" priority="93">
      <formula>ABS(G$7-G$10)&gt;=1000</formula>
    </cfRule>
  </conditionalFormatting>
  <conditionalFormatting sqref="H4:H11">
    <cfRule type="expression" dxfId="1129" priority="92">
      <formula>ABS(H$7-H$10)&gt;=1000</formula>
    </cfRule>
  </conditionalFormatting>
  <conditionalFormatting sqref="I4:I11">
    <cfRule type="expression" dxfId="1128" priority="91">
      <formula>ABS(I$7-I$10)&gt;=1000</formula>
    </cfRule>
  </conditionalFormatting>
  <conditionalFormatting sqref="J4:J11">
    <cfRule type="expression" dxfId="1127" priority="90">
      <formula>ABS(J$7-J$10)&gt;=1000</formula>
    </cfRule>
  </conditionalFormatting>
  <conditionalFormatting sqref="K4:K11">
    <cfRule type="expression" dxfId="1126" priority="89">
      <formula>ABS(K$7-K$10)&gt;=1000</formula>
    </cfRule>
  </conditionalFormatting>
  <conditionalFormatting sqref="L4:L11">
    <cfRule type="expression" dxfId="1125" priority="88">
      <formula>ABS(L$7-L$10)&gt;=1000</formula>
    </cfRule>
  </conditionalFormatting>
  <conditionalFormatting sqref="M4 M6:M11">
    <cfRule type="expression" dxfId="1124" priority="87">
      <formula>ABS(M$7-M$10)&gt;=1000</formula>
    </cfRule>
  </conditionalFormatting>
  <conditionalFormatting sqref="N4 N6:N11">
    <cfRule type="expression" dxfId="1123" priority="86">
      <formula>ABS(N$7-N$10)&gt;=1000</formula>
    </cfRule>
  </conditionalFormatting>
  <conditionalFormatting sqref="O4 O6:O11">
    <cfRule type="expression" dxfId="1122" priority="85">
      <formula>ABS(O$7-O$10)&gt;=1000</formula>
    </cfRule>
  </conditionalFormatting>
  <conditionalFormatting sqref="P4 P6:P11">
    <cfRule type="expression" dxfId="1121" priority="84">
      <formula>ABS(P$7-P$10)&gt;=1000</formula>
    </cfRule>
  </conditionalFormatting>
  <conditionalFormatting sqref="Q4:Q11">
    <cfRule type="expression" dxfId="1120" priority="83">
      <formula>ABS(Q$7-Q$10)&gt;=1000</formula>
    </cfRule>
  </conditionalFormatting>
  <conditionalFormatting sqref="R4:R11">
    <cfRule type="expression" dxfId="1119" priority="82">
      <formula>ABS(R$7-R$10)&gt;=1000</formula>
    </cfRule>
  </conditionalFormatting>
  <conditionalFormatting sqref="S4:S11">
    <cfRule type="expression" dxfId="1118" priority="81">
      <formula>ABS(S$7-S$10)&gt;=1000</formula>
    </cfRule>
  </conditionalFormatting>
  <conditionalFormatting sqref="T4:T9 T11">
    <cfRule type="expression" dxfId="1117" priority="80">
      <formula>ABS(T$7-T$10)&gt;=1000</formula>
    </cfRule>
  </conditionalFormatting>
  <conditionalFormatting sqref="U4:U9 U11">
    <cfRule type="expression" dxfId="1116" priority="79">
      <formula>ABS(U$7-U$10)&gt;=1000</formula>
    </cfRule>
  </conditionalFormatting>
  <conditionalFormatting sqref="V4:V9 V11">
    <cfRule type="expression" dxfId="1115" priority="78">
      <formula>ABS(V$7-V$10)&gt;=1000</formula>
    </cfRule>
  </conditionalFormatting>
  <conditionalFormatting sqref="W4:W9 W11">
    <cfRule type="expression" dxfId="1114" priority="77">
      <formula>ABS(W$7-W$10)&gt;=1000</formula>
    </cfRule>
  </conditionalFormatting>
  <conditionalFormatting sqref="X4:X9 X11">
    <cfRule type="expression" dxfId="1113" priority="76">
      <formula>ABS(X$7-X$10)&gt;=1000</formula>
    </cfRule>
  </conditionalFormatting>
  <conditionalFormatting sqref="Y4:Y9 Y11">
    <cfRule type="expression" dxfId="1112" priority="75">
      <formula>ABS(Y$7-Y$10)&gt;=1000</formula>
    </cfRule>
  </conditionalFormatting>
  <conditionalFormatting sqref="Z4:Z11">
    <cfRule type="expression" dxfId="1111" priority="74">
      <formula>ABS(Z$7-Z$10)&gt;=1000</formula>
    </cfRule>
  </conditionalFormatting>
  <conditionalFormatting sqref="AA4:AA11">
    <cfRule type="expression" dxfId="1110" priority="73">
      <formula>ABS(AA$7-AA$10)&gt;=1000</formula>
    </cfRule>
  </conditionalFormatting>
  <conditionalFormatting sqref="AB4:AB11">
    <cfRule type="expression" dxfId="1109" priority="72">
      <formula>ABS(AB$7-AB$10)&gt;=1000</formula>
    </cfRule>
  </conditionalFormatting>
  <conditionalFormatting sqref="AC4 AC6:AC11">
    <cfRule type="expression" dxfId="1108" priority="71">
      <formula>ABS(AC$7-AC$10)&gt;=1000</formula>
    </cfRule>
  </conditionalFormatting>
  <conditionalFormatting sqref="AD4:AD11">
    <cfRule type="expression" dxfId="1107" priority="70">
      <formula>ABS(AD$7-AD$10)&gt;=1000</formula>
    </cfRule>
  </conditionalFormatting>
  <conditionalFormatting sqref="AE4:AE11">
    <cfRule type="expression" dxfId="1106" priority="69">
      <formula>ABS(AE$7-AE$10)&gt;=1000</formula>
    </cfRule>
  </conditionalFormatting>
  <conditionalFormatting sqref="D13:D20">
    <cfRule type="expression" dxfId="1105" priority="68">
      <formula>ABS(D$16-D$19)&gt;=1000</formula>
    </cfRule>
  </conditionalFormatting>
  <conditionalFormatting sqref="E13:E20">
    <cfRule type="expression" dxfId="1104" priority="67">
      <formula>ABS(E$16-E$19)&gt;=1000</formula>
    </cfRule>
  </conditionalFormatting>
  <conditionalFormatting sqref="F13 F15:F20">
    <cfRule type="expression" dxfId="1103" priority="66">
      <formula>ABS(F$16-F$19)&gt;=1000</formula>
    </cfRule>
  </conditionalFormatting>
  <conditionalFormatting sqref="G13:G20">
    <cfRule type="expression" dxfId="1102" priority="65">
      <formula>ABS(G$16-G$19)&gt;=1000</formula>
    </cfRule>
  </conditionalFormatting>
  <conditionalFormatting sqref="H13:H20">
    <cfRule type="expression" dxfId="1101" priority="64">
      <formula>ABS(H$16-H$19)&gt;=1000</formula>
    </cfRule>
  </conditionalFormatting>
  <conditionalFormatting sqref="I13:I20">
    <cfRule type="expression" dxfId="1100" priority="63">
      <formula>ABS(I$16-I$19)&gt;=1000</formula>
    </cfRule>
  </conditionalFormatting>
  <conditionalFormatting sqref="J13:J20">
    <cfRule type="expression" dxfId="1099" priority="62">
      <formula>ABS(J$16-J$19)&gt;=1000</formula>
    </cfRule>
  </conditionalFormatting>
  <conditionalFormatting sqref="L13:L20">
    <cfRule type="expression" dxfId="1098" priority="61">
      <formula>ABS(L$16-L$19)&gt;=1000</formula>
    </cfRule>
  </conditionalFormatting>
  <conditionalFormatting sqref="M13 M15 M17:M18 M20">
    <cfRule type="expression" dxfId="1097" priority="60">
      <formula>ABS(M$16-M$19)&gt;=1000</formula>
    </cfRule>
  </conditionalFormatting>
  <conditionalFormatting sqref="N13:N20">
    <cfRule type="expression" dxfId="1096" priority="59">
      <formula>ABS(N$16-N$19)&gt;=1000</formula>
    </cfRule>
  </conditionalFormatting>
  <conditionalFormatting sqref="O13:O20">
    <cfRule type="expression" dxfId="1095" priority="58">
      <formula>ABS(O$16-O$19)&gt;=1000</formula>
    </cfRule>
  </conditionalFormatting>
  <conditionalFormatting sqref="P13:P20">
    <cfRule type="expression" dxfId="1094" priority="57">
      <formula>ABS(P$16-P$19)&gt;=1000</formula>
    </cfRule>
  </conditionalFormatting>
  <conditionalFormatting sqref="Q13 Q15:Q20">
    <cfRule type="expression" dxfId="1093" priority="56">
      <formula>ABS(Q$16-Q$19)&gt;=1000</formula>
    </cfRule>
  </conditionalFormatting>
  <conditionalFormatting sqref="R13:R20">
    <cfRule type="expression" dxfId="1092" priority="55">
      <formula>ABS(R$16-R$19)&gt;=1000</formula>
    </cfRule>
  </conditionalFormatting>
  <conditionalFormatting sqref="S13:S20">
    <cfRule type="expression" dxfId="1091" priority="54">
      <formula>ABS(S$16-S$19)&gt;=1000</formula>
    </cfRule>
  </conditionalFormatting>
  <conditionalFormatting sqref="T13:T20">
    <cfRule type="expression" dxfId="1090" priority="53">
      <formula>ABS(T$16-T$19)&gt;=1000</formula>
    </cfRule>
  </conditionalFormatting>
  <conditionalFormatting sqref="U13:U20">
    <cfRule type="expression" dxfId="1089" priority="52">
      <formula>ABS(U$16-U$19)&gt;=1000</formula>
    </cfRule>
  </conditionalFormatting>
  <conditionalFormatting sqref="V13:V20">
    <cfRule type="expression" dxfId="1088" priority="51">
      <formula>ABS(V$16-V$19)&gt;=1000</formula>
    </cfRule>
  </conditionalFormatting>
  <conditionalFormatting sqref="W13 W20 W15:W18">
    <cfRule type="expression" dxfId="1087" priority="50">
      <formula>ABS(W$16-W$19)&gt;=1000</formula>
    </cfRule>
  </conditionalFormatting>
  <conditionalFormatting sqref="X13 X15:X20 Y19">
    <cfRule type="expression" dxfId="1086" priority="49">
      <formula>ABS(X$16-X$19)&gt;=1000</formula>
    </cfRule>
  </conditionalFormatting>
  <conditionalFormatting sqref="Y13 Y15:Y18 Y20">
    <cfRule type="expression" dxfId="1085" priority="48">
      <formula>ABS(Y$16-Y$19)&gt;=1000</formula>
    </cfRule>
  </conditionalFormatting>
  <conditionalFormatting sqref="Z13:Z20">
    <cfRule type="expression" dxfId="1084" priority="47">
      <formula>ABS(Z$16-Z$19)&gt;=1000</formula>
    </cfRule>
  </conditionalFormatting>
  <conditionalFormatting sqref="AA13:AA20">
    <cfRule type="expression" dxfId="1083" priority="46">
      <formula>ABS(AA$16-AA$19)&gt;=1000</formula>
    </cfRule>
  </conditionalFormatting>
  <conditionalFormatting sqref="AB13 AB15:AB20">
    <cfRule type="expression" dxfId="1082" priority="45">
      <formula>ABS(AB$16-AB$19)&gt;=1000</formula>
    </cfRule>
  </conditionalFormatting>
  <conditionalFormatting sqref="AC13 AC15:AC20">
    <cfRule type="expression" dxfId="1081" priority="44">
      <formula>ABS(AC$16-AC$19)&gt;=1000</formula>
    </cfRule>
  </conditionalFormatting>
  <conditionalFormatting sqref="AD13:AD20">
    <cfRule type="expression" dxfId="1080" priority="43">
      <formula>ABS(AD$16-AD$19)&gt;=1000</formula>
    </cfRule>
  </conditionalFormatting>
  <conditionalFormatting sqref="AE13:AE20">
    <cfRule type="expression" dxfId="1079" priority="42">
      <formula>ABS(AE$16-AE$19)&gt;=1000</formula>
    </cfRule>
  </conditionalFormatting>
  <conditionalFormatting sqref="D22:D29">
    <cfRule type="expression" dxfId="1078" priority="41">
      <formula>ABS(D$25-D$28)&gt;=1000</formula>
    </cfRule>
  </conditionalFormatting>
  <conditionalFormatting sqref="E22:E29">
    <cfRule type="expression" dxfId="1077" priority="40">
      <formula>ABS(E$25-E$28)&gt;=1000</formula>
    </cfRule>
  </conditionalFormatting>
  <conditionalFormatting sqref="F22:F29">
    <cfRule type="expression" dxfId="1076" priority="39">
      <formula>ABS(F$25-F$28)&gt;=1000</formula>
    </cfRule>
  </conditionalFormatting>
  <conditionalFormatting sqref="G22:G29">
    <cfRule type="expression" dxfId="1075" priority="38">
      <formula>ABS(G$25-G$28)&gt;=1000</formula>
    </cfRule>
  </conditionalFormatting>
  <conditionalFormatting sqref="H22:H29">
    <cfRule type="expression" dxfId="1074" priority="37">
      <formula>ABS(H$25-H$28)&gt;=1000</formula>
    </cfRule>
  </conditionalFormatting>
  <conditionalFormatting sqref="I22 I24:I29">
    <cfRule type="expression" dxfId="1073" priority="36">
      <formula>ABS(I$25-I$28)&gt;=1000</formula>
    </cfRule>
  </conditionalFormatting>
  <conditionalFormatting sqref="J22:J29 K22">
    <cfRule type="expression" dxfId="1072" priority="35">
      <formula>ABS(J$25-J$28)&gt;=1000</formula>
    </cfRule>
  </conditionalFormatting>
  <conditionalFormatting sqref="K23:K29 L25 L28">
    <cfRule type="expression" dxfId="1071" priority="34">
      <formula>ABS(K$25-K$28)&gt;=1000</formula>
    </cfRule>
  </conditionalFormatting>
  <conditionalFormatting sqref="L22:L24 L26:L27 L29">
    <cfRule type="expression" dxfId="1070" priority="33">
      <formula>ABS(L$25-L$28)&gt;=1000</formula>
    </cfRule>
  </conditionalFormatting>
  <conditionalFormatting sqref="M22:M29">
    <cfRule type="expression" dxfId="1069" priority="32">
      <formula>ABS(M$25-M$28)&gt;=1000</formula>
    </cfRule>
  </conditionalFormatting>
  <conditionalFormatting sqref="N22:N29">
    <cfRule type="expression" dxfId="1068" priority="31">
      <formula>ABS(N$25-N$28)&gt;=1000</formula>
    </cfRule>
  </conditionalFormatting>
  <conditionalFormatting sqref="O22:O29">
    <cfRule type="expression" dxfId="1067" priority="30">
      <formula>ABS(O$25-O$28)&gt;=1000</formula>
    </cfRule>
  </conditionalFormatting>
  <conditionalFormatting sqref="P22:P29">
    <cfRule type="expression" dxfId="1066" priority="29">
      <formula>ABS(P$25-P$28)&gt;=1000</formula>
    </cfRule>
  </conditionalFormatting>
  <conditionalFormatting sqref="Q22:Q29">
    <cfRule type="expression" dxfId="1065" priority="28">
      <formula>ABS(Q$25-Q$28)&gt;=1000</formula>
    </cfRule>
  </conditionalFormatting>
  <conditionalFormatting sqref="R22:R29">
    <cfRule type="expression" dxfId="1064" priority="27">
      <formula>ABS(R$25-R$28)&gt;=1000</formula>
    </cfRule>
  </conditionalFormatting>
  <conditionalFormatting sqref="S22:S29">
    <cfRule type="expression" dxfId="1063" priority="26">
      <formula>ABS(S$25-S$28)&gt;=1000</formula>
    </cfRule>
  </conditionalFormatting>
  <conditionalFormatting sqref="T22:T29">
    <cfRule type="expression" dxfId="1062" priority="25">
      <formula>ABS(T$25-T$28)&gt;=1000</formula>
    </cfRule>
  </conditionalFormatting>
  <conditionalFormatting sqref="U22:U29">
    <cfRule type="expression" dxfId="1061" priority="24">
      <formula>ABS(U$25-U$28)&gt;=1000</formula>
    </cfRule>
  </conditionalFormatting>
  <conditionalFormatting sqref="V22:V29">
    <cfRule type="expression" dxfId="1060" priority="23">
      <formula>ABS(V$25-V$28)&gt;=1000</formula>
    </cfRule>
  </conditionalFormatting>
  <conditionalFormatting sqref="W22:W29">
    <cfRule type="expression" dxfId="1059" priority="22">
      <formula>ABS(W$25-W$28)&gt;=1000</formula>
    </cfRule>
  </conditionalFormatting>
  <conditionalFormatting sqref="X22:X29">
    <cfRule type="expression" dxfId="1058" priority="21">
      <formula>ABS(X$25-X$28)&gt;=1000</formula>
    </cfRule>
  </conditionalFormatting>
  <conditionalFormatting sqref="Y22:Y29">
    <cfRule type="expression" dxfId="1057" priority="20">
      <formula>ABS(Y$25-Y$28)&gt;=1000</formula>
    </cfRule>
  </conditionalFormatting>
  <conditionalFormatting sqref="I23">
    <cfRule type="expression" dxfId="1056" priority="19">
      <formula>ABS(I$25-I$28)&gt;=1000</formula>
    </cfRule>
  </conditionalFormatting>
  <conditionalFormatting sqref="F14">
    <cfRule type="expression" dxfId="1055" priority="18">
      <formula>ABS(F$16-F$19)&gt;=1000</formula>
    </cfRule>
  </conditionalFormatting>
  <conditionalFormatting sqref="Q14">
    <cfRule type="expression" dxfId="1054" priority="17">
      <formula>ABS(Q$16-Q$19)&gt;=1000</formula>
    </cfRule>
  </conditionalFormatting>
  <conditionalFormatting sqref="W14">
    <cfRule type="expression" dxfId="1053" priority="16">
      <formula>ABS(W$16-W$19)&gt;=1000</formula>
    </cfRule>
  </conditionalFormatting>
  <conditionalFormatting sqref="Y14">
    <cfRule type="expression" dxfId="1052" priority="15">
      <formula>ABS(Y$16-Y$19)&gt;=1000</formula>
    </cfRule>
  </conditionalFormatting>
  <conditionalFormatting sqref="X14">
    <cfRule type="expression" dxfId="1051" priority="14">
      <formula>ABS(X$16-X$19)&gt;=1000</formula>
    </cfRule>
  </conditionalFormatting>
  <conditionalFormatting sqref="T10:Y10">
    <cfRule type="expression" dxfId="1050" priority="13">
      <formula>ABS(T$7-T$10)&gt;=1000</formula>
    </cfRule>
  </conditionalFormatting>
  <conditionalFormatting sqref="W19">
    <cfRule type="expression" dxfId="1049" priority="12">
      <formula>ABS(W$16-W$19)&gt;=1000</formula>
    </cfRule>
  </conditionalFormatting>
  <conditionalFormatting sqref="AC5">
    <cfRule type="expression" dxfId="1048" priority="11">
      <formula>ABS(AC$7-AC$10)&gt;=1000</formula>
    </cfRule>
  </conditionalFormatting>
  <conditionalFormatting sqref="M14">
    <cfRule type="expression" dxfId="1047" priority="10">
      <formula>ABS(M$16-M$19)&gt;=1000</formula>
    </cfRule>
  </conditionalFormatting>
  <conditionalFormatting sqref="M16">
    <cfRule type="expression" dxfId="1046" priority="9">
      <formula>ABS(M$16-M$19)&gt;=1000</formula>
    </cfRule>
  </conditionalFormatting>
  <conditionalFormatting sqref="M19">
    <cfRule type="expression" dxfId="1045" priority="8">
      <formula>ABS(M$16-M$19)&gt;=1000</formula>
    </cfRule>
  </conditionalFormatting>
  <conditionalFormatting sqref="K13:K20">
    <cfRule type="expression" dxfId="1044" priority="7">
      <formula>ABS(K$16-K$19)&gt;=1000</formula>
    </cfRule>
  </conditionalFormatting>
  <conditionalFormatting sqref="E5">
    <cfRule type="expression" dxfId="1043" priority="6">
      <formula>ABS(E$7-E$10)&gt;=1000</formula>
    </cfRule>
  </conditionalFormatting>
  <conditionalFormatting sqref="AB14:AC14">
    <cfRule type="expression" dxfId="1042" priority="5">
      <formula>ABS(AB$16-AB$19)&gt;=1000</formula>
    </cfRule>
  </conditionalFormatting>
  <conditionalFormatting sqref="M5">
    <cfRule type="expression" dxfId="1041" priority="4">
      <formula>ABS(M$7-M$10)&gt;=1000</formula>
    </cfRule>
  </conditionalFormatting>
  <conditionalFormatting sqref="N5">
    <cfRule type="expression" dxfId="1040" priority="3">
      <formula>ABS(N$7-N$10)&gt;=1000</formula>
    </cfRule>
  </conditionalFormatting>
  <conditionalFormatting sqref="O5">
    <cfRule type="expression" dxfId="1039" priority="2">
      <formula>ABS(O$7-O$10)&gt;=1000</formula>
    </cfRule>
  </conditionalFormatting>
  <conditionalFormatting sqref="P5">
    <cfRule type="expression" dxfId="103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37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8">
    <pageSetUpPr fitToPage="1"/>
  </sheetPr>
  <dimension ref="A1:CU223"/>
  <sheetViews>
    <sheetView view="pageBreakPreview" topLeftCell="A22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45768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59" t="s" ph="1">
        <v>178</v>
      </c>
      <c r="D6" s="71">
        <v>4186</v>
      </c>
      <c r="E6" s="71">
        <v>4264</v>
      </c>
      <c r="F6" s="71">
        <v>2207</v>
      </c>
      <c r="G6" s="71">
        <v>5117</v>
      </c>
      <c r="H6" s="71">
        <v>2247</v>
      </c>
      <c r="I6" s="71">
        <v>16.100000000000001</v>
      </c>
      <c r="J6" s="71">
        <v>49.82</v>
      </c>
      <c r="K6" s="71">
        <v>7.41</v>
      </c>
      <c r="L6" s="71">
        <v>51.82</v>
      </c>
      <c r="M6" s="71">
        <v>1955</v>
      </c>
      <c r="N6" s="71">
        <v>1748</v>
      </c>
      <c r="O6" s="71">
        <v>4300</v>
      </c>
      <c r="P6" s="71">
        <v>7382</v>
      </c>
      <c r="Q6" s="71">
        <v>0</v>
      </c>
      <c r="R6" s="71">
        <v>0</v>
      </c>
      <c r="S6" s="71">
        <v>3966</v>
      </c>
      <c r="T6" s="71">
        <v>7163</v>
      </c>
      <c r="U6" s="71">
        <v>7151</v>
      </c>
      <c r="V6" s="71">
        <v>4765</v>
      </c>
      <c r="W6" s="71">
        <v>7015</v>
      </c>
      <c r="X6" s="71">
        <v>2906</v>
      </c>
      <c r="Y6" s="71">
        <v>0</v>
      </c>
      <c r="Z6" s="71">
        <v>2561</v>
      </c>
      <c r="AA6" s="71">
        <v>2172</v>
      </c>
      <c r="AB6" s="71">
        <v>3985</v>
      </c>
      <c r="AC6" s="71">
        <v>5889</v>
      </c>
      <c r="AD6" s="71">
        <v>1340</v>
      </c>
      <c r="AE6" s="71">
        <v>3073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131407.38706914001</v>
      </c>
      <c r="E7" s="73" ph="1">
        <f>E6*51.53*LOOKUP(E8,密度!$A$2:$A$50,密度!$B$2:$B$50)</f>
        <v>171494.51956000002</v>
      </c>
      <c r="F7" s="73" ph="1">
        <f>F6*33.183*LOOKUP(F8,密度!$A$2:$A$50,密度!$C$2:$C$50)</f>
        <v>81100.307219399983</v>
      </c>
      <c r="G7" s="73" ph="1">
        <f xml:space="preserve"> (G6+2)*51.53*LOOKUP(G8,密度!$A$2:$A$50,密度!$B$2:$B$50)</f>
        <v>205644.50177199999</v>
      </c>
      <c r="H7" s="73" ph="1">
        <f>(H6)*51.53*LOOKUP(H8,密度!$A$2:$A$50,密度!$B$2:$B$50)</f>
        <v>90789.300231000001</v>
      </c>
      <c r="I7" s="73" ph="1">
        <f>I6*290.8*1.0267</f>
        <v>4806.8861960000004</v>
      </c>
      <c r="J7" s="73" ph="1">
        <f>J6*290.8*0.7892</f>
        <v>11433.658115200002</v>
      </c>
      <c r="K7" s="73" ph="1">
        <f>K6*290.8*1.1126</f>
        <v>2397.4616328000002</v>
      </c>
      <c r="L7" s="73" ph="1">
        <f>L6*290.8*0.777</f>
        <v>11708.811912000001</v>
      </c>
      <c r="M7" s="73" ph="1">
        <f>M6*33.183*LOOKUP(M8,密度!$A$2:$A$50,密度!$D$2:$D$50)</f>
        <v>66546.482337000009</v>
      </c>
      <c r="N7" s="73" ph="1">
        <f>N6*33.183*LOOKUP(N8,密度!$A$2:$A$50,密度!$E$2:$E$50)</f>
        <v>45301.033404000002</v>
      </c>
      <c r="O7" s="73" ph="1">
        <f>O6*20.428*LOOKUP(O8,密度!$A$2:$A$50,密度!$C$2:$C$50)</f>
        <v>96984.585640000019</v>
      </c>
      <c r="P7" s="73" ph="1">
        <f>P6*51.53*LOOKUP(P8,密度!$A$2:$A$50,密度!$B$2:$B$50)</f>
        <v>296555.52101600001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26436.125746799997</v>
      </c>
      <c r="T7" s="73" ph="1">
        <f>T6*1.5*1.5*3.1416*LOOKUP(T8,密度!$A$2:$A$50,密度!$L$2:$L$50)</f>
        <v>47695.703655599995</v>
      </c>
      <c r="U7" s="73" ph="1">
        <f>U6*1.5*1.5*3.1416*LOOKUP(U8,密度!$A$2:$A$50,密度!$L$2:$L$50)</f>
        <v>47615.800201199992</v>
      </c>
      <c r="V7" s="73" ph="1">
        <f>V6*1.5*1.5*3.1416*LOOKUP(V8,密度!$A$2:$A$50,密度!$L$2:$L$50)</f>
        <v>31458.874986000003</v>
      </c>
      <c r="W7" s="73" ph="1">
        <f>W6*1.5*1.5*3.1416*LOOKUP(W8,密度!$A$2:$A$50,密度!$L$2:$L$50)</f>
        <v>46462.296573</v>
      </c>
      <c r="X7" s="73" ph="1">
        <f>X6*1.5*1.5*3.1416*LOOKUP(X8,密度!$A$2:$A$50,密度!$L$2:$L$50)</f>
        <v>19391.035910399998</v>
      </c>
      <c r="Y7" s="73" ph="1">
        <f>Y6*1.5*1.5*3.1416*LOOKUP(Y8,密度!$A$2:$A$50,密度!$L$2:$L$50)</f>
        <v>0</v>
      </c>
      <c r="Z7" s="73" ph="1">
        <f>Z6*33.183*LOOKUP(Z8,密度!$A$2:$A$50,密度!$L$2:$L$50)</f>
        <v>79882.763219999993</v>
      </c>
      <c r="AA7" s="73" ph="1">
        <f>AA6*33.183*LOOKUP(AA8,密度!$A$2:$A$50,密度!$D$2:$D$50)</f>
        <v>74062.703937600003</v>
      </c>
      <c r="AB7" s="73" ph="1">
        <f>AB6*20.428*LOOKUP(AB8,密度!$A$2:$A$50,密度!$D$2:$D$50)</f>
        <v>84303.618648000003</v>
      </c>
      <c r="AC7" s="73" ph="1">
        <f>AC6*51.53*LOOKUP(AC8,密度!$A$2:$A$50,密度!$Q$2:$Q$50)</f>
        <v>287297.88134580001</v>
      </c>
      <c r="AD7" s="73" ph="1">
        <f>AD6*20.428*LOOKUP(AD8,密度!$A$2:$A$50,密度!$V$2:$V$50)</f>
        <v>26300.478016000001</v>
      </c>
      <c r="AE7" s="73" ph="1">
        <f>AE6*20.428</f>
        <v>62775.244000000006</v>
      </c>
    </row>
    <row r="8" spans="1:99" ph="1">
      <c r="B8" s="195" ph="1"/>
      <c r="C8" s="68" t="s" ph="1">
        <v>180</v>
      </c>
      <c r="D8" s="74">
        <v>26</v>
      </c>
      <c r="E8" s="74">
        <v>24</v>
      </c>
      <c r="F8" s="74">
        <v>27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31</v>
      </c>
      <c r="P8" s="74">
        <v>25</v>
      </c>
      <c r="Q8" s="74">
        <v>23</v>
      </c>
      <c r="R8" s="74">
        <v>30</v>
      </c>
      <c r="S8" s="74">
        <v>19</v>
      </c>
      <c r="T8" s="74">
        <v>20</v>
      </c>
      <c r="U8" s="74">
        <v>20</v>
      </c>
      <c r="V8" s="74">
        <v>28</v>
      </c>
      <c r="W8" s="74">
        <v>25</v>
      </c>
      <c r="X8" s="74">
        <v>18</v>
      </c>
      <c r="Y8" s="74">
        <v>24</v>
      </c>
      <c r="Z8" s="74">
        <v>22</v>
      </c>
      <c r="AA8" s="74">
        <v>24</v>
      </c>
      <c r="AB8" s="74">
        <v>15</v>
      </c>
      <c r="AC8" s="74">
        <v>25</v>
      </c>
      <c r="AD8" s="74">
        <v>24</v>
      </c>
      <c r="AE8" s="74">
        <v>33</v>
      </c>
    </row>
    <row r="9" spans="1:99" ht="26.4" ph="1">
      <c r="B9" s="195" ph="1">
        <v>0.66666666666666663</v>
      </c>
      <c r="C9" s="159" t="s" ph="1">
        <v>181</v>
      </c>
      <c r="D9" s="71">
        <v>4185</v>
      </c>
      <c r="E9" s="71">
        <v>4265</v>
      </c>
      <c r="F9" s="71">
        <v>3017</v>
      </c>
      <c r="G9" s="71">
        <v>6739</v>
      </c>
      <c r="H9" s="71">
        <v>2248</v>
      </c>
      <c r="I9" s="71">
        <v>16.010000000000002</v>
      </c>
      <c r="J9" s="71">
        <v>31.02</v>
      </c>
      <c r="K9" s="71">
        <v>7.62</v>
      </c>
      <c r="L9" s="71">
        <v>18.649999999999999</v>
      </c>
      <c r="M9" s="71">
        <v>1955</v>
      </c>
      <c r="N9" s="71">
        <v>2360</v>
      </c>
      <c r="O9" s="71">
        <v>4299</v>
      </c>
      <c r="P9" s="71">
        <v>7024</v>
      </c>
      <c r="Q9" s="71">
        <v>0</v>
      </c>
      <c r="R9" s="71">
        <v>0</v>
      </c>
      <c r="S9" s="71">
        <v>0</v>
      </c>
      <c r="T9" s="71">
        <v>7158</v>
      </c>
      <c r="U9" s="71">
        <v>7158</v>
      </c>
      <c r="V9" s="71">
        <v>4772</v>
      </c>
      <c r="W9" s="71">
        <v>7025</v>
      </c>
      <c r="X9" s="71">
        <v>6879</v>
      </c>
      <c r="Y9" s="71">
        <v>2604</v>
      </c>
      <c r="Z9" s="71">
        <v>106</v>
      </c>
      <c r="AA9" s="71">
        <v>2175</v>
      </c>
      <c r="AB9" s="71">
        <v>3834</v>
      </c>
      <c r="AC9" s="71">
        <v>5889</v>
      </c>
      <c r="AD9" s="71">
        <v>1837</v>
      </c>
      <c r="AE9" s="71">
        <v>3129</v>
      </c>
    </row>
    <row r="10" spans="1:99" s="72" customFormat="1" ht="22.2" ph="1">
      <c r="B10" s="195" ph="1"/>
      <c r="C10" s="159" t="s" ph="1">
        <v>179</v>
      </c>
      <c r="D10" s="73" ph="1">
        <f>D9*33.183*LOOKUP(D11,密度!$A$2:$A$50,密度!$Q$2:$Q$50)</f>
        <v>131277.39664860003</v>
      </c>
      <c r="E10" s="73" ph="1">
        <f>E9*51.53*LOOKUP(E11,密度!$A$2:$A$50,密度!$B$2:$B$50)</f>
        <v>170391.90638500001</v>
      </c>
      <c r="F10" s="73" ph="1">
        <f>F9*33.183*LOOKUP(F11,密度!$A$2:$A$50,密度!$C$2:$C$50)</f>
        <v>110785.16863260001</v>
      </c>
      <c r="G10" s="73" ph="1">
        <f xml:space="preserve"> (G9+2)*51.53*LOOKUP(G11,密度!$A$2:$A$50,密度!$B$2:$B$50)</f>
        <v>269623.72722599999</v>
      </c>
      <c r="H10" s="73" ph="1">
        <f>(H9)*51.53*LOOKUP(H11,密度!$A$2:$A$50,密度!$B$2:$B$50)</f>
        <v>89404.879792000007</v>
      </c>
      <c r="I10" s="73" ph="1">
        <f>I9*290.8*1.0267</f>
        <v>4780.0154036000004</v>
      </c>
      <c r="J10" s="73" ph="1">
        <f>J9*290.8*0.7892</f>
        <v>7119.0701472000001</v>
      </c>
      <c r="K10" s="73" ph="1">
        <f>K9*290.8*1.1126</f>
        <v>2465.4058896000001</v>
      </c>
      <c r="L10" s="73" ph="1">
        <f>L9*290.8*0.777</f>
        <v>4213.9973399999999</v>
      </c>
      <c r="M10" s="73" ph="1">
        <f>M9*33.183*LOOKUP(M11,密度!$A$2:$A$50,密度!$D$2:$D$50)</f>
        <v>66299.965830000001</v>
      </c>
      <c r="N10" s="73" ph="1">
        <f>N9*33.183*LOOKUP(N11,密度!$A$2:$A$50,密度!$E$2:$E$50)</f>
        <v>60981.460956000003</v>
      </c>
      <c r="O10" s="73" ph="1">
        <f>O9*20.428*LOOKUP(O11,密度!$A$2:$A$50,密度!$C$2:$C$50)</f>
        <v>96496.58523360001</v>
      </c>
      <c r="P10" s="73" ph="1">
        <f>P9*51.53*LOOKUP(P11,密度!$A$2:$A$50,密度!$B$2:$B$50)</f>
        <v>280943.04406400002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47460.022394400003</v>
      </c>
      <c r="U10" s="73" ph="1">
        <f>U9*1.5*1.5*3.1416*LOOKUP(U11,密度!$A$2:$A$50,密度!$L$2:$L$50)</f>
        <v>47257.634239200008</v>
      </c>
      <c r="V10" s="73" ph="1">
        <f>V9*1.5*1.5*3.1416*LOOKUP(V11,密度!$A$2:$A$50,密度!$L$2:$L$50)</f>
        <v>31505.089492800002</v>
      </c>
      <c r="W10" s="73" ph="1">
        <f>W9*1.5*1.5*3.1416*LOOKUP(W11,密度!$A$2:$A$50,密度!$L$2:$L$50)</f>
        <v>46379.55861</v>
      </c>
      <c r="X10" s="73" ph="1">
        <f>X9*1.5*1.5*3.1416*LOOKUP(X11,密度!$A$2:$A$50,密度!$L$2:$L$50)</f>
        <v>45804.655234799997</v>
      </c>
      <c r="Y10" s="73" ph="1">
        <f>Y9*1.5*1.5*3.1416*LOOKUP(Y11,密度!$A$2:$A$50,密度!$L$2:$L$50)</f>
        <v>17247.016432799999</v>
      </c>
      <c r="Z10" s="73" ph="1">
        <f>Z9*33.183*LOOKUP(Z11,密度!$A$2:$A$50,密度!$L$2:$L$50)</f>
        <v>3288.7671300000002</v>
      </c>
      <c r="AA10" s="73" ph="1">
        <f>AA9*33.183*LOOKUP(AA11,密度!$A$2:$A$50,密度!$D$2:$D$50)</f>
        <v>73760.831550000003</v>
      </c>
      <c r="AB10" s="73" ph="1">
        <f>AB9*20.428*LOOKUP(AB11,密度!$A$2:$A$50,密度!$D$2:$D$50)</f>
        <v>80842.886654400005</v>
      </c>
      <c r="AC10" s="73" ph="1">
        <f>AC9*51.53*LOOKUP(AC11,密度!$A$2:$A$50,密度!$Q$2:$Q$50)</f>
        <v>287082.42462509999</v>
      </c>
      <c r="AD10" s="73" ph="1">
        <f>AD9*20.428*LOOKUP(AD11,密度!$A$2:$A$50,密度!$V$2:$V$50)</f>
        <v>35935.123593600001</v>
      </c>
      <c r="AE10" s="73" ph="1">
        <f>AE9*20.428</f>
        <v>63919.212</v>
      </c>
    </row>
    <row r="11" spans="1:99" ph="1">
      <c r="A11" s="64" t="s" ph="1">
        <v>163</v>
      </c>
      <c r="B11" s="195" ph="1"/>
      <c r="C11" s="159" t="s" ph="1">
        <v>180</v>
      </c>
      <c r="D11" s="74">
        <v>27</v>
      </c>
      <c r="E11" s="74">
        <v>30</v>
      </c>
      <c r="F11" s="74">
        <v>28</v>
      </c>
      <c r="G11" s="74">
        <v>29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36</v>
      </c>
      <c r="P11" s="74">
        <v>29</v>
      </c>
      <c r="Q11" s="74">
        <v>36</v>
      </c>
      <c r="R11" s="74">
        <v>35</v>
      </c>
      <c r="S11" s="74">
        <v>24</v>
      </c>
      <c r="T11" s="74">
        <v>24</v>
      </c>
      <c r="U11" s="74">
        <v>28</v>
      </c>
      <c r="V11" s="74">
        <v>28</v>
      </c>
      <c r="W11" s="74">
        <v>28</v>
      </c>
      <c r="X11" s="74">
        <v>20</v>
      </c>
      <c r="Y11" s="74">
        <v>25</v>
      </c>
      <c r="Z11" s="74">
        <v>27</v>
      </c>
      <c r="AA11" s="74">
        <v>30</v>
      </c>
      <c r="AB11" s="74">
        <v>19</v>
      </c>
      <c r="AC11" s="74">
        <v>26</v>
      </c>
      <c r="AD11" s="74">
        <v>42</v>
      </c>
      <c r="AE11" s="74">
        <v>36</v>
      </c>
    </row>
    <row r="12" spans="1:99" ht="9.9" customHeight="1" ph="1"/>
    <row r="13" spans="1:99" s="72" customFormat="1" ht="29.25" customHeight="1" ph="1">
      <c r="B13" s="203" t="s" ph="1">
        <v>37</v>
      </c>
      <c r="C13" s="159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59" t="s" ph="1">
        <v>178</v>
      </c>
      <c r="D15" s="78">
        <v>0</v>
      </c>
      <c r="E15" s="78">
        <v>2708</v>
      </c>
      <c r="F15" s="78">
        <v>2165</v>
      </c>
      <c r="G15" s="78">
        <v>796</v>
      </c>
      <c r="H15" s="78">
        <v>4531</v>
      </c>
      <c r="I15" s="78">
        <v>4143</v>
      </c>
      <c r="J15" s="78">
        <v>0</v>
      </c>
      <c r="K15" s="78">
        <v>222</v>
      </c>
      <c r="L15" s="78">
        <v>2437</v>
      </c>
      <c r="M15" s="78">
        <v>2786</v>
      </c>
      <c r="N15" s="78">
        <v>2576</v>
      </c>
      <c r="O15" s="78">
        <v>42</v>
      </c>
      <c r="P15" s="78">
        <v>6953</v>
      </c>
      <c r="Q15" s="78">
        <v>33</v>
      </c>
      <c r="R15" s="78">
        <v>3517</v>
      </c>
      <c r="S15" s="78">
        <v>6877</v>
      </c>
      <c r="T15" s="78">
        <v>2148</v>
      </c>
      <c r="U15" s="78">
        <v>5464</v>
      </c>
      <c r="V15" s="78">
        <v>897</v>
      </c>
      <c r="W15" s="71">
        <v>3772</v>
      </c>
      <c r="X15" s="78">
        <v>153</v>
      </c>
      <c r="Y15" s="106">
        <v>-2365</v>
      </c>
      <c r="Z15" s="78">
        <v>0</v>
      </c>
      <c r="AA15" s="78">
        <v>4245</v>
      </c>
      <c r="AB15" s="78" ph="1">
        <v>6932</v>
      </c>
      <c r="AC15" s="78" ph="1">
        <v>992</v>
      </c>
      <c r="AD15" s="78">
        <v>73.72</v>
      </c>
      <c r="AE15" s="78">
        <v>5.52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59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17935.837365600004</v>
      </c>
      <c r="F16" s="73" ph="1">
        <f>F15*9.0746*LOOKUP(F17,密度!$A$2:$A$50,密度!$L$2:$L$50)</f>
        <v>18349.839406000003</v>
      </c>
      <c r="G16" s="73" ph="1">
        <f>G15*9.0746*LOOKUP(G17,密度!$A$2:$A$50,密度!$B$2:$B$50)</f>
        <v>5631.3482953600005</v>
      </c>
      <c r="H16" s="73" ph="1">
        <f>H15*9.0746*LOOKUP(H17,密度!$A$2:$A$50,密度!$L$2:$L$50)</f>
        <v>38649.991843999996</v>
      </c>
      <c r="I16" s="73" ph="1">
        <f>I15*9.0746*LOOKUP(I17,密度!$A$2:$A$50,密度!$U$2:$U$50)</f>
        <v>38535.969494999998</v>
      </c>
      <c r="J16" s="73" ph="1">
        <f>J15*9.0746*LOOKUP(J17,密度!$A$2:$A$50,密度!$L$2:$L$50)</f>
        <v>0</v>
      </c>
      <c r="K16" s="73" ph="1">
        <f>K15*9.0746*LOOKUP(K17,密度!$A$2:$A$50,密度!$C$2:$C$50)</f>
        <v>2236.9687564800001</v>
      </c>
      <c r="L16" s="73" ph="1">
        <f>L15*9.0746*LOOKUP(L17,密度!$A$2:$A$50,密度!$E$2:$E$50)</f>
        <v>17271.658956200001</v>
      </c>
      <c r="M16" s="73" ph="1">
        <f>M15*9.0746*LOOKUP(M17,密度!$A$2:$A$50,密度!$M$2:$M$50)</f>
        <v>22045.760643200003</v>
      </c>
      <c r="N16" s="73" ph="1">
        <f>N15*9.0746*LOOKUP(N17,密度!$A$2:$A$50,密度!$M$2:$M$50)</f>
        <v>20500.900739200002</v>
      </c>
      <c r="O16" s="73" ph="1">
        <f>O15*9.0746*LOOKUP(O17,密度!$A$2:$A$50,密度!$G$2:$G$50)</f>
        <v>365.96409864000003</v>
      </c>
      <c r="P16" s="73" ph="1">
        <f ca="1">P15*9.0746*LOOKUP(P17,密度!$A$2:$A$51,密度!$Q$2:$Q$50)</f>
        <v>59601.454277356002</v>
      </c>
      <c r="Q16" s="73" ph="1">
        <f>Q15*9.0746*LOOKUP(Q17,密度!$A$2:$A$50,密度!$Q$2:$Q$50)</f>
        <v>283.51246453199997</v>
      </c>
      <c r="R16" s="73" ph="1">
        <f>MAX(R15*9.0746*LOOKUP(R17,密度!$A$2:$A$50,密度!$B$2:$B$50),0)</f>
        <v>24798.241091400003</v>
      </c>
      <c r="S16" s="73" ph="1">
        <f>S15*9.0746*LOOKUP(S17,密度!$A$2:$A$50,密度!$Q$2:$Q$50)</f>
        <v>59037.971073926004</v>
      </c>
      <c r="T16" s="73" ph="1">
        <f>T15*9.0746*LOOKUP(T17,密度!$A$2:$A$50,密度!$O$2:$O$50)</f>
        <v>18049.814980800002</v>
      </c>
      <c r="U16" s="73" ph="1">
        <f>U15*9.0746*LOOKUP(U17,密度!$A$2:$A$50,密度!$H$2:$H$50)</f>
        <v>45354.132091679996</v>
      </c>
      <c r="V16" s="73" ph="1">
        <f>MAX(5600*LOOKUP(V17,密度!$A$2:$A$50,密度!$Q$2:$Q$50)+V15*9.0476*LOOKUP(V17,密度!$A$2:$A$50,密度!$Q$2:$Q$50),0)</f>
        <v>12985.199167128001</v>
      </c>
      <c r="W16" s="73" ph="1">
        <f>MAX(5600*LOOKUP(W17,密度!$A$2:$A$50,密度!$Q$2:$Q$50)+W15*9.0476*LOOKUP(W17,密度!$A$2:$A$50,密度!$Q$2:$Q$50),0)</f>
        <v>37583.451477615992</v>
      </c>
      <c r="X16" s="73" ph="1">
        <f>MAX(5600*LOOKUP(X17,密度!$A$2:$A$50,密度!$I$2:$I$50)+X15*9.0476*LOOKUP(X17,密度!$A$2:$A$50,密度!$I$2:$I$50),0)</f>
        <v>7279.7179624399996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30031.499389200002</v>
      </c>
      <c r="AB16" s="73" ph="1">
        <f>AB15*9.0746*LOOKUP(AB17,密度!$A$2:$A$50,密度!$L$2:$L$50)</f>
        <v>58879.199059200007</v>
      </c>
      <c r="AC16" s="73" ph="1">
        <f>AC15*9.0746*LOOKUP(AC17,密度!$A$2:$A$50,密度!$L$2:$L$50)</f>
        <v>8443.8790016000003</v>
      </c>
      <c r="AD16" s="73" ph="1">
        <f>AD15*268.68*LOOKUP(AD17,密度!$A$2:$A$50,密度!B2:B50)+IF(AD15&lt;=0,0,1566*LOOKUP(AD17,密度!$A$2:$A$50,密度!B2:B50))</f>
        <v>16662.46065216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25</v>
      </c>
      <c r="E17" s="74">
        <v>25</v>
      </c>
      <c r="F17" s="74">
        <v>28</v>
      </c>
      <c r="G17" s="74">
        <v>25</v>
      </c>
      <c r="H17" s="74">
        <v>22</v>
      </c>
      <c r="I17" s="74">
        <v>25</v>
      </c>
      <c r="J17" s="74">
        <v>25</v>
      </c>
      <c r="K17" s="74">
        <v>23</v>
      </c>
      <c r="L17" s="74">
        <v>27</v>
      </c>
      <c r="M17" s="74">
        <v>28</v>
      </c>
      <c r="N17" s="74">
        <v>23</v>
      </c>
      <c r="O17" s="74">
        <v>25</v>
      </c>
      <c r="P17" s="74">
        <v>28</v>
      </c>
      <c r="Q17" s="74">
        <v>25</v>
      </c>
      <c r="R17" s="74">
        <v>28</v>
      </c>
      <c r="S17" s="74">
        <v>26</v>
      </c>
      <c r="T17" s="74">
        <v>25</v>
      </c>
      <c r="U17" s="74">
        <v>25</v>
      </c>
      <c r="V17" s="74">
        <v>25</v>
      </c>
      <c r="W17" s="74">
        <v>26</v>
      </c>
      <c r="X17" s="74">
        <v>25</v>
      </c>
      <c r="Y17" s="108">
        <v>25</v>
      </c>
      <c r="Z17" s="74">
        <v>25</v>
      </c>
      <c r="AA17" s="74">
        <v>25</v>
      </c>
      <c r="AB17" s="74">
        <v>26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2711</v>
      </c>
      <c r="F18" s="71">
        <v>2316</v>
      </c>
      <c r="G18" s="71">
        <v>834</v>
      </c>
      <c r="H18" s="71">
        <v>4535</v>
      </c>
      <c r="I18" s="71">
        <v>2613</v>
      </c>
      <c r="J18" s="71">
        <v>0</v>
      </c>
      <c r="K18" s="71">
        <v>219</v>
      </c>
      <c r="L18" s="71">
        <v>1015</v>
      </c>
      <c r="M18" s="71">
        <v>2789</v>
      </c>
      <c r="N18" s="71">
        <v>4807</v>
      </c>
      <c r="O18" s="71">
        <v>43</v>
      </c>
      <c r="P18" s="71">
        <v>6961</v>
      </c>
      <c r="Q18" s="71">
        <v>26</v>
      </c>
      <c r="R18" s="71">
        <v>3521</v>
      </c>
      <c r="S18" s="71">
        <v>6885</v>
      </c>
      <c r="T18" s="71">
        <v>1458</v>
      </c>
      <c r="U18" s="71">
        <v>5468</v>
      </c>
      <c r="V18" s="71">
        <v>897</v>
      </c>
      <c r="W18" s="71">
        <v>3771</v>
      </c>
      <c r="X18" s="71">
        <v>151</v>
      </c>
      <c r="Y18" s="109">
        <v>-9907</v>
      </c>
      <c r="Z18" s="71">
        <v>0</v>
      </c>
      <c r="AA18" s="71">
        <v>4249</v>
      </c>
      <c r="AB18" s="71">
        <v>6941</v>
      </c>
      <c r="AC18" s="71">
        <v>992</v>
      </c>
      <c r="AD18" s="71">
        <v>84.62</v>
      </c>
      <c r="AE18" s="71">
        <v>21.2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59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17879.055301800003</v>
      </c>
      <c r="F19" s="73" ph="1">
        <f>F18*9.0746*LOOKUP(F20,密度!$A$2:$A$50,密度!$L$2:$L$50)</f>
        <v>19587.632995200001</v>
      </c>
      <c r="G19" s="73" ph="1">
        <f>G18*9.0746*LOOKUP(G20,密度!$A$2:$A$50,密度!$B$2:$B$50)</f>
        <v>5880.5041428000004</v>
      </c>
      <c r="H19" s="73" ph="1">
        <f>H18*9.0746*LOOKUP(H20,密度!$A$2:$A$50,密度!$L$2:$L$50)</f>
        <v>38519.499096000007</v>
      </c>
      <c r="I19" s="73" ph="1">
        <f>I18*9.0746*LOOKUP(I20,密度!$A$2:$A$50,密度!$U$2:$U$50)</f>
        <v>24186.168396000001</v>
      </c>
      <c r="J19" s="73" ph="1">
        <f>J18*9.0746*LOOKUP(J20,密度!$A$2:$A$50,密度!$L$2:$L$50)</f>
        <v>0</v>
      </c>
      <c r="K19" s="73" ph="1">
        <f>K18*9.0746*LOOKUP(K20,密度!$A$2:$A$50,密度!$C$2:$C$50)</f>
        <v>2196.20656074</v>
      </c>
      <c r="L19" s="73" ph="1">
        <f>L18*9.0746*LOOKUP(L20,密度!$A$2:$A$50,密度!$E$2:$E$50)</f>
        <v>7162.2550944000004</v>
      </c>
      <c r="M19" s="73" ph="1">
        <f>M18*9.0746*LOOKUP(M20,密度!$A$2:$A$50,密度!$M$2:$M$50)</f>
        <v>22016.350772060003</v>
      </c>
      <c r="N19" s="73" ph="1">
        <f>N18*9.0746*LOOKUP(N20,密度!$A$2:$A$50,密度!$M$2:$M$50)</f>
        <v>38173.264085219998</v>
      </c>
      <c r="O19" s="73" ph="1">
        <f>O18*9.0746*LOOKUP(O20,密度!$A$2:$A$50,密度!$G$2:$G$50)</f>
        <v>372.53138666000001</v>
      </c>
      <c r="P19" s="73" ph="1">
        <f ca="1">P18*9.0746*LOOKUP(P20,密度!$A$2:$A$51,密度!$Q$2:$Q$50)</f>
        <v>59626.444546058003</v>
      </c>
      <c r="Q19" s="73" ph="1">
        <f>Q18*9.0746*LOOKUP(Q20,密度!$A$2:$A$50,密度!$Q$2:$Q$50)</f>
        <v>222.71046662800003</v>
      </c>
      <c r="R19" s="73" ph="1">
        <f>MAX(R18*9.0746*LOOKUP(R20,密度!$A$2:$A$50,密度!$B$2:$B$50),0)</f>
        <v>24772.127114980001</v>
      </c>
      <c r="S19" s="73" ph="1">
        <f>S18*9.0746*LOOKUP(S20,密度!$A$2:$A$50,密度!$Q$2:$Q$50)</f>
        <v>58975.444720530002</v>
      </c>
      <c r="T19" s="73" ph="1">
        <f>T18*9.0746*LOOKUP(T20,密度!$A$2:$A$50,密度!$O$2:$O$50)</f>
        <v>12251.6900568</v>
      </c>
      <c r="U19" s="73" ph="1">
        <f>U18*9.0746*LOOKUP(U20,密度!$A$2:$A$50,密度!$H$2:$H$50)</f>
        <v>45203.740560799997</v>
      </c>
      <c r="V19" s="73" ph="1">
        <f>MAX(5600*LOOKUP(V20,密度!$A$2:$A$50,密度!$Q$2:$Q$50)+V18*9.0476*LOOKUP(V20,密度!$A$2:$A$50,密度!$Q$2:$Q$50),0)</f>
        <v>12938.428639676</v>
      </c>
      <c r="W19" s="73" ph="1">
        <f>MAX(5600*LOOKUP(W20,密度!$A$2:$A$50,密度!$Q$2:$Q$50)+W18*9.0476*LOOKUP(W20,密度!$A$2:$A$50,密度!$Q$2:$Q$50),0)</f>
        <v>37491.483327427995</v>
      </c>
      <c r="X19" s="73" ph="1">
        <f>MAX(5600*LOOKUP(X20,密度!$A$2:$A$50,密度!$I$2:$I$50)+X18*9.0476*LOOKUP(X20,密度!$A$2:$A$50,密度!$I$2:$I$50),0)</f>
        <v>7251.8012915999989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30025.095443980001</v>
      </c>
      <c r="AB19" s="73" ph="1">
        <f>AB18*9.0746*LOOKUP(AB20,密度!$A$2:$A$50,密度!$L$2:$L$50)</f>
        <v>58829.669892400008</v>
      </c>
      <c r="AC19" s="73" ph="1">
        <f>AC18*9.0746*LOOKUP(AC20,密度!$A$2:$A$50,密度!$L$2:$L$50)</f>
        <v>8389.8669824000008</v>
      </c>
      <c r="AD19" s="73" ph="1">
        <f>AD18*268.68*LOOKUP(AD20,密度!$A$2:$A$50,密度!B5:B53)+IF(AD18&lt;=0,0,1566*LOOKUP(AD20,密度!$A$2:$A$50,密度!B5:B53))</f>
        <v>18882.422143200001</v>
      </c>
      <c r="AE19" s="73" ph="1">
        <f>AE18*268.68*LOOKUP(AE20,密度!$A$2:$A$50,密度!B5:B53)+IF(AE18&lt;=0,0,1566*LOOKUP(AE20,密度!$A$2:$A$50,密度!B5:B53))</f>
        <v>5642.5864320000001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29</v>
      </c>
      <c r="E20" s="81">
        <v>29</v>
      </c>
      <c r="F20" s="81">
        <v>30</v>
      </c>
      <c r="G20" s="81">
        <v>28</v>
      </c>
      <c r="H20" s="81">
        <v>26</v>
      </c>
      <c r="I20" s="81">
        <v>30</v>
      </c>
      <c r="J20" s="81">
        <v>30</v>
      </c>
      <c r="K20" s="81">
        <v>30</v>
      </c>
      <c r="L20" s="81">
        <v>30</v>
      </c>
      <c r="M20" s="81">
        <v>30</v>
      </c>
      <c r="N20" s="81">
        <v>25</v>
      </c>
      <c r="O20" s="81">
        <v>30</v>
      </c>
      <c r="P20" s="81">
        <v>29</v>
      </c>
      <c r="Q20" s="81">
        <v>29</v>
      </c>
      <c r="R20" s="81">
        <v>30</v>
      </c>
      <c r="S20" s="81">
        <v>29</v>
      </c>
      <c r="T20" s="81">
        <v>29</v>
      </c>
      <c r="U20" s="81">
        <v>29</v>
      </c>
      <c r="V20" s="81">
        <v>30</v>
      </c>
      <c r="W20" s="81">
        <v>29</v>
      </c>
      <c r="X20" s="81">
        <v>26</v>
      </c>
      <c r="Y20" s="110">
        <v>26</v>
      </c>
      <c r="Z20" s="81">
        <v>35</v>
      </c>
      <c r="AA20" s="81">
        <v>26</v>
      </c>
      <c r="AB20" s="81">
        <v>28</v>
      </c>
      <c r="AC20" s="81">
        <v>30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59" t="s" ph="1">
        <v>178</v>
      </c>
      <c r="D24" s="71">
        <v>3.1</v>
      </c>
      <c r="E24" s="71">
        <v>95.62</v>
      </c>
      <c r="F24" s="71">
        <v>0</v>
      </c>
      <c r="G24" s="71">
        <v>3189</v>
      </c>
      <c r="H24" s="71">
        <v>2831</v>
      </c>
      <c r="I24" s="71">
        <v>4677</v>
      </c>
      <c r="J24" s="71">
        <v>4962</v>
      </c>
      <c r="K24" s="71">
        <v>26</v>
      </c>
      <c r="L24" s="71">
        <v>0</v>
      </c>
      <c r="M24" s="71">
        <v>5433</v>
      </c>
      <c r="N24" s="71">
        <v>5384</v>
      </c>
      <c r="O24" s="71">
        <v>0</v>
      </c>
      <c r="P24" s="71">
        <v>840</v>
      </c>
      <c r="Q24" s="90">
        <v>780</v>
      </c>
      <c r="R24" s="71">
        <v>4672</v>
      </c>
      <c r="S24" s="71">
        <v>227</v>
      </c>
      <c r="T24" s="71">
        <v>1760</v>
      </c>
      <c r="U24" s="71">
        <v>5932</v>
      </c>
      <c r="V24" s="71">
        <v>9672</v>
      </c>
      <c r="W24" s="71">
        <v>8344</v>
      </c>
      <c r="X24" s="71">
        <v>6045</v>
      </c>
      <c r="Y24" s="71">
        <v>6261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2271.1421599200003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0</v>
      </c>
      <c r="G25" s="91" ph="1">
        <f>G24*18.322*LOOKUP(G26,密度!$A$2:$A$50,密度!$B$2:$B$50)</f>
        <v>45656.309641200001</v>
      </c>
      <c r="H25" s="91" ph="1">
        <f>H24*18.322*LOOKUP(H26,密度!$A$2:$A$50,密度!$B$2:$B$50)</f>
        <v>40530.891374799998</v>
      </c>
      <c r="I25" s="91" ph="1">
        <f>I24*18.322*LOOKUP(I26,密度!$A$2:$A$50,密度!$Q$2:$Q$50)</f>
        <v>81190.593555179992</v>
      </c>
      <c r="J25" s="91" ph="1">
        <f>J24*18.322*LOOKUP(J26,密度!$A$2:$A$50,密度!$Q$2:$Q$50)</f>
        <v>86204.431024799997</v>
      </c>
      <c r="K25" s="91" ph="1">
        <f>K24*18.322*LOOKUP(K26,密度!$A$2:$A$50,密度!$Q$2:$Q$50)</f>
        <v>451.69593039999995</v>
      </c>
      <c r="L25" s="91" ph="1">
        <f>L24*18.322*LOOKUP(L26,密度!$A$2:$A$50,密度!$Q$2:$Q$50)</f>
        <v>0</v>
      </c>
      <c r="M25" s="91" ph="1">
        <f>M24*18.322*LOOKUP(M26,密度!$A$2:$A$50,密度!$Q$2:$Q$50)</f>
        <v>94387.076533200001</v>
      </c>
      <c r="N25" s="91" ph="1">
        <f>N24*18.322*LOOKUP(N26,密度!$A$2:$A$50,密度!$Q$2:$Q$50)</f>
        <v>93463.792110560011</v>
      </c>
      <c r="O25" s="91" ph="1">
        <f>O24*18.322*LOOKUP(O26,密度!$A$2:$A$50,密度!$C$2:$C$50)</f>
        <v>0</v>
      </c>
      <c r="P25" s="91" ph="1">
        <f>P24*11.702*LOOKUP(P26,密度!$A$2:$A$50,密度!$B$2:$B$50)</f>
        <v>7672.0652399999999</v>
      </c>
      <c r="Q25" s="92" ph="1">
        <f>Q24*18.322*LOOKUP(Q26,密度!$A$2:$A$50,密度!$B$2:$B$50)</f>
        <v>11154.250379999999</v>
      </c>
      <c r="R25" s="91" ph="1">
        <f>R24*35.891*LOOKUP(R26,密度!$A$2:$A$50,密度!$C$2:$C$50)</f>
        <v>186312.30574719998</v>
      </c>
      <c r="S25" s="91" ph="1">
        <f>S24*35.891*LOOKUP(S26,密度!$A$2:$A$50,密度!$B$2:$B$50)</f>
        <v>6366.2666197999997</v>
      </c>
      <c r="T25" s="91" ph="1">
        <f>T24*35.891*LOOKUP(T26,密度!$A$2:$A$50,密度!$Q$2:$Q$50)</f>
        <v>59952.268974399994</v>
      </c>
      <c r="U25" s="91" ph="1">
        <f>U24*35.891</f>
        <v>212905.41199999998</v>
      </c>
      <c r="V25" s="91" ph="1">
        <f>V24*47.051*LOOKUP(V26,密度!$A$2:$A$50,密度!$B$2:$B$50)</f>
        <v>356006.94988560001</v>
      </c>
      <c r="W25" s="91" ph="1">
        <f>W24*47.051*LOOKUP(W26,密度!$A$2:$A$50,密度!$B$2:$B$50)</f>
        <v>306772.59528159996</v>
      </c>
      <c r="X25" s="91" ph="1">
        <f>X24*47.051*LOOKUP(X26,密度!$A$2:$A$50,密度!$I$2:$I$50)</f>
        <v>293891.74649054999</v>
      </c>
      <c r="Y25" s="91" ph="1">
        <f>Y24*47.051*LOOKUP(Y26,密度!$A$2:$A$50,密度!$L$2:$L$50)</f>
        <v>276911.13233999995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23</v>
      </c>
      <c r="G26" s="74">
        <v>23</v>
      </c>
      <c r="H26" s="74">
        <v>23</v>
      </c>
      <c r="I26" s="74">
        <v>24</v>
      </c>
      <c r="J26" s="74">
        <v>23</v>
      </c>
      <c r="K26" s="74">
        <v>23</v>
      </c>
      <c r="L26" s="74">
        <v>23</v>
      </c>
      <c r="M26" s="74">
        <v>23</v>
      </c>
      <c r="N26" s="74">
        <v>24</v>
      </c>
      <c r="O26" s="74">
        <v>23</v>
      </c>
      <c r="P26" s="74">
        <v>24</v>
      </c>
      <c r="Q26" s="93">
        <v>24</v>
      </c>
      <c r="R26" s="74">
        <v>22</v>
      </c>
      <c r="S26" s="74">
        <v>23</v>
      </c>
      <c r="T26" s="74">
        <v>22</v>
      </c>
      <c r="U26" s="74">
        <v>22</v>
      </c>
      <c r="V26" s="74">
        <v>22</v>
      </c>
      <c r="W26" s="74">
        <v>23</v>
      </c>
      <c r="X26" s="74">
        <v>33</v>
      </c>
      <c r="Y26" s="74">
        <v>22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59" t="s" ph="1">
        <v>181</v>
      </c>
      <c r="D27" s="71">
        <v>3.13</v>
      </c>
      <c r="E27" s="71">
        <v>95.65</v>
      </c>
      <c r="F27" s="71">
        <v>0</v>
      </c>
      <c r="G27" s="71">
        <v>2667</v>
      </c>
      <c r="H27" s="71">
        <v>2453</v>
      </c>
      <c r="I27" s="71">
        <v>3802</v>
      </c>
      <c r="J27" s="71">
        <v>4964</v>
      </c>
      <c r="K27" s="71">
        <v>23</v>
      </c>
      <c r="L27" s="71">
        <v>0</v>
      </c>
      <c r="M27" s="71">
        <v>5435</v>
      </c>
      <c r="N27" s="71">
        <v>5383</v>
      </c>
      <c r="O27" s="71">
        <v>0</v>
      </c>
      <c r="P27" s="71">
        <v>837</v>
      </c>
      <c r="Q27" s="90">
        <v>1101</v>
      </c>
      <c r="R27" s="71">
        <v>4073</v>
      </c>
      <c r="S27" s="71">
        <v>222</v>
      </c>
      <c r="T27" s="71">
        <v>1758</v>
      </c>
      <c r="U27" s="71">
        <v>6078</v>
      </c>
      <c r="V27" s="71">
        <v>9676</v>
      </c>
      <c r="W27" s="71">
        <v>8345</v>
      </c>
      <c r="X27" s="71">
        <v>5192</v>
      </c>
      <c r="Y27" s="71">
        <v>6864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59" t="s" ph="1">
        <v>179</v>
      </c>
      <c r="D28" s="91" ph="1">
        <f>D27*268.68*LOOKUP(D29,密度!$A$2:$A$50,密度!$Q$2:$Q$50)+IF(D27&lt;=0,0,1566*LOOKUP(D29,密度!$A$2:$A$50,密度!$Q$2:$Q$50))</f>
        <v>2278.7732630159999</v>
      </c>
      <c r="E28" s="91" ph="1">
        <f>E27*268.68*LOOKUP(E29,密度!$A$2:$A$50,密度!$C$2:$C$50)+IF(E27&lt;=0,0,1566*LOOKUP(E29,密度!$A$2:$A$50,密度!$C$2:$C$50))</f>
        <v>30234.426853800003</v>
      </c>
      <c r="F28" s="91" ph="1">
        <f>F27*11.702*LOOKUP(F29,密度!$A$2:$A$50,密度!$Q$2:$Q$50)</f>
        <v>0</v>
      </c>
      <c r="G28" s="91" ph="1">
        <f>G27*18.322*LOOKUP(G29,密度!$A$2:$A$50,密度!$B$2:$B$50)</f>
        <v>37928.837578799998</v>
      </c>
      <c r="H28" s="91" ph="1">
        <f>H27*18.322*LOOKUP(H29,密度!$A$2:$A$50,密度!$B$2:$B$50)</f>
        <v>34961.8333614</v>
      </c>
      <c r="I28" s="91" ph="1">
        <f>I27*18.322*LOOKUP(I29,密度!$A$2:$A$50,密度!$Q$2:$Q$50)</f>
        <v>65851.221858079996</v>
      </c>
      <c r="J28" s="91" ph="1">
        <f>J27*18.322*LOOKUP(J29,密度!$A$2:$A$50,密度!$Q$2:$Q$50)</f>
        <v>85977.239690560004</v>
      </c>
      <c r="K28" s="91" ph="1">
        <f>K27*18.322*LOOKUP(K29,密度!$A$2:$A$50,密度!$Q$2:$Q$50)</f>
        <v>398.06853572</v>
      </c>
      <c r="L28" s="91" ph="1">
        <f>L27*18.322*LOOKUP(L29,密度!$A$2:$A$50,密度!$Q$2:$Q$50)</f>
        <v>0</v>
      </c>
      <c r="M28" s="91" ph="1">
        <f>M27*18.322*LOOKUP(M29,密度!$A$2:$A$50,密度!$Q$2:$Q$50)</f>
        <v>94065.32572339999</v>
      </c>
      <c r="N28" s="91" ph="1">
        <f>N27*18.322*LOOKUP(N29,密度!$A$2:$A$50,密度!$Q$2:$Q$50)</f>
        <v>93234.383814320012</v>
      </c>
      <c r="O28" s="91" ph="1">
        <f>O27*18.322*LOOKUP(O29,密度!$A$2:$A$50,密度!$C$2:$C$50)</f>
        <v>0</v>
      </c>
      <c r="P28" s="91" ph="1">
        <f>P27*11.702*LOOKUP(P29,密度!$A$2:$A$50,密度!$B$2:$B$50)</f>
        <v>7627.0347738</v>
      </c>
      <c r="Q28" s="92" ph="1">
        <f>Q27*18.322*LOOKUP(Q29,密度!$A$2:$A$50,密度!$B$2:$B$50)</f>
        <v>15692.204863800001</v>
      </c>
      <c r="R28" s="91" ph="1">
        <f>R27*35.891*LOOKUP(R29,密度!$A$2:$A$50,密度!$C$2:$C$50)</f>
        <v>161884.20921820001</v>
      </c>
      <c r="S28" s="91" ph="1">
        <f>S27*35.891*LOOKUP(S29,密度!$A$2:$A$50,密度!$B$2:$B$50)</f>
        <v>6204.5274173999996</v>
      </c>
      <c r="T28" s="91" ph="1">
        <f>T27*35.891*LOOKUP(T29,密度!$A$2:$A$50,密度!$Q$2:$Q$50)</f>
        <v>59691.066479339999</v>
      </c>
      <c r="U28" s="91" ph="1">
        <f>U27*35.891</f>
        <v>218145.49799999999</v>
      </c>
      <c r="V28" s="91" ph="1">
        <f>V27*47.051*LOOKUP(V29,密度!$A$2:$A$50,密度!$B$2:$B$50)</f>
        <v>354515.22616119997</v>
      </c>
      <c r="W28" s="91" ph="1">
        <f>W27*47.051*LOOKUP(W29,密度!$A$2:$A$50,密度!$B$2:$B$50)</f>
        <v>305435.11885050003</v>
      </c>
      <c r="X28" s="91" ph="1">
        <f>X27*47.051*LOOKUP(X29,密度!$A$2:$A$50,密度!$I$2:$I$50)</f>
        <v>251055.59153840004</v>
      </c>
      <c r="Y28" s="91" ph="1">
        <f>Y27*47.051*LOOKUP(Y29,密度!$A$2:$A$50,密度!$L$2:$L$50)</f>
        <v>301965.78984000004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59" t="s" ph="1">
        <v>180</v>
      </c>
      <c r="D29" s="74">
        <v>25</v>
      </c>
      <c r="E29" s="74">
        <v>25</v>
      </c>
      <c r="F29" s="74">
        <v>27</v>
      </c>
      <c r="G29" s="74">
        <v>29</v>
      </c>
      <c r="H29" s="74">
        <v>27</v>
      </c>
      <c r="I29" s="74">
        <v>27</v>
      </c>
      <c r="J29" s="74">
        <v>27</v>
      </c>
      <c r="K29" s="74">
        <v>28</v>
      </c>
      <c r="L29" s="74">
        <v>27</v>
      </c>
      <c r="M29" s="74">
        <v>28</v>
      </c>
      <c r="N29" s="74">
        <v>27</v>
      </c>
      <c r="O29" s="74">
        <v>27</v>
      </c>
      <c r="P29" s="74">
        <v>26</v>
      </c>
      <c r="Q29" s="93">
        <v>27</v>
      </c>
      <c r="R29" s="74">
        <v>27</v>
      </c>
      <c r="S29" s="74">
        <v>26</v>
      </c>
      <c r="T29" s="74">
        <v>26</v>
      </c>
      <c r="U29" s="74">
        <v>26</v>
      </c>
      <c r="V29" s="74">
        <v>26</v>
      </c>
      <c r="W29" s="74">
        <v>27</v>
      </c>
      <c r="X29" s="74">
        <v>38</v>
      </c>
      <c r="Y29" s="74">
        <v>27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154603.71820440001</v>
      </c>
      <c r="E33" s="217" ph="1">
        <f>M10+I10</f>
        <v>71079.981233600003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21" ph="1">
        <v>0</v>
      </c>
      <c r="H33" s="217" ph="1">
        <f>N19</f>
        <v>38173.264085219998</v>
      </c>
      <c r="I33" s="230" ph="1">
        <v>0</v>
      </c>
      <c r="J33" s="228" ph="1">
        <f>F10+O28</f>
        <v>110785.16863260001</v>
      </c>
      <c r="K33" s="217" ph="1">
        <f>O10+K10+E28+R28</f>
        <v>291080.62719520001</v>
      </c>
      <c r="L33" s="232" ph="1">
        <f>BE27</f>
        <v>7100</v>
      </c>
      <c r="M33" s="228" ph="1">
        <f>G10+H10+W28+S28+V28+E10</f>
        <v>1195575.3858321002</v>
      </c>
      <c r="N33" s="217" ph="1">
        <f>L10+P10++G28+H28</f>
        <v>358047.7123442</v>
      </c>
      <c r="O33" s="230" ph="1">
        <f>BE17</f>
        <v>2270</v>
      </c>
      <c r="P33" s="228" ph="1">
        <f>L19</f>
        <v>7162.2550944000004</v>
      </c>
      <c r="Q33" s="217" ph="1">
        <f>J10+N10</f>
        <v>68100.531103200003</v>
      </c>
      <c r="R33" s="230" ph="1">
        <f>BE23</f>
        <v>890</v>
      </c>
      <c r="S33" s="228" ph="1">
        <f>E10+X28</f>
        <v>421447.49792340002</v>
      </c>
      <c r="T33" s="217" ph="1">
        <f>X19</f>
        <v>7251.8012915999989</v>
      </c>
      <c r="U33" s="238" ph="1">
        <f>BE21</f>
        <v>730</v>
      </c>
      <c r="V33" s="249" ph="1">
        <f ca="1">P19+Q19+S19+M28+N28+J28</f>
        <v>392101.54896149598</v>
      </c>
      <c r="W33" s="249" ph="1">
        <f>D28+F28+V19+T28</f>
        <v>74908.268382031994</v>
      </c>
      <c r="X33" s="230" ph="1">
        <f>BE29+BE31</f>
        <v>10200</v>
      </c>
      <c r="Y33" s="251" ph="1">
        <f>+Q10+R10+S10+T10+U10+V10+W10+X10+Y10</f>
        <v>235653.97640400004</v>
      </c>
      <c r="Z33" s="236" ph="1">
        <f>D10+T19+U19+Y28+Z10</f>
        <v>493987.38423620007</v>
      </c>
      <c r="AA33" s="238" ph="1">
        <f>BE19</f>
        <v>1440</v>
      </c>
      <c r="AB33" s="240" ph="1">
        <f>I19</f>
        <v>24186.168396000001</v>
      </c>
      <c r="AC33" s="242" ph="1">
        <f>AD10</f>
        <v>35935.123593600001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1" t="s" ph="1">
        <v>186</v>
      </c>
      <c r="AA36" s="161" ph="1"/>
      <c r="AB36" s="235" t="s" ph="1">
        <v>646</v>
      </c>
      <c r="AC36" s="235" ph="1"/>
      <c r="AD36" s="235" ph="1"/>
      <c r="AE36" s="235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345</v>
      </c>
      <c r="AI37" s="161" t="s" ph="1">
        <v>212</v>
      </c>
      <c r="AJ37" s="161" t="s" ph="1">
        <v>213</v>
      </c>
      <c r="AK37" s="161" t="s" ph="1">
        <v>214</v>
      </c>
      <c r="AM37" s="161" t="s" ph="1">
        <v>213</v>
      </c>
      <c r="AN37" s="161" t="s" ph="1">
        <v>214</v>
      </c>
      <c r="AO37" s="161" t="s" ph="1">
        <v>215</v>
      </c>
      <c r="AP37" s="161" t="s" ph="1">
        <v>213</v>
      </c>
      <c r="AQ37" s="161" t="s" ph="1">
        <v>214</v>
      </c>
      <c r="AR37" s="161" t="s" ph="1">
        <v>215</v>
      </c>
      <c r="AS37" s="161" t="s" ph="1">
        <v>213</v>
      </c>
      <c r="AT37" s="161" t="s" ph="1">
        <v>214</v>
      </c>
      <c r="AU37" s="161" t="s" ph="1">
        <v>215</v>
      </c>
      <c r="AV37" s="161" t="s" ph="1">
        <v>213</v>
      </c>
      <c r="AW37" s="161" t="s" ph="1">
        <v>214</v>
      </c>
      <c r="AX37" s="161" t="s" ph="1">
        <v>215</v>
      </c>
      <c r="AY37" s="161" t="s" ph="1">
        <v>214</v>
      </c>
      <c r="AZ37" s="161" t="s" ph="1">
        <v>216</v>
      </c>
      <c r="BD37" s="161" t="s" ph="1">
        <v>308</v>
      </c>
      <c r="BE37" s="16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07" priority="96">
      <formula>ABS(D$7-D$10)&gt;=1000</formula>
    </cfRule>
  </conditionalFormatting>
  <conditionalFormatting sqref="E4 E6:E11">
    <cfRule type="expression" dxfId="1006" priority="95">
      <formula>ABS(E$7-E$10)&gt;=1000</formula>
    </cfRule>
  </conditionalFormatting>
  <conditionalFormatting sqref="F4:F11">
    <cfRule type="expression" dxfId="1005" priority="94">
      <formula>ABS(F$7-F$10)&gt;=1000</formula>
    </cfRule>
  </conditionalFormatting>
  <conditionalFormatting sqref="G4:G11">
    <cfRule type="expression" dxfId="1004" priority="93">
      <formula>ABS(G$7-G$10)&gt;=1000</formula>
    </cfRule>
  </conditionalFormatting>
  <conditionalFormatting sqref="H4:H11">
    <cfRule type="expression" dxfId="1003" priority="92">
      <formula>ABS(H$7-H$10)&gt;=1000</formula>
    </cfRule>
  </conditionalFormatting>
  <conditionalFormatting sqref="I4:I11">
    <cfRule type="expression" dxfId="1002" priority="91">
      <formula>ABS(I$7-I$10)&gt;=1000</formula>
    </cfRule>
  </conditionalFormatting>
  <conditionalFormatting sqref="J4:J11">
    <cfRule type="expression" dxfId="1001" priority="90">
      <formula>ABS(J$7-J$10)&gt;=1000</formula>
    </cfRule>
  </conditionalFormatting>
  <conditionalFormatting sqref="K4:K11">
    <cfRule type="expression" dxfId="1000" priority="89">
      <formula>ABS(K$7-K$10)&gt;=1000</formula>
    </cfRule>
  </conditionalFormatting>
  <conditionalFormatting sqref="L4:L11">
    <cfRule type="expression" dxfId="999" priority="88">
      <formula>ABS(L$7-L$10)&gt;=1000</formula>
    </cfRule>
  </conditionalFormatting>
  <conditionalFormatting sqref="M4 M6:M11">
    <cfRule type="expression" dxfId="998" priority="87">
      <formula>ABS(M$7-M$10)&gt;=1000</formula>
    </cfRule>
  </conditionalFormatting>
  <conditionalFormatting sqref="N4 N6:N11">
    <cfRule type="expression" dxfId="997" priority="86">
      <formula>ABS(N$7-N$10)&gt;=1000</formula>
    </cfRule>
  </conditionalFormatting>
  <conditionalFormatting sqref="O4 O6:O11">
    <cfRule type="expression" dxfId="996" priority="85">
      <formula>ABS(O$7-O$10)&gt;=1000</formula>
    </cfRule>
  </conditionalFormatting>
  <conditionalFormatting sqref="P4 P6:P11">
    <cfRule type="expression" dxfId="995" priority="84">
      <formula>ABS(P$7-P$10)&gt;=1000</formula>
    </cfRule>
  </conditionalFormatting>
  <conditionalFormatting sqref="Q4:Q11">
    <cfRule type="expression" dxfId="994" priority="83">
      <formula>ABS(Q$7-Q$10)&gt;=1000</formula>
    </cfRule>
  </conditionalFormatting>
  <conditionalFormatting sqref="R4:R11">
    <cfRule type="expression" dxfId="993" priority="82">
      <formula>ABS(R$7-R$10)&gt;=1000</formula>
    </cfRule>
  </conditionalFormatting>
  <conditionalFormatting sqref="S4:S11">
    <cfRule type="expression" dxfId="992" priority="81">
      <formula>ABS(S$7-S$10)&gt;=1000</formula>
    </cfRule>
  </conditionalFormatting>
  <conditionalFormatting sqref="T4:T9 T11">
    <cfRule type="expression" dxfId="991" priority="80">
      <formula>ABS(T$7-T$10)&gt;=1000</formula>
    </cfRule>
  </conditionalFormatting>
  <conditionalFormatting sqref="U4:U9 U11">
    <cfRule type="expression" dxfId="990" priority="79">
      <formula>ABS(U$7-U$10)&gt;=1000</formula>
    </cfRule>
  </conditionalFormatting>
  <conditionalFormatting sqref="V4:V9 V11">
    <cfRule type="expression" dxfId="989" priority="78">
      <formula>ABS(V$7-V$10)&gt;=1000</formula>
    </cfRule>
  </conditionalFormatting>
  <conditionalFormatting sqref="W4:W9 W11">
    <cfRule type="expression" dxfId="988" priority="77">
      <formula>ABS(W$7-W$10)&gt;=1000</formula>
    </cfRule>
  </conditionalFormatting>
  <conditionalFormatting sqref="X4:X9 X11">
    <cfRule type="expression" dxfId="987" priority="76">
      <formula>ABS(X$7-X$10)&gt;=1000</formula>
    </cfRule>
  </conditionalFormatting>
  <conditionalFormatting sqref="Y4:Y9 Y11">
    <cfRule type="expression" dxfId="986" priority="75">
      <formula>ABS(Y$7-Y$10)&gt;=1000</formula>
    </cfRule>
  </conditionalFormatting>
  <conditionalFormatting sqref="Z4:Z11">
    <cfRule type="expression" dxfId="985" priority="74">
      <formula>ABS(Z$7-Z$10)&gt;=1000</formula>
    </cfRule>
  </conditionalFormatting>
  <conditionalFormatting sqref="AA4:AA11">
    <cfRule type="expression" dxfId="984" priority="73">
      <formula>ABS(AA$7-AA$10)&gt;=1000</formula>
    </cfRule>
  </conditionalFormatting>
  <conditionalFormatting sqref="AB4:AB11">
    <cfRule type="expression" dxfId="983" priority="72">
      <formula>ABS(AB$7-AB$10)&gt;=1000</formula>
    </cfRule>
  </conditionalFormatting>
  <conditionalFormatting sqref="AC4 AC6:AC11">
    <cfRule type="expression" dxfId="982" priority="71">
      <formula>ABS(AC$7-AC$10)&gt;=1000</formula>
    </cfRule>
  </conditionalFormatting>
  <conditionalFormatting sqref="AD4:AD11">
    <cfRule type="expression" dxfId="981" priority="70">
      <formula>ABS(AD$7-AD$10)&gt;=1000</formula>
    </cfRule>
  </conditionalFormatting>
  <conditionalFormatting sqref="AE4:AE11">
    <cfRule type="expression" dxfId="980" priority="69">
      <formula>ABS(AE$7-AE$10)&gt;=1000</formula>
    </cfRule>
  </conditionalFormatting>
  <conditionalFormatting sqref="D13:D20">
    <cfRule type="expression" dxfId="979" priority="68">
      <formula>ABS(D$16-D$19)&gt;=1000</formula>
    </cfRule>
  </conditionalFormatting>
  <conditionalFormatting sqref="E13:E20">
    <cfRule type="expression" dxfId="978" priority="67">
      <formula>ABS(E$16-E$19)&gt;=1000</formula>
    </cfRule>
  </conditionalFormatting>
  <conditionalFormatting sqref="F13 F15:F20">
    <cfRule type="expression" dxfId="977" priority="66">
      <formula>ABS(F$16-F$19)&gt;=1000</formula>
    </cfRule>
  </conditionalFormatting>
  <conditionalFormatting sqref="G13:G20">
    <cfRule type="expression" dxfId="976" priority="65">
      <formula>ABS(G$16-G$19)&gt;=1000</formula>
    </cfRule>
  </conditionalFormatting>
  <conditionalFormatting sqref="H13:H20">
    <cfRule type="expression" dxfId="975" priority="64">
      <formula>ABS(H$16-H$19)&gt;=1000</formula>
    </cfRule>
  </conditionalFormatting>
  <conditionalFormatting sqref="I13:I20">
    <cfRule type="expression" dxfId="974" priority="63">
      <formula>ABS(I$16-I$19)&gt;=1000</formula>
    </cfRule>
  </conditionalFormatting>
  <conditionalFormatting sqref="J13:J20">
    <cfRule type="expression" dxfId="973" priority="62">
      <formula>ABS(J$16-J$19)&gt;=1000</formula>
    </cfRule>
  </conditionalFormatting>
  <conditionalFormatting sqref="L13:L20">
    <cfRule type="expression" dxfId="972" priority="61">
      <formula>ABS(L$16-L$19)&gt;=1000</formula>
    </cfRule>
  </conditionalFormatting>
  <conditionalFormatting sqref="M13 M15 M17:M18 M20">
    <cfRule type="expression" dxfId="971" priority="60">
      <formula>ABS(M$16-M$19)&gt;=1000</formula>
    </cfRule>
  </conditionalFormatting>
  <conditionalFormatting sqref="N13:N20">
    <cfRule type="expression" dxfId="970" priority="59">
      <formula>ABS(N$16-N$19)&gt;=1000</formula>
    </cfRule>
  </conditionalFormatting>
  <conditionalFormatting sqref="O13:O20">
    <cfRule type="expression" dxfId="969" priority="58">
      <formula>ABS(O$16-O$19)&gt;=1000</formula>
    </cfRule>
  </conditionalFormatting>
  <conditionalFormatting sqref="P13:P20">
    <cfRule type="expression" dxfId="968" priority="57">
      <formula>ABS(P$16-P$19)&gt;=1000</formula>
    </cfRule>
  </conditionalFormatting>
  <conditionalFormatting sqref="Q13 Q15:Q20">
    <cfRule type="expression" dxfId="967" priority="56">
      <formula>ABS(Q$16-Q$19)&gt;=1000</formula>
    </cfRule>
  </conditionalFormatting>
  <conditionalFormatting sqref="R13:R20">
    <cfRule type="expression" dxfId="966" priority="55">
      <formula>ABS(R$16-R$19)&gt;=1000</formula>
    </cfRule>
  </conditionalFormatting>
  <conditionalFormatting sqref="S13:S20">
    <cfRule type="expression" dxfId="965" priority="54">
      <formula>ABS(S$16-S$19)&gt;=1000</formula>
    </cfRule>
  </conditionalFormatting>
  <conditionalFormatting sqref="T13:T20">
    <cfRule type="expression" dxfId="964" priority="53">
      <formula>ABS(T$16-T$19)&gt;=1000</formula>
    </cfRule>
  </conditionalFormatting>
  <conditionalFormatting sqref="U13:U20">
    <cfRule type="expression" dxfId="963" priority="52">
      <formula>ABS(U$16-U$19)&gt;=1000</formula>
    </cfRule>
  </conditionalFormatting>
  <conditionalFormatting sqref="V13:V20">
    <cfRule type="expression" dxfId="962" priority="51">
      <formula>ABS(V$16-V$19)&gt;=1000</formula>
    </cfRule>
  </conditionalFormatting>
  <conditionalFormatting sqref="W13 W20 W15:W18">
    <cfRule type="expression" dxfId="961" priority="50">
      <formula>ABS(W$16-W$19)&gt;=1000</formula>
    </cfRule>
  </conditionalFormatting>
  <conditionalFormatting sqref="X13 X15:X20 Y19">
    <cfRule type="expression" dxfId="960" priority="49">
      <formula>ABS(X$16-X$19)&gt;=1000</formula>
    </cfRule>
  </conditionalFormatting>
  <conditionalFormatting sqref="Y13 Y15:Y18 Y20">
    <cfRule type="expression" dxfId="959" priority="48">
      <formula>ABS(Y$16-Y$19)&gt;=1000</formula>
    </cfRule>
  </conditionalFormatting>
  <conditionalFormatting sqref="Z13:Z20">
    <cfRule type="expression" dxfId="958" priority="47">
      <formula>ABS(Z$16-Z$19)&gt;=1000</formula>
    </cfRule>
  </conditionalFormatting>
  <conditionalFormatting sqref="AA13:AA20">
    <cfRule type="expression" dxfId="957" priority="46">
      <formula>ABS(AA$16-AA$19)&gt;=1000</formula>
    </cfRule>
  </conditionalFormatting>
  <conditionalFormatting sqref="AB13 AB15:AB20">
    <cfRule type="expression" dxfId="956" priority="45">
      <formula>ABS(AB$16-AB$19)&gt;=1000</formula>
    </cfRule>
  </conditionalFormatting>
  <conditionalFormatting sqref="AC13 AC15:AC20">
    <cfRule type="expression" dxfId="955" priority="44">
      <formula>ABS(AC$16-AC$19)&gt;=1000</formula>
    </cfRule>
  </conditionalFormatting>
  <conditionalFormatting sqref="AD13:AD20">
    <cfRule type="expression" dxfId="954" priority="43">
      <formula>ABS(AD$16-AD$19)&gt;=1000</formula>
    </cfRule>
  </conditionalFormatting>
  <conditionalFormatting sqref="AE13:AE20">
    <cfRule type="expression" dxfId="953" priority="42">
      <formula>ABS(AE$16-AE$19)&gt;=1000</formula>
    </cfRule>
  </conditionalFormatting>
  <conditionalFormatting sqref="D22:D29">
    <cfRule type="expression" dxfId="952" priority="41">
      <formula>ABS(D$25-D$28)&gt;=1000</formula>
    </cfRule>
  </conditionalFormatting>
  <conditionalFormatting sqref="E22:E29">
    <cfRule type="expression" dxfId="951" priority="40">
      <formula>ABS(E$25-E$28)&gt;=1000</formula>
    </cfRule>
  </conditionalFormatting>
  <conditionalFormatting sqref="F22:F29">
    <cfRule type="expression" dxfId="950" priority="39">
      <formula>ABS(F$25-F$28)&gt;=1000</formula>
    </cfRule>
  </conditionalFormatting>
  <conditionalFormatting sqref="G22:G29">
    <cfRule type="expression" dxfId="949" priority="38">
      <formula>ABS(G$25-G$28)&gt;=1000</formula>
    </cfRule>
  </conditionalFormatting>
  <conditionalFormatting sqref="H22:H29">
    <cfRule type="expression" dxfId="948" priority="37">
      <formula>ABS(H$25-H$28)&gt;=1000</formula>
    </cfRule>
  </conditionalFormatting>
  <conditionalFormatting sqref="I22 I24:I29">
    <cfRule type="expression" dxfId="947" priority="36">
      <formula>ABS(I$25-I$28)&gt;=1000</formula>
    </cfRule>
  </conditionalFormatting>
  <conditionalFormatting sqref="J22:J29 K22">
    <cfRule type="expression" dxfId="946" priority="35">
      <formula>ABS(J$25-J$28)&gt;=1000</formula>
    </cfRule>
  </conditionalFormatting>
  <conditionalFormatting sqref="K23:K29 L25 L28">
    <cfRule type="expression" dxfId="945" priority="34">
      <formula>ABS(K$25-K$28)&gt;=1000</formula>
    </cfRule>
  </conditionalFormatting>
  <conditionalFormatting sqref="L22:L24 L26:L27 L29">
    <cfRule type="expression" dxfId="944" priority="33">
      <formula>ABS(L$25-L$28)&gt;=1000</formula>
    </cfRule>
  </conditionalFormatting>
  <conditionalFormatting sqref="M22:M29">
    <cfRule type="expression" dxfId="943" priority="32">
      <formula>ABS(M$25-M$28)&gt;=1000</formula>
    </cfRule>
  </conditionalFormatting>
  <conditionalFormatting sqref="N22:N29">
    <cfRule type="expression" dxfId="942" priority="31">
      <formula>ABS(N$25-N$28)&gt;=1000</formula>
    </cfRule>
  </conditionalFormatting>
  <conditionalFormatting sqref="O22:O29">
    <cfRule type="expression" dxfId="941" priority="30">
      <formula>ABS(O$25-O$28)&gt;=1000</formula>
    </cfRule>
  </conditionalFormatting>
  <conditionalFormatting sqref="P22:P29">
    <cfRule type="expression" dxfId="940" priority="29">
      <formula>ABS(P$25-P$28)&gt;=1000</formula>
    </cfRule>
  </conditionalFormatting>
  <conditionalFormatting sqref="Q22:Q29">
    <cfRule type="expression" dxfId="939" priority="28">
      <formula>ABS(Q$25-Q$28)&gt;=1000</formula>
    </cfRule>
  </conditionalFormatting>
  <conditionalFormatting sqref="R22:R29">
    <cfRule type="expression" dxfId="938" priority="27">
      <formula>ABS(R$25-R$28)&gt;=1000</formula>
    </cfRule>
  </conditionalFormatting>
  <conditionalFormatting sqref="S22:S29">
    <cfRule type="expression" dxfId="937" priority="26">
      <formula>ABS(S$25-S$28)&gt;=1000</formula>
    </cfRule>
  </conditionalFormatting>
  <conditionalFormatting sqref="T22:T29">
    <cfRule type="expression" dxfId="936" priority="25">
      <formula>ABS(T$25-T$28)&gt;=1000</formula>
    </cfRule>
  </conditionalFormatting>
  <conditionalFormatting sqref="U22:U29">
    <cfRule type="expression" dxfId="935" priority="24">
      <formula>ABS(U$25-U$28)&gt;=1000</formula>
    </cfRule>
  </conditionalFormatting>
  <conditionalFormatting sqref="V22:V29">
    <cfRule type="expression" dxfId="934" priority="23">
      <formula>ABS(V$25-V$28)&gt;=1000</formula>
    </cfRule>
  </conditionalFormatting>
  <conditionalFormatting sqref="W22:W29">
    <cfRule type="expression" dxfId="933" priority="22">
      <formula>ABS(W$25-W$28)&gt;=1000</formula>
    </cfRule>
  </conditionalFormatting>
  <conditionalFormatting sqref="X22:X29">
    <cfRule type="expression" dxfId="932" priority="21">
      <formula>ABS(X$25-X$28)&gt;=1000</formula>
    </cfRule>
  </conditionalFormatting>
  <conditionalFormatting sqref="Y22:Y29">
    <cfRule type="expression" dxfId="931" priority="20">
      <formula>ABS(Y$25-Y$28)&gt;=1000</formula>
    </cfRule>
  </conditionalFormatting>
  <conditionalFormatting sqref="I23">
    <cfRule type="expression" dxfId="930" priority="19">
      <formula>ABS(I$25-I$28)&gt;=1000</formula>
    </cfRule>
  </conditionalFormatting>
  <conditionalFormatting sqref="F14">
    <cfRule type="expression" dxfId="929" priority="18">
      <formula>ABS(F$16-F$19)&gt;=1000</formula>
    </cfRule>
  </conditionalFormatting>
  <conditionalFormatting sqref="Q14">
    <cfRule type="expression" dxfId="928" priority="17">
      <formula>ABS(Q$16-Q$19)&gt;=1000</formula>
    </cfRule>
  </conditionalFormatting>
  <conditionalFormatting sqref="W14">
    <cfRule type="expression" dxfId="927" priority="16">
      <formula>ABS(W$16-W$19)&gt;=1000</formula>
    </cfRule>
  </conditionalFormatting>
  <conditionalFormatting sqref="Y14">
    <cfRule type="expression" dxfId="926" priority="15">
      <formula>ABS(Y$16-Y$19)&gt;=1000</formula>
    </cfRule>
  </conditionalFormatting>
  <conditionalFormatting sqref="X14">
    <cfRule type="expression" dxfId="925" priority="14">
      <formula>ABS(X$16-X$19)&gt;=1000</formula>
    </cfRule>
  </conditionalFormatting>
  <conditionalFormatting sqref="T10:Y10">
    <cfRule type="expression" dxfId="924" priority="13">
      <formula>ABS(T$7-T$10)&gt;=1000</formula>
    </cfRule>
  </conditionalFormatting>
  <conditionalFormatting sqref="W19">
    <cfRule type="expression" dxfId="923" priority="12">
      <formula>ABS(W$16-W$19)&gt;=1000</formula>
    </cfRule>
  </conditionalFormatting>
  <conditionalFormatting sqref="AC5">
    <cfRule type="expression" dxfId="922" priority="11">
      <formula>ABS(AC$7-AC$10)&gt;=1000</formula>
    </cfRule>
  </conditionalFormatting>
  <conditionalFormatting sqref="M14">
    <cfRule type="expression" dxfId="921" priority="10">
      <formula>ABS(M$16-M$19)&gt;=1000</formula>
    </cfRule>
  </conditionalFormatting>
  <conditionalFormatting sqref="M16">
    <cfRule type="expression" dxfId="920" priority="9">
      <formula>ABS(M$16-M$19)&gt;=1000</formula>
    </cfRule>
  </conditionalFormatting>
  <conditionalFormatting sqref="M19">
    <cfRule type="expression" dxfId="919" priority="8">
      <formula>ABS(M$16-M$19)&gt;=1000</formula>
    </cfRule>
  </conditionalFormatting>
  <conditionalFormatting sqref="K13:K20">
    <cfRule type="expression" dxfId="918" priority="7">
      <formula>ABS(K$16-K$19)&gt;=1000</formula>
    </cfRule>
  </conditionalFormatting>
  <conditionalFormatting sqref="E5">
    <cfRule type="expression" dxfId="917" priority="6">
      <formula>ABS(E$7-E$10)&gt;=1000</formula>
    </cfRule>
  </conditionalFormatting>
  <conditionalFormatting sqref="AB14:AC14">
    <cfRule type="expression" dxfId="916" priority="5">
      <formula>ABS(AB$16-AB$19)&gt;=1000</formula>
    </cfRule>
  </conditionalFormatting>
  <conditionalFormatting sqref="M5">
    <cfRule type="expression" dxfId="915" priority="4">
      <formula>ABS(M$7-M$10)&gt;=1000</formula>
    </cfRule>
  </conditionalFormatting>
  <conditionalFormatting sqref="N5">
    <cfRule type="expression" dxfId="914" priority="3">
      <formula>ABS(N$7-N$10)&gt;=1000</formula>
    </cfRule>
  </conditionalFormatting>
  <conditionalFormatting sqref="O5">
    <cfRule type="expression" dxfId="913" priority="2">
      <formula>ABS(O$7-O$10)&gt;=1000</formula>
    </cfRule>
  </conditionalFormatting>
  <conditionalFormatting sqref="P5">
    <cfRule type="expression" dxfId="91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4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19">
    <pageSetUpPr fitToPage="1"/>
  </sheetPr>
  <dimension ref="A1:CU223"/>
  <sheetViews>
    <sheetView view="pageBreakPreview" zoomScale="80" zoomScaleNormal="100" zoomScaleSheetLayoutView="80" workbookViewId="0">
      <selection activeCell="Y27" sqref="Y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45769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62" t="s" ph="1">
        <v>178</v>
      </c>
      <c r="D6" s="71">
        <v>4186</v>
      </c>
      <c r="E6" s="71">
        <v>4269</v>
      </c>
      <c r="F6" s="71">
        <v>3015</v>
      </c>
      <c r="G6" s="71">
        <v>6235</v>
      </c>
      <c r="H6" s="71">
        <v>2247</v>
      </c>
      <c r="I6" s="71">
        <v>16.11</v>
      </c>
      <c r="J6" s="71">
        <v>66.849999999999994</v>
      </c>
      <c r="K6" s="71">
        <v>7.52</v>
      </c>
      <c r="L6" s="71">
        <v>47.63</v>
      </c>
      <c r="M6" s="71">
        <v>1955</v>
      </c>
      <c r="N6" s="71">
        <v>2823</v>
      </c>
      <c r="O6" s="71">
        <v>4297</v>
      </c>
      <c r="P6" s="71">
        <v>6818</v>
      </c>
      <c r="Q6" s="71">
        <v>0</v>
      </c>
      <c r="R6" s="71">
        <v>0</v>
      </c>
      <c r="S6" s="71">
        <v>0</v>
      </c>
      <c r="T6" s="71">
        <v>2230</v>
      </c>
      <c r="U6" s="71">
        <v>7153</v>
      </c>
      <c r="V6" s="71">
        <v>4768</v>
      </c>
      <c r="W6" s="71">
        <v>7020</v>
      </c>
      <c r="X6" s="71">
        <v>5876</v>
      </c>
      <c r="Y6" s="71">
        <v>2605</v>
      </c>
      <c r="Z6" s="71">
        <v>108</v>
      </c>
      <c r="AA6" s="71">
        <v>2172</v>
      </c>
      <c r="AB6" s="71">
        <v>3831</v>
      </c>
      <c r="AC6" s="71">
        <v>5887</v>
      </c>
      <c r="AD6" s="71">
        <v>1830</v>
      </c>
      <c r="AE6" s="71">
        <v>3627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131308.76520215999</v>
      </c>
      <c r="E7" s="73" ph="1">
        <f>E6*51.53*LOOKUP(E8,密度!$A$2:$A$50,密度!$B$2:$B$50)</f>
        <v>171497.631972</v>
      </c>
      <c r="F7" s="73" ph="1">
        <f>F6*33.183*LOOKUP(F8,密度!$A$2:$A$50,密度!$C$2:$C$50)</f>
        <v>110711.728017</v>
      </c>
      <c r="G7" s="73" ph="1">
        <f xml:space="preserve"> (G6+2)*51.53*LOOKUP(G8,密度!$A$2:$A$50,密度!$B$2:$B$50)</f>
        <v>250846.93210499999</v>
      </c>
      <c r="H7" s="73" ph="1">
        <f>(H6)*51.53*LOOKUP(H8,密度!$A$2:$A$50,密度!$B$2:$B$50)</f>
        <v>90789.300231000001</v>
      </c>
      <c r="I7" s="73" ph="1">
        <f>I6*290.8*1.0267</f>
        <v>4809.8718396000004</v>
      </c>
      <c r="J7" s="73" ph="1">
        <f>J6*290.8*0.7892</f>
        <v>15342.032216</v>
      </c>
      <c r="K7" s="73" ph="1">
        <f>K6*290.8*1.1126</f>
        <v>2433.0514816</v>
      </c>
      <c r="L7" s="73" ph="1">
        <f>L6*290.8*0.777</f>
        <v>10762.074708000002</v>
      </c>
      <c r="M7" s="73" ph="1">
        <f>M6*33.183*LOOKUP(M8,密度!$A$2:$A$50,密度!$D$2:$D$50)</f>
        <v>66299.965830000001</v>
      </c>
      <c r="N7" s="73" ph="1">
        <f>N6*33.183*LOOKUP(N8,密度!$A$2:$A$50,密度!$E$2:$E$50)</f>
        <v>73048.239898200001</v>
      </c>
      <c r="O7" s="73" ph="1">
        <f>O6*20.428*LOOKUP(O8,密度!$A$2:$A$50,密度!$C$2:$C$50)</f>
        <v>97004.701091600014</v>
      </c>
      <c r="P7" s="73" ph="1">
        <f>P6*51.53*LOOKUP(P8,密度!$A$2:$A$50,密度!$B$2:$B$50)</f>
        <v>273898.06858399999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14817.199319999998</v>
      </c>
      <c r="U7" s="73" ph="1">
        <f>U6*1.5*1.5*3.1416*LOOKUP(U8,密度!$A$2:$A$50,密度!$L$2:$L$50)</f>
        <v>47376.308964600001</v>
      </c>
      <c r="V7" s="73" ph="1">
        <f>V6*1.5*1.5*3.1416*LOOKUP(V8,密度!$A$2:$A$50,密度!$L$2:$L$50)</f>
        <v>31478.681203199998</v>
      </c>
      <c r="W7" s="73" ph="1">
        <f>W6*1.5*1.5*3.1416*LOOKUP(W8,密度!$A$2:$A$50,密度!$L$2:$L$50)</f>
        <v>46445.791391999999</v>
      </c>
      <c r="X7" s="73" ph="1">
        <f>X6*1.5*1.5*3.1416*LOOKUP(X8,密度!$A$2:$A$50,密度!$L$2:$L$50)</f>
        <v>38835.312516000005</v>
      </c>
      <c r="Y7" s="73" ph="1">
        <f>Y6*1.5*1.5*3.1416*LOOKUP(Y8,密度!$A$2:$A$50,密度!$L$2:$L$50)</f>
        <v>17272.053414000002</v>
      </c>
      <c r="Z7" s="73" ph="1">
        <f>Z6*33.183*LOOKUP(Z8,密度!$A$2:$A$50,密度!$L$2:$L$50)</f>
        <v>3368.7381599999999</v>
      </c>
      <c r="AA7" s="73" ph="1">
        <f>AA6*33.183*LOOKUP(AA8,密度!$A$2:$A$50,密度!$D$2:$D$50)</f>
        <v>74062.703937600003</v>
      </c>
      <c r="AB7" s="73" ph="1">
        <f>AB6*20.428*LOOKUP(AB8,密度!$A$2:$A$50,密度!$D$2:$D$50)</f>
        <v>81319.621018799997</v>
      </c>
      <c r="AC7" s="73" ph="1">
        <f>AC6*51.53*LOOKUP(AC8,密度!$A$2:$A$50,密度!$Q$2:$Q$50)</f>
        <v>286769.54322519997</v>
      </c>
      <c r="AD7" s="73" ph="1">
        <f>AD6*20.428*LOOKUP(AD8,密度!$A$2:$A$50,密度!$V$2:$V$50)</f>
        <v>35798.190623999995</v>
      </c>
      <c r="AE7" s="73" ph="1">
        <f>AE6*20.428</f>
        <v>74092.356</v>
      </c>
    </row>
    <row r="8" spans="1:99" ph="1">
      <c r="B8" s="195" ph="1"/>
      <c r="C8" s="68" t="s" ph="1">
        <v>180</v>
      </c>
      <c r="D8" s="74">
        <v>27</v>
      </c>
      <c r="E8" s="74">
        <v>25</v>
      </c>
      <c r="F8" s="74">
        <v>28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28</v>
      </c>
      <c r="O8" s="74">
        <v>30</v>
      </c>
      <c r="P8" s="74">
        <v>25</v>
      </c>
      <c r="Q8" s="74">
        <v>23</v>
      </c>
      <c r="R8" s="74">
        <v>31</v>
      </c>
      <c r="S8" s="74">
        <v>21</v>
      </c>
      <c r="T8" s="74">
        <v>22</v>
      </c>
      <c r="U8" s="74">
        <v>25</v>
      </c>
      <c r="V8" s="74">
        <v>28</v>
      </c>
      <c r="W8" s="74">
        <v>26</v>
      </c>
      <c r="X8" s="74">
        <v>27</v>
      </c>
      <c r="Y8" s="74">
        <v>24</v>
      </c>
      <c r="Z8" s="74">
        <v>22</v>
      </c>
      <c r="AA8" s="74">
        <v>24</v>
      </c>
      <c r="AB8" s="74">
        <v>11</v>
      </c>
      <c r="AC8" s="74">
        <v>27</v>
      </c>
      <c r="AD8" s="74">
        <v>33</v>
      </c>
      <c r="AE8" s="74">
        <v>34</v>
      </c>
    </row>
    <row r="9" spans="1:99" ht="26.4" ph="1">
      <c r="B9" s="195" ph="1">
        <v>0.66666666666666663</v>
      </c>
      <c r="C9" s="162" t="s" ph="1">
        <v>181</v>
      </c>
      <c r="D9" s="71">
        <v>4188</v>
      </c>
      <c r="E9" s="71">
        <v>4267</v>
      </c>
      <c r="F9" s="71">
        <v>3449</v>
      </c>
      <c r="G9" s="71">
        <v>6380</v>
      </c>
      <c r="H9" s="71">
        <v>2248</v>
      </c>
      <c r="I9" s="71">
        <v>16.100000000000001</v>
      </c>
      <c r="J9" s="71">
        <v>22.5</v>
      </c>
      <c r="K9" s="71">
        <v>7.72</v>
      </c>
      <c r="L9" s="71">
        <v>21.22</v>
      </c>
      <c r="M9" s="71">
        <v>1955</v>
      </c>
      <c r="N9" s="71">
        <v>2360</v>
      </c>
      <c r="O9" s="71">
        <v>4299</v>
      </c>
      <c r="P9" s="71">
        <v>6474</v>
      </c>
      <c r="Q9" s="71">
        <v>2766</v>
      </c>
      <c r="R9" s="71">
        <v>0</v>
      </c>
      <c r="S9" s="71">
        <v>0</v>
      </c>
      <c r="T9" s="71">
        <v>0</v>
      </c>
      <c r="U9" s="71">
        <v>6109</v>
      </c>
      <c r="V9" s="71">
        <v>4775</v>
      </c>
      <c r="W9" s="71">
        <v>7029</v>
      </c>
      <c r="X9" s="71">
        <v>5883</v>
      </c>
      <c r="Y9" s="71">
        <v>4911</v>
      </c>
      <c r="Z9" s="71">
        <v>716</v>
      </c>
      <c r="AA9" s="71">
        <v>2172</v>
      </c>
      <c r="AB9" s="71">
        <v>3684</v>
      </c>
      <c r="AC9" s="71">
        <v>5891</v>
      </c>
      <c r="AD9" s="71">
        <v>2855</v>
      </c>
      <c r="AE9" s="71">
        <v>3626</v>
      </c>
    </row>
    <row r="10" spans="1:99" s="72" customFormat="1" ht="22.2" ph="1">
      <c r="B10" s="195" ph="1"/>
      <c r="C10" s="162" t="s" ph="1">
        <v>179</v>
      </c>
      <c r="D10" s="73" ph="1">
        <f>D9*33.183*LOOKUP(D11,密度!$A$2:$A$50,密度!$Q$2:$Q$50)</f>
        <v>131274.22302648</v>
      </c>
      <c r="E10" s="73" ph="1">
        <f>E9*51.53*LOOKUP(E11,密度!$A$2:$A$50,密度!$B$2:$B$50)</f>
        <v>170076.027485</v>
      </c>
      <c r="F10" s="73" ph="1">
        <f>F9*33.183*LOOKUP(F11,密度!$A$2:$A$50,密度!$C$2:$C$50)</f>
        <v>126568.22788530002</v>
      </c>
      <c r="G10" s="73" ph="1">
        <f xml:space="preserve"> (G9+2)*51.53*LOOKUP(G11,密度!$A$2:$A$50,密度!$B$2:$B$50)</f>
        <v>254968.61583800003</v>
      </c>
      <c r="H10" s="73" ph="1">
        <f>(H9)*51.53*LOOKUP(H11,密度!$A$2:$A$50,密度!$B$2:$B$50)</f>
        <v>89509.135288000005</v>
      </c>
      <c r="I10" s="73" ph="1">
        <f>I9*290.8*1.0267</f>
        <v>4806.8861960000004</v>
      </c>
      <c r="J10" s="73" ph="1">
        <f>J9*290.8*0.7892</f>
        <v>5163.7356</v>
      </c>
      <c r="K10" s="73" ph="1">
        <f>K9*290.8*1.1126</f>
        <v>2497.7602976000003</v>
      </c>
      <c r="L10" s="73" ph="1">
        <f>L9*290.8*0.777</f>
        <v>4794.6929520000003</v>
      </c>
      <c r="M10" s="73" ph="1">
        <f>M9*33.183*LOOKUP(M11,密度!$A$2:$A$50,密度!$D$2:$D$50)</f>
        <v>66299.965830000001</v>
      </c>
      <c r="N10" s="73" ph="1">
        <f>N9*33.183*LOOKUP(N11,密度!$A$2:$A$50,密度!$E$2:$E$50)</f>
        <v>60895.317887999998</v>
      </c>
      <c r="O10" s="73" ph="1">
        <f>O9*20.428*LOOKUP(O11,密度!$A$2:$A$50,密度!$C$2:$C$50)</f>
        <v>96408.765261600012</v>
      </c>
      <c r="P10" s="73" ph="1">
        <f>P9*51.53*LOOKUP(P11,密度!$A$2:$A$50,密度!$B$2:$B$50)</f>
        <v>259511.50063800003</v>
      </c>
      <c r="Q10" s="73" ph="1">
        <f>Q9*1.5*1.5*3.1416*LOOKUP(W11,密度!$A$2:$A$50,密度!$L$2:$L$50)</f>
        <v>18261.332258400002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40375.242369000007</v>
      </c>
      <c r="V10" s="73" ph="1">
        <f>V9*1.5*1.5*3.1416*LOOKUP(V11,密度!$A$2:$A$50,密度!$L$2:$L$50)</f>
        <v>31524.895710000004</v>
      </c>
      <c r="W10" s="73" ph="1">
        <f>W9*1.5*1.5*3.1416*LOOKUP(W11,密度!$A$2:$A$50,密度!$L$2:$L$50)</f>
        <v>46405.966899599996</v>
      </c>
      <c r="X10" s="73" ph="1">
        <f>X9*1.5*1.5*3.1416*LOOKUP(X11,密度!$A$2:$A$50,密度!$L$2:$L$50)</f>
        <v>39172.668519599996</v>
      </c>
      <c r="Y10" s="73" ph="1">
        <f>Y9*1.5*1.5*3.1416*LOOKUP(Y11,密度!$A$2:$A$50,密度!$L$2:$L$50)</f>
        <v>32526.919240200001</v>
      </c>
      <c r="Z10" s="73" ph="1">
        <f>Z9*33.183*LOOKUP(Z11,密度!$A$2:$A$50,密度!$L$2:$L$50)</f>
        <v>22143.414096</v>
      </c>
      <c r="AA10" s="73" ph="1">
        <f>AA9*33.183*LOOKUP(AA11,密度!$A$2:$A$50,密度!$D$2:$D$50)</f>
        <v>73796.032076399992</v>
      </c>
      <c r="AB10" s="73" ph="1">
        <f>AB9*20.428*LOOKUP(AB11,密度!$A$2:$A$50,密度!$D$2:$D$50)</f>
        <v>77619.814012800009</v>
      </c>
      <c r="AC10" s="73" ph="1">
        <f>AC9*51.53*LOOKUP(AC11,密度!$A$2:$A$50,密度!$Q$2:$Q$50)</f>
        <v>286964.39258360001</v>
      </c>
      <c r="AD10" s="73" ph="1">
        <f>AD9*20.428*LOOKUP(AD11,密度!$A$2:$A$50,密度!$V$2:$V$50)</f>
        <v>55849.089744000004</v>
      </c>
      <c r="AE10" s="73" ph="1">
        <f>AE9*20.428</f>
        <v>74071.928</v>
      </c>
    </row>
    <row r="11" spans="1:99" ph="1">
      <c r="A11" s="64" t="s" ph="1">
        <v>163</v>
      </c>
      <c r="B11" s="195" ph="1"/>
      <c r="C11" s="162" t="s" ph="1">
        <v>180</v>
      </c>
      <c r="D11" s="74">
        <v>28</v>
      </c>
      <c r="E11" s="74">
        <v>32</v>
      </c>
      <c r="F11" s="74">
        <v>29</v>
      </c>
      <c r="G11" s="74">
        <v>30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30</v>
      </c>
      <c r="O11" s="74">
        <v>37</v>
      </c>
      <c r="P11" s="74">
        <v>27</v>
      </c>
      <c r="Q11" s="74">
        <v>25</v>
      </c>
      <c r="R11" s="74">
        <v>36</v>
      </c>
      <c r="S11" s="74">
        <v>24</v>
      </c>
      <c r="T11" s="74">
        <v>33</v>
      </c>
      <c r="U11" s="74">
        <v>27</v>
      </c>
      <c r="V11" s="74">
        <v>28</v>
      </c>
      <c r="W11" s="74">
        <v>28</v>
      </c>
      <c r="X11" s="74">
        <v>20</v>
      </c>
      <c r="Y11" s="74">
        <v>25</v>
      </c>
      <c r="Z11" s="74">
        <v>30</v>
      </c>
      <c r="AA11" s="74">
        <v>28</v>
      </c>
      <c r="AB11" s="74">
        <v>20</v>
      </c>
      <c r="AC11" s="74">
        <v>27</v>
      </c>
      <c r="AD11" s="74">
        <v>48</v>
      </c>
      <c r="AE11" s="74">
        <v>37</v>
      </c>
    </row>
    <row r="12" spans="1:99" ht="9.9" customHeight="1" ph="1"/>
    <row r="13" spans="1:99" s="72" customFormat="1" ht="29.25" customHeight="1" ph="1">
      <c r="B13" s="203" t="s" ph="1">
        <v>37</v>
      </c>
      <c r="C13" s="162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62" t="s" ph="1">
        <v>178</v>
      </c>
      <c r="D15" s="78">
        <v>0</v>
      </c>
      <c r="E15" s="78">
        <v>2708</v>
      </c>
      <c r="F15" s="78">
        <v>2445</v>
      </c>
      <c r="G15" s="78">
        <v>880</v>
      </c>
      <c r="H15" s="78">
        <v>4532</v>
      </c>
      <c r="I15" s="78">
        <v>2662</v>
      </c>
      <c r="J15" s="78">
        <v>0</v>
      </c>
      <c r="K15" s="78">
        <v>220</v>
      </c>
      <c r="L15" s="78">
        <v>2129</v>
      </c>
      <c r="M15" s="78">
        <v>5310</v>
      </c>
      <c r="N15" s="78">
        <v>2252</v>
      </c>
      <c r="O15" s="78">
        <v>0</v>
      </c>
      <c r="P15" s="78">
        <v>6952</v>
      </c>
      <c r="Q15" s="78">
        <v>31</v>
      </c>
      <c r="R15" s="78">
        <v>3516</v>
      </c>
      <c r="S15" s="78">
        <v>6876</v>
      </c>
      <c r="T15" s="78">
        <v>775</v>
      </c>
      <c r="U15" s="78">
        <v>5465</v>
      </c>
      <c r="V15" s="78">
        <v>898</v>
      </c>
      <c r="W15" s="71">
        <v>3770</v>
      </c>
      <c r="X15" s="78">
        <v>152</v>
      </c>
      <c r="Y15" s="106">
        <v>-2366</v>
      </c>
      <c r="Z15" s="78">
        <v>0</v>
      </c>
      <c r="AA15" s="78">
        <v>4245</v>
      </c>
      <c r="AB15" s="78" ph="1">
        <v>6933</v>
      </c>
      <c r="AC15" s="78" ph="1">
        <v>989</v>
      </c>
      <c r="AD15" s="78">
        <v>5.67</v>
      </c>
      <c r="AE15" s="78">
        <v>85.3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62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17897.553828000004</v>
      </c>
      <c r="F16" s="73" ph="1">
        <f>F15*9.0746*LOOKUP(F17,密度!$A$2:$A$50,密度!$L$2:$L$50)</f>
        <v>20723.028798000003</v>
      </c>
      <c r="G16" s="73" ph="1">
        <f>G15*9.0746*LOOKUP(G17,密度!$A$2:$A$50,密度!$B$2:$B$50)</f>
        <v>6232.798264</v>
      </c>
      <c r="H16" s="73" ph="1">
        <f>H15*9.0746*LOOKUP(H17,密度!$A$2:$A$50,密度!$L$2:$L$50)</f>
        <v>38576.269793599997</v>
      </c>
      <c r="I16" s="73" ph="1">
        <f>I15*9.0746*LOOKUP(I17,密度!$A$2:$A$50,密度!$U$2:$U$50)</f>
        <v>24784.656415200003</v>
      </c>
      <c r="J16" s="73" ph="1">
        <f>J15*9.0746*LOOKUP(J17,密度!$A$2:$A$50,密度!$L$2:$L$50)</f>
        <v>0</v>
      </c>
      <c r="K16" s="73" ph="1">
        <f>K15*9.0746*LOOKUP(K17,密度!$A$2:$A$50,密度!$C$2:$C$50)</f>
        <v>2213.8212668000001</v>
      </c>
      <c r="L16" s="73" ph="1">
        <f>L15*9.0746*LOOKUP(L17,密度!$A$2:$A$50,密度!$E$2:$E$50)</f>
        <v>15065.598287320001</v>
      </c>
      <c r="M16" s="73" ph="1">
        <f>M15*9.0746*LOOKUP(M17,密度!$A$2:$A$50,密度!$M$2:$M$50)</f>
        <v>42018.301872000004</v>
      </c>
      <c r="N16" s="73" ph="1">
        <f>N15*9.0746*LOOKUP(N17,密度!$A$2:$A$50,密度!$M$2:$M$50)</f>
        <v>17899.89169928</v>
      </c>
      <c r="O16" s="73" ph="1">
        <f>O15*9.0746*LOOKUP(O17,密度!$A$2:$A$50,密度!$G$2:$G$50)</f>
        <v>0</v>
      </c>
      <c r="P16" s="73" ph="1">
        <f ca="1">P15*9.0746*LOOKUP(P17,密度!$A$2:$A$51,密度!$Q$2:$Q$50)</f>
        <v>59637.042862144001</v>
      </c>
      <c r="Q16" s="73" ph="1">
        <f>Q15*9.0746*LOOKUP(Q17,密度!$A$2:$A$50,密度!$Q$2:$Q$50)</f>
        <v>266.32989092400004</v>
      </c>
      <c r="R16" s="73" ph="1">
        <f>MAX(R15*9.0746*LOOKUP(R17,密度!$A$2:$A$50,密度!$B$2:$B$50),0)</f>
        <v>24819.90579144</v>
      </c>
      <c r="S16" s="73" ph="1">
        <f>S15*9.0746*LOOKUP(S17,密度!$A$2:$A$50,密度!$Q$2:$Q$50)</f>
        <v>59119.237837512002</v>
      </c>
      <c r="T16" s="73" ph="1">
        <f>T15*9.0746*LOOKUP(T17,密度!$A$2:$A$50,密度!$O$2:$O$50)</f>
        <v>6512.3866900000012</v>
      </c>
      <c r="U16" s="73" ph="1">
        <f>U15*9.0746*LOOKUP(U17,密度!$A$2:$A$50,密度!$H$2:$H$50)</f>
        <v>45362.432628299997</v>
      </c>
      <c r="V16" s="73" ph="1">
        <f>MAX(5600*LOOKUP(V17,密度!$A$2:$A$50,密度!$Q$2:$Q$50)+V15*9.0476*LOOKUP(V17,密度!$A$2:$A$50,密度!$Q$2:$Q$50),0)</f>
        <v>12984.020323143999</v>
      </c>
      <c r="W16" s="73" ph="1">
        <f>MAX(5600*LOOKUP(W17,密度!$A$2:$A$50,密度!$Q$2:$Q$50)+W15*9.0476*LOOKUP(W17,密度!$A$2:$A$50,密度!$Q$2:$Q$50),0)</f>
        <v>37652.502386399996</v>
      </c>
      <c r="X16" s="73" ph="1">
        <f>MAX(5600*LOOKUP(X17,密度!$A$2:$A$50,密度!$I$2:$I$50)+X15*9.0476*LOOKUP(X17,密度!$A$2:$A$50,密度!$I$2:$I$50),0)</f>
        <v>7288.423260479999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29966.012538300005</v>
      </c>
      <c r="AB16" s="73" ph="1">
        <f>AB15*9.0746*LOOKUP(AB17,密度!$A$2:$A$50,密度!$L$2:$L$50)</f>
        <v>59076.435490199998</v>
      </c>
      <c r="AC16" s="73" ph="1">
        <f>AC15*9.0746*LOOKUP(AC17,密度!$A$2:$A$50,密度!$L$2:$L$50)</f>
        <v>8409.3682977999997</v>
      </c>
      <c r="AD16" s="73" ph="1">
        <f>AD15*268.68*LOOKUP(AD17,密度!$A$2:$A$50,密度!B2:B50)+IF(AD15&lt;=0,0,1566*LOOKUP(AD17,密度!$A$2:$A$50,密度!B2:B50))</f>
        <v>2408.5084017600002</v>
      </c>
      <c r="AE16" s="73" ph="1">
        <f>AE15*268.68*LOOKUP(AE17,密度!$A$2:$A$50,密度!B2:B50)+IF(AE15&lt;=0,0,1566*LOOKUP(AE17,密度!$A$2:$A$50,密度!B2:B50))</f>
        <v>19088.041358399998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27</v>
      </c>
      <c r="E17" s="74">
        <v>27</v>
      </c>
      <c r="F17" s="74">
        <v>28</v>
      </c>
      <c r="G17" s="74">
        <v>24</v>
      </c>
      <c r="H17" s="74">
        <v>24</v>
      </c>
      <c r="I17" s="74">
        <v>24</v>
      </c>
      <c r="J17" s="74">
        <v>25</v>
      </c>
      <c r="K17" s="74">
        <v>25</v>
      </c>
      <c r="L17" s="74">
        <v>28</v>
      </c>
      <c r="M17" s="74">
        <v>28</v>
      </c>
      <c r="N17" s="74">
        <v>24</v>
      </c>
      <c r="O17" s="74">
        <v>27</v>
      </c>
      <c r="P17" s="74">
        <v>27</v>
      </c>
      <c r="Q17" s="74">
        <v>25</v>
      </c>
      <c r="R17" s="74">
        <v>27</v>
      </c>
      <c r="S17" s="74">
        <v>24</v>
      </c>
      <c r="T17" s="74">
        <v>25</v>
      </c>
      <c r="U17" s="74">
        <v>25</v>
      </c>
      <c r="V17" s="74">
        <v>26</v>
      </c>
      <c r="W17" s="74">
        <v>23</v>
      </c>
      <c r="X17" s="74">
        <v>23</v>
      </c>
      <c r="Y17" s="108">
        <v>24</v>
      </c>
      <c r="Z17" s="74">
        <v>24</v>
      </c>
      <c r="AA17" s="74">
        <v>27</v>
      </c>
      <c r="AB17" s="74">
        <v>23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3639</v>
      </c>
      <c r="F18" s="71">
        <v>2564</v>
      </c>
      <c r="G18" s="71">
        <v>903</v>
      </c>
      <c r="H18" s="71">
        <v>4537</v>
      </c>
      <c r="I18" s="71">
        <v>1381</v>
      </c>
      <c r="J18" s="71">
        <v>0</v>
      </c>
      <c r="K18" s="71">
        <v>219</v>
      </c>
      <c r="L18" s="71">
        <v>989</v>
      </c>
      <c r="M18" s="71">
        <v>6704</v>
      </c>
      <c r="N18" s="71">
        <v>882</v>
      </c>
      <c r="O18" s="71">
        <v>43</v>
      </c>
      <c r="P18" s="71">
        <v>6961</v>
      </c>
      <c r="Q18" s="71">
        <v>26</v>
      </c>
      <c r="R18" s="71">
        <v>3521</v>
      </c>
      <c r="S18" s="71">
        <v>6885</v>
      </c>
      <c r="T18" s="71">
        <v>772</v>
      </c>
      <c r="U18" s="71">
        <v>5468</v>
      </c>
      <c r="V18" s="71">
        <v>4760</v>
      </c>
      <c r="W18" s="71">
        <v>3771</v>
      </c>
      <c r="X18" s="71">
        <v>152</v>
      </c>
      <c r="Y18" s="109">
        <v>-9907</v>
      </c>
      <c r="Z18" s="71">
        <v>0</v>
      </c>
      <c r="AA18" s="71">
        <v>4249</v>
      </c>
      <c r="AB18" s="71">
        <v>6945</v>
      </c>
      <c r="AC18" s="71">
        <v>992</v>
      </c>
      <c r="AD18" s="71">
        <v>33.85</v>
      </c>
      <c r="AE18" s="71">
        <v>84.72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62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23973.496192800001</v>
      </c>
      <c r="F19" s="73" ph="1">
        <f>F18*9.0746*LOOKUP(F20,密度!$A$2:$A$50,密度!$L$2:$L$50)</f>
        <v>21685.099740800004</v>
      </c>
      <c r="G19" s="73" ph="1">
        <f>G18*9.0746*LOOKUP(G20,密度!$A$2:$A$50,密度!$B$2:$B$50)</f>
        <v>6353.090254140001</v>
      </c>
      <c r="H19" s="73" ph="1">
        <f>H18*9.0746*LOOKUP(H20,密度!$A$2:$A$50,密度!$L$2:$L$50)</f>
        <v>38371.8009064</v>
      </c>
      <c r="I19" s="73" ph="1">
        <f>I18*9.0746*LOOKUP(I20,密度!$A$2:$A$50,密度!$U$2:$U$50)</f>
        <v>12782.663052</v>
      </c>
      <c r="J19" s="73" ph="1">
        <f>J18*9.0746*LOOKUP(J20,密度!$A$2:$A$50,密度!$L$2:$L$50)</f>
        <v>0</v>
      </c>
      <c r="K19" s="73" ph="1">
        <f>K18*9.0746*LOOKUP(K20,密度!$A$2:$A$50,密度!$C$2:$C$50)</f>
        <v>2194.2192233400001</v>
      </c>
      <c r="L19" s="73" ph="1">
        <f>L18*9.0746*LOOKUP(L20,密度!$A$2:$A$50,密度!$E$2:$E$50)</f>
        <v>6958.3259644079999</v>
      </c>
      <c r="M19" s="73" ph="1">
        <f>M18*9.0746*LOOKUP(M20,密度!$A$2:$A$50,密度!$M$2:$M$50)</f>
        <v>52858.678194207998</v>
      </c>
      <c r="N19" s="73" ph="1">
        <f>N18*9.0746*LOOKUP(N20,密度!$A$2:$A$50,密度!$M$2:$M$50)</f>
        <v>6979.3111583999998</v>
      </c>
      <c r="O19" s="73" ph="1">
        <f>O18*9.0746*LOOKUP(O20,密度!$A$2:$A$50,密度!$G$2:$G$50)</f>
        <v>372.53138666000001</v>
      </c>
      <c r="P19" s="73" ph="1">
        <f ca="1">P18*9.0746*LOOKUP(P20,密度!$A$2:$A$51,密度!$Q$2:$Q$50)</f>
        <v>59588.543571697999</v>
      </c>
      <c r="Q19" s="73" ph="1">
        <f>Q18*9.0746*LOOKUP(Q20,密度!$A$2:$A$50,密度!$Q$2:$Q$50)</f>
        <v>222.391948168</v>
      </c>
      <c r="R19" s="73" ph="1">
        <f>MAX(R18*9.0746*LOOKUP(R20,密度!$A$2:$A$50,密度!$B$2:$B$50),0)</f>
        <v>24772.127114980001</v>
      </c>
      <c r="S19" s="73" ph="1">
        <f>S18*9.0746*LOOKUP(S20,密度!$A$2:$A$50,密度!$Q$2:$Q$50)</f>
        <v>58937.957547929997</v>
      </c>
      <c r="T19" s="73" ph="1">
        <f>T18*9.0746*LOOKUP(T20,密度!$A$2:$A$50,密度!$O$2:$O$50)</f>
        <v>6459.1550864000001</v>
      </c>
      <c r="U19" s="73" ph="1">
        <f>U18*9.0746*LOOKUP(U20,密度!$A$2:$A$50,密度!$H$2:$H$50)</f>
        <v>45253.360473599998</v>
      </c>
      <c r="V19" s="73" ph="1">
        <f>MAX(5600*LOOKUP(V20,密度!$A$2:$A$50,密度!$Q$2:$Q$50)+V18*9.0476*LOOKUP(V20,密度!$A$2:$A$50,密度!$Q$2:$Q$50),0)</f>
        <v>45971.421021119997</v>
      </c>
      <c r="W19" s="73" ph="1">
        <f>MAX(5600*LOOKUP(W20,密度!$A$2:$A$50,密度!$Q$2:$Q$50)+W18*9.0476*LOOKUP(W20,密度!$A$2:$A$50,密度!$Q$2:$Q$50),0)</f>
        <v>37518.889092152</v>
      </c>
      <c r="X19" s="73" ph="1">
        <f>MAX(5600*LOOKUP(X20,密度!$A$2:$A$50,密度!$I$2:$I$50)+X18*9.0476*LOOKUP(X20,密度!$A$2:$A$50,密度!$I$2:$I$50),0)</f>
        <v>7246.5718492799988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29994.249063660005</v>
      </c>
      <c r="AB19" s="73" ph="1">
        <f>AB18*9.0746*LOOKUP(AB20,密度!$A$2:$A$50,密度!$L$2:$L$50)</f>
        <v>58800.549501000001</v>
      </c>
      <c r="AC19" s="73" ph="1">
        <f>AC18*9.0746*LOOKUP(AC20,密度!$A$2:$A$50,密度!$L$2:$L$50)</f>
        <v>8398.8689856000019</v>
      </c>
      <c r="AD19" s="73" ph="1">
        <f>AD18*268.68*LOOKUP(AD20,密度!$A$2:$A$50,密度!B5:B53)+IF(AD18&lt;=0,0,1566*LOOKUP(AD20,密度!$A$2:$A$50,密度!B5:B53))</f>
        <v>8283.455586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30</v>
      </c>
      <c r="E20" s="81">
        <v>30</v>
      </c>
      <c r="F20" s="81">
        <v>30</v>
      </c>
      <c r="G20" s="81">
        <v>30</v>
      </c>
      <c r="H20" s="81">
        <v>30</v>
      </c>
      <c r="I20" s="81">
        <v>30</v>
      </c>
      <c r="J20" s="81">
        <v>33</v>
      </c>
      <c r="K20" s="81">
        <v>31</v>
      </c>
      <c r="L20" s="81">
        <v>32</v>
      </c>
      <c r="M20" s="81">
        <v>31</v>
      </c>
      <c r="N20" s="81">
        <v>28</v>
      </c>
      <c r="O20" s="81">
        <v>30</v>
      </c>
      <c r="P20" s="81">
        <v>30</v>
      </c>
      <c r="Q20" s="81">
        <v>31</v>
      </c>
      <c r="R20" s="81">
        <v>30</v>
      </c>
      <c r="S20" s="81">
        <v>30</v>
      </c>
      <c r="T20" s="81">
        <v>30</v>
      </c>
      <c r="U20" s="81">
        <v>28</v>
      </c>
      <c r="V20" s="81">
        <v>28</v>
      </c>
      <c r="W20" s="81">
        <v>28</v>
      </c>
      <c r="X20" s="81">
        <v>28</v>
      </c>
      <c r="Y20" s="110">
        <v>28</v>
      </c>
      <c r="Z20" s="81">
        <v>33</v>
      </c>
      <c r="AA20" s="81">
        <v>27</v>
      </c>
      <c r="AB20" s="81">
        <v>29</v>
      </c>
      <c r="AC20" s="81">
        <v>29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62" t="s" ph="1">
        <v>178</v>
      </c>
      <c r="D24" s="71">
        <v>3.11</v>
      </c>
      <c r="E24" s="71">
        <v>95.62</v>
      </c>
      <c r="F24" s="71">
        <v>0</v>
      </c>
      <c r="G24" s="71">
        <v>3352</v>
      </c>
      <c r="H24" s="71">
        <v>2169</v>
      </c>
      <c r="I24" s="71">
        <v>3802</v>
      </c>
      <c r="J24" s="71">
        <v>4965</v>
      </c>
      <c r="K24" s="71">
        <v>27</v>
      </c>
      <c r="L24" s="71">
        <v>125</v>
      </c>
      <c r="M24" s="71">
        <v>5436</v>
      </c>
      <c r="N24" s="71">
        <v>5386</v>
      </c>
      <c r="O24" s="71">
        <v>0</v>
      </c>
      <c r="P24" s="71">
        <v>840</v>
      </c>
      <c r="Q24" s="90">
        <v>1301</v>
      </c>
      <c r="R24" s="71">
        <v>4076</v>
      </c>
      <c r="S24" s="71">
        <v>226</v>
      </c>
      <c r="T24" s="71">
        <v>1760</v>
      </c>
      <c r="U24" s="71">
        <v>6234</v>
      </c>
      <c r="V24" s="71">
        <v>9675</v>
      </c>
      <c r="W24" s="71">
        <v>8347</v>
      </c>
      <c r="X24" s="71">
        <v>5194</v>
      </c>
      <c r="Y24" s="71">
        <v>7499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30225.488676240006</v>
      </c>
      <c r="F25" s="91" ph="1">
        <f>F24*11.702*LOOKUP(F26,密度!$A$2:$A$50,密度!$Q$2:$Q$50)</f>
        <v>0</v>
      </c>
      <c r="G25" s="91" ph="1">
        <f>G24*18.322*LOOKUP(G26,密度!$A$2:$A$50,密度!$B$2:$B$50)</f>
        <v>47934.675991999997</v>
      </c>
      <c r="H25" s="91" ph="1">
        <f>H24*18.322*LOOKUP(H26,密度!$A$2:$A$50,密度!$B$2:$B$50)</f>
        <v>31017.396248999998</v>
      </c>
      <c r="I25" s="91" ph="1">
        <f>I24*18.322*LOOKUP(I26,密度!$A$2:$A$50,密度!$Q$2:$Q$50)</f>
        <v>66051.84336079999</v>
      </c>
      <c r="J25" s="91" ph="1">
        <f>J24*18.322*LOOKUP(J26,密度!$A$2:$A$50,密度!$Q$2:$Q$50)</f>
        <v>86190.142613100004</v>
      </c>
      <c r="K25" s="91" ph="1">
        <f>K24*18.322*LOOKUP(K26,密度!$A$2:$A$50,密度!$Q$2:$Q$50)</f>
        <v>468.70772417999996</v>
      </c>
      <c r="L25" s="91" ph="1">
        <f>L24*18.322*LOOKUP(L26,密度!$A$2:$A$50,密度!$Q$2:$Q$50)</f>
        <v>2169.9431675000001</v>
      </c>
      <c r="M25" s="91" ph="1">
        <f>M24*18.322*LOOKUP(M26,密度!$A$2:$A$50,密度!$Q$2:$Q$50)</f>
        <v>94366.488468240001</v>
      </c>
      <c r="N25" s="91" ph="1">
        <f>N24*18.322*LOOKUP(N26,密度!$A$2:$A$50,密度!$Q$2:$Q$50)</f>
        <v>93498.511201240006</v>
      </c>
      <c r="O25" s="91" ph="1">
        <f>O24*18.322*LOOKUP(O26,密度!$A$2:$A$50,密度!$C$2:$C$50)</f>
        <v>0</v>
      </c>
      <c r="P25" s="91" ph="1">
        <f>P24*11.702*LOOKUP(P26,密度!$A$2:$A$50,密度!$B$2:$B$50)</f>
        <v>7663.2185279999994</v>
      </c>
      <c r="Q25" s="92" ph="1">
        <f>Q24*18.322*LOOKUP(Q26,密度!$A$2:$A$50,密度!$B$2:$B$50)</f>
        <v>18561.811161399997</v>
      </c>
      <c r="R25" s="91" ph="1">
        <f>R24*35.891*LOOKUP(R26,密度!$A$2:$A$50,密度!$C$2:$C$50)</f>
        <v>162325.28807359998</v>
      </c>
      <c r="S25" s="91" ph="1">
        <f>S24*35.891*LOOKUP(S26,密度!$A$2:$A$50,密度!$B$2:$B$50)</f>
        <v>6330.921163</v>
      </c>
      <c r="T25" s="91" ph="1">
        <f>T24*35.891*LOOKUP(T26,密度!$A$2:$A$50,密度!$Q$2:$Q$50)</f>
        <v>59758.974404799999</v>
      </c>
      <c r="U25" s="91" ph="1">
        <f>U24*35.891</f>
        <v>223744.49399999998</v>
      </c>
      <c r="V25" s="91" ph="1">
        <f>V24*47.051*LOOKUP(V26,密度!$A$2:$A$50,密度!$B$2:$B$50)</f>
        <v>354888.28413000004</v>
      </c>
      <c r="W25" s="91" ph="1">
        <f>W24*47.051*LOOKUP(W26,密度!$A$2:$A$50,密度!$B$2:$B$50)</f>
        <v>306175.96978119999</v>
      </c>
      <c r="X25" s="91" ph="1">
        <f>X24*47.051*LOOKUP(X26,密度!$A$2:$A$50,密度!$I$2:$I$50)</f>
        <v>251152.30016380001</v>
      </c>
      <c r="Y25" s="91" ph="1">
        <f>Y24*47.051*LOOKUP(Y26,密度!$A$2:$A$50,密度!$L$2:$L$50)</f>
        <v>328842.63846800005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23</v>
      </c>
      <c r="G26" s="74">
        <v>24</v>
      </c>
      <c r="H26" s="74">
        <v>24</v>
      </c>
      <c r="I26" s="74">
        <v>23</v>
      </c>
      <c r="J26" s="74">
        <v>24</v>
      </c>
      <c r="K26" s="74">
        <v>24</v>
      </c>
      <c r="L26" s="74">
        <v>24</v>
      </c>
      <c r="M26" s="74">
        <v>24</v>
      </c>
      <c r="N26" s="74">
        <v>24</v>
      </c>
      <c r="O26" s="74">
        <v>24</v>
      </c>
      <c r="P26" s="74">
        <v>25</v>
      </c>
      <c r="Q26" s="93">
        <v>26</v>
      </c>
      <c r="R26" s="74">
        <v>24</v>
      </c>
      <c r="S26" s="74">
        <v>24</v>
      </c>
      <c r="T26" s="74">
        <v>26</v>
      </c>
      <c r="U26" s="74">
        <v>23</v>
      </c>
      <c r="V26" s="74">
        <v>25</v>
      </c>
      <c r="W26" s="74">
        <v>25</v>
      </c>
      <c r="X26" s="74">
        <v>38</v>
      </c>
      <c r="Y26" s="74">
        <v>30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62" t="s" ph="1">
        <v>181</v>
      </c>
      <c r="D27" s="71">
        <v>3.11</v>
      </c>
      <c r="E27" s="71">
        <v>95.62</v>
      </c>
      <c r="F27" s="71">
        <v>0</v>
      </c>
      <c r="G27" s="71">
        <v>2661</v>
      </c>
      <c r="H27" s="71">
        <v>2031</v>
      </c>
      <c r="I27" s="71">
        <v>3802</v>
      </c>
      <c r="J27" s="71">
        <v>4968</v>
      </c>
      <c r="K27" s="71">
        <v>23</v>
      </c>
      <c r="L27" s="71">
        <v>230</v>
      </c>
      <c r="M27" s="71">
        <v>5438</v>
      </c>
      <c r="N27" s="71">
        <v>5385</v>
      </c>
      <c r="O27" s="71">
        <v>0</v>
      </c>
      <c r="P27" s="71">
        <v>838</v>
      </c>
      <c r="Q27" s="90">
        <v>1680</v>
      </c>
      <c r="R27" s="71">
        <v>4073</v>
      </c>
      <c r="S27" s="71">
        <v>223</v>
      </c>
      <c r="T27" s="71">
        <v>1759</v>
      </c>
      <c r="U27" s="71">
        <v>5969</v>
      </c>
      <c r="V27" s="71">
        <v>9678</v>
      </c>
      <c r="W27" s="71">
        <v>8347</v>
      </c>
      <c r="X27" s="71">
        <v>5191</v>
      </c>
      <c r="Y27" s="71">
        <v>6632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62" t="s" ph="1">
        <v>179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30225.488676240006</v>
      </c>
      <c r="F28" s="91" ph="1">
        <f>F27*11.702*LOOKUP(F29,密度!$A$2:$A$50,密度!$Q$2:$Q$50)</f>
        <v>0</v>
      </c>
      <c r="G28" s="91" ph="1">
        <f>G27*18.322*LOOKUP(G29,密度!$A$2:$A$50,密度!$B$2:$B$50)</f>
        <v>37926.391591799998</v>
      </c>
      <c r="H28" s="91" ph="1">
        <f>H27*18.322*LOOKUP(H29,密度!$A$2:$A$50,密度!$B$2:$B$50)</f>
        <v>28947.2007978</v>
      </c>
      <c r="I28" s="91" ph="1">
        <f>I27*18.322*LOOKUP(I29,密度!$A$2:$A$50,密度!$Q$2:$Q$50)</f>
        <v>65900.680631319992</v>
      </c>
      <c r="J28" s="91" ph="1">
        <f>J27*18.322*LOOKUP(J29,密度!$A$2:$A$50,密度!$Q$2:$Q$50)</f>
        <v>86111.147126879994</v>
      </c>
      <c r="K28" s="91" ph="1">
        <f>K27*18.322*LOOKUP(K29,密度!$A$2:$A$50,密度!$Q$2:$Q$50)</f>
        <v>398.66271818000001</v>
      </c>
      <c r="L28" s="91" ph="1">
        <f>L27*18.322*LOOKUP(L29,密度!$A$2:$A$50,密度!$Q$2:$Q$50)</f>
        <v>3983.6351991999995</v>
      </c>
      <c r="M28" s="91" ph="1">
        <f>M27*18.322*LOOKUP(M29,密度!$A$2:$A$50,密度!$Q$2:$Q$50)</f>
        <v>94117.247706319991</v>
      </c>
      <c r="N28" s="91" ph="1">
        <f>N27*18.322*LOOKUP(N29,密度!$A$2:$A$50,密度!$Q$2:$Q$50)</f>
        <v>93339.075539099998</v>
      </c>
      <c r="O28" s="91" ph="1">
        <f>O27*18.322*LOOKUP(O29,密度!$A$2:$A$50,密度!$C$2:$C$50)</f>
        <v>0</v>
      </c>
      <c r="P28" s="91" ph="1">
        <f>P27*11.702*LOOKUP(P29,密度!$A$2:$A$50,密度!$B$2:$B$50)</f>
        <v>7636.1471211999997</v>
      </c>
      <c r="Q28" s="92" ph="1">
        <f>Q27*18.322*LOOKUP(Q29,密度!$A$2:$A$50,密度!$B$2:$B$50)</f>
        <v>24492.409871999997</v>
      </c>
      <c r="R28" s="91" ph="1">
        <f>R27*35.891*LOOKUP(R29,密度!$A$2:$A$50,密度!$C$2:$C$50)</f>
        <v>161986.53804830002</v>
      </c>
      <c r="S28" s="91" ph="1">
        <f>S27*35.891*LOOKUP(S29,密度!$A$2:$A$50,密度!$B$2:$B$50)</f>
        <v>6218.8694609999993</v>
      </c>
      <c r="T28" s="91" ph="1">
        <f>T27*35.891*LOOKUP(T29,密度!$A$2:$A$50,密度!$Q$2:$Q$50)</f>
        <v>59725.020442070003</v>
      </c>
      <c r="U28" s="91" ph="1">
        <f>U27*35.891</f>
        <v>214233.37899999999</v>
      </c>
      <c r="V28" s="91" ph="1">
        <f>V27*47.051*LOOKUP(V29,密度!$A$2:$A$50,密度!$B$2:$B$50)</f>
        <v>354998.3270088</v>
      </c>
      <c r="W28" s="91" ph="1">
        <f>W27*47.051*LOOKUP(W29,密度!$A$2:$A$50,密度!$B$2:$B$50)</f>
        <v>305508.32079630008</v>
      </c>
      <c r="X28" s="91" ph="1">
        <f>X27*47.051*LOOKUP(X29,密度!$A$2:$A$50,密度!$I$2:$I$50)</f>
        <v>251275.90314079999</v>
      </c>
      <c r="Y28" s="91" ph="1">
        <f>Y27*47.051*LOOKUP(Y29,密度!$A$2:$A$50,密度!$L$2:$L$50)</f>
        <v>290823.360224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62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26</v>
      </c>
      <c r="J29" s="74">
        <v>26</v>
      </c>
      <c r="K29" s="74">
        <v>26</v>
      </c>
      <c r="L29" s="74">
        <v>27</v>
      </c>
      <c r="M29" s="74">
        <v>28</v>
      </c>
      <c r="N29" s="74">
        <v>26</v>
      </c>
      <c r="O29" s="74">
        <v>26</v>
      </c>
      <c r="P29" s="74">
        <v>26</v>
      </c>
      <c r="Q29" s="93">
        <v>6</v>
      </c>
      <c r="R29" s="74">
        <v>26</v>
      </c>
      <c r="S29" s="74">
        <v>28</v>
      </c>
      <c r="T29" s="74">
        <v>26</v>
      </c>
      <c r="U29" s="74">
        <v>25</v>
      </c>
      <c r="V29" s="74">
        <v>25</v>
      </c>
      <c r="W29" s="74">
        <v>27</v>
      </c>
      <c r="X29" s="74">
        <v>37</v>
      </c>
      <c r="Y29" s="74">
        <v>30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62" t="s" ph="1">
        <v>5</v>
      </c>
      <c r="F32" s="163" t="s" ph="1">
        <v>43</v>
      </c>
      <c r="G32" s="97" t="s" ph="1">
        <v>4</v>
      </c>
      <c r="H32" s="162" t="s" ph="1">
        <v>5</v>
      </c>
      <c r="I32" s="163" t="s" ph="1">
        <v>43</v>
      </c>
      <c r="J32" s="97" t="s" ph="1">
        <v>4</v>
      </c>
      <c r="K32" s="162" t="s" ph="1">
        <v>5</v>
      </c>
      <c r="L32" s="163" t="s" ph="1">
        <v>43</v>
      </c>
      <c r="M32" s="97" t="s" ph="1">
        <v>4</v>
      </c>
      <c r="N32" s="162" t="s" ph="1">
        <v>5</v>
      </c>
      <c r="O32" s="16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3" t="s" ph="1">
        <v>43</v>
      </c>
      <c r="AB32" s="97" t="s" ph="1">
        <v>85</v>
      </c>
      <c r="AC32" s="162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151415.8460892</v>
      </c>
      <c r="E33" s="217" ph="1">
        <f>M10+I10</f>
        <v>71106.852026000008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21" ph="1">
        <v>0</v>
      </c>
      <c r="H33" s="217" ph="1">
        <f>N19</f>
        <v>6979.3111583999998</v>
      </c>
      <c r="I33" s="230" ph="1">
        <v>0</v>
      </c>
      <c r="J33" s="228" ph="1">
        <f>F10+O28</f>
        <v>126568.22788530002</v>
      </c>
      <c r="K33" s="217" ph="1">
        <f>O10+K10+E28+R28</f>
        <v>291118.55228374002</v>
      </c>
      <c r="L33" s="232" ph="1">
        <f>BE27</f>
        <v>7100</v>
      </c>
      <c r="M33" s="228" ph="1">
        <f>G10+H10+W28+S28+V28+E10</f>
        <v>1181279.2958771002</v>
      </c>
      <c r="N33" s="217" ph="1">
        <f>L10+P10++G28+H28</f>
        <v>331179.78597960004</v>
      </c>
      <c r="O33" s="230" ph="1">
        <f>BE17</f>
        <v>2270</v>
      </c>
      <c r="P33" s="228" ph="1">
        <f>L19</f>
        <v>6958.3259644079999</v>
      </c>
      <c r="Q33" s="217" ph="1">
        <f>J10+N10</f>
        <v>66059.053488000005</v>
      </c>
      <c r="R33" s="230" ph="1">
        <f>BE23</f>
        <v>890</v>
      </c>
      <c r="S33" s="228" ph="1">
        <f>E10+X28</f>
        <v>421351.93062579999</v>
      </c>
      <c r="T33" s="217" ph="1">
        <f>X19</f>
        <v>7246.5718492799988</v>
      </c>
      <c r="U33" s="238" ph="1">
        <f>BE21</f>
        <v>730</v>
      </c>
      <c r="V33" s="249" ph="1">
        <f ca="1">P19+Q19+S19+M28+N28+J28</f>
        <v>392316.36344009597</v>
      </c>
      <c r="W33" s="249" ph="1">
        <f>D28+F28+V19+T28</f>
        <v>107970.127324142</v>
      </c>
      <c r="X33" s="230" ph="1">
        <f>BE29+BE31</f>
        <v>10200</v>
      </c>
      <c r="Y33" s="251" ph="1">
        <f>+Q10+R10+S10+T10+U10+V10+W10+X10+Y10</f>
        <v>208267.0249968</v>
      </c>
      <c r="Z33" s="236" ph="1">
        <f>D10+T19+U19+Y28+Z10</f>
        <v>495953.51290648</v>
      </c>
      <c r="AA33" s="238" ph="1">
        <f>BE19</f>
        <v>1440</v>
      </c>
      <c r="AB33" s="240" ph="1">
        <f>I19</f>
        <v>12782.663052</v>
      </c>
      <c r="AC33" s="242" ph="1">
        <f>AD10</f>
        <v>55849.089744000004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4" t="s" ph="1">
        <v>186</v>
      </c>
      <c r="AA36" s="164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6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4" t="s" ph="1">
        <v>345</v>
      </c>
      <c r="AI37" s="164" t="s" ph="1">
        <v>212</v>
      </c>
      <c r="AJ37" s="164" t="s" ph="1">
        <v>213</v>
      </c>
      <c r="AK37" s="164" t="s" ph="1">
        <v>214</v>
      </c>
      <c r="AM37" s="164" t="s" ph="1">
        <v>213</v>
      </c>
      <c r="AN37" s="164" t="s" ph="1">
        <v>214</v>
      </c>
      <c r="AO37" s="164" t="s" ph="1">
        <v>215</v>
      </c>
      <c r="AP37" s="164" t="s" ph="1">
        <v>213</v>
      </c>
      <c r="AQ37" s="164" t="s" ph="1">
        <v>214</v>
      </c>
      <c r="AR37" s="164" t="s" ph="1">
        <v>215</v>
      </c>
      <c r="AS37" s="164" t="s" ph="1">
        <v>213</v>
      </c>
      <c r="AT37" s="164" t="s" ph="1">
        <v>214</v>
      </c>
      <c r="AU37" s="164" t="s" ph="1">
        <v>215</v>
      </c>
      <c r="AV37" s="164" t="s" ph="1">
        <v>213</v>
      </c>
      <c r="AW37" s="164" t="s" ph="1">
        <v>214</v>
      </c>
      <c r="AX37" s="164" t="s" ph="1">
        <v>215</v>
      </c>
      <c r="AY37" s="164" t="s" ph="1">
        <v>214</v>
      </c>
      <c r="AZ37" s="164" t="s" ph="1">
        <v>216</v>
      </c>
      <c r="BD37" s="164" t="s" ph="1">
        <v>308</v>
      </c>
      <c r="BE37" s="164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881" priority="96">
      <formula>ABS(D$7-D$10)&gt;=1000</formula>
    </cfRule>
  </conditionalFormatting>
  <conditionalFormatting sqref="E4 E6:E11">
    <cfRule type="expression" dxfId="880" priority="95">
      <formula>ABS(E$7-E$10)&gt;=1000</formula>
    </cfRule>
  </conditionalFormatting>
  <conditionalFormatting sqref="F4:F11">
    <cfRule type="expression" dxfId="879" priority="94">
      <formula>ABS(F$7-F$10)&gt;=1000</formula>
    </cfRule>
  </conditionalFormatting>
  <conditionalFormatting sqref="G4:G11">
    <cfRule type="expression" dxfId="878" priority="93">
      <formula>ABS(G$7-G$10)&gt;=1000</formula>
    </cfRule>
  </conditionalFormatting>
  <conditionalFormatting sqref="H4:H11">
    <cfRule type="expression" dxfId="877" priority="92">
      <formula>ABS(H$7-H$10)&gt;=1000</formula>
    </cfRule>
  </conditionalFormatting>
  <conditionalFormatting sqref="I4:I11">
    <cfRule type="expression" dxfId="876" priority="91">
      <formula>ABS(I$7-I$10)&gt;=1000</formula>
    </cfRule>
  </conditionalFormatting>
  <conditionalFormatting sqref="J4:J11">
    <cfRule type="expression" dxfId="875" priority="90">
      <formula>ABS(J$7-J$10)&gt;=1000</formula>
    </cfRule>
  </conditionalFormatting>
  <conditionalFormatting sqref="K4:K11">
    <cfRule type="expression" dxfId="874" priority="89">
      <formula>ABS(K$7-K$10)&gt;=1000</formula>
    </cfRule>
  </conditionalFormatting>
  <conditionalFormatting sqref="L4:L11">
    <cfRule type="expression" dxfId="873" priority="88">
      <formula>ABS(L$7-L$10)&gt;=1000</formula>
    </cfRule>
  </conditionalFormatting>
  <conditionalFormatting sqref="M4 M6:M11">
    <cfRule type="expression" dxfId="872" priority="87">
      <formula>ABS(M$7-M$10)&gt;=1000</formula>
    </cfRule>
  </conditionalFormatting>
  <conditionalFormatting sqref="N4 N6:N11">
    <cfRule type="expression" dxfId="871" priority="86">
      <formula>ABS(N$7-N$10)&gt;=1000</formula>
    </cfRule>
  </conditionalFormatting>
  <conditionalFormatting sqref="O4 O6:O11">
    <cfRule type="expression" dxfId="870" priority="85">
      <formula>ABS(O$7-O$10)&gt;=1000</formula>
    </cfRule>
  </conditionalFormatting>
  <conditionalFormatting sqref="P4 P6:P11">
    <cfRule type="expression" dxfId="869" priority="84">
      <formula>ABS(P$7-P$10)&gt;=1000</formula>
    </cfRule>
  </conditionalFormatting>
  <conditionalFormatting sqref="Q4:Q11">
    <cfRule type="expression" dxfId="868" priority="83">
      <formula>ABS(Q$7-Q$10)&gt;=1000</formula>
    </cfRule>
  </conditionalFormatting>
  <conditionalFormatting sqref="R4:R11">
    <cfRule type="expression" dxfId="867" priority="82">
      <formula>ABS(R$7-R$10)&gt;=1000</formula>
    </cfRule>
  </conditionalFormatting>
  <conditionalFormatting sqref="S4:S11">
    <cfRule type="expression" dxfId="866" priority="81">
      <formula>ABS(S$7-S$10)&gt;=1000</formula>
    </cfRule>
  </conditionalFormatting>
  <conditionalFormatting sqref="T4:T9 T11">
    <cfRule type="expression" dxfId="865" priority="80">
      <formula>ABS(T$7-T$10)&gt;=1000</formula>
    </cfRule>
  </conditionalFormatting>
  <conditionalFormatting sqref="U4:U9 U11">
    <cfRule type="expression" dxfId="864" priority="79">
      <formula>ABS(U$7-U$10)&gt;=1000</formula>
    </cfRule>
  </conditionalFormatting>
  <conditionalFormatting sqref="V4:V9 V11">
    <cfRule type="expression" dxfId="863" priority="78">
      <formula>ABS(V$7-V$10)&gt;=1000</formula>
    </cfRule>
  </conditionalFormatting>
  <conditionalFormatting sqref="W4:W9 W11">
    <cfRule type="expression" dxfId="862" priority="77">
      <formula>ABS(W$7-W$10)&gt;=1000</formula>
    </cfRule>
  </conditionalFormatting>
  <conditionalFormatting sqref="X4:X9 X11">
    <cfRule type="expression" dxfId="861" priority="76">
      <formula>ABS(X$7-X$10)&gt;=1000</formula>
    </cfRule>
  </conditionalFormatting>
  <conditionalFormatting sqref="Y4:Y9 Y11">
    <cfRule type="expression" dxfId="860" priority="75">
      <formula>ABS(Y$7-Y$10)&gt;=1000</formula>
    </cfRule>
  </conditionalFormatting>
  <conditionalFormatting sqref="Z4:Z11">
    <cfRule type="expression" dxfId="859" priority="74">
      <formula>ABS(Z$7-Z$10)&gt;=1000</formula>
    </cfRule>
  </conditionalFormatting>
  <conditionalFormatting sqref="AA4:AA11">
    <cfRule type="expression" dxfId="858" priority="73">
      <formula>ABS(AA$7-AA$10)&gt;=1000</formula>
    </cfRule>
  </conditionalFormatting>
  <conditionalFormatting sqref="AB4:AB11">
    <cfRule type="expression" dxfId="857" priority="72">
      <formula>ABS(AB$7-AB$10)&gt;=1000</formula>
    </cfRule>
  </conditionalFormatting>
  <conditionalFormatting sqref="AC4 AC6:AC11">
    <cfRule type="expression" dxfId="856" priority="71">
      <formula>ABS(AC$7-AC$10)&gt;=1000</formula>
    </cfRule>
  </conditionalFormatting>
  <conditionalFormatting sqref="AD4:AD11">
    <cfRule type="expression" dxfId="855" priority="70">
      <formula>ABS(AD$7-AD$10)&gt;=1000</formula>
    </cfRule>
  </conditionalFormatting>
  <conditionalFormatting sqref="AE4:AE11">
    <cfRule type="expression" dxfId="854" priority="69">
      <formula>ABS(AE$7-AE$10)&gt;=1000</formula>
    </cfRule>
  </conditionalFormatting>
  <conditionalFormatting sqref="D13:D20">
    <cfRule type="expression" dxfId="853" priority="68">
      <formula>ABS(D$16-D$19)&gt;=1000</formula>
    </cfRule>
  </conditionalFormatting>
  <conditionalFormatting sqref="E13:E20">
    <cfRule type="expression" dxfId="852" priority="67">
      <formula>ABS(E$16-E$19)&gt;=1000</formula>
    </cfRule>
  </conditionalFormatting>
  <conditionalFormatting sqref="F13 F15:F20">
    <cfRule type="expression" dxfId="851" priority="66">
      <formula>ABS(F$16-F$19)&gt;=1000</formula>
    </cfRule>
  </conditionalFormatting>
  <conditionalFormatting sqref="G13:G20">
    <cfRule type="expression" dxfId="850" priority="65">
      <formula>ABS(G$16-G$19)&gt;=1000</formula>
    </cfRule>
  </conditionalFormatting>
  <conditionalFormatting sqref="H13:H20">
    <cfRule type="expression" dxfId="849" priority="64">
      <formula>ABS(H$16-H$19)&gt;=1000</formula>
    </cfRule>
  </conditionalFormatting>
  <conditionalFormatting sqref="I13:I20">
    <cfRule type="expression" dxfId="848" priority="63">
      <formula>ABS(I$16-I$19)&gt;=1000</formula>
    </cfRule>
  </conditionalFormatting>
  <conditionalFormatting sqref="J13:J20">
    <cfRule type="expression" dxfId="847" priority="62">
      <formula>ABS(J$16-J$19)&gt;=1000</formula>
    </cfRule>
  </conditionalFormatting>
  <conditionalFormatting sqref="L13:L20">
    <cfRule type="expression" dxfId="846" priority="61">
      <formula>ABS(L$16-L$19)&gt;=1000</formula>
    </cfRule>
  </conditionalFormatting>
  <conditionalFormatting sqref="M13 M15 M17:M18 M20">
    <cfRule type="expression" dxfId="845" priority="60">
      <formula>ABS(M$16-M$19)&gt;=1000</formula>
    </cfRule>
  </conditionalFormatting>
  <conditionalFormatting sqref="N13:N20">
    <cfRule type="expression" dxfId="844" priority="59">
      <formula>ABS(N$16-N$19)&gt;=1000</formula>
    </cfRule>
  </conditionalFormatting>
  <conditionalFormatting sqref="O13:O20">
    <cfRule type="expression" dxfId="843" priority="58">
      <formula>ABS(O$16-O$19)&gt;=1000</formula>
    </cfRule>
  </conditionalFormatting>
  <conditionalFormatting sqref="P13:P20">
    <cfRule type="expression" dxfId="842" priority="57">
      <formula>ABS(P$16-P$19)&gt;=1000</formula>
    </cfRule>
  </conditionalFormatting>
  <conditionalFormatting sqref="Q13 Q15:Q20">
    <cfRule type="expression" dxfId="841" priority="56">
      <formula>ABS(Q$16-Q$19)&gt;=1000</formula>
    </cfRule>
  </conditionalFormatting>
  <conditionalFormatting sqref="R13:R20">
    <cfRule type="expression" dxfId="840" priority="55">
      <formula>ABS(R$16-R$19)&gt;=1000</formula>
    </cfRule>
  </conditionalFormatting>
  <conditionalFormatting sqref="S13:S20">
    <cfRule type="expression" dxfId="839" priority="54">
      <formula>ABS(S$16-S$19)&gt;=1000</formula>
    </cfRule>
  </conditionalFormatting>
  <conditionalFormatting sqref="T13:T20">
    <cfRule type="expression" dxfId="838" priority="53">
      <formula>ABS(T$16-T$19)&gt;=1000</formula>
    </cfRule>
  </conditionalFormatting>
  <conditionalFormatting sqref="U13:U20">
    <cfRule type="expression" dxfId="837" priority="52">
      <formula>ABS(U$16-U$19)&gt;=1000</formula>
    </cfRule>
  </conditionalFormatting>
  <conditionalFormatting sqref="V13:V20">
    <cfRule type="expression" dxfId="836" priority="51">
      <formula>ABS(V$16-V$19)&gt;=1000</formula>
    </cfRule>
  </conditionalFormatting>
  <conditionalFormatting sqref="W13 W20 W15:W18">
    <cfRule type="expression" dxfId="835" priority="50">
      <formula>ABS(W$16-W$19)&gt;=1000</formula>
    </cfRule>
  </conditionalFormatting>
  <conditionalFormatting sqref="X13 X15:X20 Y19">
    <cfRule type="expression" dxfId="834" priority="49">
      <formula>ABS(X$16-X$19)&gt;=1000</formula>
    </cfRule>
  </conditionalFormatting>
  <conditionalFormatting sqref="Y13 Y15:Y18 Y20">
    <cfRule type="expression" dxfId="833" priority="48">
      <formula>ABS(Y$16-Y$19)&gt;=1000</formula>
    </cfRule>
  </conditionalFormatting>
  <conditionalFormatting sqref="Z13:Z20">
    <cfRule type="expression" dxfId="832" priority="47">
      <formula>ABS(Z$16-Z$19)&gt;=1000</formula>
    </cfRule>
  </conditionalFormatting>
  <conditionalFormatting sqref="AA13:AA20">
    <cfRule type="expression" dxfId="831" priority="46">
      <formula>ABS(AA$16-AA$19)&gt;=1000</formula>
    </cfRule>
  </conditionalFormatting>
  <conditionalFormatting sqref="AB13 AB15:AB20">
    <cfRule type="expression" dxfId="830" priority="45">
      <formula>ABS(AB$16-AB$19)&gt;=1000</formula>
    </cfRule>
  </conditionalFormatting>
  <conditionalFormatting sqref="AC13 AC15:AC20">
    <cfRule type="expression" dxfId="829" priority="44">
      <formula>ABS(AC$16-AC$19)&gt;=1000</formula>
    </cfRule>
  </conditionalFormatting>
  <conditionalFormatting sqref="AD13:AD20">
    <cfRule type="expression" dxfId="828" priority="43">
      <formula>ABS(AD$16-AD$19)&gt;=1000</formula>
    </cfRule>
  </conditionalFormatting>
  <conditionalFormatting sqref="AE13:AE20">
    <cfRule type="expression" dxfId="827" priority="42">
      <formula>ABS(AE$16-AE$19)&gt;=1000</formula>
    </cfRule>
  </conditionalFormatting>
  <conditionalFormatting sqref="D22:D29">
    <cfRule type="expression" dxfId="826" priority="41">
      <formula>ABS(D$25-D$28)&gt;=1000</formula>
    </cfRule>
  </conditionalFormatting>
  <conditionalFormatting sqref="E22:E29">
    <cfRule type="expression" dxfId="825" priority="40">
      <formula>ABS(E$25-E$28)&gt;=1000</formula>
    </cfRule>
  </conditionalFormatting>
  <conditionalFormatting sqref="F22:F29">
    <cfRule type="expression" dxfId="824" priority="39">
      <formula>ABS(F$25-F$28)&gt;=1000</formula>
    </cfRule>
  </conditionalFormatting>
  <conditionalFormatting sqref="G22:G29">
    <cfRule type="expression" dxfId="823" priority="38">
      <formula>ABS(G$25-G$28)&gt;=1000</formula>
    </cfRule>
  </conditionalFormatting>
  <conditionalFormatting sqref="H22:H29">
    <cfRule type="expression" dxfId="822" priority="37">
      <formula>ABS(H$25-H$28)&gt;=1000</formula>
    </cfRule>
  </conditionalFormatting>
  <conditionalFormatting sqref="I22 I24:I29">
    <cfRule type="expression" dxfId="821" priority="36">
      <formula>ABS(I$25-I$28)&gt;=1000</formula>
    </cfRule>
  </conditionalFormatting>
  <conditionalFormatting sqref="J22:J29 K22">
    <cfRule type="expression" dxfId="820" priority="35">
      <formula>ABS(J$25-J$28)&gt;=1000</formula>
    </cfRule>
  </conditionalFormatting>
  <conditionalFormatting sqref="K23:K29 L25 L28">
    <cfRule type="expression" dxfId="819" priority="34">
      <formula>ABS(K$25-K$28)&gt;=1000</formula>
    </cfRule>
  </conditionalFormatting>
  <conditionalFormatting sqref="L22:L24 L26:L27 L29">
    <cfRule type="expression" dxfId="818" priority="33">
      <formula>ABS(L$25-L$28)&gt;=1000</formula>
    </cfRule>
  </conditionalFormatting>
  <conditionalFormatting sqref="M22:M29">
    <cfRule type="expression" dxfId="817" priority="32">
      <formula>ABS(M$25-M$28)&gt;=1000</formula>
    </cfRule>
  </conditionalFormatting>
  <conditionalFormatting sqref="N22:N29">
    <cfRule type="expression" dxfId="816" priority="31">
      <formula>ABS(N$25-N$28)&gt;=1000</formula>
    </cfRule>
  </conditionalFormatting>
  <conditionalFormatting sqref="O22:O29">
    <cfRule type="expression" dxfId="815" priority="30">
      <formula>ABS(O$25-O$28)&gt;=1000</formula>
    </cfRule>
  </conditionalFormatting>
  <conditionalFormatting sqref="P22:P29">
    <cfRule type="expression" dxfId="814" priority="29">
      <formula>ABS(P$25-P$28)&gt;=1000</formula>
    </cfRule>
  </conditionalFormatting>
  <conditionalFormatting sqref="Q22:Q29">
    <cfRule type="expression" dxfId="813" priority="28">
      <formula>ABS(Q$25-Q$28)&gt;=1000</formula>
    </cfRule>
  </conditionalFormatting>
  <conditionalFormatting sqref="R22:R29">
    <cfRule type="expression" dxfId="812" priority="27">
      <formula>ABS(R$25-R$28)&gt;=1000</formula>
    </cfRule>
  </conditionalFormatting>
  <conditionalFormatting sqref="S22:S29">
    <cfRule type="expression" dxfId="811" priority="26">
      <formula>ABS(S$25-S$28)&gt;=1000</formula>
    </cfRule>
  </conditionalFormatting>
  <conditionalFormatting sqref="T22:T29">
    <cfRule type="expression" dxfId="810" priority="25">
      <formula>ABS(T$25-T$28)&gt;=1000</formula>
    </cfRule>
  </conditionalFormatting>
  <conditionalFormatting sqref="U22:U29">
    <cfRule type="expression" dxfId="809" priority="24">
      <formula>ABS(U$25-U$28)&gt;=1000</formula>
    </cfRule>
  </conditionalFormatting>
  <conditionalFormatting sqref="V22:V29">
    <cfRule type="expression" dxfId="808" priority="23">
      <formula>ABS(V$25-V$28)&gt;=1000</formula>
    </cfRule>
  </conditionalFormatting>
  <conditionalFormatting sqref="W22:W29">
    <cfRule type="expression" dxfId="807" priority="22">
      <formula>ABS(W$25-W$28)&gt;=1000</formula>
    </cfRule>
  </conditionalFormatting>
  <conditionalFormatting sqref="X22:X29">
    <cfRule type="expression" dxfId="806" priority="21">
      <formula>ABS(X$25-X$28)&gt;=1000</formula>
    </cfRule>
  </conditionalFormatting>
  <conditionalFormatting sqref="Y22:Y29">
    <cfRule type="expression" dxfId="805" priority="20">
      <formula>ABS(Y$25-Y$28)&gt;=1000</formula>
    </cfRule>
  </conditionalFormatting>
  <conditionalFormatting sqref="I23">
    <cfRule type="expression" dxfId="804" priority="19">
      <formula>ABS(I$25-I$28)&gt;=1000</formula>
    </cfRule>
  </conditionalFormatting>
  <conditionalFormatting sqref="F14">
    <cfRule type="expression" dxfId="803" priority="18">
      <formula>ABS(F$16-F$19)&gt;=1000</formula>
    </cfRule>
  </conditionalFormatting>
  <conditionalFormatting sqref="Q14">
    <cfRule type="expression" dxfId="802" priority="17">
      <formula>ABS(Q$16-Q$19)&gt;=1000</formula>
    </cfRule>
  </conditionalFormatting>
  <conditionalFormatting sqref="W14">
    <cfRule type="expression" dxfId="801" priority="16">
      <formula>ABS(W$16-W$19)&gt;=1000</formula>
    </cfRule>
  </conditionalFormatting>
  <conditionalFormatting sqref="Y14">
    <cfRule type="expression" dxfId="800" priority="15">
      <formula>ABS(Y$16-Y$19)&gt;=1000</formula>
    </cfRule>
  </conditionalFormatting>
  <conditionalFormatting sqref="X14">
    <cfRule type="expression" dxfId="799" priority="14">
      <formula>ABS(X$16-X$19)&gt;=1000</formula>
    </cfRule>
  </conditionalFormatting>
  <conditionalFormatting sqref="T10:Y10">
    <cfRule type="expression" dxfId="798" priority="13">
      <formula>ABS(T$7-T$10)&gt;=1000</formula>
    </cfRule>
  </conditionalFormatting>
  <conditionalFormatting sqref="W19">
    <cfRule type="expression" dxfId="797" priority="12">
      <formula>ABS(W$16-W$19)&gt;=1000</formula>
    </cfRule>
  </conditionalFormatting>
  <conditionalFormatting sqref="AC5">
    <cfRule type="expression" dxfId="796" priority="11">
      <formula>ABS(AC$7-AC$10)&gt;=1000</formula>
    </cfRule>
  </conditionalFormatting>
  <conditionalFormatting sqref="M14">
    <cfRule type="expression" dxfId="795" priority="10">
      <formula>ABS(M$16-M$19)&gt;=1000</formula>
    </cfRule>
  </conditionalFormatting>
  <conditionalFormatting sqref="M16">
    <cfRule type="expression" dxfId="794" priority="9">
      <formula>ABS(M$16-M$19)&gt;=1000</formula>
    </cfRule>
  </conditionalFormatting>
  <conditionalFormatting sqref="M19">
    <cfRule type="expression" dxfId="793" priority="8">
      <formula>ABS(M$16-M$19)&gt;=1000</formula>
    </cfRule>
  </conditionalFormatting>
  <conditionalFormatting sqref="K13:K20">
    <cfRule type="expression" dxfId="792" priority="7">
      <formula>ABS(K$16-K$19)&gt;=1000</formula>
    </cfRule>
  </conditionalFormatting>
  <conditionalFormatting sqref="E5">
    <cfRule type="expression" dxfId="791" priority="6">
      <formula>ABS(E$7-E$10)&gt;=1000</formula>
    </cfRule>
  </conditionalFormatting>
  <conditionalFormatting sqref="AB14:AC14">
    <cfRule type="expression" dxfId="790" priority="5">
      <formula>ABS(AB$16-AB$19)&gt;=1000</formula>
    </cfRule>
  </conditionalFormatting>
  <conditionalFormatting sqref="M5">
    <cfRule type="expression" dxfId="789" priority="4">
      <formula>ABS(M$7-M$10)&gt;=1000</formula>
    </cfRule>
  </conditionalFormatting>
  <conditionalFormatting sqref="N5">
    <cfRule type="expression" dxfId="788" priority="3">
      <formula>ABS(N$7-N$10)&gt;=1000</formula>
    </cfRule>
  </conditionalFormatting>
  <conditionalFormatting sqref="O5">
    <cfRule type="expression" dxfId="787" priority="2">
      <formula>ABS(O$7-O$10)&gt;=1000</formula>
    </cfRule>
  </conditionalFormatting>
  <conditionalFormatting sqref="P5">
    <cfRule type="expression" dxfId="78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57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0">
    <pageSetUpPr fitToPage="1"/>
  </sheetPr>
  <dimension ref="A1:CU223"/>
  <sheetViews>
    <sheetView view="pageBreakPreview" topLeftCell="A19" zoomScale="80" zoomScaleNormal="100" zoomScaleSheetLayoutView="80" workbookViewId="0">
      <selection activeCell="AG25" sqref="AG25:BH2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45770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67" t="s" ph="1">
        <v>178</v>
      </c>
      <c r="D6" s="71">
        <v>4189</v>
      </c>
      <c r="E6" s="71">
        <v>4269</v>
      </c>
      <c r="F6" s="71">
        <v>3838</v>
      </c>
      <c r="G6" s="71">
        <v>5984</v>
      </c>
      <c r="H6" s="71">
        <v>2250</v>
      </c>
      <c r="I6" s="71">
        <v>16.11</v>
      </c>
      <c r="J6" s="71">
        <v>57.11</v>
      </c>
      <c r="K6" s="71">
        <v>7.4</v>
      </c>
      <c r="L6" s="71">
        <v>49.78</v>
      </c>
      <c r="M6" s="71">
        <v>1957</v>
      </c>
      <c r="N6" s="71">
        <v>3806</v>
      </c>
      <c r="O6" s="71">
        <v>4298</v>
      </c>
      <c r="P6" s="71">
        <v>6455</v>
      </c>
      <c r="Q6" s="71">
        <v>2768</v>
      </c>
      <c r="R6" s="71">
        <v>4</v>
      </c>
      <c r="S6" s="71">
        <v>0</v>
      </c>
      <c r="T6" s="71">
        <v>0</v>
      </c>
      <c r="U6" s="71">
        <v>246</v>
      </c>
      <c r="V6" s="71">
        <v>4771</v>
      </c>
      <c r="W6" s="71">
        <v>7025</v>
      </c>
      <c r="X6" s="71">
        <v>5881</v>
      </c>
      <c r="Y6" s="71">
        <v>4911</v>
      </c>
      <c r="Z6" s="71">
        <v>719</v>
      </c>
      <c r="AA6" s="71">
        <v>2174</v>
      </c>
      <c r="AB6" s="71">
        <v>3683</v>
      </c>
      <c r="AC6" s="71">
        <v>5892</v>
      </c>
      <c r="AD6" s="71">
        <v>2866</v>
      </c>
      <c r="AE6" s="71">
        <v>3627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131926.91438582999</v>
      </c>
      <c r="E7" s="73" ph="1">
        <f>E6*51.53*LOOKUP(E8,密度!$A$2:$A$50,密度!$B$2:$B$50)</f>
        <v>171893.59879799999</v>
      </c>
      <c r="F7" s="73" ph="1">
        <f>F6*33.183*LOOKUP(F8,密度!$A$2:$A$50,密度!$C$2:$C$50)</f>
        <v>141123.57586740001</v>
      </c>
      <c r="G7" s="73" ph="1">
        <f xml:space="preserve"> (G6+2)*51.53*LOOKUP(G8,密度!$A$2:$A$50,密度!$B$2:$B$50)</f>
        <v>240474.308968</v>
      </c>
      <c r="H7" s="73" ph="1">
        <f>(H6)*51.53*LOOKUP(H8,密度!$A$2:$A$50,密度!$B$2:$B$50)</f>
        <v>90910.514250000007</v>
      </c>
      <c r="I7" s="73" ph="1">
        <f>I6*290.8*1.0267</f>
        <v>4809.8718396000004</v>
      </c>
      <c r="J7" s="73" ph="1">
        <f>J6*290.8*0.7892</f>
        <v>13106.708449600001</v>
      </c>
      <c r="K7" s="73" ph="1">
        <f>K6*290.8*1.1126</f>
        <v>2394.2261920000001</v>
      </c>
      <c r="L7" s="73" ph="1">
        <f>L6*290.8*0.777</f>
        <v>11247.870648000002</v>
      </c>
      <c r="M7" s="73" ph="1">
        <f>M6*33.183*LOOKUP(M8,密度!$A$2:$A$50,密度!$D$2:$D$50)</f>
        <v>66549.621448799997</v>
      </c>
      <c r="N7" s="73" ph="1">
        <f>N6*33.183*LOOKUP(N8,密度!$A$2:$A$50,密度!$E$2:$E$50)</f>
        <v>98636.002937999991</v>
      </c>
      <c r="O7" s="73" ph="1">
        <f>O6*20.428*LOOKUP(O8,密度!$A$2:$A$50,密度!$C$2:$C$50)</f>
        <v>96939.476530400018</v>
      </c>
      <c r="P7" s="73" ph="1">
        <f>P6*51.53*LOOKUP(P8,密度!$A$2:$A$50,密度!$B$2:$B$50)</f>
        <v>259315.34654</v>
      </c>
      <c r="Q7" s="73" ph="1">
        <f>Q6*1.5*1.5*3.1416*LOOKUP(W8,密度!$A$2:$A$50,密度!$L$2:$L$50)</f>
        <v>18313.6681728</v>
      </c>
      <c r="R7" s="73" ph="1">
        <f>R6*1.5*1.5*3.1416*LOOKUP(R8,密度!$A$2:$A$50,密度!$L$2:$L$50)</f>
        <v>26.380015200000003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1627.5875616000001</v>
      </c>
      <c r="V7" s="73" ph="1">
        <f>V6*1.5*1.5*3.1416*LOOKUP(V8,密度!$A$2:$A$50,密度!$L$2:$L$50)</f>
        <v>31532.211711000004</v>
      </c>
      <c r="W7" s="73" ph="1">
        <f>W6*1.5*1.5*3.1416*LOOKUP(W8,密度!$A$2:$A$50,密度!$L$2:$L$50)</f>
        <v>46478.872440000006</v>
      </c>
      <c r="X7" s="73" ph="1">
        <f>X6*1.5*1.5*3.1416*LOOKUP(X8,密度!$A$2:$A$50,密度!$L$2:$L$50)</f>
        <v>39242.492150400001</v>
      </c>
      <c r="Y7" s="73" ph="1">
        <f>Y6*1.5*1.5*3.1416*LOOKUP(Y8,密度!$A$2:$A$50,密度!$L$2:$L$50)</f>
        <v>32526.919240200001</v>
      </c>
      <c r="Z7" s="73" ph="1">
        <f>Z6*33.183*LOOKUP(Z8,密度!$A$2:$A$50,密度!$L$2:$L$50)</f>
        <v>22427.062379999999</v>
      </c>
      <c r="AA7" s="73" ph="1">
        <f>AA6*33.183*LOOKUP(AA8,密度!$A$2:$A$50,密度!$D$2:$D$50)</f>
        <v>74065.975781400004</v>
      </c>
      <c r="AB7" s="73" ph="1">
        <f>AB6*20.428*LOOKUP(AB8,密度!$A$2:$A$50,密度!$D$2:$D$50)</f>
        <v>78178.064268400005</v>
      </c>
      <c r="AC7" s="73" ph="1">
        <f>AC6*51.53*LOOKUP(AC8,密度!$A$2:$A$50,密度!$Q$2:$Q$50)</f>
        <v>287665.87665720005</v>
      </c>
      <c r="AD7" s="73" ph="1">
        <f>AD6*20.428*LOOKUP(AD8,密度!$A$2:$A$50,密度!$V$2:$V$50)</f>
        <v>56064.270124800001</v>
      </c>
      <c r="AE7" s="73" ph="1">
        <f>AE6*20.428</f>
        <v>74092.356</v>
      </c>
    </row>
    <row r="8" spans="1:99" ph="1">
      <c r="B8" s="195" ph="1"/>
      <c r="C8" s="68" t="s" ph="1">
        <v>180</v>
      </c>
      <c r="D8" s="74">
        <v>22</v>
      </c>
      <c r="E8" s="74">
        <v>23</v>
      </c>
      <c r="F8" s="74">
        <v>26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27</v>
      </c>
      <c r="N8" s="74">
        <v>27</v>
      </c>
      <c r="O8" s="74">
        <v>31</v>
      </c>
      <c r="P8" s="74">
        <v>25</v>
      </c>
      <c r="Q8" s="74">
        <v>23</v>
      </c>
      <c r="R8" s="74">
        <v>29</v>
      </c>
      <c r="S8" s="74">
        <v>18</v>
      </c>
      <c r="T8" s="74">
        <v>21</v>
      </c>
      <c r="U8" s="74">
        <v>26</v>
      </c>
      <c r="V8" s="74">
        <v>27</v>
      </c>
      <c r="W8" s="74">
        <v>26</v>
      </c>
      <c r="X8" s="74">
        <v>18</v>
      </c>
      <c r="Y8" s="74">
        <v>25</v>
      </c>
      <c r="Z8" s="74">
        <v>22</v>
      </c>
      <c r="AA8" s="74">
        <v>25</v>
      </c>
      <c r="AB8" s="74">
        <v>11</v>
      </c>
      <c r="AC8" s="74">
        <v>24</v>
      </c>
      <c r="AD8" s="74">
        <v>37</v>
      </c>
      <c r="AE8" s="74">
        <v>33</v>
      </c>
    </row>
    <row r="9" spans="1:99" ht="26.4" ph="1">
      <c r="B9" s="195" ph="1">
        <v>0.66666666666666663</v>
      </c>
      <c r="C9" s="167" t="s" ph="1">
        <v>181</v>
      </c>
      <c r="D9" s="71">
        <v>4188</v>
      </c>
      <c r="E9" s="71">
        <v>4269</v>
      </c>
      <c r="F9" s="71">
        <v>4643</v>
      </c>
      <c r="G9" s="71">
        <v>5881</v>
      </c>
      <c r="H9" s="71">
        <v>2248</v>
      </c>
      <c r="I9" s="71">
        <v>7.11</v>
      </c>
      <c r="J9" s="71">
        <v>20.71</v>
      </c>
      <c r="K9" s="71">
        <v>7.62</v>
      </c>
      <c r="L9" s="71">
        <v>17.12</v>
      </c>
      <c r="M9" s="71">
        <v>1956</v>
      </c>
      <c r="N9" s="71">
        <v>4417</v>
      </c>
      <c r="O9" s="71">
        <v>4298</v>
      </c>
      <c r="P9" s="71">
        <v>6076</v>
      </c>
      <c r="Q9" s="71">
        <v>5485</v>
      </c>
      <c r="R9" s="71">
        <v>6</v>
      </c>
      <c r="S9" s="71">
        <v>0</v>
      </c>
      <c r="T9" s="71">
        <v>0</v>
      </c>
      <c r="U9" s="71">
        <v>0</v>
      </c>
      <c r="V9" s="71">
        <v>814</v>
      </c>
      <c r="W9" s="71">
        <v>7029</v>
      </c>
      <c r="X9" s="71">
        <v>5883</v>
      </c>
      <c r="Y9" s="71">
        <v>4914</v>
      </c>
      <c r="Z9" s="71">
        <v>1505</v>
      </c>
      <c r="AA9" s="71">
        <v>2176</v>
      </c>
      <c r="AB9" s="71">
        <v>3530</v>
      </c>
      <c r="AC9" s="71">
        <v>5892</v>
      </c>
      <c r="AD9" s="71">
        <v>3357</v>
      </c>
      <c r="AE9" s="71">
        <v>3627</v>
      </c>
    </row>
    <row r="10" spans="1:99" s="72" customFormat="1" ht="22.2" ph="1">
      <c r="B10" s="195" ph="1"/>
      <c r="C10" s="167" t="s" ph="1">
        <v>179</v>
      </c>
      <c r="D10" s="73" ph="1">
        <f>D9*33.183*LOOKUP(D11,密度!$A$2:$A$50,密度!$Q$2:$Q$50)</f>
        <v>131371.50230928001</v>
      </c>
      <c r="E10" s="73" ph="1">
        <f>E9*51.53*LOOKUP(E11,密度!$A$2:$A$50,密度!$B$2:$B$50)</f>
        <v>170551.71122100001</v>
      </c>
      <c r="F10" s="73" ph="1">
        <f>F9*33.183*LOOKUP(F11,密度!$A$2:$A$50,密度!$C$2:$C$50)</f>
        <v>170615.64405059998</v>
      </c>
      <c r="G10" s="73" ph="1">
        <f xml:space="preserve"> (G9+2)*51.53*LOOKUP(G11,密度!$A$2:$A$50,密度!$B$2:$B$50)</f>
        <v>235821.15512100002</v>
      </c>
      <c r="H10" s="73" ph="1">
        <f>(H9)*51.53*LOOKUP(H11,密度!$A$2:$A$50,密度!$B$2:$B$50)</f>
        <v>90308.427423999994</v>
      </c>
      <c r="I10" s="73" ph="1">
        <f>I9*290.8*1.0267</f>
        <v>2122.7925995999999</v>
      </c>
      <c r="J10" s="73" ph="1">
        <f>J9*290.8*0.7892</f>
        <v>4752.9317456000008</v>
      </c>
      <c r="K10" s="73" ph="1">
        <f>K9*290.8*1.1126</f>
        <v>2465.4058896000001</v>
      </c>
      <c r="L10" s="73" ph="1">
        <f>L9*290.8*0.777</f>
        <v>3868.2913920000001</v>
      </c>
      <c r="M10" s="73" ph="1">
        <f>M9*33.183*LOOKUP(M11,密度!$A$2:$A$50,密度!$D$2:$D$50)</f>
        <v>66333.878855999996</v>
      </c>
      <c r="N10" s="73" ph="1">
        <f>N9*33.183*LOOKUP(N11,密度!$A$2:$A$50,密度!$E$2:$E$50)</f>
        <v>114133.52247569998</v>
      </c>
      <c r="O10" s="73" ph="1">
        <f>O9*20.428*LOOKUP(O11,密度!$A$2:$A$50,密度!$C$2:$C$50)</f>
        <v>96842.897032000008</v>
      </c>
      <c r="P10" s="73" ph="1">
        <f>P9*51.53*LOOKUP(P11,密度!$A$2:$A$50,密度!$B$2:$B$50)</f>
        <v>242743.54588400002</v>
      </c>
      <c r="Q10" s="73" ph="1">
        <f>Q9*1.5*1.5*3.1416*LOOKUP(W11,密度!$A$2:$A$50,密度!$L$2:$L$50)</f>
        <v>36212.367114000001</v>
      </c>
      <c r="R10" s="73" ph="1">
        <f>R9*1.5*1.5*3.1416*LOOKUP(R11,密度!$A$2:$A$50,密度!$L$2:$L$50)</f>
        <v>39.273141600000002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5374.0869336000005</v>
      </c>
      <c r="W10" s="73" ph="1">
        <f>W9*1.5*1.5*3.1416*LOOKUP(W11,密度!$A$2:$A$50,密度!$L$2:$L$50)</f>
        <v>46405.966899599996</v>
      </c>
      <c r="X10" s="73" ph="1">
        <f>X9*1.5*1.5*3.1416*LOOKUP(X11,密度!$A$2:$A$50,密度!$L$2:$L$50)</f>
        <v>39172.668519599996</v>
      </c>
      <c r="Y10" s="73" ph="1">
        <f>Y9*1.5*1.5*3.1416*LOOKUP(Y11,密度!$A$2:$A$50,密度!$L$2:$L$50)</f>
        <v>32512.053974400005</v>
      </c>
      <c r="Z10" s="73" ph="1">
        <f>Z9*33.183*LOOKUP(Z11,密度!$A$2:$A$50,密度!$L$2:$L$50)</f>
        <v>46544.466780000002</v>
      </c>
      <c r="AA10" s="73" ph="1">
        <f>AA9*33.183*LOOKUP(AA11,密度!$A$2:$A$50,密度!$D$2:$D$50)</f>
        <v>73729.758988799993</v>
      </c>
      <c r="AB10" s="73" ph="1">
        <f>AB9*20.428*LOOKUP(AB11,密度!$A$2:$A$50,密度!$D$2:$D$50)</f>
        <v>74497.708803999994</v>
      </c>
      <c r="AC10" s="73" ph="1">
        <f>AC9*51.53*LOOKUP(AC11,密度!$A$2:$A$50,密度!$Q$2:$Q$50)</f>
        <v>287013.10492320004</v>
      </c>
      <c r="AD10" s="73" ph="1">
        <f>AD9*20.428*LOOKUP(AD11,密度!$A$2:$A$50,密度!$V$2:$V$50)</f>
        <v>65669.139849600004</v>
      </c>
      <c r="AE10" s="73" ph="1">
        <f>AE9*20.428</f>
        <v>74092.356</v>
      </c>
    </row>
    <row r="11" spans="1:99" ph="1">
      <c r="A11" s="64" t="s" ph="1">
        <v>163</v>
      </c>
      <c r="B11" s="195" ph="1"/>
      <c r="C11" s="167" t="s" ph="1">
        <v>180</v>
      </c>
      <c r="D11" s="74">
        <v>27</v>
      </c>
      <c r="E11" s="74">
        <v>30</v>
      </c>
      <c r="F11" s="74">
        <v>27</v>
      </c>
      <c r="G11" s="74">
        <v>27</v>
      </c>
      <c r="H11" s="74">
        <v>25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32</v>
      </c>
      <c r="P11" s="74">
        <v>30</v>
      </c>
      <c r="Q11" s="74">
        <v>25</v>
      </c>
      <c r="R11" s="74">
        <v>36</v>
      </c>
      <c r="S11" s="74">
        <v>24</v>
      </c>
      <c r="T11" s="74">
        <v>30</v>
      </c>
      <c r="U11" s="74">
        <v>29</v>
      </c>
      <c r="V11" s="74">
        <v>28</v>
      </c>
      <c r="W11" s="74">
        <v>28</v>
      </c>
      <c r="X11" s="74">
        <v>20</v>
      </c>
      <c r="Y11" s="74">
        <v>26</v>
      </c>
      <c r="Z11" s="74">
        <v>30</v>
      </c>
      <c r="AA11" s="74">
        <v>31</v>
      </c>
      <c r="AB11" s="74">
        <v>18</v>
      </c>
      <c r="AC11" s="74">
        <v>27</v>
      </c>
      <c r="AD11" s="74">
        <v>42</v>
      </c>
      <c r="AE11" s="74">
        <v>35</v>
      </c>
    </row>
    <row r="12" spans="1:99" ht="9.9" customHeight="1" ph="1"/>
    <row r="13" spans="1:99" s="72" customFormat="1" ht="29.25" customHeight="1" ph="1">
      <c r="B13" s="203" t="s" ph="1">
        <v>37</v>
      </c>
      <c r="C13" s="167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67" t="s" ph="1">
        <v>178</v>
      </c>
      <c r="D15" s="78">
        <v>0</v>
      </c>
      <c r="E15" s="78">
        <v>3636</v>
      </c>
      <c r="F15" s="78">
        <v>2563</v>
      </c>
      <c r="G15" s="78">
        <v>947</v>
      </c>
      <c r="H15" s="78">
        <v>4534</v>
      </c>
      <c r="I15" s="78">
        <v>222</v>
      </c>
      <c r="J15" s="78">
        <v>0</v>
      </c>
      <c r="K15" s="78">
        <v>221</v>
      </c>
      <c r="L15" s="78">
        <v>3000</v>
      </c>
      <c r="M15" s="78">
        <v>6695</v>
      </c>
      <c r="N15" s="78">
        <v>879</v>
      </c>
      <c r="O15" s="78">
        <v>48</v>
      </c>
      <c r="P15" s="78">
        <v>6954</v>
      </c>
      <c r="Q15" s="78">
        <v>33</v>
      </c>
      <c r="R15" s="78">
        <v>3516</v>
      </c>
      <c r="S15" s="78">
        <v>6878</v>
      </c>
      <c r="T15" s="78">
        <v>775</v>
      </c>
      <c r="U15" s="78">
        <v>5466</v>
      </c>
      <c r="V15" s="78">
        <v>5458</v>
      </c>
      <c r="W15" s="71">
        <v>3770</v>
      </c>
      <c r="X15" s="78">
        <v>153</v>
      </c>
      <c r="Y15" s="106">
        <v>-2366</v>
      </c>
      <c r="Z15" s="78">
        <v>0</v>
      </c>
      <c r="AA15" s="78">
        <v>4246</v>
      </c>
      <c r="AB15" s="78" ph="1">
        <v>6937</v>
      </c>
      <c r="AC15" s="78" ph="1">
        <v>993</v>
      </c>
      <c r="AD15" s="78">
        <v>84.62</v>
      </c>
      <c r="AE15" s="78">
        <v>10.31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67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24082.239535200002</v>
      </c>
      <c r="F16" s="73" ph="1">
        <f>F15*9.0746*LOOKUP(F17,密度!$A$2:$A$50,密度!$L$2:$L$50)</f>
        <v>21746.416813000003</v>
      </c>
      <c r="G16" s="73" ph="1">
        <f>G15*9.0746*LOOKUP(G17,密度!$A$2:$A$50,密度!$B$2:$B$50)</f>
        <v>6699.6065775200004</v>
      </c>
      <c r="H16" s="73" ph="1">
        <f>H15*9.0746*LOOKUP(H17,密度!$A$2:$A$50,密度!$L$2:$L$50)</f>
        <v>38593.293743199996</v>
      </c>
      <c r="I16" s="73" ph="1">
        <f>I15*9.0746*LOOKUP(I17,密度!$A$2:$A$50,密度!$U$2:$U$50)</f>
        <v>2064.9252299999998</v>
      </c>
      <c r="J16" s="73" ph="1">
        <f>J15*9.0746*LOOKUP(J17,密度!$A$2:$A$50,密度!$L$2:$L$50)</f>
        <v>0</v>
      </c>
      <c r="K16" s="73" ph="1">
        <f>K15*9.0746*LOOKUP(K17,密度!$A$2:$A$50,密度!$C$2:$C$50)</f>
        <v>2222.2797014600001</v>
      </c>
      <c r="L16" s="73" ph="1">
        <f>L15*9.0746*LOOKUP(L17,密度!$A$2:$A$50,密度!$E$2:$E$50)</f>
        <v>21261.787800000002</v>
      </c>
      <c r="M16" s="73" ph="1">
        <f>M15*9.0746*LOOKUP(M17,密度!$A$2:$A$50,密度!$M$2:$M$50)</f>
        <v>53105.462122700003</v>
      </c>
      <c r="N16" s="73" ph="1">
        <f>N15*9.0746*LOOKUP(N17,密度!$A$2:$A$50,密度!$M$2:$M$50)</f>
        <v>6986.6806410600002</v>
      </c>
      <c r="O16" s="73" ph="1">
        <f>O15*9.0746*LOOKUP(O17,密度!$A$2:$A$50,密度!$G$2:$G$50)</f>
        <v>418.24468416000002</v>
      </c>
      <c r="P16" s="73" ph="1">
        <f ca="1">P15*9.0746*LOOKUP(P17,密度!$A$2:$A$51,密度!$Q$2:$Q$50)</f>
        <v>59610.026326008003</v>
      </c>
      <c r="Q16" s="73" ph="1">
        <f>Q15*9.0746*LOOKUP(Q17,密度!$A$2:$A$50,密度!$Q$2:$Q$50)</f>
        <v>283.29984665400002</v>
      </c>
      <c r="R16" s="73" ph="1">
        <f>MAX(R15*9.0746*LOOKUP(R17,密度!$A$2:$A$50,密度!$B$2:$B$50),0)</f>
        <v>24791.190127200003</v>
      </c>
      <c r="S16" s="73" ph="1">
        <f>S15*9.0746*LOOKUP(S17,密度!$A$2:$A$50,密度!$Q$2:$Q$50)</f>
        <v>58958.550628456003</v>
      </c>
      <c r="T16" s="73" ph="1">
        <f>T15*9.0746*LOOKUP(T17,密度!$A$2:$A$50,密度!$O$2:$O$50)</f>
        <v>6512.3866900000012</v>
      </c>
      <c r="U16" s="73" ph="1">
        <f>U15*9.0746*LOOKUP(U17,密度!$A$2:$A$50,密度!$H$2:$H$50)</f>
        <v>45331.051754040003</v>
      </c>
      <c r="V16" s="73" ph="1">
        <f>MAX(5600*LOOKUP(V17,密度!$A$2:$A$50,密度!$Q$2:$Q$50)+V15*9.0476*LOOKUP(V17,密度!$A$2:$A$50,密度!$Q$2:$Q$50),0)</f>
        <v>51936.908671696001</v>
      </c>
      <c r="W16" s="73" ph="1">
        <f>MAX(5600*LOOKUP(W17,密度!$A$2:$A$50,密度!$Q$2:$Q$50)+W15*9.0476*LOOKUP(W17,密度!$A$2:$A$50,密度!$Q$2:$Q$50),0)</f>
        <v>37566.332875559994</v>
      </c>
      <c r="X16" s="73" ph="1">
        <f>MAX(5600*LOOKUP(X17,密度!$A$2:$A$50,密度!$I$2:$I$50)+X15*9.0476*LOOKUP(X17,密度!$A$2:$A$50,密度!$I$2:$I$50),0)</f>
        <v>7279.7179624399996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30038.573947360001</v>
      </c>
      <c r="AB16" s="73" ph="1">
        <f>AB15*9.0746*LOOKUP(AB17,密度!$A$2:$A$50,密度!$L$2:$L$50)</f>
        <v>58732.816686600003</v>
      </c>
      <c r="AC16" s="73" ph="1">
        <f>AC15*9.0746*LOOKUP(AC17,密度!$A$2:$A$50,密度!$L$2:$L$50)</f>
        <v>8452.3909764</v>
      </c>
      <c r="AD16" s="73" ph="1">
        <f>AD15*268.68*LOOKUP(AD17,密度!$A$2:$A$50,密度!B2:B50)+IF(AD15&lt;=0,0,1566*LOOKUP(AD17,密度!$A$2:$A$50,密度!B2:B50))</f>
        <v>18945.606567359999</v>
      </c>
      <c r="AE16" s="73" ph="1">
        <f>AE15*268.68*LOOKUP(AE17,密度!$A$2:$A$50,密度!B2:B50)+IF(AE15&lt;=0,0,1566*LOOKUP(AE17,密度!$A$2:$A$50,密度!B2:B50))</f>
        <v>3380.4163876800003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25</v>
      </c>
      <c r="E17" s="74">
        <v>25</v>
      </c>
      <c r="F17" s="74">
        <v>27</v>
      </c>
      <c r="G17" s="74">
        <v>25</v>
      </c>
      <c r="H17" s="74">
        <v>24</v>
      </c>
      <c r="I17" s="74">
        <v>25</v>
      </c>
      <c r="J17" s="74">
        <v>25</v>
      </c>
      <c r="K17" s="74">
        <v>26</v>
      </c>
      <c r="L17" s="74">
        <v>27</v>
      </c>
      <c r="M17" s="74">
        <v>26</v>
      </c>
      <c r="N17" s="74">
        <v>24</v>
      </c>
      <c r="O17" s="74">
        <v>25</v>
      </c>
      <c r="P17" s="74">
        <v>28</v>
      </c>
      <c r="Q17" s="74">
        <v>26</v>
      </c>
      <c r="R17" s="74">
        <v>28</v>
      </c>
      <c r="S17" s="74">
        <v>28</v>
      </c>
      <c r="T17" s="74">
        <v>25</v>
      </c>
      <c r="U17" s="74">
        <v>26</v>
      </c>
      <c r="V17" s="74">
        <v>28</v>
      </c>
      <c r="W17" s="74">
        <v>26</v>
      </c>
      <c r="X17" s="74">
        <v>25</v>
      </c>
      <c r="Y17" s="108">
        <v>25</v>
      </c>
      <c r="Z17" s="74">
        <v>25</v>
      </c>
      <c r="AA17" s="74">
        <v>25</v>
      </c>
      <c r="AB17" s="74">
        <v>29</v>
      </c>
      <c r="AC17" s="74">
        <v>24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3638</v>
      </c>
      <c r="F18" s="71">
        <v>2682</v>
      </c>
      <c r="G18" s="71">
        <v>2913</v>
      </c>
      <c r="H18" s="71">
        <v>4534</v>
      </c>
      <c r="I18" s="71">
        <v>0</v>
      </c>
      <c r="J18" s="71">
        <v>0</v>
      </c>
      <c r="K18" s="71">
        <v>219</v>
      </c>
      <c r="L18" s="71">
        <v>5213</v>
      </c>
      <c r="M18" s="71">
        <v>3731</v>
      </c>
      <c r="N18" s="71">
        <v>1898</v>
      </c>
      <c r="O18" s="71">
        <v>0</v>
      </c>
      <c r="P18" s="71">
        <v>6957</v>
      </c>
      <c r="Q18" s="71">
        <v>27</v>
      </c>
      <c r="R18" s="71">
        <v>3519</v>
      </c>
      <c r="S18" s="71">
        <v>6882</v>
      </c>
      <c r="T18" s="71">
        <v>6619</v>
      </c>
      <c r="U18" s="71">
        <v>1322</v>
      </c>
      <c r="V18" s="71">
        <v>5459</v>
      </c>
      <c r="W18" s="71">
        <v>3769</v>
      </c>
      <c r="X18" s="71">
        <v>151</v>
      </c>
      <c r="Y18" s="109">
        <v>-9907</v>
      </c>
      <c r="Z18" s="71">
        <v>0</v>
      </c>
      <c r="AA18" s="71">
        <v>4247</v>
      </c>
      <c r="AB18" s="71">
        <v>6941</v>
      </c>
      <c r="AC18" s="71">
        <v>990</v>
      </c>
      <c r="AD18" s="71">
        <v>84.21</v>
      </c>
      <c r="AE18" s="71">
        <v>41.9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67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23992.623824400001</v>
      </c>
      <c r="F19" s="73" ph="1">
        <f>F18*9.0746*LOOKUP(F20,密度!$A$2:$A$50,密度!$L$2:$L$50)</f>
        <v>22634.411796</v>
      </c>
      <c r="G19" s="73" ph="1">
        <f>G18*9.0746*LOOKUP(G20,密度!$A$2:$A$50,密度!$B$2:$B$50)</f>
        <v>20584.397041259999</v>
      </c>
      <c r="H19" s="73" ph="1">
        <f>H18*9.0746*LOOKUP(H20,密度!$A$2:$A$50,密度!$L$2:$L$50)</f>
        <v>38552.1495068</v>
      </c>
      <c r="I19" s="73" ph="1">
        <f>I18*9.0746*LOOKUP(I20,密度!$A$2:$A$50,密度!$U$2:$U$50)</f>
        <v>0</v>
      </c>
      <c r="J19" s="73" ph="1">
        <f>J18*9.0746*LOOKUP(J20,密度!$A$2:$A$50,密度!$L$2:$L$50)</f>
        <v>0</v>
      </c>
      <c r="K19" s="73" ph="1">
        <f>K18*9.0746*LOOKUP(K20,密度!$A$2:$A$50,密度!$C$2:$C$50)</f>
        <v>2192.0331522000001</v>
      </c>
      <c r="L19" s="73" ph="1">
        <f>L18*9.0746*LOOKUP(L20,密度!$A$2:$A$50,密度!$E$2:$E$50)</f>
        <v>36785.059908480005</v>
      </c>
      <c r="M19" s="73" ph="1">
        <f>M18*9.0746*LOOKUP(M20,密度!$A$2:$A$50,密度!$M$2:$M$50)</f>
        <v>29452.493628740001</v>
      </c>
      <c r="N19" s="73" ph="1">
        <f>N18*9.0746*LOOKUP(N20,密度!$A$2:$A$50,密度!$M$2:$M$50)</f>
        <v>15072.364309080001</v>
      </c>
      <c r="O19" s="73" ph="1">
        <f>O18*9.0746*LOOKUP(O20,密度!$A$2:$A$50,密度!$G$2:$G$50)</f>
        <v>0</v>
      </c>
      <c r="P19" s="73" ph="1">
        <f ca="1">P18*9.0746*LOOKUP(P20,密度!$A$2:$A$51,密度!$Q$2:$Q$50)</f>
        <v>59592.181397346001</v>
      </c>
      <c r="Q19" s="73" ph="1">
        <f>Q18*9.0746*LOOKUP(Q20,密度!$A$2:$A$50,密度!$Q$2:$Q$50)</f>
        <v>231.12924528600001</v>
      </c>
      <c r="R19" s="73" ph="1">
        <f>MAX(R18*9.0746*LOOKUP(R20,密度!$A$2:$A$50,密度!$B$2:$B$50),0)</f>
        <v>24786.79620588</v>
      </c>
      <c r="S19" s="73" ph="1">
        <f>S18*9.0746*LOOKUP(S20,密度!$A$2:$A$50,密度!$Q$2:$Q$50)</f>
        <v>58912.276520676001</v>
      </c>
      <c r="T19" s="73" ph="1">
        <f>T18*9.0746*LOOKUP(T20,密度!$A$2:$A$50,密度!$O$2:$O$50)</f>
        <v>55619.9838724</v>
      </c>
      <c r="U19" s="73" ph="1">
        <f>U18*9.0746*LOOKUP(U20,密度!$A$2:$A$50,密度!$H$2:$H$50)</f>
        <v>10940.9185344</v>
      </c>
      <c r="V19" s="73" ph="1">
        <f>MAX(5600*LOOKUP(V20,密度!$A$2:$A$50,密度!$Q$2:$Q$50)+V18*9.0476*LOOKUP(V20,密度!$A$2:$A$50,密度!$Q$2:$Q$50),0)</f>
        <v>51945.455215608003</v>
      </c>
      <c r="W19" s="73" ph="1">
        <f>MAX(5600*LOOKUP(W20,密度!$A$2:$A$50,密度!$Q$2:$Q$50)+W18*9.0476*LOOKUP(W20,密度!$A$2:$A$50,密度!$Q$2:$Q$50),0)</f>
        <v>37529.586287407998</v>
      </c>
      <c r="X19" s="73" ph="1">
        <f>MAX(5600*LOOKUP(X20,密度!$A$2:$A$50,密度!$I$2:$I$50)+X18*9.0476*LOOKUP(X20,密度!$A$2:$A$50,密度!$I$2:$I$50),0)</f>
        <v>7244.8351039999998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30010.962661940001</v>
      </c>
      <c r="AB19" s="73" ph="1">
        <f>AB18*9.0746*LOOKUP(AB20,密度!$A$2:$A$50,密度!$L$2:$L$50)</f>
        <v>58829.669892400008</v>
      </c>
      <c r="AC19" s="73" ph="1">
        <f>AC18*9.0746*LOOKUP(AC20,密度!$A$2:$A$50,密度!$L$2:$L$50)</f>
        <v>8372.9519280000004</v>
      </c>
      <c r="AD19" s="73" ph="1">
        <f>AD18*268.68*LOOKUP(AD20,密度!$A$2:$A$50,密度!B5:B53)+IF(AD18&lt;=0,0,1566*LOOKUP(AD20,密度!$A$2:$A$50,密度!B5:B53))</f>
        <v>18796.8287556</v>
      </c>
      <c r="AE19" s="73" ph="1">
        <f>AE18*268.68*LOOKUP(AE20,密度!$A$2:$A$50,密度!B5:B53)+IF(AE18&lt;=0,0,1566*LOOKUP(AE20,密度!$A$2:$A$50,密度!B5:B53))</f>
        <v>9964.0086839999985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29</v>
      </c>
      <c r="E20" s="81">
        <v>29</v>
      </c>
      <c r="F20" s="81">
        <v>32</v>
      </c>
      <c r="G20" s="81">
        <v>26</v>
      </c>
      <c r="H20" s="81">
        <v>25</v>
      </c>
      <c r="I20" s="81">
        <v>30</v>
      </c>
      <c r="J20" s="81">
        <v>35</v>
      </c>
      <c r="K20" s="81">
        <v>32</v>
      </c>
      <c r="L20" s="81">
        <v>30</v>
      </c>
      <c r="M20" s="81">
        <v>30</v>
      </c>
      <c r="N20" s="81">
        <v>25</v>
      </c>
      <c r="O20" s="81">
        <v>30</v>
      </c>
      <c r="P20" s="81">
        <v>29</v>
      </c>
      <c r="Q20" s="81">
        <v>30</v>
      </c>
      <c r="R20" s="81">
        <v>29</v>
      </c>
      <c r="S20" s="81">
        <v>30</v>
      </c>
      <c r="T20" s="81">
        <v>26</v>
      </c>
      <c r="U20" s="81">
        <v>28</v>
      </c>
      <c r="V20" s="81">
        <v>28</v>
      </c>
      <c r="W20" s="81">
        <v>27</v>
      </c>
      <c r="X20" s="81">
        <v>27</v>
      </c>
      <c r="Y20" s="110">
        <v>27</v>
      </c>
      <c r="Z20" s="81">
        <v>34</v>
      </c>
      <c r="AA20" s="81">
        <v>26</v>
      </c>
      <c r="AB20" s="81">
        <v>28</v>
      </c>
      <c r="AC20" s="81">
        <v>30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67" t="s" ph="1">
        <v>178</v>
      </c>
      <c r="D24" s="71">
        <v>3.11</v>
      </c>
      <c r="E24" s="71">
        <v>95.67</v>
      </c>
      <c r="F24" s="71">
        <v>0</v>
      </c>
      <c r="G24" s="71">
        <v>3482</v>
      </c>
      <c r="H24" s="71">
        <v>2032</v>
      </c>
      <c r="I24" s="71">
        <v>3802</v>
      </c>
      <c r="J24" s="71">
        <v>4968</v>
      </c>
      <c r="K24" s="71">
        <v>27</v>
      </c>
      <c r="L24" s="71">
        <v>95</v>
      </c>
      <c r="M24" s="71">
        <v>5442</v>
      </c>
      <c r="N24" s="71">
        <v>5387</v>
      </c>
      <c r="O24" s="71">
        <v>0</v>
      </c>
      <c r="P24" s="71">
        <v>840</v>
      </c>
      <c r="Q24" s="90">
        <v>1789</v>
      </c>
      <c r="R24" s="71">
        <v>4077</v>
      </c>
      <c r="S24" s="71">
        <v>225</v>
      </c>
      <c r="T24" s="71">
        <v>1761</v>
      </c>
      <c r="U24" s="71">
        <v>5930</v>
      </c>
      <c r="V24" s="71">
        <v>9676</v>
      </c>
      <c r="W24" s="71">
        <v>8348</v>
      </c>
      <c r="X24" s="71">
        <v>4716</v>
      </c>
      <c r="Y24" s="71">
        <v>7384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30240.385638840002</v>
      </c>
      <c r="F25" s="91" ph="1">
        <f>F24*11.702*LOOKUP(F26,密度!$A$2:$A$50,密度!$Q$2:$Q$50)</f>
        <v>0</v>
      </c>
      <c r="G25" s="91" ph="1">
        <f>G24*18.322*LOOKUP(G26,密度!$A$2:$A$50,密度!$B$2:$B$50)</f>
        <v>49627.844991600003</v>
      </c>
      <c r="H25" s="91" ph="1">
        <f>H24*18.322*LOOKUP(H26,密度!$A$2:$A$50,密度!$B$2:$B$50)</f>
        <v>28961.453481599998</v>
      </c>
      <c r="I25" s="91" ph="1">
        <f>I24*18.322*LOOKUP(I26,密度!$A$2:$A$50,密度!$Q$2:$Q$50)</f>
        <v>65900.680631319992</v>
      </c>
      <c r="J25" s="91" ph="1">
        <f>J24*18.322*LOOKUP(J26,密度!$A$2:$A$50,密度!$Q$2:$Q$50)</f>
        <v>86046.520302720004</v>
      </c>
      <c r="K25" s="91" ph="1">
        <f>K24*18.322*LOOKUP(K26,密度!$A$2:$A$50,密度!$Q$2:$Q$50)</f>
        <v>467.64413207999996</v>
      </c>
      <c r="L25" s="91" ph="1">
        <f>L24*18.322*LOOKUP(L26,密度!$A$2:$A$50,密度!$Q$2:$Q$50)</f>
        <v>1646.6503577000001</v>
      </c>
      <c r="M25" s="91" ph="1">
        <f>M24*18.322*LOOKUP(M26,密度!$A$2:$A$50,密度!$Q$2:$Q$50)</f>
        <v>94256.272843679995</v>
      </c>
      <c r="N25" s="91" ph="1">
        <f>N24*18.322*LOOKUP(N26,密度!$A$2:$A$50,密度!$Q$2:$Q$50)</f>
        <v>93303.664426480012</v>
      </c>
      <c r="O25" s="91" ph="1">
        <f>O24*18.322*LOOKUP(O26,密度!$A$2:$A$50,密度!$C$2:$C$50)</f>
        <v>0</v>
      </c>
      <c r="P25" s="91" ph="1">
        <f>P24*11.702*LOOKUP(P26,密度!$A$2:$A$50,密度!$B$2:$B$50)</f>
        <v>7663.2185279999994</v>
      </c>
      <c r="Q25" s="92" ph="1">
        <f>Q24*18.322*LOOKUP(Q26,密度!$A$2:$A$50,密度!$B$2:$B$50)</f>
        <v>25553.774016799998</v>
      </c>
      <c r="R25" s="91" ph="1">
        <f>R24*35.891*LOOKUP(R26,密度!$A$2:$A$50,密度!$C$2:$C$50)</f>
        <v>162145.62131670001</v>
      </c>
      <c r="S25" s="91" ph="1">
        <f>S24*35.891*LOOKUP(S26,密度!$A$2:$A$50,密度!$B$2:$B$50)</f>
        <v>6281.9120025000002</v>
      </c>
      <c r="T25" s="91" ph="1">
        <f>T24*35.891*LOOKUP(T26,密度!$A$2:$A$50,密度!$Q$2:$Q$50)</f>
        <v>59837.803243740003</v>
      </c>
      <c r="U25" s="91" ph="1">
        <f>U24*35.891</f>
        <v>212833.62999999998</v>
      </c>
      <c r="V25" s="91" ph="1">
        <f>V24*47.051*LOOKUP(V26,密度!$A$2:$A$50,密度!$B$2:$B$50)</f>
        <v>354924.96508960001</v>
      </c>
      <c r="W25" s="91" ph="1">
        <f>W24*47.051*LOOKUP(W26,密度!$A$2:$A$50,密度!$B$2:$B$50)</f>
        <v>306212.65074080002</v>
      </c>
      <c r="X25" s="91" ph="1">
        <f>X24*47.051*LOOKUP(X26,密度!$A$2:$A$50,密度!$I$2:$I$50)</f>
        <v>228038.93869320001</v>
      </c>
      <c r="Y25" s="91" ph="1">
        <f>Y24*47.051*LOOKUP(Y26,密度!$A$2:$A$50,密度!$L$2:$L$50)</f>
        <v>323799.71228800004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24</v>
      </c>
      <c r="G26" s="74">
        <v>27</v>
      </c>
      <c r="H26" s="74">
        <v>27</v>
      </c>
      <c r="I26" s="74">
        <v>26</v>
      </c>
      <c r="J26" s="74">
        <v>27</v>
      </c>
      <c r="K26" s="74">
        <v>27</v>
      </c>
      <c r="L26" s="74">
        <v>26</v>
      </c>
      <c r="M26" s="74">
        <v>27</v>
      </c>
      <c r="N26" s="74">
        <v>27</v>
      </c>
      <c r="O26" s="74">
        <v>22</v>
      </c>
      <c r="P26" s="74">
        <v>25</v>
      </c>
      <c r="Q26" s="93">
        <v>25</v>
      </c>
      <c r="R26" s="74">
        <v>26</v>
      </c>
      <c r="S26" s="74">
        <v>27</v>
      </c>
      <c r="T26" s="74">
        <v>25</v>
      </c>
      <c r="U26" s="74">
        <v>25</v>
      </c>
      <c r="V26" s="74">
        <v>25</v>
      </c>
      <c r="W26" s="74">
        <v>25</v>
      </c>
      <c r="X26" s="74">
        <v>38</v>
      </c>
      <c r="Y26" s="74">
        <v>30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67" t="s" ph="1">
        <v>181</v>
      </c>
      <c r="D27" s="71">
        <v>3.11</v>
      </c>
      <c r="E27" s="71">
        <v>95.62</v>
      </c>
      <c r="F27" s="71">
        <v>0</v>
      </c>
      <c r="G27" s="71">
        <v>2957</v>
      </c>
      <c r="H27" s="71">
        <v>1622</v>
      </c>
      <c r="I27" s="71">
        <v>3801</v>
      </c>
      <c r="J27" s="71">
        <v>4559</v>
      </c>
      <c r="K27" s="71">
        <v>23</v>
      </c>
      <c r="L27" s="71">
        <v>0</v>
      </c>
      <c r="M27" s="71">
        <v>5442</v>
      </c>
      <c r="N27" s="71">
        <v>5384</v>
      </c>
      <c r="O27" s="71">
        <v>0</v>
      </c>
      <c r="P27" s="71">
        <v>837</v>
      </c>
      <c r="Q27" s="90">
        <v>2436</v>
      </c>
      <c r="R27" s="71">
        <v>4074</v>
      </c>
      <c r="S27" s="71">
        <v>840</v>
      </c>
      <c r="T27" s="71">
        <v>1758</v>
      </c>
      <c r="U27" s="71">
        <v>5780</v>
      </c>
      <c r="V27" s="71">
        <v>9677</v>
      </c>
      <c r="W27" s="71">
        <v>8347</v>
      </c>
      <c r="X27" s="71">
        <v>4336</v>
      </c>
      <c r="Y27" s="71">
        <v>6368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67" t="s" ph="1">
        <v>179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30225.488676240006</v>
      </c>
      <c r="F28" s="91" ph="1">
        <f>F27*11.702*LOOKUP(F29,密度!$A$2:$A$50,密度!$Q$2:$Q$50)</f>
        <v>0</v>
      </c>
      <c r="G28" s="91" ph="1">
        <f>G27*18.322*LOOKUP(G29,密度!$A$2:$A$50,密度!$B$2:$B$50)</f>
        <v>42145.185996599997</v>
      </c>
      <c r="H28" s="91" ph="1">
        <f>H27*18.322*LOOKUP(H29,密度!$A$2:$A$50,密度!$B$2:$B$50)</f>
        <v>23117.853123600002</v>
      </c>
      <c r="I28" s="91" ph="1">
        <f>I27*18.322*LOOKUP(I29,密度!$A$2:$A$50,密度!$Q$2:$Q$50)</f>
        <v>65833.90170504</v>
      </c>
      <c r="J28" s="91" ph="1">
        <f>J27*18.322*LOOKUP(J29,密度!$A$2:$A$50,密度!$Q$2:$Q$50)</f>
        <v>78962.57770935999</v>
      </c>
      <c r="K28" s="91" ph="1">
        <f>K27*18.322*LOOKUP(K29,密度!$A$2:$A$50,密度!$Q$2:$Q$50)</f>
        <v>397.52492197999999</v>
      </c>
      <c r="L28" s="91" ph="1">
        <f>L27*18.322*LOOKUP(L29,密度!$A$2:$A$50,密度!$Q$2:$Q$50)</f>
        <v>0</v>
      </c>
      <c r="M28" s="91" ph="1">
        <f>M27*18.322*LOOKUP(M29,密度!$A$2:$A$50,密度!$Q$2:$Q$50)</f>
        <v>94327.065753720002</v>
      </c>
      <c r="N28" s="91" ph="1">
        <f>N27*18.322*LOOKUP(N29,密度!$A$2:$A$50,密度!$Q$2:$Q$50)</f>
        <v>93321.742377440009</v>
      </c>
      <c r="O28" s="91" ph="1">
        <f>O27*18.322*LOOKUP(O29,密度!$A$2:$A$50,密度!$C$2:$C$50)</f>
        <v>0</v>
      </c>
      <c r="P28" s="91" ph="1">
        <f>P27*11.702*LOOKUP(P29,密度!$A$2:$A$50,密度!$B$2:$B$50)</f>
        <v>7619.1991146000009</v>
      </c>
      <c r="Q28" s="92" ph="1">
        <f>Q27*18.322*LOOKUP(Q29,密度!$A$2:$A$50,密度!$B$2:$B$50)</f>
        <v>34719.537736800004</v>
      </c>
      <c r="R28" s="91" ph="1">
        <f>R27*35.891*LOOKUP(R29,密度!$A$2:$A$50,密度!$C$2:$C$50)</f>
        <v>162026.3088654</v>
      </c>
      <c r="S28" s="91" ph="1">
        <f>S27*35.891*LOOKUP(S29,密度!$A$2:$A$50,密度!$B$2:$B$50)</f>
        <v>23530.857419999997</v>
      </c>
      <c r="T28" s="91" ph="1">
        <f>T27*35.891*LOOKUP(T29,密度!$A$2:$A$50,密度!$Q$2:$Q$50)</f>
        <v>59646.268050960003</v>
      </c>
      <c r="U28" s="91" ph="1">
        <f>U27*35.891</f>
        <v>207449.97999999998</v>
      </c>
      <c r="V28" s="91" ph="1">
        <f>V27*47.051*LOOKUP(V29,密度!$A$2:$A$50,密度!$B$2:$B$50)</f>
        <v>354961.64604919998</v>
      </c>
      <c r="W28" s="91" ph="1">
        <f>W27*47.051*LOOKUP(W29,密度!$A$2:$A$50,密度!$B$2:$B$50)</f>
        <v>306175.96978119999</v>
      </c>
      <c r="X28" s="91" ph="1">
        <f>X27*47.051*LOOKUP(X29,密度!$A$2:$A$50,密度!$I$2:$I$50)</f>
        <v>209419.484104</v>
      </c>
      <c r="Y28" s="91" ph="1">
        <f>Y27*47.051*LOOKUP(Y29,密度!$A$2:$A$50,密度!$L$2:$L$50)</f>
        <v>279246.55577600008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67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27</v>
      </c>
      <c r="K29" s="74">
        <v>30</v>
      </c>
      <c r="L29" s="74">
        <v>28</v>
      </c>
      <c r="M29" s="74">
        <v>26</v>
      </c>
      <c r="N29" s="74">
        <v>26</v>
      </c>
      <c r="O29" s="74">
        <v>26</v>
      </c>
      <c r="P29" s="74">
        <v>27</v>
      </c>
      <c r="Q29" s="93">
        <v>27</v>
      </c>
      <c r="R29" s="74">
        <v>26</v>
      </c>
      <c r="S29" s="74">
        <v>24</v>
      </c>
      <c r="T29" s="74">
        <v>27</v>
      </c>
      <c r="U29" s="74">
        <v>26</v>
      </c>
      <c r="V29" s="74">
        <v>25</v>
      </c>
      <c r="W29" s="74">
        <v>25</v>
      </c>
      <c r="X29" s="74">
        <v>39</v>
      </c>
      <c r="Y29" s="74">
        <v>30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67" t="s" ph="1">
        <v>5</v>
      </c>
      <c r="F32" s="166" t="s" ph="1">
        <v>43</v>
      </c>
      <c r="G32" s="97" t="s" ph="1">
        <v>4</v>
      </c>
      <c r="H32" s="167" t="s" ph="1">
        <v>5</v>
      </c>
      <c r="I32" s="166" t="s" ph="1">
        <v>43</v>
      </c>
      <c r="J32" s="97" t="s" ph="1">
        <v>4</v>
      </c>
      <c r="K32" s="167" t="s" ph="1">
        <v>5</v>
      </c>
      <c r="L32" s="166" t="s" ph="1">
        <v>43</v>
      </c>
      <c r="M32" s="97" t="s" ph="1">
        <v>4</v>
      </c>
      <c r="N32" s="167" t="s" ph="1">
        <v>5</v>
      </c>
      <c r="O32" s="16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7" t="s" ph="1">
        <v>5</v>
      </c>
      <c r="U32" s="99" t="s" ph="1">
        <v>43</v>
      </c>
      <c r="V32" s="97" t="s" ph="1">
        <v>4</v>
      </c>
      <c r="W32" s="167" t="s" ph="1">
        <v>5</v>
      </c>
      <c r="X32" s="99" t="s" ph="1">
        <v>43</v>
      </c>
      <c r="Y32" s="100" t="s" ph="1">
        <v>4</v>
      </c>
      <c r="Z32" s="167" t="s" ph="1">
        <v>5</v>
      </c>
      <c r="AA32" s="166" t="s" ph="1">
        <v>43</v>
      </c>
      <c r="AB32" s="97" t="s" ph="1">
        <v>85</v>
      </c>
      <c r="AC32" s="167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148227.46779279999</v>
      </c>
      <c r="E33" s="217" ph="1">
        <f>M10+I10</f>
        <v>68456.671455599993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21" ph="1">
        <v>0</v>
      </c>
      <c r="H33" s="217" ph="1">
        <f>N19</f>
        <v>15072.364309080001</v>
      </c>
      <c r="I33" s="230" ph="1">
        <v>0</v>
      </c>
      <c r="J33" s="228" ph="1">
        <f>F10+O28</f>
        <v>170615.64405059998</v>
      </c>
      <c r="K33" s="217" ph="1">
        <f>O10+K10+E28+R28</f>
        <v>291560.10046324006</v>
      </c>
      <c r="L33" s="232" ph="1">
        <f>BE27</f>
        <v>7100</v>
      </c>
      <c r="M33" s="228" ph="1">
        <f>G10+H10+W28+S28+V28+E10</f>
        <v>1181349.7670164001</v>
      </c>
      <c r="N33" s="217" ph="1">
        <f>L10+P10++G28+H28</f>
        <v>311874.87639620004</v>
      </c>
      <c r="O33" s="230" ph="1">
        <f>BE17</f>
        <v>2270</v>
      </c>
      <c r="P33" s="228" ph="1">
        <f>L19</f>
        <v>36785.059908480005</v>
      </c>
      <c r="Q33" s="217" ph="1">
        <f>J10+N10</f>
        <v>118886.45422129998</v>
      </c>
      <c r="R33" s="230" ph="1">
        <f>BE23</f>
        <v>890</v>
      </c>
      <c r="S33" s="228" ph="1">
        <f>E10+X28</f>
        <v>379971.19532499998</v>
      </c>
      <c r="T33" s="217" ph="1">
        <f>X19</f>
        <v>7244.8351039999998</v>
      </c>
      <c r="U33" s="238" ph="1">
        <f>BE21</f>
        <v>730</v>
      </c>
      <c r="V33" s="249" ph="1">
        <f ca="1">P19+Q19+S19+M28+N28+J28</f>
        <v>385346.97300382802</v>
      </c>
      <c r="W33" s="249" ph="1">
        <f>D28+F28+V19+T28</f>
        <v>113865.40912752</v>
      </c>
      <c r="X33" s="230" ph="1">
        <f>BE29+BE31</f>
        <v>10200</v>
      </c>
      <c r="Y33" s="251" ph="1">
        <f>+Q10+R10+S10+T10+U10+V10+W10+X10+Y10</f>
        <v>159716.41658280001</v>
      </c>
      <c r="Z33" s="236" ph="1">
        <f>D10+T19+U19+Y28+Z10</f>
        <v>523723.42727208009</v>
      </c>
      <c r="AA33" s="238" ph="1">
        <f>BE19</f>
        <v>1440</v>
      </c>
      <c r="AB33" s="240" ph="1">
        <f>I19</f>
        <v>0</v>
      </c>
      <c r="AC33" s="242" ph="1">
        <f>AD10</f>
        <v>65669.139849600004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65" t="s" ph="1">
        <v>186</v>
      </c>
      <c r="AA36" s="165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345</v>
      </c>
      <c r="AI37" s="165" t="s" ph="1">
        <v>212</v>
      </c>
      <c r="AJ37" s="165" t="s" ph="1">
        <v>213</v>
      </c>
      <c r="AK37" s="165" t="s" ph="1">
        <v>214</v>
      </c>
      <c r="AM37" s="165" t="s" ph="1">
        <v>213</v>
      </c>
      <c r="AN37" s="165" t="s" ph="1">
        <v>214</v>
      </c>
      <c r="AO37" s="165" t="s" ph="1">
        <v>215</v>
      </c>
      <c r="AP37" s="165" t="s" ph="1">
        <v>213</v>
      </c>
      <c r="AQ37" s="165" t="s" ph="1">
        <v>214</v>
      </c>
      <c r="AR37" s="165" t="s" ph="1">
        <v>215</v>
      </c>
      <c r="AS37" s="165" t="s" ph="1">
        <v>213</v>
      </c>
      <c r="AT37" s="165" t="s" ph="1">
        <v>214</v>
      </c>
      <c r="AU37" s="165" t="s" ph="1">
        <v>215</v>
      </c>
      <c r="AV37" s="165" t="s" ph="1">
        <v>213</v>
      </c>
      <c r="AW37" s="165" t="s" ph="1">
        <v>214</v>
      </c>
      <c r="AX37" s="165" t="s" ph="1">
        <v>215</v>
      </c>
      <c r="AY37" s="165" t="s" ph="1">
        <v>214</v>
      </c>
      <c r="AZ37" s="165" t="s" ph="1">
        <v>216</v>
      </c>
      <c r="BD37" s="165" t="s" ph="1">
        <v>308</v>
      </c>
      <c r="BE37" s="165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55" priority="96">
      <formula>ABS(D$7-D$10)&gt;=1000</formula>
    </cfRule>
  </conditionalFormatting>
  <conditionalFormatting sqref="E4 E6:E11">
    <cfRule type="expression" dxfId="754" priority="95">
      <formula>ABS(E$7-E$10)&gt;=1000</formula>
    </cfRule>
  </conditionalFormatting>
  <conditionalFormatting sqref="F4:F11">
    <cfRule type="expression" dxfId="753" priority="94">
      <formula>ABS(F$7-F$10)&gt;=1000</formula>
    </cfRule>
  </conditionalFormatting>
  <conditionalFormatting sqref="G4:G11">
    <cfRule type="expression" dxfId="752" priority="93">
      <formula>ABS(G$7-G$10)&gt;=1000</formula>
    </cfRule>
  </conditionalFormatting>
  <conditionalFormatting sqref="H4:H11">
    <cfRule type="expression" dxfId="751" priority="92">
      <formula>ABS(H$7-H$10)&gt;=1000</formula>
    </cfRule>
  </conditionalFormatting>
  <conditionalFormatting sqref="I4:I11">
    <cfRule type="expression" dxfId="750" priority="91">
      <formula>ABS(I$7-I$10)&gt;=1000</formula>
    </cfRule>
  </conditionalFormatting>
  <conditionalFormatting sqref="J4:J11">
    <cfRule type="expression" dxfId="749" priority="90">
      <formula>ABS(J$7-J$10)&gt;=1000</formula>
    </cfRule>
  </conditionalFormatting>
  <conditionalFormatting sqref="K4:K11">
    <cfRule type="expression" dxfId="748" priority="89">
      <formula>ABS(K$7-K$10)&gt;=1000</formula>
    </cfRule>
  </conditionalFormatting>
  <conditionalFormatting sqref="L4:L11">
    <cfRule type="expression" dxfId="747" priority="88">
      <formula>ABS(L$7-L$10)&gt;=1000</formula>
    </cfRule>
  </conditionalFormatting>
  <conditionalFormatting sqref="M4 M6:M11">
    <cfRule type="expression" dxfId="746" priority="87">
      <formula>ABS(M$7-M$10)&gt;=1000</formula>
    </cfRule>
  </conditionalFormatting>
  <conditionalFormatting sqref="N4 N6:N11">
    <cfRule type="expression" dxfId="745" priority="86">
      <formula>ABS(N$7-N$10)&gt;=1000</formula>
    </cfRule>
  </conditionalFormatting>
  <conditionalFormatting sqref="O4 O6:O11">
    <cfRule type="expression" dxfId="744" priority="85">
      <formula>ABS(O$7-O$10)&gt;=1000</formula>
    </cfRule>
  </conditionalFormatting>
  <conditionalFormatting sqref="P4 P6:P11">
    <cfRule type="expression" dxfId="743" priority="84">
      <formula>ABS(P$7-P$10)&gt;=1000</formula>
    </cfRule>
  </conditionalFormatting>
  <conditionalFormatting sqref="Q4:Q11">
    <cfRule type="expression" dxfId="742" priority="83">
      <formula>ABS(Q$7-Q$10)&gt;=1000</formula>
    </cfRule>
  </conditionalFormatting>
  <conditionalFormatting sqref="R4:R11">
    <cfRule type="expression" dxfId="741" priority="82">
      <formula>ABS(R$7-R$10)&gt;=1000</formula>
    </cfRule>
  </conditionalFormatting>
  <conditionalFormatting sqref="S4:S11">
    <cfRule type="expression" dxfId="740" priority="81">
      <formula>ABS(S$7-S$10)&gt;=1000</formula>
    </cfRule>
  </conditionalFormatting>
  <conditionalFormatting sqref="T4:T9 T11">
    <cfRule type="expression" dxfId="739" priority="80">
      <formula>ABS(T$7-T$10)&gt;=1000</formula>
    </cfRule>
  </conditionalFormatting>
  <conditionalFormatting sqref="U4:U9 U11">
    <cfRule type="expression" dxfId="738" priority="79">
      <formula>ABS(U$7-U$10)&gt;=1000</formula>
    </cfRule>
  </conditionalFormatting>
  <conditionalFormatting sqref="V4:V9 V11">
    <cfRule type="expression" dxfId="737" priority="78">
      <formula>ABS(V$7-V$10)&gt;=1000</formula>
    </cfRule>
  </conditionalFormatting>
  <conditionalFormatting sqref="W4:W9 W11">
    <cfRule type="expression" dxfId="736" priority="77">
      <formula>ABS(W$7-W$10)&gt;=1000</formula>
    </cfRule>
  </conditionalFormatting>
  <conditionalFormatting sqref="X4:X9 X11">
    <cfRule type="expression" dxfId="735" priority="76">
      <formula>ABS(X$7-X$10)&gt;=1000</formula>
    </cfRule>
  </conditionalFormatting>
  <conditionalFormatting sqref="Y4:Y9 Y11">
    <cfRule type="expression" dxfId="734" priority="75">
      <formula>ABS(Y$7-Y$10)&gt;=1000</formula>
    </cfRule>
  </conditionalFormatting>
  <conditionalFormatting sqref="Z4:Z11">
    <cfRule type="expression" dxfId="733" priority="74">
      <formula>ABS(Z$7-Z$10)&gt;=1000</formula>
    </cfRule>
  </conditionalFormatting>
  <conditionalFormatting sqref="AA4:AA11">
    <cfRule type="expression" dxfId="732" priority="73">
      <formula>ABS(AA$7-AA$10)&gt;=1000</formula>
    </cfRule>
  </conditionalFormatting>
  <conditionalFormatting sqref="AB4:AB11">
    <cfRule type="expression" dxfId="731" priority="72">
      <formula>ABS(AB$7-AB$10)&gt;=1000</formula>
    </cfRule>
  </conditionalFormatting>
  <conditionalFormatting sqref="AC4 AC6:AC11">
    <cfRule type="expression" dxfId="730" priority="71">
      <formula>ABS(AC$7-AC$10)&gt;=1000</formula>
    </cfRule>
  </conditionalFormatting>
  <conditionalFormatting sqref="AD4:AD11">
    <cfRule type="expression" dxfId="729" priority="70">
      <formula>ABS(AD$7-AD$10)&gt;=1000</formula>
    </cfRule>
  </conditionalFormatting>
  <conditionalFormatting sqref="AE4:AE11">
    <cfRule type="expression" dxfId="728" priority="69">
      <formula>ABS(AE$7-AE$10)&gt;=1000</formula>
    </cfRule>
  </conditionalFormatting>
  <conditionalFormatting sqref="D13:D20">
    <cfRule type="expression" dxfId="727" priority="68">
      <formula>ABS(D$16-D$19)&gt;=1000</formula>
    </cfRule>
  </conditionalFormatting>
  <conditionalFormatting sqref="E13:E20">
    <cfRule type="expression" dxfId="726" priority="67">
      <formula>ABS(E$16-E$19)&gt;=1000</formula>
    </cfRule>
  </conditionalFormatting>
  <conditionalFormatting sqref="F13 F15:F20">
    <cfRule type="expression" dxfId="725" priority="66">
      <formula>ABS(F$16-F$19)&gt;=1000</formula>
    </cfRule>
  </conditionalFormatting>
  <conditionalFormatting sqref="G13:G20">
    <cfRule type="expression" dxfId="724" priority="65">
      <formula>ABS(G$16-G$19)&gt;=1000</formula>
    </cfRule>
  </conditionalFormatting>
  <conditionalFormatting sqref="H13:H20">
    <cfRule type="expression" dxfId="723" priority="64">
      <formula>ABS(H$16-H$19)&gt;=1000</formula>
    </cfRule>
  </conditionalFormatting>
  <conditionalFormatting sqref="I13:I20">
    <cfRule type="expression" dxfId="722" priority="63">
      <formula>ABS(I$16-I$19)&gt;=1000</formula>
    </cfRule>
  </conditionalFormatting>
  <conditionalFormatting sqref="J13:J20">
    <cfRule type="expression" dxfId="721" priority="62">
      <formula>ABS(J$16-J$19)&gt;=1000</formula>
    </cfRule>
  </conditionalFormatting>
  <conditionalFormatting sqref="L13:L20">
    <cfRule type="expression" dxfId="720" priority="61">
      <formula>ABS(L$16-L$19)&gt;=1000</formula>
    </cfRule>
  </conditionalFormatting>
  <conditionalFormatting sqref="M13 M15 M17:M18 M20">
    <cfRule type="expression" dxfId="719" priority="60">
      <formula>ABS(M$16-M$19)&gt;=1000</formula>
    </cfRule>
  </conditionalFormatting>
  <conditionalFormatting sqref="N13:N20">
    <cfRule type="expression" dxfId="718" priority="59">
      <formula>ABS(N$16-N$19)&gt;=1000</formula>
    </cfRule>
  </conditionalFormatting>
  <conditionalFormatting sqref="O13:O20">
    <cfRule type="expression" dxfId="717" priority="58">
      <formula>ABS(O$16-O$19)&gt;=1000</formula>
    </cfRule>
  </conditionalFormatting>
  <conditionalFormatting sqref="P13:P20">
    <cfRule type="expression" dxfId="716" priority="57">
      <formula>ABS(P$16-P$19)&gt;=1000</formula>
    </cfRule>
  </conditionalFormatting>
  <conditionalFormatting sqref="Q13 Q15:Q20">
    <cfRule type="expression" dxfId="715" priority="56">
      <formula>ABS(Q$16-Q$19)&gt;=1000</formula>
    </cfRule>
  </conditionalFormatting>
  <conditionalFormatting sqref="R13:R20">
    <cfRule type="expression" dxfId="714" priority="55">
      <formula>ABS(R$16-R$19)&gt;=1000</formula>
    </cfRule>
  </conditionalFormatting>
  <conditionalFormatting sqref="S13:S20">
    <cfRule type="expression" dxfId="713" priority="54">
      <formula>ABS(S$16-S$19)&gt;=1000</formula>
    </cfRule>
  </conditionalFormatting>
  <conditionalFormatting sqref="T13:T20">
    <cfRule type="expression" dxfId="712" priority="53">
      <formula>ABS(T$16-T$19)&gt;=1000</formula>
    </cfRule>
  </conditionalFormatting>
  <conditionalFormatting sqref="U13:U20">
    <cfRule type="expression" dxfId="711" priority="52">
      <formula>ABS(U$16-U$19)&gt;=1000</formula>
    </cfRule>
  </conditionalFormatting>
  <conditionalFormatting sqref="V13:V20">
    <cfRule type="expression" dxfId="710" priority="51">
      <formula>ABS(V$16-V$19)&gt;=1000</formula>
    </cfRule>
  </conditionalFormatting>
  <conditionalFormatting sqref="W13 W20 W15:W18">
    <cfRule type="expression" dxfId="709" priority="50">
      <formula>ABS(W$16-W$19)&gt;=1000</formula>
    </cfRule>
  </conditionalFormatting>
  <conditionalFormatting sqref="X13 X15:X20 Y19">
    <cfRule type="expression" dxfId="708" priority="49">
      <formula>ABS(X$16-X$19)&gt;=1000</formula>
    </cfRule>
  </conditionalFormatting>
  <conditionalFormatting sqref="Y13 Y15:Y18 Y20">
    <cfRule type="expression" dxfId="707" priority="48">
      <formula>ABS(Y$16-Y$19)&gt;=1000</formula>
    </cfRule>
  </conditionalFormatting>
  <conditionalFormatting sqref="Z13:Z20">
    <cfRule type="expression" dxfId="706" priority="47">
      <formula>ABS(Z$16-Z$19)&gt;=1000</formula>
    </cfRule>
  </conditionalFormatting>
  <conditionalFormatting sqref="AA13:AA20">
    <cfRule type="expression" dxfId="705" priority="46">
      <formula>ABS(AA$16-AA$19)&gt;=1000</formula>
    </cfRule>
  </conditionalFormatting>
  <conditionalFormatting sqref="AB13 AB15:AB20">
    <cfRule type="expression" dxfId="704" priority="45">
      <formula>ABS(AB$16-AB$19)&gt;=1000</formula>
    </cfRule>
  </conditionalFormatting>
  <conditionalFormatting sqref="AC13 AC15:AC20">
    <cfRule type="expression" dxfId="703" priority="44">
      <formula>ABS(AC$16-AC$19)&gt;=1000</formula>
    </cfRule>
  </conditionalFormatting>
  <conditionalFormatting sqref="AD13:AD20">
    <cfRule type="expression" dxfId="702" priority="43">
      <formula>ABS(AD$16-AD$19)&gt;=1000</formula>
    </cfRule>
  </conditionalFormatting>
  <conditionalFormatting sqref="AE13:AE20">
    <cfRule type="expression" dxfId="701" priority="42">
      <formula>ABS(AE$16-AE$19)&gt;=1000</formula>
    </cfRule>
  </conditionalFormatting>
  <conditionalFormatting sqref="D22:D29">
    <cfRule type="expression" dxfId="700" priority="41">
      <formula>ABS(D$25-D$28)&gt;=1000</formula>
    </cfRule>
  </conditionalFormatting>
  <conditionalFormatting sqref="E22:E29">
    <cfRule type="expression" dxfId="699" priority="40">
      <formula>ABS(E$25-E$28)&gt;=1000</formula>
    </cfRule>
  </conditionalFormatting>
  <conditionalFormatting sqref="F22:F29">
    <cfRule type="expression" dxfId="698" priority="39">
      <formula>ABS(F$25-F$28)&gt;=1000</formula>
    </cfRule>
  </conditionalFormatting>
  <conditionalFormatting sqref="G22:G29">
    <cfRule type="expression" dxfId="697" priority="38">
      <formula>ABS(G$25-G$28)&gt;=1000</formula>
    </cfRule>
  </conditionalFormatting>
  <conditionalFormatting sqref="H22:H29">
    <cfRule type="expression" dxfId="696" priority="37">
      <formula>ABS(H$25-H$28)&gt;=1000</formula>
    </cfRule>
  </conditionalFormatting>
  <conditionalFormatting sqref="I22 I24:I29">
    <cfRule type="expression" dxfId="695" priority="36">
      <formula>ABS(I$25-I$28)&gt;=1000</formula>
    </cfRule>
  </conditionalFormatting>
  <conditionalFormatting sqref="J22:J29 K22">
    <cfRule type="expression" dxfId="694" priority="35">
      <formula>ABS(J$25-J$28)&gt;=1000</formula>
    </cfRule>
  </conditionalFormatting>
  <conditionalFormatting sqref="K23:K29 L25 L28">
    <cfRule type="expression" dxfId="693" priority="34">
      <formula>ABS(K$25-K$28)&gt;=1000</formula>
    </cfRule>
  </conditionalFormatting>
  <conditionalFormatting sqref="L22:L24 L26:L27 L29">
    <cfRule type="expression" dxfId="692" priority="33">
      <formula>ABS(L$25-L$28)&gt;=1000</formula>
    </cfRule>
  </conditionalFormatting>
  <conditionalFormatting sqref="M22:M29">
    <cfRule type="expression" dxfId="691" priority="32">
      <formula>ABS(M$25-M$28)&gt;=1000</formula>
    </cfRule>
  </conditionalFormatting>
  <conditionalFormatting sqref="N22:N29">
    <cfRule type="expression" dxfId="690" priority="31">
      <formula>ABS(N$25-N$28)&gt;=1000</formula>
    </cfRule>
  </conditionalFormatting>
  <conditionalFormatting sqref="O22:O29">
    <cfRule type="expression" dxfId="689" priority="30">
      <formula>ABS(O$25-O$28)&gt;=1000</formula>
    </cfRule>
  </conditionalFormatting>
  <conditionalFormatting sqref="P22:P29">
    <cfRule type="expression" dxfId="688" priority="29">
      <formula>ABS(P$25-P$28)&gt;=1000</formula>
    </cfRule>
  </conditionalFormatting>
  <conditionalFormatting sqref="Q22:Q29">
    <cfRule type="expression" dxfId="687" priority="28">
      <formula>ABS(Q$25-Q$28)&gt;=1000</formula>
    </cfRule>
  </conditionalFormatting>
  <conditionalFormatting sqref="R22:R29">
    <cfRule type="expression" dxfId="686" priority="27">
      <formula>ABS(R$25-R$28)&gt;=1000</formula>
    </cfRule>
  </conditionalFormatting>
  <conditionalFormatting sqref="S22:S29">
    <cfRule type="expression" dxfId="685" priority="26">
      <formula>ABS(S$25-S$28)&gt;=1000</formula>
    </cfRule>
  </conditionalFormatting>
  <conditionalFormatting sqref="T22:T29">
    <cfRule type="expression" dxfId="684" priority="25">
      <formula>ABS(T$25-T$28)&gt;=1000</formula>
    </cfRule>
  </conditionalFormatting>
  <conditionalFormatting sqref="U22:U29">
    <cfRule type="expression" dxfId="683" priority="24">
      <formula>ABS(U$25-U$28)&gt;=1000</formula>
    </cfRule>
  </conditionalFormatting>
  <conditionalFormatting sqref="V22:V29">
    <cfRule type="expression" dxfId="682" priority="23">
      <formula>ABS(V$25-V$28)&gt;=1000</formula>
    </cfRule>
  </conditionalFormatting>
  <conditionalFormatting sqref="W22:W29">
    <cfRule type="expression" dxfId="681" priority="22">
      <formula>ABS(W$25-W$28)&gt;=1000</formula>
    </cfRule>
  </conditionalFormatting>
  <conditionalFormatting sqref="X22:X29">
    <cfRule type="expression" dxfId="680" priority="21">
      <formula>ABS(X$25-X$28)&gt;=1000</formula>
    </cfRule>
  </conditionalFormatting>
  <conditionalFormatting sqref="Y22:Y29">
    <cfRule type="expression" dxfId="679" priority="20">
      <formula>ABS(Y$25-Y$28)&gt;=1000</formula>
    </cfRule>
  </conditionalFormatting>
  <conditionalFormatting sqref="I23">
    <cfRule type="expression" dxfId="678" priority="19">
      <formula>ABS(I$25-I$28)&gt;=1000</formula>
    </cfRule>
  </conditionalFormatting>
  <conditionalFormatting sqref="F14">
    <cfRule type="expression" dxfId="677" priority="18">
      <formula>ABS(F$16-F$19)&gt;=1000</formula>
    </cfRule>
  </conditionalFormatting>
  <conditionalFormatting sqref="Q14">
    <cfRule type="expression" dxfId="676" priority="17">
      <formula>ABS(Q$16-Q$19)&gt;=1000</formula>
    </cfRule>
  </conditionalFormatting>
  <conditionalFormatting sqref="W14">
    <cfRule type="expression" dxfId="675" priority="16">
      <formula>ABS(W$16-W$19)&gt;=1000</formula>
    </cfRule>
  </conditionalFormatting>
  <conditionalFormatting sqref="Y14">
    <cfRule type="expression" dxfId="674" priority="15">
      <formula>ABS(Y$16-Y$19)&gt;=1000</formula>
    </cfRule>
  </conditionalFormatting>
  <conditionalFormatting sqref="X14">
    <cfRule type="expression" dxfId="673" priority="14">
      <formula>ABS(X$16-X$19)&gt;=1000</formula>
    </cfRule>
  </conditionalFormatting>
  <conditionalFormatting sqref="T10:Y10">
    <cfRule type="expression" dxfId="672" priority="13">
      <formula>ABS(T$7-T$10)&gt;=1000</formula>
    </cfRule>
  </conditionalFormatting>
  <conditionalFormatting sqref="W19">
    <cfRule type="expression" dxfId="671" priority="12">
      <formula>ABS(W$16-W$19)&gt;=1000</formula>
    </cfRule>
  </conditionalFormatting>
  <conditionalFormatting sqref="AC5">
    <cfRule type="expression" dxfId="670" priority="11">
      <formula>ABS(AC$7-AC$10)&gt;=1000</formula>
    </cfRule>
  </conditionalFormatting>
  <conditionalFormatting sqref="M14">
    <cfRule type="expression" dxfId="669" priority="10">
      <formula>ABS(M$16-M$19)&gt;=1000</formula>
    </cfRule>
  </conditionalFormatting>
  <conditionalFormatting sqref="M16">
    <cfRule type="expression" dxfId="668" priority="9">
      <formula>ABS(M$16-M$19)&gt;=1000</formula>
    </cfRule>
  </conditionalFormatting>
  <conditionalFormatting sqref="M19">
    <cfRule type="expression" dxfId="667" priority="8">
      <formula>ABS(M$16-M$19)&gt;=1000</formula>
    </cfRule>
  </conditionalFormatting>
  <conditionalFormatting sqref="K13:K20">
    <cfRule type="expression" dxfId="666" priority="7">
      <formula>ABS(K$16-K$19)&gt;=1000</formula>
    </cfRule>
  </conditionalFormatting>
  <conditionalFormatting sqref="E5">
    <cfRule type="expression" dxfId="665" priority="6">
      <formula>ABS(E$7-E$10)&gt;=1000</formula>
    </cfRule>
  </conditionalFormatting>
  <conditionalFormatting sqref="AB14:AC14">
    <cfRule type="expression" dxfId="664" priority="5">
      <formula>ABS(AB$16-AB$19)&gt;=1000</formula>
    </cfRule>
  </conditionalFormatting>
  <conditionalFormatting sqref="M5">
    <cfRule type="expression" dxfId="663" priority="4">
      <formula>ABS(M$7-M$10)&gt;=1000</formula>
    </cfRule>
  </conditionalFormatting>
  <conditionalFormatting sqref="N5">
    <cfRule type="expression" dxfId="662" priority="3">
      <formula>ABS(N$7-N$10)&gt;=1000</formula>
    </cfRule>
  </conditionalFormatting>
  <conditionalFormatting sqref="O5">
    <cfRule type="expression" dxfId="661" priority="2">
      <formula>ABS(O$7-O$10)&gt;=1000</formula>
    </cfRule>
  </conditionalFormatting>
  <conditionalFormatting sqref="P5">
    <cfRule type="expression" dxfId="66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78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1">
    <pageSetUpPr fitToPage="1"/>
  </sheetPr>
  <dimension ref="A1:CU223"/>
  <sheetViews>
    <sheetView view="pageBreakPreview" zoomScale="80" zoomScaleNormal="100" zoomScaleSheetLayoutView="80" workbookViewId="0">
      <selection activeCell="S10" sqref="S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45771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68" t="s" ph="1">
        <v>178</v>
      </c>
      <c r="D6" s="71">
        <v>4189</v>
      </c>
      <c r="E6" s="71">
        <v>4272</v>
      </c>
      <c r="F6" s="71">
        <v>4641</v>
      </c>
      <c r="G6" s="71">
        <v>5253</v>
      </c>
      <c r="H6" s="71">
        <v>2248</v>
      </c>
      <c r="I6" s="71">
        <v>5.01</v>
      </c>
      <c r="J6" s="71">
        <v>60.61</v>
      </c>
      <c r="K6" s="71">
        <v>7.44</v>
      </c>
      <c r="L6" s="71">
        <v>47.76</v>
      </c>
      <c r="M6" s="71">
        <v>1955</v>
      </c>
      <c r="N6" s="71">
        <v>4483</v>
      </c>
      <c r="O6" s="71">
        <v>4297</v>
      </c>
      <c r="P6" s="71">
        <v>5995</v>
      </c>
      <c r="Q6" s="71">
        <v>5705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3983</v>
      </c>
      <c r="X6" s="71">
        <v>5881</v>
      </c>
      <c r="Y6" s="71">
        <v>4912</v>
      </c>
      <c r="Z6" s="71">
        <v>1471</v>
      </c>
      <c r="AA6" s="71">
        <v>2174</v>
      </c>
      <c r="AB6" s="71">
        <v>3529</v>
      </c>
      <c r="AC6" s="71">
        <v>5891</v>
      </c>
      <c r="AD6" s="71">
        <v>3342</v>
      </c>
      <c r="AE6" s="71">
        <v>3621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131501.56340961001</v>
      </c>
      <c r="E7" s="73" ph="1">
        <f>E6*51.53*LOOKUP(E8,密度!$A$2:$A$50,密度!$B$2:$B$50)</f>
        <v>171618.15033599999</v>
      </c>
      <c r="F7" s="73" ph="1">
        <f>F6*33.183*LOOKUP(F8,密度!$A$2:$A$50,密度!$C$2:$C$50)</f>
        <v>170542.15034219998</v>
      </c>
      <c r="G7" s="73" ph="1">
        <f xml:space="preserve"> (G6+2)*51.53*LOOKUP(G8,密度!$A$2:$A$50,密度!$B$2:$B$50)</f>
        <v>211108.00094</v>
      </c>
      <c r="H7" s="73" ph="1">
        <f>(H6)*51.53*LOOKUP(H8,密度!$A$2:$A$50,密度!$B$2:$B$50)</f>
        <v>90829.704903999998</v>
      </c>
      <c r="I7" s="73" ph="1">
        <f>I6*290.8*1.0267</f>
        <v>1495.8074435999997</v>
      </c>
      <c r="J7" s="73" ph="1">
        <f>J6*290.8*0.7892</f>
        <v>13909.956209599999</v>
      </c>
      <c r="K7" s="73" ph="1">
        <f>K6*290.8*1.1126</f>
        <v>2407.1679552000001</v>
      </c>
      <c r="L7" s="73" ph="1">
        <f>L6*290.8*0.777</f>
        <v>10791.448416000001</v>
      </c>
      <c r="M7" s="73" ph="1">
        <f>M6*33.183*LOOKUP(M8,密度!$A$2:$A$50,密度!$D$2:$D$50)</f>
        <v>66546.482337000009</v>
      </c>
      <c r="N7" s="73" ph="1">
        <f>N6*33.183*LOOKUP(N8,密度!$A$2:$A$50,密度!$E$2:$E$50)</f>
        <v>116181.082809</v>
      </c>
      <c r="O7" s="73" ph="1">
        <f>O6*20.428*LOOKUP(O8,密度!$A$2:$A$50,密度!$C$2:$C$50)</f>
        <v>97004.701091600014</v>
      </c>
      <c r="P7" s="73" ph="1">
        <f>P6*51.53*LOOKUP(P8,密度!$A$2:$A$50,密度!$B$2:$B$50)</f>
        <v>240835.86406000002</v>
      </c>
      <c r="Q7" s="73" ph="1">
        <f>Q6*1.5*1.5*3.1416*LOOKUP(W8,密度!$A$2:$A$50,密度!$L$2:$L$50)</f>
        <v>37705.149404999996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26324.208602999999</v>
      </c>
      <c r="X7" s="73" ph="1">
        <f>X6*1.5*1.5*3.1416*LOOKUP(X8,密度!$A$2:$A$50,密度!$L$2:$L$50)</f>
        <v>39284.062587</v>
      </c>
      <c r="Y7" s="73" ph="1">
        <f>Y6*1.5*1.5*3.1416*LOOKUP(Y8,密度!$A$2:$A$50,密度!$L$2:$L$50)</f>
        <v>32533.542518400001</v>
      </c>
      <c r="Z7" s="73" ph="1">
        <f>Z6*33.183*LOOKUP(Z8,密度!$A$2:$A$50,密度!$L$2:$L$50)</f>
        <v>45737.024840999999</v>
      </c>
      <c r="AA7" s="73" ph="1">
        <f>AA6*33.183*LOOKUP(AA8,密度!$A$2:$A$50,密度!$D$2:$D$50)</f>
        <v>74001.049923600003</v>
      </c>
      <c r="AB7" s="73" ph="1">
        <f>AB6*20.428*LOOKUP(AB8,密度!$A$2:$A$50,密度!$D$2:$D$50)</f>
        <v>74599.158337599991</v>
      </c>
      <c r="AC7" s="73" ph="1">
        <f>AC6*51.53*LOOKUP(AC8,密度!$A$2:$A$50,密度!$Q$2:$Q$50)</f>
        <v>288108.82596069999</v>
      </c>
      <c r="AD7" s="73" ph="1">
        <f>AD6*20.428*LOOKUP(AD8,密度!$A$2:$A$50,密度!$V$2:$V$50)</f>
        <v>65375.712057600002</v>
      </c>
      <c r="AE7" s="73" ph="1">
        <f>AE6*20.428</f>
        <v>73969.788</v>
      </c>
    </row>
    <row r="8" spans="1:99" ph="1">
      <c r="B8" s="195" ph="1"/>
      <c r="C8" s="68" t="s" ph="1">
        <v>180</v>
      </c>
      <c r="D8" s="74">
        <v>26</v>
      </c>
      <c r="E8" s="74">
        <v>25</v>
      </c>
      <c r="F8" s="74">
        <v>27</v>
      </c>
      <c r="G8" s="74">
        <v>25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27</v>
      </c>
      <c r="O8" s="74">
        <v>30</v>
      </c>
      <c r="P8" s="74">
        <v>25</v>
      </c>
      <c r="Q8" s="74">
        <v>23</v>
      </c>
      <c r="R8" s="74">
        <v>31</v>
      </c>
      <c r="S8" s="74">
        <v>16</v>
      </c>
      <c r="T8" s="74">
        <v>21</v>
      </c>
      <c r="U8" s="74">
        <v>24</v>
      </c>
      <c r="V8" s="74">
        <v>26</v>
      </c>
      <c r="W8" s="74">
        <v>27</v>
      </c>
      <c r="X8" s="74">
        <v>17</v>
      </c>
      <c r="Y8" s="74">
        <v>25</v>
      </c>
      <c r="Z8" s="74">
        <v>25</v>
      </c>
      <c r="AA8" s="74">
        <v>26</v>
      </c>
      <c r="AB8" s="74">
        <v>16</v>
      </c>
      <c r="AC8" s="74">
        <v>22</v>
      </c>
      <c r="AD8" s="74">
        <v>37</v>
      </c>
      <c r="AE8" s="74">
        <v>32</v>
      </c>
    </row>
    <row r="9" spans="1:99" ht="26.4" ph="1">
      <c r="B9" s="195" ph="1">
        <v>0.66666666666666663</v>
      </c>
      <c r="C9" s="168" t="s" ph="1">
        <v>181</v>
      </c>
      <c r="D9" s="71">
        <v>4188</v>
      </c>
      <c r="E9" s="71">
        <v>4259</v>
      </c>
      <c r="F9" s="71">
        <v>4643</v>
      </c>
      <c r="G9" s="71">
        <v>4939</v>
      </c>
      <c r="H9" s="71">
        <v>2248</v>
      </c>
      <c r="I9" s="71">
        <v>5.01</v>
      </c>
      <c r="J9" s="71">
        <v>27.34</v>
      </c>
      <c r="K9" s="71">
        <v>7.64</v>
      </c>
      <c r="L9" s="71">
        <v>26.85</v>
      </c>
      <c r="M9" s="71">
        <v>1382</v>
      </c>
      <c r="N9" s="71">
        <v>5098</v>
      </c>
      <c r="O9" s="71">
        <v>4297</v>
      </c>
      <c r="P9" s="71">
        <v>5659</v>
      </c>
      <c r="Q9" s="71">
        <v>7198</v>
      </c>
      <c r="R9" s="71">
        <v>6550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5883</v>
      </c>
      <c r="Y9" s="71">
        <v>4915</v>
      </c>
      <c r="Z9" s="71">
        <v>0</v>
      </c>
      <c r="AA9" s="71">
        <v>2174</v>
      </c>
      <c r="AB9" s="71">
        <v>3528</v>
      </c>
      <c r="AC9" s="71">
        <v>5891</v>
      </c>
      <c r="AD9" s="71">
        <v>3339</v>
      </c>
      <c r="AE9" s="71">
        <v>3492</v>
      </c>
    </row>
    <row r="10" spans="1:99" s="72" customFormat="1" ht="22.2" ph="1">
      <c r="B10" s="195" ph="1"/>
      <c r="C10" s="168" t="s" ph="1">
        <v>179</v>
      </c>
      <c r="D10" s="73" ph="1">
        <f>D9*33.183*LOOKUP(D11,密度!$A$2:$A$50,密度!$Q$2:$Q$50)</f>
        <v>131274.22302648</v>
      </c>
      <c r="E10" s="73" ph="1">
        <f>E9*51.53*LOOKUP(E11,密度!$A$2:$A$50,密度!$B$2:$B$50)</f>
        <v>170525.29179000002</v>
      </c>
      <c r="F10" s="73" ph="1">
        <f>F9*33.183*LOOKUP(F11,密度!$A$2:$A$50,密度!$C$2:$C$50)</f>
        <v>170615.64405059998</v>
      </c>
      <c r="G10" s="73" ph="1">
        <f xml:space="preserve"> (G9+2)*51.53*LOOKUP(G11,密度!$A$2:$A$50,密度!$B$2:$B$50)</f>
        <v>198060.90896700002</v>
      </c>
      <c r="H10" s="73" ph="1">
        <f>(H9)*51.53*LOOKUP(H11,密度!$A$2:$A$50,密度!$B$2:$B$50)</f>
        <v>90111.500376000011</v>
      </c>
      <c r="I10" s="73" ph="1">
        <f>I9*290.8*1.0267</f>
        <v>1495.8074435999997</v>
      </c>
      <c r="J10" s="73" ph="1">
        <f>J9*290.8*0.7892</f>
        <v>6274.5125024000008</v>
      </c>
      <c r="K10" s="73" ph="1">
        <f>K9*290.8*1.1126</f>
        <v>2471.8767711999999</v>
      </c>
      <c r="L10" s="73" ph="1">
        <f>L9*290.8*0.777</f>
        <v>6066.8004600000004</v>
      </c>
      <c r="M10" s="73" ph="1">
        <f>M9*33.183*LOOKUP(M11,密度!$A$2:$A$50,密度!$D$2:$D$50)</f>
        <v>46867.801932000002</v>
      </c>
      <c r="N10" s="73" ph="1">
        <f>N9*33.183*LOOKUP(N11,密度!$A$2:$A$50,密度!$E$2:$E$50)</f>
        <v>131730.29150580001</v>
      </c>
      <c r="O10" s="73" ph="1">
        <f>O9*20.428*LOOKUP(O11,密度!$A$2:$A$50,密度!$C$2:$C$50)</f>
        <v>96636.028804400004</v>
      </c>
      <c r="P10" s="73" ph="1">
        <f>P9*51.53*LOOKUP(P11,密度!$A$2:$A$50,密度!$B$2:$B$50)</f>
        <v>226346.33917400002</v>
      </c>
      <c r="Q10" s="73" ph="1">
        <f>Q9*1.5*1.5*3.1416*LOOKUP(W11,密度!$A$2:$A$50,密度!$L$2:$L$50)</f>
        <v>47012.919307200005</v>
      </c>
      <c r="R10" s="73" ph="1">
        <f>R9*1.5*1.5*3.1416*LOOKUP(R11,密度!$A$2:$A$50,密度!$L$2:$L$50)</f>
        <v>42873.179580000004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39172.668519599996</v>
      </c>
      <c r="Y10" s="73" ph="1">
        <f>Y9*1.5*1.5*3.1416*LOOKUP(Y11,密度!$A$2:$A$50,密度!$L$2:$L$50)</f>
        <v>32518.670184000002</v>
      </c>
      <c r="Z10" s="73" ph="1">
        <f>Z9*33.183*LOOKUP(Z11,密度!$A$2:$A$50,密度!$L$2:$L$50)</f>
        <v>0</v>
      </c>
      <c r="AA10" s="73" ph="1">
        <f>AA9*33.183*LOOKUP(AA11,密度!$A$2:$A$50,密度!$D$2:$D$50)</f>
        <v>73928.910081599999</v>
      </c>
      <c r="AB10" s="73" ph="1">
        <f>AB9*20.428*LOOKUP(AB11,密度!$A$2:$A$50,密度!$D$2:$D$50)</f>
        <v>74513.156457599995</v>
      </c>
      <c r="AC10" s="73" ph="1">
        <f>AC9*51.53*LOOKUP(AC11,密度!$A$2:$A$50,密度!$Q$2:$Q$50)</f>
        <v>286964.39258360001</v>
      </c>
      <c r="AD10" s="73" ph="1">
        <f>AD9*20.428*LOOKUP(AD11,密度!$A$2:$A$50,密度!$V$2:$V$50)</f>
        <v>65317.026499200001</v>
      </c>
      <c r="AE10" s="73" ph="1">
        <f>AE9*20.428</f>
        <v>71334.576000000001</v>
      </c>
    </row>
    <row r="11" spans="1:99" ph="1">
      <c r="A11" s="64" t="s" ph="1">
        <v>163</v>
      </c>
      <c r="B11" s="195" ph="1"/>
      <c r="C11" s="168" t="s" ph="1">
        <v>180</v>
      </c>
      <c r="D11" s="74">
        <v>28</v>
      </c>
      <c r="E11" s="74">
        <v>28</v>
      </c>
      <c r="F11" s="74">
        <v>27</v>
      </c>
      <c r="G11" s="74">
        <v>27</v>
      </c>
      <c r="H11" s="74">
        <v>27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29</v>
      </c>
      <c r="O11" s="74">
        <v>34</v>
      </c>
      <c r="P11" s="74">
        <v>29</v>
      </c>
      <c r="Q11" s="74">
        <v>25</v>
      </c>
      <c r="R11" s="74">
        <v>36</v>
      </c>
      <c r="S11" s="74">
        <v>24</v>
      </c>
      <c r="T11" s="74">
        <v>30</v>
      </c>
      <c r="U11" s="74">
        <v>30</v>
      </c>
      <c r="V11" s="74">
        <v>27</v>
      </c>
      <c r="W11" s="74">
        <v>38</v>
      </c>
      <c r="X11" s="74">
        <v>20</v>
      </c>
      <c r="Y11" s="74">
        <v>26</v>
      </c>
      <c r="Z11" s="74">
        <v>30</v>
      </c>
      <c r="AA11" s="74">
        <v>27</v>
      </c>
      <c r="AB11" s="74">
        <v>17</v>
      </c>
      <c r="AC11" s="74">
        <v>27</v>
      </c>
      <c r="AD11" s="74">
        <v>38</v>
      </c>
      <c r="AE11" s="74">
        <v>32</v>
      </c>
    </row>
    <row r="12" spans="1:99" ht="9.9" customHeight="1" ph="1"/>
    <row r="13" spans="1:99" s="72" customFormat="1" ht="29.25" customHeight="1" ph="1">
      <c r="B13" s="203" t="s" ph="1">
        <v>37</v>
      </c>
      <c r="C13" s="16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68" t="s" ph="1">
        <v>178</v>
      </c>
      <c r="D15" s="78">
        <v>0</v>
      </c>
      <c r="E15" s="78">
        <v>3634</v>
      </c>
      <c r="F15" s="78">
        <v>2680</v>
      </c>
      <c r="G15" s="78">
        <v>2950</v>
      </c>
      <c r="H15" s="78">
        <v>4532</v>
      </c>
      <c r="I15" s="78">
        <v>5</v>
      </c>
      <c r="J15" s="78">
        <v>0</v>
      </c>
      <c r="K15" s="78">
        <v>221</v>
      </c>
      <c r="L15" s="78">
        <v>3197</v>
      </c>
      <c r="M15" s="78">
        <v>3727</v>
      </c>
      <c r="N15" s="78">
        <v>1899</v>
      </c>
      <c r="O15" s="78">
        <v>46</v>
      </c>
      <c r="P15" s="78">
        <v>6951</v>
      </c>
      <c r="Q15" s="78">
        <v>34</v>
      </c>
      <c r="R15" s="78">
        <v>3516</v>
      </c>
      <c r="S15" s="78">
        <v>6875</v>
      </c>
      <c r="T15" s="78">
        <v>6619</v>
      </c>
      <c r="U15" s="78">
        <v>1322</v>
      </c>
      <c r="V15" s="78">
        <v>5456</v>
      </c>
      <c r="W15" s="71">
        <v>3776</v>
      </c>
      <c r="X15" s="78">
        <v>125</v>
      </c>
      <c r="Y15" s="106">
        <v>-2366</v>
      </c>
      <c r="Z15" s="78">
        <v>0</v>
      </c>
      <c r="AA15" s="78">
        <v>4245</v>
      </c>
      <c r="AB15" s="78" ph="1">
        <v>6933</v>
      </c>
      <c r="AC15" s="78" ph="1">
        <v>992</v>
      </c>
      <c r="AD15" s="78">
        <v>24.52</v>
      </c>
      <c r="AE15" s="78">
        <v>84.42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68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24017.618394000001</v>
      </c>
      <c r="F16" s="73" ph="1">
        <f>F15*9.0746*LOOKUP(F17,密度!$A$2:$A$50,密度!$L$2:$L$50)</f>
        <v>22714.812752000002</v>
      </c>
      <c r="G16" s="73" ph="1">
        <f>G15*9.0746*LOOKUP(G17,密度!$A$2:$A$50,密度!$B$2:$B$50)</f>
        <v>20869.946571999997</v>
      </c>
      <c r="H16" s="73" ph="1">
        <f>H15*9.0746*LOOKUP(H17,密度!$A$2:$A$50,密度!$L$2:$L$50)</f>
        <v>38617.395880800002</v>
      </c>
      <c r="I16" s="73" ph="1">
        <f>I15*9.0746*LOOKUP(I17,密度!$A$2:$A$50,密度!$U$2:$U$50)</f>
        <v>46.643444000000009</v>
      </c>
      <c r="J16" s="73" ph="1">
        <f>J15*9.0746*LOOKUP(J17,密度!$A$2:$A$50,密度!$L$2:$L$50)</f>
        <v>0</v>
      </c>
      <c r="K16" s="73" ph="1">
        <f>K15*9.0746*LOOKUP(K17,密度!$A$2:$A$50,密度!$C$2:$C$50)</f>
        <v>2225.2879313599997</v>
      </c>
      <c r="L16" s="73" ph="1">
        <f>L15*9.0746*LOOKUP(L17,密度!$A$2:$A$50,密度!$E$2:$E$50)</f>
        <v>22623.164736760002</v>
      </c>
      <c r="M16" s="73" ph="1">
        <f>M15*9.0746*LOOKUP(M17,密度!$A$2:$A$50,密度!$M$2:$M$50)</f>
        <v>29491.9418224</v>
      </c>
      <c r="N16" s="73" ph="1">
        <f>N15*9.0746*LOOKUP(N17,密度!$A$2:$A$50,密度!$M$2:$M$50)</f>
        <v>15113.047555800002</v>
      </c>
      <c r="O16" s="73" ph="1">
        <f>O15*9.0746*LOOKUP(O17,密度!$A$2:$A$50,密度!$G$2:$G$50)</f>
        <v>400.81782232</v>
      </c>
      <c r="P16" s="73" ph="1">
        <f ca="1">P15*9.0746*LOOKUP(P17,密度!$A$2:$A$51,密度!$Q$2:$Q$50)</f>
        <v>59628.464461272008</v>
      </c>
      <c r="Q16" s="73" ph="1">
        <f>Q15*9.0746*LOOKUP(Q17,密度!$A$2:$A$50,密度!$Q$2:$Q$50)</f>
        <v>291.66562964800005</v>
      </c>
      <c r="R16" s="73" ph="1">
        <f>MAX(R15*9.0746*LOOKUP(R17,密度!$A$2:$A$50,密度!$B$2:$B$50),0)</f>
        <v>24819.90579144</v>
      </c>
      <c r="S16" s="73" ph="1">
        <f>S15*9.0746*LOOKUP(S17,密度!$A$2:$A$50,密度!$Q$2:$Q$50)</f>
        <v>58976.505995</v>
      </c>
      <c r="T16" s="73" ph="1">
        <f>T15*9.0746*LOOKUP(T17,密度!$A$2:$A$50,密度!$O$2:$O$50)</f>
        <v>55860.242982000003</v>
      </c>
      <c r="U16" s="73" ph="1">
        <f>U15*9.0746*LOOKUP(U17,密度!$A$2:$A$50,密度!$H$2:$H$50)</f>
        <v>10951.71549348</v>
      </c>
      <c r="V16" s="73" ph="1">
        <f>MAX(5600*LOOKUP(V17,密度!$A$2:$A$50,密度!$Q$2:$Q$50)+V15*9.0476*LOOKUP(V17,密度!$A$2:$A$50,密度!$Q$2:$Q$50),0)</f>
        <v>51958.290177791998</v>
      </c>
      <c r="W16" s="73" ph="1">
        <f>MAX(5600*LOOKUP(W17,密度!$A$2:$A$50,密度!$Q$2:$Q$50)+W15*9.0476*LOOKUP(W17,密度!$A$2:$A$50,密度!$Q$2:$Q$50),0)</f>
        <v>37617.688681728003</v>
      </c>
      <c r="X16" s="73" ph="1">
        <f>MAX(5600*LOOKUP(X17,密度!$A$2:$A$50,密度!$I$2:$I$50)+X15*9.0476*LOOKUP(X17,密度!$A$2:$A$50,密度!$I$2:$I$50),0)</f>
        <v>7000.1880000000001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30066.1688985</v>
      </c>
      <c r="AB16" s="73" ph="1">
        <f>AB15*9.0746*LOOKUP(AB17,密度!$A$2:$A$50,密度!$L$2:$L$50)</f>
        <v>58761.864481200006</v>
      </c>
      <c r="AC16" s="73" ph="1">
        <f>AC15*9.0746*LOOKUP(AC17,密度!$A$2:$A$50,密度!$L$2:$L$50)</f>
        <v>8452.8810047999996</v>
      </c>
      <c r="AD16" s="73" ph="1">
        <f>AD15*268.68*LOOKUP(AD17,密度!$A$2:$A$50,密度!B2:B50)+IF(AD15&lt;=0,0,1566*LOOKUP(AD17,密度!$A$2:$A$50,密度!B2:B50))</f>
        <v>6356.8845945599987</v>
      </c>
      <c r="AE16" s="73" ph="1">
        <f>AE15*268.68*LOOKUP(AE17,密度!$A$2:$A$50,密度!B2:B50)+IF(AE15&lt;=0,0,1566*LOOKUP(AE17,密度!$A$2:$A$50,密度!B2:B50))</f>
        <v>18903.713981759996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27</v>
      </c>
      <c r="E17" s="74">
        <v>27</v>
      </c>
      <c r="F17" s="74">
        <v>28</v>
      </c>
      <c r="G17" s="74">
        <v>25</v>
      </c>
      <c r="H17" s="74">
        <v>23</v>
      </c>
      <c r="I17" s="74">
        <v>22</v>
      </c>
      <c r="J17" s="74">
        <v>25</v>
      </c>
      <c r="K17" s="74">
        <v>24</v>
      </c>
      <c r="L17" s="74">
        <v>28</v>
      </c>
      <c r="M17" s="74">
        <v>28</v>
      </c>
      <c r="N17" s="74">
        <v>23</v>
      </c>
      <c r="O17" s="74">
        <v>25</v>
      </c>
      <c r="P17" s="74">
        <v>27</v>
      </c>
      <c r="Q17" s="74">
        <v>27</v>
      </c>
      <c r="R17" s="74">
        <v>27</v>
      </c>
      <c r="S17" s="74">
        <v>27</v>
      </c>
      <c r="T17" s="74">
        <v>24</v>
      </c>
      <c r="U17" s="74">
        <v>27</v>
      </c>
      <c r="V17" s="74">
        <v>27</v>
      </c>
      <c r="W17" s="74">
        <v>26</v>
      </c>
      <c r="X17" s="74">
        <v>27</v>
      </c>
      <c r="Y17" s="108">
        <v>27</v>
      </c>
      <c r="Z17" s="74">
        <v>25</v>
      </c>
      <c r="AA17" s="74">
        <v>24</v>
      </c>
      <c r="AB17" s="74">
        <v>28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4442</v>
      </c>
      <c r="F18" s="71">
        <v>2680</v>
      </c>
      <c r="G18" s="71">
        <v>2974</v>
      </c>
      <c r="H18" s="71">
        <v>4534</v>
      </c>
      <c r="I18" s="71">
        <v>0</v>
      </c>
      <c r="J18" s="71">
        <v>0</v>
      </c>
      <c r="K18" s="71">
        <v>219</v>
      </c>
      <c r="L18" s="71">
        <v>2500</v>
      </c>
      <c r="M18" s="71">
        <v>763</v>
      </c>
      <c r="N18" s="71">
        <v>1900</v>
      </c>
      <c r="O18" s="71">
        <v>41</v>
      </c>
      <c r="P18" s="71">
        <v>6955</v>
      </c>
      <c r="Q18" s="71">
        <v>27</v>
      </c>
      <c r="R18" s="71">
        <v>3518</v>
      </c>
      <c r="S18" s="71">
        <v>6880</v>
      </c>
      <c r="T18" s="71">
        <v>6214</v>
      </c>
      <c r="U18" s="71">
        <v>1320</v>
      </c>
      <c r="V18" s="71">
        <v>5457</v>
      </c>
      <c r="W18" s="71">
        <v>3769</v>
      </c>
      <c r="X18" s="71">
        <v>149</v>
      </c>
      <c r="Y18" s="109">
        <v>-9908</v>
      </c>
      <c r="Z18" s="71">
        <v>0</v>
      </c>
      <c r="AA18" s="71">
        <v>4246</v>
      </c>
      <c r="AB18" s="71">
        <v>6938</v>
      </c>
      <c r="AC18" s="71">
        <v>991</v>
      </c>
      <c r="AD18" s="71">
        <v>51.05</v>
      </c>
      <c r="AE18" s="71">
        <v>83.66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68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29263.608158400002</v>
      </c>
      <c r="F19" s="73" ph="1">
        <f>F18*9.0746*LOOKUP(F20,密度!$A$2:$A$50,密度!$L$2:$L$50)</f>
        <v>22641.852968000003</v>
      </c>
      <c r="G19" s="73" ph="1">
        <f>G18*9.0746*LOOKUP(G20,密度!$A$2:$A$50,密度!$B$2:$B$50)</f>
        <v>21015.446893479999</v>
      </c>
      <c r="H19" s="73" ph="1">
        <f>H18*9.0746*LOOKUP(H20,密度!$A$2:$A$50,密度!$L$2:$L$50)</f>
        <v>38634.437979599999</v>
      </c>
      <c r="I19" s="73" ph="1">
        <f>I18*9.0746*LOOKUP(I20,密度!$A$2:$A$50,密度!$U$2:$U$50)</f>
        <v>0</v>
      </c>
      <c r="J19" s="73" ph="1">
        <f>J18*9.0746*LOOKUP(J20,密度!$A$2:$A$50,密度!$L$2:$L$50)</f>
        <v>0</v>
      </c>
      <c r="K19" s="73" ph="1">
        <f>K18*9.0746*LOOKUP(K20,密度!$A$2:$A$50,密度!$C$2:$C$50)</f>
        <v>2196.20656074</v>
      </c>
      <c r="L19" s="73" ph="1">
        <f>L18*9.0746*LOOKUP(L20,密度!$A$2:$A$50,密度!$E$2:$E$50)</f>
        <v>17665.97755</v>
      </c>
      <c r="M19" s="73" ph="1">
        <f>M18*9.0746*LOOKUP(M20,密度!$A$2:$A$50,密度!$M$2:$M$50)</f>
        <v>6015.9861966260005</v>
      </c>
      <c r="N19" s="73" ph="1">
        <f>N18*9.0746*LOOKUP(N20,密度!$A$2:$A$50,密度!$M$2:$M$50)</f>
        <v>15088.246674000002</v>
      </c>
      <c r="O19" s="73" ph="1">
        <f>O18*9.0746*LOOKUP(O20,密度!$A$2:$A$50,密度!$G$2:$G$50)</f>
        <v>355.20434541999998</v>
      </c>
      <c r="P19" s="73" ph="1">
        <f ca="1">P18*9.0746*LOOKUP(P20,密度!$A$2:$A$51,密度!$Q$2:$Q$50)</f>
        <v>59618.598374660003</v>
      </c>
      <c r="Q19" s="73" ph="1">
        <f>Q18*9.0746*LOOKUP(Q20,密度!$A$2:$A$50,密度!$Q$2:$Q$50)</f>
        <v>231.12924528600001</v>
      </c>
      <c r="R19" s="73" ph="1">
        <f>MAX(R18*9.0746*LOOKUP(R20,密度!$A$2:$A$50,密度!$B$2:$B$50),0)</f>
        <v>24805.292055600003</v>
      </c>
      <c r="S19" s="73" ph="1">
        <f>S18*9.0746*LOOKUP(S20,密度!$A$2:$A$50,密度!$Q$2:$Q$50)</f>
        <v>58975.694725760004</v>
      </c>
      <c r="T19" s="73" ph="1">
        <f>T18*9.0746*LOOKUP(T20,密度!$A$2:$A$50,密度!$O$2:$O$50)</f>
        <v>52216.736634400004</v>
      </c>
      <c r="U19" s="73" ph="1">
        <f>U18*9.0746*LOOKUP(U20,密度!$A$2:$A$50,密度!$H$2:$H$50)</f>
        <v>10935.1470888</v>
      </c>
      <c r="V19" s="73" ph="1">
        <f>MAX(5600*LOOKUP(V20,密度!$A$2:$A$50,密度!$Q$2:$Q$50)+V18*9.0476*LOOKUP(V20,密度!$A$2:$A$50,密度!$Q$2:$Q$50),0)</f>
        <v>51928.362127784007</v>
      </c>
      <c r="W19" s="73" ph="1">
        <f>MAX(5600*LOOKUP(W20,密度!$A$2:$A$50,密度!$Q$2:$Q$50)+W18*9.0476*LOOKUP(W20,密度!$A$2:$A$50,密度!$Q$2:$Q$50),0)</f>
        <v>37501.796004328004</v>
      </c>
      <c r="X19" s="73" ph="1">
        <f>MAX(5600*LOOKUP(X20,密度!$A$2:$A$50,密度!$I$2:$I$50)+X18*9.0476*LOOKUP(X20,密度!$A$2:$A$50,密度!$I$2:$I$50),0)</f>
        <v>7226.0160959999994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30003.896270920002</v>
      </c>
      <c r="AB19" s="73" ph="1">
        <f>AB18*9.0746*LOOKUP(AB20,密度!$A$2:$A$50,密度!$L$2:$L$50)</f>
        <v>58804.242863200008</v>
      </c>
      <c r="AC19" s="73" ph="1">
        <f>AC18*9.0746*LOOKUP(AC20,密度!$A$2:$A$50,密度!$L$2:$L$50)</f>
        <v>8390.4023838000012</v>
      </c>
      <c r="AD19" s="73" ph="1">
        <f>AD18*268.68*LOOKUP(AD20,密度!$A$2:$A$50,密度!B5:B53)+IF(AD18&lt;=0,0,1566*LOOKUP(AD20,密度!$A$2:$A$50,密度!B5:B53))</f>
        <v>11874.202577999999</v>
      </c>
      <c r="AE19" s="73" ph="1">
        <f>AE18*268.68*LOOKUP(AE20,密度!$A$2:$A$50,密度!B5:B53)+IF(AE18&lt;=0,0,1566*LOOKUP(AE20,密度!$A$2:$A$50,密度!B5:B53))</f>
        <v>18682.0083576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30</v>
      </c>
      <c r="E20" s="81">
        <v>30</v>
      </c>
      <c r="F20" s="81">
        <v>31</v>
      </c>
      <c r="G20" s="81">
        <v>26</v>
      </c>
      <c r="H20" s="81">
        <v>23</v>
      </c>
      <c r="I20" s="81">
        <v>31</v>
      </c>
      <c r="J20" s="81">
        <v>32</v>
      </c>
      <c r="K20" s="81">
        <v>30</v>
      </c>
      <c r="L20" s="81">
        <v>29</v>
      </c>
      <c r="M20" s="81">
        <v>31</v>
      </c>
      <c r="N20" s="81">
        <v>25</v>
      </c>
      <c r="O20" s="81">
        <v>30</v>
      </c>
      <c r="P20" s="81">
        <v>28</v>
      </c>
      <c r="Q20" s="81">
        <v>30</v>
      </c>
      <c r="R20" s="81">
        <v>28</v>
      </c>
      <c r="S20" s="81">
        <v>28</v>
      </c>
      <c r="T20" s="81">
        <v>26</v>
      </c>
      <c r="U20" s="81">
        <v>27</v>
      </c>
      <c r="V20" s="81">
        <v>28</v>
      </c>
      <c r="W20" s="81">
        <v>28</v>
      </c>
      <c r="X20" s="81">
        <v>27</v>
      </c>
      <c r="Y20" s="110">
        <v>27</v>
      </c>
      <c r="Z20" s="81">
        <v>32</v>
      </c>
      <c r="AA20" s="81">
        <v>26</v>
      </c>
      <c r="AB20" s="81">
        <v>28</v>
      </c>
      <c r="AC20" s="81">
        <v>29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68" t="s" ph="1">
        <v>178</v>
      </c>
      <c r="D24" s="71">
        <v>3.2</v>
      </c>
      <c r="E24" s="71">
        <v>95.66</v>
      </c>
      <c r="F24" s="71">
        <v>0</v>
      </c>
      <c r="G24" s="71">
        <v>2580</v>
      </c>
      <c r="H24" s="71">
        <v>2769</v>
      </c>
      <c r="I24" s="71">
        <v>3801</v>
      </c>
      <c r="J24" s="71">
        <v>4515</v>
      </c>
      <c r="K24" s="71">
        <v>27</v>
      </c>
      <c r="L24" s="71">
        <v>0</v>
      </c>
      <c r="M24" s="71">
        <v>5441</v>
      </c>
      <c r="N24" s="71">
        <v>5386</v>
      </c>
      <c r="O24" s="71">
        <v>0</v>
      </c>
      <c r="P24" s="71">
        <v>840</v>
      </c>
      <c r="Q24" s="90">
        <v>2476</v>
      </c>
      <c r="R24" s="71">
        <v>4076</v>
      </c>
      <c r="S24" s="71">
        <v>842</v>
      </c>
      <c r="T24" s="71">
        <v>1760</v>
      </c>
      <c r="U24" s="71">
        <v>6009</v>
      </c>
      <c r="V24" s="71">
        <v>9676</v>
      </c>
      <c r="W24" s="71">
        <v>8349</v>
      </c>
      <c r="X24" s="71">
        <v>4334</v>
      </c>
      <c r="Y24" s="71">
        <v>6793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2296.5791702400002</v>
      </c>
      <c r="E25" s="91" ph="1">
        <f>E24*268.68*LOOKUP(E26,密度!$A$2:$A$50,密度!$C$2:$C$50)+IF(E24&lt;=0,0,1566*LOOKUP(E26,密度!$A$2:$A$50,密度!$C$2:$C$50))</f>
        <v>30237.406246320003</v>
      </c>
      <c r="F25" s="91" ph="1">
        <f>F24*11.702*LOOKUP(F26,密度!$A$2:$A$50,密度!$Q$2:$Q$50)</f>
        <v>0</v>
      </c>
      <c r="G25" s="91" ph="1">
        <f>G24*18.322*LOOKUP(G26,密度!$A$2:$A$50,密度!$B$2:$B$50)</f>
        <v>36894.828179999997</v>
      </c>
      <c r="H25" s="91" ph="1">
        <f>H24*18.322*LOOKUP(H26,密度!$A$2:$A$50,密度!$B$2:$B$50)</f>
        <v>39597.588848999992</v>
      </c>
      <c r="I25" s="91" ph="1">
        <f>I24*18.322*LOOKUP(I26,密度!$A$2:$A$50,密度!$Q$2:$Q$50)</f>
        <v>65983.631837339999</v>
      </c>
      <c r="J25" s="91" ph="1">
        <f>J24*18.322*LOOKUP(J26,密度!$A$2:$A$50,密度!$Q$2:$Q$50)</f>
        <v>78317.958814199999</v>
      </c>
      <c r="K25" s="91" ph="1">
        <f>K24*18.322*LOOKUP(K26,密度!$A$2:$A$50,密度!$Q$2:$Q$50)</f>
        <v>468.70772417999996</v>
      </c>
      <c r="L25" s="91" ph="1">
        <f>L24*18.322*LOOKUP(L26,密度!$A$2:$A$50,密度!$Q$2:$Q$50)</f>
        <v>0</v>
      </c>
      <c r="M25" s="91" ph="1">
        <f>M24*18.322*LOOKUP(M26,密度!$A$2:$A$50,密度!$Q$2:$Q$50)</f>
        <v>94453.286194939996</v>
      </c>
      <c r="N25" s="91" ph="1">
        <f>N24*18.322*LOOKUP(N26,密度!$A$2:$A$50,密度!$Q$2:$Q$50)</f>
        <v>93426.473128080004</v>
      </c>
      <c r="O25" s="91" ph="1">
        <f>O24*18.322*LOOKUP(O26,密度!$A$2:$A$50,密度!$C$2:$C$50)</f>
        <v>0</v>
      </c>
      <c r="P25" s="91" ph="1">
        <f>P24*11.702*LOOKUP(P26,密度!$A$2:$A$50,密度!$B$2:$B$50)</f>
        <v>7672.0652399999999</v>
      </c>
      <c r="Q25" s="92" ph="1">
        <f>Q24*18.322*LOOKUP(Q26,密度!$A$2:$A$50,密度!$B$2:$B$50)</f>
        <v>35407.594795999998</v>
      </c>
      <c r="R25" s="91" ph="1">
        <f>R24*35.891*LOOKUP(R26,密度!$A$2:$A$50,密度!$C$2:$C$50)</f>
        <v>162222.88387239998</v>
      </c>
      <c r="S25" s="91" ph="1">
        <f>S24*35.891*LOOKUP(S26,密度!$A$2:$A$50,密度!$B$2:$B$50)</f>
        <v>23559.685071199998</v>
      </c>
      <c r="T25" s="91" ph="1">
        <f>T24*35.891*LOOKUP(T26,密度!$A$2:$A$50,密度!$Q$2:$Q$50)</f>
        <v>59758.974404799999</v>
      </c>
      <c r="U25" s="91" ph="1">
        <f>U24*35.891</f>
        <v>215669.019</v>
      </c>
      <c r="V25" s="91" ph="1">
        <f>V24*47.051*LOOKUP(V26,密度!$A$2:$A$50,密度!$B$2:$B$50)</f>
        <v>355334.70401799999</v>
      </c>
      <c r="W25" s="91" ph="1">
        <f>W24*47.051*LOOKUP(W26,密度!$A$2:$A$50,密度!$B$2:$B$50)</f>
        <v>306602.87761949998</v>
      </c>
      <c r="X25" s="91" ph="1">
        <f>X24*47.051*LOOKUP(X26,密度!$A$2:$A$50,密度!$I$2:$I$50)</f>
        <v>209567.59124180002</v>
      </c>
      <c r="Y25" s="91" ph="1">
        <f>Y24*47.051*LOOKUP(Y26,密度!$A$2:$A$50,密度!$L$2:$L$50)</f>
        <v>297883.45687600004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23</v>
      </c>
      <c r="G26" s="74">
        <v>24</v>
      </c>
      <c r="H26" s="74">
        <v>24</v>
      </c>
      <c r="I26" s="74">
        <v>24</v>
      </c>
      <c r="J26" s="74">
        <v>25</v>
      </c>
      <c r="K26" s="74">
        <v>24</v>
      </c>
      <c r="L26" s="74">
        <v>25</v>
      </c>
      <c r="M26" s="74">
        <v>24</v>
      </c>
      <c r="N26" s="74">
        <v>25</v>
      </c>
      <c r="O26" s="74">
        <v>25</v>
      </c>
      <c r="P26" s="74">
        <v>24</v>
      </c>
      <c r="Q26" s="93">
        <v>24</v>
      </c>
      <c r="R26" s="74">
        <v>25</v>
      </c>
      <c r="S26" s="74">
        <v>25</v>
      </c>
      <c r="T26" s="74">
        <v>26</v>
      </c>
      <c r="U26" s="74">
        <v>25</v>
      </c>
      <c r="V26" s="74">
        <v>24</v>
      </c>
      <c r="W26" s="74">
        <v>24</v>
      </c>
      <c r="X26" s="74">
        <v>38</v>
      </c>
      <c r="Y26" s="74">
        <v>30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68" t="s" ph="1">
        <v>181</v>
      </c>
      <c r="D27" s="71">
        <v>3.17</v>
      </c>
      <c r="E27" s="71">
        <v>95.57</v>
      </c>
      <c r="F27" s="71">
        <v>0</v>
      </c>
      <c r="G27" s="71">
        <v>2079</v>
      </c>
      <c r="H27" s="71">
        <v>2564</v>
      </c>
      <c r="I27" s="71">
        <v>3799</v>
      </c>
      <c r="J27" s="71">
        <v>5206</v>
      </c>
      <c r="K27" s="71">
        <v>24</v>
      </c>
      <c r="L27" s="71">
        <v>0</v>
      </c>
      <c r="M27" s="71">
        <v>5309</v>
      </c>
      <c r="N27" s="71">
        <v>5384</v>
      </c>
      <c r="O27" s="71">
        <v>0</v>
      </c>
      <c r="P27" s="71">
        <v>837</v>
      </c>
      <c r="Q27" s="90">
        <v>2888</v>
      </c>
      <c r="R27" s="71">
        <v>4074</v>
      </c>
      <c r="S27" s="71">
        <v>1457</v>
      </c>
      <c r="T27" s="71">
        <v>1759</v>
      </c>
      <c r="U27" s="71">
        <v>6007</v>
      </c>
      <c r="V27" s="71">
        <v>9676</v>
      </c>
      <c r="W27" s="71">
        <v>8347</v>
      </c>
      <c r="X27" s="71">
        <v>4334</v>
      </c>
      <c r="Y27" s="71">
        <v>7408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68" t="s" ph="1">
        <v>179</v>
      </c>
      <c r="D28" s="91" ph="1">
        <f>D27*268.68*LOOKUP(D29,密度!$A$2:$A$50,密度!$Q$2:$Q$50)+IF(D27&lt;=0,0,1566*LOOKUP(D29,密度!$A$2:$A$50,密度!$Q$2:$Q$50))</f>
        <v>2288.9480671440001</v>
      </c>
      <c r="E28" s="91" ph="1">
        <f>E27*268.68*LOOKUP(E29,密度!$A$2:$A$50,密度!$C$2:$C$50)+IF(E27&lt;=0,0,1566*LOOKUP(E29,密度!$A$2:$A$50,密度!$C$2:$C$50))</f>
        <v>30210.591713639998</v>
      </c>
      <c r="F28" s="91" ph="1">
        <f>F27*11.702*LOOKUP(F29,密度!$A$2:$A$50,密度!$Q$2:$Q$50)</f>
        <v>0</v>
      </c>
      <c r="G28" s="91" ph="1">
        <f>G27*18.322*LOOKUP(G29,密度!$A$2:$A$50,密度!$B$2:$B$50)</f>
        <v>29631.329620200002</v>
      </c>
      <c r="H28" s="91" ph="1">
        <f>H27*18.322*LOOKUP(H29,密度!$A$2:$A$50,密度!$B$2:$B$50)</f>
        <v>36543.881263200004</v>
      </c>
      <c r="I28" s="91" ph="1">
        <f>I27*18.322*LOOKUP(I29,密度!$A$2:$A$50,密度!$Q$2:$Q$50)</f>
        <v>65799.261398959992</v>
      </c>
      <c r="J28" s="91" ph="1">
        <f>J27*18.322*LOOKUP(J29,密度!$A$2:$A$50,密度!$Q$2:$Q$50)</f>
        <v>90168.716726240003</v>
      </c>
      <c r="K28" s="91" ph="1">
        <f>K27*18.322*LOOKUP(K29,密度!$A$2:$A$50,密度!$Q$2:$Q$50)</f>
        <v>414.80861423999994</v>
      </c>
      <c r="L28" s="91" ph="1">
        <f>L27*18.322*LOOKUP(L29,密度!$A$2:$A$50,密度!$Q$2:$Q$50)</f>
        <v>0</v>
      </c>
      <c r="M28" s="91" ph="1">
        <f>M27*18.322*LOOKUP(M29,密度!$A$2:$A$50,密度!$Q$2:$Q$50)</f>
        <v>92021.755252939998</v>
      </c>
      <c r="N28" s="91" ph="1">
        <f>N27*18.322*LOOKUP(N29,密度!$A$2:$A$50,密度!$Q$2:$Q$50)</f>
        <v>93321.742377440009</v>
      </c>
      <c r="O28" s="91" ph="1">
        <f>O27*18.322*LOOKUP(O29,密度!$A$2:$A$50,密度!$C$2:$C$50)</f>
        <v>0</v>
      </c>
      <c r="P28" s="91" ph="1">
        <f>P27*11.702*LOOKUP(P29,密度!$A$2:$A$50,密度!$B$2:$B$50)</f>
        <v>7619.1991146000009</v>
      </c>
      <c r="Q28" s="92" ph="1">
        <f>Q27*18.322*LOOKUP(Q29,密度!$A$2:$A$50,密度!$B$2:$B$50)</f>
        <v>41161.750814399995</v>
      </c>
      <c r="R28" s="91" ph="1">
        <f>R27*35.891*LOOKUP(R29,密度!$A$2:$A$50,密度!$C$2:$C$50)</f>
        <v>162026.3088654</v>
      </c>
      <c r="S28" s="91" ph="1">
        <f>S27*35.891*LOOKUP(S29,密度!$A$2:$A$50,密度!$B$2:$B$50)</f>
        <v>40678.870167300003</v>
      </c>
      <c r="T28" s="91" ph="1">
        <f>T27*35.891*LOOKUP(T29,密度!$A$2:$A$50,密度!$Q$2:$Q$50)</f>
        <v>59680.196531080001</v>
      </c>
      <c r="U28" s="91" ph="1">
        <f>U27*35.891</f>
        <v>215597.23699999999</v>
      </c>
      <c r="V28" s="91" ph="1">
        <f>V27*47.051*LOOKUP(V29,密度!$A$2:$A$50,密度!$B$2:$B$50)</f>
        <v>354924.96508960001</v>
      </c>
      <c r="W28" s="91" ph="1">
        <f>W27*47.051*LOOKUP(W29,密度!$A$2:$A$50,密度!$B$2:$B$50)</f>
        <v>306175.96978119999</v>
      </c>
      <c r="X28" s="91" ph="1">
        <f>X27*47.051*LOOKUP(X29,密度!$A$2:$A$50,密度!$I$2:$I$50)</f>
        <v>209322.888401</v>
      </c>
      <c r="Y28" s="91" ph="1">
        <f>Y27*47.051*LOOKUP(Y29,密度!$A$2:$A$50,密度!$L$2:$L$50)</f>
        <v>324852.14905600005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68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27</v>
      </c>
      <c r="K29" s="74">
        <v>30</v>
      </c>
      <c r="L29" s="74">
        <v>28</v>
      </c>
      <c r="M29" s="74">
        <v>26</v>
      </c>
      <c r="N29" s="74">
        <v>26</v>
      </c>
      <c r="O29" s="74">
        <v>26</v>
      </c>
      <c r="P29" s="74">
        <v>27</v>
      </c>
      <c r="Q29" s="93">
        <v>27</v>
      </c>
      <c r="R29" s="74">
        <v>26</v>
      </c>
      <c r="S29" s="74">
        <v>27</v>
      </c>
      <c r="T29" s="74">
        <v>27</v>
      </c>
      <c r="U29" s="74">
        <v>26</v>
      </c>
      <c r="V29" s="74">
        <v>25</v>
      </c>
      <c r="W29" s="74">
        <v>25</v>
      </c>
      <c r="X29" s="74">
        <v>39</v>
      </c>
      <c r="Y29" s="74">
        <v>30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68" t="s" ph="1">
        <v>5</v>
      </c>
      <c r="F32" s="169" t="s" ph="1">
        <v>43</v>
      </c>
      <c r="G32" s="97" t="s" ph="1">
        <v>4</v>
      </c>
      <c r="H32" s="168" t="s" ph="1">
        <v>5</v>
      </c>
      <c r="I32" s="169" t="s" ph="1">
        <v>43</v>
      </c>
      <c r="J32" s="97" t="s" ph="1">
        <v>4</v>
      </c>
      <c r="K32" s="168" t="s" ph="1">
        <v>5</v>
      </c>
      <c r="L32" s="169" t="s" ph="1">
        <v>43</v>
      </c>
      <c r="M32" s="97" t="s" ph="1">
        <v>4</v>
      </c>
      <c r="N32" s="168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8" t="s" ph="1">
        <v>5</v>
      </c>
      <c r="U32" s="99" t="s" ph="1">
        <v>43</v>
      </c>
      <c r="V32" s="97" t="s" ph="1">
        <v>4</v>
      </c>
      <c r="W32" s="168" t="s" ph="1">
        <v>5</v>
      </c>
      <c r="X32" s="99" t="s" ph="1">
        <v>43</v>
      </c>
      <c r="Y32" s="100" t="s" ph="1">
        <v>4</v>
      </c>
      <c r="Z32" s="168" t="s" ph="1">
        <v>5</v>
      </c>
      <c r="AA32" s="169" t="s" ph="1">
        <v>43</v>
      </c>
      <c r="AB32" s="97" t="s" ph="1">
        <v>85</v>
      </c>
      <c r="AC32" s="168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148442.06653919999</v>
      </c>
      <c r="E33" s="217" ph="1">
        <f>M10+I10</f>
        <v>48363.609375600005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21" ph="1">
        <v>0</v>
      </c>
      <c r="H33" s="217" ph="1">
        <f>N19</f>
        <v>15088.246674000002</v>
      </c>
      <c r="I33" s="230" ph="1">
        <v>0</v>
      </c>
      <c r="J33" s="228" ph="1">
        <f>F10+O28</f>
        <v>170615.64405059998</v>
      </c>
      <c r="K33" s="217" ph="1">
        <f>O10+K10+E28+R28</f>
        <v>291344.80615463998</v>
      </c>
      <c r="L33" s="232" ph="1">
        <f>BE27</f>
        <v>7100</v>
      </c>
      <c r="M33" s="228" ph="1">
        <f>G10+H10+W28+S28+V28+E10</f>
        <v>1160477.5061710998</v>
      </c>
      <c r="N33" s="217" ph="1">
        <f>L10+P10++G28+H28</f>
        <v>298588.35051740002</v>
      </c>
      <c r="O33" s="230" ph="1">
        <f>BE17</f>
        <v>2270</v>
      </c>
      <c r="P33" s="228" ph="1">
        <f>L19</f>
        <v>17665.97755</v>
      </c>
      <c r="Q33" s="217" ph="1">
        <f>J10+N10</f>
        <v>138004.80400820001</v>
      </c>
      <c r="R33" s="230" ph="1">
        <f>BE23</f>
        <v>890</v>
      </c>
      <c r="S33" s="228" ph="1">
        <f>E10+X28</f>
        <v>379848.18019099999</v>
      </c>
      <c r="T33" s="217" ph="1">
        <f>X19</f>
        <v>7226.0160959999994</v>
      </c>
      <c r="U33" s="238" ph="1">
        <f>BE21</f>
        <v>730</v>
      </c>
      <c r="V33" s="249" ph="1">
        <f ca="1">P19+Q19+S19+M28+N28+J28</f>
        <v>394337.63670232601</v>
      </c>
      <c r="W33" s="249" ph="1">
        <f>D28+F28+V19+T28</f>
        <v>113897.50672600801</v>
      </c>
      <c r="X33" s="230" ph="1">
        <f>BE29+BE31</f>
        <v>10200</v>
      </c>
      <c r="Y33" s="251" ph="1">
        <f>+Q10+R10+S10+T10+U10+V10+W10+X10+Y10</f>
        <v>161577.43759079999</v>
      </c>
      <c r="Z33" s="236" ph="1">
        <f>D10+T19+U19+Y28+Z10</f>
        <v>519278.25580568006</v>
      </c>
      <c r="AA33" s="238" ph="1">
        <f>BE19</f>
        <v>1440</v>
      </c>
      <c r="AB33" s="240" ph="1">
        <f>I19</f>
        <v>0</v>
      </c>
      <c r="AC33" s="242" ph="1">
        <f>AD10</f>
        <v>65317.026499200001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70" t="s" ph="1">
        <v>186</v>
      </c>
      <c r="AA36" s="170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7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0" t="s" ph="1">
        <v>345</v>
      </c>
      <c r="AI37" s="170" t="s" ph="1">
        <v>212</v>
      </c>
      <c r="AJ37" s="170" t="s" ph="1">
        <v>213</v>
      </c>
      <c r="AK37" s="170" t="s" ph="1">
        <v>214</v>
      </c>
      <c r="AM37" s="170" t="s" ph="1">
        <v>213</v>
      </c>
      <c r="AN37" s="170" t="s" ph="1">
        <v>214</v>
      </c>
      <c r="AO37" s="170" t="s" ph="1">
        <v>215</v>
      </c>
      <c r="AP37" s="170" t="s" ph="1">
        <v>213</v>
      </c>
      <c r="AQ37" s="170" t="s" ph="1">
        <v>214</v>
      </c>
      <c r="AR37" s="170" t="s" ph="1">
        <v>215</v>
      </c>
      <c r="AS37" s="170" t="s" ph="1">
        <v>213</v>
      </c>
      <c r="AT37" s="170" t="s" ph="1">
        <v>214</v>
      </c>
      <c r="AU37" s="170" t="s" ph="1">
        <v>215</v>
      </c>
      <c r="AV37" s="170" t="s" ph="1">
        <v>213</v>
      </c>
      <c r="AW37" s="170" t="s" ph="1">
        <v>214</v>
      </c>
      <c r="AX37" s="170" t="s" ph="1">
        <v>215</v>
      </c>
      <c r="AY37" s="170" t="s" ph="1">
        <v>214</v>
      </c>
      <c r="AZ37" s="170" t="s" ph="1">
        <v>216</v>
      </c>
      <c r="BD37" s="170" t="s" ph="1">
        <v>308</v>
      </c>
      <c r="BE37" s="17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629" priority="96">
      <formula>ABS(D$7-D$10)&gt;=1000</formula>
    </cfRule>
  </conditionalFormatting>
  <conditionalFormatting sqref="E4 E6:E11">
    <cfRule type="expression" dxfId="628" priority="95">
      <formula>ABS(E$7-E$10)&gt;=1000</formula>
    </cfRule>
  </conditionalFormatting>
  <conditionalFormatting sqref="F4:F11">
    <cfRule type="expression" dxfId="627" priority="94">
      <formula>ABS(F$7-F$10)&gt;=1000</formula>
    </cfRule>
  </conditionalFormatting>
  <conditionalFormatting sqref="G4:G11">
    <cfRule type="expression" dxfId="626" priority="93">
      <formula>ABS(G$7-G$10)&gt;=1000</formula>
    </cfRule>
  </conditionalFormatting>
  <conditionalFormatting sqref="H4:H11">
    <cfRule type="expression" dxfId="625" priority="92">
      <formula>ABS(H$7-H$10)&gt;=1000</formula>
    </cfRule>
  </conditionalFormatting>
  <conditionalFormatting sqref="I4:I11">
    <cfRule type="expression" dxfId="624" priority="91">
      <formula>ABS(I$7-I$10)&gt;=1000</formula>
    </cfRule>
  </conditionalFormatting>
  <conditionalFormatting sqref="J4:J11">
    <cfRule type="expression" dxfId="623" priority="90">
      <formula>ABS(J$7-J$10)&gt;=1000</formula>
    </cfRule>
  </conditionalFormatting>
  <conditionalFormatting sqref="K4:K11">
    <cfRule type="expression" dxfId="622" priority="89">
      <formula>ABS(K$7-K$10)&gt;=1000</formula>
    </cfRule>
  </conditionalFormatting>
  <conditionalFormatting sqref="L4:L11">
    <cfRule type="expression" dxfId="621" priority="88">
      <formula>ABS(L$7-L$10)&gt;=1000</formula>
    </cfRule>
  </conditionalFormatting>
  <conditionalFormatting sqref="M4 M6:M11">
    <cfRule type="expression" dxfId="620" priority="87">
      <formula>ABS(M$7-M$10)&gt;=1000</formula>
    </cfRule>
  </conditionalFormatting>
  <conditionalFormatting sqref="N4 N6:N11">
    <cfRule type="expression" dxfId="619" priority="86">
      <formula>ABS(N$7-N$10)&gt;=1000</formula>
    </cfRule>
  </conditionalFormatting>
  <conditionalFormatting sqref="O4 O6:O11">
    <cfRule type="expression" dxfId="618" priority="85">
      <formula>ABS(O$7-O$10)&gt;=1000</formula>
    </cfRule>
  </conditionalFormatting>
  <conditionalFormatting sqref="P4 P6:P11">
    <cfRule type="expression" dxfId="617" priority="84">
      <formula>ABS(P$7-P$10)&gt;=1000</formula>
    </cfRule>
  </conditionalFormatting>
  <conditionalFormatting sqref="Q4:Q11">
    <cfRule type="expression" dxfId="616" priority="83">
      <formula>ABS(Q$7-Q$10)&gt;=1000</formula>
    </cfRule>
  </conditionalFormatting>
  <conditionalFormatting sqref="R4:R11">
    <cfRule type="expression" dxfId="615" priority="82">
      <formula>ABS(R$7-R$10)&gt;=1000</formula>
    </cfRule>
  </conditionalFormatting>
  <conditionalFormatting sqref="S4:S11">
    <cfRule type="expression" dxfId="614" priority="81">
      <formula>ABS(S$7-S$10)&gt;=1000</formula>
    </cfRule>
  </conditionalFormatting>
  <conditionalFormatting sqref="T4:T9 T11">
    <cfRule type="expression" dxfId="613" priority="80">
      <formula>ABS(T$7-T$10)&gt;=1000</formula>
    </cfRule>
  </conditionalFormatting>
  <conditionalFormatting sqref="U4:U9 U11">
    <cfRule type="expression" dxfId="612" priority="79">
      <formula>ABS(U$7-U$10)&gt;=1000</formula>
    </cfRule>
  </conditionalFormatting>
  <conditionalFormatting sqref="V4:V9 V11">
    <cfRule type="expression" dxfId="611" priority="78">
      <formula>ABS(V$7-V$10)&gt;=1000</formula>
    </cfRule>
  </conditionalFormatting>
  <conditionalFormatting sqref="W4:W9 W11">
    <cfRule type="expression" dxfId="610" priority="77">
      <formula>ABS(W$7-W$10)&gt;=1000</formula>
    </cfRule>
  </conditionalFormatting>
  <conditionalFormatting sqref="X4:X9 X11">
    <cfRule type="expression" dxfId="609" priority="76">
      <formula>ABS(X$7-X$10)&gt;=1000</formula>
    </cfRule>
  </conditionalFormatting>
  <conditionalFormatting sqref="Y4:Y9 Y11">
    <cfRule type="expression" dxfId="608" priority="75">
      <formula>ABS(Y$7-Y$10)&gt;=1000</formula>
    </cfRule>
  </conditionalFormatting>
  <conditionalFormatting sqref="Z4:Z11">
    <cfRule type="expression" dxfId="607" priority="74">
      <formula>ABS(Z$7-Z$10)&gt;=1000</formula>
    </cfRule>
  </conditionalFormatting>
  <conditionalFormatting sqref="AA4:AA11">
    <cfRule type="expression" dxfId="606" priority="73">
      <formula>ABS(AA$7-AA$10)&gt;=1000</formula>
    </cfRule>
  </conditionalFormatting>
  <conditionalFormatting sqref="AB4:AB11">
    <cfRule type="expression" dxfId="605" priority="72">
      <formula>ABS(AB$7-AB$10)&gt;=1000</formula>
    </cfRule>
  </conditionalFormatting>
  <conditionalFormatting sqref="AC4 AC6:AC11">
    <cfRule type="expression" dxfId="604" priority="71">
      <formula>ABS(AC$7-AC$10)&gt;=1000</formula>
    </cfRule>
  </conditionalFormatting>
  <conditionalFormatting sqref="AD4:AD11">
    <cfRule type="expression" dxfId="603" priority="70">
      <formula>ABS(AD$7-AD$10)&gt;=1000</formula>
    </cfRule>
  </conditionalFormatting>
  <conditionalFormatting sqref="AE4:AE11">
    <cfRule type="expression" dxfId="602" priority="69">
      <formula>ABS(AE$7-AE$10)&gt;=1000</formula>
    </cfRule>
  </conditionalFormatting>
  <conditionalFormatting sqref="D13:D20">
    <cfRule type="expression" dxfId="601" priority="68">
      <formula>ABS(D$16-D$19)&gt;=1000</formula>
    </cfRule>
  </conditionalFormatting>
  <conditionalFormatting sqref="E13:E20">
    <cfRule type="expression" dxfId="600" priority="67">
      <formula>ABS(E$16-E$19)&gt;=1000</formula>
    </cfRule>
  </conditionalFormatting>
  <conditionalFormatting sqref="F13 F15:F20">
    <cfRule type="expression" dxfId="599" priority="66">
      <formula>ABS(F$16-F$19)&gt;=1000</formula>
    </cfRule>
  </conditionalFormatting>
  <conditionalFormatting sqref="G13:G20">
    <cfRule type="expression" dxfId="598" priority="65">
      <formula>ABS(G$16-G$19)&gt;=1000</formula>
    </cfRule>
  </conditionalFormatting>
  <conditionalFormatting sqref="H13:H20">
    <cfRule type="expression" dxfId="597" priority="64">
      <formula>ABS(H$16-H$19)&gt;=1000</formula>
    </cfRule>
  </conditionalFormatting>
  <conditionalFormatting sqref="I13:I20">
    <cfRule type="expression" dxfId="596" priority="63">
      <formula>ABS(I$16-I$19)&gt;=1000</formula>
    </cfRule>
  </conditionalFormatting>
  <conditionalFormatting sqref="J13:J20">
    <cfRule type="expression" dxfId="595" priority="62">
      <formula>ABS(J$16-J$19)&gt;=1000</formula>
    </cfRule>
  </conditionalFormatting>
  <conditionalFormatting sqref="L13:L20">
    <cfRule type="expression" dxfId="594" priority="61">
      <formula>ABS(L$16-L$19)&gt;=1000</formula>
    </cfRule>
  </conditionalFormatting>
  <conditionalFormatting sqref="M13 M15 M17:M18 M20">
    <cfRule type="expression" dxfId="593" priority="60">
      <formula>ABS(M$16-M$19)&gt;=1000</formula>
    </cfRule>
  </conditionalFormatting>
  <conditionalFormatting sqref="N13:N20">
    <cfRule type="expression" dxfId="592" priority="59">
      <formula>ABS(N$16-N$19)&gt;=1000</formula>
    </cfRule>
  </conditionalFormatting>
  <conditionalFormatting sqref="O13:O20">
    <cfRule type="expression" dxfId="591" priority="58">
      <formula>ABS(O$16-O$19)&gt;=1000</formula>
    </cfRule>
  </conditionalFormatting>
  <conditionalFormatting sqref="P13:P20">
    <cfRule type="expression" dxfId="590" priority="57">
      <formula>ABS(P$16-P$19)&gt;=1000</formula>
    </cfRule>
  </conditionalFormatting>
  <conditionalFormatting sqref="Q13 Q15:Q20">
    <cfRule type="expression" dxfId="589" priority="56">
      <formula>ABS(Q$16-Q$19)&gt;=1000</formula>
    </cfRule>
  </conditionalFormatting>
  <conditionalFormatting sqref="R13:R20">
    <cfRule type="expression" dxfId="588" priority="55">
      <formula>ABS(R$16-R$19)&gt;=1000</formula>
    </cfRule>
  </conditionalFormatting>
  <conditionalFormatting sqref="S13:S20">
    <cfRule type="expression" dxfId="587" priority="54">
      <formula>ABS(S$16-S$19)&gt;=1000</formula>
    </cfRule>
  </conditionalFormatting>
  <conditionalFormatting sqref="T13:T20">
    <cfRule type="expression" dxfId="586" priority="53">
      <formula>ABS(T$16-T$19)&gt;=1000</formula>
    </cfRule>
  </conditionalFormatting>
  <conditionalFormatting sqref="U13:U20">
    <cfRule type="expression" dxfId="585" priority="52">
      <formula>ABS(U$16-U$19)&gt;=1000</formula>
    </cfRule>
  </conditionalFormatting>
  <conditionalFormatting sqref="V13:V20">
    <cfRule type="expression" dxfId="584" priority="51">
      <formula>ABS(V$16-V$19)&gt;=1000</formula>
    </cfRule>
  </conditionalFormatting>
  <conditionalFormatting sqref="W13 W20 W15:W18">
    <cfRule type="expression" dxfId="583" priority="50">
      <formula>ABS(W$16-W$19)&gt;=1000</formula>
    </cfRule>
  </conditionalFormatting>
  <conditionalFormatting sqref="X13 X15:X20 Y19">
    <cfRule type="expression" dxfId="582" priority="49">
      <formula>ABS(X$16-X$19)&gt;=1000</formula>
    </cfRule>
  </conditionalFormatting>
  <conditionalFormatting sqref="Y13 Y15:Y18 Y20">
    <cfRule type="expression" dxfId="581" priority="48">
      <formula>ABS(Y$16-Y$19)&gt;=1000</formula>
    </cfRule>
  </conditionalFormatting>
  <conditionalFormatting sqref="Z13:Z20">
    <cfRule type="expression" dxfId="580" priority="47">
      <formula>ABS(Z$16-Z$19)&gt;=1000</formula>
    </cfRule>
  </conditionalFormatting>
  <conditionalFormatting sqref="AA13:AA20">
    <cfRule type="expression" dxfId="579" priority="46">
      <formula>ABS(AA$16-AA$19)&gt;=1000</formula>
    </cfRule>
  </conditionalFormatting>
  <conditionalFormatting sqref="AB13 AB15:AB20">
    <cfRule type="expression" dxfId="578" priority="45">
      <formula>ABS(AB$16-AB$19)&gt;=1000</formula>
    </cfRule>
  </conditionalFormatting>
  <conditionalFormatting sqref="AC13 AC15:AC20">
    <cfRule type="expression" dxfId="577" priority="44">
      <formula>ABS(AC$16-AC$19)&gt;=1000</formula>
    </cfRule>
  </conditionalFormatting>
  <conditionalFormatting sqref="AD13:AD20">
    <cfRule type="expression" dxfId="576" priority="43">
      <formula>ABS(AD$16-AD$19)&gt;=1000</formula>
    </cfRule>
  </conditionalFormatting>
  <conditionalFormatting sqref="AE13:AE20">
    <cfRule type="expression" dxfId="575" priority="42">
      <formula>ABS(AE$16-AE$19)&gt;=1000</formula>
    </cfRule>
  </conditionalFormatting>
  <conditionalFormatting sqref="D22:D29">
    <cfRule type="expression" dxfId="574" priority="41">
      <formula>ABS(D$25-D$28)&gt;=1000</formula>
    </cfRule>
  </conditionalFormatting>
  <conditionalFormatting sqref="E22:E29">
    <cfRule type="expression" dxfId="573" priority="40">
      <formula>ABS(E$25-E$28)&gt;=1000</formula>
    </cfRule>
  </conditionalFormatting>
  <conditionalFormatting sqref="F22:F29">
    <cfRule type="expression" dxfId="572" priority="39">
      <formula>ABS(F$25-F$28)&gt;=1000</formula>
    </cfRule>
  </conditionalFormatting>
  <conditionalFormatting sqref="G22:G29">
    <cfRule type="expression" dxfId="571" priority="38">
      <formula>ABS(G$25-G$28)&gt;=1000</formula>
    </cfRule>
  </conditionalFormatting>
  <conditionalFormatting sqref="H22:H29">
    <cfRule type="expression" dxfId="570" priority="37">
      <formula>ABS(H$25-H$28)&gt;=1000</formula>
    </cfRule>
  </conditionalFormatting>
  <conditionalFormatting sqref="I22 I24:I29">
    <cfRule type="expression" dxfId="569" priority="36">
      <formula>ABS(I$25-I$28)&gt;=1000</formula>
    </cfRule>
  </conditionalFormatting>
  <conditionalFormatting sqref="J22:J29 K22">
    <cfRule type="expression" dxfId="568" priority="35">
      <formula>ABS(J$25-J$28)&gt;=1000</formula>
    </cfRule>
  </conditionalFormatting>
  <conditionalFormatting sqref="K23:K29 L25 L28">
    <cfRule type="expression" dxfId="567" priority="34">
      <formula>ABS(K$25-K$28)&gt;=1000</formula>
    </cfRule>
  </conditionalFormatting>
  <conditionalFormatting sqref="L22:L24 L26:L27 L29">
    <cfRule type="expression" dxfId="566" priority="33">
      <formula>ABS(L$25-L$28)&gt;=1000</formula>
    </cfRule>
  </conditionalFormatting>
  <conditionalFormatting sqref="M22:M29">
    <cfRule type="expression" dxfId="565" priority="32">
      <formula>ABS(M$25-M$28)&gt;=1000</formula>
    </cfRule>
  </conditionalFormatting>
  <conditionalFormatting sqref="N22:N29">
    <cfRule type="expression" dxfId="564" priority="31">
      <formula>ABS(N$25-N$28)&gt;=1000</formula>
    </cfRule>
  </conditionalFormatting>
  <conditionalFormatting sqref="O22:O29">
    <cfRule type="expression" dxfId="563" priority="30">
      <formula>ABS(O$25-O$28)&gt;=1000</formula>
    </cfRule>
  </conditionalFormatting>
  <conditionalFormatting sqref="P22:P29">
    <cfRule type="expression" dxfId="562" priority="29">
      <formula>ABS(P$25-P$28)&gt;=1000</formula>
    </cfRule>
  </conditionalFormatting>
  <conditionalFormatting sqref="Q22:Q29">
    <cfRule type="expression" dxfId="561" priority="28">
      <formula>ABS(Q$25-Q$28)&gt;=1000</formula>
    </cfRule>
  </conditionalFormatting>
  <conditionalFormatting sqref="R22:R29">
    <cfRule type="expression" dxfId="560" priority="27">
      <formula>ABS(R$25-R$28)&gt;=1000</formula>
    </cfRule>
  </conditionalFormatting>
  <conditionalFormatting sqref="S22:S29">
    <cfRule type="expression" dxfId="559" priority="26">
      <formula>ABS(S$25-S$28)&gt;=1000</formula>
    </cfRule>
  </conditionalFormatting>
  <conditionalFormatting sqref="T22:T29">
    <cfRule type="expression" dxfId="558" priority="25">
      <formula>ABS(T$25-T$28)&gt;=1000</formula>
    </cfRule>
  </conditionalFormatting>
  <conditionalFormatting sqref="U22:U29">
    <cfRule type="expression" dxfId="557" priority="24">
      <formula>ABS(U$25-U$28)&gt;=1000</formula>
    </cfRule>
  </conditionalFormatting>
  <conditionalFormatting sqref="V22:V29">
    <cfRule type="expression" dxfId="556" priority="23">
      <formula>ABS(V$25-V$28)&gt;=1000</formula>
    </cfRule>
  </conditionalFormatting>
  <conditionalFormatting sqref="W22:W29">
    <cfRule type="expression" dxfId="555" priority="22">
      <formula>ABS(W$25-W$28)&gt;=1000</formula>
    </cfRule>
  </conditionalFormatting>
  <conditionalFormatting sqref="X22:X29">
    <cfRule type="expression" dxfId="554" priority="21">
      <formula>ABS(X$25-X$28)&gt;=1000</formula>
    </cfRule>
  </conditionalFormatting>
  <conditionalFormatting sqref="Y22:Y29">
    <cfRule type="expression" dxfId="553" priority="20">
      <formula>ABS(Y$25-Y$28)&gt;=1000</formula>
    </cfRule>
  </conditionalFormatting>
  <conditionalFormatting sqref="I23">
    <cfRule type="expression" dxfId="552" priority="19">
      <formula>ABS(I$25-I$28)&gt;=1000</formula>
    </cfRule>
  </conditionalFormatting>
  <conditionalFormatting sqref="F14">
    <cfRule type="expression" dxfId="551" priority="18">
      <formula>ABS(F$16-F$19)&gt;=1000</formula>
    </cfRule>
  </conditionalFormatting>
  <conditionalFormatting sqref="Q14">
    <cfRule type="expression" dxfId="550" priority="17">
      <formula>ABS(Q$16-Q$19)&gt;=1000</formula>
    </cfRule>
  </conditionalFormatting>
  <conditionalFormatting sqref="W14">
    <cfRule type="expression" dxfId="549" priority="16">
      <formula>ABS(W$16-W$19)&gt;=1000</formula>
    </cfRule>
  </conditionalFormatting>
  <conditionalFormatting sqref="Y14">
    <cfRule type="expression" dxfId="548" priority="15">
      <formula>ABS(Y$16-Y$19)&gt;=1000</formula>
    </cfRule>
  </conditionalFormatting>
  <conditionalFormatting sqref="X14">
    <cfRule type="expression" dxfId="547" priority="14">
      <formula>ABS(X$16-X$19)&gt;=1000</formula>
    </cfRule>
  </conditionalFormatting>
  <conditionalFormatting sqref="T10:Y10">
    <cfRule type="expression" dxfId="546" priority="13">
      <formula>ABS(T$7-T$10)&gt;=1000</formula>
    </cfRule>
  </conditionalFormatting>
  <conditionalFormatting sqref="W19">
    <cfRule type="expression" dxfId="545" priority="12">
      <formula>ABS(W$16-W$19)&gt;=1000</formula>
    </cfRule>
  </conditionalFormatting>
  <conditionalFormatting sqref="AC5">
    <cfRule type="expression" dxfId="544" priority="11">
      <formula>ABS(AC$7-AC$10)&gt;=1000</formula>
    </cfRule>
  </conditionalFormatting>
  <conditionalFormatting sqref="M14">
    <cfRule type="expression" dxfId="543" priority="10">
      <formula>ABS(M$16-M$19)&gt;=1000</formula>
    </cfRule>
  </conditionalFormatting>
  <conditionalFormatting sqref="M16">
    <cfRule type="expression" dxfId="542" priority="9">
      <formula>ABS(M$16-M$19)&gt;=1000</formula>
    </cfRule>
  </conditionalFormatting>
  <conditionalFormatting sqref="M19">
    <cfRule type="expression" dxfId="541" priority="8">
      <formula>ABS(M$16-M$19)&gt;=1000</formula>
    </cfRule>
  </conditionalFormatting>
  <conditionalFormatting sqref="K13:K20">
    <cfRule type="expression" dxfId="540" priority="7">
      <formula>ABS(K$16-K$19)&gt;=1000</formula>
    </cfRule>
  </conditionalFormatting>
  <conditionalFormatting sqref="E5">
    <cfRule type="expression" dxfId="539" priority="6">
      <formula>ABS(E$7-E$10)&gt;=1000</formula>
    </cfRule>
  </conditionalFormatting>
  <conditionalFormatting sqref="AB14:AC14">
    <cfRule type="expression" dxfId="538" priority="5">
      <formula>ABS(AB$16-AB$19)&gt;=1000</formula>
    </cfRule>
  </conditionalFormatting>
  <conditionalFormatting sqref="M5">
    <cfRule type="expression" dxfId="537" priority="4">
      <formula>ABS(M$7-M$10)&gt;=1000</formula>
    </cfRule>
  </conditionalFormatting>
  <conditionalFormatting sqref="N5">
    <cfRule type="expression" dxfId="536" priority="3">
      <formula>ABS(N$7-N$10)&gt;=1000</formula>
    </cfRule>
  </conditionalFormatting>
  <conditionalFormatting sqref="O5">
    <cfRule type="expression" dxfId="535" priority="2">
      <formula>ABS(O$7-O$10)&gt;=1000</formula>
    </cfRule>
  </conditionalFormatting>
  <conditionalFormatting sqref="P5">
    <cfRule type="expression" dxfId="534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69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2">
    <pageSetUpPr fitToPage="1"/>
  </sheetPr>
  <dimension ref="A1:CU223"/>
  <sheetViews>
    <sheetView view="pageBreakPreview" topLeftCell="A10" zoomScale="80" zoomScaleNormal="100" zoomScaleSheetLayoutView="80" workbookViewId="0">
      <selection activeCell="S10" sqref="S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45772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68" t="s" ph="1">
        <v>178</v>
      </c>
      <c r="D6" s="71">
        <v>4189</v>
      </c>
      <c r="E6" s="71">
        <v>4262</v>
      </c>
      <c r="F6" s="71">
        <v>4641</v>
      </c>
      <c r="G6" s="71">
        <v>4302</v>
      </c>
      <c r="H6" s="71">
        <v>2250</v>
      </c>
      <c r="I6" s="71">
        <v>5.05</v>
      </c>
      <c r="J6" s="71">
        <v>62.07</v>
      </c>
      <c r="K6" s="71">
        <v>7.37</v>
      </c>
      <c r="L6" s="71">
        <v>57</v>
      </c>
      <c r="M6" s="71">
        <v>1385</v>
      </c>
      <c r="N6" s="71">
        <v>5425</v>
      </c>
      <c r="O6" s="71">
        <v>4296</v>
      </c>
      <c r="P6" s="71">
        <v>5743</v>
      </c>
      <c r="Q6" s="71">
        <v>7197</v>
      </c>
      <c r="R6" s="71">
        <v>6553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1500</v>
      </c>
      <c r="Y6" s="71">
        <v>4913</v>
      </c>
      <c r="Z6" s="71">
        <v>593</v>
      </c>
      <c r="AA6" s="71">
        <v>2174</v>
      </c>
      <c r="AB6" s="71">
        <v>3528</v>
      </c>
      <c r="AC6" s="71">
        <v>5892</v>
      </c>
      <c r="AD6" s="71">
        <v>3327</v>
      </c>
      <c r="AE6" s="71">
        <v>3496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131501.56340961001</v>
      </c>
      <c r="E7" s="73" ph="1">
        <f>E6*51.53*LOOKUP(E8,密度!$A$2:$A$50,密度!$B$2:$B$50)</f>
        <v>171611.74000400002</v>
      </c>
      <c r="F7" s="73" ph="1">
        <f>F6*33.183*LOOKUP(F8,密度!$A$2:$A$50,密度!$C$2:$C$50)</f>
        <v>170649.95195429999</v>
      </c>
      <c r="G7" s="73" ph="1">
        <f xml:space="preserve"> (G6+2)*51.53*LOOKUP(G8,密度!$A$2:$A$50,密度!$B$2:$B$50)</f>
        <v>173901.712592</v>
      </c>
      <c r="H7" s="73" ph="1">
        <f>(H6)*51.53*LOOKUP(H8,密度!$A$2:$A$50,密度!$B$2:$B$50)</f>
        <v>90910.514250000007</v>
      </c>
      <c r="I7" s="73" ph="1">
        <f>I6*290.8*1.0267</f>
        <v>1507.750018</v>
      </c>
      <c r="J7" s="73" ph="1">
        <f>J6*290.8*0.7892</f>
        <v>14245.025275200001</v>
      </c>
      <c r="K7" s="73" ph="1">
        <f>K6*290.8*1.1126</f>
        <v>2384.5198695999998</v>
      </c>
      <c r="L7" s="73" ph="1">
        <f>L6*290.8*0.777</f>
        <v>12879.241200000002</v>
      </c>
      <c r="M7" s="73" ph="1">
        <f>M6*33.183*LOOKUP(M8,密度!$A$2:$A$50,密度!$D$2:$D$50)</f>
        <v>47185.545748500001</v>
      </c>
      <c r="N7" s="73" ph="1">
        <f>N6*33.183*LOOKUP(N8,密度!$A$2:$A$50,密度!$E$2:$E$50)</f>
        <v>140593.88227500001</v>
      </c>
      <c r="O7" s="73" ph="1">
        <f>O6*20.428*LOOKUP(O8,密度!$A$2:$A$50,密度!$C$2:$C$50)</f>
        <v>96982.126108800003</v>
      </c>
      <c r="P7" s="73" ph="1">
        <f>P6*51.53*LOOKUP(P8,密度!$A$2:$A$50,密度!$B$2:$B$50)</f>
        <v>231245.00770599997</v>
      </c>
      <c r="Q7" s="73" ph="1">
        <f>Q6*1.5*1.5*3.1416*LOOKUP(W8,密度!$A$2:$A$50,密度!$L$2:$L$50)</f>
        <v>47718.605919599999</v>
      </c>
      <c r="R7" s="73" ph="1">
        <f>R6*1.5*1.5*3.1416*LOOKUP(R8,密度!$A$2:$A$50,密度!$L$2:$L$50)</f>
        <v>43124.418829800001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9998.5346999999983</v>
      </c>
      <c r="Y7" s="73" ph="1">
        <f>Y6*1.5*1.5*3.1416*LOOKUP(Y8,密度!$A$2:$A$50,密度!$L$2:$L$50)</f>
        <v>33269.454464399998</v>
      </c>
      <c r="Z7" s="73" ph="1">
        <f>Z6*33.183*LOOKUP(Z8,密度!$A$2:$A$50,密度!$L$2:$L$50)</f>
        <v>18555.900417000001</v>
      </c>
      <c r="AA7" s="73" ph="1">
        <f>AA6*33.183*LOOKUP(AA8,密度!$A$2:$A$50,密度!$D$2:$D$50)</f>
        <v>74001.049923600003</v>
      </c>
      <c r="AB7" s="73" ph="1">
        <f>AB6*20.428*LOOKUP(AB8,密度!$A$2:$A$50,密度!$D$2:$D$50)</f>
        <v>74635.675430400006</v>
      </c>
      <c r="AC7" s="73" ph="1">
        <f>AC6*51.53*LOOKUP(AC8,密度!$A$2:$A$50,密度!$Q$2:$Q$50)</f>
        <v>288157.73256839998</v>
      </c>
      <c r="AD7" s="73" ph="1">
        <f>AD6*20.428*LOOKUP(AD8,密度!$A$2:$A$50,密度!$V$2:$V$50)</f>
        <v>65082.284265600007</v>
      </c>
      <c r="AE7" s="73" ph="1">
        <f>AE6*20.428</f>
        <v>71416.288</v>
      </c>
    </row>
    <row r="8" spans="1:99" ph="1">
      <c r="B8" s="195" ph="1"/>
      <c r="C8" s="68" t="s" ph="1">
        <v>180</v>
      </c>
      <c r="D8" s="74">
        <v>26</v>
      </c>
      <c r="E8" s="74">
        <v>23</v>
      </c>
      <c r="F8" s="74">
        <v>26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27</v>
      </c>
      <c r="O8" s="74">
        <v>30</v>
      </c>
      <c r="P8" s="74">
        <v>23</v>
      </c>
      <c r="Q8" s="74">
        <v>23</v>
      </c>
      <c r="R8" s="74">
        <v>31</v>
      </c>
      <c r="S8" s="74">
        <v>17</v>
      </c>
      <c r="T8" s="74">
        <v>20</v>
      </c>
      <c r="U8" s="74">
        <v>25</v>
      </c>
      <c r="V8" s="74">
        <v>26</v>
      </c>
      <c r="W8" s="74">
        <v>24</v>
      </c>
      <c r="X8" s="74">
        <v>19</v>
      </c>
      <c r="Y8" s="74">
        <v>4</v>
      </c>
      <c r="Z8" s="74">
        <v>19</v>
      </c>
      <c r="AA8" s="74">
        <v>26</v>
      </c>
      <c r="AB8" s="74">
        <v>15</v>
      </c>
      <c r="AC8" s="74">
        <v>22</v>
      </c>
      <c r="AD8" s="74">
        <v>31</v>
      </c>
      <c r="AE8" s="74">
        <v>30</v>
      </c>
    </row>
    <row r="9" spans="1:99" ht="26.4" ph="1">
      <c r="B9" s="195" ph="1">
        <v>0.66666666666666663</v>
      </c>
      <c r="C9" s="168" t="s" ph="1">
        <v>181</v>
      </c>
      <c r="D9" s="71">
        <v>4186</v>
      </c>
      <c r="E9" s="71">
        <v>4260</v>
      </c>
      <c r="F9" s="71">
        <v>4640</v>
      </c>
      <c r="G9" s="71">
        <v>4005</v>
      </c>
      <c r="H9" s="71">
        <v>2250</v>
      </c>
      <c r="I9" s="71">
        <v>5.07</v>
      </c>
      <c r="J9" s="71">
        <v>27.51</v>
      </c>
      <c r="K9" s="71">
        <v>7.39</v>
      </c>
      <c r="L9" s="71">
        <v>27.97</v>
      </c>
      <c r="M9" s="71">
        <v>1384</v>
      </c>
      <c r="N9" s="71">
        <v>6034</v>
      </c>
      <c r="O9" s="71">
        <v>4295</v>
      </c>
      <c r="P9" s="71">
        <v>5607</v>
      </c>
      <c r="Q9" s="71">
        <v>7195</v>
      </c>
      <c r="R9" s="71">
        <v>6551</v>
      </c>
      <c r="S9" s="71">
        <v>2492</v>
      </c>
      <c r="T9" s="71">
        <v>0</v>
      </c>
      <c r="U9" s="71">
        <v>0</v>
      </c>
      <c r="V9" s="71">
        <v>0</v>
      </c>
      <c r="W9" s="71">
        <v>0</v>
      </c>
      <c r="X9" s="71">
        <v>0</v>
      </c>
      <c r="Y9" s="71">
        <v>1875</v>
      </c>
      <c r="Z9" s="71">
        <v>1564</v>
      </c>
      <c r="AA9" s="71">
        <v>2172</v>
      </c>
      <c r="AB9" s="71">
        <v>3527</v>
      </c>
      <c r="AC9" s="71">
        <v>5889</v>
      </c>
      <c r="AD9" s="71">
        <v>3321</v>
      </c>
      <c r="AE9" s="71">
        <v>3344</v>
      </c>
    </row>
    <row r="10" spans="1:99" s="72" customFormat="1" ht="22.2" ph="1">
      <c r="B10" s="195" ph="1"/>
      <c r="C10" s="168" t="s" ph="1">
        <v>179</v>
      </c>
      <c r="D10" s="73" ph="1">
        <f>D9*33.183*LOOKUP(D11,密度!$A$2:$A$50,密度!$Q$2:$Q$50)</f>
        <v>131506.00893611999</v>
      </c>
      <c r="E10" s="73" ph="1">
        <f>E9*51.53*LOOKUP(E11,密度!$A$2:$A$50,密度!$B$2:$B$50)</f>
        <v>171333.64290000001</v>
      </c>
      <c r="F10" s="73" ph="1">
        <f>F9*33.183*LOOKUP(F11,密度!$A$2:$A$50,密度!$C$2:$C$50)</f>
        <v>170505.40348799998</v>
      </c>
      <c r="G10" s="73" ph="1">
        <f xml:space="preserve"> (G9+2)*51.53*LOOKUP(G11,密度!$A$2:$A$50,密度!$B$2:$B$50)</f>
        <v>162066.709279</v>
      </c>
      <c r="H10" s="73" ph="1">
        <f>(H9)*51.53*LOOKUP(H11,密度!$A$2:$A$50,密度!$B$2:$B$50)</f>
        <v>91003.268250000008</v>
      </c>
      <c r="I10" s="73" ph="1">
        <f>I9*290.8*1.0267</f>
        <v>1513.7213052000002</v>
      </c>
      <c r="J10" s="73" ph="1">
        <f>J9*290.8*0.7892</f>
        <v>6313.5273936000003</v>
      </c>
      <c r="K10" s="73" ph="1">
        <f>K9*290.8*1.1126</f>
        <v>2390.9907512000004</v>
      </c>
      <c r="L10" s="73" ph="1">
        <f>L9*290.8*0.777</f>
        <v>6319.8662520000007</v>
      </c>
      <c r="M10" s="73" ph="1">
        <f>M9*33.183*LOOKUP(M11,密度!$A$2:$A$50,密度!$D$2:$D$50)</f>
        <v>47238.734779199993</v>
      </c>
      <c r="N10" s="73" ph="1">
        <f>N9*33.183*LOOKUP(N11,密度!$A$2:$A$50,密度!$E$2:$E$50)</f>
        <v>156596.92822620002</v>
      </c>
      <c r="O10" s="73" ph="1">
        <f>O9*20.428*LOOKUP(O11,密度!$A$2:$A$50,密度!$C$2:$C$50)</f>
        <v>97029.741734000025</v>
      </c>
      <c r="P10" s="73" ph="1">
        <f>P9*51.53*LOOKUP(P11,密度!$A$2:$A$50,密度!$B$2:$B$50)</f>
        <v>225768.89399400001</v>
      </c>
      <c r="Q10" s="73" ph="1">
        <f>Q9*1.5*1.5*3.1416*LOOKUP(W11,密度!$A$2:$A$50,密度!$L$2:$L$50)</f>
        <v>47654.486648999999</v>
      </c>
      <c r="R10" s="73" ph="1">
        <f>R9*1.5*1.5*3.1416*LOOKUP(R11,密度!$A$2:$A$50,密度!$L$2:$L$50)</f>
        <v>42879.725103600002</v>
      </c>
      <c r="S10" s="73" ph="1">
        <f>S9*1.5*1.5*3.1416*LOOKUP(S11,密度!$A$2:$A$50,密度!$L$2:$L$50)</f>
        <v>16522.824225599998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12418.646625000001</v>
      </c>
      <c r="Z10" s="73" ph="1">
        <f>Z9*33.183*LOOKUP(Z11,密度!$A$2:$A$50,密度!$L$2:$L$50)</f>
        <v>48369.133584000003</v>
      </c>
      <c r="AA10" s="73" ph="1">
        <f>AA9*33.183*LOOKUP(AA11,密度!$A$2:$A$50,密度!$D$2:$D$50)</f>
        <v>73860.898204799989</v>
      </c>
      <c r="AB10" s="73" ph="1">
        <f>AB9*20.428*LOOKUP(AB11,密度!$A$2:$A$50,密度!$D$2:$D$50)</f>
        <v>74614.520193600008</v>
      </c>
      <c r="AC10" s="73" ph="1">
        <f>AC9*51.53*LOOKUP(AC11,密度!$A$2:$A$50,密度!$Q$2:$Q$50)</f>
        <v>286866.96790440002</v>
      </c>
      <c r="AD10" s="73" ph="1">
        <f>AD9*20.428*LOOKUP(AD11,密度!$A$2:$A$50,密度!$V$2:$V$50)</f>
        <v>64964.913148800006</v>
      </c>
      <c r="AE10" s="73" ph="1">
        <f>AE9*20.428</f>
        <v>68311.232000000004</v>
      </c>
    </row>
    <row r="11" spans="1:99" ph="1">
      <c r="A11" s="64" t="s" ph="1">
        <v>163</v>
      </c>
      <c r="B11" s="195" ph="1"/>
      <c r="C11" s="168" t="s" ph="1">
        <v>180</v>
      </c>
      <c r="D11" s="74">
        <v>25</v>
      </c>
      <c r="E11" s="74">
        <v>24</v>
      </c>
      <c r="F11" s="74">
        <v>27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26</v>
      </c>
      <c r="O11" s="74">
        <v>29</v>
      </c>
      <c r="P11" s="74">
        <v>23</v>
      </c>
      <c r="Q11" s="74">
        <v>23</v>
      </c>
      <c r="R11" s="74">
        <v>36</v>
      </c>
      <c r="S11" s="74">
        <v>24</v>
      </c>
      <c r="T11" s="74">
        <v>21</v>
      </c>
      <c r="U11" s="74">
        <v>23</v>
      </c>
      <c r="V11" s="74">
        <v>27</v>
      </c>
      <c r="W11" s="74">
        <v>25</v>
      </c>
      <c r="X11" s="74">
        <v>20</v>
      </c>
      <c r="Y11" s="74">
        <v>25</v>
      </c>
      <c r="Z11" s="74">
        <v>30</v>
      </c>
      <c r="AA11" s="74">
        <v>27</v>
      </c>
      <c r="AB11" s="74">
        <v>15</v>
      </c>
      <c r="AC11" s="74">
        <v>27</v>
      </c>
      <c r="AD11" s="74">
        <v>30</v>
      </c>
      <c r="AE11" s="74">
        <v>28</v>
      </c>
    </row>
    <row r="12" spans="1:99" ht="9.9" customHeight="1" ph="1"/>
    <row r="13" spans="1:99" s="72" customFormat="1" ht="29.25" customHeight="1" ph="1">
      <c r="B13" s="203" t="s" ph="1">
        <v>37</v>
      </c>
      <c r="C13" s="168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68" t="s" ph="1">
        <v>178</v>
      </c>
      <c r="D15" s="78">
        <v>0</v>
      </c>
      <c r="E15" s="78">
        <v>4439</v>
      </c>
      <c r="F15" s="78">
        <v>2679</v>
      </c>
      <c r="G15" s="78">
        <v>3011</v>
      </c>
      <c r="H15" s="78">
        <v>4531</v>
      </c>
      <c r="I15" s="78">
        <v>0</v>
      </c>
      <c r="J15" s="78">
        <v>0</v>
      </c>
      <c r="K15" s="78">
        <v>221</v>
      </c>
      <c r="L15" s="78">
        <v>4303</v>
      </c>
      <c r="M15" s="78">
        <v>762</v>
      </c>
      <c r="N15" s="78">
        <v>1901</v>
      </c>
      <c r="O15" s="78">
        <v>44</v>
      </c>
      <c r="P15" s="78">
        <v>6950</v>
      </c>
      <c r="Q15" s="78">
        <v>35</v>
      </c>
      <c r="R15" s="78">
        <v>3515</v>
      </c>
      <c r="S15" s="78">
        <v>6874</v>
      </c>
      <c r="T15" s="78">
        <v>6212</v>
      </c>
      <c r="U15" s="78">
        <v>1322</v>
      </c>
      <c r="V15" s="78">
        <v>5456</v>
      </c>
      <c r="W15" s="71">
        <v>3769</v>
      </c>
      <c r="X15" s="78">
        <v>152</v>
      </c>
      <c r="Y15" s="106">
        <v>-2364</v>
      </c>
      <c r="Z15" s="78">
        <v>0</v>
      </c>
      <c r="AA15" s="78">
        <v>4244</v>
      </c>
      <c r="AB15" s="78" ph="1">
        <v>6932</v>
      </c>
      <c r="AC15" s="78" ph="1">
        <v>992</v>
      </c>
      <c r="AD15" s="78">
        <v>84.47</v>
      </c>
      <c r="AE15" s="78">
        <v>18.760000000000002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68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29463.486960599999</v>
      </c>
      <c r="F16" s="73" ph="1">
        <f>F15*9.0746*LOOKUP(F17,密度!$A$2:$A$50,密度!$L$2:$L$50)</f>
        <v>22730.647929000002</v>
      </c>
      <c r="G16" s="73" ph="1">
        <f>G15*9.0746*LOOKUP(G17,密度!$A$2:$A$50,密度!$B$2:$B$50)</f>
        <v>21301.49461976</v>
      </c>
      <c r="H16" s="73" ph="1">
        <f>H15*9.0746*LOOKUP(H17,密度!$A$2:$A$50,密度!$L$2:$L$50)</f>
        <v>38691.108856599996</v>
      </c>
      <c r="I16" s="73" ph="1">
        <f>I15*9.0746*LOOKUP(I17,密度!$A$2:$A$50,密度!$U$2:$U$50)</f>
        <v>0</v>
      </c>
      <c r="J16" s="73" ph="1">
        <f>J15*9.0746*LOOKUP(J17,密度!$A$2:$A$50,密度!$L$2:$L$50)</f>
        <v>0</v>
      </c>
      <c r="K16" s="73" ph="1">
        <f>K15*9.0746*LOOKUP(K17,密度!$A$2:$A$50,密度!$C$2:$C$50)</f>
        <v>2226.89232064</v>
      </c>
      <c r="L16" s="73" ph="1">
        <f>L15*9.0746*LOOKUP(L17,密度!$A$2:$A$50,密度!$E$2:$E$50)</f>
        <v>30539.443771980001</v>
      </c>
      <c r="M16" s="73" ph="1">
        <f>M15*9.0746*LOOKUP(M17,密度!$A$2:$A$50,密度!$M$2:$M$50)</f>
        <v>6056.7129106800003</v>
      </c>
      <c r="N16" s="73" ph="1">
        <f>N15*9.0746*LOOKUP(N17,密度!$A$2:$A$50,密度!$M$2:$M$50)</f>
        <v>15128.964404200002</v>
      </c>
      <c r="O16" s="73" ph="1">
        <f>O15*9.0746*LOOKUP(O17,密度!$A$2:$A$50,密度!$G$2:$G$50)</f>
        <v>383.39096047999999</v>
      </c>
      <c r="P16" s="73" ph="1">
        <f ca="1">P15*9.0746*LOOKUP(P17,密度!$A$2:$A$51,密度!$Q$2:$Q$50)</f>
        <v>59664.6646741</v>
      </c>
      <c r="Q16" s="73" ph="1">
        <f>Q15*9.0746*LOOKUP(Q17,密度!$A$2:$A$50,密度!$Q$2:$Q$50)</f>
        <v>301.15875019999999</v>
      </c>
      <c r="R16" s="73" ph="1">
        <f>MAX(R15*9.0746*LOOKUP(R17,密度!$A$2:$A$50,密度!$B$2:$B$50),0)</f>
        <v>24838.364435299998</v>
      </c>
      <c r="S16" s="73" ph="1">
        <f>S15*9.0746*LOOKUP(S17,密度!$A$2:$A$50,密度!$Q$2:$Q$50)</f>
        <v>59056.505490695999</v>
      </c>
      <c r="T16" s="73" ph="1">
        <f>T15*9.0746*LOOKUP(T17,密度!$A$2:$A$50,密度!$O$2:$O$50)</f>
        <v>52199.930475200003</v>
      </c>
      <c r="U16" s="73" ph="1">
        <f>U15*9.0746*LOOKUP(U17,密度!$A$2:$A$50,密度!$H$2:$H$50)</f>
        <v>10997.302654039999</v>
      </c>
      <c r="V16" s="73" ph="1">
        <f>MAX(5600*LOOKUP(V17,密度!$A$2:$A$50,密度!$Q$2:$Q$50)+V15*9.0476*LOOKUP(V17,密度!$A$2:$A$50,密度!$Q$2:$Q$50),0)</f>
        <v>51958.290177791998</v>
      </c>
      <c r="W16" s="73" ph="1">
        <f>MAX(5600*LOOKUP(W17,密度!$A$2:$A$50,密度!$Q$2:$Q$50)+W15*9.0476*LOOKUP(W17,密度!$A$2:$A$50,密度!$Q$2:$Q$50),0)</f>
        <v>37529.586287407998</v>
      </c>
      <c r="X16" s="73" ph="1">
        <f>MAX(5600*LOOKUP(X17,密度!$A$2:$A$50,密度!$I$2:$I$50)+X15*9.0476*LOOKUP(X17,密度!$A$2:$A$50,密度!$I$2:$I$50),0)</f>
        <v>7254.244608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30059.086173200001</v>
      </c>
      <c r="AB16" s="73" ph="1">
        <f>AB15*9.0746*LOOKUP(AB17,密度!$A$2:$A$50,密度!$L$2:$L$50)</f>
        <v>58816.293932000008</v>
      </c>
      <c r="AC16" s="73" ph="1">
        <f>AC15*9.0746*LOOKUP(AC17,密度!$A$2:$A$50,密度!$L$2:$L$50)</f>
        <v>8470.8850112</v>
      </c>
      <c r="AD16" s="73" ph="1">
        <f>AD15*268.68*LOOKUP(AD17,密度!$A$2:$A$50,密度!B2:B50)+IF(AD15&lt;=0,0,1566*LOOKUP(AD17,密度!$A$2:$A$50,密度!B2:B50))</f>
        <v>18914.18712816</v>
      </c>
      <c r="AE16" s="73" ph="1">
        <f>AE15*268.68*LOOKUP(AE17,密度!$A$2:$A$50,密度!B2:B50)+IF(AE15&lt;=0,0,1566*LOOKUP(AE17,密度!$A$2:$A$50,密度!B2:B50))</f>
        <v>5150.3781292799995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23</v>
      </c>
      <c r="E17" s="74">
        <v>23</v>
      </c>
      <c r="F17" s="74">
        <v>27</v>
      </c>
      <c r="G17" s="74">
        <v>25</v>
      </c>
      <c r="H17" s="74">
        <v>21</v>
      </c>
      <c r="I17" s="74">
        <v>21</v>
      </c>
      <c r="J17" s="74">
        <v>24</v>
      </c>
      <c r="K17" s="74">
        <v>23</v>
      </c>
      <c r="L17" s="74">
        <v>26</v>
      </c>
      <c r="M17" s="74">
        <v>24</v>
      </c>
      <c r="N17" s="74">
        <v>23</v>
      </c>
      <c r="O17" s="74">
        <v>25</v>
      </c>
      <c r="P17" s="74">
        <v>26</v>
      </c>
      <c r="Q17" s="74">
        <v>23</v>
      </c>
      <c r="R17" s="74">
        <v>26</v>
      </c>
      <c r="S17" s="74">
        <v>25</v>
      </c>
      <c r="T17" s="74">
        <v>25</v>
      </c>
      <c r="U17" s="74">
        <v>23</v>
      </c>
      <c r="V17" s="74">
        <v>27</v>
      </c>
      <c r="W17" s="74">
        <v>27</v>
      </c>
      <c r="X17" s="74">
        <v>27</v>
      </c>
      <c r="Y17" s="108">
        <v>27</v>
      </c>
      <c r="Z17" s="74">
        <v>24</v>
      </c>
      <c r="AA17" s="74">
        <v>24</v>
      </c>
      <c r="AB17" s="74">
        <v>27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0</v>
      </c>
      <c r="E18" s="71">
        <v>4436</v>
      </c>
      <c r="F18" s="71">
        <v>2678</v>
      </c>
      <c r="G18" s="71">
        <v>3041</v>
      </c>
      <c r="H18" s="71">
        <v>4528</v>
      </c>
      <c r="I18" s="71">
        <v>0</v>
      </c>
      <c r="J18" s="71">
        <v>0</v>
      </c>
      <c r="K18" s="71">
        <v>710</v>
      </c>
      <c r="L18" s="71">
        <v>5851</v>
      </c>
      <c r="M18" s="71">
        <v>1871</v>
      </c>
      <c r="N18" s="71">
        <v>2889</v>
      </c>
      <c r="O18" s="71">
        <v>25</v>
      </c>
      <c r="P18" s="71">
        <v>6945</v>
      </c>
      <c r="Q18" s="71">
        <v>33</v>
      </c>
      <c r="R18" s="71">
        <v>3513</v>
      </c>
      <c r="S18" s="71">
        <v>6869</v>
      </c>
      <c r="T18" s="71">
        <v>5553</v>
      </c>
      <c r="U18" s="71">
        <v>1321</v>
      </c>
      <c r="V18" s="71">
        <v>5455</v>
      </c>
      <c r="W18" s="71">
        <v>3769</v>
      </c>
      <c r="X18" s="71">
        <v>152</v>
      </c>
      <c r="Y18" s="109">
        <v>-2366</v>
      </c>
      <c r="Z18" s="71">
        <v>0</v>
      </c>
      <c r="AA18" s="71">
        <v>4240</v>
      </c>
      <c r="AB18" s="71">
        <v>6924</v>
      </c>
      <c r="AC18" s="71">
        <v>991</v>
      </c>
      <c r="AD18" s="71">
        <v>83.68</v>
      </c>
      <c r="AE18" s="71">
        <v>42.65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68" t="s" ph="1">
        <v>179</v>
      </c>
      <c r="D19" s="73" ph="1">
        <f>D18*7.0686*LOOKUP(D20,密度!$A$2:$A$50,密度!$L$2:$L$50)</f>
        <v>0</v>
      </c>
      <c r="E19" s="73" ph="1">
        <f>E18*7.0686*LOOKUP(E20,密度!$A$2:$A$50,密度!$L$2:$L$50)</f>
        <v>29474.931023999998</v>
      </c>
      <c r="F19" s="73" ph="1">
        <f>F18*9.0746*LOOKUP(F20,密度!$A$2:$A$50,密度!$L$2:$L$50)</f>
        <v>22722.163178000003</v>
      </c>
      <c r="G19" s="73" ph="1">
        <f>G18*9.0746*LOOKUP(G20,密度!$A$2:$A$50,密度!$B$2:$B$50)</f>
        <v>21538.567637299999</v>
      </c>
      <c r="H19" s="73" ph="1">
        <f>H18*9.0746*LOOKUP(H20,密度!$A$2:$A$50,密度!$L$2:$L$50)</f>
        <v>38665.491260800001</v>
      </c>
      <c r="I19" s="73" ph="1">
        <f>I18*9.0746*LOOKUP(I20,密度!$A$2:$A$50,密度!$U$2:$U$50)</f>
        <v>0</v>
      </c>
      <c r="J19" s="73" ph="1">
        <f>J18*9.0746*LOOKUP(J20,密度!$A$2:$A$50,密度!$L$2:$L$50)</f>
        <v>0</v>
      </c>
      <c r="K19" s="73" ph="1">
        <f>K18*9.0746*LOOKUP(K20,密度!$A$2:$A$50,密度!$C$2:$C$50)</f>
        <v>7149.1150736</v>
      </c>
      <c r="L19" s="73" ph="1">
        <f>L18*9.0746*LOOKUP(L20,密度!$A$2:$A$50,密度!$E$2:$E$50)</f>
        <v>41467.573472600001</v>
      </c>
      <c r="M19" s="73" ph="1">
        <f>M18*9.0746*LOOKUP(M20,密度!$A$2:$A$50,密度!$M$2:$M$50)</f>
        <v>14857.95238266</v>
      </c>
      <c r="N19" s="73" ph="1">
        <f>N18*9.0746*LOOKUP(N20,密度!$A$2:$A$50,密度!$M$2:$M$50)</f>
        <v>23018.104033200001</v>
      </c>
      <c r="O19" s="73" ph="1">
        <f>O18*9.0746*LOOKUP(O20,密度!$A$2:$A$50,密度!$G$2:$G$50)</f>
        <v>217.83577300000002</v>
      </c>
      <c r="P19" s="73" ph="1">
        <f ca="1">P18*9.0746*LOOKUP(P20,密度!$A$2:$A$51,密度!$Q$2:$Q$50)</f>
        <v>59621.740454910003</v>
      </c>
      <c r="Q19" s="73" ph="1">
        <f>Q18*9.0746*LOOKUP(Q20,密度!$A$2:$A$50,密度!$Q$2:$Q$50)</f>
        <v>284.21619976199997</v>
      </c>
      <c r="R19" s="73" ph="1">
        <f>MAX(R18*9.0746*LOOKUP(R20,密度!$A$2:$A$50,密度!$B$2:$B$50),0)</f>
        <v>24881.613978900001</v>
      </c>
      <c r="S19" s="73" ph="1">
        <f>S18*9.0746*LOOKUP(S20,密度!$A$2:$A$50,密度!$Q$2:$Q$50)</f>
        <v>59013.549056676005</v>
      </c>
      <c r="T19" s="73" ph="1">
        <f>T18*9.0746*LOOKUP(T20,密度!$A$2:$A$50,密度!$O$2:$O$50)</f>
        <v>46863.866033999999</v>
      </c>
      <c r="U19" s="73" ph="1">
        <f>U18*9.0746*LOOKUP(U20,密度!$A$2:$A$50,密度!$H$2:$H$50)</f>
        <v>11002.170269479999</v>
      </c>
      <c r="V19" s="73" ph="1">
        <f>MAX(5600*LOOKUP(V20,密度!$A$2:$A$50,密度!$Q$2:$Q$50)+V18*9.0476*LOOKUP(V20,密度!$A$2:$A$50,密度!$Q$2:$Q$50),0)</f>
        <v>51911.269039960003</v>
      </c>
      <c r="W19" s="73" ph="1">
        <f>MAX(5600*LOOKUP(W20,密度!$A$2:$A$50,密度!$Q$2:$Q$50)+W18*9.0476*LOOKUP(W20,密度!$A$2:$A$50,密度!$Q$2:$Q$50),0)</f>
        <v>37501.796004328004</v>
      </c>
      <c r="X19" s="73" ph="1">
        <f>MAX(5600*LOOKUP(X20,密度!$A$2:$A$50,密度!$I$2:$I$50)+X18*9.0476*LOOKUP(X20,密度!$A$2:$A$50,密度!$I$2:$I$50),0)</f>
        <v>7254.244608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30065.383945600002</v>
      </c>
      <c r="AB19" s="73" ph="1">
        <f>AB18*9.0746*LOOKUP(AB20,密度!$A$2:$A$50,密度!$L$2:$L$50)</f>
        <v>58811.248454400004</v>
      </c>
      <c r="AC19" s="73" ph="1">
        <f>AC18*9.0746*LOOKUP(AC20,密度!$A$2:$A$50,密度!$L$2:$L$50)</f>
        <v>8462.3458126000005</v>
      </c>
      <c r="AD19" s="73" ph="1">
        <f>AD18*268.68*LOOKUP(AD20,密度!$A$2:$A$50,密度!B5:B53)+IF(AD18&lt;=0,0,1566*LOOKUP(AD20,密度!$A$2:$A$50,密度!B5:B53))</f>
        <v>18686.183644799999</v>
      </c>
      <c r="AE19" s="73" ph="1">
        <f>AE18*268.68*LOOKUP(AE20,密度!$A$2:$A$50,密度!B5:B53)+IF(AE18&lt;=0,0,1566*LOOKUP(AE20,密度!$A$2:$A$50,密度!B5:B53))</f>
        <v>10120.581953999999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22</v>
      </c>
      <c r="E20" s="81">
        <v>22</v>
      </c>
      <c r="F20" s="81">
        <v>27</v>
      </c>
      <c r="G20" s="81">
        <v>24</v>
      </c>
      <c r="H20" s="81">
        <v>21</v>
      </c>
      <c r="I20" s="81">
        <v>21</v>
      </c>
      <c r="J20" s="81">
        <v>25</v>
      </c>
      <c r="K20" s="81">
        <v>24</v>
      </c>
      <c r="L20" s="81">
        <v>27</v>
      </c>
      <c r="M20" s="81">
        <v>25</v>
      </c>
      <c r="N20" s="81">
        <v>22</v>
      </c>
      <c r="O20" s="81">
        <v>25</v>
      </c>
      <c r="P20" s="81">
        <v>26</v>
      </c>
      <c r="Q20" s="81">
        <v>22</v>
      </c>
      <c r="R20" s="81">
        <v>24</v>
      </c>
      <c r="S20" s="81">
        <v>25</v>
      </c>
      <c r="T20" s="81">
        <v>24</v>
      </c>
      <c r="U20" s="81">
        <v>22</v>
      </c>
      <c r="V20" s="81">
        <v>28</v>
      </c>
      <c r="W20" s="81">
        <v>28</v>
      </c>
      <c r="X20" s="81">
        <v>27</v>
      </c>
      <c r="Y20" s="110">
        <v>27</v>
      </c>
      <c r="Z20" s="81">
        <v>23</v>
      </c>
      <c r="AA20" s="81">
        <v>23</v>
      </c>
      <c r="AB20" s="81">
        <v>26</v>
      </c>
      <c r="AC20" s="81">
        <v>21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68" t="s" ph="1">
        <v>178</v>
      </c>
      <c r="D24" s="71">
        <v>3.2</v>
      </c>
      <c r="E24" s="71">
        <v>95.61</v>
      </c>
      <c r="F24" s="71">
        <v>0</v>
      </c>
      <c r="G24" s="71">
        <v>2804</v>
      </c>
      <c r="H24" s="71">
        <v>2565</v>
      </c>
      <c r="I24" s="71">
        <v>3800</v>
      </c>
      <c r="J24" s="71">
        <v>5176</v>
      </c>
      <c r="K24" s="71">
        <v>27</v>
      </c>
      <c r="L24" s="71">
        <v>0</v>
      </c>
      <c r="M24" s="71">
        <v>4268</v>
      </c>
      <c r="N24" s="71">
        <v>5386</v>
      </c>
      <c r="O24" s="71">
        <v>6</v>
      </c>
      <c r="P24" s="71">
        <v>840</v>
      </c>
      <c r="Q24" s="90">
        <v>3015</v>
      </c>
      <c r="R24" s="71">
        <v>4077</v>
      </c>
      <c r="S24" s="71">
        <v>1461</v>
      </c>
      <c r="T24" s="71">
        <v>1760</v>
      </c>
      <c r="U24" s="71">
        <v>5722</v>
      </c>
      <c r="V24" s="71">
        <v>9674</v>
      </c>
      <c r="W24" s="71">
        <v>8350</v>
      </c>
      <c r="X24" s="71">
        <v>4332</v>
      </c>
      <c r="Y24" s="71">
        <v>7679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2296.5791702400002</v>
      </c>
      <c r="E25" s="91" ph="1">
        <f>E24*268.68*LOOKUP(E26,密度!$A$2:$A$50,密度!$C$2:$C$50)+IF(E24&lt;=0,0,1566*LOOKUP(E26,密度!$A$2:$A$50,密度!$C$2:$C$50))</f>
        <v>30222.509283720003</v>
      </c>
      <c r="F25" s="91" ph="1">
        <f>F24*11.702*LOOKUP(F26,密度!$A$2:$A$50,密度!$Q$2:$Q$50)</f>
        <v>0</v>
      </c>
      <c r="G25" s="91" ph="1">
        <f>G24*18.322*LOOKUP(G26,密度!$A$2:$A$50,密度!$B$2:$B$50)</f>
        <v>40144.337483199997</v>
      </c>
      <c r="H25" s="91" ph="1">
        <f>H24*18.322*LOOKUP(H26,密度!$A$2:$A$50,密度!$B$2:$B$50)</f>
        <v>36680.323364999997</v>
      </c>
      <c r="I25" s="91" ph="1">
        <f>I24*18.322*LOOKUP(I26,密度!$A$2:$A$50,密度!$Q$2:$Q$50)</f>
        <v>65966.272291999994</v>
      </c>
      <c r="J25" s="91" ph="1">
        <f>J24*18.322*LOOKUP(J26,密度!$A$2:$A$50,密度!$Q$2:$Q$50)</f>
        <v>89922.23599039999</v>
      </c>
      <c r="K25" s="91" ph="1">
        <f>K24*18.322*LOOKUP(K26,密度!$A$2:$A$50,密度!$Q$2:$Q$50)</f>
        <v>468.70772417999996</v>
      </c>
      <c r="L25" s="91" ph="1">
        <f>L24*18.322*LOOKUP(L26,密度!$A$2:$A$50,密度!$Q$2:$Q$50)</f>
        <v>0</v>
      </c>
      <c r="M25" s="91" ph="1">
        <f>M24*18.322*LOOKUP(M26,密度!$A$2:$A$50,密度!$Q$2:$Q$50)</f>
        <v>74090.539511120005</v>
      </c>
      <c r="N25" s="91" ph="1">
        <f>N24*18.322*LOOKUP(N26,密度!$A$2:$A$50,密度!$Q$2:$Q$50)</f>
        <v>93570.549274400008</v>
      </c>
      <c r="O25" s="91" ph="1">
        <f>O24*18.322*LOOKUP(O26,密度!$A$2:$A$50,密度!$C$2:$C$50)</f>
        <v>122.06849279999999</v>
      </c>
      <c r="P25" s="91" ph="1">
        <f>P24*11.702*LOOKUP(P26,密度!$A$2:$A$50,密度!$B$2:$B$50)</f>
        <v>7672.0652399999999</v>
      </c>
      <c r="Q25" s="92" ph="1">
        <f>Q24*18.322*LOOKUP(Q26,密度!$A$2:$A$50,密度!$B$2:$B$50)</f>
        <v>43115.467814999996</v>
      </c>
      <c r="R25" s="91" ph="1">
        <f>R24*35.891*LOOKUP(R26,密度!$A$2:$A$50,密度!$C$2:$C$50)</f>
        <v>162262.6834023</v>
      </c>
      <c r="S25" s="91" ph="1">
        <f>S24*35.891*LOOKUP(S26,密度!$A$2:$A$50,密度!$B$2:$B$50)</f>
        <v>40879.691079599994</v>
      </c>
      <c r="T25" s="91" ph="1">
        <f>T24*35.891*LOOKUP(T26,密度!$A$2:$A$50,密度!$Q$2:$Q$50)</f>
        <v>59758.974404799999</v>
      </c>
      <c r="U25" s="91" ph="1">
        <f>U24*35.891</f>
        <v>205368.302</v>
      </c>
      <c r="V25" s="91" ph="1">
        <f>V24*47.051*LOOKUP(V26,密度!$A$2:$A$50,密度!$B$2:$B$50)</f>
        <v>355261.257407</v>
      </c>
      <c r="W25" s="91" ph="1">
        <f>W24*47.051*LOOKUP(W26,密度!$A$2:$A$50,密度!$B$2:$B$50)</f>
        <v>306639.60092500004</v>
      </c>
      <c r="X25" s="91" ph="1">
        <f>X24*47.051*LOOKUP(X26,密度!$A$2:$A$50,密度!$I$2:$I$50)</f>
        <v>209470.88261640002</v>
      </c>
      <c r="Y25" s="91" ph="1">
        <f>Y24*47.051*LOOKUP(Y26,密度!$A$2:$A$50,密度!$L$2:$L$50)</f>
        <v>336735.91422800004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23</v>
      </c>
      <c r="G26" s="74">
        <v>23</v>
      </c>
      <c r="H26" s="74">
        <v>24</v>
      </c>
      <c r="I26" s="74">
        <v>24</v>
      </c>
      <c r="J26" s="74">
        <v>23</v>
      </c>
      <c r="K26" s="74">
        <v>24</v>
      </c>
      <c r="L26" s="74">
        <v>23</v>
      </c>
      <c r="M26" s="74">
        <v>24</v>
      </c>
      <c r="N26" s="74">
        <v>23</v>
      </c>
      <c r="O26" s="74">
        <v>23</v>
      </c>
      <c r="P26" s="74">
        <v>24</v>
      </c>
      <c r="Q26" s="93">
        <v>24</v>
      </c>
      <c r="R26" s="74">
        <v>25</v>
      </c>
      <c r="S26" s="74">
        <v>25</v>
      </c>
      <c r="T26" s="74">
        <v>26</v>
      </c>
      <c r="U26" s="74">
        <v>25</v>
      </c>
      <c r="V26" s="74">
        <v>24</v>
      </c>
      <c r="W26" s="74">
        <v>24</v>
      </c>
      <c r="X26" s="74">
        <v>38</v>
      </c>
      <c r="Y26" s="74">
        <v>30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68" t="s" ph="1">
        <v>181</v>
      </c>
      <c r="D27" s="71">
        <v>3.26</v>
      </c>
      <c r="E27" s="71">
        <v>95.56</v>
      </c>
      <c r="F27" s="71">
        <v>0</v>
      </c>
      <c r="G27" s="71">
        <v>2198</v>
      </c>
      <c r="H27" s="71">
        <v>2341</v>
      </c>
      <c r="I27" s="71">
        <v>3798</v>
      </c>
      <c r="J27" s="71">
        <v>5163</v>
      </c>
      <c r="K27" s="71">
        <v>27</v>
      </c>
      <c r="L27" s="71">
        <v>0</v>
      </c>
      <c r="M27" s="71">
        <v>4882</v>
      </c>
      <c r="N27" s="71">
        <v>5383</v>
      </c>
      <c r="O27" s="71">
        <v>4</v>
      </c>
      <c r="P27" s="71">
        <v>837</v>
      </c>
      <c r="Q27" s="90">
        <v>4174</v>
      </c>
      <c r="R27" s="71">
        <v>4076</v>
      </c>
      <c r="S27" s="71">
        <v>2059</v>
      </c>
      <c r="T27" s="71">
        <v>1759</v>
      </c>
      <c r="U27" s="71">
        <v>5694</v>
      </c>
      <c r="V27" s="71">
        <v>9672</v>
      </c>
      <c r="W27" s="71">
        <v>8347</v>
      </c>
      <c r="X27" s="71">
        <v>3598</v>
      </c>
      <c r="Y27" s="71">
        <v>6618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68" t="s" ph="1">
        <v>179</v>
      </c>
      <c r="D28" s="91" ph="1">
        <f>D27*268.68*LOOKUP(D29,密度!$A$2:$A$50,密度!$Q$2:$Q$50)+IF(D27&lt;=0,0,1566*LOOKUP(D29,密度!$A$2:$A$50,密度!$Q$2:$Q$50))</f>
        <v>2311.8413764319998</v>
      </c>
      <c r="E28" s="91" ph="1">
        <f>E27*268.68*LOOKUP(E29,密度!$A$2:$A$50,密度!$C$2:$C$50)+IF(E27&lt;=0,0,1566*LOOKUP(E29,密度!$A$2:$A$50,密度!$C$2:$C$50))</f>
        <v>30207.612321120003</v>
      </c>
      <c r="F28" s="91" ph="1">
        <f>F27*11.702*LOOKUP(F29,密度!$A$2:$A$50,密度!$Q$2:$Q$50)</f>
        <v>0</v>
      </c>
      <c r="G28" s="91" ph="1">
        <f>G27*18.322*LOOKUP(G29,密度!$A$2:$A$50,密度!$B$2:$B$50)</f>
        <v>31327.398992400002</v>
      </c>
      <c r="H28" s="91" ph="1">
        <f>H27*18.322*LOOKUP(H29,密度!$A$2:$A$50,密度!$B$2:$B$50)</f>
        <v>33365.532775799998</v>
      </c>
      <c r="I28" s="91" ph="1">
        <f>I27*18.322*LOOKUP(I29,密度!$A$2:$A$50,密度!$Q$2:$Q$50)</f>
        <v>65781.941245919996</v>
      </c>
      <c r="J28" s="91" ph="1">
        <f>J27*18.322*LOOKUP(J29,密度!$A$2:$A$50,密度!$Q$2:$Q$50)</f>
        <v>89423.950145519993</v>
      </c>
      <c r="K28" s="91" ph="1">
        <f>K27*18.322*LOOKUP(K29,密度!$A$2:$A$50,密度!$Q$2:$Q$50)</f>
        <v>466.65969101999997</v>
      </c>
      <c r="L28" s="91" ph="1">
        <f>L27*18.322*LOOKUP(L29,密度!$A$2:$A$50,密度!$Q$2:$Q$50)</f>
        <v>0</v>
      </c>
      <c r="M28" s="91" ph="1">
        <f>M27*18.322*LOOKUP(M29,密度!$A$2:$A$50,密度!$Q$2:$Q$50)</f>
        <v>84620.495224120008</v>
      </c>
      <c r="N28" s="91" ph="1">
        <f>N27*18.322*LOOKUP(N29,密度!$A$2:$A$50,密度!$Q$2:$Q$50)</f>
        <v>93304.409215780004</v>
      </c>
      <c r="O28" s="91" ph="1">
        <f>O27*18.322*LOOKUP(O29,密度!$A$2:$A$50,密度!$C$2:$C$50)</f>
        <v>81.210432800000007</v>
      </c>
      <c r="P28" s="91" ph="1">
        <f>P27*11.702*LOOKUP(P29,密度!$A$2:$A$50,密度!$B$2:$B$50)</f>
        <v>7619.1991146000009</v>
      </c>
      <c r="Q28" s="92" ph="1">
        <f>Q27*18.322*LOOKUP(Q29,密度!$A$2:$A$50,密度!$B$2:$B$50)</f>
        <v>59490.702181199995</v>
      </c>
      <c r="R28" s="91" ph="1">
        <f>R27*35.891*LOOKUP(R29,密度!$A$2:$A$50,密度!$C$2:$C$50)</f>
        <v>162105.8504996</v>
      </c>
      <c r="S28" s="91" ph="1">
        <f>S27*35.891*LOOKUP(S29,密度!$A$2:$A$50,密度!$B$2:$B$50)</f>
        <v>57486.474725100008</v>
      </c>
      <c r="T28" s="91" ph="1">
        <f>T27*35.891*LOOKUP(T29,密度!$A$2:$A$50,密度!$Q$2:$Q$50)</f>
        <v>59680.196531080001</v>
      </c>
      <c r="U28" s="91" ph="1">
        <f>U27*35.891</f>
        <v>204363.35399999999</v>
      </c>
      <c r="V28" s="91" ph="1">
        <f>V27*47.051*LOOKUP(V29,密度!$A$2:$A$50,密度!$B$2:$B$50)</f>
        <v>354778.24125119997</v>
      </c>
      <c r="W28" s="91" ph="1">
        <f>W27*47.051*LOOKUP(W29,密度!$A$2:$A$50,密度!$B$2:$B$50)</f>
        <v>306175.96978119999</v>
      </c>
      <c r="X28" s="91" ph="1">
        <f>X27*47.051*LOOKUP(X29,密度!$A$2:$A$50,密度!$I$2:$I$50)</f>
        <v>173775.669697</v>
      </c>
      <c r="Y28" s="91" ph="1">
        <f>Y27*47.051*LOOKUP(Y29,密度!$A$2:$A$50,密度!$L$2:$L$50)</f>
        <v>290209.43877600005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68" t="s" ph="1">
        <v>180</v>
      </c>
      <c r="D29" s="74">
        <v>25</v>
      </c>
      <c r="E29" s="74">
        <v>25</v>
      </c>
      <c r="F29" s="74">
        <v>27</v>
      </c>
      <c r="G29" s="74">
        <v>27</v>
      </c>
      <c r="H29" s="74">
        <v>27</v>
      </c>
      <c r="I29" s="74">
        <v>27</v>
      </c>
      <c r="J29" s="74">
        <v>27</v>
      </c>
      <c r="K29" s="74">
        <v>30</v>
      </c>
      <c r="L29" s="74">
        <v>28</v>
      </c>
      <c r="M29" s="74">
        <v>26</v>
      </c>
      <c r="N29" s="74">
        <v>26</v>
      </c>
      <c r="O29" s="74">
        <v>26</v>
      </c>
      <c r="P29" s="74">
        <v>27</v>
      </c>
      <c r="Q29" s="93">
        <v>27</v>
      </c>
      <c r="R29" s="74">
        <v>26</v>
      </c>
      <c r="S29" s="74">
        <v>27</v>
      </c>
      <c r="T29" s="74">
        <v>27</v>
      </c>
      <c r="U29" s="74">
        <v>26</v>
      </c>
      <c r="V29" s="74">
        <v>25</v>
      </c>
      <c r="W29" s="74">
        <v>25</v>
      </c>
      <c r="X29" s="74">
        <v>39</v>
      </c>
      <c r="Y29" s="74">
        <v>30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68" t="s" ph="1">
        <v>5</v>
      </c>
      <c r="F32" s="169" t="s" ph="1">
        <v>43</v>
      </c>
      <c r="G32" s="97" t="s" ph="1">
        <v>4</v>
      </c>
      <c r="H32" s="168" t="s" ph="1">
        <v>5</v>
      </c>
      <c r="I32" s="169" t="s" ph="1">
        <v>43</v>
      </c>
      <c r="J32" s="97" t="s" ph="1">
        <v>4</v>
      </c>
      <c r="K32" s="168" t="s" ph="1">
        <v>5</v>
      </c>
      <c r="L32" s="169" t="s" ph="1">
        <v>43</v>
      </c>
      <c r="M32" s="97" t="s" ph="1">
        <v>4</v>
      </c>
      <c r="N32" s="168" t="s" ph="1">
        <v>5</v>
      </c>
      <c r="O32" s="16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8" t="s" ph="1">
        <v>5</v>
      </c>
      <c r="U32" s="99" t="s" ph="1">
        <v>43</v>
      </c>
      <c r="V32" s="97" t="s" ph="1">
        <v>4</v>
      </c>
      <c r="W32" s="168" t="s" ph="1">
        <v>5</v>
      </c>
      <c r="X32" s="99" t="s" ph="1">
        <v>43</v>
      </c>
      <c r="Y32" s="100" t="s" ph="1">
        <v>4</v>
      </c>
      <c r="Z32" s="168" t="s" ph="1">
        <v>5</v>
      </c>
      <c r="AA32" s="169" t="s" ph="1">
        <v>43</v>
      </c>
      <c r="AB32" s="97" t="s" ph="1">
        <v>85</v>
      </c>
      <c r="AC32" s="168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148475.41839840001</v>
      </c>
      <c r="E33" s="217" ph="1">
        <f>M10+I10</f>
        <v>48752.456084399993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21" ph="1">
        <v>0</v>
      </c>
      <c r="H33" s="217" ph="1">
        <f>N19</f>
        <v>23018.104033200001</v>
      </c>
      <c r="I33" s="230" ph="1">
        <v>0</v>
      </c>
      <c r="J33" s="228" ph="1">
        <f>F10+O28</f>
        <v>170586.61392079998</v>
      </c>
      <c r="K33" s="217" ph="1">
        <f>O10+K10+E28+R28</f>
        <v>291734.19530592003</v>
      </c>
      <c r="L33" s="232" ph="1">
        <f>BE27</f>
        <v>7100</v>
      </c>
      <c r="M33" s="228" ph="1">
        <f>G10+H10+W28+S28+V28+E10</f>
        <v>1142844.3061865</v>
      </c>
      <c r="N33" s="217" ph="1">
        <f>L10+P10++G28+H28</f>
        <v>296781.69201419997</v>
      </c>
      <c r="O33" s="230" ph="1">
        <f>BE17</f>
        <v>2270</v>
      </c>
      <c r="P33" s="228" ph="1">
        <f>L19</f>
        <v>41467.573472600001</v>
      </c>
      <c r="Q33" s="217" ph="1">
        <f>J10+N10</f>
        <v>162910.45561980002</v>
      </c>
      <c r="R33" s="230" ph="1">
        <f>BE23</f>
        <v>890</v>
      </c>
      <c r="S33" s="228" ph="1">
        <f>E10+X28</f>
        <v>345109.31259700004</v>
      </c>
      <c r="T33" s="217" ph="1">
        <f>X19</f>
        <v>7254.244608</v>
      </c>
      <c r="U33" s="238" ph="1">
        <f>BE21</f>
        <v>730</v>
      </c>
      <c r="V33" s="249" ph="1">
        <f ca="1">P19+Q19+S19+M28+N28+J28</f>
        <v>386268.36029676796</v>
      </c>
      <c r="W33" s="249" ph="1">
        <f>D28+F28+V19+T28</f>
        <v>113903.30694747201</v>
      </c>
      <c r="X33" s="230" ph="1">
        <f>BE29+BE31</f>
        <v>10200</v>
      </c>
      <c r="Y33" s="251" ph="1">
        <f>+Q10+R10+S10+T10+U10+V10+W10+X10+Y10</f>
        <v>119475.6826032</v>
      </c>
      <c r="Z33" s="236" ph="1">
        <f>D10+T19+U19+Y28+Z10</f>
        <v>527950.61759960011</v>
      </c>
      <c r="AA33" s="238" ph="1">
        <f>BE19</f>
        <v>1440</v>
      </c>
      <c r="AB33" s="240" ph="1">
        <f>I19</f>
        <v>0</v>
      </c>
      <c r="AC33" s="242" ph="1">
        <f>AD10</f>
        <v>64964.913148800006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70" t="s" ph="1">
        <v>186</v>
      </c>
      <c r="AA36" s="170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7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0" t="s" ph="1">
        <v>345</v>
      </c>
      <c r="AI37" s="170" t="s" ph="1">
        <v>212</v>
      </c>
      <c r="AJ37" s="170" t="s" ph="1">
        <v>213</v>
      </c>
      <c r="AK37" s="170" t="s" ph="1">
        <v>214</v>
      </c>
      <c r="AM37" s="170" t="s" ph="1">
        <v>213</v>
      </c>
      <c r="AN37" s="170" t="s" ph="1">
        <v>214</v>
      </c>
      <c r="AO37" s="170" t="s" ph="1">
        <v>215</v>
      </c>
      <c r="AP37" s="170" t="s" ph="1">
        <v>213</v>
      </c>
      <c r="AQ37" s="170" t="s" ph="1">
        <v>214</v>
      </c>
      <c r="AR37" s="170" t="s" ph="1">
        <v>215</v>
      </c>
      <c r="AS37" s="170" t="s" ph="1">
        <v>213</v>
      </c>
      <c r="AT37" s="170" t="s" ph="1">
        <v>214</v>
      </c>
      <c r="AU37" s="170" t="s" ph="1">
        <v>215</v>
      </c>
      <c r="AV37" s="170" t="s" ph="1">
        <v>213</v>
      </c>
      <c r="AW37" s="170" t="s" ph="1">
        <v>214</v>
      </c>
      <c r="AX37" s="170" t="s" ph="1">
        <v>215</v>
      </c>
      <c r="AY37" s="170" t="s" ph="1">
        <v>214</v>
      </c>
      <c r="AZ37" s="170" t="s" ph="1">
        <v>216</v>
      </c>
      <c r="BD37" s="170" t="s" ph="1">
        <v>308</v>
      </c>
      <c r="BE37" s="170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503" priority="96">
      <formula>ABS(D$7-D$10)&gt;=1000</formula>
    </cfRule>
  </conditionalFormatting>
  <conditionalFormatting sqref="E4 E6:E11">
    <cfRule type="expression" dxfId="502" priority="95">
      <formula>ABS(E$7-E$10)&gt;=1000</formula>
    </cfRule>
  </conditionalFormatting>
  <conditionalFormatting sqref="F4:F11">
    <cfRule type="expression" dxfId="501" priority="94">
      <formula>ABS(F$7-F$10)&gt;=1000</formula>
    </cfRule>
  </conditionalFormatting>
  <conditionalFormatting sqref="G4:G11">
    <cfRule type="expression" dxfId="500" priority="93">
      <formula>ABS(G$7-G$10)&gt;=1000</formula>
    </cfRule>
  </conditionalFormatting>
  <conditionalFormatting sqref="H4:H11">
    <cfRule type="expression" dxfId="499" priority="92">
      <formula>ABS(H$7-H$10)&gt;=1000</formula>
    </cfRule>
  </conditionalFormatting>
  <conditionalFormatting sqref="I4:I11">
    <cfRule type="expression" dxfId="498" priority="91">
      <formula>ABS(I$7-I$10)&gt;=1000</formula>
    </cfRule>
  </conditionalFormatting>
  <conditionalFormatting sqref="J4:J11">
    <cfRule type="expression" dxfId="497" priority="90">
      <formula>ABS(J$7-J$10)&gt;=1000</formula>
    </cfRule>
  </conditionalFormatting>
  <conditionalFormatting sqref="K4:K11">
    <cfRule type="expression" dxfId="496" priority="89">
      <formula>ABS(K$7-K$10)&gt;=1000</formula>
    </cfRule>
  </conditionalFormatting>
  <conditionalFormatting sqref="L4:L11">
    <cfRule type="expression" dxfId="495" priority="88">
      <formula>ABS(L$7-L$10)&gt;=1000</formula>
    </cfRule>
  </conditionalFormatting>
  <conditionalFormatting sqref="M4 M6:M11">
    <cfRule type="expression" dxfId="494" priority="87">
      <formula>ABS(M$7-M$10)&gt;=1000</formula>
    </cfRule>
  </conditionalFormatting>
  <conditionalFormatting sqref="N4 N6:N11">
    <cfRule type="expression" dxfId="493" priority="86">
      <formula>ABS(N$7-N$10)&gt;=1000</formula>
    </cfRule>
  </conditionalFormatting>
  <conditionalFormatting sqref="O4 O6:O11">
    <cfRule type="expression" dxfId="492" priority="85">
      <formula>ABS(O$7-O$10)&gt;=1000</formula>
    </cfRule>
  </conditionalFormatting>
  <conditionalFormatting sqref="P4 P6:P11">
    <cfRule type="expression" dxfId="491" priority="84">
      <formula>ABS(P$7-P$10)&gt;=1000</formula>
    </cfRule>
  </conditionalFormatting>
  <conditionalFormatting sqref="Q4:Q11">
    <cfRule type="expression" dxfId="490" priority="83">
      <formula>ABS(Q$7-Q$10)&gt;=1000</formula>
    </cfRule>
  </conditionalFormatting>
  <conditionalFormatting sqref="R4:R11">
    <cfRule type="expression" dxfId="489" priority="82">
      <formula>ABS(R$7-R$10)&gt;=1000</formula>
    </cfRule>
  </conditionalFormatting>
  <conditionalFormatting sqref="S4:S11">
    <cfRule type="expression" dxfId="488" priority="81">
      <formula>ABS(S$7-S$10)&gt;=1000</formula>
    </cfRule>
  </conditionalFormatting>
  <conditionalFormatting sqref="T4:T9 T11">
    <cfRule type="expression" dxfId="487" priority="80">
      <formula>ABS(T$7-T$10)&gt;=1000</formula>
    </cfRule>
  </conditionalFormatting>
  <conditionalFormatting sqref="U4:U9 U11">
    <cfRule type="expression" dxfId="486" priority="79">
      <formula>ABS(U$7-U$10)&gt;=1000</formula>
    </cfRule>
  </conditionalFormatting>
  <conditionalFormatting sqref="V4:V9 V11">
    <cfRule type="expression" dxfId="485" priority="78">
      <formula>ABS(V$7-V$10)&gt;=1000</formula>
    </cfRule>
  </conditionalFormatting>
  <conditionalFormatting sqref="W4:W9 W11">
    <cfRule type="expression" dxfId="484" priority="77">
      <formula>ABS(W$7-W$10)&gt;=1000</formula>
    </cfRule>
  </conditionalFormatting>
  <conditionalFormatting sqref="X4:X9 X11">
    <cfRule type="expression" dxfId="483" priority="76">
      <formula>ABS(X$7-X$10)&gt;=1000</formula>
    </cfRule>
  </conditionalFormatting>
  <conditionalFormatting sqref="Y4:Y9 Y11">
    <cfRule type="expression" dxfId="482" priority="75">
      <formula>ABS(Y$7-Y$10)&gt;=1000</formula>
    </cfRule>
  </conditionalFormatting>
  <conditionalFormatting sqref="Z4:Z11">
    <cfRule type="expression" dxfId="481" priority="74">
      <formula>ABS(Z$7-Z$10)&gt;=1000</formula>
    </cfRule>
  </conditionalFormatting>
  <conditionalFormatting sqref="AA4:AA11">
    <cfRule type="expression" dxfId="480" priority="73">
      <formula>ABS(AA$7-AA$10)&gt;=1000</formula>
    </cfRule>
  </conditionalFormatting>
  <conditionalFormatting sqref="AB4:AB11">
    <cfRule type="expression" dxfId="479" priority="72">
      <formula>ABS(AB$7-AB$10)&gt;=1000</formula>
    </cfRule>
  </conditionalFormatting>
  <conditionalFormatting sqref="AC4 AC6:AC11">
    <cfRule type="expression" dxfId="478" priority="71">
      <formula>ABS(AC$7-AC$10)&gt;=1000</formula>
    </cfRule>
  </conditionalFormatting>
  <conditionalFormatting sqref="AD4:AD11">
    <cfRule type="expression" dxfId="477" priority="70">
      <formula>ABS(AD$7-AD$10)&gt;=1000</formula>
    </cfRule>
  </conditionalFormatting>
  <conditionalFormatting sqref="AE4:AE11">
    <cfRule type="expression" dxfId="476" priority="69">
      <formula>ABS(AE$7-AE$10)&gt;=1000</formula>
    </cfRule>
  </conditionalFormatting>
  <conditionalFormatting sqref="D13:D20">
    <cfRule type="expression" dxfId="475" priority="68">
      <formula>ABS(D$16-D$19)&gt;=1000</formula>
    </cfRule>
  </conditionalFormatting>
  <conditionalFormatting sqref="E13:E20">
    <cfRule type="expression" dxfId="474" priority="67">
      <formula>ABS(E$16-E$19)&gt;=1000</formula>
    </cfRule>
  </conditionalFormatting>
  <conditionalFormatting sqref="F13 F15:F20">
    <cfRule type="expression" dxfId="473" priority="66">
      <formula>ABS(F$16-F$19)&gt;=1000</formula>
    </cfRule>
  </conditionalFormatting>
  <conditionalFormatting sqref="G13:G20">
    <cfRule type="expression" dxfId="472" priority="65">
      <formula>ABS(G$16-G$19)&gt;=1000</formula>
    </cfRule>
  </conditionalFormatting>
  <conditionalFormatting sqref="H13:H20">
    <cfRule type="expression" dxfId="471" priority="64">
      <formula>ABS(H$16-H$19)&gt;=1000</formula>
    </cfRule>
  </conditionalFormatting>
  <conditionalFormatting sqref="I13:I20">
    <cfRule type="expression" dxfId="470" priority="63">
      <formula>ABS(I$16-I$19)&gt;=1000</formula>
    </cfRule>
  </conditionalFormatting>
  <conditionalFormatting sqref="J13:J20">
    <cfRule type="expression" dxfId="469" priority="62">
      <formula>ABS(J$16-J$19)&gt;=1000</formula>
    </cfRule>
  </conditionalFormatting>
  <conditionalFormatting sqref="L13:L20">
    <cfRule type="expression" dxfId="468" priority="61">
      <formula>ABS(L$16-L$19)&gt;=1000</formula>
    </cfRule>
  </conditionalFormatting>
  <conditionalFormatting sqref="M13 M15 M17:M18 M20">
    <cfRule type="expression" dxfId="467" priority="60">
      <formula>ABS(M$16-M$19)&gt;=1000</formula>
    </cfRule>
  </conditionalFormatting>
  <conditionalFormatting sqref="N13:N20">
    <cfRule type="expression" dxfId="466" priority="59">
      <formula>ABS(N$16-N$19)&gt;=1000</formula>
    </cfRule>
  </conditionalFormatting>
  <conditionalFormatting sqref="O13:O20">
    <cfRule type="expression" dxfId="465" priority="58">
      <formula>ABS(O$16-O$19)&gt;=1000</formula>
    </cfRule>
  </conditionalFormatting>
  <conditionalFormatting sqref="P13:P20">
    <cfRule type="expression" dxfId="464" priority="57">
      <formula>ABS(P$16-P$19)&gt;=1000</formula>
    </cfRule>
  </conditionalFormatting>
  <conditionalFormatting sqref="Q13 Q15:Q20">
    <cfRule type="expression" dxfId="463" priority="56">
      <formula>ABS(Q$16-Q$19)&gt;=1000</formula>
    </cfRule>
  </conditionalFormatting>
  <conditionalFormatting sqref="R13:R20">
    <cfRule type="expression" dxfId="462" priority="55">
      <formula>ABS(R$16-R$19)&gt;=1000</formula>
    </cfRule>
  </conditionalFormatting>
  <conditionalFormatting sqref="S13:S20">
    <cfRule type="expression" dxfId="461" priority="54">
      <formula>ABS(S$16-S$19)&gt;=1000</formula>
    </cfRule>
  </conditionalFormatting>
  <conditionalFormatting sqref="T13:T20">
    <cfRule type="expression" dxfId="460" priority="53">
      <formula>ABS(T$16-T$19)&gt;=1000</formula>
    </cfRule>
  </conditionalFormatting>
  <conditionalFormatting sqref="U13:U20">
    <cfRule type="expression" dxfId="459" priority="52">
      <formula>ABS(U$16-U$19)&gt;=1000</formula>
    </cfRule>
  </conditionalFormatting>
  <conditionalFormatting sqref="V13:V20">
    <cfRule type="expression" dxfId="458" priority="51">
      <formula>ABS(V$16-V$19)&gt;=1000</formula>
    </cfRule>
  </conditionalFormatting>
  <conditionalFormatting sqref="W13 W20 W15:W18">
    <cfRule type="expression" dxfId="457" priority="50">
      <formula>ABS(W$16-W$19)&gt;=1000</formula>
    </cfRule>
  </conditionalFormatting>
  <conditionalFormatting sqref="X13 X15:X20 Y19">
    <cfRule type="expression" dxfId="456" priority="49">
      <formula>ABS(X$16-X$19)&gt;=1000</formula>
    </cfRule>
  </conditionalFormatting>
  <conditionalFormatting sqref="Y13 Y15:Y18 Y20">
    <cfRule type="expression" dxfId="455" priority="48">
      <formula>ABS(Y$16-Y$19)&gt;=1000</formula>
    </cfRule>
  </conditionalFormatting>
  <conditionalFormatting sqref="Z13:Z20">
    <cfRule type="expression" dxfId="454" priority="47">
      <formula>ABS(Z$16-Z$19)&gt;=1000</formula>
    </cfRule>
  </conditionalFormatting>
  <conditionalFormatting sqref="AA13:AA20">
    <cfRule type="expression" dxfId="453" priority="46">
      <formula>ABS(AA$16-AA$19)&gt;=1000</formula>
    </cfRule>
  </conditionalFormatting>
  <conditionalFormatting sqref="AB13 AB15:AB20">
    <cfRule type="expression" dxfId="452" priority="45">
      <formula>ABS(AB$16-AB$19)&gt;=1000</formula>
    </cfRule>
  </conditionalFormatting>
  <conditionalFormatting sqref="AC13 AC15:AC20">
    <cfRule type="expression" dxfId="451" priority="44">
      <formula>ABS(AC$16-AC$19)&gt;=1000</formula>
    </cfRule>
  </conditionalFormatting>
  <conditionalFormatting sqref="AD13:AD20">
    <cfRule type="expression" dxfId="450" priority="43">
      <formula>ABS(AD$16-AD$19)&gt;=1000</formula>
    </cfRule>
  </conditionalFormatting>
  <conditionalFormatting sqref="AE13:AE20">
    <cfRule type="expression" dxfId="449" priority="42">
      <formula>ABS(AE$16-AE$19)&gt;=1000</formula>
    </cfRule>
  </conditionalFormatting>
  <conditionalFormatting sqref="D22:D29">
    <cfRule type="expression" dxfId="448" priority="41">
      <formula>ABS(D$25-D$28)&gt;=1000</formula>
    </cfRule>
  </conditionalFormatting>
  <conditionalFormatting sqref="E22:E29">
    <cfRule type="expression" dxfId="447" priority="40">
      <formula>ABS(E$25-E$28)&gt;=1000</formula>
    </cfRule>
  </conditionalFormatting>
  <conditionalFormatting sqref="F22:F29">
    <cfRule type="expression" dxfId="446" priority="39">
      <formula>ABS(F$25-F$28)&gt;=1000</formula>
    </cfRule>
  </conditionalFormatting>
  <conditionalFormatting sqref="G22:G29">
    <cfRule type="expression" dxfId="445" priority="38">
      <formula>ABS(G$25-G$28)&gt;=1000</formula>
    </cfRule>
  </conditionalFormatting>
  <conditionalFormatting sqref="H22:H29">
    <cfRule type="expression" dxfId="444" priority="37">
      <formula>ABS(H$25-H$28)&gt;=1000</formula>
    </cfRule>
  </conditionalFormatting>
  <conditionalFormatting sqref="I22 I24:I29">
    <cfRule type="expression" dxfId="443" priority="36">
      <formula>ABS(I$25-I$28)&gt;=1000</formula>
    </cfRule>
  </conditionalFormatting>
  <conditionalFormatting sqref="J22:J29 K22">
    <cfRule type="expression" dxfId="442" priority="35">
      <formula>ABS(J$25-J$28)&gt;=1000</formula>
    </cfRule>
  </conditionalFormatting>
  <conditionalFormatting sqref="K23:K29 L25 L28">
    <cfRule type="expression" dxfId="441" priority="34">
      <formula>ABS(K$25-K$28)&gt;=1000</formula>
    </cfRule>
  </conditionalFormatting>
  <conditionalFormatting sqref="L22:L24 L26:L27 L29">
    <cfRule type="expression" dxfId="440" priority="33">
      <formula>ABS(L$25-L$28)&gt;=1000</formula>
    </cfRule>
  </conditionalFormatting>
  <conditionalFormatting sqref="M22:M29">
    <cfRule type="expression" dxfId="439" priority="32">
      <formula>ABS(M$25-M$28)&gt;=1000</formula>
    </cfRule>
  </conditionalFormatting>
  <conditionalFormatting sqref="N22:N29">
    <cfRule type="expression" dxfId="438" priority="31">
      <formula>ABS(N$25-N$28)&gt;=1000</formula>
    </cfRule>
  </conditionalFormatting>
  <conditionalFormatting sqref="O22:O29">
    <cfRule type="expression" dxfId="437" priority="30">
      <formula>ABS(O$25-O$28)&gt;=1000</formula>
    </cfRule>
  </conditionalFormatting>
  <conditionalFormatting sqref="P22:P29">
    <cfRule type="expression" dxfId="436" priority="29">
      <formula>ABS(P$25-P$28)&gt;=1000</formula>
    </cfRule>
  </conditionalFormatting>
  <conditionalFormatting sqref="Q22:Q29">
    <cfRule type="expression" dxfId="435" priority="28">
      <formula>ABS(Q$25-Q$28)&gt;=1000</formula>
    </cfRule>
  </conditionalFormatting>
  <conditionalFormatting sqref="R22:R29">
    <cfRule type="expression" dxfId="434" priority="27">
      <formula>ABS(R$25-R$28)&gt;=1000</formula>
    </cfRule>
  </conditionalFormatting>
  <conditionalFormatting sqref="S22:S29">
    <cfRule type="expression" dxfId="433" priority="26">
      <formula>ABS(S$25-S$28)&gt;=1000</formula>
    </cfRule>
  </conditionalFormatting>
  <conditionalFormatting sqref="T22:T29">
    <cfRule type="expression" dxfId="432" priority="25">
      <formula>ABS(T$25-T$28)&gt;=1000</formula>
    </cfRule>
  </conditionalFormatting>
  <conditionalFormatting sqref="U22:U29">
    <cfRule type="expression" dxfId="431" priority="24">
      <formula>ABS(U$25-U$28)&gt;=1000</formula>
    </cfRule>
  </conditionalFormatting>
  <conditionalFormatting sqref="V22:V29">
    <cfRule type="expression" dxfId="430" priority="23">
      <formula>ABS(V$25-V$28)&gt;=1000</formula>
    </cfRule>
  </conditionalFormatting>
  <conditionalFormatting sqref="W22:W29">
    <cfRule type="expression" dxfId="429" priority="22">
      <formula>ABS(W$25-W$28)&gt;=1000</formula>
    </cfRule>
  </conditionalFormatting>
  <conditionalFormatting sqref="X22:X29">
    <cfRule type="expression" dxfId="428" priority="21">
      <formula>ABS(X$25-X$28)&gt;=1000</formula>
    </cfRule>
  </conditionalFormatting>
  <conditionalFormatting sqref="Y22:Y29">
    <cfRule type="expression" dxfId="427" priority="20">
      <formula>ABS(Y$25-Y$28)&gt;=1000</formula>
    </cfRule>
  </conditionalFormatting>
  <conditionalFormatting sqref="I23">
    <cfRule type="expression" dxfId="426" priority="19">
      <formula>ABS(I$25-I$28)&gt;=1000</formula>
    </cfRule>
  </conditionalFormatting>
  <conditionalFormatting sqref="F14">
    <cfRule type="expression" dxfId="425" priority="18">
      <formula>ABS(F$16-F$19)&gt;=1000</formula>
    </cfRule>
  </conditionalFormatting>
  <conditionalFormatting sqref="Q14">
    <cfRule type="expression" dxfId="424" priority="17">
      <formula>ABS(Q$16-Q$19)&gt;=1000</formula>
    </cfRule>
  </conditionalFormatting>
  <conditionalFormatting sqref="W14">
    <cfRule type="expression" dxfId="423" priority="16">
      <formula>ABS(W$16-W$19)&gt;=1000</formula>
    </cfRule>
  </conditionalFormatting>
  <conditionalFormatting sqref="Y14">
    <cfRule type="expression" dxfId="422" priority="15">
      <formula>ABS(Y$16-Y$19)&gt;=1000</formula>
    </cfRule>
  </conditionalFormatting>
  <conditionalFormatting sqref="X14">
    <cfRule type="expression" dxfId="421" priority="14">
      <formula>ABS(X$16-X$19)&gt;=1000</formula>
    </cfRule>
  </conditionalFormatting>
  <conditionalFormatting sqref="T10:Y10">
    <cfRule type="expression" dxfId="420" priority="13">
      <formula>ABS(T$7-T$10)&gt;=1000</formula>
    </cfRule>
  </conditionalFormatting>
  <conditionalFormatting sqref="W19">
    <cfRule type="expression" dxfId="419" priority="12">
      <formula>ABS(W$16-W$19)&gt;=1000</formula>
    </cfRule>
  </conditionalFormatting>
  <conditionalFormatting sqref="AC5">
    <cfRule type="expression" dxfId="418" priority="11">
      <formula>ABS(AC$7-AC$10)&gt;=1000</formula>
    </cfRule>
  </conditionalFormatting>
  <conditionalFormatting sqref="M14">
    <cfRule type="expression" dxfId="417" priority="10">
      <formula>ABS(M$16-M$19)&gt;=1000</formula>
    </cfRule>
  </conditionalFormatting>
  <conditionalFormatting sqref="M16">
    <cfRule type="expression" dxfId="416" priority="9">
      <formula>ABS(M$16-M$19)&gt;=1000</formula>
    </cfRule>
  </conditionalFormatting>
  <conditionalFormatting sqref="M19">
    <cfRule type="expression" dxfId="415" priority="8">
      <formula>ABS(M$16-M$19)&gt;=1000</formula>
    </cfRule>
  </conditionalFormatting>
  <conditionalFormatting sqref="K13:K20">
    <cfRule type="expression" dxfId="414" priority="7">
      <formula>ABS(K$16-K$19)&gt;=1000</formula>
    </cfRule>
  </conditionalFormatting>
  <conditionalFormatting sqref="E5">
    <cfRule type="expression" dxfId="413" priority="6">
      <formula>ABS(E$7-E$10)&gt;=1000</formula>
    </cfRule>
  </conditionalFormatting>
  <conditionalFormatting sqref="AB14:AC14">
    <cfRule type="expression" dxfId="412" priority="5">
      <formula>ABS(AB$16-AB$19)&gt;=1000</formula>
    </cfRule>
  </conditionalFormatting>
  <conditionalFormatting sqref="M5">
    <cfRule type="expression" dxfId="411" priority="4">
      <formula>ABS(M$7-M$10)&gt;=1000</formula>
    </cfRule>
  </conditionalFormatting>
  <conditionalFormatting sqref="N5">
    <cfRule type="expression" dxfId="410" priority="3">
      <formula>ABS(N$7-N$10)&gt;=1000</formula>
    </cfRule>
  </conditionalFormatting>
  <conditionalFormatting sqref="O5">
    <cfRule type="expression" dxfId="409" priority="2">
      <formula>ABS(O$7-O$10)&gt;=1000</formula>
    </cfRule>
  </conditionalFormatting>
  <conditionalFormatting sqref="P5">
    <cfRule type="expression" dxfId="408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09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3">
    <pageSetUpPr fitToPage="1"/>
  </sheetPr>
  <dimension ref="A1:CU223"/>
  <sheetViews>
    <sheetView view="pageBreakPreview" topLeftCell="A19" zoomScale="80" zoomScaleNormal="100" zoomScaleSheetLayoutView="80" workbookViewId="0">
      <selection activeCell="H27" sqref="H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45775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73" t="s" ph="1">
        <v>178</v>
      </c>
      <c r="D6" s="71">
        <v>4180</v>
      </c>
      <c r="E6" s="71">
        <v>4269</v>
      </c>
      <c r="F6" s="71">
        <v>4636</v>
      </c>
      <c r="G6" s="71">
        <v>3110</v>
      </c>
      <c r="H6" s="71">
        <v>8084</v>
      </c>
      <c r="I6" s="71">
        <v>5.1100000000000003</v>
      </c>
      <c r="J6" s="71">
        <v>7.92</v>
      </c>
      <c r="K6" s="71">
        <v>74.209999999999994</v>
      </c>
      <c r="L6" s="71">
        <v>30.7</v>
      </c>
      <c r="M6" s="71">
        <v>1382</v>
      </c>
      <c r="N6" s="71">
        <v>6932</v>
      </c>
      <c r="O6" s="71">
        <v>4289</v>
      </c>
      <c r="P6" s="71">
        <v>404</v>
      </c>
      <c r="Q6" s="71">
        <v>0</v>
      </c>
      <c r="R6" s="71">
        <v>4931</v>
      </c>
      <c r="S6" s="71">
        <v>6699</v>
      </c>
      <c r="T6" s="71">
        <v>5746</v>
      </c>
      <c r="U6" s="71">
        <v>0</v>
      </c>
      <c r="V6" s="71">
        <v>0</v>
      </c>
      <c r="W6" s="71">
        <v>0</v>
      </c>
      <c r="X6" s="71">
        <v>0</v>
      </c>
      <c r="Y6" s="71">
        <v>1</v>
      </c>
      <c r="Z6" s="71">
        <v>3784</v>
      </c>
      <c r="AA6" s="71">
        <v>2168</v>
      </c>
      <c r="AB6" s="71">
        <v>3521</v>
      </c>
      <c r="AC6" s="71">
        <v>5881</v>
      </c>
      <c r="AD6" s="71">
        <v>3301</v>
      </c>
      <c r="AE6" s="71">
        <v>4042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131418.76950180001</v>
      </c>
      <c r="E7" s="73" ph="1">
        <f>E6*51.53*LOOKUP(E8,密度!$A$2:$A$50,密度!$B$2:$B$50)</f>
        <v>172289.56562400001</v>
      </c>
      <c r="F7" s="73" ph="1">
        <f>F6*33.183*LOOKUP(F8,密度!$A$2:$A$50,密度!$C$2:$C$50)</f>
        <v>170819.9252352</v>
      </c>
      <c r="G7" s="73" ph="1">
        <f xml:space="preserve"> (G6+2)*51.53*LOOKUP(G8,密度!$A$2:$A$50,密度!$B$2:$B$50)</f>
        <v>125162.04148000001</v>
      </c>
      <c r="H7" s="73" ph="1">
        <f>(H6)*51.53*LOOKUP(H8,密度!$A$2:$A$50,密度!$B$2:$B$50)</f>
        <v>327589.48412799998</v>
      </c>
      <c r="I7" s="73" ph="1">
        <f>I6*290.8*1.0267</f>
        <v>1525.6638796</v>
      </c>
      <c r="J7" s="73" ph="1">
        <f>J6*290.8*0.7892</f>
        <v>1817.6349312</v>
      </c>
      <c r="K7" s="73" ph="1">
        <f>K6*290.8*1.1126</f>
        <v>24010.206176800002</v>
      </c>
      <c r="L7" s="73" ph="1">
        <f>L6*290.8*0.777</f>
        <v>6936.7141199999996</v>
      </c>
      <c r="M7" s="73" ph="1">
        <f>M6*33.183*LOOKUP(M8,密度!$A$2:$A$50,密度!$D$2:$D$50)</f>
        <v>47170.470711599999</v>
      </c>
      <c r="N7" s="73" ph="1">
        <f>N6*33.183*LOOKUP(N8,密度!$A$2:$A$50,密度!$E$2:$E$50)</f>
        <v>180155.23225920001</v>
      </c>
      <c r="O7" s="73" ph="1">
        <f>O6*20.428*LOOKUP(O8,密度!$A$2:$A$50,密度!$C$2:$C$50)</f>
        <v>96955.524767200011</v>
      </c>
      <c r="P7" s="73" ph="1">
        <f>P6*51.53*LOOKUP(P8,密度!$A$2:$A$50,密度!$B$2:$B$50)</f>
        <v>16323.487891999999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32519.963737800004</v>
      </c>
      <c r="S7" s="73" ph="1">
        <f>S6*1.5*1.5*3.1416*LOOKUP(S8,密度!$A$2:$A$50,密度!$L$2:$L$50)</f>
        <v>44795.513624399995</v>
      </c>
      <c r="T7" s="73" ph="1">
        <f>T6*1.5*1.5*3.1416*LOOKUP(T8,密度!$A$2:$A$50,密度!$L$2:$L$50)</f>
        <v>38301.053590800002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6.6444839999999994</v>
      </c>
      <c r="Z7" s="73" ph="1">
        <f>Z6*33.183*LOOKUP(Z8,密度!$A$2:$A$50,密度!$L$2:$L$50)</f>
        <v>118156.16815199998</v>
      </c>
      <c r="AA7" s="73" ph="1">
        <f>AA6*33.183*LOOKUP(AA8,密度!$A$2:$A$50,密度!$D$2:$D$50)</f>
        <v>73926.308534400014</v>
      </c>
      <c r="AB7" s="73" ph="1">
        <f>AB6*20.428*LOOKUP(AB8,密度!$A$2:$A$50,密度!$D$2:$D$50)</f>
        <v>74868.801809199998</v>
      </c>
      <c r="AC7" s="73" ph="1">
        <f>AC6*51.53*LOOKUP(AC8,密度!$A$2:$A$50,密度!$Q$2:$Q$50)</f>
        <v>287619.7598837</v>
      </c>
      <c r="AD7" s="73" ph="1">
        <f>AD6*20.428*LOOKUP(AD8,密度!$A$2:$A$50,密度!$V$2:$V$50)</f>
        <v>64789.46114240001</v>
      </c>
      <c r="AE7" s="73" ph="1">
        <f>AE6*20.428</f>
        <v>82569.97600000001</v>
      </c>
    </row>
    <row r="8" spans="1:99" ph="1">
      <c r="B8" s="195" ph="1"/>
      <c r="C8" s="68" t="s" ph="1">
        <v>180</v>
      </c>
      <c r="D8" s="74">
        <v>24</v>
      </c>
      <c r="E8" s="74">
        <v>21</v>
      </c>
      <c r="F8" s="74">
        <v>23</v>
      </c>
      <c r="G8" s="74">
        <v>24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28</v>
      </c>
      <c r="P8" s="74">
        <v>20</v>
      </c>
      <c r="Q8" s="74">
        <v>21</v>
      </c>
      <c r="R8" s="74">
        <v>29</v>
      </c>
      <c r="S8" s="74">
        <v>16</v>
      </c>
      <c r="T8" s="74">
        <v>19</v>
      </c>
      <c r="U8" s="74">
        <v>23</v>
      </c>
      <c r="V8" s="74">
        <v>28</v>
      </c>
      <c r="W8" s="74">
        <v>23</v>
      </c>
      <c r="X8" s="74">
        <v>15</v>
      </c>
      <c r="Y8" s="74">
        <v>22</v>
      </c>
      <c r="Z8" s="74">
        <v>21</v>
      </c>
      <c r="AA8" s="74">
        <v>24</v>
      </c>
      <c r="AB8" s="74">
        <v>9</v>
      </c>
      <c r="AC8" s="74">
        <v>22</v>
      </c>
      <c r="AD8" s="74">
        <v>24</v>
      </c>
      <c r="AE8" s="74">
        <v>28</v>
      </c>
    </row>
    <row r="9" spans="1:99" ht="26.4" ph="1">
      <c r="B9" s="195" ph="1">
        <v>0.66666666666666663</v>
      </c>
      <c r="C9" s="173" t="s" ph="1">
        <v>181</v>
      </c>
      <c r="D9" s="71">
        <v>4176</v>
      </c>
      <c r="E9" s="71">
        <v>4262</v>
      </c>
      <c r="F9" s="71">
        <v>4633</v>
      </c>
      <c r="G9" s="71">
        <v>2813</v>
      </c>
      <c r="H9" s="71">
        <v>8080</v>
      </c>
      <c r="I9" s="71">
        <v>5.01</v>
      </c>
      <c r="J9" s="71">
        <v>7.92</v>
      </c>
      <c r="K9" s="71">
        <v>7.42</v>
      </c>
      <c r="L9" s="71">
        <v>42.51</v>
      </c>
      <c r="M9" s="71">
        <v>1831</v>
      </c>
      <c r="N9" s="71">
        <v>6928</v>
      </c>
      <c r="O9" s="71">
        <v>3400</v>
      </c>
      <c r="P9" s="71">
        <v>410</v>
      </c>
      <c r="Q9" s="71">
        <v>0</v>
      </c>
      <c r="R9" s="71">
        <v>359</v>
      </c>
      <c r="S9" s="71">
        <v>6698</v>
      </c>
      <c r="T9" s="71">
        <v>7140</v>
      </c>
      <c r="U9" s="71">
        <v>3632</v>
      </c>
      <c r="V9" s="71">
        <v>0</v>
      </c>
      <c r="W9" s="71">
        <v>0</v>
      </c>
      <c r="X9" s="71">
        <v>0</v>
      </c>
      <c r="Y9" s="71">
        <v>1</v>
      </c>
      <c r="Z9" s="71">
        <v>4803</v>
      </c>
      <c r="AA9" s="71">
        <v>2168</v>
      </c>
      <c r="AB9" s="71">
        <v>3519</v>
      </c>
      <c r="AC9" s="71">
        <v>5877</v>
      </c>
      <c r="AD9" s="71">
        <v>3299</v>
      </c>
      <c r="AE9" s="71">
        <v>4052</v>
      </c>
    </row>
    <row r="10" spans="1:99" s="72" customFormat="1" ht="22.2" ph="1">
      <c r="B10" s="195" ph="1"/>
      <c r="C10" s="173" t="s" ph="1">
        <v>179</v>
      </c>
      <c r="D10" s="73" ph="1">
        <f>D9*33.183*LOOKUP(D11,密度!$A$2:$A$50,密度!$Q$2:$Q$50)</f>
        <v>131293.00991376</v>
      </c>
      <c r="E10" s="73" ph="1">
        <f>E9*51.53*LOOKUP(E11,密度!$A$2:$A$50,密度!$B$2:$B$50)</f>
        <v>171611.74000400002</v>
      </c>
      <c r="F10" s="73" ph="1">
        <f>F9*33.183*LOOKUP(F11,密度!$A$2:$A$50,密度!$C$2:$C$50)</f>
        <v>170709.38602560002</v>
      </c>
      <c r="G10" s="73" ph="1">
        <f xml:space="preserve"> (G9+2)*51.53*LOOKUP(G11,密度!$A$2:$A$50,密度!$B$2:$B$50)</f>
        <v>113216.949475</v>
      </c>
      <c r="H10" s="73" ph="1">
        <f>(H9)*51.53*LOOKUP(H11,密度!$A$2:$A$50,密度!$B$2:$B$50)</f>
        <v>327135.93767999997</v>
      </c>
      <c r="I10" s="73" ph="1">
        <f>I9*290.8*1.0267</f>
        <v>1495.8074435999997</v>
      </c>
      <c r="J10" s="73" ph="1">
        <f>J9*290.8*0.7892</f>
        <v>1817.6349312</v>
      </c>
      <c r="K10" s="73" ph="1">
        <f>K9*290.8*1.1126</f>
        <v>2400.6970735999998</v>
      </c>
      <c r="L10" s="73" ph="1">
        <f>L9*290.8*0.777</f>
        <v>9605.2025159999994</v>
      </c>
      <c r="M10" s="73" ph="1">
        <f>M9*33.183*LOOKUP(M11,密度!$A$2:$A$50,密度!$D$2:$D$50)</f>
        <v>62434.995814800001</v>
      </c>
      <c r="N10" s="73" ph="1">
        <f>N9*33.183*LOOKUP(N11,密度!$A$2:$A$50,密度!$E$2:$E$50)</f>
        <v>180051.2765568</v>
      </c>
      <c r="O10" s="73" ph="1">
        <f>O9*20.428*LOOKUP(O11,密度!$A$2:$A$50,密度!$C$2:$C$50)</f>
        <v>76914.688479999997</v>
      </c>
      <c r="P10" s="73" ph="1">
        <f>P9*51.53*LOOKUP(P11,密度!$A$2:$A$50,密度!$B$2:$B$50)</f>
        <v>16546.90136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2367.6063641999999</v>
      </c>
      <c r="S10" s="73" ph="1">
        <f>S9*1.5*1.5*3.1416*LOOKUP(S11,密度!$A$2:$A$50,密度!$L$2:$L$50)</f>
        <v>44788.826728799999</v>
      </c>
      <c r="T10" s="73" ph="1">
        <f>T9*1.5*1.5*3.1416*LOOKUP(T11,密度!$A$2:$A$50,密度!$L$2:$L$50)</f>
        <v>47643.494975999994</v>
      </c>
      <c r="U10" s="73" ph="1">
        <f>U9*1.5*1.5*3.1416*LOOKUP(U11,密度!$A$2:$A$50,密度!$L$2:$L$50)</f>
        <v>24132.765887999998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6.6444839999999994</v>
      </c>
      <c r="Z10" s="73" ph="1">
        <f>Z9*33.183*LOOKUP(Z11,密度!$A$2:$A$50,密度!$L$2:$L$50)</f>
        <v>149815.27205999999</v>
      </c>
      <c r="AA10" s="73" ph="1">
        <f>AA9*33.183*LOOKUP(AA11,密度!$A$2:$A$50,密度!$D$2:$D$50)</f>
        <v>73926.308534400014</v>
      </c>
      <c r="AB10" s="73" ph="1">
        <f>AB9*20.428*LOOKUP(AB11,密度!$A$2:$A$50,密度!$D$2:$D$50)</f>
        <v>74826.27479879999</v>
      </c>
      <c r="AC10" s="73" ph="1">
        <f>AC9*51.53*LOOKUP(AC11,密度!$A$2:$A$50,密度!$Q$2:$Q$50)</f>
        <v>287814.79938779998</v>
      </c>
      <c r="AD10" s="73" ph="1">
        <f>AD9*20.428*LOOKUP(AD11,密度!$A$2:$A$50,密度!$V$2:$V$50)</f>
        <v>64750.206697600006</v>
      </c>
      <c r="AE10" s="73" ph="1">
        <f>AE9*20.428</f>
        <v>82774.256000000008</v>
      </c>
    </row>
    <row r="11" spans="1:99" ph="1">
      <c r="A11" s="64" t="s" ph="1">
        <v>163</v>
      </c>
      <c r="B11" s="195" ph="1"/>
      <c r="C11" s="173" t="s" ph="1">
        <v>180</v>
      </c>
      <c r="D11" s="74">
        <v>24</v>
      </c>
      <c r="E11" s="74">
        <v>23</v>
      </c>
      <c r="F11" s="74">
        <v>23</v>
      </c>
      <c r="G11" s="74">
        <v>24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27</v>
      </c>
      <c r="P11" s="74">
        <v>21</v>
      </c>
      <c r="Q11" s="74">
        <v>22</v>
      </c>
      <c r="R11" s="74">
        <v>29</v>
      </c>
      <c r="S11" s="74">
        <v>16</v>
      </c>
      <c r="T11" s="74">
        <v>18</v>
      </c>
      <c r="U11" s="74">
        <v>22</v>
      </c>
      <c r="V11" s="74">
        <v>28</v>
      </c>
      <c r="W11" s="74">
        <v>24</v>
      </c>
      <c r="X11" s="74">
        <v>15</v>
      </c>
      <c r="Y11" s="74">
        <v>22</v>
      </c>
      <c r="Z11" s="74">
        <v>22</v>
      </c>
      <c r="AA11" s="74">
        <v>24</v>
      </c>
      <c r="AB11" s="74">
        <v>9</v>
      </c>
      <c r="AC11" s="74">
        <v>20</v>
      </c>
      <c r="AD11" s="74">
        <v>24</v>
      </c>
      <c r="AE11" s="74">
        <v>28</v>
      </c>
    </row>
    <row r="12" spans="1:99" ht="9.9" customHeight="1" ph="1"/>
    <row r="13" spans="1:99" s="72" customFormat="1" ht="29.25" customHeight="1" ph="1">
      <c r="B13" s="203" t="s" ph="1">
        <v>37</v>
      </c>
      <c r="C13" s="17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73" t="s" ph="1">
        <v>178</v>
      </c>
      <c r="D15" s="78">
        <v>0</v>
      </c>
      <c r="E15" s="78">
        <v>5255</v>
      </c>
      <c r="F15" s="78">
        <v>2695</v>
      </c>
      <c r="G15" s="78">
        <v>3275</v>
      </c>
      <c r="H15" s="78">
        <v>4519</v>
      </c>
      <c r="I15" s="78">
        <v>0</v>
      </c>
      <c r="J15" s="78">
        <v>46</v>
      </c>
      <c r="K15" s="78">
        <v>710</v>
      </c>
      <c r="L15" s="78">
        <v>4380</v>
      </c>
      <c r="M15" s="78">
        <v>4710</v>
      </c>
      <c r="N15" s="78">
        <v>1518</v>
      </c>
      <c r="O15" s="78">
        <v>57</v>
      </c>
      <c r="P15" s="78">
        <v>6932</v>
      </c>
      <c r="Q15" s="78">
        <v>36</v>
      </c>
      <c r="R15" s="78">
        <v>3506</v>
      </c>
      <c r="S15" s="78">
        <v>6855</v>
      </c>
      <c r="T15" s="78">
        <v>4984</v>
      </c>
      <c r="U15" s="78">
        <v>3089</v>
      </c>
      <c r="V15" s="78">
        <v>5451</v>
      </c>
      <c r="W15" s="71">
        <v>3766</v>
      </c>
      <c r="X15" s="78">
        <v>151</v>
      </c>
      <c r="Y15" s="106">
        <v>-9906</v>
      </c>
      <c r="Z15" s="78">
        <v>0</v>
      </c>
      <c r="AA15" s="78">
        <v>4231</v>
      </c>
      <c r="AB15" s="78" ph="1">
        <v>6908</v>
      </c>
      <c r="AC15" s="78" ph="1">
        <v>989</v>
      </c>
      <c r="AD15" s="78">
        <v>3.2</v>
      </c>
      <c r="AE15" s="78">
        <v>59.6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73" t="s" ph="1">
        <v>179</v>
      </c>
      <c r="D16" s="73" ph="1">
        <f>D15*7.0686*LOOKUP(D17,密度!$A$2:$A$50,密度!$L$2:$L$50)</f>
        <v>0</v>
      </c>
      <c r="E16" s="73" ph="1">
        <f>E15*7.0686*LOOKUP(E17,密度!$A$2:$A$50,密度!$L$2:$L$50)</f>
        <v>34916.763420000003</v>
      </c>
      <c r="F16" s="73" ph="1">
        <f>F15*9.0746*LOOKUP(F17,密度!$A$2:$A$50,密度!$L$2:$L$50)</f>
        <v>23135.420462000002</v>
      </c>
      <c r="G16" s="73" ph="1">
        <f>G15*9.0746*LOOKUP(G17,密度!$A$2:$A$50,密度!$B$2:$B$50)</f>
        <v>23249.4201245</v>
      </c>
      <c r="H16" s="73" ph="1">
        <f>H15*9.0746*LOOKUP(H17,密度!$A$2:$A$50,密度!$L$2:$L$50)</f>
        <v>38629.646590800003</v>
      </c>
      <c r="I16" s="73" ph="1">
        <f>I15*9.0746*LOOKUP(I17,密度!$A$2:$A$50,密度!$U$2:$U$50)</f>
        <v>0</v>
      </c>
      <c r="J16" s="73" ph="1">
        <f>J15*9.0746*LOOKUP(J17,密度!$A$2:$A$50,密度!$L$2:$L$50)</f>
        <v>392.38570399999998</v>
      </c>
      <c r="K16" s="73" ph="1">
        <f>K15*9.0746*LOOKUP(K17,密度!$A$2:$A$50,密度!$C$2:$C$50)</f>
        <v>7163.9338954000013</v>
      </c>
      <c r="L16" s="73" ph="1">
        <f>L15*9.0746*LOOKUP(L17,密度!$A$2:$A$50,密度!$E$2:$E$50)</f>
        <v>31177.349131200001</v>
      </c>
      <c r="M16" s="73" ph="1">
        <f>M15*9.0746*LOOKUP(M17,密度!$A$2:$A$50,密度!$M$2:$M$50)</f>
        <v>37402.969386600002</v>
      </c>
      <c r="N16" s="73" ph="1">
        <f>N15*9.0746*LOOKUP(N17,密度!$A$2:$A$50,密度!$M$2:$M$50)</f>
        <v>12126.34623684</v>
      </c>
      <c r="O16" s="73" ph="1">
        <f>O15*9.0746*LOOKUP(O17,密度!$A$2:$A$50,密度!$G$2:$G$50)</f>
        <v>498.52767036</v>
      </c>
      <c r="P16" s="73" ph="1">
        <f ca="1">P15*9.0746*LOOKUP(P17,密度!$A$2:$A$51,密度!$Q$2:$Q$50)</f>
        <v>59600.720868184006</v>
      </c>
      <c r="Q16" s="73" ph="1">
        <f>Q15*9.0746*LOOKUP(Q17,密度!$A$2:$A$50,密度!$Q$2:$Q$50)</f>
        <v>310.05403610400003</v>
      </c>
      <c r="R16" s="73" ph="1">
        <f>MAX(R15*9.0746*LOOKUP(R17,密度!$A$2:$A$50,密度!$B$2:$B$50),0)</f>
        <v>24860.668894639999</v>
      </c>
      <c r="S16" s="73" ph="1">
        <f>S15*9.0746*LOOKUP(S17,密度!$A$2:$A$50,密度!$Q$2:$Q$50)</f>
        <v>58938.681701010006</v>
      </c>
      <c r="T16" s="73" ph="1">
        <f>T15*9.0746*LOOKUP(T17,密度!$A$2:$A$50,密度!$O$2:$O$50)</f>
        <v>42061.859952000006</v>
      </c>
      <c r="U16" s="73" ph="1">
        <f>U15*9.0746*LOOKUP(U17,密度!$A$2:$A$50,密度!$H$2:$H$50)</f>
        <v>25727.25508132</v>
      </c>
      <c r="V16" s="73" ph="1">
        <f>MAX(5600*LOOKUP(V17,密度!$A$2:$A$50,密度!$Q$2:$Q$50)+V15*9.0476*LOOKUP(V17,密度!$A$2:$A$50,密度!$Q$2:$Q$50),0)</f>
        <v>51954.517903628002</v>
      </c>
      <c r="W16" s="73" ph="1">
        <f>MAX(5600*LOOKUP(W17,密度!$A$2:$A$50,密度!$Q$2:$Q$50)+W15*9.0476*LOOKUP(W17,密度!$A$2:$A$50,密度!$Q$2:$Q$50),0)</f>
        <v>37589.225168151999</v>
      </c>
      <c r="X16" s="73" ph="1">
        <f>MAX(5600*LOOKUP(X17,密度!$A$2:$A$50,密度!$I$2:$I$50)+X15*9.0476*LOOKUP(X17,密度!$A$2:$A$50,密度!$I$2:$I$50),0)</f>
        <v>7282.4525170400011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29967.010744300002</v>
      </c>
      <c r="AB16" s="73" ph="1">
        <f>AB15*9.0746*LOOKUP(AB17,密度!$A$2:$A$50,密度!$L$2:$L$50)</f>
        <v>59051.471265600005</v>
      </c>
      <c r="AC16" s="73" ph="1">
        <f>AC15*9.0746*LOOKUP(AC17,密度!$A$2:$A$50,密度!$L$2:$L$50)</f>
        <v>8409.3682977999997</v>
      </c>
      <c r="AD16" s="73" ph="1">
        <f>AD15*268.68*LOOKUP(AD17,密度!$A$2:$A$50,密度!B2:B50)+IF(AD15&lt;=0,0,1566*LOOKUP(AD17,密度!$A$2:$A$50,密度!B2:B50))</f>
        <v>1891.1349696</v>
      </c>
      <c r="AE16" s="73" ph="1">
        <f>AE15*268.68*LOOKUP(AE17,密度!$A$2:$A$50,密度!B2:B50)+IF(AE15&lt;=0,0,1566*LOOKUP(AE17,密度!$A$2:$A$50,密度!B2:B50))</f>
        <v>13704.8441088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22</v>
      </c>
      <c r="E17" s="74">
        <v>22</v>
      </c>
      <c r="F17" s="74">
        <v>16</v>
      </c>
      <c r="G17" s="74">
        <v>22</v>
      </c>
      <c r="H17" s="74">
        <v>20</v>
      </c>
      <c r="I17" s="74">
        <v>21</v>
      </c>
      <c r="J17" s="74">
        <v>22</v>
      </c>
      <c r="K17" s="74">
        <v>21</v>
      </c>
      <c r="L17" s="74">
        <v>24</v>
      </c>
      <c r="M17" s="74">
        <v>25</v>
      </c>
      <c r="N17" s="74">
        <v>20</v>
      </c>
      <c r="O17" s="74">
        <v>22</v>
      </c>
      <c r="P17" s="74">
        <v>24</v>
      </c>
      <c r="Q17" s="74">
        <v>22</v>
      </c>
      <c r="R17" s="74">
        <v>23</v>
      </c>
      <c r="S17" s="74">
        <v>24</v>
      </c>
      <c r="T17" s="74">
        <v>23</v>
      </c>
      <c r="U17" s="74">
        <v>22</v>
      </c>
      <c r="V17" s="74">
        <v>26</v>
      </c>
      <c r="W17" s="74">
        <v>24</v>
      </c>
      <c r="X17" s="74">
        <v>22</v>
      </c>
      <c r="Y17" s="108">
        <v>22</v>
      </c>
      <c r="Z17" s="74">
        <v>22</v>
      </c>
      <c r="AA17" s="74">
        <v>24</v>
      </c>
      <c r="AB17" s="74">
        <v>20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883</v>
      </c>
      <c r="E18" s="71">
        <v>5252</v>
      </c>
      <c r="F18" s="71">
        <v>2696</v>
      </c>
      <c r="G18" s="71">
        <v>3219</v>
      </c>
      <c r="H18" s="71">
        <v>4517</v>
      </c>
      <c r="I18" s="71">
        <v>2273</v>
      </c>
      <c r="J18" s="71">
        <v>84</v>
      </c>
      <c r="K18" s="71">
        <v>710</v>
      </c>
      <c r="L18" s="71">
        <v>4376</v>
      </c>
      <c r="M18" s="71">
        <v>4708</v>
      </c>
      <c r="N18" s="71">
        <v>1516</v>
      </c>
      <c r="O18" s="71">
        <v>32</v>
      </c>
      <c r="P18" s="71">
        <v>6929</v>
      </c>
      <c r="Q18" s="71">
        <v>33</v>
      </c>
      <c r="R18" s="71">
        <v>3506</v>
      </c>
      <c r="S18" s="71">
        <v>6853</v>
      </c>
      <c r="T18" s="71">
        <v>3749</v>
      </c>
      <c r="U18" s="71">
        <v>4872</v>
      </c>
      <c r="V18" s="71">
        <v>5449</v>
      </c>
      <c r="W18" s="71">
        <v>3765</v>
      </c>
      <c r="X18" s="71">
        <v>150</v>
      </c>
      <c r="Y18" s="109">
        <v>-9906</v>
      </c>
      <c r="Z18" s="71">
        <v>0</v>
      </c>
      <c r="AA18" s="71">
        <v>4299</v>
      </c>
      <c r="AB18" s="71">
        <v>6906</v>
      </c>
      <c r="AC18" s="71">
        <v>988</v>
      </c>
      <c r="AD18" s="71">
        <v>20.91</v>
      </c>
      <c r="AE18" s="71">
        <v>84.72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73" t="s" ph="1">
        <v>179</v>
      </c>
      <c r="D19" s="73" ph="1">
        <f>D18*7.0686*LOOKUP(D20,密度!$A$2:$A$50,密度!$L$2:$L$50)</f>
        <v>5854.5962244000002</v>
      </c>
      <c r="E19" s="73" ph="1">
        <f>E18*7.0686*LOOKUP(E20,密度!$A$2:$A$50,密度!$L$2:$L$50)</f>
        <v>34822.581393599998</v>
      </c>
      <c r="F19" s="73" ph="1">
        <f>F18*9.0746*LOOKUP(F20,密度!$A$2:$A$50,密度!$L$2:$L$50)</f>
        <v>22899.353817600004</v>
      </c>
      <c r="G19" s="73" ph="1">
        <f>G18*9.0746*LOOKUP(G20,密度!$A$2:$A$50,密度!$B$2:$B$50)</f>
        <v>22851.872788019999</v>
      </c>
      <c r="H19" s="73" ph="1">
        <f>H18*9.0746*LOOKUP(H20,密度!$A$2:$A$50,密度!$L$2:$L$50)</f>
        <v>38612.550044399999</v>
      </c>
      <c r="I19" s="73" ph="1">
        <f>I18*9.0746*LOOKUP(I20,密度!$A$2:$A$50,密度!$U$2:$U$50)</f>
        <v>21204.109642400002</v>
      </c>
      <c r="J19" s="73" ph="1">
        <f>J18*9.0746*LOOKUP(J20,密度!$A$2:$A$50,密度!$L$2:$L$50)</f>
        <v>715.00588319999997</v>
      </c>
      <c r="K19" s="73" ph="1">
        <f>K18*9.0746*LOOKUP(K20,密度!$A$2:$A$50,密度!$C$2:$C$50)</f>
        <v>7144.6049974000007</v>
      </c>
      <c r="L19" s="73" ph="1">
        <f>L18*9.0746*LOOKUP(L20,密度!$A$2:$A$50,密度!$E$2:$E$50)</f>
        <v>31101.224126720001</v>
      </c>
      <c r="M19" s="73" ph="1">
        <f>M18*9.0746*LOOKUP(M20,密度!$A$2:$A$50,密度!$M$2:$M$50)</f>
        <v>37387.087021680003</v>
      </c>
      <c r="N19" s="73" ph="1">
        <f>N18*9.0746*LOOKUP(N20,密度!$A$2:$A$50,密度!$M$2:$M$50)</f>
        <v>12078.728180800001</v>
      </c>
      <c r="O19" s="73" ph="1">
        <f>O18*9.0746*LOOKUP(O20,密度!$A$2:$A$50,密度!$G$2:$G$50)</f>
        <v>278.82978944000001</v>
      </c>
      <c r="P19" s="73" ph="1">
        <f ca="1">P18*9.0746*LOOKUP(P20,密度!$A$2:$A$51,密度!$Q$2:$Q$50)</f>
        <v>59529.026264916007</v>
      </c>
      <c r="Q19" s="73" ph="1">
        <f>Q18*9.0746*LOOKUP(Q20,密度!$A$2:$A$50,密度!$Q$2:$Q$50)</f>
        <v>283.73107164599998</v>
      </c>
      <c r="R19" s="73" ph="1">
        <f>MAX(R18*9.0746*LOOKUP(R20,密度!$A$2:$A$50,密度!$B$2:$B$50),0)</f>
        <v>24832.034901800002</v>
      </c>
      <c r="S19" s="73" ph="1">
        <f>S18*9.0746*LOOKUP(S20,密度!$A$2:$A$50,密度!$Q$2:$Q$50)</f>
        <v>58921.485878486004</v>
      </c>
      <c r="T19" s="73" ph="1">
        <f>T18*9.0746*LOOKUP(T20,密度!$A$2:$A$50,密度!$O$2:$O$50)</f>
        <v>31639.228122</v>
      </c>
      <c r="U19" s="73" ph="1">
        <f>U18*9.0746*LOOKUP(U20,密度!$A$2:$A$50,密度!$H$2:$H$50)</f>
        <v>40528.637315040003</v>
      </c>
      <c r="V19" s="73" ph="1">
        <f>MAX(5600*LOOKUP(V20,密度!$A$2:$A$50,密度!$Q$2:$Q$50)+V18*9.0476*LOOKUP(V20,密度!$A$2:$A$50,密度!$Q$2:$Q$50),0)</f>
        <v>51937.39930157199</v>
      </c>
      <c r="W19" s="73" ph="1">
        <f>MAX(5600*LOOKUP(W20,密度!$A$2:$A$50,密度!$Q$2:$Q$50)+W18*9.0476*LOOKUP(W20,密度!$A$2:$A$50,密度!$Q$2:$Q$50),0)</f>
        <v>37551.697962359998</v>
      </c>
      <c r="X19" s="73" ph="1">
        <f>MAX(5600*LOOKUP(X20,密度!$A$2:$A$50,密度!$I$2:$I$50)+X18*9.0476*LOOKUP(X20,密度!$A$2:$A$50,密度!$I$2:$I$50),0)</f>
        <v>7272.9941560000007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30518.857134419999</v>
      </c>
      <c r="AB19" s="73" ph="1">
        <f>AB18*9.0746*LOOKUP(AB20,密度!$A$2:$A$50,密度!$L$2:$L$50)</f>
        <v>58783.697968799999</v>
      </c>
      <c r="AC19" s="73" ph="1">
        <f>AC18*9.0746*LOOKUP(AC20,密度!$A$2:$A$50,密度!$L$2:$L$50)</f>
        <v>8436.7282167999983</v>
      </c>
      <c r="AD19" s="73" ph="1">
        <f>AD18*268.68*LOOKUP(AD20,密度!$A$2:$A$50,密度!B5:B53)+IF(AD18&lt;=0,0,1566*LOOKUP(AD20,密度!$A$2:$A$50,密度!B5:B53))</f>
        <v>5582.0447676000003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24</v>
      </c>
      <c r="E20" s="81">
        <v>24</v>
      </c>
      <c r="F20" s="81">
        <v>26</v>
      </c>
      <c r="G20" s="81">
        <v>22</v>
      </c>
      <c r="H20" s="81">
        <v>20</v>
      </c>
      <c r="I20" s="81">
        <v>21</v>
      </c>
      <c r="J20" s="81">
        <v>24</v>
      </c>
      <c r="K20" s="81">
        <v>25</v>
      </c>
      <c r="L20" s="81">
        <v>25</v>
      </c>
      <c r="M20" s="81">
        <v>25</v>
      </c>
      <c r="N20" s="81">
        <v>22</v>
      </c>
      <c r="O20" s="81">
        <v>25</v>
      </c>
      <c r="P20" s="81">
        <v>25</v>
      </c>
      <c r="Q20" s="81">
        <v>24</v>
      </c>
      <c r="R20" s="81">
        <v>24</v>
      </c>
      <c r="S20" s="81">
        <v>24</v>
      </c>
      <c r="T20" s="81">
        <v>24</v>
      </c>
      <c r="U20" s="81">
        <v>23</v>
      </c>
      <c r="V20" s="81">
        <v>26</v>
      </c>
      <c r="W20" s="81">
        <v>25</v>
      </c>
      <c r="X20" s="81">
        <v>22</v>
      </c>
      <c r="Y20" s="110">
        <v>22</v>
      </c>
      <c r="Z20" s="81">
        <v>24</v>
      </c>
      <c r="AA20" s="81">
        <v>22</v>
      </c>
      <c r="AB20" s="81">
        <v>24</v>
      </c>
      <c r="AC20" s="81">
        <v>21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73" t="s" ph="1">
        <v>178</v>
      </c>
      <c r="D24" s="71">
        <v>3.33</v>
      </c>
      <c r="E24" s="71">
        <v>95.5</v>
      </c>
      <c r="F24" s="71">
        <v>0</v>
      </c>
      <c r="G24" s="71">
        <v>2279</v>
      </c>
      <c r="H24" s="71">
        <v>2809</v>
      </c>
      <c r="I24" s="71">
        <v>3793</v>
      </c>
      <c r="J24" s="71">
        <v>5126</v>
      </c>
      <c r="K24" s="71">
        <v>27</v>
      </c>
      <c r="L24" s="71">
        <v>0</v>
      </c>
      <c r="M24" s="71">
        <v>2563</v>
      </c>
      <c r="N24" s="71">
        <v>5374</v>
      </c>
      <c r="O24" s="71">
        <v>6</v>
      </c>
      <c r="P24" s="71">
        <v>839</v>
      </c>
      <c r="Q24" s="90">
        <v>751</v>
      </c>
      <c r="R24" s="71">
        <v>4074</v>
      </c>
      <c r="S24" s="71">
        <v>2676</v>
      </c>
      <c r="T24" s="71">
        <v>1757</v>
      </c>
      <c r="U24" s="71">
        <v>5271</v>
      </c>
      <c r="V24" s="71">
        <v>9654</v>
      </c>
      <c r="W24" s="71">
        <v>8336</v>
      </c>
      <c r="X24" s="71">
        <v>3591</v>
      </c>
      <c r="Y24" s="71">
        <v>6597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30189.735966000004</v>
      </c>
      <c r="F25" s="91" ph="1">
        <f>F24*11.702*LOOKUP(F26,密度!$A$2:$A$50,密度!$Q$2:$Q$50)</f>
        <v>0</v>
      </c>
      <c r="G25" s="91" ph="1">
        <f>G24*18.322*LOOKUP(G26,密度!$A$2:$A$50,密度!$B$2:$B$50)</f>
        <v>32740.752575799997</v>
      </c>
      <c r="H25" s="91" ph="1">
        <f>H24*18.322*LOOKUP(H26,密度!$A$2:$A$50,密度!$B$2:$B$50)</f>
        <v>40308.561233599998</v>
      </c>
      <c r="I25" s="91" ph="1">
        <f>I24*18.322*LOOKUP(I26,密度!$A$2:$A$50,密度!$Q$2:$Q$50)</f>
        <v>66046.986931479987</v>
      </c>
      <c r="J25" s="91" ph="1">
        <f>J24*18.322*LOOKUP(J26,密度!$A$2:$A$50,密度!$Q$2:$Q$50)</f>
        <v>89258.332457359997</v>
      </c>
      <c r="K25" s="91" ph="1">
        <f>K24*18.322*LOOKUP(K26,密度!$A$2:$A$50,密度!$Q$2:$Q$50)</f>
        <v>470.14728371999996</v>
      </c>
      <c r="L25" s="91" ph="1">
        <f>L24*18.322*LOOKUP(L26,密度!$A$2:$A$50,密度!$Q$2:$Q$50)</f>
        <v>0</v>
      </c>
      <c r="M25" s="91" ph="1">
        <f>M24*18.322*LOOKUP(M26,密度!$A$2:$A$50,密度!$Q$2:$Q$50)</f>
        <v>44629.166228679998</v>
      </c>
      <c r="N25" s="91" ph="1">
        <f>N24*18.322*LOOKUP(N26,密度!$A$2:$A$50,密度!$Q$2:$Q$50)</f>
        <v>93449.705790520005</v>
      </c>
      <c r="O25" s="91" ph="1">
        <f>O24*18.322*LOOKUP(O26,密度!$A$2:$A$50,密度!$C$2:$C$50)</f>
        <v>122.2333908</v>
      </c>
      <c r="P25" s="91" ph="1">
        <f>P24*11.702*LOOKUP(P26,密度!$A$2:$A$50,密度!$B$2:$B$50)</f>
        <v>7698.2765497999999</v>
      </c>
      <c r="Q25" s="92" ph="1">
        <f>Q24*18.322*LOOKUP(Q26,密度!$A$2:$A$50,密度!$B$2:$B$50)</f>
        <v>10776.6925904</v>
      </c>
      <c r="R25" s="91" ph="1">
        <f>R24*35.891*LOOKUP(R26,密度!$A$2:$A$50,密度!$C$2:$C$50)</f>
        <v>162362.61471359999</v>
      </c>
      <c r="S25" s="91" ph="1">
        <f>S24*35.891*LOOKUP(S26,密度!$A$2:$A$50,密度!$B$2:$B$50)</f>
        <v>74962.588637999987</v>
      </c>
      <c r="T25" s="91" ph="1">
        <f>T24*35.891*LOOKUP(T26,密度!$A$2:$A$50,密度!$Q$2:$Q$50)</f>
        <v>59850.077606829997</v>
      </c>
      <c r="U25" s="91" ph="1">
        <f>U24*35.891</f>
        <v>189181.46099999998</v>
      </c>
      <c r="V25" s="91" ph="1">
        <f>V24*47.051*LOOKUP(V26,密度!$A$2:$A$50,密度!$B$2:$B$50)</f>
        <v>354117.98397839995</v>
      </c>
      <c r="W25" s="91" ph="1">
        <f>W24*47.051*LOOKUP(W26,密度!$A$2:$A$50,密度!$B$2:$B$50)</f>
        <v>305772.47922559996</v>
      </c>
      <c r="X25" s="91" ph="1">
        <f>X24*47.051*LOOKUP(X26,密度!$A$2:$A$50,密度!$I$2:$I$50)</f>
        <v>173826.1930608</v>
      </c>
      <c r="Y25" s="91" ph="1">
        <f>Y24*47.051*LOOKUP(Y26,密度!$A$2:$A$50,密度!$L$2:$L$50)</f>
        <v>290840.53383899998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22</v>
      </c>
      <c r="G26" s="74">
        <v>20</v>
      </c>
      <c r="H26" s="74">
        <v>21</v>
      </c>
      <c r="I26" s="74">
        <v>20</v>
      </c>
      <c r="J26" s="74">
        <v>20</v>
      </c>
      <c r="K26" s="74">
        <v>20</v>
      </c>
      <c r="L26" s="74">
        <v>21</v>
      </c>
      <c r="M26" s="74">
        <v>20</v>
      </c>
      <c r="N26" s="74">
        <v>22</v>
      </c>
      <c r="O26" s="74">
        <v>21</v>
      </c>
      <c r="P26" s="74">
        <v>20</v>
      </c>
      <c r="Q26" s="93">
        <v>21</v>
      </c>
      <c r="R26" s="74">
        <v>23</v>
      </c>
      <c r="S26" s="74">
        <v>24</v>
      </c>
      <c r="T26" s="74">
        <v>22</v>
      </c>
      <c r="U26" s="74">
        <v>22</v>
      </c>
      <c r="V26" s="74">
        <v>25</v>
      </c>
      <c r="W26" s="74">
        <v>25</v>
      </c>
      <c r="X26" s="74">
        <v>37</v>
      </c>
      <c r="Y26" s="74">
        <v>25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73" t="s" ph="1">
        <v>181</v>
      </c>
      <c r="D27" s="71">
        <v>3.32</v>
      </c>
      <c r="E27" s="71">
        <v>95.4</v>
      </c>
      <c r="F27" s="71">
        <v>0</v>
      </c>
      <c r="G27" s="71">
        <v>1774</v>
      </c>
      <c r="H27" s="71">
        <v>2066</v>
      </c>
      <c r="I27" s="71">
        <v>3792</v>
      </c>
      <c r="J27" s="71">
        <v>5123</v>
      </c>
      <c r="K27" s="71">
        <v>27</v>
      </c>
      <c r="L27" s="71">
        <v>0</v>
      </c>
      <c r="M27" s="71">
        <v>3388</v>
      </c>
      <c r="N27" s="71">
        <v>5372</v>
      </c>
      <c r="O27" s="71">
        <v>4</v>
      </c>
      <c r="P27" s="71">
        <v>837</v>
      </c>
      <c r="Q27" s="90">
        <v>1027</v>
      </c>
      <c r="R27" s="71">
        <v>4072</v>
      </c>
      <c r="S27" s="71">
        <v>2674</v>
      </c>
      <c r="T27" s="71">
        <v>1757</v>
      </c>
      <c r="U27" s="71">
        <v>5313</v>
      </c>
      <c r="V27" s="71">
        <v>9650</v>
      </c>
      <c r="W27" s="71">
        <v>8335</v>
      </c>
      <c r="X27" s="71">
        <v>3216</v>
      </c>
      <c r="Y27" s="71">
        <v>4986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73" t="s" ph="1">
        <v>179</v>
      </c>
      <c r="D28" s="91" ph="1">
        <f>D27*268.68*LOOKUP(D29,密度!$A$2:$A$50,密度!$Q$2:$Q$50)+IF(D27&lt;=0,0,1566*LOOKUP(D29,密度!$A$2:$A$50,密度!$Q$2:$Q$50))</f>
        <v>2327.103582624</v>
      </c>
      <c r="E28" s="91" ph="1">
        <f>E27*268.68*LOOKUP(E29,密度!$A$2:$A$50,密度!$C$2:$C$50)+IF(E27&lt;=0,0,1566*LOOKUP(E29,密度!$A$2:$A$50,密度!$C$2:$C$50))</f>
        <v>30159.942040800004</v>
      </c>
      <c r="F28" s="91" ph="1">
        <f>F27*11.702*LOOKUP(F29,密度!$A$2:$A$50,密度!$Q$2:$Q$50)</f>
        <v>0</v>
      </c>
      <c r="G28" s="91" ph="1">
        <f>G27*18.322*LOOKUP(G29,密度!$A$2:$A$50,密度!$B$2:$B$50)</f>
        <v>25368.769453999997</v>
      </c>
      <c r="H28" s="91" ph="1">
        <f>H27*18.322*LOOKUP(H29,密度!$A$2:$A$50,密度!$B$2:$B$50)</f>
        <v>29578.531112799999</v>
      </c>
      <c r="I28" s="91" ph="1">
        <f>I27*18.322*LOOKUP(I29,密度!$A$2:$A$50,密度!$Q$2:$Q$50)</f>
        <v>65827.395929279999</v>
      </c>
      <c r="J28" s="91" ph="1">
        <f>J27*18.322*LOOKUP(J29,密度!$A$2:$A$50,密度!$Q$2:$Q$50)</f>
        <v>88932.950776819998</v>
      </c>
      <c r="K28" s="91" ph="1">
        <f>K27*18.322*LOOKUP(K29,密度!$A$2:$A$50,密度!$Q$2:$Q$50)</f>
        <v>468.70772417999996</v>
      </c>
      <c r="L28" s="91" ph="1">
        <f>L27*18.322*LOOKUP(L29,密度!$A$2:$A$50,密度!$Q$2:$Q$50)</f>
        <v>0</v>
      </c>
      <c r="M28" s="91" ph="1">
        <f>M27*18.322*LOOKUP(M29,密度!$A$2:$A$50,密度!$Q$2:$Q$50)</f>
        <v>58859.454315199997</v>
      </c>
      <c r="N28" s="91" ph="1">
        <f>N27*18.322*LOOKUP(N29,密度!$A$2:$A$50,密度!$Q$2:$Q$50)</f>
        <v>93255.477566479996</v>
      </c>
      <c r="O28" s="91" ph="1">
        <f>O27*18.322*LOOKUP(O29,密度!$A$2:$A$50,密度!$C$2:$C$50)</f>
        <v>81.320364799999993</v>
      </c>
      <c r="P28" s="91" ph="1">
        <f>P27*11.702*LOOKUP(P29,密度!$A$2:$A$50,密度!$B$2:$B$50)</f>
        <v>7653.4801236000003</v>
      </c>
      <c r="Q28" s="92" ph="1">
        <f>Q27*18.322*LOOKUP(Q29,密度!$A$2:$A$50,密度!$B$2:$B$50)</f>
        <v>14686.429666999999</v>
      </c>
      <c r="R28" s="91" ph="1">
        <f>R27*35.891*LOOKUP(R29,密度!$A$2:$A$50,密度!$C$2:$C$50)</f>
        <v>162165.98945919998</v>
      </c>
      <c r="S28" s="91" ph="1">
        <f>S27*35.891*LOOKUP(S29,密度!$A$2:$A$50,密度!$B$2:$B$50)</f>
        <v>75079.313348199998</v>
      </c>
      <c r="T28" s="91" ph="1">
        <f>T27*35.891*LOOKUP(T29,密度!$A$2:$A$50,密度!$Q$2:$Q$50)</f>
        <v>59850.077606829997</v>
      </c>
      <c r="U28" s="91" ph="1">
        <f>U27*35.891</f>
        <v>190688.883</v>
      </c>
      <c r="V28" s="91" ph="1">
        <f>V27*47.051*LOOKUP(V29,密度!$A$2:$A$50,密度!$B$2:$B$50)</f>
        <v>355197.17394499999</v>
      </c>
      <c r="W28" s="91" ph="1">
        <f>W27*47.051*LOOKUP(W29,密度!$A$2:$A$50,密度!$B$2:$B$50)</f>
        <v>306088.75134249998</v>
      </c>
      <c r="X28" s="91" ph="1">
        <f>X27*47.051*LOOKUP(X29,密度!$A$2:$A$50,密度!$I$2:$I$50)</f>
        <v>155673.91726079999</v>
      </c>
      <c r="Y28" s="91" ph="1">
        <f>Y27*47.051*LOOKUP(Y29,密度!$A$2:$A$50,密度!$L$2:$L$50)</f>
        <v>219582.12369600002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73" t="s" ph="1">
        <v>180</v>
      </c>
      <c r="D29" s="74">
        <v>25</v>
      </c>
      <c r="E29" s="74">
        <v>25</v>
      </c>
      <c r="F29" s="74">
        <v>22</v>
      </c>
      <c r="G29" s="74">
        <v>24</v>
      </c>
      <c r="H29" s="74">
        <v>23</v>
      </c>
      <c r="I29" s="74">
        <v>24</v>
      </c>
      <c r="J29" s="74">
        <v>24</v>
      </c>
      <c r="K29" s="74">
        <v>24</v>
      </c>
      <c r="L29" s="74">
        <v>24</v>
      </c>
      <c r="M29" s="74">
        <v>23</v>
      </c>
      <c r="N29" s="74">
        <v>24</v>
      </c>
      <c r="O29" s="74">
        <v>24</v>
      </c>
      <c r="P29" s="74">
        <v>23</v>
      </c>
      <c r="Q29" s="93">
        <v>24</v>
      </c>
      <c r="R29" s="74">
        <v>24</v>
      </c>
      <c r="S29" s="74">
        <v>22</v>
      </c>
      <c r="T29" s="74">
        <v>22</v>
      </c>
      <c r="U29" s="74">
        <v>23</v>
      </c>
      <c r="V29" s="74">
        <v>22</v>
      </c>
      <c r="W29" s="74">
        <v>24</v>
      </c>
      <c r="X29" s="74">
        <v>37</v>
      </c>
      <c r="Y29" s="74">
        <v>26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73" t="s" ph="1">
        <v>5</v>
      </c>
      <c r="F32" s="172" t="s" ph="1">
        <v>43</v>
      </c>
      <c r="G32" s="97" t="s" ph="1">
        <v>4</v>
      </c>
      <c r="H32" s="173" t="s" ph="1">
        <v>5</v>
      </c>
      <c r="I32" s="172" t="s" ph="1">
        <v>43</v>
      </c>
      <c r="J32" s="97" t="s" ph="1">
        <v>4</v>
      </c>
      <c r="K32" s="173" t="s" ph="1">
        <v>5</v>
      </c>
      <c r="L32" s="172" t="s" ph="1">
        <v>43</v>
      </c>
      <c r="M32" s="97" t="s" ph="1">
        <v>4</v>
      </c>
      <c r="N32" s="173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3" t="s" ph="1">
        <v>5</v>
      </c>
      <c r="U32" s="99" t="s" ph="1">
        <v>43</v>
      </c>
      <c r="V32" s="97" t="s" ph="1">
        <v>4</v>
      </c>
      <c r="W32" s="173" t="s" ph="1">
        <v>5</v>
      </c>
      <c r="X32" s="99" t="s" ph="1">
        <v>43</v>
      </c>
      <c r="Y32" s="100" t="s" ph="1">
        <v>4</v>
      </c>
      <c r="Z32" s="173" t="s" ph="1">
        <v>5</v>
      </c>
      <c r="AA32" s="172" t="s" ph="1">
        <v>43</v>
      </c>
      <c r="AB32" s="97" t="s" ph="1">
        <v>85</v>
      </c>
      <c r="AC32" s="173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148752.58333320002</v>
      </c>
      <c r="E33" s="217" ph="1">
        <f>M10+I10</f>
        <v>63930.803258400003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21" ph="1">
        <v>0</v>
      </c>
      <c r="H33" s="217" ph="1">
        <f>N19</f>
        <v>12078.728180800001</v>
      </c>
      <c r="I33" s="230" ph="1">
        <v>0</v>
      </c>
      <c r="J33" s="228" ph="1">
        <f>F10+O28</f>
        <v>170790.70639040001</v>
      </c>
      <c r="K33" s="217" ph="1">
        <f>O10+K10+E28+R28</f>
        <v>271641.31705359998</v>
      </c>
      <c r="L33" s="232" ph="1">
        <f>BE27</f>
        <v>7100</v>
      </c>
      <c r="M33" s="228" ph="1">
        <f>G10+H10+W28+S28+V28+E10</f>
        <v>1348329.8657946999</v>
      </c>
      <c r="N33" s="217" ph="1">
        <f>L10+P10++G28+H28</f>
        <v>81099.404442800005</v>
      </c>
      <c r="O33" s="230" ph="1">
        <f>BE17</f>
        <v>2270</v>
      </c>
      <c r="P33" s="228" ph="1">
        <f>L19</f>
        <v>31101.224126720001</v>
      </c>
      <c r="Q33" s="217" ph="1">
        <f>J10+N10</f>
        <v>181868.91148800001</v>
      </c>
      <c r="R33" s="230" ph="1">
        <f>BE23</f>
        <v>890</v>
      </c>
      <c r="S33" s="228" ph="1">
        <f>E10+X28</f>
        <v>327285.65726480004</v>
      </c>
      <c r="T33" s="217" ph="1">
        <f>X19</f>
        <v>7272.9941560000007</v>
      </c>
      <c r="U33" s="238" ph="1">
        <f>BE21</f>
        <v>730</v>
      </c>
      <c r="V33" s="249" ph="1">
        <f ca="1">P19+Q19+S19+M28+N28+J28</f>
        <v>359782.12587354804</v>
      </c>
      <c r="W33" s="249" ph="1">
        <f>D28+F28+V19+T28</f>
        <v>114114.58049102599</v>
      </c>
      <c r="X33" s="230" ph="1">
        <f>BE29+BE31</f>
        <v>10200</v>
      </c>
      <c r="Y33" s="251" ph="1">
        <f>+Q10+R10+S10+T10+U10+V10+W10+X10+Y10</f>
        <v>118939.33844099999</v>
      </c>
      <c r="Z33" s="236" ph="1">
        <f>D10+T19+U19+Y28+Z10</f>
        <v>572858.27110680006</v>
      </c>
      <c r="AA33" s="238" ph="1">
        <f>BE19</f>
        <v>1440</v>
      </c>
      <c r="AB33" s="240" ph="1">
        <f>I19</f>
        <v>21204.109642400002</v>
      </c>
      <c r="AC33" s="242" ph="1">
        <f>AD10</f>
        <v>64750.206697600006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71" t="s" ph="1">
        <v>186</v>
      </c>
      <c r="AA36" s="171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7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1" t="s" ph="1">
        <v>345</v>
      </c>
      <c r="AI37" s="171" t="s" ph="1">
        <v>212</v>
      </c>
      <c r="AJ37" s="171" t="s" ph="1">
        <v>213</v>
      </c>
      <c r="AK37" s="171" t="s" ph="1">
        <v>214</v>
      </c>
      <c r="AM37" s="171" t="s" ph="1">
        <v>213</v>
      </c>
      <c r="AN37" s="171" t="s" ph="1">
        <v>214</v>
      </c>
      <c r="AO37" s="171" t="s" ph="1">
        <v>215</v>
      </c>
      <c r="AP37" s="171" t="s" ph="1">
        <v>213</v>
      </c>
      <c r="AQ37" s="171" t="s" ph="1">
        <v>214</v>
      </c>
      <c r="AR37" s="171" t="s" ph="1">
        <v>215</v>
      </c>
      <c r="AS37" s="171" t="s" ph="1">
        <v>213</v>
      </c>
      <c r="AT37" s="171" t="s" ph="1">
        <v>214</v>
      </c>
      <c r="AU37" s="171" t="s" ph="1">
        <v>215</v>
      </c>
      <c r="AV37" s="171" t="s" ph="1">
        <v>213</v>
      </c>
      <c r="AW37" s="171" t="s" ph="1">
        <v>214</v>
      </c>
      <c r="AX37" s="171" t="s" ph="1">
        <v>215</v>
      </c>
      <c r="AY37" s="171" t="s" ph="1">
        <v>214</v>
      </c>
      <c r="AZ37" s="171" t="s" ph="1">
        <v>216</v>
      </c>
      <c r="BD37" s="171" t="s" ph="1">
        <v>308</v>
      </c>
      <c r="BE37" s="17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77" priority="96">
      <formula>ABS(D$7-D$10)&gt;=1000</formula>
    </cfRule>
  </conditionalFormatting>
  <conditionalFormatting sqref="E4 E6:E11">
    <cfRule type="expression" dxfId="376" priority="95">
      <formula>ABS(E$7-E$10)&gt;=1000</formula>
    </cfRule>
  </conditionalFormatting>
  <conditionalFormatting sqref="F4:F11">
    <cfRule type="expression" dxfId="375" priority="94">
      <formula>ABS(F$7-F$10)&gt;=1000</formula>
    </cfRule>
  </conditionalFormatting>
  <conditionalFormatting sqref="G4:G11">
    <cfRule type="expression" dxfId="374" priority="93">
      <formula>ABS(G$7-G$10)&gt;=1000</formula>
    </cfRule>
  </conditionalFormatting>
  <conditionalFormatting sqref="H4:H11">
    <cfRule type="expression" dxfId="373" priority="92">
      <formula>ABS(H$7-H$10)&gt;=1000</formula>
    </cfRule>
  </conditionalFormatting>
  <conditionalFormatting sqref="I4:I11">
    <cfRule type="expression" dxfId="372" priority="91">
      <formula>ABS(I$7-I$10)&gt;=1000</formula>
    </cfRule>
  </conditionalFormatting>
  <conditionalFormatting sqref="J4:J11">
    <cfRule type="expression" dxfId="371" priority="90">
      <formula>ABS(J$7-J$10)&gt;=1000</formula>
    </cfRule>
  </conditionalFormatting>
  <conditionalFormatting sqref="K4:K11">
    <cfRule type="expression" dxfId="370" priority="89">
      <formula>ABS(K$7-K$10)&gt;=1000</formula>
    </cfRule>
  </conditionalFormatting>
  <conditionalFormatting sqref="L4:L11">
    <cfRule type="expression" dxfId="369" priority="88">
      <formula>ABS(L$7-L$10)&gt;=1000</formula>
    </cfRule>
  </conditionalFormatting>
  <conditionalFormatting sqref="M4 M6:M11">
    <cfRule type="expression" dxfId="368" priority="87">
      <formula>ABS(M$7-M$10)&gt;=1000</formula>
    </cfRule>
  </conditionalFormatting>
  <conditionalFormatting sqref="N4 N6:N11">
    <cfRule type="expression" dxfId="367" priority="86">
      <formula>ABS(N$7-N$10)&gt;=1000</formula>
    </cfRule>
  </conditionalFormatting>
  <conditionalFormatting sqref="O4 O6:O11">
    <cfRule type="expression" dxfId="366" priority="85">
      <formula>ABS(O$7-O$10)&gt;=1000</formula>
    </cfRule>
  </conditionalFormatting>
  <conditionalFormatting sqref="P4 P6:P11">
    <cfRule type="expression" dxfId="365" priority="84">
      <formula>ABS(P$7-P$10)&gt;=1000</formula>
    </cfRule>
  </conditionalFormatting>
  <conditionalFormatting sqref="Q4:Q11">
    <cfRule type="expression" dxfId="364" priority="83">
      <formula>ABS(Q$7-Q$10)&gt;=1000</formula>
    </cfRule>
  </conditionalFormatting>
  <conditionalFormatting sqref="R4:R11">
    <cfRule type="expression" dxfId="363" priority="82">
      <formula>ABS(R$7-R$10)&gt;=1000</formula>
    </cfRule>
  </conditionalFormatting>
  <conditionalFormatting sqref="S4:S11">
    <cfRule type="expression" dxfId="362" priority="81">
      <formula>ABS(S$7-S$10)&gt;=1000</formula>
    </cfRule>
  </conditionalFormatting>
  <conditionalFormatting sqref="T4:T9 T11">
    <cfRule type="expression" dxfId="361" priority="80">
      <formula>ABS(T$7-T$10)&gt;=1000</formula>
    </cfRule>
  </conditionalFormatting>
  <conditionalFormatting sqref="U4:U9 U11">
    <cfRule type="expression" dxfId="360" priority="79">
      <formula>ABS(U$7-U$10)&gt;=1000</formula>
    </cfRule>
  </conditionalFormatting>
  <conditionalFormatting sqref="V4:V9 V11">
    <cfRule type="expression" dxfId="359" priority="78">
      <formula>ABS(V$7-V$10)&gt;=1000</formula>
    </cfRule>
  </conditionalFormatting>
  <conditionalFormatting sqref="W4:W9 W11">
    <cfRule type="expression" dxfId="358" priority="77">
      <formula>ABS(W$7-W$10)&gt;=1000</formula>
    </cfRule>
  </conditionalFormatting>
  <conditionalFormatting sqref="X4:X9 X11">
    <cfRule type="expression" dxfId="357" priority="76">
      <formula>ABS(X$7-X$10)&gt;=1000</formula>
    </cfRule>
  </conditionalFormatting>
  <conditionalFormatting sqref="Y4:Y9 Y11">
    <cfRule type="expression" dxfId="356" priority="75">
      <formula>ABS(Y$7-Y$10)&gt;=1000</formula>
    </cfRule>
  </conditionalFormatting>
  <conditionalFormatting sqref="Z4:Z11">
    <cfRule type="expression" dxfId="355" priority="74">
      <formula>ABS(Z$7-Z$10)&gt;=1000</formula>
    </cfRule>
  </conditionalFormatting>
  <conditionalFormatting sqref="AA4:AA11">
    <cfRule type="expression" dxfId="354" priority="73">
      <formula>ABS(AA$7-AA$10)&gt;=1000</formula>
    </cfRule>
  </conditionalFormatting>
  <conditionalFormatting sqref="AB4:AB11">
    <cfRule type="expression" dxfId="353" priority="72">
      <formula>ABS(AB$7-AB$10)&gt;=1000</formula>
    </cfRule>
  </conditionalFormatting>
  <conditionalFormatting sqref="AC4 AC6:AC11">
    <cfRule type="expression" dxfId="352" priority="71">
      <formula>ABS(AC$7-AC$10)&gt;=1000</formula>
    </cfRule>
  </conditionalFormatting>
  <conditionalFormatting sqref="AD4:AD11">
    <cfRule type="expression" dxfId="351" priority="70">
      <formula>ABS(AD$7-AD$10)&gt;=1000</formula>
    </cfRule>
  </conditionalFormatting>
  <conditionalFormatting sqref="AE4:AE11">
    <cfRule type="expression" dxfId="350" priority="69">
      <formula>ABS(AE$7-AE$10)&gt;=1000</formula>
    </cfRule>
  </conditionalFormatting>
  <conditionalFormatting sqref="D13:D20">
    <cfRule type="expression" dxfId="349" priority="68">
      <formula>ABS(D$16-D$19)&gt;=1000</formula>
    </cfRule>
  </conditionalFormatting>
  <conditionalFormatting sqref="E13:E20">
    <cfRule type="expression" dxfId="348" priority="67">
      <formula>ABS(E$16-E$19)&gt;=1000</formula>
    </cfRule>
  </conditionalFormatting>
  <conditionalFormatting sqref="F13 F15:F20">
    <cfRule type="expression" dxfId="347" priority="66">
      <formula>ABS(F$16-F$19)&gt;=1000</formula>
    </cfRule>
  </conditionalFormatting>
  <conditionalFormatting sqref="G13:G20">
    <cfRule type="expression" dxfId="346" priority="65">
      <formula>ABS(G$16-G$19)&gt;=1000</formula>
    </cfRule>
  </conditionalFormatting>
  <conditionalFormatting sqref="H13:H20">
    <cfRule type="expression" dxfId="345" priority="64">
      <formula>ABS(H$16-H$19)&gt;=1000</formula>
    </cfRule>
  </conditionalFormatting>
  <conditionalFormatting sqref="I13:I20">
    <cfRule type="expression" dxfId="344" priority="63">
      <formula>ABS(I$16-I$19)&gt;=1000</formula>
    </cfRule>
  </conditionalFormatting>
  <conditionalFormatting sqref="J13:J20">
    <cfRule type="expression" dxfId="343" priority="62">
      <formula>ABS(J$16-J$19)&gt;=1000</formula>
    </cfRule>
  </conditionalFormatting>
  <conditionalFormatting sqref="L13:L20">
    <cfRule type="expression" dxfId="342" priority="61">
      <formula>ABS(L$16-L$19)&gt;=1000</formula>
    </cfRule>
  </conditionalFormatting>
  <conditionalFormatting sqref="M13 M15 M17:M18 M20">
    <cfRule type="expression" dxfId="341" priority="60">
      <formula>ABS(M$16-M$19)&gt;=1000</formula>
    </cfRule>
  </conditionalFormatting>
  <conditionalFormatting sqref="N13:N20">
    <cfRule type="expression" dxfId="340" priority="59">
      <formula>ABS(N$16-N$19)&gt;=1000</formula>
    </cfRule>
  </conditionalFormatting>
  <conditionalFormatting sqref="O13:O20">
    <cfRule type="expression" dxfId="339" priority="58">
      <formula>ABS(O$16-O$19)&gt;=1000</formula>
    </cfRule>
  </conditionalFormatting>
  <conditionalFormatting sqref="P13:P20">
    <cfRule type="expression" dxfId="338" priority="57">
      <formula>ABS(P$16-P$19)&gt;=1000</formula>
    </cfRule>
  </conditionalFormatting>
  <conditionalFormatting sqref="Q13 Q15:Q20">
    <cfRule type="expression" dxfId="337" priority="56">
      <formula>ABS(Q$16-Q$19)&gt;=1000</formula>
    </cfRule>
  </conditionalFormatting>
  <conditionalFormatting sqref="R13:R20">
    <cfRule type="expression" dxfId="336" priority="55">
      <formula>ABS(R$16-R$19)&gt;=1000</formula>
    </cfRule>
  </conditionalFormatting>
  <conditionalFormatting sqref="S13:S20">
    <cfRule type="expression" dxfId="335" priority="54">
      <formula>ABS(S$16-S$19)&gt;=1000</formula>
    </cfRule>
  </conditionalFormatting>
  <conditionalFormatting sqref="T13:T20">
    <cfRule type="expression" dxfId="334" priority="53">
      <formula>ABS(T$16-T$19)&gt;=1000</formula>
    </cfRule>
  </conditionalFormatting>
  <conditionalFormatting sqref="U13:U20">
    <cfRule type="expression" dxfId="333" priority="52">
      <formula>ABS(U$16-U$19)&gt;=1000</formula>
    </cfRule>
  </conditionalFormatting>
  <conditionalFormatting sqref="V13:V20">
    <cfRule type="expression" dxfId="332" priority="51">
      <formula>ABS(V$16-V$19)&gt;=1000</formula>
    </cfRule>
  </conditionalFormatting>
  <conditionalFormatting sqref="W13 W20 W15:W18">
    <cfRule type="expression" dxfId="331" priority="50">
      <formula>ABS(W$16-W$19)&gt;=1000</formula>
    </cfRule>
  </conditionalFormatting>
  <conditionalFormatting sqref="X13 X15:X20 Y19">
    <cfRule type="expression" dxfId="330" priority="49">
      <formula>ABS(X$16-X$19)&gt;=1000</formula>
    </cfRule>
  </conditionalFormatting>
  <conditionalFormatting sqref="Y13 Y15:Y18 Y20">
    <cfRule type="expression" dxfId="329" priority="48">
      <formula>ABS(Y$16-Y$19)&gt;=1000</formula>
    </cfRule>
  </conditionalFormatting>
  <conditionalFormatting sqref="Z13:Z20">
    <cfRule type="expression" dxfId="328" priority="47">
      <formula>ABS(Z$16-Z$19)&gt;=1000</formula>
    </cfRule>
  </conditionalFormatting>
  <conditionalFormatting sqref="AA13:AA20">
    <cfRule type="expression" dxfId="327" priority="46">
      <formula>ABS(AA$16-AA$19)&gt;=1000</formula>
    </cfRule>
  </conditionalFormatting>
  <conditionalFormatting sqref="AB13 AB15:AB20">
    <cfRule type="expression" dxfId="326" priority="45">
      <formula>ABS(AB$16-AB$19)&gt;=1000</formula>
    </cfRule>
  </conditionalFormatting>
  <conditionalFormatting sqref="AC13 AC15:AC20">
    <cfRule type="expression" dxfId="325" priority="44">
      <formula>ABS(AC$16-AC$19)&gt;=1000</formula>
    </cfRule>
  </conditionalFormatting>
  <conditionalFormatting sqref="AD13:AD20">
    <cfRule type="expression" dxfId="324" priority="43">
      <formula>ABS(AD$16-AD$19)&gt;=1000</formula>
    </cfRule>
  </conditionalFormatting>
  <conditionalFormatting sqref="AE13:AE20">
    <cfRule type="expression" dxfId="323" priority="42">
      <formula>ABS(AE$16-AE$19)&gt;=1000</formula>
    </cfRule>
  </conditionalFormatting>
  <conditionalFormatting sqref="D22:D29">
    <cfRule type="expression" dxfId="322" priority="41">
      <formula>ABS(D$25-D$28)&gt;=1000</formula>
    </cfRule>
  </conditionalFormatting>
  <conditionalFormatting sqref="E22:E29">
    <cfRule type="expression" dxfId="321" priority="40">
      <formula>ABS(E$25-E$28)&gt;=1000</formula>
    </cfRule>
  </conditionalFormatting>
  <conditionalFormatting sqref="F22:F29">
    <cfRule type="expression" dxfId="320" priority="39">
      <formula>ABS(F$25-F$28)&gt;=1000</formula>
    </cfRule>
  </conditionalFormatting>
  <conditionalFormatting sqref="G22:G29">
    <cfRule type="expression" dxfId="319" priority="38">
      <formula>ABS(G$25-G$28)&gt;=1000</formula>
    </cfRule>
  </conditionalFormatting>
  <conditionalFormatting sqref="H22:H29">
    <cfRule type="expression" dxfId="318" priority="37">
      <formula>ABS(H$25-H$28)&gt;=1000</formula>
    </cfRule>
  </conditionalFormatting>
  <conditionalFormatting sqref="I22 I24:I29">
    <cfRule type="expression" dxfId="317" priority="36">
      <formula>ABS(I$25-I$28)&gt;=1000</formula>
    </cfRule>
  </conditionalFormatting>
  <conditionalFormatting sqref="J22:J29 K22">
    <cfRule type="expression" dxfId="316" priority="35">
      <formula>ABS(J$25-J$28)&gt;=1000</formula>
    </cfRule>
  </conditionalFormatting>
  <conditionalFormatting sqref="K23:K29 L25 L28">
    <cfRule type="expression" dxfId="315" priority="34">
      <formula>ABS(K$25-K$28)&gt;=1000</formula>
    </cfRule>
  </conditionalFormatting>
  <conditionalFormatting sqref="L22:L24 L26:L27 L29">
    <cfRule type="expression" dxfId="314" priority="33">
      <formula>ABS(L$25-L$28)&gt;=1000</formula>
    </cfRule>
  </conditionalFormatting>
  <conditionalFormatting sqref="M22:M29">
    <cfRule type="expression" dxfId="313" priority="32">
      <formula>ABS(M$25-M$28)&gt;=1000</formula>
    </cfRule>
  </conditionalFormatting>
  <conditionalFormatting sqref="N22:N29">
    <cfRule type="expression" dxfId="312" priority="31">
      <formula>ABS(N$25-N$28)&gt;=1000</formula>
    </cfRule>
  </conditionalFormatting>
  <conditionalFormatting sqref="O22:O29">
    <cfRule type="expression" dxfId="311" priority="30">
      <formula>ABS(O$25-O$28)&gt;=1000</formula>
    </cfRule>
  </conditionalFormatting>
  <conditionalFormatting sqref="P22:P29">
    <cfRule type="expression" dxfId="310" priority="29">
      <formula>ABS(P$25-P$28)&gt;=1000</formula>
    </cfRule>
  </conditionalFormatting>
  <conditionalFormatting sqref="Q22:Q29">
    <cfRule type="expression" dxfId="309" priority="28">
      <formula>ABS(Q$25-Q$28)&gt;=1000</formula>
    </cfRule>
  </conditionalFormatting>
  <conditionalFormatting sqref="R22:R29">
    <cfRule type="expression" dxfId="308" priority="27">
      <formula>ABS(R$25-R$28)&gt;=1000</formula>
    </cfRule>
  </conditionalFormatting>
  <conditionalFormatting sqref="S22:S29">
    <cfRule type="expression" dxfId="307" priority="26">
      <formula>ABS(S$25-S$28)&gt;=1000</formula>
    </cfRule>
  </conditionalFormatting>
  <conditionalFormatting sqref="T22:T29">
    <cfRule type="expression" dxfId="306" priority="25">
      <formula>ABS(T$25-T$28)&gt;=1000</formula>
    </cfRule>
  </conditionalFormatting>
  <conditionalFormatting sqref="U22:U29">
    <cfRule type="expression" dxfId="305" priority="24">
      <formula>ABS(U$25-U$28)&gt;=1000</formula>
    </cfRule>
  </conditionalFormatting>
  <conditionalFormatting sqref="V22:V29">
    <cfRule type="expression" dxfId="304" priority="23">
      <formula>ABS(V$25-V$28)&gt;=1000</formula>
    </cfRule>
  </conditionalFormatting>
  <conditionalFormatting sqref="W22:W29">
    <cfRule type="expression" dxfId="303" priority="22">
      <formula>ABS(W$25-W$28)&gt;=1000</formula>
    </cfRule>
  </conditionalFormatting>
  <conditionalFormatting sqref="X22:X29">
    <cfRule type="expression" dxfId="302" priority="21">
      <formula>ABS(X$25-X$28)&gt;=1000</formula>
    </cfRule>
  </conditionalFormatting>
  <conditionalFormatting sqref="Y22:Y29">
    <cfRule type="expression" dxfId="301" priority="20">
      <formula>ABS(Y$25-Y$28)&gt;=1000</formula>
    </cfRule>
  </conditionalFormatting>
  <conditionalFormatting sqref="I23">
    <cfRule type="expression" dxfId="300" priority="19">
      <formula>ABS(I$25-I$28)&gt;=1000</formula>
    </cfRule>
  </conditionalFormatting>
  <conditionalFormatting sqref="F14">
    <cfRule type="expression" dxfId="299" priority="18">
      <formula>ABS(F$16-F$19)&gt;=1000</formula>
    </cfRule>
  </conditionalFormatting>
  <conditionalFormatting sqref="Q14">
    <cfRule type="expression" dxfId="298" priority="17">
      <formula>ABS(Q$16-Q$19)&gt;=1000</formula>
    </cfRule>
  </conditionalFormatting>
  <conditionalFormatting sqref="W14">
    <cfRule type="expression" dxfId="297" priority="16">
      <formula>ABS(W$16-W$19)&gt;=1000</formula>
    </cfRule>
  </conditionalFormatting>
  <conditionalFormatting sqref="Y14">
    <cfRule type="expression" dxfId="296" priority="15">
      <formula>ABS(Y$16-Y$19)&gt;=1000</formula>
    </cfRule>
  </conditionalFormatting>
  <conditionalFormatting sqref="X14">
    <cfRule type="expression" dxfId="295" priority="14">
      <formula>ABS(X$16-X$19)&gt;=1000</formula>
    </cfRule>
  </conditionalFormatting>
  <conditionalFormatting sqref="T10:Y10">
    <cfRule type="expression" dxfId="294" priority="13">
      <formula>ABS(T$7-T$10)&gt;=1000</formula>
    </cfRule>
  </conditionalFormatting>
  <conditionalFormatting sqref="W19">
    <cfRule type="expression" dxfId="293" priority="12">
      <formula>ABS(W$16-W$19)&gt;=1000</formula>
    </cfRule>
  </conditionalFormatting>
  <conditionalFormatting sqref="AC5">
    <cfRule type="expression" dxfId="292" priority="11">
      <formula>ABS(AC$7-AC$10)&gt;=1000</formula>
    </cfRule>
  </conditionalFormatting>
  <conditionalFormatting sqref="M14">
    <cfRule type="expression" dxfId="291" priority="10">
      <formula>ABS(M$16-M$19)&gt;=1000</formula>
    </cfRule>
  </conditionalFormatting>
  <conditionalFormatting sqref="M16">
    <cfRule type="expression" dxfId="290" priority="9">
      <formula>ABS(M$16-M$19)&gt;=1000</formula>
    </cfRule>
  </conditionalFormatting>
  <conditionalFormatting sqref="M19">
    <cfRule type="expression" dxfId="289" priority="8">
      <formula>ABS(M$16-M$19)&gt;=1000</formula>
    </cfRule>
  </conditionalFormatting>
  <conditionalFormatting sqref="K13:K20">
    <cfRule type="expression" dxfId="288" priority="7">
      <formula>ABS(K$16-K$19)&gt;=1000</formula>
    </cfRule>
  </conditionalFormatting>
  <conditionalFormatting sqref="E5">
    <cfRule type="expression" dxfId="287" priority="6">
      <formula>ABS(E$7-E$10)&gt;=1000</formula>
    </cfRule>
  </conditionalFormatting>
  <conditionalFormatting sqref="AB14:AC14">
    <cfRule type="expression" dxfId="286" priority="5">
      <formula>ABS(AB$16-AB$19)&gt;=1000</formula>
    </cfRule>
  </conditionalFormatting>
  <conditionalFormatting sqref="M5">
    <cfRule type="expression" dxfId="285" priority="4">
      <formula>ABS(M$7-M$10)&gt;=1000</formula>
    </cfRule>
  </conditionalFormatting>
  <conditionalFormatting sqref="N5">
    <cfRule type="expression" dxfId="284" priority="3">
      <formula>ABS(N$7-N$10)&gt;=1000</formula>
    </cfRule>
  </conditionalFormatting>
  <conditionalFormatting sqref="O5">
    <cfRule type="expression" dxfId="283" priority="2">
      <formula>ABS(O$7-O$10)&gt;=1000</formula>
    </cfRule>
  </conditionalFormatting>
  <conditionalFormatting sqref="P5">
    <cfRule type="expression" dxfId="282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29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4">
    <pageSetUpPr fitToPage="1"/>
  </sheetPr>
  <dimension ref="A1:CU223"/>
  <sheetViews>
    <sheetView view="pageBreakPreview" topLeftCell="A10" zoomScale="80" zoomScaleNormal="100" zoomScaleSheetLayoutView="80" workbookViewId="0">
      <selection activeCell="G27" sqref="G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45776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73" t="s" ph="1">
        <v>178</v>
      </c>
      <c r="D6" s="71">
        <v>4176</v>
      </c>
      <c r="E6" s="71">
        <v>4262</v>
      </c>
      <c r="F6" s="71">
        <v>4633</v>
      </c>
      <c r="G6" s="71">
        <v>2204</v>
      </c>
      <c r="H6" s="71">
        <v>8077</v>
      </c>
      <c r="I6" s="71">
        <v>5.1100000000000003</v>
      </c>
      <c r="J6" s="71">
        <v>7.82</v>
      </c>
      <c r="K6" s="71">
        <v>7.42</v>
      </c>
      <c r="L6" s="71">
        <v>69.3</v>
      </c>
      <c r="M6" s="71">
        <v>1380</v>
      </c>
      <c r="N6" s="71">
        <v>6932</v>
      </c>
      <c r="O6" s="71">
        <v>3399</v>
      </c>
      <c r="P6" s="71">
        <v>412</v>
      </c>
      <c r="Q6" s="71">
        <v>0</v>
      </c>
      <c r="R6" s="71">
        <v>0</v>
      </c>
      <c r="S6" s="71">
        <v>4114</v>
      </c>
      <c r="T6" s="71">
        <v>7139</v>
      </c>
      <c r="U6" s="71">
        <v>3639</v>
      </c>
      <c r="V6" s="71">
        <v>0</v>
      </c>
      <c r="W6" s="71">
        <v>0</v>
      </c>
      <c r="X6" s="71">
        <v>0</v>
      </c>
      <c r="Y6" s="71">
        <v>1</v>
      </c>
      <c r="Z6" s="71">
        <v>5417</v>
      </c>
      <c r="AA6" s="71">
        <v>2168</v>
      </c>
      <c r="AB6" s="71">
        <v>3518</v>
      </c>
      <c r="AC6" s="71">
        <v>5875</v>
      </c>
      <c r="AD6" s="71">
        <v>3295</v>
      </c>
      <c r="AE6" s="71">
        <v>4102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131293.00991376</v>
      </c>
      <c r="E7" s="73" ph="1">
        <f>E6*51.53*LOOKUP(E8,密度!$A$2:$A$50,密度!$B$2:$B$50)</f>
        <v>171809.398778</v>
      </c>
      <c r="F7" s="73" ph="1">
        <f>F6*33.183*LOOKUP(F8,密度!$A$2:$A$50,密度!$C$2:$C$50)</f>
        <v>170817.00181290001</v>
      </c>
      <c r="G7" s="73" ph="1">
        <f xml:space="preserve"> (G6+2)*51.53*LOOKUP(G8,密度!$A$2:$A$50,密度!$B$2:$B$50)</f>
        <v>88825.785652000006</v>
      </c>
      <c r="H7" s="73" ph="1">
        <f>(H6)*51.53*LOOKUP(H8,密度!$A$2:$A$50,密度!$B$2:$B$50)</f>
        <v>327305.82178399997</v>
      </c>
      <c r="I7" s="73" ph="1">
        <f>I6*290.8*1.0267</f>
        <v>1525.6638796</v>
      </c>
      <c r="J7" s="73" ph="1">
        <f>J6*290.8*0.7892</f>
        <v>1794.6849952</v>
      </c>
      <c r="K7" s="73" ph="1">
        <f>K6*290.8*1.1126</f>
        <v>2400.6970735999998</v>
      </c>
      <c r="L7" s="73" ph="1">
        <f>L6*290.8*0.777</f>
        <v>15658.445879999999</v>
      </c>
      <c r="M7" s="73" ph="1">
        <f>M6*33.183*LOOKUP(M8,密度!$A$2:$A$50,密度!$D$2:$D$50)</f>
        <v>47102.206643999998</v>
      </c>
      <c r="N7" s="73" ph="1">
        <f>N6*33.183*LOOKUP(N8,密度!$A$2:$A$50,密度!$E$2:$E$50)</f>
        <v>180155.23225920001</v>
      </c>
      <c r="O7" s="73" ph="1">
        <f>O6*20.428*LOOKUP(O8,密度!$A$2:$A$50,密度!$C$2:$C$50)</f>
        <v>76892.066512799996</v>
      </c>
      <c r="P7" s="73" ph="1">
        <f>P6*51.53*LOOKUP(P8,密度!$A$2:$A$50,密度!$B$2:$B$50)</f>
        <v>16646.725276000001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27509.888498399996</v>
      </c>
      <c r="T7" s="73" ph="1">
        <f>T6*1.5*1.5*3.1416*LOOKUP(T8,密度!$A$2:$A$50,密度!$L$2:$L$50)</f>
        <v>47636.822217599998</v>
      </c>
      <c r="U7" s="73" ph="1">
        <f>U6*1.5*1.5*3.1416*LOOKUP(U8,密度!$A$2:$A$50,密度!$L$2:$L$50)</f>
        <v>24153.554640599999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6.6515525999999996</v>
      </c>
      <c r="Z7" s="73" ph="1">
        <f>Z6*33.183*LOOKUP(Z8,密度!$A$2:$A$50,密度!$L$2:$L$50)</f>
        <v>168967.17233999999</v>
      </c>
      <c r="AA7" s="73" ph="1">
        <f>AA6*33.183*LOOKUP(AA8,密度!$A$2:$A$50,密度!$D$2:$D$50)</f>
        <v>73861.561864800009</v>
      </c>
      <c r="AB7" s="73" ph="1">
        <f>AB6*20.428*LOOKUP(AB8,密度!$A$2:$A$50,密度!$D$2:$D$50)</f>
        <v>74553.481329600007</v>
      </c>
      <c r="AC7" s="73" ph="1">
        <f>AC6*51.53*LOOKUP(AC8,密度!$A$2:$A$50,密度!$Q$2:$Q$50)</f>
        <v>287326.32023750001</v>
      </c>
      <c r="AD7" s="73" ph="1">
        <f>AD6*20.428*LOOKUP(AD8,密度!$A$2:$A$50,密度!$V$2:$V$50)</f>
        <v>64671.697808000012</v>
      </c>
      <c r="AE7" s="73" ph="1">
        <f>AE6*20.428</f>
        <v>83795.656000000003</v>
      </c>
    </row>
    <row r="8" spans="1:99" ph="1">
      <c r="B8" s="195" ph="1"/>
      <c r="C8" s="68" t="s" ph="1">
        <v>180</v>
      </c>
      <c r="D8" s="74">
        <v>24</v>
      </c>
      <c r="E8" s="74">
        <v>22</v>
      </c>
      <c r="F8" s="74">
        <v>22</v>
      </c>
      <c r="G8" s="74">
        <v>23</v>
      </c>
      <c r="H8" s="74">
        <v>17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27</v>
      </c>
      <c r="P8" s="74">
        <v>20</v>
      </c>
      <c r="Q8" s="74">
        <v>20</v>
      </c>
      <c r="R8" s="74">
        <v>28</v>
      </c>
      <c r="S8" s="74">
        <v>16</v>
      </c>
      <c r="T8" s="74">
        <v>18</v>
      </c>
      <c r="U8" s="74">
        <v>23</v>
      </c>
      <c r="V8" s="74">
        <v>26</v>
      </c>
      <c r="W8" s="74">
        <v>22</v>
      </c>
      <c r="X8" s="74">
        <v>14</v>
      </c>
      <c r="Y8" s="74">
        <v>21</v>
      </c>
      <c r="Z8" s="74">
        <v>22</v>
      </c>
      <c r="AA8" s="74">
        <v>25</v>
      </c>
      <c r="AB8" s="74">
        <v>13</v>
      </c>
      <c r="AC8" s="74">
        <v>22</v>
      </c>
      <c r="AD8" s="74">
        <v>23</v>
      </c>
      <c r="AE8" s="74">
        <v>26</v>
      </c>
    </row>
    <row r="9" spans="1:99" ht="26.4" ph="1">
      <c r="B9" s="195" ph="1">
        <v>0.66666666666666663</v>
      </c>
      <c r="C9" s="173" t="s" ph="1">
        <v>181</v>
      </c>
      <c r="D9" s="71">
        <v>4177</v>
      </c>
      <c r="E9" s="71">
        <v>4260</v>
      </c>
      <c r="F9" s="71">
        <v>4633</v>
      </c>
      <c r="G9" s="71">
        <v>2373</v>
      </c>
      <c r="H9" s="71">
        <v>8080</v>
      </c>
      <c r="I9" s="71">
        <v>5.01</v>
      </c>
      <c r="J9" s="71">
        <v>7.92</v>
      </c>
      <c r="K9" s="71">
        <v>7.5</v>
      </c>
      <c r="L9" s="71">
        <v>79.8</v>
      </c>
      <c r="M9" s="71">
        <v>1381</v>
      </c>
      <c r="N9" s="71">
        <v>6931</v>
      </c>
      <c r="O9" s="71">
        <v>2498</v>
      </c>
      <c r="P9" s="71">
        <v>409</v>
      </c>
      <c r="Q9" s="71">
        <v>0</v>
      </c>
      <c r="R9" s="71">
        <v>0</v>
      </c>
      <c r="S9" s="71">
        <v>0</v>
      </c>
      <c r="T9" s="71">
        <v>7139</v>
      </c>
      <c r="U9" s="71">
        <v>6370</v>
      </c>
      <c r="V9" s="71">
        <v>0</v>
      </c>
      <c r="W9" s="71">
        <v>0</v>
      </c>
      <c r="X9" s="71">
        <v>0</v>
      </c>
      <c r="Y9" s="71">
        <v>0</v>
      </c>
      <c r="Z9" s="71">
        <v>6348</v>
      </c>
      <c r="AA9" s="71">
        <v>2166</v>
      </c>
      <c r="AB9" s="71">
        <v>3518</v>
      </c>
      <c r="AC9" s="71">
        <v>5875</v>
      </c>
      <c r="AD9" s="71">
        <v>3831</v>
      </c>
      <c r="AE9" s="71">
        <v>4103</v>
      </c>
    </row>
    <row r="10" spans="1:99" s="72" customFormat="1" ht="22.2" ph="1">
      <c r="B10" s="195" ph="1"/>
      <c r="C10" s="173" t="s" ph="1">
        <v>179</v>
      </c>
      <c r="D10" s="73" ph="1">
        <f>D9*33.183*LOOKUP(D11,密度!$A$2:$A$50,密度!$Q$2:$Q$50)</f>
        <v>131223.26787534001</v>
      </c>
      <c r="E10" s="73" ph="1">
        <f>E9*51.53*LOOKUP(E11,密度!$A$2:$A$50,密度!$B$2:$B$50)</f>
        <v>170389.71636000002</v>
      </c>
      <c r="F10" s="73" ph="1">
        <f>F9*33.183*LOOKUP(F11,密度!$A$2:$A$50,密度!$C$2:$C$50)</f>
        <v>170478.78076710002</v>
      </c>
      <c r="G10" s="73" ph="1">
        <f xml:space="preserve"> (G9+2)*51.53*LOOKUP(G11,密度!$A$2:$A$50,密度!$B$2:$B$50)</f>
        <v>95092.173750000002</v>
      </c>
      <c r="H10" s="73" ph="1">
        <f>(H9)*51.53*LOOKUP(H11,密度!$A$2:$A$50,密度!$B$2:$B$50)</f>
        <v>323513.58480000001</v>
      </c>
      <c r="I10" s="73" ph="1">
        <f>I9*290.8*1.0267</f>
        <v>1495.8074435999997</v>
      </c>
      <c r="J10" s="73" ph="1">
        <f>J9*290.8*0.7892</f>
        <v>1817.6349312</v>
      </c>
      <c r="K10" s="73" ph="1">
        <f>K9*290.8*1.1126</f>
        <v>2426.5806000000002</v>
      </c>
      <c r="L10" s="73" ph="1">
        <f>L9*290.8*0.777</f>
        <v>18030.937679999999</v>
      </c>
      <c r="M10" s="73" ph="1">
        <f>M9*33.183*LOOKUP(M11,密度!$A$2:$A$50,密度!$D$2:$D$50)</f>
        <v>47008.026653399997</v>
      </c>
      <c r="N10" s="73" ph="1">
        <f>N9*33.183*LOOKUP(N11,密度!$A$2:$A$50,密度!$E$2:$E$50)</f>
        <v>180405.23298119998</v>
      </c>
      <c r="O10" s="73" ph="1">
        <f>O9*20.428*LOOKUP(O11,密度!$A$2:$A$50,密度!$C$2:$C$50)</f>
        <v>56234.116688000002</v>
      </c>
      <c r="P10" s="73" ph="1">
        <f>P9*51.53*LOOKUP(P11,密度!$A$2:$A$50,密度!$B$2:$B$50)</f>
        <v>15988.9221528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47535.896746799997</v>
      </c>
      <c r="U10" s="73" ph="1">
        <f>U9*1.5*1.5*3.1416*LOOKUP(U11,密度!$A$2:$A$50,密度!$L$2:$L$50)</f>
        <v>42235.309115999997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198006.94295999999</v>
      </c>
      <c r="AA10" s="73" ph="1">
        <f>AA9*33.183*LOOKUP(AA11,密度!$A$2:$A$50,密度!$D$2:$D$50)</f>
        <v>73793.423892599996</v>
      </c>
      <c r="AB10" s="73" ph="1">
        <f>AB9*20.428*LOOKUP(AB11,密度!$A$2:$A$50,密度!$D$2:$D$50)</f>
        <v>74553.481329600007</v>
      </c>
      <c r="AC10" s="73" ph="1">
        <f>AC9*51.53*LOOKUP(AC11,密度!$A$2:$A$50,密度!$Q$2:$Q$50)</f>
        <v>287326.32023750001</v>
      </c>
      <c r="AD10" s="73" ph="1">
        <f>AD9*20.428*LOOKUP(AD11,密度!$A$2:$A$50,密度!$V$2:$V$50)</f>
        <v>75191.889014400003</v>
      </c>
      <c r="AE10" s="73" ph="1">
        <f>AE9*20.428</f>
        <v>83816.084000000003</v>
      </c>
    </row>
    <row r="11" spans="1:99" ph="1">
      <c r="A11" s="64" t="s" ph="1">
        <v>163</v>
      </c>
      <c r="B11" s="195" ph="1"/>
      <c r="C11" s="173" t="s" ph="1">
        <v>180</v>
      </c>
      <c r="D11" s="74">
        <v>25</v>
      </c>
      <c r="E11" s="74">
        <v>29</v>
      </c>
      <c r="F11" s="74">
        <v>25</v>
      </c>
      <c r="G11" s="74">
        <v>28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24</v>
      </c>
      <c r="O11" s="74">
        <v>33</v>
      </c>
      <c r="P11" s="74">
        <v>215</v>
      </c>
      <c r="Q11" s="74">
        <v>32</v>
      </c>
      <c r="R11" s="74">
        <v>33</v>
      </c>
      <c r="S11" s="74">
        <v>20</v>
      </c>
      <c r="T11" s="74">
        <v>20</v>
      </c>
      <c r="U11" s="74">
        <v>24</v>
      </c>
      <c r="V11" s="74">
        <v>28</v>
      </c>
      <c r="W11" s="74">
        <v>38</v>
      </c>
      <c r="X11" s="74">
        <v>14</v>
      </c>
      <c r="Y11" s="74">
        <v>21</v>
      </c>
      <c r="Z11" s="74">
        <v>22</v>
      </c>
      <c r="AA11" s="74">
        <v>25</v>
      </c>
      <c r="AB11" s="74">
        <v>13</v>
      </c>
      <c r="AC11" s="74">
        <v>22</v>
      </c>
      <c r="AD11" s="74">
        <v>23</v>
      </c>
      <c r="AE11" s="74">
        <v>26</v>
      </c>
    </row>
    <row r="12" spans="1:99" ht="9.9" customHeight="1" ph="1"/>
    <row r="13" spans="1:99" s="72" customFormat="1" ht="29.25" customHeight="1" ph="1">
      <c r="B13" s="203" t="s" ph="1">
        <v>37</v>
      </c>
      <c r="C13" s="17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73" t="s" ph="1">
        <v>178</v>
      </c>
      <c r="D15" s="78">
        <v>884</v>
      </c>
      <c r="E15" s="78">
        <v>5247</v>
      </c>
      <c r="F15" s="78">
        <v>2693</v>
      </c>
      <c r="G15" s="78">
        <v>3335</v>
      </c>
      <c r="H15" s="78">
        <v>4515</v>
      </c>
      <c r="I15" s="78">
        <v>1673</v>
      </c>
      <c r="J15" s="78">
        <v>95</v>
      </c>
      <c r="K15" s="78">
        <v>710</v>
      </c>
      <c r="L15" s="78">
        <v>4366</v>
      </c>
      <c r="M15" s="78">
        <v>4703</v>
      </c>
      <c r="N15" s="78">
        <v>1516</v>
      </c>
      <c r="O15" s="78">
        <v>27</v>
      </c>
      <c r="P15" s="78">
        <v>6924</v>
      </c>
      <c r="Q15" s="78">
        <v>34</v>
      </c>
      <c r="R15" s="78">
        <v>3503</v>
      </c>
      <c r="S15" s="78">
        <v>6849</v>
      </c>
      <c r="T15" s="78">
        <v>3065</v>
      </c>
      <c r="U15" s="78">
        <v>4846</v>
      </c>
      <c r="V15" s="78">
        <v>5448</v>
      </c>
      <c r="W15" s="71">
        <v>3762</v>
      </c>
      <c r="X15" s="78">
        <v>150</v>
      </c>
      <c r="Y15" s="106">
        <v>-9904</v>
      </c>
      <c r="Z15" s="78">
        <v>0</v>
      </c>
      <c r="AA15" s="78">
        <v>4226</v>
      </c>
      <c r="AB15" s="78" ph="1">
        <v>6900</v>
      </c>
      <c r="AC15" s="78" ph="1">
        <v>988</v>
      </c>
      <c r="AD15" s="78">
        <v>84.8</v>
      </c>
      <c r="AE15" s="78">
        <v>28.31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73" t="s" ph="1">
        <v>179</v>
      </c>
      <c r="D16" s="73" ph="1">
        <f>D15*7.0686*LOOKUP(D17,密度!$A$2:$A$50,密度!$L$2:$L$50)</f>
        <v>5873.7238559999996</v>
      </c>
      <c r="E16" s="73" ph="1">
        <f>E15*7.0686*LOOKUP(E17,密度!$A$2:$A$50,密度!$L$2:$L$50)</f>
        <v>34863.607547999993</v>
      </c>
      <c r="F16" s="73" ph="1">
        <f>F15*9.0746*LOOKUP(F17,密度!$A$2:$A$50,密度!$L$2:$L$50)</f>
        <v>22873.872340800001</v>
      </c>
      <c r="G16" s="73" ph="1">
        <f>G15*9.0746*LOOKUP(G17,密度!$A$2:$A$50,密度!$B$2:$B$50)</f>
        <v>23675.3636993</v>
      </c>
      <c r="H16" s="73" ph="1">
        <f>H15*9.0746*LOOKUP(H17,密度!$A$2:$A$50,密度!$L$2:$L$50)</f>
        <v>38595.453498000003</v>
      </c>
      <c r="I16" s="73" ph="1">
        <f>I15*9.0746*LOOKUP(I17,密度!$A$2:$A$50,密度!$U$2:$U$50)</f>
        <v>15606.896362400001</v>
      </c>
      <c r="J16" s="73" ph="1">
        <f>J15*9.0746*LOOKUP(J17,密度!$A$2:$A$50,密度!$L$2:$L$50)</f>
        <v>812.0859539999999</v>
      </c>
      <c r="K16" s="73" ph="1">
        <f>K15*9.0746*LOOKUP(K17,密度!$A$2:$A$50,密度!$C$2:$C$50)</f>
        <v>7168.4439716000006</v>
      </c>
      <c r="L16" s="73" ph="1">
        <f>L15*9.0746*LOOKUP(L17,密度!$A$2:$A$50,密度!$E$2:$E$50)</f>
        <v>31077.695503840001</v>
      </c>
      <c r="M16" s="73" ph="1">
        <f>M15*9.0746*LOOKUP(M17,密度!$A$2:$A$50,密度!$M$2:$M$50)</f>
        <v>37381.523384420005</v>
      </c>
      <c r="N16" s="73" ph="1">
        <f>N15*9.0746*LOOKUP(N17,密度!$A$2:$A$50,密度!$M$2:$M$50)</f>
        <v>12110.36949608</v>
      </c>
      <c r="O16" s="73" ph="1">
        <f>O15*9.0746*LOOKUP(O17,密度!$A$2:$A$50,密度!$G$2:$G$50)</f>
        <v>236.14468596</v>
      </c>
      <c r="P16" s="73" ph="1">
        <f ca="1">P15*9.0746*LOOKUP(P17,密度!$A$2:$A$51,密度!$Q$2:$Q$50)</f>
        <v>59633.726277336005</v>
      </c>
      <c r="Q16" s="73" ph="1">
        <f>Q15*9.0746*LOOKUP(Q17,密度!$A$2:$A$50,密度!$Q$2:$Q$50)</f>
        <v>293.013933716</v>
      </c>
      <c r="R16" s="73" ph="1">
        <f>MAX(R15*9.0746*LOOKUP(R17,密度!$A$2:$A$50,密度!$B$2:$B$50),0)</f>
        <v>24810.786725900001</v>
      </c>
      <c r="S16" s="73" ph="1">
        <f>S15*9.0746*LOOKUP(S17,密度!$A$2:$A$50,密度!$Q$2:$Q$50)</f>
        <v>58987.780368786</v>
      </c>
      <c r="T16" s="73" ph="1">
        <f>T15*9.0746*LOOKUP(T17,密度!$A$2:$A$50,密度!$O$2:$O$50)</f>
        <v>25866.693570000003</v>
      </c>
      <c r="U16" s="73" ph="1">
        <f>U15*9.0746*LOOKUP(U17,密度!$A$2:$A$50,密度!$H$2:$H$50)</f>
        <v>40360.724546479993</v>
      </c>
      <c r="V16" s="73" ph="1">
        <f>MAX(5600*LOOKUP(V17,密度!$A$2:$A$50,密度!$Q$2:$Q$50)+V15*9.0476*LOOKUP(V17,密度!$A$2:$A$50,密度!$Q$2:$Q$50),0)</f>
        <v>51928.840000543991</v>
      </c>
      <c r="W16" s="73" ph="1">
        <f>MAX(5600*LOOKUP(W17,密度!$A$2:$A$50,密度!$Q$2:$Q$50)+W15*9.0476*LOOKUP(W17,密度!$A$2:$A$50,密度!$Q$2:$Q$50),0)</f>
        <v>37554.935849863999</v>
      </c>
      <c r="X16" s="73" ph="1">
        <f>MAX(5600*LOOKUP(X17,密度!$A$2:$A$50,密度!$I$2:$I$50)+X15*9.0476*LOOKUP(X17,密度!$A$2:$A$50,密度!$I$2:$I$50),0)</f>
        <v>7284.1255799999999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29966.111451439996</v>
      </c>
      <c r="AB16" s="73" ph="1">
        <f>AB15*9.0746*LOOKUP(AB17,密度!$A$2:$A$50,密度!$L$2:$L$50)</f>
        <v>58983.085079999997</v>
      </c>
      <c r="AC16" s="73" ph="1">
        <f>AC15*9.0746*LOOKUP(AC17,密度!$A$2:$A$50,密度!$L$2:$L$50)</f>
        <v>8400.8653976000005</v>
      </c>
      <c r="AD16" s="73" ph="1">
        <f>AD15*268.68*LOOKUP(AD17,密度!$A$2:$A$50,密度!B2:B50)+IF(AD15&lt;=0,0,1566*LOOKUP(AD17,密度!$A$2:$A$50,密度!B2:B50))</f>
        <v>18983.309894399998</v>
      </c>
      <c r="AE16" s="73" ph="1">
        <f>AE15*268.68*LOOKUP(AE17,密度!$A$2:$A$50,密度!B2:B50)+IF(AE15&lt;=0,0,1566*LOOKUP(AE17,密度!$A$2:$A$50,密度!B2:B50))</f>
        <v>7150.7490916799998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22</v>
      </c>
      <c r="E17" s="74">
        <v>22</v>
      </c>
      <c r="F17" s="74">
        <v>26</v>
      </c>
      <c r="G17" s="74">
        <v>22</v>
      </c>
      <c r="H17" s="74">
        <v>20</v>
      </c>
      <c r="I17" s="74">
        <v>20</v>
      </c>
      <c r="J17" s="74">
        <v>20</v>
      </c>
      <c r="K17" s="74">
        <v>20</v>
      </c>
      <c r="L17" s="74">
        <v>24</v>
      </c>
      <c r="M17" s="74">
        <v>24</v>
      </c>
      <c r="N17" s="74">
        <v>20</v>
      </c>
      <c r="O17" s="74">
        <v>22</v>
      </c>
      <c r="P17" s="74">
        <v>22</v>
      </c>
      <c r="Q17" s="74">
        <v>21</v>
      </c>
      <c r="R17" s="74">
        <v>24</v>
      </c>
      <c r="S17" s="74">
        <v>22</v>
      </c>
      <c r="T17" s="74">
        <v>22</v>
      </c>
      <c r="U17" s="74">
        <v>22</v>
      </c>
      <c r="V17" s="74">
        <v>26</v>
      </c>
      <c r="W17" s="74">
        <v>24</v>
      </c>
      <c r="X17" s="74">
        <v>21</v>
      </c>
      <c r="Y17" s="108">
        <v>21</v>
      </c>
      <c r="Z17" s="74">
        <v>21</v>
      </c>
      <c r="AA17" s="74">
        <v>23</v>
      </c>
      <c r="AB17" s="74">
        <v>20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882</v>
      </c>
      <c r="E18" s="71">
        <v>5262</v>
      </c>
      <c r="F18" s="71">
        <v>2904</v>
      </c>
      <c r="G18" s="71">
        <v>3474</v>
      </c>
      <c r="H18" s="71">
        <v>4522</v>
      </c>
      <c r="I18" s="71">
        <v>3183</v>
      </c>
      <c r="J18" s="71">
        <v>95</v>
      </c>
      <c r="K18" s="71">
        <v>709</v>
      </c>
      <c r="L18" s="71">
        <v>4375</v>
      </c>
      <c r="M18" s="71">
        <v>3155</v>
      </c>
      <c r="N18" s="71">
        <v>1191</v>
      </c>
      <c r="O18" s="71">
        <v>51</v>
      </c>
      <c r="P18" s="71">
        <v>6933</v>
      </c>
      <c r="Q18" s="71">
        <v>28</v>
      </c>
      <c r="R18" s="71">
        <v>3506</v>
      </c>
      <c r="S18" s="71">
        <v>6858</v>
      </c>
      <c r="T18" s="71">
        <v>2102</v>
      </c>
      <c r="U18" s="71">
        <v>4848</v>
      </c>
      <c r="V18" s="71">
        <v>5448</v>
      </c>
      <c r="W18" s="71">
        <v>3762</v>
      </c>
      <c r="X18" s="71">
        <v>150</v>
      </c>
      <c r="Y18" s="109">
        <v>-9907</v>
      </c>
      <c r="Z18" s="71">
        <v>0</v>
      </c>
      <c r="AA18" s="71">
        <v>4229</v>
      </c>
      <c r="AB18" s="71">
        <v>6911</v>
      </c>
      <c r="AC18" s="71">
        <v>989</v>
      </c>
      <c r="AD18" s="71">
        <v>5.51</v>
      </c>
      <c r="AE18" s="71">
        <v>74.62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73" t="s" ph="1">
        <v>179</v>
      </c>
      <c r="D19" s="73" ph="1">
        <f>D18*7.0686*LOOKUP(D20,密度!$A$2:$A$50,密度!$L$2:$L$50)</f>
        <v>5841.7313723999996</v>
      </c>
      <c r="E19" s="73" ph="1">
        <f>E18*7.0686*LOOKUP(E20,密度!$A$2:$A$50,密度!$L$2:$L$50)</f>
        <v>34851.689888400004</v>
      </c>
      <c r="F19" s="73" ph="1">
        <f>F18*9.0746*LOOKUP(F20,密度!$A$2:$A$50,密度!$L$2:$L$50)</f>
        <v>24587.011627200001</v>
      </c>
      <c r="G19" s="73" ph="1">
        <f>G18*9.0746*LOOKUP(G20,密度!$A$2:$A$50,密度!$B$2:$B$50)</f>
        <v>24605.387692199998</v>
      </c>
      <c r="H19" s="73" ph="1">
        <f>H18*9.0746*LOOKUP(H20,密度!$A$2:$A$50,密度!$L$2:$L$50)</f>
        <v>38573.220728</v>
      </c>
      <c r="I19" s="73" ph="1">
        <f>I18*9.0746*LOOKUP(I20,密度!$A$2:$A$50,密度!$U$2:$U$50)</f>
        <v>29519.9097396</v>
      </c>
      <c r="J19" s="73" ph="1">
        <f>J18*9.0746*LOOKUP(J20,密度!$A$2:$A$50,密度!$L$2:$L$50)</f>
        <v>804.32717100000002</v>
      </c>
      <c r="K19" s="73" ph="1">
        <f>K18*9.0746*LOOKUP(K20,密度!$A$2:$A$50,密度!$C$2:$C$50)</f>
        <v>7119.7442232400008</v>
      </c>
      <c r="L19" s="73" ph="1">
        <f>L18*9.0746*LOOKUP(L20,密度!$A$2:$A$50,密度!$E$2:$E$50)</f>
        <v>31094.116900000001</v>
      </c>
      <c r="M19" s="73" ph="1">
        <f>M18*9.0746*LOOKUP(M20,密度!$A$2:$A$50,密度!$M$2:$M$50)</f>
        <v>24965.676536000003</v>
      </c>
      <c r="N19" s="73" ph="1">
        <f>N18*9.0746*LOOKUP(N20,密度!$A$2:$A$50,密度!$M$2:$M$50)</f>
        <v>9457.9483098600012</v>
      </c>
      <c r="O19" s="73" ph="1">
        <f>O18*9.0746*LOOKUP(O20,密度!$A$2:$A$50,密度!$G$2:$G$50)</f>
        <v>443.36680679999995</v>
      </c>
      <c r="P19" s="73" ph="1">
        <f ca="1">P18*9.0746*LOOKUP(P20,密度!$A$2:$A$51,密度!$Q$2:$Q$50)</f>
        <v>59563.391412132005</v>
      </c>
      <c r="Q19" s="73" ph="1">
        <f>Q18*9.0746*LOOKUP(Q20,密度!$A$2:$A$50,密度!$Q$2:$Q$50)</f>
        <v>240.01736225599998</v>
      </c>
      <c r="R19" s="73" ph="1">
        <f>MAX(R18*9.0746*LOOKUP(R20,密度!$A$2:$A$50,密度!$B$2:$B$50),0)</f>
        <v>24774.766916119999</v>
      </c>
      <c r="S19" s="73" ph="1">
        <f>S18*9.0746*LOOKUP(S20,密度!$A$2:$A$50,密度!$Q$2:$Q$50)</f>
        <v>58919.044901832</v>
      </c>
      <c r="T19" s="73" ph="1">
        <f>T18*9.0746*LOOKUP(T20,密度!$A$2:$A$50,密度!$O$2:$O$50)</f>
        <v>17663.273319200001</v>
      </c>
      <c r="U19" s="73" ph="1">
        <f>U18*9.0746*LOOKUP(U20,密度!$A$2:$A$50,密度!$H$2:$H$50)</f>
        <v>40241.001533759998</v>
      </c>
      <c r="V19" s="73" ph="1">
        <f>MAX(5600*LOOKUP(V20,密度!$A$2:$A$50,密度!$Q$2:$Q$50)+V18*9.0476*LOOKUP(V20,密度!$A$2:$A$50,密度!$Q$2:$Q$50),0)</f>
        <v>51889.867159936002</v>
      </c>
      <c r="W19" s="73" ph="1">
        <f>MAX(5600*LOOKUP(W20,密度!$A$2:$A$50,密度!$Q$2:$Q$50)+W18*9.0476*LOOKUP(W20,密度!$A$2:$A$50,密度!$Q$2:$Q$50),0)</f>
        <v>37526.000787887999</v>
      </c>
      <c r="X19" s="73" ph="1">
        <f>MAX(5600*LOOKUP(X20,密度!$A$2:$A$50,密度!$I$2:$I$50)+X18*9.0476*LOOKUP(X20,密度!$A$2:$A$50,密度!$I$2:$I$50),0)</f>
        <v>7251.4270219999999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29987.384128759997</v>
      </c>
      <c r="AB19" s="73" ph="1">
        <f>AB18*9.0746*LOOKUP(AB20,密度!$A$2:$A$50,密度!$L$2:$L$50)</f>
        <v>58763.543282200008</v>
      </c>
      <c r="AC19" s="73" ph="1">
        <f>AC18*9.0746*LOOKUP(AC20,密度!$A$2:$A$50,密度!$L$2:$L$50)</f>
        <v>8409.3682977999997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16794.778543200002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25</v>
      </c>
      <c r="E20" s="81">
        <v>25</v>
      </c>
      <c r="F20" s="81">
        <v>29</v>
      </c>
      <c r="G20" s="81">
        <v>24</v>
      </c>
      <c r="H20" s="81">
        <v>22</v>
      </c>
      <c r="I20" s="81">
        <v>28</v>
      </c>
      <c r="J20" s="81">
        <v>29</v>
      </c>
      <c r="K20" s="81">
        <v>28</v>
      </c>
      <c r="L20" s="81">
        <v>25</v>
      </c>
      <c r="M20" s="81">
        <v>28</v>
      </c>
      <c r="N20" s="81">
        <v>25</v>
      </c>
      <c r="O20" s="81">
        <v>27</v>
      </c>
      <c r="P20" s="81">
        <v>25</v>
      </c>
      <c r="Q20" s="81">
        <v>28</v>
      </c>
      <c r="R20" s="81">
        <v>26</v>
      </c>
      <c r="S20" s="81">
        <v>25</v>
      </c>
      <c r="T20" s="81">
        <v>26</v>
      </c>
      <c r="U20" s="81">
        <v>25</v>
      </c>
      <c r="V20" s="81">
        <v>27</v>
      </c>
      <c r="W20" s="81">
        <v>25</v>
      </c>
      <c r="X20" s="81">
        <v>25</v>
      </c>
      <c r="Y20" s="110">
        <v>25</v>
      </c>
      <c r="Z20" s="81">
        <v>28</v>
      </c>
      <c r="AA20" s="81">
        <v>23</v>
      </c>
      <c r="AB20" s="81">
        <v>25</v>
      </c>
      <c r="AC20" s="81">
        <v>25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73" t="s" ph="1">
        <v>178</v>
      </c>
      <c r="D24" s="71">
        <v>3.33</v>
      </c>
      <c r="E24" s="71">
        <v>95.4</v>
      </c>
      <c r="F24" s="71">
        <v>0</v>
      </c>
      <c r="G24" s="71">
        <v>1992</v>
      </c>
      <c r="H24" s="71">
        <v>1931</v>
      </c>
      <c r="I24" s="71">
        <v>3790</v>
      </c>
      <c r="J24" s="71">
        <v>3950</v>
      </c>
      <c r="K24" s="71">
        <v>27</v>
      </c>
      <c r="L24" s="71">
        <v>0</v>
      </c>
      <c r="M24" s="71">
        <v>4259</v>
      </c>
      <c r="N24" s="71">
        <v>5371</v>
      </c>
      <c r="O24" s="71">
        <v>6</v>
      </c>
      <c r="P24" s="71">
        <v>4072</v>
      </c>
      <c r="Q24" s="90">
        <v>838</v>
      </c>
      <c r="R24" s="71">
        <v>1044</v>
      </c>
      <c r="S24" s="71">
        <v>2674</v>
      </c>
      <c r="T24" s="71">
        <v>1757</v>
      </c>
      <c r="U24" s="71">
        <v>5329</v>
      </c>
      <c r="V24" s="71">
        <v>9647</v>
      </c>
      <c r="W24" s="71">
        <v>8333</v>
      </c>
      <c r="X24" s="71">
        <v>3214</v>
      </c>
      <c r="Y24" s="71">
        <v>4984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28617.630158399999</v>
      </c>
      <c r="H25" s="91" ph="1">
        <f>H24*18.322*LOOKUP(H26,密度!$A$2:$A$50,密度!$B$2:$B$50)</f>
        <v>27741.287066199999</v>
      </c>
      <c r="I25" s="91" ph="1">
        <f>I24*18.322*LOOKUP(I26,密度!$A$2:$A$50,密度!$Q$2:$Q$50)</f>
        <v>65994.748344399995</v>
      </c>
      <c r="J25" s="91" ph="1">
        <f>J24*18.322*LOOKUP(J26,密度!$A$2:$A$50,密度!$Q$2:$Q$50)</f>
        <v>68730.869710999992</v>
      </c>
      <c r="K25" s="91" ph="1">
        <f>K24*18.322*LOOKUP(K26,密度!$A$2:$A$50,密度!$Q$2:$Q$50)</f>
        <v>470.14728371999996</v>
      </c>
      <c r="L25" s="91" ph="1">
        <f>L24*18.322*LOOKUP(L26,密度!$A$2:$A$50,密度!$Q$2:$Q$50)</f>
        <v>0</v>
      </c>
      <c r="M25" s="91" ph="1">
        <f>M24*18.322*LOOKUP(M26,密度!$A$2:$A$50,密度!$Q$2:$Q$50)</f>
        <v>74107.537746620001</v>
      </c>
      <c r="N25" s="91" ph="1">
        <f>N24*18.322*LOOKUP(N26,密度!$A$2:$A$50,密度!$Q$2:$Q$50)</f>
        <v>93524.483735560003</v>
      </c>
      <c r="O25" s="91" ph="1">
        <f>O24*18.322*LOOKUP(O26,密度!$A$2:$A$50,密度!$C$2:$C$50)</f>
        <v>122.31034319999999</v>
      </c>
      <c r="P25" s="91" ph="1">
        <f>P24*11.702*LOOKUP(P26,密度!$A$2:$A$50,密度!$B$2:$B$50)</f>
        <v>37362.791550400005</v>
      </c>
      <c r="Q25" s="92" ph="1">
        <f>Q24*18.322*LOOKUP(Q26,密度!$A$2:$A$50,密度!$B$2:$B$50)</f>
        <v>12038.9428076</v>
      </c>
      <c r="R25" s="91" ph="1">
        <f>R24*35.891*LOOKUP(R26,密度!$A$2:$A$50,密度!$C$2:$C$50)</f>
        <v>41663.1198276</v>
      </c>
      <c r="S25" s="91" ph="1">
        <f>S24*35.891*LOOKUP(S26,密度!$A$2:$A$50,密度!$B$2:$B$50)</f>
        <v>74906.562787000003</v>
      </c>
      <c r="T25" s="91" ph="1">
        <f>T24*35.891*LOOKUP(T26,密度!$A$2:$A$50,密度!$Q$2:$Q$50)</f>
        <v>59850.077606829997</v>
      </c>
      <c r="U25" s="91" ph="1">
        <f>U24*35.891</f>
        <v>191263.139</v>
      </c>
      <c r="V25" s="91" ph="1">
        <f>V24*47.051*LOOKUP(V26,密度!$A$2:$A$50,密度!$B$2:$B$50)</f>
        <v>354678.23905580002</v>
      </c>
      <c r="W25" s="91" ph="1">
        <f>W24*47.051*LOOKUP(W26,密度!$A$2:$A$50,密度!$B$2:$B$50)</f>
        <v>306368.17311620002</v>
      </c>
      <c r="X25" s="91" ph="1">
        <f>X24*47.051*LOOKUP(X26,密度!$A$2:$A$50,密度!$I$2:$I$50)</f>
        <v>155752.52254344002</v>
      </c>
      <c r="Y25" s="91" ph="1">
        <f>Y24*47.051*LOOKUP(Y26,密度!$A$2:$A$50,密度!$L$2:$L$50)</f>
        <v>219728.54640800002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20</v>
      </c>
      <c r="G26" s="74">
        <v>20</v>
      </c>
      <c r="H26" s="74">
        <v>20</v>
      </c>
      <c r="I26" s="74">
        <v>20</v>
      </c>
      <c r="J26" s="74">
        <v>21</v>
      </c>
      <c r="K26" s="74">
        <v>20</v>
      </c>
      <c r="L26" s="74">
        <v>21</v>
      </c>
      <c r="M26" s="74">
        <v>21</v>
      </c>
      <c r="N26" s="74">
        <v>20</v>
      </c>
      <c r="O26" s="74">
        <v>20</v>
      </c>
      <c r="P26" s="74">
        <v>20</v>
      </c>
      <c r="Q26" s="93">
        <v>20</v>
      </c>
      <c r="R26" s="74">
        <v>21</v>
      </c>
      <c r="S26" s="74">
        <v>24</v>
      </c>
      <c r="T26" s="74">
        <v>22</v>
      </c>
      <c r="U26" s="74">
        <v>21</v>
      </c>
      <c r="V26" s="74">
        <v>23</v>
      </c>
      <c r="W26" s="74">
        <v>23</v>
      </c>
      <c r="X26" s="74">
        <v>36</v>
      </c>
      <c r="Y26" s="74">
        <v>25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73" t="s" ph="1">
        <v>181</v>
      </c>
      <c r="D27" s="71">
        <v>3.33</v>
      </c>
      <c r="E27" s="71">
        <v>95.4</v>
      </c>
      <c r="F27" s="71">
        <v>0</v>
      </c>
      <c r="G27" s="71">
        <v>1420</v>
      </c>
      <c r="H27" s="71">
        <v>2337</v>
      </c>
      <c r="I27" s="71">
        <v>3790</v>
      </c>
      <c r="J27" s="71">
        <v>4671</v>
      </c>
      <c r="K27" s="71">
        <v>24</v>
      </c>
      <c r="L27" s="71">
        <v>0</v>
      </c>
      <c r="M27" s="71">
        <v>5272</v>
      </c>
      <c r="N27" s="71">
        <v>5371</v>
      </c>
      <c r="O27" s="71">
        <v>0</v>
      </c>
      <c r="P27" s="71">
        <v>835</v>
      </c>
      <c r="Q27" s="90">
        <v>1285</v>
      </c>
      <c r="R27" s="71">
        <v>4070</v>
      </c>
      <c r="S27" s="71">
        <v>3086</v>
      </c>
      <c r="T27" s="71">
        <v>1756</v>
      </c>
      <c r="U27" s="71">
        <v>5294</v>
      </c>
      <c r="V27" s="71">
        <v>9647</v>
      </c>
      <c r="W27" s="71">
        <v>8331</v>
      </c>
      <c r="X27" s="71">
        <v>2740</v>
      </c>
      <c r="Y27" s="71">
        <v>3373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73" t="s" ph="1">
        <v>179</v>
      </c>
      <c r="D28" s="91" ph="1">
        <f>D27*268.68*LOOKUP(D29,密度!$A$2:$A$50,密度!$Q$2:$Q$50)+IF(D27&lt;=0,0,1566*LOOKUP(D29,密度!$A$2:$A$50,密度!$Q$2:$Q$50))</f>
        <v>2329.6472836560001</v>
      </c>
      <c r="E28" s="91" ph="1">
        <f>E27*268.68*LOOKUP(E29,密度!$A$2:$A$50,密度!$C$2:$C$50)+IF(E27&lt;=0,0,1566*LOOKUP(E29,密度!$A$2:$A$50,密度!$C$2:$C$50))</f>
        <v>30159.942040800004</v>
      </c>
      <c r="F28" s="91" ph="1">
        <f>F27*11.702*LOOKUP(F29,密度!$A$2:$A$50,密度!$Q$2:$Q$50)</f>
        <v>0</v>
      </c>
      <c r="G28" s="91" ph="1">
        <f>G27*18.322*LOOKUP(G29,密度!$A$2:$A$50,密度!$B$2:$B$50)</f>
        <v>20306.455819999999</v>
      </c>
      <c r="H28" s="91" ph="1">
        <f>H27*18.322*LOOKUP(H29,密度!$A$2:$A$50,密度!$B$2:$B$50)</f>
        <v>33381.313514399997</v>
      </c>
      <c r="I28" s="91" ph="1">
        <f>I27*18.322*LOOKUP(I29,密度!$A$2:$A$50,密度!$Q$2:$Q$50)</f>
        <v>65643.380021599995</v>
      </c>
      <c r="J28" s="91" ph="1">
        <f>J27*18.322*LOOKUP(J29,密度!$A$2:$A$50,密度!$Q$2:$Q$50)</f>
        <v>81023.961377879998</v>
      </c>
      <c r="K28" s="91" ph="1">
        <f>K27*18.322*LOOKUP(K29,密度!$A$2:$A$50,密度!$Q$2:$Q$50)</f>
        <v>416.62908815999998</v>
      </c>
      <c r="L28" s="91" ph="1">
        <f>L27*18.322*LOOKUP(L29,密度!$A$2:$A$50,密度!$Q$2:$Q$50)</f>
        <v>0</v>
      </c>
      <c r="M28" s="91" ph="1">
        <f>M27*18.322*LOOKUP(M29,密度!$A$2:$A$50,密度!$Q$2:$Q$50)</f>
        <v>91519.523032480007</v>
      </c>
      <c r="N28" s="91" ph="1">
        <f>N27*18.322*LOOKUP(N29,密度!$A$2:$A$50,密度!$Q$2:$Q$50)</f>
        <v>93238.118021140006</v>
      </c>
      <c r="O28" s="91" ph="1">
        <f>O27*18.322*LOOKUP(O29,密度!$A$2:$A$50,密度!$C$2:$C$50)</f>
        <v>0</v>
      </c>
      <c r="P28" s="91" ph="1">
        <f>P27*11.702*LOOKUP(P29,密度!$A$2:$A$50,密度!$B$2:$B$50)</f>
        <v>7626.398185</v>
      </c>
      <c r="Q28" s="92" ph="1">
        <f>Q27*18.322*LOOKUP(Q29,密度!$A$2:$A$50,密度!$B$2:$B$50)</f>
        <v>18354.723092</v>
      </c>
      <c r="R28" s="91" ph="1">
        <f>R27*35.891*LOOKUP(R29,密度!$A$2:$A$50,密度!$C$2:$C$50)</f>
        <v>162086.34015199999</v>
      </c>
      <c r="S28" s="91" ph="1">
        <f>S27*35.891*LOOKUP(S29,密度!$A$2:$A$50,密度!$B$2:$B$50)</f>
        <v>86159.913065399989</v>
      </c>
      <c r="T28" s="91" ph="1">
        <f>T27*35.891*LOOKUP(T29,密度!$A$2:$A$50,密度!$Q$2:$Q$50)</f>
        <v>59623.158553879999</v>
      </c>
      <c r="U28" s="91" ph="1">
        <f>U27*35.891</f>
        <v>190006.954</v>
      </c>
      <c r="V28" s="91" ph="1">
        <f>V27*47.051*LOOKUP(V29,密度!$A$2:$A$50,密度!$B$2:$B$50)</f>
        <v>354678.23905580002</v>
      </c>
      <c r="W28" s="91" ph="1">
        <f>W27*47.051*LOOKUP(W29,密度!$A$2:$A$50,密度!$B$2:$B$50)</f>
        <v>305941.85812049999</v>
      </c>
      <c r="X28" s="91" ph="1">
        <f>X27*47.051*LOOKUP(X29,密度!$A$2:$A$50,密度!$I$2:$I$50)</f>
        <v>132782.1754104</v>
      </c>
      <c r="Y28" s="91" ph="1">
        <f>Y27*47.051*LOOKUP(Y29,密度!$A$2:$A$50,密度!$L$2:$L$50)</f>
        <v>148704.73255100002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73" t="s" ph="1">
        <v>180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27</v>
      </c>
      <c r="J29" s="74">
        <v>25</v>
      </c>
      <c r="K29" s="74">
        <v>24</v>
      </c>
      <c r="L29" s="74">
        <v>27</v>
      </c>
      <c r="M29" s="74">
        <v>24</v>
      </c>
      <c r="N29" s="74">
        <v>24</v>
      </c>
      <c r="O29" s="74">
        <v>27</v>
      </c>
      <c r="P29" s="74">
        <v>24</v>
      </c>
      <c r="Q29" s="93">
        <v>25</v>
      </c>
      <c r="R29" s="74">
        <v>24</v>
      </c>
      <c r="S29" s="74">
        <v>27</v>
      </c>
      <c r="T29" s="74">
        <v>26</v>
      </c>
      <c r="U29" s="74">
        <v>25</v>
      </c>
      <c r="V29" s="74">
        <v>23</v>
      </c>
      <c r="W29" s="74">
        <v>24</v>
      </c>
      <c r="X29" s="74">
        <v>36</v>
      </c>
      <c r="Y29" s="74">
        <v>25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73" t="s" ph="1">
        <v>5</v>
      </c>
      <c r="F32" s="172" t="s" ph="1">
        <v>43</v>
      </c>
      <c r="G32" s="97" t="s" ph="1">
        <v>4</v>
      </c>
      <c r="H32" s="173" t="s" ph="1">
        <v>5</v>
      </c>
      <c r="I32" s="172" t="s" ph="1">
        <v>43</v>
      </c>
      <c r="J32" s="97" t="s" ph="1">
        <v>4</v>
      </c>
      <c r="K32" s="173" t="s" ph="1">
        <v>5</v>
      </c>
      <c r="L32" s="172" t="s" ph="1">
        <v>43</v>
      </c>
      <c r="M32" s="97" t="s" ph="1">
        <v>4</v>
      </c>
      <c r="N32" s="173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3" t="s" ph="1">
        <v>5</v>
      </c>
      <c r="U32" s="99" t="s" ph="1">
        <v>43</v>
      </c>
      <c r="V32" s="97" t="s" ph="1">
        <v>4</v>
      </c>
      <c r="W32" s="173" t="s" ph="1">
        <v>5</v>
      </c>
      <c r="X32" s="99" t="s" ph="1">
        <v>43</v>
      </c>
      <c r="Y32" s="100" t="s" ph="1">
        <v>4</v>
      </c>
      <c r="Z32" s="173" t="s" ph="1">
        <v>5</v>
      </c>
      <c r="AA32" s="172" t="s" ph="1">
        <v>43</v>
      </c>
      <c r="AB32" s="97" t="s" ph="1">
        <v>85</v>
      </c>
      <c r="AC32" s="173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148346.9052222</v>
      </c>
      <c r="E33" s="217" ph="1">
        <f>M10+I10</f>
        <v>48503.834096999999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21" ph="1">
        <v>0</v>
      </c>
      <c r="H33" s="217" ph="1">
        <f>N19</f>
        <v>9457.9483098600012</v>
      </c>
      <c r="I33" s="230" ph="1">
        <v>0</v>
      </c>
      <c r="J33" s="228" ph="1">
        <f>F10+O28</f>
        <v>170478.78076710002</v>
      </c>
      <c r="K33" s="217" ph="1">
        <f>O10+K10+E28+R28</f>
        <v>250906.97948079999</v>
      </c>
      <c r="L33" s="232" ph="1">
        <f>BE27</f>
        <v>7100</v>
      </c>
      <c r="M33" s="228" ph="1">
        <f>G10+H10+W28+S28+V28+E10</f>
        <v>1335775.4851517</v>
      </c>
      <c r="N33" s="217" ph="1">
        <f>L10+P10++G28+H28</f>
        <v>87707.629167199993</v>
      </c>
      <c r="O33" s="230" ph="1">
        <f>BE17</f>
        <v>2270</v>
      </c>
      <c r="P33" s="228" ph="1">
        <f>L19</f>
        <v>31094.116900000001</v>
      </c>
      <c r="Q33" s="217" ph="1">
        <f>J10+N10</f>
        <v>182222.86791239999</v>
      </c>
      <c r="R33" s="230" ph="1">
        <f>BE23</f>
        <v>890</v>
      </c>
      <c r="S33" s="228" ph="1">
        <f>E10+X28</f>
        <v>303171.89177039999</v>
      </c>
      <c r="T33" s="217" ph="1">
        <f>X19</f>
        <v>7251.4270219999999</v>
      </c>
      <c r="U33" s="238" ph="1">
        <f>BE21</f>
        <v>730</v>
      </c>
      <c r="V33" s="249" ph="1">
        <f ca="1">P19+Q19+S19+M28+N28+J28</f>
        <v>384504.05610772001</v>
      </c>
      <c r="W33" s="249" ph="1">
        <f>D28+F28+V19+T28</f>
        <v>113842.67299747199</v>
      </c>
      <c r="X33" s="230" ph="1">
        <f>BE29+BE31</f>
        <v>10200</v>
      </c>
      <c r="Y33" s="251" ph="1">
        <f>+Q10+R10+S10+T10+U10+V10+W10+X10+Y10</f>
        <v>89771.205862799994</v>
      </c>
      <c r="Z33" s="236" ph="1">
        <f>D10+T19+U19+Y28+Z10</f>
        <v>535839.21823930007</v>
      </c>
      <c r="AA33" s="238" ph="1">
        <f>BE19</f>
        <v>1440</v>
      </c>
      <c r="AB33" s="240" ph="1">
        <f>I19</f>
        <v>29519.9097396</v>
      </c>
      <c r="AC33" s="242" ph="1">
        <f>AD10</f>
        <v>75191.889014400003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71" t="s" ph="1">
        <v>186</v>
      </c>
      <c r="AA36" s="171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7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1" t="s" ph="1">
        <v>345</v>
      </c>
      <c r="AI37" s="171" t="s" ph="1">
        <v>212</v>
      </c>
      <c r="AJ37" s="171" t="s" ph="1">
        <v>213</v>
      </c>
      <c r="AK37" s="171" t="s" ph="1">
        <v>214</v>
      </c>
      <c r="AM37" s="171" t="s" ph="1">
        <v>213</v>
      </c>
      <c r="AN37" s="171" t="s" ph="1">
        <v>214</v>
      </c>
      <c r="AO37" s="171" t="s" ph="1">
        <v>215</v>
      </c>
      <c r="AP37" s="171" t="s" ph="1">
        <v>213</v>
      </c>
      <c r="AQ37" s="171" t="s" ph="1">
        <v>214</v>
      </c>
      <c r="AR37" s="171" t="s" ph="1">
        <v>215</v>
      </c>
      <c r="AS37" s="171" t="s" ph="1">
        <v>213</v>
      </c>
      <c r="AT37" s="171" t="s" ph="1">
        <v>214</v>
      </c>
      <c r="AU37" s="171" t="s" ph="1">
        <v>215</v>
      </c>
      <c r="AV37" s="171" t="s" ph="1">
        <v>213</v>
      </c>
      <c r="AW37" s="171" t="s" ph="1">
        <v>214</v>
      </c>
      <c r="AX37" s="171" t="s" ph="1">
        <v>215</v>
      </c>
      <c r="AY37" s="171" t="s" ph="1">
        <v>214</v>
      </c>
      <c r="AZ37" s="171" t="s" ph="1">
        <v>216</v>
      </c>
      <c r="BD37" s="171" t="s" ph="1">
        <v>308</v>
      </c>
      <c r="BE37" s="17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1" priority="96">
      <formula>ABS(D$7-D$10)&gt;=1000</formula>
    </cfRule>
  </conditionalFormatting>
  <conditionalFormatting sqref="E4 E6:E11">
    <cfRule type="expression" dxfId="250" priority="95">
      <formula>ABS(E$7-E$10)&gt;=1000</formula>
    </cfRule>
  </conditionalFormatting>
  <conditionalFormatting sqref="F4:F11">
    <cfRule type="expression" dxfId="249" priority="94">
      <formula>ABS(F$7-F$10)&gt;=1000</formula>
    </cfRule>
  </conditionalFormatting>
  <conditionalFormatting sqref="G4:G11">
    <cfRule type="expression" dxfId="248" priority="93">
      <formula>ABS(G$7-G$10)&gt;=1000</formula>
    </cfRule>
  </conditionalFormatting>
  <conditionalFormatting sqref="H4:H11">
    <cfRule type="expression" dxfId="247" priority="92">
      <formula>ABS(H$7-H$10)&gt;=1000</formula>
    </cfRule>
  </conditionalFormatting>
  <conditionalFormatting sqref="I4:I11">
    <cfRule type="expression" dxfId="246" priority="91">
      <formula>ABS(I$7-I$10)&gt;=1000</formula>
    </cfRule>
  </conditionalFormatting>
  <conditionalFormatting sqref="J4:J11">
    <cfRule type="expression" dxfId="245" priority="90">
      <formula>ABS(J$7-J$10)&gt;=1000</formula>
    </cfRule>
  </conditionalFormatting>
  <conditionalFormatting sqref="K4:K11">
    <cfRule type="expression" dxfId="244" priority="89">
      <formula>ABS(K$7-K$10)&gt;=1000</formula>
    </cfRule>
  </conditionalFormatting>
  <conditionalFormatting sqref="L4:L11">
    <cfRule type="expression" dxfId="243" priority="88">
      <formula>ABS(L$7-L$10)&gt;=1000</formula>
    </cfRule>
  </conditionalFormatting>
  <conditionalFormatting sqref="M4 M6:M11">
    <cfRule type="expression" dxfId="242" priority="87">
      <formula>ABS(M$7-M$10)&gt;=1000</formula>
    </cfRule>
  </conditionalFormatting>
  <conditionalFormatting sqref="N4 N6:N11">
    <cfRule type="expression" dxfId="241" priority="86">
      <formula>ABS(N$7-N$10)&gt;=1000</formula>
    </cfRule>
  </conditionalFormatting>
  <conditionalFormatting sqref="O4 O6:O11">
    <cfRule type="expression" dxfId="240" priority="85">
      <formula>ABS(O$7-O$10)&gt;=1000</formula>
    </cfRule>
  </conditionalFormatting>
  <conditionalFormatting sqref="P4 P6:P11">
    <cfRule type="expression" dxfId="239" priority="84">
      <formula>ABS(P$7-P$10)&gt;=1000</formula>
    </cfRule>
  </conditionalFormatting>
  <conditionalFormatting sqref="Q4:Q11">
    <cfRule type="expression" dxfId="238" priority="83">
      <formula>ABS(Q$7-Q$10)&gt;=1000</formula>
    </cfRule>
  </conditionalFormatting>
  <conditionalFormatting sqref="R4:R11">
    <cfRule type="expression" dxfId="237" priority="82">
      <formula>ABS(R$7-R$10)&gt;=1000</formula>
    </cfRule>
  </conditionalFormatting>
  <conditionalFormatting sqref="S4:S11">
    <cfRule type="expression" dxfId="236" priority="81">
      <formula>ABS(S$7-S$10)&gt;=1000</formula>
    </cfRule>
  </conditionalFormatting>
  <conditionalFormatting sqref="T4:T9 T11">
    <cfRule type="expression" dxfId="235" priority="80">
      <formula>ABS(T$7-T$10)&gt;=1000</formula>
    </cfRule>
  </conditionalFormatting>
  <conditionalFormatting sqref="U4:U9 U11">
    <cfRule type="expression" dxfId="234" priority="79">
      <formula>ABS(U$7-U$10)&gt;=1000</formula>
    </cfRule>
  </conditionalFormatting>
  <conditionalFormatting sqref="V4:V9 V11">
    <cfRule type="expression" dxfId="233" priority="78">
      <formula>ABS(V$7-V$10)&gt;=1000</formula>
    </cfRule>
  </conditionalFormatting>
  <conditionalFormatting sqref="W4:W9 W11">
    <cfRule type="expression" dxfId="232" priority="77">
      <formula>ABS(W$7-W$10)&gt;=1000</formula>
    </cfRule>
  </conditionalFormatting>
  <conditionalFormatting sqref="X4:X9 X11">
    <cfRule type="expression" dxfId="231" priority="76">
      <formula>ABS(X$7-X$10)&gt;=1000</formula>
    </cfRule>
  </conditionalFormatting>
  <conditionalFormatting sqref="Y4:Y9 Y11">
    <cfRule type="expression" dxfId="230" priority="75">
      <formula>ABS(Y$7-Y$10)&gt;=1000</formula>
    </cfRule>
  </conditionalFormatting>
  <conditionalFormatting sqref="Z4:Z11">
    <cfRule type="expression" dxfId="229" priority="74">
      <formula>ABS(Z$7-Z$10)&gt;=1000</formula>
    </cfRule>
  </conditionalFormatting>
  <conditionalFormatting sqref="AA4:AA11">
    <cfRule type="expression" dxfId="228" priority="73">
      <formula>ABS(AA$7-AA$10)&gt;=1000</formula>
    </cfRule>
  </conditionalFormatting>
  <conditionalFormatting sqref="AB4:AB11">
    <cfRule type="expression" dxfId="227" priority="72">
      <formula>ABS(AB$7-AB$10)&gt;=1000</formula>
    </cfRule>
  </conditionalFormatting>
  <conditionalFormatting sqref="AC4 AC6:AC11">
    <cfRule type="expression" dxfId="226" priority="71">
      <formula>ABS(AC$7-AC$10)&gt;=1000</formula>
    </cfRule>
  </conditionalFormatting>
  <conditionalFormatting sqref="AD4:AD11">
    <cfRule type="expression" dxfId="225" priority="70">
      <formula>ABS(AD$7-AD$10)&gt;=1000</formula>
    </cfRule>
  </conditionalFormatting>
  <conditionalFormatting sqref="AE4:AE11">
    <cfRule type="expression" dxfId="224" priority="69">
      <formula>ABS(AE$7-AE$10)&gt;=1000</formula>
    </cfRule>
  </conditionalFormatting>
  <conditionalFormatting sqref="D13:D20">
    <cfRule type="expression" dxfId="223" priority="68">
      <formula>ABS(D$16-D$19)&gt;=1000</formula>
    </cfRule>
  </conditionalFormatting>
  <conditionalFormatting sqref="E13:E20">
    <cfRule type="expression" dxfId="222" priority="67">
      <formula>ABS(E$16-E$19)&gt;=1000</formula>
    </cfRule>
  </conditionalFormatting>
  <conditionalFormatting sqref="F13 F15:F20">
    <cfRule type="expression" dxfId="221" priority="66">
      <formula>ABS(F$16-F$19)&gt;=1000</formula>
    </cfRule>
  </conditionalFormatting>
  <conditionalFormatting sqref="G13:G20">
    <cfRule type="expression" dxfId="220" priority="65">
      <formula>ABS(G$16-G$19)&gt;=1000</formula>
    </cfRule>
  </conditionalFormatting>
  <conditionalFormatting sqref="H13:H20">
    <cfRule type="expression" dxfId="219" priority="64">
      <formula>ABS(H$16-H$19)&gt;=1000</formula>
    </cfRule>
  </conditionalFormatting>
  <conditionalFormatting sqref="I13:I20">
    <cfRule type="expression" dxfId="218" priority="63">
      <formula>ABS(I$16-I$19)&gt;=1000</formula>
    </cfRule>
  </conditionalFormatting>
  <conditionalFormatting sqref="J13:J20">
    <cfRule type="expression" dxfId="217" priority="62">
      <formula>ABS(J$16-J$19)&gt;=1000</formula>
    </cfRule>
  </conditionalFormatting>
  <conditionalFormatting sqref="L13:L20">
    <cfRule type="expression" dxfId="216" priority="61">
      <formula>ABS(L$16-L$19)&gt;=1000</formula>
    </cfRule>
  </conditionalFormatting>
  <conditionalFormatting sqref="M13 M15 M17:M18 M20">
    <cfRule type="expression" dxfId="215" priority="60">
      <formula>ABS(M$16-M$19)&gt;=1000</formula>
    </cfRule>
  </conditionalFormatting>
  <conditionalFormatting sqref="N13:N20">
    <cfRule type="expression" dxfId="214" priority="59">
      <formula>ABS(N$16-N$19)&gt;=1000</formula>
    </cfRule>
  </conditionalFormatting>
  <conditionalFormatting sqref="O13:O20">
    <cfRule type="expression" dxfId="213" priority="58">
      <formula>ABS(O$16-O$19)&gt;=1000</formula>
    </cfRule>
  </conditionalFormatting>
  <conditionalFormatting sqref="P13:P20">
    <cfRule type="expression" dxfId="212" priority="57">
      <formula>ABS(P$16-P$19)&gt;=1000</formula>
    </cfRule>
  </conditionalFormatting>
  <conditionalFormatting sqref="Q13 Q15:Q20">
    <cfRule type="expression" dxfId="211" priority="56">
      <formula>ABS(Q$16-Q$19)&gt;=1000</formula>
    </cfRule>
  </conditionalFormatting>
  <conditionalFormatting sqref="R13:R20">
    <cfRule type="expression" dxfId="210" priority="55">
      <formula>ABS(R$16-R$19)&gt;=1000</formula>
    </cfRule>
  </conditionalFormatting>
  <conditionalFormatting sqref="S13:S20">
    <cfRule type="expression" dxfId="209" priority="54">
      <formula>ABS(S$16-S$19)&gt;=1000</formula>
    </cfRule>
  </conditionalFormatting>
  <conditionalFormatting sqref="T13:T20">
    <cfRule type="expression" dxfId="208" priority="53">
      <formula>ABS(T$16-T$19)&gt;=1000</formula>
    </cfRule>
  </conditionalFormatting>
  <conditionalFormatting sqref="U13:U20">
    <cfRule type="expression" dxfId="207" priority="52">
      <formula>ABS(U$16-U$19)&gt;=1000</formula>
    </cfRule>
  </conditionalFormatting>
  <conditionalFormatting sqref="V13:V20">
    <cfRule type="expression" dxfId="206" priority="51">
      <formula>ABS(V$16-V$19)&gt;=1000</formula>
    </cfRule>
  </conditionalFormatting>
  <conditionalFormatting sqref="W13 W20 W15:W18">
    <cfRule type="expression" dxfId="205" priority="50">
      <formula>ABS(W$16-W$19)&gt;=1000</formula>
    </cfRule>
  </conditionalFormatting>
  <conditionalFormatting sqref="X13 X15:X20 Y19">
    <cfRule type="expression" dxfId="204" priority="49">
      <formula>ABS(X$16-X$19)&gt;=1000</formula>
    </cfRule>
  </conditionalFormatting>
  <conditionalFormatting sqref="Y13 Y15:Y18 Y20">
    <cfRule type="expression" dxfId="203" priority="48">
      <formula>ABS(Y$16-Y$19)&gt;=1000</formula>
    </cfRule>
  </conditionalFormatting>
  <conditionalFormatting sqref="Z13:Z20">
    <cfRule type="expression" dxfId="202" priority="47">
      <formula>ABS(Z$16-Z$19)&gt;=1000</formula>
    </cfRule>
  </conditionalFormatting>
  <conditionalFormatting sqref="AA13:AA20">
    <cfRule type="expression" dxfId="201" priority="46">
      <formula>ABS(AA$16-AA$19)&gt;=1000</formula>
    </cfRule>
  </conditionalFormatting>
  <conditionalFormatting sqref="AB13 AB15:AB20">
    <cfRule type="expression" dxfId="200" priority="45">
      <formula>ABS(AB$16-AB$19)&gt;=1000</formula>
    </cfRule>
  </conditionalFormatting>
  <conditionalFormatting sqref="AC13 AC15:AC20">
    <cfRule type="expression" dxfId="199" priority="44">
      <formula>ABS(AC$16-AC$19)&gt;=1000</formula>
    </cfRule>
  </conditionalFormatting>
  <conditionalFormatting sqref="AD13:AD20">
    <cfRule type="expression" dxfId="198" priority="43">
      <formula>ABS(AD$16-AD$19)&gt;=1000</formula>
    </cfRule>
  </conditionalFormatting>
  <conditionalFormatting sqref="AE13:AE20">
    <cfRule type="expression" dxfId="197" priority="42">
      <formula>ABS(AE$16-AE$19)&gt;=1000</formula>
    </cfRule>
  </conditionalFormatting>
  <conditionalFormatting sqref="D22:D29">
    <cfRule type="expression" dxfId="196" priority="41">
      <formula>ABS(D$25-D$28)&gt;=1000</formula>
    </cfRule>
  </conditionalFormatting>
  <conditionalFormatting sqref="E22:E29">
    <cfRule type="expression" dxfId="195" priority="40">
      <formula>ABS(E$25-E$28)&gt;=1000</formula>
    </cfRule>
  </conditionalFormatting>
  <conditionalFormatting sqref="F22:F29">
    <cfRule type="expression" dxfId="194" priority="39">
      <formula>ABS(F$25-F$28)&gt;=1000</formula>
    </cfRule>
  </conditionalFormatting>
  <conditionalFormatting sqref="G22:G29">
    <cfRule type="expression" dxfId="193" priority="38">
      <formula>ABS(G$25-G$28)&gt;=1000</formula>
    </cfRule>
  </conditionalFormatting>
  <conditionalFormatting sqref="H22:H29">
    <cfRule type="expression" dxfId="192" priority="37">
      <formula>ABS(H$25-H$28)&gt;=1000</formula>
    </cfRule>
  </conditionalFormatting>
  <conditionalFormatting sqref="I22 I24:I29">
    <cfRule type="expression" dxfId="191" priority="36">
      <formula>ABS(I$25-I$28)&gt;=1000</formula>
    </cfRule>
  </conditionalFormatting>
  <conditionalFormatting sqref="J22:J29 K22">
    <cfRule type="expression" dxfId="190" priority="35">
      <formula>ABS(J$25-J$28)&gt;=1000</formula>
    </cfRule>
  </conditionalFormatting>
  <conditionalFormatting sqref="K23:K29 L25 L28">
    <cfRule type="expression" dxfId="189" priority="34">
      <formula>ABS(K$25-K$28)&gt;=1000</formula>
    </cfRule>
  </conditionalFormatting>
  <conditionalFormatting sqref="L22:L24 L26:L27 L29">
    <cfRule type="expression" dxfId="188" priority="33">
      <formula>ABS(L$25-L$28)&gt;=1000</formula>
    </cfRule>
  </conditionalFormatting>
  <conditionalFormatting sqref="M22:M29">
    <cfRule type="expression" dxfId="187" priority="32">
      <formula>ABS(M$25-M$28)&gt;=1000</formula>
    </cfRule>
  </conditionalFormatting>
  <conditionalFormatting sqref="N22:N29">
    <cfRule type="expression" dxfId="186" priority="31">
      <formula>ABS(N$25-N$28)&gt;=1000</formula>
    </cfRule>
  </conditionalFormatting>
  <conditionalFormatting sqref="O22:O29">
    <cfRule type="expression" dxfId="185" priority="30">
      <formula>ABS(O$25-O$28)&gt;=1000</formula>
    </cfRule>
  </conditionalFormatting>
  <conditionalFormatting sqref="P22:P29">
    <cfRule type="expression" dxfId="184" priority="29">
      <formula>ABS(P$25-P$28)&gt;=1000</formula>
    </cfRule>
  </conditionalFormatting>
  <conditionalFormatting sqref="Q22:Q29">
    <cfRule type="expression" dxfId="183" priority="28">
      <formula>ABS(Q$25-Q$28)&gt;=1000</formula>
    </cfRule>
  </conditionalFormatting>
  <conditionalFormatting sqref="R22:R29">
    <cfRule type="expression" dxfId="182" priority="27">
      <formula>ABS(R$25-R$28)&gt;=1000</formula>
    </cfRule>
  </conditionalFormatting>
  <conditionalFormatting sqref="S22:S29">
    <cfRule type="expression" dxfId="181" priority="26">
      <formula>ABS(S$25-S$28)&gt;=1000</formula>
    </cfRule>
  </conditionalFormatting>
  <conditionalFormatting sqref="T22:T29">
    <cfRule type="expression" dxfId="180" priority="25">
      <formula>ABS(T$25-T$28)&gt;=1000</formula>
    </cfRule>
  </conditionalFormatting>
  <conditionalFormatting sqref="U22:U29">
    <cfRule type="expression" dxfId="179" priority="24">
      <formula>ABS(U$25-U$28)&gt;=1000</formula>
    </cfRule>
  </conditionalFormatting>
  <conditionalFormatting sqref="V22:V29">
    <cfRule type="expression" dxfId="178" priority="23">
      <formula>ABS(V$25-V$28)&gt;=1000</formula>
    </cfRule>
  </conditionalFormatting>
  <conditionalFormatting sqref="W22:W29">
    <cfRule type="expression" dxfId="177" priority="22">
      <formula>ABS(W$25-W$28)&gt;=1000</formula>
    </cfRule>
  </conditionalFormatting>
  <conditionalFormatting sqref="X22:X29">
    <cfRule type="expression" dxfId="176" priority="21">
      <formula>ABS(X$25-X$28)&gt;=1000</formula>
    </cfRule>
  </conditionalFormatting>
  <conditionalFormatting sqref="Y22:Y29">
    <cfRule type="expression" dxfId="175" priority="20">
      <formula>ABS(Y$25-Y$28)&gt;=1000</formula>
    </cfRule>
  </conditionalFormatting>
  <conditionalFormatting sqref="I23">
    <cfRule type="expression" dxfId="174" priority="19">
      <formula>ABS(I$25-I$28)&gt;=1000</formula>
    </cfRule>
  </conditionalFormatting>
  <conditionalFormatting sqref="F14">
    <cfRule type="expression" dxfId="173" priority="18">
      <formula>ABS(F$16-F$19)&gt;=1000</formula>
    </cfRule>
  </conditionalFormatting>
  <conditionalFormatting sqref="Q14">
    <cfRule type="expression" dxfId="172" priority="17">
      <formula>ABS(Q$16-Q$19)&gt;=1000</formula>
    </cfRule>
  </conditionalFormatting>
  <conditionalFormatting sqref="W14">
    <cfRule type="expression" dxfId="171" priority="16">
      <formula>ABS(W$16-W$19)&gt;=1000</formula>
    </cfRule>
  </conditionalFormatting>
  <conditionalFormatting sqref="Y14">
    <cfRule type="expression" dxfId="170" priority="15">
      <formula>ABS(Y$16-Y$19)&gt;=1000</formula>
    </cfRule>
  </conditionalFormatting>
  <conditionalFormatting sqref="X14">
    <cfRule type="expression" dxfId="169" priority="14">
      <formula>ABS(X$16-X$19)&gt;=1000</formula>
    </cfRule>
  </conditionalFormatting>
  <conditionalFormatting sqref="T10:Y10">
    <cfRule type="expression" dxfId="168" priority="13">
      <formula>ABS(T$7-T$10)&gt;=1000</formula>
    </cfRule>
  </conditionalFormatting>
  <conditionalFormatting sqref="W19">
    <cfRule type="expression" dxfId="167" priority="12">
      <formula>ABS(W$16-W$19)&gt;=1000</formula>
    </cfRule>
  </conditionalFormatting>
  <conditionalFormatting sqref="AC5">
    <cfRule type="expression" dxfId="166" priority="11">
      <formula>ABS(AC$7-AC$10)&gt;=1000</formula>
    </cfRule>
  </conditionalFormatting>
  <conditionalFormatting sqref="M14">
    <cfRule type="expression" dxfId="165" priority="10">
      <formula>ABS(M$16-M$19)&gt;=1000</formula>
    </cfRule>
  </conditionalFormatting>
  <conditionalFormatting sqref="M16">
    <cfRule type="expression" dxfId="164" priority="9">
      <formula>ABS(M$16-M$19)&gt;=1000</formula>
    </cfRule>
  </conditionalFormatting>
  <conditionalFormatting sqref="M19">
    <cfRule type="expression" dxfId="163" priority="8">
      <formula>ABS(M$16-M$19)&gt;=1000</formula>
    </cfRule>
  </conditionalFormatting>
  <conditionalFormatting sqref="K13:K20">
    <cfRule type="expression" dxfId="162" priority="7">
      <formula>ABS(K$16-K$19)&gt;=1000</formula>
    </cfRule>
  </conditionalFormatting>
  <conditionalFormatting sqref="E5">
    <cfRule type="expression" dxfId="161" priority="6">
      <formula>ABS(E$7-E$10)&gt;=1000</formula>
    </cfRule>
  </conditionalFormatting>
  <conditionalFormatting sqref="AB14:AC14">
    <cfRule type="expression" dxfId="160" priority="5">
      <formula>ABS(AB$16-AB$19)&gt;=1000</formula>
    </cfRule>
  </conditionalFormatting>
  <conditionalFormatting sqref="M5">
    <cfRule type="expression" dxfId="159" priority="4">
      <formula>ABS(M$7-M$10)&gt;=1000</formula>
    </cfRule>
  </conditionalFormatting>
  <conditionalFormatting sqref="N5">
    <cfRule type="expression" dxfId="158" priority="3">
      <formula>ABS(N$7-N$10)&gt;=1000</formula>
    </cfRule>
  </conditionalFormatting>
  <conditionalFormatting sqref="O5">
    <cfRule type="expression" dxfId="157" priority="2">
      <formula>ABS(O$7-O$10)&gt;=1000</formula>
    </cfRule>
  </conditionalFormatting>
  <conditionalFormatting sqref="P5">
    <cfRule type="expression" dxfId="156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39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25">
    <pageSetUpPr fitToPage="1"/>
  </sheetPr>
  <dimension ref="A1:CU223"/>
  <sheetViews>
    <sheetView tabSelected="1" view="pageBreakPreview" zoomScale="80" zoomScaleNormal="100" zoomScaleSheetLayoutView="80" workbookViewId="0">
      <selection activeCell="I8" sqref="I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196" t="s" ph="1">
        <v>162</v>
      </c>
      <c r="C1" s="196" ph="1"/>
      <c r="D1" s="196" ph="1"/>
      <c r="E1" s="196" ph="1"/>
      <c r="F1" s="196" ph="1"/>
      <c r="G1" s="196" ph="1"/>
      <c r="H1" s="196" ph="1"/>
      <c r="I1" s="196" ph="1"/>
      <c r="J1" s="196" ph="1"/>
      <c r="K1" s="196" ph="1"/>
      <c r="L1" s="196" ph="1"/>
      <c r="M1" s="196" ph="1"/>
      <c r="N1" s="196" ph="1"/>
      <c r="O1" s="196" ph="1"/>
      <c r="P1" s="196" ph="1"/>
      <c r="Q1" s="196" ph="1"/>
      <c r="R1" s="196" ph="1"/>
      <c r="S1" s="196" ph="1"/>
      <c r="T1" s="196" ph="1"/>
      <c r="U1" s="196" ph="1"/>
      <c r="V1" s="196" ph="1"/>
      <c r="W1" s="196" ph="1"/>
      <c r="X1" s="196" ph="1"/>
      <c r="Y1" s="196" ph="1"/>
      <c r="Z1" s="196" ph="1"/>
      <c r="AA1" s="196" ph="1"/>
      <c r="AB1" s="196" ph="1"/>
      <c r="AC1" s="196" ph="1"/>
      <c r="AD1" s="196" ph="1"/>
      <c r="AE1" s="196" ph="1"/>
    </row>
    <row r="2" spans="1:99" s="66" customFormat="1" ht="24" customHeight="1" ph="1">
      <c r="B2" s="197" t="s" ph="1">
        <v>82</v>
      </c>
      <c r="C2" s="197" ph="1"/>
      <c r="D2" s="197" ph="1"/>
      <c r="E2" s="197" ph="1"/>
      <c r="F2" s="197" ph="1"/>
      <c r="G2" s="197" ph="1"/>
      <c r="H2" s="197" ph="1"/>
      <c r="I2" s="197" ph="1"/>
      <c r="J2" s="197" ph="1"/>
      <c r="K2" s="197" ph="1"/>
      <c r="L2" s="197" ph="1"/>
      <c r="M2" s="197" ph="1"/>
      <c r="N2" s="197" ph="1"/>
      <c r="O2" s="197" ph="1"/>
      <c r="P2" s="197" ph="1"/>
      <c r="Q2" s="197" ph="1"/>
      <c r="R2" s="197" ph="1"/>
      <c r="S2" s="197" ph="1"/>
      <c r="T2" s="197" ph="1"/>
      <c r="U2" s="197" ph="1"/>
      <c r="V2" s="197" ph="1"/>
      <c r="W2" s="197" ph="1"/>
      <c r="X2" s="197" ph="1"/>
      <c r="Y2" s="197" ph="1"/>
      <c r="Z2" s="197" ph="1"/>
      <c r="AA2" s="197" ph="1"/>
      <c r="AB2" s="197" ph="1"/>
      <c r="AC2" s="197" ph="1"/>
      <c r="AD2" s="197" ph="1"/>
      <c r="AE2" s="197" ph="1"/>
    </row>
    <row r="3" spans="1:99" ht="21" customHeight="1" ph="1">
      <c r="B3" s="198" ph="1">
        <v>45777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</row>
    <row r="4" spans="1:99" s="69" customFormat="1" ph="1">
      <c r="A4" s="65" ph="1"/>
      <c r="B4" s="199" t="s" ph="1">
        <v>37</v>
      </c>
      <c r="C4" s="67" t="s" ph="1">
        <v>177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111</v>
      </c>
      <c r="J4" s="68" t="s" ph="1">
        <v>48</v>
      </c>
      <c r="K4" s="68" t="s" ph="1">
        <v>112</v>
      </c>
      <c r="L4" s="68" t="s" ph="1">
        <v>113</v>
      </c>
      <c r="M4" s="68" t="s" ph="1">
        <v>49</v>
      </c>
      <c r="N4" s="68" t="s" ph="1">
        <v>50</v>
      </c>
      <c r="O4" s="68" t="s" ph="1">
        <v>114</v>
      </c>
      <c r="P4" s="68" t="s" ph="1">
        <v>115</v>
      </c>
      <c r="Q4" s="68" t="s" ph="1">
        <v>116</v>
      </c>
      <c r="R4" s="68" t="s" ph="1">
        <v>117</v>
      </c>
      <c r="S4" s="68" t="s" ph="1">
        <v>118</v>
      </c>
      <c r="T4" s="68" t="s" ph="1">
        <v>119</v>
      </c>
      <c r="U4" s="68" t="s" ph="1">
        <v>120</v>
      </c>
      <c r="V4" s="68" t="s" ph="1">
        <v>121</v>
      </c>
      <c r="W4" s="68" t="s" ph="1">
        <v>122</v>
      </c>
      <c r="X4" s="68" t="s" ph="1">
        <v>123</v>
      </c>
      <c r="Y4" s="68" t="s" ph="1">
        <v>124</v>
      </c>
      <c r="Z4" s="68" t="s" ph="1">
        <v>51</v>
      </c>
      <c r="AA4" s="68" t="s" ph="1">
        <v>125</v>
      </c>
      <c r="AB4" s="68" t="s" ph="1">
        <v>126</v>
      </c>
      <c r="AC4" s="68" t="s" ph="1">
        <v>127</v>
      </c>
      <c r="AD4" s="68" t="s" ph="1">
        <v>40</v>
      </c>
      <c r="AE4" s="68" t="s" ph="1">
        <v>128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9" ph="1"/>
      <c r="C5" s="67" t="s" ph="1">
        <v>36</v>
      </c>
      <c r="D5" s="70" t="s" ph="1">
        <v>161</v>
      </c>
      <c r="E5" s="70" t="s" ph="1">
        <v>644</v>
      </c>
      <c r="F5" s="70" t="s" ph="1">
        <v>1</v>
      </c>
      <c r="G5" s="70" t="s" ph="1">
        <v>7</v>
      </c>
      <c r="H5" s="70" t="s" ph="1">
        <v>7</v>
      </c>
      <c r="I5" s="70" t="s" ph="1">
        <v>614</v>
      </c>
      <c r="J5" s="70" t="s" ph="1">
        <v>615</v>
      </c>
      <c r="K5" s="70" t="s" ph="1">
        <v>617</v>
      </c>
      <c r="L5" s="70" t="s" ph="1">
        <v>619</v>
      </c>
      <c r="M5" s="70" t="s" ph="1">
        <v>614</v>
      </c>
      <c r="N5" s="70" t="s" ph="1">
        <v>615</v>
      </c>
      <c r="O5" s="70" t="s" ph="1">
        <v>617</v>
      </c>
      <c r="P5" s="70" t="s" ph="1">
        <v>619</v>
      </c>
      <c r="Q5" s="70" t="s" ph="1">
        <v>613</v>
      </c>
      <c r="R5" s="70" t="s" ph="1">
        <v>613</v>
      </c>
      <c r="S5" s="70" t="s" ph="1">
        <v>613</v>
      </c>
      <c r="T5" s="70" t="s" ph="1">
        <v>613</v>
      </c>
      <c r="U5" s="70" t="s" ph="1">
        <v>613</v>
      </c>
      <c r="V5" s="70" t="s" ph="1">
        <v>613</v>
      </c>
      <c r="W5" s="70" t="s" ph="1">
        <v>613</v>
      </c>
      <c r="X5" s="70" t="s" ph="1">
        <v>613</v>
      </c>
      <c r="Y5" s="70" t="s" ph="1">
        <v>613</v>
      </c>
      <c r="Z5" s="70" t="s" ph="1">
        <v>620</v>
      </c>
      <c r="AA5" s="70" t="s" ph="1">
        <v>54</v>
      </c>
      <c r="AB5" s="70" t="s" ph="1">
        <v>54</v>
      </c>
      <c r="AC5" s="70" t="s" ph="1">
        <v>621</v>
      </c>
      <c r="AD5" s="70" t="s" ph="1">
        <v>72</v>
      </c>
      <c r="AE5" s="70" t="s" ph="1">
        <v>612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5" ph="1">
        <v>0.33333333333333331</v>
      </c>
      <c r="C6" s="173" t="s" ph="1">
        <v>178</v>
      </c>
      <c r="D6" s="71">
        <v>4177</v>
      </c>
      <c r="E6" s="71">
        <v>4260</v>
      </c>
      <c r="F6" s="71">
        <v>4632</v>
      </c>
      <c r="G6" s="71">
        <v>2158</v>
      </c>
      <c r="H6" s="71">
        <v>8077</v>
      </c>
      <c r="I6" s="71">
        <v>5.1100000000000003</v>
      </c>
      <c r="J6" s="71">
        <v>7.86</v>
      </c>
      <c r="K6" s="71">
        <v>7.42</v>
      </c>
      <c r="L6" s="71">
        <v>35.1</v>
      </c>
      <c r="M6" s="71">
        <v>1382</v>
      </c>
      <c r="N6" s="71">
        <v>6733</v>
      </c>
      <c r="O6" s="71">
        <v>2498</v>
      </c>
      <c r="P6" s="71">
        <v>822</v>
      </c>
      <c r="Q6" s="71">
        <v>0</v>
      </c>
      <c r="R6" s="71">
        <v>0</v>
      </c>
      <c r="S6" s="71">
        <v>0</v>
      </c>
      <c r="T6" s="71">
        <v>7138</v>
      </c>
      <c r="U6" s="71">
        <v>0</v>
      </c>
      <c r="V6" s="71">
        <v>6370</v>
      </c>
      <c r="W6" s="71">
        <v>0</v>
      </c>
      <c r="X6" s="71">
        <v>0</v>
      </c>
      <c r="Y6" s="71">
        <v>0</v>
      </c>
      <c r="Z6" s="71">
        <v>6340</v>
      </c>
      <c r="AA6" s="71">
        <v>2166</v>
      </c>
      <c r="AB6" s="71">
        <v>3519</v>
      </c>
      <c r="AC6" s="71">
        <v>5875</v>
      </c>
      <c r="AD6" s="71">
        <v>3824</v>
      </c>
      <c r="AE6" s="71">
        <v>4361</v>
      </c>
    </row>
    <row r="7" spans="1:99" s="72" customFormat="1" ht="22.2" ph="1">
      <c r="B7" s="195" ph="1"/>
      <c r="C7" s="68" t="s" ph="1">
        <v>179</v>
      </c>
      <c r="D7" s="73" ph="1">
        <f>D6*33.183*LOOKUP(D8,密度!$A$2:$A$50,密度!$Q$2:$Q$50)</f>
        <v>131324.44981077002</v>
      </c>
      <c r="E7" s="73" ph="1">
        <f>E6*51.53*LOOKUP(E8,密度!$A$2:$A$50,密度!$B$2:$B$50)</f>
        <v>171728.77494</v>
      </c>
      <c r="F7" s="73" ph="1">
        <f>F6*33.183*LOOKUP(F8,密度!$A$2:$A$50,密度!$C$2:$C$50)</f>
        <v>170549.57669759999</v>
      </c>
      <c r="G7" s="73" ph="1">
        <f xml:space="preserve"> (G6+2)*51.53*LOOKUP(G8,密度!$A$2:$A$50,密度!$B$2:$B$50)</f>
        <v>86973.570720000003</v>
      </c>
      <c r="H7" s="73" ph="1">
        <f>(H6)*51.53*LOOKUP(H8,密度!$A$2:$A$50,密度!$B$2:$B$50)</f>
        <v>326681.51006900001</v>
      </c>
      <c r="I7" s="73" ph="1">
        <f>I6*290.8*1.0267</f>
        <v>1525.6638796</v>
      </c>
      <c r="J7" s="73" ph="1">
        <f>J6*290.8*0.7892</f>
        <v>1803.8649696000002</v>
      </c>
      <c r="K7" s="73" ph="1">
        <f>K6*290.8*1.1126</f>
        <v>2400.6970735999998</v>
      </c>
      <c r="L7" s="73" ph="1">
        <f>L6*290.8*0.777</f>
        <v>7930.9011600000003</v>
      </c>
      <c r="M7" s="73" ph="1">
        <f>M6*33.183*LOOKUP(M8,密度!$A$2:$A$50,密度!$D$2:$D$50)</f>
        <v>47042.065774800001</v>
      </c>
      <c r="N7" s="73" ph="1">
        <f>N6*33.183*LOOKUP(N8,密度!$A$2:$A$50,密度!$E$2:$E$50)</f>
        <v>175251.5414316</v>
      </c>
      <c r="O7" s="73" ph="1">
        <f>O6*20.428*LOOKUP(O8,密度!$A$2:$A$50,密度!$C$2:$C$50)</f>
        <v>56468.850750400001</v>
      </c>
      <c r="P7" s="73" ph="1">
        <f>P6*51.53*LOOKUP(P8,密度!$A$2:$A$50,密度!$B$2:$B$50)</f>
        <v>33212.641206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47579.693792399994</v>
      </c>
      <c r="U7" s="73" ph="1">
        <f>U6*1.5*1.5*3.1416*LOOKUP(U8,密度!$A$2:$A$50,密度!$L$2:$L$50)</f>
        <v>0</v>
      </c>
      <c r="V7" s="73" ph="1">
        <f>V6*1.5*1.5*3.1416*LOOKUP(V8,密度!$A$2:$A$50,密度!$L$2:$L$50)</f>
        <v>42055.201187999999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197336.64635999998</v>
      </c>
      <c r="AA7" s="73" ph="1">
        <f>AA6*33.183*LOOKUP(AA8,密度!$A$2:$A$50,密度!$D$2:$D$50)</f>
        <v>73858.110832799997</v>
      </c>
      <c r="AB7" s="73" ph="1">
        <f>AB6*20.428*LOOKUP(AB8,密度!$A$2:$A$50,密度!$D$2:$D$50)</f>
        <v>74509.975817999992</v>
      </c>
      <c r="AC7" s="73" ph="1">
        <f>AC6*51.53*LOOKUP(AC8,密度!$A$2:$A$50,密度!$Q$2:$Q$50)</f>
        <v>287507.96348750003</v>
      </c>
      <c r="AD7" s="73" ph="1">
        <f>AD6*20.428*LOOKUP(AD8,密度!$A$2:$A$50,密度!$V$2:$V$50)</f>
        <v>74804.52510720001</v>
      </c>
      <c r="AE7" s="73" ph="1">
        <f>AE6*20.428</f>
        <v>89086.508000000002</v>
      </c>
    </row>
    <row r="8" spans="1:99" ph="1">
      <c r="B8" s="195" ph="1"/>
      <c r="C8" s="68" t="s" ph="1">
        <v>180</v>
      </c>
      <c r="D8" s="74">
        <v>24</v>
      </c>
      <c r="E8" s="74">
        <v>22</v>
      </c>
      <c r="F8" s="74">
        <v>24</v>
      </c>
      <c r="G8" s="74">
        <v>23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26</v>
      </c>
      <c r="N8" s="74">
        <v>24</v>
      </c>
      <c r="O8" s="74">
        <v>28</v>
      </c>
      <c r="P8" s="74">
        <v>20</v>
      </c>
      <c r="Q8" s="74">
        <v>21</v>
      </c>
      <c r="R8" s="74">
        <v>29</v>
      </c>
      <c r="S8" s="74">
        <v>19</v>
      </c>
      <c r="T8" s="74">
        <v>19</v>
      </c>
      <c r="U8" s="74">
        <v>22</v>
      </c>
      <c r="V8" s="74">
        <v>28</v>
      </c>
      <c r="W8" s="74">
        <v>23</v>
      </c>
      <c r="X8" s="74">
        <v>14</v>
      </c>
      <c r="Y8" s="74">
        <v>23</v>
      </c>
      <c r="Z8" s="74">
        <v>24</v>
      </c>
      <c r="AA8" s="74">
        <v>24</v>
      </c>
      <c r="AB8" s="74">
        <v>14</v>
      </c>
      <c r="AC8" s="74">
        <v>21</v>
      </c>
      <c r="AD8" s="74">
        <v>27</v>
      </c>
      <c r="AE8" s="74">
        <v>28</v>
      </c>
    </row>
    <row r="9" spans="1:99" ht="26.4" ph="1">
      <c r="B9" s="195" ph="1">
        <v>0.66666666666666663</v>
      </c>
      <c r="C9" s="173" t="s" ph="1">
        <v>181</v>
      </c>
      <c r="D9" s="71">
        <v>4179</v>
      </c>
      <c r="E9" s="71">
        <v>4250</v>
      </c>
      <c r="F9" s="71">
        <v>4633</v>
      </c>
      <c r="G9" s="71">
        <v>4450</v>
      </c>
      <c r="H9" s="71">
        <v>8092</v>
      </c>
      <c r="I9" s="71">
        <v>0</v>
      </c>
      <c r="J9" s="71">
        <v>7.85</v>
      </c>
      <c r="K9" s="71">
        <v>7.46</v>
      </c>
      <c r="L9" s="71">
        <v>13.39</v>
      </c>
      <c r="M9" s="71">
        <v>1382</v>
      </c>
      <c r="N9" s="71">
        <v>6474</v>
      </c>
      <c r="O9" s="71">
        <v>1578</v>
      </c>
      <c r="P9" s="71">
        <v>973</v>
      </c>
      <c r="Q9" s="71">
        <v>0</v>
      </c>
      <c r="R9" s="71">
        <v>0</v>
      </c>
      <c r="S9" s="71">
        <v>0</v>
      </c>
      <c r="T9" s="71">
        <v>5075</v>
      </c>
      <c r="U9" s="71">
        <v>6378</v>
      </c>
      <c r="V9" s="71">
        <v>4640</v>
      </c>
      <c r="W9" s="71">
        <v>2445</v>
      </c>
      <c r="X9" s="71">
        <v>0</v>
      </c>
      <c r="Y9" s="71">
        <v>0</v>
      </c>
      <c r="Z9" s="71">
        <v>3282</v>
      </c>
      <c r="AA9" s="71">
        <v>2170</v>
      </c>
      <c r="AB9" s="71">
        <v>3522</v>
      </c>
      <c r="AC9" s="71">
        <v>5879</v>
      </c>
      <c r="AD9" s="71">
        <v>4429</v>
      </c>
      <c r="AE9" s="71">
        <v>4528</v>
      </c>
    </row>
    <row r="10" spans="1:99" s="72" customFormat="1" ht="22.2" ph="1">
      <c r="B10" s="195" ph="1"/>
      <c r="C10" s="173" t="s" ph="1">
        <v>179</v>
      </c>
      <c r="D10" s="73" ph="1">
        <f>D9*33.183*LOOKUP(D11,密度!$A$2:$A$50,密度!$Q$2:$Q$50)</f>
        <v>131089.18532724</v>
      </c>
      <c r="E10" s="73" ph="1">
        <f>E9*51.53*LOOKUP(E11,密度!$A$2:$A$50,密度!$B$2:$B$50)</f>
        <v>170362.04475</v>
      </c>
      <c r="F10" s="73" ph="1">
        <f>F9*33.183*LOOKUP(F11,密度!$A$2:$A$50,密度!$C$2:$C$50)</f>
        <v>170478.78076710002</v>
      </c>
      <c r="G10" s="73" ph="1">
        <f xml:space="preserve"> (G9+2)*51.53*LOOKUP(G11,密度!$A$2:$A$50,密度!$B$2:$B$50)</f>
        <v>178642.78177199999</v>
      </c>
      <c r="H10" s="73" ph="1">
        <f>(H9)*51.53*LOOKUP(H11,密度!$A$2:$A$50,密度!$B$2:$B$50)</f>
        <v>324702.91781199997</v>
      </c>
      <c r="I10" s="73" ph="1">
        <f>I9*290.8*1.0267</f>
        <v>0</v>
      </c>
      <c r="J10" s="73" ph="1">
        <f>J9*290.8*0.7892</f>
        <v>1801.5699760000002</v>
      </c>
      <c r="K10" s="73" ph="1">
        <f>K9*290.8*1.1126</f>
        <v>2413.6388367999998</v>
      </c>
      <c r="L10" s="73" ph="1">
        <f>L9*290.8*0.777</f>
        <v>3025.4919240000004</v>
      </c>
      <c r="M10" s="73" ph="1">
        <f>M9*33.183*LOOKUP(M11,密度!$A$2:$A$50,密度!$D$2:$D$50)</f>
        <v>46954.933853400005</v>
      </c>
      <c r="N10" s="73" ph="1">
        <f>N9*33.183*LOOKUP(N11,密度!$A$2:$A$50,密度!$E$2:$E$50)</f>
        <v>167779.68550200001</v>
      </c>
      <c r="O10" s="73" ph="1">
        <f>O9*20.428*LOOKUP(O11,密度!$A$2:$A$50,密度!$C$2:$C$50)</f>
        <v>35555.628552000002</v>
      </c>
      <c r="P10" s="73" ph="1">
        <f>P9*51.53*LOOKUP(P11,密度!$A$2:$A$50,密度!$B$2:$B$50)</f>
        <v>39088.122724000001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33756.629444999999</v>
      </c>
      <c r="U10" s="73" ph="1">
        <f>U9*1.5*1.5*3.1416*LOOKUP(U11,密度!$A$2:$A$50,密度!$L$2:$L$50)</f>
        <v>42243.268359600006</v>
      </c>
      <c r="V10" s="73" ph="1">
        <f>V9*1.5*1.5*3.1416*LOOKUP(V11,密度!$A$2:$A$50,密度!$L$2:$L$50)</f>
        <v>30633.615935999998</v>
      </c>
      <c r="W10" s="73" ph="1">
        <f>W9*1.5*1.5*3.1416*LOOKUP(W11,密度!$A$2:$A$50,密度!$L$2:$L$50)</f>
        <v>16193.915198999999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102045.489822</v>
      </c>
      <c r="AA10" s="73" ph="1">
        <f>AA9*33.183*LOOKUP(AA11,密度!$A$2:$A$50,密度!$D$2:$D$50)</f>
        <v>73461.653621999998</v>
      </c>
      <c r="AB10" s="73" ph="1">
        <f>AB9*20.428*LOOKUP(AB11,密度!$A$2:$A$50,密度!$D$2:$D$50)</f>
        <v>74386.433402399998</v>
      </c>
      <c r="AC10" s="73" ph="1">
        <f>AC9*51.53*LOOKUP(AC11,密度!$A$2:$A$50,密度!$Q$2:$Q$50)</f>
        <v>287031.17597889999</v>
      </c>
      <c r="AD10" s="73" ph="1">
        <f>AD9*20.428*LOOKUP(AD11,密度!$A$2:$A$50,密度!$V$2:$V$50)</f>
        <v>86639.446051200008</v>
      </c>
      <c r="AE10" s="73" ph="1">
        <f>AE9*20.428</f>
        <v>92497.983999999997</v>
      </c>
    </row>
    <row r="11" spans="1:99" ph="1">
      <c r="A11" s="64" t="s" ph="1">
        <v>163</v>
      </c>
      <c r="B11" s="195" ph="1"/>
      <c r="C11" s="173" t="s" ph="1">
        <v>180</v>
      </c>
      <c r="D11" s="74">
        <v>27</v>
      </c>
      <c r="E11" s="74">
        <v>27</v>
      </c>
      <c r="F11" s="74">
        <v>25</v>
      </c>
      <c r="G11" s="74">
        <v>26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28</v>
      </c>
      <c r="N11" s="74">
        <v>27</v>
      </c>
      <c r="O11" s="74">
        <v>32</v>
      </c>
      <c r="P11" s="74">
        <v>25</v>
      </c>
      <c r="Q11" s="74">
        <v>29</v>
      </c>
      <c r="R11" s="74">
        <v>33</v>
      </c>
      <c r="S11" s="74">
        <v>20</v>
      </c>
      <c r="T11" s="74">
        <v>21</v>
      </c>
      <c r="U11" s="74">
        <v>25</v>
      </c>
      <c r="V11" s="74">
        <v>28</v>
      </c>
      <c r="W11" s="74">
        <v>25</v>
      </c>
      <c r="X11" s="74">
        <v>20</v>
      </c>
      <c r="Y11" s="74">
        <v>28</v>
      </c>
      <c r="Z11" s="74">
        <v>25</v>
      </c>
      <c r="AA11" s="74">
        <v>32</v>
      </c>
      <c r="AB11" s="74">
        <v>17</v>
      </c>
      <c r="AC11" s="74">
        <v>24</v>
      </c>
      <c r="AD11" s="74">
        <v>36</v>
      </c>
      <c r="AE11" s="74">
        <v>30</v>
      </c>
    </row>
    <row r="12" spans="1:99" ht="9.9" customHeight="1" ph="1"/>
    <row r="13" spans="1:99" s="72" customFormat="1" ht="29.25" customHeight="1" ph="1">
      <c r="B13" s="203" t="s" ph="1">
        <v>37</v>
      </c>
      <c r="C13" s="173" t="s" ph="1">
        <v>177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129</v>
      </c>
      <c r="I13" s="76" t="s" ph="1">
        <v>59</v>
      </c>
      <c r="J13" s="76" t="s" ph="1">
        <v>130</v>
      </c>
      <c r="K13" s="76" t="s" ph="1">
        <v>55</v>
      </c>
      <c r="L13" s="76" t="s" ph="1">
        <v>60</v>
      </c>
      <c r="M13" s="76" t="s" ph="1">
        <v>61</v>
      </c>
      <c r="N13" s="76" t="s" ph="1">
        <v>131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132</v>
      </c>
      <c r="W13" s="76" t="s" ph="1">
        <v>133</v>
      </c>
      <c r="X13" s="76" t="s" ph="1">
        <v>134</v>
      </c>
      <c r="Y13" s="105" t="s" ph="1">
        <v>68</v>
      </c>
      <c r="Z13" s="76" t="s" ph="1">
        <v>74</v>
      </c>
      <c r="AA13" s="76" t="s" ph="1">
        <v>135</v>
      </c>
      <c r="AB13" s="76" t="s" ph="1">
        <v>136</v>
      </c>
      <c r="AC13" s="76" t="s" ph="1">
        <v>137</v>
      </c>
      <c r="AD13" s="76" t="s" ph="1">
        <v>138</v>
      </c>
      <c r="AE13" s="76" t="s" ph="1">
        <v>139</v>
      </c>
      <c r="AG13" s="72" t="s" ph="1">
        <v>328</v>
      </c>
      <c r="AH13" s="72" t="s" ph="1">
        <v>191</v>
      </c>
      <c r="AI13" s="72" t="s" ph="1">
        <v>192</v>
      </c>
      <c r="AJ13" s="72" t="s" ph="1">
        <v>193</v>
      </c>
      <c r="AK13" s="72" t="s" ph="1">
        <v>194</v>
      </c>
      <c r="AL13" s="72" t="s" ph="1">
        <v>195</v>
      </c>
      <c r="AM13" s="72" t="s" ph="1">
        <v>196</v>
      </c>
      <c r="AN13" s="72" t="s" ph="1">
        <v>197</v>
      </c>
      <c r="AO13" s="72" t="s" ph="1">
        <v>198</v>
      </c>
      <c r="AP13" s="72" t="s" ph="1">
        <v>199</v>
      </c>
      <c r="AQ13" s="72" t="s" ph="1">
        <v>200</v>
      </c>
      <c r="AR13" s="72" t="s" ph="1">
        <v>201</v>
      </c>
      <c r="AS13" s="72" t="s" ph="1">
        <v>202</v>
      </c>
      <c r="AT13" s="72" t="s" ph="1">
        <v>203</v>
      </c>
      <c r="AU13" s="72" t="s" ph="1">
        <v>204</v>
      </c>
      <c r="AV13" s="72" t="s" ph="1">
        <v>205</v>
      </c>
      <c r="AW13" s="72" t="s" ph="1">
        <v>206</v>
      </c>
      <c r="AX13" s="72" t="s" ph="1">
        <v>207</v>
      </c>
      <c r="AY13" s="72" t="s" ph="1">
        <v>329</v>
      </c>
      <c r="AZ13" s="72" t="s" ph="1">
        <v>208</v>
      </c>
      <c r="BA13" s="72" t="s" ph="1">
        <v>209</v>
      </c>
      <c r="BB13" s="72" t="s" ph="1">
        <v>594</v>
      </c>
      <c r="BC13" s="72" t="s" ph="1">
        <v>210</v>
      </c>
      <c r="BD13" s="72" t="s" ph="1">
        <v>330</v>
      </c>
      <c r="BE13" s="72" t="s" ph="1">
        <v>331</v>
      </c>
      <c r="BF13" s="72" t="s" ph="1">
        <v>332</v>
      </c>
      <c r="BG13" s="72" t="s" ph="1">
        <v>333</v>
      </c>
      <c r="BH13" s="72" t="s" ph="1">
        <v>334</v>
      </c>
    </row>
    <row r="14" spans="1:99" s="72" customFormat="1" ht="24" ph="1">
      <c r="B14" s="204" ph="1"/>
      <c r="C14" s="67" t="s" ph="1">
        <v>36</v>
      </c>
      <c r="D14" s="77" t="s" ph="1">
        <v>622</v>
      </c>
      <c r="E14" s="77" t="s" ph="1">
        <v>622</v>
      </c>
      <c r="F14" s="139" t="s" ph="1">
        <v>609</v>
      </c>
      <c r="G14" s="77" t="s" ph="1">
        <v>624</v>
      </c>
      <c r="H14" s="77" t="s" ph="1">
        <v>625</v>
      </c>
      <c r="I14" s="140" t="s" ph="1">
        <v>626</v>
      </c>
      <c r="J14" s="77" t="s" ph="1">
        <v>627</v>
      </c>
      <c r="K14" s="77" t="s" ph="1">
        <v>187</v>
      </c>
      <c r="L14" s="77" t="s" ph="1">
        <v>41</v>
      </c>
      <c r="M14" s="104" t="s" ph="1">
        <v>628</v>
      </c>
      <c r="N14" s="104" t="s" ph="1">
        <v>629</v>
      </c>
      <c r="O14" s="104" t="s" ph="1">
        <v>627</v>
      </c>
      <c r="P14" s="77" t="s" ph="1">
        <v>630</v>
      </c>
      <c r="Q14" s="77" t="s" ph="1">
        <v>630</v>
      </c>
      <c r="R14" s="88" t="s" ph="1">
        <v>644</v>
      </c>
      <c r="S14" s="77" t="s" ph="1">
        <v>71</v>
      </c>
      <c r="T14" s="77" t="s" ph="1">
        <v>632</v>
      </c>
      <c r="U14" s="77" t="s" ph="1">
        <v>610</v>
      </c>
      <c r="V14" s="77" t="s" ph="1">
        <v>110</v>
      </c>
      <c r="W14" s="77" t="s" ph="1">
        <v>630</v>
      </c>
      <c r="X14" s="77" t="s" ph="1">
        <v>633</v>
      </c>
      <c r="Y14" s="138" t="s" ph="1">
        <v>0</v>
      </c>
      <c r="Z14" s="77" t="s" ph="1">
        <v>54</v>
      </c>
      <c r="AA14" s="77" t="s" ph="1">
        <v>619</v>
      </c>
      <c r="AB14" s="77" t="s" ph="1">
        <v>608</v>
      </c>
      <c r="AC14" s="77" t="s" ph="1">
        <v>608</v>
      </c>
      <c r="AD14" s="77" t="s" ph="1">
        <v>618</v>
      </c>
      <c r="AE14" s="77" t="s" ph="1">
        <v>618</v>
      </c>
      <c r="AG14" s="72" t="s" ph="1">
        <v>211</v>
      </c>
      <c r="AI14" s="72" t="s" ph="1">
        <v>212</v>
      </c>
      <c r="AJ14" s="72" t="s" ph="1">
        <v>335</v>
      </c>
      <c r="AK14" s="72" t="s" ph="1">
        <v>213</v>
      </c>
      <c r="AM14" s="72" t="s" ph="1">
        <v>215</v>
      </c>
      <c r="AN14" s="72" t="s" ph="1">
        <v>213</v>
      </c>
      <c r="AO14" s="72" t="s" ph="1">
        <v>214</v>
      </c>
      <c r="AP14" s="72" t="s" ph="1">
        <v>215</v>
      </c>
      <c r="AQ14" s="72" t="s" ph="1">
        <v>213</v>
      </c>
      <c r="AR14" s="72" t="s" ph="1">
        <v>214</v>
      </c>
      <c r="AS14" s="72" t="s" ph="1">
        <v>215</v>
      </c>
      <c r="AT14" s="72" t="s" ph="1">
        <v>213</v>
      </c>
      <c r="AU14" s="72" t="s" ph="1">
        <v>214</v>
      </c>
      <c r="AV14" s="72" t="s" ph="1">
        <v>215</v>
      </c>
      <c r="AW14" s="72" t="s" ph="1">
        <v>213</v>
      </c>
      <c r="AX14" s="72" t="s" ph="1">
        <v>214</v>
      </c>
      <c r="AY14" s="72" t="s" ph="1">
        <v>215</v>
      </c>
      <c r="AZ14" s="72" t="s" ph="1">
        <v>214</v>
      </c>
    </row>
    <row r="15" spans="1:99" ph="1">
      <c r="B15" s="205" ph="1">
        <v>0.33333333333333331</v>
      </c>
      <c r="C15" s="173" t="s" ph="1">
        <v>178</v>
      </c>
      <c r="D15" s="78">
        <v>882</v>
      </c>
      <c r="E15" s="78">
        <v>5257</v>
      </c>
      <c r="F15" s="78">
        <v>2903</v>
      </c>
      <c r="G15" s="78">
        <v>3722</v>
      </c>
      <c r="H15" s="78">
        <v>4520</v>
      </c>
      <c r="I15" s="78">
        <v>3179</v>
      </c>
      <c r="J15" s="78">
        <v>129</v>
      </c>
      <c r="K15" s="78">
        <v>710</v>
      </c>
      <c r="L15" s="78">
        <v>4370</v>
      </c>
      <c r="M15" s="78">
        <v>4328</v>
      </c>
      <c r="N15" s="78">
        <v>16</v>
      </c>
      <c r="O15" s="78">
        <v>0</v>
      </c>
      <c r="P15" s="78">
        <v>6930</v>
      </c>
      <c r="Q15" s="78">
        <v>32</v>
      </c>
      <c r="R15" s="78">
        <v>3506</v>
      </c>
      <c r="S15" s="78">
        <v>6854</v>
      </c>
      <c r="T15" s="78">
        <v>2101</v>
      </c>
      <c r="U15" s="78">
        <v>4845</v>
      </c>
      <c r="V15" s="78">
        <v>5446</v>
      </c>
      <c r="W15" s="71">
        <v>3762</v>
      </c>
      <c r="X15" s="78">
        <v>151</v>
      </c>
      <c r="Y15" s="106">
        <v>-9906</v>
      </c>
      <c r="Z15" s="78">
        <v>0</v>
      </c>
      <c r="AA15" s="78">
        <v>4226</v>
      </c>
      <c r="AB15" s="78" ph="1">
        <v>6907</v>
      </c>
      <c r="AC15" s="78" ph="1">
        <v>986</v>
      </c>
      <c r="AD15" s="78">
        <v>82.33</v>
      </c>
      <c r="AE15" s="78">
        <v>5.32</v>
      </c>
      <c r="AG15" s="64" t="s" ph="1">
        <v>217</v>
      </c>
      <c r="AH15" s="64" ph="1">
        <v>1</v>
      </c>
      <c r="AI15" s="64" t="s" ph="1">
        <v>336</v>
      </c>
      <c r="AK15" s="64" t="s" ph="1">
        <v>590</v>
      </c>
      <c r="AM15" s="64" t="s" ph="1">
        <v>338</v>
      </c>
      <c r="AZ15" s="64" t="s" ph="1">
        <v>219</v>
      </c>
      <c r="BA15" s="64" ph="1">
        <v>0</v>
      </c>
    </row>
    <row r="16" spans="1:99" s="72" customFormat="1" ht="22.2" ph="1">
      <c r="B16" s="206" ph="1"/>
      <c r="C16" s="173" t="s" ph="1">
        <v>179</v>
      </c>
      <c r="D16" s="73" ph="1">
        <f>D15*7.0686*LOOKUP(D17,密度!$A$2:$A$50,密度!$L$2:$L$50)</f>
        <v>5847.9658775999997</v>
      </c>
      <c r="E16" s="73" ph="1">
        <f>E15*7.0686*LOOKUP(E17,密度!$A$2:$A$50,密度!$L$2:$L$50)</f>
        <v>34855.733127599997</v>
      </c>
      <c r="F16" s="73" ph="1">
        <f>F15*9.0746*LOOKUP(F17,密度!$A$2:$A$50,密度!$L$2:$L$50)</f>
        <v>24604.8885892</v>
      </c>
      <c r="G16" s="73" ph="1">
        <f>G15*9.0746*LOOKUP(G17,密度!$A$2:$A$50,密度!$B$2:$B$50)</f>
        <v>26361.903566600002</v>
      </c>
      <c r="H16" s="73" ph="1">
        <f>H15*9.0746*LOOKUP(H17,密度!$A$2:$A$50,密度!$L$2:$L$50)</f>
        <v>38556.160479999999</v>
      </c>
      <c r="I16" s="73" ph="1">
        <f>I15*9.0746*LOOKUP(I17,密度!$A$2:$A$50,密度!$U$2:$U$50)</f>
        <v>29598.205388400002</v>
      </c>
      <c r="J16" s="73" ph="1">
        <f>J15*9.0746*LOOKUP(J17,密度!$A$2:$A$50,密度!$L$2:$L$50)</f>
        <v>1098.0447491999998</v>
      </c>
      <c r="K16" s="73" ph="1">
        <f>K15*9.0746*LOOKUP(K17,密度!$A$2:$A$50,密度!$C$2:$C$50)</f>
        <v>7144.6049974000007</v>
      </c>
      <c r="L16" s="73" ph="1">
        <f>L15*9.0746*LOOKUP(L17,密度!$A$2:$A$50,密度!$E$2:$E$50)</f>
        <v>31058.580766400002</v>
      </c>
      <c r="M16" s="73" ph="1">
        <f>M15*9.0746*LOOKUP(M17,密度!$A$2:$A$50,密度!$M$2:$M$50)</f>
        <v>34369.437686880003</v>
      </c>
      <c r="N16" s="73" ph="1">
        <f>N15*9.0746*LOOKUP(N17,密度!$A$2:$A$50,密度!$M$2:$M$50)</f>
        <v>127.63969376</v>
      </c>
      <c r="O16" s="73" ph="1">
        <f>O15*9.0746*LOOKUP(O17,密度!$A$2:$A$50,密度!$G$2:$G$50)</f>
        <v>0</v>
      </c>
      <c r="P16" s="73" ph="1">
        <f ca="1">P15*9.0746*LOOKUP(P17,密度!$A$2:$A$51,密度!$Q$2:$Q$50)</f>
        <v>59537.617551720003</v>
      </c>
      <c r="Q16" s="73" ph="1">
        <f>Q15*9.0746*LOOKUP(Q17,密度!$A$2:$A$50,密度!$Q$2:$Q$50)</f>
        <v>275.60358764800003</v>
      </c>
      <c r="R16" s="73" ph="1">
        <f>MAX(R15*9.0746*LOOKUP(R17,密度!$A$2:$A$50,密度!$B$2:$B$50),0)</f>
        <v>24803.40090896</v>
      </c>
      <c r="S16" s="73" ph="1">
        <f>S15*9.0746*LOOKUP(S17,密度!$A$2:$A$50,密度!$Q$2:$Q$50)</f>
        <v>58884.679754616001</v>
      </c>
      <c r="T16" s="73" ph="1">
        <f>T15*9.0746*LOOKUP(T17,密度!$A$2:$A$50,密度!$O$2:$O$50)</f>
        <v>17731.133178</v>
      </c>
      <c r="U16" s="73" ph="1">
        <f>U15*9.0746*LOOKUP(U17,密度!$A$2:$A$50,密度!$H$2:$H$50)</f>
        <v>40260.066360899997</v>
      </c>
      <c r="V16" s="73" ph="1">
        <f>MAX(5600*LOOKUP(V17,密度!$A$2:$A$50,密度!$Q$2:$Q$50)+V15*9.0476*LOOKUP(V17,密度!$A$2:$A$50,密度!$Q$2:$Q$50),0)</f>
        <v>51872.761405472003</v>
      </c>
      <c r="W16" s="73" ph="1">
        <f>MAX(5600*LOOKUP(W17,密度!$A$2:$A$50,密度!$Q$2:$Q$50)+W15*9.0476*LOOKUP(W17,密度!$A$2:$A$50,密度!$Q$2:$Q$50),0)</f>
        <v>37554.935849863999</v>
      </c>
      <c r="X16" s="73" ph="1">
        <f>MAX(5600*LOOKUP(X17,密度!$A$2:$A$50,密度!$I$2:$I$50)+X15*9.0476*LOOKUP(X17,密度!$A$2:$A$50,密度!$I$2:$I$50),0)</f>
        <v>7282.4525170400011</v>
      </c>
      <c r="Y16" s="107" ph="1">
        <f>MAX(5600*LOOKUP(Y17,密度!$A$2:$A$50,密度!$I$2:$I$50)+Y15*9.0476*LOOKUP(Y17,密度!$A$2:$A$50,密度!$I$2:$I$50),0)</f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30000.625785079999</v>
      </c>
      <c r="AB16" s="73" ph="1">
        <f>AB15*9.0746*LOOKUP(AB17,密度!$A$2:$A$50,密度!$L$2:$L$50)</f>
        <v>58854.888205800002</v>
      </c>
      <c r="AC16" s="73" ph="1">
        <f>AC15*9.0746*LOOKUP(AC17,密度!$A$2:$A$50,密度!$L$2:$L$50)</f>
        <v>8428.5973751999991</v>
      </c>
      <c r="AD16" s="73" ph="1">
        <f>AD15*268.68*LOOKUP(AD17,密度!$A$2:$A$50,密度!B2:B50)+IF(AD15&lt;=0,0,1566*LOOKUP(AD17,密度!$A$2:$A$50,密度!B2:B50))</f>
        <v>18465.936462239999</v>
      </c>
      <c r="AE16" s="73" ph="1">
        <f>AE15*268.68*LOOKUP(AE17,密度!$A$2:$A$50,密度!B2:B50)+IF(AE15&lt;=0,0,1566*LOOKUP(AE17,密度!$A$2:$A$50,密度!B2:B50))</f>
        <v>2335.1963769599997</v>
      </c>
      <c r="AH16" s="72" ph="1">
        <v>2</v>
      </c>
      <c r="AI16" s="72" t="s" ph="1">
        <v>340</v>
      </c>
      <c r="AZ16" s="72" t="s" ph="1">
        <v>219</v>
      </c>
      <c r="BA16" s="72" ph="1">
        <v>0</v>
      </c>
    </row>
    <row r="17" spans="1:57" ph="1">
      <c r="A17" s="64" t="s" ph="1">
        <v>73</v>
      </c>
      <c r="B17" s="207" ph="1"/>
      <c r="C17" s="79" t="s" ph="1">
        <v>180</v>
      </c>
      <c r="D17" s="74">
        <v>24</v>
      </c>
      <c r="E17" s="74">
        <v>24</v>
      </c>
      <c r="F17" s="74">
        <v>28</v>
      </c>
      <c r="G17" s="74">
        <v>24</v>
      </c>
      <c r="H17" s="74">
        <v>22</v>
      </c>
      <c r="I17" s="74">
        <v>24</v>
      </c>
      <c r="J17" s="74">
        <v>24</v>
      </c>
      <c r="K17" s="74">
        <v>25</v>
      </c>
      <c r="L17" s="74">
        <v>25</v>
      </c>
      <c r="M17" s="74">
        <v>25</v>
      </c>
      <c r="N17" s="74">
        <v>21</v>
      </c>
      <c r="O17" s="74">
        <v>24</v>
      </c>
      <c r="P17" s="74">
        <v>25</v>
      </c>
      <c r="Q17" s="74">
        <v>22</v>
      </c>
      <c r="R17" s="74">
        <v>25</v>
      </c>
      <c r="S17" s="74">
        <v>25</v>
      </c>
      <c r="T17" s="74">
        <v>23</v>
      </c>
      <c r="U17" s="74">
        <v>24</v>
      </c>
      <c r="V17" s="74">
        <v>27</v>
      </c>
      <c r="W17" s="74">
        <v>24</v>
      </c>
      <c r="X17" s="74">
        <v>22</v>
      </c>
      <c r="Y17" s="108">
        <v>22</v>
      </c>
      <c r="Z17" s="74">
        <v>22</v>
      </c>
      <c r="AA17" s="74">
        <v>22</v>
      </c>
      <c r="AB17" s="74">
        <v>23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341</v>
      </c>
      <c r="AK17" s="64" t="s" ph="1">
        <v>573</v>
      </c>
      <c r="AL17" s="64" ph="1">
        <v>80</v>
      </c>
      <c r="AM17" s="64" t="s" ph="1">
        <v>338</v>
      </c>
      <c r="AZ17" s="64" t="s" ph="1">
        <v>219</v>
      </c>
      <c r="BA17" s="64" ph="1">
        <v>80</v>
      </c>
      <c r="BD17" s="64" t="s" ph="1">
        <v>217</v>
      </c>
      <c r="BE17" s="64" ph="1">
        <v>2270</v>
      </c>
    </row>
    <row r="18" spans="1:57" ht="26.4" ph="1">
      <c r="B18" s="205" ph="1">
        <v>0.66666666666666663</v>
      </c>
      <c r="C18" s="79" t="s" ph="1">
        <v>181</v>
      </c>
      <c r="D18" s="71">
        <v>1846</v>
      </c>
      <c r="E18" s="71">
        <v>5267</v>
      </c>
      <c r="F18" s="71">
        <v>2998</v>
      </c>
      <c r="G18" s="71">
        <v>3747</v>
      </c>
      <c r="H18" s="71">
        <v>4525</v>
      </c>
      <c r="I18" s="71">
        <v>2554</v>
      </c>
      <c r="J18" s="71">
        <v>144</v>
      </c>
      <c r="K18" s="71">
        <v>710</v>
      </c>
      <c r="L18" s="71">
        <v>4382</v>
      </c>
      <c r="M18" s="71">
        <v>4338</v>
      </c>
      <c r="N18" s="71">
        <v>0</v>
      </c>
      <c r="O18" s="71">
        <v>46</v>
      </c>
      <c r="P18" s="71">
        <v>6943</v>
      </c>
      <c r="Q18" s="71">
        <v>28</v>
      </c>
      <c r="R18" s="71">
        <v>3510</v>
      </c>
      <c r="S18" s="71">
        <v>6866</v>
      </c>
      <c r="T18" s="71">
        <v>2102</v>
      </c>
      <c r="U18" s="71">
        <v>4850</v>
      </c>
      <c r="V18" s="71">
        <v>5449</v>
      </c>
      <c r="W18" s="71">
        <v>3761</v>
      </c>
      <c r="X18" s="71">
        <v>150</v>
      </c>
      <c r="Y18" s="109">
        <v>-9907</v>
      </c>
      <c r="Z18" s="71">
        <v>0</v>
      </c>
      <c r="AA18" s="71">
        <v>4231</v>
      </c>
      <c r="AB18" s="71">
        <v>6921</v>
      </c>
      <c r="AC18" s="71">
        <v>990</v>
      </c>
      <c r="AD18" s="71">
        <v>5.22</v>
      </c>
      <c r="AE18" s="71">
        <v>50.52</v>
      </c>
      <c r="AH18" s="64" ph="1">
        <v>4</v>
      </c>
      <c r="AI18" s="64" t="s" ph="1">
        <v>343</v>
      </c>
      <c r="AJ18" s="64" t="s" ph="1">
        <v>591</v>
      </c>
      <c r="AK18" s="64" t="s" ph="1">
        <v>590</v>
      </c>
      <c r="AL18" s="64" ph="1">
        <v>740</v>
      </c>
      <c r="AM18" s="64" t="s" ph="1">
        <v>342</v>
      </c>
      <c r="AZ18" s="64" t="s" ph="1">
        <v>219</v>
      </c>
      <c r="BA18" s="64" ph="1">
        <v>740</v>
      </c>
    </row>
    <row r="19" spans="1:57" s="72" customFormat="1" ht="22.2" ph="1">
      <c r="B19" s="206" ph="1"/>
      <c r="C19" s="173" t="s" ph="1">
        <v>179</v>
      </c>
      <c r="D19" s="73" ph="1">
        <f>D18*7.0686*LOOKUP(D20,密度!$A$2:$A$50,密度!$L$2:$L$50)</f>
        <v>12187.4256504</v>
      </c>
      <c r="E19" s="73" ph="1">
        <f>E18*7.0686*LOOKUP(E20,密度!$A$2:$A$50,密度!$L$2:$L$50)</f>
        <v>34773.115330800007</v>
      </c>
      <c r="F19" s="73" ph="1">
        <f>F18*9.0746*LOOKUP(F20,密度!$A$2:$A$50,密度!$L$2:$L$50)</f>
        <v>25355.666545600001</v>
      </c>
      <c r="G19" s="73" ph="1">
        <f>G18*9.0746*LOOKUP(G20,密度!$A$2:$A$50,密度!$B$2:$B$50)</f>
        <v>26508.369425519999</v>
      </c>
      <c r="H19" s="73" ph="1">
        <f>H18*9.0746*LOOKUP(H20,密度!$A$2:$A$50,密度!$L$2:$L$50)</f>
        <v>38598.811099999999</v>
      </c>
      <c r="I19" s="73" ph="1">
        <f>I18*9.0746*LOOKUP(I20,密度!$A$2:$A$50,密度!$U$2:$U$50)</f>
        <v>23686.4120248</v>
      </c>
      <c r="J19" s="73" ph="1">
        <f>J18*9.0746*LOOKUP(J20,密度!$A$2:$A$50,密度!$L$2:$L$50)</f>
        <v>1219.1906592000003</v>
      </c>
      <c r="K19" s="73" ph="1">
        <f>K18*9.0746*LOOKUP(K20,密度!$A$2:$A$50,密度!$C$2:$C$50)</f>
        <v>7125.2760994000009</v>
      </c>
      <c r="L19" s="73" ph="1">
        <f>L18*9.0746*LOOKUP(L20,密度!$A$2:$A$50,密度!$E$2:$E$50)</f>
        <v>31100.12610012</v>
      </c>
      <c r="M19" s="73" ph="1">
        <f>M18*9.0746*LOOKUP(M20,密度!$A$2:$A$50,密度!$M$2:$M$50)</f>
        <v>34287.450490800002</v>
      </c>
      <c r="N19" s="73" ph="1">
        <f>N18*9.0746*LOOKUP(N20,密度!$A$2:$A$50,密度!$M$2:$M$50)</f>
        <v>0</v>
      </c>
      <c r="O19" s="73" ph="1">
        <f>O18*9.0746*LOOKUP(O20,密度!$A$2:$A$50,密度!$G$2:$G$50)</f>
        <v>399.02286643999997</v>
      </c>
      <c r="P19" s="73" ph="1">
        <f ca="1">P18*9.0746*LOOKUP(P20,密度!$A$2:$A$51,密度!$Q$2:$Q$50)</f>
        <v>59649.304280172</v>
      </c>
      <c r="Q19" s="73" ph="1">
        <f>Q18*9.0746*LOOKUP(Q20,密度!$A$2:$A$50,密度!$Q$2:$Q$50)</f>
        <v>240.01736225599998</v>
      </c>
      <c r="R19" s="73" ph="1">
        <f>MAX(R18*9.0746*LOOKUP(R20,密度!$A$2:$A$50,密度!$B$2:$B$50),0)</f>
        <v>24803.0324802</v>
      </c>
      <c r="S19" s="73" ph="1">
        <f>S18*9.0746*LOOKUP(S20,密度!$A$2:$A$50,密度!$Q$2:$Q$50)</f>
        <v>58943.537791708004</v>
      </c>
      <c r="T19" s="73" ph="1">
        <f>T18*9.0746*LOOKUP(T20,密度!$A$2:$A$50,密度!$O$2:$O$50)</f>
        <v>17663.273319200001</v>
      </c>
      <c r="U19" s="73" ph="1">
        <f>U18*9.0746*LOOKUP(U20,密度!$A$2:$A$50,密度!$H$2:$H$50)</f>
        <v>40222.393158999999</v>
      </c>
      <c r="V19" s="73" ph="1">
        <f>MAX(5600*LOOKUP(V20,密度!$A$2:$A$50,密度!$Q$2:$Q$50)+V18*9.0476*LOOKUP(V20,密度!$A$2:$A$50,密度!$Q$2:$Q$50),0)</f>
        <v>51937.39930157199</v>
      </c>
      <c r="W19" s="73" ph="1">
        <f>MAX(5600*LOOKUP(W20,密度!$A$2:$A$50,密度!$Q$2:$Q$50)+W18*9.0476*LOOKUP(W20,密度!$A$2:$A$50,密度!$Q$2:$Q$50),0)</f>
        <v>37489.299166308003</v>
      </c>
      <c r="X19" s="73" ph="1">
        <f>MAX(5600*LOOKUP(X20,密度!$A$2:$A$50,密度!$I$2:$I$50)+X18*9.0476*LOOKUP(X20,密度!$A$2:$A$50,密度!$I$2:$I$50),0)</f>
        <v>7251.4270219999999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30001.565913640003</v>
      </c>
      <c r="AB19" s="73" ph="1">
        <f>AB18*9.0746*LOOKUP(AB20,密度!$A$2:$A$50,密度!$L$2:$L$50)</f>
        <v>58785.766977600004</v>
      </c>
      <c r="AC19" s="73" ph="1">
        <f>AC18*9.0746*LOOKUP(AC20,密度!$A$2:$A$50,密度!$L$2:$L$50)</f>
        <v>8408.8873440000007</v>
      </c>
      <c r="AD19" s="73" ph="1">
        <f>AD18*268.68*LOOKUP(AD20,密度!$A$2:$A$50,密度!B5:B53)+IF(AD18&lt;=0,0,1566*LOOKUP(AD20,密度!$A$2:$A$50,密度!B5:B53))</f>
        <v>2306.5319591999996</v>
      </c>
      <c r="AE19" s="73" ph="1">
        <f>AE18*268.68*LOOKUP(AE20,密度!$A$2:$A$50,密度!B5:B53)+IF(AE18&lt;=0,0,1566*LOOKUP(AE20,密度!$A$2:$A$50,密度!B5:B53))</f>
        <v>11763.5574672</v>
      </c>
      <c r="AH19" s="72" ph="1">
        <v>5</v>
      </c>
      <c r="AI19" s="72" t="s" ph="1">
        <v>344</v>
      </c>
      <c r="AZ19" s="72" t="s" ph="1">
        <v>219</v>
      </c>
      <c r="BA19" s="72" ph="1">
        <v>0</v>
      </c>
      <c r="BD19" s="72" t="s" ph="1">
        <v>345</v>
      </c>
      <c r="BE19" s="72" ph="1">
        <v>1440</v>
      </c>
    </row>
    <row r="20" spans="1:57" ph="1">
      <c r="A20" s="72" ph="1"/>
      <c r="B20" s="206" ph="1"/>
      <c r="C20" s="80" t="s" ph="1">
        <v>180</v>
      </c>
      <c r="D20" s="81">
        <v>28</v>
      </c>
      <c r="E20" s="81">
        <v>28</v>
      </c>
      <c r="F20" s="81">
        <v>30</v>
      </c>
      <c r="G20" s="81">
        <v>25</v>
      </c>
      <c r="H20" s="81">
        <v>22</v>
      </c>
      <c r="I20" s="81">
        <v>28</v>
      </c>
      <c r="J20" s="81">
        <v>29</v>
      </c>
      <c r="K20" s="81">
        <v>29</v>
      </c>
      <c r="L20" s="81">
        <v>26</v>
      </c>
      <c r="M20" s="81">
        <v>29</v>
      </c>
      <c r="N20" s="81">
        <v>26</v>
      </c>
      <c r="O20" s="81">
        <v>29</v>
      </c>
      <c r="P20" s="81">
        <v>25</v>
      </c>
      <c r="Q20" s="81">
        <v>28</v>
      </c>
      <c r="R20" s="81">
        <v>26</v>
      </c>
      <c r="S20" s="81">
        <v>26</v>
      </c>
      <c r="T20" s="81">
        <v>26</v>
      </c>
      <c r="U20" s="81">
        <v>26</v>
      </c>
      <c r="V20" s="81">
        <v>26</v>
      </c>
      <c r="W20" s="81">
        <v>26</v>
      </c>
      <c r="X20" s="81">
        <v>25</v>
      </c>
      <c r="Y20" s="110">
        <v>25</v>
      </c>
      <c r="Z20" s="81">
        <v>30</v>
      </c>
      <c r="AA20" s="81">
        <v>23</v>
      </c>
      <c r="AB20" s="81">
        <v>26</v>
      </c>
      <c r="AC20" s="81">
        <v>26</v>
      </c>
      <c r="AD20" s="81">
        <v>25</v>
      </c>
      <c r="AE20" s="81">
        <v>25</v>
      </c>
      <c r="AH20" s="64" ph="1">
        <v>6</v>
      </c>
      <c r="AI20" s="64" t="s" ph="1">
        <v>346</v>
      </c>
      <c r="AZ20" s="64" t="s" ph="1">
        <v>219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347</v>
      </c>
      <c r="AZ21" s="64" t="s" ph="1">
        <v>219</v>
      </c>
      <c r="BA21" s="64" ph="1">
        <v>0</v>
      </c>
      <c r="BD21" s="64" t="s" ph="1">
        <v>235</v>
      </c>
      <c r="BE21" s="64" ph="1">
        <v>730</v>
      </c>
    </row>
    <row r="22" spans="1:57" ph="1">
      <c r="A22" s="72" ph="1"/>
      <c r="B22" s="204" t="s" ph="1">
        <v>37</v>
      </c>
      <c r="C22" s="85" t="s" ph="1">
        <v>177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83" t="s" ph="1">
        <v>69</v>
      </c>
      <c r="AA22" s="184"/>
      <c r="AB22" s="184"/>
      <c r="AC22" s="184"/>
      <c r="AD22" s="184"/>
      <c r="AE22" s="185"/>
      <c r="AH22" s="64" ph="1">
        <v>8</v>
      </c>
      <c r="AI22" s="64" t="s" ph="1">
        <v>348</v>
      </c>
      <c r="AZ22" s="64" t="s" ph="1">
        <v>219</v>
      </c>
      <c r="BA22" s="64" ph="1">
        <v>0</v>
      </c>
    </row>
    <row r="23" spans="1:57" ph="1">
      <c r="A23" s="72" ph="1"/>
      <c r="B23" s="199" ph="1"/>
      <c r="C23" s="67" t="s" ph="1">
        <v>36</v>
      </c>
      <c r="D23" s="88" t="s" ph="1">
        <v>110</v>
      </c>
      <c r="E23" s="88" t="s" ph="1">
        <v>107</v>
      </c>
      <c r="F23" s="88" t="s" ph="1">
        <v>110</v>
      </c>
      <c r="G23" s="88" t="s" ph="1">
        <v>634</v>
      </c>
      <c r="H23" s="88" t="s" ph="1">
        <v>634</v>
      </c>
      <c r="I23" s="88" t="s" ph="1">
        <v>635</v>
      </c>
      <c r="J23" s="88" t="s" ph="1">
        <v>636</v>
      </c>
      <c r="K23" s="88" t="s" ph="1">
        <v>637</v>
      </c>
      <c r="L23" s="88" t="s" ph="1">
        <v>637</v>
      </c>
      <c r="M23" s="88" t="s" ph="1">
        <v>631</v>
      </c>
      <c r="N23" s="88" t="s" ph="1">
        <v>631</v>
      </c>
      <c r="O23" s="88" t="s" ph="1">
        <v>321</v>
      </c>
      <c r="P23" s="88" t="s" ph="1">
        <v>623</v>
      </c>
      <c r="Q23" s="89" t="s" ph="1">
        <v>623</v>
      </c>
      <c r="R23" s="88" t="s" ph="1">
        <v>616</v>
      </c>
      <c r="S23" s="88" t="s" ph="1">
        <v>638</v>
      </c>
      <c r="T23" s="88" t="s" ph="1">
        <v>607</v>
      </c>
      <c r="U23" s="88" t="s" ph="1">
        <v>611</v>
      </c>
      <c r="V23" s="88" t="s" ph="1">
        <v>639</v>
      </c>
      <c r="W23" s="88" t="s" ph="1">
        <v>639</v>
      </c>
      <c r="X23" s="88" t="s" ph="1">
        <v>190</v>
      </c>
      <c r="Y23" s="88" t="s" ph="1">
        <v>640</v>
      </c>
      <c r="Z23" s="186" t="s" ph="1">
        <v>642</v>
      </c>
      <c r="AA23" s="187"/>
      <c r="AB23" s="187"/>
      <c r="AC23" s="187"/>
      <c r="AD23" s="187"/>
      <c r="AE23" s="188"/>
      <c r="AH23" s="64" ph="1">
        <v>9</v>
      </c>
      <c r="AI23" s="64" t="s" ph="1">
        <v>349</v>
      </c>
      <c r="AZ23" s="64" t="s" ph="1">
        <v>219</v>
      </c>
      <c r="BA23" s="64" ph="1">
        <v>0</v>
      </c>
      <c r="BD23" s="64" t="s" ph="1">
        <v>241</v>
      </c>
      <c r="BE23" s="64" ph="1">
        <v>890</v>
      </c>
    </row>
    <row r="24" spans="1:57" ph="1">
      <c r="A24" s="72" ph="1"/>
      <c r="B24" s="195" ph="1">
        <v>0.33333333333333331</v>
      </c>
      <c r="C24" s="173" t="s" ph="1">
        <v>178</v>
      </c>
      <c r="D24" s="71">
        <v>3.33</v>
      </c>
      <c r="E24" s="71">
        <v>95.4</v>
      </c>
      <c r="F24" s="71">
        <v>0</v>
      </c>
      <c r="G24" s="71">
        <v>1971</v>
      </c>
      <c r="H24" s="71">
        <v>2019</v>
      </c>
      <c r="I24" s="71">
        <v>3791</v>
      </c>
      <c r="J24" s="71">
        <v>4687</v>
      </c>
      <c r="K24" s="71">
        <v>28</v>
      </c>
      <c r="L24" s="71">
        <v>0</v>
      </c>
      <c r="M24" s="71">
        <v>4085</v>
      </c>
      <c r="N24" s="71">
        <v>5373</v>
      </c>
      <c r="O24" s="71">
        <v>5</v>
      </c>
      <c r="P24" s="71">
        <v>838</v>
      </c>
      <c r="Q24" s="90">
        <v>1297</v>
      </c>
      <c r="R24" s="71">
        <v>4071</v>
      </c>
      <c r="S24" s="71">
        <v>2983</v>
      </c>
      <c r="T24" s="71">
        <v>1757</v>
      </c>
      <c r="U24" s="71">
        <v>5188</v>
      </c>
      <c r="V24" s="71">
        <v>9647</v>
      </c>
      <c r="W24" s="71">
        <v>8332</v>
      </c>
      <c r="X24" s="71">
        <v>2740</v>
      </c>
      <c r="Y24" s="71">
        <v>3377</v>
      </c>
      <c r="Z24" s="189"/>
      <c r="AA24" s="190"/>
      <c r="AB24" s="190"/>
      <c r="AC24" s="190"/>
      <c r="AD24" s="190"/>
      <c r="AE24" s="191"/>
      <c r="AH24" s="64" ph="1">
        <v>10</v>
      </c>
      <c r="AI24" s="64" t="s" ph="1">
        <v>350</v>
      </c>
      <c r="AZ24" s="64" t="s" ph="1">
        <v>219</v>
      </c>
      <c r="BA24" s="64" ph="1">
        <v>0</v>
      </c>
    </row>
    <row r="25" spans="1:57" ph="1">
      <c r="A25" s="72" ph="1"/>
      <c r="B25" s="195" ph="1"/>
      <c r="C25" s="68" t="s" ph="1">
        <v>179</v>
      </c>
      <c r="D25" s="91" ph="1">
        <f>D24*268.68*LOOKUP(D26,密度!$A$2:$A$50,密度!$Q$2:$Q$50)+IF(D24&lt;=0,0,1566*LOOKUP(D26,密度!$A$2:$A$50,密度!$Q$2:$Q$50))</f>
        <v>2329.6472836560001</v>
      </c>
      <c r="E25" s="91" ph="1">
        <f>E24*268.68*LOOKUP(E26,密度!$A$2:$A$50,密度!$C$2:$C$50)+IF(E24&lt;=0,0,1566*LOOKUP(E26,密度!$A$2:$A$50,密度!$C$2:$C$50))</f>
        <v>30159.942040800004</v>
      </c>
      <c r="F25" s="91" ph="1">
        <f>F24*11.702*LOOKUP(F26,密度!$A$2:$A$50,密度!$Q$2:$Q$50)</f>
        <v>0</v>
      </c>
      <c r="G25" s="91" ph="1">
        <f>G24*18.322*LOOKUP(G26,密度!$A$2:$A$50,密度!$B$2:$B$50)</f>
        <v>28250.935482599998</v>
      </c>
      <c r="H25" s="91" ph="1">
        <f>H24*18.322*LOOKUP(H26,密度!$A$2:$A$50,密度!$B$2:$B$50)</f>
        <v>28938.933911399996</v>
      </c>
      <c r="I25" s="91" ph="1">
        <f>I24*18.322*LOOKUP(I26,密度!$A$2:$A$50,密度!$Q$2:$Q$50)</f>
        <v>65860.74123639999</v>
      </c>
      <c r="J25" s="91" ph="1">
        <f>J24*18.322*LOOKUP(J26,密度!$A$2:$A$50,密度!$Q$2:$Q$50)</f>
        <v>81503.306855259987</v>
      </c>
      <c r="K25" s="91" ph="1">
        <f>K24*18.322*LOOKUP(K26,密度!$A$2:$A$50,密度!$Q$2:$Q$50)</f>
        <v>486.06726951999997</v>
      </c>
      <c r="L25" s="91" ph="1">
        <f>L24*18.322*LOOKUP(L26,密度!$A$2:$A$50,密度!$Q$2:$Q$50)</f>
        <v>0</v>
      </c>
      <c r="M25" s="91" ph="1">
        <f>M24*18.322*LOOKUP(M26,密度!$A$2:$A$50,密度!$Q$2:$Q$50)</f>
        <v>70968.379833999992</v>
      </c>
      <c r="N25" s="91" ph="1">
        <f>N24*18.322*LOOKUP(N26,密度!$A$2:$A$50,密度!$Q$2:$Q$50)</f>
        <v>93432.316563539993</v>
      </c>
      <c r="O25" s="91" ph="1">
        <f>O24*18.322*LOOKUP(O26,密度!$A$2:$A$50,密度!$C$2:$C$50)</f>
        <v>101.65045599999999</v>
      </c>
      <c r="P25" s="91" ph="1">
        <f>P24*11.702*LOOKUP(P26,密度!$A$2:$A$50,密度!$B$2:$B$50)</f>
        <v>7671.4497148</v>
      </c>
      <c r="Q25" s="92" ph="1">
        <f>Q24*18.322*LOOKUP(Q26,密度!$A$2:$A$50,密度!$B$2:$B$50)</f>
        <v>18547.516336999997</v>
      </c>
      <c r="R25" s="91" ph="1">
        <f>R24*35.891*LOOKUP(R26,密度!$A$2:$A$50,密度!$C$2:$C$50)</f>
        <v>162243.0546144</v>
      </c>
      <c r="S25" s="91" ph="1">
        <f>S24*35.891*LOOKUP(S26,密度!$A$2:$A$50,密度!$B$2:$B$50)</f>
        <v>83562.556766499983</v>
      </c>
      <c r="T25" s="91" ph="1">
        <f>T24*35.891*LOOKUP(T26,密度!$A$2:$A$50,密度!$Q$2:$Q$50)</f>
        <v>59747.919617889995</v>
      </c>
      <c r="U25" s="91" ph="1">
        <f>U24*35.891</f>
        <v>186202.508</v>
      </c>
      <c r="V25" s="91" ph="1">
        <f>V24*47.051*LOOKUP(V26,密度!$A$2:$A$50,密度!$B$2:$B$50)</f>
        <v>354678.23905580002</v>
      </c>
      <c r="W25" s="91" ph="1">
        <f>W24*47.051*LOOKUP(W26,密度!$A$2:$A$50,密度!$B$2:$B$50)</f>
        <v>305978.58142599999</v>
      </c>
      <c r="X25" s="91" ph="1">
        <f>X24*47.051*LOOKUP(X26,密度!$A$2:$A$50,密度!$I$2:$I$50)</f>
        <v>132632.628512</v>
      </c>
      <c r="Y25" s="91" ph="1">
        <f>Y24*47.051*LOOKUP(Y26,密度!$A$2:$A$50,密度!$L$2:$L$50)</f>
        <v>148881.07969900002</v>
      </c>
      <c r="Z25" s="189"/>
      <c r="AA25" s="190"/>
      <c r="AB25" s="190"/>
      <c r="AC25" s="190"/>
      <c r="AD25" s="190"/>
      <c r="AE25" s="191"/>
      <c r="AH25" s="64" ph="1">
        <v>11</v>
      </c>
      <c r="AI25" s="64" t="s" ph="1">
        <v>351</v>
      </c>
      <c r="AZ25" s="64" t="s" ph="1">
        <v>219</v>
      </c>
      <c r="BA25" s="64" ph="1">
        <v>0</v>
      </c>
      <c r="BD25" s="64" t="s" ph="1">
        <v>244</v>
      </c>
      <c r="BE25" s="64" ph="1">
        <v>8920</v>
      </c>
    </row>
    <row r="26" spans="1:57" ph="1">
      <c r="A26" s="72" ph="1"/>
      <c r="B26" s="195" ph="1"/>
      <c r="C26" s="68" t="s" ph="1">
        <v>180</v>
      </c>
      <c r="D26" s="74">
        <v>25</v>
      </c>
      <c r="E26" s="74">
        <v>25</v>
      </c>
      <c r="F26" s="74">
        <v>22</v>
      </c>
      <c r="G26" s="74">
        <v>22</v>
      </c>
      <c r="H26" s="74">
        <v>22</v>
      </c>
      <c r="I26" s="74">
        <v>23</v>
      </c>
      <c r="J26" s="74">
        <v>22</v>
      </c>
      <c r="K26" s="74">
        <v>24</v>
      </c>
      <c r="L26" s="74">
        <v>24</v>
      </c>
      <c r="M26" s="74">
        <v>23</v>
      </c>
      <c r="N26" s="74">
        <v>22</v>
      </c>
      <c r="O26" s="74">
        <v>24</v>
      </c>
      <c r="P26" s="74">
        <v>22</v>
      </c>
      <c r="Q26" s="93">
        <v>24</v>
      </c>
      <c r="R26" s="74">
        <v>23</v>
      </c>
      <c r="S26" s="74">
        <v>24</v>
      </c>
      <c r="T26" s="74">
        <v>24</v>
      </c>
      <c r="U26" s="74">
        <v>24</v>
      </c>
      <c r="V26" s="74">
        <v>23</v>
      </c>
      <c r="W26" s="74">
        <v>24</v>
      </c>
      <c r="X26" s="74">
        <v>37</v>
      </c>
      <c r="Y26" s="74">
        <v>25</v>
      </c>
      <c r="Z26" s="189"/>
      <c r="AA26" s="190"/>
      <c r="AB26" s="190"/>
      <c r="AC26" s="190"/>
      <c r="AD26" s="190"/>
      <c r="AE26" s="191"/>
      <c r="AH26" s="64" ph="1">
        <v>12</v>
      </c>
      <c r="AI26" s="64" t="s" ph="1">
        <v>352</v>
      </c>
      <c r="AZ26" s="64" t="s" ph="1">
        <v>219</v>
      </c>
      <c r="BA26" s="64" ph="1">
        <v>0</v>
      </c>
    </row>
    <row r="27" spans="1:57" ht="26.4" ph="1">
      <c r="A27" s="72" ph="1"/>
      <c r="B27" s="195" ph="1">
        <v>0.66666666666666663</v>
      </c>
      <c r="C27" s="173" t="s" ph="1">
        <v>181</v>
      </c>
      <c r="D27" s="71">
        <v>3.27</v>
      </c>
      <c r="E27" s="71">
        <v>95.48</v>
      </c>
      <c r="F27" s="71">
        <v>0</v>
      </c>
      <c r="G27" s="71">
        <v>1331</v>
      </c>
      <c r="H27" s="71">
        <v>2191</v>
      </c>
      <c r="I27" s="71">
        <v>3793</v>
      </c>
      <c r="J27" s="71">
        <v>4681</v>
      </c>
      <c r="K27" s="71">
        <v>0</v>
      </c>
      <c r="L27" s="71">
        <v>0</v>
      </c>
      <c r="M27" s="71">
        <v>3381</v>
      </c>
      <c r="N27" s="71">
        <v>5374</v>
      </c>
      <c r="O27" s="71">
        <v>0</v>
      </c>
      <c r="P27" s="71">
        <v>835</v>
      </c>
      <c r="Q27" s="90">
        <v>1680</v>
      </c>
      <c r="R27" s="71">
        <v>4069</v>
      </c>
      <c r="S27" s="71">
        <v>2980</v>
      </c>
      <c r="T27" s="71">
        <v>1756</v>
      </c>
      <c r="U27" s="71">
        <v>5236</v>
      </c>
      <c r="V27" s="71">
        <v>9650</v>
      </c>
      <c r="W27" s="71">
        <v>8333</v>
      </c>
      <c r="X27" s="71">
        <v>2739</v>
      </c>
      <c r="Y27" s="71">
        <v>3477</v>
      </c>
      <c r="Z27" s="189"/>
      <c r="AA27" s="190"/>
      <c r="AB27" s="190"/>
      <c r="AC27" s="190"/>
      <c r="AD27" s="190"/>
      <c r="AE27" s="191"/>
      <c r="AH27" s="64" ph="1">
        <v>13</v>
      </c>
      <c r="AI27" s="64" t="s" ph="1">
        <v>353</v>
      </c>
      <c r="AZ27" s="64" t="s" ph="1">
        <v>219</v>
      </c>
      <c r="BA27" s="64" ph="1">
        <v>0</v>
      </c>
      <c r="BD27" s="64" t="s" ph="1">
        <v>298</v>
      </c>
      <c r="BE27" s="64" ph="1">
        <v>7100</v>
      </c>
    </row>
    <row r="28" spans="1:57" ph="1">
      <c r="A28" s="72" ph="1"/>
      <c r="B28" s="195" ph="1"/>
      <c r="C28" s="173" t="s" ph="1">
        <v>179</v>
      </c>
      <c r="D28" s="91" ph="1">
        <f>D27*268.68*LOOKUP(D29,密度!$A$2:$A$50,密度!$Q$2:$Q$50)+IF(D27&lt;=0,0,1566*LOOKUP(D29,密度!$A$2:$A$50,密度!$Q$2:$Q$50))</f>
        <v>2314.385077464</v>
      </c>
      <c r="E28" s="91" ph="1">
        <f>E27*268.68*LOOKUP(E29,密度!$A$2:$A$50,密度!$C$2:$C$50)+IF(E27&lt;=0,0,1566*LOOKUP(E29,密度!$A$2:$A$50,密度!$C$2:$C$50))</f>
        <v>30183.777180960005</v>
      </c>
      <c r="F28" s="91" ph="1">
        <f>F27*11.702*LOOKUP(F29,密度!$A$2:$A$50,密度!$Q$2:$Q$50)</f>
        <v>0</v>
      </c>
      <c r="G28" s="91" ph="1">
        <f>G27*18.322*LOOKUP(G29,密度!$A$2:$A$50,密度!$B$2:$B$50)</f>
        <v>19033.727250999997</v>
      </c>
      <c r="H28" s="91" ph="1">
        <f>H27*18.322*LOOKUP(H29,密度!$A$2:$A$50,密度!$B$2:$B$50)</f>
        <v>31295.874159199997</v>
      </c>
      <c r="I28" s="91" ph="1">
        <f>I27*18.322*LOOKUP(I29,密度!$A$2:$A$50,密度!$Q$2:$Q$50)</f>
        <v>65695.340480719999</v>
      </c>
      <c r="J28" s="91" ph="1">
        <f>J27*18.322*LOOKUP(J29,密度!$A$2:$A$50,密度!$Q$2:$Q$50)</f>
        <v>81197.42308067999</v>
      </c>
      <c r="K28" s="91" ph="1">
        <f>K27*18.322*LOOKUP(K29,密度!$A$2:$A$50,密度!$Q$2:$Q$50)</f>
        <v>0</v>
      </c>
      <c r="L28" s="91" ph="1">
        <f>L27*18.322*LOOKUP(L29,密度!$A$2:$A$50,密度!$Q$2:$Q$50)</f>
        <v>0</v>
      </c>
      <c r="M28" s="91" ph="1">
        <f>M27*18.322*LOOKUP(M29,密度!$A$2:$A$50,密度!$Q$2:$Q$50)</f>
        <v>58692.622794540002</v>
      </c>
      <c r="N28" s="91" ph="1">
        <f>N27*18.322*LOOKUP(N29,密度!$A$2:$A$50,密度!$Q$2:$Q$50)</f>
        <v>93290.196657160006</v>
      </c>
      <c r="O28" s="91" ph="1">
        <f>O27*18.322*LOOKUP(O29,密度!$A$2:$A$50,密度!$C$2:$C$50)</f>
        <v>0</v>
      </c>
      <c r="P28" s="91" ph="1">
        <f>P27*11.702*LOOKUP(P29,密度!$A$2:$A$50,密度!$B$2:$B$50)</f>
        <v>7626.398185</v>
      </c>
      <c r="Q28" s="92" ph="1">
        <f>Q27*18.322*LOOKUP(Q29,密度!$A$2:$A$50,密度!$B$2:$B$50)</f>
        <v>23996.836415999998</v>
      </c>
      <c r="R28" s="91" ph="1">
        <f>R27*35.891*LOOKUP(R29,密度!$A$2:$A$50,密度!$C$2:$C$50)</f>
        <v>162046.51549839997</v>
      </c>
      <c r="S28" s="91" ph="1">
        <f>S27*35.891*LOOKUP(S29,密度!$A$2:$A$50,密度!$B$2:$B$50)</f>
        <v>83200.434521999996</v>
      </c>
      <c r="T28" s="91" ph="1">
        <f>T27*35.891*LOOKUP(T29,密度!$A$2:$A$50,密度!$Q$2:$Q$50)</f>
        <v>59623.158553879999</v>
      </c>
      <c r="U28" s="91" ph="1">
        <f>U27*35.891</f>
        <v>187925.27599999998</v>
      </c>
      <c r="V28" s="91" ph="1">
        <f>V27*47.051*LOOKUP(V29,密度!$A$2:$A$50,密度!$B$2:$B$50)</f>
        <v>354788.53600999998</v>
      </c>
      <c r="W28" s="91" ph="1">
        <f>W27*47.051*LOOKUP(W29,密度!$A$2:$A$50,密度!$B$2:$B$50)</f>
        <v>306015.30473149999</v>
      </c>
      <c r="X28" s="91" ph="1">
        <f>X27*47.051*LOOKUP(X29,密度!$A$2:$A$50,密度!$I$2:$I$50)</f>
        <v>132733.71476244001</v>
      </c>
      <c r="Y28" s="91" ph="1">
        <f>Y27*47.051*LOOKUP(Y29,密度!$A$2:$A$50,密度!$L$2:$L$50)</f>
        <v>153289.75839900001</v>
      </c>
      <c r="Z28" s="189"/>
      <c r="AA28" s="190"/>
      <c r="AB28" s="190"/>
      <c r="AC28" s="190"/>
      <c r="AD28" s="190"/>
      <c r="AE28" s="191"/>
      <c r="AH28" s="64" ph="1">
        <v>14</v>
      </c>
      <c r="AI28" s="64" t="s" ph="1">
        <v>354</v>
      </c>
      <c r="AZ28" s="64" t="s" ph="1">
        <v>219</v>
      </c>
      <c r="BA28" s="64" ph="1">
        <v>0</v>
      </c>
    </row>
    <row r="29" spans="1:57" ph="1">
      <c r="A29" s="72" ph="1"/>
      <c r="B29" s="195" ph="1"/>
      <c r="C29" s="173" t="s" ph="1">
        <v>180</v>
      </c>
      <c r="D29" s="74">
        <v>25</v>
      </c>
      <c r="E29" s="74">
        <v>25</v>
      </c>
      <c r="F29" s="74">
        <v>24</v>
      </c>
      <c r="G29" s="74">
        <v>24</v>
      </c>
      <c r="H29" s="74">
        <v>25</v>
      </c>
      <c r="I29" s="74">
        <v>27</v>
      </c>
      <c r="J29" s="74">
        <v>25</v>
      </c>
      <c r="K29" s="74">
        <v>24</v>
      </c>
      <c r="L29" s="74">
        <v>27</v>
      </c>
      <c r="M29" s="74">
        <v>24</v>
      </c>
      <c r="N29" s="74">
        <v>24</v>
      </c>
      <c r="O29" s="74">
        <v>27</v>
      </c>
      <c r="P29" s="74">
        <v>24</v>
      </c>
      <c r="Q29" s="93">
        <v>25</v>
      </c>
      <c r="R29" s="74">
        <v>24</v>
      </c>
      <c r="S29" s="74">
        <v>27</v>
      </c>
      <c r="T29" s="74">
        <v>26</v>
      </c>
      <c r="U29" s="74">
        <v>25</v>
      </c>
      <c r="V29" s="74">
        <v>23</v>
      </c>
      <c r="W29" s="74">
        <v>24</v>
      </c>
      <c r="X29" s="74">
        <v>36</v>
      </c>
      <c r="Y29" s="74">
        <v>25</v>
      </c>
      <c r="Z29" s="192"/>
      <c r="AA29" s="193"/>
      <c r="AB29" s="193"/>
      <c r="AC29" s="193"/>
      <c r="AD29" s="193"/>
      <c r="AE29" s="194"/>
      <c r="AH29" s="64" ph="1">
        <v>15</v>
      </c>
      <c r="AI29" s="64" t="s" ph="1">
        <v>355</v>
      </c>
      <c r="AZ29" s="64" t="s" ph="1">
        <v>219</v>
      </c>
      <c r="BA29" s="64" ph="1">
        <v>0</v>
      </c>
      <c r="BD29" s="64" t="s" ph="1">
        <v>356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357</v>
      </c>
      <c r="AZ30" s="64" t="s" ph="1">
        <v>219</v>
      </c>
      <c r="BA30" s="64" ph="1">
        <v>0</v>
      </c>
    </row>
    <row r="31" spans="1:57" ht="28.2" ph="1">
      <c r="A31" s="64"/>
      <c r="B31" s="208" t="s" ph="1">
        <v>35</v>
      </c>
      <c r="C31" s="209" ph="1"/>
      <c r="D31" s="212" t="s" ph="1">
        <v>9</v>
      </c>
      <c r="E31" s="201" ph="1"/>
      <c r="F31" s="202" ph="1"/>
      <c r="G31" s="212" t="s" ph="1">
        <v>18</v>
      </c>
      <c r="H31" s="201" ph="1"/>
      <c r="I31" s="202" ph="1"/>
      <c r="J31" s="200" t="s" ph="1">
        <v>1</v>
      </c>
      <c r="K31" s="201" ph="1"/>
      <c r="L31" s="202" ph="1"/>
      <c r="M31" s="200" t="s" ph="1">
        <v>7</v>
      </c>
      <c r="N31" s="201" ph="1"/>
      <c r="O31" s="202" ph="1"/>
      <c r="P31" s="200" t="s" ph="1">
        <v>41</v>
      </c>
      <c r="Q31" s="201"/>
      <c r="R31" s="202"/>
      <c r="S31" s="200" t="s" ph="1">
        <v>2</v>
      </c>
      <c r="T31" s="201"/>
      <c r="U31" s="202"/>
      <c r="V31" s="200" t="s" ph="1">
        <v>71</v>
      </c>
      <c r="W31" s="201" ph="1"/>
      <c r="X31" s="202" ph="1"/>
      <c r="Y31" s="200" t="s" ph="1">
        <v>3</v>
      </c>
      <c r="Z31" s="201" ph="1"/>
      <c r="AA31" s="202" ph="1"/>
      <c r="AB31" s="223" t="s">
        <v>42</v>
      </c>
      <c r="AC31" s="224"/>
      <c r="AD31" s="224"/>
      <c r="AE31" s="225"/>
      <c r="AH31" s="64" ph="1">
        <v>17</v>
      </c>
      <c r="AI31" s="64" t="s" ph="1">
        <v>358</v>
      </c>
      <c r="AZ31" s="64" t="s" ph="1">
        <v>219</v>
      </c>
      <c r="BA31" s="64" ph="1">
        <v>0</v>
      </c>
      <c r="BD31" s="64" t="s" ph="1">
        <v>359</v>
      </c>
      <c r="BE31" s="64" ph="1">
        <v>9310</v>
      </c>
    </row>
    <row r="32" spans="1:57" ph="1">
      <c r="A32" s="64"/>
      <c r="B32" s="210" ph="1"/>
      <c r="C32" s="211" ph="1"/>
      <c r="D32" s="96" t="s" ph="1">
        <v>4</v>
      </c>
      <c r="E32" s="173" t="s" ph="1">
        <v>5</v>
      </c>
      <c r="F32" s="172" t="s" ph="1">
        <v>43</v>
      </c>
      <c r="G32" s="97" t="s" ph="1">
        <v>4</v>
      </c>
      <c r="H32" s="173" t="s" ph="1">
        <v>5</v>
      </c>
      <c r="I32" s="172" t="s" ph="1">
        <v>43</v>
      </c>
      <c r="J32" s="97" t="s" ph="1">
        <v>4</v>
      </c>
      <c r="K32" s="173" t="s" ph="1">
        <v>5</v>
      </c>
      <c r="L32" s="172" t="s" ph="1">
        <v>43</v>
      </c>
      <c r="M32" s="97" t="s" ph="1">
        <v>4</v>
      </c>
      <c r="N32" s="173" t="s" ph="1">
        <v>5</v>
      </c>
      <c r="O32" s="17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73" t="s" ph="1">
        <v>5</v>
      </c>
      <c r="U32" s="99" t="s" ph="1">
        <v>43</v>
      </c>
      <c r="V32" s="97" t="s" ph="1">
        <v>4</v>
      </c>
      <c r="W32" s="173" t="s" ph="1">
        <v>5</v>
      </c>
      <c r="X32" s="99" t="s" ph="1">
        <v>43</v>
      </c>
      <c r="Y32" s="100" t="s" ph="1">
        <v>4</v>
      </c>
      <c r="Z32" s="173" t="s" ph="1">
        <v>5</v>
      </c>
      <c r="AA32" s="172" t="s" ph="1">
        <v>43</v>
      </c>
      <c r="AB32" s="97" t="s" ph="1">
        <v>85</v>
      </c>
      <c r="AC32" s="173" t="s" ph="1">
        <v>84</v>
      </c>
      <c r="AD32" s="226" t="s" ph="1">
        <v>83</v>
      </c>
      <c r="AE32" s="227"/>
      <c r="AH32" s="64" ph="1">
        <v>18</v>
      </c>
      <c r="AI32" s="64" t="s" ph="1">
        <v>360</v>
      </c>
      <c r="AZ32" s="64" t="s" ph="1">
        <v>219</v>
      </c>
      <c r="BA32" s="64" ph="1">
        <v>0</v>
      </c>
    </row>
    <row r="33" spans="1:57" ph="1">
      <c r="A33" s="64"/>
      <c r="B33" s="213" t="s" ph="1">
        <v>182</v>
      </c>
      <c r="C33" s="214" ph="1"/>
      <c r="D33" s="217" ph="1">
        <f>AA10+AB10+Z19</f>
        <v>147848.08702440001</v>
      </c>
      <c r="E33" s="217" ph="1">
        <f>M10+I10</f>
        <v>46954.933853400005</v>
      </c>
      <c r="F33" s="219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21" ph="1">
        <v>0</v>
      </c>
      <c r="H33" s="217" ph="1">
        <f>N19</f>
        <v>0</v>
      </c>
      <c r="I33" s="230" ph="1">
        <v>0</v>
      </c>
      <c r="J33" s="228" ph="1">
        <f>F10+O28</f>
        <v>170478.78076710002</v>
      </c>
      <c r="K33" s="217" ph="1">
        <f>O10+K10+E28+R28</f>
        <v>230199.56006815998</v>
      </c>
      <c r="L33" s="232" ph="1">
        <f>BE27</f>
        <v>7100</v>
      </c>
      <c r="M33" s="228" ph="1">
        <f>G10+H10+W28+S28+V28+E10</f>
        <v>1417712.0195975001</v>
      </c>
      <c r="N33" s="217" ph="1">
        <f>L10+P10++G28+H28</f>
        <v>92443.216058199992</v>
      </c>
      <c r="O33" s="230" ph="1">
        <f>BE17</f>
        <v>2270</v>
      </c>
      <c r="P33" s="228" ph="1">
        <f>L19</f>
        <v>31100.12610012</v>
      </c>
      <c r="Q33" s="217" ph="1">
        <f>J10+N10</f>
        <v>169581.25547800001</v>
      </c>
      <c r="R33" s="230" ph="1">
        <f>BE23</f>
        <v>890</v>
      </c>
      <c r="S33" s="228" ph="1">
        <f>E10+X28</f>
        <v>303095.75951244001</v>
      </c>
      <c r="T33" s="217" ph="1">
        <f>X19</f>
        <v>7251.4270219999999</v>
      </c>
      <c r="U33" s="238" ph="1">
        <f>BE21</f>
        <v>730</v>
      </c>
      <c r="V33" s="249" ph="1">
        <f ca="1">P19+Q19+S19+M28+N28+J28</f>
        <v>352013.101966516</v>
      </c>
      <c r="W33" s="249" ph="1">
        <f>D28+F28+V19+T28</f>
        <v>113874.94293291599</v>
      </c>
      <c r="X33" s="230" ph="1">
        <f>BE29+BE31</f>
        <v>10200</v>
      </c>
      <c r="Y33" s="251" ph="1">
        <f>+Q10+R10+S10+T10+U10+V10+W10+X10+Y10</f>
        <v>122827.42893960001</v>
      </c>
      <c r="Z33" s="236" ph="1">
        <f>D10+T19+U19+Y28+Z10</f>
        <v>444310.10002643999</v>
      </c>
      <c r="AA33" s="238" ph="1">
        <f>BE19</f>
        <v>1440</v>
      </c>
      <c r="AB33" s="240" ph="1">
        <f>I19</f>
        <v>23686.4120248</v>
      </c>
      <c r="AC33" s="242" ph="1">
        <f>AD10</f>
        <v>86639.446051200008</v>
      </c>
      <c r="AD33" s="244" ph="1">
        <v>0</v>
      </c>
      <c r="AE33" s="245"/>
      <c r="AH33" s="64" ph="1">
        <v>19</v>
      </c>
      <c r="AI33" s="64" t="s" ph="1">
        <v>361</v>
      </c>
      <c r="AJ33" s="64" t="s" ph="1">
        <v>595</v>
      </c>
      <c r="AK33" s="64" t="s" ph="1">
        <v>592</v>
      </c>
      <c r="AL33" s="64" ph="1">
        <v>730</v>
      </c>
      <c r="AM33" s="64" t="s" ph="1">
        <v>342</v>
      </c>
      <c r="AZ33" s="64" t="s" ph="1">
        <v>219</v>
      </c>
      <c r="BA33" s="64" ph="1">
        <v>730</v>
      </c>
      <c r="BD33" s="64" t="s" ph="1">
        <v>293</v>
      </c>
      <c r="BE33" s="64" ph="1">
        <v>3880</v>
      </c>
    </row>
    <row r="34" spans="1:57" ph="1">
      <c r="A34" s="64"/>
      <c r="B34" s="215" ph="1"/>
      <c r="C34" s="216" ph="1"/>
      <c r="D34" s="218" ph="1"/>
      <c r="E34" s="218" ph="1"/>
      <c r="F34" s="220" ph="1"/>
      <c r="G34" s="222" ph="1"/>
      <c r="H34" s="218" ph="1"/>
      <c r="I34" s="231" ph="1"/>
      <c r="J34" s="229" ph="1"/>
      <c r="K34" s="218" ph="1"/>
      <c r="L34" s="233" ph="1"/>
      <c r="M34" s="229" ph="1"/>
      <c r="N34" s="218" ph="1"/>
      <c r="O34" s="231" ph="1"/>
      <c r="P34" s="229" ph="1"/>
      <c r="Q34" s="218" ph="1"/>
      <c r="R34" s="231" ph="1"/>
      <c r="S34" s="229" ph="1"/>
      <c r="T34" s="218"/>
      <c r="U34" s="239"/>
      <c r="V34" s="250" ph="1"/>
      <c r="W34" s="250" ph="1"/>
      <c r="X34" s="231" ph="1"/>
      <c r="Y34" s="252" ph="1"/>
      <c r="Z34" s="237" ph="1"/>
      <c r="AA34" s="239" ph="1"/>
      <c r="AB34" s="241"/>
      <c r="AC34" s="243"/>
      <c r="AD34" s="246"/>
      <c r="AE34" s="247"/>
      <c r="AH34" s="64" ph="1">
        <v>20</v>
      </c>
      <c r="AI34" s="64" t="s" ph="1">
        <v>362</v>
      </c>
      <c r="AJ34" s="64" t="s" ph="1">
        <v>596</v>
      </c>
      <c r="AK34" s="64" t="s" ph="1">
        <v>592</v>
      </c>
      <c r="AL34" s="64" ph="1">
        <v>720</v>
      </c>
      <c r="AM34" s="64" t="s" ph="1">
        <v>342</v>
      </c>
      <c r="AZ34" s="64" t="s" ph="1">
        <v>219</v>
      </c>
      <c r="BA34" s="64" ph="1">
        <v>720</v>
      </c>
    </row>
    <row r="35" spans="1:57" ph="1">
      <c r="A35" s="64"/>
      <c r="AC35" s="248" t="s" ph="1">
        <v>643</v>
      </c>
      <c r="AD35" s="248"/>
      <c r="AE35" s="248"/>
      <c r="AH35" s="64" ph="1">
        <v>21</v>
      </c>
      <c r="AI35" s="64" t="s" ph="1">
        <v>363</v>
      </c>
      <c r="AZ35" s="64" t="s" ph="1">
        <v>219</v>
      </c>
      <c r="BA35" s="64" ph="1">
        <v>0</v>
      </c>
      <c r="BD35" s="64" t="s" ph="1">
        <v>364</v>
      </c>
      <c r="BE35" s="64" ph="1">
        <v>2030</v>
      </c>
    </row>
    <row r="36" spans="1:57" ht="28.2" ph="1">
      <c r="A36" s="64"/>
      <c r="B36" s="103" t="s" ph="1">
        <v>183</v>
      </c>
      <c r="I36" s="234" t="s" ph="1">
        <v>184</v>
      </c>
      <c r="J36" s="234" ph="1"/>
      <c r="K36" s="101" ph="1"/>
      <c r="P36" s="101" ph="1"/>
      <c r="R36" s="234" t="s" ph="1">
        <v>185</v>
      </c>
      <c r="S36" s="234" ph="1"/>
      <c r="Y36" s="102" ph="1"/>
      <c r="Z36" s="171" t="s" ph="1">
        <v>186</v>
      </c>
      <c r="AA36" s="171" ph="1"/>
      <c r="AB36" s="235" t="s" ph="1">
        <v>647</v>
      </c>
      <c r="AC36" s="235" ph="1"/>
      <c r="AD36" s="235" ph="1"/>
      <c r="AE36" s="235" ph="1"/>
      <c r="BA36" s="64" ph="1">
        <v>2270</v>
      </c>
    </row>
    <row r="37" spans="1:57" s="17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71" t="s" ph="1">
        <v>345</v>
      </c>
      <c r="AI37" s="171" t="s" ph="1">
        <v>212</v>
      </c>
      <c r="AJ37" s="171" t="s" ph="1">
        <v>213</v>
      </c>
      <c r="AK37" s="171" t="s" ph="1">
        <v>214</v>
      </c>
      <c r="AM37" s="171" t="s" ph="1">
        <v>213</v>
      </c>
      <c r="AN37" s="171" t="s" ph="1">
        <v>214</v>
      </c>
      <c r="AO37" s="171" t="s" ph="1">
        <v>215</v>
      </c>
      <c r="AP37" s="171" t="s" ph="1">
        <v>213</v>
      </c>
      <c r="AQ37" s="171" t="s" ph="1">
        <v>214</v>
      </c>
      <c r="AR37" s="171" t="s" ph="1">
        <v>215</v>
      </c>
      <c r="AS37" s="171" t="s" ph="1">
        <v>213</v>
      </c>
      <c r="AT37" s="171" t="s" ph="1">
        <v>214</v>
      </c>
      <c r="AU37" s="171" t="s" ph="1">
        <v>215</v>
      </c>
      <c r="AV37" s="171" t="s" ph="1">
        <v>213</v>
      </c>
      <c r="AW37" s="171" t="s" ph="1">
        <v>214</v>
      </c>
      <c r="AX37" s="171" t="s" ph="1">
        <v>215</v>
      </c>
      <c r="AY37" s="171" t="s" ph="1">
        <v>214</v>
      </c>
      <c r="AZ37" s="171" t="s" ph="1">
        <v>216</v>
      </c>
      <c r="BD37" s="171" t="s" ph="1">
        <v>308</v>
      </c>
      <c r="BE37" s="171" ph="1">
        <v>0</v>
      </c>
    </row>
    <row r="38" spans="1:57" ph="1">
      <c r="AE38" s="64" ph="1"/>
      <c r="AH38" s="64" ph="1">
        <v>1</v>
      </c>
      <c r="AI38" s="64" t="s" ph="1">
        <v>365</v>
      </c>
      <c r="AY38" s="64" t="s" ph="1">
        <v>219</v>
      </c>
      <c r="AZ38" s="64" t="s" ph="1">
        <v>370</v>
      </c>
    </row>
    <row r="39" spans="1:57" ph="1">
      <c r="AH39" s="64" ph="1">
        <v>2</v>
      </c>
      <c r="AI39" s="64" t="s" ph="1">
        <v>367</v>
      </c>
      <c r="AJ39" s="64" t="s" ph="1">
        <v>339</v>
      </c>
      <c r="AK39" s="64" t="s" ph="1">
        <v>368</v>
      </c>
      <c r="AM39" s="64" t="s" ph="1">
        <v>573</v>
      </c>
      <c r="AN39" s="64" t="s" ph="1">
        <v>231</v>
      </c>
      <c r="AO39" s="64" t="s" ph="1">
        <v>366</v>
      </c>
      <c r="AY39" s="64" t="s" ph="1">
        <v>219</v>
      </c>
      <c r="AZ39" s="64" t="s" ph="1">
        <v>502</v>
      </c>
    </row>
    <row r="40" spans="1:57" ph="1">
      <c r="AH40" s="64" ph="1">
        <v>3</v>
      </c>
      <c r="AI40" s="64" t="s" ph="1">
        <v>369</v>
      </c>
      <c r="AJ40" s="64" t="s" ph="1">
        <v>573</v>
      </c>
      <c r="AK40" s="64" t="s" ph="1">
        <v>574</v>
      </c>
      <c r="AY40" s="64" t="s" ph="1">
        <v>219</v>
      </c>
      <c r="AZ40" s="64" t="s" ph="1">
        <v>574</v>
      </c>
    </row>
    <row r="41" spans="1:57" ph="1">
      <c r="AH41" s="64" ph="1">
        <v>4</v>
      </c>
      <c r="AI41" s="64" t="s" ph="1">
        <v>371</v>
      </c>
      <c r="AJ41" s="64" t="s" ph="1">
        <v>575</v>
      </c>
      <c r="AK41" s="64" t="s" ph="1">
        <v>576</v>
      </c>
      <c r="AM41" s="64" t="s" ph="1">
        <v>577</v>
      </c>
      <c r="AY41" s="64" t="s" ph="1">
        <v>219</v>
      </c>
      <c r="AZ41" s="64" t="s" ph="1">
        <v>576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372</v>
      </c>
      <c r="AY42" s="64" t="s" ph="1">
        <v>219</v>
      </c>
      <c r="AZ42" s="64" t="s" ph="1">
        <v>370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373</v>
      </c>
      <c r="AY43" s="64" t="s" ph="1">
        <v>219</v>
      </c>
      <c r="AZ43" s="64" t="s" ph="1">
        <v>370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374</v>
      </c>
      <c r="AV44" s="64" t="s" ph="1">
        <v>220</v>
      </c>
      <c r="AY44" s="64" t="s" ph="1">
        <v>219</v>
      </c>
      <c r="AZ44" s="64" t="s" ph="1">
        <v>370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375</v>
      </c>
      <c r="AV45" s="64" t="s" ph="1">
        <v>220</v>
      </c>
      <c r="AY45" s="64" t="s" ph="1">
        <v>219</v>
      </c>
      <c r="AZ45" s="64" t="s" ph="1">
        <v>370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376</v>
      </c>
      <c r="AV46" s="64" t="s" ph="1">
        <v>220</v>
      </c>
      <c r="AY46" s="64" t="s" ph="1">
        <v>219</v>
      </c>
      <c r="AZ46" s="64" t="s" ph="1">
        <v>370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377</v>
      </c>
      <c r="AV47" s="64" t="s" ph="1">
        <v>220</v>
      </c>
      <c r="AY47" s="64" t="s" ph="1">
        <v>219</v>
      </c>
      <c r="AZ47" s="64" t="s" ph="1">
        <v>370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578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235</v>
      </c>
      <c r="AI49" s="64" t="s" ph="1">
        <v>212</v>
      </c>
      <c r="AJ49" s="64" t="s" ph="1">
        <v>213</v>
      </c>
      <c r="AK49" s="64" t="s" ph="1">
        <v>214</v>
      </c>
      <c r="AM49" s="64" t="s" ph="1">
        <v>213</v>
      </c>
      <c r="AN49" s="64" t="s" ph="1">
        <v>214</v>
      </c>
      <c r="AO49" s="64" t="s" ph="1">
        <v>215</v>
      </c>
      <c r="AP49" s="64" t="s" ph="1">
        <v>213</v>
      </c>
      <c r="AQ49" s="64" t="s" ph="1">
        <v>214</v>
      </c>
      <c r="AR49" s="64" t="s" ph="1">
        <v>215</v>
      </c>
      <c r="AS49" s="64" t="s" ph="1">
        <v>213</v>
      </c>
      <c r="AT49" s="64" t="s" ph="1">
        <v>214</v>
      </c>
      <c r="AU49" s="64" t="s" ph="1">
        <v>215</v>
      </c>
      <c r="AV49" s="64" t="s" ph="1">
        <v>213</v>
      </c>
      <c r="AW49" s="64" t="s" ph="1">
        <v>214</v>
      </c>
      <c r="AX49" s="64" t="s" ph="1">
        <v>215</v>
      </c>
      <c r="AY49" s="64" t="s" ph="1">
        <v>214</v>
      </c>
      <c r="AZ49" s="64" t="s" ph="1">
        <v>216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378</v>
      </c>
      <c r="AY50" s="64" t="s" ph="1">
        <v>219</v>
      </c>
      <c r="AZ50" s="64" t="s" ph="1">
        <v>370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379</v>
      </c>
      <c r="AY51" s="64" t="s" ph="1">
        <v>219</v>
      </c>
      <c r="AZ51" s="64" t="s" ph="1">
        <v>370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380</v>
      </c>
      <c r="AJ52" s="64" t="s" ph="1">
        <v>337</v>
      </c>
      <c r="AK52" s="64" t="s" ph="1">
        <v>231</v>
      </c>
      <c r="AM52" s="64" t="s" ph="1">
        <v>339</v>
      </c>
      <c r="AN52" s="64" t="s" ph="1">
        <v>303</v>
      </c>
      <c r="AO52" s="64" t="s" ph="1">
        <v>236</v>
      </c>
      <c r="AP52" s="64" t="s" ph="1">
        <v>573</v>
      </c>
      <c r="AQ52" s="64" t="s" ph="1">
        <v>285</v>
      </c>
      <c r="AR52" s="64" t="s" ph="1">
        <v>236</v>
      </c>
      <c r="AY52" s="64" t="s" ph="1">
        <v>219</v>
      </c>
      <c r="AZ52" s="64" t="s" ph="1">
        <v>579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381</v>
      </c>
      <c r="AY53" s="64" t="s" ph="1">
        <v>219</v>
      </c>
      <c r="AZ53" s="64" t="s" ph="1">
        <v>370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382</v>
      </c>
      <c r="AJ54" s="64" t="s" ph="1">
        <v>337</v>
      </c>
      <c r="AK54" s="64" t="s" ph="1">
        <v>222</v>
      </c>
      <c r="AM54" s="64" t="s" ph="1">
        <v>339</v>
      </c>
      <c r="AN54" s="64" t="s" ph="1">
        <v>227</v>
      </c>
      <c r="AO54" s="64" t="s" ph="1">
        <v>236</v>
      </c>
      <c r="AP54" s="64" t="s" ph="1">
        <v>573</v>
      </c>
      <c r="AQ54" s="64" t="s" ph="1">
        <v>243</v>
      </c>
      <c r="AR54" s="64" t="s" ph="1">
        <v>236</v>
      </c>
      <c r="AY54" s="64" t="s" ph="1">
        <v>219</v>
      </c>
      <c r="AZ54" s="64" t="s" ph="1">
        <v>237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383</v>
      </c>
      <c r="AY55" s="64" t="s" ph="1">
        <v>219</v>
      </c>
      <c r="AZ55" s="64" t="s" ph="1">
        <v>370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384</v>
      </c>
      <c r="AY56" s="64" t="s" ph="1">
        <v>219</v>
      </c>
      <c r="AZ56" s="64" t="s" ph="1">
        <v>370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385</v>
      </c>
      <c r="AY57" s="64" t="s" ph="1">
        <v>219</v>
      </c>
      <c r="AZ57" s="64" t="s" ph="1">
        <v>370</v>
      </c>
    </row>
    <row r="58" spans="16:52" ph="1">
      <c r="P58" s="64"/>
      <c r="AN58" s="64" t="s" ph="1">
        <v>220</v>
      </c>
      <c r="AZ58" s="64" t="s" ph="1">
        <v>580</v>
      </c>
    </row>
    <row r="59" spans="16:52" ph="1">
      <c r="V59" s="64"/>
      <c r="AG59" s="64" t="s" ph="1">
        <v>238</v>
      </c>
      <c r="AI59" s="64" t="s" ph="1">
        <v>212</v>
      </c>
      <c r="AJ59" s="64" t="s" ph="1">
        <v>213</v>
      </c>
      <c r="AK59" s="64" t="s" ph="1">
        <v>214</v>
      </c>
      <c r="AM59" s="64" t="s" ph="1">
        <v>213</v>
      </c>
      <c r="AN59" s="64" t="s" ph="1">
        <v>214</v>
      </c>
      <c r="AO59" s="64" t="s" ph="1">
        <v>215</v>
      </c>
      <c r="AP59" s="64" t="s" ph="1">
        <v>213</v>
      </c>
      <c r="AQ59" s="64" t="s" ph="1">
        <v>214</v>
      </c>
      <c r="AR59" s="64" t="s" ph="1">
        <v>215</v>
      </c>
      <c r="AS59" s="64" t="s" ph="1">
        <v>213</v>
      </c>
      <c r="AT59" s="64" t="s" ph="1">
        <v>214</v>
      </c>
      <c r="AU59" s="64" t="s" ph="1">
        <v>215</v>
      </c>
      <c r="AV59" s="64" t="s" ph="1">
        <v>213</v>
      </c>
      <c r="AW59" s="64" t="s" ph="1">
        <v>214</v>
      </c>
      <c r="AX59" s="64" t="s" ph="1">
        <v>215</v>
      </c>
      <c r="AY59" s="64" t="s" ph="1">
        <v>214</v>
      </c>
      <c r="AZ59" s="64" t="s" ph="1">
        <v>216</v>
      </c>
    </row>
    <row r="60" spans="16:52" ph="1">
      <c r="R60" s="64"/>
      <c r="S60" s="64"/>
      <c r="T60" s="64"/>
      <c r="AH60" s="64" ph="1">
        <v>1</v>
      </c>
      <c r="AI60" s="64" t="s" ph="1">
        <v>386</v>
      </c>
      <c r="AY60" s="64" t="s" ph="1">
        <v>219</v>
      </c>
      <c r="AZ60" s="64" t="s" ph="1">
        <v>370</v>
      </c>
    </row>
    <row r="61" spans="16:52" ph="1">
      <c r="AH61" s="64" ph="1">
        <v>2</v>
      </c>
      <c r="AI61" s="64" t="s" ph="1">
        <v>387</v>
      </c>
      <c r="AS61" s="64" t="s" ph="1">
        <v>220</v>
      </c>
      <c r="AY61" s="64" t="s" ph="1">
        <v>219</v>
      </c>
      <c r="AZ61" s="64" t="s" ph="1">
        <v>370</v>
      </c>
    </row>
    <row r="62" spans="16:52" ph="1">
      <c r="AZ62" s="64" t="s" ph="1">
        <v>388</v>
      </c>
    </row>
    <row r="63" spans="16:52" ph="1">
      <c r="AG63" s="64" t="s" ph="1">
        <v>241</v>
      </c>
      <c r="AI63" s="64" t="s" ph="1">
        <v>212</v>
      </c>
      <c r="AJ63" s="64" t="s" ph="1">
        <v>213</v>
      </c>
      <c r="AK63" s="64" t="s" ph="1">
        <v>214</v>
      </c>
      <c r="AM63" s="64" t="s" ph="1">
        <v>213</v>
      </c>
      <c r="AN63" s="64" t="s" ph="1">
        <v>214</v>
      </c>
      <c r="AO63" s="64" t="s" ph="1">
        <v>215</v>
      </c>
      <c r="AP63" s="64" t="s" ph="1">
        <v>213</v>
      </c>
      <c r="AQ63" s="64" t="s" ph="1">
        <v>214</v>
      </c>
      <c r="AR63" s="64" t="s" ph="1">
        <v>215</v>
      </c>
      <c r="AS63" s="64" t="s" ph="1">
        <v>213</v>
      </c>
      <c r="AT63" s="64" t="s" ph="1">
        <v>214</v>
      </c>
      <c r="AU63" s="64" t="s" ph="1">
        <v>215</v>
      </c>
      <c r="AV63" s="64" t="s" ph="1">
        <v>213</v>
      </c>
      <c r="AW63" s="64" t="s" ph="1">
        <v>214</v>
      </c>
      <c r="AX63" s="64" t="s" ph="1">
        <v>215</v>
      </c>
      <c r="AY63" s="64" t="s" ph="1">
        <v>214</v>
      </c>
      <c r="AZ63" s="64" t="s" ph="1">
        <v>216</v>
      </c>
    </row>
    <row r="64" spans="16:52" ph="1">
      <c r="AH64" s="64" ph="1">
        <v>1</v>
      </c>
      <c r="AI64" s="64" t="s" ph="1">
        <v>389</v>
      </c>
      <c r="AJ64" s="64" t="s" ph="1">
        <v>390</v>
      </c>
      <c r="AK64" s="64" t="s" ph="1">
        <v>391</v>
      </c>
      <c r="AY64" s="64" t="s" ph="1">
        <v>219</v>
      </c>
      <c r="AZ64" s="64" t="s" ph="1">
        <v>391</v>
      </c>
    </row>
    <row r="65" spans="33:52" ph="1">
      <c r="AH65" s="64" ph="1">
        <v>2</v>
      </c>
      <c r="AI65" s="64" t="s" ph="1">
        <v>392</v>
      </c>
      <c r="AY65" s="64" t="s" ph="1">
        <v>219</v>
      </c>
      <c r="AZ65" s="64" t="s" ph="1">
        <v>370</v>
      </c>
    </row>
    <row r="66" spans="33:52" ph="1">
      <c r="AH66" s="64" ph="1">
        <v>3</v>
      </c>
      <c r="AI66" s="64" t="s" ph="1">
        <v>393</v>
      </c>
      <c r="AY66" s="64" t="s" ph="1">
        <v>219</v>
      </c>
      <c r="AZ66" s="64" t="s" ph="1">
        <v>370</v>
      </c>
    </row>
    <row r="67" spans="33:52" ph="1">
      <c r="AH67" s="64" ph="1">
        <v>4</v>
      </c>
      <c r="AI67" s="64" t="s" ph="1">
        <v>394</v>
      </c>
      <c r="AY67" s="64" t="s" ph="1">
        <v>219</v>
      </c>
      <c r="AZ67" s="64" t="s" ph="1">
        <v>370</v>
      </c>
    </row>
    <row r="68" spans="33:52" ph="1">
      <c r="AH68" s="64" ph="1">
        <v>5</v>
      </c>
      <c r="AI68" s="64" t="s" ph="1">
        <v>395</v>
      </c>
      <c r="AY68" s="64" t="s" ph="1">
        <v>219</v>
      </c>
      <c r="AZ68" s="64" t="s" ph="1">
        <v>370</v>
      </c>
    </row>
    <row r="69" spans="33:52" ph="1">
      <c r="AH69" s="64" ph="1">
        <v>6</v>
      </c>
      <c r="AI69" s="64" t="s" ph="1">
        <v>396</v>
      </c>
      <c r="AY69" s="64" t="s" ph="1">
        <v>219</v>
      </c>
      <c r="AZ69" s="64" t="s" ph="1">
        <v>370</v>
      </c>
    </row>
    <row r="70" spans="33:52" ph="1">
      <c r="AI70" s="64" t="s" ph="1">
        <v>397</v>
      </c>
      <c r="AY70" s="64" t="s" ph="1">
        <v>219</v>
      </c>
      <c r="AZ70" s="64" t="s" ph="1">
        <v>370</v>
      </c>
    </row>
    <row r="71" spans="33:52" ph="1">
      <c r="AH71" s="64" ph="1">
        <v>7</v>
      </c>
      <c r="AI71" s="64" t="s" ph="1">
        <v>398</v>
      </c>
      <c r="AJ71" s="64" t="s" ph="1">
        <v>337</v>
      </c>
      <c r="AK71" s="64" t="s" ph="1">
        <v>231</v>
      </c>
      <c r="AM71" s="64" t="s" ph="1">
        <v>339</v>
      </c>
      <c r="AN71" s="64" t="s" ph="1">
        <v>231</v>
      </c>
      <c r="AO71" s="64" t="s" ph="1">
        <v>399</v>
      </c>
      <c r="AP71" s="64" t="s" ph="1">
        <v>573</v>
      </c>
      <c r="AQ71" s="64" t="s" ph="1">
        <v>222</v>
      </c>
      <c r="AR71" s="64" t="s" ph="1">
        <v>399</v>
      </c>
      <c r="AY71" s="64" t="s" ph="1">
        <v>219</v>
      </c>
      <c r="AZ71" s="64" t="s" ph="1">
        <v>581</v>
      </c>
    </row>
    <row r="72" spans="33:52" ph="1">
      <c r="AZ72" s="64" t="s" ph="1">
        <v>582</v>
      </c>
    </row>
    <row r="73" spans="33:52" ph="1">
      <c r="AG73" s="64" t="s" ph="1">
        <v>244</v>
      </c>
      <c r="AI73" s="64" t="s" ph="1">
        <v>212</v>
      </c>
      <c r="AJ73" s="64" t="s" ph="1">
        <v>213</v>
      </c>
      <c r="AK73" s="64" t="s" ph="1">
        <v>214</v>
      </c>
      <c r="AM73" s="64" t="s" ph="1">
        <v>213</v>
      </c>
      <c r="AN73" s="64" t="s" ph="1">
        <v>214</v>
      </c>
      <c r="AO73" s="64" t="s" ph="1">
        <v>215</v>
      </c>
      <c r="AP73" s="64" t="s" ph="1">
        <v>213</v>
      </c>
      <c r="AQ73" s="64" t="s" ph="1">
        <v>214</v>
      </c>
      <c r="AR73" s="64" t="s" ph="1">
        <v>215</v>
      </c>
      <c r="AS73" s="64" t="s" ph="1">
        <v>213</v>
      </c>
      <c r="AT73" s="64" t="s" ph="1">
        <v>214</v>
      </c>
      <c r="AU73" s="64" t="s" ph="1">
        <v>215</v>
      </c>
      <c r="AV73" s="64" t="s" ph="1">
        <v>213</v>
      </c>
      <c r="AW73" s="64" t="s" ph="1">
        <v>214</v>
      </c>
      <c r="AX73" s="64" t="s" ph="1">
        <v>215</v>
      </c>
      <c r="AY73" s="64" t="s" ph="1">
        <v>214</v>
      </c>
      <c r="AZ73" s="64" t="s" ph="1">
        <v>216</v>
      </c>
    </row>
    <row r="74" spans="33:52" ph="1">
      <c r="AH74" s="64" ph="1">
        <v>1</v>
      </c>
      <c r="AI74" s="64" t="s" ph="1">
        <v>400</v>
      </c>
      <c r="AJ74" s="64" t="s" ph="1">
        <v>245</v>
      </c>
      <c r="AK74" s="64" t="s" ph="1">
        <v>227</v>
      </c>
      <c r="AM74" s="64" t="s" ph="1">
        <v>247</v>
      </c>
      <c r="AN74" s="64" t="s" ph="1">
        <v>257</v>
      </c>
      <c r="AO74" s="64" t="s" ph="1">
        <v>246</v>
      </c>
      <c r="AP74" s="64" t="s" ph="1">
        <v>248</v>
      </c>
      <c r="AQ74" s="64" t="s" ph="1">
        <v>225</v>
      </c>
      <c r="AR74" s="64" t="s" ph="1">
        <v>246</v>
      </c>
      <c r="AS74" s="64" t="s" ph="1">
        <v>218</v>
      </c>
      <c r="AT74" s="64" t="s" ph="1">
        <v>220</v>
      </c>
      <c r="AV74" s="64" t="s" ph="1">
        <v>401</v>
      </c>
      <c r="AW74" s="64" t="s" ph="1">
        <v>402</v>
      </c>
      <c r="AX74" s="64" t="s" ph="1">
        <v>403</v>
      </c>
      <c r="AY74" s="64" t="s" ph="1">
        <v>219</v>
      </c>
      <c r="AZ74" s="64" t="s" ph="1">
        <v>404</v>
      </c>
    </row>
    <row r="75" spans="33:52" ph="1">
      <c r="AJ75" s="64" t="s" ph="1">
        <v>250</v>
      </c>
      <c r="AK75" s="64" t="s" ph="1">
        <v>303</v>
      </c>
      <c r="AM75" s="64" t="s" ph="1">
        <v>248</v>
      </c>
      <c r="AN75" s="64" t="s" ph="1">
        <v>228</v>
      </c>
      <c r="AO75" s="64" t="s" ph="1">
        <v>246</v>
      </c>
      <c r="AS75" s="64" t="s" ph="1">
        <v>218</v>
      </c>
      <c r="AT75" s="64" t="s" ph="1">
        <v>249</v>
      </c>
    </row>
    <row r="76" spans="33:52" ph="1">
      <c r="AJ76" s="64" t="s" ph="1">
        <v>250</v>
      </c>
      <c r="AK76" s="64" t="s" ph="1">
        <v>243</v>
      </c>
      <c r="AM76" s="64" t="s" ph="1">
        <v>248</v>
      </c>
      <c r="AN76" s="64" t="s" ph="1">
        <v>231</v>
      </c>
      <c r="AO76" s="64" t="s" ph="1">
        <v>246</v>
      </c>
      <c r="AS76" s="64" t="s" ph="1">
        <v>218</v>
      </c>
      <c r="AT76" s="64" t="s" ph="1">
        <v>249</v>
      </c>
    </row>
    <row r="77" spans="33:52" ph="1">
      <c r="AJ77" s="64" t="s" ph="1">
        <v>286</v>
      </c>
      <c r="AK77" s="64" t="s" ph="1">
        <v>243</v>
      </c>
      <c r="AM77" s="64" t="s" ph="1">
        <v>287</v>
      </c>
      <c r="AN77" s="64" t="s" ph="1">
        <v>226</v>
      </c>
      <c r="AO77" s="64" t="s" ph="1">
        <v>246</v>
      </c>
      <c r="AS77" s="64" t="s" ph="1">
        <v>218</v>
      </c>
      <c r="AT77" s="64" t="s" ph="1">
        <v>288</v>
      </c>
    </row>
    <row r="78" spans="33:52" ph="1">
      <c r="AH78" s="64" ph="1">
        <v>2</v>
      </c>
      <c r="AI78" s="64" t="s" ph="1">
        <v>252</v>
      </c>
      <c r="AJ78" s="64" t="s" ph="1">
        <v>253</v>
      </c>
      <c r="AK78" s="64" t="s" ph="1">
        <v>222</v>
      </c>
      <c r="AM78" s="64" t="s" ph="1">
        <v>254</v>
      </c>
      <c r="AN78" s="64" t="s" ph="1">
        <v>257</v>
      </c>
      <c r="AO78" s="64" t="s" ph="1">
        <v>246</v>
      </c>
      <c r="AP78" s="64" t="s" ph="1">
        <v>255</v>
      </c>
      <c r="AQ78" s="64" t="s" ph="1">
        <v>301</v>
      </c>
      <c r="AR78" s="64" t="s" ph="1">
        <v>246</v>
      </c>
      <c r="AS78" s="64" t="s" ph="1">
        <v>256</v>
      </c>
      <c r="AT78" s="64" t="s" ph="1">
        <v>257</v>
      </c>
      <c r="AU78" s="64" t="s" ph="1">
        <v>246</v>
      </c>
      <c r="AV78" s="64" t="s" ph="1">
        <v>258</v>
      </c>
      <c r="AW78" s="64" t="s" ph="1">
        <v>246</v>
      </c>
      <c r="AY78" s="64" t="s" ph="1">
        <v>219</v>
      </c>
      <c r="AZ78" s="64" t="s" ph="1">
        <v>405</v>
      </c>
    </row>
    <row r="79" spans="33:52" ph="1">
      <c r="AJ79" s="64" t="s" ph="1">
        <v>248</v>
      </c>
      <c r="AK79" s="64" t="s" ph="1">
        <v>259</v>
      </c>
      <c r="AM79" s="64" t="s" ph="1">
        <v>260</v>
      </c>
      <c r="AN79" s="64" t="s" ph="1">
        <v>228</v>
      </c>
      <c r="AO79" s="64" t="s" ph="1">
        <v>246</v>
      </c>
      <c r="AP79" s="64" t="s" ph="1">
        <v>261</v>
      </c>
      <c r="AQ79" s="64" t="s" ph="1">
        <v>226</v>
      </c>
      <c r="AR79" s="64" t="s" ph="1">
        <v>262</v>
      </c>
      <c r="AS79" s="64" t="s" ph="1">
        <v>218</v>
      </c>
      <c r="AT79" s="64" t="s" ph="1">
        <v>263</v>
      </c>
      <c r="AV79" s="64" t="s" ph="1">
        <v>406</v>
      </c>
      <c r="AW79" s="64" t="s" ph="1">
        <v>305</v>
      </c>
      <c r="AX79" s="64" t="s" ph="1">
        <v>403</v>
      </c>
    </row>
    <row r="80" spans="33:52" ph="1">
      <c r="AH80" s="64" ph="1">
        <v>3</v>
      </c>
      <c r="AI80" s="64" t="s" ph="1">
        <v>264</v>
      </c>
      <c r="AJ80" s="64" t="s" ph="1">
        <v>265</v>
      </c>
      <c r="AK80" s="64" t="s" ph="1">
        <v>266</v>
      </c>
      <c r="AM80" s="64" t="s" ph="1">
        <v>267</v>
      </c>
      <c r="AN80" s="64" t="s" ph="1">
        <v>257</v>
      </c>
      <c r="AO80" s="64" t="s" ph="1">
        <v>246</v>
      </c>
      <c r="AP80" s="64" t="s" ph="1">
        <v>268</v>
      </c>
      <c r="AQ80" s="64" t="s" ph="1">
        <v>231</v>
      </c>
      <c r="AR80" s="64" t="s" ph="1">
        <v>246</v>
      </c>
      <c r="AS80" s="64" t="s" ph="1">
        <v>269</v>
      </c>
      <c r="AT80" s="64" t="s" ph="1">
        <v>230</v>
      </c>
      <c r="AU80" s="64" t="s" ph="1">
        <v>246</v>
      </c>
      <c r="AV80" s="64" t="s" ph="1">
        <v>270</v>
      </c>
      <c r="AW80" s="64" t="s" ph="1">
        <v>246</v>
      </c>
      <c r="AY80" s="64" t="s" ph="1">
        <v>219</v>
      </c>
      <c r="AZ80" s="64" t="s" ph="1">
        <v>407</v>
      </c>
    </row>
    <row r="81" spans="34:52" ph="1">
      <c r="AJ81" s="64" t="s" ph="1">
        <v>271</v>
      </c>
      <c r="AK81" s="64" t="s" ph="1">
        <v>225</v>
      </c>
      <c r="AM81" s="64" t="s" ph="1">
        <v>272</v>
      </c>
      <c r="AN81" s="64" t="s" ph="1">
        <v>228</v>
      </c>
      <c r="AO81" s="64" t="s" ph="1">
        <v>246</v>
      </c>
      <c r="AP81" s="64" t="s" ph="1">
        <v>273</v>
      </c>
      <c r="AQ81" s="64" t="s" ph="1">
        <v>257</v>
      </c>
      <c r="AR81" s="64" t="s" ph="1">
        <v>246</v>
      </c>
      <c r="AS81" s="64" t="s" ph="1">
        <v>274</v>
      </c>
      <c r="AT81" s="64" t="s" ph="1">
        <v>275</v>
      </c>
      <c r="AU81" s="64" t="s" ph="1">
        <v>246</v>
      </c>
      <c r="AV81" s="64" t="s" ph="1">
        <v>276</v>
      </c>
    </row>
    <row r="82" spans="34:52" ph="1">
      <c r="AJ82" s="64" t="s" ph="1">
        <v>277</v>
      </c>
      <c r="AK82" s="64" t="s" ph="1">
        <v>225</v>
      </c>
      <c r="AM82" s="64" t="s" ph="1">
        <v>278</v>
      </c>
      <c r="AN82" s="64" t="s" ph="1">
        <v>275</v>
      </c>
      <c r="AO82" s="64" t="s" ph="1">
        <v>279</v>
      </c>
      <c r="AP82" s="64" t="s" ph="1">
        <v>280</v>
      </c>
      <c r="AQ82" s="64" t="s" ph="1">
        <v>257</v>
      </c>
      <c r="AR82" s="64" t="s" ph="1">
        <v>246</v>
      </c>
      <c r="AS82" s="64" t="s" ph="1">
        <v>281</v>
      </c>
      <c r="AT82" s="64" t="s" ph="1">
        <v>232</v>
      </c>
      <c r="AU82" s="64" t="s" ph="1">
        <v>246</v>
      </c>
      <c r="AV82" s="64" t="s" ph="1">
        <v>406</v>
      </c>
      <c r="AW82" s="64" t="s" ph="1">
        <v>306</v>
      </c>
      <c r="AX82" s="64" t="s" ph="1">
        <v>403</v>
      </c>
    </row>
    <row r="83" spans="34:52" ph="1">
      <c r="AJ83" s="64" t="s" ph="1">
        <v>282</v>
      </c>
      <c r="AK83" s="64" t="s" ph="1">
        <v>299</v>
      </c>
      <c r="AM83" s="64" t="s" ph="1">
        <v>283</v>
      </c>
      <c r="AN83" s="64" t="s" ph="1">
        <v>231</v>
      </c>
      <c r="AO83" s="64" t="s" ph="1">
        <v>262</v>
      </c>
      <c r="AP83" s="64" t="s" ph="1">
        <v>284</v>
      </c>
      <c r="AQ83" s="64" t="s" ph="1">
        <v>285</v>
      </c>
      <c r="AR83" s="64" t="s" ph="1">
        <v>262</v>
      </c>
      <c r="AS83" s="64" t="s" ph="1">
        <v>408</v>
      </c>
      <c r="AT83" s="64" t="s" ph="1">
        <v>257</v>
      </c>
      <c r="AU83" s="64" t="s" ph="1">
        <v>262</v>
      </c>
      <c r="AV83" s="64" t="s" ph="1">
        <v>409</v>
      </c>
      <c r="AW83" s="64" t="s" ph="1">
        <v>306</v>
      </c>
      <c r="AX83" s="64" t="s" ph="1">
        <v>410</v>
      </c>
    </row>
    <row r="84" spans="34:52" ph="1">
      <c r="AH84" s="64" ph="1">
        <v>4</v>
      </c>
      <c r="AI84" s="64" t="s" ph="1">
        <v>289</v>
      </c>
      <c r="AJ84" s="64" t="s" ph="1">
        <v>229</v>
      </c>
      <c r="AK84" s="64" t="s" ph="1">
        <v>232</v>
      </c>
      <c r="AM84" s="64" t="s" ph="1">
        <v>233</v>
      </c>
      <c r="AN84" s="64" t="s" ph="1">
        <v>226</v>
      </c>
      <c r="AO84" s="64" t="s" ph="1">
        <v>262</v>
      </c>
      <c r="AP84" s="64" t="s" ph="1">
        <v>291</v>
      </c>
      <c r="AQ84" s="64" t="s" ph="1">
        <v>225</v>
      </c>
      <c r="AR84" s="64" t="s" ph="1">
        <v>262</v>
      </c>
      <c r="AS84" s="64" t="s" ph="1">
        <v>291</v>
      </c>
      <c r="AT84" s="64" t="s" ph="1">
        <v>227</v>
      </c>
      <c r="AU84" s="64" t="s" ph="1">
        <v>262</v>
      </c>
      <c r="AY84" s="64" t="s" ph="1">
        <v>219</v>
      </c>
      <c r="AZ84" s="64" t="s" ph="1">
        <v>411</v>
      </c>
    </row>
    <row r="85" spans="34:52" ph="1">
      <c r="AJ85" s="64" t="s" ph="1">
        <v>221</v>
      </c>
      <c r="AK85" s="64" t="s" ph="1">
        <v>225</v>
      </c>
      <c r="AM85" s="64" t="s" ph="1">
        <v>412</v>
      </c>
      <c r="AN85" s="64" t="s" ph="1">
        <v>232</v>
      </c>
      <c r="AO85" s="64" t="s" ph="1">
        <v>262</v>
      </c>
      <c r="AP85" s="64" t="s" ph="1">
        <v>413</v>
      </c>
      <c r="AQ85" s="64" t="s" ph="1">
        <v>228</v>
      </c>
      <c r="AR85" s="64" t="s" ph="1">
        <v>262</v>
      </c>
      <c r="AS85" s="64" t="s" ph="1">
        <v>414</v>
      </c>
      <c r="AT85" s="64" t="s" ph="1">
        <v>228</v>
      </c>
      <c r="AU85" s="64" t="s" ph="1">
        <v>262</v>
      </c>
    </row>
    <row r="86" spans="34:52" ph="1">
      <c r="AJ86" s="64" t="s" ph="1">
        <v>415</v>
      </c>
      <c r="AK86" s="64" t="s" ph="1">
        <v>234</v>
      </c>
      <c r="AM86" s="64" t="s" ph="1">
        <v>416</v>
      </c>
      <c r="AN86" s="64" t="s" ph="1">
        <v>275</v>
      </c>
      <c r="AO86" s="64" t="s" ph="1">
        <v>262</v>
      </c>
      <c r="AP86" s="64" t="s" ph="1">
        <v>417</v>
      </c>
      <c r="AQ86" s="64" t="s" ph="1">
        <v>222</v>
      </c>
      <c r="AR86" s="64" t="s" ph="1">
        <v>262</v>
      </c>
      <c r="AS86" s="64" t="s" ph="1">
        <v>418</v>
      </c>
      <c r="AT86" s="64" t="s" ph="1">
        <v>240</v>
      </c>
      <c r="AU86" s="64" t="s" ph="1">
        <v>262</v>
      </c>
    </row>
    <row r="87" spans="34:52" ph="1">
      <c r="AJ87" s="64" t="s" ph="1">
        <v>419</v>
      </c>
      <c r="AK87" s="64" t="s" ph="1">
        <v>275</v>
      </c>
      <c r="AM87" s="64" t="s" ph="1">
        <v>406</v>
      </c>
      <c r="AN87" s="64" t="s" ph="1">
        <v>420</v>
      </c>
      <c r="AO87" s="64" t="s" ph="1">
        <v>403</v>
      </c>
    </row>
    <row r="88" spans="34:52" ph="1">
      <c r="AH88" s="64" ph="1">
        <v>5</v>
      </c>
      <c r="AI88" s="64" t="s" ph="1">
        <v>292</v>
      </c>
      <c r="AJ88" s="64" t="s" ph="1">
        <v>421</v>
      </c>
      <c r="AK88" s="64" t="s" ph="1">
        <v>275</v>
      </c>
      <c r="AM88" s="64" t="s" ph="1">
        <v>422</v>
      </c>
      <c r="AN88" s="64" t="s" ph="1">
        <v>275</v>
      </c>
      <c r="AO88" s="64" t="s" ph="1">
        <v>262</v>
      </c>
      <c r="AP88" s="64" t="s" ph="1">
        <v>423</v>
      </c>
      <c r="AQ88" s="64" t="s" ph="1">
        <v>225</v>
      </c>
      <c r="AR88" s="64" t="s" ph="1">
        <v>262</v>
      </c>
      <c r="AS88" s="64" t="s" ph="1">
        <v>424</v>
      </c>
      <c r="AT88" s="64" t="s" ph="1">
        <v>275</v>
      </c>
      <c r="AU88" s="64" t="s" ph="1">
        <v>262</v>
      </c>
      <c r="AV88" s="64" t="s" ph="1">
        <v>425</v>
      </c>
      <c r="AW88" s="64" t="s" ph="1">
        <v>230</v>
      </c>
      <c r="AX88" s="64" t="s" ph="1">
        <v>262</v>
      </c>
      <c r="AY88" s="64" t="s" ph="1">
        <v>219</v>
      </c>
      <c r="AZ88" s="64" t="s" ph="1">
        <v>426</v>
      </c>
    </row>
    <row r="89" spans="34:52" ph="1">
      <c r="AJ89" s="64" t="s" ph="1">
        <v>427</v>
      </c>
      <c r="AK89" s="64" t="s" ph="1">
        <v>228</v>
      </c>
      <c r="AM89" s="64" t="s" ph="1">
        <v>428</v>
      </c>
      <c r="AN89" s="64" t="s" ph="1">
        <v>231</v>
      </c>
      <c r="AO89" s="64" t="s" ph="1">
        <v>262</v>
      </c>
      <c r="AP89" s="64" t="s" ph="1">
        <v>429</v>
      </c>
      <c r="AQ89" s="64" t="s" ph="1">
        <v>240</v>
      </c>
      <c r="AR89" s="64" t="s" ph="1">
        <v>262</v>
      </c>
      <c r="AS89" s="64" t="s" ph="1">
        <v>430</v>
      </c>
      <c r="AT89" s="64" t="s" ph="1">
        <v>275</v>
      </c>
      <c r="AU89" s="64" t="s" ph="1">
        <v>262</v>
      </c>
      <c r="AV89" s="64" t="s" ph="1">
        <v>431</v>
      </c>
      <c r="AW89" s="64" t="s" ph="1">
        <v>257</v>
      </c>
      <c r="AX89" s="64" t="s" ph="1">
        <v>290</v>
      </c>
    </row>
    <row r="90" spans="34:52" ph="1">
      <c r="AJ90" s="64" t="s" ph="1">
        <v>432</v>
      </c>
      <c r="AK90" s="64" t="s" ph="1">
        <v>231</v>
      </c>
      <c r="AM90" s="64" t="s" ph="1">
        <v>433</v>
      </c>
      <c r="AN90" s="64" t="s" ph="1">
        <v>228</v>
      </c>
      <c r="AO90" s="64" t="s" ph="1">
        <v>262</v>
      </c>
      <c r="AP90" s="64" t="s" ph="1">
        <v>434</v>
      </c>
      <c r="AQ90" s="64" t="s" ph="1">
        <v>297</v>
      </c>
      <c r="AR90" s="64" t="s" ph="1">
        <v>262</v>
      </c>
      <c r="AS90" s="64" t="s" ph="1">
        <v>435</v>
      </c>
      <c r="AT90" s="64" t="s" ph="1">
        <v>285</v>
      </c>
      <c r="AU90" s="64" t="s" ph="1">
        <v>262</v>
      </c>
      <c r="AV90" s="64" t="s" ph="1">
        <v>436</v>
      </c>
      <c r="AW90" s="64" t="s" ph="1">
        <v>222</v>
      </c>
      <c r="AX90" s="64" t="s" ph="1">
        <v>262</v>
      </c>
    </row>
    <row r="91" spans="34:52" ph="1">
      <c r="AJ91" s="64" t="s" ph="1">
        <v>437</v>
      </c>
      <c r="AK91" s="64" t="s" ph="1">
        <v>275</v>
      </c>
      <c r="AM91" s="64" t="s" ph="1">
        <v>438</v>
      </c>
      <c r="AN91" s="64" t="s" ph="1">
        <v>242</v>
      </c>
      <c r="AO91" s="64" t="s" ph="1">
        <v>262</v>
      </c>
      <c r="AP91" s="64" t="s" ph="1">
        <v>439</v>
      </c>
      <c r="AQ91" s="64" t="s" ph="1">
        <v>222</v>
      </c>
      <c r="AS91" s="64" t="s" ph="1">
        <v>406</v>
      </c>
      <c r="AT91" s="64" t="s" ph="1">
        <v>402</v>
      </c>
      <c r="AU91" s="64" t="s" ph="1">
        <v>403</v>
      </c>
    </row>
    <row r="92" spans="34:52" ph="1">
      <c r="AH92" s="64" ph="1">
        <v>6</v>
      </c>
      <c r="AI92" s="64" t="s" ph="1">
        <v>440</v>
      </c>
      <c r="AJ92" s="64" t="s" ph="1">
        <v>441</v>
      </c>
      <c r="AK92" s="64" t="s" ph="1">
        <v>370</v>
      </c>
      <c r="AM92" s="64" t="s" ph="1">
        <v>442</v>
      </c>
      <c r="AN92" s="64" t="s" ph="1">
        <v>230</v>
      </c>
      <c r="AO92" s="64" t="s" ph="1">
        <v>262</v>
      </c>
      <c r="AP92" s="64" t="s" ph="1">
        <v>443</v>
      </c>
      <c r="AQ92" s="64" t="s" ph="1">
        <v>302</v>
      </c>
      <c r="AR92" s="64" t="s" ph="1">
        <v>262</v>
      </c>
      <c r="AS92" s="64" t="s" ph="1">
        <v>444</v>
      </c>
      <c r="AT92" s="64" t="s" ph="1">
        <v>275</v>
      </c>
      <c r="AU92" s="64" t="s" ph="1">
        <v>262</v>
      </c>
      <c r="AV92" s="64" t="s" ph="1">
        <v>445</v>
      </c>
      <c r="AW92" s="64" t="s" ph="1">
        <v>231</v>
      </c>
      <c r="AX92" s="64" t="s" ph="1">
        <v>262</v>
      </c>
      <c r="AY92" s="64" t="s" ph="1">
        <v>219</v>
      </c>
      <c r="AZ92" s="64" t="s" ph="1">
        <v>426</v>
      </c>
    </row>
    <row r="93" spans="34:52" ph="1">
      <c r="AJ93" s="64" t="s" ph="1">
        <v>446</v>
      </c>
      <c r="AK93" s="64" t="s" ph="1">
        <v>225</v>
      </c>
      <c r="AM93" s="64" t="s" ph="1">
        <v>447</v>
      </c>
      <c r="AN93" s="64" t="s" ph="1">
        <v>230</v>
      </c>
      <c r="AO93" s="64" t="s" ph="1">
        <v>262</v>
      </c>
      <c r="AP93" s="64" t="s" ph="1">
        <v>448</v>
      </c>
      <c r="AQ93" s="64" t="s" ph="1">
        <v>234</v>
      </c>
      <c r="AR93" s="64" t="s" ph="1">
        <v>262</v>
      </c>
      <c r="AS93" s="64" t="s" ph="1">
        <v>449</v>
      </c>
      <c r="AT93" s="64" t="s" ph="1">
        <v>240</v>
      </c>
      <c r="AU93" s="64" t="s" ph="1">
        <v>262</v>
      </c>
      <c r="AV93" s="64" t="s" ph="1">
        <v>450</v>
      </c>
      <c r="AW93" s="64" t="s" ph="1">
        <v>234</v>
      </c>
      <c r="AX93" s="64" t="s" ph="1">
        <v>262</v>
      </c>
    </row>
    <row r="94" spans="34:52" ph="1">
      <c r="AJ94" s="64" t="s" ph="1">
        <v>451</v>
      </c>
      <c r="AK94" s="64" t="s" ph="1">
        <v>297</v>
      </c>
      <c r="AM94" s="64" t="s" ph="1">
        <v>452</v>
      </c>
      <c r="AN94" s="64" t="s" ph="1">
        <v>234</v>
      </c>
      <c r="AO94" s="64" t="s" ph="1">
        <v>262</v>
      </c>
      <c r="AP94" s="64" t="s" ph="1">
        <v>453</v>
      </c>
      <c r="AQ94" s="64" t="s" ph="1">
        <v>242</v>
      </c>
      <c r="AR94" s="64" t="s" ph="1">
        <v>262</v>
      </c>
      <c r="AS94" s="64" t="s" ph="1">
        <v>454</v>
      </c>
      <c r="AT94" s="64" t="s" ph="1">
        <v>228</v>
      </c>
      <c r="AU94" s="64" t="s" ph="1">
        <v>262</v>
      </c>
      <c r="AV94" s="64" t="s" ph="1">
        <v>455</v>
      </c>
      <c r="AW94" s="64" t="s" ph="1">
        <v>228</v>
      </c>
      <c r="AX94" s="64" t="s" ph="1">
        <v>262</v>
      </c>
    </row>
    <row r="95" spans="34:52" ph="1">
      <c r="AJ95" s="64" t="s" ph="1">
        <v>456</v>
      </c>
      <c r="AK95" s="64" t="s" ph="1">
        <v>302</v>
      </c>
    </row>
    <row r="96" spans="34:52" ph="1">
      <c r="AH96" s="64" ph="1">
        <v>7</v>
      </c>
      <c r="AI96" s="64" t="s" ph="1">
        <v>457</v>
      </c>
      <c r="AJ96" s="64" t="s" ph="1">
        <v>456</v>
      </c>
      <c r="AK96" s="64" t="s" ph="1">
        <v>257</v>
      </c>
      <c r="AM96" s="64" t="s" ph="1">
        <v>458</v>
      </c>
      <c r="AN96" s="64" t="s" ph="1">
        <v>231</v>
      </c>
      <c r="AO96" s="64" t="s" ph="1">
        <v>262</v>
      </c>
      <c r="AP96" s="64" t="s" ph="1">
        <v>459</v>
      </c>
      <c r="AQ96" s="64" t="s" ph="1">
        <v>275</v>
      </c>
      <c r="AR96" s="64" t="s" ph="1">
        <v>290</v>
      </c>
      <c r="AS96" s="64" t="s" ph="1">
        <v>460</v>
      </c>
      <c r="AT96" s="64" t="s" ph="1">
        <v>234</v>
      </c>
      <c r="AU96" s="64" t="s" ph="1">
        <v>290</v>
      </c>
      <c r="AV96" s="64" t="s" ph="1">
        <v>461</v>
      </c>
      <c r="AW96" s="64" t="s" ph="1">
        <v>230</v>
      </c>
      <c r="AX96" s="64" t="s" ph="1">
        <v>290</v>
      </c>
      <c r="AY96" s="64" t="s" ph="1">
        <v>219</v>
      </c>
      <c r="AZ96" s="64" t="s" ph="1">
        <v>462</v>
      </c>
    </row>
    <row r="97" spans="33:52" ph="1">
      <c r="AJ97" s="64" t="s" ph="1">
        <v>463</v>
      </c>
      <c r="AK97" s="64" t="s" ph="1">
        <v>285</v>
      </c>
      <c r="AM97" s="64" t="s" ph="1">
        <v>464</v>
      </c>
      <c r="AN97" s="64" t="s" ph="1">
        <v>228</v>
      </c>
      <c r="AO97" s="64" t="s" ph="1">
        <v>262</v>
      </c>
      <c r="AP97" s="64" t="s" ph="1">
        <v>465</v>
      </c>
      <c r="AQ97" s="64" t="s" ph="1">
        <v>222</v>
      </c>
      <c r="AR97" s="64" t="s" ph="1">
        <v>290</v>
      </c>
      <c r="AS97" s="64" t="s" ph="1">
        <v>466</v>
      </c>
      <c r="AT97" s="64" t="s" ph="1">
        <v>225</v>
      </c>
      <c r="AU97" s="64" t="s" ph="1">
        <v>290</v>
      </c>
      <c r="AV97" s="64" t="s" ph="1">
        <v>467</v>
      </c>
      <c r="AW97" s="64" t="s" ph="1">
        <v>231</v>
      </c>
      <c r="AX97" s="64" t="s" ph="1">
        <v>290</v>
      </c>
    </row>
    <row r="98" spans="33:52" ph="1">
      <c r="AJ98" s="64" t="s" ph="1">
        <v>468</v>
      </c>
      <c r="AK98" s="64" t="s" ph="1">
        <v>234</v>
      </c>
      <c r="AM98" s="64" t="s" ph="1">
        <v>469</v>
      </c>
      <c r="AN98" s="64" t="s" ph="1">
        <v>242</v>
      </c>
      <c r="AO98" s="64" t="s" ph="1">
        <v>262</v>
      </c>
      <c r="AP98" s="64" t="s" ph="1">
        <v>470</v>
      </c>
      <c r="AQ98" s="64" t="s" ph="1">
        <v>222</v>
      </c>
      <c r="AR98" s="64" t="s" ph="1">
        <v>290</v>
      </c>
      <c r="AS98" s="64" t="s" ph="1">
        <v>471</v>
      </c>
      <c r="AT98" s="64" t="s" ph="1">
        <v>302</v>
      </c>
      <c r="AU98" s="64" t="s" ph="1">
        <v>290</v>
      </c>
      <c r="AV98" s="64" t="s" ph="1">
        <v>472</v>
      </c>
      <c r="AW98" s="64" t="s" ph="1">
        <v>225</v>
      </c>
      <c r="AX98" s="64" t="s" ph="1">
        <v>290</v>
      </c>
    </row>
    <row r="99" spans="33:52" ph="1">
      <c r="AH99" s="64" ph="1">
        <v>8</v>
      </c>
      <c r="AI99" s="64" t="s" ph="1">
        <v>473</v>
      </c>
      <c r="AJ99" s="64" t="s" ph="1">
        <v>474</v>
      </c>
      <c r="AK99" s="64" t="s" ph="1">
        <v>370</v>
      </c>
      <c r="AM99" s="64" t="s" ph="1">
        <v>475</v>
      </c>
      <c r="AN99" s="64" t="s" ph="1">
        <v>257</v>
      </c>
      <c r="AO99" s="64" t="s" ph="1">
        <v>262</v>
      </c>
      <c r="AP99" s="64" t="s" ph="1">
        <v>476</v>
      </c>
      <c r="AQ99" s="64" t="s" ph="1">
        <v>227</v>
      </c>
      <c r="AR99" s="64" t="s" ph="1">
        <v>290</v>
      </c>
      <c r="AS99" s="64" t="s" ph="1">
        <v>477</v>
      </c>
      <c r="AT99" s="64" t="s" ph="1">
        <v>242</v>
      </c>
      <c r="AU99" s="64" t="s" ph="1">
        <v>290</v>
      </c>
      <c r="AV99" s="64" t="s" ph="1">
        <v>478</v>
      </c>
      <c r="AW99" s="64" t="s" ph="1">
        <v>227</v>
      </c>
      <c r="AX99" s="64" t="s" ph="1">
        <v>290</v>
      </c>
      <c r="AY99" s="64" t="s" ph="1">
        <v>219</v>
      </c>
      <c r="AZ99" s="64" t="s" ph="1">
        <v>479</v>
      </c>
    </row>
    <row r="100" spans="33:52" ph="1">
      <c r="AJ100" s="64" t="s" ph="1">
        <v>480</v>
      </c>
      <c r="AK100" s="64" t="s" ph="1">
        <v>225</v>
      </c>
      <c r="AM100" s="64" t="s" ph="1">
        <v>481</v>
      </c>
      <c r="AN100" s="64" t="s" ph="1">
        <v>297</v>
      </c>
      <c r="AO100" s="64" t="s" ph="1">
        <v>262</v>
      </c>
      <c r="AP100" s="64" t="s" ph="1">
        <v>482</v>
      </c>
      <c r="AQ100" s="64" t="s" ph="1">
        <v>303</v>
      </c>
      <c r="AR100" s="64" t="s" ph="1">
        <v>290</v>
      </c>
      <c r="AS100" s="64" t="s" ph="1">
        <v>483</v>
      </c>
      <c r="AT100" s="64" t="s" ph="1">
        <v>370</v>
      </c>
      <c r="AU100" s="64" t="s" ph="1">
        <v>262</v>
      </c>
      <c r="AV100" s="64" t="s" ph="1">
        <v>484</v>
      </c>
      <c r="AW100" s="64" t="s" ph="1">
        <v>370</v>
      </c>
      <c r="AX100" s="64" t="s" ph="1">
        <v>262</v>
      </c>
    </row>
    <row r="101" spans="33:52" ph="1">
      <c r="AJ101" s="64" t="s" ph="1">
        <v>485</v>
      </c>
      <c r="AK101" s="64" t="s" ph="1">
        <v>370</v>
      </c>
      <c r="AM101" s="64" t="s" ph="1">
        <v>486</v>
      </c>
      <c r="AN101" s="64" t="s" ph="1">
        <v>228</v>
      </c>
      <c r="AO101" s="64" t="s" ph="1">
        <v>262</v>
      </c>
      <c r="AP101" s="64" t="s" ph="1">
        <v>487</v>
      </c>
      <c r="AQ101" s="64" t="s" ph="1">
        <v>240</v>
      </c>
      <c r="AR101" s="64" t="s" ph="1">
        <v>290</v>
      </c>
      <c r="AS101" s="64" t="s" ph="1">
        <v>488</v>
      </c>
      <c r="AT101" s="64" t="s" ph="1">
        <v>297</v>
      </c>
      <c r="AU101" s="64" t="s" ph="1">
        <v>290</v>
      </c>
      <c r="AV101" s="64" t="s" ph="1">
        <v>489</v>
      </c>
      <c r="AW101" s="64" t="s" ph="1">
        <v>228</v>
      </c>
      <c r="AX101" s="64" t="s" ph="1">
        <v>262</v>
      </c>
    </row>
    <row r="102" spans="33:52" ph="1">
      <c r="AJ102" s="64" t="s" ph="1">
        <v>490</v>
      </c>
      <c r="AK102" s="64" t="s" ph="1">
        <v>225</v>
      </c>
      <c r="AM102" s="64" t="s" ph="1">
        <v>491</v>
      </c>
      <c r="AN102" s="64" t="s" ph="1">
        <v>234</v>
      </c>
      <c r="AO102" s="64" t="s" ph="1">
        <v>262</v>
      </c>
      <c r="AP102" s="64" t="s" ph="1">
        <v>492</v>
      </c>
      <c r="AQ102" s="64" t="s" ph="1">
        <v>240</v>
      </c>
      <c r="AR102" s="64" t="s" ph="1">
        <v>262</v>
      </c>
      <c r="AS102" s="64" t="s" ph="1">
        <v>493</v>
      </c>
      <c r="AT102" s="64" t="s" ph="1">
        <v>257</v>
      </c>
      <c r="AU102" s="64" t="s" ph="1">
        <v>262</v>
      </c>
      <c r="AV102" s="64" t="s" ph="1">
        <v>494</v>
      </c>
      <c r="AW102" s="64" t="s" ph="1">
        <v>275</v>
      </c>
      <c r="AX102" s="64" t="s" ph="1">
        <v>262</v>
      </c>
    </row>
    <row r="103" spans="33:52" ph="1">
      <c r="AH103" s="64" ph="1">
        <v>9</v>
      </c>
      <c r="AI103" s="64" t="s" ph="1">
        <v>495</v>
      </c>
      <c r="AJ103" s="64" t="s" ph="1">
        <v>496</v>
      </c>
      <c r="AK103" s="64" t="s" ph="1">
        <v>370</v>
      </c>
      <c r="AM103" s="64" t="s" ph="1">
        <v>497</v>
      </c>
      <c r="AN103" s="64" t="s" ph="1">
        <v>285</v>
      </c>
      <c r="AO103" s="64" t="s" ph="1">
        <v>262</v>
      </c>
      <c r="AP103" s="64" t="s" ph="1">
        <v>339</v>
      </c>
      <c r="AQ103" s="64" t="s" ph="1">
        <v>228</v>
      </c>
      <c r="AR103" s="64" t="s" ph="1">
        <v>262</v>
      </c>
      <c r="AS103" s="64" t="s" ph="1">
        <v>573</v>
      </c>
      <c r="AT103" s="64" t="s" ph="1">
        <v>370</v>
      </c>
      <c r="AU103" s="64" t="s" ph="1">
        <v>262</v>
      </c>
      <c r="AY103" s="64" t="s" ph="1">
        <v>219</v>
      </c>
      <c r="AZ103" s="64" t="s" ph="1">
        <v>227</v>
      </c>
    </row>
    <row r="104" spans="33:52" ph="1">
      <c r="AZ104" s="64" t="s" ph="1">
        <v>498</v>
      </c>
    </row>
    <row r="105" spans="33:52" ph="1">
      <c r="AG105" s="64" t="s" ph="1">
        <v>298</v>
      </c>
      <c r="AI105" s="64" t="s" ph="1">
        <v>212</v>
      </c>
      <c r="AJ105" s="64" t="s" ph="1">
        <v>213</v>
      </c>
      <c r="AK105" s="64" t="s" ph="1">
        <v>214</v>
      </c>
      <c r="AM105" s="64" t="s" ph="1">
        <v>213</v>
      </c>
      <c r="AN105" s="64" t="s" ph="1">
        <v>214</v>
      </c>
      <c r="AO105" s="64" t="s" ph="1">
        <v>215</v>
      </c>
      <c r="AP105" s="64" t="s" ph="1">
        <v>213</v>
      </c>
      <c r="AQ105" s="64" t="s" ph="1">
        <v>214</v>
      </c>
      <c r="AR105" s="64" t="s" ph="1">
        <v>215</v>
      </c>
      <c r="AS105" s="64" t="s" ph="1">
        <v>213</v>
      </c>
      <c r="AT105" s="64" t="s" ph="1">
        <v>214</v>
      </c>
      <c r="AU105" s="64" t="s" ph="1">
        <v>215</v>
      </c>
      <c r="AV105" s="64" t="s" ph="1">
        <v>213</v>
      </c>
      <c r="AW105" s="64" t="s" ph="1">
        <v>214</v>
      </c>
      <c r="AX105" s="64" t="s" ph="1">
        <v>215</v>
      </c>
      <c r="AZ105" s="64" t="s" ph="1">
        <v>216</v>
      </c>
    </row>
    <row r="106" spans="33:52" ph="1">
      <c r="AH106" s="64" ph="1">
        <v>1</v>
      </c>
      <c r="AI106" s="64" t="s" ph="1">
        <v>499</v>
      </c>
      <c r="AJ106" s="64" t="s" ph="1">
        <v>573</v>
      </c>
      <c r="AK106" s="64" t="s" ph="1">
        <v>234</v>
      </c>
      <c r="AZ106" s="64" t="s" ph="1">
        <v>234</v>
      </c>
    </row>
    <row r="107" spans="33:52" ph="1">
      <c r="AH107" s="64" ph="1">
        <v>2</v>
      </c>
      <c r="AI107" s="64" t="s" ph="1">
        <v>500</v>
      </c>
      <c r="AJ107" s="64" t="s" ph="1">
        <v>501</v>
      </c>
      <c r="AK107" s="64" t="s" ph="1">
        <v>231</v>
      </c>
      <c r="AM107" s="64" t="s" ph="1">
        <v>337</v>
      </c>
      <c r="AN107" s="64" t="s" ph="1">
        <v>502</v>
      </c>
      <c r="AO107" s="64" t="s" ph="1">
        <v>503</v>
      </c>
      <c r="AP107" s="64" t="s" ph="1">
        <v>339</v>
      </c>
      <c r="AQ107" s="64" t="s" ph="1">
        <v>307</v>
      </c>
      <c r="AR107" s="64" t="s" ph="1">
        <v>503</v>
      </c>
      <c r="AS107" s="64" t="s" ph="1">
        <v>573</v>
      </c>
      <c r="AT107" s="64" t="s" ph="1">
        <v>502</v>
      </c>
      <c r="AU107" s="64" t="s" ph="1">
        <v>503</v>
      </c>
      <c r="AY107" s="64" t="s" ph="1">
        <v>219</v>
      </c>
      <c r="AZ107" s="64" t="s" ph="1">
        <v>583</v>
      </c>
    </row>
    <row r="108" spans="33:52" ph="1">
      <c r="AH108" s="64" ph="1">
        <v>3</v>
      </c>
      <c r="AI108" s="64" t="s" ph="1">
        <v>504</v>
      </c>
      <c r="AY108" s="64" t="s" ph="1">
        <v>219</v>
      </c>
      <c r="AZ108" s="64" t="s" ph="1">
        <v>370</v>
      </c>
    </row>
    <row r="109" spans="33:52" ph="1">
      <c r="AH109" s="64" ph="1">
        <v>4</v>
      </c>
      <c r="AI109" s="64" t="s" ph="1">
        <v>505</v>
      </c>
      <c r="AY109" s="64" t="s" ph="1">
        <v>219</v>
      </c>
      <c r="AZ109" s="64" t="s" ph="1">
        <v>370</v>
      </c>
    </row>
    <row r="110" spans="33:52" ph="1">
      <c r="AH110" s="64" ph="1">
        <v>5</v>
      </c>
      <c r="AI110" s="64" t="s" ph="1">
        <v>506</v>
      </c>
      <c r="AY110" s="64" t="s" ph="1">
        <v>219</v>
      </c>
      <c r="AZ110" s="64" t="s" ph="1">
        <v>370</v>
      </c>
    </row>
    <row r="111" spans="33:52" ph="1">
      <c r="AH111" s="64" ph="1">
        <v>6</v>
      </c>
      <c r="AI111" s="64" t="s" ph="1">
        <v>584</v>
      </c>
      <c r="AJ111" s="64" t="s" ph="1">
        <v>489</v>
      </c>
      <c r="AK111" s="64" t="s" ph="1">
        <v>228</v>
      </c>
      <c r="AM111" s="64" t="s" ph="1">
        <v>490</v>
      </c>
      <c r="AN111" s="64" t="s" ph="1">
        <v>222</v>
      </c>
      <c r="AO111" s="64" t="s" ph="1">
        <v>503</v>
      </c>
      <c r="AP111" s="64" t="s" ph="1">
        <v>491</v>
      </c>
      <c r="AQ111" s="64" t="s" ph="1">
        <v>231</v>
      </c>
      <c r="AR111" s="64" t="s" ph="1">
        <v>503</v>
      </c>
      <c r="AS111" s="64" t="s" ph="1">
        <v>492</v>
      </c>
      <c r="AT111" s="64" t="s" ph="1">
        <v>240</v>
      </c>
      <c r="AU111" s="64" t="s" ph="1">
        <v>503</v>
      </c>
      <c r="AV111" s="64" t="s" ph="1">
        <v>493</v>
      </c>
      <c r="AW111" s="64" t="s" ph="1">
        <v>230</v>
      </c>
      <c r="AX111" s="64" t="s" ph="1">
        <v>503</v>
      </c>
      <c r="AY111" s="64" t="s" ph="1">
        <v>219</v>
      </c>
      <c r="AZ111" s="64" t="s" ph="1">
        <v>507</v>
      </c>
    </row>
    <row r="112" spans="33:52" ph="1">
      <c r="AJ112" s="64" t="s" ph="1">
        <v>494</v>
      </c>
      <c r="AK112" s="64" t="s" ph="1">
        <v>275</v>
      </c>
      <c r="AM112" s="64" t="s" ph="1">
        <v>496</v>
      </c>
      <c r="AN112" s="64" t="s" ph="1">
        <v>299</v>
      </c>
      <c r="AO112" s="64" t="s" ph="1">
        <v>503</v>
      </c>
      <c r="AP112" s="64" t="s" ph="1">
        <v>497</v>
      </c>
      <c r="AQ112" s="64" t="s" ph="1">
        <v>508</v>
      </c>
      <c r="AR112" s="64" t="s" ph="1">
        <v>503</v>
      </c>
      <c r="AS112" s="64" t="s" ph="1">
        <v>509</v>
      </c>
      <c r="AT112" s="64" t="s" ph="1">
        <v>251</v>
      </c>
      <c r="AU112" s="64" t="s" ph="1">
        <v>503</v>
      </c>
      <c r="AV112" s="64" t="s" ph="1">
        <v>510</v>
      </c>
      <c r="AW112" s="64" t="s" ph="1">
        <v>297</v>
      </c>
      <c r="AX112" s="64" t="s" ph="1">
        <v>503</v>
      </c>
    </row>
    <row r="113" spans="33:52" ph="1">
      <c r="AH113" s="64" ph="1">
        <v>7</v>
      </c>
      <c r="AI113" s="64" t="s" ph="1">
        <v>511</v>
      </c>
      <c r="AJ113" s="64" t="s" ph="1">
        <v>592</v>
      </c>
      <c r="AK113" s="64" t="s" ph="1">
        <v>597</v>
      </c>
      <c r="AY113" s="64" t="s" ph="1">
        <v>219</v>
      </c>
      <c r="AZ113" s="64" t="s" ph="1">
        <v>597</v>
      </c>
    </row>
    <row r="114" spans="33:52" ph="1">
      <c r="AH114" s="64" ph="1">
        <v>8</v>
      </c>
      <c r="AI114" s="64" t="s" ph="1">
        <v>512</v>
      </c>
      <c r="AJ114" s="64" t="s" ph="1">
        <v>592</v>
      </c>
      <c r="AK114" s="64" t="s" ph="1">
        <v>598</v>
      </c>
      <c r="AY114" s="64" t="s" ph="1">
        <v>219</v>
      </c>
      <c r="AZ114" s="64" t="s" ph="1">
        <v>598</v>
      </c>
    </row>
    <row r="115" spans="33:52" ph="1">
      <c r="AH115" s="64" ph="1">
        <v>9</v>
      </c>
      <c r="AI115" s="64" t="s" ph="1">
        <v>513</v>
      </c>
      <c r="AJ115" s="64" t="s" ph="1">
        <v>592</v>
      </c>
      <c r="AK115" s="64" t="s" ph="1">
        <v>598</v>
      </c>
      <c r="AY115" s="64" t="s" ph="1">
        <v>219</v>
      </c>
      <c r="AZ115" s="64" t="s" ph="1">
        <v>598</v>
      </c>
    </row>
    <row r="116" spans="33:52" ph="1">
      <c r="AH116" s="64" ph="1">
        <v>10</v>
      </c>
      <c r="AI116" s="64" t="s" ph="1">
        <v>514</v>
      </c>
      <c r="AJ116" s="64" t="s" ph="1">
        <v>592</v>
      </c>
      <c r="AK116" s="64" t="s" ph="1">
        <v>598</v>
      </c>
      <c r="AY116" s="64" t="s" ph="1">
        <v>219</v>
      </c>
      <c r="AZ116" s="64" t="s" ph="1">
        <v>598</v>
      </c>
    </row>
    <row r="117" spans="33:52" ph="1">
      <c r="AH117" s="64" ph="1">
        <v>11</v>
      </c>
      <c r="AI117" s="64" t="s" ph="1">
        <v>515</v>
      </c>
      <c r="AJ117" s="64" t="s" ph="1">
        <v>592</v>
      </c>
      <c r="AK117" s="64" t="s" ph="1">
        <v>598</v>
      </c>
      <c r="AY117" s="64" t="s" ph="1">
        <v>219</v>
      </c>
      <c r="AZ117" s="64" t="s" ph="1">
        <v>598</v>
      </c>
    </row>
    <row r="118" spans="33:52" ph="1">
      <c r="AZ118" s="64" t="s" ph="1">
        <v>599</v>
      </c>
    </row>
    <row r="119" spans="33:52" ph="1">
      <c r="AI119" s="64" t="s" ph="1">
        <v>212</v>
      </c>
      <c r="AJ119" s="64" t="s" ph="1">
        <v>213</v>
      </c>
      <c r="AK119" s="64" t="s" ph="1">
        <v>214</v>
      </c>
      <c r="AM119" s="64" t="s" ph="1">
        <v>213</v>
      </c>
      <c r="AN119" s="64" t="s" ph="1">
        <v>214</v>
      </c>
      <c r="AO119" s="64" t="s" ph="1">
        <v>215</v>
      </c>
      <c r="AP119" s="64" t="s" ph="1">
        <v>213</v>
      </c>
      <c r="AQ119" s="64" t="s" ph="1">
        <v>214</v>
      </c>
      <c r="AR119" s="64" t="s" ph="1">
        <v>215</v>
      </c>
      <c r="AS119" s="64" t="s" ph="1">
        <v>213</v>
      </c>
      <c r="AT119" s="64" t="s" ph="1">
        <v>214</v>
      </c>
      <c r="AU119" s="64" t="s" ph="1">
        <v>215</v>
      </c>
      <c r="AV119" s="64" t="s" ph="1">
        <v>213</v>
      </c>
      <c r="AW119" s="64" t="s" ph="1">
        <v>214</v>
      </c>
      <c r="AX119" s="64" t="s" ph="1">
        <v>215</v>
      </c>
      <c r="AY119" s="64" t="s" ph="1">
        <v>214</v>
      </c>
      <c r="AZ119" s="64" t="s" ph="1">
        <v>216</v>
      </c>
    </row>
    <row r="120" spans="33:52" ph="1">
      <c r="AG120" s="64" t="s" ph="1">
        <v>356</v>
      </c>
      <c r="AH120" s="64" ph="1">
        <v>1</v>
      </c>
      <c r="AI120" s="64" t="s" ph="1">
        <v>516</v>
      </c>
      <c r="AJ120" s="64" t="s" ph="1">
        <v>590</v>
      </c>
      <c r="AK120" s="64" t="s" ph="1">
        <v>370</v>
      </c>
      <c r="AY120" s="64" t="s" ph="1">
        <v>219</v>
      </c>
      <c r="AZ120" s="64" t="s" ph="1">
        <v>370</v>
      </c>
    </row>
    <row r="121" spans="33:52" ph="1">
      <c r="AH121" s="64" ph="1">
        <v>2</v>
      </c>
      <c r="AI121" s="64" t="s" ph="1">
        <v>517</v>
      </c>
      <c r="AY121" s="64" t="s" ph="1">
        <v>219</v>
      </c>
      <c r="AZ121" s="64" t="s" ph="1">
        <v>370</v>
      </c>
    </row>
    <row r="122" spans="33:52" ph="1">
      <c r="AH122" s="64" ph="1">
        <v>3</v>
      </c>
      <c r="AI122" s="64" t="s" ph="1">
        <v>518</v>
      </c>
      <c r="AJ122" s="64" t="s" ph="1">
        <v>573</v>
      </c>
      <c r="AK122" s="64" t="s" ph="1">
        <v>585</v>
      </c>
      <c r="AM122" s="64" t="s" ph="1">
        <v>600</v>
      </c>
      <c r="AN122" s="64" t="s" ph="1">
        <v>593</v>
      </c>
      <c r="AO122" s="64" t="s" ph="1">
        <v>91</v>
      </c>
      <c r="AY122" s="64" t="s" ph="1">
        <v>219</v>
      </c>
      <c r="AZ122" s="64" t="s" ph="1">
        <v>582</v>
      </c>
    </row>
    <row r="123" spans="33:52" ph="1">
      <c r="AY123" s="64" t="s" ph="1">
        <v>219</v>
      </c>
      <c r="AZ123" s="64" t="s" ph="1">
        <v>582</v>
      </c>
    </row>
    <row r="124" spans="33:52" ph="1">
      <c r="AG124" s="64" t="s" ph="1">
        <v>359</v>
      </c>
      <c r="AH124" s="64" ph="1">
        <v>4</v>
      </c>
      <c r="AI124" s="64" t="s" ph="1">
        <v>519</v>
      </c>
      <c r="AJ124" s="64" t="s" ph="1">
        <v>520</v>
      </c>
      <c r="AK124" s="64" t="s" ph="1">
        <v>521</v>
      </c>
      <c r="AY124" s="64" t="s" ph="1">
        <v>219</v>
      </c>
      <c r="AZ124" s="64" t="s" ph="1">
        <v>521</v>
      </c>
    </row>
    <row r="125" spans="33:52" ph="1">
      <c r="AH125" s="64" ph="1">
        <v>5</v>
      </c>
      <c r="AI125" s="64" t="s" ph="1">
        <v>522</v>
      </c>
      <c r="AJ125" s="64" t="s" ph="1">
        <v>520</v>
      </c>
      <c r="AK125" s="64" t="s" ph="1">
        <v>521</v>
      </c>
      <c r="AY125" s="64" t="s" ph="1">
        <v>219</v>
      </c>
      <c r="AZ125" s="64" t="s" ph="1">
        <v>521</v>
      </c>
    </row>
    <row r="126" spans="33:52" ph="1">
      <c r="AH126" s="64" ph="1">
        <v>6</v>
      </c>
      <c r="AI126" s="64" t="s" ph="1">
        <v>523</v>
      </c>
      <c r="AJ126" s="64" t="s" ph="1">
        <v>592</v>
      </c>
      <c r="AK126" s="64" t="s" ph="1">
        <v>601</v>
      </c>
      <c r="AY126" s="64" t="s" ph="1">
        <v>219</v>
      </c>
      <c r="AZ126" s="64" t="s" ph="1">
        <v>601</v>
      </c>
    </row>
    <row r="127" spans="33:52" ph="1">
      <c r="AH127" s="64" ph="1">
        <v>7</v>
      </c>
      <c r="AI127" s="64" t="s" ph="1">
        <v>524</v>
      </c>
      <c r="AJ127" s="64" t="s" ph="1">
        <v>592</v>
      </c>
      <c r="AK127" s="64" t="s" ph="1">
        <v>602</v>
      </c>
      <c r="AY127" s="64" t="s" ph="1">
        <v>219</v>
      </c>
      <c r="AZ127" s="64" t="s" ph="1">
        <v>602</v>
      </c>
    </row>
    <row r="128" spans="33:52" ph="1">
      <c r="AH128" s="64" ph="1">
        <v>8</v>
      </c>
      <c r="AI128" s="64" t="s" ph="1">
        <v>525</v>
      </c>
      <c r="AY128" s="64" t="s" ph="1">
        <v>219</v>
      </c>
      <c r="AZ128" s="64" t="s" ph="1">
        <v>370</v>
      </c>
    </row>
    <row r="129" spans="33:52" ph="1">
      <c r="AH129" s="64" ph="1">
        <v>9</v>
      </c>
      <c r="AI129" s="64" t="s" ph="1">
        <v>526</v>
      </c>
      <c r="AY129" s="64" t="s" ph="1">
        <v>219</v>
      </c>
      <c r="AZ129" s="64" t="s" ph="1">
        <v>370</v>
      </c>
    </row>
    <row r="130" spans="33:52" ph="1">
      <c r="AH130" s="64" ph="1">
        <v>10</v>
      </c>
      <c r="AI130" s="64" t="s" ph="1">
        <v>527</v>
      </c>
      <c r="AY130" s="64" t="s" ph="1">
        <v>219</v>
      </c>
      <c r="AZ130" s="64" t="s" ph="1">
        <v>370</v>
      </c>
    </row>
    <row r="131" spans="33:52" ph="1">
      <c r="AH131" s="64" ph="1">
        <v>11</v>
      </c>
      <c r="AI131" s="64" t="s" ph="1">
        <v>528</v>
      </c>
      <c r="AJ131" s="64" t="s" ph="1">
        <v>586</v>
      </c>
      <c r="AK131" s="64" t="s" ph="1">
        <v>582</v>
      </c>
      <c r="AY131" s="64" t="s" ph="1">
        <v>219</v>
      </c>
      <c r="AZ131" s="64" t="s" ph="1">
        <v>582</v>
      </c>
    </row>
    <row r="132" spans="33:52" ph="1">
      <c r="AH132" s="64" ph="1">
        <v>12</v>
      </c>
      <c r="AI132" s="64" t="s" ph="1">
        <v>529</v>
      </c>
      <c r="AJ132" s="64" t="s" ph="1">
        <v>586</v>
      </c>
      <c r="AK132" s="64" t="s" ph="1">
        <v>521</v>
      </c>
      <c r="AY132" s="64" t="s" ph="1">
        <v>219</v>
      </c>
      <c r="AZ132" s="64" t="s" ph="1">
        <v>521</v>
      </c>
    </row>
    <row r="133" spans="33:52" ph="1">
      <c r="AH133" s="64" ph="1">
        <v>13</v>
      </c>
      <c r="AI133" s="64" t="s" ph="1">
        <v>530</v>
      </c>
      <c r="AJ133" s="64" t="s" ph="1">
        <v>586</v>
      </c>
      <c r="AK133" s="64" t="s" ph="1">
        <v>587</v>
      </c>
      <c r="AY133" s="64" t="s" ph="1">
        <v>219</v>
      </c>
      <c r="AZ133" s="64" t="s" ph="1">
        <v>587</v>
      </c>
    </row>
    <row r="134" spans="33:52" ph="1">
      <c r="AH134" s="64" ph="1">
        <v>14</v>
      </c>
      <c r="AI134" s="64" t="s" ph="1">
        <v>531</v>
      </c>
      <c r="AJ134" s="64" t="s" ph="1">
        <v>586</v>
      </c>
      <c r="AK134" s="64" t="s" ph="1">
        <v>588</v>
      </c>
      <c r="AY134" s="64" t="s" ph="1">
        <v>219</v>
      </c>
      <c r="AZ134" s="64" t="s" ph="1">
        <v>588</v>
      </c>
    </row>
    <row r="135" spans="33:52" ph="1">
      <c r="AH135" s="64" ph="1">
        <v>15</v>
      </c>
      <c r="AI135" s="64" t="s" ph="1">
        <v>532</v>
      </c>
      <c r="AJ135" s="64" t="s" ph="1">
        <v>586</v>
      </c>
      <c r="AK135" s="64" t="s" ph="1">
        <v>589</v>
      </c>
      <c r="AY135" s="64" t="s" ph="1">
        <v>219</v>
      </c>
      <c r="AZ135" s="64" t="s" ph="1">
        <v>589</v>
      </c>
    </row>
    <row r="136" spans="33:52" ph="1">
      <c r="AZ136" s="64" t="s" ph="1">
        <v>603</v>
      </c>
    </row>
    <row r="137" spans="33:52" ph="1">
      <c r="AG137" s="64" t="s" ph="1">
        <v>293</v>
      </c>
      <c r="AI137" s="64" t="s" ph="1">
        <v>212</v>
      </c>
      <c r="AJ137" s="64" t="s" ph="1">
        <v>213</v>
      </c>
      <c r="AK137" s="64" t="s" ph="1">
        <v>214</v>
      </c>
      <c r="AM137" s="64" t="s" ph="1">
        <v>213</v>
      </c>
      <c r="AN137" s="64" t="s" ph="1">
        <v>214</v>
      </c>
      <c r="AO137" s="64" t="s" ph="1">
        <v>215</v>
      </c>
      <c r="AP137" s="64" t="s" ph="1">
        <v>213</v>
      </c>
      <c r="AQ137" s="64" t="s" ph="1">
        <v>214</v>
      </c>
      <c r="AR137" s="64" t="s" ph="1">
        <v>215</v>
      </c>
      <c r="AS137" s="64" t="s" ph="1">
        <v>213</v>
      </c>
      <c r="AT137" s="64" t="s" ph="1">
        <v>214</v>
      </c>
      <c r="AU137" s="64" t="s" ph="1">
        <v>215</v>
      </c>
      <c r="AV137" s="64" t="s" ph="1">
        <v>213</v>
      </c>
      <c r="AW137" s="64" t="s" ph="1">
        <v>214</v>
      </c>
      <c r="AX137" s="64" t="s" ph="1">
        <v>215</v>
      </c>
      <c r="AY137" s="64" t="s" ph="1">
        <v>214</v>
      </c>
      <c r="AZ137" s="64" t="s" ph="1">
        <v>216</v>
      </c>
    </row>
    <row r="138" spans="33:52" ph="1">
      <c r="AH138" s="64" ph="1">
        <v>1</v>
      </c>
      <c r="AI138" s="64" t="s" ph="1">
        <v>533</v>
      </c>
      <c r="AJ138" s="64" t="s" ph="1">
        <v>534</v>
      </c>
      <c r="AK138" s="64" t="s" ph="1">
        <v>535</v>
      </c>
      <c r="AY138" s="64" t="s" ph="1">
        <v>219</v>
      </c>
      <c r="AZ138" s="64" t="s" ph="1">
        <v>535</v>
      </c>
    </row>
    <row r="139" spans="33:52" ph="1">
      <c r="AH139" s="64" ph="1">
        <v>2</v>
      </c>
      <c r="AI139" s="64" t="s" ph="1">
        <v>536</v>
      </c>
      <c r="AJ139" s="64" t="s" ph="1">
        <v>592</v>
      </c>
      <c r="AK139" s="64" t="s" ph="1">
        <v>604</v>
      </c>
      <c r="AY139" s="64" t="s" ph="1">
        <v>219</v>
      </c>
      <c r="AZ139" s="64" t="s" ph="1">
        <v>604</v>
      </c>
    </row>
    <row r="140" spans="33:52" ph="1">
      <c r="AH140" s="64" ph="1">
        <v>3</v>
      </c>
      <c r="AI140" s="64" t="s" ph="1">
        <v>537</v>
      </c>
      <c r="AJ140" s="64" t="s" ph="1">
        <v>490</v>
      </c>
      <c r="AK140" s="64" t="s" ph="1">
        <v>302</v>
      </c>
      <c r="AM140" s="64" t="s" ph="1">
        <v>491</v>
      </c>
      <c r="AN140" s="64" t="s" ph="1">
        <v>222</v>
      </c>
      <c r="AO140" s="64" t="s" ph="1">
        <v>538</v>
      </c>
      <c r="AP140" s="64" t="s" ph="1">
        <v>492</v>
      </c>
      <c r="AQ140" s="64" t="s" ph="1">
        <v>239</v>
      </c>
      <c r="AR140" s="64" t="s" ph="1">
        <v>538</v>
      </c>
      <c r="AS140" s="64" t="s" ph="1">
        <v>493</v>
      </c>
      <c r="AT140" s="64" t="s" ph="1">
        <v>232</v>
      </c>
      <c r="AU140" s="64" t="s" ph="1">
        <v>538</v>
      </c>
      <c r="AV140" s="64" t="s" ph="1">
        <v>494</v>
      </c>
      <c r="AW140" s="64" t="s" ph="1">
        <v>225</v>
      </c>
      <c r="AX140" s="64" t="s" ph="1">
        <v>538</v>
      </c>
      <c r="AY140" s="64" t="s" ph="1">
        <v>219</v>
      </c>
      <c r="AZ140" s="64" t="s" ph="1">
        <v>294</v>
      </c>
    </row>
    <row r="141" spans="33:52" ph="1">
      <c r="AJ141" s="64" t="s" ph="1">
        <v>496</v>
      </c>
      <c r="AK141" s="64" t="s" ph="1">
        <v>225</v>
      </c>
      <c r="AM141" s="64" t="s" ph="1">
        <v>497</v>
      </c>
      <c r="AN141" s="64" t="s" ph="1">
        <v>228</v>
      </c>
      <c r="AO141" s="64" t="s" ph="1">
        <v>538</v>
      </c>
      <c r="AP141" s="64" t="s" ph="1">
        <v>509</v>
      </c>
      <c r="AQ141" s="64" t="s" ph="1">
        <v>297</v>
      </c>
      <c r="AR141" s="64" t="s" ph="1">
        <v>538</v>
      </c>
      <c r="AS141" s="64" t="s" ph="1">
        <v>501</v>
      </c>
      <c r="AT141" s="64" t="s" ph="1">
        <v>225</v>
      </c>
      <c r="AU141" s="64" t="s" ph="1">
        <v>538</v>
      </c>
      <c r="AV141" s="64" t="s" ph="1">
        <v>337</v>
      </c>
      <c r="AW141" s="64" t="s" ph="1">
        <v>231</v>
      </c>
      <c r="AX141" s="64" t="s" ph="1">
        <v>538</v>
      </c>
    </row>
    <row r="142" spans="33:52" ph="1">
      <c r="AJ142" s="64" t="s" ph="1">
        <v>539</v>
      </c>
      <c r="AK142" s="64" t="s" ph="1">
        <v>242</v>
      </c>
    </row>
    <row r="143" spans="33:52" ph="1">
      <c r="AH143" s="64" ph="1">
        <v>4</v>
      </c>
      <c r="AI143" s="64" t="s" ph="1">
        <v>540</v>
      </c>
      <c r="AJ143" s="64" t="s" ph="1">
        <v>520</v>
      </c>
      <c r="AK143" s="64" t="s" ph="1">
        <v>541</v>
      </c>
      <c r="AY143" s="64" t="s" ph="1">
        <v>219</v>
      </c>
      <c r="AZ143" s="64" t="s" ph="1">
        <v>541</v>
      </c>
    </row>
    <row r="144" spans="33:52" ph="1">
      <c r="AH144" s="64" ph="1">
        <v>5</v>
      </c>
      <c r="AI144" s="64" t="s" ph="1">
        <v>542</v>
      </c>
      <c r="AY144" s="64" t="s" ph="1">
        <v>219</v>
      </c>
      <c r="AZ144" s="64" t="s" ph="1">
        <v>370</v>
      </c>
    </row>
    <row r="145" spans="33:52" ph="1">
      <c r="AH145" s="64" ph="1">
        <v>6</v>
      </c>
      <c r="AI145" s="64" t="s" ph="1">
        <v>543</v>
      </c>
      <c r="AY145" s="64" t="s" ph="1">
        <v>219</v>
      </c>
      <c r="AZ145" s="64" t="s" ph="1">
        <v>370</v>
      </c>
    </row>
    <row r="146" spans="33:52" ph="1">
      <c r="AH146" s="64" ph="1">
        <v>7</v>
      </c>
      <c r="AI146" s="64" t="s" ph="1">
        <v>544</v>
      </c>
      <c r="AY146" s="64" t="s" ph="1">
        <v>219</v>
      </c>
      <c r="AZ146" s="64" t="s" ph="1">
        <v>370</v>
      </c>
    </row>
    <row r="147" spans="33:52" ph="1">
      <c r="AH147" s="64" ph="1">
        <v>8</v>
      </c>
      <c r="AI147" s="64" t="s" ph="1">
        <v>545</v>
      </c>
      <c r="AY147" s="64" t="s" ph="1">
        <v>219</v>
      </c>
      <c r="AZ147" s="64" t="s" ph="1">
        <v>370</v>
      </c>
    </row>
    <row r="148" spans="33:52" ph="1">
      <c r="AH148" s="64" ph="1">
        <v>9</v>
      </c>
      <c r="AI148" s="64" t="s" ph="1">
        <v>546</v>
      </c>
      <c r="AY148" s="64" t="s" ph="1">
        <v>219</v>
      </c>
      <c r="AZ148" s="64" t="s" ph="1">
        <v>370</v>
      </c>
    </row>
    <row r="149" spans="33:52" ph="1">
      <c r="AH149" s="64" ph="1">
        <v>10</v>
      </c>
      <c r="AI149" s="64" t="s" ph="1">
        <v>547</v>
      </c>
      <c r="AY149" s="64" t="s" ph="1">
        <v>219</v>
      </c>
      <c r="AZ149" s="64" t="s" ph="1">
        <v>370</v>
      </c>
    </row>
    <row r="150" spans="33:52" ph="1">
      <c r="AH150" s="64" ph="1">
        <v>11</v>
      </c>
      <c r="AI150" s="64" t="s" ph="1">
        <v>548</v>
      </c>
      <c r="AY150" s="64" t="s" ph="1">
        <v>219</v>
      </c>
      <c r="AZ150" s="64" t="s" ph="1">
        <v>370</v>
      </c>
    </row>
    <row r="151" spans="33:52" ph="1">
      <c r="AH151" s="64" ph="1">
        <v>12</v>
      </c>
      <c r="AI151" s="64" t="s" ph="1">
        <v>549</v>
      </c>
      <c r="AY151" s="64" t="s" ph="1">
        <v>219</v>
      </c>
      <c r="AZ151" s="64" t="s" ph="1">
        <v>370</v>
      </c>
    </row>
    <row r="152" spans="33:52" ph="1">
      <c r="AH152" s="64" ph="1">
        <v>13</v>
      </c>
      <c r="AI152" s="64" t="s" ph="1">
        <v>550</v>
      </c>
      <c r="AY152" s="64" t="s" ph="1">
        <v>219</v>
      </c>
      <c r="AZ152" s="64" t="s" ph="1">
        <v>370</v>
      </c>
    </row>
    <row r="153" spans="33:52" ph="1">
      <c r="AH153" s="64" ph="1">
        <v>14</v>
      </c>
      <c r="AI153" s="64" t="s" ph="1">
        <v>551</v>
      </c>
      <c r="AY153" s="64" t="s" ph="1">
        <v>219</v>
      </c>
      <c r="AZ153" s="64" t="s" ph="1">
        <v>370</v>
      </c>
    </row>
    <row r="154" spans="33:52" ph="1">
      <c r="AH154" s="64" ph="1">
        <v>15</v>
      </c>
      <c r="AI154" s="64" t="s" ph="1">
        <v>552</v>
      </c>
      <c r="AY154" s="64" t="s" ph="1">
        <v>219</v>
      </c>
      <c r="AZ154" s="64" t="s" ph="1">
        <v>370</v>
      </c>
    </row>
    <row r="155" spans="33:52" ph="1">
      <c r="AH155" s="64" ph="1">
        <v>16</v>
      </c>
      <c r="AI155" s="64" t="s" ph="1">
        <v>553</v>
      </c>
      <c r="AJ155" s="64" t="s" ph="1">
        <v>339</v>
      </c>
      <c r="AK155" s="64" t="s" ph="1">
        <v>234</v>
      </c>
      <c r="AM155" s="64" t="s" ph="1">
        <v>573</v>
      </c>
      <c r="AN155" s="64" t="s" ph="1">
        <v>285</v>
      </c>
      <c r="AO155" s="64" t="s" ph="1">
        <v>538</v>
      </c>
      <c r="AY155" s="64" t="s" ph="1">
        <v>219</v>
      </c>
      <c r="AZ155" s="64" t="s" ph="1">
        <v>226</v>
      </c>
    </row>
    <row r="156" spans="33:52" ph="1">
      <c r="AZ156" s="64" t="s" ph="1">
        <v>605</v>
      </c>
    </row>
    <row r="157" spans="33:52" ph="1">
      <c r="AG157" s="64" t="s" ph="1">
        <v>554</v>
      </c>
      <c r="AI157" s="64" t="s" ph="1">
        <v>212</v>
      </c>
      <c r="AJ157" s="64" t="s" ph="1">
        <v>213</v>
      </c>
      <c r="AK157" s="64" t="s" ph="1">
        <v>214</v>
      </c>
      <c r="AM157" s="64" t="s" ph="1">
        <v>213</v>
      </c>
      <c r="AN157" s="64" t="s" ph="1">
        <v>214</v>
      </c>
      <c r="AO157" s="64" t="s" ph="1">
        <v>215</v>
      </c>
      <c r="AP157" s="64" t="s" ph="1">
        <v>213</v>
      </c>
      <c r="AQ157" s="64" t="s" ph="1">
        <v>214</v>
      </c>
      <c r="AR157" s="64" t="s" ph="1">
        <v>215</v>
      </c>
      <c r="AS157" s="64" t="s" ph="1">
        <v>213</v>
      </c>
      <c r="AT157" s="64" t="s" ph="1">
        <v>214</v>
      </c>
      <c r="AU157" s="64" t="s" ph="1">
        <v>215</v>
      </c>
      <c r="AV157" s="64" t="s" ph="1">
        <v>213</v>
      </c>
      <c r="AW157" s="64" t="s" ph="1">
        <v>214</v>
      </c>
      <c r="AX157" s="64" t="s" ph="1">
        <v>215</v>
      </c>
      <c r="AY157" s="64" t="s" ph="1">
        <v>214</v>
      </c>
      <c r="AZ157" s="64" t="s" ph="1">
        <v>216</v>
      </c>
    </row>
    <row r="158" spans="33:52" ph="1">
      <c r="AH158" s="64" ph="1">
        <v>1</v>
      </c>
      <c r="AI158" s="64" t="s" ph="1">
        <v>555</v>
      </c>
      <c r="AY158" s="64" t="s" ph="1">
        <v>219</v>
      </c>
      <c r="AZ158" s="64" t="s" ph="1">
        <v>370</v>
      </c>
    </row>
    <row r="159" spans="33:52" ph="1">
      <c r="AH159" s="64" ph="1">
        <v>2</v>
      </c>
      <c r="AI159" s="64" t="s" ph="1">
        <v>556</v>
      </c>
      <c r="AY159" s="64" t="s" ph="1">
        <v>219</v>
      </c>
      <c r="AZ159" s="64" t="s" ph="1">
        <v>370</v>
      </c>
    </row>
    <row r="160" spans="33:52" ph="1">
      <c r="AZ160" s="64" t="s" ph="1">
        <v>388</v>
      </c>
    </row>
    <row r="161" spans="33:52" ph="1">
      <c r="AG161" s="64" t="s" ph="1">
        <v>364</v>
      </c>
      <c r="AI161" s="64" t="s" ph="1">
        <v>212</v>
      </c>
      <c r="AJ161" s="64" t="s" ph="1">
        <v>213</v>
      </c>
      <c r="AK161" s="64" t="s" ph="1">
        <v>214</v>
      </c>
      <c r="AM161" s="64" t="s" ph="1">
        <v>213</v>
      </c>
      <c r="AN161" s="64" t="s" ph="1">
        <v>214</v>
      </c>
      <c r="AO161" s="64" t="s" ph="1">
        <v>215</v>
      </c>
      <c r="AP161" s="64" t="s" ph="1">
        <v>213</v>
      </c>
      <c r="AQ161" s="64" t="s" ph="1">
        <v>214</v>
      </c>
      <c r="AR161" s="64" t="s" ph="1">
        <v>215</v>
      </c>
      <c r="AS161" s="64" t="s" ph="1">
        <v>213</v>
      </c>
      <c r="AT161" s="64" t="s" ph="1">
        <v>214</v>
      </c>
      <c r="AU161" s="64" t="s" ph="1">
        <v>215</v>
      </c>
      <c r="AV161" s="64" t="s" ph="1">
        <v>213</v>
      </c>
      <c r="AW161" s="64" t="s" ph="1">
        <v>214</v>
      </c>
      <c r="AX161" s="64" t="s" ph="1">
        <v>215</v>
      </c>
      <c r="AY161" s="64" t="s" ph="1">
        <v>214</v>
      </c>
      <c r="AZ161" s="64" t="s" ph="1">
        <v>216</v>
      </c>
    </row>
    <row r="162" spans="33:52" ph="1">
      <c r="AH162" s="64" ph="1">
        <v>1</v>
      </c>
      <c r="AI162" s="64" t="s" ph="1">
        <v>557</v>
      </c>
      <c r="AJ162" s="64" t="s" ph="1">
        <v>558</v>
      </c>
      <c r="AK162" s="64" t="s" ph="1">
        <v>502</v>
      </c>
      <c r="AM162" s="64" t="s" ph="1">
        <v>559</v>
      </c>
      <c r="AN162" s="64" t="s" ph="1">
        <v>223</v>
      </c>
      <c r="AO162" s="64" t="s" ph="1">
        <v>560</v>
      </c>
      <c r="AY162" s="64" t="s" ph="1">
        <v>219</v>
      </c>
      <c r="AZ162" s="64" t="s" ph="1">
        <v>295</v>
      </c>
    </row>
    <row r="163" spans="33:52" ph="1">
      <c r="AH163" s="64" ph="1">
        <v>2</v>
      </c>
      <c r="AI163" s="64" t="s" ph="1">
        <v>561</v>
      </c>
      <c r="AJ163" s="64" t="s" ph="1">
        <v>558</v>
      </c>
      <c r="AK163" s="64" t="s" ph="1">
        <v>391</v>
      </c>
      <c r="AY163" s="64" t="s" ph="1">
        <v>219</v>
      </c>
      <c r="AZ163" s="64" t="s" ph="1">
        <v>391</v>
      </c>
    </row>
    <row r="164" spans="33:52" ph="1">
      <c r="AH164" s="64" ph="1">
        <v>3</v>
      </c>
      <c r="AI164" s="64" t="s" ph="1">
        <v>562</v>
      </c>
      <c r="AJ164" s="64" t="s" ph="1">
        <v>558</v>
      </c>
      <c r="AK164" s="64" t="s" ph="1">
        <v>295</v>
      </c>
      <c r="AY164" s="64" t="s" ph="1">
        <v>219</v>
      </c>
      <c r="AZ164" s="64" t="s" ph="1">
        <v>295</v>
      </c>
    </row>
    <row r="165" spans="33:52" ph="1">
      <c r="AH165" s="64" ph="1">
        <v>4</v>
      </c>
      <c r="AI165" s="64" t="s" ph="1">
        <v>563</v>
      </c>
      <c r="AY165" s="64" t="s" ph="1">
        <v>219</v>
      </c>
      <c r="AZ165" s="64" t="s" ph="1">
        <v>370</v>
      </c>
    </row>
    <row r="166" spans="33:52" ph="1">
      <c r="AH166" s="64" ph="1">
        <v>5</v>
      </c>
      <c r="AI166" s="64" t="s" ph="1">
        <v>564</v>
      </c>
      <c r="AY166" s="64" t="s" ph="1">
        <v>219</v>
      </c>
      <c r="AZ166" s="64" t="s" ph="1">
        <v>370</v>
      </c>
    </row>
    <row r="167" spans="33:52" ph="1">
      <c r="AZ167" s="64" t="s" ph="1">
        <v>565</v>
      </c>
    </row>
    <row r="168" spans="33:52" ph="1">
      <c r="AG168" s="64" t="s" ph="1">
        <v>308</v>
      </c>
      <c r="AI168" s="64" t="s" ph="1">
        <v>212</v>
      </c>
      <c r="AJ168" s="64" t="s" ph="1">
        <v>213</v>
      </c>
      <c r="AK168" s="64" t="s" ph="1">
        <v>214</v>
      </c>
      <c r="AM168" s="64" t="s" ph="1">
        <v>213</v>
      </c>
      <c r="AN168" s="64" t="s" ph="1">
        <v>214</v>
      </c>
      <c r="AO168" s="64" t="s" ph="1">
        <v>215</v>
      </c>
      <c r="AP168" s="64" t="s" ph="1">
        <v>213</v>
      </c>
      <c r="AQ168" s="64" t="s" ph="1">
        <v>214</v>
      </c>
      <c r="AR168" s="64" t="s" ph="1">
        <v>215</v>
      </c>
      <c r="AS168" s="64" t="s" ph="1">
        <v>213</v>
      </c>
      <c r="AT168" s="64" t="s" ph="1">
        <v>214</v>
      </c>
      <c r="AU168" s="64" t="s" ph="1">
        <v>215</v>
      </c>
      <c r="AV168" s="64" t="s" ph="1">
        <v>213</v>
      </c>
      <c r="AW168" s="64" t="s" ph="1">
        <v>214</v>
      </c>
      <c r="AX168" s="64" t="s" ph="1">
        <v>215</v>
      </c>
      <c r="AY168" s="64" t="s" ph="1">
        <v>214</v>
      </c>
      <c r="AZ168" s="64" t="s" ph="1">
        <v>216</v>
      </c>
    </row>
    <row r="169" spans="33:52" ph="1">
      <c r="AH169" s="64" ph="1">
        <v>1</v>
      </c>
      <c r="AI169" s="64" t="s" ph="1">
        <v>566</v>
      </c>
      <c r="AY169" s="64" t="s" ph="1">
        <v>219</v>
      </c>
      <c r="AZ169" s="64" t="s" ph="1">
        <v>370</v>
      </c>
    </row>
    <row r="170" spans="33:52" ph="1">
      <c r="AH170" s="64" ph="1">
        <v>2</v>
      </c>
      <c r="AI170" s="64" t="s" ph="1">
        <v>567</v>
      </c>
      <c r="AY170" s="64" t="s" ph="1">
        <v>219</v>
      </c>
      <c r="AZ170" s="64" t="s" ph="1">
        <v>370</v>
      </c>
    </row>
    <row r="171" spans="33:52" ph="1">
      <c r="AH171" s="64" ph="1">
        <v>3</v>
      </c>
      <c r="AI171" s="64" t="s" ph="1">
        <v>568</v>
      </c>
      <c r="AY171" s="64" t="s" ph="1">
        <v>219</v>
      </c>
      <c r="AZ171" s="64" t="s" ph="1">
        <v>370</v>
      </c>
    </row>
    <row r="172" spans="33:52" ph="1">
      <c r="AH172" s="64" ph="1">
        <v>4</v>
      </c>
      <c r="AI172" s="64" t="s" ph="1">
        <v>569</v>
      </c>
      <c r="AY172" s="64" t="s" ph="1">
        <v>219</v>
      </c>
      <c r="AZ172" s="64" t="s" ph="1">
        <v>370</v>
      </c>
    </row>
    <row r="173" spans="33:52" ph="1">
      <c r="AH173" s="64" ph="1">
        <v>5</v>
      </c>
      <c r="AI173" s="64" t="s" ph="1">
        <v>570</v>
      </c>
      <c r="AY173" s="64" t="s" ph="1">
        <v>219</v>
      </c>
      <c r="AZ173" s="64" t="s" ph="1">
        <v>370</v>
      </c>
    </row>
    <row r="174" spans="33:52" ph="1">
      <c r="AZ174" s="64" t="s" ph="1">
        <v>388</v>
      </c>
    </row>
    <row r="175" spans="33:52" ph="1">
      <c r="AJ175" s="64" t="s" ph="1">
        <v>309</v>
      </c>
    </row>
    <row r="176" spans="33:52" ph="1">
      <c r="AJ176" s="64" t="s" ph="1">
        <v>310</v>
      </c>
      <c r="AK176" s="64" t="s" ph="1">
        <v>311</v>
      </c>
      <c r="AM176" s="64" t="s" ph="1">
        <v>312</v>
      </c>
      <c r="AO176" s="64" t="s" ph="1">
        <v>313</v>
      </c>
      <c r="AP176" s="64" t="s" ph="1">
        <v>314</v>
      </c>
      <c r="AQ176" s="64" t="s" ph="1">
        <v>304</v>
      </c>
      <c r="AR176" s="64" t="s" ph="1">
        <v>224</v>
      </c>
    </row>
    <row r="177" spans="36:56" ph="1">
      <c r="AJ177" s="64" t="s" ph="1">
        <v>606</v>
      </c>
      <c r="AK177" s="64" t="s" ph="1">
        <v>315</v>
      </c>
      <c r="AO177" s="64" t="s" ph="1">
        <v>315</v>
      </c>
      <c r="AP177" s="64" t="s" ph="1">
        <v>315</v>
      </c>
      <c r="AQ177" s="64" t="s" ph="1">
        <v>316</v>
      </c>
      <c r="AR177" s="64" t="s" ph="1">
        <v>317</v>
      </c>
    </row>
    <row r="179" spans="36:56" ph="1">
      <c r="AJ179" s="64" t="s" ph="1">
        <v>318</v>
      </c>
      <c r="AK179" s="64" t="s" ph="1">
        <v>319</v>
      </c>
      <c r="AM179" s="64" t="s" ph="1">
        <v>320</v>
      </c>
      <c r="AN179" s="64" t="s" ph="1">
        <v>296</v>
      </c>
      <c r="AO179" s="64" t="s" ph="1">
        <v>321</v>
      </c>
      <c r="AP179" s="64" t="s" ph="1">
        <v>300</v>
      </c>
      <c r="AQ179" s="64" t="s" ph="1">
        <v>322</v>
      </c>
      <c r="AR179" s="64" t="s" ph="1">
        <v>323</v>
      </c>
    </row>
    <row r="180" spans="36:56" ph="1">
      <c r="AJ180" s="64" t="s" ph="1">
        <v>315</v>
      </c>
      <c r="AK180" s="64" t="s" ph="1">
        <v>315</v>
      </c>
      <c r="AL180" s="64" ph="1">
        <v>116</v>
      </c>
      <c r="AM180" s="64" t="s" ph="1">
        <v>315</v>
      </c>
      <c r="AN180" s="64" t="s" ph="1">
        <v>324</v>
      </c>
      <c r="AO180" s="64" t="s" ph="1">
        <v>315</v>
      </c>
      <c r="AP180" s="64" t="s" ph="1">
        <v>325</v>
      </c>
      <c r="AQ180" s="64" t="s" ph="1">
        <v>326</v>
      </c>
      <c r="AR180" s="64" t="s" ph="1">
        <v>327</v>
      </c>
    </row>
    <row r="189" spans="36:56" ph="1">
      <c r="BD189" s="64" t="s" ph="1">
        <v>571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5" priority="96">
      <formula>ABS(D$7-D$10)&gt;=1000</formula>
    </cfRule>
  </conditionalFormatting>
  <conditionalFormatting sqref="E4 E6:E11">
    <cfRule type="expression" dxfId="124" priority="95">
      <formula>ABS(E$7-E$10)&gt;=1000</formula>
    </cfRule>
  </conditionalFormatting>
  <conditionalFormatting sqref="F4:F11">
    <cfRule type="expression" dxfId="123" priority="94">
      <formula>ABS(F$7-F$10)&gt;=1000</formula>
    </cfRule>
  </conditionalFormatting>
  <conditionalFormatting sqref="G4:G11">
    <cfRule type="expression" dxfId="122" priority="93">
      <formula>ABS(G$7-G$10)&gt;=1000</formula>
    </cfRule>
  </conditionalFormatting>
  <conditionalFormatting sqref="H4:H11">
    <cfRule type="expression" dxfId="121" priority="92">
      <formula>ABS(H$7-H$10)&gt;=1000</formula>
    </cfRule>
  </conditionalFormatting>
  <conditionalFormatting sqref="I4:I11">
    <cfRule type="expression" dxfId="120" priority="91">
      <formula>ABS(I$7-I$10)&gt;=1000</formula>
    </cfRule>
  </conditionalFormatting>
  <conditionalFormatting sqref="J4:J11">
    <cfRule type="expression" dxfId="119" priority="90">
      <formula>ABS(J$7-J$10)&gt;=1000</formula>
    </cfRule>
  </conditionalFormatting>
  <conditionalFormatting sqref="K4:K11">
    <cfRule type="expression" dxfId="118" priority="89">
      <formula>ABS(K$7-K$10)&gt;=1000</formula>
    </cfRule>
  </conditionalFormatting>
  <conditionalFormatting sqref="L4:L11">
    <cfRule type="expression" dxfId="117" priority="88">
      <formula>ABS(L$7-L$10)&gt;=1000</formula>
    </cfRule>
  </conditionalFormatting>
  <conditionalFormatting sqref="M4 M6:M11">
    <cfRule type="expression" dxfId="116" priority="87">
      <formula>ABS(M$7-M$10)&gt;=1000</formula>
    </cfRule>
  </conditionalFormatting>
  <conditionalFormatting sqref="N4 N6:N11">
    <cfRule type="expression" dxfId="115" priority="86">
      <formula>ABS(N$7-N$10)&gt;=1000</formula>
    </cfRule>
  </conditionalFormatting>
  <conditionalFormatting sqref="O4 O6:O11">
    <cfRule type="expression" dxfId="114" priority="85">
      <formula>ABS(O$7-O$10)&gt;=1000</formula>
    </cfRule>
  </conditionalFormatting>
  <conditionalFormatting sqref="P4 P6:P11">
    <cfRule type="expression" dxfId="113" priority="84">
      <formula>ABS(P$7-P$10)&gt;=1000</formula>
    </cfRule>
  </conditionalFormatting>
  <conditionalFormatting sqref="Q4:Q11">
    <cfRule type="expression" dxfId="112" priority="83">
      <formula>ABS(Q$7-Q$10)&gt;=1000</formula>
    </cfRule>
  </conditionalFormatting>
  <conditionalFormatting sqref="R4:R11">
    <cfRule type="expression" dxfId="111" priority="82">
      <formula>ABS(R$7-R$10)&gt;=1000</formula>
    </cfRule>
  </conditionalFormatting>
  <conditionalFormatting sqref="S4:S11">
    <cfRule type="expression" dxfId="110" priority="81">
      <formula>ABS(S$7-S$10)&gt;=1000</formula>
    </cfRule>
  </conditionalFormatting>
  <conditionalFormatting sqref="T4:T9 T11">
    <cfRule type="expression" dxfId="109" priority="80">
      <formula>ABS(T$7-T$10)&gt;=1000</formula>
    </cfRule>
  </conditionalFormatting>
  <conditionalFormatting sqref="U4:U9 U11">
    <cfRule type="expression" dxfId="108" priority="79">
      <formula>ABS(U$7-U$10)&gt;=1000</formula>
    </cfRule>
  </conditionalFormatting>
  <conditionalFormatting sqref="V4:V9 V11">
    <cfRule type="expression" dxfId="107" priority="78">
      <formula>ABS(V$7-V$10)&gt;=1000</formula>
    </cfRule>
  </conditionalFormatting>
  <conditionalFormatting sqref="W4:W9 W11">
    <cfRule type="expression" dxfId="106" priority="77">
      <formula>ABS(W$7-W$10)&gt;=1000</formula>
    </cfRule>
  </conditionalFormatting>
  <conditionalFormatting sqref="X4:X9 X11">
    <cfRule type="expression" dxfId="105" priority="76">
      <formula>ABS(X$7-X$10)&gt;=1000</formula>
    </cfRule>
  </conditionalFormatting>
  <conditionalFormatting sqref="Y4:Y9 Y11">
    <cfRule type="expression" dxfId="104" priority="75">
      <formula>ABS(Y$7-Y$10)&gt;=1000</formula>
    </cfRule>
  </conditionalFormatting>
  <conditionalFormatting sqref="Z4:Z11">
    <cfRule type="expression" dxfId="103" priority="74">
      <formula>ABS(Z$7-Z$10)&gt;=1000</formula>
    </cfRule>
  </conditionalFormatting>
  <conditionalFormatting sqref="AA4:AA11">
    <cfRule type="expression" dxfId="102" priority="73">
      <formula>ABS(AA$7-AA$10)&gt;=1000</formula>
    </cfRule>
  </conditionalFormatting>
  <conditionalFormatting sqref="AB4:AB11">
    <cfRule type="expression" dxfId="101" priority="72">
      <formula>ABS(AB$7-AB$10)&gt;=1000</formula>
    </cfRule>
  </conditionalFormatting>
  <conditionalFormatting sqref="AC4 AC6:AC11">
    <cfRule type="expression" dxfId="100" priority="71">
      <formula>ABS(AC$7-AC$10)&gt;=1000</formula>
    </cfRule>
  </conditionalFormatting>
  <conditionalFormatting sqref="AD4:AD11">
    <cfRule type="expression" dxfId="99" priority="70">
      <formula>ABS(AD$7-AD$10)&gt;=1000</formula>
    </cfRule>
  </conditionalFormatting>
  <conditionalFormatting sqref="AE4:AE11">
    <cfRule type="expression" dxfId="98" priority="69">
      <formula>ABS(AE$7-AE$10)&gt;=1000</formula>
    </cfRule>
  </conditionalFormatting>
  <conditionalFormatting sqref="D13:D20">
    <cfRule type="expression" dxfId="97" priority="68">
      <formula>ABS(D$16-D$19)&gt;=1000</formula>
    </cfRule>
  </conditionalFormatting>
  <conditionalFormatting sqref="E13:E20">
    <cfRule type="expression" dxfId="96" priority="67">
      <formula>ABS(E$16-E$19)&gt;=1000</formula>
    </cfRule>
  </conditionalFormatting>
  <conditionalFormatting sqref="F13 F15:F20">
    <cfRule type="expression" dxfId="95" priority="66">
      <formula>ABS(F$16-F$19)&gt;=1000</formula>
    </cfRule>
  </conditionalFormatting>
  <conditionalFormatting sqref="G13:G20">
    <cfRule type="expression" dxfId="94" priority="65">
      <formula>ABS(G$16-G$19)&gt;=1000</formula>
    </cfRule>
  </conditionalFormatting>
  <conditionalFormatting sqref="H13:H20">
    <cfRule type="expression" dxfId="93" priority="64">
      <formula>ABS(H$16-H$19)&gt;=1000</formula>
    </cfRule>
  </conditionalFormatting>
  <conditionalFormatting sqref="I13:I20">
    <cfRule type="expression" dxfId="92" priority="63">
      <formula>ABS(I$16-I$19)&gt;=1000</formula>
    </cfRule>
  </conditionalFormatting>
  <conditionalFormatting sqref="J13:J20">
    <cfRule type="expression" dxfId="91" priority="62">
      <formula>ABS(J$16-J$19)&gt;=1000</formula>
    </cfRule>
  </conditionalFormatting>
  <conditionalFormatting sqref="L13:L20">
    <cfRule type="expression" dxfId="90" priority="61">
      <formula>ABS(L$16-L$19)&gt;=1000</formula>
    </cfRule>
  </conditionalFormatting>
  <conditionalFormatting sqref="M13 M15 M17:M18 M20">
    <cfRule type="expression" dxfId="89" priority="60">
      <formula>ABS(M$16-M$19)&gt;=1000</formula>
    </cfRule>
  </conditionalFormatting>
  <conditionalFormatting sqref="N13:N20">
    <cfRule type="expression" dxfId="88" priority="59">
      <formula>ABS(N$16-N$19)&gt;=1000</formula>
    </cfRule>
  </conditionalFormatting>
  <conditionalFormatting sqref="O13:O20">
    <cfRule type="expression" dxfId="87" priority="58">
      <formula>ABS(O$16-O$19)&gt;=1000</formula>
    </cfRule>
  </conditionalFormatting>
  <conditionalFormatting sqref="P13:P20">
    <cfRule type="expression" dxfId="86" priority="57">
      <formula>ABS(P$16-P$19)&gt;=1000</formula>
    </cfRule>
  </conditionalFormatting>
  <conditionalFormatting sqref="Q13 Q15:Q20">
    <cfRule type="expression" dxfId="85" priority="56">
      <formula>ABS(Q$16-Q$19)&gt;=1000</formula>
    </cfRule>
  </conditionalFormatting>
  <conditionalFormatting sqref="R13:R20">
    <cfRule type="expression" dxfId="84" priority="55">
      <formula>ABS(R$16-R$19)&gt;=1000</formula>
    </cfRule>
  </conditionalFormatting>
  <conditionalFormatting sqref="S13:S20">
    <cfRule type="expression" dxfId="83" priority="54">
      <formula>ABS(S$16-S$19)&gt;=1000</formula>
    </cfRule>
  </conditionalFormatting>
  <conditionalFormatting sqref="T13:T20">
    <cfRule type="expression" dxfId="82" priority="53">
      <formula>ABS(T$16-T$19)&gt;=1000</formula>
    </cfRule>
  </conditionalFormatting>
  <conditionalFormatting sqref="U13:U20">
    <cfRule type="expression" dxfId="81" priority="52">
      <formula>ABS(U$16-U$19)&gt;=1000</formula>
    </cfRule>
  </conditionalFormatting>
  <conditionalFormatting sqref="V13:V20">
    <cfRule type="expression" dxfId="80" priority="51">
      <formula>ABS(V$16-V$19)&gt;=1000</formula>
    </cfRule>
  </conditionalFormatting>
  <conditionalFormatting sqref="W13 W20 W15:W18">
    <cfRule type="expression" dxfId="79" priority="50">
      <formula>ABS(W$16-W$19)&gt;=1000</formula>
    </cfRule>
  </conditionalFormatting>
  <conditionalFormatting sqref="X13 X15:X20 Y19">
    <cfRule type="expression" dxfId="78" priority="49">
      <formula>ABS(X$16-X$19)&gt;=1000</formula>
    </cfRule>
  </conditionalFormatting>
  <conditionalFormatting sqref="Y13 Y15:Y18 Y20">
    <cfRule type="expression" dxfId="77" priority="48">
      <formula>ABS(Y$16-Y$19)&gt;=1000</formula>
    </cfRule>
  </conditionalFormatting>
  <conditionalFormatting sqref="Z13:Z20">
    <cfRule type="expression" dxfId="76" priority="47">
      <formula>ABS(Z$16-Z$19)&gt;=1000</formula>
    </cfRule>
  </conditionalFormatting>
  <conditionalFormatting sqref="AA13:AA20">
    <cfRule type="expression" dxfId="75" priority="46">
      <formula>ABS(AA$16-AA$19)&gt;=1000</formula>
    </cfRule>
  </conditionalFormatting>
  <conditionalFormatting sqref="AB13 AB15:AB20">
    <cfRule type="expression" dxfId="74" priority="45">
      <formula>ABS(AB$16-AB$19)&gt;=1000</formula>
    </cfRule>
  </conditionalFormatting>
  <conditionalFormatting sqref="AC13 AC15:AC20">
    <cfRule type="expression" dxfId="73" priority="44">
      <formula>ABS(AC$16-AC$19)&gt;=1000</formula>
    </cfRule>
  </conditionalFormatting>
  <conditionalFormatting sqref="AD13:AD20">
    <cfRule type="expression" dxfId="72" priority="43">
      <formula>ABS(AD$16-AD$19)&gt;=1000</formula>
    </cfRule>
  </conditionalFormatting>
  <conditionalFormatting sqref="AE13:AE20">
    <cfRule type="expression" dxfId="71" priority="42">
      <formula>ABS(AE$16-AE$19)&gt;=1000</formula>
    </cfRule>
  </conditionalFormatting>
  <conditionalFormatting sqref="D22:D29">
    <cfRule type="expression" dxfId="70" priority="41">
      <formula>ABS(D$25-D$28)&gt;=1000</formula>
    </cfRule>
  </conditionalFormatting>
  <conditionalFormatting sqref="E22:E29">
    <cfRule type="expression" dxfId="69" priority="40">
      <formula>ABS(E$25-E$28)&gt;=1000</formula>
    </cfRule>
  </conditionalFormatting>
  <conditionalFormatting sqref="F22:F29">
    <cfRule type="expression" dxfId="68" priority="39">
      <formula>ABS(F$25-F$28)&gt;=1000</formula>
    </cfRule>
  </conditionalFormatting>
  <conditionalFormatting sqref="G22:G29">
    <cfRule type="expression" dxfId="67" priority="38">
      <formula>ABS(G$25-G$28)&gt;=1000</formula>
    </cfRule>
  </conditionalFormatting>
  <conditionalFormatting sqref="H22:H29">
    <cfRule type="expression" dxfId="66" priority="37">
      <formula>ABS(H$25-H$28)&gt;=1000</formula>
    </cfRule>
  </conditionalFormatting>
  <conditionalFormatting sqref="I22 I24:I29">
    <cfRule type="expression" dxfId="65" priority="36">
      <formula>ABS(I$25-I$28)&gt;=1000</formula>
    </cfRule>
  </conditionalFormatting>
  <conditionalFormatting sqref="J22:J29 K22">
    <cfRule type="expression" dxfId="64" priority="35">
      <formula>ABS(J$25-J$28)&gt;=1000</formula>
    </cfRule>
  </conditionalFormatting>
  <conditionalFormatting sqref="K23:K29 L25 L28">
    <cfRule type="expression" dxfId="63" priority="34">
      <formula>ABS(K$25-K$28)&gt;=1000</formula>
    </cfRule>
  </conditionalFormatting>
  <conditionalFormatting sqref="L22:L24 L26:L27 L29">
    <cfRule type="expression" dxfId="62" priority="33">
      <formula>ABS(L$25-L$28)&gt;=1000</formula>
    </cfRule>
  </conditionalFormatting>
  <conditionalFormatting sqref="M22:M29">
    <cfRule type="expression" dxfId="61" priority="32">
      <formula>ABS(M$25-M$28)&gt;=1000</formula>
    </cfRule>
  </conditionalFormatting>
  <conditionalFormatting sqref="N22:N29">
    <cfRule type="expression" dxfId="60" priority="31">
      <formula>ABS(N$25-N$28)&gt;=1000</formula>
    </cfRule>
  </conditionalFormatting>
  <conditionalFormatting sqref="O22:O29">
    <cfRule type="expression" dxfId="59" priority="30">
      <formula>ABS(O$25-O$28)&gt;=1000</formula>
    </cfRule>
  </conditionalFormatting>
  <conditionalFormatting sqref="P22:P29">
    <cfRule type="expression" dxfId="58" priority="29">
      <formula>ABS(P$25-P$28)&gt;=1000</formula>
    </cfRule>
  </conditionalFormatting>
  <conditionalFormatting sqref="Q22:Q29">
    <cfRule type="expression" dxfId="57" priority="28">
      <formula>ABS(Q$25-Q$28)&gt;=1000</formula>
    </cfRule>
  </conditionalFormatting>
  <conditionalFormatting sqref="R22:R29">
    <cfRule type="expression" dxfId="56" priority="27">
      <formula>ABS(R$25-R$28)&gt;=1000</formula>
    </cfRule>
  </conditionalFormatting>
  <conditionalFormatting sqref="S22:S29">
    <cfRule type="expression" dxfId="55" priority="26">
      <formula>ABS(S$25-S$28)&gt;=1000</formula>
    </cfRule>
  </conditionalFormatting>
  <conditionalFormatting sqref="T22:T29">
    <cfRule type="expression" dxfId="54" priority="25">
      <formula>ABS(T$25-T$28)&gt;=1000</formula>
    </cfRule>
  </conditionalFormatting>
  <conditionalFormatting sqref="U22:U29">
    <cfRule type="expression" dxfId="53" priority="24">
      <formula>ABS(U$25-U$28)&gt;=1000</formula>
    </cfRule>
  </conditionalFormatting>
  <conditionalFormatting sqref="V22:V29">
    <cfRule type="expression" dxfId="52" priority="23">
      <formula>ABS(V$25-V$28)&gt;=1000</formula>
    </cfRule>
  </conditionalFormatting>
  <conditionalFormatting sqref="W22:W29">
    <cfRule type="expression" dxfId="51" priority="22">
      <formula>ABS(W$25-W$28)&gt;=1000</formula>
    </cfRule>
  </conditionalFormatting>
  <conditionalFormatting sqref="X22:X29">
    <cfRule type="expression" dxfId="50" priority="21">
      <formula>ABS(X$25-X$28)&gt;=1000</formula>
    </cfRule>
  </conditionalFormatting>
  <conditionalFormatting sqref="Y22:Y29">
    <cfRule type="expression" dxfId="49" priority="20">
      <formula>ABS(Y$25-Y$28)&gt;=1000</formula>
    </cfRule>
  </conditionalFormatting>
  <conditionalFormatting sqref="I23">
    <cfRule type="expression" dxfId="48" priority="19">
      <formula>ABS(I$25-I$28)&gt;=1000</formula>
    </cfRule>
  </conditionalFormatting>
  <conditionalFormatting sqref="F14">
    <cfRule type="expression" dxfId="47" priority="18">
      <formula>ABS(F$16-F$19)&gt;=1000</formula>
    </cfRule>
  </conditionalFormatting>
  <conditionalFormatting sqref="Q14">
    <cfRule type="expression" dxfId="46" priority="17">
      <formula>ABS(Q$16-Q$19)&gt;=1000</formula>
    </cfRule>
  </conditionalFormatting>
  <conditionalFormatting sqref="W14">
    <cfRule type="expression" dxfId="45" priority="16">
      <formula>ABS(W$16-W$19)&gt;=1000</formula>
    </cfRule>
  </conditionalFormatting>
  <conditionalFormatting sqref="Y14">
    <cfRule type="expression" dxfId="44" priority="15">
      <formula>ABS(Y$16-Y$19)&gt;=1000</formula>
    </cfRule>
  </conditionalFormatting>
  <conditionalFormatting sqref="X14">
    <cfRule type="expression" dxfId="43" priority="14">
      <formula>ABS(X$16-X$19)&gt;=1000</formula>
    </cfRule>
  </conditionalFormatting>
  <conditionalFormatting sqref="T10:Y10">
    <cfRule type="expression" dxfId="42" priority="13">
      <formula>ABS(T$7-T$10)&gt;=1000</formula>
    </cfRule>
  </conditionalFormatting>
  <conditionalFormatting sqref="W19">
    <cfRule type="expression" dxfId="41" priority="12">
      <formula>ABS(W$16-W$19)&gt;=1000</formula>
    </cfRule>
  </conditionalFormatting>
  <conditionalFormatting sqref="AC5">
    <cfRule type="expression" dxfId="40" priority="11">
      <formula>ABS(AC$7-AC$10)&gt;=1000</formula>
    </cfRule>
  </conditionalFormatting>
  <conditionalFormatting sqref="M14">
    <cfRule type="expression" dxfId="39" priority="10">
      <formula>ABS(M$16-M$19)&gt;=1000</formula>
    </cfRule>
  </conditionalFormatting>
  <conditionalFormatting sqref="M16">
    <cfRule type="expression" dxfId="38" priority="9">
      <formula>ABS(M$16-M$19)&gt;=1000</formula>
    </cfRule>
  </conditionalFormatting>
  <conditionalFormatting sqref="M19">
    <cfRule type="expression" dxfId="37" priority="8">
      <formula>ABS(M$16-M$19)&gt;=1000</formula>
    </cfRule>
  </conditionalFormatting>
  <conditionalFormatting sqref="K13:K20">
    <cfRule type="expression" dxfId="36" priority="7">
      <formula>ABS(K$16-K$19)&gt;=1000</formula>
    </cfRule>
  </conditionalFormatting>
  <conditionalFormatting sqref="E5">
    <cfRule type="expression" dxfId="35" priority="6">
      <formula>ABS(E$7-E$10)&gt;=1000</formula>
    </cfRule>
  </conditionalFormatting>
  <conditionalFormatting sqref="AB14:AC14">
    <cfRule type="expression" dxfId="34" priority="5">
      <formula>ABS(AB$16-AB$19)&gt;=1000</formula>
    </cfRule>
  </conditionalFormatting>
  <conditionalFormatting sqref="M5">
    <cfRule type="expression" dxfId="33" priority="4">
      <formula>ABS(M$7-M$10)&gt;=1000</formula>
    </cfRule>
  </conditionalFormatting>
  <conditionalFormatting sqref="N5">
    <cfRule type="expression" dxfId="32" priority="3">
      <formula>ABS(N$7-N$10)&gt;=1000</formula>
    </cfRule>
  </conditionalFormatting>
  <conditionalFormatting sqref="O5">
    <cfRule type="expression" dxfId="31" priority="2">
      <formula>ABS(O$7-O$10)&gt;=1000</formula>
    </cfRule>
  </conditionalFormatting>
  <conditionalFormatting sqref="P5">
    <cfRule type="expression" dxfId="30" priority="1">
      <formula>ABS(P$7-P$10)&gt;=1000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50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3.31</vt:lpstr>
      <vt:lpstr>4.1</vt:lpstr>
      <vt:lpstr>4.2</vt:lpstr>
      <vt:lpstr>4.7</vt:lpstr>
      <vt:lpstr>4.8</vt:lpstr>
      <vt:lpstr>4.9</vt:lpstr>
      <vt:lpstr>4.10</vt:lpstr>
      <vt:lpstr>4.11</vt:lpstr>
      <vt:lpstr>4.14</vt:lpstr>
      <vt:lpstr>4.15</vt:lpstr>
      <vt:lpstr>4.16</vt:lpstr>
      <vt:lpstr>4.17</vt:lpstr>
      <vt:lpstr>4.18</vt:lpstr>
      <vt:lpstr>4.21</vt:lpstr>
      <vt:lpstr>4.22</vt:lpstr>
      <vt:lpstr>4.23</vt:lpstr>
      <vt:lpstr>4.24</vt:lpstr>
      <vt:lpstr>4.25</vt:lpstr>
      <vt:lpstr>4.28</vt:lpstr>
      <vt:lpstr>4.29</vt:lpstr>
      <vt:lpstr>4.30</vt:lpstr>
      <vt:lpstr>'3.31'!Print_Area</vt:lpstr>
      <vt:lpstr>'4.1'!Print_Area</vt:lpstr>
      <vt:lpstr>'4.10'!Print_Area</vt:lpstr>
      <vt:lpstr>'4.11'!Print_Area</vt:lpstr>
      <vt:lpstr>'4.14'!Print_Area</vt:lpstr>
      <vt:lpstr>'4.15'!Print_Area</vt:lpstr>
      <vt:lpstr>'4.16'!Print_Area</vt:lpstr>
      <vt:lpstr>'4.17'!Print_Area</vt:lpstr>
      <vt:lpstr>'4.18'!Print_Area</vt:lpstr>
      <vt:lpstr>'4.2'!Print_Area</vt:lpstr>
      <vt:lpstr>'4.21'!Print_Area</vt:lpstr>
      <vt:lpstr>'4.22'!Print_Area</vt:lpstr>
      <vt:lpstr>'4.23'!Print_Area</vt:lpstr>
      <vt:lpstr>'4.24'!Print_Area</vt:lpstr>
      <vt:lpstr>'4.25'!Print_Area</vt:lpstr>
      <vt:lpstr>'4.28'!Print_Area</vt:lpstr>
      <vt:lpstr>'4.29'!Print_Area</vt:lpstr>
      <vt:lpstr>'4.30'!Print_Area</vt:lpstr>
      <vt:lpstr>'4.7'!Print_Area</vt:lpstr>
      <vt:lpstr>'4.8'!Print_Area</vt:lpstr>
      <vt:lpstr>'4.9'!Print_Area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2025-04-30T08:07:21Z</cp:lastPrinted>
  <dcterms:created xsi:type="dcterms:W3CDTF">2006-09-16T00:00:00Z</dcterms:created>
  <dcterms:modified xsi:type="dcterms:W3CDTF">2025-04-30T08:27:32Z</dcterms:modified>
</cp:coreProperties>
</file>